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77460" windowWidth="12240" windowHeight="9120" activeTab="1"/>
  </bookViews>
  <sheets>
    <sheet name="Calculo_General" sheetId="7" r:id="rId1"/>
    <sheet name="Filtrado_General" sheetId="8" r:id="rId2"/>
    <sheet name="CALCULO" sheetId="1" r:id="rId3"/>
    <sheet name="FILTRADO" sheetId="2" r:id="rId4"/>
    <sheet name="TransferActiva" sheetId="3" r:id="rId5"/>
    <sheet name="TransferTodos" sheetId="4" r:id="rId6"/>
  </sheets>
  <externalReferences>
    <externalReference r:id="rId7"/>
  </externalReferences>
  <definedNames>
    <definedName name="AnadeTransfer">TransferTodos!$A$1:$O$317</definedName>
    <definedName name="BODEGABASE">[1]DECISION_COMPRA!$B$3</definedName>
    <definedName name="BODEGABASE1">[1]RELACION_BUFFERS!$B$3</definedName>
    <definedName name="BODEGATRANSFER">[1]SELECCION!$B$3</definedName>
    <definedName name="DESTINO">[1]SELECCION1!$C$5</definedName>
    <definedName name="INICIOTRANSFER" localSheetId="0">TRANSFERENCIAFILTRADA[[#Headers],[Empresa]]</definedName>
    <definedName name="INICIOTRANSFER">TRANSFERENCIAFILTRADA[[#Headers],[Empresa]]</definedName>
    <definedName name="ORIGEN">[1]SELECCION1!$C$10</definedName>
    <definedName name="PROVEEDORTRANSFER">[1]SELECCION!$B$4</definedName>
    <definedName name="RANGOPEDIDOSAGROTA">OFFSET([1]CONSOLIDADO!$A$1,0,0,COUNTA([1]CONSOLIDADO!$A:$A),COUNTA([1]CONSOLIDADO!$1:$1))</definedName>
  </definedNames>
  <calcPr calcId="152511" calcMode="manual"/>
</workbook>
</file>

<file path=xl/calcChain.xml><?xml version="1.0" encoding="utf-8"?>
<calcChain xmlns="http://schemas.openxmlformats.org/spreadsheetml/2006/main">
  <c r="O258" i="4" l="1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2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</calcChain>
</file>

<file path=xl/sharedStrings.xml><?xml version="1.0" encoding="utf-8"?>
<sst xmlns="http://schemas.openxmlformats.org/spreadsheetml/2006/main" count="1578" uniqueCount="794">
  <si>
    <t>REQ NETO</t>
  </si>
  <si>
    <t>Req Aux 12</t>
  </si>
  <si>
    <t>Req Aux 11 Total</t>
  </si>
  <si>
    <t>Req Aux 11</t>
  </si>
  <si>
    <t>Req Aux 10 Total</t>
  </si>
  <si>
    <t>Req Aux 10</t>
  </si>
  <si>
    <t>Req Aux 9 Total</t>
  </si>
  <si>
    <t>Req Aux 9</t>
  </si>
  <si>
    <t>Req Aux 8 Total</t>
  </si>
  <si>
    <t>Req Aux 8</t>
  </si>
  <si>
    <t>Req Aux 7 Total</t>
  </si>
  <si>
    <t>Req Aux 7</t>
  </si>
  <si>
    <t>Req Aux 6 Total</t>
  </si>
  <si>
    <t>Req Aux 6</t>
  </si>
  <si>
    <t>Req Aux 5 Total</t>
  </si>
  <si>
    <t>Req Aux 5</t>
  </si>
  <si>
    <t>Req Aux 4 Total</t>
  </si>
  <si>
    <t>Req Aux 4</t>
  </si>
  <si>
    <t>Req Aux 3 Total</t>
  </si>
  <si>
    <t>Req Aux 3</t>
  </si>
  <si>
    <t>Req Aux 2 Total</t>
  </si>
  <si>
    <t>Req Aux 2</t>
  </si>
  <si>
    <t>Req Aux 1 Total</t>
  </si>
  <si>
    <t>Req Aux 1</t>
  </si>
  <si>
    <t>Asignado Menos Total</t>
  </si>
  <si>
    <t>Asignado Menos</t>
  </si>
  <si>
    <t>Asignado Base Total</t>
  </si>
  <si>
    <t>Asignado Base</t>
  </si>
  <si>
    <t>Priorid Relat</t>
  </si>
  <si>
    <t>Priorid Abs Total</t>
  </si>
  <si>
    <t>Prioridad Abs</t>
  </si>
  <si>
    <t>%Req a Buff</t>
  </si>
  <si>
    <t>%Req a Buff Total</t>
  </si>
  <si>
    <t>Req a Buffer</t>
  </si>
  <si>
    <t>%Req</t>
  </si>
  <si>
    <t>%Consumo</t>
  </si>
  <si>
    <t>%Cons Total</t>
  </si>
  <si>
    <t>ReqTotal</t>
  </si>
  <si>
    <t>RequerimientoTotal</t>
  </si>
  <si>
    <t>Requerimiento</t>
  </si>
  <si>
    <t>R Complejo</t>
  </si>
  <si>
    <t>Req Comp 2 Total</t>
  </si>
  <si>
    <t>Req Comp 2</t>
  </si>
  <si>
    <t>Req Comp 1 Total</t>
  </si>
  <si>
    <t>Req Comp 1</t>
  </si>
  <si>
    <t>Comprom Total</t>
  </si>
  <si>
    <t>FIN</t>
  </si>
  <si>
    <t>Ped Prom</t>
  </si>
  <si>
    <t>Consumo</t>
  </si>
  <si>
    <t>TipoCompra</t>
  </si>
  <si>
    <t>Rentabilid</t>
  </si>
  <si>
    <t>PEDID Real</t>
  </si>
  <si>
    <t>PEDIDCalc</t>
  </si>
  <si>
    <t>Inv Proy Act</t>
  </si>
  <si>
    <t>Backorders</t>
  </si>
  <si>
    <t>Comprom</t>
  </si>
  <si>
    <t>Tráns Act</t>
  </si>
  <si>
    <t>Estado Buffer</t>
  </si>
  <si>
    <t>Color</t>
  </si>
  <si>
    <t>Inv Fís Act</t>
  </si>
  <si>
    <t>Buff Act</t>
  </si>
  <si>
    <t>Inv Proveed</t>
  </si>
  <si>
    <t>PV</t>
  </si>
  <si>
    <t>CTV</t>
  </si>
  <si>
    <t>Tipo</t>
  </si>
  <si>
    <t>Observaciones</t>
  </si>
  <si>
    <t>Nuevo Buff Real</t>
  </si>
  <si>
    <t>Nuevo Buff Sug</t>
  </si>
  <si>
    <t>Linea</t>
  </si>
  <si>
    <t>Grupo</t>
  </si>
  <si>
    <t>Descripcion</t>
  </si>
  <si>
    <t>Codigo</t>
  </si>
  <si>
    <t>Archivo</t>
  </si>
  <si>
    <t>Proveedor</t>
  </si>
  <si>
    <t>Bodega</t>
  </si>
  <si>
    <t>Empresa</t>
  </si>
  <si>
    <t>PEDID Prom</t>
  </si>
  <si>
    <t>T$D</t>
  </si>
  <si>
    <t>I$D</t>
  </si>
  <si>
    <t>Vel Efect</t>
  </si>
  <si>
    <t>Servicio</t>
  </si>
  <si>
    <t>Ult Cambio</t>
  </si>
  <si>
    <t>REQ SIN VBA</t>
  </si>
  <si>
    <t>Dif REQ NETO</t>
  </si>
  <si>
    <t>CODIGO</t>
  </si>
  <si>
    <t>Presente</t>
  </si>
  <si>
    <t>Requerim</t>
  </si>
  <si>
    <t>ACCESORIOS</t>
  </si>
  <si>
    <t>Perfil</t>
  </si>
  <si>
    <t>CODIGO GENERICO</t>
  </si>
  <si>
    <t>CODIGO VINCULADO</t>
  </si>
  <si>
    <t>PEDID Min</t>
  </si>
  <si>
    <t>PEDID Min Grupo</t>
  </si>
  <si>
    <t>Unidad Empaque</t>
  </si>
  <si>
    <t>Porc Aten</t>
  </si>
  <si>
    <t>Negociación</t>
  </si>
  <si>
    <t>Producción</t>
  </si>
  <si>
    <t>Embarcado</t>
  </si>
  <si>
    <t>03.013.0007</t>
  </si>
  <si>
    <t>CAS. K12 DESIGN/BR/L/AZ</t>
  </si>
  <si>
    <t>CASCOS</t>
  </si>
  <si>
    <t>03.013.0005</t>
  </si>
  <si>
    <t>CAS. K12 GAME/BR/L/RO</t>
  </si>
  <si>
    <t>03.002.0060</t>
  </si>
  <si>
    <t>03.002.0058</t>
  </si>
  <si>
    <t>CAS.CON.3000 BR XL NE DVP100SO</t>
  </si>
  <si>
    <t>03.002.0018</t>
  </si>
  <si>
    <t>03.002.0001</t>
  </si>
  <si>
    <t>CAS.CON.3000/BR/M/RO/FIRE</t>
  </si>
  <si>
    <t>03.002.0059</t>
  </si>
  <si>
    <t>CAS.CON.3000 BR L NE DVP100%SO</t>
  </si>
  <si>
    <t>03.013.0006</t>
  </si>
  <si>
    <t>CAS. K12 GAME/BR/XL/RO</t>
  </si>
  <si>
    <t>03.013.0011</t>
  </si>
  <si>
    <t>CAS. K12 DESIGN/BR/L/RO</t>
  </si>
  <si>
    <t>03.013.0020</t>
  </si>
  <si>
    <t>CAS.CROSS/MXL12/TCH/BR/XL/NEG</t>
  </si>
  <si>
    <t>03.013.0019</t>
  </si>
  <si>
    <t>CAS.CROSS/MXL12/TCH/BR/L/NEG</t>
  </si>
  <si>
    <t>03.013.0012</t>
  </si>
  <si>
    <t>CAS. K12 DESIGN/BR/XL/RO</t>
  </si>
  <si>
    <t>CAS.CON.3000 BR M NE DVP100%SO</t>
  </si>
  <si>
    <t>03.014.0007</t>
  </si>
  <si>
    <t>CAS C13 CR13 MIX01 BR XL</t>
  </si>
  <si>
    <t>03.013.0008</t>
  </si>
  <si>
    <t>CAS. K12 DESIGN/BR/XL/AZ</t>
  </si>
  <si>
    <t>03.016.0002</t>
  </si>
  <si>
    <t>CAS.CROSS.MOX 819-4/BR/M/NE/SO</t>
  </si>
  <si>
    <t>03.014.0001</t>
  </si>
  <si>
    <t>CAS C13 DESE MIX01 BR L</t>
  </si>
  <si>
    <t>03.013.0018</t>
  </si>
  <si>
    <t>CAS.CROSS/MXL12/TCH/BR/XL/AZUL</t>
  </si>
  <si>
    <t>03.013.0021</t>
  </si>
  <si>
    <t>CAS.CROSS/MXL12/TCH/BR/L/ROJ</t>
  </si>
  <si>
    <t>03.013.0017</t>
  </si>
  <si>
    <t>CAS.CROSS/MXL12/TECH/BR/L/AZUL</t>
  </si>
  <si>
    <t>03.002.0052</t>
  </si>
  <si>
    <t>CAS.CON.3000/BR/M/RO/65C</t>
  </si>
  <si>
    <t>03.002.0051</t>
  </si>
  <si>
    <t>CAS.CON.3000/BR/XL/AZ/65C</t>
  </si>
  <si>
    <t>03.002.0050</t>
  </si>
  <si>
    <t>CAS.CON.3000/BR/L/AZ/65C</t>
  </si>
  <si>
    <t>03.002.0048</t>
  </si>
  <si>
    <t>CAS.CON.3000/BR/XL/NE-PL/65C</t>
  </si>
  <si>
    <t>03.002.0047</t>
  </si>
  <si>
    <t>CAS.CON.3000/BR/L/NE-PL/65C</t>
  </si>
  <si>
    <t>03.002.0046</t>
  </si>
  <si>
    <t>CAS.CON.3000/BR/M/NE-PL/65C</t>
  </si>
  <si>
    <t>03.002.0045</t>
  </si>
  <si>
    <t>CAS.CON.3000/BR/XL/NE-AZ/65C</t>
  </si>
  <si>
    <t>03.002.0044</t>
  </si>
  <si>
    <t>CAS.CON.3000/BR/L/NE-AZ/65C</t>
  </si>
  <si>
    <t>03.002.0043</t>
  </si>
  <si>
    <t>CAS.CON.3000/BR/M/NE-AZ/65C</t>
  </si>
  <si>
    <t>03.002.0042</t>
  </si>
  <si>
    <t>CAS.CON.3000/BR/XL/NE-RO/65C</t>
  </si>
  <si>
    <t>03.002.0049</t>
  </si>
  <si>
    <t>CAS.CON.3000/BR/M/AZ/65C</t>
  </si>
  <si>
    <t>03.002.0053</t>
  </si>
  <si>
    <t>CAS.CON.3000/BR/L/RO/65C</t>
  </si>
  <si>
    <t>03.002.0041</t>
  </si>
  <si>
    <t>CAS.CON.3000/BR/L/NE-RO/65C</t>
  </si>
  <si>
    <t>03.002.0055</t>
  </si>
  <si>
    <t>CAS.CON.3000 BR M NE DVP100 SO</t>
  </si>
  <si>
    <t>03.002.0035</t>
  </si>
  <si>
    <t>03.002.0033</t>
  </si>
  <si>
    <t>CAS.CON.3000/MA/M/NE/SO/V.P50%</t>
  </si>
  <si>
    <t>03.002.0056</t>
  </si>
  <si>
    <t>03.002.0057</t>
  </si>
  <si>
    <t>03.002.0004</t>
  </si>
  <si>
    <t>CAS.CON.3000/BR/L/RO/NORISK</t>
  </si>
  <si>
    <t>03.002.0063</t>
  </si>
  <si>
    <t>CAS.CON.3000 BR XL BL DVP100SO</t>
  </si>
  <si>
    <t>03.002.0064</t>
  </si>
  <si>
    <t>CAS.CON.3000/BR/M/BL/DVCH/SO</t>
  </si>
  <si>
    <t>03.002.0065</t>
  </si>
  <si>
    <t>CAS.CON.3000/BR/L/BL/DVCH/SO</t>
  </si>
  <si>
    <t>03.002.0066</t>
  </si>
  <si>
    <t>CAS.CON.3000/BR/XL/BL/DVCH/SO</t>
  </si>
  <si>
    <t>03.002.0067</t>
  </si>
  <si>
    <t>CAS.CON.3000 MA M NE DVP100 SO</t>
  </si>
  <si>
    <t>03.002.0054</t>
  </si>
  <si>
    <t>CAS.CON.3000/BR/XL/RO/65C</t>
  </si>
  <si>
    <t>03.002.0031</t>
  </si>
  <si>
    <t>03.002.0007</t>
  </si>
  <si>
    <t>CAS.CON.3000/BR/XL/BL/SO</t>
  </si>
  <si>
    <t>03.002.0010</t>
  </si>
  <si>
    <t>CAS.CON.3000/BR/M/NE/NORISK</t>
  </si>
  <si>
    <t>03.002.0011</t>
  </si>
  <si>
    <t>CAS.CON.3000/BR/L/NE/NORISK</t>
  </si>
  <si>
    <t>03.002.0013</t>
  </si>
  <si>
    <t>CAS.CON.3000/BR/XL/AZ/FIRE</t>
  </si>
  <si>
    <t>03.002.0014</t>
  </si>
  <si>
    <t>CAS.CON.3000/BR/L/NE/FIRE</t>
  </si>
  <si>
    <t>03.002.0015</t>
  </si>
  <si>
    <t>CAS.CON.3000/MA/M/NE/SO</t>
  </si>
  <si>
    <t>03.002.0016</t>
  </si>
  <si>
    <t>CAS.CON.3000/MA/L/NE/SO</t>
  </si>
  <si>
    <t>03.002.0017</t>
  </si>
  <si>
    <t>CAS.CON.3000/BR/XL/RO/NORIS</t>
  </si>
  <si>
    <t>03.002.0008</t>
  </si>
  <si>
    <t>CAS.CON.3000/BR/L/NE/SO</t>
  </si>
  <si>
    <t>03.002.0020</t>
  </si>
  <si>
    <t>CAS.CON.3000/BR/XL/RO/FIRE</t>
  </si>
  <si>
    <t>03.002.0022</t>
  </si>
  <si>
    <t>CAS.CON.3000/BR/M/NE/FIRE</t>
  </si>
  <si>
    <t>03.002.0037</t>
  </si>
  <si>
    <t>CAS.CON.3000/BR/L/BL/SO/V.CROM</t>
  </si>
  <si>
    <t>03.002.0029</t>
  </si>
  <si>
    <t>CAS.CON.3000/BR/M/BL/SO</t>
  </si>
  <si>
    <t>03.002.0040</t>
  </si>
  <si>
    <t>CAS.CON.3000/BR/M/NE-RO/65C</t>
  </si>
  <si>
    <t>03.002.0032</t>
  </si>
  <si>
    <t>CAS.CON.3000/BR/L/NE/SO/V.P50%</t>
  </si>
  <si>
    <t>CAS.CON.3000/BR/M/NE/SO/V.P50%</t>
  </si>
  <si>
    <t>CAS.CON.3000/BR/M/NE/SO</t>
  </si>
  <si>
    <t>03.002.0078</t>
  </si>
  <si>
    <t>CAS.CON.3000/BR/M/AZ/65A</t>
  </si>
  <si>
    <t>03.002.0006</t>
  </si>
  <si>
    <t>CAS.CON.3000/BR/M/RO/NORISK</t>
  </si>
  <si>
    <t>03.002.0068</t>
  </si>
  <si>
    <t>CAS.CON.3000 MA L NE DVP100%SO</t>
  </si>
  <si>
    <t>03.002.0009</t>
  </si>
  <si>
    <t>CAS.CON.3000/BR/XL/NE/SO</t>
  </si>
  <si>
    <t>03.002.0036</t>
  </si>
  <si>
    <t>CAS.CON.3000/BR/XL/NE/SO/V.P50</t>
  </si>
  <si>
    <t>03.002.0034</t>
  </si>
  <si>
    <t>CAS.CON.3000/MA/L/NE/SO/V.P50%</t>
  </si>
  <si>
    <t>03.002.0038</t>
  </si>
  <si>
    <t>CAS.CON.3000/BR/M/BL/SO/V.CROM</t>
  </si>
  <si>
    <t>03.002.0039</t>
  </si>
  <si>
    <t>CAS.CON.3000/BR/XL/BL/SO/V.CRO</t>
  </si>
  <si>
    <t>03.002.0023</t>
  </si>
  <si>
    <t>CAS.CON.3000/BR/L/BL/SO</t>
  </si>
  <si>
    <t>03.013.0026</t>
  </si>
  <si>
    <t>CAS. MXL12 TRIBAL BR XL PL</t>
  </si>
  <si>
    <t>03.002.0076</t>
  </si>
  <si>
    <t>CAS.CON.3000/BR/L/NE/65A</t>
  </si>
  <si>
    <t>03.013.0001</t>
  </si>
  <si>
    <t>CAS. K12 GAME/BR/L/AZ</t>
  </si>
  <si>
    <t>03.013.0002</t>
  </si>
  <si>
    <t>CAS. K12 GAME/BR/XL/AZ</t>
  </si>
  <si>
    <t>03.013.0003</t>
  </si>
  <si>
    <t>CAS. K12 GAME/BR/L/NE</t>
  </si>
  <si>
    <t>03.013.0004</t>
  </si>
  <si>
    <t>CAS. K12 GAME/BR/XL/NE</t>
  </si>
  <si>
    <t>03.013.0009</t>
  </si>
  <si>
    <t>CAS. K12 DESIGN/BR/L/NE</t>
  </si>
  <si>
    <t>03.013.0010</t>
  </si>
  <si>
    <t>CAS. K12 DESIGN/BR/XL/NE</t>
  </si>
  <si>
    <t>03.013.0013</t>
  </si>
  <si>
    <t>CAS. K12 DESIGN/BR/L/TO</t>
  </si>
  <si>
    <t>03.013.0014</t>
  </si>
  <si>
    <t>CAS. K12 DESIGN/BR/XL/TO</t>
  </si>
  <si>
    <t>03.013.0016</t>
  </si>
  <si>
    <t>CAS. K12 DESIGN/BR/XL/VE</t>
  </si>
  <si>
    <t>03.013.0023</t>
  </si>
  <si>
    <t>CAS. MXL12 TRIBAL BR L AZ</t>
  </si>
  <si>
    <t>03.009.0003</t>
  </si>
  <si>
    <t>VISOR CASCO 3000 TIN/NE/50%</t>
  </si>
  <si>
    <t>03.013.0025</t>
  </si>
  <si>
    <t>CAS. MXL12 TRIBAL BR L PL</t>
  </si>
  <si>
    <t>03.009.0002</t>
  </si>
  <si>
    <t>VISOR CASCO 3000 TIN/NE/75%</t>
  </si>
  <si>
    <t>03.013.0027</t>
  </si>
  <si>
    <t>CAS. MXL12 TRIBAL BR L RO</t>
  </si>
  <si>
    <t>03.013.0028</t>
  </si>
  <si>
    <t>CAS. MXL12 TRIBAL BR XL RO</t>
  </si>
  <si>
    <t>03.013.0029</t>
  </si>
  <si>
    <t>CAS. MXL12 TRIBAL BR L AM</t>
  </si>
  <si>
    <t>03.013.0030</t>
  </si>
  <si>
    <t>CAS. MXL12 TRIBAL BR XL AM</t>
  </si>
  <si>
    <t>03.014.0002</t>
  </si>
  <si>
    <t>CAS.C13 DESE MIX02 BR XL</t>
  </si>
  <si>
    <t>03.014.0003</t>
  </si>
  <si>
    <t>CAS. C13 DESIGN/MIX03/BR/XL</t>
  </si>
  <si>
    <t>03.014.0005</t>
  </si>
  <si>
    <t>CAS. C13 DESERT/MIX04/BR/L</t>
  </si>
  <si>
    <t>03.014.0006</t>
  </si>
  <si>
    <t>CAS. C13 DESERT/MIX06/BR/L</t>
  </si>
  <si>
    <t>03.014.0008</t>
  </si>
  <si>
    <t>CAS. C13 DESIGN/MIX08/BR/L</t>
  </si>
  <si>
    <t>03.014.0014</t>
  </si>
  <si>
    <t>CAS. C13 DESIGN/MIX02/BR/L</t>
  </si>
  <si>
    <t>03.016.0001</t>
  </si>
  <si>
    <t>CAS.CROSS.MOX 819-4/BR/S/NE/SO</t>
  </si>
  <si>
    <t>03.013.0024</t>
  </si>
  <si>
    <t>CAS. MXL12 TRIBAL BR XL AZ</t>
  </si>
  <si>
    <t>03.005.0009</t>
  </si>
  <si>
    <t>03.005.0001</t>
  </si>
  <si>
    <t>CASCO/CR1-17/TIPO 03/XL/12UND</t>
  </si>
  <si>
    <t>03.002.0072</t>
  </si>
  <si>
    <t>CAS.CON.3000/BR/M/RO/65A</t>
  </si>
  <si>
    <t>03.002.0073</t>
  </si>
  <si>
    <t>CAS.CON.3000/BR/L/RO/65A</t>
  </si>
  <si>
    <t>03.002.0074</t>
  </si>
  <si>
    <t>CAS.CON.3000/BR/XL/RO/65A</t>
  </si>
  <si>
    <t>03.002.0075</t>
  </si>
  <si>
    <t>CAS.CON.3000/BR/M/NE/65A</t>
  </si>
  <si>
    <t>CAS.CON.3000/BR/L/RO/FIRE</t>
  </si>
  <si>
    <t>03.002.0077</t>
  </si>
  <si>
    <t>CAS.CON.3000/BR/XL/NE/65A</t>
  </si>
  <si>
    <t>01.044.0001</t>
  </si>
  <si>
    <t>BAUL POSTERIOR MOXAL</t>
  </si>
  <si>
    <t>03.002.0079</t>
  </si>
  <si>
    <t>CAS.CON.3000/BR/L/AZ/65A</t>
  </si>
  <si>
    <t>03.002.0080</t>
  </si>
  <si>
    <t>CAS.CON.3000/BR/XL/AZ/65A</t>
  </si>
  <si>
    <t>03.005.0002</t>
  </si>
  <si>
    <t>CASCO/CR1-17/TIPO 04/L/12UND</t>
  </si>
  <si>
    <t>03.005.0004</t>
  </si>
  <si>
    <t>CASCO/CR1-17/TIPO 01/L/12UND</t>
  </si>
  <si>
    <t>03.009.0004</t>
  </si>
  <si>
    <t>VISOR CASCO 3000 CR/PLATA</t>
  </si>
  <si>
    <t>03.005.0008</t>
  </si>
  <si>
    <t>CASCO/CR1-17/TIPO 03/L</t>
  </si>
  <si>
    <t>03.002.0071</t>
  </si>
  <si>
    <t>CAS.CON.3000 MA L NE DV100% SO</t>
  </si>
  <si>
    <t>03.005.0010</t>
  </si>
  <si>
    <t>CASCO/CR1-17/TIPO 04/XL/12UND</t>
  </si>
  <si>
    <t>03.005.0012</t>
  </si>
  <si>
    <t>CASCO/CR1-17/TIPO 02/XL/12UND</t>
  </si>
  <si>
    <t>03.005.0013</t>
  </si>
  <si>
    <t>CASCO/CR1-17/TIPO 12/L/12UND</t>
  </si>
  <si>
    <t>03.005.0041</t>
  </si>
  <si>
    <t>CASCO/CR1-17/TIPO 21/L-L12UND</t>
  </si>
  <si>
    <t>03.005.0042</t>
  </si>
  <si>
    <t>CASCO CR1-17 (MIX21) XL 12UND</t>
  </si>
  <si>
    <t>03.005.0043</t>
  </si>
  <si>
    <t>CASCO/CR1-17/TIPO 22/L-L12UND</t>
  </si>
  <si>
    <t>03.005.0044</t>
  </si>
  <si>
    <t>CASCO CR1-17 (MIX22) XL 12UND</t>
  </si>
  <si>
    <t>03.005.0045</t>
  </si>
  <si>
    <t>CASCO CR1-17 TIPO 20 L 12UND</t>
  </si>
  <si>
    <t>03.005.0046</t>
  </si>
  <si>
    <t>CASCO CR1-17 (MIX23) XL 12UND</t>
  </si>
  <si>
    <t>03.005.0047</t>
  </si>
  <si>
    <t>CASCO/CR1-17/TIPO 24/L-L12UND</t>
  </si>
  <si>
    <t>03.009.0001</t>
  </si>
  <si>
    <t>VISOR CASCO 3000</t>
  </si>
  <si>
    <t>03.005.0006</t>
  </si>
  <si>
    <t>CASCO/CR1-17/TIPO 02/L/12UND</t>
  </si>
  <si>
    <t>03.002.0002</t>
  </si>
  <si>
    <t>CONV VD V.50 M BR AM BSC C3000</t>
  </si>
  <si>
    <t>03.002.0003</t>
  </si>
  <si>
    <t>CONV VD V.50 L BR AM BSC C3000</t>
  </si>
  <si>
    <t>03.002.0012</t>
  </si>
  <si>
    <t>CONV VD V.50 XL BR AM BSC 3000</t>
  </si>
  <si>
    <t>03.002.0019</t>
  </si>
  <si>
    <t>CAS.CON.3000/MA/XL/NE/SO</t>
  </si>
  <si>
    <t>03.002.0021</t>
  </si>
  <si>
    <t>CAS.CON.3000/BR/XL/NE/FIRE</t>
  </si>
  <si>
    <t>03.002.0024</t>
  </si>
  <si>
    <t>CAS.CON.3000/BR/L/AZ/FIRE</t>
  </si>
  <si>
    <t>03.002.0025</t>
  </si>
  <si>
    <t>CAS.CON.3000/BR/L/AZ/NORISK</t>
  </si>
  <si>
    <t>03.002.0026</t>
  </si>
  <si>
    <t>CAS.CON.3000/BR/L/GR/NORISK</t>
  </si>
  <si>
    <t>03.002.0027</t>
  </si>
  <si>
    <t>CAS.CON.3000/BR/M/GR/NORISK</t>
  </si>
  <si>
    <t>03.002.0028</t>
  </si>
  <si>
    <t>CAS.CON.3000/BR/XL/AZ/NORIS</t>
  </si>
  <si>
    <t>03.002.0061</t>
  </si>
  <si>
    <t>CAS.CON.3000 BR M BL DV100% SO</t>
  </si>
  <si>
    <t>03.002.0062</t>
  </si>
  <si>
    <t>CAS.CON.3000 BR L BL DVP100%SO</t>
  </si>
  <si>
    <t>03.002.0070</t>
  </si>
  <si>
    <t>CAS.CON.3000 MA M NE DV100% SO</t>
  </si>
  <si>
    <t>03.003.0004</t>
  </si>
  <si>
    <t>#N/A</t>
  </si>
  <si>
    <t>03.003.0025</t>
  </si>
  <si>
    <t>CAS.CROSS 112/MA/L/TO/G001</t>
  </si>
  <si>
    <t>03.003.0028</t>
  </si>
  <si>
    <t>03.003.0029</t>
  </si>
  <si>
    <t>CAS.CROSS 819-2/MA/L/NE/G2</t>
  </si>
  <si>
    <t>03.003.0032</t>
  </si>
  <si>
    <t>CAS.CROSS 819-2/BR/M/RO/G2</t>
  </si>
  <si>
    <t>03.003.0033</t>
  </si>
  <si>
    <t>CAS.CROSS 819-2/BR/L/RO/G2</t>
  </si>
  <si>
    <t>03.003.0034</t>
  </si>
  <si>
    <t>CAS.CROSS 819-2/BR/M/AZ/G2</t>
  </si>
  <si>
    <t>03.003.0035</t>
  </si>
  <si>
    <t>CAS.CROSS 819-2/BR/L/AZ/G2</t>
  </si>
  <si>
    <t>03.003.0036</t>
  </si>
  <si>
    <t>CAS.CROSS 819-2/BR/L/VE/G2</t>
  </si>
  <si>
    <t>03.003.0037</t>
  </si>
  <si>
    <t>CAS.CROSS 819-2/BR/M/VE/G2</t>
  </si>
  <si>
    <t>03.003.0038</t>
  </si>
  <si>
    <t>03.003.0039</t>
  </si>
  <si>
    <t>CAS.CROSS 128/BR/M/VE/G2</t>
  </si>
  <si>
    <t>03.003.0040</t>
  </si>
  <si>
    <t>CAS.CROSS 128/BR/L/VE/G2</t>
  </si>
  <si>
    <t>03.003.0041</t>
  </si>
  <si>
    <t>CAS.CROSS 128/BR/M/AM/G2</t>
  </si>
  <si>
    <t>03.003.0042</t>
  </si>
  <si>
    <t>CAS.CROSS 128/BR/L/AM/G2</t>
  </si>
  <si>
    <t>03.003.0043</t>
  </si>
  <si>
    <t>CAS.CROSS 128/BR/M/RO/G2</t>
  </si>
  <si>
    <t>03.003.0044</t>
  </si>
  <si>
    <t>CAS.CROSS 128/BR/L/RO/G2</t>
  </si>
  <si>
    <t>03.003.0045</t>
  </si>
  <si>
    <t>CAS.CROSS 128/BR/M/AZ/G2</t>
  </si>
  <si>
    <t>03.003.0046</t>
  </si>
  <si>
    <t>CAS.CROSS 128/MA/M/NE/G2</t>
  </si>
  <si>
    <t>03.003.0047</t>
  </si>
  <si>
    <t>CAS.CROSS 128/MA/L/NE/G2</t>
  </si>
  <si>
    <t>03.003.0049</t>
  </si>
  <si>
    <t>CAS.CROSS 819-2/BR/M/NE/G2</t>
  </si>
  <si>
    <t>03.003.0050</t>
  </si>
  <si>
    <t>CAS.CROSS 819-2/BR/L/NE/G2</t>
  </si>
  <si>
    <t>03.004.0001</t>
  </si>
  <si>
    <t>CAS.CROSS NIÑO B12/BR/S/AZ/SO</t>
  </si>
  <si>
    <t>03.004.0002</t>
  </si>
  <si>
    <t>CAS.CROSS NIÑO B12/BR/XS/AZ/SO</t>
  </si>
  <si>
    <t>03.004.0003</t>
  </si>
  <si>
    <t>CAS.CROSS NIÑO B12/BR/M/AZ/SO</t>
  </si>
  <si>
    <t>03.004.0004</t>
  </si>
  <si>
    <t>CAS.CROSS NIÑO B12/BR/M/NE/168</t>
  </si>
  <si>
    <t>03.004.0005</t>
  </si>
  <si>
    <t>CAS.CROSS NIÑO B12/BR/S/NE/168</t>
  </si>
  <si>
    <t>03.004.0006</t>
  </si>
  <si>
    <t>CAS.CROSS NIÑO B12/BR/XS/NE168</t>
  </si>
  <si>
    <t>03.004.0007</t>
  </si>
  <si>
    <t>CAS.CROSS NIÑOB12/BR/XXS/NE168</t>
  </si>
  <si>
    <t>03.004.0008</t>
  </si>
  <si>
    <t>CAS.CROSS NIÑO B12/BR/M/NE/150</t>
  </si>
  <si>
    <t>03.004.0009</t>
  </si>
  <si>
    <t>CAS.CROSS NIÑO B12/BR/S/NE/150</t>
  </si>
  <si>
    <t>03.004.0010</t>
  </si>
  <si>
    <t>CAS.CROSS NIÑOB12/BR/XS/NE/150</t>
  </si>
  <si>
    <t>03.004.0011</t>
  </si>
  <si>
    <t>CAS.CROSS NIÑOB12/BR/XXS/NE150</t>
  </si>
  <si>
    <t>03.004.0012</t>
  </si>
  <si>
    <t>CAS.CROSS NIÑO B12/BR/S/RO/150</t>
  </si>
  <si>
    <t>03.004.0013</t>
  </si>
  <si>
    <t>CAS.CROSS NIÑO B12/BR/XS/RO150</t>
  </si>
  <si>
    <t>03.004.0014</t>
  </si>
  <si>
    <t>CAS.CROSS NIÑO B12/BR/M/RO/150</t>
  </si>
  <si>
    <t>03.004.0015</t>
  </si>
  <si>
    <t>CAS.CROSS NIÑO B12/BR/XS/NE170</t>
  </si>
  <si>
    <t>03.004.0016</t>
  </si>
  <si>
    <t>CAS.CROSS NIÑO B12/BR/S/NE/170</t>
  </si>
  <si>
    <t>03.004.0017</t>
  </si>
  <si>
    <t>CAS.CROSS NIÑO B12/BR/M/NE/170</t>
  </si>
  <si>
    <t>CASCO/CR1-17/TIPO 04/M</t>
  </si>
  <si>
    <t>03.005.0003</t>
  </si>
  <si>
    <t>CASCO/CR1-17/TIPO 01/M</t>
  </si>
  <si>
    <t>03.005.0005</t>
  </si>
  <si>
    <t>CASCO/CR1-17/TIPO 02/M/12UND</t>
  </si>
  <si>
    <t>03.005.0007</t>
  </si>
  <si>
    <t>CASCO/CR1-17/TIPO 03/M</t>
  </si>
  <si>
    <t>03.005.0011</t>
  </si>
  <si>
    <t>CASCO/CR1-17/TIPO 01/XL/12UND</t>
  </si>
  <si>
    <t>03.005.0014</t>
  </si>
  <si>
    <t>CASCO/CR1-17/TIPO 13/L/12U</t>
  </si>
  <si>
    <t>03.005.0015</t>
  </si>
  <si>
    <t>CASCO/CR1-17/TIPO 14/XL/12U</t>
  </si>
  <si>
    <t>03.005.0016</t>
  </si>
  <si>
    <t>CASCO/CR1-17/TIPO 15/XL/12UND</t>
  </si>
  <si>
    <t>03.005.0017</t>
  </si>
  <si>
    <t>CASCO/CR1-17/TIPO 01/M/12UND</t>
  </si>
  <si>
    <t>03.005.0018</t>
  </si>
  <si>
    <t>03.005.0019</t>
  </si>
  <si>
    <t>03.005.0020</t>
  </si>
  <si>
    <t>CASCO/CR1-17/TIPO 04/M/12UND</t>
  </si>
  <si>
    <t>03.005.0021</t>
  </si>
  <si>
    <t>CASCO/CR1-17/TIPO 05/M/12UND</t>
  </si>
  <si>
    <t>03.005.0022</t>
  </si>
  <si>
    <t>CASCO/CR1-17/TIPO 06/XL/12UND</t>
  </si>
  <si>
    <t>03.005.0023</t>
  </si>
  <si>
    <t>CASCO/CR1-17/TIPO 07/M/12UND</t>
  </si>
  <si>
    <t>03.005.0024</t>
  </si>
  <si>
    <t>CASCO/CR1-17/TIPO 05/L/12UND</t>
  </si>
  <si>
    <t>03.005.0025</t>
  </si>
  <si>
    <t>CASCO/CR1-17/TIPO 07/L/12UND</t>
  </si>
  <si>
    <t>03.005.0026</t>
  </si>
  <si>
    <t>CASCO/CR1-17/TIPO 06/L/12UND</t>
  </si>
  <si>
    <t>03.005.0027</t>
  </si>
  <si>
    <t>CASCO/CR117/TIPO 08/L-XL/12UND</t>
  </si>
  <si>
    <t>03.005.0028</t>
  </si>
  <si>
    <t>CASCO/CR1-17/TIPO 08/M/12UND</t>
  </si>
  <si>
    <t>03.005.0029</t>
  </si>
  <si>
    <t>CASCO/CR1-17/TIPO 08/XL/12U</t>
  </si>
  <si>
    <t>03.005.0030</t>
  </si>
  <si>
    <t>CASCO/CR1-17/TIPO 09/L/12UND</t>
  </si>
  <si>
    <t>03.005.0031</t>
  </si>
  <si>
    <t>CASCO/CR1-17/TIPO 09/M/12UND</t>
  </si>
  <si>
    <t>03.005.0032</t>
  </si>
  <si>
    <t>CASCO/CR1-17/TIPO09/XL-M/12UND</t>
  </si>
  <si>
    <t>03.005.0033</t>
  </si>
  <si>
    <t>CASCO/CR1-17/TIPO 20/L/12UND</t>
  </si>
  <si>
    <t>03.005.0034</t>
  </si>
  <si>
    <t>CASCO/CR1-17/TIPO 19/L/12U</t>
  </si>
  <si>
    <t>03.005.0035</t>
  </si>
  <si>
    <t>CASCO/CR1-17/TIPO10/XL-L/12UND</t>
  </si>
  <si>
    <t>03.005.0036</t>
  </si>
  <si>
    <t>CASCO/CR1-17/TIPO 16/XL-L12UND</t>
  </si>
  <si>
    <t>03.005.0037</t>
  </si>
  <si>
    <t>CASCO/CR1-17/TIPO 17/L/12UND</t>
  </si>
  <si>
    <t>03.005.0038</t>
  </si>
  <si>
    <t>CASCO/CR1-17/TIPO 18/XL12UND</t>
  </si>
  <si>
    <t>03.005.0039</t>
  </si>
  <si>
    <t>CASCO/CR1-17/TIPO 05/XL/12UND</t>
  </si>
  <si>
    <t>03.005.0040</t>
  </si>
  <si>
    <t>03.008.0001</t>
  </si>
  <si>
    <t>3100DV50%P BR M CG G.AZ</t>
  </si>
  <si>
    <t>03.008.0002</t>
  </si>
  <si>
    <t>3100DV50%P BR L CG G.AZ</t>
  </si>
  <si>
    <t>03.008.0003</t>
  </si>
  <si>
    <t>3100DV50%P BR M CG G.RO</t>
  </si>
  <si>
    <t>03.008.0004</t>
  </si>
  <si>
    <t>3100DV50%P BR L CG G.RO</t>
  </si>
  <si>
    <t>03.008.0005</t>
  </si>
  <si>
    <t>3100DV50%P BR M CG G.VN</t>
  </si>
  <si>
    <t>03.008.0006</t>
  </si>
  <si>
    <t>3100DV50%P BR L CG G.VN</t>
  </si>
  <si>
    <t>03.008.0007</t>
  </si>
  <si>
    <t>3100DV50%P BR M CG G.G</t>
  </si>
  <si>
    <t>03.008.0008</t>
  </si>
  <si>
    <t>3100DV50%P BR L CG G.G</t>
  </si>
  <si>
    <t>03.008.0009</t>
  </si>
  <si>
    <t>3100DV50%P BR M ZU N.GR</t>
  </si>
  <si>
    <t>03.008.0010</t>
  </si>
  <si>
    <t>3100DV50%P BR L ZU N.GR</t>
  </si>
  <si>
    <t>03.008.0011</t>
  </si>
  <si>
    <t>3100DV50%P BR M ZU BL.RO</t>
  </si>
  <si>
    <t>03.008.0012</t>
  </si>
  <si>
    <t>3100DV50%P BR L ZU BL.RO</t>
  </si>
  <si>
    <t>03.008.0013</t>
  </si>
  <si>
    <t>3100DV50%P BR M ZU BL.VE</t>
  </si>
  <si>
    <t>03.008.0014</t>
  </si>
  <si>
    <t>3100DV50%P BR L ZU BL.VE</t>
  </si>
  <si>
    <t>03.008.0015</t>
  </si>
  <si>
    <t>3100DV50%P BR M RU NE.RO</t>
  </si>
  <si>
    <t>03.008.0016</t>
  </si>
  <si>
    <t>3100DV50%P BR L RU NE.RO</t>
  </si>
  <si>
    <t>03.008.0017</t>
  </si>
  <si>
    <t>3100DV50%P BR M RU NE.MO</t>
  </si>
  <si>
    <t>03.008.0018</t>
  </si>
  <si>
    <t>3100DV50%P BR L RU NE.MO</t>
  </si>
  <si>
    <t>03.008.0019</t>
  </si>
  <si>
    <t>03.008.0020</t>
  </si>
  <si>
    <t>03.008.0021</t>
  </si>
  <si>
    <t>3100DV50%P BR M RU BL.RO</t>
  </si>
  <si>
    <t>03.008.0022</t>
  </si>
  <si>
    <t>3100DV50%P BR L RU BL.RO</t>
  </si>
  <si>
    <t>03.008.0023</t>
  </si>
  <si>
    <t>3100DV50%P BR M RU BL.MO</t>
  </si>
  <si>
    <t>03.008.0024</t>
  </si>
  <si>
    <t>3100DV50%P BR L RU BL.MO</t>
  </si>
  <si>
    <t>03.008.0025</t>
  </si>
  <si>
    <t>3100DV50%P BR M FC A.NEO</t>
  </si>
  <si>
    <t>03.008.0026</t>
  </si>
  <si>
    <t>3100DV50%P BR L FC A.NEON</t>
  </si>
  <si>
    <t>03.008.0027</t>
  </si>
  <si>
    <t>3100DV50%P BR XL FC A.NEO</t>
  </si>
  <si>
    <t>03.008.0028</t>
  </si>
  <si>
    <t>3100DV50%P BR M FC V.NEO</t>
  </si>
  <si>
    <t>03.008.0029</t>
  </si>
  <si>
    <t>3100DV50%P BR L FC V.NEON</t>
  </si>
  <si>
    <t>03.008.0030</t>
  </si>
  <si>
    <t>3100DV50%P BR XL FC V.NEO</t>
  </si>
  <si>
    <t>03.008.0031</t>
  </si>
  <si>
    <t>3100DV50%P BR M FC T.NEO</t>
  </si>
  <si>
    <t>03.008.0032</t>
  </si>
  <si>
    <t>3100DV50%P BR L FC T.NEON</t>
  </si>
  <si>
    <t>03.008.0033</t>
  </si>
  <si>
    <t>3100DV50%P BR XL FC T.NEO</t>
  </si>
  <si>
    <t>03.008.0034</t>
  </si>
  <si>
    <t>3100DV50%P BR M NE SOL</t>
  </si>
  <si>
    <t>03.008.0035</t>
  </si>
  <si>
    <t>3100DV50%P BR L NE SOL</t>
  </si>
  <si>
    <t>03.008.0036</t>
  </si>
  <si>
    <t>3100DV50%P BR XL NE SOL</t>
  </si>
  <si>
    <t>03.008.0037</t>
  </si>
  <si>
    <t>3100DV50%P BR M BL SOL</t>
  </si>
  <si>
    <t>03.008.0038</t>
  </si>
  <si>
    <t>3100DV50%P BR L BL SOL</t>
  </si>
  <si>
    <t>03.008.0039</t>
  </si>
  <si>
    <t>3100DV50%P BR XL BL SOL</t>
  </si>
  <si>
    <t>03.008.0040</t>
  </si>
  <si>
    <t>3100DV50%P BR M RO SOL</t>
  </si>
  <si>
    <t>03.008.0041</t>
  </si>
  <si>
    <t>3100DV50%P BR L RO SOL</t>
  </si>
  <si>
    <t>03.008.0042</t>
  </si>
  <si>
    <t>3100DV50%P BR XL RO SOL</t>
  </si>
  <si>
    <t>03.008.0043</t>
  </si>
  <si>
    <t>3100DV50%P BR M AZ SOL</t>
  </si>
  <si>
    <t>03.008.0044</t>
  </si>
  <si>
    <t>3100DV50%P BR L AZ SOL</t>
  </si>
  <si>
    <t>03.008.0045</t>
  </si>
  <si>
    <t>3100DV50%P BR XL AZ SOL3100DV5</t>
  </si>
  <si>
    <t>03.009.0008</t>
  </si>
  <si>
    <t>VISOR CASCO INT. C17 POL 50%</t>
  </si>
  <si>
    <t>03.009.0009</t>
  </si>
  <si>
    <t>VISOR CROSS TRANSPARENTE  ---</t>
  </si>
  <si>
    <t>03.009.0010</t>
  </si>
  <si>
    <t>VISOR  CROSS POLARI 50%   ---</t>
  </si>
  <si>
    <t>03.010.0001</t>
  </si>
  <si>
    <t>03.010.0002</t>
  </si>
  <si>
    <t>03.010.0003</t>
  </si>
  <si>
    <t>03.010.0004</t>
  </si>
  <si>
    <t>03.010.0005</t>
  </si>
  <si>
    <t>03.010.0006</t>
  </si>
  <si>
    <t>CASCO INTEGRAL 616</t>
  </si>
  <si>
    <t>03.010.0007</t>
  </si>
  <si>
    <t>CAS. ABIERTO 228</t>
  </si>
  <si>
    <t>03.010.0008</t>
  </si>
  <si>
    <t>CAS. ABIERTO 226</t>
  </si>
  <si>
    <t>03.010.0009</t>
  </si>
  <si>
    <t>CAS.INTEGRAL 825</t>
  </si>
  <si>
    <t>03.010.0011</t>
  </si>
  <si>
    <t>CAS.INTEGRAL 868</t>
  </si>
  <si>
    <t>03.010.0012</t>
  </si>
  <si>
    <t>CAS.INTEGRAL C666/L/AZUL</t>
  </si>
  <si>
    <t>03.010.0013</t>
  </si>
  <si>
    <t>03.011.0025</t>
  </si>
  <si>
    <t>03.011.0026</t>
  </si>
  <si>
    <t>03.011.0027</t>
  </si>
  <si>
    <t>03.011.0028</t>
  </si>
  <si>
    <t>03.011.0029</t>
  </si>
  <si>
    <t>03.011.0030</t>
  </si>
  <si>
    <t>03.011.0031</t>
  </si>
  <si>
    <t>03.011.0032</t>
  </si>
  <si>
    <t>03.011.0033</t>
  </si>
  <si>
    <t>03.011.0034</t>
  </si>
  <si>
    <t>03.011.0035</t>
  </si>
  <si>
    <t>03.013.0015</t>
  </si>
  <si>
    <t>CAS. K12 DESIGN/BR/L/VE</t>
  </si>
  <si>
    <t>03.013.0022</t>
  </si>
  <si>
    <t>CAS.CROSS/MXL12/TCH/BR/XL/ROJ</t>
  </si>
  <si>
    <t>03.013.0031</t>
  </si>
  <si>
    <t>CC MXL12 TRIBAL BR L VE</t>
  </si>
  <si>
    <t>03.013.0032</t>
  </si>
  <si>
    <t>CC MXL12 TRIBAL BR XL VE</t>
  </si>
  <si>
    <t>03.013.0033</t>
  </si>
  <si>
    <t>CC MXL12 F12 BR L AZ</t>
  </si>
  <si>
    <t>03.013.0034</t>
  </si>
  <si>
    <t>CC MXL12 F12 BR XL AZ</t>
  </si>
  <si>
    <t>03.013.0035</t>
  </si>
  <si>
    <t>CC MXL12 F12 BR L GR</t>
  </si>
  <si>
    <t>03.013.0036</t>
  </si>
  <si>
    <t>CC MXL12 F12 BR XL GR</t>
  </si>
  <si>
    <t>03.013.0037</t>
  </si>
  <si>
    <t>CC MXL12 F12 BR L RO</t>
  </si>
  <si>
    <t>03.013.0038</t>
  </si>
  <si>
    <t>CC MXL12 F12 BR XL RO</t>
  </si>
  <si>
    <t>03.013.0039</t>
  </si>
  <si>
    <t>CC MXL12 F12 BR L VE</t>
  </si>
  <si>
    <t>03.013.0040</t>
  </si>
  <si>
    <t>CC MXL12 F12 BR XL VE</t>
  </si>
  <si>
    <t>03.013.0041</t>
  </si>
  <si>
    <t>CC MXL12 F12 BR L BL</t>
  </si>
  <si>
    <t>03.013.0042</t>
  </si>
  <si>
    <t>CC MXL12 F12 BR XL BL</t>
  </si>
  <si>
    <t>03.014.0004</t>
  </si>
  <si>
    <t>CAS C13 CR13 MIX01 BR L</t>
  </si>
  <si>
    <t>03.014.0009</t>
  </si>
  <si>
    <t>CAS.CROSS C13 CR13/MIX02/BR/L</t>
  </si>
  <si>
    <t>03.014.0010</t>
  </si>
  <si>
    <t>CAS.CROSS/DESIGN/MIX10/BRIL/XL</t>
  </si>
  <si>
    <t>03.014.0011</t>
  </si>
  <si>
    <t>CAS C13 DESE MIX01 BR XL</t>
  </si>
  <si>
    <t>03.014.0012</t>
  </si>
  <si>
    <t>CAS.CROSS/C13/CR13/MIX02 BR/XL</t>
  </si>
  <si>
    <t>03.014.0013</t>
  </si>
  <si>
    <t>CAS.C13 DESE MIX04 BR XL</t>
  </si>
  <si>
    <t>03.014.0015</t>
  </si>
  <si>
    <t>CAS C13 CR14 MIX01 BR L</t>
  </si>
  <si>
    <t>03.014.0016</t>
  </si>
  <si>
    <t>CAS C13 CR14 MIX01 BR X</t>
  </si>
  <si>
    <t>03.014.0017</t>
  </si>
  <si>
    <t>CAS.C13/CR14/MIX02/BR/L</t>
  </si>
  <si>
    <t>03.014.0018</t>
  </si>
  <si>
    <t>CAS.C13 CR14/MIX02/BR/XL</t>
  </si>
  <si>
    <t>03.016.0003</t>
  </si>
  <si>
    <t>K13 CR CYBL BR L AM NEON</t>
  </si>
  <si>
    <t>03.016.0004</t>
  </si>
  <si>
    <t>K13 CR CYBL BR XL AM NEON</t>
  </si>
  <si>
    <t>03.016.0005</t>
  </si>
  <si>
    <t>K13 CR CYBL BR L TO NEON</t>
  </si>
  <si>
    <t>03.016.0006</t>
  </si>
  <si>
    <t>K13 CR CYBL BR XL TO NEON</t>
  </si>
  <si>
    <t>03.016.0007</t>
  </si>
  <si>
    <t>K13 CR CYBL BR L RO</t>
  </si>
  <si>
    <t>03.016.0008</t>
  </si>
  <si>
    <t>K13 CR CYBL BR XL RO</t>
  </si>
  <si>
    <t>03.016.0009</t>
  </si>
  <si>
    <t>K13 CR CYBL BR L AZ</t>
  </si>
  <si>
    <t>03.016.0010</t>
  </si>
  <si>
    <t>K13 CR CYBL BR XL AZ</t>
  </si>
  <si>
    <t>03.016.0011</t>
  </si>
  <si>
    <t>K13 CR CYBL BR L VE NEON</t>
  </si>
  <si>
    <t>03.016.0012</t>
  </si>
  <si>
    <t>K13 CR CYBL BR XL VE NEON</t>
  </si>
  <si>
    <t>03.020.0001</t>
  </si>
  <si>
    <t>K11 CROS FENIX/MIX3/BR/L</t>
  </si>
  <si>
    <t>03.020.0002</t>
  </si>
  <si>
    <t>K11 CROS FENIX/MIX3/BR/XL</t>
  </si>
  <si>
    <t>03.021.0001</t>
  </si>
  <si>
    <t>990DV50%P BR M NINJ A.NEON</t>
  </si>
  <si>
    <t>03.021.0002</t>
  </si>
  <si>
    <t>990DV50%P BR L NINJ A.NEON</t>
  </si>
  <si>
    <t>03.021.0003</t>
  </si>
  <si>
    <t>990DV50%P BR XL NINJ A.NEON</t>
  </si>
  <si>
    <t>GDB</t>
  </si>
  <si>
    <t>Cam</t>
  </si>
  <si>
    <t>Comportamiento</t>
  </si>
  <si>
    <t>Consumo1</t>
  </si>
  <si>
    <t>Buff Calc</t>
  </si>
  <si>
    <t>Cobertura Buffer</t>
  </si>
  <si>
    <t>Cobertura Inv Proy</t>
  </si>
  <si>
    <t>Cobertura Ped Min</t>
  </si>
  <si>
    <t>Días Desabastecimiento</t>
  </si>
  <si>
    <t>Buff Min</t>
  </si>
  <si>
    <t>Buff Max</t>
  </si>
  <si>
    <t>Impacto Faltante</t>
  </si>
  <si>
    <t>Zona Amar</t>
  </si>
  <si>
    <t>Zona Roja</t>
  </si>
  <si>
    <t>Color1</t>
  </si>
  <si>
    <t>Ult Buffer</t>
  </si>
  <si>
    <t>Buff Ant Estacion</t>
  </si>
  <si>
    <t>Buff Estacional</t>
  </si>
  <si>
    <t>Estado Buffer Proy</t>
  </si>
  <si>
    <t>Calendario Estacional</t>
  </si>
  <si>
    <t>Acción Estacional</t>
  </si>
  <si>
    <t>Etapa Estacional</t>
  </si>
  <si>
    <t>Rentabilidad Proy</t>
  </si>
  <si>
    <t>Inicio Per</t>
  </si>
  <si>
    <t>Fin Per</t>
  </si>
  <si>
    <t>Var</t>
  </si>
  <si>
    <t>Rojo Acum</t>
  </si>
  <si>
    <t>Negro</t>
  </si>
  <si>
    <t>Rojo</t>
  </si>
  <si>
    <t>Amarillo</t>
  </si>
  <si>
    <t>Verde</t>
  </si>
  <si>
    <t>Lila</t>
  </si>
  <si>
    <t>Ingresos</t>
  </si>
  <si>
    <t>Egresos</t>
  </si>
  <si>
    <t>Posponer BUF</t>
  </si>
  <si>
    <t>Posponer RED</t>
  </si>
  <si>
    <t>Posponer GDB</t>
  </si>
  <si>
    <t>Estatus</t>
  </si>
  <si>
    <t>Ult Transfer Inicial</t>
  </si>
  <si>
    <t>Ult Transfer Final</t>
  </si>
  <si>
    <t>0</t>
  </si>
  <si>
    <t>EMPRESA</t>
  </si>
  <si>
    <t>BODEGA</t>
  </si>
  <si>
    <t>PROVEEDOR</t>
  </si>
  <si>
    <t>CODIGO_GENERICO</t>
  </si>
  <si>
    <t>CODIGO_VINCULADO</t>
  </si>
  <si>
    <t>ESTADO_BUFFER</t>
  </si>
  <si>
    <t>PEDIDO_CALCULADO</t>
  </si>
  <si>
    <t>CANTIDAD_SUGERIDA</t>
  </si>
  <si>
    <t>INVENTARIO_PROVEEDOR</t>
  </si>
  <si>
    <t>ach_nombre</t>
  </si>
  <si>
    <t>buh_estatus</t>
  </si>
  <si>
    <t>buh_clasificacion</t>
  </si>
  <si>
    <t>buh_responsable</t>
  </si>
  <si>
    <t>pro_grupo</t>
  </si>
  <si>
    <t>pro_linea</t>
  </si>
  <si>
    <t>pro_sublinea</t>
  </si>
  <si>
    <t>pro_modelo</t>
  </si>
  <si>
    <t>pro_familia</t>
  </si>
  <si>
    <t>pro_subfamilia</t>
  </si>
  <si>
    <t>pro_categoria</t>
  </si>
  <si>
    <t>pro_tipo</t>
  </si>
  <si>
    <t>pro_marca</t>
  </si>
  <si>
    <t>pre_nombre</t>
  </si>
  <si>
    <t>buh_color_inventario_fisico</t>
  </si>
  <si>
    <t>buh_calendario_estacional</t>
  </si>
  <si>
    <t>Bodega ECU</t>
  </si>
  <si>
    <t>HOSPICARE</t>
  </si>
  <si>
    <t>HOSPICARE.xlsm</t>
  </si>
  <si>
    <t>A</t>
  </si>
  <si>
    <t>MEDITOP</t>
  </si>
  <si>
    <t>HALYARD</t>
  </si>
  <si>
    <t>92355</t>
  </si>
  <si>
    <t>MEDITOP.xlsm</t>
  </si>
  <si>
    <t>95111</t>
  </si>
  <si>
    <t>R</t>
  </si>
  <si>
    <t>50601</t>
  </si>
  <si>
    <t>GUANTES PARA QUIMIOTERAPIA</t>
  </si>
  <si>
    <t>HALYARD AEREO</t>
  </si>
  <si>
    <t>V</t>
  </si>
  <si>
    <t>50602</t>
  </si>
  <si>
    <t>50603</t>
  </si>
  <si>
    <t>77903</t>
  </si>
  <si>
    <t>UNIVERSAL</t>
  </si>
  <si>
    <t>N</t>
  </si>
  <si>
    <t>88411</t>
  </si>
  <si>
    <t>ORTOPEDIA</t>
  </si>
  <si>
    <t>89070</t>
  </si>
  <si>
    <t>89265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</si>
</sst>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16">
    <xf numFmtId="0" fontId="0" fillId="0" borderId="0" xfId="0"/>
    <xf numFmtId="9" fontId="0" fillId="0" borderId="0" xfId="0" applyNumberForma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NumberFormat="1"/>
    <xf numFmtId="0" fontId="0" fillId="4" borderId="0" xfId="0" applyNumberFormat="1" applyFill="1"/>
    <xf numFmtId="0" fontId="0" fillId="3" borderId="0" xfId="0" applyNumberFormat="1" applyFill="1"/>
    <xf numFmtId="0" fontId="0" fillId="2" borderId="0" xfId="0" applyNumberFormat="1" applyFill="1"/>
    <xf numFmtId="14" fontId="0" fillId="0" borderId="0" xfId="0" applyNumberFormat="1"/>
    <xf numFmtId="0" fontId="0" fillId="0" borderId="0" xfId="0" applyBorder="1"/>
    <xf numFmtId="0" fontId="0" fillId="0" borderId="0" xfId="0" applyNumberFormat="1" applyBorder="1"/>
    <xf numFmtId="0" fontId="1" fillId="5" borderId="0" xfId="0" applyFont="1" applyFill="1" applyAlignment="1">
      <alignment horizontal="center"/>
    </xf>
    <xf numFmtId="0" fontId="0" fillId="0" borderId="2" xfId="0" applyBorder="1"/>
  </cellXfs>
  <cellStyles count="1">
    <cellStyle name="Normal" xfId="0" builtinId="0"/>
  </cellStyles>
  <dxfs count="59"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13" formatCode="0%"/>
    </dxf>
    <dxf>
      <numFmt numFmtId="0" formatCode="General"/>
    </dxf>
    <dxf>
      <numFmt numFmtId="13" formatCode="0%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LECCION"/>
      <sheetName val="Aux"/>
      <sheetName val="Combos"/>
      <sheetName val="SELECCION1"/>
      <sheetName val="TESPECIAL"/>
      <sheetName val="CONSOLIDADO"/>
      <sheetName val="DECISION_COMPRA"/>
      <sheetName val="TIPOCOMPRA"/>
      <sheetName val="RELACION_BUFFERS"/>
      <sheetName val="BUFFER_POR_COLOR"/>
      <sheetName val="PROVEEDORES"/>
      <sheetName val="EMPRESAS"/>
    </sheetNames>
    <sheetDataSet>
      <sheetData sheetId="0"/>
      <sheetData sheetId="1"/>
      <sheetData sheetId="2"/>
      <sheetData sheetId="3">
        <row r="5">
          <cell r="C5" t="str">
            <v>AGROINSUMOSLAFINCA</v>
          </cell>
        </row>
        <row r="10">
          <cell r="C10" t="str">
            <v>(Todas)</v>
          </cell>
        </row>
      </sheetData>
      <sheetData sheetId="4"/>
      <sheetData sheetId="5">
        <row r="1">
          <cell r="A1" t="str">
            <v>Empresa</v>
          </cell>
          <cell r="B1" t="str">
            <v>Archivo</v>
          </cell>
          <cell r="C1" t="str">
            <v>Bodega</v>
          </cell>
          <cell r="D1" t="str">
            <v>Proveedor</v>
          </cell>
          <cell r="E1" t="str">
            <v>Perfil</v>
          </cell>
          <cell r="F1" t="str">
            <v>Codigo</v>
          </cell>
          <cell r="G1" t="str">
            <v>CODIGO GENERICO</v>
          </cell>
          <cell r="H1" t="str">
            <v>CODIGO VINCULADO</v>
          </cell>
          <cell r="I1" t="str">
            <v>GDB</v>
          </cell>
          <cell r="J1" t="str">
            <v>Cam</v>
          </cell>
          <cell r="K1" t="str">
            <v>Comportamiento</v>
          </cell>
          <cell r="L1" t="str">
            <v>Consumo1</v>
          </cell>
          <cell r="M1" t="str">
            <v>Buff Calc</v>
          </cell>
          <cell r="N1" t="str">
            <v>Cobertura Buffer</v>
          </cell>
          <cell r="O1" t="str">
            <v>Cobertura Inv Proy</v>
          </cell>
          <cell r="P1" t="str">
            <v>Cobertura Ped Min</v>
          </cell>
          <cell r="Q1" t="str">
            <v>Días Desabastecimiento</v>
          </cell>
          <cell r="R1" t="str">
            <v>Buff Min</v>
          </cell>
          <cell r="S1" t="str">
            <v>Buff Max</v>
          </cell>
          <cell r="T1" t="str">
            <v>Impacto Faltante</v>
          </cell>
          <cell r="U1" t="str">
            <v>Zona Amar</v>
          </cell>
          <cell r="V1" t="str">
            <v>Zona Roja</v>
          </cell>
          <cell r="W1" t="str">
            <v>Color1</v>
          </cell>
          <cell r="X1" t="str">
            <v>Ult Buffer</v>
          </cell>
          <cell r="Y1" t="str">
            <v>Buff Ant Estacion</v>
          </cell>
          <cell r="Z1" t="str">
            <v>Buff Estacional</v>
          </cell>
          <cell r="AA1" t="str">
            <v>Estado Buffer Proy</v>
          </cell>
          <cell r="AB1" t="str">
            <v>Calendario Estacional</v>
          </cell>
          <cell r="AC1" t="str">
            <v>Acción Estacional</v>
          </cell>
          <cell r="AD1" t="str">
            <v>Etapa Estacional</v>
          </cell>
          <cell r="AE1" t="str">
            <v>Rentabilidad Proy</v>
          </cell>
          <cell r="AF1" t="str">
            <v>Inicio Per</v>
          </cell>
          <cell r="AG1" t="str">
            <v>Fin Per</v>
          </cell>
          <cell r="AH1" t="str">
            <v>Var</v>
          </cell>
          <cell r="AI1" t="str">
            <v>Rojo Acum</v>
          </cell>
          <cell r="AJ1" t="str">
            <v>Negro</v>
          </cell>
          <cell r="AK1" t="str">
            <v>Rojo</v>
          </cell>
          <cell r="AL1" t="str">
            <v>Amarillo</v>
          </cell>
          <cell r="AM1" t="str">
            <v>Verde</v>
          </cell>
          <cell r="AN1" t="str">
            <v>Lila</v>
          </cell>
          <cell r="AO1" t="str">
            <v>Ingresos</v>
          </cell>
          <cell r="AP1" t="str">
            <v>Egresos</v>
          </cell>
          <cell r="AQ1" t="str">
            <v>Posponer BUF</v>
          </cell>
          <cell r="AR1" t="str">
            <v>Posponer RED</v>
          </cell>
          <cell r="AS1" t="str">
            <v>Posponer GDB</v>
          </cell>
          <cell r="AT1" t="str">
            <v>Estatus</v>
          </cell>
          <cell r="AU1" t="str">
            <v>Ult Transfer Inicial</v>
          </cell>
          <cell r="AV1" t="str">
            <v>Ult Transfer Final</v>
          </cell>
          <cell r="AW1" t="str">
            <v>Nuevo Buff Sug</v>
          </cell>
          <cell r="AX1" t="str">
            <v>Nuevo Buff Real</v>
          </cell>
          <cell r="AY1" t="str">
            <v>Observaciones</v>
          </cell>
          <cell r="AZ1" t="str">
            <v>Tipo</v>
          </cell>
          <cell r="BA1" t="str">
            <v>CTV</v>
          </cell>
          <cell r="BB1" t="str">
            <v>PV</v>
          </cell>
          <cell r="BC1" t="str">
            <v>PEDID Min</v>
          </cell>
          <cell r="BD1" t="str">
            <v>PEDID Min Grupo</v>
          </cell>
          <cell r="BE1" t="str">
            <v>Unidad Empaque</v>
          </cell>
          <cell r="BF1" t="str">
            <v>Porc Aten</v>
          </cell>
          <cell r="BG1" t="str">
            <v>Inv Proveed</v>
          </cell>
          <cell r="BH1" t="str">
            <v>Buff Act</v>
          </cell>
          <cell r="BI1" t="str">
            <v>Inv Fís Act</v>
          </cell>
          <cell r="BJ1" t="str">
            <v>Color</v>
          </cell>
          <cell r="BK1" t="str">
            <v>Estado Buffer</v>
          </cell>
          <cell r="BL1" t="str">
            <v>Tráns Act</v>
          </cell>
          <cell r="BM1" t="str">
            <v>Negociación</v>
          </cell>
          <cell r="BN1" t="str">
            <v>Producción</v>
          </cell>
          <cell r="BO1" t="str">
            <v>Embarcado</v>
          </cell>
          <cell r="BP1" t="str">
            <v>Comprom</v>
          </cell>
          <cell r="BQ1" t="str">
            <v>Backorders</v>
          </cell>
          <cell r="BR1" t="str">
            <v>Inv Proy Act</v>
          </cell>
          <cell r="BS1" t="str">
            <v>PEDIDCalc</v>
          </cell>
          <cell r="BT1" t="str">
            <v>PEDID Real</v>
          </cell>
          <cell r="BU1" t="str">
            <v>PEDID Prom</v>
          </cell>
          <cell r="BV1" t="str">
            <v>T$D</v>
          </cell>
          <cell r="BW1" t="str">
            <v>I$D</v>
          </cell>
          <cell r="BX1" t="str">
            <v>Rentabilid</v>
          </cell>
          <cell r="BY1" t="str">
            <v>Vel Efect</v>
          </cell>
          <cell r="BZ1" t="str">
            <v>Servicio</v>
          </cell>
          <cell r="CA1" t="str">
            <v>Ult Cambio</v>
          </cell>
          <cell r="CB1" t="str">
            <v>TipoCompra</v>
          </cell>
          <cell r="CC1" t="str">
            <v>Consumo</v>
          </cell>
          <cell r="CD1" t="str">
            <v>Ped Prom</v>
          </cell>
          <cell r="CE1" t="str">
            <v>FIN</v>
          </cell>
        </row>
      </sheetData>
      <sheetData sheetId="6">
        <row r="3">
          <cell r="B3" t="str">
            <v>AGROTACENTRAL</v>
          </cell>
        </row>
      </sheetData>
      <sheetData sheetId="7"/>
      <sheetData sheetId="8">
        <row r="3">
          <cell r="B3" t="str">
            <v>JAHERCENTRAL</v>
          </cell>
        </row>
      </sheetData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5" name="Calculo_General_Proveedor" displayName="Calculo_General_Proveedor" ref="A1:Z10" totalsRowShown="0" headerRowBorderDxfId="58" tableBorderDxfId="57">
  <autoFilter ref="A1:Z10">
    <filterColumn colId="1">
      <filters>
        <filter val="Bodega ECU"/>
      </filters>
    </filterColumn>
  </autoFilter>
  <tableColumns count="26">
    <tableColumn id="1" name="EMPRESA"/>
    <tableColumn id="4" name="BODEGA"/>
    <tableColumn id="2" name="PROVEEDOR"/>
    <tableColumn id="3" name="CODIGO"/>
    <tableColumn id="85" name="CODIGO_GENERICO"/>
    <tableColumn id="5" name="CODIGO_VINCULADO"/>
    <tableColumn id="6" name="ESTADO_BUFFER"/>
    <tableColumn id="7" name="PEDIDO_CALCULADO"/>
    <tableColumn id="8" name="CANTIDAD_SUGERIDA"/>
    <tableColumn id="9" name="INVENTARIO_PROVEEDOR"/>
    <tableColumn id="10" name="ach_nombre"/>
    <tableColumn id="11" name="buh_estatus"/>
    <tableColumn id="12" name="buh_clasificacion"/>
    <tableColumn id="13" name="buh_responsable"/>
    <tableColumn id="14" name="pro_grupo"/>
    <tableColumn id="15" name="pro_linea"/>
    <tableColumn id="16" name="pro_sublinea"/>
    <tableColumn id="17" name="pro_modelo"/>
    <tableColumn id="18" name="pro_familia"/>
    <tableColumn id="19" name="pro_subfamilia"/>
    <tableColumn id="20" name="pro_categoria"/>
    <tableColumn id="21" name="pro_tipo"/>
    <tableColumn id="22" name="pro_marca"/>
    <tableColumn id="23" name="pre_nombre"/>
    <tableColumn id="24" name="buh_color_inventario_fisico"/>
    <tableColumn id="25" name="buh_calendario_estacional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id="6" name="Filtrado_General_Bodega" displayName="Filtrado_General_Bodega" ref="A1:J10" totalsRowShown="0">
  <autoFilter ref="A1:J10"/>
  <tableColumns count="10">
    <tableColumn id="1" name="EMPRESA"/>
    <tableColumn id="2" name="BODEGA"/>
    <tableColumn id="3" name="PROVEEDOR"/>
    <tableColumn id="4" name="CODIGO"/>
    <tableColumn id="5" name="CODIGO_GENERICO"/>
    <tableColumn id="6" name="CODIGO_VINCULADO"/>
    <tableColumn id="7" name="ESTADO_BUFFER"/>
    <tableColumn id="8" name="PEDIDO_CALCULADO"/>
    <tableColumn id="9" name="CANTIDAD_SUGERIDA"/>
    <tableColumn id="10" name="INVENTARIO_PROVEEDOR"/>
  </tableColumns>
  <tableStyleInfo name="TableStyleDark11" showFirstColumn="0" showLastColumn="0" showRowStripes="1" showColumnStripes="0"/>
</table>
</file>

<file path=xl/tables/table3.xml><?xml version="1.0" encoding="utf-8"?>
<table xmlns="http://schemas.openxmlformats.org/spreadsheetml/2006/main" id="1" name="PROVEEDORFILTRADO" displayName="PROVEEDORFILTRADO" ref="A1:EA2" insertRow="1" totalsRowShown="0" headerRowBorderDxfId="56" tableBorderDxfId="55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67" name="Color"/>
    <tableColumn id="16" name="Estado Buffer" dataDxfId="54"/>
    <tableColumn id="17" name="Tráns Act"/>
    <tableColumn id="92" name="Negociación"/>
    <tableColumn id="93" name="Producción"/>
    <tableColumn id="94" name="Embarcado"/>
    <tableColumn id="18" name="Comprom"/>
    <tableColumn id="19" name="Backorders" dataDxfId="53"/>
    <tableColumn id="20" name="Inv Proy Act"/>
    <tableColumn id="21" name="PEDIDCalc"/>
    <tableColumn id="22" name="PEDID Real"/>
    <tableColumn id="76" name="PEDID Prom"/>
    <tableColumn id="77" name="T$D"/>
    <tableColumn id="78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52"/>
    <tableColumn id="26" name="Ped Prom"/>
    <tableColumn id="27" name="FIN" dataDxfId="51"/>
    <tableColumn id="69" name="Comprom Total" dataDxfId="50"/>
    <tableColumn id="71" name="Req Comp 1" dataDxfId="49"/>
    <tableColumn id="68" name="Req Comp 1 Total" dataDxfId="48"/>
    <tableColumn id="70" name="Req Comp 2" dataDxfId="47"/>
    <tableColumn id="72" name="Req Comp 2 Total" dataDxfId="46"/>
    <tableColumn id="73" name="R Complejo" dataDxfId="45"/>
    <tableColumn id="75" name="Requerimiento" dataDxfId="44"/>
    <tableColumn id="74" name="RequerimientoTotal" dataDxfId="43"/>
    <tableColumn id="28" name="ReqTotal" dataDxfId="42"/>
    <tableColumn id="29" name="%Cons Total" dataDxfId="41"/>
    <tableColumn id="30" name="%Consumo" dataDxfId="40"/>
    <tableColumn id="31" name="%Req" dataDxfId="39"/>
    <tableColumn id="32" name="Req a Buffer" dataDxfId="38"/>
    <tableColumn id="33" name="%Req a Buff Total" dataDxfId="37"/>
    <tableColumn id="34" name="%Req a Buff" dataDxfId="36"/>
    <tableColumn id="35" name="Prioridad Abs" dataDxfId="35"/>
    <tableColumn id="36" name="Priorid Abs Total" dataDxfId="34"/>
    <tableColumn id="37" name="Priorid Relat" dataDxfId="33"/>
    <tableColumn id="38" name="Asignado Base" dataDxfId="32"/>
    <tableColumn id="39" name="Asignado Base Total" dataDxfId="31"/>
    <tableColumn id="40" name="Asignado Menos" dataDxfId="30"/>
    <tableColumn id="41" name="Asignado Menos Total" dataDxfId="29"/>
    <tableColumn id="42" name="Req Aux 1" dataDxfId="28"/>
    <tableColumn id="43" name="Req Aux 1 Total" dataDxfId="27"/>
    <tableColumn id="44" name="Req Aux 2" dataDxfId="26"/>
    <tableColumn id="45" name="Req Aux 2 Total" dataDxfId="25"/>
    <tableColumn id="46" name="Req Aux 3" dataDxfId="24"/>
    <tableColumn id="47" name="Req Aux 3 Total" dataDxfId="23"/>
    <tableColumn id="48" name="Req Aux 4" dataDxfId="22"/>
    <tableColumn id="49" name="Req Aux 4 Total" dataDxfId="21"/>
    <tableColumn id="50" name="Req Aux 5" dataDxfId="20"/>
    <tableColumn id="51" name="Req Aux 5 Total" dataDxfId="19"/>
    <tableColumn id="52" name="Req Aux 6" dataDxfId="18"/>
    <tableColumn id="53" name="Req Aux 6 Total" dataDxfId="17"/>
    <tableColumn id="54" name="Req Aux 7" dataDxfId="16"/>
    <tableColumn id="55" name="Req Aux 7 Total" dataDxfId="15"/>
    <tableColumn id="56" name="Req Aux 8" dataDxfId="14"/>
    <tableColumn id="57" name="Req Aux 8 Total" dataDxfId="13"/>
    <tableColumn id="58" name="Req Aux 9" dataDxfId="12"/>
    <tableColumn id="59" name="Req Aux 9 Total" dataDxfId="11"/>
    <tableColumn id="60" name="Req Aux 10" dataDxfId="10"/>
    <tableColumn id="61" name="Req Aux 10 Total" dataDxfId="9"/>
    <tableColumn id="62" name="Req Aux 11" dataDxfId="8"/>
    <tableColumn id="63" name="Req Aux 11 Total" dataDxfId="7"/>
    <tableColumn id="64" name="Req Aux 12" dataDxfId="6"/>
    <tableColumn id="83" name="REQ SIN VBA" dataDxfId="5"/>
    <tableColumn id="79" name="REQ NETO" dataDxfId="4">
      <calculatedColumnFormula>PROVEEDORFILTRADO[[#This Row],[PEDIDCalc]]</calculatedColumnFormula>
    </tableColumn>
    <tableColumn id="84" name="Dif REQ NETO" dataDxfId="3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2" name="TRANSFERENCIAFILTRADA" displayName="TRANSFERENCIAFILTRADA" ref="A1:EA2" insertRow="1" totalsRowShown="0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74" name="Color"/>
    <tableColumn id="16" name="Estado Buffer" dataDxfId="2"/>
    <tableColumn id="17" name="Tráns Act"/>
    <tableColumn id="92" name="Negociación"/>
    <tableColumn id="93" name="Producción"/>
    <tableColumn id="94" name="Embarcado"/>
    <tableColumn id="18" name="Comprom"/>
    <tableColumn id="19" name="Backorders"/>
    <tableColumn id="20" name="Inv Proy Act"/>
    <tableColumn id="21" name="PEDIDCalc"/>
    <tableColumn id="22" name="PEDID Real"/>
    <tableColumn id="77" name="PEDID Prom"/>
    <tableColumn id="78" name="T$D"/>
    <tableColumn id="79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1"/>
    <tableColumn id="26" name="Ped Prom"/>
    <tableColumn id="27" name="FIN"/>
    <tableColumn id="28" name="Comprom Total"/>
    <tableColumn id="29" name="Req Comp 1"/>
    <tableColumn id="30" name="Req Comp 1 Total"/>
    <tableColumn id="31" name="Req Comp 2"/>
    <tableColumn id="32" name="Req Comp 2 Total"/>
    <tableColumn id="33" name="R Complejo"/>
    <tableColumn id="34" name="Requerimiento"/>
    <tableColumn id="35" name="RequerimientoTotal"/>
    <tableColumn id="36" name="ReqTotal"/>
    <tableColumn id="37" name="%Cons Total"/>
    <tableColumn id="38" name="%Consumo"/>
    <tableColumn id="39" name="%Req"/>
    <tableColumn id="40" name="Req a Buffer"/>
    <tableColumn id="41" name="%Req a Buff Total"/>
    <tableColumn id="42" name="%Req a Buff"/>
    <tableColumn id="43" name="Prioridad Abs"/>
    <tableColumn id="44" name="Priorid Abs Total"/>
    <tableColumn id="45" name="Priorid Relat"/>
    <tableColumn id="46" name="Asignado Base"/>
    <tableColumn id="47" name="Asignado Base Total"/>
    <tableColumn id="48" name="Asignado Menos"/>
    <tableColumn id="49" name="Asignado Menos Total"/>
    <tableColumn id="50" name="Req Aux 1"/>
    <tableColumn id="51" name="Req Aux 1 Total"/>
    <tableColumn id="52" name="Req Aux 2"/>
    <tableColumn id="53" name="Req Aux 2 Total"/>
    <tableColumn id="54" name="Req Aux 3"/>
    <tableColumn id="55" name="Req Aux 3 Total"/>
    <tableColumn id="56" name="Req Aux 4"/>
    <tableColumn id="57" name="Req Aux 4 Total"/>
    <tableColumn id="58" name="Req Aux 5"/>
    <tableColumn id="59" name="Req Aux 5 Total"/>
    <tableColumn id="60" name="Req Aux 6"/>
    <tableColumn id="61" name="Req Aux 6 Total"/>
    <tableColumn id="62" name="Req Aux 7"/>
    <tableColumn id="63" name="Req Aux 7 Total"/>
    <tableColumn id="64" name="Req Aux 8"/>
    <tableColumn id="67" name="Req Aux 8 Total"/>
    <tableColumn id="68" name="Req Aux 9"/>
    <tableColumn id="69" name="Req Aux 9 Total"/>
    <tableColumn id="70" name="Req Aux 10"/>
    <tableColumn id="71" name="Req Aux 10 Total"/>
    <tableColumn id="72" name="Req Aux 11"/>
    <tableColumn id="73" name="Req Aux 11 Total"/>
    <tableColumn id="75" name="Req Aux 12"/>
    <tableColumn id="76" name="REQ SIN VBA"/>
    <tableColumn id="83" name="REQ NETO"/>
    <tableColumn id="84" name="Dif REQ NETO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3" name="tblTransferActual" displayName="tblTransferActual" ref="A1:A123" totalsRowShown="0">
  <autoFilter ref="A1:A123"/>
  <tableColumns count="1">
    <tableColumn id="1" name="CODIGO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4" name="tblTransferProveedor" displayName="tblTransferProveedor" ref="A1:O317" totalsRowShown="0">
  <autoFilter ref="A1:O317"/>
  <tableColumns count="15">
    <tableColumn id="1" name="Codigo"/>
    <tableColumn id="6" name="Descripcion"/>
    <tableColumn id="7" name="Grupo"/>
    <tableColumn id="8" name="Linea"/>
    <tableColumn id="2" name="Ped Prom"/>
    <tableColumn id="3" name="CTV"/>
    <tableColumn id="4" name="PV"/>
    <tableColumn id="9" name="Buff Act"/>
    <tableColumn id="16" name="Estado Buffer"/>
    <tableColumn id="10" name="Rentabilid"/>
    <tableColumn id="11" name="Vel Efect"/>
    <tableColumn id="12" name="Servicio"/>
    <tableColumn id="13" name="Requerim"/>
    <tableColumn id="14" name="PEDIDCalc"/>
    <tableColumn id="17" name="Presente" dataDxfId="0">
      <calculatedColumnFormula>IFERROR(MATCH(tblTransferProveedor[[#This Row],[Codigo]],tblTransferActual[CODIGO],0),0)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10"/>
  <sheetViews>
    <sheetView showGridLines="0" zoomScale="80" zoomScaleNormal="80" workbookViewId="0">
      <selection activeCell="A2" sqref="A2:Z2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26" x14ac:dyDescent="0.25">
      <c r="A1" t="s">
        <v>746</v>
      </c>
      <c r="B1" t="s">
        <v>747</v>
      </c>
      <c r="C1" t="s">
        <v>748</v>
      </c>
      <c r="D1" t="s">
        <v>84</v>
      </c>
      <c r="E1" t="s">
        <v>749</v>
      </c>
      <c r="F1" t="s">
        <v>750</v>
      </c>
      <c r="G1" s="15" t="s">
        <v>751</v>
      </c>
      <c r="H1" s="15" t="s">
        <v>752</v>
      </c>
      <c r="I1" s="15" t="s">
        <v>753</v>
      </c>
      <c r="J1" s="15" t="s">
        <v>754</v>
      </c>
      <c r="K1" s="15" t="s">
        <v>755</v>
      </c>
      <c r="L1" s="15" t="s">
        <v>756</v>
      </c>
      <c r="M1" s="15" t="s">
        <v>757</v>
      </c>
      <c r="N1" s="15" t="s">
        <v>758</v>
      </c>
      <c r="O1" s="15" t="s">
        <v>759</v>
      </c>
      <c r="P1" s="15" t="s">
        <v>760</v>
      </c>
      <c r="Q1" s="15" t="s">
        <v>761</v>
      </c>
      <c r="R1" s="15" t="s">
        <v>762</v>
      </c>
      <c r="S1" s="15" t="s">
        <v>763</v>
      </c>
      <c r="T1" s="15" t="s">
        <v>764</v>
      </c>
      <c r="U1" s="15" t="s">
        <v>765</v>
      </c>
      <c r="V1" s="15" t="s">
        <v>766</v>
      </c>
      <c r="W1" s="15" t="s">
        <v>767</v>
      </c>
      <c r="X1" s="15" t="s">
        <v>768</v>
      </c>
      <c r="Y1" s="15" t="s">
        <v>769</v>
      </c>
      <c r="Z1" s="15" t="s">
        <v>770</v>
      </c>
    </row>
    <row r="2" spans="1:26" x14ac:dyDescent="0.25">
      <c r="A2" t="s">
        <v>775</v>
      </c>
      <c r="B2" t="s">
        <v>771</v>
      </c>
      <c r="C2" t="s">
        <v>776</v>
      </c>
      <c r="D2" t="s">
        <v>777</v>
      </c>
      <c r="E2" t="s">
        <v>745</v>
      </c>
      <c r="F2" t="s">
        <v>745</v>
      </c>
      <c r="G2">
        <v>0.52</v>
      </c>
      <c r="H2">
        <v>56</v>
      </c>
      <c r="I2">
        <v>56</v>
      </c>
      <c r="J2">
        <v>1000000000</v>
      </c>
      <c r="K2" t="s">
        <v>778</v>
      </c>
      <c r="L2" t="s">
        <v>745</v>
      </c>
      <c r="M2" t="s">
        <v>745</v>
      </c>
      <c r="N2" t="s">
        <v>745</v>
      </c>
      <c r="Y2" t="s">
        <v>774</v>
      </c>
    </row>
    <row r="3" spans="1:26" x14ac:dyDescent="0.25">
      <c r="A3" t="s">
        <v>775</v>
      </c>
      <c r="B3" t="s">
        <v>771</v>
      </c>
      <c r="C3" t="s">
        <v>776</v>
      </c>
      <c r="D3" t="s">
        <v>779</v>
      </c>
      <c r="E3" t="s">
        <v>745</v>
      </c>
      <c r="F3" t="s">
        <v>745</v>
      </c>
      <c r="G3">
        <v>0.78</v>
      </c>
      <c r="H3">
        <v>96</v>
      </c>
      <c r="I3">
        <v>96</v>
      </c>
      <c r="J3">
        <v>1000000000</v>
      </c>
      <c r="K3" t="s">
        <v>778</v>
      </c>
      <c r="L3" t="s">
        <v>745</v>
      </c>
      <c r="M3" t="s">
        <v>745</v>
      </c>
      <c r="N3" t="s">
        <v>745</v>
      </c>
      <c r="Y3" t="s">
        <v>780</v>
      </c>
    </row>
    <row r="4" spans="1:26" x14ac:dyDescent="0.25">
      <c r="A4" t="s">
        <v>772</v>
      </c>
      <c r="B4" t="s">
        <v>771</v>
      </c>
      <c r="C4" t="s">
        <v>776</v>
      </c>
      <c r="D4" t="s">
        <v>781</v>
      </c>
      <c r="E4" t="s">
        <v>745</v>
      </c>
      <c r="F4" t="s">
        <v>745</v>
      </c>
      <c r="G4">
        <v>0.06</v>
      </c>
      <c r="H4">
        <v>500</v>
      </c>
      <c r="I4">
        <v>500</v>
      </c>
      <c r="J4">
        <v>1000000000</v>
      </c>
      <c r="K4" t="s">
        <v>773</v>
      </c>
      <c r="L4" t="s">
        <v>745</v>
      </c>
      <c r="M4" t="s">
        <v>745</v>
      </c>
      <c r="N4" t="s">
        <v>745</v>
      </c>
      <c r="T4" t="s">
        <v>782</v>
      </c>
      <c r="W4" t="s">
        <v>776</v>
      </c>
      <c r="X4" t="s">
        <v>783</v>
      </c>
      <c r="Y4" t="s">
        <v>784</v>
      </c>
    </row>
    <row r="5" spans="1:26" x14ac:dyDescent="0.25">
      <c r="A5" t="s">
        <v>772</v>
      </c>
      <c r="B5" t="s">
        <v>771</v>
      </c>
      <c r="C5" t="s">
        <v>776</v>
      </c>
      <c r="D5" t="s">
        <v>785</v>
      </c>
      <c r="E5" t="s">
        <v>745</v>
      </c>
      <c r="F5" t="s">
        <v>745</v>
      </c>
      <c r="G5">
        <v>0.44</v>
      </c>
      <c r="H5">
        <v>6500</v>
      </c>
      <c r="I5">
        <v>6500</v>
      </c>
      <c r="J5">
        <v>1000000000</v>
      </c>
      <c r="K5" t="s">
        <v>773</v>
      </c>
      <c r="L5" t="s">
        <v>745</v>
      </c>
      <c r="M5" t="s">
        <v>745</v>
      </c>
      <c r="N5" t="s">
        <v>745</v>
      </c>
      <c r="T5" t="s">
        <v>782</v>
      </c>
      <c r="W5" t="s">
        <v>776</v>
      </c>
      <c r="X5" t="s">
        <v>783</v>
      </c>
      <c r="Y5" t="s">
        <v>774</v>
      </c>
    </row>
    <row r="6" spans="1:26" x14ac:dyDescent="0.25">
      <c r="A6" t="s">
        <v>772</v>
      </c>
      <c r="B6" t="s">
        <v>771</v>
      </c>
      <c r="C6" t="s">
        <v>776</v>
      </c>
      <c r="D6" t="s">
        <v>786</v>
      </c>
      <c r="E6" t="s">
        <v>745</v>
      </c>
      <c r="F6" t="s">
        <v>745</v>
      </c>
      <c r="G6">
        <v>0.18</v>
      </c>
      <c r="H6">
        <v>1000</v>
      </c>
      <c r="I6">
        <v>1000</v>
      </c>
      <c r="J6">
        <v>1000000000</v>
      </c>
      <c r="K6" t="s">
        <v>773</v>
      </c>
      <c r="L6" t="s">
        <v>745</v>
      </c>
      <c r="M6" t="s">
        <v>745</v>
      </c>
      <c r="N6" t="s">
        <v>745</v>
      </c>
      <c r="T6" t="s">
        <v>782</v>
      </c>
      <c r="W6" t="s">
        <v>776</v>
      </c>
      <c r="X6" t="s">
        <v>783</v>
      </c>
      <c r="Y6" t="s">
        <v>784</v>
      </c>
    </row>
    <row r="7" spans="1:26" x14ac:dyDescent="0.25">
      <c r="A7" t="s">
        <v>772</v>
      </c>
      <c r="B7" t="s">
        <v>771</v>
      </c>
      <c r="C7" t="s">
        <v>776</v>
      </c>
      <c r="D7" t="s">
        <v>787</v>
      </c>
      <c r="E7" t="s">
        <v>745</v>
      </c>
      <c r="F7" t="s">
        <v>745</v>
      </c>
      <c r="G7">
        <v>1</v>
      </c>
      <c r="H7">
        <v>20</v>
      </c>
      <c r="I7">
        <v>20</v>
      </c>
      <c r="J7">
        <v>1000000000</v>
      </c>
      <c r="K7" t="s">
        <v>773</v>
      </c>
      <c r="L7" t="s">
        <v>745</v>
      </c>
      <c r="M7" t="s">
        <v>745</v>
      </c>
      <c r="N7" t="s">
        <v>745</v>
      </c>
      <c r="T7" t="s">
        <v>788</v>
      </c>
      <c r="W7" t="s">
        <v>776</v>
      </c>
      <c r="X7" t="s">
        <v>783</v>
      </c>
      <c r="Y7" t="s">
        <v>789</v>
      </c>
    </row>
    <row r="8" spans="1:26" x14ac:dyDescent="0.25">
      <c r="A8" t="s">
        <v>772</v>
      </c>
      <c r="B8" t="s">
        <v>771</v>
      </c>
      <c r="C8" t="s">
        <v>776</v>
      </c>
      <c r="D8" t="s">
        <v>790</v>
      </c>
      <c r="E8" t="s">
        <v>745</v>
      </c>
      <c r="F8" t="s">
        <v>745</v>
      </c>
      <c r="G8">
        <v>0.56000000000000005</v>
      </c>
      <c r="H8">
        <v>5</v>
      </c>
      <c r="I8">
        <v>5</v>
      </c>
      <c r="J8">
        <v>1000000000</v>
      </c>
      <c r="K8" t="s">
        <v>773</v>
      </c>
      <c r="L8" t="s">
        <v>745</v>
      </c>
      <c r="M8" t="s">
        <v>745</v>
      </c>
      <c r="N8" t="s">
        <v>745</v>
      </c>
      <c r="T8" t="s">
        <v>791</v>
      </c>
      <c r="W8" t="s">
        <v>776</v>
      </c>
      <c r="X8" t="s">
        <v>783</v>
      </c>
      <c r="Y8" t="s">
        <v>774</v>
      </c>
    </row>
    <row r="9" spans="1:26" x14ac:dyDescent="0.25">
      <c r="A9" t="s">
        <v>772</v>
      </c>
      <c r="B9" t="s">
        <v>771</v>
      </c>
      <c r="C9" t="s">
        <v>776</v>
      </c>
      <c r="D9" t="s">
        <v>792</v>
      </c>
      <c r="E9" t="s">
        <v>745</v>
      </c>
      <c r="F9" t="s">
        <v>745</v>
      </c>
      <c r="G9">
        <v>0.73</v>
      </c>
      <c r="H9">
        <v>10</v>
      </c>
      <c r="I9">
        <v>10</v>
      </c>
      <c r="J9">
        <v>1000000000</v>
      </c>
      <c r="K9" t="s">
        <v>773</v>
      </c>
      <c r="L9" t="s">
        <v>745</v>
      </c>
      <c r="M9" t="s">
        <v>745</v>
      </c>
      <c r="N9" t="s">
        <v>745</v>
      </c>
      <c r="T9" t="s">
        <v>791</v>
      </c>
      <c r="W9" t="s">
        <v>776</v>
      </c>
      <c r="X9" t="s">
        <v>783</v>
      </c>
      <c r="Y9" t="s">
        <v>780</v>
      </c>
    </row>
    <row r="10" spans="1:26" x14ac:dyDescent="0.25">
      <c r="A10" t="s">
        <v>772</v>
      </c>
      <c r="B10" t="s">
        <v>771</v>
      </c>
      <c r="C10" t="s">
        <v>776</v>
      </c>
      <c r="D10" t="s">
        <v>793</v>
      </c>
      <c r="E10" t="s">
        <v>745</v>
      </c>
      <c r="F10" t="s">
        <v>745</v>
      </c>
      <c r="G10">
        <v>1</v>
      </c>
      <c r="H10">
        <v>40</v>
      </c>
      <c r="I10">
        <v>40</v>
      </c>
      <c r="J10">
        <v>1000000000</v>
      </c>
      <c r="K10" t="s">
        <v>773</v>
      </c>
      <c r="L10" t="s">
        <v>745</v>
      </c>
      <c r="M10" t="s">
        <v>745</v>
      </c>
      <c r="N10" t="s">
        <v>745</v>
      </c>
      <c r="T10" t="s">
        <v>791</v>
      </c>
      <c r="W10" t="s">
        <v>776</v>
      </c>
      <c r="X10" t="s">
        <v>783</v>
      </c>
      <c r="Y10" t="s">
        <v>789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J10"/>
  <sheetViews>
    <sheetView showGridLines="0" tabSelected="1" zoomScale="80" zoomScaleNormal="80" workbookViewId="0">
      <selection activeCell="A2" sqref="A2:J10"/>
    </sheetView>
  </sheetViews>
  <sheetFormatPr baseColWidth="10" defaultRowHeight="15" x14ac:dyDescent="0.25"/>
  <cols>
    <col min="1" max="1" width="11.5703125" customWidth="1"/>
    <col min="3" max="3" width="14" customWidth="1"/>
    <col min="5" max="5" width="20.5703125" customWidth="1"/>
    <col min="6" max="6" width="22.140625" customWidth="1"/>
    <col min="7" max="7" width="17.85546875" customWidth="1"/>
    <col min="8" max="8" width="21.5703125" customWidth="1"/>
    <col min="9" max="9" width="22.5703125" customWidth="1"/>
  </cols>
  <sheetData>
    <row r="1" spans="1:10" x14ac:dyDescent="0.25">
      <c r="A1" t="s">
        <v>746</v>
      </c>
      <c r="B1" t="s">
        <v>747</v>
      </c>
      <c r="C1" t="s">
        <v>748</v>
      </c>
      <c r="D1" t="s">
        <v>84</v>
      </c>
      <c r="E1" t="s">
        <v>749</v>
      </c>
      <c r="F1" t="s">
        <v>750</v>
      </c>
      <c r="G1" t="s">
        <v>751</v>
      </c>
      <c r="H1" t="s">
        <v>752</v>
      </c>
      <c r="I1" t="s">
        <v>753</v>
      </c>
      <c r="J1" t="s">
        <v>754</v>
      </c>
    </row>
    <row r="2" spans="1:10" x14ac:dyDescent="0.25">
      <c r="A2" t="s">
        <v>775</v>
      </c>
      <c r="B2" t="s">
        <v>771</v>
      </c>
      <c r="C2" t="s">
        <v>776</v>
      </c>
      <c r="D2" t="s">
        <v>777</v>
      </c>
      <c r="E2" t="s">
        <v>745</v>
      </c>
      <c r="F2" t="s">
        <v>745</v>
      </c>
      <c r="G2">
        <v>0.52</v>
      </c>
      <c r="H2">
        <v>56</v>
      </c>
      <c r="I2">
        <v>56</v>
      </c>
      <c r="J2">
        <v>1000000000</v>
      </c>
    </row>
    <row r="3" spans="1:10" x14ac:dyDescent="0.25">
      <c r="A3" t="s">
        <v>775</v>
      </c>
      <c r="B3" t="s">
        <v>771</v>
      </c>
      <c r="C3" t="s">
        <v>776</v>
      </c>
      <c r="D3" t="s">
        <v>779</v>
      </c>
      <c r="E3" t="s">
        <v>745</v>
      </c>
      <c r="F3" t="s">
        <v>745</v>
      </c>
      <c r="G3">
        <v>0.78</v>
      </c>
      <c r="H3">
        <v>96</v>
      </c>
      <c r="I3">
        <v>96</v>
      </c>
      <c r="J3">
        <v>1000000000</v>
      </c>
    </row>
    <row r="4" spans="1:10" x14ac:dyDescent="0.25">
      <c r="A4" t="s">
        <v>772</v>
      </c>
      <c r="B4" t="s">
        <v>771</v>
      </c>
      <c r="C4" t="s">
        <v>776</v>
      </c>
      <c r="D4" t="s">
        <v>781</v>
      </c>
      <c r="E4" t="s">
        <v>745</v>
      </c>
      <c r="F4" t="s">
        <v>745</v>
      </c>
      <c r="G4">
        <v>0.06</v>
      </c>
      <c r="H4">
        <v>500</v>
      </c>
      <c r="I4">
        <v>500</v>
      </c>
      <c r="J4">
        <v>1000000000</v>
      </c>
    </row>
    <row r="5" spans="1:10" x14ac:dyDescent="0.25">
      <c r="A5" t="s">
        <v>772</v>
      </c>
      <c r="B5" t="s">
        <v>771</v>
      </c>
      <c r="C5" t="s">
        <v>776</v>
      </c>
      <c r="D5" t="s">
        <v>785</v>
      </c>
      <c r="E5" t="s">
        <v>745</v>
      </c>
      <c r="F5" t="s">
        <v>745</v>
      </c>
      <c r="G5">
        <v>0.44</v>
      </c>
      <c r="H5">
        <v>6500</v>
      </c>
      <c r="I5">
        <v>6500</v>
      </c>
      <c r="J5">
        <v>1000000000</v>
      </c>
    </row>
    <row r="6" spans="1:10" x14ac:dyDescent="0.25">
      <c r="A6" t="s">
        <v>772</v>
      </c>
      <c r="B6" t="s">
        <v>771</v>
      </c>
      <c r="C6" t="s">
        <v>776</v>
      </c>
      <c r="D6" t="s">
        <v>786</v>
      </c>
      <c r="E6" t="s">
        <v>745</v>
      </c>
      <c r="F6" t="s">
        <v>745</v>
      </c>
      <c r="G6">
        <v>0.18</v>
      </c>
      <c r="H6">
        <v>1000</v>
      </c>
      <c r="I6">
        <v>1000</v>
      </c>
      <c r="J6">
        <v>1000000000</v>
      </c>
    </row>
    <row r="7" spans="1:10" x14ac:dyDescent="0.25">
      <c r="A7" t="s">
        <v>772</v>
      </c>
      <c r="B7" t="s">
        <v>771</v>
      </c>
      <c r="C7" t="s">
        <v>776</v>
      </c>
      <c r="D7" t="s">
        <v>787</v>
      </c>
      <c r="E7" t="s">
        <v>745</v>
      </c>
      <c r="F7" t="s">
        <v>745</v>
      </c>
      <c r="G7">
        <v>1</v>
      </c>
      <c r="H7">
        <v>20</v>
      </c>
      <c r="I7">
        <v>20</v>
      </c>
      <c r="J7">
        <v>1000000000</v>
      </c>
    </row>
    <row r="8" spans="1:10" x14ac:dyDescent="0.25">
      <c r="A8" t="s">
        <v>772</v>
      </c>
      <c r="B8" t="s">
        <v>771</v>
      </c>
      <c r="C8" t="s">
        <v>776</v>
      </c>
      <c r="D8" t="s">
        <v>790</v>
      </c>
      <c r="E8" t="s">
        <v>745</v>
      </c>
      <c r="F8" t="s">
        <v>745</v>
      </c>
      <c r="G8">
        <v>0.56000000000000005</v>
      </c>
      <c r="H8">
        <v>5</v>
      </c>
      <c r="I8">
        <v>5</v>
      </c>
      <c r="J8">
        <v>1000000000</v>
      </c>
    </row>
    <row r="9" spans="1:10" x14ac:dyDescent="0.25">
      <c r="A9" t="s">
        <v>772</v>
      </c>
      <c r="B9" t="s">
        <v>771</v>
      </c>
      <c r="C9" t="s">
        <v>776</v>
      </c>
      <c r="D9" t="s">
        <v>792</v>
      </c>
      <c r="E9" t="s">
        <v>745</v>
      </c>
      <c r="F9" t="s">
        <v>745</v>
      </c>
      <c r="G9">
        <v>0.73</v>
      </c>
      <c r="H9">
        <v>10</v>
      </c>
      <c r="I9">
        <v>10</v>
      </c>
      <c r="J9">
        <v>1000000000</v>
      </c>
    </row>
    <row r="10" spans="1:10" x14ac:dyDescent="0.25">
      <c r="A10" t="s">
        <v>772</v>
      </c>
      <c r="B10" t="s">
        <v>771</v>
      </c>
      <c r="C10" t="s">
        <v>776</v>
      </c>
      <c r="D10" t="s">
        <v>793</v>
      </c>
      <c r="E10" t="s">
        <v>745</v>
      </c>
      <c r="F10" t="s">
        <v>745</v>
      </c>
      <c r="G10">
        <v>1</v>
      </c>
      <c r="H10">
        <v>40</v>
      </c>
      <c r="I10">
        <v>40</v>
      </c>
      <c r="J10">
        <v>1000000000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A2"/>
  <sheetViews>
    <sheetView showGridLines="0" topLeftCell="DD1" zoomScale="80" zoomScaleNormal="80" workbookViewId="0">
      <selection activeCell="EA1" sqref="EA1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88</v>
      </c>
      <c r="F1" t="s">
        <v>71</v>
      </c>
      <c r="G1" t="s">
        <v>89</v>
      </c>
      <c r="H1" t="s">
        <v>90</v>
      </c>
      <c r="I1" s="14" t="s">
        <v>705</v>
      </c>
      <c r="J1" s="14" t="s">
        <v>706</v>
      </c>
      <c r="K1" s="14" t="s">
        <v>707</v>
      </c>
      <c r="L1" s="14" t="s">
        <v>708</v>
      </c>
      <c r="M1" s="14" t="s">
        <v>709</v>
      </c>
      <c r="N1" s="14" t="s">
        <v>710</v>
      </c>
      <c r="O1" s="14" t="s">
        <v>711</v>
      </c>
      <c r="P1" s="14" t="s">
        <v>712</v>
      </c>
      <c r="Q1" s="14" t="s">
        <v>713</v>
      </c>
      <c r="R1" s="14" t="s">
        <v>714</v>
      </c>
      <c r="S1" s="14" t="s">
        <v>715</v>
      </c>
      <c r="T1" s="14" t="s">
        <v>716</v>
      </c>
      <c r="U1" s="14" t="s">
        <v>717</v>
      </c>
      <c r="V1" s="14" t="s">
        <v>718</v>
      </c>
      <c r="W1" s="14" t="s">
        <v>719</v>
      </c>
      <c r="X1" s="14" t="s">
        <v>720</v>
      </c>
      <c r="Y1" s="14" t="s">
        <v>721</v>
      </c>
      <c r="Z1" s="14" t="s">
        <v>722</v>
      </c>
      <c r="AA1" s="14" t="s">
        <v>723</v>
      </c>
      <c r="AB1" s="14" t="s">
        <v>724</v>
      </c>
      <c r="AC1" s="14" t="s">
        <v>725</v>
      </c>
      <c r="AD1" s="14" t="s">
        <v>726</v>
      </c>
      <c r="AE1" s="14" t="s">
        <v>727</v>
      </c>
      <c r="AF1" s="14" t="s">
        <v>728</v>
      </c>
      <c r="AG1" s="14" t="s">
        <v>729</v>
      </c>
      <c r="AH1" s="14" t="s">
        <v>730</v>
      </c>
      <c r="AI1" s="14" t="s">
        <v>731</v>
      </c>
      <c r="AJ1" s="14" t="s">
        <v>732</v>
      </c>
      <c r="AK1" s="14" t="s">
        <v>733</v>
      </c>
      <c r="AL1" s="14" t="s">
        <v>734</v>
      </c>
      <c r="AM1" s="14" t="s">
        <v>735</v>
      </c>
      <c r="AN1" s="14" t="s">
        <v>736</v>
      </c>
      <c r="AO1" s="14" t="s">
        <v>737</v>
      </c>
      <c r="AP1" s="14" t="s">
        <v>738</v>
      </c>
      <c r="AQ1" s="14" t="s">
        <v>739</v>
      </c>
      <c r="AR1" s="14" t="s">
        <v>740</v>
      </c>
      <c r="AS1" s="14" t="s">
        <v>741</v>
      </c>
      <c r="AT1" s="14" t="s">
        <v>742</v>
      </c>
      <c r="AU1" s="14" t="s">
        <v>743</v>
      </c>
      <c r="AV1" s="14" t="s">
        <v>744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91</v>
      </c>
      <c r="BD1" t="s">
        <v>92</v>
      </c>
      <c r="BE1" t="s">
        <v>93</v>
      </c>
      <c r="BF1" t="s">
        <v>94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95</v>
      </c>
      <c r="BN1" t="s">
        <v>96</v>
      </c>
      <c r="BO1" t="s">
        <v>97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s="6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s="5" t="s">
        <v>39</v>
      </c>
      <c r="CM1" s="5" t="s">
        <v>38</v>
      </c>
      <c r="CN1" s="4" t="s">
        <v>37</v>
      </c>
      <c r="CO1" s="4" t="s">
        <v>36</v>
      </c>
      <c r="CP1" s="4" t="s">
        <v>35</v>
      </c>
      <c r="CQ1" s="4" t="s">
        <v>34</v>
      </c>
      <c r="CR1" s="4" t="s">
        <v>33</v>
      </c>
      <c r="CS1" s="4" t="s">
        <v>32</v>
      </c>
      <c r="CT1" s="4" t="s">
        <v>31</v>
      </c>
      <c r="CU1" s="4" t="s">
        <v>30</v>
      </c>
      <c r="CV1" s="4" t="s">
        <v>29</v>
      </c>
      <c r="CW1" s="4" t="s">
        <v>28</v>
      </c>
      <c r="CX1" s="4" t="s">
        <v>27</v>
      </c>
      <c r="CY1" s="4" t="s">
        <v>26</v>
      </c>
      <c r="CZ1" s="4" t="s">
        <v>25</v>
      </c>
      <c r="DA1" s="4" t="s">
        <v>24</v>
      </c>
      <c r="DB1" s="4" t="s">
        <v>23</v>
      </c>
      <c r="DC1" s="4" t="s">
        <v>22</v>
      </c>
      <c r="DD1" s="4" t="s">
        <v>21</v>
      </c>
      <c r="DE1" s="4" t="s">
        <v>20</v>
      </c>
      <c r="DF1" s="4" t="s">
        <v>19</v>
      </c>
      <c r="DG1" s="4" t="s">
        <v>18</v>
      </c>
      <c r="DH1" s="4" t="s">
        <v>17</v>
      </c>
      <c r="DI1" s="4" t="s">
        <v>16</v>
      </c>
      <c r="DJ1" s="4" t="s">
        <v>15</v>
      </c>
      <c r="DK1" s="4" t="s">
        <v>14</v>
      </c>
      <c r="DL1" s="4" t="s">
        <v>13</v>
      </c>
      <c r="DM1" s="4" t="s">
        <v>12</v>
      </c>
      <c r="DN1" s="4" t="s">
        <v>11</v>
      </c>
      <c r="DO1" s="4" t="s">
        <v>10</v>
      </c>
      <c r="DP1" s="4" t="s">
        <v>9</v>
      </c>
      <c r="DQ1" s="4" t="s">
        <v>8</v>
      </c>
      <c r="DR1" s="4" t="s">
        <v>7</v>
      </c>
      <c r="DS1" s="4" t="s">
        <v>6</v>
      </c>
      <c r="DT1" s="4" t="s">
        <v>5</v>
      </c>
      <c r="DU1" s="4" t="s">
        <v>4</v>
      </c>
      <c r="DV1" s="4" t="s">
        <v>3</v>
      </c>
      <c r="DW1" s="4" t="s">
        <v>2</v>
      </c>
      <c r="DX1" s="3" t="s">
        <v>1</v>
      </c>
      <c r="DY1" s="2" t="s">
        <v>82</v>
      </c>
      <c r="DZ1" s="2" t="s">
        <v>0</v>
      </c>
      <c r="EA1" s="4" t="s">
        <v>83</v>
      </c>
    </row>
    <row r="2" spans="1:131" x14ac:dyDescent="0.25">
      <c r="R2" s="11"/>
      <c r="S2" s="11"/>
      <c r="AF2" s="11"/>
      <c r="AG2" s="11"/>
      <c r="BK2" s="1"/>
      <c r="BQ2" s="7"/>
      <c r="CA2" s="11"/>
      <c r="CC2" s="1"/>
      <c r="CE2" s="8"/>
      <c r="CF2" s="7"/>
      <c r="CG2" s="7"/>
      <c r="CH2" s="7"/>
      <c r="CI2" s="7"/>
      <c r="CJ2" s="7"/>
      <c r="CK2" s="7"/>
      <c r="CL2" s="9"/>
      <c r="CM2" s="9"/>
      <c r="CN2" s="7"/>
      <c r="CO2" s="7"/>
      <c r="CP2" s="1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9"/>
      <c r="DY2" s="10"/>
      <c r="DZ2" s="10"/>
      <c r="EA2" s="7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A2"/>
  <sheetViews>
    <sheetView showGridLines="0" zoomScale="80" zoomScaleNormal="80" workbookViewId="0">
      <selection activeCell="B2" sqref="B2:B98"/>
    </sheetView>
  </sheetViews>
  <sheetFormatPr baseColWidth="10" defaultColWidth="11.42578125" defaultRowHeight="15" x14ac:dyDescent="0.25"/>
  <cols>
    <col min="2" max="2" width="21.28515625" bestFit="1" customWidth="1"/>
    <col min="3" max="3" width="16.42578125" bestFit="1" customWidth="1"/>
    <col min="4" max="4" width="19.28515625" bestFit="1" customWidth="1"/>
    <col min="5" max="5" width="19.28515625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style="1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88</v>
      </c>
      <c r="F1" t="s">
        <v>71</v>
      </c>
      <c r="G1" t="s">
        <v>89</v>
      </c>
      <c r="H1" t="s">
        <v>90</v>
      </c>
      <c r="I1" s="14" t="s">
        <v>705</v>
      </c>
      <c r="J1" s="14" t="s">
        <v>706</v>
      </c>
      <c r="K1" s="14" t="s">
        <v>707</v>
      </c>
      <c r="L1" s="14" t="s">
        <v>708</v>
      </c>
      <c r="M1" s="14" t="s">
        <v>709</v>
      </c>
      <c r="N1" s="14" t="s">
        <v>710</v>
      </c>
      <c r="O1" s="14" t="s">
        <v>711</v>
      </c>
      <c r="P1" s="14" t="s">
        <v>712</v>
      </c>
      <c r="Q1" s="14" t="s">
        <v>713</v>
      </c>
      <c r="R1" s="14" t="s">
        <v>714</v>
      </c>
      <c r="S1" s="14" t="s">
        <v>715</v>
      </c>
      <c r="T1" s="14" t="s">
        <v>716</v>
      </c>
      <c r="U1" s="14" t="s">
        <v>717</v>
      </c>
      <c r="V1" s="14" t="s">
        <v>718</v>
      </c>
      <c r="W1" s="14" t="s">
        <v>719</v>
      </c>
      <c r="X1" s="14" t="s">
        <v>720</v>
      </c>
      <c r="Y1" s="14" t="s">
        <v>721</v>
      </c>
      <c r="Z1" s="14" t="s">
        <v>722</v>
      </c>
      <c r="AA1" s="14" t="s">
        <v>723</v>
      </c>
      <c r="AB1" s="14" t="s">
        <v>724</v>
      </c>
      <c r="AC1" s="14" t="s">
        <v>725</v>
      </c>
      <c r="AD1" s="14" t="s">
        <v>726</v>
      </c>
      <c r="AE1" s="14" t="s">
        <v>727</v>
      </c>
      <c r="AF1" s="14" t="s">
        <v>728</v>
      </c>
      <c r="AG1" s="14" t="s">
        <v>729</v>
      </c>
      <c r="AH1" s="14" t="s">
        <v>730</v>
      </c>
      <c r="AI1" s="14" t="s">
        <v>731</v>
      </c>
      <c r="AJ1" s="14" t="s">
        <v>732</v>
      </c>
      <c r="AK1" s="14" t="s">
        <v>733</v>
      </c>
      <c r="AL1" s="14" t="s">
        <v>734</v>
      </c>
      <c r="AM1" s="14" t="s">
        <v>735</v>
      </c>
      <c r="AN1" s="14" t="s">
        <v>736</v>
      </c>
      <c r="AO1" s="14" t="s">
        <v>737</v>
      </c>
      <c r="AP1" s="14" t="s">
        <v>738</v>
      </c>
      <c r="AQ1" s="14" t="s">
        <v>739</v>
      </c>
      <c r="AR1" s="14" t="s">
        <v>740</v>
      </c>
      <c r="AS1" s="14" t="s">
        <v>741</v>
      </c>
      <c r="AT1" s="14" t="s">
        <v>742</v>
      </c>
      <c r="AU1" s="14" t="s">
        <v>743</v>
      </c>
      <c r="AV1" s="14" t="s">
        <v>744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91</v>
      </c>
      <c r="BD1" t="s">
        <v>92</v>
      </c>
      <c r="BE1" t="s">
        <v>93</v>
      </c>
      <c r="BF1" t="s">
        <v>94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95</v>
      </c>
      <c r="BN1" t="s">
        <v>96</v>
      </c>
      <c r="BO1" t="s">
        <v>97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t="s">
        <v>39</v>
      </c>
      <c r="CM1" t="s">
        <v>38</v>
      </c>
      <c r="CN1" t="s">
        <v>37</v>
      </c>
      <c r="CO1" t="s">
        <v>36</v>
      </c>
      <c r="CP1" t="s">
        <v>35</v>
      </c>
      <c r="CQ1" t="s">
        <v>34</v>
      </c>
      <c r="CR1" t="s">
        <v>33</v>
      </c>
      <c r="CS1" t="s">
        <v>32</v>
      </c>
      <c r="CT1" t="s">
        <v>31</v>
      </c>
      <c r="CU1" t="s">
        <v>30</v>
      </c>
      <c r="CV1" t="s">
        <v>29</v>
      </c>
      <c r="CW1" t="s">
        <v>28</v>
      </c>
      <c r="CX1" t="s">
        <v>27</v>
      </c>
      <c r="CY1" t="s">
        <v>26</v>
      </c>
      <c r="CZ1" t="s">
        <v>25</v>
      </c>
      <c r="DA1" t="s">
        <v>24</v>
      </c>
      <c r="DB1" t="s">
        <v>23</v>
      </c>
      <c r="DC1" t="s">
        <v>22</v>
      </c>
      <c r="DD1" t="s">
        <v>21</v>
      </c>
      <c r="DE1" t="s">
        <v>20</v>
      </c>
      <c r="DF1" t="s">
        <v>19</v>
      </c>
      <c r="DG1" t="s">
        <v>18</v>
      </c>
      <c r="DH1" t="s">
        <v>17</v>
      </c>
      <c r="DI1" t="s">
        <v>16</v>
      </c>
      <c r="DJ1" t="s">
        <v>15</v>
      </c>
      <c r="DK1" t="s">
        <v>14</v>
      </c>
      <c r="DL1" t="s">
        <v>13</v>
      </c>
      <c r="DM1" t="s">
        <v>12</v>
      </c>
      <c r="DN1" t="s">
        <v>11</v>
      </c>
      <c r="DO1" t="s">
        <v>10</v>
      </c>
      <c r="DP1" t="s">
        <v>9</v>
      </c>
      <c r="DQ1" t="s">
        <v>8</v>
      </c>
      <c r="DR1" t="s">
        <v>7</v>
      </c>
      <c r="DS1" t="s">
        <v>6</v>
      </c>
      <c r="DT1" t="s">
        <v>5</v>
      </c>
      <c r="DU1" t="s">
        <v>4</v>
      </c>
      <c r="DV1" t="s">
        <v>3</v>
      </c>
      <c r="DW1" t="s">
        <v>2</v>
      </c>
      <c r="DX1" t="s">
        <v>1</v>
      </c>
      <c r="DY1" t="s">
        <v>82</v>
      </c>
      <c r="DZ1" t="s">
        <v>0</v>
      </c>
      <c r="EA1" t="s">
        <v>83</v>
      </c>
    </row>
    <row r="2" spans="1:131" x14ac:dyDescent="0.25">
      <c r="CC2" s="1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123"/>
  <sheetViews>
    <sheetView workbookViewId="0">
      <selection activeCell="B4" sqref="B4"/>
    </sheetView>
  </sheetViews>
  <sheetFormatPr baseColWidth="10" defaultRowHeight="15" x14ac:dyDescent="0.25"/>
  <cols>
    <col min="1" max="1" width="19.140625" bestFit="1" customWidth="1"/>
  </cols>
  <sheetData>
    <row r="1" spans="1:1" x14ac:dyDescent="0.25">
      <c r="A1" t="s">
        <v>84</v>
      </c>
    </row>
    <row r="2" spans="1:1" x14ac:dyDescent="0.25">
      <c r="A2" t="s">
        <v>134</v>
      </c>
    </row>
    <row r="3" spans="1:1" x14ac:dyDescent="0.25">
      <c r="A3" t="s">
        <v>132</v>
      </c>
    </row>
    <row r="4" spans="1:1" x14ac:dyDescent="0.25">
      <c r="A4" t="s">
        <v>130</v>
      </c>
    </row>
    <row r="5" spans="1:1" x14ac:dyDescent="0.25">
      <c r="A5" t="s">
        <v>128</v>
      </c>
    </row>
    <row r="6" spans="1:1" x14ac:dyDescent="0.25">
      <c r="A6" t="s">
        <v>126</v>
      </c>
    </row>
    <row r="7" spans="1:1" x14ac:dyDescent="0.25">
      <c r="A7" t="s">
        <v>124</v>
      </c>
    </row>
    <row r="8" spans="1:1" x14ac:dyDescent="0.25">
      <c r="A8" t="s">
        <v>122</v>
      </c>
    </row>
    <row r="9" spans="1:1" x14ac:dyDescent="0.25">
      <c r="A9" t="s">
        <v>104</v>
      </c>
    </row>
    <row r="10" spans="1:1" x14ac:dyDescent="0.25">
      <c r="A10" t="s">
        <v>119</v>
      </c>
    </row>
    <row r="11" spans="1:1" x14ac:dyDescent="0.25">
      <c r="A11" t="s">
        <v>117</v>
      </c>
    </row>
    <row r="12" spans="1:1" x14ac:dyDescent="0.25">
      <c r="A12" t="s">
        <v>115</v>
      </c>
    </row>
    <row r="13" spans="1:1" x14ac:dyDescent="0.25">
      <c r="A13" t="s">
        <v>111</v>
      </c>
    </row>
    <row r="14" spans="1:1" x14ac:dyDescent="0.25">
      <c r="A14" t="s">
        <v>113</v>
      </c>
    </row>
    <row r="15" spans="1:1" x14ac:dyDescent="0.25">
      <c r="A15" t="s">
        <v>109</v>
      </c>
    </row>
    <row r="16" spans="1:1" x14ac:dyDescent="0.25">
      <c r="A16" t="s">
        <v>106</v>
      </c>
    </row>
    <row r="17" spans="1:1" x14ac:dyDescent="0.25">
      <c r="A17" t="s">
        <v>103</v>
      </c>
    </row>
    <row r="18" spans="1:1" x14ac:dyDescent="0.25">
      <c r="A18" t="s">
        <v>101</v>
      </c>
    </row>
    <row r="19" spans="1:1" x14ac:dyDescent="0.25">
      <c r="A19" t="s">
        <v>98</v>
      </c>
    </row>
    <row r="20" spans="1:1" x14ac:dyDescent="0.25">
      <c r="A20" t="s">
        <v>302</v>
      </c>
    </row>
    <row r="21" spans="1:1" x14ac:dyDescent="0.25">
      <c r="A21" t="s">
        <v>107</v>
      </c>
    </row>
    <row r="22" spans="1:1" x14ac:dyDescent="0.25">
      <c r="A22" t="s">
        <v>169</v>
      </c>
    </row>
    <row r="23" spans="1:1" x14ac:dyDescent="0.25">
      <c r="A23" t="s">
        <v>218</v>
      </c>
    </row>
    <row r="24" spans="1:1" x14ac:dyDescent="0.25">
      <c r="A24" t="s">
        <v>184</v>
      </c>
    </row>
    <row r="25" spans="1:1" x14ac:dyDescent="0.25">
      <c r="A25" t="s">
        <v>200</v>
      </c>
    </row>
    <row r="26" spans="1:1" x14ac:dyDescent="0.25">
      <c r="A26" t="s">
        <v>222</v>
      </c>
    </row>
    <row r="27" spans="1:1" x14ac:dyDescent="0.25">
      <c r="A27" t="s">
        <v>186</v>
      </c>
    </row>
    <row r="28" spans="1:1" x14ac:dyDescent="0.25">
      <c r="A28" t="s">
        <v>188</v>
      </c>
    </row>
    <row r="29" spans="1:1" x14ac:dyDescent="0.25">
      <c r="A29" t="s">
        <v>190</v>
      </c>
    </row>
    <row r="30" spans="1:1" x14ac:dyDescent="0.25">
      <c r="A30" t="s">
        <v>192</v>
      </c>
    </row>
    <row r="31" spans="1:1" x14ac:dyDescent="0.25">
      <c r="A31" t="s">
        <v>194</v>
      </c>
    </row>
    <row r="32" spans="1:1" x14ac:dyDescent="0.25">
      <c r="A32" t="s">
        <v>196</v>
      </c>
    </row>
    <row r="33" spans="1:1" x14ac:dyDescent="0.25">
      <c r="A33" t="s">
        <v>198</v>
      </c>
    </row>
    <row r="34" spans="1:1" x14ac:dyDescent="0.25">
      <c r="A34" t="s">
        <v>202</v>
      </c>
    </row>
    <row r="35" spans="1:1" x14ac:dyDescent="0.25">
      <c r="A35" t="s">
        <v>204</v>
      </c>
    </row>
    <row r="36" spans="1:1" x14ac:dyDescent="0.25">
      <c r="A36" t="s">
        <v>232</v>
      </c>
    </row>
    <row r="37" spans="1:1" x14ac:dyDescent="0.25">
      <c r="A37" t="s">
        <v>208</v>
      </c>
    </row>
    <row r="38" spans="1:1" x14ac:dyDescent="0.25">
      <c r="A38" t="s">
        <v>183</v>
      </c>
    </row>
    <row r="39" spans="1:1" x14ac:dyDescent="0.25">
      <c r="A39" t="s">
        <v>212</v>
      </c>
    </row>
    <row r="40" spans="1:1" x14ac:dyDescent="0.25">
      <c r="A40" t="s">
        <v>165</v>
      </c>
    </row>
    <row r="41" spans="1:1" x14ac:dyDescent="0.25">
      <c r="A41" t="s">
        <v>226</v>
      </c>
    </row>
    <row r="42" spans="1:1" x14ac:dyDescent="0.25">
      <c r="A42" t="s">
        <v>164</v>
      </c>
    </row>
    <row r="43" spans="1:1" x14ac:dyDescent="0.25">
      <c r="A43" t="s">
        <v>224</v>
      </c>
    </row>
    <row r="44" spans="1:1" x14ac:dyDescent="0.25">
      <c r="A44" t="s">
        <v>206</v>
      </c>
    </row>
    <row r="45" spans="1:1" x14ac:dyDescent="0.25">
      <c r="A45" t="s">
        <v>228</v>
      </c>
    </row>
    <row r="46" spans="1:1" x14ac:dyDescent="0.25">
      <c r="A46" t="s">
        <v>230</v>
      </c>
    </row>
    <row r="47" spans="1:1" x14ac:dyDescent="0.25">
      <c r="A47" t="s">
        <v>210</v>
      </c>
    </row>
    <row r="48" spans="1:1" x14ac:dyDescent="0.25">
      <c r="A48" t="s">
        <v>160</v>
      </c>
    </row>
    <row r="49" spans="1:1" x14ac:dyDescent="0.25">
      <c r="A49" t="s">
        <v>154</v>
      </c>
    </row>
    <row r="50" spans="1:1" x14ac:dyDescent="0.25">
      <c r="A50" t="s">
        <v>152</v>
      </c>
    </row>
    <row r="51" spans="1:1" x14ac:dyDescent="0.25">
      <c r="A51" t="s">
        <v>150</v>
      </c>
    </row>
    <row r="52" spans="1:1" x14ac:dyDescent="0.25">
      <c r="A52" t="s">
        <v>148</v>
      </c>
    </row>
    <row r="53" spans="1:1" x14ac:dyDescent="0.25">
      <c r="A53" t="s">
        <v>146</v>
      </c>
    </row>
    <row r="54" spans="1:1" x14ac:dyDescent="0.25">
      <c r="A54" t="s">
        <v>144</v>
      </c>
    </row>
    <row r="55" spans="1:1" x14ac:dyDescent="0.25">
      <c r="A55" t="s">
        <v>142</v>
      </c>
    </row>
    <row r="56" spans="1:1" x14ac:dyDescent="0.25">
      <c r="A56" t="s">
        <v>156</v>
      </c>
    </row>
    <row r="57" spans="1:1" x14ac:dyDescent="0.25">
      <c r="A57" t="s">
        <v>140</v>
      </c>
    </row>
    <row r="58" spans="1:1" x14ac:dyDescent="0.25">
      <c r="A58" t="s">
        <v>138</v>
      </c>
    </row>
    <row r="59" spans="1:1" x14ac:dyDescent="0.25">
      <c r="A59" t="s">
        <v>136</v>
      </c>
    </row>
    <row r="60" spans="1:1" x14ac:dyDescent="0.25">
      <c r="A60" t="s">
        <v>158</v>
      </c>
    </row>
    <row r="61" spans="1:1" x14ac:dyDescent="0.25">
      <c r="A61" t="s">
        <v>181</v>
      </c>
    </row>
    <row r="62" spans="1:1" x14ac:dyDescent="0.25">
      <c r="A62" t="s">
        <v>162</v>
      </c>
    </row>
    <row r="63" spans="1:1" x14ac:dyDescent="0.25">
      <c r="A63" t="s">
        <v>167</v>
      </c>
    </row>
    <row r="64" spans="1:1" x14ac:dyDescent="0.25">
      <c r="A64" t="s">
        <v>168</v>
      </c>
    </row>
    <row r="65" spans="1:1" x14ac:dyDescent="0.25">
      <c r="A65" t="s">
        <v>171</v>
      </c>
    </row>
    <row r="66" spans="1:1" x14ac:dyDescent="0.25">
      <c r="A66" t="s">
        <v>173</v>
      </c>
    </row>
    <row r="67" spans="1:1" x14ac:dyDescent="0.25">
      <c r="A67" t="s">
        <v>175</v>
      </c>
    </row>
    <row r="68" spans="1:1" x14ac:dyDescent="0.25">
      <c r="A68" t="s">
        <v>177</v>
      </c>
    </row>
    <row r="69" spans="1:1" x14ac:dyDescent="0.25">
      <c r="A69" t="s">
        <v>179</v>
      </c>
    </row>
    <row r="70" spans="1:1" x14ac:dyDescent="0.25">
      <c r="A70" t="s">
        <v>220</v>
      </c>
    </row>
    <row r="71" spans="1:1" x14ac:dyDescent="0.25">
      <c r="A71" t="s">
        <v>316</v>
      </c>
    </row>
    <row r="72" spans="1:1" x14ac:dyDescent="0.25">
      <c r="A72" t="s">
        <v>291</v>
      </c>
    </row>
    <row r="73" spans="1:1" x14ac:dyDescent="0.25">
      <c r="A73" t="s">
        <v>293</v>
      </c>
    </row>
    <row r="74" spans="1:1" x14ac:dyDescent="0.25">
      <c r="A74" t="s">
        <v>295</v>
      </c>
    </row>
    <row r="75" spans="1:1" x14ac:dyDescent="0.25">
      <c r="A75" t="s">
        <v>297</v>
      </c>
    </row>
    <row r="76" spans="1:1" x14ac:dyDescent="0.25">
      <c r="A76" t="s">
        <v>236</v>
      </c>
    </row>
    <row r="77" spans="1:1" x14ac:dyDescent="0.25">
      <c r="A77" t="s">
        <v>300</v>
      </c>
    </row>
    <row r="78" spans="1:1" x14ac:dyDescent="0.25">
      <c r="A78" t="s">
        <v>216</v>
      </c>
    </row>
    <row r="79" spans="1:1" x14ac:dyDescent="0.25">
      <c r="A79" t="s">
        <v>304</v>
      </c>
    </row>
    <row r="80" spans="1:1" x14ac:dyDescent="0.25">
      <c r="A80" t="s">
        <v>306</v>
      </c>
    </row>
    <row r="81" spans="1:1" x14ac:dyDescent="0.25">
      <c r="A81" t="s">
        <v>308</v>
      </c>
    </row>
    <row r="82" spans="1:1" x14ac:dyDescent="0.25">
      <c r="A82" t="s">
        <v>310</v>
      </c>
    </row>
    <row r="83" spans="1:1" x14ac:dyDescent="0.25">
      <c r="A83" t="s">
        <v>340</v>
      </c>
    </row>
    <row r="84" spans="1:1" x14ac:dyDescent="0.25">
      <c r="A84" t="s">
        <v>314</v>
      </c>
    </row>
    <row r="85" spans="1:1" x14ac:dyDescent="0.25">
      <c r="A85" t="s">
        <v>288</v>
      </c>
    </row>
    <row r="86" spans="1:1" x14ac:dyDescent="0.25">
      <c r="A86" t="s">
        <v>318</v>
      </c>
    </row>
    <row r="87" spans="1:1" x14ac:dyDescent="0.25">
      <c r="A87" t="s">
        <v>320</v>
      </c>
    </row>
    <row r="88" spans="1:1" x14ac:dyDescent="0.25">
      <c r="A88" t="s">
        <v>322</v>
      </c>
    </row>
    <row r="89" spans="1:1" x14ac:dyDescent="0.25">
      <c r="A89" t="s">
        <v>324</v>
      </c>
    </row>
    <row r="90" spans="1:1" x14ac:dyDescent="0.25">
      <c r="A90" t="s">
        <v>326</v>
      </c>
    </row>
    <row r="91" spans="1:1" x14ac:dyDescent="0.25">
      <c r="A91" t="s">
        <v>328</v>
      </c>
    </row>
    <row r="92" spans="1:1" x14ac:dyDescent="0.25">
      <c r="A92" t="s">
        <v>330</v>
      </c>
    </row>
    <row r="93" spans="1:1" x14ac:dyDescent="0.25">
      <c r="A93" t="s">
        <v>332</v>
      </c>
    </row>
    <row r="94" spans="1:1" x14ac:dyDescent="0.25">
      <c r="A94" t="s">
        <v>334</v>
      </c>
    </row>
    <row r="95" spans="1:1" x14ac:dyDescent="0.25">
      <c r="A95" t="s">
        <v>336</v>
      </c>
    </row>
    <row r="96" spans="1:1" x14ac:dyDescent="0.25">
      <c r="A96" t="s">
        <v>338</v>
      </c>
    </row>
    <row r="97" spans="1:1" x14ac:dyDescent="0.25">
      <c r="A97" t="s">
        <v>262</v>
      </c>
    </row>
    <row r="98" spans="1:1" x14ac:dyDescent="0.25">
      <c r="A98" t="s">
        <v>258</v>
      </c>
    </row>
    <row r="99" spans="1:1" x14ac:dyDescent="0.25">
      <c r="A99" t="s">
        <v>312</v>
      </c>
    </row>
    <row r="100" spans="1:1" x14ac:dyDescent="0.25">
      <c r="A100" t="s">
        <v>238</v>
      </c>
    </row>
    <row r="101" spans="1:1" x14ac:dyDescent="0.25">
      <c r="A101" t="s">
        <v>240</v>
      </c>
    </row>
    <row r="102" spans="1:1" x14ac:dyDescent="0.25">
      <c r="A102" t="s">
        <v>242</v>
      </c>
    </row>
    <row r="103" spans="1:1" x14ac:dyDescent="0.25">
      <c r="A103" t="s">
        <v>244</v>
      </c>
    </row>
    <row r="104" spans="1:1" x14ac:dyDescent="0.25">
      <c r="A104" t="s">
        <v>246</v>
      </c>
    </row>
    <row r="105" spans="1:1" x14ac:dyDescent="0.25">
      <c r="A105" t="s">
        <v>248</v>
      </c>
    </row>
    <row r="106" spans="1:1" x14ac:dyDescent="0.25">
      <c r="A106" t="s">
        <v>250</v>
      </c>
    </row>
    <row r="107" spans="1:1" x14ac:dyDescent="0.25">
      <c r="A107" t="s">
        <v>252</v>
      </c>
    </row>
    <row r="108" spans="1:1" x14ac:dyDescent="0.25">
      <c r="A108" t="s">
        <v>254</v>
      </c>
    </row>
    <row r="109" spans="1:1" x14ac:dyDescent="0.25">
      <c r="A109" t="s">
        <v>256</v>
      </c>
    </row>
    <row r="110" spans="1:1" x14ac:dyDescent="0.25">
      <c r="A110" t="s">
        <v>286</v>
      </c>
    </row>
    <row r="111" spans="1:1" x14ac:dyDescent="0.25">
      <c r="A111" t="s">
        <v>260</v>
      </c>
    </row>
    <row r="112" spans="1:1" x14ac:dyDescent="0.25">
      <c r="A112" t="s">
        <v>234</v>
      </c>
    </row>
    <row r="113" spans="1:1" x14ac:dyDescent="0.25">
      <c r="A113" t="s">
        <v>264</v>
      </c>
    </row>
    <row r="114" spans="1:1" x14ac:dyDescent="0.25">
      <c r="A114" t="s">
        <v>266</v>
      </c>
    </row>
    <row r="115" spans="1:1" x14ac:dyDescent="0.25">
      <c r="A115" t="s">
        <v>268</v>
      </c>
    </row>
    <row r="116" spans="1:1" x14ac:dyDescent="0.25">
      <c r="A116" t="s">
        <v>270</v>
      </c>
    </row>
    <row r="117" spans="1:1" x14ac:dyDescent="0.25">
      <c r="A117" t="s">
        <v>272</v>
      </c>
    </row>
    <row r="118" spans="1:1" x14ac:dyDescent="0.25">
      <c r="A118" t="s">
        <v>274</v>
      </c>
    </row>
    <row r="119" spans="1:1" x14ac:dyDescent="0.25">
      <c r="A119" t="s">
        <v>276</v>
      </c>
    </row>
    <row r="120" spans="1:1" x14ac:dyDescent="0.25">
      <c r="A120" t="s">
        <v>278</v>
      </c>
    </row>
    <row r="121" spans="1:1" x14ac:dyDescent="0.25">
      <c r="A121" t="s">
        <v>280</v>
      </c>
    </row>
    <row r="122" spans="1:1" x14ac:dyDescent="0.25">
      <c r="A122" t="s">
        <v>282</v>
      </c>
    </row>
    <row r="123" spans="1:1" x14ac:dyDescent="0.25">
      <c r="A123" t="s">
        <v>284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317"/>
  <sheetViews>
    <sheetView workbookViewId="0">
      <selection activeCell="G27" sqref="G27"/>
    </sheetView>
  </sheetViews>
  <sheetFormatPr baseColWidth="10" defaultRowHeight="15" x14ac:dyDescent="0.25"/>
  <cols>
    <col min="4" max="4" width="13.85546875" bestFit="1" customWidth="1"/>
    <col min="6" max="6" width="13.42578125" customWidth="1"/>
    <col min="11" max="11" width="12" customWidth="1"/>
    <col min="13" max="13" width="11.85546875" customWidth="1"/>
    <col min="14" max="14" width="12.85546875" customWidth="1"/>
    <col min="15" max="15" width="13.5703125" customWidth="1"/>
    <col min="16" max="16" width="12" customWidth="1"/>
  </cols>
  <sheetData>
    <row r="1" spans="1:15" x14ac:dyDescent="0.25">
      <c r="A1" t="s">
        <v>71</v>
      </c>
      <c r="B1" t="s">
        <v>70</v>
      </c>
      <c r="C1" t="s">
        <v>69</v>
      </c>
      <c r="D1" t="s">
        <v>68</v>
      </c>
      <c r="E1" t="s">
        <v>47</v>
      </c>
      <c r="F1" t="s">
        <v>63</v>
      </c>
      <c r="G1" t="s">
        <v>62</v>
      </c>
      <c r="H1" t="s">
        <v>60</v>
      </c>
      <c r="I1" t="s">
        <v>57</v>
      </c>
      <c r="J1" t="s">
        <v>50</v>
      </c>
      <c r="K1" t="s">
        <v>79</v>
      </c>
      <c r="L1" t="s">
        <v>80</v>
      </c>
      <c r="M1" t="s">
        <v>86</v>
      </c>
      <c r="N1" t="s">
        <v>52</v>
      </c>
      <c r="O1" t="s">
        <v>85</v>
      </c>
    </row>
    <row r="2" spans="1:15" x14ac:dyDescent="0.25">
      <c r="A2" t="s">
        <v>302</v>
      </c>
      <c r="B2" t="s">
        <v>303</v>
      </c>
      <c r="D2" t="s">
        <v>87</v>
      </c>
      <c r="E2">
        <v>0</v>
      </c>
      <c r="F2">
        <v>15.2</v>
      </c>
      <c r="G2">
        <v>24.28</v>
      </c>
      <c r="H2">
        <v>2</v>
      </c>
      <c r="I2">
        <v>1</v>
      </c>
      <c r="K2">
        <v>0</v>
      </c>
      <c r="L2">
        <v>0</v>
      </c>
      <c r="M2">
        <v>0</v>
      </c>
      <c r="N2">
        <v>100</v>
      </c>
      <c r="O2" s="7">
        <f>IFERROR(MATCH(tblTransferProveedor[[#This Row],[Codigo]],tblTransferActual[CODIGO],0),0)</f>
        <v>19</v>
      </c>
    </row>
    <row r="3" spans="1:15" x14ac:dyDescent="0.25">
      <c r="A3" t="s">
        <v>107</v>
      </c>
      <c r="B3" t="s">
        <v>299</v>
      </c>
      <c r="D3" t="s">
        <v>100</v>
      </c>
      <c r="E3">
        <v>0</v>
      </c>
      <c r="F3">
        <v>20.05</v>
      </c>
      <c r="G3">
        <v>29.45</v>
      </c>
      <c r="H3">
        <v>35</v>
      </c>
      <c r="I3">
        <v>1</v>
      </c>
      <c r="K3">
        <v>0</v>
      </c>
      <c r="L3">
        <v>0</v>
      </c>
      <c r="M3">
        <v>0</v>
      </c>
      <c r="N3">
        <v>36</v>
      </c>
      <c r="O3" s="7">
        <f>IFERROR(MATCH(tblTransferProveedor[[#This Row],[Codigo]],tblTransferActual[CODIGO],0),0)</f>
        <v>20</v>
      </c>
    </row>
    <row r="4" spans="1:15" x14ac:dyDescent="0.25">
      <c r="A4" t="s">
        <v>342</v>
      </c>
      <c r="B4" t="s">
        <v>343</v>
      </c>
      <c r="D4" t="s">
        <v>100</v>
      </c>
      <c r="E4">
        <v>0</v>
      </c>
      <c r="F4">
        <v>20.34</v>
      </c>
      <c r="G4">
        <v>29.45</v>
      </c>
      <c r="H4">
        <v>0</v>
      </c>
      <c r="I4">
        <v>0</v>
      </c>
      <c r="K4">
        <v>0</v>
      </c>
      <c r="L4">
        <v>0</v>
      </c>
      <c r="M4">
        <v>0</v>
      </c>
      <c r="N4">
        <v>0</v>
      </c>
      <c r="O4" s="7">
        <f>IFERROR(MATCH(tblTransferProveedor[[#This Row],[Codigo]],tblTransferActual[CODIGO],0),0)</f>
        <v>0</v>
      </c>
    </row>
    <row r="5" spans="1:15" x14ac:dyDescent="0.25">
      <c r="A5" t="s">
        <v>344</v>
      </c>
      <c r="B5" t="s">
        <v>345</v>
      </c>
      <c r="D5" t="s">
        <v>100</v>
      </c>
      <c r="E5">
        <v>0</v>
      </c>
      <c r="F5">
        <v>20.34</v>
      </c>
      <c r="G5">
        <v>29.45</v>
      </c>
      <c r="H5">
        <v>0</v>
      </c>
      <c r="I5">
        <v>0</v>
      </c>
      <c r="K5">
        <v>0</v>
      </c>
      <c r="L5">
        <v>0</v>
      </c>
      <c r="M5">
        <v>0</v>
      </c>
      <c r="N5">
        <v>0</v>
      </c>
      <c r="O5" s="7">
        <f>IFERROR(MATCH(tblTransferProveedor[[#This Row],[Codigo]],tblTransferActual[CODIGO],0),0)</f>
        <v>0</v>
      </c>
    </row>
    <row r="6" spans="1:15" x14ac:dyDescent="0.25">
      <c r="A6" t="s">
        <v>169</v>
      </c>
      <c r="B6" t="s">
        <v>170</v>
      </c>
      <c r="D6" t="s">
        <v>100</v>
      </c>
      <c r="E6">
        <v>0</v>
      </c>
      <c r="F6">
        <v>20.05</v>
      </c>
      <c r="G6">
        <v>29.45</v>
      </c>
      <c r="H6">
        <v>50</v>
      </c>
      <c r="I6">
        <v>1</v>
      </c>
      <c r="K6">
        <v>0</v>
      </c>
      <c r="L6">
        <v>0</v>
      </c>
      <c r="M6">
        <v>0</v>
      </c>
      <c r="N6">
        <v>36</v>
      </c>
      <c r="O6" s="7">
        <f>IFERROR(MATCH(tblTransferProveedor[[#This Row],[Codigo]],tblTransferActual[CODIGO],0),0)</f>
        <v>21</v>
      </c>
    </row>
    <row r="7" spans="1:15" x14ac:dyDescent="0.25">
      <c r="A7" t="s">
        <v>218</v>
      </c>
      <c r="B7" t="s">
        <v>219</v>
      </c>
      <c r="D7" t="s">
        <v>100</v>
      </c>
      <c r="E7">
        <v>0</v>
      </c>
      <c r="F7">
        <v>20.05</v>
      </c>
      <c r="G7">
        <v>29.45</v>
      </c>
      <c r="H7">
        <v>70</v>
      </c>
      <c r="I7">
        <v>1</v>
      </c>
      <c r="K7">
        <v>0</v>
      </c>
      <c r="L7">
        <v>0</v>
      </c>
      <c r="M7">
        <v>0</v>
      </c>
      <c r="N7">
        <v>36</v>
      </c>
      <c r="O7" s="7">
        <f>IFERROR(MATCH(tblTransferProveedor[[#This Row],[Codigo]],tblTransferActual[CODIGO],0),0)</f>
        <v>22</v>
      </c>
    </row>
    <row r="8" spans="1:15" x14ac:dyDescent="0.25">
      <c r="A8" t="s">
        <v>184</v>
      </c>
      <c r="B8" t="s">
        <v>215</v>
      </c>
      <c r="D8" t="s">
        <v>100</v>
      </c>
      <c r="E8">
        <v>0</v>
      </c>
      <c r="F8">
        <v>15.82</v>
      </c>
      <c r="G8">
        <v>28.57</v>
      </c>
      <c r="H8">
        <v>179</v>
      </c>
      <c r="I8">
        <v>1</v>
      </c>
      <c r="K8">
        <v>0</v>
      </c>
      <c r="L8">
        <v>0</v>
      </c>
      <c r="M8">
        <v>0</v>
      </c>
      <c r="N8">
        <v>45</v>
      </c>
      <c r="O8" s="7">
        <f>IFERROR(MATCH(tblTransferProveedor[[#This Row],[Codigo]],tblTransferActual[CODIGO],0),0)</f>
        <v>23</v>
      </c>
    </row>
    <row r="9" spans="1:15" x14ac:dyDescent="0.25">
      <c r="A9" t="s">
        <v>200</v>
      </c>
      <c r="B9" t="s">
        <v>201</v>
      </c>
      <c r="D9" t="s">
        <v>100</v>
      </c>
      <c r="E9">
        <v>0</v>
      </c>
      <c r="F9">
        <v>17.28</v>
      </c>
      <c r="G9">
        <v>28.57</v>
      </c>
      <c r="H9">
        <v>386</v>
      </c>
      <c r="I9">
        <v>1</v>
      </c>
      <c r="K9">
        <v>0</v>
      </c>
      <c r="L9">
        <v>0</v>
      </c>
      <c r="M9">
        <v>0</v>
      </c>
      <c r="N9">
        <v>99</v>
      </c>
      <c r="O9" s="7">
        <f>IFERROR(MATCH(tblTransferProveedor[[#This Row],[Codigo]],tblTransferActual[CODIGO],0),0)</f>
        <v>24</v>
      </c>
    </row>
    <row r="10" spans="1:15" x14ac:dyDescent="0.25">
      <c r="A10" t="s">
        <v>222</v>
      </c>
      <c r="B10" t="s">
        <v>223</v>
      </c>
      <c r="D10" t="s">
        <v>100</v>
      </c>
      <c r="E10">
        <v>0</v>
      </c>
      <c r="F10">
        <v>15.82</v>
      </c>
      <c r="G10">
        <v>28.57</v>
      </c>
      <c r="H10">
        <v>26</v>
      </c>
      <c r="I10">
        <v>1</v>
      </c>
      <c r="K10">
        <v>0</v>
      </c>
      <c r="L10">
        <v>0</v>
      </c>
      <c r="M10">
        <v>0</v>
      </c>
      <c r="N10">
        <v>36</v>
      </c>
      <c r="O10" s="7">
        <f>IFERROR(MATCH(tblTransferProveedor[[#This Row],[Codigo]],tblTransferActual[CODIGO],0),0)</f>
        <v>25</v>
      </c>
    </row>
    <row r="11" spans="1:15" x14ac:dyDescent="0.25">
      <c r="A11" t="s">
        <v>186</v>
      </c>
      <c r="B11" t="s">
        <v>187</v>
      </c>
      <c r="D11" t="s">
        <v>100</v>
      </c>
      <c r="E11">
        <v>0</v>
      </c>
      <c r="F11">
        <v>16.71</v>
      </c>
      <c r="G11">
        <v>29.45</v>
      </c>
      <c r="H11">
        <v>2</v>
      </c>
      <c r="I11">
        <v>1</v>
      </c>
      <c r="K11">
        <v>0</v>
      </c>
      <c r="L11">
        <v>0</v>
      </c>
      <c r="M11">
        <v>0</v>
      </c>
      <c r="N11">
        <v>36</v>
      </c>
      <c r="O11" s="7">
        <f>IFERROR(MATCH(tblTransferProveedor[[#This Row],[Codigo]],tblTransferActual[CODIGO],0),0)</f>
        <v>26</v>
      </c>
    </row>
    <row r="12" spans="1:15" x14ac:dyDescent="0.25">
      <c r="A12" t="s">
        <v>188</v>
      </c>
      <c r="B12" t="s">
        <v>189</v>
      </c>
      <c r="D12" t="s">
        <v>100</v>
      </c>
      <c r="E12">
        <v>0</v>
      </c>
      <c r="F12">
        <v>20.05</v>
      </c>
      <c r="G12">
        <v>29.45</v>
      </c>
      <c r="H12">
        <v>103</v>
      </c>
      <c r="I12">
        <v>1</v>
      </c>
      <c r="K12">
        <v>0</v>
      </c>
      <c r="L12">
        <v>0</v>
      </c>
      <c r="M12">
        <v>0</v>
      </c>
      <c r="N12">
        <v>36</v>
      </c>
      <c r="O12" s="7">
        <f>IFERROR(MATCH(tblTransferProveedor[[#This Row],[Codigo]],tblTransferActual[CODIGO],0),0)</f>
        <v>27</v>
      </c>
    </row>
    <row r="13" spans="1:15" x14ac:dyDescent="0.25">
      <c r="A13" t="s">
        <v>346</v>
      </c>
      <c r="B13" t="s">
        <v>347</v>
      </c>
      <c r="D13" t="s">
        <v>100</v>
      </c>
      <c r="E13">
        <v>0</v>
      </c>
      <c r="F13">
        <v>39.54</v>
      </c>
      <c r="G13">
        <v>29.45</v>
      </c>
      <c r="H13">
        <v>0</v>
      </c>
      <c r="I13">
        <v>0</v>
      </c>
      <c r="K13">
        <v>0</v>
      </c>
      <c r="L13">
        <v>0</v>
      </c>
      <c r="M13">
        <v>0</v>
      </c>
      <c r="N13">
        <v>0</v>
      </c>
      <c r="O13" s="7">
        <f>IFERROR(MATCH(tblTransferProveedor[[#This Row],[Codigo]],tblTransferActual[CODIGO],0),0)</f>
        <v>0</v>
      </c>
    </row>
    <row r="14" spans="1:15" x14ac:dyDescent="0.25">
      <c r="A14" t="s">
        <v>190</v>
      </c>
      <c r="B14" t="s">
        <v>191</v>
      </c>
      <c r="D14" t="s">
        <v>100</v>
      </c>
      <c r="E14">
        <v>0</v>
      </c>
      <c r="F14">
        <v>20.05</v>
      </c>
      <c r="G14">
        <v>29.45</v>
      </c>
      <c r="H14">
        <v>39</v>
      </c>
      <c r="I14">
        <v>1</v>
      </c>
      <c r="K14">
        <v>0</v>
      </c>
      <c r="L14">
        <v>0</v>
      </c>
      <c r="M14">
        <v>0</v>
      </c>
      <c r="N14">
        <v>36</v>
      </c>
      <c r="O14" s="7">
        <f>IFERROR(MATCH(tblTransferProveedor[[#This Row],[Codigo]],tblTransferActual[CODIGO],0),0)</f>
        <v>28</v>
      </c>
    </row>
    <row r="15" spans="1:15" x14ac:dyDescent="0.25">
      <c r="A15" t="s">
        <v>192</v>
      </c>
      <c r="B15" t="s">
        <v>193</v>
      </c>
      <c r="D15" t="s">
        <v>100</v>
      </c>
      <c r="E15">
        <v>0</v>
      </c>
      <c r="F15">
        <v>20.05</v>
      </c>
      <c r="G15">
        <v>29.45</v>
      </c>
      <c r="H15">
        <v>34</v>
      </c>
      <c r="I15">
        <v>1</v>
      </c>
      <c r="K15">
        <v>0</v>
      </c>
      <c r="L15">
        <v>0</v>
      </c>
      <c r="M15">
        <v>0</v>
      </c>
      <c r="N15">
        <v>36</v>
      </c>
      <c r="O15" s="7">
        <f>IFERROR(MATCH(tblTransferProveedor[[#This Row],[Codigo]],tblTransferActual[CODIGO],0),0)</f>
        <v>29</v>
      </c>
    </row>
    <row r="16" spans="1:15" x14ac:dyDescent="0.25">
      <c r="A16" t="s">
        <v>194</v>
      </c>
      <c r="B16" t="s">
        <v>195</v>
      </c>
      <c r="D16" t="s">
        <v>100</v>
      </c>
      <c r="E16">
        <v>0</v>
      </c>
      <c r="F16">
        <v>17.54</v>
      </c>
      <c r="G16">
        <v>28.57</v>
      </c>
      <c r="H16">
        <v>157</v>
      </c>
      <c r="I16">
        <v>1</v>
      </c>
      <c r="K16">
        <v>0</v>
      </c>
      <c r="L16">
        <v>0</v>
      </c>
      <c r="M16">
        <v>0</v>
      </c>
      <c r="N16">
        <v>36</v>
      </c>
      <c r="O16" s="7">
        <f>IFERROR(MATCH(tblTransferProveedor[[#This Row],[Codigo]],tblTransferActual[CODIGO],0),0)</f>
        <v>30</v>
      </c>
    </row>
    <row r="17" spans="1:15" x14ac:dyDescent="0.25">
      <c r="A17" t="s">
        <v>196</v>
      </c>
      <c r="B17" t="s">
        <v>197</v>
      </c>
      <c r="D17" t="s">
        <v>100</v>
      </c>
      <c r="E17">
        <v>0</v>
      </c>
      <c r="F17">
        <v>17.28</v>
      </c>
      <c r="G17">
        <v>28.57</v>
      </c>
      <c r="H17">
        <v>201</v>
      </c>
      <c r="I17">
        <v>1</v>
      </c>
      <c r="K17">
        <v>0</v>
      </c>
      <c r="L17">
        <v>0</v>
      </c>
      <c r="M17">
        <v>0</v>
      </c>
      <c r="N17">
        <v>45</v>
      </c>
      <c r="O17" s="7">
        <f>IFERROR(MATCH(tblTransferProveedor[[#This Row],[Codigo]],tblTransferActual[CODIGO],0),0)</f>
        <v>31</v>
      </c>
    </row>
    <row r="18" spans="1:15" x14ac:dyDescent="0.25">
      <c r="A18" t="s">
        <v>198</v>
      </c>
      <c r="B18" t="s">
        <v>199</v>
      </c>
      <c r="D18" t="s">
        <v>100</v>
      </c>
      <c r="E18">
        <v>0</v>
      </c>
      <c r="F18">
        <v>20.05</v>
      </c>
      <c r="G18">
        <v>29.45</v>
      </c>
      <c r="H18">
        <v>65</v>
      </c>
      <c r="I18">
        <v>1</v>
      </c>
      <c r="K18">
        <v>0</v>
      </c>
      <c r="L18">
        <v>0</v>
      </c>
      <c r="M18">
        <v>0</v>
      </c>
      <c r="N18">
        <v>36</v>
      </c>
      <c r="O18" s="7">
        <f>IFERROR(MATCH(tblTransferProveedor[[#This Row],[Codigo]],tblTransferActual[CODIGO],0),0)</f>
        <v>32</v>
      </c>
    </row>
    <row r="19" spans="1:15" x14ac:dyDescent="0.25">
      <c r="A19" t="s">
        <v>106</v>
      </c>
      <c r="B19" t="s">
        <v>108</v>
      </c>
      <c r="D19" t="s">
        <v>100</v>
      </c>
      <c r="E19">
        <v>0</v>
      </c>
      <c r="F19">
        <v>20.05</v>
      </c>
      <c r="G19">
        <v>29.45</v>
      </c>
      <c r="H19">
        <v>37</v>
      </c>
      <c r="I19">
        <v>0.97</v>
      </c>
      <c r="K19">
        <v>0</v>
      </c>
      <c r="L19">
        <v>0</v>
      </c>
      <c r="M19">
        <v>0</v>
      </c>
      <c r="N19">
        <v>36</v>
      </c>
      <c r="O19" s="7">
        <f>IFERROR(MATCH(tblTransferProveedor[[#This Row],[Codigo]],tblTransferActual[CODIGO],0),0)</f>
        <v>15</v>
      </c>
    </row>
    <row r="20" spans="1:15" x14ac:dyDescent="0.25">
      <c r="A20" t="s">
        <v>348</v>
      </c>
      <c r="B20" t="s">
        <v>349</v>
      </c>
      <c r="D20" t="s">
        <v>100</v>
      </c>
      <c r="E20">
        <v>0</v>
      </c>
      <c r="F20">
        <v>15.82</v>
      </c>
      <c r="G20">
        <v>28.57</v>
      </c>
      <c r="H20">
        <v>0</v>
      </c>
      <c r="I20">
        <v>0</v>
      </c>
      <c r="K20">
        <v>0</v>
      </c>
      <c r="L20">
        <v>0</v>
      </c>
      <c r="M20">
        <v>0</v>
      </c>
      <c r="N20">
        <v>0</v>
      </c>
      <c r="O20" s="7">
        <f>IFERROR(MATCH(tblTransferProveedor[[#This Row],[Codigo]],tblTransferActual[CODIGO],0),0)</f>
        <v>0</v>
      </c>
    </row>
    <row r="21" spans="1:15" x14ac:dyDescent="0.25">
      <c r="A21" t="s">
        <v>202</v>
      </c>
      <c r="B21" t="s">
        <v>203</v>
      </c>
      <c r="D21" t="s">
        <v>100</v>
      </c>
      <c r="E21">
        <v>0</v>
      </c>
      <c r="F21">
        <v>20.05</v>
      </c>
      <c r="G21">
        <v>29.45</v>
      </c>
      <c r="H21">
        <v>36</v>
      </c>
      <c r="I21">
        <v>1</v>
      </c>
      <c r="K21">
        <v>0</v>
      </c>
      <c r="L21">
        <v>0</v>
      </c>
      <c r="M21">
        <v>0</v>
      </c>
      <c r="N21">
        <v>36</v>
      </c>
      <c r="O21" s="7">
        <f>IFERROR(MATCH(tblTransferProveedor[[#This Row],[Codigo]],tblTransferActual[CODIGO],0),0)</f>
        <v>33</v>
      </c>
    </row>
    <row r="22" spans="1:15" x14ac:dyDescent="0.25">
      <c r="A22" t="s">
        <v>350</v>
      </c>
      <c r="B22" t="s">
        <v>351</v>
      </c>
      <c r="D22" t="s">
        <v>100</v>
      </c>
      <c r="E22">
        <v>0</v>
      </c>
      <c r="F22">
        <v>20.34</v>
      </c>
      <c r="G22">
        <v>29.45</v>
      </c>
      <c r="H22">
        <v>0</v>
      </c>
      <c r="I22">
        <v>0</v>
      </c>
      <c r="K22">
        <v>0</v>
      </c>
      <c r="L22">
        <v>0</v>
      </c>
      <c r="M22">
        <v>0</v>
      </c>
      <c r="N22">
        <v>0</v>
      </c>
      <c r="O22" s="7">
        <f>IFERROR(MATCH(tblTransferProveedor[[#This Row],[Codigo]],tblTransferActual[CODIGO],0),0)</f>
        <v>0</v>
      </c>
    </row>
    <row r="23" spans="1:15" x14ac:dyDescent="0.25">
      <c r="A23" t="s">
        <v>204</v>
      </c>
      <c r="B23" t="s">
        <v>205</v>
      </c>
      <c r="D23" t="s">
        <v>100</v>
      </c>
      <c r="E23">
        <v>0</v>
      </c>
      <c r="F23">
        <v>20.05</v>
      </c>
      <c r="G23">
        <v>29.45</v>
      </c>
      <c r="H23">
        <v>72</v>
      </c>
      <c r="I23">
        <v>1</v>
      </c>
      <c r="K23">
        <v>0</v>
      </c>
      <c r="L23">
        <v>0</v>
      </c>
      <c r="M23">
        <v>0</v>
      </c>
      <c r="N23">
        <v>36</v>
      </c>
      <c r="O23" s="7">
        <f>IFERROR(MATCH(tblTransferProveedor[[#This Row],[Codigo]],tblTransferActual[CODIGO],0),0)</f>
        <v>34</v>
      </c>
    </row>
    <row r="24" spans="1:15" x14ac:dyDescent="0.25">
      <c r="A24" t="s">
        <v>232</v>
      </c>
      <c r="B24" t="s">
        <v>233</v>
      </c>
      <c r="D24" t="s">
        <v>100</v>
      </c>
      <c r="E24">
        <v>0</v>
      </c>
      <c r="F24">
        <v>15.82</v>
      </c>
      <c r="G24">
        <v>28.57</v>
      </c>
      <c r="H24">
        <v>32</v>
      </c>
      <c r="I24">
        <v>1</v>
      </c>
      <c r="K24">
        <v>0</v>
      </c>
      <c r="L24">
        <v>0</v>
      </c>
      <c r="M24">
        <v>0</v>
      </c>
      <c r="N24">
        <v>36</v>
      </c>
      <c r="O24" s="7">
        <f>IFERROR(MATCH(tblTransferProveedor[[#This Row],[Codigo]],tblTransferActual[CODIGO],0),0)</f>
        <v>35</v>
      </c>
    </row>
    <row r="25" spans="1:15" x14ac:dyDescent="0.25">
      <c r="A25" t="s">
        <v>352</v>
      </c>
      <c r="B25" t="s">
        <v>353</v>
      </c>
      <c r="D25" t="s">
        <v>100</v>
      </c>
      <c r="E25">
        <v>0</v>
      </c>
      <c r="F25">
        <v>20.34</v>
      </c>
      <c r="G25">
        <v>29.45</v>
      </c>
      <c r="H25">
        <v>0</v>
      </c>
      <c r="I25">
        <v>0</v>
      </c>
      <c r="K25">
        <v>0</v>
      </c>
      <c r="L25">
        <v>0</v>
      </c>
      <c r="M25">
        <v>0</v>
      </c>
      <c r="N25">
        <v>0</v>
      </c>
      <c r="O25" s="7">
        <f>IFERROR(MATCH(tblTransferProveedor[[#This Row],[Codigo]],tblTransferActual[CODIGO],0),0)</f>
        <v>0</v>
      </c>
    </row>
    <row r="26" spans="1:15" x14ac:dyDescent="0.25">
      <c r="A26" t="s">
        <v>354</v>
      </c>
      <c r="B26" t="s">
        <v>355</v>
      </c>
      <c r="D26" t="s">
        <v>100</v>
      </c>
      <c r="E26">
        <v>0</v>
      </c>
      <c r="F26">
        <v>20.34</v>
      </c>
      <c r="G26">
        <v>29.45</v>
      </c>
      <c r="H26">
        <v>0</v>
      </c>
      <c r="I26">
        <v>0</v>
      </c>
      <c r="K26">
        <v>0</v>
      </c>
      <c r="L26">
        <v>0</v>
      </c>
      <c r="M26">
        <v>0</v>
      </c>
      <c r="N26">
        <v>0</v>
      </c>
      <c r="O26" s="7">
        <f>IFERROR(MATCH(tblTransferProveedor[[#This Row],[Codigo]],tblTransferActual[CODIGO],0),0)</f>
        <v>0</v>
      </c>
    </row>
    <row r="27" spans="1:15" x14ac:dyDescent="0.25">
      <c r="A27" t="s">
        <v>356</v>
      </c>
      <c r="B27" t="s">
        <v>357</v>
      </c>
      <c r="D27" t="s">
        <v>100</v>
      </c>
      <c r="E27">
        <v>0</v>
      </c>
      <c r="F27">
        <v>16.71</v>
      </c>
      <c r="G27">
        <v>29.45</v>
      </c>
      <c r="H27">
        <v>0</v>
      </c>
      <c r="I27">
        <v>0</v>
      </c>
      <c r="K27">
        <v>0</v>
      </c>
      <c r="L27">
        <v>0</v>
      </c>
      <c r="M27">
        <v>0</v>
      </c>
      <c r="N27">
        <v>0</v>
      </c>
      <c r="O27" s="7">
        <f>IFERROR(MATCH(tblTransferProveedor[[#This Row],[Codigo]],tblTransferActual[CODIGO],0),0)</f>
        <v>0</v>
      </c>
    </row>
    <row r="28" spans="1:15" x14ac:dyDescent="0.25">
      <c r="A28" t="s">
        <v>358</v>
      </c>
      <c r="B28" t="s">
        <v>359</v>
      </c>
      <c r="D28" t="s">
        <v>100</v>
      </c>
      <c r="E28">
        <v>0</v>
      </c>
      <c r="F28">
        <v>16.71</v>
      </c>
      <c r="G28">
        <v>29.45</v>
      </c>
      <c r="H28">
        <v>0</v>
      </c>
      <c r="I28">
        <v>0</v>
      </c>
      <c r="K28">
        <v>0</v>
      </c>
      <c r="L28">
        <v>0</v>
      </c>
      <c r="M28">
        <v>0</v>
      </c>
      <c r="N28">
        <v>0</v>
      </c>
      <c r="O28" s="7">
        <f>IFERROR(MATCH(tblTransferProveedor[[#This Row],[Codigo]],tblTransferActual[CODIGO],0),0)</f>
        <v>0</v>
      </c>
    </row>
    <row r="29" spans="1:15" x14ac:dyDescent="0.25">
      <c r="A29" t="s">
        <v>360</v>
      </c>
      <c r="B29" t="s">
        <v>361</v>
      </c>
      <c r="D29" t="s">
        <v>100</v>
      </c>
      <c r="E29">
        <v>0</v>
      </c>
      <c r="F29">
        <v>20.34</v>
      </c>
      <c r="G29">
        <v>29.45</v>
      </c>
      <c r="H29">
        <v>0</v>
      </c>
      <c r="I29">
        <v>0</v>
      </c>
      <c r="K29">
        <v>0</v>
      </c>
      <c r="L29">
        <v>0</v>
      </c>
      <c r="M29">
        <v>0</v>
      </c>
      <c r="N29">
        <v>0</v>
      </c>
      <c r="O29" s="7">
        <f>IFERROR(MATCH(tblTransferProveedor[[#This Row],[Codigo]],tblTransferActual[CODIGO],0),0)</f>
        <v>0</v>
      </c>
    </row>
    <row r="30" spans="1:15" x14ac:dyDescent="0.25">
      <c r="A30" t="s">
        <v>208</v>
      </c>
      <c r="B30" t="s">
        <v>209</v>
      </c>
      <c r="D30" t="s">
        <v>100</v>
      </c>
      <c r="E30">
        <v>0</v>
      </c>
      <c r="F30">
        <v>15.82</v>
      </c>
      <c r="G30">
        <v>28.57</v>
      </c>
      <c r="H30">
        <v>76</v>
      </c>
      <c r="I30">
        <v>1</v>
      </c>
      <c r="K30">
        <v>0</v>
      </c>
      <c r="L30">
        <v>0</v>
      </c>
      <c r="M30">
        <v>0</v>
      </c>
      <c r="N30">
        <v>36</v>
      </c>
      <c r="O30" s="7">
        <f>IFERROR(MATCH(tblTransferProveedor[[#This Row],[Codigo]],tblTransferActual[CODIGO],0),0)</f>
        <v>36</v>
      </c>
    </row>
    <row r="31" spans="1:15" x14ac:dyDescent="0.25">
      <c r="A31" t="s">
        <v>183</v>
      </c>
      <c r="B31" t="s">
        <v>185</v>
      </c>
      <c r="D31" t="s">
        <v>100</v>
      </c>
      <c r="E31">
        <v>0</v>
      </c>
      <c r="F31">
        <v>17.28</v>
      </c>
      <c r="G31">
        <v>28.57</v>
      </c>
      <c r="H31">
        <v>97</v>
      </c>
      <c r="I31">
        <v>1</v>
      </c>
      <c r="K31">
        <v>0</v>
      </c>
      <c r="L31">
        <v>0</v>
      </c>
      <c r="M31">
        <v>0</v>
      </c>
      <c r="N31">
        <v>36</v>
      </c>
      <c r="O31" s="7">
        <f>IFERROR(MATCH(tblTransferProveedor[[#This Row],[Codigo]],tblTransferActual[CODIGO],0),0)</f>
        <v>37</v>
      </c>
    </row>
    <row r="32" spans="1:15" x14ac:dyDescent="0.25">
      <c r="A32" t="s">
        <v>212</v>
      </c>
      <c r="B32" t="s">
        <v>213</v>
      </c>
      <c r="D32" t="s">
        <v>100</v>
      </c>
      <c r="E32">
        <v>0</v>
      </c>
      <c r="F32">
        <v>15.57</v>
      </c>
      <c r="G32">
        <v>28.57</v>
      </c>
      <c r="H32">
        <v>15</v>
      </c>
      <c r="I32">
        <v>1</v>
      </c>
      <c r="K32">
        <v>0</v>
      </c>
      <c r="L32">
        <v>0</v>
      </c>
      <c r="M32">
        <v>0</v>
      </c>
      <c r="N32">
        <v>36</v>
      </c>
      <c r="O32" s="7">
        <f>IFERROR(MATCH(tblTransferProveedor[[#This Row],[Codigo]],tblTransferActual[CODIGO],0),0)</f>
        <v>38</v>
      </c>
    </row>
    <row r="33" spans="1:15" x14ac:dyDescent="0.25">
      <c r="A33" t="s">
        <v>165</v>
      </c>
      <c r="B33" t="s">
        <v>214</v>
      </c>
      <c r="D33" t="s">
        <v>100</v>
      </c>
      <c r="E33">
        <v>0</v>
      </c>
      <c r="F33">
        <v>17.29</v>
      </c>
      <c r="G33">
        <v>28.57</v>
      </c>
      <c r="H33">
        <v>260</v>
      </c>
      <c r="I33">
        <v>1</v>
      </c>
      <c r="K33">
        <v>0</v>
      </c>
      <c r="L33">
        <v>0</v>
      </c>
      <c r="M33">
        <v>0</v>
      </c>
      <c r="N33">
        <v>63</v>
      </c>
      <c r="O33" s="7">
        <f>IFERROR(MATCH(tblTransferProveedor[[#This Row],[Codigo]],tblTransferActual[CODIGO],0),0)</f>
        <v>39</v>
      </c>
    </row>
    <row r="34" spans="1:15" x14ac:dyDescent="0.25">
      <c r="A34" t="s">
        <v>226</v>
      </c>
      <c r="B34" t="s">
        <v>227</v>
      </c>
      <c r="D34" t="s">
        <v>100</v>
      </c>
      <c r="E34">
        <v>0</v>
      </c>
      <c r="F34">
        <v>16.54</v>
      </c>
      <c r="G34">
        <v>28.57</v>
      </c>
      <c r="H34">
        <v>15</v>
      </c>
      <c r="I34">
        <v>1</v>
      </c>
      <c r="K34">
        <v>0</v>
      </c>
      <c r="L34">
        <v>0</v>
      </c>
      <c r="M34">
        <v>0</v>
      </c>
      <c r="N34">
        <v>36</v>
      </c>
      <c r="O34" s="7">
        <f>IFERROR(MATCH(tblTransferProveedor[[#This Row],[Codigo]],tblTransferActual[CODIGO],0),0)</f>
        <v>40</v>
      </c>
    </row>
    <row r="35" spans="1:15" x14ac:dyDescent="0.25">
      <c r="A35" t="s">
        <v>164</v>
      </c>
      <c r="B35" t="s">
        <v>166</v>
      </c>
      <c r="D35" t="s">
        <v>100</v>
      </c>
      <c r="E35">
        <v>0</v>
      </c>
      <c r="F35">
        <v>15.82</v>
      </c>
      <c r="G35">
        <v>28.57</v>
      </c>
      <c r="H35">
        <v>11</v>
      </c>
      <c r="I35">
        <v>1</v>
      </c>
      <c r="K35">
        <v>0</v>
      </c>
      <c r="L35">
        <v>0</v>
      </c>
      <c r="M35">
        <v>0</v>
      </c>
      <c r="N35">
        <v>36</v>
      </c>
      <c r="O35" s="7">
        <f>IFERROR(MATCH(tblTransferProveedor[[#This Row],[Codigo]],tblTransferActual[CODIGO],0),0)</f>
        <v>41</v>
      </c>
    </row>
    <row r="36" spans="1:15" x14ac:dyDescent="0.25">
      <c r="A36" t="s">
        <v>224</v>
      </c>
      <c r="B36" t="s">
        <v>225</v>
      </c>
      <c r="D36" t="s">
        <v>100</v>
      </c>
      <c r="E36">
        <v>0</v>
      </c>
      <c r="F36">
        <v>16.54</v>
      </c>
      <c r="G36">
        <v>28.57</v>
      </c>
      <c r="H36">
        <v>21</v>
      </c>
      <c r="I36">
        <v>1</v>
      </c>
      <c r="K36">
        <v>0</v>
      </c>
      <c r="L36">
        <v>0</v>
      </c>
      <c r="M36">
        <v>0</v>
      </c>
      <c r="N36">
        <v>36</v>
      </c>
      <c r="O36" s="7">
        <f>IFERROR(MATCH(tblTransferProveedor[[#This Row],[Codigo]],tblTransferActual[CODIGO],0),0)</f>
        <v>42</v>
      </c>
    </row>
    <row r="37" spans="1:15" x14ac:dyDescent="0.25">
      <c r="A37" t="s">
        <v>206</v>
      </c>
      <c r="B37" t="s">
        <v>207</v>
      </c>
      <c r="D37" t="s">
        <v>100</v>
      </c>
      <c r="E37">
        <v>0</v>
      </c>
      <c r="F37">
        <v>18.14</v>
      </c>
      <c r="G37">
        <v>28.57</v>
      </c>
      <c r="H37">
        <v>95</v>
      </c>
      <c r="I37">
        <v>1</v>
      </c>
      <c r="K37">
        <v>0</v>
      </c>
      <c r="L37">
        <v>0</v>
      </c>
      <c r="M37">
        <v>0</v>
      </c>
      <c r="N37">
        <v>36</v>
      </c>
      <c r="O37" s="7">
        <f>IFERROR(MATCH(tblTransferProveedor[[#This Row],[Codigo]],tblTransferActual[CODIGO],0),0)</f>
        <v>43</v>
      </c>
    </row>
    <row r="38" spans="1:15" x14ac:dyDescent="0.25">
      <c r="A38" t="s">
        <v>228</v>
      </c>
      <c r="B38" t="s">
        <v>229</v>
      </c>
      <c r="D38" t="s">
        <v>100</v>
      </c>
      <c r="E38">
        <v>0</v>
      </c>
      <c r="F38">
        <v>16.54</v>
      </c>
      <c r="G38">
        <v>28.57</v>
      </c>
      <c r="H38">
        <v>33</v>
      </c>
      <c r="I38">
        <v>1</v>
      </c>
      <c r="K38">
        <v>0</v>
      </c>
      <c r="L38">
        <v>0</v>
      </c>
      <c r="M38">
        <v>0</v>
      </c>
      <c r="N38">
        <v>36</v>
      </c>
      <c r="O38" s="7">
        <f>IFERROR(MATCH(tblTransferProveedor[[#This Row],[Codigo]],tblTransferActual[CODIGO],0),0)</f>
        <v>44</v>
      </c>
    </row>
    <row r="39" spans="1:15" x14ac:dyDescent="0.25">
      <c r="A39" t="s">
        <v>230</v>
      </c>
      <c r="B39" t="s">
        <v>231</v>
      </c>
      <c r="D39" t="s">
        <v>100</v>
      </c>
      <c r="E39">
        <v>0</v>
      </c>
      <c r="F39">
        <v>16.54</v>
      </c>
      <c r="G39">
        <v>28.57</v>
      </c>
      <c r="H39">
        <v>13</v>
      </c>
      <c r="I39">
        <v>1</v>
      </c>
      <c r="K39">
        <v>0</v>
      </c>
      <c r="L39">
        <v>0</v>
      </c>
      <c r="M39">
        <v>0</v>
      </c>
      <c r="N39">
        <v>36</v>
      </c>
      <c r="O39" s="7">
        <f>IFERROR(MATCH(tblTransferProveedor[[#This Row],[Codigo]],tblTransferActual[CODIGO],0),0)</f>
        <v>45</v>
      </c>
    </row>
    <row r="40" spans="1:15" x14ac:dyDescent="0.25">
      <c r="A40" t="s">
        <v>210</v>
      </c>
      <c r="B40" t="s">
        <v>211</v>
      </c>
      <c r="D40" t="s">
        <v>100</v>
      </c>
      <c r="E40">
        <v>0</v>
      </c>
      <c r="F40">
        <v>16.25</v>
      </c>
      <c r="G40">
        <v>29.45</v>
      </c>
      <c r="H40">
        <v>69</v>
      </c>
      <c r="I40">
        <v>1</v>
      </c>
      <c r="K40">
        <v>0</v>
      </c>
      <c r="L40">
        <v>0</v>
      </c>
      <c r="M40">
        <v>0</v>
      </c>
      <c r="N40">
        <v>36</v>
      </c>
      <c r="O40" s="7">
        <f>IFERROR(MATCH(tblTransferProveedor[[#This Row],[Codigo]],tblTransferActual[CODIGO],0),0)</f>
        <v>46</v>
      </c>
    </row>
    <row r="41" spans="1:15" x14ac:dyDescent="0.25">
      <c r="A41" t="s">
        <v>160</v>
      </c>
      <c r="B41" t="s">
        <v>161</v>
      </c>
      <c r="D41" t="s">
        <v>100</v>
      </c>
      <c r="E41">
        <v>0</v>
      </c>
      <c r="F41">
        <v>16.25</v>
      </c>
      <c r="G41">
        <v>29.45</v>
      </c>
      <c r="H41">
        <v>72</v>
      </c>
      <c r="I41">
        <v>1</v>
      </c>
      <c r="K41">
        <v>0</v>
      </c>
      <c r="L41">
        <v>0</v>
      </c>
      <c r="M41">
        <v>0</v>
      </c>
      <c r="N41">
        <v>36</v>
      </c>
      <c r="O41" s="7">
        <f>IFERROR(MATCH(tblTransferProveedor[[#This Row],[Codigo]],tblTransferActual[CODIGO],0),0)</f>
        <v>47</v>
      </c>
    </row>
    <row r="42" spans="1:15" x14ac:dyDescent="0.25">
      <c r="A42" t="s">
        <v>154</v>
      </c>
      <c r="B42" t="s">
        <v>155</v>
      </c>
      <c r="D42" t="s">
        <v>100</v>
      </c>
      <c r="E42">
        <v>0</v>
      </c>
      <c r="F42">
        <v>16.25</v>
      </c>
      <c r="G42">
        <v>29.45</v>
      </c>
      <c r="H42">
        <v>27</v>
      </c>
      <c r="I42">
        <v>1</v>
      </c>
      <c r="K42">
        <v>0</v>
      </c>
      <c r="L42">
        <v>0</v>
      </c>
      <c r="M42">
        <v>0</v>
      </c>
      <c r="N42">
        <v>36</v>
      </c>
      <c r="O42" s="7">
        <f>IFERROR(MATCH(tblTransferProveedor[[#This Row],[Codigo]],tblTransferActual[CODIGO],0),0)</f>
        <v>48</v>
      </c>
    </row>
    <row r="43" spans="1:15" x14ac:dyDescent="0.25">
      <c r="A43" t="s">
        <v>152</v>
      </c>
      <c r="B43" t="s">
        <v>153</v>
      </c>
      <c r="D43" t="s">
        <v>100</v>
      </c>
      <c r="E43">
        <v>0</v>
      </c>
      <c r="F43">
        <v>16.25</v>
      </c>
      <c r="G43">
        <v>29.45</v>
      </c>
      <c r="H43">
        <v>79</v>
      </c>
      <c r="I43">
        <v>1</v>
      </c>
      <c r="K43">
        <v>0</v>
      </c>
      <c r="L43">
        <v>0</v>
      </c>
      <c r="M43">
        <v>0</v>
      </c>
      <c r="N43">
        <v>36</v>
      </c>
      <c r="O43" s="7">
        <f>IFERROR(MATCH(tblTransferProveedor[[#This Row],[Codigo]],tblTransferActual[CODIGO],0),0)</f>
        <v>49</v>
      </c>
    </row>
    <row r="44" spans="1:15" x14ac:dyDescent="0.25">
      <c r="A44" t="s">
        <v>150</v>
      </c>
      <c r="B44" t="s">
        <v>151</v>
      </c>
      <c r="D44" t="s">
        <v>100</v>
      </c>
      <c r="E44">
        <v>0</v>
      </c>
      <c r="F44">
        <v>16.25</v>
      </c>
      <c r="G44">
        <v>29.45</v>
      </c>
      <c r="H44">
        <v>84</v>
      </c>
      <c r="I44">
        <v>1</v>
      </c>
      <c r="K44">
        <v>0</v>
      </c>
      <c r="L44">
        <v>0</v>
      </c>
      <c r="M44">
        <v>0</v>
      </c>
      <c r="N44">
        <v>36</v>
      </c>
      <c r="O44" s="7">
        <f>IFERROR(MATCH(tblTransferProveedor[[#This Row],[Codigo]],tblTransferActual[CODIGO],0),0)</f>
        <v>50</v>
      </c>
    </row>
    <row r="45" spans="1:15" x14ac:dyDescent="0.25">
      <c r="A45" t="s">
        <v>148</v>
      </c>
      <c r="B45" t="s">
        <v>149</v>
      </c>
      <c r="D45" t="s">
        <v>100</v>
      </c>
      <c r="E45">
        <v>0</v>
      </c>
      <c r="F45">
        <v>16.25</v>
      </c>
      <c r="G45">
        <v>29.45</v>
      </c>
      <c r="H45">
        <v>49</v>
      </c>
      <c r="I45">
        <v>1</v>
      </c>
      <c r="K45">
        <v>0</v>
      </c>
      <c r="L45">
        <v>0</v>
      </c>
      <c r="M45">
        <v>0</v>
      </c>
      <c r="N45">
        <v>36</v>
      </c>
      <c r="O45" s="7">
        <f>IFERROR(MATCH(tblTransferProveedor[[#This Row],[Codigo]],tblTransferActual[CODIGO],0),0)</f>
        <v>51</v>
      </c>
    </row>
    <row r="46" spans="1:15" x14ac:dyDescent="0.25">
      <c r="A46" t="s">
        <v>146</v>
      </c>
      <c r="B46" t="s">
        <v>147</v>
      </c>
      <c r="D46" t="s">
        <v>100</v>
      </c>
      <c r="E46">
        <v>0</v>
      </c>
      <c r="F46">
        <v>16.25</v>
      </c>
      <c r="G46">
        <v>29.45</v>
      </c>
      <c r="H46">
        <v>101</v>
      </c>
      <c r="I46">
        <v>1</v>
      </c>
      <c r="K46">
        <v>0</v>
      </c>
      <c r="L46">
        <v>0</v>
      </c>
      <c r="M46">
        <v>0</v>
      </c>
      <c r="N46">
        <v>36</v>
      </c>
      <c r="O46" s="7">
        <f>IFERROR(MATCH(tblTransferProveedor[[#This Row],[Codigo]],tblTransferActual[CODIGO],0),0)</f>
        <v>52</v>
      </c>
    </row>
    <row r="47" spans="1:15" x14ac:dyDescent="0.25">
      <c r="A47" t="s">
        <v>144</v>
      </c>
      <c r="B47" t="s">
        <v>145</v>
      </c>
      <c r="D47" t="s">
        <v>100</v>
      </c>
      <c r="E47">
        <v>0</v>
      </c>
      <c r="F47">
        <v>16.25</v>
      </c>
      <c r="G47">
        <v>29.45</v>
      </c>
      <c r="H47">
        <v>55</v>
      </c>
      <c r="I47">
        <v>1</v>
      </c>
      <c r="K47">
        <v>0</v>
      </c>
      <c r="L47">
        <v>0</v>
      </c>
      <c r="M47">
        <v>0</v>
      </c>
      <c r="N47">
        <v>36</v>
      </c>
      <c r="O47" s="7">
        <f>IFERROR(MATCH(tblTransferProveedor[[#This Row],[Codigo]],tblTransferActual[CODIGO],0),0)</f>
        <v>53</v>
      </c>
    </row>
    <row r="48" spans="1:15" x14ac:dyDescent="0.25">
      <c r="A48" t="s">
        <v>142</v>
      </c>
      <c r="B48" t="s">
        <v>143</v>
      </c>
      <c r="D48" t="s">
        <v>100</v>
      </c>
      <c r="E48">
        <v>0</v>
      </c>
      <c r="F48">
        <v>16.25</v>
      </c>
      <c r="G48">
        <v>29.45</v>
      </c>
      <c r="H48">
        <v>20</v>
      </c>
      <c r="I48">
        <v>1</v>
      </c>
      <c r="K48">
        <v>0</v>
      </c>
      <c r="L48">
        <v>0</v>
      </c>
      <c r="M48">
        <v>0</v>
      </c>
      <c r="N48">
        <v>36</v>
      </c>
      <c r="O48" s="7">
        <f>IFERROR(MATCH(tblTransferProveedor[[#This Row],[Codigo]],tblTransferActual[CODIGO],0),0)</f>
        <v>54</v>
      </c>
    </row>
    <row r="49" spans="1:15" x14ac:dyDescent="0.25">
      <c r="A49" t="s">
        <v>156</v>
      </c>
      <c r="B49" t="s">
        <v>157</v>
      </c>
      <c r="D49" t="s">
        <v>100</v>
      </c>
      <c r="E49">
        <v>0</v>
      </c>
      <c r="F49">
        <v>16.25</v>
      </c>
      <c r="G49">
        <v>29.45</v>
      </c>
      <c r="H49">
        <v>91</v>
      </c>
      <c r="I49">
        <v>1</v>
      </c>
      <c r="K49">
        <v>0</v>
      </c>
      <c r="L49">
        <v>0</v>
      </c>
      <c r="M49">
        <v>0</v>
      </c>
      <c r="N49">
        <v>36</v>
      </c>
      <c r="O49" s="7">
        <f>IFERROR(MATCH(tblTransferProveedor[[#This Row],[Codigo]],tblTransferActual[CODIGO],0),0)</f>
        <v>55</v>
      </c>
    </row>
    <row r="50" spans="1:15" x14ac:dyDescent="0.25">
      <c r="A50" t="s">
        <v>140</v>
      </c>
      <c r="B50" t="s">
        <v>141</v>
      </c>
      <c r="D50" t="s">
        <v>100</v>
      </c>
      <c r="E50">
        <v>0</v>
      </c>
      <c r="F50">
        <v>16.25</v>
      </c>
      <c r="G50">
        <v>29.45</v>
      </c>
      <c r="H50">
        <v>74</v>
      </c>
      <c r="I50">
        <v>1</v>
      </c>
      <c r="K50">
        <v>0</v>
      </c>
      <c r="L50">
        <v>0</v>
      </c>
      <c r="M50">
        <v>0</v>
      </c>
      <c r="N50">
        <v>36</v>
      </c>
      <c r="O50" s="7">
        <f>IFERROR(MATCH(tblTransferProveedor[[#This Row],[Codigo]],tblTransferActual[CODIGO],0),0)</f>
        <v>56</v>
      </c>
    </row>
    <row r="51" spans="1:15" x14ac:dyDescent="0.25">
      <c r="A51" t="s">
        <v>138</v>
      </c>
      <c r="B51" t="s">
        <v>139</v>
      </c>
      <c r="D51" t="s">
        <v>100</v>
      </c>
      <c r="E51">
        <v>0</v>
      </c>
      <c r="F51">
        <v>16.25</v>
      </c>
      <c r="G51">
        <v>29.45</v>
      </c>
      <c r="H51">
        <v>31</v>
      </c>
      <c r="I51">
        <v>1</v>
      </c>
      <c r="K51">
        <v>0</v>
      </c>
      <c r="L51">
        <v>0</v>
      </c>
      <c r="M51">
        <v>0</v>
      </c>
      <c r="N51">
        <v>36</v>
      </c>
      <c r="O51" s="7">
        <f>IFERROR(MATCH(tblTransferProveedor[[#This Row],[Codigo]],tblTransferActual[CODIGO],0),0)</f>
        <v>57</v>
      </c>
    </row>
    <row r="52" spans="1:15" x14ac:dyDescent="0.25">
      <c r="A52" t="s">
        <v>136</v>
      </c>
      <c r="B52" t="s">
        <v>137</v>
      </c>
      <c r="D52" t="s">
        <v>100</v>
      </c>
      <c r="E52">
        <v>0</v>
      </c>
      <c r="F52">
        <v>16.25</v>
      </c>
      <c r="G52">
        <v>29.45</v>
      </c>
      <c r="H52">
        <v>58</v>
      </c>
      <c r="I52">
        <v>1</v>
      </c>
      <c r="K52">
        <v>0</v>
      </c>
      <c r="L52">
        <v>0</v>
      </c>
      <c r="M52">
        <v>0</v>
      </c>
      <c r="N52">
        <v>36</v>
      </c>
      <c r="O52" s="7">
        <f>IFERROR(MATCH(tblTransferProveedor[[#This Row],[Codigo]],tblTransferActual[CODIGO],0),0)</f>
        <v>58</v>
      </c>
    </row>
    <row r="53" spans="1:15" x14ac:dyDescent="0.25">
      <c r="A53" t="s">
        <v>158</v>
      </c>
      <c r="B53" t="s">
        <v>159</v>
      </c>
      <c r="D53" t="s">
        <v>100</v>
      </c>
      <c r="E53">
        <v>0</v>
      </c>
      <c r="F53">
        <v>16.25</v>
      </c>
      <c r="G53">
        <v>29.45</v>
      </c>
      <c r="H53">
        <v>63</v>
      </c>
      <c r="I53">
        <v>1</v>
      </c>
      <c r="K53">
        <v>0</v>
      </c>
      <c r="L53">
        <v>0</v>
      </c>
      <c r="M53">
        <v>0</v>
      </c>
      <c r="N53">
        <v>36</v>
      </c>
      <c r="O53" s="7">
        <f>IFERROR(MATCH(tblTransferProveedor[[#This Row],[Codigo]],tblTransferActual[CODIGO],0),0)</f>
        <v>59</v>
      </c>
    </row>
    <row r="54" spans="1:15" x14ac:dyDescent="0.25">
      <c r="A54" t="s">
        <v>181</v>
      </c>
      <c r="B54" t="s">
        <v>182</v>
      </c>
      <c r="D54" t="s">
        <v>100</v>
      </c>
      <c r="E54">
        <v>0</v>
      </c>
      <c r="F54">
        <v>16.25</v>
      </c>
      <c r="G54">
        <v>29.45</v>
      </c>
      <c r="H54">
        <v>10</v>
      </c>
      <c r="I54">
        <v>1</v>
      </c>
      <c r="K54">
        <v>0</v>
      </c>
      <c r="L54">
        <v>0</v>
      </c>
      <c r="M54">
        <v>0</v>
      </c>
      <c r="N54">
        <v>36</v>
      </c>
      <c r="O54" s="7">
        <f>IFERROR(MATCH(tblTransferProveedor[[#This Row],[Codigo]],tblTransferActual[CODIGO],0),0)</f>
        <v>60</v>
      </c>
    </row>
    <row r="55" spans="1:15" x14ac:dyDescent="0.25">
      <c r="A55" t="s">
        <v>162</v>
      </c>
      <c r="B55" t="s">
        <v>163</v>
      </c>
      <c r="D55" t="s">
        <v>100</v>
      </c>
      <c r="E55">
        <v>0</v>
      </c>
      <c r="F55">
        <v>19.03</v>
      </c>
      <c r="G55">
        <v>28</v>
      </c>
      <c r="H55">
        <v>990</v>
      </c>
      <c r="I55">
        <v>1</v>
      </c>
      <c r="K55">
        <v>0</v>
      </c>
      <c r="L55">
        <v>0</v>
      </c>
      <c r="M55">
        <v>0</v>
      </c>
      <c r="N55">
        <v>252</v>
      </c>
      <c r="O55" s="7">
        <f>IFERROR(MATCH(tblTransferProveedor[[#This Row],[Codigo]],tblTransferActual[CODIGO],0),0)</f>
        <v>61</v>
      </c>
    </row>
    <row r="56" spans="1:15" x14ac:dyDescent="0.25">
      <c r="A56" t="s">
        <v>167</v>
      </c>
      <c r="B56" t="s">
        <v>110</v>
      </c>
      <c r="D56" t="s">
        <v>100</v>
      </c>
      <c r="E56">
        <v>0</v>
      </c>
      <c r="F56">
        <v>19.03</v>
      </c>
      <c r="G56">
        <v>28</v>
      </c>
      <c r="H56">
        <v>2268</v>
      </c>
      <c r="I56">
        <v>1</v>
      </c>
      <c r="K56">
        <v>0</v>
      </c>
      <c r="L56">
        <v>0</v>
      </c>
      <c r="M56">
        <v>0</v>
      </c>
      <c r="N56">
        <v>585</v>
      </c>
      <c r="O56" s="7">
        <f>IFERROR(MATCH(tblTransferProveedor[[#This Row],[Codigo]],tblTransferActual[CODIGO],0),0)</f>
        <v>62</v>
      </c>
    </row>
    <row r="57" spans="1:15" x14ac:dyDescent="0.25">
      <c r="A57" t="s">
        <v>168</v>
      </c>
      <c r="B57" t="s">
        <v>105</v>
      </c>
      <c r="D57" t="s">
        <v>100</v>
      </c>
      <c r="E57">
        <v>0</v>
      </c>
      <c r="F57">
        <v>19.03</v>
      </c>
      <c r="G57">
        <v>28</v>
      </c>
      <c r="H57">
        <v>551</v>
      </c>
      <c r="I57">
        <v>1</v>
      </c>
      <c r="K57">
        <v>0</v>
      </c>
      <c r="L57">
        <v>0</v>
      </c>
      <c r="M57">
        <v>0</v>
      </c>
      <c r="N57">
        <v>144</v>
      </c>
      <c r="O57" s="7">
        <f>IFERROR(MATCH(tblTransferProveedor[[#This Row],[Codigo]],tblTransferActual[CODIGO],0),0)</f>
        <v>63</v>
      </c>
    </row>
    <row r="58" spans="1:15" x14ac:dyDescent="0.25">
      <c r="A58" t="s">
        <v>104</v>
      </c>
      <c r="B58" t="s">
        <v>121</v>
      </c>
      <c r="D58" t="s">
        <v>100</v>
      </c>
      <c r="E58">
        <v>0</v>
      </c>
      <c r="F58">
        <v>15.5</v>
      </c>
      <c r="G58">
        <v>28</v>
      </c>
      <c r="H58">
        <v>761</v>
      </c>
      <c r="I58">
        <v>0.78</v>
      </c>
      <c r="K58">
        <v>0</v>
      </c>
      <c r="L58">
        <v>0</v>
      </c>
      <c r="M58">
        <v>0</v>
      </c>
      <c r="N58">
        <v>198</v>
      </c>
      <c r="O58" s="7">
        <f>IFERROR(MATCH(tblTransferProveedor[[#This Row],[Codigo]],tblTransferActual[CODIGO],0),0)</f>
        <v>8</v>
      </c>
    </row>
    <row r="59" spans="1:15" x14ac:dyDescent="0.25">
      <c r="A59" t="s">
        <v>109</v>
      </c>
      <c r="B59" t="s">
        <v>110</v>
      </c>
      <c r="D59" t="s">
        <v>100</v>
      </c>
      <c r="E59">
        <v>0</v>
      </c>
      <c r="F59">
        <v>15.5</v>
      </c>
      <c r="G59">
        <v>28</v>
      </c>
      <c r="H59">
        <v>984</v>
      </c>
      <c r="I59">
        <v>0.96</v>
      </c>
      <c r="K59">
        <v>0</v>
      </c>
      <c r="L59">
        <v>0</v>
      </c>
      <c r="M59">
        <v>0</v>
      </c>
      <c r="N59">
        <v>522</v>
      </c>
      <c r="O59" s="7">
        <f>IFERROR(MATCH(tblTransferProveedor[[#This Row],[Codigo]],tblTransferActual[CODIGO],0),0)</f>
        <v>14</v>
      </c>
    </row>
    <row r="60" spans="1:15" x14ac:dyDescent="0.25">
      <c r="A60" t="s">
        <v>103</v>
      </c>
      <c r="B60" t="s">
        <v>105</v>
      </c>
      <c r="D60" t="s">
        <v>100</v>
      </c>
      <c r="E60">
        <v>0</v>
      </c>
      <c r="F60">
        <v>15.5</v>
      </c>
      <c r="G60">
        <v>28</v>
      </c>
      <c r="H60">
        <v>450</v>
      </c>
      <c r="I60">
        <v>0.97</v>
      </c>
      <c r="K60">
        <v>0</v>
      </c>
      <c r="L60">
        <v>0</v>
      </c>
      <c r="M60">
        <v>0</v>
      </c>
      <c r="N60">
        <v>297</v>
      </c>
      <c r="O60" s="7">
        <f>IFERROR(MATCH(tblTransferProveedor[[#This Row],[Codigo]],tblTransferActual[CODIGO],0),0)</f>
        <v>16</v>
      </c>
    </row>
    <row r="61" spans="1:15" x14ac:dyDescent="0.25">
      <c r="A61" t="s">
        <v>362</v>
      </c>
      <c r="B61" t="s">
        <v>363</v>
      </c>
      <c r="D61" t="s">
        <v>100</v>
      </c>
      <c r="E61">
        <v>0</v>
      </c>
      <c r="F61">
        <v>15.5</v>
      </c>
      <c r="G61">
        <v>28</v>
      </c>
      <c r="H61">
        <v>342</v>
      </c>
      <c r="I61">
        <v>1</v>
      </c>
      <c r="K61">
        <v>0</v>
      </c>
      <c r="L61">
        <v>0</v>
      </c>
      <c r="M61">
        <v>0</v>
      </c>
      <c r="N61">
        <v>0</v>
      </c>
      <c r="O61" s="7">
        <f>IFERROR(MATCH(tblTransferProveedor[[#This Row],[Codigo]],tblTransferActual[CODIGO],0),0)</f>
        <v>0</v>
      </c>
    </row>
    <row r="62" spans="1:15" x14ac:dyDescent="0.25">
      <c r="A62" t="s">
        <v>364</v>
      </c>
      <c r="B62" t="s">
        <v>365</v>
      </c>
      <c r="D62" t="s">
        <v>100</v>
      </c>
      <c r="E62">
        <v>0</v>
      </c>
      <c r="F62">
        <v>15.5</v>
      </c>
      <c r="G62">
        <v>28</v>
      </c>
      <c r="H62">
        <v>366</v>
      </c>
      <c r="I62">
        <v>1</v>
      </c>
      <c r="K62">
        <v>0</v>
      </c>
      <c r="L62">
        <v>0</v>
      </c>
      <c r="M62">
        <v>0</v>
      </c>
      <c r="N62">
        <v>0</v>
      </c>
      <c r="O62" s="7">
        <f>IFERROR(MATCH(tblTransferProveedor[[#This Row],[Codigo]],tblTransferActual[CODIGO],0),0)</f>
        <v>0</v>
      </c>
    </row>
    <row r="63" spans="1:15" x14ac:dyDescent="0.25">
      <c r="A63" t="s">
        <v>171</v>
      </c>
      <c r="B63" t="s">
        <v>172</v>
      </c>
      <c r="D63" t="s">
        <v>100</v>
      </c>
      <c r="E63">
        <v>0</v>
      </c>
      <c r="F63">
        <v>15.5</v>
      </c>
      <c r="G63">
        <v>28</v>
      </c>
      <c r="H63">
        <v>264</v>
      </c>
      <c r="I63">
        <v>1</v>
      </c>
      <c r="K63">
        <v>0</v>
      </c>
      <c r="L63">
        <v>0</v>
      </c>
      <c r="M63">
        <v>0</v>
      </c>
      <c r="N63">
        <v>126</v>
      </c>
      <c r="O63" s="7">
        <f>IFERROR(MATCH(tblTransferProveedor[[#This Row],[Codigo]],tblTransferActual[CODIGO],0),0)</f>
        <v>64</v>
      </c>
    </row>
    <row r="64" spans="1:15" x14ac:dyDescent="0.25">
      <c r="A64" t="s">
        <v>173</v>
      </c>
      <c r="B64" t="s">
        <v>174</v>
      </c>
      <c r="D64" t="s">
        <v>100</v>
      </c>
      <c r="E64">
        <v>0</v>
      </c>
      <c r="F64">
        <v>19.03</v>
      </c>
      <c r="G64">
        <v>28</v>
      </c>
      <c r="H64">
        <v>324</v>
      </c>
      <c r="I64">
        <v>1</v>
      </c>
      <c r="K64">
        <v>0</v>
      </c>
      <c r="L64">
        <v>0</v>
      </c>
      <c r="M64">
        <v>0</v>
      </c>
      <c r="N64">
        <v>81</v>
      </c>
      <c r="O64" s="7">
        <f>IFERROR(MATCH(tblTransferProveedor[[#This Row],[Codigo]],tblTransferActual[CODIGO],0),0)</f>
        <v>65</v>
      </c>
    </row>
    <row r="65" spans="1:15" x14ac:dyDescent="0.25">
      <c r="A65" t="s">
        <v>175</v>
      </c>
      <c r="B65" t="s">
        <v>176</v>
      </c>
      <c r="D65" t="s">
        <v>100</v>
      </c>
      <c r="E65">
        <v>0</v>
      </c>
      <c r="F65">
        <v>19.03</v>
      </c>
      <c r="G65">
        <v>28</v>
      </c>
      <c r="H65">
        <v>340</v>
      </c>
      <c r="I65">
        <v>1</v>
      </c>
      <c r="K65">
        <v>0</v>
      </c>
      <c r="L65">
        <v>0</v>
      </c>
      <c r="M65">
        <v>0</v>
      </c>
      <c r="N65">
        <v>81</v>
      </c>
      <c r="O65" s="7">
        <f>IFERROR(MATCH(tblTransferProveedor[[#This Row],[Codigo]],tblTransferActual[CODIGO],0),0)</f>
        <v>66</v>
      </c>
    </row>
    <row r="66" spans="1:15" x14ac:dyDescent="0.25">
      <c r="A66" t="s">
        <v>177</v>
      </c>
      <c r="B66" t="s">
        <v>178</v>
      </c>
      <c r="D66" t="s">
        <v>100</v>
      </c>
      <c r="E66">
        <v>0</v>
      </c>
      <c r="F66">
        <v>19.03</v>
      </c>
      <c r="G66">
        <v>28</v>
      </c>
      <c r="H66">
        <v>363</v>
      </c>
      <c r="I66">
        <v>1</v>
      </c>
      <c r="K66">
        <v>0</v>
      </c>
      <c r="L66">
        <v>0</v>
      </c>
      <c r="M66">
        <v>0</v>
      </c>
      <c r="N66">
        <v>90</v>
      </c>
      <c r="O66" s="7">
        <f>IFERROR(MATCH(tblTransferProveedor[[#This Row],[Codigo]],tblTransferActual[CODIGO],0),0)</f>
        <v>67</v>
      </c>
    </row>
    <row r="67" spans="1:15" x14ac:dyDescent="0.25">
      <c r="A67" t="s">
        <v>179</v>
      </c>
      <c r="B67" t="s">
        <v>180</v>
      </c>
      <c r="D67" t="s">
        <v>100</v>
      </c>
      <c r="E67">
        <v>0</v>
      </c>
      <c r="F67">
        <v>19.03</v>
      </c>
      <c r="G67">
        <v>28</v>
      </c>
      <c r="H67">
        <v>819</v>
      </c>
      <c r="I67">
        <v>1</v>
      </c>
      <c r="K67">
        <v>0</v>
      </c>
      <c r="L67">
        <v>0</v>
      </c>
      <c r="M67">
        <v>0</v>
      </c>
      <c r="N67">
        <v>207</v>
      </c>
      <c r="O67" s="7">
        <f>IFERROR(MATCH(tblTransferProveedor[[#This Row],[Codigo]],tblTransferActual[CODIGO],0),0)</f>
        <v>68</v>
      </c>
    </row>
    <row r="68" spans="1:15" x14ac:dyDescent="0.25">
      <c r="A68" t="s">
        <v>220</v>
      </c>
      <c r="B68" t="s">
        <v>221</v>
      </c>
      <c r="D68" t="s">
        <v>100</v>
      </c>
      <c r="E68">
        <v>0</v>
      </c>
      <c r="F68">
        <v>19.03</v>
      </c>
      <c r="G68">
        <v>28</v>
      </c>
      <c r="H68">
        <v>1103</v>
      </c>
      <c r="I68">
        <v>1</v>
      </c>
      <c r="K68">
        <v>0</v>
      </c>
      <c r="L68">
        <v>0</v>
      </c>
      <c r="M68">
        <v>0</v>
      </c>
      <c r="N68">
        <v>288</v>
      </c>
      <c r="O68" s="7">
        <f>IFERROR(MATCH(tblTransferProveedor[[#This Row],[Codigo]],tblTransferActual[CODIGO],0),0)</f>
        <v>69</v>
      </c>
    </row>
    <row r="69" spans="1:15" x14ac:dyDescent="0.25">
      <c r="A69" t="s">
        <v>366</v>
      </c>
      <c r="B69" t="s">
        <v>367</v>
      </c>
      <c r="D69" t="s">
        <v>100</v>
      </c>
      <c r="E69">
        <v>0</v>
      </c>
      <c r="F69">
        <v>15.5</v>
      </c>
      <c r="G69">
        <v>28</v>
      </c>
      <c r="H69">
        <v>468</v>
      </c>
      <c r="I69">
        <v>0.64</v>
      </c>
      <c r="K69">
        <v>0</v>
      </c>
      <c r="L69">
        <v>0</v>
      </c>
      <c r="M69">
        <v>0</v>
      </c>
      <c r="N69">
        <v>0</v>
      </c>
      <c r="O69" s="7">
        <f>IFERROR(MATCH(tblTransferProveedor[[#This Row],[Codigo]],tblTransferActual[CODIGO],0),0)</f>
        <v>0</v>
      </c>
    </row>
    <row r="70" spans="1:15" x14ac:dyDescent="0.25">
      <c r="A70" t="s">
        <v>316</v>
      </c>
      <c r="B70" t="s">
        <v>317</v>
      </c>
      <c r="D70" t="s">
        <v>100</v>
      </c>
      <c r="E70">
        <v>0</v>
      </c>
      <c r="F70">
        <v>15.5</v>
      </c>
      <c r="G70">
        <v>28</v>
      </c>
      <c r="H70">
        <v>725</v>
      </c>
      <c r="I70">
        <v>1</v>
      </c>
      <c r="K70">
        <v>0</v>
      </c>
      <c r="L70">
        <v>0</v>
      </c>
      <c r="M70">
        <v>0</v>
      </c>
      <c r="N70">
        <v>270</v>
      </c>
      <c r="O70" s="7">
        <f>IFERROR(MATCH(tblTransferProveedor[[#This Row],[Codigo]],tblTransferActual[CODIGO],0),0)</f>
        <v>70</v>
      </c>
    </row>
    <row r="71" spans="1:15" x14ac:dyDescent="0.25">
      <c r="A71" t="s">
        <v>291</v>
      </c>
      <c r="B71" t="s">
        <v>292</v>
      </c>
      <c r="D71" t="s">
        <v>100</v>
      </c>
      <c r="E71">
        <v>0</v>
      </c>
      <c r="F71">
        <v>16.25</v>
      </c>
      <c r="G71">
        <v>29.45</v>
      </c>
      <c r="H71">
        <v>97</v>
      </c>
      <c r="I71">
        <v>1</v>
      </c>
      <c r="K71">
        <v>0</v>
      </c>
      <c r="L71">
        <v>0</v>
      </c>
      <c r="M71">
        <v>0</v>
      </c>
      <c r="N71">
        <v>36</v>
      </c>
      <c r="O71" s="7">
        <f>IFERROR(MATCH(tblTransferProveedor[[#This Row],[Codigo]],tblTransferActual[CODIGO],0),0)</f>
        <v>71</v>
      </c>
    </row>
    <row r="72" spans="1:15" x14ac:dyDescent="0.25">
      <c r="A72" t="s">
        <v>293</v>
      </c>
      <c r="B72" t="s">
        <v>294</v>
      </c>
      <c r="D72" t="s">
        <v>100</v>
      </c>
      <c r="E72">
        <v>0</v>
      </c>
      <c r="F72">
        <v>16.25</v>
      </c>
      <c r="G72">
        <v>29.45</v>
      </c>
      <c r="H72">
        <v>102</v>
      </c>
      <c r="I72">
        <v>1</v>
      </c>
      <c r="K72">
        <v>0</v>
      </c>
      <c r="L72">
        <v>0</v>
      </c>
      <c r="M72">
        <v>0</v>
      </c>
      <c r="N72">
        <v>36</v>
      </c>
      <c r="O72" s="7">
        <f>IFERROR(MATCH(tblTransferProveedor[[#This Row],[Codigo]],tblTransferActual[CODIGO],0),0)</f>
        <v>72</v>
      </c>
    </row>
    <row r="73" spans="1:15" x14ac:dyDescent="0.25">
      <c r="A73" t="s">
        <v>295</v>
      </c>
      <c r="B73" t="s">
        <v>296</v>
      </c>
      <c r="D73" t="s">
        <v>100</v>
      </c>
      <c r="E73">
        <v>0</v>
      </c>
      <c r="F73">
        <v>16.25</v>
      </c>
      <c r="G73">
        <v>29.45</v>
      </c>
      <c r="H73">
        <v>24</v>
      </c>
      <c r="I73">
        <v>1</v>
      </c>
      <c r="K73">
        <v>0</v>
      </c>
      <c r="L73">
        <v>0</v>
      </c>
      <c r="M73">
        <v>0</v>
      </c>
      <c r="N73">
        <v>36</v>
      </c>
      <c r="O73" s="7">
        <f>IFERROR(MATCH(tblTransferProveedor[[#This Row],[Codigo]],tblTransferActual[CODIGO],0),0)</f>
        <v>73</v>
      </c>
    </row>
    <row r="74" spans="1:15" x14ac:dyDescent="0.25">
      <c r="A74" t="s">
        <v>297</v>
      </c>
      <c r="B74" t="s">
        <v>298</v>
      </c>
      <c r="D74" t="s">
        <v>100</v>
      </c>
      <c r="E74">
        <v>0</v>
      </c>
      <c r="F74">
        <v>16.25</v>
      </c>
      <c r="G74">
        <v>29.45</v>
      </c>
      <c r="H74">
        <v>118</v>
      </c>
      <c r="I74">
        <v>1</v>
      </c>
      <c r="K74">
        <v>0</v>
      </c>
      <c r="L74">
        <v>0</v>
      </c>
      <c r="M74">
        <v>0</v>
      </c>
      <c r="N74">
        <v>36</v>
      </c>
      <c r="O74" s="7">
        <f>IFERROR(MATCH(tblTransferProveedor[[#This Row],[Codigo]],tblTransferActual[CODIGO],0),0)</f>
        <v>74</v>
      </c>
    </row>
    <row r="75" spans="1:15" x14ac:dyDescent="0.25">
      <c r="A75" t="s">
        <v>236</v>
      </c>
      <c r="B75" t="s">
        <v>237</v>
      </c>
      <c r="D75" t="s">
        <v>100</v>
      </c>
      <c r="E75">
        <v>0</v>
      </c>
      <c r="F75">
        <v>16.25</v>
      </c>
      <c r="G75">
        <v>29.45</v>
      </c>
      <c r="H75">
        <v>86</v>
      </c>
      <c r="I75">
        <v>1</v>
      </c>
      <c r="K75">
        <v>0</v>
      </c>
      <c r="L75">
        <v>0</v>
      </c>
      <c r="M75">
        <v>0</v>
      </c>
      <c r="N75">
        <v>36</v>
      </c>
      <c r="O75" s="7">
        <f>IFERROR(MATCH(tblTransferProveedor[[#This Row],[Codigo]],tblTransferActual[CODIGO],0),0)</f>
        <v>75</v>
      </c>
    </row>
    <row r="76" spans="1:15" x14ac:dyDescent="0.25">
      <c r="A76" t="s">
        <v>300</v>
      </c>
      <c r="B76" t="s">
        <v>301</v>
      </c>
      <c r="D76" t="s">
        <v>100</v>
      </c>
      <c r="E76">
        <v>0</v>
      </c>
      <c r="F76">
        <v>16.25</v>
      </c>
      <c r="G76">
        <v>29.45</v>
      </c>
      <c r="H76">
        <v>18</v>
      </c>
      <c r="I76">
        <v>1</v>
      </c>
      <c r="K76">
        <v>0</v>
      </c>
      <c r="L76">
        <v>0</v>
      </c>
      <c r="M76">
        <v>0</v>
      </c>
      <c r="N76">
        <v>36</v>
      </c>
      <c r="O76" s="7">
        <f>IFERROR(MATCH(tblTransferProveedor[[#This Row],[Codigo]],tblTransferActual[CODIGO],0),0)</f>
        <v>76</v>
      </c>
    </row>
    <row r="77" spans="1:15" x14ac:dyDescent="0.25">
      <c r="A77" t="s">
        <v>216</v>
      </c>
      <c r="B77" t="s">
        <v>217</v>
      </c>
      <c r="D77" t="s">
        <v>100</v>
      </c>
      <c r="E77">
        <v>0</v>
      </c>
      <c r="F77">
        <v>16.25</v>
      </c>
      <c r="G77">
        <v>29.45</v>
      </c>
      <c r="H77">
        <v>107</v>
      </c>
      <c r="I77">
        <v>1</v>
      </c>
      <c r="K77">
        <v>0</v>
      </c>
      <c r="L77">
        <v>0</v>
      </c>
      <c r="M77">
        <v>0</v>
      </c>
      <c r="N77">
        <v>36</v>
      </c>
      <c r="O77" s="7">
        <f>IFERROR(MATCH(tblTransferProveedor[[#This Row],[Codigo]],tblTransferActual[CODIGO],0),0)</f>
        <v>77</v>
      </c>
    </row>
    <row r="78" spans="1:15" x14ac:dyDescent="0.25">
      <c r="A78" t="s">
        <v>304</v>
      </c>
      <c r="B78" t="s">
        <v>305</v>
      </c>
      <c r="D78" t="s">
        <v>100</v>
      </c>
      <c r="E78">
        <v>0</v>
      </c>
      <c r="F78">
        <v>16.25</v>
      </c>
      <c r="G78">
        <v>29.45</v>
      </c>
      <c r="H78">
        <v>121</v>
      </c>
      <c r="I78">
        <v>1</v>
      </c>
      <c r="K78">
        <v>0</v>
      </c>
      <c r="L78">
        <v>0</v>
      </c>
      <c r="M78">
        <v>0</v>
      </c>
      <c r="N78">
        <v>36</v>
      </c>
      <c r="O78" s="7">
        <f>IFERROR(MATCH(tblTransferProveedor[[#This Row],[Codigo]],tblTransferActual[CODIGO],0),0)</f>
        <v>78</v>
      </c>
    </row>
    <row r="79" spans="1:15" x14ac:dyDescent="0.25">
      <c r="A79" t="s">
        <v>306</v>
      </c>
      <c r="B79" t="s">
        <v>307</v>
      </c>
      <c r="D79" t="s">
        <v>100</v>
      </c>
      <c r="E79">
        <v>0</v>
      </c>
      <c r="F79">
        <v>16.25</v>
      </c>
      <c r="G79">
        <v>29.45</v>
      </c>
      <c r="H79">
        <v>26</v>
      </c>
      <c r="I79">
        <v>1</v>
      </c>
      <c r="K79">
        <v>0</v>
      </c>
      <c r="L79">
        <v>0</v>
      </c>
      <c r="M79">
        <v>0</v>
      </c>
      <c r="N79">
        <v>36</v>
      </c>
      <c r="O79" s="7">
        <f>IFERROR(MATCH(tblTransferProveedor[[#This Row],[Codigo]],tblTransferActual[CODIGO],0),0)</f>
        <v>79</v>
      </c>
    </row>
    <row r="80" spans="1:15" x14ac:dyDescent="0.25">
      <c r="A80" t="s">
        <v>368</v>
      </c>
      <c r="B80" t="s">
        <v>369</v>
      </c>
      <c r="C80" t="s">
        <v>369</v>
      </c>
      <c r="D80" t="s">
        <v>369</v>
      </c>
      <c r="E80">
        <v>0</v>
      </c>
      <c r="F80">
        <v>0</v>
      </c>
      <c r="G80">
        <v>0</v>
      </c>
      <c r="H80">
        <v>0</v>
      </c>
      <c r="I80">
        <v>0</v>
      </c>
      <c r="K80">
        <v>0</v>
      </c>
      <c r="L80">
        <v>0</v>
      </c>
      <c r="M80">
        <v>0</v>
      </c>
      <c r="N80">
        <v>0</v>
      </c>
      <c r="O80" s="7">
        <f>IFERROR(MATCH(tblTransferProveedor[[#This Row],[Codigo]],tblTransferActual[CODIGO],0),0)</f>
        <v>0</v>
      </c>
    </row>
    <row r="81" spans="1:15" x14ac:dyDescent="0.25">
      <c r="A81" t="s">
        <v>370</v>
      </c>
      <c r="B81" t="s">
        <v>371</v>
      </c>
      <c r="D81" t="s">
        <v>100</v>
      </c>
      <c r="E81">
        <v>0</v>
      </c>
      <c r="F81">
        <v>13.44</v>
      </c>
      <c r="G81">
        <v>22.21</v>
      </c>
      <c r="H81">
        <v>0</v>
      </c>
      <c r="I81">
        <v>0</v>
      </c>
      <c r="K81">
        <v>0</v>
      </c>
      <c r="L81">
        <v>0</v>
      </c>
      <c r="M81">
        <v>0</v>
      </c>
      <c r="N81">
        <v>0</v>
      </c>
      <c r="O81" s="7">
        <f>IFERROR(MATCH(tblTransferProveedor[[#This Row],[Codigo]],tblTransferActual[CODIGO],0),0)</f>
        <v>0</v>
      </c>
    </row>
    <row r="82" spans="1:15" x14ac:dyDescent="0.25">
      <c r="A82" t="s">
        <v>372</v>
      </c>
      <c r="B82" t="s">
        <v>369</v>
      </c>
      <c r="C82" t="s">
        <v>369</v>
      </c>
      <c r="D82" t="s">
        <v>369</v>
      </c>
      <c r="E82">
        <v>0</v>
      </c>
      <c r="F82">
        <v>0</v>
      </c>
      <c r="G82">
        <v>0</v>
      </c>
      <c r="H82">
        <v>0</v>
      </c>
      <c r="I82">
        <v>0</v>
      </c>
      <c r="K82">
        <v>0</v>
      </c>
      <c r="L82">
        <v>0</v>
      </c>
      <c r="M82">
        <v>0</v>
      </c>
      <c r="N82">
        <v>0</v>
      </c>
      <c r="O82" s="7">
        <f>IFERROR(MATCH(tblTransferProveedor[[#This Row],[Codigo]],tblTransferActual[CODIGO],0),0)</f>
        <v>0</v>
      </c>
    </row>
    <row r="83" spans="1:15" x14ac:dyDescent="0.25">
      <c r="A83" t="s">
        <v>373</v>
      </c>
      <c r="B83" t="s">
        <v>374</v>
      </c>
      <c r="D83" t="s">
        <v>100</v>
      </c>
      <c r="E83">
        <v>0</v>
      </c>
      <c r="F83">
        <v>15.72</v>
      </c>
      <c r="G83">
        <v>26.25</v>
      </c>
      <c r="H83">
        <v>0</v>
      </c>
      <c r="I83">
        <v>0</v>
      </c>
      <c r="K83">
        <v>0</v>
      </c>
      <c r="L83">
        <v>0</v>
      </c>
      <c r="M83">
        <v>0</v>
      </c>
      <c r="N83">
        <v>0</v>
      </c>
      <c r="O83" s="7">
        <f>IFERROR(MATCH(tblTransferProveedor[[#This Row],[Codigo]],tblTransferActual[CODIGO],0),0)</f>
        <v>0</v>
      </c>
    </row>
    <row r="84" spans="1:15" x14ac:dyDescent="0.25">
      <c r="A84" t="s">
        <v>375</v>
      </c>
      <c r="B84" t="s">
        <v>376</v>
      </c>
      <c r="D84" t="s">
        <v>100</v>
      </c>
      <c r="E84">
        <v>0</v>
      </c>
      <c r="F84">
        <v>15.72</v>
      </c>
      <c r="G84">
        <v>26.25</v>
      </c>
      <c r="H84">
        <v>0</v>
      </c>
      <c r="I84">
        <v>0</v>
      </c>
      <c r="K84">
        <v>0</v>
      </c>
      <c r="L84">
        <v>0</v>
      </c>
      <c r="M84">
        <v>0</v>
      </c>
      <c r="N84">
        <v>0</v>
      </c>
      <c r="O84" s="7">
        <f>IFERROR(MATCH(tblTransferProveedor[[#This Row],[Codigo]],tblTransferActual[CODIGO],0),0)</f>
        <v>0</v>
      </c>
    </row>
    <row r="85" spans="1:15" x14ac:dyDescent="0.25">
      <c r="A85" t="s">
        <v>377</v>
      </c>
      <c r="B85" t="s">
        <v>378</v>
      </c>
      <c r="D85" t="s">
        <v>100</v>
      </c>
      <c r="E85">
        <v>0</v>
      </c>
      <c r="F85">
        <v>15.72</v>
      </c>
      <c r="G85">
        <v>26.25</v>
      </c>
      <c r="H85">
        <v>0</v>
      </c>
      <c r="I85">
        <v>0</v>
      </c>
      <c r="K85">
        <v>0</v>
      </c>
      <c r="L85">
        <v>0</v>
      </c>
      <c r="M85">
        <v>0</v>
      </c>
      <c r="N85">
        <v>0</v>
      </c>
      <c r="O85" s="7">
        <f>IFERROR(MATCH(tblTransferProveedor[[#This Row],[Codigo]],tblTransferActual[CODIGO],0),0)</f>
        <v>0</v>
      </c>
    </row>
    <row r="86" spans="1:15" x14ac:dyDescent="0.25">
      <c r="A86" t="s">
        <v>379</v>
      </c>
      <c r="B86" t="s">
        <v>380</v>
      </c>
      <c r="D86" t="s">
        <v>100</v>
      </c>
      <c r="E86">
        <v>0</v>
      </c>
      <c r="F86">
        <v>15.72</v>
      </c>
      <c r="G86">
        <v>26.25</v>
      </c>
      <c r="H86">
        <v>0</v>
      </c>
      <c r="I86">
        <v>0</v>
      </c>
      <c r="K86">
        <v>0</v>
      </c>
      <c r="L86">
        <v>0</v>
      </c>
      <c r="M86">
        <v>0</v>
      </c>
      <c r="N86">
        <v>0</v>
      </c>
      <c r="O86" s="7">
        <f>IFERROR(MATCH(tblTransferProveedor[[#This Row],[Codigo]],tblTransferActual[CODIGO],0),0)</f>
        <v>0</v>
      </c>
    </row>
    <row r="87" spans="1:15" x14ac:dyDescent="0.25">
      <c r="A87" t="s">
        <v>381</v>
      </c>
      <c r="B87" t="s">
        <v>382</v>
      </c>
      <c r="D87" t="s">
        <v>100</v>
      </c>
      <c r="E87">
        <v>0</v>
      </c>
      <c r="F87">
        <v>15.72</v>
      </c>
      <c r="G87">
        <v>26.25</v>
      </c>
      <c r="H87">
        <v>0</v>
      </c>
      <c r="I87">
        <v>0</v>
      </c>
      <c r="K87">
        <v>0</v>
      </c>
      <c r="L87">
        <v>0</v>
      </c>
      <c r="M87">
        <v>0</v>
      </c>
      <c r="N87">
        <v>0</v>
      </c>
      <c r="O87" s="7">
        <f>IFERROR(MATCH(tblTransferProveedor[[#This Row],[Codigo]],tblTransferActual[CODIGO],0),0)</f>
        <v>0</v>
      </c>
    </row>
    <row r="88" spans="1:15" x14ac:dyDescent="0.25">
      <c r="A88" t="s">
        <v>383</v>
      </c>
      <c r="B88" t="s">
        <v>384</v>
      </c>
      <c r="D88" t="s">
        <v>100</v>
      </c>
      <c r="E88">
        <v>0</v>
      </c>
      <c r="F88">
        <v>15.72</v>
      </c>
      <c r="G88">
        <v>26.25</v>
      </c>
      <c r="H88">
        <v>0</v>
      </c>
      <c r="I88">
        <v>0</v>
      </c>
      <c r="K88">
        <v>0</v>
      </c>
      <c r="L88">
        <v>0</v>
      </c>
      <c r="M88">
        <v>0</v>
      </c>
      <c r="N88">
        <v>0</v>
      </c>
      <c r="O88" s="7">
        <f>IFERROR(MATCH(tblTransferProveedor[[#This Row],[Codigo]],tblTransferActual[CODIGO],0),0)</f>
        <v>0</v>
      </c>
    </row>
    <row r="89" spans="1:15" x14ac:dyDescent="0.25">
      <c r="A89" t="s">
        <v>385</v>
      </c>
      <c r="B89" t="s">
        <v>386</v>
      </c>
      <c r="D89" t="s">
        <v>100</v>
      </c>
      <c r="E89">
        <v>0</v>
      </c>
      <c r="F89">
        <v>15.72</v>
      </c>
      <c r="G89">
        <v>26.25</v>
      </c>
      <c r="H89">
        <v>0</v>
      </c>
      <c r="I89">
        <v>0</v>
      </c>
      <c r="K89">
        <v>0</v>
      </c>
      <c r="L89">
        <v>0</v>
      </c>
      <c r="M89">
        <v>0</v>
      </c>
      <c r="N89">
        <v>0</v>
      </c>
      <c r="O89" s="7">
        <f>IFERROR(MATCH(tblTransferProveedor[[#This Row],[Codigo]],tblTransferActual[CODIGO],0),0)</f>
        <v>0</v>
      </c>
    </row>
    <row r="90" spans="1:15" x14ac:dyDescent="0.25">
      <c r="A90" t="s">
        <v>387</v>
      </c>
      <c r="B90" t="s">
        <v>369</v>
      </c>
      <c r="C90" t="s">
        <v>369</v>
      </c>
      <c r="D90" t="s">
        <v>369</v>
      </c>
      <c r="E90">
        <v>0</v>
      </c>
      <c r="F90">
        <v>0</v>
      </c>
      <c r="G90">
        <v>0</v>
      </c>
      <c r="H90">
        <v>0</v>
      </c>
      <c r="I90">
        <v>0</v>
      </c>
      <c r="K90">
        <v>0</v>
      </c>
      <c r="L90">
        <v>0</v>
      </c>
      <c r="M90">
        <v>0</v>
      </c>
      <c r="N90">
        <v>0</v>
      </c>
      <c r="O90" s="7">
        <f>IFERROR(MATCH(tblTransferProveedor[[#This Row],[Codigo]],tblTransferActual[CODIGO],0),0)</f>
        <v>0</v>
      </c>
    </row>
    <row r="91" spans="1:15" x14ac:dyDescent="0.25">
      <c r="A91" t="s">
        <v>388</v>
      </c>
      <c r="B91" t="s">
        <v>389</v>
      </c>
      <c r="D91" t="s">
        <v>100</v>
      </c>
      <c r="E91">
        <v>0</v>
      </c>
      <c r="F91">
        <v>13.55</v>
      </c>
      <c r="G91">
        <v>23.85</v>
      </c>
      <c r="H91">
        <v>0</v>
      </c>
      <c r="I91">
        <v>0</v>
      </c>
      <c r="K91">
        <v>0</v>
      </c>
      <c r="L91">
        <v>0</v>
      </c>
      <c r="M91">
        <v>0</v>
      </c>
      <c r="N91">
        <v>0</v>
      </c>
      <c r="O91" s="7">
        <f>IFERROR(MATCH(tblTransferProveedor[[#This Row],[Codigo]],tblTransferActual[CODIGO],0),0)</f>
        <v>0</v>
      </c>
    </row>
    <row r="92" spans="1:15" x14ac:dyDescent="0.25">
      <c r="A92" t="s">
        <v>390</v>
      </c>
      <c r="B92" t="s">
        <v>391</v>
      </c>
      <c r="D92" t="s">
        <v>100</v>
      </c>
      <c r="E92">
        <v>0</v>
      </c>
      <c r="F92">
        <v>13.55</v>
      </c>
      <c r="G92">
        <v>23.85</v>
      </c>
      <c r="H92">
        <v>0</v>
      </c>
      <c r="I92">
        <v>0</v>
      </c>
      <c r="K92">
        <v>0</v>
      </c>
      <c r="L92">
        <v>0</v>
      </c>
      <c r="M92">
        <v>0</v>
      </c>
      <c r="N92">
        <v>0</v>
      </c>
      <c r="O92" s="7">
        <f>IFERROR(MATCH(tblTransferProveedor[[#This Row],[Codigo]],tblTransferActual[CODIGO],0),0)</f>
        <v>0</v>
      </c>
    </row>
    <row r="93" spans="1:15" x14ac:dyDescent="0.25">
      <c r="A93" t="s">
        <v>392</v>
      </c>
      <c r="B93" t="s">
        <v>393</v>
      </c>
      <c r="D93" t="s">
        <v>100</v>
      </c>
      <c r="E93">
        <v>0</v>
      </c>
      <c r="F93">
        <v>13.55</v>
      </c>
      <c r="G93">
        <v>23.85</v>
      </c>
      <c r="H93">
        <v>0</v>
      </c>
      <c r="I93">
        <v>0</v>
      </c>
      <c r="K93">
        <v>0</v>
      </c>
      <c r="L93">
        <v>0</v>
      </c>
      <c r="M93">
        <v>0</v>
      </c>
      <c r="N93">
        <v>0</v>
      </c>
      <c r="O93" s="7">
        <f>IFERROR(MATCH(tblTransferProveedor[[#This Row],[Codigo]],tblTransferActual[CODIGO],0),0)</f>
        <v>0</v>
      </c>
    </row>
    <row r="94" spans="1:15" x14ac:dyDescent="0.25">
      <c r="A94" t="s">
        <v>394</v>
      </c>
      <c r="B94" t="s">
        <v>395</v>
      </c>
      <c r="D94" t="s">
        <v>100</v>
      </c>
      <c r="E94">
        <v>0</v>
      </c>
      <c r="F94">
        <v>13.55</v>
      </c>
      <c r="G94">
        <v>23.85</v>
      </c>
      <c r="H94">
        <v>0</v>
      </c>
      <c r="I94">
        <v>0</v>
      </c>
      <c r="K94">
        <v>0</v>
      </c>
      <c r="L94">
        <v>0</v>
      </c>
      <c r="M94">
        <v>0</v>
      </c>
      <c r="N94">
        <v>0</v>
      </c>
      <c r="O94" s="7">
        <f>IFERROR(MATCH(tblTransferProveedor[[#This Row],[Codigo]],tblTransferActual[CODIGO],0),0)</f>
        <v>0</v>
      </c>
    </row>
    <row r="95" spans="1:15" x14ac:dyDescent="0.25">
      <c r="A95" t="s">
        <v>396</v>
      </c>
      <c r="B95" t="s">
        <v>397</v>
      </c>
      <c r="D95" t="s">
        <v>100</v>
      </c>
      <c r="E95">
        <v>0</v>
      </c>
      <c r="F95">
        <v>13.55</v>
      </c>
      <c r="G95">
        <v>23.85</v>
      </c>
      <c r="H95">
        <v>0</v>
      </c>
      <c r="I95">
        <v>0</v>
      </c>
      <c r="K95">
        <v>0</v>
      </c>
      <c r="L95">
        <v>0</v>
      </c>
      <c r="M95">
        <v>0</v>
      </c>
      <c r="N95">
        <v>0</v>
      </c>
      <c r="O95" s="7">
        <f>IFERROR(MATCH(tblTransferProveedor[[#This Row],[Codigo]],tblTransferActual[CODIGO],0),0)</f>
        <v>0</v>
      </c>
    </row>
    <row r="96" spans="1:15" x14ac:dyDescent="0.25">
      <c r="A96" t="s">
        <v>398</v>
      </c>
      <c r="B96" t="s">
        <v>399</v>
      </c>
      <c r="D96" t="s">
        <v>100</v>
      </c>
      <c r="E96">
        <v>0</v>
      </c>
      <c r="F96">
        <v>13.55</v>
      </c>
      <c r="G96">
        <v>23.85</v>
      </c>
      <c r="H96">
        <v>0</v>
      </c>
      <c r="I96">
        <v>0</v>
      </c>
      <c r="K96">
        <v>0</v>
      </c>
      <c r="L96">
        <v>0</v>
      </c>
      <c r="M96">
        <v>0</v>
      </c>
      <c r="N96">
        <v>0</v>
      </c>
      <c r="O96" s="7">
        <f>IFERROR(MATCH(tblTransferProveedor[[#This Row],[Codigo]],tblTransferActual[CODIGO],0),0)</f>
        <v>0</v>
      </c>
    </row>
    <row r="97" spans="1:15" x14ac:dyDescent="0.25">
      <c r="A97" t="s">
        <v>400</v>
      </c>
      <c r="B97" t="s">
        <v>401</v>
      </c>
      <c r="D97" t="s">
        <v>100</v>
      </c>
      <c r="E97">
        <v>0</v>
      </c>
      <c r="F97">
        <v>13.55</v>
      </c>
      <c r="G97">
        <v>23.85</v>
      </c>
      <c r="H97">
        <v>0</v>
      </c>
      <c r="I97">
        <v>0</v>
      </c>
      <c r="K97">
        <v>0</v>
      </c>
      <c r="L97">
        <v>0</v>
      </c>
      <c r="M97">
        <v>0</v>
      </c>
      <c r="N97">
        <v>0</v>
      </c>
      <c r="O97" s="7">
        <f>IFERROR(MATCH(tblTransferProveedor[[#This Row],[Codigo]],tblTransferActual[CODIGO],0),0)</f>
        <v>0</v>
      </c>
    </row>
    <row r="98" spans="1:15" x14ac:dyDescent="0.25">
      <c r="A98" t="s">
        <v>402</v>
      </c>
      <c r="B98" t="s">
        <v>403</v>
      </c>
      <c r="D98" t="s">
        <v>100</v>
      </c>
      <c r="E98">
        <v>0</v>
      </c>
      <c r="F98">
        <v>13.55</v>
      </c>
      <c r="G98">
        <v>23.85</v>
      </c>
      <c r="H98">
        <v>0</v>
      </c>
      <c r="I98">
        <v>0</v>
      </c>
      <c r="K98">
        <v>0</v>
      </c>
      <c r="L98">
        <v>0</v>
      </c>
      <c r="M98">
        <v>0</v>
      </c>
      <c r="N98">
        <v>0</v>
      </c>
      <c r="O98" s="7">
        <f>IFERROR(MATCH(tblTransferProveedor[[#This Row],[Codigo]],tblTransferActual[CODIGO],0),0)</f>
        <v>0</v>
      </c>
    </row>
    <row r="99" spans="1:15" x14ac:dyDescent="0.25">
      <c r="A99" t="s">
        <v>404</v>
      </c>
      <c r="B99" t="s">
        <v>405</v>
      </c>
      <c r="D99" t="s">
        <v>100</v>
      </c>
      <c r="E99">
        <v>0</v>
      </c>
      <c r="F99">
        <v>13.55</v>
      </c>
      <c r="G99">
        <v>23.85</v>
      </c>
      <c r="H99">
        <v>0</v>
      </c>
      <c r="I99">
        <v>0</v>
      </c>
      <c r="K99">
        <v>0</v>
      </c>
      <c r="L99">
        <v>0</v>
      </c>
      <c r="M99">
        <v>0</v>
      </c>
      <c r="N99">
        <v>0</v>
      </c>
      <c r="O99" s="7">
        <f>IFERROR(MATCH(tblTransferProveedor[[#This Row],[Codigo]],tblTransferActual[CODIGO],0),0)</f>
        <v>0</v>
      </c>
    </row>
    <row r="100" spans="1:15" x14ac:dyDescent="0.25">
      <c r="A100" t="s">
        <v>406</v>
      </c>
      <c r="B100" t="s">
        <v>407</v>
      </c>
      <c r="D100" t="s">
        <v>100</v>
      </c>
      <c r="E100">
        <v>0</v>
      </c>
      <c r="F100">
        <v>15.72</v>
      </c>
      <c r="G100">
        <v>26.25</v>
      </c>
      <c r="H100">
        <v>0</v>
      </c>
      <c r="I100">
        <v>0</v>
      </c>
      <c r="K100">
        <v>0</v>
      </c>
      <c r="L100">
        <v>0</v>
      </c>
      <c r="M100">
        <v>0</v>
      </c>
      <c r="N100">
        <v>0</v>
      </c>
      <c r="O100" s="7">
        <f>IFERROR(MATCH(tblTransferProveedor[[#This Row],[Codigo]],tblTransferActual[CODIGO],0),0)</f>
        <v>0</v>
      </c>
    </row>
    <row r="101" spans="1:15" x14ac:dyDescent="0.25">
      <c r="A101" t="s">
        <v>408</v>
      </c>
      <c r="B101" t="s">
        <v>409</v>
      </c>
      <c r="D101" t="s">
        <v>100</v>
      </c>
      <c r="E101">
        <v>0</v>
      </c>
      <c r="F101">
        <v>15.72</v>
      </c>
      <c r="G101">
        <v>26.25</v>
      </c>
      <c r="H101">
        <v>0</v>
      </c>
      <c r="I101">
        <v>0</v>
      </c>
      <c r="K101">
        <v>0</v>
      </c>
      <c r="L101">
        <v>0</v>
      </c>
      <c r="M101">
        <v>0</v>
      </c>
      <c r="N101">
        <v>0</v>
      </c>
      <c r="O101" s="7">
        <f>IFERROR(MATCH(tblTransferProveedor[[#This Row],[Codigo]],tblTransferActual[CODIGO],0),0)</f>
        <v>0</v>
      </c>
    </row>
    <row r="102" spans="1:15" x14ac:dyDescent="0.25">
      <c r="A102" t="s">
        <v>410</v>
      </c>
      <c r="B102" t="s">
        <v>411</v>
      </c>
      <c r="D102" t="s">
        <v>100</v>
      </c>
      <c r="E102">
        <v>0</v>
      </c>
      <c r="F102">
        <v>13.19</v>
      </c>
      <c r="G102">
        <v>22.82</v>
      </c>
      <c r="H102">
        <v>0</v>
      </c>
      <c r="I102">
        <v>0</v>
      </c>
      <c r="K102">
        <v>0</v>
      </c>
      <c r="L102">
        <v>0</v>
      </c>
      <c r="M102">
        <v>0</v>
      </c>
      <c r="N102">
        <v>0</v>
      </c>
      <c r="O102" s="7">
        <f>IFERROR(MATCH(tblTransferProveedor[[#This Row],[Codigo]],tblTransferActual[CODIGO],0),0)</f>
        <v>0</v>
      </c>
    </row>
    <row r="103" spans="1:15" x14ac:dyDescent="0.25">
      <c r="A103" t="s">
        <v>412</v>
      </c>
      <c r="B103" t="s">
        <v>413</v>
      </c>
      <c r="D103" t="s">
        <v>100</v>
      </c>
      <c r="E103">
        <v>0</v>
      </c>
      <c r="F103">
        <v>1</v>
      </c>
      <c r="G103">
        <v>19.690000000000001</v>
      </c>
      <c r="H103">
        <v>0</v>
      </c>
      <c r="I103">
        <v>0</v>
      </c>
      <c r="K103">
        <v>0</v>
      </c>
      <c r="L103">
        <v>0</v>
      </c>
      <c r="M103">
        <v>0</v>
      </c>
      <c r="N103">
        <v>0</v>
      </c>
      <c r="O103" s="7">
        <f>IFERROR(MATCH(tblTransferProveedor[[#This Row],[Codigo]],tblTransferActual[CODIGO],0),0)</f>
        <v>0</v>
      </c>
    </row>
    <row r="104" spans="1:15" x14ac:dyDescent="0.25">
      <c r="A104" t="s">
        <v>414</v>
      </c>
      <c r="B104" t="s">
        <v>415</v>
      </c>
      <c r="D104" t="s">
        <v>100</v>
      </c>
      <c r="E104">
        <v>0</v>
      </c>
      <c r="F104">
        <v>13.19</v>
      </c>
      <c r="G104">
        <v>22.82</v>
      </c>
      <c r="H104">
        <v>0</v>
      </c>
      <c r="I104">
        <v>0</v>
      </c>
      <c r="K104">
        <v>0</v>
      </c>
      <c r="L104">
        <v>0</v>
      </c>
      <c r="M104">
        <v>0</v>
      </c>
      <c r="N104">
        <v>0</v>
      </c>
      <c r="O104" s="7">
        <f>IFERROR(MATCH(tblTransferProveedor[[#This Row],[Codigo]],tblTransferActual[CODIGO],0),0)</f>
        <v>0</v>
      </c>
    </row>
    <row r="105" spans="1:15" x14ac:dyDescent="0.25">
      <c r="A105" t="s">
        <v>416</v>
      </c>
      <c r="B105" t="s">
        <v>417</v>
      </c>
      <c r="D105" t="s">
        <v>100</v>
      </c>
      <c r="E105">
        <v>0</v>
      </c>
      <c r="F105">
        <v>12.23</v>
      </c>
      <c r="G105">
        <v>22</v>
      </c>
      <c r="H105">
        <v>0</v>
      </c>
      <c r="I105">
        <v>0</v>
      </c>
      <c r="K105">
        <v>0</v>
      </c>
      <c r="L105">
        <v>0</v>
      </c>
      <c r="M105">
        <v>0</v>
      </c>
      <c r="N105">
        <v>0</v>
      </c>
      <c r="O105" s="7">
        <f>IFERROR(MATCH(tblTransferProveedor[[#This Row],[Codigo]],tblTransferActual[CODIGO],0),0)</f>
        <v>0</v>
      </c>
    </row>
    <row r="106" spans="1:15" x14ac:dyDescent="0.25">
      <c r="A106" t="s">
        <v>418</v>
      </c>
      <c r="B106" t="s">
        <v>419</v>
      </c>
      <c r="D106" t="s">
        <v>100</v>
      </c>
      <c r="E106">
        <v>0</v>
      </c>
      <c r="F106">
        <v>12.23</v>
      </c>
      <c r="G106">
        <v>22</v>
      </c>
      <c r="H106">
        <v>0</v>
      </c>
      <c r="I106">
        <v>0</v>
      </c>
      <c r="K106">
        <v>0</v>
      </c>
      <c r="L106">
        <v>0</v>
      </c>
      <c r="M106">
        <v>0</v>
      </c>
      <c r="N106">
        <v>0</v>
      </c>
      <c r="O106" s="7">
        <f>IFERROR(MATCH(tblTransferProveedor[[#This Row],[Codigo]],tblTransferActual[CODIGO],0),0)</f>
        <v>0</v>
      </c>
    </row>
    <row r="107" spans="1:15" x14ac:dyDescent="0.25">
      <c r="A107" t="s">
        <v>420</v>
      </c>
      <c r="B107" t="s">
        <v>421</v>
      </c>
      <c r="D107" t="s">
        <v>100</v>
      </c>
      <c r="E107">
        <v>0</v>
      </c>
      <c r="F107">
        <v>12.23</v>
      </c>
      <c r="G107">
        <v>22</v>
      </c>
      <c r="H107">
        <v>0</v>
      </c>
      <c r="I107">
        <v>0</v>
      </c>
      <c r="K107">
        <v>0</v>
      </c>
      <c r="L107">
        <v>0</v>
      </c>
      <c r="M107">
        <v>0</v>
      </c>
      <c r="N107">
        <v>0</v>
      </c>
      <c r="O107" s="7">
        <f>IFERROR(MATCH(tblTransferProveedor[[#This Row],[Codigo]],tblTransferActual[CODIGO],0),0)</f>
        <v>0</v>
      </c>
    </row>
    <row r="108" spans="1:15" x14ac:dyDescent="0.25">
      <c r="A108" t="s">
        <v>422</v>
      </c>
      <c r="B108" t="s">
        <v>423</v>
      </c>
      <c r="D108" t="s">
        <v>100</v>
      </c>
      <c r="E108">
        <v>0</v>
      </c>
      <c r="F108">
        <v>1</v>
      </c>
      <c r="G108">
        <v>19.690000000000001</v>
      </c>
      <c r="H108">
        <v>0</v>
      </c>
      <c r="I108">
        <v>0</v>
      </c>
      <c r="K108">
        <v>0</v>
      </c>
      <c r="L108">
        <v>0</v>
      </c>
      <c r="M108">
        <v>0</v>
      </c>
      <c r="N108">
        <v>0</v>
      </c>
      <c r="O108" s="7">
        <f>IFERROR(MATCH(tblTransferProveedor[[#This Row],[Codigo]],tblTransferActual[CODIGO],0),0)</f>
        <v>0</v>
      </c>
    </row>
    <row r="109" spans="1:15" x14ac:dyDescent="0.25">
      <c r="A109" t="s">
        <v>424</v>
      </c>
      <c r="B109" t="s">
        <v>425</v>
      </c>
      <c r="D109" t="s">
        <v>100</v>
      </c>
      <c r="E109">
        <v>0</v>
      </c>
      <c r="F109">
        <v>13</v>
      </c>
      <c r="G109">
        <v>22.82</v>
      </c>
      <c r="H109">
        <v>0</v>
      </c>
      <c r="I109">
        <v>0</v>
      </c>
      <c r="K109">
        <v>0</v>
      </c>
      <c r="L109">
        <v>0</v>
      </c>
      <c r="M109">
        <v>0</v>
      </c>
      <c r="N109">
        <v>0</v>
      </c>
      <c r="O109" s="7">
        <f>IFERROR(MATCH(tblTransferProveedor[[#This Row],[Codigo]],tblTransferActual[CODIGO],0),0)</f>
        <v>0</v>
      </c>
    </row>
    <row r="110" spans="1:15" x14ac:dyDescent="0.25">
      <c r="A110" t="s">
        <v>426</v>
      </c>
      <c r="B110" t="s">
        <v>427</v>
      </c>
      <c r="D110" t="s">
        <v>100</v>
      </c>
      <c r="E110">
        <v>0</v>
      </c>
      <c r="F110">
        <v>13</v>
      </c>
      <c r="G110">
        <v>22.82</v>
      </c>
      <c r="H110">
        <v>0</v>
      </c>
      <c r="I110">
        <v>0</v>
      </c>
      <c r="K110">
        <v>0</v>
      </c>
      <c r="L110">
        <v>0</v>
      </c>
      <c r="M110">
        <v>0</v>
      </c>
      <c r="N110">
        <v>0</v>
      </c>
      <c r="O110" s="7">
        <f>IFERROR(MATCH(tblTransferProveedor[[#This Row],[Codigo]],tblTransferActual[CODIGO],0),0)</f>
        <v>0</v>
      </c>
    </row>
    <row r="111" spans="1:15" x14ac:dyDescent="0.25">
      <c r="A111" t="s">
        <v>428</v>
      </c>
      <c r="B111" t="s">
        <v>429</v>
      </c>
      <c r="D111" t="s">
        <v>100</v>
      </c>
      <c r="E111">
        <v>0</v>
      </c>
      <c r="F111">
        <v>13</v>
      </c>
      <c r="G111">
        <v>22.82</v>
      </c>
      <c r="H111">
        <v>0</v>
      </c>
      <c r="I111">
        <v>0</v>
      </c>
      <c r="K111">
        <v>0</v>
      </c>
      <c r="L111">
        <v>0</v>
      </c>
      <c r="M111">
        <v>0</v>
      </c>
      <c r="N111">
        <v>0</v>
      </c>
      <c r="O111" s="7">
        <f>IFERROR(MATCH(tblTransferProveedor[[#This Row],[Codigo]],tblTransferActual[CODIGO],0),0)</f>
        <v>0</v>
      </c>
    </row>
    <row r="112" spans="1:15" x14ac:dyDescent="0.25">
      <c r="A112" t="s">
        <v>430</v>
      </c>
      <c r="B112" t="s">
        <v>431</v>
      </c>
      <c r="D112" t="s">
        <v>100</v>
      </c>
      <c r="E112">
        <v>0</v>
      </c>
      <c r="F112">
        <v>1</v>
      </c>
      <c r="G112">
        <v>19.690000000000001</v>
      </c>
      <c r="H112">
        <v>0</v>
      </c>
      <c r="I112">
        <v>0</v>
      </c>
      <c r="K112">
        <v>0</v>
      </c>
      <c r="L112">
        <v>0</v>
      </c>
      <c r="M112">
        <v>0</v>
      </c>
      <c r="N112">
        <v>0</v>
      </c>
      <c r="O112" s="7">
        <f>IFERROR(MATCH(tblTransferProveedor[[#This Row],[Codigo]],tblTransferActual[CODIGO],0),0)</f>
        <v>0</v>
      </c>
    </row>
    <row r="113" spans="1:15" x14ac:dyDescent="0.25">
      <c r="A113" t="s">
        <v>432</v>
      </c>
      <c r="B113" t="s">
        <v>433</v>
      </c>
      <c r="D113" t="s">
        <v>100</v>
      </c>
      <c r="E113">
        <v>0</v>
      </c>
      <c r="F113">
        <v>13.19</v>
      </c>
      <c r="G113">
        <v>22.82</v>
      </c>
      <c r="H113">
        <v>0</v>
      </c>
      <c r="I113">
        <v>0</v>
      </c>
      <c r="K113">
        <v>0</v>
      </c>
      <c r="L113">
        <v>0</v>
      </c>
      <c r="M113">
        <v>0</v>
      </c>
      <c r="N113">
        <v>0</v>
      </c>
      <c r="O113" s="7">
        <f>IFERROR(MATCH(tblTransferProveedor[[#This Row],[Codigo]],tblTransferActual[CODIGO],0),0)</f>
        <v>0</v>
      </c>
    </row>
    <row r="114" spans="1:15" x14ac:dyDescent="0.25">
      <c r="A114" t="s">
        <v>434</v>
      </c>
      <c r="B114" t="s">
        <v>435</v>
      </c>
      <c r="D114" t="s">
        <v>100</v>
      </c>
      <c r="E114">
        <v>0</v>
      </c>
      <c r="F114">
        <v>13.19</v>
      </c>
      <c r="G114">
        <v>22.82</v>
      </c>
      <c r="H114">
        <v>0</v>
      </c>
      <c r="I114">
        <v>0</v>
      </c>
      <c r="K114">
        <v>0</v>
      </c>
      <c r="L114">
        <v>0</v>
      </c>
      <c r="M114">
        <v>0</v>
      </c>
      <c r="N114">
        <v>0</v>
      </c>
      <c r="O114" s="7">
        <f>IFERROR(MATCH(tblTransferProveedor[[#This Row],[Codigo]],tblTransferActual[CODIGO],0),0)</f>
        <v>0</v>
      </c>
    </row>
    <row r="115" spans="1:15" x14ac:dyDescent="0.25">
      <c r="A115" t="s">
        <v>436</v>
      </c>
      <c r="B115" t="s">
        <v>437</v>
      </c>
      <c r="D115" t="s">
        <v>100</v>
      </c>
      <c r="E115">
        <v>0</v>
      </c>
      <c r="F115">
        <v>13.19</v>
      </c>
      <c r="G115">
        <v>22.82</v>
      </c>
      <c r="H115">
        <v>0</v>
      </c>
      <c r="I115">
        <v>0</v>
      </c>
      <c r="K115">
        <v>0</v>
      </c>
      <c r="L115">
        <v>0</v>
      </c>
      <c r="M115">
        <v>0</v>
      </c>
      <c r="N115">
        <v>0</v>
      </c>
      <c r="O115" s="7">
        <f>IFERROR(MATCH(tblTransferProveedor[[#This Row],[Codigo]],tblTransferActual[CODIGO],0),0)</f>
        <v>0</v>
      </c>
    </row>
    <row r="116" spans="1:15" x14ac:dyDescent="0.25">
      <c r="A116" t="s">
        <v>438</v>
      </c>
      <c r="B116" t="s">
        <v>439</v>
      </c>
      <c r="D116" t="s">
        <v>100</v>
      </c>
      <c r="E116">
        <v>0</v>
      </c>
      <c r="F116">
        <v>13</v>
      </c>
      <c r="G116">
        <v>22.82</v>
      </c>
      <c r="H116">
        <v>0</v>
      </c>
      <c r="I116">
        <v>0</v>
      </c>
      <c r="K116">
        <v>0</v>
      </c>
      <c r="L116">
        <v>0</v>
      </c>
      <c r="M116">
        <v>0</v>
      </c>
      <c r="N116">
        <v>0</v>
      </c>
      <c r="O116" s="7">
        <f>IFERROR(MATCH(tblTransferProveedor[[#This Row],[Codigo]],tblTransferActual[CODIGO],0),0)</f>
        <v>0</v>
      </c>
    </row>
    <row r="117" spans="1:15" x14ac:dyDescent="0.25">
      <c r="A117" t="s">
        <v>440</v>
      </c>
      <c r="B117" t="s">
        <v>441</v>
      </c>
      <c r="D117" t="s">
        <v>100</v>
      </c>
      <c r="E117">
        <v>0</v>
      </c>
      <c r="F117">
        <v>13</v>
      </c>
      <c r="G117">
        <v>22.82</v>
      </c>
      <c r="H117">
        <v>0</v>
      </c>
      <c r="I117">
        <v>0</v>
      </c>
      <c r="K117">
        <v>0</v>
      </c>
      <c r="L117">
        <v>0</v>
      </c>
      <c r="M117">
        <v>0</v>
      </c>
      <c r="N117">
        <v>0</v>
      </c>
      <c r="O117" s="7">
        <f>IFERROR(MATCH(tblTransferProveedor[[#This Row],[Codigo]],tblTransferActual[CODIGO],0),0)</f>
        <v>0</v>
      </c>
    </row>
    <row r="118" spans="1:15" x14ac:dyDescent="0.25">
      <c r="A118" t="s">
        <v>442</v>
      </c>
      <c r="B118" t="s">
        <v>443</v>
      </c>
      <c r="D118" t="s">
        <v>100</v>
      </c>
      <c r="E118">
        <v>0</v>
      </c>
      <c r="F118">
        <v>13</v>
      </c>
      <c r="G118">
        <v>22.82</v>
      </c>
      <c r="H118">
        <v>0</v>
      </c>
      <c r="I118">
        <v>0</v>
      </c>
      <c r="K118">
        <v>0</v>
      </c>
      <c r="L118">
        <v>0</v>
      </c>
      <c r="M118">
        <v>0</v>
      </c>
      <c r="N118">
        <v>0</v>
      </c>
      <c r="O118" s="7">
        <f>IFERROR(MATCH(tblTransferProveedor[[#This Row],[Codigo]],tblTransferActual[CODIGO],0),0)</f>
        <v>0</v>
      </c>
    </row>
    <row r="119" spans="1:15" x14ac:dyDescent="0.25">
      <c r="A119" t="s">
        <v>289</v>
      </c>
      <c r="B119" t="s">
        <v>444</v>
      </c>
      <c r="D119" t="s">
        <v>100</v>
      </c>
      <c r="E119">
        <v>0</v>
      </c>
      <c r="F119">
        <v>4.8499999999999996</v>
      </c>
      <c r="G119">
        <v>9.23</v>
      </c>
      <c r="H119">
        <v>0</v>
      </c>
      <c r="I119">
        <v>0</v>
      </c>
      <c r="K119">
        <v>0</v>
      </c>
      <c r="L119">
        <v>0</v>
      </c>
      <c r="M119">
        <v>0</v>
      </c>
      <c r="N119">
        <v>0</v>
      </c>
      <c r="O119" s="7">
        <f>IFERROR(MATCH(tblTransferProveedor[[#This Row],[Codigo]],tblTransferActual[CODIGO],0),0)</f>
        <v>0</v>
      </c>
    </row>
    <row r="120" spans="1:15" x14ac:dyDescent="0.25">
      <c r="A120" t="s">
        <v>308</v>
      </c>
      <c r="B120" t="s">
        <v>309</v>
      </c>
      <c r="D120" t="s">
        <v>100</v>
      </c>
      <c r="E120">
        <v>0</v>
      </c>
      <c r="F120">
        <v>5.2</v>
      </c>
      <c r="G120">
        <v>9.23</v>
      </c>
      <c r="H120">
        <v>262</v>
      </c>
      <c r="I120">
        <v>1</v>
      </c>
      <c r="K120">
        <v>0</v>
      </c>
      <c r="L120">
        <v>0</v>
      </c>
      <c r="M120">
        <v>0</v>
      </c>
      <c r="N120">
        <v>100</v>
      </c>
      <c r="O120" s="7">
        <f>IFERROR(MATCH(tblTransferProveedor[[#This Row],[Codigo]],tblTransferActual[CODIGO],0),0)</f>
        <v>80</v>
      </c>
    </row>
    <row r="121" spans="1:15" x14ac:dyDescent="0.25">
      <c r="A121" t="s">
        <v>445</v>
      </c>
      <c r="B121" t="s">
        <v>446</v>
      </c>
      <c r="D121" t="s">
        <v>100</v>
      </c>
      <c r="E121">
        <v>0</v>
      </c>
      <c r="F121">
        <v>4.8499999999999996</v>
      </c>
      <c r="G121">
        <v>9.23</v>
      </c>
      <c r="H121">
        <v>0</v>
      </c>
      <c r="I121">
        <v>0</v>
      </c>
      <c r="K121">
        <v>0</v>
      </c>
      <c r="L121">
        <v>0</v>
      </c>
      <c r="M121">
        <v>0</v>
      </c>
      <c r="N121">
        <v>0</v>
      </c>
      <c r="O121" s="7">
        <f>IFERROR(MATCH(tblTransferProveedor[[#This Row],[Codigo]],tblTransferActual[CODIGO],0),0)</f>
        <v>0</v>
      </c>
    </row>
    <row r="122" spans="1:15" x14ac:dyDescent="0.25">
      <c r="A122" t="s">
        <v>310</v>
      </c>
      <c r="B122" t="s">
        <v>311</v>
      </c>
      <c r="D122" t="s">
        <v>100</v>
      </c>
      <c r="E122">
        <v>0</v>
      </c>
      <c r="F122">
        <v>5.53</v>
      </c>
      <c r="G122">
        <v>9.23</v>
      </c>
      <c r="H122">
        <v>973</v>
      </c>
      <c r="I122">
        <v>1</v>
      </c>
      <c r="K122">
        <v>0</v>
      </c>
      <c r="L122">
        <v>0</v>
      </c>
      <c r="M122">
        <v>0</v>
      </c>
      <c r="N122">
        <v>254</v>
      </c>
      <c r="O122" s="7">
        <f>IFERROR(MATCH(tblTransferProveedor[[#This Row],[Codigo]],tblTransferActual[CODIGO],0),0)</f>
        <v>81</v>
      </c>
    </row>
    <row r="123" spans="1:15" x14ac:dyDescent="0.25">
      <c r="A123" t="s">
        <v>447</v>
      </c>
      <c r="B123" t="s">
        <v>448</v>
      </c>
      <c r="D123" t="s">
        <v>100</v>
      </c>
      <c r="E123">
        <v>0</v>
      </c>
      <c r="F123">
        <v>4.8499999999999996</v>
      </c>
      <c r="G123">
        <v>9.23</v>
      </c>
      <c r="H123">
        <v>0</v>
      </c>
      <c r="I123">
        <v>0</v>
      </c>
      <c r="K123">
        <v>0</v>
      </c>
      <c r="L123">
        <v>0</v>
      </c>
      <c r="M123">
        <v>0</v>
      </c>
      <c r="N123">
        <v>0</v>
      </c>
      <c r="O123" s="7">
        <f>IFERROR(MATCH(tblTransferProveedor[[#This Row],[Codigo]],tblTransferActual[CODIGO],0),0)</f>
        <v>0</v>
      </c>
    </row>
    <row r="124" spans="1:15" x14ac:dyDescent="0.25">
      <c r="A124" t="s">
        <v>340</v>
      </c>
      <c r="B124" t="s">
        <v>341</v>
      </c>
      <c r="D124" t="s">
        <v>100</v>
      </c>
      <c r="E124">
        <v>0</v>
      </c>
      <c r="F124">
        <v>5.53</v>
      </c>
      <c r="G124">
        <v>9.23</v>
      </c>
      <c r="H124">
        <v>1229</v>
      </c>
      <c r="I124">
        <v>1</v>
      </c>
      <c r="K124">
        <v>0</v>
      </c>
      <c r="L124">
        <v>0</v>
      </c>
      <c r="M124">
        <v>0</v>
      </c>
      <c r="N124">
        <v>321</v>
      </c>
      <c r="O124" s="7">
        <f>IFERROR(MATCH(tblTransferProveedor[[#This Row],[Codigo]],tblTransferActual[CODIGO],0),0)</f>
        <v>82</v>
      </c>
    </row>
    <row r="125" spans="1:15" x14ac:dyDescent="0.25">
      <c r="A125" t="s">
        <v>449</v>
      </c>
      <c r="B125" t="s">
        <v>450</v>
      </c>
      <c r="D125" t="s">
        <v>100</v>
      </c>
      <c r="E125">
        <v>0</v>
      </c>
      <c r="F125">
        <v>4.8499999999999996</v>
      </c>
      <c r="G125">
        <v>9.23</v>
      </c>
      <c r="H125">
        <v>0</v>
      </c>
      <c r="I125">
        <v>0</v>
      </c>
      <c r="K125">
        <v>0</v>
      </c>
      <c r="L125">
        <v>0</v>
      </c>
      <c r="M125">
        <v>0</v>
      </c>
      <c r="N125">
        <v>0</v>
      </c>
      <c r="O125" s="7">
        <f>IFERROR(MATCH(tblTransferProveedor[[#This Row],[Codigo]],tblTransferActual[CODIGO],0),0)</f>
        <v>0</v>
      </c>
    </row>
    <row r="126" spans="1:15" x14ac:dyDescent="0.25">
      <c r="A126" t="s">
        <v>314</v>
      </c>
      <c r="B126" t="s">
        <v>315</v>
      </c>
      <c r="D126" t="s">
        <v>100</v>
      </c>
      <c r="E126">
        <v>0</v>
      </c>
      <c r="F126">
        <v>5.53</v>
      </c>
      <c r="G126">
        <v>9.23</v>
      </c>
      <c r="H126">
        <v>841</v>
      </c>
      <c r="I126">
        <v>1</v>
      </c>
      <c r="K126">
        <v>0</v>
      </c>
      <c r="L126">
        <v>0</v>
      </c>
      <c r="M126">
        <v>0</v>
      </c>
      <c r="N126">
        <v>219</v>
      </c>
      <c r="O126" s="7">
        <f>IFERROR(MATCH(tblTransferProveedor[[#This Row],[Codigo]],tblTransferActual[CODIGO],0),0)</f>
        <v>83</v>
      </c>
    </row>
    <row r="127" spans="1:15" x14ac:dyDescent="0.25">
      <c r="A127" t="s">
        <v>288</v>
      </c>
      <c r="B127" t="s">
        <v>290</v>
      </c>
      <c r="D127" t="s">
        <v>100</v>
      </c>
      <c r="E127">
        <v>0</v>
      </c>
      <c r="F127">
        <v>5.05</v>
      </c>
      <c r="G127">
        <v>9.23</v>
      </c>
      <c r="H127">
        <v>1056</v>
      </c>
      <c r="I127">
        <v>1</v>
      </c>
      <c r="K127">
        <v>0</v>
      </c>
      <c r="L127">
        <v>0</v>
      </c>
      <c r="M127">
        <v>0</v>
      </c>
      <c r="N127">
        <v>275</v>
      </c>
      <c r="O127" s="7">
        <f>IFERROR(MATCH(tblTransferProveedor[[#This Row],[Codigo]],tblTransferActual[CODIGO],0),0)</f>
        <v>84</v>
      </c>
    </row>
    <row r="128" spans="1:15" x14ac:dyDescent="0.25">
      <c r="A128" t="s">
        <v>318</v>
      </c>
      <c r="B128" t="s">
        <v>319</v>
      </c>
      <c r="D128" t="s">
        <v>100</v>
      </c>
      <c r="E128">
        <v>0</v>
      </c>
      <c r="F128">
        <v>5.2</v>
      </c>
      <c r="G128">
        <v>9.23</v>
      </c>
      <c r="H128">
        <v>49</v>
      </c>
      <c r="I128">
        <v>1</v>
      </c>
      <c r="K128">
        <v>0</v>
      </c>
      <c r="L128">
        <v>0</v>
      </c>
      <c r="M128">
        <v>0</v>
      </c>
      <c r="N128">
        <v>100</v>
      </c>
      <c r="O128" s="7">
        <f>IFERROR(MATCH(tblTransferProveedor[[#This Row],[Codigo]],tblTransferActual[CODIGO],0),0)</f>
        <v>85</v>
      </c>
    </row>
    <row r="129" spans="1:15" x14ac:dyDescent="0.25">
      <c r="A129" t="s">
        <v>451</v>
      </c>
      <c r="B129" t="s">
        <v>452</v>
      </c>
      <c r="D129" t="s">
        <v>100</v>
      </c>
      <c r="E129">
        <v>0</v>
      </c>
      <c r="F129">
        <v>5.2</v>
      </c>
      <c r="G129">
        <v>9.23</v>
      </c>
      <c r="H129">
        <v>0</v>
      </c>
      <c r="I129">
        <v>0</v>
      </c>
      <c r="K129">
        <v>0</v>
      </c>
      <c r="L129">
        <v>0</v>
      </c>
      <c r="M129">
        <v>0</v>
      </c>
      <c r="N129">
        <v>0</v>
      </c>
      <c r="O129" s="7">
        <f>IFERROR(MATCH(tblTransferProveedor[[#This Row],[Codigo]],tblTransferActual[CODIGO],0),0)</f>
        <v>0</v>
      </c>
    </row>
    <row r="130" spans="1:15" x14ac:dyDescent="0.25">
      <c r="A130" t="s">
        <v>320</v>
      </c>
      <c r="B130" t="s">
        <v>321</v>
      </c>
      <c r="D130" t="s">
        <v>100</v>
      </c>
      <c r="E130">
        <v>0</v>
      </c>
      <c r="F130">
        <v>5.2</v>
      </c>
      <c r="G130">
        <v>9.23</v>
      </c>
      <c r="H130">
        <v>27</v>
      </c>
      <c r="I130">
        <v>1</v>
      </c>
      <c r="K130">
        <v>0</v>
      </c>
      <c r="L130">
        <v>0</v>
      </c>
      <c r="M130">
        <v>0</v>
      </c>
      <c r="N130">
        <v>100</v>
      </c>
      <c r="O130" s="7">
        <f>IFERROR(MATCH(tblTransferProveedor[[#This Row],[Codigo]],tblTransferActual[CODIGO],0),0)</f>
        <v>86</v>
      </c>
    </row>
    <row r="131" spans="1:15" x14ac:dyDescent="0.25">
      <c r="A131" t="s">
        <v>322</v>
      </c>
      <c r="B131" t="s">
        <v>323</v>
      </c>
      <c r="D131" t="s">
        <v>100</v>
      </c>
      <c r="E131">
        <v>0</v>
      </c>
      <c r="F131">
        <v>4.88</v>
      </c>
      <c r="G131">
        <v>9.23</v>
      </c>
      <c r="H131">
        <v>3</v>
      </c>
      <c r="I131">
        <v>1</v>
      </c>
      <c r="K131">
        <v>0</v>
      </c>
      <c r="L131">
        <v>0</v>
      </c>
      <c r="M131">
        <v>0</v>
      </c>
      <c r="N131">
        <v>100</v>
      </c>
      <c r="O131" s="7">
        <f>IFERROR(MATCH(tblTransferProveedor[[#This Row],[Codigo]],tblTransferActual[CODIGO],0),0)</f>
        <v>87</v>
      </c>
    </row>
    <row r="132" spans="1:15" x14ac:dyDescent="0.25">
      <c r="A132" t="s">
        <v>453</v>
      </c>
      <c r="B132" t="s">
        <v>454</v>
      </c>
      <c r="D132" t="s">
        <v>100</v>
      </c>
      <c r="E132">
        <v>0</v>
      </c>
      <c r="F132">
        <v>68.02</v>
      </c>
      <c r="G132">
        <v>9.23</v>
      </c>
      <c r="H132">
        <v>0</v>
      </c>
      <c r="I132">
        <v>0</v>
      </c>
      <c r="K132">
        <v>0</v>
      </c>
      <c r="L132">
        <v>0</v>
      </c>
      <c r="M132">
        <v>0</v>
      </c>
      <c r="N132">
        <v>0</v>
      </c>
      <c r="O132" s="7">
        <f>IFERROR(MATCH(tblTransferProveedor[[#This Row],[Codigo]],tblTransferActual[CODIGO],0),0)</f>
        <v>0</v>
      </c>
    </row>
    <row r="133" spans="1:15" x14ac:dyDescent="0.25">
      <c r="A133" t="s">
        <v>455</v>
      </c>
      <c r="B133" t="s">
        <v>456</v>
      </c>
      <c r="D133" t="s">
        <v>100</v>
      </c>
      <c r="E133">
        <v>0</v>
      </c>
      <c r="F133">
        <v>68.02</v>
      </c>
      <c r="G133">
        <v>9.23</v>
      </c>
      <c r="H133">
        <v>0</v>
      </c>
      <c r="I133">
        <v>0</v>
      </c>
      <c r="K133">
        <v>0</v>
      </c>
      <c r="L133">
        <v>0</v>
      </c>
      <c r="M133">
        <v>0</v>
      </c>
      <c r="N133">
        <v>0</v>
      </c>
      <c r="O133" s="7">
        <f>IFERROR(MATCH(tblTransferProveedor[[#This Row],[Codigo]],tblTransferActual[CODIGO],0),0)</f>
        <v>0</v>
      </c>
    </row>
    <row r="134" spans="1:15" x14ac:dyDescent="0.25">
      <c r="A134" t="s">
        <v>457</v>
      </c>
      <c r="B134" t="s">
        <v>458</v>
      </c>
      <c r="D134" t="s">
        <v>100</v>
      </c>
      <c r="E134">
        <v>0</v>
      </c>
      <c r="F134">
        <v>68.02</v>
      </c>
      <c r="G134">
        <v>9.23</v>
      </c>
      <c r="H134">
        <v>0</v>
      </c>
      <c r="I134">
        <v>0</v>
      </c>
      <c r="K134">
        <v>0</v>
      </c>
      <c r="L134">
        <v>0</v>
      </c>
      <c r="M134">
        <v>0</v>
      </c>
      <c r="N134">
        <v>0</v>
      </c>
      <c r="O134" s="7">
        <f>IFERROR(MATCH(tblTransferProveedor[[#This Row],[Codigo]],tblTransferActual[CODIGO],0),0)</f>
        <v>0</v>
      </c>
    </row>
    <row r="135" spans="1:15" x14ac:dyDescent="0.25">
      <c r="A135" t="s">
        <v>459</v>
      </c>
      <c r="B135" t="s">
        <v>460</v>
      </c>
      <c r="D135" t="s">
        <v>100</v>
      </c>
      <c r="E135">
        <v>0</v>
      </c>
      <c r="F135">
        <v>68.02</v>
      </c>
      <c r="G135">
        <v>9.23</v>
      </c>
      <c r="H135">
        <v>0</v>
      </c>
      <c r="I135">
        <v>0</v>
      </c>
      <c r="K135">
        <v>0</v>
      </c>
      <c r="L135">
        <v>0</v>
      </c>
      <c r="M135">
        <v>0</v>
      </c>
      <c r="N135">
        <v>0</v>
      </c>
      <c r="O135" s="7">
        <f>IFERROR(MATCH(tblTransferProveedor[[#This Row],[Codigo]],tblTransferActual[CODIGO],0),0)</f>
        <v>0</v>
      </c>
    </row>
    <row r="136" spans="1:15" x14ac:dyDescent="0.25">
      <c r="A136" t="s">
        <v>461</v>
      </c>
      <c r="B136" t="s">
        <v>448</v>
      </c>
      <c r="D136" t="s">
        <v>100</v>
      </c>
      <c r="E136">
        <v>0</v>
      </c>
      <c r="F136">
        <v>68.02</v>
      </c>
      <c r="G136">
        <v>9.23</v>
      </c>
      <c r="H136">
        <v>0</v>
      </c>
      <c r="I136">
        <v>0</v>
      </c>
      <c r="K136">
        <v>0</v>
      </c>
      <c r="L136">
        <v>0</v>
      </c>
      <c r="M136">
        <v>0</v>
      </c>
      <c r="N136">
        <v>0</v>
      </c>
      <c r="O136" s="7">
        <f>IFERROR(MATCH(tblTransferProveedor[[#This Row],[Codigo]],tblTransferActual[CODIGO],0),0)</f>
        <v>0</v>
      </c>
    </row>
    <row r="137" spans="1:15" x14ac:dyDescent="0.25">
      <c r="A137" t="s">
        <v>462</v>
      </c>
      <c r="B137" t="s">
        <v>290</v>
      </c>
      <c r="D137" t="s">
        <v>100</v>
      </c>
      <c r="E137">
        <v>0</v>
      </c>
      <c r="F137">
        <v>68.02</v>
      </c>
      <c r="G137">
        <v>9.23</v>
      </c>
      <c r="H137">
        <v>0</v>
      </c>
      <c r="I137">
        <v>0</v>
      </c>
      <c r="K137">
        <v>0</v>
      </c>
      <c r="L137">
        <v>0</v>
      </c>
      <c r="M137">
        <v>0</v>
      </c>
      <c r="N137">
        <v>0</v>
      </c>
      <c r="O137" s="7">
        <f>IFERROR(MATCH(tblTransferProveedor[[#This Row],[Codigo]],tblTransferActual[CODIGO],0),0)</f>
        <v>0</v>
      </c>
    </row>
    <row r="138" spans="1:15" x14ac:dyDescent="0.25">
      <c r="A138" t="s">
        <v>463</v>
      </c>
      <c r="B138" t="s">
        <v>464</v>
      </c>
      <c r="D138" t="s">
        <v>100</v>
      </c>
      <c r="E138">
        <v>0</v>
      </c>
      <c r="F138">
        <v>68.02</v>
      </c>
      <c r="G138">
        <v>9.23</v>
      </c>
      <c r="H138">
        <v>0</v>
      </c>
      <c r="I138">
        <v>0</v>
      </c>
      <c r="K138">
        <v>0</v>
      </c>
      <c r="L138">
        <v>0</v>
      </c>
      <c r="M138">
        <v>0</v>
      </c>
      <c r="N138">
        <v>0</v>
      </c>
      <c r="O138" s="7">
        <f>IFERROR(MATCH(tblTransferProveedor[[#This Row],[Codigo]],tblTransferActual[CODIGO],0),0)</f>
        <v>0</v>
      </c>
    </row>
    <row r="139" spans="1:15" x14ac:dyDescent="0.25">
      <c r="A139" t="s">
        <v>465</v>
      </c>
      <c r="B139" t="s">
        <v>466</v>
      </c>
      <c r="D139" t="s">
        <v>100</v>
      </c>
      <c r="E139">
        <v>0</v>
      </c>
      <c r="F139">
        <v>68.02</v>
      </c>
      <c r="G139">
        <v>9.23</v>
      </c>
      <c r="H139">
        <v>0</v>
      </c>
      <c r="I139">
        <v>0</v>
      </c>
      <c r="K139">
        <v>0</v>
      </c>
      <c r="L139">
        <v>0</v>
      </c>
      <c r="M139">
        <v>0</v>
      </c>
      <c r="N139">
        <v>0</v>
      </c>
      <c r="O139" s="7">
        <f>IFERROR(MATCH(tblTransferProveedor[[#This Row],[Codigo]],tblTransferActual[CODIGO],0),0)</f>
        <v>0</v>
      </c>
    </row>
    <row r="140" spans="1:15" x14ac:dyDescent="0.25">
      <c r="A140" t="s">
        <v>467</v>
      </c>
      <c r="B140" t="s">
        <v>468</v>
      </c>
      <c r="D140" t="s">
        <v>100</v>
      </c>
      <c r="E140">
        <v>0</v>
      </c>
      <c r="F140">
        <v>68.02</v>
      </c>
      <c r="G140">
        <v>9.23</v>
      </c>
      <c r="H140">
        <v>0</v>
      </c>
      <c r="I140">
        <v>0</v>
      </c>
      <c r="K140">
        <v>0</v>
      </c>
      <c r="L140">
        <v>0</v>
      </c>
      <c r="M140">
        <v>0</v>
      </c>
      <c r="N140">
        <v>0</v>
      </c>
      <c r="O140" s="7">
        <f>IFERROR(MATCH(tblTransferProveedor[[#This Row],[Codigo]],tblTransferActual[CODIGO],0),0)</f>
        <v>0</v>
      </c>
    </row>
    <row r="141" spans="1:15" x14ac:dyDescent="0.25">
      <c r="A141" t="s">
        <v>469</v>
      </c>
      <c r="B141" t="s">
        <v>470</v>
      </c>
      <c r="D141" t="s">
        <v>100</v>
      </c>
      <c r="E141">
        <v>0</v>
      </c>
      <c r="F141">
        <v>68.02</v>
      </c>
      <c r="G141">
        <v>9.23</v>
      </c>
      <c r="H141">
        <v>0</v>
      </c>
      <c r="I141">
        <v>0</v>
      </c>
      <c r="K141">
        <v>0</v>
      </c>
      <c r="L141">
        <v>0</v>
      </c>
      <c r="M141">
        <v>0</v>
      </c>
      <c r="N141">
        <v>0</v>
      </c>
      <c r="O141" s="7">
        <f>IFERROR(MATCH(tblTransferProveedor[[#This Row],[Codigo]],tblTransferActual[CODIGO],0),0)</f>
        <v>0</v>
      </c>
    </row>
    <row r="142" spans="1:15" x14ac:dyDescent="0.25">
      <c r="A142" t="s">
        <v>471</v>
      </c>
      <c r="B142" t="s">
        <v>472</v>
      </c>
      <c r="D142" t="s">
        <v>100</v>
      </c>
      <c r="E142">
        <v>0</v>
      </c>
      <c r="F142">
        <v>68.02</v>
      </c>
      <c r="G142">
        <v>9.23</v>
      </c>
      <c r="H142">
        <v>0</v>
      </c>
      <c r="I142">
        <v>0</v>
      </c>
      <c r="K142">
        <v>0</v>
      </c>
      <c r="L142">
        <v>0</v>
      </c>
      <c r="M142">
        <v>0</v>
      </c>
      <c r="N142">
        <v>0</v>
      </c>
      <c r="O142" s="7">
        <f>IFERROR(MATCH(tblTransferProveedor[[#This Row],[Codigo]],tblTransferActual[CODIGO],0),0)</f>
        <v>0</v>
      </c>
    </row>
    <row r="143" spans="1:15" x14ac:dyDescent="0.25">
      <c r="A143" t="s">
        <v>473</v>
      </c>
      <c r="B143" t="s">
        <v>474</v>
      </c>
      <c r="D143" t="s">
        <v>100</v>
      </c>
      <c r="E143">
        <v>0</v>
      </c>
      <c r="F143">
        <v>68.02</v>
      </c>
      <c r="G143">
        <v>9.23</v>
      </c>
      <c r="H143">
        <v>0</v>
      </c>
      <c r="I143">
        <v>0</v>
      </c>
      <c r="K143">
        <v>0</v>
      </c>
      <c r="L143">
        <v>0</v>
      </c>
      <c r="M143">
        <v>0</v>
      </c>
      <c r="N143">
        <v>0</v>
      </c>
      <c r="O143" s="7">
        <f>IFERROR(MATCH(tblTransferProveedor[[#This Row],[Codigo]],tblTransferActual[CODIGO],0),0)</f>
        <v>0</v>
      </c>
    </row>
    <row r="144" spans="1:15" x14ac:dyDescent="0.25">
      <c r="A144" t="s">
        <v>475</v>
      </c>
      <c r="B144" t="s">
        <v>476</v>
      </c>
      <c r="D144" t="s">
        <v>100</v>
      </c>
      <c r="E144">
        <v>0</v>
      </c>
      <c r="F144">
        <v>68.02</v>
      </c>
      <c r="G144">
        <v>9.23</v>
      </c>
      <c r="H144">
        <v>0</v>
      </c>
      <c r="I144">
        <v>0</v>
      </c>
      <c r="K144">
        <v>0</v>
      </c>
      <c r="L144">
        <v>0</v>
      </c>
      <c r="M144">
        <v>0</v>
      </c>
      <c r="N144">
        <v>0</v>
      </c>
      <c r="O144" s="7">
        <f>IFERROR(MATCH(tblTransferProveedor[[#This Row],[Codigo]],tblTransferActual[CODIGO],0),0)</f>
        <v>0</v>
      </c>
    </row>
    <row r="145" spans="1:15" x14ac:dyDescent="0.25">
      <c r="A145" t="s">
        <v>477</v>
      </c>
      <c r="B145" t="s">
        <v>478</v>
      </c>
      <c r="D145" t="s">
        <v>100</v>
      </c>
      <c r="E145">
        <v>0</v>
      </c>
      <c r="F145">
        <v>68.02</v>
      </c>
      <c r="G145">
        <v>9.23</v>
      </c>
      <c r="H145">
        <v>0</v>
      </c>
      <c r="I145">
        <v>0</v>
      </c>
      <c r="K145">
        <v>0</v>
      </c>
      <c r="L145">
        <v>0</v>
      </c>
      <c r="M145">
        <v>0</v>
      </c>
      <c r="N145">
        <v>0</v>
      </c>
      <c r="O145" s="7">
        <f>IFERROR(MATCH(tblTransferProveedor[[#This Row],[Codigo]],tblTransferActual[CODIGO],0),0)</f>
        <v>0</v>
      </c>
    </row>
    <row r="146" spans="1:15" x14ac:dyDescent="0.25">
      <c r="A146" t="s">
        <v>479</v>
      </c>
      <c r="B146" t="s">
        <v>480</v>
      </c>
      <c r="D146" t="s">
        <v>100</v>
      </c>
      <c r="E146">
        <v>0</v>
      </c>
      <c r="F146">
        <v>68.02</v>
      </c>
      <c r="G146">
        <v>9.23</v>
      </c>
      <c r="H146">
        <v>0</v>
      </c>
      <c r="I146">
        <v>0</v>
      </c>
      <c r="K146">
        <v>0</v>
      </c>
      <c r="L146">
        <v>0</v>
      </c>
      <c r="M146">
        <v>0</v>
      </c>
      <c r="N146">
        <v>0</v>
      </c>
      <c r="O146" s="7">
        <f>IFERROR(MATCH(tblTransferProveedor[[#This Row],[Codigo]],tblTransferActual[CODIGO],0),0)</f>
        <v>0</v>
      </c>
    </row>
    <row r="147" spans="1:15" x14ac:dyDescent="0.25">
      <c r="A147" t="s">
        <v>481</v>
      </c>
      <c r="B147" t="s">
        <v>482</v>
      </c>
      <c r="D147" t="s">
        <v>100</v>
      </c>
      <c r="E147">
        <v>0</v>
      </c>
      <c r="F147">
        <v>68.02</v>
      </c>
      <c r="G147">
        <v>9.23</v>
      </c>
      <c r="H147">
        <v>0</v>
      </c>
      <c r="I147">
        <v>0</v>
      </c>
      <c r="K147">
        <v>0</v>
      </c>
      <c r="L147">
        <v>0</v>
      </c>
      <c r="M147">
        <v>0</v>
      </c>
      <c r="N147">
        <v>0</v>
      </c>
      <c r="O147" s="7">
        <f>IFERROR(MATCH(tblTransferProveedor[[#This Row],[Codigo]],tblTransferActual[CODIGO],0),0)</f>
        <v>0</v>
      </c>
    </row>
    <row r="148" spans="1:15" x14ac:dyDescent="0.25">
      <c r="A148" t="s">
        <v>483</v>
      </c>
      <c r="B148" t="s">
        <v>484</v>
      </c>
      <c r="D148" t="s">
        <v>100</v>
      </c>
      <c r="E148">
        <v>0</v>
      </c>
      <c r="F148">
        <v>68.02</v>
      </c>
      <c r="G148">
        <v>9.23</v>
      </c>
      <c r="H148">
        <v>0</v>
      </c>
      <c r="I148">
        <v>0</v>
      </c>
      <c r="K148">
        <v>0</v>
      </c>
      <c r="L148">
        <v>0</v>
      </c>
      <c r="M148">
        <v>0</v>
      </c>
      <c r="N148">
        <v>0</v>
      </c>
      <c r="O148" s="7">
        <f>IFERROR(MATCH(tblTransferProveedor[[#This Row],[Codigo]],tblTransferActual[CODIGO],0),0)</f>
        <v>0</v>
      </c>
    </row>
    <row r="149" spans="1:15" x14ac:dyDescent="0.25">
      <c r="A149" t="s">
        <v>485</v>
      </c>
      <c r="B149" t="s">
        <v>486</v>
      </c>
      <c r="D149" t="s">
        <v>100</v>
      </c>
      <c r="E149">
        <v>0</v>
      </c>
      <c r="F149">
        <v>68.02</v>
      </c>
      <c r="G149">
        <v>9.23</v>
      </c>
      <c r="H149">
        <v>0</v>
      </c>
      <c r="I149">
        <v>0</v>
      </c>
      <c r="K149">
        <v>0</v>
      </c>
      <c r="L149">
        <v>0</v>
      </c>
      <c r="M149">
        <v>0</v>
      </c>
      <c r="N149">
        <v>0</v>
      </c>
      <c r="O149" s="7">
        <f>IFERROR(MATCH(tblTransferProveedor[[#This Row],[Codigo]],tblTransferActual[CODIGO],0),0)</f>
        <v>0</v>
      </c>
    </row>
    <row r="150" spans="1:15" x14ac:dyDescent="0.25">
      <c r="A150" t="s">
        <v>487</v>
      </c>
      <c r="B150" t="s">
        <v>488</v>
      </c>
      <c r="D150" t="s">
        <v>100</v>
      </c>
      <c r="E150">
        <v>0</v>
      </c>
      <c r="F150">
        <v>68.02</v>
      </c>
      <c r="G150">
        <v>9.23</v>
      </c>
      <c r="H150">
        <v>0</v>
      </c>
      <c r="I150">
        <v>0</v>
      </c>
      <c r="K150">
        <v>0</v>
      </c>
      <c r="L150">
        <v>0</v>
      </c>
      <c r="M150">
        <v>0</v>
      </c>
      <c r="N150">
        <v>0</v>
      </c>
      <c r="O150" s="7">
        <f>IFERROR(MATCH(tblTransferProveedor[[#This Row],[Codigo]],tblTransferActual[CODIGO],0),0)</f>
        <v>0</v>
      </c>
    </row>
    <row r="151" spans="1:15" x14ac:dyDescent="0.25">
      <c r="A151" t="s">
        <v>489</v>
      </c>
      <c r="B151" t="s">
        <v>490</v>
      </c>
      <c r="D151" t="s">
        <v>100</v>
      </c>
      <c r="E151">
        <v>0</v>
      </c>
      <c r="F151">
        <v>68.02</v>
      </c>
      <c r="G151">
        <v>9.23</v>
      </c>
      <c r="H151">
        <v>0</v>
      </c>
      <c r="I151">
        <v>0</v>
      </c>
      <c r="K151">
        <v>0</v>
      </c>
      <c r="L151">
        <v>0</v>
      </c>
      <c r="M151">
        <v>0</v>
      </c>
      <c r="N151">
        <v>0</v>
      </c>
      <c r="O151" s="7">
        <f>IFERROR(MATCH(tblTransferProveedor[[#This Row],[Codigo]],tblTransferActual[CODIGO],0),0)</f>
        <v>0</v>
      </c>
    </row>
    <row r="152" spans="1:15" x14ac:dyDescent="0.25">
      <c r="A152" t="s">
        <v>491</v>
      </c>
      <c r="B152" t="s">
        <v>492</v>
      </c>
      <c r="D152" t="s">
        <v>100</v>
      </c>
      <c r="E152">
        <v>0</v>
      </c>
      <c r="F152">
        <v>68.02</v>
      </c>
      <c r="G152">
        <v>9.23</v>
      </c>
      <c r="H152">
        <v>0</v>
      </c>
      <c r="I152">
        <v>0</v>
      </c>
      <c r="K152">
        <v>0</v>
      </c>
      <c r="L152">
        <v>0</v>
      </c>
      <c r="M152">
        <v>0</v>
      </c>
      <c r="N152">
        <v>0</v>
      </c>
      <c r="O152" s="7">
        <f>IFERROR(MATCH(tblTransferProveedor[[#This Row],[Codigo]],tblTransferActual[CODIGO],0),0)</f>
        <v>0</v>
      </c>
    </row>
    <row r="153" spans="1:15" x14ac:dyDescent="0.25">
      <c r="A153" t="s">
        <v>493</v>
      </c>
      <c r="B153" t="s">
        <v>494</v>
      </c>
      <c r="D153" t="s">
        <v>100</v>
      </c>
      <c r="E153">
        <v>0</v>
      </c>
      <c r="F153">
        <v>68.02</v>
      </c>
      <c r="G153">
        <v>9.23</v>
      </c>
      <c r="H153">
        <v>0</v>
      </c>
      <c r="I153">
        <v>0</v>
      </c>
      <c r="K153">
        <v>0</v>
      </c>
      <c r="L153">
        <v>0</v>
      </c>
      <c r="M153">
        <v>0</v>
      </c>
      <c r="N153">
        <v>0</v>
      </c>
      <c r="O153" s="7">
        <f>IFERROR(MATCH(tblTransferProveedor[[#This Row],[Codigo]],tblTransferActual[CODIGO],0),0)</f>
        <v>0</v>
      </c>
    </row>
    <row r="154" spans="1:15" x14ac:dyDescent="0.25">
      <c r="A154" t="s">
        <v>495</v>
      </c>
      <c r="B154" t="s">
        <v>496</v>
      </c>
      <c r="D154" t="s">
        <v>100</v>
      </c>
      <c r="E154">
        <v>0</v>
      </c>
      <c r="F154">
        <v>68.02</v>
      </c>
      <c r="G154">
        <v>9.23</v>
      </c>
      <c r="H154">
        <v>0</v>
      </c>
      <c r="I154">
        <v>0</v>
      </c>
      <c r="K154">
        <v>0</v>
      </c>
      <c r="L154">
        <v>0</v>
      </c>
      <c r="M154">
        <v>0</v>
      </c>
      <c r="N154">
        <v>0</v>
      </c>
      <c r="O154" s="7">
        <f>IFERROR(MATCH(tblTransferProveedor[[#This Row],[Codigo]],tblTransferActual[CODIGO],0),0)</f>
        <v>0</v>
      </c>
    </row>
    <row r="155" spans="1:15" x14ac:dyDescent="0.25">
      <c r="A155" t="s">
        <v>497</v>
      </c>
      <c r="B155" t="s">
        <v>498</v>
      </c>
      <c r="D155" t="s">
        <v>100</v>
      </c>
      <c r="E155">
        <v>0</v>
      </c>
      <c r="F155">
        <v>68.02</v>
      </c>
      <c r="G155">
        <v>9.23</v>
      </c>
      <c r="H155">
        <v>0</v>
      </c>
      <c r="I155">
        <v>0</v>
      </c>
      <c r="K155">
        <v>0</v>
      </c>
      <c r="L155">
        <v>0</v>
      </c>
      <c r="M155">
        <v>0</v>
      </c>
      <c r="N155">
        <v>0</v>
      </c>
      <c r="O155" s="7">
        <f>IFERROR(MATCH(tblTransferProveedor[[#This Row],[Codigo]],tblTransferActual[CODIGO],0),0)</f>
        <v>0</v>
      </c>
    </row>
    <row r="156" spans="1:15" x14ac:dyDescent="0.25">
      <c r="A156" t="s">
        <v>499</v>
      </c>
      <c r="B156" t="s">
        <v>500</v>
      </c>
      <c r="D156" t="s">
        <v>100</v>
      </c>
      <c r="E156">
        <v>0</v>
      </c>
      <c r="F156">
        <v>68.02</v>
      </c>
      <c r="G156">
        <v>9.23</v>
      </c>
      <c r="H156">
        <v>0</v>
      </c>
      <c r="I156">
        <v>0</v>
      </c>
      <c r="K156">
        <v>0</v>
      </c>
      <c r="L156">
        <v>0</v>
      </c>
      <c r="M156">
        <v>0</v>
      </c>
      <c r="N156">
        <v>0</v>
      </c>
      <c r="O156" s="7">
        <f>IFERROR(MATCH(tblTransferProveedor[[#This Row],[Codigo]],tblTransferActual[CODIGO],0),0)</f>
        <v>0</v>
      </c>
    </row>
    <row r="157" spans="1:15" x14ac:dyDescent="0.25">
      <c r="A157" t="s">
        <v>501</v>
      </c>
      <c r="B157" t="s">
        <v>502</v>
      </c>
      <c r="D157" t="s">
        <v>100</v>
      </c>
      <c r="E157">
        <v>0</v>
      </c>
      <c r="F157">
        <v>0</v>
      </c>
      <c r="G157">
        <v>9.23</v>
      </c>
      <c r="H157">
        <v>0</v>
      </c>
      <c r="I157">
        <v>0</v>
      </c>
      <c r="K157">
        <v>0</v>
      </c>
      <c r="L157">
        <v>0</v>
      </c>
      <c r="M157">
        <v>0</v>
      </c>
      <c r="N157">
        <v>0</v>
      </c>
      <c r="O157" s="7">
        <f>IFERROR(MATCH(tblTransferProveedor[[#This Row],[Codigo]],tblTransferActual[CODIGO],0),0)</f>
        <v>0</v>
      </c>
    </row>
    <row r="158" spans="1:15" x14ac:dyDescent="0.25">
      <c r="A158" t="s">
        <v>503</v>
      </c>
      <c r="B158" t="s">
        <v>498</v>
      </c>
      <c r="D158" t="s">
        <v>100</v>
      </c>
      <c r="E158">
        <v>0</v>
      </c>
      <c r="F158">
        <v>0</v>
      </c>
      <c r="G158">
        <v>9.23</v>
      </c>
      <c r="H158">
        <v>0</v>
      </c>
      <c r="I158">
        <v>0</v>
      </c>
      <c r="K158">
        <v>0</v>
      </c>
      <c r="L158">
        <v>0</v>
      </c>
      <c r="M158">
        <v>0</v>
      </c>
      <c r="N158">
        <v>0</v>
      </c>
      <c r="O158" s="7">
        <f>IFERROR(MATCH(tblTransferProveedor[[#This Row],[Codigo]],tblTransferActual[CODIGO],0),0)</f>
        <v>0</v>
      </c>
    </row>
    <row r="159" spans="1:15" x14ac:dyDescent="0.25">
      <c r="A159" t="s">
        <v>324</v>
      </c>
      <c r="B159" t="s">
        <v>325</v>
      </c>
      <c r="D159" t="s">
        <v>100</v>
      </c>
      <c r="E159">
        <v>0</v>
      </c>
      <c r="F159">
        <v>5.53</v>
      </c>
      <c r="G159">
        <v>9.23</v>
      </c>
      <c r="H159">
        <v>733</v>
      </c>
      <c r="I159">
        <v>1</v>
      </c>
      <c r="K159">
        <v>0</v>
      </c>
      <c r="L159">
        <v>0</v>
      </c>
      <c r="M159">
        <v>0</v>
      </c>
      <c r="N159">
        <v>191</v>
      </c>
      <c r="O159" s="7">
        <f>IFERROR(MATCH(tblTransferProveedor[[#This Row],[Codigo]],tblTransferActual[CODIGO],0),0)</f>
        <v>88</v>
      </c>
    </row>
    <row r="160" spans="1:15" x14ac:dyDescent="0.25">
      <c r="A160" t="s">
        <v>326</v>
      </c>
      <c r="B160" t="s">
        <v>327</v>
      </c>
      <c r="D160" t="s">
        <v>100</v>
      </c>
      <c r="E160">
        <v>0</v>
      </c>
      <c r="F160">
        <v>5.53</v>
      </c>
      <c r="G160">
        <v>9.23</v>
      </c>
      <c r="H160">
        <v>575</v>
      </c>
      <c r="I160">
        <v>1</v>
      </c>
      <c r="K160">
        <v>0</v>
      </c>
      <c r="L160">
        <v>0</v>
      </c>
      <c r="M160">
        <v>0</v>
      </c>
      <c r="N160">
        <v>150</v>
      </c>
      <c r="O160" s="7">
        <f>IFERROR(MATCH(tblTransferProveedor[[#This Row],[Codigo]],tblTransferActual[CODIGO],0),0)</f>
        <v>89</v>
      </c>
    </row>
    <row r="161" spans="1:15" x14ac:dyDescent="0.25">
      <c r="A161" t="s">
        <v>328</v>
      </c>
      <c r="B161" t="s">
        <v>329</v>
      </c>
      <c r="D161" t="s">
        <v>100</v>
      </c>
      <c r="E161">
        <v>0</v>
      </c>
      <c r="F161">
        <v>5.53</v>
      </c>
      <c r="G161">
        <v>9.23</v>
      </c>
      <c r="H161">
        <v>831</v>
      </c>
      <c r="I161">
        <v>1</v>
      </c>
      <c r="K161">
        <v>0</v>
      </c>
      <c r="L161">
        <v>0</v>
      </c>
      <c r="M161">
        <v>0</v>
      </c>
      <c r="N161">
        <v>217</v>
      </c>
      <c r="O161" s="7">
        <f>IFERROR(MATCH(tblTransferProveedor[[#This Row],[Codigo]],tblTransferActual[CODIGO],0),0)</f>
        <v>90</v>
      </c>
    </row>
    <row r="162" spans="1:15" x14ac:dyDescent="0.25">
      <c r="A162" t="s">
        <v>330</v>
      </c>
      <c r="B162" t="s">
        <v>331</v>
      </c>
      <c r="D162" t="s">
        <v>100</v>
      </c>
      <c r="E162">
        <v>0</v>
      </c>
      <c r="F162">
        <v>5.53</v>
      </c>
      <c r="G162">
        <v>9.23</v>
      </c>
      <c r="H162">
        <v>700</v>
      </c>
      <c r="I162">
        <v>1</v>
      </c>
      <c r="K162">
        <v>0</v>
      </c>
      <c r="L162">
        <v>0</v>
      </c>
      <c r="M162">
        <v>0</v>
      </c>
      <c r="N162">
        <v>183</v>
      </c>
      <c r="O162" s="7">
        <f>IFERROR(MATCH(tblTransferProveedor[[#This Row],[Codigo]],tblTransferActual[CODIGO],0),0)</f>
        <v>91</v>
      </c>
    </row>
    <row r="163" spans="1:15" x14ac:dyDescent="0.25">
      <c r="A163" t="s">
        <v>332</v>
      </c>
      <c r="B163" t="s">
        <v>333</v>
      </c>
      <c r="D163" t="s">
        <v>100</v>
      </c>
      <c r="E163">
        <v>0</v>
      </c>
      <c r="F163">
        <v>5.53</v>
      </c>
      <c r="G163">
        <v>9.23</v>
      </c>
      <c r="H163">
        <v>306</v>
      </c>
      <c r="I163">
        <v>1</v>
      </c>
      <c r="K163">
        <v>0</v>
      </c>
      <c r="L163">
        <v>0</v>
      </c>
      <c r="M163">
        <v>0</v>
      </c>
      <c r="N163">
        <v>100</v>
      </c>
      <c r="O163" s="7">
        <f>IFERROR(MATCH(tblTransferProveedor[[#This Row],[Codigo]],tblTransferActual[CODIGO],0),0)</f>
        <v>92</v>
      </c>
    </row>
    <row r="164" spans="1:15" x14ac:dyDescent="0.25">
      <c r="A164" t="s">
        <v>334</v>
      </c>
      <c r="B164" t="s">
        <v>335</v>
      </c>
      <c r="D164" t="s">
        <v>100</v>
      </c>
      <c r="E164">
        <v>0</v>
      </c>
      <c r="F164">
        <v>5.53</v>
      </c>
      <c r="G164">
        <v>9.23</v>
      </c>
      <c r="H164">
        <v>479</v>
      </c>
      <c r="I164">
        <v>1</v>
      </c>
      <c r="K164">
        <v>0</v>
      </c>
      <c r="L164">
        <v>0</v>
      </c>
      <c r="M164">
        <v>0</v>
      </c>
      <c r="N164">
        <v>125</v>
      </c>
      <c r="O164" s="7">
        <f>IFERROR(MATCH(tblTransferProveedor[[#This Row],[Codigo]],tblTransferActual[CODIGO],0),0)</f>
        <v>93</v>
      </c>
    </row>
    <row r="165" spans="1:15" x14ac:dyDescent="0.25">
      <c r="A165" t="s">
        <v>336</v>
      </c>
      <c r="B165" t="s">
        <v>337</v>
      </c>
      <c r="D165" t="s">
        <v>100</v>
      </c>
      <c r="E165">
        <v>0</v>
      </c>
      <c r="F165">
        <v>5.53</v>
      </c>
      <c r="G165">
        <v>9.23</v>
      </c>
      <c r="H165">
        <v>351</v>
      </c>
      <c r="I165">
        <v>1</v>
      </c>
      <c r="K165">
        <v>0</v>
      </c>
      <c r="L165">
        <v>0</v>
      </c>
      <c r="M165">
        <v>0</v>
      </c>
      <c r="N165">
        <v>100</v>
      </c>
      <c r="O165" s="7">
        <f>IFERROR(MATCH(tblTransferProveedor[[#This Row],[Codigo]],tblTransferActual[CODIGO],0),0)</f>
        <v>94</v>
      </c>
    </row>
    <row r="166" spans="1:15" x14ac:dyDescent="0.25">
      <c r="A166" t="s">
        <v>504</v>
      </c>
      <c r="B166" t="s">
        <v>505</v>
      </c>
      <c r="D166" t="s">
        <v>100</v>
      </c>
      <c r="E166">
        <v>0</v>
      </c>
      <c r="F166">
        <v>0</v>
      </c>
      <c r="G166">
        <v>0</v>
      </c>
      <c r="H166">
        <v>0</v>
      </c>
      <c r="I166">
        <v>0</v>
      </c>
      <c r="K166">
        <v>0</v>
      </c>
      <c r="L166">
        <v>0</v>
      </c>
      <c r="M166">
        <v>0</v>
      </c>
      <c r="N166">
        <v>0</v>
      </c>
      <c r="O166" s="7">
        <f>IFERROR(MATCH(tblTransferProveedor[[#This Row],[Codigo]],tblTransferActual[CODIGO],0),0)</f>
        <v>0</v>
      </c>
    </row>
    <row r="167" spans="1:15" x14ac:dyDescent="0.25">
      <c r="A167" t="s">
        <v>506</v>
      </c>
      <c r="B167" t="s">
        <v>507</v>
      </c>
      <c r="D167" t="s">
        <v>100</v>
      </c>
      <c r="E167">
        <v>0</v>
      </c>
      <c r="F167">
        <v>0</v>
      </c>
      <c r="G167">
        <v>0</v>
      </c>
      <c r="H167">
        <v>0</v>
      </c>
      <c r="I167">
        <v>0</v>
      </c>
      <c r="K167">
        <v>0</v>
      </c>
      <c r="L167">
        <v>0</v>
      </c>
      <c r="M167">
        <v>0</v>
      </c>
      <c r="N167">
        <v>0</v>
      </c>
      <c r="O167" s="7">
        <f>IFERROR(MATCH(tblTransferProveedor[[#This Row],[Codigo]],tblTransferActual[CODIGO],0),0)</f>
        <v>0</v>
      </c>
    </row>
    <row r="168" spans="1:15" x14ac:dyDescent="0.25">
      <c r="A168" t="s">
        <v>508</v>
      </c>
      <c r="B168" t="s">
        <v>509</v>
      </c>
      <c r="D168" t="s">
        <v>100</v>
      </c>
      <c r="E168">
        <v>0</v>
      </c>
      <c r="F168">
        <v>0</v>
      </c>
      <c r="G168">
        <v>0</v>
      </c>
      <c r="H168">
        <v>0</v>
      </c>
      <c r="I168">
        <v>0</v>
      </c>
      <c r="K168">
        <v>0</v>
      </c>
      <c r="L168">
        <v>0</v>
      </c>
      <c r="M168">
        <v>0</v>
      </c>
      <c r="N168">
        <v>0</v>
      </c>
      <c r="O168" s="7">
        <f>IFERROR(MATCH(tblTransferProveedor[[#This Row],[Codigo]],tblTransferActual[CODIGO],0),0)</f>
        <v>0</v>
      </c>
    </row>
    <row r="169" spans="1:15" x14ac:dyDescent="0.25">
      <c r="A169" t="s">
        <v>510</v>
      </c>
      <c r="B169" t="s">
        <v>511</v>
      </c>
      <c r="D169" t="s">
        <v>100</v>
      </c>
      <c r="E169">
        <v>0</v>
      </c>
      <c r="F169">
        <v>0</v>
      </c>
      <c r="G169">
        <v>0</v>
      </c>
      <c r="H169">
        <v>0</v>
      </c>
      <c r="I169">
        <v>0</v>
      </c>
      <c r="K169">
        <v>0</v>
      </c>
      <c r="L169">
        <v>0</v>
      </c>
      <c r="M169">
        <v>0</v>
      </c>
      <c r="N169">
        <v>0</v>
      </c>
      <c r="O169" s="7">
        <f>IFERROR(MATCH(tblTransferProveedor[[#This Row],[Codigo]],tblTransferActual[CODIGO],0),0)</f>
        <v>0</v>
      </c>
    </row>
    <row r="170" spans="1:15" x14ac:dyDescent="0.25">
      <c r="A170" t="s">
        <v>512</v>
      </c>
      <c r="B170" t="s">
        <v>513</v>
      </c>
      <c r="D170" t="s">
        <v>100</v>
      </c>
      <c r="E170">
        <v>0</v>
      </c>
      <c r="F170">
        <v>0</v>
      </c>
      <c r="G170">
        <v>0</v>
      </c>
      <c r="H170">
        <v>0</v>
      </c>
      <c r="I170">
        <v>0</v>
      </c>
      <c r="K170">
        <v>0</v>
      </c>
      <c r="L170">
        <v>0</v>
      </c>
      <c r="M170">
        <v>0</v>
      </c>
      <c r="N170">
        <v>0</v>
      </c>
      <c r="O170" s="7">
        <f>IFERROR(MATCH(tblTransferProveedor[[#This Row],[Codigo]],tblTransferActual[CODIGO],0),0)</f>
        <v>0</v>
      </c>
    </row>
    <row r="171" spans="1:15" x14ac:dyDescent="0.25">
      <c r="A171" t="s">
        <v>514</v>
      </c>
      <c r="B171" t="s">
        <v>515</v>
      </c>
      <c r="D171" t="s">
        <v>100</v>
      </c>
      <c r="E171">
        <v>0</v>
      </c>
      <c r="F171">
        <v>0</v>
      </c>
      <c r="G171">
        <v>0</v>
      </c>
      <c r="H171">
        <v>0</v>
      </c>
      <c r="I171">
        <v>0</v>
      </c>
      <c r="K171">
        <v>0</v>
      </c>
      <c r="L171">
        <v>0</v>
      </c>
      <c r="M171">
        <v>0</v>
      </c>
      <c r="N171">
        <v>0</v>
      </c>
      <c r="O171" s="7">
        <f>IFERROR(MATCH(tblTransferProveedor[[#This Row],[Codigo]],tblTransferActual[CODIGO],0),0)</f>
        <v>0</v>
      </c>
    </row>
    <row r="172" spans="1:15" x14ac:dyDescent="0.25">
      <c r="A172" t="s">
        <v>516</v>
      </c>
      <c r="B172" t="s">
        <v>517</v>
      </c>
      <c r="D172" t="s">
        <v>100</v>
      </c>
      <c r="E172">
        <v>0</v>
      </c>
      <c r="F172">
        <v>0</v>
      </c>
      <c r="G172">
        <v>0</v>
      </c>
      <c r="H172">
        <v>0</v>
      </c>
      <c r="I172">
        <v>0</v>
      </c>
      <c r="K172">
        <v>0</v>
      </c>
      <c r="L172">
        <v>0</v>
      </c>
      <c r="M172">
        <v>0</v>
      </c>
      <c r="N172">
        <v>0</v>
      </c>
      <c r="O172" s="7">
        <f>IFERROR(MATCH(tblTransferProveedor[[#This Row],[Codigo]],tblTransferActual[CODIGO],0),0)</f>
        <v>0</v>
      </c>
    </row>
    <row r="173" spans="1:15" x14ac:dyDescent="0.25">
      <c r="A173" t="s">
        <v>518</v>
      </c>
      <c r="B173" t="s">
        <v>519</v>
      </c>
      <c r="D173" t="s">
        <v>100</v>
      </c>
      <c r="E173">
        <v>0</v>
      </c>
      <c r="F173">
        <v>0</v>
      </c>
      <c r="G173">
        <v>0</v>
      </c>
      <c r="H173">
        <v>0</v>
      </c>
      <c r="I173">
        <v>0</v>
      </c>
      <c r="K173">
        <v>0</v>
      </c>
      <c r="L173">
        <v>0</v>
      </c>
      <c r="M173">
        <v>0</v>
      </c>
      <c r="N173">
        <v>0</v>
      </c>
      <c r="O173" s="7">
        <f>IFERROR(MATCH(tblTransferProveedor[[#This Row],[Codigo]],tblTransferActual[CODIGO],0),0)</f>
        <v>0</v>
      </c>
    </row>
    <row r="174" spans="1:15" x14ac:dyDescent="0.25">
      <c r="A174" t="s">
        <v>520</v>
      </c>
      <c r="B174" t="s">
        <v>521</v>
      </c>
      <c r="D174" t="s">
        <v>100</v>
      </c>
      <c r="E174">
        <v>0</v>
      </c>
      <c r="F174">
        <v>0</v>
      </c>
      <c r="G174">
        <v>0</v>
      </c>
      <c r="H174">
        <v>0</v>
      </c>
      <c r="I174">
        <v>0</v>
      </c>
      <c r="K174">
        <v>0</v>
      </c>
      <c r="L174">
        <v>0</v>
      </c>
      <c r="M174">
        <v>0</v>
      </c>
      <c r="N174">
        <v>0</v>
      </c>
      <c r="O174" s="7">
        <f>IFERROR(MATCH(tblTransferProveedor[[#This Row],[Codigo]],tblTransferActual[CODIGO],0),0)</f>
        <v>0</v>
      </c>
    </row>
    <row r="175" spans="1:15" x14ac:dyDescent="0.25">
      <c r="A175" t="s">
        <v>522</v>
      </c>
      <c r="B175" t="s">
        <v>523</v>
      </c>
      <c r="D175" t="s">
        <v>100</v>
      </c>
      <c r="E175">
        <v>0</v>
      </c>
      <c r="F175">
        <v>0</v>
      </c>
      <c r="G175">
        <v>0</v>
      </c>
      <c r="H175">
        <v>0</v>
      </c>
      <c r="I175">
        <v>0</v>
      </c>
      <c r="K175">
        <v>0</v>
      </c>
      <c r="L175">
        <v>0</v>
      </c>
      <c r="M175">
        <v>0</v>
      </c>
      <c r="N175">
        <v>0</v>
      </c>
      <c r="O175" s="7">
        <f>IFERROR(MATCH(tblTransferProveedor[[#This Row],[Codigo]],tblTransferActual[CODIGO],0),0)</f>
        <v>0</v>
      </c>
    </row>
    <row r="176" spans="1:15" x14ac:dyDescent="0.25">
      <c r="A176" t="s">
        <v>524</v>
      </c>
      <c r="B176" t="s">
        <v>525</v>
      </c>
      <c r="D176" t="s">
        <v>100</v>
      </c>
      <c r="E176">
        <v>0</v>
      </c>
      <c r="F176">
        <v>0</v>
      </c>
      <c r="G176">
        <v>0</v>
      </c>
      <c r="H176">
        <v>0</v>
      </c>
      <c r="I176">
        <v>0</v>
      </c>
      <c r="K176">
        <v>0</v>
      </c>
      <c r="L176">
        <v>0</v>
      </c>
      <c r="M176">
        <v>0</v>
      </c>
      <c r="N176">
        <v>0</v>
      </c>
      <c r="O176" s="7">
        <f>IFERROR(MATCH(tblTransferProveedor[[#This Row],[Codigo]],tblTransferActual[CODIGO],0),0)</f>
        <v>0</v>
      </c>
    </row>
    <row r="177" spans="1:15" x14ac:dyDescent="0.25">
      <c r="A177" t="s">
        <v>526</v>
      </c>
      <c r="B177" t="s">
        <v>527</v>
      </c>
      <c r="D177" t="s">
        <v>100</v>
      </c>
      <c r="E177">
        <v>0</v>
      </c>
      <c r="F177">
        <v>0</v>
      </c>
      <c r="G177">
        <v>0</v>
      </c>
      <c r="H177">
        <v>0</v>
      </c>
      <c r="I177">
        <v>0</v>
      </c>
      <c r="K177">
        <v>0</v>
      </c>
      <c r="L177">
        <v>0</v>
      </c>
      <c r="M177">
        <v>0</v>
      </c>
      <c r="N177">
        <v>0</v>
      </c>
      <c r="O177" s="7">
        <f>IFERROR(MATCH(tblTransferProveedor[[#This Row],[Codigo]],tblTransferActual[CODIGO],0),0)</f>
        <v>0</v>
      </c>
    </row>
    <row r="178" spans="1:15" x14ac:dyDescent="0.25">
      <c r="A178" t="s">
        <v>528</v>
      </c>
      <c r="B178" t="s">
        <v>529</v>
      </c>
      <c r="D178" t="s">
        <v>100</v>
      </c>
      <c r="E178">
        <v>0</v>
      </c>
      <c r="F178">
        <v>0</v>
      </c>
      <c r="G178">
        <v>0</v>
      </c>
      <c r="H178">
        <v>0</v>
      </c>
      <c r="I178">
        <v>0</v>
      </c>
      <c r="K178">
        <v>0</v>
      </c>
      <c r="L178">
        <v>0</v>
      </c>
      <c r="M178">
        <v>0</v>
      </c>
      <c r="N178">
        <v>0</v>
      </c>
      <c r="O178" s="7">
        <f>IFERROR(MATCH(tblTransferProveedor[[#This Row],[Codigo]],tblTransferActual[CODIGO],0),0)</f>
        <v>0</v>
      </c>
    </row>
    <row r="179" spans="1:15" x14ac:dyDescent="0.25">
      <c r="A179" t="s">
        <v>530</v>
      </c>
      <c r="B179" t="s">
        <v>531</v>
      </c>
      <c r="D179" t="s">
        <v>100</v>
      </c>
      <c r="E179">
        <v>0</v>
      </c>
      <c r="F179">
        <v>0</v>
      </c>
      <c r="G179">
        <v>0</v>
      </c>
      <c r="H179">
        <v>0</v>
      </c>
      <c r="I179">
        <v>0</v>
      </c>
      <c r="K179">
        <v>0</v>
      </c>
      <c r="L179">
        <v>0</v>
      </c>
      <c r="M179">
        <v>0</v>
      </c>
      <c r="N179">
        <v>0</v>
      </c>
      <c r="O179" s="7">
        <f>IFERROR(MATCH(tblTransferProveedor[[#This Row],[Codigo]],tblTransferActual[CODIGO],0),0)</f>
        <v>0</v>
      </c>
    </row>
    <row r="180" spans="1:15" x14ac:dyDescent="0.25">
      <c r="A180" t="s">
        <v>532</v>
      </c>
      <c r="B180" t="s">
        <v>533</v>
      </c>
      <c r="D180" t="s">
        <v>100</v>
      </c>
      <c r="E180">
        <v>0</v>
      </c>
      <c r="F180">
        <v>0</v>
      </c>
      <c r="G180">
        <v>0</v>
      </c>
      <c r="H180">
        <v>0</v>
      </c>
      <c r="I180">
        <v>0</v>
      </c>
      <c r="K180">
        <v>0</v>
      </c>
      <c r="L180">
        <v>0</v>
      </c>
      <c r="M180">
        <v>0</v>
      </c>
      <c r="N180">
        <v>0</v>
      </c>
      <c r="O180" s="7">
        <f>IFERROR(MATCH(tblTransferProveedor[[#This Row],[Codigo]],tblTransferActual[CODIGO],0),0)</f>
        <v>0</v>
      </c>
    </row>
    <row r="181" spans="1:15" x14ac:dyDescent="0.25">
      <c r="A181" t="s">
        <v>534</v>
      </c>
      <c r="B181" t="s">
        <v>535</v>
      </c>
      <c r="D181" t="s">
        <v>100</v>
      </c>
      <c r="E181">
        <v>0</v>
      </c>
      <c r="F181">
        <v>0</v>
      </c>
      <c r="G181">
        <v>0</v>
      </c>
      <c r="H181">
        <v>0</v>
      </c>
      <c r="I181">
        <v>0</v>
      </c>
      <c r="K181">
        <v>0</v>
      </c>
      <c r="L181">
        <v>0</v>
      </c>
      <c r="M181">
        <v>0</v>
      </c>
      <c r="N181">
        <v>0</v>
      </c>
      <c r="O181" s="7">
        <f>IFERROR(MATCH(tblTransferProveedor[[#This Row],[Codigo]],tblTransferActual[CODIGO],0),0)</f>
        <v>0</v>
      </c>
    </row>
    <row r="182" spans="1:15" x14ac:dyDescent="0.25">
      <c r="A182" t="s">
        <v>536</v>
      </c>
      <c r="B182" t="s">
        <v>537</v>
      </c>
      <c r="D182" t="s">
        <v>100</v>
      </c>
      <c r="E182">
        <v>0</v>
      </c>
      <c r="F182">
        <v>0</v>
      </c>
      <c r="G182">
        <v>0</v>
      </c>
      <c r="H182">
        <v>0</v>
      </c>
      <c r="I182">
        <v>0</v>
      </c>
      <c r="K182">
        <v>0</v>
      </c>
      <c r="L182">
        <v>0</v>
      </c>
      <c r="M182">
        <v>0</v>
      </c>
      <c r="N182">
        <v>0</v>
      </c>
      <c r="O182" s="7">
        <f>IFERROR(MATCH(tblTransferProveedor[[#This Row],[Codigo]],tblTransferActual[CODIGO],0),0)</f>
        <v>0</v>
      </c>
    </row>
    <row r="183" spans="1:15" x14ac:dyDescent="0.25">
      <c r="A183" t="s">
        <v>538</v>
      </c>
      <c r="B183" t="s">
        <v>539</v>
      </c>
      <c r="D183" t="s">
        <v>100</v>
      </c>
      <c r="E183">
        <v>0</v>
      </c>
      <c r="F183">
        <v>0</v>
      </c>
      <c r="G183">
        <v>0</v>
      </c>
      <c r="H183">
        <v>0</v>
      </c>
      <c r="I183">
        <v>0</v>
      </c>
      <c r="K183">
        <v>0</v>
      </c>
      <c r="L183">
        <v>0</v>
      </c>
      <c r="M183">
        <v>0</v>
      </c>
      <c r="N183">
        <v>0</v>
      </c>
      <c r="O183" s="7">
        <f>IFERROR(MATCH(tblTransferProveedor[[#This Row],[Codigo]],tblTransferActual[CODIGO],0),0)</f>
        <v>0</v>
      </c>
    </row>
    <row r="184" spans="1:15" x14ac:dyDescent="0.25">
      <c r="A184" t="s">
        <v>540</v>
      </c>
      <c r="B184" t="s">
        <v>533</v>
      </c>
      <c r="D184" t="s">
        <v>100</v>
      </c>
      <c r="E184">
        <v>0</v>
      </c>
      <c r="F184">
        <v>0</v>
      </c>
      <c r="G184">
        <v>0</v>
      </c>
      <c r="H184">
        <v>0</v>
      </c>
      <c r="I184">
        <v>0</v>
      </c>
      <c r="K184">
        <v>0</v>
      </c>
      <c r="L184">
        <v>0</v>
      </c>
      <c r="M184">
        <v>0</v>
      </c>
      <c r="N184">
        <v>0</v>
      </c>
      <c r="O184" s="7">
        <f>IFERROR(MATCH(tblTransferProveedor[[#This Row],[Codigo]],tblTransferActual[CODIGO],0),0)</f>
        <v>0</v>
      </c>
    </row>
    <row r="185" spans="1:15" x14ac:dyDescent="0.25">
      <c r="A185" t="s">
        <v>541</v>
      </c>
      <c r="B185" t="s">
        <v>535</v>
      </c>
      <c r="D185" t="s">
        <v>100</v>
      </c>
      <c r="E185">
        <v>0</v>
      </c>
      <c r="F185">
        <v>0</v>
      </c>
      <c r="G185">
        <v>0</v>
      </c>
      <c r="H185">
        <v>0</v>
      </c>
      <c r="I185">
        <v>0</v>
      </c>
      <c r="K185">
        <v>0</v>
      </c>
      <c r="L185">
        <v>0</v>
      </c>
      <c r="M185">
        <v>0</v>
      </c>
      <c r="N185">
        <v>0</v>
      </c>
      <c r="O185" s="7">
        <f>IFERROR(MATCH(tblTransferProveedor[[#This Row],[Codigo]],tblTransferActual[CODIGO],0),0)</f>
        <v>0</v>
      </c>
    </row>
    <row r="186" spans="1:15" x14ac:dyDescent="0.25">
      <c r="A186" t="s">
        <v>542</v>
      </c>
      <c r="B186" t="s">
        <v>543</v>
      </c>
      <c r="D186" t="s">
        <v>100</v>
      </c>
      <c r="E186">
        <v>0</v>
      </c>
      <c r="F186">
        <v>0</v>
      </c>
      <c r="G186">
        <v>0</v>
      </c>
      <c r="H186">
        <v>0</v>
      </c>
      <c r="I186">
        <v>0</v>
      </c>
      <c r="K186">
        <v>0</v>
      </c>
      <c r="L186">
        <v>0</v>
      </c>
      <c r="M186">
        <v>0</v>
      </c>
      <c r="N186">
        <v>0</v>
      </c>
      <c r="O186" s="7">
        <f>IFERROR(MATCH(tblTransferProveedor[[#This Row],[Codigo]],tblTransferActual[CODIGO],0),0)</f>
        <v>0</v>
      </c>
    </row>
    <row r="187" spans="1:15" x14ac:dyDescent="0.25">
      <c r="A187" t="s">
        <v>544</v>
      </c>
      <c r="B187" t="s">
        <v>545</v>
      </c>
      <c r="D187" t="s">
        <v>100</v>
      </c>
      <c r="E187">
        <v>0</v>
      </c>
      <c r="F187">
        <v>0</v>
      </c>
      <c r="G187">
        <v>0</v>
      </c>
      <c r="H187">
        <v>0</v>
      </c>
      <c r="I187">
        <v>0</v>
      </c>
      <c r="K187">
        <v>0</v>
      </c>
      <c r="L187">
        <v>0</v>
      </c>
      <c r="M187">
        <v>0</v>
      </c>
      <c r="N187">
        <v>0</v>
      </c>
      <c r="O187" s="7">
        <f>IFERROR(MATCH(tblTransferProveedor[[#This Row],[Codigo]],tblTransferActual[CODIGO],0),0)</f>
        <v>0</v>
      </c>
    </row>
    <row r="188" spans="1:15" x14ac:dyDescent="0.25">
      <c r="A188" t="s">
        <v>546</v>
      </c>
      <c r="B188" t="s">
        <v>547</v>
      </c>
      <c r="D188" t="s">
        <v>100</v>
      </c>
      <c r="E188">
        <v>0</v>
      </c>
      <c r="F188">
        <v>0</v>
      </c>
      <c r="G188">
        <v>0</v>
      </c>
      <c r="H188">
        <v>0</v>
      </c>
      <c r="I188">
        <v>0</v>
      </c>
      <c r="K188">
        <v>0</v>
      </c>
      <c r="L188">
        <v>0</v>
      </c>
      <c r="M188">
        <v>0</v>
      </c>
      <c r="N188">
        <v>0</v>
      </c>
      <c r="O188" s="7">
        <f>IFERROR(MATCH(tblTransferProveedor[[#This Row],[Codigo]],tblTransferActual[CODIGO],0),0)</f>
        <v>0</v>
      </c>
    </row>
    <row r="189" spans="1:15" x14ac:dyDescent="0.25">
      <c r="A189" t="s">
        <v>548</v>
      </c>
      <c r="B189" t="s">
        <v>549</v>
      </c>
      <c r="D189" t="s">
        <v>100</v>
      </c>
      <c r="E189">
        <v>0</v>
      </c>
      <c r="F189">
        <v>0</v>
      </c>
      <c r="G189">
        <v>0</v>
      </c>
      <c r="H189">
        <v>0</v>
      </c>
      <c r="I189">
        <v>0</v>
      </c>
      <c r="K189">
        <v>0</v>
      </c>
      <c r="L189">
        <v>0</v>
      </c>
      <c r="M189">
        <v>0</v>
      </c>
      <c r="N189">
        <v>0</v>
      </c>
      <c r="O189" s="7">
        <f>IFERROR(MATCH(tblTransferProveedor[[#This Row],[Codigo]],tblTransferActual[CODIGO],0),0)</f>
        <v>0</v>
      </c>
    </row>
    <row r="190" spans="1:15" x14ac:dyDescent="0.25">
      <c r="A190" t="s">
        <v>550</v>
      </c>
      <c r="B190" t="s">
        <v>551</v>
      </c>
      <c r="D190" t="s">
        <v>100</v>
      </c>
      <c r="E190">
        <v>0</v>
      </c>
      <c r="F190">
        <v>0</v>
      </c>
      <c r="G190">
        <v>0</v>
      </c>
      <c r="H190">
        <v>0</v>
      </c>
      <c r="I190">
        <v>0</v>
      </c>
      <c r="K190">
        <v>0</v>
      </c>
      <c r="L190">
        <v>0</v>
      </c>
      <c r="M190">
        <v>0</v>
      </c>
      <c r="N190">
        <v>0</v>
      </c>
      <c r="O190" s="7">
        <f>IFERROR(MATCH(tblTransferProveedor[[#This Row],[Codigo]],tblTransferActual[CODIGO],0),0)</f>
        <v>0</v>
      </c>
    </row>
    <row r="191" spans="1:15" x14ac:dyDescent="0.25">
      <c r="A191" t="s">
        <v>552</v>
      </c>
      <c r="B191" t="s">
        <v>553</v>
      </c>
      <c r="D191" t="s">
        <v>100</v>
      </c>
      <c r="E191">
        <v>0</v>
      </c>
      <c r="F191">
        <v>0</v>
      </c>
      <c r="G191">
        <v>0</v>
      </c>
      <c r="H191">
        <v>0</v>
      </c>
      <c r="I191">
        <v>0</v>
      </c>
      <c r="K191">
        <v>0</v>
      </c>
      <c r="L191">
        <v>0</v>
      </c>
      <c r="M191">
        <v>0</v>
      </c>
      <c r="N191">
        <v>0</v>
      </c>
      <c r="O191" s="7">
        <f>IFERROR(MATCH(tblTransferProveedor[[#This Row],[Codigo]],tblTransferActual[CODIGO],0),0)</f>
        <v>0</v>
      </c>
    </row>
    <row r="192" spans="1:15" x14ac:dyDescent="0.25">
      <c r="A192" t="s">
        <v>554</v>
      </c>
      <c r="B192" t="s">
        <v>555</v>
      </c>
      <c r="D192" t="s">
        <v>100</v>
      </c>
      <c r="E192">
        <v>0</v>
      </c>
      <c r="F192">
        <v>0</v>
      </c>
      <c r="G192">
        <v>0</v>
      </c>
      <c r="H192">
        <v>0</v>
      </c>
      <c r="I192">
        <v>0</v>
      </c>
      <c r="K192">
        <v>0</v>
      </c>
      <c r="L192">
        <v>0</v>
      </c>
      <c r="M192">
        <v>0</v>
      </c>
      <c r="N192">
        <v>0</v>
      </c>
      <c r="O192" s="7">
        <f>IFERROR(MATCH(tblTransferProveedor[[#This Row],[Codigo]],tblTransferActual[CODIGO],0),0)</f>
        <v>0</v>
      </c>
    </row>
    <row r="193" spans="1:15" x14ac:dyDescent="0.25">
      <c r="A193" t="s">
        <v>556</v>
      </c>
      <c r="B193" t="s">
        <v>557</v>
      </c>
      <c r="D193" t="s">
        <v>100</v>
      </c>
      <c r="E193">
        <v>0</v>
      </c>
      <c r="F193">
        <v>0</v>
      </c>
      <c r="G193">
        <v>0</v>
      </c>
      <c r="H193">
        <v>0</v>
      </c>
      <c r="I193">
        <v>0</v>
      </c>
      <c r="K193">
        <v>0</v>
      </c>
      <c r="L193">
        <v>0</v>
      </c>
      <c r="M193">
        <v>0</v>
      </c>
      <c r="N193">
        <v>0</v>
      </c>
      <c r="O193" s="7">
        <f>IFERROR(MATCH(tblTransferProveedor[[#This Row],[Codigo]],tblTransferActual[CODIGO],0),0)</f>
        <v>0</v>
      </c>
    </row>
    <row r="194" spans="1:15" x14ac:dyDescent="0.25">
      <c r="A194" t="s">
        <v>558</v>
      </c>
      <c r="B194" t="s">
        <v>559</v>
      </c>
      <c r="D194" t="s">
        <v>100</v>
      </c>
      <c r="E194">
        <v>0</v>
      </c>
      <c r="F194">
        <v>0</v>
      </c>
      <c r="G194">
        <v>0</v>
      </c>
      <c r="H194">
        <v>0</v>
      </c>
      <c r="I194">
        <v>0</v>
      </c>
      <c r="K194">
        <v>0</v>
      </c>
      <c r="L194">
        <v>0</v>
      </c>
      <c r="M194">
        <v>0</v>
      </c>
      <c r="N194">
        <v>0</v>
      </c>
      <c r="O194" s="7">
        <f>IFERROR(MATCH(tblTransferProveedor[[#This Row],[Codigo]],tblTransferActual[CODIGO],0),0)</f>
        <v>0</v>
      </c>
    </row>
    <row r="195" spans="1:15" x14ac:dyDescent="0.25">
      <c r="A195" t="s">
        <v>560</v>
      </c>
      <c r="B195" t="s">
        <v>561</v>
      </c>
      <c r="D195" t="s">
        <v>100</v>
      </c>
      <c r="E195">
        <v>0</v>
      </c>
      <c r="F195">
        <v>0</v>
      </c>
      <c r="G195">
        <v>0</v>
      </c>
      <c r="H195">
        <v>0</v>
      </c>
      <c r="I195">
        <v>0</v>
      </c>
      <c r="K195">
        <v>0</v>
      </c>
      <c r="L195">
        <v>0</v>
      </c>
      <c r="M195">
        <v>0</v>
      </c>
      <c r="N195">
        <v>0</v>
      </c>
      <c r="O195" s="7">
        <f>IFERROR(MATCH(tblTransferProveedor[[#This Row],[Codigo]],tblTransferActual[CODIGO],0),0)</f>
        <v>0</v>
      </c>
    </row>
    <row r="196" spans="1:15" x14ac:dyDescent="0.25">
      <c r="A196" t="s">
        <v>562</v>
      </c>
      <c r="B196" t="s">
        <v>563</v>
      </c>
      <c r="D196" t="s">
        <v>100</v>
      </c>
      <c r="E196">
        <v>0</v>
      </c>
      <c r="F196">
        <v>0</v>
      </c>
      <c r="G196">
        <v>0</v>
      </c>
      <c r="H196">
        <v>0</v>
      </c>
      <c r="I196">
        <v>0</v>
      </c>
      <c r="K196">
        <v>0</v>
      </c>
      <c r="L196">
        <v>0</v>
      </c>
      <c r="M196">
        <v>0</v>
      </c>
      <c r="N196">
        <v>0</v>
      </c>
      <c r="O196" s="7">
        <f>IFERROR(MATCH(tblTransferProveedor[[#This Row],[Codigo]],tblTransferActual[CODIGO],0),0)</f>
        <v>0</v>
      </c>
    </row>
    <row r="197" spans="1:15" x14ac:dyDescent="0.25">
      <c r="A197" t="s">
        <v>564</v>
      </c>
      <c r="B197" t="s">
        <v>565</v>
      </c>
      <c r="D197" t="s">
        <v>100</v>
      </c>
      <c r="E197">
        <v>0</v>
      </c>
      <c r="F197">
        <v>0</v>
      </c>
      <c r="G197">
        <v>0</v>
      </c>
      <c r="H197">
        <v>0</v>
      </c>
      <c r="I197">
        <v>0</v>
      </c>
      <c r="K197">
        <v>0</v>
      </c>
      <c r="L197">
        <v>0</v>
      </c>
      <c r="M197">
        <v>0</v>
      </c>
      <c r="N197">
        <v>0</v>
      </c>
      <c r="O197" s="7">
        <f>IFERROR(MATCH(tblTransferProveedor[[#This Row],[Codigo]],tblTransferActual[CODIGO],0),0)</f>
        <v>0</v>
      </c>
    </row>
    <row r="198" spans="1:15" x14ac:dyDescent="0.25">
      <c r="A198" t="s">
        <v>566</v>
      </c>
      <c r="B198" t="s">
        <v>567</v>
      </c>
      <c r="D198" t="s">
        <v>100</v>
      </c>
      <c r="E198">
        <v>0</v>
      </c>
      <c r="F198">
        <v>0</v>
      </c>
      <c r="G198">
        <v>0</v>
      </c>
      <c r="H198">
        <v>0</v>
      </c>
      <c r="I198">
        <v>0</v>
      </c>
      <c r="K198">
        <v>0</v>
      </c>
      <c r="L198">
        <v>0</v>
      </c>
      <c r="M198">
        <v>0</v>
      </c>
      <c r="N198">
        <v>0</v>
      </c>
      <c r="O198" s="7">
        <f>IFERROR(MATCH(tblTransferProveedor[[#This Row],[Codigo]],tblTransferActual[CODIGO],0),0)</f>
        <v>0</v>
      </c>
    </row>
    <row r="199" spans="1:15" x14ac:dyDescent="0.25">
      <c r="A199" t="s">
        <v>568</v>
      </c>
      <c r="B199" t="s">
        <v>569</v>
      </c>
      <c r="D199" t="s">
        <v>100</v>
      </c>
      <c r="E199">
        <v>0</v>
      </c>
      <c r="F199">
        <v>0</v>
      </c>
      <c r="G199">
        <v>0</v>
      </c>
      <c r="H199">
        <v>0</v>
      </c>
      <c r="I199">
        <v>0</v>
      </c>
      <c r="K199">
        <v>0</v>
      </c>
      <c r="L199">
        <v>0</v>
      </c>
      <c r="M199">
        <v>0</v>
      </c>
      <c r="N199">
        <v>0</v>
      </c>
      <c r="O199" s="7">
        <f>IFERROR(MATCH(tblTransferProveedor[[#This Row],[Codigo]],tblTransferActual[CODIGO],0),0)</f>
        <v>0</v>
      </c>
    </row>
    <row r="200" spans="1:15" x14ac:dyDescent="0.25">
      <c r="A200" t="s">
        <v>570</v>
      </c>
      <c r="B200" t="s">
        <v>571</v>
      </c>
      <c r="D200" t="s">
        <v>100</v>
      </c>
      <c r="E200">
        <v>0</v>
      </c>
      <c r="F200">
        <v>0</v>
      </c>
      <c r="G200">
        <v>0</v>
      </c>
      <c r="H200">
        <v>0</v>
      </c>
      <c r="I200">
        <v>0</v>
      </c>
      <c r="K200">
        <v>0</v>
      </c>
      <c r="L200">
        <v>0</v>
      </c>
      <c r="M200">
        <v>0</v>
      </c>
      <c r="N200">
        <v>0</v>
      </c>
      <c r="O200" s="7">
        <f>IFERROR(MATCH(tblTransferProveedor[[#This Row],[Codigo]],tblTransferActual[CODIGO],0),0)</f>
        <v>0</v>
      </c>
    </row>
    <row r="201" spans="1:15" x14ac:dyDescent="0.25">
      <c r="A201" t="s">
        <v>572</v>
      </c>
      <c r="B201" t="s">
        <v>573</v>
      </c>
      <c r="D201" t="s">
        <v>100</v>
      </c>
      <c r="E201">
        <v>0</v>
      </c>
      <c r="F201">
        <v>0</v>
      </c>
      <c r="G201">
        <v>0</v>
      </c>
      <c r="H201">
        <v>0</v>
      </c>
      <c r="I201">
        <v>0</v>
      </c>
      <c r="K201">
        <v>0</v>
      </c>
      <c r="L201">
        <v>0</v>
      </c>
      <c r="M201">
        <v>0</v>
      </c>
      <c r="N201">
        <v>0</v>
      </c>
      <c r="O201" s="7">
        <f>IFERROR(MATCH(tblTransferProveedor[[#This Row],[Codigo]],tblTransferActual[CODIGO],0),0)</f>
        <v>0</v>
      </c>
    </row>
    <row r="202" spans="1:15" x14ac:dyDescent="0.25">
      <c r="A202" t="s">
        <v>574</v>
      </c>
      <c r="B202" t="s">
        <v>575</v>
      </c>
      <c r="D202" t="s">
        <v>100</v>
      </c>
      <c r="E202">
        <v>0</v>
      </c>
      <c r="F202">
        <v>0</v>
      </c>
      <c r="G202">
        <v>0</v>
      </c>
      <c r="H202">
        <v>0</v>
      </c>
      <c r="I202">
        <v>0</v>
      </c>
      <c r="K202">
        <v>0</v>
      </c>
      <c r="L202">
        <v>0</v>
      </c>
      <c r="M202">
        <v>0</v>
      </c>
      <c r="N202">
        <v>0</v>
      </c>
      <c r="O202" s="7">
        <f>IFERROR(MATCH(tblTransferProveedor[[#This Row],[Codigo]],tblTransferActual[CODIGO],0),0)</f>
        <v>0</v>
      </c>
    </row>
    <row r="203" spans="1:15" x14ac:dyDescent="0.25">
      <c r="A203" t="s">
        <v>576</v>
      </c>
      <c r="B203" t="s">
        <v>577</v>
      </c>
      <c r="D203" t="s">
        <v>100</v>
      </c>
      <c r="E203">
        <v>0</v>
      </c>
      <c r="F203">
        <v>0</v>
      </c>
      <c r="G203">
        <v>0</v>
      </c>
      <c r="H203">
        <v>0</v>
      </c>
      <c r="I203">
        <v>0</v>
      </c>
      <c r="K203">
        <v>0</v>
      </c>
      <c r="L203">
        <v>0</v>
      </c>
      <c r="M203">
        <v>0</v>
      </c>
      <c r="N203">
        <v>0</v>
      </c>
      <c r="O203" s="7">
        <f>IFERROR(MATCH(tblTransferProveedor[[#This Row],[Codigo]],tblTransferActual[CODIGO],0),0)</f>
        <v>0</v>
      </c>
    </row>
    <row r="204" spans="1:15" x14ac:dyDescent="0.25">
      <c r="A204" t="s">
        <v>578</v>
      </c>
      <c r="B204" t="s">
        <v>579</v>
      </c>
      <c r="D204" t="s">
        <v>100</v>
      </c>
      <c r="E204">
        <v>0</v>
      </c>
      <c r="F204">
        <v>0</v>
      </c>
      <c r="G204">
        <v>0</v>
      </c>
      <c r="H204">
        <v>0</v>
      </c>
      <c r="I204">
        <v>0</v>
      </c>
      <c r="K204">
        <v>0</v>
      </c>
      <c r="L204">
        <v>0</v>
      </c>
      <c r="M204">
        <v>0</v>
      </c>
      <c r="N204">
        <v>0</v>
      </c>
      <c r="O204" s="7">
        <f>IFERROR(MATCH(tblTransferProveedor[[#This Row],[Codigo]],tblTransferActual[CODIGO],0),0)</f>
        <v>0</v>
      </c>
    </row>
    <row r="205" spans="1:15" x14ac:dyDescent="0.25">
      <c r="A205" t="s">
        <v>580</v>
      </c>
      <c r="B205" t="s">
        <v>581</v>
      </c>
      <c r="D205" t="s">
        <v>100</v>
      </c>
      <c r="E205">
        <v>0</v>
      </c>
      <c r="F205">
        <v>0</v>
      </c>
      <c r="G205">
        <v>0</v>
      </c>
      <c r="H205">
        <v>0</v>
      </c>
      <c r="I205">
        <v>0</v>
      </c>
      <c r="K205">
        <v>0</v>
      </c>
      <c r="L205">
        <v>0</v>
      </c>
      <c r="M205">
        <v>0</v>
      </c>
      <c r="N205">
        <v>0</v>
      </c>
      <c r="O205" s="7">
        <f>IFERROR(MATCH(tblTransferProveedor[[#This Row],[Codigo]],tblTransferActual[CODIGO],0),0)</f>
        <v>0</v>
      </c>
    </row>
    <row r="206" spans="1:15" x14ac:dyDescent="0.25">
      <c r="A206" t="s">
        <v>582</v>
      </c>
      <c r="B206" t="s">
        <v>583</v>
      </c>
      <c r="D206" t="s">
        <v>100</v>
      </c>
      <c r="E206">
        <v>0</v>
      </c>
      <c r="F206">
        <v>0</v>
      </c>
      <c r="G206">
        <v>0</v>
      </c>
      <c r="H206">
        <v>0</v>
      </c>
      <c r="I206">
        <v>0</v>
      </c>
      <c r="K206">
        <v>0</v>
      </c>
      <c r="L206">
        <v>0</v>
      </c>
      <c r="M206">
        <v>0</v>
      </c>
      <c r="N206">
        <v>0</v>
      </c>
      <c r="O206" s="7">
        <f>IFERROR(MATCH(tblTransferProveedor[[#This Row],[Codigo]],tblTransferActual[CODIGO],0),0)</f>
        <v>0</v>
      </c>
    </row>
    <row r="207" spans="1:15" x14ac:dyDescent="0.25">
      <c r="A207" t="s">
        <v>584</v>
      </c>
      <c r="B207" t="s">
        <v>585</v>
      </c>
      <c r="D207" t="s">
        <v>100</v>
      </c>
      <c r="E207">
        <v>0</v>
      </c>
      <c r="F207">
        <v>0</v>
      </c>
      <c r="G207">
        <v>0</v>
      </c>
      <c r="H207">
        <v>0</v>
      </c>
      <c r="I207">
        <v>0</v>
      </c>
      <c r="K207">
        <v>0</v>
      </c>
      <c r="L207">
        <v>0</v>
      </c>
      <c r="M207">
        <v>0</v>
      </c>
      <c r="N207">
        <v>0</v>
      </c>
      <c r="O207" s="7">
        <f>IFERROR(MATCH(tblTransferProveedor[[#This Row],[Codigo]],tblTransferActual[CODIGO],0),0)</f>
        <v>0</v>
      </c>
    </row>
    <row r="208" spans="1:15" x14ac:dyDescent="0.25">
      <c r="A208" t="s">
        <v>586</v>
      </c>
      <c r="B208" t="s">
        <v>587</v>
      </c>
      <c r="D208" t="s">
        <v>100</v>
      </c>
      <c r="E208">
        <v>0</v>
      </c>
      <c r="F208">
        <v>0</v>
      </c>
      <c r="G208">
        <v>0</v>
      </c>
      <c r="H208">
        <v>0</v>
      </c>
      <c r="I208">
        <v>0</v>
      </c>
      <c r="K208">
        <v>0</v>
      </c>
      <c r="L208">
        <v>0</v>
      </c>
      <c r="M208">
        <v>0</v>
      </c>
      <c r="N208">
        <v>0</v>
      </c>
      <c r="O208" s="7">
        <f>IFERROR(MATCH(tblTransferProveedor[[#This Row],[Codigo]],tblTransferActual[CODIGO],0),0)</f>
        <v>0</v>
      </c>
    </row>
    <row r="209" spans="1:15" x14ac:dyDescent="0.25">
      <c r="A209" t="s">
        <v>588</v>
      </c>
      <c r="B209" t="s">
        <v>589</v>
      </c>
      <c r="D209" t="s">
        <v>100</v>
      </c>
      <c r="E209">
        <v>0</v>
      </c>
      <c r="F209">
        <v>0</v>
      </c>
      <c r="G209">
        <v>0</v>
      </c>
      <c r="H209">
        <v>0</v>
      </c>
      <c r="I209">
        <v>0</v>
      </c>
      <c r="K209">
        <v>0</v>
      </c>
      <c r="L209">
        <v>0</v>
      </c>
      <c r="M209">
        <v>0</v>
      </c>
      <c r="N209">
        <v>0</v>
      </c>
      <c r="O209" s="7">
        <f>IFERROR(MATCH(tblTransferProveedor[[#This Row],[Codigo]],tblTransferActual[CODIGO],0),0)</f>
        <v>0</v>
      </c>
    </row>
    <row r="210" spans="1:15" x14ac:dyDescent="0.25">
      <c r="A210" t="s">
        <v>590</v>
      </c>
      <c r="B210" t="s">
        <v>591</v>
      </c>
      <c r="D210" t="s">
        <v>100</v>
      </c>
      <c r="E210">
        <v>0</v>
      </c>
      <c r="F210">
        <v>0</v>
      </c>
      <c r="G210">
        <v>0</v>
      </c>
      <c r="H210">
        <v>0</v>
      </c>
      <c r="I210">
        <v>0</v>
      </c>
      <c r="K210">
        <v>0</v>
      </c>
      <c r="L210">
        <v>0</v>
      </c>
      <c r="M210">
        <v>0</v>
      </c>
      <c r="N210">
        <v>0</v>
      </c>
      <c r="O210" s="7">
        <f>IFERROR(MATCH(tblTransferProveedor[[#This Row],[Codigo]],tblTransferActual[CODIGO],0),0)</f>
        <v>0</v>
      </c>
    </row>
    <row r="211" spans="1:15" x14ac:dyDescent="0.25">
      <c r="A211" t="s">
        <v>338</v>
      </c>
      <c r="B211" t="s">
        <v>339</v>
      </c>
      <c r="D211" t="s">
        <v>100</v>
      </c>
      <c r="E211">
        <v>0</v>
      </c>
      <c r="F211">
        <v>2.75</v>
      </c>
      <c r="G211">
        <v>4.0999999999999996</v>
      </c>
      <c r="H211">
        <v>781</v>
      </c>
      <c r="I211">
        <v>1</v>
      </c>
      <c r="K211">
        <v>0</v>
      </c>
      <c r="L211">
        <v>0</v>
      </c>
      <c r="M211">
        <v>0</v>
      </c>
      <c r="N211">
        <v>780</v>
      </c>
      <c r="O211" s="7">
        <f>IFERROR(MATCH(tblTransferProveedor[[#This Row],[Codigo]],tblTransferActual[CODIGO],0),0)</f>
        <v>95</v>
      </c>
    </row>
    <row r="212" spans="1:15" x14ac:dyDescent="0.25">
      <c r="A212" t="s">
        <v>262</v>
      </c>
      <c r="B212" t="s">
        <v>263</v>
      </c>
      <c r="D212" t="s">
        <v>100</v>
      </c>
      <c r="E212">
        <v>0</v>
      </c>
      <c r="F212">
        <v>2.75</v>
      </c>
      <c r="G212">
        <v>4.2</v>
      </c>
      <c r="H212">
        <v>361</v>
      </c>
      <c r="I212">
        <v>1</v>
      </c>
      <c r="K212">
        <v>0</v>
      </c>
      <c r="L212">
        <v>0</v>
      </c>
      <c r="M212">
        <v>0</v>
      </c>
      <c r="N212">
        <v>360</v>
      </c>
      <c r="O212" s="7">
        <f>IFERROR(MATCH(tblTransferProveedor[[#This Row],[Codigo]],tblTransferActual[CODIGO],0),0)</f>
        <v>96</v>
      </c>
    </row>
    <row r="213" spans="1:15" x14ac:dyDescent="0.25">
      <c r="A213" t="s">
        <v>258</v>
      </c>
      <c r="B213" t="s">
        <v>259</v>
      </c>
      <c r="D213" t="s">
        <v>100</v>
      </c>
      <c r="E213">
        <v>0</v>
      </c>
      <c r="F213">
        <v>2.75</v>
      </c>
      <c r="G213">
        <v>4.2</v>
      </c>
      <c r="H213">
        <v>380</v>
      </c>
      <c r="I213">
        <v>1</v>
      </c>
      <c r="K213">
        <v>0</v>
      </c>
      <c r="L213">
        <v>0</v>
      </c>
      <c r="M213">
        <v>0</v>
      </c>
      <c r="N213">
        <v>379</v>
      </c>
      <c r="O213" s="7">
        <f>IFERROR(MATCH(tblTransferProveedor[[#This Row],[Codigo]],tblTransferActual[CODIGO],0),0)</f>
        <v>97</v>
      </c>
    </row>
    <row r="214" spans="1:15" x14ac:dyDescent="0.25">
      <c r="A214" t="s">
        <v>312</v>
      </c>
      <c r="B214" t="s">
        <v>313</v>
      </c>
      <c r="D214" t="s">
        <v>100</v>
      </c>
      <c r="E214">
        <v>0</v>
      </c>
      <c r="F214">
        <v>3.3</v>
      </c>
      <c r="G214">
        <v>4.9000000000000004</v>
      </c>
      <c r="H214">
        <v>510</v>
      </c>
      <c r="I214">
        <v>1</v>
      </c>
      <c r="K214">
        <v>0</v>
      </c>
      <c r="L214">
        <v>0</v>
      </c>
      <c r="M214">
        <v>0</v>
      </c>
      <c r="N214">
        <v>200</v>
      </c>
      <c r="O214" s="7">
        <f>IFERROR(MATCH(tblTransferProveedor[[#This Row],[Codigo]],tblTransferActual[CODIGO],0),0)</f>
        <v>98</v>
      </c>
    </row>
    <row r="215" spans="1:15" x14ac:dyDescent="0.25">
      <c r="A215" t="s">
        <v>592</v>
      </c>
      <c r="B215" t="s">
        <v>593</v>
      </c>
      <c r="D215" t="s">
        <v>100</v>
      </c>
      <c r="E215">
        <v>0</v>
      </c>
      <c r="F215">
        <v>0.77</v>
      </c>
      <c r="G215">
        <v>1.45</v>
      </c>
      <c r="H215">
        <v>0</v>
      </c>
      <c r="I215">
        <v>0</v>
      </c>
      <c r="K215">
        <v>0</v>
      </c>
      <c r="L215">
        <v>0</v>
      </c>
      <c r="M215">
        <v>0</v>
      </c>
      <c r="N215">
        <v>0</v>
      </c>
      <c r="O215" s="7">
        <f>IFERROR(MATCH(tblTransferProveedor[[#This Row],[Codigo]],tblTransferActual[CODIGO],0),0)</f>
        <v>0</v>
      </c>
    </row>
    <row r="216" spans="1:15" x14ac:dyDescent="0.25">
      <c r="A216" t="s">
        <v>594</v>
      </c>
      <c r="B216" t="s">
        <v>595</v>
      </c>
      <c r="D216" t="s">
        <v>100</v>
      </c>
      <c r="E216">
        <v>0</v>
      </c>
      <c r="F216">
        <v>1</v>
      </c>
      <c r="G216">
        <v>3.87</v>
      </c>
      <c r="H216">
        <v>62</v>
      </c>
      <c r="I216">
        <v>1</v>
      </c>
      <c r="K216">
        <v>0</v>
      </c>
      <c r="L216">
        <v>0</v>
      </c>
      <c r="M216">
        <v>0</v>
      </c>
      <c r="N216">
        <v>0</v>
      </c>
      <c r="O216" s="7">
        <f>IFERROR(MATCH(tblTransferProveedor[[#This Row],[Codigo]],tblTransferActual[CODIGO],0),0)</f>
        <v>0</v>
      </c>
    </row>
    <row r="217" spans="1:15" x14ac:dyDescent="0.25">
      <c r="A217" t="s">
        <v>596</v>
      </c>
      <c r="B217" t="s">
        <v>597</v>
      </c>
      <c r="D217" t="s">
        <v>100</v>
      </c>
      <c r="E217">
        <v>0</v>
      </c>
      <c r="F217">
        <v>1</v>
      </c>
      <c r="G217">
        <v>4.25</v>
      </c>
      <c r="H217">
        <v>70</v>
      </c>
      <c r="I217">
        <v>1</v>
      </c>
      <c r="K217">
        <v>0</v>
      </c>
      <c r="L217">
        <v>0</v>
      </c>
      <c r="M217">
        <v>0</v>
      </c>
      <c r="N217">
        <v>0</v>
      </c>
      <c r="O217" s="7">
        <f>IFERROR(MATCH(tblTransferProveedor[[#This Row],[Codigo]],tblTransferActual[CODIGO],0),0)</f>
        <v>0</v>
      </c>
    </row>
    <row r="218" spans="1:15" x14ac:dyDescent="0.25">
      <c r="A218" t="s">
        <v>598</v>
      </c>
      <c r="B218" t="s">
        <v>369</v>
      </c>
      <c r="C218" t="s">
        <v>369</v>
      </c>
      <c r="D218" t="s">
        <v>369</v>
      </c>
      <c r="E218">
        <v>0</v>
      </c>
      <c r="F218">
        <v>0</v>
      </c>
      <c r="G218">
        <v>0</v>
      </c>
      <c r="H218">
        <v>0</v>
      </c>
      <c r="I218">
        <v>0</v>
      </c>
      <c r="K218">
        <v>0</v>
      </c>
      <c r="L218">
        <v>0</v>
      </c>
      <c r="M218">
        <v>0</v>
      </c>
      <c r="N218">
        <v>0</v>
      </c>
      <c r="O218" s="7">
        <f>IFERROR(MATCH(tblTransferProveedor[[#This Row],[Codigo]],tblTransferActual[CODIGO],0),0)</f>
        <v>0</v>
      </c>
    </row>
    <row r="219" spans="1:15" x14ac:dyDescent="0.25">
      <c r="A219" t="s">
        <v>599</v>
      </c>
      <c r="B219" t="s">
        <v>369</v>
      </c>
      <c r="C219" t="s">
        <v>369</v>
      </c>
      <c r="D219" t="s">
        <v>369</v>
      </c>
      <c r="E219">
        <v>0</v>
      </c>
      <c r="F219">
        <v>0</v>
      </c>
      <c r="G219">
        <v>0</v>
      </c>
      <c r="H219">
        <v>0</v>
      </c>
      <c r="I219">
        <v>0</v>
      </c>
      <c r="K219">
        <v>0</v>
      </c>
      <c r="L219">
        <v>0</v>
      </c>
      <c r="M219">
        <v>0</v>
      </c>
      <c r="N219">
        <v>0</v>
      </c>
      <c r="O219" s="7">
        <f>IFERROR(MATCH(tblTransferProveedor[[#This Row],[Codigo]],tblTransferActual[CODIGO],0),0)</f>
        <v>0</v>
      </c>
    </row>
    <row r="220" spans="1:15" x14ac:dyDescent="0.25">
      <c r="A220" t="s">
        <v>600</v>
      </c>
      <c r="B220" t="s">
        <v>369</v>
      </c>
      <c r="C220" t="s">
        <v>369</v>
      </c>
      <c r="D220" t="s">
        <v>369</v>
      </c>
      <c r="E220">
        <v>0</v>
      </c>
      <c r="F220">
        <v>0</v>
      </c>
      <c r="G220">
        <v>0</v>
      </c>
      <c r="H220">
        <v>0</v>
      </c>
      <c r="I220">
        <v>0</v>
      </c>
      <c r="K220">
        <v>0</v>
      </c>
      <c r="L220">
        <v>0</v>
      </c>
      <c r="M220">
        <v>0</v>
      </c>
      <c r="N220">
        <v>0</v>
      </c>
      <c r="O220" s="7">
        <f>IFERROR(MATCH(tblTransferProveedor[[#This Row],[Codigo]],tblTransferActual[CODIGO],0),0)</f>
        <v>0</v>
      </c>
    </row>
    <row r="221" spans="1:15" x14ac:dyDescent="0.25">
      <c r="A221" t="s">
        <v>601</v>
      </c>
      <c r="B221" t="s">
        <v>369</v>
      </c>
      <c r="C221" t="s">
        <v>369</v>
      </c>
      <c r="D221" t="s">
        <v>369</v>
      </c>
      <c r="E221">
        <v>0</v>
      </c>
      <c r="F221">
        <v>0</v>
      </c>
      <c r="G221">
        <v>0</v>
      </c>
      <c r="H221">
        <v>0</v>
      </c>
      <c r="I221">
        <v>0</v>
      </c>
      <c r="K221">
        <v>0</v>
      </c>
      <c r="L221">
        <v>0</v>
      </c>
      <c r="M221">
        <v>0</v>
      </c>
      <c r="N221">
        <v>0</v>
      </c>
      <c r="O221" s="7">
        <f>IFERROR(MATCH(tblTransferProveedor[[#This Row],[Codigo]],tblTransferActual[CODIGO],0),0)</f>
        <v>0</v>
      </c>
    </row>
    <row r="222" spans="1:15" x14ac:dyDescent="0.25">
      <c r="A222" t="s">
        <v>602</v>
      </c>
      <c r="B222" t="s">
        <v>369</v>
      </c>
      <c r="C222" t="s">
        <v>369</v>
      </c>
      <c r="D222" t="s">
        <v>369</v>
      </c>
      <c r="E222">
        <v>0</v>
      </c>
      <c r="F222">
        <v>0</v>
      </c>
      <c r="G222">
        <v>0</v>
      </c>
      <c r="H222">
        <v>0</v>
      </c>
      <c r="I222">
        <v>0</v>
      </c>
      <c r="K222">
        <v>0</v>
      </c>
      <c r="L222">
        <v>0</v>
      </c>
      <c r="M222">
        <v>0</v>
      </c>
      <c r="N222">
        <v>0</v>
      </c>
      <c r="O222" s="7">
        <f>IFERROR(MATCH(tblTransferProveedor[[#This Row],[Codigo]],tblTransferActual[CODIGO],0),0)</f>
        <v>0</v>
      </c>
    </row>
    <row r="223" spans="1:15" x14ac:dyDescent="0.25">
      <c r="A223" t="s">
        <v>603</v>
      </c>
      <c r="B223" t="s">
        <v>604</v>
      </c>
      <c r="D223" t="s">
        <v>100</v>
      </c>
      <c r="E223">
        <v>0</v>
      </c>
      <c r="F223">
        <v>13.11</v>
      </c>
      <c r="G223">
        <v>22.3</v>
      </c>
      <c r="H223">
        <v>0</v>
      </c>
      <c r="I223">
        <v>0</v>
      </c>
      <c r="K223">
        <v>0</v>
      </c>
      <c r="L223">
        <v>0</v>
      </c>
      <c r="M223">
        <v>0</v>
      </c>
      <c r="N223">
        <v>0</v>
      </c>
      <c r="O223" s="7">
        <f>IFERROR(MATCH(tblTransferProveedor[[#This Row],[Codigo]],tblTransferActual[CODIGO],0),0)</f>
        <v>0</v>
      </c>
    </row>
    <row r="224" spans="1:15" x14ac:dyDescent="0.25">
      <c r="A224" t="s">
        <v>605</v>
      </c>
      <c r="B224" t="s">
        <v>606</v>
      </c>
      <c r="D224" t="s">
        <v>100</v>
      </c>
      <c r="E224">
        <v>0</v>
      </c>
      <c r="F224">
        <v>13.11</v>
      </c>
      <c r="G224">
        <v>22.3</v>
      </c>
      <c r="H224">
        <v>0</v>
      </c>
      <c r="I224">
        <v>0</v>
      </c>
      <c r="K224">
        <v>0</v>
      </c>
      <c r="L224">
        <v>0</v>
      </c>
      <c r="M224">
        <v>0</v>
      </c>
      <c r="N224">
        <v>0</v>
      </c>
      <c r="O224" s="7">
        <f>IFERROR(MATCH(tblTransferProveedor[[#This Row],[Codigo]],tblTransferActual[CODIGO],0),0)</f>
        <v>0</v>
      </c>
    </row>
    <row r="225" spans="1:15" x14ac:dyDescent="0.25">
      <c r="A225" t="s">
        <v>607</v>
      </c>
      <c r="B225" t="s">
        <v>608</v>
      </c>
      <c r="D225" t="s">
        <v>100</v>
      </c>
      <c r="E225">
        <v>0</v>
      </c>
      <c r="F225">
        <v>13.13</v>
      </c>
      <c r="G225">
        <v>22.3</v>
      </c>
      <c r="H225">
        <v>0</v>
      </c>
      <c r="I225">
        <v>0</v>
      </c>
      <c r="K225">
        <v>0</v>
      </c>
      <c r="L225">
        <v>0</v>
      </c>
      <c r="M225">
        <v>0</v>
      </c>
      <c r="N225">
        <v>0</v>
      </c>
      <c r="O225" s="7">
        <f>IFERROR(MATCH(tblTransferProveedor[[#This Row],[Codigo]],tblTransferActual[CODIGO],0),0)</f>
        <v>0</v>
      </c>
    </row>
    <row r="226" spans="1:15" x14ac:dyDescent="0.25">
      <c r="A226" t="s">
        <v>609</v>
      </c>
      <c r="B226" t="s">
        <v>610</v>
      </c>
      <c r="D226" t="s">
        <v>100</v>
      </c>
      <c r="E226">
        <v>0</v>
      </c>
      <c r="F226">
        <v>13.11</v>
      </c>
      <c r="G226">
        <v>22.3</v>
      </c>
      <c r="H226">
        <v>0</v>
      </c>
      <c r="I226">
        <v>0</v>
      </c>
      <c r="K226">
        <v>0</v>
      </c>
      <c r="L226">
        <v>0</v>
      </c>
      <c r="M226">
        <v>0</v>
      </c>
      <c r="N226">
        <v>0</v>
      </c>
      <c r="O226" s="7">
        <f>IFERROR(MATCH(tblTransferProveedor[[#This Row],[Codigo]],tblTransferActual[CODIGO],0),0)</f>
        <v>0</v>
      </c>
    </row>
    <row r="227" spans="1:15" x14ac:dyDescent="0.25">
      <c r="A227" t="s">
        <v>611</v>
      </c>
      <c r="B227" t="s">
        <v>612</v>
      </c>
      <c r="D227" t="s">
        <v>100</v>
      </c>
      <c r="E227">
        <v>0</v>
      </c>
      <c r="F227">
        <v>13.039899999999999</v>
      </c>
      <c r="G227">
        <v>22.3</v>
      </c>
      <c r="H227">
        <v>0</v>
      </c>
      <c r="I227">
        <v>0</v>
      </c>
      <c r="K227">
        <v>0</v>
      </c>
      <c r="L227">
        <v>0</v>
      </c>
      <c r="M227">
        <v>0</v>
      </c>
      <c r="N227">
        <v>0</v>
      </c>
      <c r="O227" s="7">
        <f>IFERROR(MATCH(tblTransferProveedor[[#This Row],[Codigo]],tblTransferActual[CODIGO],0),0)</f>
        <v>0</v>
      </c>
    </row>
    <row r="228" spans="1:15" x14ac:dyDescent="0.25">
      <c r="A228" t="s">
        <v>613</v>
      </c>
      <c r="B228" t="s">
        <v>614</v>
      </c>
      <c r="D228" t="s">
        <v>100</v>
      </c>
      <c r="E228">
        <v>0</v>
      </c>
      <c r="F228">
        <v>0</v>
      </c>
      <c r="G228">
        <v>0</v>
      </c>
      <c r="H228">
        <v>0</v>
      </c>
      <c r="I228">
        <v>0</v>
      </c>
      <c r="K228">
        <v>0</v>
      </c>
      <c r="L228">
        <v>0</v>
      </c>
      <c r="M228">
        <v>0</v>
      </c>
      <c r="N228">
        <v>0</v>
      </c>
      <c r="O228" s="7">
        <f>IFERROR(MATCH(tblTransferProveedor[[#This Row],[Codigo]],tblTransferActual[CODIGO],0),0)</f>
        <v>0</v>
      </c>
    </row>
    <row r="229" spans="1:15" x14ac:dyDescent="0.25">
      <c r="A229" t="s">
        <v>615</v>
      </c>
      <c r="B229" t="s">
        <v>369</v>
      </c>
      <c r="C229" t="s">
        <v>369</v>
      </c>
      <c r="D229" t="s">
        <v>369</v>
      </c>
      <c r="E229">
        <v>0</v>
      </c>
      <c r="F229">
        <v>0</v>
      </c>
      <c r="G229">
        <v>0</v>
      </c>
      <c r="H229">
        <v>0</v>
      </c>
      <c r="I229">
        <v>0</v>
      </c>
      <c r="K229">
        <v>0</v>
      </c>
      <c r="L229">
        <v>0</v>
      </c>
      <c r="M229">
        <v>0</v>
      </c>
      <c r="N229">
        <v>0</v>
      </c>
      <c r="O229" s="7">
        <f>IFERROR(MATCH(tblTransferProveedor[[#This Row],[Codigo]],tblTransferActual[CODIGO],0),0)</f>
        <v>0</v>
      </c>
    </row>
    <row r="230" spans="1:15" x14ac:dyDescent="0.25">
      <c r="A230" t="s">
        <v>616</v>
      </c>
      <c r="B230" t="s">
        <v>369</v>
      </c>
      <c r="C230" t="s">
        <v>369</v>
      </c>
      <c r="D230" t="s">
        <v>369</v>
      </c>
      <c r="E230">
        <v>0</v>
      </c>
      <c r="F230">
        <v>0</v>
      </c>
      <c r="G230">
        <v>0</v>
      </c>
      <c r="H230">
        <v>0</v>
      </c>
      <c r="I230">
        <v>0</v>
      </c>
      <c r="K230">
        <v>0</v>
      </c>
      <c r="L230">
        <v>0</v>
      </c>
      <c r="M230">
        <v>0</v>
      </c>
      <c r="N230">
        <v>0</v>
      </c>
      <c r="O230" s="7">
        <f>IFERROR(MATCH(tblTransferProveedor[[#This Row],[Codigo]],tblTransferActual[CODIGO],0),0)</f>
        <v>0</v>
      </c>
    </row>
    <row r="231" spans="1:15" x14ac:dyDescent="0.25">
      <c r="A231" t="s">
        <v>617</v>
      </c>
      <c r="B231" t="s">
        <v>369</v>
      </c>
      <c r="C231" t="s">
        <v>369</v>
      </c>
      <c r="D231" t="s">
        <v>369</v>
      </c>
      <c r="E231">
        <v>0</v>
      </c>
      <c r="F231">
        <v>0</v>
      </c>
      <c r="G231">
        <v>0</v>
      </c>
      <c r="H231">
        <v>0</v>
      </c>
      <c r="I231">
        <v>0</v>
      </c>
      <c r="K231">
        <v>0</v>
      </c>
      <c r="L231">
        <v>0</v>
      </c>
      <c r="M231">
        <v>0</v>
      </c>
      <c r="N231">
        <v>0</v>
      </c>
      <c r="O231" s="7">
        <f>IFERROR(MATCH(tblTransferProveedor[[#This Row],[Codigo]],tblTransferActual[CODIGO],0),0)</f>
        <v>0</v>
      </c>
    </row>
    <row r="232" spans="1:15" x14ac:dyDescent="0.25">
      <c r="A232" t="s">
        <v>618</v>
      </c>
      <c r="B232" t="s">
        <v>369</v>
      </c>
      <c r="C232" t="s">
        <v>369</v>
      </c>
      <c r="D232" t="s">
        <v>369</v>
      </c>
      <c r="E232">
        <v>0</v>
      </c>
      <c r="F232">
        <v>0</v>
      </c>
      <c r="G232">
        <v>0</v>
      </c>
      <c r="H232">
        <v>0</v>
      </c>
      <c r="I232">
        <v>0</v>
      </c>
      <c r="K232">
        <v>0</v>
      </c>
      <c r="L232">
        <v>0</v>
      </c>
      <c r="M232">
        <v>0</v>
      </c>
      <c r="N232">
        <v>0</v>
      </c>
      <c r="O232" s="7">
        <f>IFERROR(MATCH(tblTransferProveedor[[#This Row],[Codigo]],tblTransferActual[CODIGO],0),0)</f>
        <v>0</v>
      </c>
    </row>
    <row r="233" spans="1:15" x14ac:dyDescent="0.25">
      <c r="A233" t="s">
        <v>619</v>
      </c>
      <c r="B233" t="s">
        <v>369</v>
      </c>
      <c r="C233" t="s">
        <v>369</v>
      </c>
      <c r="D233" t="s">
        <v>369</v>
      </c>
      <c r="E233">
        <v>0</v>
      </c>
      <c r="F233">
        <v>0</v>
      </c>
      <c r="G233">
        <v>0</v>
      </c>
      <c r="H233">
        <v>0</v>
      </c>
      <c r="I233">
        <v>0</v>
      </c>
      <c r="K233">
        <v>0</v>
      </c>
      <c r="L233">
        <v>0</v>
      </c>
      <c r="M233">
        <v>0</v>
      </c>
      <c r="N233">
        <v>0</v>
      </c>
      <c r="O233" s="7">
        <f>IFERROR(MATCH(tblTransferProveedor[[#This Row],[Codigo]],tblTransferActual[CODIGO],0),0)</f>
        <v>0</v>
      </c>
    </row>
    <row r="234" spans="1:15" x14ac:dyDescent="0.25">
      <c r="A234" t="s">
        <v>620</v>
      </c>
      <c r="B234" t="s">
        <v>369</v>
      </c>
      <c r="C234" t="s">
        <v>369</v>
      </c>
      <c r="D234" t="s">
        <v>369</v>
      </c>
      <c r="E234">
        <v>0</v>
      </c>
      <c r="F234">
        <v>0</v>
      </c>
      <c r="G234">
        <v>0</v>
      </c>
      <c r="H234">
        <v>0</v>
      </c>
      <c r="I234">
        <v>0</v>
      </c>
      <c r="K234">
        <v>0</v>
      </c>
      <c r="L234">
        <v>0</v>
      </c>
      <c r="M234">
        <v>0</v>
      </c>
      <c r="N234">
        <v>0</v>
      </c>
      <c r="O234" s="7">
        <f>IFERROR(MATCH(tblTransferProveedor[[#This Row],[Codigo]],tblTransferActual[CODIGO],0),0)</f>
        <v>0</v>
      </c>
    </row>
    <row r="235" spans="1:15" x14ac:dyDescent="0.25">
      <c r="A235" t="s">
        <v>621</v>
      </c>
      <c r="B235" t="s">
        <v>369</v>
      </c>
      <c r="C235" t="s">
        <v>369</v>
      </c>
      <c r="D235" t="s">
        <v>369</v>
      </c>
      <c r="E235">
        <v>0</v>
      </c>
      <c r="F235">
        <v>0</v>
      </c>
      <c r="G235">
        <v>0</v>
      </c>
      <c r="H235">
        <v>0</v>
      </c>
      <c r="I235">
        <v>0</v>
      </c>
      <c r="K235">
        <v>0</v>
      </c>
      <c r="L235">
        <v>0</v>
      </c>
      <c r="M235">
        <v>0</v>
      </c>
      <c r="N235">
        <v>0</v>
      </c>
      <c r="O235" s="7">
        <f>IFERROR(MATCH(tblTransferProveedor[[#This Row],[Codigo]],tblTransferActual[CODIGO],0),0)</f>
        <v>0</v>
      </c>
    </row>
    <row r="236" spans="1:15" x14ac:dyDescent="0.25">
      <c r="A236" t="s">
        <v>622</v>
      </c>
      <c r="B236" t="s">
        <v>369</v>
      </c>
      <c r="C236" t="s">
        <v>369</v>
      </c>
      <c r="D236" t="s">
        <v>369</v>
      </c>
      <c r="E236">
        <v>0</v>
      </c>
      <c r="F236">
        <v>0</v>
      </c>
      <c r="G236">
        <v>0</v>
      </c>
      <c r="H236">
        <v>0</v>
      </c>
      <c r="I236">
        <v>0</v>
      </c>
      <c r="K236">
        <v>0</v>
      </c>
      <c r="L236">
        <v>0</v>
      </c>
      <c r="M236">
        <v>0</v>
      </c>
      <c r="N236">
        <v>0</v>
      </c>
      <c r="O236" s="7">
        <f>IFERROR(MATCH(tblTransferProveedor[[#This Row],[Codigo]],tblTransferActual[CODIGO],0),0)</f>
        <v>0</v>
      </c>
    </row>
    <row r="237" spans="1:15" x14ac:dyDescent="0.25">
      <c r="A237" t="s">
        <v>623</v>
      </c>
      <c r="B237" t="s">
        <v>369</v>
      </c>
      <c r="C237" t="s">
        <v>369</v>
      </c>
      <c r="D237" t="s">
        <v>369</v>
      </c>
      <c r="E237">
        <v>0</v>
      </c>
      <c r="F237">
        <v>0</v>
      </c>
      <c r="G237">
        <v>0</v>
      </c>
      <c r="H237">
        <v>0</v>
      </c>
      <c r="I237">
        <v>0</v>
      </c>
      <c r="K237">
        <v>0</v>
      </c>
      <c r="L237">
        <v>0</v>
      </c>
      <c r="M237">
        <v>0</v>
      </c>
      <c r="N237">
        <v>0</v>
      </c>
      <c r="O237" s="7">
        <f>IFERROR(MATCH(tblTransferProveedor[[#This Row],[Codigo]],tblTransferActual[CODIGO],0),0)</f>
        <v>0</v>
      </c>
    </row>
    <row r="238" spans="1:15" x14ac:dyDescent="0.25">
      <c r="A238" t="s">
        <v>624</v>
      </c>
      <c r="B238" t="s">
        <v>369</v>
      </c>
      <c r="C238" t="s">
        <v>369</v>
      </c>
      <c r="D238" t="s">
        <v>369</v>
      </c>
      <c r="E238">
        <v>0</v>
      </c>
      <c r="F238">
        <v>0</v>
      </c>
      <c r="G238">
        <v>0</v>
      </c>
      <c r="H238">
        <v>0</v>
      </c>
      <c r="I238">
        <v>0</v>
      </c>
      <c r="K238">
        <v>0</v>
      </c>
      <c r="L238">
        <v>0</v>
      </c>
      <c r="M238">
        <v>0</v>
      </c>
      <c r="N238">
        <v>0</v>
      </c>
      <c r="O238" s="7">
        <f>IFERROR(MATCH(tblTransferProveedor[[#This Row],[Codigo]],tblTransferActual[CODIGO],0),0)</f>
        <v>0</v>
      </c>
    </row>
    <row r="239" spans="1:15" x14ac:dyDescent="0.25">
      <c r="A239" t="s">
        <v>625</v>
      </c>
      <c r="B239" t="s">
        <v>369</v>
      </c>
      <c r="C239" t="s">
        <v>369</v>
      </c>
      <c r="D239" t="s">
        <v>369</v>
      </c>
      <c r="E239">
        <v>0</v>
      </c>
      <c r="F239">
        <v>0</v>
      </c>
      <c r="G239">
        <v>0</v>
      </c>
      <c r="H239">
        <v>0</v>
      </c>
      <c r="I239">
        <v>0</v>
      </c>
      <c r="K239">
        <v>0</v>
      </c>
      <c r="L239">
        <v>0</v>
      </c>
      <c r="M239">
        <v>0</v>
      </c>
      <c r="N239">
        <v>0</v>
      </c>
      <c r="O239" s="7">
        <f>IFERROR(MATCH(tblTransferProveedor[[#This Row],[Codigo]],tblTransferActual[CODIGO],0),0)</f>
        <v>0</v>
      </c>
    </row>
    <row r="240" spans="1:15" x14ac:dyDescent="0.25">
      <c r="A240" t="s">
        <v>626</v>
      </c>
      <c r="B240" t="s">
        <v>369</v>
      </c>
      <c r="C240" t="s">
        <v>369</v>
      </c>
      <c r="D240" t="s">
        <v>369</v>
      </c>
      <c r="E240">
        <v>0</v>
      </c>
      <c r="F240">
        <v>0</v>
      </c>
      <c r="G240">
        <v>0</v>
      </c>
      <c r="H240">
        <v>0</v>
      </c>
      <c r="I240">
        <v>0</v>
      </c>
      <c r="K240">
        <v>0</v>
      </c>
      <c r="L240">
        <v>0</v>
      </c>
      <c r="M240">
        <v>0</v>
      </c>
      <c r="N240">
        <v>0</v>
      </c>
      <c r="O240" s="7">
        <f>IFERROR(MATCH(tblTransferProveedor[[#This Row],[Codigo]],tblTransferActual[CODIGO],0),0)</f>
        <v>0</v>
      </c>
    </row>
    <row r="241" spans="1:15" x14ac:dyDescent="0.25">
      <c r="A241" t="s">
        <v>238</v>
      </c>
      <c r="B241" t="s">
        <v>239</v>
      </c>
      <c r="D241" t="s">
        <v>100</v>
      </c>
      <c r="E241">
        <v>0</v>
      </c>
      <c r="F241">
        <v>15.24</v>
      </c>
      <c r="G241">
        <v>25.95</v>
      </c>
      <c r="H241">
        <v>287</v>
      </c>
      <c r="I241">
        <v>1</v>
      </c>
      <c r="K241">
        <v>0</v>
      </c>
      <c r="L241">
        <v>0</v>
      </c>
      <c r="M241">
        <v>0</v>
      </c>
      <c r="N241">
        <v>72</v>
      </c>
      <c r="O241" s="7">
        <f>IFERROR(MATCH(tblTransferProveedor[[#This Row],[Codigo]],tblTransferActual[CODIGO],0),0)</f>
        <v>99</v>
      </c>
    </row>
    <row r="242" spans="1:15" x14ac:dyDescent="0.25">
      <c r="A242" t="s">
        <v>240</v>
      </c>
      <c r="B242" t="s">
        <v>241</v>
      </c>
      <c r="D242" t="s">
        <v>100</v>
      </c>
      <c r="E242">
        <v>0</v>
      </c>
      <c r="F242">
        <v>15.24</v>
      </c>
      <c r="G242">
        <v>25.95</v>
      </c>
      <c r="H242">
        <v>342</v>
      </c>
      <c r="I242">
        <v>1</v>
      </c>
      <c r="K242">
        <v>0</v>
      </c>
      <c r="L242">
        <v>0</v>
      </c>
      <c r="M242">
        <v>0</v>
      </c>
      <c r="N242">
        <v>81</v>
      </c>
      <c r="O242" s="7">
        <f>IFERROR(MATCH(tblTransferProveedor[[#This Row],[Codigo]],tblTransferActual[CODIGO],0),0)</f>
        <v>100</v>
      </c>
    </row>
    <row r="243" spans="1:15" x14ac:dyDescent="0.25">
      <c r="A243" t="s">
        <v>242</v>
      </c>
      <c r="B243" t="s">
        <v>243</v>
      </c>
      <c r="D243" t="s">
        <v>100</v>
      </c>
      <c r="E243">
        <v>0</v>
      </c>
      <c r="F243">
        <v>15.24</v>
      </c>
      <c r="G243">
        <v>25.95</v>
      </c>
      <c r="H243">
        <v>465</v>
      </c>
      <c r="I243">
        <v>1</v>
      </c>
      <c r="K243">
        <v>0</v>
      </c>
      <c r="L243">
        <v>0</v>
      </c>
      <c r="M243">
        <v>0</v>
      </c>
      <c r="N243">
        <v>117</v>
      </c>
      <c r="O243" s="7">
        <f>IFERROR(MATCH(tblTransferProveedor[[#This Row],[Codigo]],tblTransferActual[CODIGO],0),0)</f>
        <v>101</v>
      </c>
    </row>
    <row r="244" spans="1:15" x14ac:dyDescent="0.25">
      <c r="A244" t="s">
        <v>244</v>
      </c>
      <c r="B244" t="s">
        <v>245</v>
      </c>
      <c r="D244" t="s">
        <v>100</v>
      </c>
      <c r="E244">
        <v>0</v>
      </c>
      <c r="F244">
        <v>15.24</v>
      </c>
      <c r="G244">
        <v>25.95</v>
      </c>
      <c r="H244">
        <v>539</v>
      </c>
      <c r="I244">
        <v>1</v>
      </c>
      <c r="K244">
        <v>0</v>
      </c>
      <c r="L244">
        <v>0</v>
      </c>
      <c r="M244">
        <v>0</v>
      </c>
      <c r="N244">
        <v>135</v>
      </c>
      <c r="O244" s="7">
        <f>IFERROR(MATCH(tblTransferProveedor[[#This Row],[Codigo]],tblTransferActual[CODIGO],0),0)</f>
        <v>102</v>
      </c>
    </row>
    <row r="245" spans="1:15" x14ac:dyDescent="0.25">
      <c r="A245" t="s">
        <v>101</v>
      </c>
      <c r="B245" t="s">
        <v>102</v>
      </c>
      <c r="D245" t="s">
        <v>100</v>
      </c>
      <c r="E245">
        <v>0</v>
      </c>
      <c r="F245">
        <v>15.24</v>
      </c>
      <c r="G245">
        <v>25.95</v>
      </c>
      <c r="H245">
        <v>350</v>
      </c>
      <c r="I245">
        <v>0.97</v>
      </c>
      <c r="K245">
        <v>0</v>
      </c>
      <c r="L245">
        <v>0</v>
      </c>
      <c r="M245">
        <v>0</v>
      </c>
      <c r="N245">
        <v>333</v>
      </c>
      <c r="O245" s="7">
        <f>IFERROR(MATCH(tblTransferProveedor[[#This Row],[Codigo]],tblTransferActual[CODIGO],0),0)</f>
        <v>17</v>
      </c>
    </row>
    <row r="246" spans="1:15" x14ac:dyDescent="0.25">
      <c r="A246" t="s">
        <v>111</v>
      </c>
      <c r="B246" t="s">
        <v>112</v>
      </c>
      <c r="D246" t="s">
        <v>100</v>
      </c>
      <c r="E246">
        <v>0</v>
      </c>
      <c r="F246">
        <v>15.24</v>
      </c>
      <c r="G246">
        <v>25.95</v>
      </c>
      <c r="H246">
        <v>278</v>
      </c>
      <c r="I246">
        <v>0.95</v>
      </c>
      <c r="K246">
        <v>0</v>
      </c>
      <c r="L246">
        <v>0</v>
      </c>
      <c r="M246">
        <v>0</v>
      </c>
      <c r="N246">
        <v>261</v>
      </c>
      <c r="O246" s="7">
        <f>IFERROR(MATCH(tblTransferProveedor[[#This Row],[Codigo]],tblTransferActual[CODIGO],0),0)</f>
        <v>12</v>
      </c>
    </row>
    <row r="247" spans="1:15" x14ac:dyDescent="0.25">
      <c r="A247" t="s">
        <v>98</v>
      </c>
      <c r="B247" t="s">
        <v>99</v>
      </c>
      <c r="D247" t="s">
        <v>100</v>
      </c>
      <c r="E247">
        <v>0</v>
      </c>
      <c r="F247">
        <v>15.24</v>
      </c>
      <c r="G247">
        <v>25.95</v>
      </c>
      <c r="H247">
        <v>263</v>
      </c>
      <c r="I247">
        <v>0.99</v>
      </c>
      <c r="K247">
        <v>0</v>
      </c>
      <c r="L247">
        <v>0</v>
      </c>
      <c r="M247">
        <v>0</v>
      </c>
      <c r="N247">
        <v>252</v>
      </c>
      <c r="O247" s="7">
        <f>IFERROR(MATCH(tblTransferProveedor[[#This Row],[Codigo]],tblTransferActual[CODIGO],0),0)</f>
        <v>18</v>
      </c>
    </row>
    <row r="248" spans="1:15" x14ac:dyDescent="0.25">
      <c r="A248" t="s">
        <v>124</v>
      </c>
      <c r="B248" t="s">
        <v>125</v>
      </c>
      <c r="D248" t="s">
        <v>100</v>
      </c>
      <c r="E248">
        <v>0</v>
      </c>
      <c r="F248">
        <v>15.24</v>
      </c>
      <c r="G248">
        <v>25.95</v>
      </c>
      <c r="H248">
        <v>233</v>
      </c>
      <c r="I248">
        <v>0.74</v>
      </c>
      <c r="K248">
        <v>0</v>
      </c>
      <c r="L248">
        <v>0</v>
      </c>
      <c r="M248">
        <v>0</v>
      </c>
      <c r="N248">
        <v>171</v>
      </c>
      <c r="O248" s="7">
        <f>IFERROR(MATCH(tblTransferProveedor[[#This Row],[Codigo]],tblTransferActual[CODIGO],0),0)</f>
        <v>6</v>
      </c>
    </row>
    <row r="249" spans="1:15" x14ac:dyDescent="0.25">
      <c r="A249" t="s">
        <v>246</v>
      </c>
      <c r="B249" t="s">
        <v>247</v>
      </c>
      <c r="D249" t="s">
        <v>100</v>
      </c>
      <c r="E249">
        <v>0</v>
      </c>
      <c r="F249">
        <v>15.24</v>
      </c>
      <c r="G249">
        <v>25.95</v>
      </c>
      <c r="H249">
        <v>317</v>
      </c>
      <c r="I249">
        <v>1</v>
      </c>
      <c r="K249">
        <v>0</v>
      </c>
      <c r="L249">
        <v>0</v>
      </c>
      <c r="M249">
        <v>0</v>
      </c>
      <c r="N249">
        <v>81</v>
      </c>
      <c r="O249" s="7">
        <f>IFERROR(MATCH(tblTransferProveedor[[#This Row],[Codigo]],tblTransferActual[CODIGO],0),0)</f>
        <v>103</v>
      </c>
    </row>
    <row r="250" spans="1:15" x14ac:dyDescent="0.25">
      <c r="A250" t="s">
        <v>248</v>
      </c>
      <c r="B250" t="s">
        <v>249</v>
      </c>
      <c r="D250" t="s">
        <v>100</v>
      </c>
      <c r="E250">
        <v>0</v>
      </c>
      <c r="F250">
        <v>15.24</v>
      </c>
      <c r="G250">
        <v>25.95</v>
      </c>
      <c r="H250">
        <v>292</v>
      </c>
      <c r="I250">
        <v>1</v>
      </c>
      <c r="K250">
        <v>0</v>
      </c>
      <c r="L250">
        <v>0</v>
      </c>
      <c r="M250">
        <v>0</v>
      </c>
      <c r="N250">
        <v>72</v>
      </c>
      <c r="O250" s="7">
        <f>IFERROR(MATCH(tblTransferProveedor[[#This Row],[Codigo]],tblTransferActual[CODIGO],0),0)</f>
        <v>104</v>
      </c>
    </row>
    <row r="251" spans="1:15" x14ac:dyDescent="0.25">
      <c r="A251" t="s">
        <v>113</v>
      </c>
      <c r="B251" t="s">
        <v>114</v>
      </c>
      <c r="D251" t="s">
        <v>100</v>
      </c>
      <c r="E251">
        <v>0</v>
      </c>
      <c r="F251">
        <v>15.24</v>
      </c>
      <c r="G251">
        <v>25.95</v>
      </c>
      <c r="H251">
        <v>300</v>
      </c>
      <c r="I251">
        <v>0.95</v>
      </c>
      <c r="K251">
        <v>0</v>
      </c>
      <c r="L251">
        <v>0</v>
      </c>
      <c r="M251">
        <v>0</v>
      </c>
      <c r="N251">
        <v>279</v>
      </c>
      <c r="O251" s="7">
        <f>IFERROR(MATCH(tblTransferProveedor[[#This Row],[Codigo]],tblTransferActual[CODIGO],0),0)</f>
        <v>13</v>
      </c>
    </row>
    <row r="252" spans="1:15" x14ac:dyDescent="0.25">
      <c r="A252" t="s">
        <v>119</v>
      </c>
      <c r="B252" t="s">
        <v>120</v>
      </c>
      <c r="D252" t="s">
        <v>100</v>
      </c>
      <c r="E252">
        <v>0</v>
      </c>
      <c r="F252">
        <v>15.24</v>
      </c>
      <c r="G252">
        <v>25.95</v>
      </c>
      <c r="H252">
        <v>263</v>
      </c>
      <c r="I252">
        <v>0.82</v>
      </c>
      <c r="K252">
        <v>0</v>
      </c>
      <c r="L252">
        <v>0</v>
      </c>
      <c r="M252">
        <v>0</v>
      </c>
      <c r="N252">
        <v>216</v>
      </c>
      <c r="O252" s="7">
        <f>IFERROR(MATCH(tblTransferProveedor[[#This Row],[Codigo]],tblTransferActual[CODIGO],0),0)</f>
        <v>9</v>
      </c>
    </row>
    <row r="253" spans="1:15" x14ac:dyDescent="0.25">
      <c r="A253" t="s">
        <v>250</v>
      </c>
      <c r="B253" t="s">
        <v>251</v>
      </c>
      <c r="D253" t="s">
        <v>100</v>
      </c>
      <c r="E253">
        <v>0</v>
      </c>
      <c r="F253">
        <v>15.24</v>
      </c>
      <c r="G253">
        <v>25.95</v>
      </c>
      <c r="H253">
        <v>164</v>
      </c>
      <c r="I253">
        <v>1</v>
      </c>
      <c r="K253">
        <v>0</v>
      </c>
      <c r="L253">
        <v>0</v>
      </c>
      <c r="M253">
        <v>0</v>
      </c>
      <c r="N253">
        <v>36</v>
      </c>
      <c r="O253" s="7">
        <f>IFERROR(MATCH(tblTransferProveedor[[#This Row],[Codigo]],tblTransferActual[CODIGO],0),0)</f>
        <v>105</v>
      </c>
    </row>
    <row r="254" spans="1:15" x14ac:dyDescent="0.25">
      <c r="A254" t="s">
        <v>252</v>
      </c>
      <c r="B254" t="s">
        <v>253</v>
      </c>
      <c r="D254" t="s">
        <v>100</v>
      </c>
      <c r="E254">
        <v>0</v>
      </c>
      <c r="F254">
        <v>15.24</v>
      </c>
      <c r="G254">
        <v>25.95</v>
      </c>
      <c r="H254">
        <v>127</v>
      </c>
      <c r="I254">
        <v>1</v>
      </c>
      <c r="K254">
        <v>0</v>
      </c>
      <c r="L254">
        <v>0</v>
      </c>
      <c r="M254">
        <v>0</v>
      </c>
      <c r="N254">
        <v>36</v>
      </c>
      <c r="O254" s="7">
        <f>IFERROR(MATCH(tblTransferProveedor[[#This Row],[Codigo]],tblTransferActual[CODIGO],0),0)</f>
        <v>106</v>
      </c>
    </row>
    <row r="255" spans="1:15" x14ac:dyDescent="0.25">
      <c r="A255" t="s">
        <v>627</v>
      </c>
      <c r="B255" t="s">
        <v>628</v>
      </c>
      <c r="D255" t="s">
        <v>100</v>
      </c>
      <c r="E255">
        <v>0</v>
      </c>
      <c r="F255">
        <v>15.24</v>
      </c>
      <c r="G255">
        <v>25.95</v>
      </c>
      <c r="H255">
        <v>103</v>
      </c>
      <c r="I255">
        <v>1</v>
      </c>
      <c r="K255">
        <v>0</v>
      </c>
      <c r="L255">
        <v>0</v>
      </c>
      <c r="M255">
        <v>0</v>
      </c>
      <c r="N255">
        <v>0</v>
      </c>
      <c r="O255" s="7">
        <f>IFERROR(MATCH(tblTransferProveedor[[#This Row],[Codigo]],tblTransferActual[CODIGO],0),0)</f>
        <v>0</v>
      </c>
    </row>
    <row r="256" spans="1:15" x14ac:dyDescent="0.25">
      <c r="A256" t="s">
        <v>254</v>
      </c>
      <c r="B256" t="s">
        <v>255</v>
      </c>
      <c r="D256" t="s">
        <v>100</v>
      </c>
      <c r="E256">
        <v>0</v>
      </c>
      <c r="F256">
        <v>15.24</v>
      </c>
      <c r="G256">
        <v>25.95</v>
      </c>
      <c r="H256">
        <v>168</v>
      </c>
      <c r="I256">
        <v>1</v>
      </c>
      <c r="K256">
        <v>0</v>
      </c>
      <c r="L256">
        <v>0</v>
      </c>
      <c r="M256">
        <v>0</v>
      </c>
      <c r="N256">
        <v>36</v>
      </c>
      <c r="O256" s="7">
        <f>IFERROR(MATCH(tblTransferProveedor[[#This Row],[Codigo]],tblTransferActual[CODIGO],0),0)</f>
        <v>107</v>
      </c>
    </row>
    <row r="257" spans="1:15" x14ac:dyDescent="0.25">
      <c r="A257" t="s">
        <v>134</v>
      </c>
      <c r="B257" t="s">
        <v>135</v>
      </c>
      <c r="D257" t="s">
        <v>100</v>
      </c>
      <c r="E257">
        <v>0</v>
      </c>
      <c r="F257">
        <v>15.24</v>
      </c>
      <c r="G257">
        <v>25.95</v>
      </c>
      <c r="H257">
        <v>153</v>
      </c>
      <c r="I257">
        <v>0.28000000000000003</v>
      </c>
      <c r="K257">
        <v>0</v>
      </c>
      <c r="L257">
        <v>0</v>
      </c>
      <c r="M257">
        <v>0</v>
      </c>
      <c r="N257">
        <v>36</v>
      </c>
      <c r="O257" s="7">
        <f>IFERROR(MATCH(tblTransferProveedor[[#This Row],[Codigo]],tblTransferActual[CODIGO],0),0)</f>
        <v>1</v>
      </c>
    </row>
    <row r="258" spans="1:15" x14ac:dyDescent="0.25">
      <c r="A258" t="s">
        <v>130</v>
      </c>
      <c r="B258" t="s">
        <v>131</v>
      </c>
      <c r="D258" t="s">
        <v>100</v>
      </c>
      <c r="E258">
        <v>0</v>
      </c>
      <c r="F258">
        <v>15.24</v>
      </c>
      <c r="G258">
        <v>25.95</v>
      </c>
      <c r="H258">
        <v>132</v>
      </c>
      <c r="I258">
        <v>0.36</v>
      </c>
      <c r="K258">
        <v>0</v>
      </c>
      <c r="L258">
        <v>0</v>
      </c>
      <c r="M258">
        <v>0</v>
      </c>
      <c r="N258">
        <v>45</v>
      </c>
      <c r="O258" s="7">
        <f>IFERROR(MATCH(tblTransferProveedor[[#This Row],[Codigo]],tblTransferActual[CODIGO],0),0)</f>
        <v>3</v>
      </c>
    </row>
    <row r="259" spans="1:15" x14ac:dyDescent="0.25">
      <c r="A259" t="s">
        <v>117</v>
      </c>
      <c r="B259" t="s">
        <v>118</v>
      </c>
      <c r="D259" t="s">
        <v>100</v>
      </c>
      <c r="E259">
        <v>0</v>
      </c>
      <c r="F259">
        <v>15.24</v>
      </c>
      <c r="G259">
        <v>25.95</v>
      </c>
      <c r="H259">
        <v>185</v>
      </c>
      <c r="I259">
        <v>0.84</v>
      </c>
      <c r="K259">
        <v>0</v>
      </c>
      <c r="L259">
        <v>0</v>
      </c>
      <c r="M259">
        <v>0</v>
      </c>
      <c r="N259">
        <v>153</v>
      </c>
      <c r="O259" s="7">
        <f>IFERROR(MATCH(tblTransferProveedor[[#This Row],[Codigo]],tblTransferActual[CODIGO],0),0)</f>
        <v>10</v>
      </c>
    </row>
    <row r="260" spans="1:15" x14ac:dyDescent="0.25">
      <c r="A260" t="s">
        <v>115</v>
      </c>
      <c r="B260" t="s">
        <v>116</v>
      </c>
      <c r="D260" t="s">
        <v>100</v>
      </c>
      <c r="E260">
        <v>0</v>
      </c>
      <c r="F260">
        <v>15.24</v>
      </c>
      <c r="G260">
        <v>25.95</v>
      </c>
      <c r="H260">
        <v>205</v>
      </c>
      <c r="I260">
        <v>0.92</v>
      </c>
      <c r="K260">
        <v>0</v>
      </c>
      <c r="L260">
        <v>0</v>
      </c>
      <c r="M260">
        <v>0</v>
      </c>
      <c r="N260">
        <v>180</v>
      </c>
      <c r="O260" s="7">
        <f>IFERROR(MATCH(tblTransferProveedor[[#This Row],[Codigo]],tblTransferActual[CODIGO],0),0)</f>
        <v>11</v>
      </c>
    </row>
    <row r="261" spans="1:15" x14ac:dyDescent="0.25">
      <c r="A261" t="s">
        <v>132</v>
      </c>
      <c r="B261" t="s">
        <v>133</v>
      </c>
      <c r="D261" t="s">
        <v>100</v>
      </c>
      <c r="E261">
        <v>0</v>
      </c>
      <c r="F261">
        <v>15.24</v>
      </c>
      <c r="G261">
        <v>25.95</v>
      </c>
      <c r="H261">
        <v>129</v>
      </c>
      <c r="I261">
        <v>0.3</v>
      </c>
      <c r="K261">
        <v>0</v>
      </c>
      <c r="L261">
        <v>0</v>
      </c>
      <c r="M261">
        <v>0</v>
      </c>
      <c r="N261">
        <v>36</v>
      </c>
      <c r="O261" s="7">
        <f>IFERROR(MATCH(tblTransferProveedor[[#This Row],[Codigo]],tblTransferActual[CODIGO],0),0)</f>
        <v>2</v>
      </c>
    </row>
    <row r="262" spans="1:15" x14ac:dyDescent="0.25">
      <c r="A262" t="s">
        <v>629</v>
      </c>
      <c r="B262" t="s">
        <v>630</v>
      </c>
      <c r="D262" t="s">
        <v>100</v>
      </c>
      <c r="E262">
        <v>0</v>
      </c>
      <c r="F262">
        <v>15.24</v>
      </c>
      <c r="G262">
        <v>25.95</v>
      </c>
      <c r="H262">
        <v>59</v>
      </c>
      <c r="I262">
        <v>-0.56000000000000005</v>
      </c>
      <c r="K262">
        <v>0</v>
      </c>
      <c r="L262">
        <v>0</v>
      </c>
      <c r="M262">
        <v>0</v>
      </c>
      <c r="N262">
        <v>0</v>
      </c>
      <c r="O262" s="7">
        <f>IFERROR(MATCH(tblTransferProveedor[[#This Row],[Codigo]],tblTransferActual[CODIGO],0),0)</f>
        <v>0</v>
      </c>
    </row>
    <row r="263" spans="1:15" x14ac:dyDescent="0.25">
      <c r="A263" t="s">
        <v>256</v>
      </c>
      <c r="B263" t="s">
        <v>257</v>
      </c>
      <c r="D263" t="s">
        <v>100</v>
      </c>
      <c r="E263">
        <v>0</v>
      </c>
      <c r="F263">
        <v>16.97</v>
      </c>
      <c r="G263">
        <v>25.85</v>
      </c>
      <c r="H263">
        <v>63</v>
      </c>
      <c r="I263">
        <v>1</v>
      </c>
      <c r="K263">
        <v>0</v>
      </c>
      <c r="L263">
        <v>0</v>
      </c>
      <c r="M263">
        <v>0</v>
      </c>
      <c r="N263">
        <v>36</v>
      </c>
      <c r="O263" s="7">
        <f>IFERROR(MATCH(tblTransferProveedor[[#This Row],[Codigo]],tblTransferActual[CODIGO],0),0)</f>
        <v>108</v>
      </c>
    </row>
    <row r="264" spans="1:15" x14ac:dyDescent="0.25">
      <c r="A264" t="s">
        <v>286</v>
      </c>
      <c r="B264" t="s">
        <v>287</v>
      </c>
      <c r="D264" t="s">
        <v>100</v>
      </c>
      <c r="E264">
        <v>0</v>
      </c>
      <c r="F264">
        <v>16.97</v>
      </c>
      <c r="G264">
        <v>25.85</v>
      </c>
      <c r="H264">
        <v>107</v>
      </c>
      <c r="I264">
        <v>1</v>
      </c>
      <c r="K264">
        <v>0</v>
      </c>
      <c r="L264">
        <v>0</v>
      </c>
      <c r="M264">
        <v>0</v>
      </c>
      <c r="N264">
        <v>45</v>
      </c>
      <c r="O264" s="7">
        <f>IFERROR(MATCH(tblTransferProveedor[[#This Row],[Codigo]],tblTransferActual[CODIGO],0),0)</f>
        <v>109</v>
      </c>
    </row>
    <row r="265" spans="1:15" x14ac:dyDescent="0.25">
      <c r="A265" t="s">
        <v>260</v>
      </c>
      <c r="B265" t="s">
        <v>261</v>
      </c>
      <c r="D265" t="s">
        <v>100</v>
      </c>
      <c r="E265">
        <v>0</v>
      </c>
      <c r="F265">
        <v>16.97</v>
      </c>
      <c r="G265">
        <v>25.85</v>
      </c>
      <c r="H265">
        <v>81</v>
      </c>
      <c r="I265">
        <v>1</v>
      </c>
      <c r="K265">
        <v>0</v>
      </c>
      <c r="L265">
        <v>0</v>
      </c>
      <c r="M265">
        <v>0</v>
      </c>
      <c r="N265">
        <v>36</v>
      </c>
      <c r="O265" s="7">
        <f>IFERROR(MATCH(tblTransferProveedor[[#This Row],[Codigo]],tblTransferActual[CODIGO],0),0)</f>
        <v>110</v>
      </c>
    </row>
    <row r="266" spans="1:15" x14ac:dyDescent="0.25">
      <c r="A266" t="s">
        <v>234</v>
      </c>
      <c r="B266" t="s">
        <v>235</v>
      </c>
      <c r="D266" t="s">
        <v>100</v>
      </c>
      <c r="E266">
        <v>0</v>
      </c>
      <c r="F266">
        <v>16.97</v>
      </c>
      <c r="G266">
        <v>25.85</v>
      </c>
      <c r="H266">
        <v>105</v>
      </c>
      <c r="I266">
        <v>1</v>
      </c>
      <c r="K266">
        <v>0</v>
      </c>
      <c r="L266">
        <v>0</v>
      </c>
      <c r="M266">
        <v>0</v>
      </c>
      <c r="N266">
        <v>45</v>
      </c>
      <c r="O266" s="7">
        <f>IFERROR(MATCH(tblTransferProveedor[[#This Row],[Codigo]],tblTransferActual[CODIGO],0),0)</f>
        <v>111</v>
      </c>
    </row>
    <row r="267" spans="1:15" x14ac:dyDescent="0.25">
      <c r="A267" t="s">
        <v>264</v>
      </c>
      <c r="B267" t="s">
        <v>265</v>
      </c>
      <c r="D267" t="s">
        <v>100</v>
      </c>
      <c r="E267">
        <v>0</v>
      </c>
      <c r="F267">
        <v>16.97</v>
      </c>
      <c r="G267">
        <v>25.85</v>
      </c>
      <c r="H267">
        <v>99</v>
      </c>
      <c r="I267">
        <v>1</v>
      </c>
      <c r="K267">
        <v>0</v>
      </c>
      <c r="L267">
        <v>0</v>
      </c>
      <c r="M267">
        <v>0</v>
      </c>
      <c r="N267">
        <v>45</v>
      </c>
      <c r="O267" s="7">
        <f>IFERROR(MATCH(tblTransferProveedor[[#This Row],[Codigo]],tblTransferActual[CODIGO],0),0)</f>
        <v>112</v>
      </c>
    </row>
    <row r="268" spans="1:15" x14ac:dyDescent="0.25">
      <c r="A268" t="s">
        <v>266</v>
      </c>
      <c r="B268" t="s">
        <v>267</v>
      </c>
      <c r="D268" t="s">
        <v>100</v>
      </c>
      <c r="E268">
        <v>0</v>
      </c>
      <c r="F268">
        <v>16.97</v>
      </c>
      <c r="G268">
        <v>25.85</v>
      </c>
      <c r="H268">
        <v>105</v>
      </c>
      <c r="I268">
        <v>1</v>
      </c>
      <c r="K268">
        <v>0</v>
      </c>
      <c r="L268">
        <v>0</v>
      </c>
      <c r="M268">
        <v>0</v>
      </c>
      <c r="N268">
        <v>45</v>
      </c>
      <c r="O268" s="7">
        <f>IFERROR(MATCH(tblTransferProveedor[[#This Row],[Codigo]],tblTransferActual[CODIGO],0),0)</f>
        <v>113</v>
      </c>
    </row>
    <row r="269" spans="1:15" x14ac:dyDescent="0.25">
      <c r="A269" t="s">
        <v>268</v>
      </c>
      <c r="B269" t="s">
        <v>269</v>
      </c>
      <c r="D269" t="s">
        <v>100</v>
      </c>
      <c r="E269">
        <v>0</v>
      </c>
      <c r="F269">
        <v>16.97</v>
      </c>
      <c r="G269">
        <v>25.85</v>
      </c>
      <c r="H269">
        <v>66</v>
      </c>
      <c r="I269">
        <v>1</v>
      </c>
      <c r="K269">
        <v>0</v>
      </c>
      <c r="L269">
        <v>0</v>
      </c>
      <c r="M269">
        <v>0</v>
      </c>
      <c r="N269">
        <v>36</v>
      </c>
      <c r="O269" s="7">
        <f>IFERROR(MATCH(tblTransferProveedor[[#This Row],[Codigo]],tblTransferActual[CODIGO],0),0)</f>
        <v>114</v>
      </c>
    </row>
    <row r="270" spans="1:15" x14ac:dyDescent="0.25">
      <c r="A270" t="s">
        <v>270</v>
      </c>
      <c r="B270" t="s">
        <v>271</v>
      </c>
      <c r="D270" t="s">
        <v>100</v>
      </c>
      <c r="E270">
        <v>0</v>
      </c>
      <c r="F270">
        <v>16.97</v>
      </c>
      <c r="G270">
        <v>25.85</v>
      </c>
      <c r="H270">
        <v>105</v>
      </c>
      <c r="I270">
        <v>1</v>
      </c>
      <c r="K270">
        <v>0</v>
      </c>
      <c r="L270">
        <v>0</v>
      </c>
      <c r="M270">
        <v>0</v>
      </c>
      <c r="N270">
        <v>45</v>
      </c>
      <c r="O270" s="7">
        <f>IFERROR(MATCH(tblTransferProveedor[[#This Row],[Codigo]],tblTransferActual[CODIGO],0),0)</f>
        <v>115</v>
      </c>
    </row>
    <row r="271" spans="1:15" x14ac:dyDescent="0.25">
      <c r="A271" t="s">
        <v>631</v>
      </c>
      <c r="B271" t="s">
        <v>632</v>
      </c>
      <c r="D271" t="s">
        <v>100</v>
      </c>
      <c r="E271">
        <v>0</v>
      </c>
      <c r="F271">
        <v>0</v>
      </c>
      <c r="G271">
        <v>0</v>
      </c>
      <c r="H271">
        <v>0</v>
      </c>
      <c r="I271">
        <v>0</v>
      </c>
      <c r="K271">
        <v>0</v>
      </c>
      <c r="L271">
        <v>0</v>
      </c>
      <c r="M271">
        <v>0</v>
      </c>
      <c r="N271">
        <v>0</v>
      </c>
      <c r="O271" s="7">
        <f>IFERROR(MATCH(tblTransferProveedor[[#This Row],[Codigo]],tblTransferActual[CODIGO],0),0)</f>
        <v>0</v>
      </c>
    </row>
    <row r="272" spans="1:15" x14ac:dyDescent="0.25">
      <c r="A272" t="s">
        <v>633</v>
      </c>
      <c r="B272" t="s">
        <v>634</v>
      </c>
      <c r="D272" t="s">
        <v>100</v>
      </c>
      <c r="E272">
        <v>0</v>
      </c>
      <c r="F272">
        <v>0</v>
      </c>
      <c r="G272">
        <v>0</v>
      </c>
      <c r="H272">
        <v>0</v>
      </c>
      <c r="I272">
        <v>0</v>
      </c>
      <c r="K272">
        <v>0</v>
      </c>
      <c r="L272">
        <v>0</v>
      </c>
      <c r="M272">
        <v>0</v>
      </c>
      <c r="N272">
        <v>0</v>
      </c>
      <c r="O272" s="7">
        <f>IFERROR(MATCH(tblTransferProveedor[[#This Row],[Codigo]],tblTransferActual[CODIGO],0),0)</f>
        <v>0</v>
      </c>
    </row>
    <row r="273" spans="1:15" x14ac:dyDescent="0.25">
      <c r="A273" t="s">
        <v>635</v>
      </c>
      <c r="B273" t="s">
        <v>636</v>
      </c>
      <c r="D273" t="s">
        <v>100</v>
      </c>
      <c r="E273">
        <v>0</v>
      </c>
      <c r="F273">
        <v>0</v>
      </c>
      <c r="G273">
        <v>0</v>
      </c>
      <c r="H273">
        <v>0</v>
      </c>
      <c r="I273">
        <v>0</v>
      </c>
      <c r="K273">
        <v>0</v>
      </c>
      <c r="L273">
        <v>0</v>
      </c>
      <c r="M273">
        <v>0</v>
      </c>
      <c r="N273">
        <v>0</v>
      </c>
      <c r="O273" s="7">
        <f>IFERROR(MATCH(tblTransferProveedor[[#This Row],[Codigo]],tblTransferActual[CODIGO],0),0)</f>
        <v>0</v>
      </c>
    </row>
    <row r="274" spans="1:15" x14ac:dyDescent="0.25">
      <c r="A274" t="s">
        <v>637</v>
      </c>
      <c r="B274" t="s">
        <v>638</v>
      </c>
      <c r="D274" t="s">
        <v>100</v>
      </c>
      <c r="E274">
        <v>0</v>
      </c>
      <c r="F274">
        <v>0</v>
      </c>
      <c r="G274">
        <v>0</v>
      </c>
      <c r="H274">
        <v>0</v>
      </c>
      <c r="I274">
        <v>0</v>
      </c>
      <c r="K274">
        <v>0</v>
      </c>
      <c r="L274">
        <v>0</v>
      </c>
      <c r="M274">
        <v>0</v>
      </c>
      <c r="N274">
        <v>0</v>
      </c>
      <c r="O274" s="7">
        <f>IFERROR(MATCH(tblTransferProveedor[[#This Row],[Codigo]],tblTransferActual[CODIGO],0),0)</f>
        <v>0</v>
      </c>
    </row>
    <row r="275" spans="1:15" x14ac:dyDescent="0.25">
      <c r="A275" t="s">
        <v>639</v>
      </c>
      <c r="B275" t="s">
        <v>640</v>
      </c>
      <c r="D275" t="s">
        <v>100</v>
      </c>
      <c r="E275">
        <v>0</v>
      </c>
      <c r="F275">
        <v>0</v>
      </c>
      <c r="G275">
        <v>0</v>
      </c>
      <c r="H275">
        <v>0</v>
      </c>
      <c r="I275">
        <v>0</v>
      </c>
      <c r="K275">
        <v>0</v>
      </c>
      <c r="L275">
        <v>0</v>
      </c>
      <c r="M275">
        <v>0</v>
      </c>
      <c r="N275">
        <v>0</v>
      </c>
      <c r="O275" s="7">
        <f>IFERROR(MATCH(tblTransferProveedor[[#This Row],[Codigo]],tblTransferActual[CODIGO],0),0)</f>
        <v>0</v>
      </c>
    </row>
    <row r="276" spans="1:15" x14ac:dyDescent="0.25">
      <c r="A276" t="s">
        <v>641</v>
      </c>
      <c r="B276" t="s">
        <v>642</v>
      </c>
      <c r="D276" t="s">
        <v>100</v>
      </c>
      <c r="E276">
        <v>0</v>
      </c>
      <c r="F276">
        <v>0</v>
      </c>
      <c r="G276">
        <v>0</v>
      </c>
      <c r="H276">
        <v>0</v>
      </c>
      <c r="I276">
        <v>0</v>
      </c>
      <c r="K276">
        <v>0</v>
      </c>
      <c r="L276">
        <v>0</v>
      </c>
      <c r="M276">
        <v>0</v>
      </c>
      <c r="N276">
        <v>0</v>
      </c>
      <c r="O276" s="7">
        <f>IFERROR(MATCH(tblTransferProveedor[[#This Row],[Codigo]],tblTransferActual[CODIGO],0),0)</f>
        <v>0</v>
      </c>
    </row>
    <row r="277" spans="1:15" x14ac:dyDescent="0.25">
      <c r="A277" t="s">
        <v>643</v>
      </c>
      <c r="B277" t="s">
        <v>644</v>
      </c>
      <c r="D277" t="s">
        <v>100</v>
      </c>
      <c r="E277">
        <v>0</v>
      </c>
      <c r="F277">
        <v>0</v>
      </c>
      <c r="G277">
        <v>0</v>
      </c>
      <c r="H277">
        <v>0</v>
      </c>
      <c r="I277">
        <v>0</v>
      </c>
      <c r="K277">
        <v>0</v>
      </c>
      <c r="L277">
        <v>0</v>
      </c>
      <c r="M277">
        <v>0</v>
      </c>
      <c r="N277">
        <v>0</v>
      </c>
      <c r="O277" s="7">
        <f>IFERROR(MATCH(tblTransferProveedor[[#This Row],[Codigo]],tblTransferActual[CODIGO],0),0)</f>
        <v>0</v>
      </c>
    </row>
    <row r="278" spans="1:15" x14ac:dyDescent="0.25">
      <c r="A278" t="s">
        <v>645</v>
      </c>
      <c r="B278" t="s">
        <v>646</v>
      </c>
      <c r="D278" t="s">
        <v>100</v>
      </c>
      <c r="E278">
        <v>0</v>
      </c>
      <c r="F278">
        <v>0</v>
      </c>
      <c r="G278">
        <v>0</v>
      </c>
      <c r="H278">
        <v>0</v>
      </c>
      <c r="I278">
        <v>0</v>
      </c>
      <c r="K278">
        <v>0</v>
      </c>
      <c r="L278">
        <v>0</v>
      </c>
      <c r="M278">
        <v>0</v>
      </c>
      <c r="N278">
        <v>0</v>
      </c>
      <c r="O278" s="7">
        <f>IFERROR(MATCH(tblTransferProveedor[[#This Row],[Codigo]],tblTransferActual[CODIGO],0),0)</f>
        <v>0</v>
      </c>
    </row>
    <row r="279" spans="1:15" x14ac:dyDescent="0.25">
      <c r="A279" t="s">
        <v>647</v>
      </c>
      <c r="B279" t="s">
        <v>648</v>
      </c>
      <c r="D279" t="s">
        <v>100</v>
      </c>
      <c r="E279">
        <v>0</v>
      </c>
      <c r="F279">
        <v>0</v>
      </c>
      <c r="G279">
        <v>0</v>
      </c>
      <c r="H279">
        <v>0</v>
      </c>
      <c r="I279">
        <v>0</v>
      </c>
      <c r="K279">
        <v>0</v>
      </c>
      <c r="L279">
        <v>0</v>
      </c>
      <c r="M279">
        <v>0</v>
      </c>
      <c r="N279">
        <v>0</v>
      </c>
      <c r="O279" s="7">
        <f>IFERROR(MATCH(tblTransferProveedor[[#This Row],[Codigo]],tblTransferActual[CODIGO],0),0)</f>
        <v>0</v>
      </c>
    </row>
    <row r="280" spans="1:15" x14ac:dyDescent="0.25">
      <c r="A280" t="s">
        <v>649</v>
      </c>
      <c r="B280" t="s">
        <v>650</v>
      </c>
      <c r="D280" t="s">
        <v>100</v>
      </c>
      <c r="E280">
        <v>0</v>
      </c>
      <c r="F280">
        <v>0</v>
      </c>
      <c r="G280">
        <v>0</v>
      </c>
      <c r="H280">
        <v>0</v>
      </c>
      <c r="I280">
        <v>0</v>
      </c>
      <c r="K280">
        <v>0</v>
      </c>
      <c r="L280">
        <v>0</v>
      </c>
      <c r="M280">
        <v>0</v>
      </c>
      <c r="N280">
        <v>0</v>
      </c>
      <c r="O280" s="7">
        <f>IFERROR(MATCH(tblTransferProveedor[[#This Row],[Codigo]],tblTransferActual[CODIGO],0),0)</f>
        <v>0</v>
      </c>
    </row>
    <row r="281" spans="1:15" x14ac:dyDescent="0.25">
      <c r="A281" t="s">
        <v>651</v>
      </c>
      <c r="B281" t="s">
        <v>652</v>
      </c>
      <c r="D281" t="s">
        <v>100</v>
      </c>
      <c r="E281">
        <v>0</v>
      </c>
      <c r="F281">
        <v>0</v>
      </c>
      <c r="G281">
        <v>0</v>
      </c>
      <c r="H281">
        <v>0</v>
      </c>
      <c r="I281">
        <v>0</v>
      </c>
      <c r="K281">
        <v>0</v>
      </c>
      <c r="L281">
        <v>0</v>
      </c>
      <c r="M281">
        <v>0</v>
      </c>
      <c r="N281">
        <v>0</v>
      </c>
      <c r="O281" s="7">
        <f>IFERROR(MATCH(tblTransferProveedor[[#This Row],[Codigo]],tblTransferActual[CODIGO],0),0)</f>
        <v>0</v>
      </c>
    </row>
    <row r="282" spans="1:15" x14ac:dyDescent="0.25">
      <c r="A282" t="s">
        <v>653</v>
      </c>
      <c r="B282" t="s">
        <v>654</v>
      </c>
      <c r="D282" t="s">
        <v>100</v>
      </c>
      <c r="E282">
        <v>0</v>
      </c>
      <c r="F282">
        <v>0</v>
      </c>
      <c r="G282">
        <v>0</v>
      </c>
      <c r="H282">
        <v>0</v>
      </c>
      <c r="I282">
        <v>0</v>
      </c>
      <c r="K282">
        <v>0</v>
      </c>
      <c r="L282">
        <v>0</v>
      </c>
      <c r="M282">
        <v>0</v>
      </c>
      <c r="N282">
        <v>0</v>
      </c>
      <c r="O282" s="7">
        <f>IFERROR(MATCH(tblTransferProveedor[[#This Row],[Codigo]],tblTransferActual[CODIGO],0),0)</f>
        <v>0</v>
      </c>
    </row>
    <row r="283" spans="1:15" x14ac:dyDescent="0.25">
      <c r="A283" t="s">
        <v>128</v>
      </c>
      <c r="B283" t="s">
        <v>129</v>
      </c>
      <c r="D283" t="s">
        <v>100</v>
      </c>
      <c r="E283">
        <v>0</v>
      </c>
      <c r="F283">
        <v>12.85</v>
      </c>
      <c r="G283">
        <v>19.5</v>
      </c>
      <c r="H283">
        <v>1544</v>
      </c>
      <c r="I283">
        <v>0.46</v>
      </c>
      <c r="K283">
        <v>0</v>
      </c>
      <c r="L283">
        <v>0</v>
      </c>
      <c r="M283">
        <v>0</v>
      </c>
      <c r="N283">
        <v>708</v>
      </c>
      <c r="O283" s="7">
        <f>IFERROR(MATCH(tblTransferProveedor[[#This Row],[Codigo]],tblTransferActual[CODIGO],0),0)</f>
        <v>4</v>
      </c>
    </row>
    <row r="284" spans="1:15" x14ac:dyDescent="0.25">
      <c r="A284" t="s">
        <v>272</v>
      </c>
      <c r="B284" t="s">
        <v>273</v>
      </c>
      <c r="D284" t="s">
        <v>100</v>
      </c>
      <c r="E284">
        <v>0</v>
      </c>
      <c r="F284">
        <v>13.05</v>
      </c>
      <c r="G284">
        <v>18.559999999999999</v>
      </c>
      <c r="H284">
        <v>1423</v>
      </c>
      <c r="I284">
        <v>1</v>
      </c>
      <c r="K284">
        <v>0</v>
      </c>
      <c r="L284">
        <v>0</v>
      </c>
      <c r="M284">
        <v>0</v>
      </c>
      <c r="N284">
        <v>1416</v>
      </c>
      <c r="O284" s="7">
        <f>IFERROR(MATCH(tblTransferProveedor[[#This Row],[Codigo]],tblTransferActual[CODIGO],0),0)</f>
        <v>116</v>
      </c>
    </row>
    <row r="285" spans="1:15" x14ac:dyDescent="0.25">
      <c r="A285" t="s">
        <v>274</v>
      </c>
      <c r="B285" t="s">
        <v>275</v>
      </c>
      <c r="D285" t="s">
        <v>100</v>
      </c>
      <c r="E285">
        <v>0</v>
      </c>
      <c r="F285">
        <v>13.05</v>
      </c>
      <c r="G285">
        <v>18.559999999999999</v>
      </c>
      <c r="H285">
        <v>1319</v>
      </c>
      <c r="I285">
        <v>1</v>
      </c>
      <c r="K285">
        <v>0</v>
      </c>
      <c r="L285">
        <v>0</v>
      </c>
      <c r="M285">
        <v>0</v>
      </c>
      <c r="N285">
        <v>336</v>
      </c>
      <c r="O285" s="7">
        <f>IFERROR(MATCH(tblTransferProveedor[[#This Row],[Codigo]],tblTransferActual[CODIGO],0),0)</f>
        <v>117</v>
      </c>
    </row>
    <row r="286" spans="1:15" x14ac:dyDescent="0.25">
      <c r="A286" t="s">
        <v>655</v>
      </c>
      <c r="B286" t="s">
        <v>656</v>
      </c>
      <c r="D286" t="s">
        <v>100</v>
      </c>
      <c r="E286">
        <v>0</v>
      </c>
      <c r="F286">
        <v>12.85</v>
      </c>
      <c r="G286">
        <v>19.5</v>
      </c>
      <c r="H286">
        <v>429</v>
      </c>
      <c r="I286">
        <v>0.99</v>
      </c>
      <c r="K286">
        <v>0</v>
      </c>
      <c r="L286">
        <v>0</v>
      </c>
      <c r="M286">
        <v>0</v>
      </c>
      <c r="N286">
        <v>0</v>
      </c>
      <c r="O286" s="7">
        <f>IFERROR(MATCH(tblTransferProveedor[[#This Row],[Codigo]],tblTransferActual[CODIGO],0),0)</f>
        <v>0</v>
      </c>
    </row>
    <row r="287" spans="1:15" x14ac:dyDescent="0.25">
      <c r="A287" t="s">
        <v>276</v>
      </c>
      <c r="B287" t="s">
        <v>277</v>
      </c>
      <c r="D287" t="s">
        <v>100</v>
      </c>
      <c r="E287">
        <v>0</v>
      </c>
      <c r="F287">
        <v>13.05</v>
      </c>
      <c r="G287">
        <v>18.559999999999999</v>
      </c>
      <c r="H287">
        <v>733</v>
      </c>
      <c r="I287">
        <v>1</v>
      </c>
      <c r="K287">
        <v>0</v>
      </c>
      <c r="L287">
        <v>0</v>
      </c>
      <c r="M287">
        <v>0</v>
      </c>
      <c r="N287">
        <v>180</v>
      </c>
      <c r="O287" s="7">
        <f>IFERROR(MATCH(tblTransferProveedor[[#This Row],[Codigo]],tblTransferActual[CODIGO],0),0)</f>
        <v>118</v>
      </c>
    </row>
    <row r="288" spans="1:15" x14ac:dyDescent="0.25">
      <c r="A288" t="s">
        <v>278</v>
      </c>
      <c r="B288" t="s">
        <v>279</v>
      </c>
      <c r="D288" t="s">
        <v>100</v>
      </c>
      <c r="E288">
        <v>0</v>
      </c>
      <c r="F288">
        <v>12.539899999999999</v>
      </c>
      <c r="G288">
        <v>17.989899999999999</v>
      </c>
      <c r="H288">
        <v>3</v>
      </c>
      <c r="I288">
        <v>1</v>
      </c>
      <c r="K288">
        <v>0</v>
      </c>
      <c r="L288">
        <v>0</v>
      </c>
      <c r="M288">
        <v>0</v>
      </c>
      <c r="N288">
        <v>60</v>
      </c>
      <c r="O288" s="7">
        <f>IFERROR(MATCH(tblTransferProveedor[[#This Row],[Codigo]],tblTransferActual[CODIGO],0),0)</f>
        <v>119</v>
      </c>
    </row>
    <row r="289" spans="1:15" x14ac:dyDescent="0.25">
      <c r="A289" t="s">
        <v>122</v>
      </c>
      <c r="B289" t="s">
        <v>123</v>
      </c>
      <c r="D289" t="s">
        <v>100</v>
      </c>
      <c r="E289">
        <v>0</v>
      </c>
      <c r="F289">
        <v>12.85</v>
      </c>
      <c r="G289">
        <v>19.5</v>
      </c>
      <c r="H289">
        <v>552</v>
      </c>
      <c r="I289">
        <v>0.76</v>
      </c>
      <c r="K289">
        <v>0</v>
      </c>
      <c r="L289">
        <v>0</v>
      </c>
      <c r="M289">
        <v>0</v>
      </c>
      <c r="N289">
        <v>132</v>
      </c>
      <c r="O289" s="7">
        <f>IFERROR(MATCH(tblTransferProveedor[[#This Row],[Codigo]],tblTransferActual[CODIGO],0),0)</f>
        <v>7</v>
      </c>
    </row>
    <row r="290" spans="1:15" x14ac:dyDescent="0.25">
      <c r="A290" t="s">
        <v>280</v>
      </c>
      <c r="B290" t="s">
        <v>281</v>
      </c>
      <c r="D290" t="s">
        <v>100</v>
      </c>
      <c r="E290">
        <v>0</v>
      </c>
      <c r="F290">
        <v>13.05</v>
      </c>
      <c r="G290">
        <v>18.559999999999999</v>
      </c>
      <c r="H290">
        <v>1096</v>
      </c>
      <c r="I290">
        <v>1</v>
      </c>
      <c r="K290">
        <v>0</v>
      </c>
      <c r="L290">
        <v>0</v>
      </c>
      <c r="M290">
        <v>0</v>
      </c>
      <c r="N290">
        <v>276</v>
      </c>
      <c r="O290" s="7">
        <f>IFERROR(MATCH(tblTransferProveedor[[#This Row],[Codigo]],tblTransferActual[CODIGO],0),0)</f>
        <v>120</v>
      </c>
    </row>
    <row r="291" spans="1:15" x14ac:dyDescent="0.25">
      <c r="A291" t="s">
        <v>657</v>
      </c>
      <c r="B291" t="s">
        <v>658</v>
      </c>
      <c r="D291" t="s">
        <v>100</v>
      </c>
      <c r="E291">
        <v>0</v>
      </c>
      <c r="F291">
        <v>12</v>
      </c>
      <c r="G291">
        <v>17.989899999999999</v>
      </c>
      <c r="H291">
        <v>0</v>
      </c>
      <c r="I291">
        <v>0</v>
      </c>
      <c r="K291">
        <v>0</v>
      </c>
      <c r="L291">
        <v>0</v>
      </c>
      <c r="M291">
        <v>0</v>
      </c>
      <c r="N291">
        <v>0</v>
      </c>
      <c r="O291" s="7">
        <f>IFERROR(MATCH(tblTransferProveedor[[#This Row],[Codigo]],tblTransferActual[CODIGO],0),0)</f>
        <v>0</v>
      </c>
    </row>
    <row r="292" spans="1:15" x14ac:dyDescent="0.25">
      <c r="A292" t="s">
        <v>659</v>
      </c>
      <c r="B292" t="s">
        <v>660</v>
      </c>
      <c r="D292" t="s">
        <v>100</v>
      </c>
      <c r="E292">
        <v>0</v>
      </c>
      <c r="F292">
        <v>12</v>
      </c>
      <c r="G292">
        <v>17.989899999999999</v>
      </c>
      <c r="H292">
        <v>0</v>
      </c>
      <c r="I292">
        <v>0</v>
      </c>
      <c r="K292">
        <v>0</v>
      </c>
      <c r="L292">
        <v>0</v>
      </c>
      <c r="M292">
        <v>0</v>
      </c>
      <c r="N292">
        <v>0</v>
      </c>
      <c r="O292" s="7">
        <f>IFERROR(MATCH(tblTransferProveedor[[#This Row],[Codigo]],tblTransferActual[CODIGO],0),0)</f>
        <v>0</v>
      </c>
    </row>
    <row r="293" spans="1:15" x14ac:dyDescent="0.25">
      <c r="A293" t="s">
        <v>661</v>
      </c>
      <c r="B293" t="s">
        <v>662</v>
      </c>
      <c r="D293" t="s">
        <v>100</v>
      </c>
      <c r="E293">
        <v>0</v>
      </c>
      <c r="F293">
        <v>12.85</v>
      </c>
      <c r="G293">
        <v>19.5</v>
      </c>
      <c r="H293">
        <v>0</v>
      </c>
      <c r="I293">
        <v>0</v>
      </c>
      <c r="K293">
        <v>0</v>
      </c>
      <c r="L293">
        <v>0</v>
      </c>
      <c r="M293">
        <v>0</v>
      </c>
      <c r="N293">
        <v>0</v>
      </c>
      <c r="O293" s="7">
        <f>IFERROR(MATCH(tblTransferProveedor[[#This Row],[Codigo]],tblTransferActual[CODIGO],0),0)</f>
        <v>0</v>
      </c>
    </row>
    <row r="294" spans="1:15" x14ac:dyDescent="0.25">
      <c r="A294" t="s">
        <v>663</v>
      </c>
      <c r="B294" t="s">
        <v>664</v>
      </c>
      <c r="D294" t="s">
        <v>100</v>
      </c>
      <c r="E294">
        <v>0</v>
      </c>
      <c r="F294">
        <v>12</v>
      </c>
      <c r="G294">
        <v>17.989899999999999</v>
      </c>
      <c r="H294">
        <v>0</v>
      </c>
      <c r="I294">
        <v>0</v>
      </c>
      <c r="K294">
        <v>0</v>
      </c>
      <c r="L294">
        <v>0</v>
      </c>
      <c r="M294">
        <v>0</v>
      </c>
      <c r="N294">
        <v>0</v>
      </c>
      <c r="O294" s="7">
        <f>IFERROR(MATCH(tblTransferProveedor[[#This Row],[Codigo]],tblTransferActual[CODIGO],0),0)</f>
        <v>0</v>
      </c>
    </row>
    <row r="295" spans="1:15" x14ac:dyDescent="0.25">
      <c r="A295" t="s">
        <v>665</v>
      </c>
      <c r="B295" t="s">
        <v>666</v>
      </c>
      <c r="D295" t="s">
        <v>100</v>
      </c>
      <c r="E295">
        <v>0</v>
      </c>
      <c r="F295">
        <v>11.99</v>
      </c>
      <c r="G295">
        <v>17.989899999999999</v>
      </c>
      <c r="H295">
        <v>0</v>
      </c>
      <c r="I295">
        <v>0</v>
      </c>
      <c r="K295">
        <v>0</v>
      </c>
      <c r="L295">
        <v>0</v>
      </c>
      <c r="M295">
        <v>0</v>
      </c>
      <c r="N295">
        <v>0</v>
      </c>
      <c r="O295" s="7">
        <f>IFERROR(MATCH(tblTransferProveedor[[#This Row],[Codigo]],tblTransferActual[CODIGO],0),0)</f>
        <v>0</v>
      </c>
    </row>
    <row r="296" spans="1:15" x14ac:dyDescent="0.25">
      <c r="A296" t="s">
        <v>282</v>
      </c>
      <c r="B296" t="s">
        <v>283</v>
      </c>
      <c r="D296" t="s">
        <v>100</v>
      </c>
      <c r="E296">
        <v>0</v>
      </c>
      <c r="F296">
        <v>12.539899999999999</v>
      </c>
      <c r="G296">
        <v>17.989899999999999</v>
      </c>
      <c r="H296">
        <v>21</v>
      </c>
      <c r="I296">
        <v>1</v>
      </c>
      <c r="K296">
        <v>0</v>
      </c>
      <c r="L296">
        <v>0</v>
      </c>
      <c r="M296">
        <v>0</v>
      </c>
      <c r="N296">
        <v>60</v>
      </c>
      <c r="O296" s="7">
        <f>IFERROR(MATCH(tblTransferProveedor[[#This Row],[Codigo]],tblTransferActual[CODIGO],0),0)</f>
        <v>121</v>
      </c>
    </row>
    <row r="297" spans="1:15" x14ac:dyDescent="0.25">
      <c r="A297" t="s">
        <v>667</v>
      </c>
      <c r="B297" t="s">
        <v>668</v>
      </c>
      <c r="D297" t="s">
        <v>100</v>
      </c>
      <c r="E297">
        <v>0</v>
      </c>
      <c r="F297">
        <v>12.85</v>
      </c>
      <c r="G297">
        <v>19.5</v>
      </c>
      <c r="H297">
        <v>0</v>
      </c>
      <c r="I297">
        <v>0</v>
      </c>
      <c r="K297">
        <v>0</v>
      </c>
      <c r="L297">
        <v>0</v>
      </c>
      <c r="M297">
        <v>0</v>
      </c>
      <c r="N297">
        <v>0</v>
      </c>
      <c r="O297" s="7">
        <f>IFERROR(MATCH(tblTransferProveedor[[#This Row],[Codigo]],tblTransferActual[CODIGO],0),0)</f>
        <v>0</v>
      </c>
    </row>
    <row r="298" spans="1:15" x14ac:dyDescent="0.25">
      <c r="A298" t="s">
        <v>669</v>
      </c>
      <c r="B298" t="s">
        <v>670</v>
      </c>
      <c r="D298" t="s">
        <v>100</v>
      </c>
      <c r="E298">
        <v>0</v>
      </c>
      <c r="F298">
        <v>12.85</v>
      </c>
      <c r="G298">
        <v>19.5</v>
      </c>
      <c r="H298">
        <v>0</v>
      </c>
      <c r="I298">
        <v>0</v>
      </c>
      <c r="K298">
        <v>0</v>
      </c>
      <c r="L298">
        <v>0</v>
      </c>
      <c r="M298">
        <v>0</v>
      </c>
      <c r="N298">
        <v>0</v>
      </c>
      <c r="O298" s="7">
        <f>IFERROR(MATCH(tblTransferProveedor[[#This Row],[Codigo]],tblTransferActual[CODIGO],0),0)</f>
        <v>0</v>
      </c>
    </row>
    <row r="299" spans="1:15" x14ac:dyDescent="0.25">
      <c r="A299" t="s">
        <v>671</v>
      </c>
      <c r="B299" t="s">
        <v>672</v>
      </c>
      <c r="D299" t="s">
        <v>100</v>
      </c>
      <c r="E299">
        <v>0</v>
      </c>
      <c r="F299">
        <v>0</v>
      </c>
      <c r="G299">
        <v>0</v>
      </c>
      <c r="H299">
        <v>0</v>
      </c>
      <c r="I299">
        <v>0</v>
      </c>
      <c r="K299">
        <v>0</v>
      </c>
      <c r="L299">
        <v>0</v>
      </c>
      <c r="M299">
        <v>0</v>
      </c>
      <c r="N299">
        <v>0</v>
      </c>
      <c r="O299" s="7">
        <f>IFERROR(MATCH(tblTransferProveedor[[#This Row],[Codigo]],tblTransferActual[CODIGO],0),0)</f>
        <v>0</v>
      </c>
    </row>
    <row r="300" spans="1:15" x14ac:dyDescent="0.25">
      <c r="A300" t="s">
        <v>673</v>
      </c>
      <c r="B300" t="s">
        <v>674</v>
      </c>
      <c r="D300" t="s">
        <v>100</v>
      </c>
      <c r="E300">
        <v>0</v>
      </c>
      <c r="F300">
        <v>0</v>
      </c>
      <c r="G300">
        <v>0</v>
      </c>
      <c r="H300">
        <v>0</v>
      </c>
      <c r="I300">
        <v>0</v>
      </c>
      <c r="K300">
        <v>0</v>
      </c>
      <c r="L300">
        <v>0</v>
      </c>
      <c r="M300">
        <v>0</v>
      </c>
      <c r="N300">
        <v>0</v>
      </c>
      <c r="O300" s="7">
        <f>IFERROR(MATCH(tblTransferProveedor[[#This Row],[Codigo]],tblTransferActual[CODIGO],0),0)</f>
        <v>0</v>
      </c>
    </row>
    <row r="301" spans="1:15" x14ac:dyDescent="0.25">
      <c r="A301" t="s">
        <v>284</v>
      </c>
      <c r="B301" t="s">
        <v>285</v>
      </c>
      <c r="D301" t="s">
        <v>100</v>
      </c>
      <c r="E301">
        <v>0</v>
      </c>
      <c r="F301">
        <v>23.86</v>
      </c>
      <c r="G301">
        <v>37.5</v>
      </c>
      <c r="H301">
        <v>1</v>
      </c>
      <c r="I301">
        <v>1</v>
      </c>
      <c r="K301">
        <v>0</v>
      </c>
      <c r="L301">
        <v>0</v>
      </c>
      <c r="M301">
        <v>0</v>
      </c>
      <c r="N301">
        <v>1</v>
      </c>
      <c r="O301" s="7">
        <f>IFERROR(MATCH(tblTransferProveedor[[#This Row],[Codigo]],tblTransferActual[CODIGO],0),0)</f>
        <v>122</v>
      </c>
    </row>
    <row r="302" spans="1:15" x14ac:dyDescent="0.25">
      <c r="A302" t="s">
        <v>126</v>
      </c>
      <c r="B302" t="s">
        <v>127</v>
      </c>
      <c r="D302" t="s">
        <v>100</v>
      </c>
      <c r="E302">
        <v>0</v>
      </c>
      <c r="F302">
        <v>23.86</v>
      </c>
      <c r="G302">
        <v>37.5</v>
      </c>
      <c r="H302">
        <v>2</v>
      </c>
      <c r="I302">
        <v>0.5</v>
      </c>
      <c r="K302">
        <v>0</v>
      </c>
      <c r="L302">
        <v>0</v>
      </c>
      <c r="M302">
        <v>0</v>
      </c>
      <c r="N302">
        <v>1</v>
      </c>
      <c r="O302" s="7">
        <f>IFERROR(MATCH(tblTransferProveedor[[#This Row],[Codigo]],tblTransferActual[CODIGO],0),0)</f>
        <v>5</v>
      </c>
    </row>
    <row r="303" spans="1:15" x14ac:dyDescent="0.25">
      <c r="A303" t="s">
        <v>675</v>
      </c>
      <c r="B303" t="s">
        <v>676</v>
      </c>
      <c r="D303" t="s">
        <v>100</v>
      </c>
      <c r="E303">
        <v>0</v>
      </c>
      <c r="F303">
        <v>23.87</v>
      </c>
      <c r="G303">
        <v>37.5</v>
      </c>
      <c r="H303">
        <v>0</v>
      </c>
      <c r="I303">
        <v>0</v>
      </c>
      <c r="K303">
        <v>0</v>
      </c>
      <c r="L303">
        <v>0</v>
      </c>
      <c r="M303">
        <v>0</v>
      </c>
      <c r="N303">
        <v>0</v>
      </c>
      <c r="O303" s="7">
        <f>IFERROR(MATCH(tblTransferProveedor[[#This Row],[Codigo]],tblTransferActual[CODIGO],0),0)</f>
        <v>0</v>
      </c>
    </row>
    <row r="304" spans="1:15" x14ac:dyDescent="0.25">
      <c r="A304" t="s">
        <v>677</v>
      </c>
      <c r="B304" t="s">
        <v>678</v>
      </c>
      <c r="D304" t="s">
        <v>100</v>
      </c>
      <c r="E304">
        <v>0</v>
      </c>
      <c r="F304">
        <v>0</v>
      </c>
      <c r="G304">
        <v>0</v>
      </c>
      <c r="H304">
        <v>0</v>
      </c>
      <c r="I304">
        <v>0</v>
      </c>
      <c r="K304">
        <v>0</v>
      </c>
      <c r="L304">
        <v>0</v>
      </c>
      <c r="M304">
        <v>0</v>
      </c>
      <c r="N304">
        <v>0</v>
      </c>
      <c r="O304" s="7">
        <f>IFERROR(MATCH(tblTransferProveedor[[#This Row],[Codigo]],tblTransferActual[CODIGO],0),0)</f>
        <v>0</v>
      </c>
    </row>
    <row r="305" spans="1:15" x14ac:dyDescent="0.25">
      <c r="A305" t="s">
        <v>679</v>
      </c>
      <c r="B305" t="s">
        <v>680</v>
      </c>
      <c r="D305" t="s">
        <v>100</v>
      </c>
      <c r="E305">
        <v>0</v>
      </c>
      <c r="F305">
        <v>0</v>
      </c>
      <c r="G305">
        <v>0</v>
      </c>
      <c r="H305">
        <v>0</v>
      </c>
      <c r="I305">
        <v>0</v>
      </c>
      <c r="K305">
        <v>0</v>
      </c>
      <c r="L305">
        <v>0</v>
      </c>
      <c r="M305">
        <v>0</v>
      </c>
      <c r="N305">
        <v>0</v>
      </c>
      <c r="O305" s="7">
        <f>IFERROR(MATCH(tblTransferProveedor[[#This Row],[Codigo]],tblTransferActual[CODIGO],0),0)</f>
        <v>0</v>
      </c>
    </row>
    <row r="306" spans="1:15" x14ac:dyDescent="0.25">
      <c r="A306" t="s">
        <v>681</v>
      </c>
      <c r="B306" t="s">
        <v>682</v>
      </c>
      <c r="D306" t="s">
        <v>100</v>
      </c>
      <c r="E306">
        <v>0</v>
      </c>
      <c r="F306">
        <v>0</v>
      </c>
      <c r="G306">
        <v>0</v>
      </c>
      <c r="H306">
        <v>0</v>
      </c>
      <c r="I306">
        <v>0</v>
      </c>
      <c r="K306">
        <v>0</v>
      </c>
      <c r="L306">
        <v>0</v>
      </c>
      <c r="M306">
        <v>0</v>
      </c>
      <c r="N306">
        <v>0</v>
      </c>
      <c r="O306" s="7">
        <f>IFERROR(MATCH(tblTransferProveedor[[#This Row],[Codigo]],tblTransferActual[CODIGO],0),0)</f>
        <v>0</v>
      </c>
    </row>
    <row r="307" spans="1:15" x14ac:dyDescent="0.25">
      <c r="A307" t="s">
        <v>683</v>
      </c>
      <c r="B307" t="s">
        <v>684</v>
      </c>
      <c r="D307" t="s">
        <v>100</v>
      </c>
      <c r="E307">
        <v>0</v>
      </c>
      <c r="F307">
        <v>0</v>
      </c>
      <c r="G307">
        <v>0</v>
      </c>
      <c r="H307">
        <v>0</v>
      </c>
      <c r="I307">
        <v>0</v>
      </c>
      <c r="K307">
        <v>0</v>
      </c>
      <c r="L307">
        <v>0</v>
      </c>
      <c r="M307">
        <v>0</v>
      </c>
      <c r="N307">
        <v>0</v>
      </c>
      <c r="O307" s="7">
        <f>IFERROR(MATCH(tblTransferProveedor[[#This Row],[Codigo]],tblTransferActual[CODIGO],0),0)</f>
        <v>0</v>
      </c>
    </row>
    <row r="308" spans="1:15" x14ac:dyDescent="0.25">
      <c r="A308" t="s">
        <v>685</v>
      </c>
      <c r="B308" t="s">
        <v>686</v>
      </c>
      <c r="D308" t="s">
        <v>100</v>
      </c>
      <c r="E308">
        <v>0</v>
      </c>
      <c r="F308">
        <v>0</v>
      </c>
      <c r="G308">
        <v>0</v>
      </c>
      <c r="H308">
        <v>0</v>
      </c>
      <c r="I308">
        <v>0</v>
      </c>
      <c r="K308">
        <v>0</v>
      </c>
      <c r="L308">
        <v>0</v>
      </c>
      <c r="M308">
        <v>0</v>
      </c>
      <c r="N308">
        <v>0</v>
      </c>
      <c r="O308" s="7">
        <f>IFERROR(MATCH(tblTransferProveedor[[#This Row],[Codigo]],tblTransferActual[CODIGO],0),0)</f>
        <v>0</v>
      </c>
    </row>
    <row r="309" spans="1:15" x14ac:dyDescent="0.25">
      <c r="A309" t="s">
        <v>687</v>
      </c>
      <c r="B309" t="s">
        <v>688</v>
      </c>
      <c r="D309" t="s">
        <v>100</v>
      </c>
      <c r="E309">
        <v>0</v>
      </c>
      <c r="F309">
        <v>0</v>
      </c>
      <c r="G309">
        <v>0</v>
      </c>
      <c r="H309">
        <v>0</v>
      </c>
      <c r="I309">
        <v>0</v>
      </c>
      <c r="K309">
        <v>0</v>
      </c>
      <c r="L309">
        <v>0</v>
      </c>
      <c r="M309">
        <v>0</v>
      </c>
      <c r="N309">
        <v>0</v>
      </c>
      <c r="O309" s="7">
        <f>IFERROR(MATCH(tblTransferProveedor[[#This Row],[Codigo]],tblTransferActual[CODIGO],0),0)</f>
        <v>0</v>
      </c>
    </row>
    <row r="310" spans="1:15" x14ac:dyDescent="0.25">
      <c r="A310" t="s">
        <v>689</v>
      </c>
      <c r="B310" t="s">
        <v>690</v>
      </c>
      <c r="D310" t="s">
        <v>100</v>
      </c>
      <c r="E310">
        <v>0</v>
      </c>
      <c r="F310">
        <v>0</v>
      </c>
      <c r="G310">
        <v>0</v>
      </c>
      <c r="H310">
        <v>0</v>
      </c>
      <c r="I310">
        <v>0</v>
      </c>
      <c r="K310">
        <v>0</v>
      </c>
      <c r="L310">
        <v>0</v>
      </c>
      <c r="M310">
        <v>0</v>
      </c>
      <c r="N310">
        <v>0</v>
      </c>
      <c r="O310" s="7">
        <f>IFERROR(MATCH(tblTransferProveedor[[#This Row],[Codigo]],tblTransferActual[CODIGO],0),0)</f>
        <v>0</v>
      </c>
    </row>
    <row r="311" spans="1:15" x14ac:dyDescent="0.25">
      <c r="A311" t="s">
        <v>691</v>
      </c>
      <c r="B311" t="s">
        <v>692</v>
      </c>
      <c r="D311" t="s">
        <v>100</v>
      </c>
      <c r="E311">
        <v>0</v>
      </c>
      <c r="F311">
        <v>0</v>
      </c>
      <c r="G311">
        <v>0</v>
      </c>
      <c r="H311">
        <v>0</v>
      </c>
      <c r="I311">
        <v>0</v>
      </c>
      <c r="K311">
        <v>0</v>
      </c>
      <c r="L311">
        <v>0</v>
      </c>
      <c r="M311">
        <v>0</v>
      </c>
      <c r="N311">
        <v>0</v>
      </c>
      <c r="O311" s="7">
        <f>IFERROR(MATCH(tblTransferProveedor[[#This Row],[Codigo]],tblTransferActual[CODIGO],0),0)</f>
        <v>0</v>
      </c>
    </row>
    <row r="312" spans="1:15" x14ac:dyDescent="0.25">
      <c r="A312" t="s">
        <v>693</v>
      </c>
      <c r="B312" t="s">
        <v>694</v>
      </c>
      <c r="D312" t="s">
        <v>100</v>
      </c>
      <c r="E312">
        <v>0</v>
      </c>
      <c r="F312">
        <v>0</v>
      </c>
      <c r="G312">
        <v>0</v>
      </c>
      <c r="H312">
        <v>0</v>
      </c>
      <c r="I312">
        <v>0</v>
      </c>
      <c r="K312">
        <v>0</v>
      </c>
      <c r="L312">
        <v>0</v>
      </c>
      <c r="M312">
        <v>0</v>
      </c>
      <c r="N312">
        <v>0</v>
      </c>
      <c r="O312" s="7">
        <f>IFERROR(MATCH(tblTransferProveedor[[#This Row],[Codigo]],tblTransferActual[CODIGO],0),0)</f>
        <v>0</v>
      </c>
    </row>
    <row r="313" spans="1:15" x14ac:dyDescent="0.25">
      <c r="A313" t="s">
        <v>695</v>
      </c>
      <c r="B313" t="s">
        <v>696</v>
      </c>
      <c r="D313" t="s">
        <v>100</v>
      </c>
      <c r="E313">
        <v>0</v>
      </c>
      <c r="F313">
        <v>0</v>
      </c>
      <c r="G313">
        <v>0</v>
      </c>
      <c r="H313">
        <v>0</v>
      </c>
      <c r="I313">
        <v>0</v>
      </c>
      <c r="K313">
        <v>0</v>
      </c>
      <c r="L313">
        <v>0</v>
      </c>
      <c r="M313">
        <v>0</v>
      </c>
      <c r="N313">
        <v>0</v>
      </c>
      <c r="O313" s="7">
        <f>IFERROR(MATCH(tblTransferProveedor[[#This Row],[Codigo]],tblTransferActual[CODIGO],0),0)</f>
        <v>0</v>
      </c>
    </row>
    <row r="314" spans="1:15" x14ac:dyDescent="0.25">
      <c r="A314" t="s">
        <v>697</v>
      </c>
      <c r="B314" t="s">
        <v>698</v>
      </c>
      <c r="D314" t="s">
        <v>100</v>
      </c>
      <c r="E314">
        <v>0</v>
      </c>
      <c r="F314">
        <v>0</v>
      </c>
      <c r="G314">
        <v>0</v>
      </c>
      <c r="H314">
        <v>0</v>
      </c>
      <c r="I314">
        <v>0</v>
      </c>
      <c r="K314">
        <v>0</v>
      </c>
      <c r="L314">
        <v>0</v>
      </c>
      <c r="M314">
        <v>0</v>
      </c>
      <c r="N314">
        <v>0</v>
      </c>
      <c r="O314" s="7">
        <f>IFERROR(MATCH(tblTransferProveedor[[#This Row],[Codigo]],tblTransferActual[CODIGO],0),0)</f>
        <v>0</v>
      </c>
    </row>
    <row r="315" spans="1:15" x14ac:dyDescent="0.25">
      <c r="A315" t="s">
        <v>699</v>
      </c>
      <c r="B315" t="s">
        <v>700</v>
      </c>
      <c r="D315" t="s">
        <v>100</v>
      </c>
      <c r="E315">
        <v>0</v>
      </c>
      <c r="F315">
        <v>0</v>
      </c>
      <c r="G315">
        <v>0</v>
      </c>
      <c r="H315">
        <v>0</v>
      </c>
      <c r="I315">
        <v>0</v>
      </c>
      <c r="K315">
        <v>0</v>
      </c>
      <c r="L315">
        <v>0</v>
      </c>
      <c r="M315">
        <v>0</v>
      </c>
      <c r="N315">
        <v>0</v>
      </c>
      <c r="O315" s="7">
        <f>IFERROR(MATCH(tblTransferProveedor[[#This Row],[Codigo]],tblTransferActual[CODIGO],0),0)</f>
        <v>0</v>
      </c>
    </row>
    <row r="316" spans="1:15" x14ac:dyDescent="0.25">
      <c r="A316" t="s">
        <v>701</v>
      </c>
      <c r="B316" t="s">
        <v>702</v>
      </c>
      <c r="D316" t="s">
        <v>100</v>
      </c>
      <c r="E316">
        <v>0</v>
      </c>
      <c r="F316">
        <v>0</v>
      </c>
      <c r="G316">
        <v>0</v>
      </c>
      <c r="H316">
        <v>0</v>
      </c>
      <c r="I316">
        <v>0</v>
      </c>
      <c r="K316">
        <v>0</v>
      </c>
      <c r="L316">
        <v>0</v>
      </c>
      <c r="M316">
        <v>0</v>
      </c>
      <c r="N316">
        <v>0</v>
      </c>
      <c r="O316" s="7">
        <f>IFERROR(MATCH(tblTransferProveedor[[#This Row],[Codigo]],tblTransferActual[CODIGO],0),0)</f>
        <v>0</v>
      </c>
    </row>
    <row r="317" spans="1:15" x14ac:dyDescent="0.25">
      <c r="A317" s="12" t="s">
        <v>703</v>
      </c>
      <c r="B317" s="12" t="s">
        <v>704</v>
      </c>
      <c r="C317" s="12"/>
      <c r="D317" s="12" t="s">
        <v>100</v>
      </c>
      <c r="E317" s="12">
        <v>0</v>
      </c>
      <c r="F317" s="12">
        <v>0</v>
      </c>
      <c r="G317" s="12">
        <v>0</v>
      </c>
      <c r="H317" s="12">
        <v>0</v>
      </c>
      <c r="I317" s="12">
        <v>0</v>
      </c>
      <c r="J317" s="12"/>
      <c r="K317" s="12">
        <v>0</v>
      </c>
      <c r="L317" s="12">
        <v>0</v>
      </c>
      <c r="M317" s="12">
        <v>0</v>
      </c>
      <c r="N317" s="12">
        <v>0</v>
      </c>
      <c r="O317" s="13">
        <f>IFERROR(MATCH(tblTransferProveedor[[#This Row],[Codigo]],tblTransferActual[CODIGO],0),0)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3</vt:i4>
      </vt:variant>
    </vt:vector>
  </HeadingPairs>
  <TitlesOfParts>
    <vt:vector size="9" baseType="lpstr">
      <vt:lpstr>Calculo_General</vt:lpstr>
      <vt:lpstr>Filtrado_General</vt:lpstr>
      <vt:lpstr>CALCULO</vt:lpstr>
      <vt:lpstr>FILTRADO</vt:lpstr>
      <vt:lpstr>TransferActiva</vt:lpstr>
      <vt:lpstr>TransferTodos</vt:lpstr>
      <vt:lpstr>AnadeTransfer</vt:lpstr>
      <vt:lpstr>Calculo_General!INICIOTRANSFER</vt:lpstr>
      <vt:lpstr>INICIOTRANSFER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RAMCAS</cp:lastModifiedBy>
  <dcterms:created xsi:type="dcterms:W3CDTF">2010-08-14T15:06:48Z</dcterms:created>
  <dcterms:modified xsi:type="dcterms:W3CDTF">2017-10-18T17:46:43Z</dcterms:modified>
</cp:coreProperties>
</file>