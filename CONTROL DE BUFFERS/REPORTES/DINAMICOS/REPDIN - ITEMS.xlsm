
<file path=[Content_Types].xml><?xml version="1.0" encoding="utf-8"?>
<Types xmlns="http://schemas.openxmlformats.org/package/2006/content-types">
  <Override PartName="/xl/queryTables/queryTable1.xml" ContentType="application/vnd.openxmlformats-officedocument.spreadsheetml.queryTable+xml"/>
  <Default Extension="bin" ContentType="application/vnd.openxmlformats-officedocument.spreadsheetml.printerSettings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queryTables/queryTable3.xml" ContentType="application/vnd.openxmlformats-officedocument.spreadsheetml.query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codeName="ThisWorkbook" hidePivotFieldList="1" defaultThemeVersion="124226"/>
  <bookViews>
    <workbookView xWindow="240" yWindow="105" windowWidth="12240" windowHeight="9240" activeTab="1"/>
  </bookViews>
  <sheets>
    <sheet name="ITEMS_COMPLETOS" sheetId="10" r:id="rId1"/>
    <sheet name="ITEMS_CON_EXISTENCIA" sheetId="8" r:id="rId2"/>
    <sheet name="ITEMS_ACTIVOS" sheetId="6" r:id="rId3"/>
  </sheets>
  <definedNames>
    <definedName name="Consulta_desde_DatosConsolidados" localSheetId="2" hidden="1">ITEMS_ACTIVOS!$A$1:$G$2253</definedName>
    <definedName name="Consulta_desde_ODBC_MySQL_en_AGROTA" localSheetId="0" hidden="1">ITEMS_COMPLETOS!$A$1:$E$3260</definedName>
    <definedName name="Consulta_desde_ODBC_MySQL_en_AGROTA" localSheetId="1" hidden="1">ITEMS_CON_EXISTENCIA!$A$1:$G$3488</definedName>
    <definedName name="Consulta_desde_ODBC_MySQL_en_AGROTA_1" localSheetId="1" hidden="1">ITEMS_CON_EXISTENCIA!#REF!</definedName>
  </definedNames>
  <calcPr calcId="125725"/>
</workbook>
</file>

<file path=xl/calcChain.xml><?xml version="1.0" encoding="utf-8"?>
<calcChain xmlns="http://schemas.openxmlformats.org/spreadsheetml/2006/main">
  <c r="C2" i="6"/>
  <c r="C3"/>
  <c r="C4"/>
  <c r="C5"/>
  <c r="C6"/>
  <c r="C7"/>
  <c r="C8"/>
  <c r="C9"/>
  <c r="C10"/>
  <c r="C11"/>
  <c r="C12"/>
  <c r="C13"/>
  <c r="C14"/>
  <c r="C15"/>
  <c r="C16"/>
  <c r="C17"/>
  <c r="C18"/>
  <c r="C19"/>
  <c r="C20"/>
  <c r="C21"/>
  <c r="C22"/>
  <c r="C23"/>
  <c r="C24"/>
  <c r="C25"/>
  <c r="C26"/>
  <c r="C27"/>
  <c r="C28"/>
  <c r="C29"/>
  <c r="C30"/>
  <c r="C31"/>
  <c r="C32"/>
  <c r="C33"/>
  <c r="C34"/>
  <c r="C35"/>
  <c r="C36"/>
  <c r="C37"/>
  <c r="C38"/>
  <c r="C39"/>
  <c r="C40"/>
  <c r="C41"/>
  <c r="C42"/>
  <c r="C43"/>
  <c r="C44"/>
  <c r="C45"/>
  <c r="C46"/>
  <c r="C47"/>
  <c r="C48"/>
  <c r="C49"/>
  <c r="C50"/>
  <c r="C51"/>
  <c r="C52"/>
  <c r="C53"/>
  <c r="C54"/>
  <c r="C55"/>
  <c r="C56"/>
  <c r="C57"/>
  <c r="C58"/>
  <c r="C59"/>
  <c r="C60"/>
  <c r="C61"/>
  <c r="C62"/>
  <c r="C63"/>
  <c r="C64"/>
  <c r="C65"/>
  <c r="C66"/>
  <c r="C67"/>
  <c r="C68"/>
  <c r="C69"/>
  <c r="C70"/>
  <c r="C71"/>
  <c r="C72"/>
  <c r="C73"/>
  <c r="C74"/>
  <c r="C75"/>
  <c r="C76"/>
  <c r="C77"/>
  <c r="C78"/>
  <c r="C79"/>
  <c r="C80"/>
  <c r="C81"/>
  <c r="C82"/>
  <c r="C83"/>
  <c r="C84"/>
  <c r="C85"/>
  <c r="C86"/>
  <c r="C87"/>
  <c r="C88"/>
  <c r="C89"/>
  <c r="C90"/>
  <c r="C91"/>
  <c r="C92"/>
  <c r="C93"/>
  <c r="C94"/>
  <c r="C95"/>
  <c r="C96"/>
  <c r="C97"/>
  <c r="C98"/>
  <c r="C99"/>
  <c r="C100"/>
  <c r="C101"/>
  <c r="C102"/>
  <c r="C103"/>
  <c r="C104"/>
  <c r="C105"/>
  <c r="C106"/>
  <c r="C107"/>
  <c r="C108"/>
  <c r="C109"/>
  <c r="C110"/>
  <c r="C111"/>
  <c r="C112"/>
  <c r="C113"/>
  <c r="C114"/>
  <c r="C115"/>
  <c r="C116"/>
  <c r="C117"/>
  <c r="C118"/>
  <c r="C119"/>
  <c r="C120"/>
  <c r="C121"/>
  <c r="C122"/>
  <c r="C123"/>
  <c r="C124"/>
  <c r="C125"/>
  <c r="C126"/>
  <c r="C127"/>
  <c r="C128"/>
  <c r="C129"/>
  <c r="C130"/>
  <c r="C131"/>
  <c r="C132"/>
  <c r="C133"/>
  <c r="C134"/>
  <c r="C135"/>
  <c r="C136"/>
  <c r="C137"/>
  <c r="C138"/>
  <c r="C139"/>
  <c r="C140"/>
  <c r="C141"/>
  <c r="C142"/>
  <c r="C143"/>
  <c r="C144"/>
  <c r="C145"/>
  <c r="C146"/>
  <c r="C147"/>
  <c r="C148"/>
  <c r="C149"/>
  <c r="C150"/>
  <c r="C151"/>
  <c r="C152"/>
  <c r="C153"/>
  <c r="C154"/>
  <c r="C155"/>
  <c r="C156"/>
  <c r="C157"/>
  <c r="C158"/>
  <c r="C159"/>
  <c r="C160"/>
  <c r="C161"/>
  <c r="C162"/>
  <c r="C163"/>
  <c r="C164"/>
  <c r="C165"/>
  <c r="C166"/>
  <c r="C167"/>
  <c r="C168"/>
  <c r="C169"/>
  <c r="C170"/>
  <c r="C171"/>
  <c r="C172"/>
  <c r="C173"/>
  <c r="C174"/>
  <c r="C175"/>
  <c r="C176"/>
  <c r="C177"/>
  <c r="C178"/>
  <c r="C179"/>
  <c r="C180"/>
  <c r="C181"/>
  <c r="C182"/>
  <c r="C183"/>
  <c r="C184"/>
  <c r="C185"/>
  <c r="C186"/>
  <c r="C187"/>
  <c r="C188"/>
  <c r="C189"/>
  <c r="C190"/>
  <c r="C191"/>
  <c r="C192"/>
  <c r="C193"/>
  <c r="C194"/>
  <c r="C195"/>
  <c r="C196"/>
  <c r="C197"/>
  <c r="C198"/>
  <c r="C199"/>
  <c r="C200"/>
  <c r="C201"/>
  <c r="C202"/>
  <c r="C203"/>
  <c r="C204"/>
  <c r="C205"/>
  <c r="C206"/>
  <c r="C207"/>
  <c r="C208"/>
  <c r="C209"/>
  <c r="C210"/>
  <c r="C211"/>
  <c r="C212"/>
  <c r="C213"/>
  <c r="C214"/>
  <c r="C215"/>
  <c r="C216"/>
  <c r="C217"/>
  <c r="C218"/>
  <c r="C219"/>
  <c r="C220"/>
  <c r="C221"/>
  <c r="C222"/>
  <c r="C223"/>
  <c r="C224"/>
  <c r="C225"/>
  <c r="C226"/>
  <c r="C227"/>
  <c r="C228"/>
  <c r="C229"/>
  <c r="C230"/>
  <c r="C231"/>
  <c r="C232"/>
  <c r="C233"/>
  <c r="C234"/>
  <c r="C235"/>
  <c r="C236"/>
  <c r="C237"/>
  <c r="C238"/>
  <c r="C239"/>
  <c r="C240"/>
  <c r="C241"/>
  <c r="C242"/>
  <c r="C243"/>
  <c r="C244"/>
  <c r="C245"/>
  <c r="C246"/>
  <c r="C247"/>
  <c r="C248"/>
  <c r="C249"/>
  <c r="C250"/>
  <c r="C251"/>
  <c r="C252"/>
  <c r="C253"/>
  <c r="C254"/>
  <c r="C255"/>
  <c r="C256"/>
  <c r="C257"/>
  <c r="C258"/>
  <c r="C259"/>
  <c r="C260"/>
  <c r="C261"/>
  <c r="C262"/>
  <c r="C263"/>
  <c r="C264"/>
  <c r="C265"/>
  <c r="C266"/>
  <c r="C267"/>
  <c r="C268"/>
  <c r="C269"/>
  <c r="C270"/>
  <c r="C271"/>
  <c r="C272"/>
  <c r="C273"/>
  <c r="C274"/>
  <c r="C275"/>
  <c r="C276"/>
  <c r="C277"/>
  <c r="C278"/>
  <c r="C279"/>
  <c r="C280"/>
  <c r="C281"/>
  <c r="C282"/>
  <c r="C283"/>
  <c r="C284"/>
  <c r="C285"/>
  <c r="C286"/>
  <c r="C287"/>
  <c r="C288"/>
  <c r="C289"/>
  <c r="C290"/>
  <c r="C291"/>
  <c r="C292"/>
  <c r="C293"/>
  <c r="C294"/>
  <c r="C295"/>
  <c r="C296"/>
  <c r="C297"/>
  <c r="C298"/>
  <c r="C299"/>
  <c r="C300"/>
  <c r="C301"/>
  <c r="C302"/>
  <c r="C303"/>
  <c r="C304"/>
  <c r="C305"/>
  <c r="C306"/>
  <c r="C307"/>
  <c r="C308"/>
  <c r="C309"/>
  <c r="C310"/>
  <c r="C311"/>
  <c r="C312"/>
  <c r="C313"/>
  <c r="C314"/>
  <c r="C315"/>
  <c r="C316"/>
  <c r="C317"/>
  <c r="C318"/>
  <c r="C319"/>
  <c r="C320"/>
  <c r="C321"/>
  <c r="C322"/>
  <c r="C323"/>
  <c r="C324"/>
  <c r="C325"/>
  <c r="C326"/>
  <c r="C327"/>
  <c r="C328"/>
  <c r="C329"/>
  <c r="C330"/>
  <c r="C331"/>
  <c r="C332"/>
  <c r="C333"/>
  <c r="C334"/>
  <c r="C335"/>
  <c r="C336"/>
  <c r="C337"/>
  <c r="C338"/>
  <c r="C339"/>
  <c r="C340"/>
  <c r="C341"/>
  <c r="C342"/>
  <c r="C343"/>
  <c r="C344"/>
  <c r="C345"/>
  <c r="C346"/>
  <c r="C347"/>
  <c r="C348"/>
  <c r="C349"/>
  <c r="C350"/>
  <c r="C351"/>
  <c r="C352"/>
  <c r="C353"/>
  <c r="C354"/>
  <c r="C355"/>
  <c r="C356"/>
  <c r="C357"/>
  <c r="C358"/>
  <c r="C359"/>
  <c r="C360"/>
  <c r="C361"/>
  <c r="C362"/>
  <c r="C363"/>
  <c r="C364"/>
  <c r="C365"/>
  <c r="C366"/>
  <c r="C367"/>
  <c r="C368"/>
  <c r="C369"/>
  <c r="C370"/>
  <c r="C371"/>
  <c r="C372"/>
  <c r="C373"/>
  <c r="C374"/>
  <c r="C375"/>
  <c r="C376"/>
  <c r="C377"/>
  <c r="C378"/>
  <c r="C379"/>
  <c r="C380"/>
  <c r="C381"/>
  <c r="C382"/>
  <c r="C383"/>
  <c r="C384"/>
  <c r="C385"/>
  <c r="C386"/>
  <c r="C387"/>
  <c r="C388"/>
  <c r="C389"/>
  <c r="C390"/>
  <c r="C391"/>
  <c r="C392"/>
  <c r="C393"/>
  <c r="C394"/>
  <c r="C395"/>
  <c r="C396"/>
  <c r="C397"/>
  <c r="C398"/>
  <c r="C399"/>
  <c r="C400"/>
  <c r="C401"/>
  <c r="C402"/>
  <c r="C403"/>
  <c r="C404"/>
  <c r="C405"/>
  <c r="C406"/>
  <c r="C407"/>
  <c r="C408"/>
  <c r="C409"/>
  <c r="C410"/>
  <c r="C411"/>
  <c r="C412"/>
  <c r="C413"/>
  <c r="C414"/>
  <c r="C415"/>
  <c r="C416"/>
  <c r="C417"/>
  <c r="C418"/>
  <c r="C419"/>
  <c r="C420"/>
  <c r="C421"/>
  <c r="C422"/>
  <c r="C423"/>
  <c r="C424"/>
  <c r="C425"/>
  <c r="C426"/>
  <c r="C427"/>
  <c r="C428"/>
  <c r="C429"/>
  <c r="C430"/>
  <c r="C431"/>
  <c r="C432"/>
  <c r="C433"/>
  <c r="C434"/>
  <c r="C435"/>
  <c r="C436"/>
  <c r="C437"/>
  <c r="C438"/>
  <c r="C439"/>
  <c r="C440"/>
  <c r="C441"/>
  <c r="C442"/>
  <c r="C443"/>
  <c r="C444"/>
  <c r="C445"/>
  <c r="C446"/>
  <c r="C447"/>
  <c r="C448"/>
  <c r="C449"/>
  <c r="C450"/>
  <c r="C451"/>
  <c r="C452"/>
  <c r="C453"/>
  <c r="C454"/>
  <c r="C455"/>
  <c r="C456"/>
  <c r="C457"/>
  <c r="C458"/>
  <c r="C459"/>
  <c r="C460"/>
  <c r="C461"/>
  <c r="C462"/>
  <c r="C463"/>
  <c r="C464"/>
  <c r="C465"/>
  <c r="C466"/>
  <c r="C467"/>
  <c r="C468"/>
  <c r="C469"/>
  <c r="C470"/>
  <c r="C471"/>
  <c r="C472"/>
  <c r="C473"/>
  <c r="C474"/>
  <c r="C475"/>
  <c r="C476"/>
  <c r="C477"/>
  <c r="C478"/>
  <c r="C479"/>
  <c r="C480"/>
  <c r="C481"/>
  <c r="C482"/>
  <c r="C483"/>
  <c r="C484"/>
  <c r="C485"/>
  <c r="C486"/>
  <c r="C487"/>
  <c r="C488"/>
  <c r="C489"/>
  <c r="C490"/>
  <c r="C491"/>
  <c r="C492"/>
  <c r="C493"/>
  <c r="C494"/>
  <c r="C495"/>
  <c r="C496"/>
  <c r="C497"/>
  <c r="C498"/>
  <c r="C499"/>
  <c r="C500"/>
  <c r="C501"/>
  <c r="C502"/>
  <c r="C503"/>
  <c r="C504"/>
  <c r="C505"/>
  <c r="C506"/>
  <c r="C507"/>
  <c r="C508"/>
  <c r="C509"/>
  <c r="C510"/>
  <c r="C511"/>
  <c r="C512"/>
  <c r="C513"/>
  <c r="C514"/>
  <c r="C515"/>
  <c r="C516"/>
  <c r="C517"/>
  <c r="C518"/>
  <c r="C519"/>
  <c r="C520"/>
  <c r="C521"/>
  <c r="C522"/>
  <c r="C523"/>
  <c r="C524"/>
  <c r="C525"/>
  <c r="C526"/>
  <c r="C527"/>
  <c r="C528"/>
  <c r="C529"/>
  <c r="C530"/>
  <c r="C531"/>
  <c r="C532"/>
  <c r="C533"/>
  <c r="C534"/>
  <c r="C535"/>
  <c r="C536"/>
  <c r="C537"/>
  <c r="C538"/>
  <c r="C539"/>
  <c r="C540"/>
  <c r="C541"/>
  <c r="C542"/>
  <c r="C543"/>
  <c r="C544"/>
  <c r="C545"/>
  <c r="C546"/>
  <c r="C547"/>
  <c r="C548"/>
  <c r="C549"/>
  <c r="C550"/>
  <c r="C551"/>
  <c r="C552"/>
  <c r="C553"/>
  <c r="C554"/>
  <c r="C555"/>
  <c r="C556"/>
  <c r="C557"/>
  <c r="C558"/>
  <c r="C559"/>
  <c r="C560"/>
  <c r="C561"/>
  <c r="C562"/>
  <c r="C563"/>
  <c r="C564"/>
  <c r="C565"/>
  <c r="C566"/>
  <c r="C567"/>
  <c r="C568"/>
  <c r="C569"/>
  <c r="C570"/>
  <c r="C571"/>
  <c r="C572"/>
  <c r="C573"/>
  <c r="C574"/>
  <c r="C575"/>
  <c r="C576"/>
  <c r="C577"/>
  <c r="C578"/>
  <c r="C579"/>
  <c r="C580"/>
  <c r="C581"/>
  <c r="C582"/>
  <c r="C583"/>
  <c r="C584"/>
  <c r="C585"/>
  <c r="C586"/>
  <c r="C587"/>
  <c r="C588"/>
  <c r="C589"/>
  <c r="C590"/>
  <c r="C591"/>
  <c r="C592"/>
  <c r="C593"/>
  <c r="C594"/>
  <c r="C595"/>
  <c r="C596"/>
  <c r="C597"/>
  <c r="C598"/>
  <c r="C599"/>
  <c r="C600"/>
  <c r="C601"/>
  <c r="C602"/>
  <c r="C603"/>
  <c r="C604"/>
  <c r="C605"/>
  <c r="C606"/>
  <c r="C607"/>
  <c r="C608"/>
  <c r="C609"/>
  <c r="C610"/>
  <c r="C611"/>
  <c r="C612"/>
  <c r="C613"/>
  <c r="C614"/>
  <c r="C615"/>
  <c r="C616"/>
  <c r="C617"/>
  <c r="C618"/>
  <c r="C619"/>
  <c r="C620"/>
  <c r="C621"/>
  <c r="C622"/>
  <c r="C623"/>
  <c r="C624"/>
  <c r="C625"/>
  <c r="C626"/>
  <c r="C627"/>
  <c r="C628"/>
  <c r="C629"/>
  <c r="C630"/>
  <c r="C631"/>
  <c r="C632"/>
  <c r="C633"/>
  <c r="C634"/>
  <c r="C635"/>
  <c r="C636"/>
  <c r="C637"/>
  <c r="C638"/>
  <c r="C639"/>
  <c r="C640"/>
  <c r="C641"/>
  <c r="C642"/>
  <c r="C643"/>
  <c r="C644"/>
  <c r="C645"/>
  <c r="C646"/>
  <c r="C647"/>
  <c r="C648"/>
  <c r="C649"/>
  <c r="C650"/>
  <c r="C651"/>
  <c r="C652"/>
  <c r="C653"/>
  <c r="C654"/>
  <c r="C655"/>
  <c r="C656"/>
  <c r="C657"/>
  <c r="C658"/>
  <c r="C659"/>
  <c r="C660"/>
  <c r="C661"/>
  <c r="C662"/>
  <c r="C663"/>
  <c r="C664"/>
  <c r="C665"/>
  <c r="C666"/>
  <c r="C667"/>
  <c r="C668"/>
  <c r="C669"/>
  <c r="C670"/>
  <c r="C671"/>
  <c r="C672"/>
  <c r="C673"/>
  <c r="C674"/>
  <c r="C675"/>
  <c r="C676"/>
  <c r="C677"/>
  <c r="C678"/>
  <c r="C679"/>
  <c r="C680"/>
  <c r="C681"/>
  <c r="C682"/>
  <c r="C683"/>
  <c r="C684"/>
  <c r="C685"/>
  <c r="C686"/>
  <c r="C687"/>
  <c r="C688"/>
  <c r="C689"/>
  <c r="C690"/>
  <c r="C691"/>
  <c r="C692"/>
  <c r="C693"/>
  <c r="C694"/>
  <c r="C695"/>
  <c r="C696"/>
  <c r="C697"/>
  <c r="C698"/>
  <c r="C699"/>
  <c r="C700"/>
  <c r="C701"/>
  <c r="C702"/>
  <c r="C703"/>
  <c r="C704"/>
  <c r="C705"/>
  <c r="C706"/>
  <c r="C707"/>
  <c r="C708"/>
  <c r="C709"/>
  <c r="C710"/>
  <c r="C711"/>
  <c r="C712"/>
  <c r="C713"/>
  <c r="C714"/>
  <c r="C715"/>
  <c r="C716"/>
  <c r="C717"/>
  <c r="C718"/>
  <c r="C719"/>
  <c r="C720"/>
  <c r="C721"/>
  <c r="C722"/>
  <c r="C723"/>
  <c r="C724"/>
  <c r="C725"/>
  <c r="C726"/>
  <c r="C727"/>
  <c r="C728"/>
  <c r="C729"/>
  <c r="C730"/>
  <c r="C731"/>
  <c r="C732"/>
  <c r="C733"/>
  <c r="C734"/>
  <c r="C735"/>
  <c r="C736"/>
  <c r="C737"/>
  <c r="C738"/>
  <c r="C739"/>
  <c r="C740"/>
  <c r="C741"/>
  <c r="C742"/>
  <c r="C743"/>
  <c r="C744"/>
  <c r="C745"/>
  <c r="C746"/>
  <c r="C747"/>
  <c r="C748"/>
  <c r="C749"/>
  <c r="C750"/>
  <c r="C751"/>
  <c r="C752"/>
  <c r="C753"/>
  <c r="C754"/>
  <c r="C755"/>
  <c r="C756"/>
  <c r="C757"/>
  <c r="C758"/>
  <c r="C759"/>
  <c r="C760"/>
  <c r="C761"/>
  <c r="C762"/>
  <c r="C763"/>
  <c r="C764"/>
  <c r="C765"/>
  <c r="C766"/>
  <c r="C767"/>
  <c r="C768"/>
  <c r="C769"/>
  <c r="C770"/>
  <c r="C771"/>
  <c r="C772"/>
  <c r="C773"/>
  <c r="C774"/>
  <c r="C775"/>
  <c r="C776"/>
  <c r="C777"/>
  <c r="C778"/>
  <c r="C779"/>
  <c r="C780"/>
  <c r="C781"/>
  <c r="C782"/>
  <c r="C783"/>
  <c r="C784"/>
  <c r="C785"/>
  <c r="C786"/>
  <c r="C787"/>
  <c r="C788"/>
  <c r="C789"/>
  <c r="C790"/>
  <c r="C791"/>
  <c r="C792"/>
  <c r="C793"/>
  <c r="C794"/>
  <c r="C795"/>
  <c r="C796"/>
  <c r="C797"/>
  <c r="C798"/>
  <c r="C799"/>
  <c r="C800"/>
  <c r="C801"/>
  <c r="C802"/>
  <c r="C803"/>
  <c r="C804"/>
  <c r="C805"/>
  <c r="C806"/>
  <c r="C807"/>
  <c r="C808"/>
  <c r="C809"/>
  <c r="C810"/>
  <c r="C811"/>
  <c r="C812"/>
  <c r="C813"/>
  <c r="C814"/>
  <c r="C815"/>
  <c r="C816"/>
  <c r="C817"/>
  <c r="C818"/>
  <c r="C819"/>
  <c r="C820"/>
  <c r="C821"/>
  <c r="C822"/>
  <c r="C823"/>
  <c r="C824"/>
  <c r="C825"/>
  <c r="C826"/>
  <c r="C827"/>
  <c r="C828"/>
  <c r="C829"/>
  <c r="C830"/>
  <c r="C831"/>
  <c r="C832"/>
  <c r="C833"/>
  <c r="C834"/>
  <c r="C835"/>
  <c r="C836"/>
  <c r="C837"/>
  <c r="C838"/>
  <c r="C839"/>
  <c r="C840"/>
  <c r="C841"/>
  <c r="C842"/>
  <c r="C843"/>
  <c r="C844"/>
  <c r="C845"/>
  <c r="C846"/>
  <c r="C847"/>
  <c r="C848"/>
  <c r="C849"/>
  <c r="C850"/>
  <c r="C851"/>
  <c r="C852"/>
  <c r="C853"/>
  <c r="C854"/>
  <c r="C855"/>
  <c r="C856"/>
  <c r="C857"/>
  <c r="C858"/>
  <c r="C859"/>
  <c r="C860"/>
  <c r="C861"/>
  <c r="C862"/>
  <c r="C863"/>
  <c r="C864"/>
  <c r="C865"/>
  <c r="C866"/>
  <c r="C867"/>
  <c r="C868"/>
  <c r="C869"/>
  <c r="C870"/>
  <c r="C871"/>
  <c r="C872"/>
  <c r="C873"/>
  <c r="C874"/>
  <c r="C875"/>
  <c r="C876"/>
  <c r="C877"/>
  <c r="C878"/>
  <c r="C879"/>
  <c r="C880"/>
  <c r="C881"/>
  <c r="C882"/>
  <c r="C883"/>
  <c r="C884"/>
  <c r="C885"/>
  <c r="C886"/>
  <c r="C887"/>
  <c r="C888"/>
  <c r="C889"/>
  <c r="C890"/>
  <c r="C891"/>
  <c r="C892"/>
  <c r="C893"/>
  <c r="C894"/>
  <c r="C895"/>
  <c r="C896"/>
  <c r="C897"/>
  <c r="C898"/>
  <c r="C899"/>
  <c r="C900"/>
  <c r="C901"/>
  <c r="C902"/>
  <c r="C903"/>
  <c r="C904"/>
  <c r="C905"/>
  <c r="C906"/>
  <c r="C907"/>
  <c r="C908"/>
  <c r="C909"/>
  <c r="C910"/>
  <c r="C911"/>
  <c r="C912"/>
  <c r="C913"/>
  <c r="C914"/>
  <c r="C915"/>
  <c r="C916"/>
  <c r="C917"/>
  <c r="C918"/>
  <c r="C919"/>
  <c r="C920"/>
  <c r="C921"/>
  <c r="C922"/>
  <c r="C923"/>
  <c r="C924"/>
  <c r="C925"/>
  <c r="C926"/>
  <c r="C927"/>
  <c r="C928"/>
  <c r="C929"/>
  <c r="C930"/>
  <c r="C931"/>
  <c r="C932"/>
  <c r="C933"/>
  <c r="C934"/>
  <c r="C935"/>
  <c r="C936"/>
  <c r="C937"/>
  <c r="C938"/>
  <c r="C939"/>
  <c r="C940"/>
  <c r="C941"/>
  <c r="C942"/>
  <c r="C943"/>
  <c r="C944"/>
  <c r="C945"/>
  <c r="C946"/>
  <c r="C947"/>
  <c r="C948"/>
  <c r="C949"/>
  <c r="C950"/>
  <c r="C951"/>
  <c r="C952"/>
  <c r="C953"/>
  <c r="C954"/>
  <c r="C955"/>
  <c r="C956"/>
  <c r="C957"/>
  <c r="C958"/>
  <c r="C959"/>
  <c r="C960"/>
  <c r="C961"/>
  <c r="C962"/>
  <c r="C963"/>
  <c r="C964"/>
  <c r="C965"/>
  <c r="C966"/>
  <c r="C967"/>
  <c r="C968"/>
  <c r="C969"/>
  <c r="C970"/>
  <c r="C971"/>
  <c r="C972"/>
  <c r="C973"/>
  <c r="C974"/>
  <c r="C975"/>
  <c r="C976"/>
  <c r="C977"/>
  <c r="C978"/>
  <c r="C979"/>
  <c r="C980"/>
  <c r="C981"/>
  <c r="C982"/>
  <c r="C983"/>
  <c r="C984"/>
  <c r="C985"/>
  <c r="C986"/>
  <c r="C987"/>
  <c r="C988"/>
  <c r="C989"/>
  <c r="C990"/>
  <c r="C991"/>
  <c r="C992"/>
  <c r="C993"/>
  <c r="C994"/>
  <c r="C995"/>
  <c r="C996"/>
  <c r="C997"/>
  <c r="C998"/>
  <c r="C999"/>
  <c r="C1000"/>
  <c r="C1001"/>
  <c r="C1002"/>
  <c r="C1003"/>
  <c r="C1004"/>
  <c r="C1005"/>
  <c r="C1006"/>
  <c r="C1007"/>
  <c r="C1008"/>
  <c r="C1009"/>
  <c r="C1010"/>
  <c r="C1011"/>
  <c r="C1012"/>
  <c r="C1013"/>
  <c r="C1014"/>
  <c r="C1015"/>
  <c r="C1016"/>
  <c r="C1017"/>
  <c r="C1018"/>
  <c r="C1019"/>
  <c r="C1020"/>
  <c r="C1021"/>
  <c r="C1022"/>
  <c r="C1023"/>
  <c r="C1024"/>
  <c r="C1025"/>
  <c r="C1026"/>
  <c r="C1027"/>
  <c r="C1028"/>
  <c r="C1029"/>
  <c r="C1030"/>
  <c r="C1031"/>
  <c r="C1032"/>
  <c r="C1033"/>
  <c r="C1034"/>
  <c r="C1035"/>
  <c r="C1036"/>
  <c r="C1037"/>
  <c r="C1038"/>
  <c r="C1039"/>
  <c r="C1040"/>
  <c r="C1041"/>
  <c r="C1042"/>
  <c r="C1043"/>
  <c r="C1044"/>
  <c r="C1045"/>
  <c r="C1046"/>
  <c r="C1047"/>
  <c r="C1048"/>
  <c r="C1049"/>
  <c r="C1050"/>
  <c r="C1051"/>
  <c r="C1052"/>
  <c r="C1053"/>
  <c r="C1054"/>
  <c r="C1055"/>
  <c r="C1056"/>
  <c r="C1057"/>
  <c r="C1058"/>
  <c r="C1059"/>
  <c r="C1060"/>
  <c r="C1061"/>
  <c r="C1062"/>
  <c r="C1063"/>
  <c r="C1064"/>
  <c r="C1065"/>
  <c r="C1066"/>
  <c r="C1067"/>
  <c r="C1068"/>
  <c r="C1069"/>
  <c r="C1070"/>
  <c r="C1071"/>
  <c r="C1072"/>
  <c r="C1073"/>
  <c r="C1074"/>
  <c r="C1075"/>
  <c r="C1076"/>
  <c r="C1077"/>
  <c r="C1078"/>
  <c r="C1079"/>
  <c r="C1080"/>
  <c r="C1081"/>
  <c r="C1082"/>
  <c r="C1083"/>
  <c r="C1084"/>
  <c r="C1085"/>
  <c r="C1086"/>
  <c r="C1087"/>
  <c r="C1088"/>
  <c r="C1089"/>
  <c r="C1090"/>
  <c r="C1091"/>
  <c r="C1092"/>
  <c r="C1093"/>
  <c r="C1094"/>
  <c r="C1095"/>
  <c r="C1096"/>
  <c r="C1097"/>
  <c r="C1098"/>
  <c r="C1099"/>
  <c r="C1100"/>
  <c r="C1101"/>
  <c r="C1102"/>
  <c r="C1103"/>
  <c r="C1104"/>
  <c r="C1105"/>
  <c r="C1106"/>
  <c r="C1107"/>
  <c r="C1108"/>
  <c r="C1109"/>
  <c r="C1110"/>
  <c r="C1111"/>
  <c r="C1112"/>
  <c r="C1113"/>
  <c r="C1114"/>
  <c r="C1115"/>
  <c r="C1116"/>
  <c r="C1117"/>
  <c r="C1118"/>
  <c r="C1119"/>
  <c r="C1120"/>
  <c r="C1121"/>
  <c r="C1122"/>
  <c r="C1123"/>
  <c r="C1124"/>
  <c r="C1125"/>
  <c r="C1126"/>
  <c r="C1127"/>
  <c r="C1128"/>
  <c r="C1129"/>
  <c r="C1130"/>
  <c r="C1131"/>
  <c r="C1132"/>
  <c r="C1133"/>
  <c r="C1134"/>
  <c r="C1135"/>
  <c r="C1136"/>
  <c r="C1137"/>
  <c r="C1138"/>
  <c r="C1139"/>
  <c r="C1140"/>
  <c r="C1141"/>
  <c r="C1142"/>
  <c r="C1143"/>
  <c r="C1144"/>
  <c r="C1145"/>
  <c r="C1146"/>
  <c r="C1147"/>
  <c r="C1148"/>
  <c r="C1149"/>
  <c r="C1150"/>
  <c r="C1151"/>
  <c r="C1152"/>
  <c r="C1153"/>
  <c r="C1154"/>
  <c r="C1155"/>
  <c r="C1156"/>
  <c r="C1157"/>
  <c r="C1158"/>
  <c r="C1159"/>
  <c r="C1160"/>
  <c r="C1161"/>
  <c r="C1162"/>
  <c r="C1163"/>
  <c r="C1164"/>
  <c r="C1165"/>
  <c r="C1166"/>
  <c r="C1167"/>
  <c r="C1168"/>
  <c r="C1169"/>
  <c r="C1170"/>
  <c r="C1171"/>
  <c r="C1172"/>
  <c r="C1173"/>
  <c r="C1174"/>
  <c r="C1175"/>
  <c r="C1176"/>
  <c r="C1177"/>
  <c r="C1178"/>
  <c r="C1179"/>
  <c r="C1180"/>
  <c r="C1181"/>
  <c r="C1182"/>
  <c r="C1183"/>
  <c r="C1184"/>
  <c r="C1185"/>
  <c r="C1186"/>
  <c r="C1187"/>
  <c r="C1188"/>
  <c r="C1189"/>
  <c r="C1190"/>
  <c r="C1191"/>
  <c r="C1192"/>
  <c r="C1193"/>
  <c r="C1194"/>
  <c r="C1195"/>
  <c r="C1196"/>
  <c r="C1197"/>
  <c r="C1198"/>
  <c r="C1199"/>
  <c r="C1200"/>
  <c r="C1201"/>
  <c r="C1202"/>
  <c r="C1203"/>
  <c r="C1204"/>
  <c r="C1205"/>
  <c r="C1206"/>
  <c r="C1207"/>
  <c r="C1208"/>
  <c r="C1209"/>
  <c r="C1210"/>
  <c r="C1211"/>
  <c r="C1212"/>
  <c r="C1213"/>
  <c r="C1214"/>
  <c r="C1215"/>
  <c r="C1216"/>
  <c r="C1217"/>
  <c r="C1218"/>
  <c r="C1219"/>
  <c r="C1220"/>
  <c r="C1221"/>
  <c r="C1222"/>
  <c r="C1223"/>
  <c r="C1224"/>
  <c r="C1225"/>
  <c r="C1226"/>
  <c r="C1227"/>
  <c r="C1228"/>
  <c r="C1229"/>
  <c r="C1230"/>
  <c r="C1231"/>
  <c r="C1232"/>
  <c r="C1233"/>
  <c r="C1234"/>
  <c r="C1235"/>
  <c r="C1236"/>
  <c r="C1237"/>
  <c r="C1238"/>
  <c r="C1239"/>
  <c r="C1240"/>
  <c r="C1241"/>
  <c r="C1242"/>
  <c r="C1243"/>
  <c r="C1244"/>
  <c r="C1245"/>
  <c r="C1246"/>
  <c r="C1247"/>
  <c r="C1248"/>
  <c r="C1249"/>
  <c r="C1250"/>
  <c r="C1251"/>
  <c r="C1252"/>
  <c r="C1253"/>
  <c r="C1254"/>
  <c r="C1255"/>
  <c r="C1256"/>
  <c r="C1257"/>
  <c r="C1258"/>
  <c r="C1259"/>
  <c r="C1260"/>
  <c r="C1261"/>
  <c r="C1262"/>
  <c r="C1263"/>
  <c r="C1264"/>
  <c r="C1265"/>
  <c r="C1266"/>
  <c r="C1267"/>
  <c r="C1268"/>
  <c r="C1269"/>
  <c r="C1270"/>
  <c r="C1271"/>
  <c r="C1272"/>
  <c r="C1273"/>
  <c r="C1274"/>
  <c r="C1275"/>
  <c r="C1276"/>
  <c r="C1277"/>
  <c r="C1278"/>
  <c r="C1279"/>
  <c r="C1280"/>
  <c r="C1281"/>
  <c r="C1282"/>
  <c r="C1283"/>
  <c r="C1284"/>
  <c r="C1285"/>
  <c r="C1286"/>
  <c r="C1287"/>
  <c r="C1288"/>
  <c r="C1289"/>
  <c r="C1290"/>
  <c r="C1291"/>
  <c r="C1292"/>
  <c r="C1293"/>
  <c r="C1294"/>
  <c r="C1295"/>
  <c r="C1296"/>
  <c r="C1297"/>
  <c r="C1298"/>
  <c r="C1299"/>
  <c r="C1300"/>
  <c r="C1301"/>
  <c r="C1302"/>
  <c r="C1303"/>
  <c r="C1304"/>
  <c r="C1305"/>
  <c r="C1306"/>
  <c r="C1307"/>
  <c r="C1308"/>
  <c r="C1309"/>
  <c r="C1310"/>
  <c r="C1311"/>
  <c r="C1312"/>
  <c r="C1313"/>
  <c r="C1314"/>
  <c r="C1315"/>
  <c r="C1316"/>
  <c r="C1317"/>
  <c r="C1318"/>
  <c r="C1319"/>
  <c r="C1320"/>
  <c r="C1321"/>
  <c r="C1322"/>
  <c r="C1323"/>
  <c r="C1324"/>
  <c r="C1325"/>
  <c r="C1326"/>
  <c r="C1327"/>
  <c r="C1328"/>
  <c r="C1329"/>
  <c r="C1330"/>
  <c r="C1331"/>
  <c r="C1332"/>
  <c r="C1333"/>
  <c r="C1334"/>
  <c r="C1335"/>
  <c r="C1336"/>
  <c r="C1337"/>
  <c r="C1338"/>
  <c r="C1339"/>
  <c r="C1340"/>
  <c r="C1341"/>
  <c r="C1342"/>
  <c r="C1343"/>
  <c r="C1344"/>
  <c r="C1345"/>
  <c r="C1346"/>
  <c r="C1347"/>
  <c r="C1348"/>
  <c r="C1349"/>
  <c r="C1350"/>
  <c r="C1351"/>
  <c r="C1352"/>
  <c r="C1353"/>
  <c r="C1354"/>
  <c r="C1355"/>
  <c r="C1356"/>
  <c r="C1357"/>
  <c r="C1358"/>
  <c r="C1359"/>
  <c r="C1360"/>
  <c r="C1361"/>
  <c r="C1362"/>
  <c r="C1363"/>
  <c r="C1364"/>
  <c r="C1365"/>
  <c r="C1366"/>
  <c r="C1367"/>
  <c r="C1368"/>
  <c r="C1369"/>
  <c r="C1370"/>
  <c r="C1371"/>
  <c r="C1372"/>
  <c r="C1373"/>
  <c r="C1374"/>
  <c r="C1375"/>
  <c r="C1376"/>
  <c r="C1377"/>
  <c r="C1378"/>
  <c r="C1379"/>
  <c r="C1380"/>
  <c r="C1381"/>
  <c r="C1382"/>
  <c r="C1383"/>
  <c r="C1384"/>
  <c r="C1385"/>
  <c r="C1386"/>
  <c r="C1387"/>
  <c r="C1388"/>
  <c r="C1389"/>
  <c r="C1390"/>
  <c r="C1391"/>
  <c r="C1392"/>
  <c r="C1393"/>
  <c r="C1394"/>
  <c r="C1395"/>
  <c r="C1396"/>
  <c r="C1397"/>
  <c r="C1398"/>
  <c r="C1399"/>
  <c r="C1400"/>
  <c r="C1401"/>
  <c r="C1402"/>
  <c r="C1403"/>
  <c r="C1404"/>
  <c r="C1405"/>
  <c r="C1406"/>
  <c r="C1407"/>
  <c r="C1408"/>
  <c r="C1409"/>
  <c r="C1410"/>
  <c r="C1411"/>
  <c r="C1412"/>
  <c r="C1413"/>
  <c r="C1414"/>
  <c r="C1415"/>
  <c r="C1416"/>
  <c r="C1417"/>
  <c r="C1418"/>
  <c r="C1419"/>
  <c r="C1420"/>
  <c r="C1421"/>
  <c r="C1422"/>
  <c r="C1423"/>
  <c r="C1424"/>
  <c r="C1425"/>
  <c r="C1426"/>
  <c r="C1427"/>
  <c r="C1428"/>
  <c r="C1429"/>
  <c r="C1430"/>
  <c r="C1431"/>
  <c r="C1432"/>
  <c r="C1433"/>
  <c r="C1434"/>
  <c r="C1435"/>
  <c r="C1436"/>
  <c r="C1437"/>
  <c r="C1438"/>
  <c r="C1439"/>
  <c r="C1440"/>
  <c r="C1441"/>
  <c r="C1442"/>
  <c r="C1443"/>
  <c r="C1444"/>
  <c r="C1445"/>
  <c r="C1446"/>
  <c r="C1447"/>
  <c r="C1448"/>
  <c r="C1449"/>
  <c r="C1450"/>
  <c r="C1451"/>
  <c r="C1452"/>
  <c r="C1453"/>
  <c r="C1454"/>
  <c r="C1455"/>
  <c r="C1456"/>
  <c r="C1457"/>
  <c r="C1458"/>
  <c r="C1459"/>
  <c r="C1460"/>
  <c r="C1461"/>
  <c r="C1462"/>
  <c r="C1463"/>
  <c r="C1464"/>
  <c r="C1465"/>
  <c r="C1466"/>
  <c r="C1467"/>
  <c r="C1468"/>
  <c r="C1469"/>
  <c r="C1470"/>
  <c r="C1471"/>
  <c r="C1472"/>
  <c r="C1473"/>
  <c r="C1474"/>
  <c r="C1475"/>
  <c r="C1476"/>
  <c r="C1477"/>
  <c r="C1478"/>
  <c r="C1479"/>
  <c r="C1480"/>
  <c r="C1481"/>
  <c r="C1482"/>
  <c r="C1483"/>
  <c r="C1484"/>
  <c r="C1485"/>
  <c r="C1486"/>
  <c r="C1487"/>
  <c r="C1488"/>
  <c r="C1489"/>
  <c r="C1490"/>
  <c r="C1491"/>
  <c r="C1492"/>
  <c r="C1493"/>
  <c r="C1494"/>
  <c r="C1495"/>
  <c r="C1496"/>
  <c r="C1497"/>
  <c r="C1498"/>
  <c r="C1499"/>
  <c r="C1500"/>
  <c r="C1501"/>
  <c r="C1502"/>
  <c r="C1503"/>
  <c r="C1504"/>
  <c r="C1505"/>
  <c r="C1506"/>
  <c r="C1507"/>
  <c r="C1508"/>
  <c r="C1509"/>
  <c r="C1510"/>
  <c r="C1511"/>
  <c r="C1512"/>
  <c r="C1513"/>
  <c r="C1514"/>
  <c r="C1515"/>
  <c r="C1516"/>
  <c r="C1517"/>
  <c r="C1518"/>
  <c r="C1519"/>
  <c r="C1520"/>
  <c r="C1521"/>
  <c r="C1522"/>
  <c r="C1523"/>
  <c r="C1524"/>
  <c r="C1525"/>
  <c r="C1526"/>
  <c r="C1527"/>
  <c r="C1528"/>
  <c r="C1529"/>
  <c r="C1530"/>
  <c r="C1531"/>
  <c r="C1532"/>
  <c r="C1533"/>
  <c r="C1534"/>
  <c r="C1535"/>
  <c r="C1536"/>
  <c r="C1537"/>
  <c r="C1538"/>
  <c r="C1539"/>
  <c r="C1540"/>
  <c r="C1541"/>
  <c r="C1542"/>
  <c r="C1543"/>
  <c r="C1544"/>
  <c r="C1545"/>
  <c r="C1546"/>
  <c r="C1547"/>
  <c r="C1548"/>
  <c r="C1549"/>
  <c r="C1550"/>
  <c r="C1551"/>
  <c r="C1552"/>
  <c r="C1553"/>
  <c r="C1554"/>
  <c r="C1555"/>
  <c r="C1556"/>
  <c r="C1557"/>
  <c r="C1558"/>
  <c r="C1559"/>
  <c r="C1560"/>
  <c r="C1561"/>
  <c r="C1562"/>
  <c r="C1563"/>
  <c r="C1564"/>
  <c r="C1565"/>
  <c r="C1566"/>
  <c r="C1567"/>
  <c r="C1568"/>
  <c r="C1569"/>
  <c r="C1570"/>
  <c r="C1571"/>
  <c r="C1572"/>
  <c r="C1573"/>
  <c r="C1574"/>
  <c r="C1575"/>
  <c r="C1576"/>
  <c r="C1577"/>
  <c r="C1578"/>
  <c r="C1579"/>
  <c r="C1580"/>
  <c r="C1581"/>
  <c r="C1582"/>
  <c r="C1583"/>
  <c r="C1584"/>
  <c r="C1585"/>
  <c r="C1586"/>
  <c r="C1587"/>
  <c r="C1588"/>
  <c r="C1589"/>
  <c r="C1590"/>
  <c r="C1591"/>
  <c r="C1592"/>
  <c r="C1593"/>
  <c r="C1594"/>
  <c r="C1595"/>
  <c r="C1596"/>
  <c r="C1597"/>
  <c r="C1598"/>
  <c r="C1599"/>
  <c r="C1600"/>
  <c r="C1601"/>
  <c r="C1602"/>
  <c r="C1603"/>
  <c r="C1604"/>
  <c r="C1605"/>
  <c r="C1606"/>
  <c r="C1607"/>
  <c r="C1608"/>
  <c r="C1609"/>
  <c r="C1610"/>
  <c r="C1611"/>
  <c r="C1612"/>
  <c r="C1613"/>
  <c r="C1614"/>
  <c r="C1615"/>
  <c r="C1616"/>
  <c r="C1617"/>
  <c r="C1618"/>
  <c r="C1619"/>
  <c r="C1620"/>
  <c r="C1621"/>
  <c r="C1622"/>
  <c r="C1623"/>
  <c r="C1624"/>
  <c r="C1625"/>
  <c r="C1626"/>
  <c r="C1627"/>
  <c r="C1628"/>
  <c r="C1629"/>
  <c r="C1630"/>
  <c r="C1631"/>
  <c r="C1632"/>
  <c r="C1633"/>
  <c r="C1634"/>
  <c r="C1635"/>
  <c r="C1636"/>
  <c r="C1637"/>
  <c r="C1638"/>
  <c r="C1639"/>
  <c r="C1640"/>
  <c r="C1641"/>
  <c r="C1642"/>
  <c r="C1643"/>
  <c r="C1644"/>
  <c r="C1645"/>
  <c r="C1646"/>
  <c r="C1647"/>
  <c r="C1648"/>
  <c r="C1649"/>
  <c r="C1650"/>
  <c r="C1651"/>
  <c r="C1652"/>
  <c r="C1653"/>
  <c r="C1654"/>
  <c r="C1655"/>
  <c r="C1656"/>
  <c r="C1657"/>
  <c r="C1658"/>
  <c r="C1659"/>
  <c r="C1660"/>
  <c r="C1661"/>
  <c r="C1662"/>
  <c r="C1663"/>
  <c r="C1664"/>
  <c r="C1665"/>
  <c r="C1666"/>
  <c r="C1667"/>
  <c r="C1668"/>
  <c r="C1669"/>
  <c r="C1670"/>
  <c r="C1671"/>
  <c r="C1672"/>
  <c r="C1673"/>
  <c r="C1674"/>
  <c r="C1675"/>
  <c r="C1676"/>
  <c r="C1677"/>
  <c r="C1678"/>
  <c r="C1679"/>
  <c r="C1680"/>
  <c r="C1681"/>
  <c r="C1682"/>
  <c r="C1683"/>
  <c r="C1684"/>
  <c r="C1685"/>
  <c r="C1686"/>
  <c r="C1687"/>
  <c r="C1688"/>
  <c r="C1689"/>
  <c r="C1690"/>
  <c r="C1691"/>
  <c r="C1692"/>
  <c r="C1693"/>
  <c r="C1694"/>
  <c r="C1695"/>
  <c r="C1696"/>
  <c r="C1697"/>
  <c r="C1698"/>
  <c r="C1699"/>
  <c r="C1700"/>
  <c r="C1701"/>
  <c r="C1702"/>
  <c r="C1703"/>
  <c r="C1704"/>
  <c r="C1705"/>
  <c r="C1706"/>
  <c r="C1707"/>
  <c r="C1708"/>
  <c r="C1709"/>
  <c r="C1710"/>
  <c r="C1711"/>
  <c r="C1712"/>
  <c r="C1713"/>
  <c r="C1714"/>
  <c r="C1715"/>
  <c r="C1716"/>
  <c r="C1717"/>
  <c r="C1718"/>
  <c r="C1719"/>
  <c r="C1720"/>
  <c r="C1721"/>
  <c r="C1722"/>
  <c r="C1723"/>
  <c r="C1724"/>
  <c r="C1725"/>
  <c r="C1726"/>
  <c r="C1727"/>
  <c r="C1728"/>
  <c r="C1729"/>
  <c r="C1730"/>
  <c r="C1731"/>
  <c r="C1732"/>
  <c r="C1733"/>
  <c r="C1734"/>
  <c r="C1735"/>
  <c r="C1736"/>
  <c r="C1737"/>
  <c r="C1738"/>
  <c r="C1739"/>
  <c r="C1740"/>
  <c r="C1741"/>
  <c r="C1742"/>
  <c r="C1743"/>
  <c r="C1744"/>
  <c r="C1745"/>
  <c r="C1746"/>
  <c r="C1747"/>
  <c r="C1748"/>
  <c r="C1749"/>
  <c r="C1750"/>
  <c r="C1751"/>
  <c r="C1752"/>
  <c r="C1753"/>
  <c r="C1754"/>
  <c r="C1755"/>
  <c r="C1756"/>
  <c r="C1757"/>
  <c r="C1758"/>
  <c r="C1759"/>
  <c r="C1760"/>
  <c r="C1761"/>
  <c r="C1762"/>
  <c r="C1763"/>
  <c r="C1764"/>
  <c r="C1765"/>
  <c r="C1766"/>
  <c r="C1767"/>
  <c r="C1768"/>
  <c r="C1769"/>
  <c r="C1770"/>
  <c r="C1771"/>
  <c r="C1772"/>
  <c r="C1773"/>
  <c r="C1774"/>
  <c r="C1775"/>
  <c r="C1776"/>
  <c r="C1777"/>
  <c r="C1778"/>
  <c r="C1779"/>
  <c r="C1780"/>
  <c r="C1781"/>
  <c r="C1782"/>
  <c r="C1783"/>
  <c r="C1784"/>
  <c r="C1785"/>
  <c r="C1786"/>
  <c r="C1787"/>
  <c r="C1788"/>
  <c r="C1789"/>
  <c r="C1790"/>
  <c r="C1791"/>
  <c r="C1792"/>
  <c r="C1793"/>
  <c r="C1794"/>
  <c r="C1795"/>
  <c r="C1796"/>
  <c r="C1797"/>
  <c r="C1798"/>
  <c r="C1799"/>
  <c r="C1800"/>
  <c r="C1801"/>
  <c r="C1802"/>
  <c r="C1803"/>
  <c r="C1804"/>
  <c r="C1805"/>
  <c r="C1806"/>
  <c r="C1807"/>
  <c r="C1808"/>
  <c r="C1809"/>
  <c r="C1810"/>
  <c r="C1811"/>
  <c r="C1812"/>
  <c r="C1813"/>
  <c r="C1814"/>
  <c r="C1815"/>
  <c r="C1816"/>
  <c r="C1817"/>
  <c r="C1818"/>
  <c r="C1819"/>
  <c r="C1820"/>
  <c r="C1821"/>
  <c r="C1822"/>
  <c r="C1823"/>
  <c r="C1824"/>
  <c r="C1825"/>
  <c r="C1826"/>
  <c r="C1827"/>
  <c r="C1828"/>
  <c r="C1829"/>
  <c r="C1830"/>
  <c r="C1831"/>
  <c r="C1832"/>
  <c r="C1833"/>
  <c r="C1834"/>
  <c r="C1835"/>
  <c r="C1836"/>
  <c r="C1837"/>
  <c r="C1838"/>
  <c r="C1839"/>
  <c r="C1840"/>
  <c r="C1841"/>
  <c r="C1842"/>
  <c r="C1843"/>
  <c r="C1844"/>
  <c r="C1845"/>
  <c r="C1846"/>
  <c r="C1847"/>
  <c r="C1848"/>
  <c r="C1849"/>
  <c r="C1850"/>
  <c r="C1851"/>
  <c r="C1852"/>
  <c r="C1853"/>
  <c r="C1854"/>
  <c r="C1855"/>
  <c r="C1856"/>
  <c r="C1857"/>
  <c r="C1858"/>
  <c r="C1859"/>
  <c r="C1860"/>
  <c r="C1861"/>
  <c r="C1862"/>
  <c r="C1863"/>
  <c r="C1864"/>
  <c r="C1865"/>
  <c r="C1866"/>
  <c r="C1867"/>
  <c r="C1868"/>
  <c r="C1869"/>
  <c r="C1870"/>
  <c r="C1871"/>
  <c r="C1872"/>
  <c r="C1873"/>
  <c r="C1874"/>
  <c r="C1875"/>
  <c r="C1876"/>
  <c r="C1877"/>
  <c r="C1878"/>
  <c r="C1879"/>
  <c r="C1880"/>
  <c r="C1881"/>
  <c r="C1882"/>
  <c r="C1883"/>
  <c r="C1884"/>
  <c r="C1885"/>
  <c r="C1886"/>
  <c r="C1887"/>
  <c r="C1888"/>
  <c r="C1889"/>
  <c r="C1890"/>
  <c r="C1891"/>
  <c r="C1892"/>
  <c r="C1893"/>
  <c r="C1894"/>
  <c r="C1895"/>
  <c r="C1896"/>
  <c r="C1897"/>
  <c r="C1898"/>
  <c r="C1899"/>
  <c r="C1900"/>
  <c r="C1901"/>
  <c r="C1902"/>
  <c r="C1903"/>
  <c r="C1904"/>
  <c r="C1905"/>
  <c r="C1906"/>
  <c r="C1907"/>
  <c r="C1908"/>
  <c r="C1909"/>
  <c r="C1910"/>
  <c r="C1911"/>
  <c r="C1912"/>
  <c r="C1913"/>
  <c r="C1914"/>
  <c r="C1915"/>
  <c r="C1916"/>
  <c r="C1917"/>
  <c r="C1918"/>
  <c r="C1919"/>
  <c r="C1920"/>
  <c r="C1921"/>
  <c r="C1922"/>
  <c r="C1923"/>
  <c r="C1924"/>
  <c r="C1925"/>
  <c r="C1926"/>
  <c r="C1927"/>
  <c r="C1928"/>
  <c r="C1929"/>
  <c r="C1930"/>
  <c r="C1931"/>
  <c r="C1932"/>
  <c r="C1933"/>
  <c r="C1934"/>
  <c r="C1935"/>
  <c r="C1936"/>
  <c r="C1937"/>
  <c r="C1938"/>
  <c r="C1939"/>
  <c r="C1940"/>
  <c r="C1941"/>
  <c r="C1942"/>
  <c r="C1943"/>
  <c r="C1944"/>
  <c r="C1945"/>
  <c r="C1946"/>
  <c r="C1947"/>
  <c r="C1948"/>
  <c r="C1949"/>
  <c r="C1950"/>
  <c r="C1951"/>
  <c r="C1952"/>
  <c r="C1953"/>
  <c r="C1954"/>
  <c r="C1955"/>
  <c r="C1956"/>
  <c r="C1957"/>
  <c r="C1958"/>
  <c r="C1959"/>
  <c r="C1960"/>
  <c r="C1961"/>
  <c r="C1962"/>
  <c r="C1963"/>
  <c r="C1964"/>
  <c r="C1965"/>
  <c r="C1966"/>
  <c r="C1967"/>
  <c r="C1968"/>
  <c r="C1969"/>
  <c r="C1970"/>
  <c r="C1971"/>
  <c r="C1972"/>
  <c r="C1973"/>
  <c r="C1974"/>
  <c r="C1975"/>
  <c r="C1976"/>
  <c r="C1977"/>
  <c r="C1978"/>
  <c r="C1979"/>
  <c r="C1980"/>
  <c r="C1981"/>
  <c r="C1982"/>
  <c r="C1983"/>
  <c r="C1984"/>
  <c r="C1985"/>
  <c r="C1986"/>
  <c r="C1987"/>
  <c r="C1988"/>
  <c r="C1989"/>
  <c r="C1990"/>
  <c r="C1991"/>
  <c r="C1992"/>
  <c r="C1993"/>
  <c r="C1994"/>
  <c r="C1995"/>
  <c r="C1996"/>
  <c r="C1997"/>
  <c r="C1998"/>
  <c r="C1999"/>
  <c r="C2000"/>
  <c r="C2001"/>
  <c r="C2002"/>
  <c r="C2003"/>
  <c r="C2004"/>
  <c r="C2005"/>
  <c r="C2006"/>
  <c r="C2007"/>
  <c r="C2008"/>
  <c r="C2009"/>
  <c r="C2010"/>
  <c r="C2011"/>
  <c r="C2012"/>
  <c r="C2013"/>
  <c r="C2014"/>
  <c r="C2015"/>
  <c r="C2016"/>
  <c r="C2017"/>
  <c r="C2018"/>
  <c r="C2019"/>
  <c r="C2020"/>
  <c r="C2021"/>
  <c r="C2022"/>
  <c r="C2023"/>
  <c r="C2024"/>
  <c r="C2025"/>
  <c r="C2026"/>
  <c r="C2027"/>
  <c r="C2028"/>
  <c r="C2029"/>
  <c r="C2030"/>
  <c r="C2031"/>
  <c r="C2032"/>
  <c r="C2033"/>
  <c r="C2034"/>
  <c r="C2035"/>
  <c r="C2036"/>
  <c r="C2037"/>
  <c r="C2038"/>
  <c r="C2039"/>
  <c r="C2040"/>
  <c r="C2041"/>
  <c r="C2042"/>
  <c r="C2043"/>
  <c r="C2044"/>
  <c r="C2045"/>
  <c r="C2046"/>
  <c r="C2047"/>
  <c r="C2048"/>
  <c r="C2049"/>
  <c r="C2050"/>
  <c r="C2051"/>
  <c r="C2052"/>
  <c r="C2053"/>
  <c r="C2054"/>
  <c r="C2055"/>
  <c r="C2056"/>
  <c r="C2057"/>
  <c r="C2058"/>
  <c r="C2059"/>
  <c r="C2060"/>
  <c r="C2061"/>
  <c r="C2062"/>
  <c r="C2063"/>
  <c r="C2064"/>
  <c r="C2065"/>
  <c r="C2066"/>
  <c r="C2067"/>
  <c r="C2068"/>
  <c r="C2069"/>
  <c r="C2070"/>
  <c r="C2071"/>
  <c r="C2072"/>
  <c r="C2073"/>
  <c r="C2074"/>
  <c r="C2075"/>
  <c r="C2076"/>
  <c r="C2077"/>
  <c r="C2078"/>
  <c r="C2079"/>
  <c r="C2080"/>
  <c r="C2081"/>
  <c r="C2082"/>
  <c r="C2083"/>
  <c r="C2084"/>
  <c r="C2085"/>
  <c r="C2086"/>
  <c r="C2087"/>
  <c r="C2088"/>
  <c r="C2089"/>
  <c r="C2090"/>
  <c r="C2091"/>
  <c r="C2092"/>
  <c r="C2093"/>
  <c r="C2094"/>
  <c r="C2095"/>
  <c r="C2096"/>
  <c r="C2097"/>
  <c r="C2098"/>
  <c r="C2099"/>
  <c r="C2100"/>
  <c r="C2101"/>
  <c r="C2102"/>
  <c r="C2103"/>
  <c r="C2104"/>
  <c r="C2105"/>
  <c r="C2106"/>
  <c r="C2107"/>
  <c r="C2108"/>
  <c r="C2109"/>
  <c r="C2110"/>
  <c r="C2111"/>
  <c r="C2112"/>
  <c r="C2113"/>
  <c r="C2114"/>
  <c r="C2115"/>
  <c r="C2116"/>
  <c r="C2117"/>
  <c r="C2118"/>
  <c r="C2119"/>
  <c r="C2120"/>
  <c r="C2121"/>
  <c r="C2122"/>
  <c r="C2123"/>
  <c r="C2124"/>
  <c r="C2125"/>
  <c r="C2126"/>
  <c r="C2127"/>
  <c r="C2128"/>
  <c r="C2129"/>
  <c r="C2130"/>
  <c r="C2131"/>
  <c r="C2132"/>
  <c r="C2133"/>
  <c r="C2134"/>
  <c r="C2135"/>
  <c r="C2136"/>
  <c r="C2137"/>
  <c r="C2138"/>
  <c r="C2139"/>
  <c r="C2140"/>
  <c r="C2141"/>
  <c r="C2142"/>
  <c r="C2143"/>
  <c r="C2144"/>
  <c r="C2145"/>
  <c r="C2146"/>
  <c r="C2147"/>
  <c r="C2148"/>
  <c r="C2149"/>
  <c r="C2150"/>
  <c r="C2151"/>
  <c r="C2152"/>
  <c r="C2153"/>
  <c r="C2154"/>
  <c r="C2155"/>
  <c r="C2156"/>
  <c r="C2157"/>
  <c r="C2158"/>
  <c r="C2159"/>
  <c r="C2160"/>
  <c r="C2161"/>
  <c r="C2162"/>
  <c r="C2163"/>
  <c r="C2164"/>
  <c r="C2165"/>
  <c r="C2166"/>
  <c r="C2167"/>
  <c r="C2168"/>
  <c r="C2169"/>
  <c r="C2170"/>
  <c r="C2171"/>
  <c r="C2172"/>
  <c r="C2173"/>
  <c r="C2174"/>
  <c r="C2175"/>
  <c r="C2176"/>
  <c r="C2177"/>
  <c r="C2178"/>
  <c r="C2179"/>
  <c r="C2180"/>
  <c r="C2181"/>
  <c r="C2182"/>
  <c r="C2183"/>
  <c r="C2184"/>
  <c r="C2185"/>
  <c r="C2186"/>
  <c r="C2187"/>
  <c r="C2188"/>
  <c r="C2189"/>
  <c r="C2190"/>
  <c r="C2191"/>
  <c r="C2192"/>
  <c r="C2193"/>
  <c r="C2194"/>
  <c r="C2195"/>
  <c r="C2196"/>
  <c r="C2197"/>
  <c r="C2198"/>
  <c r="C2199"/>
  <c r="C2200"/>
  <c r="C2201"/>
  <c r="C2202"/>
  <c r="C2203"/>
  <c r="C2204"/>
  <c r="C2205"/>
  <c r="C2206"/>
  <c r="C2207"/>
  <c r="C2208"/>
  <c r="C2209"/>
  <c r="C2210"/>
  <c r="C2211"/>
  <c r="C2212"/>
  <c r="C2213"/>
  <c r="C2214"/>
  <c r="C2215"/>
  <c r="C2216"/>
  <c r="C2217"/>
  <c r="C2218"/>
  <c r="C2219"/>
  <c r="C2220"/>
  <c r="C2221"/>
  <c r="C2222"/>
  <c r="C2223"/>
  <c r="C2224"/>
  <c r="C2225"/>
  <c r="C2226"/>
  <c r="C2227"/>
  <c r="C2228"/>
  <c r="C2229"/>
  <c r="C2230"/>
  <c r="C2231"/>
  <c r="C2232"/>
  <c r="C2233"/>
  <c r="C2234"/>
  <c r="C2235"/>
  <c r="C2236"/>
  <c r="C2237"/>
  <c r="C2238"/>
  <c r="C2239"/>
  <c r="C2240"/>
  <c r="C2241"/>
  <c r="C2242"/>
  <c r="C2243"/>
  <c r="C2244"/>
  <c r="C2245"/>
  <c r="C2246"/>
  <c r="C2247"/>
  <c r="C2248"/>
  <c r="C2249"/>
  <c r="C2250"/>
  <c r="C2251"/>
  <c r="C2252"/>
  <c r="C2253"/>
  <c r="D2"/>
  <c r="D3"/>
  <c r="D4"/>
  <c r="D5"/>
  <c r="D6"/>
  <c r="D7"/>
  <c r="D8"/>
  <c r="D9"/>
  <c r="D10"/>
  <c r="D11"/>
  <c r="D12"/>
  <c r="D13"/>
  <c r="D14"/>
  <c r="D15"/>
  <c r="D16"/>
  <c r="D17"/>
  <c r="D18"/>
  <c r="D19"/>
  <c r="D20"/>
  <c r="D21"/>
  <c r="D22"/>
  <c r="D23"/>
  <c r="D24"/>
  <c r="D25"/>
  <c r="D26"/>
  <c r="D27"/>
  <c r="D28"/>
  <c r="D29"/>
  <c r="D30"/>
  <c r="D31"/>
  <c r="D32"/>
  <c r="D33"/>
  <c r="D34"/>
  <c r="D35"/>
  <c r="D36"/>
  <c r="D37"/>
  <c r="D38"/>
  <c r="D39"/>
  <c r="D40"/>
  <c r="D41"/>
  <c r="D42"/>
  <c r="D43"/>
  <c r="D44"/>
  <c r="D45"/>
  <c r="D46"/>
  <c r="D47"/>
  <c r="D48"/>
  <c r="D49"/>
  <c r="D50"/>
  <c r="D51"/>
  <c r="D52"/>
  <c r="D53"/>
  <c r="D54"/>
  <c r="D55"/>
  <c r="D56"/>
  <c r="D57"/>
  <c r="D58"/>
  <c r="D59"/>
  <c r="D60"/>
  <c r="D61"/>
  <c r="D62"/>
  <c r="D63"/>
  <c r="D64"/>
  <c r="D65"/>
  <c r="D66"/>
  <c r="D67"/>
  <c r="D68"/>
  <c r="D69"/>
  <c r="D70"/>
  <c r="D71"/>
  <c r="D72"/>
  <c r="D73"/>
  <c r="D74"/>
  <c r="D75"/>
  <c r="D76"/>
  <c r="D77"/>
  <c r="D78"/>
  <c r="D79"/>
  <c r="D80"/>
  <c r="D81"/>
  <c r="D82"/>
  <c r="D83"/>
  <c r="D84"/>
  <c r="D85"/>
  <c r="D86"/>
  <c r="D87"/>
  <c r="D88"/>
  <c r="D89"/>
  <c r="D90"/>
  <c r="D91"/>
  <c r="D92"/>
  <c r="D93"/>
  <c r="D94"/>
  <c r="D95"/>
  <c r="D96"/>
  <c r="D97"/>
  <c r="D98"/>
  <c r="D99"/>
  <c r="D100"/>
  <c r="D101"/>
  <c r="D102"/>
  <c r="D103"/>
  <c r="D104"/>
  <c r="D105"/>
  <c r="D106"/>
  <c r="D107"/>
  <c r="D108"/>
  <c r="D109"/>
  <c r="D110"/>
  <c r="D111"/>
  <c r="D112"/>
  <c r="D113"/>
  <c r="D114"/>
  <c r="D115"/>
  <c r="D116"/>
  <c r="D117"/>
  <c r="D118"/>
  <c r="D119"/>
  <c r="D120"/>
  <c r="D121"/>
  <c r="D122"/>
  <c r="D123"/>
  <c r="D124"/>
  <c r="D125"/>
  <c r="D126"/>
  <c r="D127"/>
  <c r="D128"/>
  <c r="D129"/>
  <c r="D130"/>
  <c r="D131"/>
  <c r="D132"/>
  <c r="D133"/>
  <c r="D134"/>
  <c r="D135"/>
  <c r="D136"/>
  <c r="D137"/>
  <c r="D138"/>
  <c r="D139"/>
  <c r="D140"/>
  <c r="D141"/>
  <c r="D142"/>
  <c r="D143"/>
  <c r="D144"/>
  <c r="D145"/>
  <c r="D146"/>
  <c r="D147"/>
  <c r="D148"/>
  <c r="D149"/>
  <c r="D150"/>
  <c r="D151"/>
  <c r="D152"/>
  <c r="D153"/>
  <c r="D154"/>
  <c r="D155"/>
  <c r="D156"/>
  <c r="D157"/>
  <c r="D158"/>
  <c r="D159"/>
  <c r="D160"/>
  <c r="D161"/>
  <c r="D162"/>
  <c r="D163"/>
  <c r="D164"/>
  <c r="D165"/>
  <c r="D166"/>
  <c r="D167"/>
  <c r="D168"/>
  <c r="D169"/>
  <c r="D170"/>
  <c r="D171"/>
  <c r="D172"/>
  <c r="D173"/>
  <c r="D174"/>
  <c r="D175"/>
  <c r="D176"/>
  <c r="D177"/>
  <c r="D178"/>
  <c r="D179"/>
  <c r="D180"/>
  <c r="D181"/>
  <c r="D182"/>
  <c r="D183"/>
  <c r="D184"/>
  <c r="D185"/>
  <c r="D186"/>
  <c r="D187"/>
  <c r="D188"/>
  <c r="D189"/>
  <c r="D190"/>
  <c r="D191"/>
  <c r="D192"/>
  <c r="D193"/>
  <c r="D194"/>
  <c r="D195"/>
  <c r="D196"/>
  <c r="D197"/>
  <c r="D198"/>
  <c r="D199"/>
  <c r="D200"/>
  <c r="D201"/>
  <c r="D202"/>
  <c r="D203"/>
  <c r="D204"/>
  <c r="D205"/>
  <c r="D206"/>
  <c r="D207"/>
  <c r="D208"/>
  <c r="D209"/>
  <c r="D210"/>
  <c r="D211"/>
  <c r="D212"/>
  <c r="D213"/>
  <c r="D214"/>
  <c r="D215"/>
  <c r="D216"/>
  <c r="D217"/>
  <c r="D218"/>
  <c r="D219"/>
  <c r="D220"/>
  <c r="D221"/>
  <c r="D222"/>
  <c r="D223"/>
  <c r="D224"/>
  <c r="D225"/>
  <c r="D226"/>
  <c r="D227"/>
  <c r="D228"/>
  <c r="D229"/>
  <c r="D230"/>
  <c r="D231"/>
  <c r="D232"/>
  <c r="D233"/>
  <c r="D234"/>
  <c r="D235"/>
  <c r="D236"/>
  <c r="D237"/>
  <c r="D238"/>
  <c r="D239"/>
  <c r="D240"/>
  <c r="D241"/>
  <c r="D242"/>
  <c r="D243"/>
  <c r="D244"/>
  <c r="D245"/>
  <c r="D246"/>
  <c r="D247"/>
  <c r="D248"/>
  <c r="D249"/>
  <c r="D250"/>
  <c r="D251"/>
  <c r="D252"/>
  <c r="D253"/>
  <c r="D254"/>
  <c r="D255"/>
  <c r="D256"/>
  <c r="D257"/>
  <c r="D258"/>
  <c r="D259"/>
  <c r="D260"/>
  <c r="D261"/>
  <c r="D262"/>
  <c r="D263"/>
  <c r="D264"/>
  <c r="D265"/>
  <c r="D266"/>
  <c r="D267"/>
  <c r="D268"/>
  <c r="D269"/>
  <c r="D270"/>
  <c r="D271"/>
  <c r="D272"/>
  <c r="D273"/>
  <c r="D274"/>
  <c r="D275"/>
  <c r="D276"/>
  <c r="D277"/>
  <c r="D278"/>
  <c r="D279"/>
  <c r="D280"/>
  <c r="D281"/>
  <c r="D282"/>
  <c r="D283"/>
  <c r="D284"/>
  <c r="D285"/>
  <c r="D286"/>
  <c r="D287"/>
  <c r="D288"/>
  <c r="D289"/>
  <c r="D290"/>
  <c r="D291"/>
  <c r="D292"/>
  <c r="D293"/>
  <c r="D294"/>
  <c r="D295"/>
  <c r="D296"/>
  <c r="D297"/>
  <c r="D298"/>
  <c r="D299"/>
  <c r="D300"/>
  <c r="D301"/>
  <c r="D302"/>
  <c r="D303"/>
  <c r="D304"/>
  <c r="D305"/>
  <c r="D306"/>
  <c r="D307"/>
  <c r="D308"/>
  <c r="D309"/>
  <c r="D310"/>
  <c r="D311"/>
  <c r="D312"/>
  <c r="D313"/>
  <c r="D314"/>
  <c r="D315"/>
  <c r="D316"/>
  <c r="D317"/>
  <c r="D318"/>
  <c r="D319"/>
  <c r="D320"/>
  <c r="D321"/>
  <c r="D322"/>
  <c r="D323"/>
  <c r="D324"/>
  <c r="D325"/>
  <c r="D326"/>
  <c r="D327"/>
  <c r="D328"/>
  <c r="D329"/>
  <c r="D330"/>
  <c r="D331"/>
  <c r="D332"/>
  <c r="D333"/>
  <c r="D334"/>
  <c r="D335"/>
  <c r="D336"/>
  <c r="D337"/>
  <c r="D338"/>
  <c r="D339"/>
  <c r="D340"/>
  <c r="D341"/>
  <c r="D342"/>
  <c r="D343"/>
  <c r="D344"/>
  <c r="D345"/>
  <c r="D346"/>
  <c r="D347"/>
  <c r="D348"/>
  <c r="D349"/>
  <c r="D350"/>
  <c r="D351"/>
  <c r="D352"/>
  <c r="D353"/>
  <c r="D354"/>
  <c r="D355"/>
  <c r="D356"/>
  <c r="D357"/>
  <c r="D358"/>
  <c r="D359"/>
  <c r="D360"/>
  <c r="D361"/>
  <c r="D362"/>
  <c r="D363"/>
  <c r="D364"/>
  <c r="D365"/>
  <c r="D366"/>
  <c r="D367"/>
  <c r="D368"/>
  <c r="D369"/>
  <c r="D370"/>
  <c r="D371"/>
  <c r="D372"/>
  <c r="D373"/>
  <c r="D374"/>
  <c r="D375"/>
  <c r="D376"/>
  <c r="D377"/>
  <c r="D378"/>
  <c r="D379"/>
  <c r="D380"/>
  <c r="D381"/>
  <c r="D382"/>
  <c r="D383"/>
  <c r="D384"/>
  <c r="D385"/>
  <c r="D386"/>
  <c r="D387"/>
  <c r="D388"/>
  <c r="D389"/>
  <c r="D390"/>
  <c r="D391"/>
  <c r="D392"/>
  <c r="D393"/>
  <c r="D394"/>
  <c r="D395"/>
  <c r="D396"/>
  <c r="D397"/>
  <c r="D398"/>
  <c r="D399"/>
  <c r="D400"/>
  <c r="D401"/>
  <c r="D402"/>
  <c r="D403"/>
  <c r="D404"/>
  <c r="D405"/>
  <c r="D406"/>
  <c r="D407"/>
  <c r="D408"/>
  <c r="D409"/>
  <c r="D410"/>
  <c r="D411"/>
  <c r="D412"/>
  <c r="D413"/>
  <c r="D414"/>
  <c r="D415"/>
  <c r="D416"/>
  <c r="D417"/>
  <c r="D418"/>
  <c r="D419"/>
  <c r="D420"/>
  <c r="D421"/>
  <c r="D422"/>
  <c r="D423"/>
  <c r="D424"/>
  <c r="D425"/>
  <c r="D426"/>
  <c r="D427"/>
  <c r="D428"/>
  <c r="D429"/>
  <c r="D430"/>
  <c r="D431"/>
  <c r="D432"/>
  <c r="D433"/>
  <c r="D434"/>
  <c r="D435"/>
  <c r="D436"/>
  <c r="D437"/>
  <c r="D438"/>
  <c r="D439"/>
  <c r="D440"/>
  <c r="D441"/>
  <c r="D442"/>
  <c r="D443"/>
  <c r="D444"/>
  <c r="D445"/>
  <c r="D446"/>
  <c r="D447"/>
  <c r="D448"/>
  <c r="D449"/>
  <c r="D450"/>
  <c r="D451"/>
  <c r="D452"/>
  <c r="D453"/>
  <c r="D454"/>
  <c r="D455"/>
  <c r="D456"/>
  <c r="D457"/>
  <c r="D458"/>
  <c r="D459"/>
  <c r="D460"/>
  <c r="D461"/>
  <c r="D462"/>
  <c r="D463"/>
  <c r="D464"/>
  <c r="D465"/>
  <c r="D466"/>
  <c r="D467"/>
  <c r="D468"/>
  <c r="D469"/>
  <c r="D470"/>
  <c r="D471"/>
  <c r="D472"/>
  <c r="D473"/>
  <c r="D474"/>
  <c r="D475"/>
  <c r="D476"/>
  <c r="D477"/>
  <c r="D478"/>
  <c r="D479"/>
  <c r="D480"/>
  <c r="D481"/>
  <c r="D482"/>
  <c r="D483"/>
  <c r="D484"/>
  <c r="D485"/>
  <c r="D486"/>
  <c r="D487"/>
  <c r="D488"/>
  <c r="D489"/>
  <c r="D490"/>
  <c r="D491"/>
  <c r="D492"/>
  <c r="D493"/>
  <c r="D494"/>
  <c r="D495"/>
  <c r="D496"/>
  <c r="D497"/>
  <c r="D498"/>
  <c r="D499"/>
  <c r="D500"/>
  <c r="D501"/>
  <c r="D502"/>
  <c r="D503"/>
  <c r="D504"/>
  <c r="D505"/>
  <c r="D506"/>
  <c r="D507"/>
  <c r="D508"/>
  <c r="D509"/>
  <c r="D510"/>
  <c r="D511"/>
  <c r="D512"/>
  <c r="D513"/>
  <c r="D514"/>
  <c r="D515"/>
  <c r="D516"/>
  <c r="D517"/>
  <c r="D518"/>
  <c r="D519"/>
  <c r="D520"/>
  <c r="D521"/>
  <c r="D522"/>
  <c r="D523"/>
  <c r="D524"/>
  <c r="D525"/>
  <c r="D526"/>
  <c r="D527"/>
  <c r="D528"/>
  <c r="D529"/>
  <c r="D530"/>
  <c r="D531"/>
  <c r="D532"/>
  <c r="D533"/>
  <c r="D534"/>
  <c r="D535"/>
  <c r="D536"/>
  <c r="D537"/>
  <c r="D538"/>
  <c r="D539"/>
  <c r="D540"/>
  <c r="D541"/>
  <c r="D542"/>
  <c r="D543"/>
  <c r="D544"/>
  <c r="D545"/>
  <c r="D546"/>
  <c r="D547"/>
  <c r="D548"/>
  <c r="D549"/>
  <c r="D550"/>
  <c r="D551"/>
  <c r="D552"/>
  <c r="D553"/>
  <c r="D554"/>
  <c r="D555"/>
  <c r="D556"/>
  <c r="D557"/>
  <c r="D558"/>
  <c r="D559"/>
  <c r="D560"/>
  <c r="D561"/>
  <c r="D562"/>
  <c r="D563"/>
  <c r="D564"/>
  <c r="D565"/>
  <c r="D566"/>
  <c r="D567"/>
  <c r="D568"/>
  <c r="D569"/>
  <c r="D570"/>
  <c r="D571"/>
  <c r="D572"/>
  <c r="D573"/>
  <c r="D574"/>
  <c r="D575"/>
  <c r="D576"/>
  <c r="D577"/>
  <c r="D578"/>
  <c r="D579"/>
  <c r="D580"/>
  <c r="D581"/>
  <c r="D582"/>
  <c r="D583"/>
  <c r="D584"/>
  <c r="D585"/>
  <c r="D586"/>
  <c r="D587"/>
  <c r="D588"/>
  <c r="D589"/>
  <c r="D590"/>
  <c r="D591"/>
  <c r="D592"/>
  <c r="D593"/>
  <c r="D594"/>
  <c r="D595"/>
  <c r="D596"/>
  <c r="D597"/>
  <c r="D598"/>
  <c r="D599"/>
  <c r="D600"/>
  <c r="D601"/>
  <c r="D602"/>
  <c r="D603"/>
  <c r="D604"/>
  <c r="D605"/>
  <c r="D606"/>
  <c r="D607"/>
  <c r="D608"/>
  <c r="D609"/>
  <c r="D610"/>
  <c r="D611"/>
  <c r="D612"/>
  <c r="D613"/>
  <c r="D614"/>
  <c r="D615"/>
  <c r="D616"/>
  <c r="D617"/>
  <c r="D618"/>
  <c r="D619"/>
  <c r="D620"/>
  <c r="D621"/>
  <c r="D622"/>
  <c r="D623"/>
  <c r="D624"/>
  <c r="D625"/>
  <c r="D626"/>
  <c r="D627"/>
  <c r="D628"/>
  <c r="D629"/>
  <c r="D630"/>
  <c r="D631"/>
  <c r="D632"/>
  <c r="D633"/>
  <c r="D634"/>
  <c r="D635"/>
  <c r="D636"/>
  <c r="D637"/>
  <c r="D638"/>
  <c r="D639"/>
  <c r="D640"/>
  <c r="D641"/>
  <c r="D642"/>
  <c r="D643"/>
  <c r="D644"/>
  <c r="D645"/>
  <c r="D646"/>
  <c r="D647"/>
  <c r="D648"/>
  <c r="D649"/>
  <c r="D650"/>
  <c r="D651"/>
  <c r="D652"/>
  <c r="D653"/>
  <c r="D654"/>
  <c r="D655"/>
  <c r="D656"/>
  <c r="D657"/>
  <c r="D658"/>
  <c r="D659"/>
  <c r="D660"/>
  <c r="D661"/>
  <c r="D662"/>
  <c r="D663"/>
  <c r="D664"/>
  <c r="D665"/>
  <c r="D666"/>
  <c r="D667"/>
  <c r="D668"/>
  <c r="D669"/>
  <c r="D670"/>
  <c r="D671"/>
  <c r="D672"/>
  <c r="D673"/>
  <c r="D674"/>
  <c r="D675"/>
  <c r="D676"/>
  <c r="D677"/>
  <c r="D678"/>
  <c r="D679"/>
  <c r="D680"/>
  <c r="D681"/>
  <c r="D682"/>
  <c r="D683"/>
  <c r="D684"/>
  <c r="D685"/>
  <c r="D686"/>
  <c r="D687"/>
  <c r="D688"/>
  <c r="D689"/>
  <c r="D690"/>
  <c r="D691"/>
  <c r="D692"/>
  <c r="D693"/>
  <c r="D694"/>
  <c r="D695"/>
  <c r="D696"/>
  <c r="D697"/>
  <c r="D698"/>
  <c r="D699"/>
  <c r="D700"/>
  <c r="D701"/>
  <c r="D702"/>
  <c r="D703"/>
  <c r="D704"/>
  <c r="D705"/>
  <c r="D706"/>
  <c r="D707"/>
  <c r="D708"/>
  <c r="D709"/>
  <c r="D710"/>
  <c r="D711"/>
  <c r="D712"/>
  <c r="D713"/>
  <c r="D714"/>
  <c r="D715"/>
  <c r="D716"/>
  <c r="D717"/>
  <c r="D718"/>
  <c r="D719"/>
  <c r="D720"/>
  <c r="D721"/>
  <c r="D722"/>
  <c r="D723"/>
  <c r="D724"/>
  <c r="D725"/>
  <c r="D726"/>
  <c r="D727"/>
  <c r="D728"/>
  <c r="D729"/>
  <c r="D730"/>
  <c r="D731"/>
  <c r="D732"/>
  <c r="D733"/>
  <c r="D734"/>
  <c r="D735"/>
  <c r="D736"/>
  <c r="D737"/>
  <c r="D738"/>
  <c r="D739"/>
  <c r="D740"/>
  <c r="D741"/>
  <c r="D742"/>
  <c r="D743"/>
  <c r="D744"/>
  <c r="D745"/>
  <c r="D746"/>
  <c r="D747"/>
  <c r="D748"/>
  <c r="D749"/>
  <c r="D750"/>
  <c r="D751"/>
  <c r="D752"/>
  <c r="D753"/>
  <c r="D754"/>
  <c r="D755"/>
  <c r="D756"/>
  <c r="D757"/>
  <c r="D758"/>
  <c r="D759"/>
  <c r="D760"/>
  <c r="D761"/>
  <c r="D762"/>
  <c r="D763"/>
  <c r="D764"/>
  <c r="D765"/>
  <c r="D766"/>
  <c r="D767"/>
  <c r="D768"/>
  <c r="D769"/>
  <c r="D770"/>
  <c r="D771"/>
  <c r="D772"/>
  <c r="D773"/>
  <c r="D774"/>
  <c r="D775"/>
  <c r="D776"/>
  <c r="D777"/>
  <c r="D778"/>
  <c r="D779"/>
  <c r="D780"/>
  <c r="D781"/>
  <c r="D782"/>
  <c r="D783"/>
  <c r="D784"/>
  <c r="D785"/>
  <c r="D786"/>
  <c r="D787"/>
  <c r="D788"/>
  <c r="D789"/>
  <c r="D790"/>
  <c r="D791"/>
  <c r="D792"/>
  <c r="D793"/>
  <c r="D794"/>
  <c r="D795"/>
  <c r="D796"/>
  <c r="D797"/>
  <c r="D798"/>
  <c r="D799"/>
  <c r="D800"/>
  <c r="D801"/>
  <c r="D802"/>
  <c r="D803"/>
  <c r="D804"/>
  <c r="D805"/>
  <c r="D806"/>
  <c r="D807"/>
  <c r="D808"/>
  <c r="D809"/>
  <c r="D810"/>
  <c r="D811"/>
  <c r="D812"/>
  <c r="D813"/>
  <c r="D814"/>
  <c r="D815"/>
  <c r="D816"/>
  <c r="D817"/>
  <c r="D818"/>
  <c r="D819"/>
  <c r="D820"/>
  <c r="D821"/>
  <c r="D822"/>
  <c r="D823"/>
  <c r="D824"/>
  <c r="D825"/>
  <c r="D826"/>
  <c r="D827"/>
  <c r="D828"/>
  <c r="D829"/>
  <c r="D830"/>
  <c r="D831"/>
  <c r="D832"/>
  <c r="D833"/>
  <c r="D834"/>
  <c r="D835"/>
  <c r="D836"/>
  <c r="D837"/>
  <c r="D838"/>
  <c r="D839"/>
  <c r="D840"/>
  <c r="D841"/>
  <c r="D842"/>
  <c r="D843"/>
  <c r="D844"/>
  <c r="D845"/>
  <c r="D846"/>
  <c r="D847"/>
  <c r="D848"/>
  <c r="D849"/>
  <c r="D850"/>
  <c r="D851"/>
  <c r="D852"/>
  <c r="D853"/>
  <c r="D854"/>
  <c r="D855"/>
  <c r="D856"/>
  <c r="D857"/>
  <c r="D858"/>
  <c r="D859"/>
  <c r="D860"/>
  <c r="D861"/>
  <c r="D862"/>
  <c r="D863"/>
  <c r="D864"/>
  <c r="D865"/>
  <c r="D866"/>
  <c r="D867"/>
  <c r="D868"/>
  <c r="D869"/>
  <c r="D870"/>
  <c r="D871"/>
  <c r="D872"/>
  <c r="D873"/>
  <c r="D874"/>
  <c r="D875"/>
  <c r="D876"/>
  <c r="D877"/>
  <c r="D878"/>
  <c r="D879"/>
  <c r="D880"/>
  <c r="D881"/>
  <c r="D882"/>
  <c r="D883"/>
  <c r="D884"/>
  <c r="D885"/>
  <c r="D886"/>
  <c r="D887"/>
  <c r="D888"/>
  <c r="D889"/>
  <c r="D890"/>
  <c r="D891"/>
  <c r="D892"/>
  <c r="D893"/>
  <c r="D894"/>
  <c r="D895"/>
  <c r="D896"/>
  <c r="D897"/>
  <c r="D898"/>
  <c r="D899"/>
  <c r="D900"/>
  <c r="D901"/>
  <c r="D902"/>
  <c r="D903"/>
  <c r="D904"/>
  <c r="D905"/>
  <c r="D906"/>
  <c r="D907"/>
  <c r="D908"/>
  <c r="D909"/>
  <c r="D910"/>
  <c r="D911"/>
  <c r="D912"/>
  <c r="D913"/>
  <c r="D914"/>
  <c r="D915"/>
  <c r="D916"/>
  <c r="D917"/>
  <c r="D918"/>
  <c r="D919"/>
  <c r="D920"/>
  <c r="D921"/>
  <c r="D922"/>
  <c r="D923"/>
  <c r="D924"/>
  <c r="D925"/>
  <c r="D926"/>
  <c r="D927"/>
  <c r="D928"/>
  <c r="D929"/>
  <c r="D930"/>
  <c r="D931"/>
  <c r="D932"/>
  <c r="D933"/>
  <c r="D934"/>
  <c r="D935"/>
  <c r="D936"/>
  <c r="D937"/>
  <c r="D938"/>
  <c r="D939"/>
  <c r="D940"/>
  <c r="D941"/>
  <c r="D942"/>
  <c r="D943"/>
  <c r="D944"/>
  <c r="D945"/>
  <c r="D946"/>
  <c r="D947"/>
  <c r="D948"/>
  <c r="D949"/>
  <c r="D950"/>
  <c r="D951"/>
  <c r="D952"/>
  <c r="D953"/>
  <c r="D954"/>
  <c r="D955"/>
  <c r="D956"/>
  <c r="D957"/>
  <c r="D958"/>
  <c r="D959"/>
  <c r="D960"/>
  <c r="D961"/>
  <c r="D962"/>
  <c r="D963"/>
  <c r="D964"/>
  <c r="D965"/>
  <c r="D966"/>
  <c r="D967"/>
  <c r="D968"/>
  <c r="D969"/>
  <c r="D970"/>
  <c r="D971"/>
  <c r="D972"/>
  <c r="D973"/>
  <c r="D974"/>
  <c r="D975"/>
  <c r="D976"/>
  <c r="D977"/>
  <c r="D978"/>
  <c r="D979"/>
  <c r="D980"/>
  <c r="D981"/>
  <c r="D982"/>
  <c r="D983"/>
  <c r="D984"/>
  <c r="D985"/>
  <c r="D986"/>
  <c r="D987"/>
  <c r="D988"/>
  <c r="D989"/>
  <c r="D990"/>
  <c r="D991"/>
  <c r="D992"/>
  <c r="D993"/>
  <c r="D994"/>
  <c r="D995"/>
  <c r="D996"/>
  <c r="D997"/>
  <c r="D998"/>
  <c r="D999"/>
  <c r="D1000"/>
  <c r="D1001"/>
  <c r="D1002"/>
  <c r="D1003"/>
  <c r="D1004"/>
  <c r="D1005"/>
  <c r="D1006"/>
  <c r="D1007"/>
  <c r="D1008"/>
  <c r="D1009"/>
  <c r="D1010"/>
  <c r="D1011"/>
  <c r="D1012"/>
  <c r="D1013"/>
  <c r="D1014"/>
  <c r="D1015"/>
  <c r="D1016"/>
  <c r="D1017"/>
  <c r="D1018"/>
  <c r="D1019"/>
  <c r="D1020"/>
  <c r="D1021"/>
  <c r="D1022"/>
  <c r="D1023"/>
  <c r="D1024"/>
  <c r="D1025"/>
  <c r="D1026"/>
  <c r="D1027"/>
  <c r="D1028"/>
  <c r="D1029"/>
  <c r="D1030"/>
  <c r="D1031"/>
  <c r="D1032"/>
  <c r="D1033"/>
  <c r="D1034"/>
  <c r="D1035"/>
  <c r="D1036"/>
  <c r="D1037"/>
  <c r="D1038"/>
  <c r="D1039"/>
  <c r="D1040"/>
  <c r="D1041"/>
  <c r="D1042"/>
  <c r="D1043"/>
  <c r="D1044"/>
  <c r="D1045"/>
  <c r="D1046"/>
  <c r="D1047"/>
  <c r="D1048"/>
  <c r="D1049"/>
  <c r="D1050"/>
  <c r="D1051"/>
  <c r="D1052"/>
  <c r="D1053"/>
  <c r="D1054"/>
  <c r="D1055"/>
  <c r="D1056"/>
  <c r="D1057"/>
  <c r="D1058"/>
  <c r="D1059"/>
  <c r="D1060"/>
  <c r="D1061"/>
  <c r="D1062"/>
  <c r="D1063"/>
  <c r="D1064"/>
  <c r="D1065"/>
  <c r="D1066"/>
  <c r="D1067"/>
  <c r="D1068"/>
  <c r="D1069"/>
  <c r="D1070"/>
  <c r="D1071"/>
  <c r="D1072"/>
  <c r="D1073"/>
  <c r="D1074"/>
  <c r="D1075"/>
  <c r="D1076"/>
  <c r="D1077"/>
  <c r="D1078"/>
  <c r="D1079"/>
  <c r="D1080"/>
  <c r="D1081"/>
  <c r="D1082"/>
  <c r="D1083"/>
  <c r="D1084"/>
  <c r="D1085"/>
  <c r="D1086"/>
  <c r="D1087"/>
  <c r="D1088"/>
  <c r="D1089"/>
  <c r="D1090"/>
  <c r="D1091"/>
  <c r="D1092"/>
  <c r="D1093"/>
  <c r="D1094"/>
  <c r="D1095"/>
  <c r="D1096"/>
  <c r="D1097"/>
  <c r="D1098"/>
  <c r="D1099"/>
  <c r="D1100"/>
  <c r="D1101"/>
  <c r="D1102"/>
  <c r="D1103"/>
  <c r="D1104"/>
  <c r="D1105"/>
  <c r="D1106"/>
  <c r="D1107"/>
  <c r="D1108"/>
  <c r="D1109"/>
  <c r="D1110"/>
  <c r="D1111"/>
  <c r="D1112"/>
  <c r="D1113"/>
  <c r="D1114"/>
  <c r="D1115"/>
  <c r="D1116"/>
  <c r="D1117"/>
  <c r="D1118"/>
  <c r="D1119"/>
  <c r="D1120"/>
  <c r="D1121"/>
  <c r="D1122"/>
  <c r="D1123"/>
  <c r="D1124"/>
  <c r="D1125"/>
  <c r="D1126"/>
  <c r="D1127"/>
  <c r="D1128"/>
  <c r="D1129"/>
  <c r="D1130"/>
  <c r="D1131"/>
  <c r="D1132"/>
  <c r="D1133"/>
  <c r="D1134"/>
  <c r="D1135"/>
  <c r="D1136"/>
  <c r="D1137"/>
  <c r="D1138"/>
  <c r="D1139"/>
  <c r="D1140"/>
  <c r="D1141"/>
  <c r="D1142"/>
  <c r="D1143"/>
  <c r="D1144"/>
  <c r="D1145"/>
  <c r="D1146"/>
  <c r="D1147"/>
  <c r="D1148"/>
  <c r="D1149"/>
  <c r="D1150"/>
  <c r="D1151"/>
  <c r="D1152"/>
  <c r="D1153"/>
  <c r="D1154"/>
  <c r="D1155"/>
  <c r="D1156"/>
  <c r="D1157"/>
  <c r="D1158"/>
  <c r="D1159"/>
  <c r="D1160"/>
  <c r="D1161"/>
  <c r="D1162"/>
  <c r="D1163"/>
  <c r="D1164"/>
  <c r="D1165"/>
  <c r="D1166"/>
  <c r="D1167"/>
  <c r="D1168"/>
  <c r="D1169"/>
  <c r="D1170"/>
  <c r="D1171"/>
  <c r="D1172"/>
  <c r="D1173"/>
  <c r="D1174"/>
  <c r="D1175"/>
  <c r="D1176"/>
  <c r="D1177"/>
  <c r="D1178"/>
  <c r="D1179"/>
  <c r="D1180"/>
  <c r="D1181"/>
  <c r="D1182"/>
  <c r="D1183"/>
  <c r="D1184"/>
  <c r="D1185"/>
  <c r="D1186"/>
  <c r="D1187"/>
  <c r="D1188"/>
  <c r="D1189"/>
  <c r="D1190"/>
  <c r="D1191"/>
  <c r="D1192"/>
  <c r="D1193"/>
  <c r="D1194"/>
  <c r="D1195"/>
  <c r="D1196"/>
  <c r="D1197"/>
  <c r="D1198"/>
  <c r="D1199"/>
  <c r="D1200"/>
  <c r="D1201"/>
  <c r="D1202"/>
  <c r="D1203"/>
  <c r="D1204"/>
  <c r="D1205"/>
  <c r="D1206"/>
  <c r="D1207"/>
  <c r="D1208"/>
  <c r="D1209"/>
  <c r="D1210"/>
  <c r="D1211"/>
  <c r="D1212"/>
  <c r="D1213"/>
  <c r="D1214"/>
  <c r="D1215"/>
  <c r="D1216"/>
  <c r="D1217"/>
  <c r="D1218"/>
  <c r="D1219"/>
  <c r="D1220"/>
  <c r="D1221"/>
  <c r="D1222"/>
  <c r="D1223"/>
  <c r="D1224"/>
  <c r="D1225"/>
  <c r="D1226"/>
  <c r="D1227"/>
  <c r="D1228"/>
  <c r="D1229"/>
  <c r="D1230"/>
  <c r="D1231"/>
  <c r="D1232"/>
  <c r="D1233"/>
  <c r="D1234"/>
  <c r="D1235"/>
  <c r="D1236"/>
  <c r="D1237"/>
  <c r="D1238"/>
  <c r="D1239"/>
  <c r="D1240"/>
  <c r="D1241"/>
  <c r="D1242"/>
  <c r="D1243"/>
  <c r="D1244"/>
  <c r="D1245"/>
  <c r="D1246"/>
  <c r="D1247"/>
  <c r="D1248"/>
  <c r="D1249"/>
  <c r="D1250"/>
  <c r="D1251"/>
  <c r="D1252"/>
  <c r="D1253"/>
  <c r="D1254"/>
  <c r="D1255"/>
  <c r="D1256"/>
  <c r="D1257"/>
  <c r="D1258"/>
  <c r="D1259"/>
  <c r="D1260"/>
  <c r="D1261"/>
  <c r="D1262"/>
  <c r="D1263"/>
  <c r="D1264"/>
  <c r="D1265"/>
  <c r="D1266"/>
  <c r="D1267"/>
  <c r="D1268"/>
  <c r="D1269"/>
  <c r="D1270"/>
  <c r="D1271"/>
  <c r="D1272"/>
  <c r="D1273"/>
  <c r="D1274"/>
  <c r="D1275"/>
  <c r="D1276"/>
  <c r="D1277"/>
  <c r="D1278"/>
  <c r="D1279"/>
  <c r="D1280"/>
  <c r="D1281"/>
  <c r="D1282"/>
  <c r="D1283"/>
  <c r="D1284"/>
  <c r="D1285"/>
  <c r="D1286"/>
  <c r="D1287"/>
  <c r="D1288"/>
  <c r="D1289"/>
  <c r="D1290"/>
  <c r="D1291"/>
  <c r="D1292"/>
  <c r="D1293"/>
  <c r="D1294"/>
  <c r="D1295"/>
  <c r="D1296"/>
  <c r="D1297"/>
  <c r="D1298"/>
  <c r="D1299"/>
  <c r="D1300"/>
  <c r="D1301"/>
  <c r="D1302"/>
  <c r="D1303"/>
  <c r="D1304"/>
  <c r="D1305"/>
  <c r="D1306"/>
  <c r="D1307"/>
  <c r="D1308"/>
  <c r="D1309"/>
  <c r="D1310"/>
  <c r="D1311"/>
  <c r="D1312"/>
  <c r="D1313"/>
  <c r="D1314"/>
  <c r="D1315"/>
  <c r="D1316"/>
  <c r="D1317"/>
  <c r="D1318"/>
  <c r="D1319"/>
  <c r="D1320"/>
  <c r="D1321"/>
  <c r="D1322"/>
  <c r="D1323"/>
  <c r="D1324"/>
  <c r="D1325"/>
  <c r="D1326"/>
  <c r="D1327"/>
  <c r="D1328"/>
  <c r="D1329"/>
  <c r="D1330"/>
  <c r="D1331"/>
  <c r="D1332"/>
  <c r="D1333"/>
  <c r="D1334"/>
  <c r="D1335"/>
  <c r="D1336"/>
  <c r="D1337"/>
  <c r="D1338"/>
  <c r="D1339"/>
  <c r="D1340"/>
  <c r="D1341"/>
  <c r="D1342"/>
  <c r="D1343"/>
  <c r="D1344"/>
  <c r="D1345"/>
  <c r="D1346"/>
  <c r="D1347"/>
  <c r="D1348"/>
  <c r="D1349"/>
  <c r="D1350"/>
  <c r="D1351"/>
  <c r="D1352"/>
  <c r="D1353"/>
  <c r="D1354"/>
  <c r="D1355"/>
  <c r="D1356"/>
  <c r="D1357"/>
  <c r="D1358"/>
  <c r="D1359"/>
  <c r="D1360"/>
  <c r="D1361"/>
  <c r="D1362"/>
  <c r="D1363"/>
  <c r="D1364"/>
  <c r="D1365"/>
  <c r="D1366"/>
  <c r="D1367"/>
  <c r="D1368"/>
  <c r="D1369"/>
  <c r="D1370"/>
  <c r="D1371"/>
  <c r="D1372"/>
  <c r="D1373"/>
  <c r="D1374"/>
  <c r="D1375"/>
  <c r="D1376"/>
  <c r="D1377"/>
  <c r="D1378"/>
  <c r="D1379"/>
  <c r="D1380"/>
  <c r="D1381"/>
  <c r="D1382"/>
  <c r="D1383"/>
  <c r="D1384"/>
  <c r="D1385"/>
  <c r="D1386"/>
  <c r="D1387"/>
  <c r="D1388"/>
  <c r="D1389"/>
  <c r="D1390"/>
  <c r="D1391"/>
  <c r="D1392"/>
  <c r="D1393"/>
  <c r="D1394"/>
  <c r="D1395"/>
  <c r="D1396"/>
  <c r="D1397"/>
  <c r="D1398"/>
  <c r="D1399"/>
  <c r="D1400"/>
  <c r="D1401"/>
  <c r="D1402"/>
  <c r="D1403"/>
  <c r="D1404"/>
  <c r="D1405"/>
  <c r="D1406"/>
  <c r="D1407"/>
  <c r="D1408"/>
  <c r="D1409"/>
  <c r="D1410"/>
  <c r="D1411"/>
  <c r="D1412"/>
  <c r="D1413"/>
  <c r="D1414"/>
  <c r="D1415"/>
  <c r="D1416"/>
  <c r="D1417"/>
  <c r="D1418"/>
  <c r="D1419"/>
  <c r="D1420"/>
  <c r="D1421"/>
  <c r="D1422"/>
  <c r="D1423"/>
  <c r="D1424"/>
  <c r="D1425"/>
  <c r="D1426"/>
  <c r="D1427"/>
  <c r="D1428"/>
  <c r="D1429"/>
  <c r="D1430"/>
  <c r="D1431"/>
  <c r="D1432"/>
  <c r="D1433"/>
  <c r="D1434"/>
  <c r="D1435"/>
  <c r="D1436"/>
  <c r="D1437"/>
  <c r="D1438"/>
  <c r="D1439"/>
  <c r="D1440"/>
  <c r="D1441"/>
  <c r="D1442"/>
  <c r="D1443"/>
  <c r="D1444"/>
  <c r="D1445"/>
  <c r="D1446"/>
  <c r="D1447"/>
  <c r="D1448"/>
  <c r="D1449"/>
  <c r="D1450"/>
  <c r="D1451"/>
  <c r="D1452"/>
  <c r="D1453"/>
  <c r="D1454"/>
  <c r="D1455"/>
  <c r="D1456"/>
  <c r="D1457"/>
  <c r="D1458"/>
  <c r="D1459"/>
  <c r="D1460"/>
  <c r="D1461"/>
  <c r="D1462"/>
  <c r="D1463"/>
  <c r="D1464"/>
  <c r="D1465"/>
  <c r="D1466"/>
  <c r="D1467"/>
  <c r="D1468"/>
  <c r="D1469"/>
  <c r="D1470"/>
  <c r="D1471"/>
  <c r="D1472"/>
  <c r="D1473"/>
  <c r="D1474"/>
  <c r="D1475"/>
  <c r="D1476"/>
  <c r="D1477"/>
  <c r="D1478"/>
  <c r="D1479"/>
  <c r="D1480"/>
  <c r="D1481"/>
  <c r="D1482"/>
  <c r="D1483"/>
  <c r="D1484"/>
  <c r="D1485"/>
  <c r="D1486"/>
  <c r="D1487"/>
  <c r="D1488"/>
  <c r="D1489"/>
  <c r="D1490"/>
  <c r="D1491"/>
  <c r="D1492"/>
  <c r="D1493"/>
  <c r="D1494"/>
  <c r="D1495"/>
  <c r="D1496"/>
  <c r="D1497"/>
  <c r="D1498"/>
  <c r="D1499"/>
  <c r="D1500"/>
  <c r="D1501"/>
  <c r="D1502"/>
  <c r="D1503"/>
  <c r="D1504"/>
  <c r="D1505"/>
  <c r="D1506"/>
  <c r="D1507"/>
  <c r="D1508"/>
  <c r="D1509"/>
  <c r="D1510"/>
  <c r="D1511"/>
  <c r="D1512"/>
  <c r="D1513"/>
  <c r="D1514"/>
  <c r="D1515"/>
  <c r="D1516"/>
  <c r="D1517"/>
  <c r="D1518"/>
  <c r="D1519"/>
  <c r="D1520"/>
  <c r="D1521"/>
  <c r="D1522"/>
  <c r="D1523"/>
  <c r="D1524"/>
  <c r="D1525"/>
  <c r="D1526"/>
  <c r="D1527"/>
  <c r="D1528"/>
  <c r="D1529"/>
  <c r="D1530"/>
  <c r="D1531"/>
  <c r="D1532"/>
  <c r="D1533"/>
  <c r="D1534"/>
  <c r="D1535"/>
  <c r="D1536"/>
  <c r="D1537"/>
  <c r="D1538"/>
  <c r="D1539"/>
  <c r="D1540"/>
  <c r="D1541"/>
  <c r="D1542"/>
  <c r="D1543"/>
  <c r="D1544"/>
  <c r="D1545"/>
  <c r="D1546"/>
  <c r="D1547"/>
  <c r="D1548"/>
  <c r="D1549"/>
  <c r="D1550"/>
  <c r="D1551"/>
  <c r="D1552"/>
  <c r="D1553"/>
  <c r="D1554"/>
  <c r="D1555"/>
  <c r="D1556"/>
  <c r="D1557"/>
  <c r="D1558"/>
  <c r="D1559"/>
  <c r="D1560"/>
  <c r="D1561"/>
  <c r="D1562"/>
  <c r="D1563"/>
  <c r="D1564"/>
  <c r="D1565"/>
  <c r="D1566"/>
  <c r="D1567"/>
  <c r="D1568"/>
  <c r="D1569"/>
  <c r="D1570"/>
  <c r="D1571"/>
  <c r="D1572"/>
  <c r="D1573"/>
  <c r="D1574"/>
  <c r="D1575"/>
  <c r="D1576"/>
  <c r="D1577"/>
  <c r="D1578"/>
  <c r="D1579"/>
  <c r="D1580"/>
  <c r="D1581"/>
  <c r="D1582"/>
  <c r="D1583"/>
  <c r="D1584"/>
  <c r="D1585"/>
  <c r="D1586"/>
  <c r="D1587"/>
  <c r="D1588"/>
  <c r="D1589"/>
  <c r="D1590"/>
  <c r="D1591"/>
  <c r="D1592"/>
  <c r="D1593"/>
  <c r="D1594"/>
  <c r="D1595"/>
  <c r="D1596"/>
  <c r="D1597"/>
  <c r="D1598"/>
  <c r="D1599"/>
  <c r="D1600"/>
  <c r="D1601"/>
  <c r="D1602"/>
  <c r="D1603"/>
  <c r="D1604"/>
  <c r="D1605"/>
  <c r="D1606"/>
  <c r="D1607"/>
  <c r="D1608"/>
  <c r="D1609"/>
  <c r="D1610"/>
  <c r="D1611"/>
  <c r="D1612"/>
  <c r="D1613"/>
  <c r="D1614"/>
  <c r="D1615"/>
  <c r="D1616"/>
  <c r="D1617"/>
  <c r="D1618"/>
  <c r="D1619"/>
  <c r="D1620"/>
  <c r="D1621"/>
  <c r="D1622"/>
  <c r="D1623"/>
  <c r="D1624"/>
  <c r="D1625"/>
  <c r="D1626"/>
  <c r="D1627"/>
  <c r="D1628"/>
  <c r="D1629"/>
  <c r="D1630"/>
  <c r="D1631"/>
  <c r="D1632"/>
  <c r="D1633"/>
  <c r="D1634"/>
  <c r="D1635"/>
  <c r="D1636"/>
  <c r="D1637"/>
  <c r="D1638"/>
  <c r="D1639"/>
  <c r="D1640"/>
  <c r="D1641"/>
  <c r="D1642"/>
  <c r="D1643"/>
  <c r="D1644"/>
  <c r="D1645"/>
  <c r="D1646"/>
  <c r="D1647"/>
  <c r="D1648"/>
  <c r="D1649"/>
  <c r="D1650"/>
  <c r="D1651"/>
  <c r="D1652"/>
  <c r="D1653"/>
  <c r="D1654"/>
  <c r="D1655"/>
  <c r="D1656"/>
  <c r="D1657"/>
  <c r="D1658"/>
  <c r="D1659"/>
  <c r="D1660"/>
  <c r="D1661"/>
  <c r="D1662"/>
  <c r="D1663"/>
  <c r="D1664"/>
  <c r="D1665"/>
  <c r="D1666"/>
  <c r="D1667"/>
  <c r="D1668"/>
  <c r="D1669"/>
  <c r="D1670"/>
  <c r="D1671"/>
  <c r="D1672"/>
  <c r="D1673"/>
  <c r="D1674"/>
  <c r="D1675"/>
  <c r="D1676"/>
  <c r="D1677"/>
  <c r="D1678"/>
  <c r="D1679"/>
  <c r="D1680"/>
  <c r="D1681"/>
  <c r="D1682"/>
  <c r="D1683"/>
  <c r="D1684"/>
  <c r="D1685"/>
  <c r="D1686"/>
  <c r="D1687"/>
  <c r="D1688"/>
  <c r="D1689"/>
  <c r="D1690"/>
  <c r="D1691"/>
  <c r="D1692"/>
  <c r="D1693"/>
  <c r="D1694"/>
  <c r="D1695"/>
  <c r="D1696"/>
  <c r="D1697"/>
  <c r="D1698"/>
  <c r="D1699"/>
  <c r="D1700"/>
  <c r="D1701"/>
  <c r="D1702"/>
  <c r="D1703"/>
  <c r="D1704"/>
  <c r="D1705"/>
  <c r="D1706"/>
  <c r="D1707"/>
  <c r="D1708"/>
  <c r="D1709"/>
  <c r="D1710"/>
  <c r="D1711"/>
  <c r="D1712"/>
  <c r="D1713"/>
  <c r="D1714"/>
  <c r="D1715"/>
  <c r="D1716"/>
  <c r="D1717"/>
  <c r="D1718"/>
  <c r="D1719"/>
  <c r="D1720"/>
  <c r="D1721"/>
  <c r="D1722"/>
  <c r="D1723"/>
  <c r="D1724"/>
  <c r="D1725"/>
  <c r="D1726"/>
  <c r="D1727"/>
  <c r="D1728"/>
  <c r="D1729"/>
  <c r="D1730"/>
  <c r="D1731"/>
  <c r="D1732"/>
  <c r="D1733"/>
  <c r="D1734"/>
  <c r="D1735"/>
  <c r="D1736"/>
  <c r="D1737"/>
  <c r="D1738"/>
  <c r="D1739"/>
  <c r="D1740"/>
  <c r="D1741"/>
  <c r="D1742"/>
  <c r="D1743"/>
  <c r="D1744"/>
  <c r="D1745"/>
  <c r="D1746"/>
  <c r="D1747"/>
  <c r="D1748"/>
  <c r="D1749"/>
  <c r="D1750"/>
  <c r="D1751"/>
  <c r="D1752"/>
  <c r="D1753"/>
  <c r="D1754"/>
  <c r="D1755"/>
  <c r="D1756"/>
  <c r="D1757"/>
  <c r="D1758"/>
  <c r="D1759"/>
  <c r="D1760"/>
  <c r="D1761"/>
  <c r="D1762"/>
  <c r="D1763"/>
  <c r="D1764"/>
  <c r="D1765"/>
  <c r="D1766"/>
  <c r="D1767"/>
  <c r="D1768"/>
  <c r="D1769"/>
  <c r="D1770"/>
  <c r="D1771"/>
  <c r="D1772"/>
  <c r="D1773"/>
  <c r="D1774"/>
  <c r="D1775"/>
  <c r="D1776"/>
  <c r="D1777"/>
  <c r="D1778"/>
  <c r="D1779"/>
  <c r="D1780"/>
  <c r="D1781"/>
  <c r="D1782"/>
  <c r="D1783"/>
  <c r="D1784"/>
  <c r="D1785"/>
  <c r="D1786"/>
  <c r="D1787"/>
  <c r="D1788"/>
  <c r="D1789"/>
  <c r="D1790"/>
  <c r="D1791"/>
  <c r="D1792"/>
  <c r="D1793"/>
  <c r="D1794"/>
  <c r="D1795"/>
  <c r="D1796"/>
  <c r="D1797"/>
  <c r="D1798"/>
  <c r="D1799"/>
  <c r="D1800"/>
  <c r="D1801"/>
  <c r="D1802"/>
  <c r="D1803"/>
  <c r="D1804"/>
  <c r="D1805"/>
  <c r="D1806"/>
  <c r="D1807"/>
  <c r="D1808"/>
  <c r="D1809"/>
  <c r="D1810"/>
  <c r="D1811"/>
  <c r="D1812"/>
  <c r="D1813"/>
  <c r="D1814"/>
  <c r="D1815"/>
  <c r="D1816"/>
  <c r="D1817"/>
  <c r="D1818"/>
  <c r="D1819"/>
  <c r="D1820"/>
  <c r="D1821"/>
  <c r="D1822"/>
  <c r="D1823"/>
  <c r="D1824"/>
  <c r="D1825"/>
  <c r="D1826"/>
  <c r="D1827"/>
  <c r="D1828"/>
  <c r="D1829"/>
  <c r="D1830"/>
  <c r="D1831"/>
  <c r="D1832"/>
  <c r="D1833"/>
  <c r="D1834"/>
  <c r="D1835"/>
  <c r="D1836"/>
  <c r="D1837"/>
  <c r="D1838"/>
  <c r="D1839"/>
  <c r="D1840"/>
  <c r="D1841"/>
  <c r="D1842"/>
  <c r="D1843"/>
  <c r="D1844"/>
  <c r="D1845"/>
  <c r="D1846"/>
  <c r="D1847"/>
  <c r="D1848"/>
  <c r="D1849"/>
  <c r="D1850"/>
  <c r="D1851"/>
  <c r="D1852"/>
  <c r="D1853"/>
  <c r="D1854"/>
  <c r="D1855"/>
  <c r="D1856"/>
  <c r="D1857"/>
  <c r="D1858"/>
  <c r="D1859"/>
  <c r="D1860"/>
  <c r="D1861"/>
  <c r="D1862"/>
  <c r="D1863"/>
  <c r="D1864"/>
  <c r="D1865"/>
  <c r="D1866"/>
  <c r="D1867"/>
  <c r="D1868"/>
  <c r="D1869"/>
  <c r="D1870"/>
  <c r="D1871"/>
  <c r="D1872"/>
  <c r="D1873"/>
  <c r="D1874"/>
  <c r="D1875"/>
  <c r="D1876"/>
  <c r="D1877"/>
  <c r="D1878"/>
  <c r="D1879"/>
  <c r="D1880"/>
  <c r="D1881"/>
  <c r="D1882"/>
  <c r="D1883"/>
  <c r="D1884"/>
  <c r="D1885"/>
  <c r="D1886"/>
  <c r="D1887"/>
  <c r="D1888"/>
  <c r="D1889"/>
  <c r="D1890"/>
  <c r="D1891"/>
  <c r="D1892"/>
  <c r="D1893"/>
  <c r="D1894"/>
  <c r="D1895"/>
  <c r="D1896"/>
  <c r="D1897"/>
  <c r="D1898"/>
  <c r="D1899"/>
  <c r="D1900"/>
  <c r="D1901"/>
  <c r="D1902"/>
  <c r="D1903"/>
  <c r="D1904"/>
  <c r="D1905"/>
  <c r="D1906"/>
  <c r="D1907"/>
  <c r="D1908"/>
  <c r="D1909"/>
  <c r="D1910"/>
  <c r="D1911"/>
  <c r="D1912"/>
  <c r="D1913"/>
  <c r="D1914"/>
  <c r="D1915"/>
  <c r="D1916"/>
  <c r="D1917"/>
  <c r="D1918"/>
  <c r="D1919"/>
  <c r="D1920"/>
  <c r="D1921"/>
  <c r="D1922"/>
  <c r="D1923"/>
  <c r="D1924"/>
  <c r="D1925"/>
  <c r="D1926"/>
  <c r="D1927"/>
  <c r="D1928"/>
  <c r="D1929"/>
  <c r="D1930"/>
  <c r="D1931"/>
  <c r="D1932"/>
  <c r="D1933"/>
  <c r="D1934"/>
  <c r="D1935"/>
  <c r="D1936"/>
  <c r="D1937"/>
  <c r="D1938"/>
  <c r="D1939"/>
  <c r="D1940"/>
  <c r="D1941"/>
  <c r="D1942"/>
  <c r="D1943"/>
  <c r="D1944"/>
  <c r="D1945"/>
  <c r="D1946"/>
  <c r="D1947"/>
  <c r="D1948"/>
  <c r="D1949"/>
  <c r="D1950"/>
  <c r="D1951"/>
  <c r="D1952"/>
  <c r="D1953"/>
  <c r="D1954"/>
  <c r="D1955"/>
  <c r="D1956"/>
  <c r="D1957"/>
  <c r="D1958"/>
  <c r="D1959"/>
  <c r="D1960"/>
  <c r="D1961"/>
  <c r="D1962"/>
  <c r="D1963"/>
  <c r="D1964"/>
  <c r="D1965"/>
  <c r="D1966"/>
  <c r="D1967"/>
  <c r="D1968"/>
  <c r="D1969"/>
  <c r="D1970"/>
  <c r="D1971"/>
  <c r="D1972"/>
  <c r="D1973"/>
  <c r="D1974"/>
  <c r="D1975"/>
  <c r="D1976"/>
  <c r="D1977"/>
  <c r="D1978"/>
  <c r="D1979"/>
  <c r="D1980"/>
  <c r="D1981"/>
  <c r="D1982"/>
  <c r="D1983"/>
  <c r="D1984"/>
  <c r="D1985"/>
  <c r="D1986"/>
  <c r="D1987"/>
  <c r="D1988"/>
  <c r="D1989"/>
  <c r="D1990"/>
  <c r="D1991"/>
  <c r="D1992"/>
  <c r="D1993"/>
  <c r="D1994"/>
  <c r="D1995"/>
  <c r="D1996"/>
  <c r="D1997"/>
  <c r="D1998"/>
  <c r="D1999"/>
  <c r="D2000"/>
  <c r="D2001"/>
  <c r="D2002"/>
  <c r="D2003"/>
  <c r="D2004"/>
  <c r="D2005"/>
  <c r="D2006"/>
  <c r="D2007"/>
  <c r="D2008"/>
  <c r="D2009"/>
  <c r="D2010"/>
  <c r="D2011"/>
  <c r="D2012"/>
  <c r="D2013"/>
  <c r="D2014"/>
  <c r="D2015"/>
  <c r="D2016"/>
  <c r="D2017"/>
  <c r="D2018"/>
  <c r="D2019"/>
  <c r="D2020"/>
  <c r="D2021"/>
  <c r="D2022"/>
  <c r="D2023"/>
  <c r="D2024"/>
  <c r="D2025"/>
  <c r="D2026"/>
  <c r="D2027"/>
  <c r="D2028"/>
  <c r="D2029"/>
  <c r="D2030"/>
  <c r="D2031"/>
  <c r="D2032"/>
  <c r="D2033"/>
  <c r="D2034"/>
  <c r="D2035"/>
  <c r="D2036"/>
  <c r="D2037"/>
  <c r="D2038"/>
  <c r="D2039"/>
  <c r="D2040"/>
  <c r="D2041"/>
  <c r="D2042"/>
  <c r="D2043"/>
  <c r="D2044"/>
  <c r="D2045"/>
  <c r="D2046"/>
  <c r="D2047"/>
  <c r="D2048"/>
  <c r="D2049"/>
  <c r="D2050"/>
  <c r="D2051"/>
  <c r="D2052"/>
  <c r="D2053"/>
  <c r="D2054"/>
  <c r="D2055"/>
  <c r="D2056"/>
  <c r="D2057"/>
  <c r="D2058"/>
  <c r="D2059"/>
  <c r="D2060"/>
  <c r="D2061"/>
  <c r="D2062"/>
  <c r="D2063"/>
  <c r="D2064"/>
  <c r="D2065"/>
  <c r="D2066"/>
  <c r="D2067"/>
  <c r="D2068"/>
  <c r="D2069"/>
  <c r="D2070"/>
  <c r="D2071"/>
  <c r="D2072"/>
  <c r="D2073"/>
  <c r="D2074"/>
  <c r="D2075"/>
  <c r="D2076"/>
  <c r="D2077"/>
  <c r="D2078"/>
  <c r="D2079"/>
  <c r="D2080"/>
  <c r="D2081"/>
  <c r="D2082"/>
  <c r="D2083"/>
  <c r="D2084"/>
  <c r="D2085"/>
  <c r="D2086"/>
  <c r="D2087"/>
  <c r="D2088"/>
  <c r="D2089"/>
  <c r="D2090"/>
  <c r="D2091"/>
  <c r="D2092"/>
  <c r="D2093"/>
  <c r="D2094"/>
  <c r="D2095"/>
  <c r="D2096"/>
  <c r="D2097"/>
  <c r="D2098"/>
  <c r="D2099"/>
  <c r="D2100"/>
  <c r="D2101"/>
  <c r="D2102"/>
  <c r="D2103"/>
  <c r="D2104"/>
  <c r="D2105"/>
  <c r="D2106"/>
  <c r="D2107"/>
  <c r="D2108"/>
  <c r="D2109"/>
  <c r="D2110"/>
  <c r="D2111"/>
  <c r="D2112"/>
  <c r="D2113"/>
  <c r="D2114"/>
  <c r="D2115"/>
  <c r="D2116"/>
  <c r="D2117"/>
  <c r="D2118"/>
  <c r="D2119"/>
  <c r="D2120"/>
  <c r="D2121"/>
  <c r="D2122"/>
  <c r="D2123"/>
  <c r="D2124"/>
  <c r="D2125"/>
  <c r="D2126"/>
  <c r="D2127"/>
  <c r="D2128"/>
  <c r="D2129"/>
  <c r="D2130"/>
  <c r="D2131"/>
  <c r="D2132"/>
  <c r="D2133"/>
  <c r="D2134"/>
  <c r="D2135"/>
  <c r="D2136"/>
  <c r="D2137"/>
  <c r="D2138"/>
  <c r="D2139"/>
  <c r="D2140"/>
  <c r="D2141"/>
  <c r="D2142"/>
  <c r="D2143"/>
  <c r="D2144"/>
  <c r="D2145"/>
  <c r="D2146"/>
  <c r="D2147"/>
  <c r="D2148"/>
  <c r="D2149"/>
  <c r="D2150"/>
  <c r="D2151"/>
  <c r="D2152"/>
  <c r="D2153"/>
  <c r="D2154"/>
  <c r="D2155"/>
  <c r="D2156"/>
  <c r="D2157"/>
  <c r="D2158"/>
  <c r="D2159"/>
  <c r="D2160"/>
  <c r="D2161"/>
  <c r="D2162"/>
  <c r="D2163"/>
  <c r="D2164"/>
  <c r="D2165"/>
  <c r="D2166"/>
  <c r="D2167"/>
  <c r="D2168"/>
  <c r="D2169"/>
  <c r="D2170"/>
  <c r="D2171"/>
  <c r="D2172"/>
  <c r="D2173"/>
  <c r="D2174"/>
  <c r="D2175"/>
  <c r="D2176"/>
  <c r="D2177"/>
  <c r="D2178"/>
  <c r="D2179"/>
  <c r="D2180"/>
  <c r="D2181"/>
  <c r="D2182"/>
  <c r="D2183"/>
  <c r="D2184"/>
  <c r="D2185"/>
  <c r="D2186"/>
  <c r="D2187"/>
  <c r="D2188"/>
  <c r="D2189"/>
  <c r="D2190"/>
  <c r="D2191"/>
  <c r="D2192"/>
  <c r="D2193"/>
  <c r="D2194"/>
  <c r="D2195"/>
  <c r="D2196"/>
  <c r="D2197"/>
  <c r="D2198"/>
  <c r="D2199"/>
  <c r="D2200"/>
  <c r="D2201"/>
  <c r="D2202"/>
  <c r="D2203"/>
  <c r="D2204"/>
  <c r="D2205"/>
  <c r="D2206"/>
  <c r="D2207"/>
  <c r="D2208"/>
  <c r="D2209"/>
  <c r="D2210"/>
  <c r="D2211"/>
  <c r="D2212"/>
  <c r="D2213"/>
  <c r="D2214"/>
  <c r="D2215"/>
  <c r="D2216"/>
  <c r="D2217"/>
  <c r="D2218"/>
  <c r="D2219"/>
  <c r="D2220"/>
  <c r="D2221"/>
  <c r="D2222"/>
  <c r="D2223"/>
  <c r="D2224"/>
  <c r="D2225"/>
  <c r="D2226"/>
  <c r="D2227"/>
  <c r="D2228"/>
  <c r="D2229"/>
  <c r="D2230"/>
  <c r="D2231"/>
  <c r="D2232"/>
  <c r="D2233"/>
  <c r="D2234"/>
  <c r="D2235"/>
  <c r="D2236"/>
  <c r="D2237"/>
  <c r="D2238"/>
  <c r="D2239"/>
  <c r="D2240"/>
  <c r="D2241"/>
  <c r="D2242"/>
  <c r="D2243"/>
  <c r="D2244"/>
  <c r="D2245"/>
  <c r="D2246"/>
  <c r="D2247"/>
  <c r="D2248"/>
  <c r="D2249"/>
  <c r="D2250"/>
  <c r="D2251"/>
  <c r="D2252"/>
  <c r="D2253"/>
  <c r="E2"/>
  <c r="E3"/>
  <c r="E4"/>
  <c r="E5"/>
  <c r="E6"/>
  <c r="E7"/>
  <c r="E8"/>
  <c r="E9"/>
  <c r="E1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42"/>
  <c r="E43"/>
  <c r="E44"/>
  <c r="E45"/>
  <c r="E46"/>
  <c r="E47"/>
  <c r="E48"/>
  <c r="E49"/>
  <c r="E50"/>
  <c r="E51"/>
  <c r="E52"/>
  <c r="E53"/>
  <c r="E54"/>
  <c r="E55"/>
  <c r="E56"/>
  <c r="E57"/>
  <c r="E58"/>
  <c r="E59"/>
  <c r="E60"/>
  <c r="E61"/>
  <c r="E62"/>
  <c r="E63"/>
  <c r="E64"/>
  <c r="E65"/>
  <c r="E66"/>
  <c r="E67"/>
  <c r="E68"/>
  <c r="E69"/>
  <c r="E70"/>
  <c r="E71"/>
  <c r="E72"/>
  <c r="E73"/>
  <c r="E74"/>
  <c r="E75"/>
  <c r="E76"/>
  <c r="E77"/>
  <c r="E78"/>
  <c r="E79"/>
  <c r="E80"/>
  <c r="E81"/>
  <c r="E82"/>
  <c r="E83"/>
  <c r="E84"/>
  <c r="E85"/>
  <c r="E86"/>
  <c r="E87"/>
  <c r="E88"/>
  <c r="E89"/>
  <c r="E90"/>
  <c r="E91"/>
  <c r="E92"/>
  <c r="E93"/>
  <c r="E94"/>
  <c r="E95"/>
  <c r="E96"/>
  <c r="E97"/>
  <c r="E98"/>
  <c r="E99"/>
  <c r="E100"/>
  <c r="E101"/>
  <c r="E102"/>
  <c r="E103"/>
  <c r="E104"/>
  <c r="E105"/>
  <c r="E106"/>
  <c r="E107"/>
  <c r="E108"/>
  <c r="E109"/>
  <c r="E110"/>
  <c r="E111"/>
  <c r="E112"/>
  <c r="E113"/>
  <c r="E114"/>
  <c r="E115"/>
  <c r="E116"/>
  <c r="E117"/>
  <c r="E118"/>
  <c r="E119"/>
  <c r="E120"/>
  <c r="E121"/>
  <c r="E122"/>
  <c r="E123"/>
  <c r="E124"/>
  <c r="E125"/>
  <c r="E126"/>
  <c r="E127"/>
  <c r="E128"/>
  <c r="E129"/>
  <c r="E130"/>
  <c r="E131"/>
  <c r="E132"/>
  <c r="E133"/>
  <c r="E134"/>
  <c r="E135"/>
  <c r="E136"/>
  <c r="E137"/>
  <c r="E138"/>
  <c r="E139"/>
  <c r="E140"/>
  <c r="E141"/>
  <c r="E142"/>
  <c r="E143"/>
  <c r="E144"/>
  <c r="E145"/>
  <c r="E146"/>
  <c r="E147"/>
  <c r="E148"/>
  <c r="E149"/>
  <c r="E150"/>
  <c r="E151"/>
  <c r="E152"/>
  <c r="E153"/>
  <c r="E154"/>
  <c r="E155"/>
  <c r="E156"/>
  <c r="E157"/>
  <c r="E158"/>
  <c r="E159"/>
  <c r="E160"/>
  <c r="E161"/>
  <c r="E162"/>
  <c r="E163"/>
  <c r="E164"/>
  <c r="E165"/>
  <c r="E166"/>
  <c r="E167"/>
  <c r="E168"/>
  <c r="E169"/>
  <c r="E170"/>
  <c r="E171"/>
  <c r="E172"/>
  <c r="E173"/>
  <c r="E174"/>
  <c r="E175"/>
  <c r="E176"/>
  <c r="E177"/>
  <c r="E178"/>
  <c r="E179"/>
  <c r="E180"/>
  <c r="E181"/>
  <c r="E182"/>
  <c r="E183"/>
  <c r="E184"/>
  <c r="E185"/>
  <c r="E186"/>
  <c r="E187"/>
  <c r="E188"/>
  <c r="E189"/>
  <c r="E190"/>
  <c r="E191"/>
  <c r="E192"/>
  <c r="E193"/>
  <c r="E194"/>
  <c r="E195"/>
  <c r="E196"/>
  <c r="E197"/>
  <c r="E198"/>
  <c r="E199"/>
  <c r="E200"/>
  <c r="E201"/>
  <c r="E202"/>
  <c r="E203"/>
  <c r="E204"/>
  <c r="E205"/>
  <c r="E206"/>
  <c r="E207"/>
  <c r="E208"/>
  <c r="E209"/>
  <c r="E210"/>
  <c r="E211"/>
  <c r="E212"/>
  <c r="E213"/>
  <c r="E214"/>
  <c r="E215"/>
  <c r="E216"/>
  <c r="E217"/>
  <c r="E218"/>
  <c r="E219"/>
  <c r="E220"/>
  <c r="E221"/>
  <c r="E222"/>
  <c r="E223"/>
  <c r="E224"/>
  <c r="E225"/>
  <c r="E226"/>
  <c r="E227"/>
  <c r="E228"/>
  <c r="E229"/>
  <c r="E230"/>
  <c r="E231"/>
  <c r="E232"/>
  <c r="E233"/>
  <c r="E234"/>
  <c r="E235"/>
  <c r="E236"/>
  <c r="E237"/>
  <c r="E238"/>
  <c r="E239"/>
  <c r="E240"/>
  <c r="E241"/>
  <c r="E242"/>
  <c r="E243"/>
  <c r="E244"/>
  <c r="E245"/>
  <c r="E246"/>
  <c r="E247"/>
  <c r="E248"/>
  <c r="E249"/>
  <c r="E250"/>
  <c r="E251"/>
  <c r="E252"/>
  <c r="E253"/>
  <c r="E254"/>
  <c r="E255"/>
  <c r="E256"/>
  <c r="E257"/>
  <c r="E258"/>
  <c r="E259"/>
  <c r="E260"/>
  <c r="E261"/>
  <c r="E262"/>
  <c r="E263"/>
  <c r="E264"/>
  <c r="E265"/>
  <c r="E266"/>
  <c r="E267"/>
  <c r="E268"/>
  <c r="E269"/>
  <c r="E270"/>
  <c r="E271"/>
  <c r="E272"/>
  <c r="E273"/>
  <c r="E274"/>
  <c r="E275"/>
  <c r="E276"/>
  <c r="E277"/>
  <c r="E278"/>
  <c r="E279"/>
  <c r="E280"/>
  <c r="E281"/>
  <c r="E282"/>
  <c r="E283"/>
  <c r="E284"/>
  <c r="E285"/>
  <c r="E286"/>
  <c r="E287"/>
  <c r="E288"/>
  <c r="E289"/>
  <c r="E290"/>
  <c r="E291"/>
  <c r="E292"/>
  <c r="E293"/>
  <c r="E294"/>
  <c r="E295"/>
  <c r="E296"/>
  <c r="E297"/>
  <c r="E298"/>
  <c r="E299"/>
  <c r="E300"/>
  <c r="E301"/>
  <c r="E302"/>
  <c r="E303"/>
  <c r="E304"/>
  <c r="E305"/>
  <c r="E306"/>
  <c r="E307"/>
  <c r="E308"/>
  <c r="E309"/>
  <c r="E310"/>
  <c r="E311"/>
  <c r="E312"/>
  <c r="E313"/>
  <c r="E314"/>
  <c r="E315"/>
  <c r="E316"/>
  <c r="E317"/>
  <c r="E318"/>
  <c r="E319"/>
  <c r="E320"/>
  <c r="E321"/>
  <c r="E322"/>
  <c r="E323"/>
  <c r="E324"/>
  <c r="E325"/>
  <c r="E326"/>
  <c r="E327"/>
  <c r="E328"/>
  <c r="E329"/>
  <c r="E330"/>
  <c r="E331"/>
  <c r="E332"/>
  <c r="E333"/>
  <c r="E334"/>
  <c r="E335"/>
  <c r="E336"/>
  <c r="E337"/>
  <c r="E338"/>
  <c r="E339"/>
  <c r="E340"/>
  <c r="E341"/>
  <c r="E342"/>
  <c r="E343"/>
  <c r="E344"/>
  <c r="E345"/>
  <c r="E346"/>
  <c r="E347"/>
  <c r="E348"/>
  <c r="E349"/>
  <c r="E350"/>
  <c r="E351"/>
  <c r="E352"/>
  <c r="E353"/>
  <c r="E354"/>
  <c r="E355"/>
  <c r="E356"/>
  <c r="E357"/>
  <c r="E358"/>
  <c r="E359"/>
  <c r="E360"/>
  <c r="E361"/>
  <c r="E362"/>
  <c r="E363"/>
  <c r="E364"/>
  <c r="E365"/>
  <c r="E366"/>
  <c r="E367"/>
  <c r="E368"/>
  <c r="E369"/>
  <c r="E370"/>
  <c r="E371"/>
  <c r="E372"/>
  <c r="E373"/>
  <c r="E374"/>
  <c r="E375"/>
  <c r="E376"/>
  <c r="E377"/>
  <c r="E378"/>
  <c r="E379"/>
  <c r="E380"/>
  <c r="E381"/>
  <c r="E382"/>
  <c r="E383"/>
  <c r="E384"/>
  <c r="E385"/>
  <c r="E386"/>
  <c r="E387"/>
  <c r="E388"/>
  <c r="E389"/>
  <c r="E390"/>
  <c r="E391"/>
  <c r="E392"/>
  <c r="E393"/>
  <c r="E394"/>
  <c r="E395"/>
  <c r="E396"/>
  <c r="E397"/>
  <c r="E398"/>
  <c r="E399"/>
  <c r="E400"/>
  <c r="E401"/>
  <c r="E402"/>
  <c r="E403"/>
  <c r="E404"/>
  <c r="E405"/>
  <c r="E406"/>
  <c r="E407"/>
  <c r="E408"/>
  <c r="E409"/>
  <c r="E410"/>
  <c r="E411"/>
  <c r="E412"/>
  <c r="E413"/>
  <c r="E414"/>
  <c r="E415"/>
  <c r="E416"/>
  <c r="E417"/>
  <c r="E418"/>
  <c r="E419"/>
  <c r="E420"/>
  <c r="E421"/>
  <c r="E422"/>
  <c r="E423"/>
  <c r="E424"/>
  <c r="E425"/>
  <c r="E426"/>
  <c r="E427"/>
  <c r="E428"/>
  <c r="E429"/>
  <c r="E430"/>
  <c r="E431"/>
  <c r="E432"/>
  <c r="E433"/>
  <c r="E434"/>
  <c r="E435"/>
  <c r="E436"/>
  <c r="E437"/>
  <c r="E438"/>
  <c r="E439"/>
  <c r="E440"/>
  <c r="E441"/>
  <c r="E442"/>
  <c r="E443"/>
  <c r="E444"/>
  <c r="E445"/>
  <c r="E446"/>
  <c r="E447"/>
  <c r="E448"/>
  <c r="E449"/>
  <c r="E450"/>
  <c r="E451"/>
  <c r="E452"/>
  <c r="E453"/>
  <c r="E454"/>
  <c r="E455"/>
  <c r="E456"/>
  <c r="E457"/>
  <c r="E458"/>
  <c r="E459"/>
  <c r="E460"/>
  <c r="E461"/>
  <c r="E462"/>
  <c r="E463"/>
  <c r="E464"/>
  <c r="E465"/>
  <c r="E466"/>
  <c r="E467"/>
  <c r="E468"/>
  <c r="E469"/>
  <c r="E470"/>
  <c r="E471"/>
  <c r="E472"/>
  <c r="E473"/>
  <c r="E474"/>
  <c r="E475"/>
  <c r="E476"/>
  <c r="E477"/>
  <c r="E478"/>
  <c r="E479"/>
  <c r="E480"/>
  <c r="E481"/>
  <c r="E482"/>
  <c r="E483"/>
  <c r="E484"/>
  <c r="E485"/>
  <c r="E486"/>
  <c r="E487"/>
  <c r="E488"/>
  <c r="E489"/>
  <c r="E490"/>
  <c r="E491"/>
  <c r="E492"/>
  <c r="E493"/>
  <c r="E494"/>
  <c r="E495"/>
  <c r="E496"/>
  <c r="E497"/>
  <c r="E498"/>
  <c r="E499"/>
  <c r="E500"/>
  <c r="E501"/>
  <c r="E502"/>
  <c r="E503"/>
  <c r="E504"/>
  <c r="E505"/>
  <c r="E506"/>
  <c r="E507"/>
  <c r="E508"/>
  <c r="E509"/>
  <c r="E510"/>
  <c r="E511"/>
  <c r="E512"/>
  <c r="E513"/>
  <c r="E514"/>
  <c r="E515"/>
  <c r="E516"/>
  <c r="E517"/>
  <c r="E518"/>
  <c r="E519"/>
  <c r="E520"/>
  <c r="E521"/>
  <c r="E522"/>
  <c r="E523"/>
  <c r="E524"/>
  <c r="E525"/>
  <c r="E526"/>
  <c r="E527"/>
  <c r="E528"/>
  <c r="E529"/>
  <c r="E530"/>
  <c r="E531"/>
  <c r="E532"/>
  <c r="E533"/>
  <c r="E534"/>
  <c r="E535"/>
  <c r="E536"/>
  <c r="E537"/>
  <c r="E538"/>
  <c r="E539"/>
  <c r="E540"/>
  <c r="E541"/>
  <c r="E542"/>
  <c r="E543"/>
  <c r="E544"/>
  <c r="E545"/>
  <c r="E546"/>
  <c r="E547"/>
  <c r="E548"/>
  <c r="E549"/>
  <c r="E550"/>
  <c r="E551"/>
  <c r="E552"/>
  <c r="E553"/>
  <c r="E554"/>
  <c r="E555"/>
  <c r="E556"/>
  <c r="E557"/>
  <c r="E558"/>
  <c r="E559"/>
  <c r="E560"/>
  <c r="E561"/>
  <c r="E562"/>
  <c r="E563"/>
  <c r="E564"/>
  <c r="E565"/>
  <c r="E566"/>
  <c r="E567"/>
  <c r="E568"/>
  <c r="E569"/>
  <c r="E570"/>
  <c r="E571"/>
  <c r="E572"/>
  <c r="E573"/>
  <c r="E574"/>
  <c r="E575"/>
  <c r="E576"/>
  <c r="E577"/>
  <c r="E578"/>
  <c r="E579"/>
  <c r="E580"/>
  <c r="E581"/>
  <c r="E582"/>
  <c r="E583"/>
  <c r="E584"/>
  <c r="E585"/>
  <c r="E586"/>
  <c r="E587"/>
  <c r="E588"/>
  <c r="E589"/>
  <c r="E590"/>
  <c r="E591"/>
  <c r="E592"/>
  <c r="E593"/>
  <c r="E594"/>
  <c r="E595"/>
  <c r="E596"/>
  <c r="E597"/>
  <c r="E598"/>
  <c r="E599"/>
  <c r="E600"/>
  <c r="E601"/>
  <c r="E602"/>
  <c r="E603"/>
  <c r="E604"/>
  <c r="E605"/>
  <c r="E606"/>
  <c r="E607"/>
  <c r="E608"/>
  <c r="E609"/>
  <c r="E610"/>
  <c r="E611"/>
  <c r="E612"/>
  <c r="E613"/>
  <c r="E614"/>
  <c r="E615"/>
  <c r="E616"/>
  <c r="E617"/>
  <c r="E618"/>
  <c r="E619"/>
  <c r="E620"/>
  <c r="E621"/>
  <c r="E622"/>
  <c r="E623"/>
  <c r="E624"/>
  <c r="E625"/>
  <c r="E626"/>
  <c r="E627"/>
  <c r="E628"/>
  <c r="E629"/>
  <c r="E630"/>
  <c r="E631"/>
  <c r="E632"/>
  <c r="E633"/>
  <c r="E634"/>
  <c r="E635"/>
  <c r="E636"/>
  <c r="E637"/>
  <c r="E638"/>
  <c r="E639"/>
  <c r="E640"/>
  <c r="E641"/>
  <c r="E642"/>
  <c r="E643"/>
  <c r="E644"/>
  <c r="E645"/>
  <c r="E646"/>
  <c r="E647"/>
  <c r="E648"/>
  <c r="E649"/>
  <c r="E650"/>
  <c r="E651"/>
  <c r="E652"/>
  <c r="E653"/>
  <c r="E654"/>
  <c r="E655"/>
  <c r="E656"/>
  <c r="E657"/>
  <c r="E658"/>
  <c r="E659"/>
  <c r="E660"/>
  <c r="E661"/>
  <c r="E662"/>
  <c r="E663"/>
  <c r="E664"/>
  <c r="E665"/>
  <c r="E666"/>
  <c r="E667"/>
  <c r="E668"/>
  <c r="E669"/>
  <c r="E670"/>
  <c r="E671"/>
  <c r="E672"/>
  <c r="E673"/>
  <c r="E674"/>
  <c r="E675"/>
  <c r="E676"/>
  <c r="E677"/>
  <c r="E678"/>
  <c r="E679"/>
  <c r="E680"/>
  <c r="E681"/>
  <c r="E682"/>
  <c r="E683"/>
  <c r="E684"/>
  <c r="E685"/>
  <c r="E686"/>
  <c r="E687"/>
  <c r="E688"/>
  <c r="E689"/>
  <c r="E690"/>
  <c r="E691"/>
  <c r="E692"/>
  <c r="E693"/>
  <c r="E694"/>
  <c r="E695"/>
  <c r="E696"/>
  <c r="E697"/>
  <c r="E698"/>
  <c r="E699"/>
  <c r="E700"/>
  <c r="E701"/>
  <c r="E702"/>
  <c r="E703"/>
  <c r="E704"/>
  <c r="E705"/>
  <c r="E706"/>
  <c r="E707"/>
  <c r="E708"/>
  <c r="E709"/>
  <c r="E710"/>
  <c r="E711"/>
  <c r="E712"/>
  <c r="E713"/>
  <c r="E714"/>
  <c r="E715"/>
  <c r="E716"/>
  <c r="E717"/>
  <c r="E718"/>
  <c r="E719"/>
  <c r="E720"/>
  <c r="E721"/>
  <c r="E722"/>
  <c r="E723"/>
  <c r="E724"/>
  <c r="E725"/>
  <c r="E726"/>
  <c r="E727"/>
  <c r="E728"/>
  <c r="E729"/>
  <c r="E730"/>
  <c r="E731"/>
  <c r="E732"/>
  <c r="E733"/>
  <c r="E734"/>
  <c r="E735"/>
  <c r="E736"/>
  <c r="E737"/>
  <c r="E738"/>
  <c r="E739"/>
  <c r="E740"/>
  <c r="E741"/>
  <c r="E742"/>
  <c r="E743"/>
  <c r="E744"/>
  <c r="E745"/>
  <c r="E746"/>
  <c r="E747"/>
  <c r="E748"/>
  <c r="E749"/>
  <c r="E750"/>
  <c r="E751"/>
  <c r="E752"/>
  <c r="E753"/>
  <c r="E754"/>
  <c r="E755"/>
  <c r="E756"/>
  <c r="E757"/>
  <c r="E758"/>
  <c r="E759"/>
  <c r="E760"/>
  <c r="E761"/>
  <c r="E762"/>
  <c r="E763"/>
  <c r="E764"/>
  <c r="E765"/>
  <c r="E766"/>
  <c r="E767"/>
  <c r="E768"/>
  <c r="E769"/>
  <c r="E770"/>
  <c r="E771"/>
  <c r="E772"/>
  <c r="E773"/>
  <c r="E774"/>
  <c r="E775"/>
  <c r="E776"/>
  <c r="E777"/>
  <c r="E778"/>
  <c r="E779"/>
  <c r="E780"/>
  <c r="E781"/>
  <c r="E782"/>
  <c r="E783"/>
  <c r="E784"/>
  <c r="E785"/>
  <c r="E786"/>
  <c r="E787"/>
  <c r="E788"/>
  <c r="E789"/>
  <c r="E790"/>
  <c r="E791"/>
  <c r="E792"/>
  <c r="E793"/>
  <c r="E794"/>
  <c r="E795"/>
  <c r="E796"/>
  <c r="E797"/>
  <c r="E798"/>
  <c r="E799"/>
  <c r="E800"/>
  <c r="E801"/>
  <c r="E802"/>
  <c r="E803"/>
  <c r="E804"/>
  <c r="E805"/>
  <c r="E806"/>
  <c r="E807"/>
  <c r="E808"/>
  <c r="E809"/>
  <c r="E810"/>
  <c r="E811"/>
  <c r="E812"/>
  <c r="E813"/>
  <c r="E814"/>
  <c r="E815"/>
  <c r="E816"/>
  <c r="E817"/>
  <c r="E818"/>
  <c r="E819"/>
  <c r="E820"/>
  <c r="E821"/>
  <c r="E822"/>
  <c r="E823"/>
  <c r="E824"/>
  <c r="E825"/>
  <c r="E826"/>
  <c r="E827"/>
  <c r="E828"/>
  <c r="E829"/>
  <c r="E830"/>
  <c r="E831"/>
  <c r="E832"/>
  <c r="E833"/>
  <c r="E834"/>
  <c r="E835"/>
  <c r="E836"/>
  <c r="E837"/>
  <c r="E838"/>
  <c r="E839"/>
  <c r="E840"/>
  <c r="E841"/>
  <c r="E842"/>
  <c r="E843"/>
  <c r="E844"/>
  <c r="E845"/>
  <c r="E846"/>
  <c r="E847"/>
  <c r="E848"/>
  <c r="E849"/>
  <c r="E850"/>
  <c r="E851"/>
  <c r="E852"/>
  <c r="E853"/>
  <c r="E854"/>
  <c r="E855"/>
  <c r="E856"/>
  <c r="E857"/>
  <c r="E858"/>
  <c r="E859"/>
  <c r="E860"/>
  <c r="E861"/>
  <c r="E862"/>
  <c r="E863"/>
  <c r="E864"/>
  <c r="E865"/>
  <c r="E866"/>
  <c r="E867"/>
  <c r="E868"/>
  <c r="E869"/>
  <c r="E870"/>
  <c r="E871"/>
  <c r="E872"/>
  <c r="E873"/>
  <c r="E874"/>
  <c r="E875"/>
  <c r="E876"/>
  <c r="E877"/>
  <c r="E878"/>
  <c r="E879"/>
  <c r="E880"/>
  <c r="E881"/>
  <c r="E882"/>
  <c r="E883"/>
  <c r="E884"/>
  <c r="E885"/>
  <c r="E886"/>
  <c r="E887"/>
  <c r="E888"/>
  <c r="E889"/>
  <c r="E890"/>
  <c r="E891"/>
  <c r="E892"/>
  <c r="E893"/>
  <c r="E894"/>
  <c r="E895"/>
  <c r="E896"/>
  <c r="E897"/>
  <c r="E898"/>
  <c r="E899"/>
  <c r="E900"/>
  <c r="E901"/>
  <c r="E902"/>
  <c r="E903"/>
  <c r="E904"/>
  <c r="E905"/>
  <c r="E906"/>
  <c r="E907"/>
  <c r="E908"/>
  <c r="E909"/>
  <c r="E910"/>
  <c r="E911"/>
  <c r="E912"/>
  <c r="E913"/>
  <c r="E914"/>
  <c r="E915"/>
  <c r="E916"/>
  <c r="E917"/>
  <c r="E918"/>
  <c r="E919"/>
  <c r="E920"/>
  <c r="E921"/>
  <c r="E922"/>
  <c r="E923"/>
  <c r="E924"/>
  <c r="E925"/>
  <c r="E926"/>
  <c r="E927"/>
  <c r="E928"/>
  <c r="E929"/>
  <c r="E930"/>
  <c r="E931"/>
  <c r="E932"/>
  <c r="E933"/>
  <c r="E934"/>
  <c r="E935"/>
  <c r="E936"/>
  <c r="E937"/>
  <c r="E938"/>
  <c r="E939"/>
  <c r="E940"/>
  <c r="E941"/>
  <c r="E942"/>
  <c r="E943"/>
  <c r="E944"/>
  <c r="E945"/>
  <c r="E946"/>
  <c r="E947"/>
  <c r="E948"/>
  <c r="E949"/>
  <c r="E950"/>
  <c r="E951"/>
  <c r="E952"/>
  <c r="E953"/>
  <c r="E954"/>
  <c r="E955"/>
  <c r="E956"/>
  <c r="E957"/>
  <c r="E958"/>
  <c r="E959"/>
  <c r="E960"/>
  <c r="E961"/>
  <c r="E962"/>
  <c r="E963"/>
  <c r="E964"/>
  <c r="E965"/>
  <c r="E966"/>
  <c r="E967"/>
  <c r="E968"/>
  <c r="E969"/>
  <c r="E970"/>
  <c r="E971"/>
  <c r="E972"/>
  <c r="E973"/>
  <c r="E974"/>
  <c r="E975"/>
  <c r="E976"/>
  <c r="E977"/>
  <c r="E978"/>
  <c r="E979"/>
  <c r="E980"/>
  <c r="E981"/>
  <c r="E982"/>
  <c r="E983"/>
  <c r="E984"/>
  <c r="E985"/>
  <c r="E986"/>
  <c r="E987"/>
  <c r="E988"/>
  <c r="E989"/>
  <c r="E990"/>
  <c r="E991"/>
  <c r="E992"/>
  <c r="E993"/>
  <c r="E994"/>
  <c r="E995"/>
  <c r="E996"/>
  <c r="E997"/>
  <c r="E998"/>
  <c r="E999"/>
  <c r="E1000"/>
  <c r="E1001"/>
  <c r="E1002"/>
  <c r="E1003"/>
  <c r="E1004"/>
  <c r="E1005"/>
  <c r="E1006"/>
  <c r="E1007"/>
  <c r="E1008"/>
  <c r="E1009"/>
  <c r="E1010"/>
  <c r="E1011"/>
  <c r="E1012"/>
  <c r="E1013"/>
  <c r="E1014"/>
  <c r="E1015"/>
  <c r="E1016"/>
  <c r="E1017"/>
  <c r="E1018"/>
  <c r="E1019"/>
  <c r="E1020"/>
  <c r="E1021"/>
  <c r="E1022"/>
  <c r="E1023"/>
  <c r="E1024"/>
  <c r="E1025"/>
  <c r="E1026"/>
  <c r="E1027"/>
  <c r="E1028"/>
  <c r="E1029"/>
  <c r="E1030"/>
  <c r="E1031"/>
  <c r="E1032"/>
  <c r="E1033"/>
  <c r="E1034"/>
  <c r="E1035"/>
  <c r="E1036"/>
  <c r="E1037"/>
  <c r="E1038"/>
  <c r="E1039"/>
  <c r="E1040"/>
  <c r="E1041"/>
  <c r="E1042"/>
  <c r="E1043"/>
  <c r="E1044"/>
  <c r="E1045"/>
  <c r="E1046"/>
  <c r="E1047"/>
  <c r="E1048"/>
  <c r="E1049"/>
  <c r="E1050"/>
  <c r="E1051"/>
  <c r="E1052"/>
  <c r="E1053"/>
  <c r="E1054"/>
  <c r="E1055"/>
  <c r="E1056"/>
  <c r="E1057"/>
  <c r="E1058"/>
  <c r="E1059"/>
  <c r="E1060"/>
  <c r="E1061"/>
  <c r="E1062"/>
  <c r="E1063"/>
  <c r="E1064"/>
  <c r="E1065"/>
  <c r="E1066"/>
  <c r="E1067"/>
  <c r="E1068"/>
  <c r="E1069"/>
  <c r="E1070"/>
  <c r="E1071"/>
  <c r="E1072"/>
  <c r="E1073"/>
  <c r="E1074"/>
  <c r="E1075"/>
  <c r="E1076"/>
  <c r="E1077"/>
  <c r="E1078"/>
  <c r="E1079"/>
  <c r="E1080"/>
  <c r="E1081"/>
  <c r="E1082"/>
  <c r="E1083"/>
  <c r="E1084"/>
  <c r="E1085"/>
  <c r="E1086"/>
  <c r="E1087"/>
  <c r="E1088"/>
  <c r="E1089"/>
  <c r="E1090"/>
  <c r="E1091"/>
  <c r="E1092"/>
  <c r="E1093"/>
  <c r="E1094"/>
  <c r="E1095"/>
  <c r="E1096"/>
  <c r="E1097"/>
  <c r="E1098"/>
  <c r="E1099"/>
  <c r="E1100"/>
  <c r="E1101"/>
  <c r="E1102"/>
  <c r="E1103"/>
  <c r="E1104"/>
  <c r="E1105"/>
  <c r="E1106"/>
  <c r="E1107"/>
  <c r="E1108"/>
  <c r="E1109"/>
  <c r="E1110"/>
  <c r="E1111"/>
  <c r="E1112"/>
  <c r="E1113"/>
  <c r="E1114"/>
  <c r="E1115"/>
  <c r="E1116"/>
  <c r="E1117"/>
  <c r="E1118"/>
  <c r="E1119"/>
  <c r="E1120"/>
  <c r="E1121"/>
  <c r="E1122"/>
  <c r="E1123"/>
  <c r="E1124"/>
  <c r="E1125"/>
  <c r="E1126"/>
  <c r="E1127"/>
  <c r="E1128"/>
  <c r="E1129"/>
  <c r="E1130"/>
  <c r="E1131"/>
  <c r="E1132"/>
  <c r="E1133"/>
  <c r="E1134"/>
  <c r="E1135"/>
  <c r="E1136"/>
  <c r="E1137"/>
  <c r="E1138"/>
  <c r="E1139"/>
  <c r="E1140"/>
  <c r="E1141"/>
  <c r="E1142"/>
  <c r="E1143"/>
  <c r="E1144"/>
  <c r="E1145"/>
  <c r="E1146"/>
  <c r="E1147"/>
  <c r="E1148"/>
  <c r="E1149"/>
  <c r="E1150"/>
  <c r="E1151"/>
  <c r="E1152"/>
  <c r="E1153"/>
  <c r="E1154"/>
  <c r="E1155"/>
  <c r="E1156"/>
  <c r="E1157"/>
  <c r="E1158"/>
  <c r="E1159"/>
  <c r="E1160"/>
  <c r="E1161"/>
  <c r="E1162"/>
  <c r="E1163"/>
  <c r="E1164"/>
  <c r="E1165"/>
  <c r="E1166"/>
  <c r="E1167"/>
  <c r="E1168"/>
  <c r="E1169"/>
  <c r="E1170"/>
  <c r="E1171"/>
  <c r="E1172"/>
  <c r="E1173"/>
  <c r="E1174"/>
  <c r="E1175"/>
  <c r="E1176"/>
  <c r="E1177"/>
  <c r="E1178"/>
  <c r="E1179"/>
  <c r="E1180"/>
  <c r="E1181"/>
  <c r="E1182"/>
  <c r="E1183"/>
  <c r="E1184"/>
  <c r="E1185"/>
  <c r="E1186"/>
  <c r="E1187"/>
  <c r="E1188"/>
  <c r="E1189"/>
  <c r="E1190"/>
  <c r="E1191"/>
  <c r="E1192"/>
  <c r="E1193"/>
  <c r="E1194"/>
  <c r="E1195"/>
  <c r="E1196"/>
  <c r="E1197"/>
  <c r="E1198"/>
  <c r="E1199"/>
  <c r="E1200"/>
  <c r="E1201"/>
  <c r="E1202"/>
  <c r="E1203"/>
  <c r="E1204"/>
  <c r="E1205"/>
  <c r="E1206"/>
  <c r="E1207"/>
  <c r="E1208"/>
  <c r="E1209"/>
  <c r="E1210"/>
  <c r="E1211"/>
  <c r="E1212"/>
  <c r="E1213"/>
  <c r="E1214"/>
  <c r="E1215"/>
  <c r="E1216"/>
  <c r="E1217"/>
  <c r="E1218"/>
  <c r="E1219"/>
  <c r="E1220"/>
  <c r="E1221"/>
  <c r="E1222"/>
  <c r="E1223"/>
  <c r="E1224"/>
  <c r="E1225"/>
  <c r="E1226"/>
  <c r="E1227"/>
  <c r="E1228"/>
  <c r="E1229"/>
  <c r="E1230"/>
  <c r="E1231"/>
  <c r="E1232"/>
  <c r="E1233"/>
  <c r="E1234"/>
  <c r="E1235"/>
  <c r="E1236"/>
  <c r="E1237"/>
  <c r="E1238"/>
  <c r="E1239"/>
  <c r="E1240"/>
  <c r="E1241"/>
  <c r="E1242"/>
  <c r="E1243"/>
  <c r="E1244"/>
  <c r="E1245"/>
  <c r="E1246"/>
  <c r="E1247"/>
  <c r="E1248"/>
  <c r="E1249"/>
  <c r="E1250"/>
  <c r="E1251"/>
  <c r="E1252"/>
  <c r="E1253"/>
  <c r="E1254"/>
  <c r="E1255"/>
  <c r="E1256"/>
  <c r="E1257"/>
  <c r="E1258"/>
  <c r="E1259"/>
  <c r="E1260"/>
  <c r="E1261"/>
  <c r="E1262"/>
  <c r="E1263"/>
  <c r="E1264"/>
  <c r="E1265"/>
  <c r="E1266"/>
  <c r="E1267"/>
  <c r="E1268"/>
  <c r="E1269"/>
  <c r="E1270"/>
  <c r="E1271"/>
  <c r="E1272"/>
  <c r="E1273"/>
  <c r="E1274"/>
  <c r="E1275"/>
  <c r="E1276"/>
  <c r="E1277"/>
  <c r="E1278"/>
  <c r="E1279"/>
  <c r="E1280"/>
  <c r="E1281"/>
  <c r="E1282"/>
  <c r="E1283"/>
  <c r="E1284"/>
  <c r="E1285"/>
  <c r="E1286"/>
  <c r="E1287"/>
  <c r="E1288"/>
  <c r="E1289"/>
  <c r="E1290"/>
  <c r="E1291"/>
  <c r="E1292"/>
  <c r="E1293"/>
  <c r="E1294"/>
  <c r="E1295"/>
  <c r="E1296"/>
  <c r="E1297"/>
  <c r="E1298"/>
  <c r="E1299"/>
  <c r="E1300"/>
  <c r="E1301"/>
  <c r="E1302"/>
  <c r="E1303"/>
  <c r="E1304"/>
  <c r="E1305"/>
  <c r="E1306"/>
  <c r="E1307"/>
  <c r="E1308"/>
  <c r="E1309"/>
  <c r="E1310"/>
  <c r="E1311"/>
  <c r="E1312"/>
  <c r="E1313"/>
  <c r="E1314"/>
  <c r="E1315"/>
  <c r="E1316"/>
  <c r="E1317"/>
  <c r="E1318"/>
  <c r="E1319"/>
  <c r="E1320"/>
  <c r="E1321"/>
  <c r="E1322"/>
  <c r="E1323"/>
  <c r="E1324"/>
  <c r="E1325"/>
  <c r="E1326"/>
  <c r="E1327"/>
  <c r="E1328"/>
  <c r="E1329"/>
  <c r="E1330"/>
  <c r="E1331"/>
  <c r="E1332"/>
  <c r="E1333"/>
  <c r="E1334"/>
  <c r="E1335"/>
  <c r="E1336"/>
  <c r="E1337"/>
  <c r="E1338"/>
  <c r="E1339"/>
  <c r="E1340"/>
  <c r="E1341"/>
  <c r="E1342"/>
  <c r="E1343"/>
  <c r="E1344"/>
  <c r="E1345"/>
  <c r="E1346"/>
  <c r="E1347"/>
  <c r="E1348"/>
  <c r="E1349"/>
  <c r="E1350"/>
  <c r="E1351"/>
  <c r="E1352"/>
  <c r="E1353"/>
  <c r="E1354"/>
  <c r="E1355"/>
  <c r="E1356"/>
  <c r="E1357"/>
  <c r="E1358"/>
  <c r="E1359"/>
  <c r="E1360"/>
  <c r="E1361"/>
  <c r="E1362"/>
  <c r="E1363"/>
  <c r="E1364"/>
  <c r="E1365"/>
  <c r="E1366"/>
  <c r="E1367"/>
  <c r="E1368"/>
  <c r="E1369"/>
  <c r="E1370"/>
  <c r="E1371"/>
  <c r="E1372"/>
  <c r="E1373"/>
  <c r="E1374"/>
  <c r="E1375"/>
  <c r="E1376"/>
  <c r="E1377"/>
  <c r="E1378"/>
  <c r="E1379"/>
  <c r="E1380"/>
  <c r="E1381"/>
  <c r="E1382"/>
  <c r="E1383"/>
  <c r="E1384"/>
  <c r="E1385"/>
  <c r="E1386"/>
  <c r="E1387"/>
  <c r="E1388"/>
  <c r="E1389"/>
  <c r="E1390"/>
  <c r="E1391"/>
  <c r="E1392"/>
  <c r="E1393"/>
  <c r="E1394"/>
  <c r="E1395"/>
  <c r="E1396"/>
  <c r="E1397"/>
  <c r="E1398"/>
  <c r="E1399"/>
  <c r="E1400"/>
  <c r="E1401"/>
  <c r="E1402"/>
  <c r="E1403"/>
  <c r="E1404"/>
  <c r="E1405"/>
  <c r="E1406"/>
  <c r="E1407"/>
  <c r="E1408"/>
  <c r="E1409"/>
  <c r="E1410"/>
  <c r="E1411"/>
  <c r="E1412"/>
  <c r="E1413"/>
  <c r="E1414"/>
  <c r="E1415"/>
  <c r="E1416"/>
  <c r="E1417"/>
  <c r="E1418"/>
  <c r="E1419"/>
  <c r="E1420"/>
  <c r="E1421"/>
  <c r="E1422"/>
  <c r="E1423"/>
  <c r="E1424"/>
  <c r="E1425"/>
  <c r="E1426"/>
  <c r="E1427"/>
  <c r="E1428"/>
  <c r="E1429"/>
  <c r="E1430"/>
  <c r="E1431"/>
  <c r="E1432"/>
  <c r="E1433"/>
  <c r="E1434"/>
  <c r="E1435"/>
  <c r="E1436"/>
  <c r="E1437"/>
  <c r="E1438"/>
  <c r="E1439"/>
  <c r="E1440"/>
  <c r="E1441"/>
  <c r="E1442"/>
  <c r="E1443"/>
  <c r="E1444"/>
  <c r="E1445"/>
  <c r="E1446"/>
  <c r="E1447"/>
  <c r="E1448"/>
  <c r="E1449"/>
  <c r="E1450"/>
  <c r="E1451"/>
  <c r="E1452"/>
  <c r="E1453"/>
  <c r="E1454"/>
  <c r="E1455"/>
  <c r="E1456"/>
  <c r="E1457"/>
  <c r="E1458"/>
  <c r="E1459"/>
  <c r="E1460"/>
  <c r="E1461"/>
  <c r="E1462"/>
  <c r="E1463"/>
  <c r="E1464"/>
  <c r="E1465"/>
  <c r="E1466"/>
  <c r="E1467"/>
  <c r="E1468"/>
  <c r="E1469"/>
  <c r="E1470"/>
  <c r="E1471"/>
  <c r="E1472"/>
  <c r="E1473"/>
  <c r="E1474"/>
  <c r="E1475"/>
  <c r="E1476"/>
  <c r="E1477"/>
  <c r="E1478"/>
  <c r="E1479"/>
  <c r="E1480"/>
  <c r="E1481"/>
  <c r="E1482"/>
  <c r="E1483"/>
  <c r="E1484"/>
  <c r="E1485"/>
  <c r="E1486"/>
  <c r="E1487"/>
  <c r="E1488"/>
  <c r="E1489"/>
  <c r="E1490"/>
  <c r="E1491"/>
  <c r="E1492"/>
  <c r="E1493"/>
  <c r="E1494"/>
  <c r="E1495"/>
  <c r="E1496"/>
  <c r="E1497"/>
  <c r="E1498"/>
  <c r="E1499"/>
  <c r="E1500"/>
  <c r="E1501"/>
  <c r="E1502"/>
  <c r="E1503"/>
  <c r="E1504"/>
  <c r="E1505"/>
  <c r="E1506"/>
  <c r="E1507"/>
  <c r="E1508"/>
  <c r="E1509"/>
  <c r="E1510"/>
  <c r="E1511"/>
  <c r="E1512"/>
  <c r="E1513"/>
  <c r="E1514"/>
  <c r="E1515"/>
  <c r="E1516"/>
  <c r="E1517"/>
  <c r="E1518"/>
  <c r="E1519"/>
  <c r="E1520"/>
  <c r="E1521"/>
  <c r="E1522"/>
  <c r="E1523"/>
  <c r="E1524"/>
  <c r="E1525"/>
  <c r="E1526"/>
  <c r="E1527"/>
  <c r="E1528"/>
  <c r="E1529"/>
  <c r="E1530"/>
  <c r="E1531"/>
  <c r="E1532"/>
  <c r="E1533"/>
  <c r="E1534"/>
  <c r="E1535"/>
  <c r="E1536"/>
  <c r="E1537"/>
  <c r="E1538"/>
  <c r="E1539"/>
  <c r="E1540"/>
  <c r="E1541"/>
  <c r="E1542"/>
  <c r="E1543"/>
  <c r="E1544"/>
  <c r="E1545"/>
  <c r="E1546"/>
  <c r="E1547"/>
  <c r="E1548"/>
  <c r="E1549"/>
  <c r="E1550"/>
  <c r="E1551"/>
  <c r="E1552"/>
  <c r="E1553"/>
  <c r="E1554"/>
  <c r="E1555"/>
  <c r="E1556"/>
  <c r="E1557"/>
  <c r="E1558"/>
  <c r="E1559"/>
  <c r="E1560"/>
  <c r="E1561"/>
  <c r="E1562"/>
  <c r="E1563"/>
  <c r="E1564"/>
  <c r="E1565"/>
  <c r="E1566"/>
  <c r="E1567"/>
  <c r="E1568"/>
  <c r="E1569"/>
  <c r="E1570"/>
  <c r="E1571"/>
  <c r="E1572"/>
  <c r="E1573"/>
  <c r="E1574"/>
  <c r="E1575"/>
  <c r="E1576"/>
  <c r="E1577"/>
  <c r="E1578"/>
  <c r="E1579"/>
  <c r="E1580"/>
  <c r="E1581"/>
  <c r="E1582"/>
  <c r="E1583"/>
  <c r="E1584"/>
  <c r="E1585"/>
  <c r="E1586"/>
  <c r="E1587"/>
  <c r="E1588"/>
  <c r="E1589"/>
  <c r="E1590"/>
  <c r="E1591"/>
  <c r="E1592"/>
  <c r="E1593"/>
  <c r="E1594"/>
  <c r="E1595"/>
  <c r="E1596"/>
  <c r="E1597"/>
  <c r="E1598"/>
  <c r="E1599"/>
  <c r="E1600"/>
  <c r="E1601"/>
  <c r="E1602"/>
  <c r="E1603"/>
  <c r="E1604"/>
  <c r="E1605"/>
  <c r="E1606"/>
  <c r="E1607"/>
  <c r="E1608"/>
  <c r="E1609"/>
  <c r="E1610"/>
  <c r="E1611"/>
  <c r="E1612"/>
  <c r="E1613"/>
  <c r="E1614"/>
  <c r="E1615"/>
  <c r="E1616"/>
  <c r="E1617"/>
  <c r="E1618"/>
  <c r="E1619"/>
  <c r="E1620"/>
  <c r="E1621"/>
  <c r="E1622"/>
  <c r="E1623"/>
  <c r="E1624"/>
  <c r="E1625"/>
  <c r="E1626"/>
  <c r="E1627"/>
  <c r="E1628"/>
  <c r="E1629"/>
  <c r="E1630"/>
  <c r="E1631"/>
  <c r="E1632"/>
  <c r="E1633"/>
  <c r="E1634"/>
  <c r="E1635"/>
  <c r="E1636"/>
  <c r="E1637"/>
  <c r="E1638"/>
  <c r="E1639"/>
  <c r="E1640"/>
  <c r="E1641"/>
  <c r="E1642"/>
  <c r="E1643"/>
  <c r="E1644"/>
  <c r="E1645"/>
  <c r="E1646"/>
  <c r="E1647"/>
  <c r="E1648"/>
  <c r="E1649"/>
  <c r="E1650"/>
  <c r="E1651"/>
  <c r="E1652"/>
  <c r="E1653"/>
  <c r="E1654"/>
  <c r="E1655"/>
  <c r="E1656"/>
  <c r="E1657"/>
  <c r="E1658"/>
  <c r="E1659"/>
  <c r="E1660"/>
  <c r="E1661"/>
  <c r="E1662"/>
  <c r="E1663"/>
  <c r="E1664"/>
  <c r="E1665"/>
  <c r="E1666"/>
  <c r="E1667"/>
  <c r="E1668"/>
  <c r="E1669"/>
  <c r="E1670"/>
  <c r="E1671"/>
  <c r="E1672"/>
  <c r="E1673"/>
  <c r="E1674"/>
  <c r="E1675"/>
  <c r="E1676"/>
  <c r="E1677"/>
  <c r="E1678"/>
  <c r="E1679"/>
  <c r="E1680"/>
  <c r="E1681"/>
  <c r="E1682"/>
  <c r="E1683"/>
  <c r="E1684"/>
  <c r="E1685"/>
  <c r="E1686"/>
  <c r="E1687"/>
  <c r="E1688"/>
  <c r="E1689"/>
  <c r="E1690"/>
  <c r="E1691"/>
  <c r="E1692"/>
  <c r="E1693"/>
  <c r="E1694"/>
  <c r="E1695"/>
  <c r="E1696"/>
  <c r="E1697"/>
  <c r="E1698"/>
  <c r="E1699"/>
  <c r="E1700"/>
  <c r="E1701"/>
  <c r="E1702"/>
  <c r="E1703"/>
  <c r="E1704"/>
  <c r="E1705"/>
  <c r="E1706"/>
  <c r="E1707"/>
  <c r="E1708"/>
  <c r="E1709"/>
  <c r="E1710"/>
  <c r="E1711"/>
  <c r="E1712"/>
  <c r="E1713"/>
  <c r="E1714"/>
  <c r="E1715"/>
  <c r="E1716"/>
  <c r="E1717"/>
  <c r="E1718"/>
  <c r="E1719"/>
  <c r="E1720"/>
  <c r="E1721"/>
  <c r="E1722"/>
  <c r="E1723"/>
  <c r="E1724"/>
  <c r="E1725"/>
  <c r="E1726"/>
  <c r="E1727"/>
  <c r="E1728"/>
  <c r="E1729"/>
  <c r="E1730"/>
  <c r="E1731"/>
  <c r="E1732"/>
  <c r="E1733"/>
  <c r="E1734"/>
  <c r="E1735"/>
  <c r="E1736"/>
  <c r="E1737"/>
  <c r="E1738"/>
  <c r="E1739"/>
  <c r="E1740"/>
  <c r="E1741"/>
  <c r="E1742"/>
  <c r="E1743"/>
  <c r="E1744"/>
  <c r="E1745"/>
  <c r="E1746"/>
  <c r="E1747"/>
  <c r="E1748"/>
  <c r="E1749"/>
  <c r="E1750"/>
  <c r="E1751"/>
  <c r="E1752"/>
  <c r="E1753"/>
  <c r="E1754"/>
  <c r="E1755"/>
  <c r="E1756"/>
  <c r="E1757"/>
  <c r="E1758"/>
  <c r="E1759"/>
  <c r="E1760"/>
  <c r="E1761"/>
  <c r="E1762"/>
  <c r="E1763"/>
  <c r="E1764"/>
  <c r="E1765"/>
  <c r="E1766"/>
  <c r="E1767"/>
  <c r="E1768"/>
  <c r="E1769"/>
  <c r="E1770"/>
  <c r="E1771"/>
  <c r="E1772"/>
  <c r="E1773"/>
  <c r="E1774"/>
  <c r="E1775"/>
  <c r="E1776"/>
  <c r="E1777"/>
  <c r="E1778"/>
  <c r="E1779"/>
  <c r="E1780"/>
  <c r="E1781"/>
  <c r="E1782"/>
  <c r="E1783"/>
  <c r="E1784"/>
  <c r="E1785"/>
  <c r="E1786"/>
  <c r="E1787"/>
  <c r="E1788"/>
  <c r="E1789"/>
  <c r="E1790"/>
  <c r="E1791"/>
  <c r="E1792"/>
  <c r="E1793"/>
  <c r="E1794"/>
  <c r="E1795"/>
  <c r="E1796"/>
  <c r="E1797"/>
  <c r="E1798"/>
  <c r="E1799"/>
  <c r="E1800"/>
  <c r="E1801"/>
  <c r="E1802"/>
  <c r="E1803"/>
  <c r="E1804"/>
  <c r="E1805"/>
  <c r="E1806"/>
  <c r="E1807"/>
  <c r="E1808"/>
  <c r="E1809"/>
  <c r="E1810"/>
  <c r="E1811"/>
  <c r="E1812"/>
  <c r="E1813"/>
  <c r="E1814"/>
  <c r="E1815"/>
  <c r="E1816"/>
  <c r="E1817"/>
  <c r="E1818"/>
  <c r="E1819"/>
  <c r="E1820"/>
  <c r="E1821"/>
  <c r="E1822"/>
  <c r="E1823"/>
  <c r="E1824"/>
  <c r="E1825"/>
  <c r="E1826"/>
  <c r="E1827"/>
  <c r="E1828"/>
  <c r="E1829"/>
  <c r="E1830"/>
  <c r="E1831"/>
  <c r="E1832"/>
  <c r="E1833"/>
  <c r="E1834"/>
  <c r="E1835"/>
  <c r="E1836"/>
  <c r="E1837"/>
  <c r="E1838"/>
  <c r="E1839"/>
  <c r="E1840"/>
  <c r="E1841"/>
  <c r="E1842"/>
  <c r="E1843"/>
  <c r="E1844"/>
  <c r="E1845"/>
  <c r="E1846"/>
  <c r="E1847"/>
  <c r="E1848"/>
  <c r="E1849"/>
  <c r="E1850"/>
  <c r="E1851"/>
  <c r="E1852"/>
  <c r="E1853"/>
  <c r="E1854"/>
  <c r="E1855"/>
  <c r="E1856"/>
  <c r="E1857"/>
  <c r="E1858"/>
  <c r="E1859"/>
  <c r="E1860"/>
  <c r="E1861"/>
  <c r="E1862"/>
  <c r="E1863"/>
  <c r="E1864"/>
  <c r="E1865"/>
  <c r="E1866"/>
  <c r="E1867"/>
  <c r="E1868"/>
  <c r="E1869"/>
  <c r="E1870"/>
  <c r="E1871"/>
  <c r="E1872"/>
  <c r="E1873"/>
  <c r="E1874"/>
  <c r="E1875"/>
  <c r="E1876"/>
  <c r="E1877"/>
  <c r="E1878"/>
  <c r="E1879"/>
  <c r="E1880"/>
  <c r="E1881"/>
  <c r="E1882"/>
  <c r="E1883"/>
  <c r="E1884"/>
  <c r="E1885"/>
  <c r="E1886"/>
  <c r="E1887"/>
  <c r="E1888"/>
  <c r="E1889"/>
  <c r="E1890"/>
  <c r="E1891"/>
  <c r="E1892"/>
  <c r="E1893"/>
  <c r="E1894"/>
  <c r="E1895"/>
  <c r="E1896"/>
  <c r="E1897"/>
  <c r="E1898"/>
  <c r="E1899"/>
  <c r="E1900"/>
  <c r="E1901"/>
  <c r="E1902"/>
  <c r="E1903"/>
  <c r="E1904"/>
  <c r="E1905"/>
  <c r="E1906"/>
  <c r="E1907"/>
  <c r="E1908"/>
  <c r="E1909"/>
  <c r="E1910"/>
  <c r="E1911"/>
  <c r="E1912"/>
  <c r="E1913"/>
  <c r="E1914"/>
  <c r="E1915"/>
  <c r="E1916"/>
  <c r="E1917"/>
  <c r="E1918"/>
  <c r="E1919"/>
  <c r="E1920"/>
  <c r="E1921"/>
  <c r="E1922"/>
  <c r="E1923"/>
  <c r="E1924"/>
  <c r="E1925"/>
  <c r="E1926"/>
  <c r="E1927"/>
  <c r="E1928"/>
  <c r="E1929"/>
  <c r="E1930"/>
  <c r="E1931"/>
  <c r="E1932"/>
  <c r="E1933"/>
  <c r="E1934"/>
  <c r="E1935"/>
  <c r="E1936"/>
  <c r="E1937"/>
  <c r="E1938"/>
  <c r="E1939"/>
  <c r="E1940"/>
  <c r="E1941"/>
  <c r="E1942"/>
  <c r="E1943"/>
  <c r="E1944"/>
  <c r="E1945"/>
  <c r="E1946"/>
  <c r="E1947"/>
  <c r="E1948"/>
  <c r="E1949"/>
  <c r="E1950"/>
  <c r="E1951"/>
  <c r="E1952"/>
  <c r="E1953"/>
  <c r="E1954"/>
  <c r="E1955"/>
  <c r="E1956"/>
  <c r="E1957"/>
  <c r="E1958"/>
  <c r="E1959"/>
  <c r="E1960"/>
  <c r="E1961"/>
  <c r="E1962"/>
  <c r="E1963"/>
  <c r="E1964"/>
  <c r="E1965"/>
  <c r="E1966"/>
  <c r="E1967"/>
  <c r="E1968"/>
  <c r="E1969"/>
  <c r="E1970"/>
  <c r="E1971"/>
  <c r="E1972"/>
  <c r="E1973"/>
  <c r="E1974"/>
  <c r="E1975"/>
  <c r="E1976"/>
  <c r="E1977"/>
  <c r="E1978"/>
  <c r="E1979"/>
  <c r="E1980"/>
  <c r="E1981"/>
  <c r="E1982"/>
  <c r="E1983"/>
  <c r="E1984"/>
  <c r="E1985"/>
  <c r="E1986"/>
  <c r="E1987"/>
  <c r="E1988"/>
  <c r="E1989"/>
  <c r="E1990"/>
  <c r="E1991"/>
  <c r="E1992"/>
  <c r="E1993"/>
  <c r="E1994"/>
  <c r="E1995"/>
  <c r="E1996"/>
  <c r="E1997"/>
  <c r="E1998"/>
  <c r="E1999"/>
  <c r="E2000"/>
  <c r="E2001"/>
  <c r="E2002"/>
  <c r="E2003"/>
  <c r="E2004"/>
  <c r="E2005"/>
  <c r="E2006"/>
  <c r="E2007"/>
  <c r="E2008"/>
  <c r="E2009"/>
  <c r="E2010"/>
  <c r="E2011"/>
  <c r="E2012"/>
  <c r="E2013"/>
  <c r="E2014"/>
  <c r="E2015"/>
  <c r="E2016"/>
  <c r="E2017"/>
  <c r="E2018"/>
  <c r="E2019"/>
  <c r="E2020"/>
  <c r="E2021"/>
  <c r="E2022"/>
  <c r="E2023"/>
  <c r="E2024"/>
  <c r="E2025"/>
  <c r="E2026"/>
  <c r="E2027"/>
  <c r="E2028"/>
  <c r="E2029"/>
  <c r="E2030"/>
  <c r="E2031"/>
  <c r="E2032"/>
  <c r="E2033"/>
  <c r="E2034"/>
  <c r="E2035"/>
  <c r="E2036"/>
  <c r="E2037"/>
  <c r="E2038"/>
  <c r="E2039"/>
  <c r="E2040"/>
  <c r="E2041"/>
  <c r="E2042"/>
  <c r="E2043"/>
  <c r="E2044"/>
  <c r="E2045"/>
  <c r="E2046"/>
  <c r="E2047"/>
  <c r="E2048"/>
  <c r="E2049"/>
  <c r="E2050"/>
  <c r="E2051"/>
  <c r="E2052"/>
  <c r="E2053"/>
  <c r="E2054"/>
  <c r="E2055"/>
  <c r="E2056"/>
  <c r="E2057"/>
  <c r="E2058"/>
  <c r="E2059"/>
  <c r="E2060"/>
  <c r="E2061"/>
  <c r="E2062"/>
  <c r="E2063"/>
  <c r="E2064"/>
  <c r="E2065"/>
  <c r="E2066"/>
  <c r="E2067"/>
  <c r="E2068"/>
  <c r="E2069"/>
  <c r="E2070"/>
  <c r="E2071"/>
  <c r="E2072"/>
  <c r="E2073"/>
  <c r="E2074"/>
  <c r="E2075"/>
  <c r="E2076"/>
  <c r="E2077"/>
  <c r="E2078"/>
  <c r="E2079"/>
  <c r="E2080"/>
  <c r="E2081"/>
  <c r="E2082"/>
  <c r="E2083"/>
  <c r="E2084"/>
  <c r="E2085"/>
  <c r="E2086"/>
  <c r="E2087"/>
  <c r="E2088"/>
  <c r="E2089"/>
  <c r="E2090"/>
  <c r="E2091"/>
  <c r="E2092"/>
  <c r="E2093"/>
  <c r="E2094"/>
  <c r="E2095"/>
  <c r="E2096"/>
  <c r="E2097"/>
  <c r="E2098"/>
  <c r="E2099"/>
  <c r="E2100"/>
  <c r="E2101"/>
  <c r="E2102"/>
  <c r="E2103"/>
  <c r="E2104"/>
  <c r="E2105"/>
  <c r="E2106"/>
  <c r="E2107"/>
  <c r="E2108"/>
  <c r="E2109"/>
  <c r="E2110"/>
  <c r="E2111"/>
  <c r="E2112"/>
  <c r="E2113"/>
  <c r="E2114"/>
  <c r="E2115"/>
  <c r="E2116"/>
  <c r="E2117"/>
  <c r="E2118"/>
  <c r="E2119"/>
  <c r="E2120"/>
  <c r="E2121"/>
  <c r="E2122"/>
  <c r="E2123"/>
  <c r="E2124"/>
  <c r="E2125"/>
  <c r="E2126"/>
  <c r="E2127"/>
  <c r="E2128"/>
  <c r="E2129"/>
  <c r="E2130"/>
  <c r="E2131"/>
  <c r="E2132"/>
  <c r="E2133"/>
  <c r="E2134"/>
  <c r="E2135"/>
  <c r="E2136"/>
  <c r="E2137"/>
  <c r="E2138"/>
  <c r="E2139"/>
  <c r="E2140"/>
  <c r="E2141"/>
  <c r="E2142"/>
  <c r="E2143"/>
  <c r="E2144"/>
  <c r="E2145"/>
  <c r="E2146"/>
  <c r="E2147"/>
  <c r="E2148"/>
  <c r="E2149"/>
  <c r="E2150"/>
  <c r="E2151"/>
  <c r="E2152"/>
  <c r="E2153"/>
  <c r="E2154"/>
  <c r="E2155"/>
  <c r="E2156"/>
  <c r="E2157"/>
  <c r="E2158"/>
  <c r="E2159"/>
  <c r="E2160"/>
  <c r="E2161"/>
  <c r="E2162"/>
  <c r="E2163"/>
  <c r="E2164"/>
  <c r="E2165"/>
  <c r="E2166"/>
  <c r="E2167"/>
  <c r="E2168"/>
  <c r="E2169"/>
  <c r="E2170"/>
  <c r="E2171"/>
  <c r="E2172"/>
  <c r="E2173"/>
  <c r="E2174"/>
  <c r="E2175"/>
  <c r="E2176"/>
  <c r="E2177"/>
  <c r="E2178"/>
  <c r="E2179"/>
  <c r="E2180"/>
  <c r="E2181"/>
  <c r="E2182"/>
  <c r="E2183"/>
  <c r="E2184"/>
  <c r="E2185"/>
  <c r="E2186"/>
  <c r="E2187"/>
  <c r="E2188"/>
  <c r="E2189"/>
  <c r="E2190"/>
  <c r="E2191"/>
  <c r="E2192"/>
  <c r="E2193"/>
  <c r="E2194"/>
  <c r="E2195"/>
  <c r="E2196"/>
  <c r="E2197"/>
  <c r="E2198"/>
  <c r="E2199"/>
  <c r="E2200"/>
  <c r="E2201"/>
  <c r="E2202"/>
  <c r="E2203"/>
  <c r="E2204"/>
  <c r="E2205"/>
  <c r="E2206"/>
  <c r="E2207"/>
  <c r="E2208"/>
  <c r="E2209"/>
  <c r="E2210"/>
  <c r="E2211"/>
  <c r="E2212"/>
  <c r="E2213"/>
  <c r="E2214"/>
  <c r="E2215"/>
  <c r="E2216"/>
  <c r="E2217"/>
  <c r="E2218"/>
  <c r="E2219"/>
  <c r="E2220"/>
  <c r="E2221"/>
  <c r="E2222"/>
  <c r="E2223"/>
  <c r="E2224"/>
  <c r="E2225"/>
  <c r="E2226"/>
  <c r="E2227"/>
  <c r="E2228"/>
  <c r="E2229"/>
  <c r="E2230"/>
  <c r="E2231"/>
  <c r="E2232"/>
  <c r="E2233"/>
  <c r="E2234"/>
  <c r="E2235"/>
  <c r="E2236"/>
  <c r="E2237"/>
  <c r="E2238"/>
  <c r="E2239"/>
  <c r="E2240"/>
  <c r="E2241"/>
  <c r="E2242"/>
  <c r="E2243"/>
  <c r="E2244"/>
  <c r="E2245"/>
  <c r="E2246"/>
  <c r="E2247"/>
  <c r="E2248"/>
  <c r="E2249"/>
  <c r="E2250"/>
  <c r="E2251"/>
  <c r="E2252"/>
  <c r="E2253"/>
  <c r="H2" i="8"/>
  <c r="H3"/>
  <c r="H4"/>
  <c r="H5"/>
  <c r="H6"/>
  <c r="H7"/>
  <c r="H8"/>
  <c r="H9"/>
  <c r="H10"/>
  <c r="H11"/>
  <c r="H12"/>
  <c r="H13"/>
  <c r="H14"/>
  <c r="H15"/>
  <c r="H16"/>
  <c r="H17"/>
  <c r="H18"/>
  <c r="H19"/>
  <c r="H20"/>
  <c r="H21"/>
  <c r="H22"/>
  <c r="H23"/>
  <c r="H24"/>
  <c r="H25"/>
  <c r="H26"/>
  <c r="H27"/>
  <c r="H28"/>
  <c r="H29"/>
  <c r="H30"/>
  <c r="H31"/>
  <c r="H32"/>
  <c r="H33"/>
  <c r="H34"/>
  <c r="H35"/>
  <c r="H36"/>
  <c r="H37"/>
  <c r="H38"/>
  <c r="H39"/>
  <c r="H40"/>
  <c r="H41"/>
  <c r="H42"/>
  <c r="H43"/>
  <c r="H44"/>
  <c r="H45"/>
  <c r="H46"/>
  <c r="H47"/>
  <c r="H48"/>
  <c r="H49"/>
  <c r="H50"/>
  <c r="H51"/>
  <c r="H52"/>
  <c r="H53"/>
  <c r="H54"/>
  <c r="H55"/>
  <c r="H56"/>
  <c r="H57"/>
  <c r="H58"/>
  <c r="H59"/>
  <c r="H60"/>
  <c r="H61"/>
  <c r="H62"/>
  <c r="H63"/>
  <c r="H64"/>
  <c r="H65"/>
  <c r="H66"/>
  <c r="H67"/>
  <c r="H68"/>
  <c r="H69"/>
  <c r="H70"/>
  <c r="H71"/>
  <c r="H72"/>
  <c r="H73"/>
  <c r="H74"/>
  <c r="H75"/>
  <c r="H76"/>
  <c r="H77"/>
  <c r="H78"/>
  <c r="H79"/>
  <c r="H80"/>
  <c r="H81"/>
  <c r="H82"/>
  <c r="H83"/>
  <c r="H84"/>
  <c r="H85"/>
  <c r="H86"/>
  <c r="H87"/>
  <c r="H88"/>
  <c r="H89"/>
  <c r="H90"/>
  <c r="H91"/>
  <c r="H92"/>
  <c r="H93"/>
  <c r="H94"/>
  <c r="H95"/>
  <c r="H96"/>
  <c r="H97"/>
  <c r="H98"/>
  <c r="H99"/>
  <c r="H100"/>
  <c r="H101"/>
  <c r="H102"/>
  <c r="H103"/>
  <c r="H104"/>
  <c r="H105"/>
  <c r="H106"/>
  <c r="H107"/>
  <c r="H108"/>
  <c r="H109"/>
  <c r="H110"/>
  <c r="H111"/>
  <c r="H112"/>
  <c r="H113"/>
  <c r="H114"/>
  <c r="H115"/>
  <c r="H116"/>
  <c r="H117"/>
  <c r="H118"/>
  <c r="H119"/>
  <c r="H120"/>
  <c r="H121"/>
  <c r="H122"/>
  <c r="H123"/>
  <c r="H124"/>
  <c r="H125"/>
  <c r="H126"/>
  <c r="H127"/>
  <c r="H128"/>
  <c r="H129"/>
  <c r="H130"/>
  <c r="H131"/>
  <c r="H132"/>
  <c r="H133"/>
  <c r="H134"/>
  <c r="H135"/>
  <c r="H136"/>
  <c r="H137"/>
  <c r="H138"/>
  <c r="H139"/>
  <c r="H140"/>
  <c r="H141"/>
  <c r="H142"/>
  <c r="H143"/>
  <c r="H144"/>
  <c r="H145"/>
  <c r="H146"/>
  <c r="H147"/>
  <c r="H148"/>
  <c r="H149"/>
  <c r="H150"/>
  <c r="H151"/>
  <c r="H152"/>
  <c r="H153"/>
  <c r="H154"/>
  <c r="H155"/>
  <c r="H156"/>
  <c r="H157"/>
  <c r="H158"/>
  <c r="H159"/>
  <c r="H160"/>
  <c r="H161"/>
  <c r="H162"/>
  <c r="H163"/>
  <c r="H164"/>
  <c r="H165"/>
  <c r="H166"/>
  <c r="H167"/>
  <c r="H168"/>
  <c r="H169"/>
  <c r="H170"/>
  <c r="H171"/>
  <c r="H172"/>
  <c r="H173"/>
  <c r="H174"/>
  <c r="H175"/>
  <c r="H176"/>
  <c r="H177"/>
  <c r="H178"/>
  <c r="H179"/>
  <c r="H180"/>
  <c r="H181"/>
  <c r="H182"/>
  <c r="H183"/>
  <c r="H184"/>
  <c r="H185"/>
  <c r="H186"/>
  <c r="H187"/>
  <c r="H188"/>
  <c r="H189"/>
  <c r="H190"/>
  <c r="H191"/>
  <c r="H192"/>
  <c r="H193"/>
  <c r="H194"/>
  <c r="H195"/>
  <c r="H196"/>
  <c r="H197"/>
  <c r="H198"/>
  <c r="H199"/>
  <c r="H200"/>
  <c r="H201"/>
  <c r="H202"/>
  <c r="H203"/>
  <c r="H204"/>
  <c r="H205"/>
  <c r="H206"/>
  <c r="H207"/>
  <c r="H208"/>
  <c r="H209"/>
  <c r="H210"/>
  <c r="H211"/>
  <c r="H212"/>
  <c r="H213"/>
  <c r="H214"/>
  <c r="H215"/>
  <c r="H216"/>
  <c r="H217"/>
  <c r="H218"/>
  <c r="H219"/>
  <c r="H220"/>
  <c r="H221"/>
  <c r="H222"/>
  <c r="H223"/>
  <c r="H224"/>
  <c r="H225"/>
  <c r="H226"/>
  <c r="H227"/>
  <c r="H228"/>
  <c r="H229"/>
  <c r="H230"/>
  <c r="H231"/>
  <c r="H232"/>
  <c r="H233"/>
  <c r="H234"/>
  <c r="H235"/>
  <c r="H236"/>
  <c r="H237"/>
  <c r="H238"/>
  <c r="H239"/>
  <c r="H240"/>
  <c r="H241"/>
  <c r="H242"/>
  <c r="H243"/>
  <c r="H244"/>
  <c r="H245"/>
  <c r="H246"/>
  <c r="H247"/>
  <c r="H248"/>
  <c r="H249"/>
  <c r="H250"/>
  <c r="H251"/>
  <c r="H252"/>
  <c r="H253"/>
  <c r="H254"/>
  <c r="H255"/>
  <c r="H256"/>
  <c r="H257"/>
  <c r="H258"/>
  <c r="H259"/>
  <c r="H260"/>
  <c r="H261"/>
  <c r="H262"/>
  <c r="H263"/>
  <c r="H264"/>
  <c r="H265"/>
  <c r="H266"/>
  <c r="H267"/>
  <c r="H268"/>
  <c r="H269"/>
  <c r="H270"/>
  <c r="H271"/>
  <c r="H272"/>
  <c r="H273"/>
  <c r="H274"/>
  <c r="H275"/>
  <c r="H276"/>
  <c r="H277"/>
  <c r="H278"/>
  <c r="H279"/>
  <c r="H280"/>
  <c r="H281"/>
  <c r="H282"/>
  <c r="H283"/>
  <c r="H284"/>
  <c r="H285"/>
  <c r="H286"/>
  <c r="H287"/>
  <c r="H288"/>
  <c r="H289"/>
  <c r="H290"/>
  <c r="H291"/>
  <c r="H292"/>
  <c r="H293"/>
  <c r="H294"/>
  <c r="H295"/>
  <c r="H296"/>
  <c r="H297"/>
  <c r="H298"/>
  <c r="H299"/>
  <c r="H300"/>
  <c r="H301"/>
  <c r="H302"/>
  <c r="H303"/>
  <c r="H304"/>
  <c r="H305"/>
  <c r="H306"/>
  <c r="H307"/>
  <c r="H308"/>
  <c r="H309"/>
  <c r="H310"/>
  <c r="H311"/>
  <c r="H312"/>
  <c r="H313"/>
  <c r="H314"/>
  <c r="H315"/>
  <c r="H316"/>
  <c r="H317"/>
  <c r="H318"/>
  <c r="H319"/>
  <c r="H320"/>
  <c r="H321"/>
  <c r="H322"/>
  <c r="H323"/>
  <c r="H324"/>
  <c r="H325"/>
  <c r="H326"/>
  <c r="H327"/>
  <c r="H328"/>
  <c r="H329"/>
  <c r="H330"/>
  <c r="H331"/>
  <c r="H332"/>
  <c r="H333"/>
  <c r="H334"/>
  <c r="H335"/>
  <c r="H336"/>
  <c r="H337"/>
  <c r="H338"/>
  <c r="H339"/>
  <c r="H340"/>
  <c r="H341"/>
  <c r="H342"/>
  <c r="H343"/>
  <c r="H344"/>
  <c r="H345"/>
  <c r="H346"/>
  <c r="H347"/>
  <c r="H348"/>
  <c r="H349"/>
  <c r="H350"/>
  <c r="H351"/>
  <c r="H352"/>
  <c r="H353"/>
  <c r="H354"/>
  <c r="H355"/>
  <c r="H356"/>
  <c r="H357"/>
  <c r="H358"/>
  <c r="H359"/>
  <c r="H360"/>
  <c r="H361"/>
  <c r="H362"/>
  <c r="H363"/>
  <c r="H364"/>
  <c r="H365"/>
  <c r="H366"/>
  <c r="H367"/>
  <c r="H368"/>
  <c r="H369"/>
  <c r="H370"/>
  <c r="H371"/>
  <c r="H372"/>
  <c r="H373"/>
  <c r="H374"/>
  <c r="H375"/>
  <c r="H376"/>
  <c r="H377"/>
  <c r="H378"/>
  <c r="H379"/>
  <c r="H380"/>
  <c r="H381"/>
  <c r="H382"/>
  <c r="H383"/>
  <c r="H384"/>
  <c r="H385"/>
  <c r="H386"/>
  <c r="H387"/>
  <c r="H388"/>
  <c r="H389"/>
  <c r="H390"/>
  <c r="H391"/>
  <c r="H392"/>
  <c r="H393"/>
  <c r="H394"/>
  <c r="H395"/>
  <c r="H396"/>
  <c r="H397"/>
  <c r="H398"/>
  <c r="H399"/>
  <c r="H400"/>
  <c r="H401"/>
  <c r="H402"/>
  <c r="H403"/>
  <c r="H404"/>
  <c r="H405"/>
  <c r="H406"/>
  <c r="H407"/>
  <c r="H408"/>
  <c r="H409"/>
  <c r="H410"/>
  <c r="H411"/>
  <c r="H412"/>
  <c r="H413"/>
  <c r="H414"/>
  <c r="H415"/>
  <c r="H416"/>
  <c r="H417"/>
  <c r="H418"/>
  <c r="H419"/>
  <c r="H420"/>
  <c r="H421"/>
  <c r="H422"/>
  <c r="H423"/>
  <c r="H424"/>
  <c r="H425"/>
  <c r="H426"/>
  <c r="H427"/>
  <c r="H428"/>
  <c r="H429"/>
  <c r="H430"/>
  <c r="H431"/>
  <c r="H432"/>
  <c r="H433"/>
  <c r="H434"/>
  <c r="H435"/>
  <c r="H436"/>
  <c r="H437"/>
  <c r="H438"/>
  <c r="H439"/>
  <c r="H440"/>
  <c r="H441"/>
  <c r="H442"/>
  <c r="H443"/>
  <c r="H444"/>
  <c r="H445"/>
  <c r="H446"/>
  <c r="H447"/>
  <c r="H448"/>
  <c r="H449"/>
  <c r="H450"/>
  <c r="H451"/>
  <c r="H452"/>
  <c r="H453"/>
  <c r="H454"/>
  <c r="H455"/>
  <c r="H456"/>
  <c r="H457"/>
  <c r="H458"/>
  <c r="H459"/>
  <c r="H460"/>
  <c r="H461"/>
  <c r="H462"/>
  <c r="H463"/>
  <c r="H464"/>
  <c r="H465"/>
  <c r="H466"/>
  <c r="H467"/>
  <c r="H468"/>
  <c r="H469"/>
  <c r="H470"/>
  <c r="H471"/>
  <c r="H472"/>
  <c r="H473"/>
  <c r="H474"/>
  <c r="H475"/>
  <c r="H476"/>
  <c r="H477"/>
  <c r="H478"/>
  <c r="H479"/>
  <c r="H480"/>
  <c r="H481"/>
  <c r="H482"/>
  <c r="H483"/>
  <c r="H484"/>
  <c r="H485"/>
  <c r="H486"/>
  <c r="H487"/>
  <c r="H488"/>
  <c r="H489"/>
  <c r="H490"/>
  <c r="H491"/>
  <c r="H492"/>
  <c r="H493"/>
  <c r="H494"/>
  <c r="H495"/>
  <c r="H496"/>
  <c r="H497"/>
  <c r="H498"/>
  <c r="H499"/>
  <c r="H500"/>
  <c r="H501"/>
  <c r="H502"/>
  <c r="H503"/>
  <c r="H504"/>
  <c r="H505"/>
  <c r="H506"/>
  <c r="H507"/>
  <c r="H508"/>
  <c r="H509"/>
  <c r="H510"/>
  <c r="H511"/>
  <c r="H512"/>
  <c r="H513"/>
  <c r="H514"/>
  <c r="H515"/>
  <c r="H516"/>
  <c r="H517"/>
  <c r="H518"/>
  <c r="H519"/>
  <c r="H520"/>
  <c r="H521"/>
  <c r="H522"/>
  <c r="H523"/>
  <c r="H524"/>
  <c r="H525"/>
  <c r="H526"/>
  <c r="H527"/>
  <c r="H528"/>
  <c r="H529"/>
  <c r="H530"/>
  <c r="H531"/>
  <c r="H532"/>
  <c r="H533"/>
  <c r="H534"/>
  <c r="H535"/>
  <c r="H536"/>
  <c r="H537"/>
  <c r="H538"/>
  <c r="H539"/>
  <c r="H540"/>
  <c r="H541"/>
  <c r="H542"/>
  <c r="H543"/>
  <c r="H544"/>
  <c r="H545"/>
  <c r="H546"/>
  <c r="H547"/>
  <c r="H548"/>
  <c r="H549"/>
  <c r="H550"/>
  <c r="H551"/>
  <c r="H552"/>
  <c r="H553"/>
  <c r="H554"/>
  <c r="H555"/>
  <c r="H556"/>
  <c r="H557"/>
  <c r="H558"/>
  <c r="H559"/>
  <c r="H560"/>
  <c r="H561"/>
  <c r="H562"/>
  <c r="H563"/>
  <c r="H564"/>
  <c r="H565"/>
  <c r="H566"/>
  <c r="H567"/>
  <c r="H568"/>
  <c r="H569"/>
  <c r="H570"/>
  <c r="H571"/>
  <c r="H572"/>
  <c r="H573"/>
  <c r="H574"/>
  <c r="H575"/>
  <c r="H576"/>
  <c r="H577"/>
  <c r="H578"/>
  <c r="H579"/>
  <c r="H580"/>
  <c r="H581"/>
  <c r="H582"/>
  <c r="H583"/>
  <c r="H584"/>
  <c r="H585"/>
  <c r="H586"/>
  <c r="H587"/>
  <c r="H588"/>
  <c r="H589"/>
  <c r="H590"/>
  <c r="H591"/>
  <c r="H592"/>
  <c r="H593"/>
  <c r="H594"/>
  <c r="H595"/>
  <c r="H596"/>
  <c r="H597"/>
  <c r="H598"/>
  <c r="H599"/>
  <c r="H600"/>
  <c r="H601"/>
  <c r="H602"/>
  <c r="H603"/>
  <c r="H604"/>
  <c r="H605"/>
  <c r="H606"/>
  <c r="H607"/>
  <c r="H608"/>
  <c r="H609"/>
  <c r="H610"/>
  <c r="H611"/>
  <c r="H612"/>
  <c r="H613"/>
  <c r="H614"/>
  <c r="H615"/>
  <c r="H616"/>
  <c r="H617"/>
  <c r="H618"/>
  <c r="H619"/>
  <c r="H620"/>
  <c r="H621"/>
  <c r="H622"/>
  <c r="H623"/>
  <c r="H624"/>
  <c r="H625"/>
  <c r="H626"/>
  <c r="H627"/>
  <c r="H628"/>
  <c r="H629"/>
  <c r="H630"/>
  <c r="H631"/>
  <c r="H632"/>
  <c r="H633"/>
  <c r="H634"/>
  <c r="H635"/>
  <c r="H636"/>
  <c r="H637"/>
  <c r="H638"/>
  <c r="H639"/>
  <c r="H640"/>
  <c r="H641"/>
  <c r="H642"/>
  <c r="H643"/>
  <c r="H644"/>
  <c r="H645"/>
  <c r="H646"/>
  <c r="H647"/>
  <c r="H648"/>
  <c r="H649"/>
  <c r="H650"/>
  <c r="H651"/>
  <c r="H652"/>
  <c r="H653"/>
  <c r="H654"/>
  <c r="H655"/>
  <c r="H656"/>
  <c r="H657"/>
  <c r="H658"/>
  <c r="H659"/>
  <c r="H660"/>
  <c r="H661"/>
  <c r="H662"/>
  <c r="H663"/>
  <c r="H664"/>
  <c r="H665"/>
  <c r="H666"/>
  <c r="H667"/>
  <c r="H668"/>
  <c r="H669"/>
  <c r="H670"/>
  <c r="H671"/>
  <c r="H672"/>
  <c r="H673"/>
  <c r="H674"/>
  <c r="H675"/>
  <c r="H676"/>
  <c r="H677"/>
  <c r="H678"/>
  <c r="H679"/>
  <c r="H680"/>
  <c r="H681"/>
  <c r="H682"/>
  <c r="H683"/>
  <c r="H684"/>
  <c r="H685"/>
  <c r="H686"/>
  <c r="H687"/>
  <c r="H688"/>
  <c r="H689"/>
  <c r="H690"/>
  <c r="H691"/>
  <c r="H692"/>
  <c r="H693"/>
  <c r="H694"/>
  <c r="H695"/>
  <c r="H696"/>
  <c r="H697"/>
  <c r="H698"/>
  <c r="H699"/>
  <c r="H700"/>
  <c r="H701"/>
  <c r="H702"/>
  <c r="H703"/>
  <c r="H704"/>
  <c r="H705"/>
  <c r="H706"/>
  <c r="H707"/>
  <c r="H708"/>
  <c r="H709"/>
  <c r="H710"/>
  <c r="H711"/>
  <c r="H712"/>
  <c r="H713"/>
  <c r="H714"/>
  <c r="H715"/>
  <c r="H716"/>
  <c r="H717"/>
  <c r="H718"/>
  <c r="H719"/>
  <c r="H720"/>
  <c r="H721"/>
  <c r="H722"/>
  <c r="H723"/>
  <c r="H724"/>
  <c r="H725"/>
  <c r="H726"/>
  <c r="H727"/>
  <c r="H728"/>
  <c r="H729"/>
  <c r="H730"/>
  <c r="H731"/>
  <c r="H732"/>
  <c r="H733"/>
  <c r="H734"/>
  <c r="H735"/>
  <c r="H736"/>
  <c r="H737"/>
  <c r="H738"/>
  <c r="H739"/>
  <c r="H740"/>
  <c r="H741"/>
  <c r="H742"/>
  <c r="H743"/>
  <c r="H744"/>
  <c r="H745"/>
  <c r="H746"/>
  <c r="H747"/>
  <c r="H748"/>
  <c r="H749"/>
  <c r="H750"/>
  <c r="H751"/>
  <c r="H752"/>
  <c r="H753"/>
  <c r="H754"/>
  <c r="H755"/>
  <c r="H756"/>
  <c r="H757"/>
  <c r="H758"/>
  <c r="H759"/>
  <c r="H760"/>
  <c r="H761"/>
  <c r="H762"/>
  <c r="H763"/>
  <c r="H764"/>
  <c r="H765"/>
  <c r="H766"/>
  <c r="H767"/>
  <c r="H768"/>
  <c r="H769"/>
  <c r="H770"/>
  <c r="H771"/>
  <c r="H772"/>
  <c r="H773"/>
  <c r="H774"/>
  <c r="H775"/>
  <c r="H776"/>
  <c r="H777"/>
  <c r="H778"/>
  <c r="H779"/>
  <c r="H780"/>
  <c r="H781"/>
  <c r="H782"/>
  <c r="H783"/>
  <c r="H784"/>
  <c r="H785"/>
  <c r="H786"/>
  <c r="H787"/>
  <c r="H788"/>
  <c r="H789"/>
  <c r="H790"/>
  <c r="H791"/>
  <c r="H792"/>
  <c r="H793"/>
  <c r="H794"/>
  <c r="H795"/>
  <c r="H796"/>
  <c r="H797"/>
  <c r="H798"/>
  <c r="H799"/>
  <c r="H800"/>
  <c r="H801"/>
  <c r="H802"/>
  <c r="H803"/>
  <c r="H804"/>
  <c r="H805"/>
  <c r="H806"/>
  <c r="H807"/>
  <c r="H808"/>
  <c r="H809"/>
  <c r="H810"/>
  <c r="H811"/>
  <c r="H812"/>
  <c r="H813"/>
  <c r="H814"/>
  <c r="H815"/>
  <c r="H816"/>
  <c r="H817"/>
  <c r="H818"/>
  <c r="H819"/>
  <c r="H820"/>
  <c r="H821"/>
  <c r="H822"/>
  <c r="H823"/>
  <c r="H824"/>
  <c r="H825"/>
  <c r="H826"/>
  <c r="H827"/>
  <c r="H828"/>
  <c r="H829"/>
  <c r="H830"/>
  <c r="H831"/>
  <c r="H832"/>
  <c r="H833"/>
  <c r="H834"/>
  <c r="H835"/>
  <c r="H836"/>
  <c r="H837"/>
  <c r="H838"/>
  <c r="H839"/>
  <c r="H840"/>
  <c r="H841"/>
  <c r="H842"/>
  <c r="H843"/>
  <c r="H844"/>
  <c r="H845"/>
  <c r="H846"/>
  <c r="H847"/>
  <c r="H848"/>
  <c r="H849"/>
  <c r="H850"/>
  <c r="H851"/>
  <c r="H852"/>
  <c r="H853"/>
  <c r="H854"/>
  <c r="H855"/>
  <c r="H856"/>
  <c r="H857"/>
  <c r="H858"/>
  <c r="H859"/>
  <c r="H860"/>
  <c r="H861"/>
  <c r="H862"/>
  <c r="H863"/>
  <c r="H864"/>
  <c r="H865"/>
  <c r="H866"/>
  <c r="H867"/>
  <c r="H868"/>
  <c r="H869"/>
  <c r="H870"/>
  <c r="H871"/>
  <c r="H872"/>
  <c r="H873"/>
  <c r="H874"/>
  <c r="H875"/>
  <c r="H876"/>
  <c r="H877"/>
  <c r="H878"/>
  <c r="H879"/>
  <c r="H880"/>
  <c r="H881"/>
  <c r="H882"/>
  <c r="H883"/>
  <c r="H884"/>
  <c r="H885"/>
  <c r="H886"/>
  <c r="H887"/>
  <c r="H888"/>
  <c r="H889"/>
  <c r="H890"/>
  <c r="H891"/>
  <c r="H892"/>
  <c r="H893"/>
  <c r="H894"/>
  <c r="H895"/>
  <c r="H896"/>
  <c r="H897"/>
  <c r="H898"/>
  <c r="H899"/>
  <c r="H900"/>
  <c r="H901"/>
  <c r="H902"/>
  <c r="H903"/>
  <c r="H904"/>
  <c r="H905"/>
  <c r="H906"/>
  <c r="H907"/>
  <c r="H908"/>
  <c r="H909"/>
  <c r="H910"/>
  <c r="H911"/>
  <c r="H912"/>
  <c r="H913"/>
  <c r="H914"/>
  <c r="H915"/>
  <c r="H916"/>
  <c r="H917"/>
  <c r="H918"/>
  <c r="H919"/>
  <c r="H920"/>
  <c r="H921"/>
  <c r="H922"/>
  <c r="H923"/>
  <c r="H924"/>
  <c r="H925"/>
  <c r="H926"/>
  <c r="H927"/>
  <c r="H928"/>
  <c r="H929"/>
  <c r="H930"/>
  <c r="H931"/>
  <c r="H932"/>
  <c r="H933"/>
  <c r="H934"/>
  <c r="H935"/>
  <c r="H936"/>
  <c r="H937"/>
  <c r="H938"/>
  <c r="H939"/>
  <c r="H940"/>
  <c r="H941"/>
  <c r="H942"/>
  <c r="H943"/>
  <c r="H944"/>
  <c r="H945"/>
  <c r="H946"/>
  <c r="H947"/>
  <c r="H948"/>
  <c r="H949"/>
  <c r="H950"/>
  <c r="H951"/>
  <c r="H952"/>
  <c r="H953"/>
  <c r="H954"/>
  <c r="H955"/>
  <c r="H956"/>
  <c r="H957"/>
  <c r="H958"/>
  <c r="H959"/>
  <c r="H960"/>
  <c r="H961"/>
  <c r="H962"/>
  <c r="H963"/>
  <c r="H964"/>
  <c r="H965"/>
  <c r="H966"/>
  <c r="H967"/>
  <c r="H968"/>
  <c r="H969"/>
  <c r="H970"/>
  <c r="H971"/>
  <c r="H972"/>
  <c r="H973"/>
  <c r="H974"/>
  <c r="H975"/>
  <c r="H976"/>
  <c r="H977"/>
  <c r="H978"/>
  <c r="H979"/>
  <c r="H980"/>
  <c r="H981"/>
  <c r="H982"/>
  <c r="H983"/>
  <c r="H984"/>
  <c r="H985"/>
  <c r="H986"/>
  <c r="H987"/>
  <c r="H988"/>
  <c r="H989"/>
  <c r="H990"/>
  <c r="H991"/>
  <c r="H992"/>
  <c r="H993"/>
  <c r="H994"/>
  <c r="H995"/>
  <c r="H996"/>
  <c r="H997"/>
  <c r="H998"/>
  <c r="H999"/>
  <c r="H1000"/>
  <c r="H1001"/>
  <c r="H1002"/>
  <c r="H1003"/>
  <c r="H1004"/>
  <c r="H1005"/>
  <c r="H1006"/>
  <c r="H1007"/>
  <c r="H1008"/>
  <c r="H1009"/>
  <c r="H1010"/>
  <c r="H1011"/>
  <c r="H1012"/>
  <c r="H1013"/>
  <c r="H1014"/>
  <c r="H1015"/>
  <c r="H1016"/>
  <c r="H1017"/>
  <c r="H1018"/>
  <c r="H1019"/>
  <c r="H1020"/>
  <c r="H1021"/>
  <c r="H1022"/>
  <c r="H1023"/>
  <c r="H1024"/>
  <c r="H1025"/>
  <c r="H1026"/>
  <c r="H1027"/>
  <c r="H1028"/>
  <c r="H1029"/>
  <c r="H1030"/>
  <c r="H1031"/>
  <c r="H1032"/>
  <c r="H1033"/>
  <c r="H1034"/>
  <c r="H1035"/>
  <c r="H1036"/>
  <c r="H1037"/>
  <c r="H1038"/>
  <c r="H1039"/>
  <c r="H1040"/>
  <c r="H1041"/>
  <c r="H1042"/>
  <c r="H1043"/>
  <c r="H1044"/>
  <c r="H1045"/>
  <c r="H1046"/>
  <c r="H1047"/>
  <c r="H1048"/>
  <c r="H1049"/>
  <c r="H1050"/>
  <c r="H1051"/>
  <c r="H1052"/>
  <c r="H1053"/>
  <c r="H1054"/>
  <c r="H1055"/>
  <c r="H1056"/>
  <c r="H1057"/>
  <c r="H1058"/>
  <c r="H1059"/>
  <c r="H1060"/>
  <c r="H1061"/>
  <c r="H1062"/>
  <c r="H1063"/>
  <c r="H1064"/>
  <c r="H1065"/>
  <c r="H1066"/>
  <c r="H1067"/>
  <c r="H1068"/>
  <c r="H1069"/>
  <c r="H1070"/>
  <c r="H1071"/>
  <c r="H1072"/>
  <c r="H1073"/>
  <c r="H1074"/>
  <c r="H1075"/>
  <c r="H1076"/>
  <c r="H1077"/>
  <c r="H1078"/>
  <c r="H1079"/>
  <c r="H1080"/>
  <c r="H1081"/>
  <c r="H1082"/>
  <c r="H1083"/>
  <c r="H1084"/>
  <c r="H1085"/>
  <c r="H1086"/>
  <c r="H1087"/>
  <c r="H1088"/>
  <c r="H1089"/>
  <c r="H1090"/>
  <c r="H1091"/>
  <c r="H1092"/>
  <c r="H1093"/>
  <c r="H1094"/>
  <c r="H1095"/>
  <c r="H1096"/>
  <c r="H1097"/>
  <c r="H1098"/>
  <c r="H1099"/>
  <c r="H1100"/>
  <c r="H1101"/>
  <c r="H1102"/>
  <c r="H1103"/>
  <c r="H1104"/>
  <c r="H1105"/>
  <c r="H1106"/>
  <c r="H1107"/>
  <c r="H1108"/>
  <c r="H1109"/>
  <c r="H1110"/>
  <c r="H1111"/>
  <c r="H1112"/>
  <c r="H1113"/>
  <c r="H1114"/>
  <c r="H1115"/>
  <c r="H1116"/>
  <c r="H1117"/>
  <c r="H1118"/>
  <c r="H1119"/>
  <c r="H1120"/>
  <c r="H1121"/>
  <c r="H1122"/>
  <c r="H1123"/>
  <c r="H1124"/>
  <c r="H1125"/>
  <c r="H1126"/>
  <c r="H1127"/>
  <c r="H1128"/>
  <c r="H1129"/>
  <c r="H1130"/>
  <c r="H1131"/>
  <c r="H1132"/>
  <c r="H1133"/>
  <c r="H1134"/>
  <c r="H1135"/>
  <c r="H1136"/>
  <c r="H1137"/>
  <c r="H1138"/>
  <c r="H1139"/>
  <c r="H1140"/>
  <c r="H1141"/>
  <c r="H1142"/>
  <c r="H1143"/>
  <c r="H1144"/>
  <c r="H1145"/>
  <c r="H1146"/>
  <c r="H1147"/>
  <c r="H1148"/>
  <c r="H1149"/>
  <c r="H1150"/>
  <c r="H1151"/>
  <c r="H1152"/>
  <c r="H1153"/>
  <c r="H1154"/>
  <c r="H1155"/>
  <c r="H1156"/>
  <c r="H1157"/>
  <c r="H1158"/>
  <c r="H1159"/>
  <c r="H1160"/>
  <c r="H1161"/>
  <c r="H1162"/>
  <c r="H1163"/>
  <c r="H1164"/>
  <c r="H1165"/>
  <c r="H1166"/>
  <c r="H1167"/>
  <c r="H1168"/>
  <c r="H1169"/>
  <c r="H1170"/>
  <c r="H1171"/>
  <c r="H1172"/>
  <c r="H1173"/>
  <c r="H1174"/>
  <c r="H1175"/>
  <c r="H1176"/>
  <c r="H1177"/>
  <c r="H1178"/>
  <c r="H1179"/>
  <c r="H1180"/>
  <c r="H1181"/>
  <c r="H1182"/>
  <c r="H1183"/>
  <c r="H1184"/>
  <c r="H1185"/>
  <c r="H1186"/>
  <c r="H1187"/>
  <c r="H1188"/>
  <c r="H1189"/>
  <c r="H1190"/>
  <c r="H1191"/>
  <c r="H1192"/>
  <c r="H1193"/>
  <c r="H1194"/>
  <c r="H1195"/>
  <c r="H1196"/>
  <c r="H1197"/>
  <c r="H1198"/>
  <c r="H1199"/>
  <c r="H1200"/>
  <c r="H1201"/>
  <c r="H1202"/>
  <c r="H1203"/>
  <c r="H1204"/>
  <c r="H1205"/>
  <c r="H1206"/>
  <c r="H1207"/>
  <c r="H1208"/>
  <c r="H1209"/>
  <c r="H1210"/>
  <c r="H1211"/>
  <c r="H1212"/>
  <c r="H1213"/>
  <c r="H1214"/>
  <c r="H1215"/>
  <c r="H1216"/>
  <c r="H1217"/>
  <c r="H1218"/>
  <c r="H1219"/>
  <c r="H1220"/>
  <c r="H1221"/>
  <c r="H1222"/>
  <c r="H1223"/>
  <c r="H1224"/>
  <c r="H1225"/>
  <c r="H1226"/>
  <c r="H1227"/>
  <c r="H1228"/>
  <c r="H1229"/>
  <c r="H1230"/>
  <c r="H1231"/>
  <c r="H1232"/>
  <c r="H1233"/>
  <c r="H1234"/>
  <c r="H1235"/>
  <c r="H1236"/>
  <c r="H1237"/>
  <c r="H1238"/>
  <c r="H1239"/>
  <c r="H1240"/>
  <c r="H1241"/>
  <c r="H1242"/>
  <c r="H1243"/>
  <c r="H1244"/>
  <c r="H1245"/>
  <c r="H1246"/>
  <c r="H1247"/>
  <c r="H1248"/>
  <c r="H1249"/>
  <c r="H1250"/>
  <c r="H1251"/>
  <c r="H1252"/>
  <c r="H1253"/>
  <c r="H1254"/>
  <c r="H1255"/>
  <c r="H1256"/>
  <c r="H1257"/>
  <c r="H1258"/>
  <c r="H1259"/>
  <c r="H1260"/>
  <c r="H1261"/>
  <c r="H1262"/>
  <c r="H1263"/>
  <c r="H1264"/>
  <c r="H1265"/>
  <c r="H1266"/>
  <c r="H1267"/>
  <c r="H1268"/>
  <c r="H1269"/>
  <c r="H1270"/>
  <c r="H1271"/>
  <c r="H1272"/>
  <c r="H1273"/>
  <c r="H1274"/>
  <c r="H1275"/>
  <c r="H1276"/>
  <c r="H1277"/>
  <c r="H1278"/>
  <c r="H1279"/>
  <c r="H1280"/>
  <c r="H1281"/>
  <c r="H1282"/>
  <c r="H1283"/>
  <c r="H1284"/>
  <c r="H1285"/>
  <c r="H1286"/>
  <c r="H1287"/>
  <c r="H1288"/>
  <c r="H1289"/>
  <c r="H1290"/>
  <c r="H1291"/>
  <c r="H1292"/>
  <c r="H1293"/>
  <c r="H1294"/>
  <c r="H1295"/>
  <c r="H1296"/>
  <c r="H1297"/>
  <c r="H1298"/>
  <c r="H1299"/>
  <c r="H1300"/>
  <c r="H1301"/>
  <c r="H1302"/>
  <c r="H1303"/>
  <c r="H1304"/>
  <c r="H1305"/>
  <c r="H1306"/>
  <c r="H1307"/>
  <c r="H1308"/>
  <c r="H1309"/>
  <c r="H1310"/>
  <c r="H1311"/>
  <c r="H1312"/>
  <c r="H1313"/>
  <c r="H1314"/>
  <c r="H1315"/>
  <c r="H1316"/>
  <c r="H1317"/>
  <c r="H1318"/>
  <c r="H1319"/>
  <c r="H1320"/>
  <c r="H1321"/>
  <c r="H1322"/>
  <c r="H1323"/>
  <c r="H1324"/>
  <c r="H1325"/>
  <c r="H1326"/>
  <c r="H1327"/>
  <c r="H1328"/>
  <c r="H1329"/>
  <c r="H1330"/>
  <c r="H1331"/>
  <c r="H1332"/>
  <c r="H1333"/>
  <c r="H1334"/>
  <c r="H1335"/>
  <c r="H1336"/>
  <c r="H1337"/>
  <c r="H1338"/>
  <c r="H1339"/>
  <c r="H1340"/>
  <c r="H1341"/>
  <c r="H1342"/>
  <c r="H1343"/>
  <c r="H1344"/>
  <c r="H1345"/>
  <c r="H1346"/>
  <c r="H1347"/>
  <c r="H1348"/>
  <c r="H1349"/>
  <c r="H1350"/>
  <c r="H1351"/>
  <c r="H1352"/>
  <c r="H1353"/>
  <c r="H1354"/>
  <c r="H1355"/>
  <c r="H1356"/>
  <c r="H1357"/>
  <c r="H1358"/>
  <c r="H1359"/>
  <c r="H1360"/>
  <c r="H1361"/>
  <c r="H1362"/>
  <c r="H1363"/>
  <c r="H1364"/>
  <c r="H1365"/>
  <c r="H1366"/>
  <c r="H1367"/>
  <c r="H1368"/>
  <c r="H1369"/>
  <c r="H1370"/>
  <c r="H1371"/>
  <c r="H1372"/>
  <c r="H1373"/>
  <c r="H1374"/>
  <c r="H1375"/>
  <c r="H1376"/>
  <c r="H1377"/>
  <c r="H1378"/>
  <c r="H1379"/>
  <c r="H1380"/>
  <c r="H1381"/>
  <c r="H1382"/>
  <c r="H1383"/>
  <c r="H1384"/>
  <c r="H1385"/>
  <c r="H1386"/>
  <c r="H1387"/>
  <c r="H1388"/>
  <c r="H1389"/>
  <c r="H1390"/>
  <c r="H1391"/>
  <c r="H1392"/>
  <c r="H1393"/>
  <c r="H1394"/>
  <c r="H1395"/>
  <c r="H1396"/>
  <c r="H1397"/>
  <c r="H1398"/>
  <c r="H1399"/>
  <c r="H1400"/>
  <c r="H1401"/>
  <c r="H1402"/>
  <c r="H1403"/>
  <c r="H1404"/>
  <c r="H1405"/>
  <c r="H1406"/>
  <c r="H1407"/>
  <c r="H1408"/>
  <c r="H1409"/>
  <c r="H1410"/>
  <c r="H1411"/>
  <c r="H1412"/>
  <c r="H1413"/>
  <c r="H1414"/>
  <c r="H1415"/>
  <c r="H1416"/>
  <c r="H1417"/>
  <c r="H1418"/>
  <c r="H1419"/>
  <c r="H1420"/>
  <c r="H1421"/>
  <c r="H1422"/>
  <c r="H1423"/>
  <c r="H1424"/>
  <c r="H1425"/>
  <c r="H1426"/>
  <c r="H1427"/>
  <c r="H1428"/>
  <c r="H1429"/>
  <c r="H1430"/>
  <c r="H1431"/>
  <c r="H1432"/>
  <c r="H1433"/>
  <c r="H1434"/>
  <c r="H1435"/>
  <c r="H1436"/>
  <c r="H1437"/>
  <c r="H1438"/>
  <c r="H1439"/>
  <c r="H1440"/>
  <c r="H1441"/>
  <c r="H1442"/>
  <c r="H1443"/>
  <c r="H1444"/>
  <c r="H1445"/>
  <c r="H1446"/>
  <c r="H1447"/>
  <c r="H1448"/>
  <c r="H1449"/>
  <c r="H1450"/>
  <c r="H1451"/>
  <c r="H1452"/>
  <c r="H1453"/>
  <c r="H1454"/>
  <c r="H1455"/>
  <c r="H1456"/>
  <c r="H1457"/>
  <c r="H1458"/>
  <c r="H1459"/>
  <c r="H1460"/>
  <c r="H1461"/>
  <c r="H1462"/>
  <c r="H1463"/>
  <c r="H1464"/>
  <c r="H1465"/>
  <c r="H1466"/>
  <c r="H1467"/>
  <c r="H1468"/>
  <c r="H1469"/>
  <c r="H1470"/>
  <c r="H1471"/>
  <c r="H1472"/>
  <c r="H1473"/>
  <c r="H1474"/>
  <c r="H1475"/>
  <c r="H1476"/>
  <c r="H1477"/>
  <c r="H1478"/>
  <c r="H1479"/>
  <c r="H1480"/>
  <c r="H1481"/>
  <c r="H1482"/>
  <c r="H1483"/>
  <c r="H1484"/>
  <c r="H1485"/>
  <c r="H1486"/>
  <c r="H1487"/>
  <c r="H1488"/>
  <c r="H1489"/>
  <c r="H1490"/>
  <c r="H1491"/>
  <c r="H1492"/>
  <c r="H1493"/>
  <c r="H1494"/>
  <c r="H1495"/>
  <c r="H1496"/>
  <c r="H1497"/>
  <c r="H1498"/>
  <c r="H1499"/>
  <c r="H1500"/>
  <c r="H1501"/>
  <c r="H1502"/>
  <c r="H1503"/>
  <c r="H1504"/>
  <c r="H1505"/>
  <c r="H1506"/>
  <c r="H1507"/>
  <c r="H1508"/>
  <c r="H1509"/>
  <c r="H1510"/>
  <c r="H1511"/>
  <c r="H1512"/>
  <c r="H1513"/>
  <c r="H1514"/>
  <c r="H1515"/>
  <c r="H1516"/>
  <c r="H1517"/>
  <c r="H1518"/>
  <c r="H1519"/>
  <c r="H1520"/>
  <c r="H1521"/>
  <c r="H1522"/>
  <c r="H1523"/>
  <c r="H1524"/>
  <c r="H1525"/>
  <c r="H1526"/>
  <c r="H1527"/>
  <c r="H1528"/>
  <c r="H1529"/>
  <c r="H1530"/>
  <c r="H1531"/>
  <c r="H1532"/>
  <c r="H1533"/>
  <c r="H1534"/>
  <c r="H1535"/>
  <c r="H1536"/>
  <c r="H1537"/>
  <c r="H1538"/>
  <c r="H1539"/>
  <c r="H1540"/>
  <c r="H1541"/>
  <c r="H1542"/>
  <c r="H1543"/>
  <c r="H1544"/>
  <c r="H1545"/>
  <c r="H1546"/>
  <c r="H1547"/>
  <c r="H1548"/>
  <c r="H1549"/>
  <c r="H1550"/>
  <c r="H1551"/>
  <c r="H1552"/>
  <c r="H1553"/>
  <c r="H1554"/>
  <c r="H1555"/>
  <c r="H1556"/>
  <c r="H1557"/>
  <c r="H1558"/>
  <c r="H1559"/>
  <c r="H1560"/>
  <c r="H1561"/>
  <c r="H1562"/>
  <c r="H1563"/>
  <c r="H1564"/>
  <c r="H1565"/>
  <c r="H1566"/>
  <c r="H1567"/>
  <c r="H1568"/>
  <c r="H1569"/>
  <c r="H1570"/>
  <c r="H1571"/>
  <c r="H1572"/>
  <c r="H1573"/>
  <c r="H1574"/>
  <c r="H1575"/>
  <c r="H1576"/>
  <c r="H1577"/>
  <c r="H1578"/>
  <c r="H1579"/>
  <c r="H1580"/>
  <c r="H1581"/>
  <c r="H1582"/>
  <c r="H1583"/>
  <c r="H1584"/>
  <c r="H1585"/>
  <c r="H1586"/>
  <c r="H1587"/>
  <c r="H1588"/>
  <c r="H1589"/>
  <c r="H1590"/>
  <c r="H1591"/>
  <c r="H1592"/>
  <c r="H1593"/>
  <c r="H1594"/>
  <c r="H1595"/>
  <c r="H1596"/>
  <c r="H1597"/>
  <c r="H1598"/>
  <c r="H1599"/>
  <c r="H1600"/>
  <c r="H1601"/>
  <c r="H1602"/>
  <c r="H1603"/>
  <c r="H1604"/>
  <c r="H1605"/>
  <c r="H1606"/>
  <c r="H1607"/>
  <c r="H1608"/>
  <c r="H1609"/>
  <c r="H1610"/>
  <c r="H1611"/>
  <c r="H1612"/>
  <c r="H1613"/>
  <c r="H1614"/>
  <c r="H1615"/>
  <c r="H1616"/>
  <c r="H1617"/>
  <c r="H1618"/>
  <c r="H1619"/>
  <c r="H1620"/>
  <c r="H1621"/>
  <c r="H1622"/>
  <c r="H1623"/>
  <c r="H1624"/>
  <c r="H1625"/>
  <c r="H1626"/>
  <c r="H1627"/>
  <c r="H1628"/>
  <c r="H1629"/>
  <c r="H1630"/>
  <c r="H1631"/>
  <c r="H1632"/>
  <c r="H1633"/>
  <c r="H1634"/>
  <c r="H1635"/>
  <c r="H1636"/>
  <c r="H1637"/>
  <c r="H1638"/>
  <c r="H1639"/>
  <c r="H1640"/>
  <c r="H1641"/>
  <c r="H1642"/>
  <c r="H1643"/>
  <c r="H1644"/>
  <c r="H1645"/>
  <c r="H1646"/>
  <c r="H1647"/>
  <c r="H1648"/>
  <c r="H1649"/>
  <c r="H1650"/>
  <c r="H1651"/>
  <c r="H1652"/>
  <c r="H1653"/>
  <c r="H1654"/>
  <c r="H1655"/>
  <c r="H1656"/>
  <c r="H1657"/>
  <c r="H1658"/>
  <c r="H1659"/>
  <c r="H1660"/>
  <c r="H1661"/>
  <c r="H1662"/>
  <c r="H1663"/>
  <c r="H1664"/>
  <c r="H1665"/>
  <c r="H1666"/>
  <c r="H1667"/>
  <c r="H1668"/>
  <c r="H1669"/>
  <c r="H1670"/>
  <c r="H1671"/>
  <c r="H1672"/>
  <c r="H1673"/>
  <c r="H1674"/>
  <c r="H1675"/>
  <c r="H1676"/>
  <c r="H1677"/>
  <c r="H1678"/>
  <c r="H1679"/>
  <c r="H1680"/>
  <c r="H1681"/>
  <c r="H1682"/>
  <c r="H1683"/>
  <c r="H1684"/>
  <c r="H1685"/>
  <c r="H1686"/>
  <c r="H1687"/>
  <c r="H1688"/>
  <c r="H1689"/>
  <c r="H1690"/>
  <c r="H1691"/>
  <c r="H1692"/>
  <c r="H1693"/>
  <c r="H1694"/>
  <c r="H1695"/>
  <c r="H1696"/>
  <c r="H1697"/>
  <c r="H1698"/>
  <c r="H1699"/>
  <c r="H1700"/>
  <c r="H1701"/>
  <c r="H1702"/>
  <c r="H1703"/>
  <c r="H1704"/>
  <c r="H1705"/>
  <c r="H1706"/>
  <c r="H1707"/>
  <c r="H1708"/>
  <c r="H1709"/>
  <c r="H1710"/>
  <c r="H1711"/>
  <c r="H1712"/>
  <c r="H1713"/>
  <c r="H1714"/>
  <c r="H1715"/>
  <c r="H1716"/>
  <c r="H1717"/>
  <c r="H1718"/>
  <c r="H1719"/>
  <c r="H1720"/>
  <c r="H1721"/>
  <c r="H1722"/>
  <c r="H1723"/>
  <c r="H1724"/>
  <c r="H1725"/>
  <c r="H1726"/>
  <c r="H1727"/>
  <c r="H1728"/>
  <c r="H1729"/>
  <c r="H1730"/>
  <c r="H1731"/>
  <c r="H1732"/>
  <c r="H1733"/>
  <c r="H1734"/>
  <c r="H1735"/>
  <c r="H1736"/>
  <c r="H1737"/>
  <c r="H1738"/>
  <c r="H1739"/>
  <c r="H1740"/>
  <c r="H1741"/>
  <c r="H1742"/>
  <c r="H1743"/>
  <c r="H1744"/>
  <c r="H1745"/>
  <c r="H1746"/>
  <c r="H1747"/>
  <c r="H1748"/>
  <c r="H1749"/>
  <c r="H1750"/>
  <c r="H1751"/>
  <c r="H1752"/>
  <c r="H1753"/>
  <c r="H1754"/>
  <c r="H1755"/>
  <c r="H1756"/>
  <c r="H1757"/>
  <c r="H1758"/>
  <c r="H1759"/>
  <c r="H1760"/>
  <c r="H1761"/>
  <c r="H1762"/>
  <c r="H1763"/>
  <c r="H1764"/>
  <c r="H1765"/>
  <c r="H1766"/>
  <c r="H1767"/>
  <c r="H1768"/>
  <c r="H1769"/>
  <c r="H1770"/>
  <c r="H1771"/>
  <c r="H1772"/>
  <c r="H1773"/>
  <c r="H1774"/>
  <c r="H1775"/>
  <c r="H1776"/>
  <c r="H1777"/>
  <c r="H1778"/>
  <c r="H1779"/>
  <c r="H1780"/>
  <c r="H1781"/>
  <c r="H1782"/>
  <c r="H1783"/>
  <c r="H1784"/>
  <c r="H1785"/>
  <c r="H1786"/>
  <c r="H1787"/>
  <c r="H1788"/>
  <c r="H1789"/>
  <c r="H1790"/>
  <c r="H1791"/>
  <c r="H1792"/>
  <c r="H1793"/>
  <c r="H1794"/>
  <c r="H1795"/>
  <c r="H1796"/>
  <c r="H1797"/>
  <c r="H1798"/>
  <c r="H1799"/>
  <c r="H1800"/>
  <c r="H1801"/>
  <c r="H1802"/>
  <c r="H1803"/>
  <c r="H1804"/>
  <c r="H1805"/>
  <c r="H1806"/>
  <c r="H1807"/>
  <c r="H1808"/>
  <c r="H1809"/>
  <c r="H1810"/>
  <c r="H1811"/>
  <c r="H1812"/>
  <c r="H1813"/>
  <c r="H1814"/>
  <c r="H1815"/>
  <c r="H1816"/>
  <c r="H1817"/>
  <c r="H1818"/>
  <c r="H1819"/>
  <c r="H1820"/>
  <c r="H1821"/>
  <c r="H1822"/>
  <c r="H1823"/>
  <c r="H1824"/>
  <c r="H1825"/>
  <c r="H1826"/>
  <c r="H1827"/>
  <c r="H1828"/>
  <c r="H1829"/>
  <c r="H1830"/>
  <c r="H1831"/>
  <c r="H1832"/>
  <c r="H1833"/>
  <c r="H1834"/>
  <c r="H1835"/>
  <c r="H1836"/>
  <c r="H1837"/>
  <c r="H1838"/>
  <c r="H1839"/>
  <c r="H1840"/>
  <c r="H1841"/>
  <c r="H1842"/>
  <c r="H1843"/>
  <c r="H1844"/>
  <c r="H1845"/>
  <c r="H1846"/>
  <c r="H1847"/>
  <c r="H1848"/>
  <c r="H1849"/>
  <c r="H1850"/>
  <c r="H1851"/>
  <c r="H1852"/>
  <c r="H1853"/>
  <c r="H1854"/>
  <c r="H1855"/>
  <c r="H1856"/>
  <c r="H1857"/>
  <c r="H1858"/>
  <c r="H1859"/>
  <c r="H1860"/>
  <c r="H1861"/>
  <c r="H1862"/>
  <c r="H1863"/>
  <c r="H1864"/>
  <c r="H1865"/>
  <c r="H1866"/>
  <c r="H1867"/>
  <c r="H1868"/>
  <c r="H1869"/>
  <c r="H1870"/>
  <c r="H1871"/>
  <c r="H1872"/>
  <c r="H1873"/>
  <c r="H1874"/>
  <c r="H1875"/>
  <c r="H1876"/>
  <c r="H1877"/>
  <c r="H1878"/>
  <c r="H1879"/>
  <c r="H1880"/>
  <c r="H1881"/>
  <c r="H1882"/>
  <c r="H1883"/>
  <c r="H1884"/>
  <c r="H1885"/>
  <c r="H1886"/>
  <c r="H1887"/>
  <c r="H1888"/>
  <c r="H1889"/>
  <c r="H1890"/>
  <c r="H1891"/>
  <c r="H1892"/>
  <c r="H1893"/>
  <c r="H1894"/>
  <c r="H1895"/>
  <c r="H1896"/>
  <c r="H1897"/>
  <c r="H1898"/>
  <c r="H1899"/>
  <c r="H1900"/>
  <c r="H1901"/>
  <c r="H1902"/>
  <c r="H1903"/>
  <c r="H1904"/>
  <c r="H1905"/>
  <c r="H1906"/>
  <c r="H1907"/>
  <c r="H1908"/>
  <c r="H1909"/>
  <c r="H1910"/>
  <c r="H1911"/>
  <c r="H1912"/>
  <c r="H1913"/>
  <c r="H1914"/>
  <c r="H1915"/>
  <c r="H1916"/>
  <c r="H1917"/>
  <c r="H1918"/>
  <c r="H1919"/>
  <c r="H1920"/>
  <c r="H1921"/>
  <c r="H1922"/>
  <c r="H1923"/>
  <c r="H1924"/>
  <c r="H1925"/>
  <c r="H1926"/>
  <c r="H1927"/>
  <c r="H1928"/>
  <c r="H1929"/>
  <c r="H1930"/>
  <c r="H1931"/>
  <c r="H1932"/>
  <c r="H1933"/>
  <c r="H1934"/>
  <c r="H1935"/>
  <c r="H1936"/>
  <c r="H1937"/>
  <c r="H1938"/>
  <c r="H1939"/>
  <c r="H1940"/>
  <c r="H1941"/>
  <c r="H1942"/>
  <c r="H1943"/>
  <c r="H1944"/>
  <c r="H1945"/>
  <c r="H1946"/>
  <c r="H1947"/>
  <c r="H1948"/>
  <c r="H1949"/>
  <c r="H1950"/>
  <c r="H1951"/>
  <c r="H1952"/>
  <c r="H1953"/>
  <c r="H1954"/>
  <c r="H1955"/>
  <c r="H1956"/>
  <c r="H1957"/>
  <c r="H1958"/>
  <c r="H1959"/>
  <c r="H1960"/>
  <c r="H1961"/>
  <c r="H1962"/>
  <c r="H1963"/>
  <c r="H1964"/>
  <c r="H1965"/>
  <c r="H1966"/>
  <c r="H1967"/>
  <c r="H1968"/>
  <c r="H1969"/>
  <c r="H1970"/>
  <c r="H1971"/>
  <c r="H1972"/>
  <c r="H1973"/>
  <c r="H1974"/>
  <c r="H1975"/>
  <c r="H1976"/>
  <c r="H1977"/>
  <c r="H1978"/>
  <c r="H1979"/>
  <c r="H1980"/>
  <c r="H1981"/>
  <c r="H1982"/>
  <c r="H1983"/>
  <c r="H1984"/>
  <c r="H1985"/>
  <c r="H1986"/>
  <c r="H1987"/>
  <c r="H1988"/>
  <c r="H1989"/>
  <c r="H1990"/>
  <c r="H1991"/>
  <c r="H1992"/>
  <c r="H1993"/>
  <c r="H1994"/>
  <c r="H1995"/>
  <c r="H1996"/>
  <c r="H1997"/>
  <c r="H1998"/>
  <c r="H1999"/>
  <c r="H2000"/>
  <c r="H2001"/>
  <c r="H2002"/>
  <c r="H2003"/>
  <c r="H2004"/>
  <c r="H2005"/>
  <c r="H2006"/>
  <c r="H2007"/>
  <c r="H2008"/>
  <c r="H2009"/>
  <c r="H2010"/>
  <c r="H2011"/>
  <c r="H2012"/>
  <c r="H2013"/>
  <c r="H2014"/>
  <c r="H2015"/>
  <c r="H2016"/>
  <c r="H2017"/>
  <c r="H2018"/>
  <c r="H2019"/>
  <c r="H2020"/>
  <c r="H2021"/>
  <c r="H2022"/>
  <c r="H2023"/>
  <c r="H2024"/>
  <c r="H2025"/>
  <c r="H2026"/>
  <c r="H2027"/>
  <c r="H2028"/>
  <c r="H2029"/>
  <c r="H2030"/>
  <c r="H2031"/>
  <c r="H2032"/>
  <c r="H2033"/>
  <c r="H2034"/>
  <c r="H2035"/>
  <c r="H2036"/>
  <c r="H2037"/>
  <c r="H2038"/>
  <c r="H2039"/>
  <c r="H2040"/>
  <c r="H2041"/>
  <c r="H2042"/>
  <c r="H2043"/>
  <c r="H2044"/>
  <c r="H2045"/>
  <c r="H2046"/>
  <c r="H2047"/>
  <c r="H2048"/>
  <c r="H2049"/>
  <c r="H2050"/>
  <c r="H2051"/>
  <c r="H2052"/>
  <c r="H2053"/>
  <c r="H2054"/>
  <c r="H2055"/>
  <c r="H2056"/>
  <c r="H2057"/>
  <c r="H2058"/>
  <c r="H2059"/>
  <c r="H2060"/>
  <c r="H2061"/>
  <c r="H2062"/>
  <c r="H2063"/>
  <c r="H2064"/>
  <c r="H2065"/>
  <c r="H2066"/>
  <c r="H2067"/>
  <c r="H2068"/>
  <c r="H2069"/>
  <c r="H2070"/>
  <c r="H2071"/>
  <c r="H2072"/>
  <c r="H2073"/>
  <c r="H2074"/>
  <c r="H2075"/>
  <c r="H2076"/>
  <c r="H2077"/>
  <c r="H2078"/>
  <c r="H2079"/>
  <c r="H2080"/>
  <c r="H2081"/>
  <c r="H2082"/>
  <c r="H2083"/>
  <c r="H2084"/>
  <c r="H2085"/>
  <c r="H2086"/>
  <c r="H2087"/>
  <c r="H2088"/>
  <c r="H2089"/>
  <c r="H2090"/>
  <c r="H2091"/>
  <c r="H2092"/>
  <c r="H2093"/>
  <c r="H2094"/>
  <c r="H2095"/>
  <c r="H2096"/>
  <c r="H2097"/>
  <c r="H2098"/>
  <c r="H2099"/>
  <c r="H2100"/>
  <c r="H2101"/>
  <c r="H2102"/>
  <c r="H2103"/>
  <c r="H2104"/>
  <c r="H2105"/>
  <c r="H2106"/>
  <c r="H2107"/>
  <c r="H2108"/>
  <c r="H2109"/>
  <c r="H2110"/>
  <c r="H2111"/>
  <c r="H2112"/>
  <c r="H2113"/>
  <c r="H2114"/>
  <c r="H2115"/>
  <c r="H2116"/>
  <c r="H2117"/>
  <c r="H2118"/>
  <c r="H2119"/>
  <c r="H2120"/>
  <c r="H2121"/>
  <c r="H2122"/>
  <c r="H2123"/>
  <c r="H2124"/>
  <c r="H2125"/>
  <c r="H2126"/>
  <c r="H2127"/>
  <c r="H2128"/>
  <c r="H2129"/>
  <c r="H2130"/>
  <c r="H2131"/>
  <c r="H2132"/>
  <c r="H2133"/>
  <c r="H2134"/>
  <c r="H2135"/>
  <c r="H2136"/>
  <c r="H2137"/>
  <c r="H2138"/>
  <c r="H2139"/>
  <c r="H2140"/>
  <c r="H2141"/>
  <c r="H2142"/>
  <c r="H2143"/>
  <c r="H2144"/>
  <c r="H2145"/>
  <c r="H2146"/>
  <c r="H2147"/>
  <c r="H2148"/>
  <c r="H2149"/>
  <c r="H2150"/>
  <c r="H2151"/>
  <c r="H2152"/>
  <c r="H2153"/>
  <c r="H2154"/>
  <c r="H2155"/>
  <c r="H2156"/>
  <c r="H2157"/>
  <c r="H2158"/>
  <c r="H2159"/>
  <c r="H2160"/>
  <c r="H2161"/>
  <c r="H2162"/>
  <c r="H2163"/>
  <c r="H2164"/>
  <c r="H2165"/>
  <c r="H2166"/>
  <c r="H2167"/>
  <c r="H2168"/>
  <c r="H2169"/>
  <c r="H2170"/>
  <c r="H2171"/>
  <c r="H2172"/>
  <c r="H2173"/>
  <c r="H2174"/>
  <c r="H2175"/>
  <c r="H2176"/>
  <c r="H2177"/>
  <c r="H2178"/>
  <c r="H2179"/>
  <c r="H2180"/>
  <c r="H2181"/>
  <c r="H2182"/>
  <c r="H2183"/>
  <c r="H2184"/>
  <c r="H2185"/>
  <c r="H2186"/>
  <c r="H2187"/>
  <c r="H2188"/>
  <c r="H2189"/>
  <c r="H2190"/>
  <c r="H2191"/>
  <c r="H2192"/>
  <c r="H2193"/>
  <c r="H2194"/>
  <c r="H2195"/>
  <c r="H2196"/>
  <c r="H2197"/>
  <c r="H2198"/>
  <c r="H2199"/>
  <c r="H2200"/>
  <c r="H2201"/>
  <c r="H2202"/>
  <c r="H2203"/>
  <c r="H2204"/>
  <c r="H2205"/>
  <c r="H2206"/>
  <c r="H2207"/>
  <c r="H2208"/>
  <c r="H2209"/>
  <c r="H2210"/>
  <c r="H2211"/>
  <c r="H2212"/>
  <c r="H2213"/>
  <c r="H2214"/>
  <c r="H2215"/>
  <c r="H2216"/>
  <c r="H2217"/>
  <c r="H2218"/>
  <c r="H2219"/>
  <c r="H2220"/>
  <c r="H2221"/>
  <c r="H2222"/>
  <c r="H2223"/>
  <c r="H2224"/>
  <c r="H2225"/>
  <c r="H2226"/>
  <c r="H2227"/>
  <c r="H2228"/>
  <c r="H2229"/>
  <c r="H2230"/>
  <c r="H2231"/>
  <c r="H2232"/>
  <c r="H2233"/>
  <c r="H2234"/>
  <c r="H2235"/>
  <c r="H2236"/>
  <c r="H2237"/>
  <c r="H2238"/>
  <c r="H2239"/>
  <c r="H2240"/>
  <c r="H2241"/>
  <c r="H2242"/>
  <c r="H2243"/>
  <c r="H2244"/>
  <c r="H2245"/>
  <c r="H2246"/>
  <c r="H2247"/>
  <c r="H2248"/>
  <c r="H2249"/>
  <c r="H2250"/>
  <c r="H2251"/>
  <c r="H2252"/>
  <c r="H2253"/>
  <c r="H2254"/>
  <c r="H2255"/>
  <c r="H2256"/>
  <c r="H2257"/>
  <c r="H2258"/>
  <c r="H2259"/>
  <c r="H2260"/>
  <c r="H2261"/>
  <c r="H2262"/>
  <c r="H2263"/>
  <c r="H2264"/>
  <c r="H2265"/>
  <c r="H2266"/>
  <c r="H2267"/>
  <c r="H2268"/>
  <c r="H2269"/>
  <c r="H2270"/>
  <c r="H2271"/>
  <c r="H2272"/>
  <c r="H2273"/>
  <c r="H2274"/>
  <c r="H2275"/>
  <c r="H2276"/>
  <c r="H2277"/>
  <c r="H2278"/>
  <c r="H2279"/>
  <c r="H2280"/>
  <c r="H2281"/>
  <c r="H2282"/>
  <c r="H2283"/>
  <c r="H2284"/>
  <c r="H2285"/>
  <c r="H2286"/>
  <c r="H2287"/>
  <c r="H2288"/>
  <c r="H2289"/>
  <c r="H2290"/>
  <c r="H2291"/>
  <c r="H2292"/>
  <c r="H2293"/>
  <c r="H2294"/>
  <c r="H2295"/>
  <c r="H2296"/>
  <c r="H2297"/>
  <c r="H2298"/>
  <c r="H2299"/>
  <c r="H2300"/>
  <c r="H2301"/>
  <c r="H2302"/>
  <c r="H2303"/>
  <c r="H2304"/>
  <c r="H2305"/>
  <c r="H2306"/>
  <c r="H2307"/>
  <c r="H2308"/>
  <c r="H2309"/>
  <c r="H2310"/>
  <c r="H2311"/>
  <c r="H2312"/>
  <c r="H2313"/>
  <c r="H2314"/>
  <c r="H2315"/>
  <c r="H2316"/>
  <c r="H2317"/>
  <c r="H2318"/>
  <c r="H2319"/>
  <c r="H2320"/>
  <c r="H2321"/>
  <c r="H2322"/>
  <c r="H2323"/>
  <c r="H2324"/>
  <c r="H2325"/>
  <c r="H2326"/>
  <c r="H2327"/>
  <c r="H2328"/>
  <c r="H2329"/>
  <c r="H2330"/>
  <c r="H2331"/>
  <c r="H2332"/>
  <c r="H2333"/>
  <c r="H2334"/>
  <c r="H2335"/>
  <c r="H2336"/>
  <c r="H2337"/>
  <c r="H2338"/>
  <c r="H2339"/>
  <c r="H2340"/>
  <c r="H2341"/>
  <c r="H2342"/>
  <c r="H2343"/>
  <c r="H2344"/>
  <c r="H2345"/>
  <c r="H2346"/>
  <c r="H2347"/>
  <c r="H2348"/>
  <c r="H2349"/>
  <c r="H2350"/>
  <c r="H2351"/>
  <c r="H2352"/>
  <c r="H2353"/>
  <c r="H2354"/>
  <c r="H2355"/>
  <c r="H2356"/>
  <c r="H2357"/>
  <c r="H2358"/>
  <c r="H2359"/>
  <c r="H2360"/>
  <c r="H2361"/>
  <c r="H2362"/>
  <c r="H2363"/>
  <c r="H2364"/>
  <c r="H2365"/>
  <c r="H2366"/>
  <c r="H2367"/>
  <c r="H2368"/>
  <c r="H2369"/>
  <c r="H2370"/>
  <c r="H2371"/>
  <c r="H2372"/>
  <c r="H2373"/>
  <c r="H2374"/>
  <c r="H2375"/>
  <c r="H2376"/>
  <c r="H2377"/>
  <c r="H2378"/>
  <c r="H2379"/>
  <c r="H2380"/>
  <c r="H2381"/>
  <c r="H2382"/>
  <c r="H2383"/>
  <c r="H2384"/>
  <c r="H2385"/>
  <c r="H2386"/>
  <c r="H2387"/>
  <c r="H2388"/>
  <c r="H2389"/>
  <c r="H2390"/>
  <c r="H2391"/>
  <c r="H2392"/>
  <c r="H2393"/>
  <c r="H2394"/>
  <c r="H2395"/>
  <c r="H2396"/>
  <c r="H2397"/>
  <c r="H2398"/>
  <c r="H2399"/>
  <c r="H2400"/>
  <c r="H2401"/>
  <c r="H2402"/>
  <c r="H2403"/>
  <c r="H2404"/>
  <c r="H2405"/>
  <c r="H2406"/>
  <c r="H2407"/>
  <c r="H2408"/>
  <c r="H2409"/>
  <c r="H2410"/>
  <c r="H2411"/>
  <c r="H2412"/>
  <c r="H2413"/>
  <c r="H2414"/>
  <c r="H2415"/>
  <c r="H2416"/>
  <c r="H2417"/>
  <c r="H2418"/>
  <c r="H2419"/>
  <c r="H2420"/>
  <c r="H2421"/>
  <c r="H2422"/>
  <c r="H2423"/>
  <c r="H2424"/>
  <c r="H2425"/>
  <c r="H2426"/>
  <c r="H2427"/>
  <c r="H2428"/>
  <c r="H2429"/>
  <c r="H2430"/>
  <c r="H2431"/>
  <c r="H2432"/>
  <c r="H2433"/>
  <c r="H2434"/>
  <c r="H2435"/>
  <c r="H2436"/>
  <c r="H2437"/>
  <c r="H2438"/>
  <c r="H2439"/>
  <c r="H2440"/>
  <c r="H2441"/>
  <c r="H2442"/>
  <c r="H2443"/>
  <c r="H2444"/>
  <c r="H2445"/>
  <c r="H2446"/>
  <c r="H2447"/>
  <c r="H2448"/>
  <c r="H2449"/>
  <c r="H2450"/>
  <c r="H2451"/>
  <c r="H2452"/>
  <c r="H2453"/>
  <c r="H2454"/>
  <c r="H2455"/>
  <c r="H2456"/>
  <c r="H2457"/>
  <c r="H2458"/>
  <c r="H2459"/>
  <c r="H2460"/>
  <c r="H2461"/>
  <c r="H2462"/>
  <c r="H2463"/>
  <c r="H2464"/>
  <c r="H2465"/>
  <c r="H2466"/>
  <c r="H2467"/>
  <c r="H2468"/>
  <c r="H2469"/>
  <c r="H2470"/>
  <c r="H2471"/>
  <c r="H2472"/>
  <c r="H2473"/>
  <c r="H2474"/>
  <c r="H2475"/>
  <c r="H2476"/>
  <c r="H2477"/>
  <c r="H2478"/>
  <c r="H2479"/>
  <c r="H2480"/>
  <c r="H2481"/>
  <c r="H2482"/>
  <c r="H2483"/>
  <c r="H2484"/>
  <c r="H2485"/>
  <c r="H2486"/>
  <c r="H2487"/>
  <c r="H2488"/>
  <c r="H2489"/>
  <c r="H2490"/>
  <c r="H2491"/>
  <c r="H2492"/>
  <c r="H2493"/>
  <c r="H2494"/>
  <c r="H2495"/>
  <c r="H2496"/>
  <c r="H2497"/>
  <c r="H2498"/>
  <c r="H2499"/>
  <c r="H2500"/>
  <c r="H2501"/>
  <c r="H2502"/>
  <c r="H2503"/>
  <c r="H2504"/>
  <c r="H2505"/>
  <c r="H2506"/>
  <c r="H2507"/>
  <c r="H2508"/>
  <c r="H2509"/>
  <c r="H2510"/>
  <c r="H2511"/>
  <c r="H2512"/>
  <c r="H2513"/>
  <c r="H2514"/>
  <c r="H2515"/>
  <c r="H2516"/>
  <c r="H2517"/>
  <c r="H2518"/>
  <c r="H2519"/>
  <c r="H2520"/>
  <c r="H2521"/>
  <c r="H2522"/>
  <c r="H2523"/>
  <c r="H2524"/>
  <c r="H2525"/>
  <c r="H2526"/>
  <c r="H2527"/>
  <c r="H2528"/>
  <c r="H2529"/>
  <c r="H2530"/>
  <c r="H2531"/>
  <c r="H2532"/>
  <c r="H2533"/>
  <c r="H2534"/>
  <c r="H2535"/>
  <c r="H2536"/>
  <c r="H2537"/>
  <c r="H2538"/>
  <c r="H2539"/>
  <c r="H2540"/>
  <c r="H2541"/>
  <c r="H2542"/>
  <c r="H2543"/>
  <c r="H2544"/>
  <c r="H2545"/>
  <c r="H2546"/>
  <c r="H2547"/>
  <c r="H2548"/>
  <c r="H2549"/>
  <c r="H2550"/>
  <c r="H2551"/>
  <c r="H2552"/>
  <c r="H2553"/>
  <c r="H2554"/>
  <c r="H2555"/>
  <c r="H2556"/>
  <c r="H2557"/>
  <c r="H2558"/>
  <c r="H2559"/>
  <c r="H2560"/>
  <c r="H2561"/>
  <c r="H2562"/>
  <c r="H2563"/>
  <c r="H2564"/>
  <c r="H2565"/>
  <c r="H2566"/>
  <c r="H2567"/>
  <c r="H2568"/>
  <c r="H2569"/>
  <c r="H2570"/>
  <c r="H2571"/>
  <c r="H2572"/>
  <c r="H2573"/>
  <c r="H2574"/>
  <c r="H2575"/>
  <c r="H2576"/>
  <c r="H2577"/>
  <c r="H2578"/>
  <c r="H2579"/>
  <c r="H2580"/>
  <c r="H2581"/>
  <c r="H2582"/>
  <c r="H2583"/>
  <c r="H2584"/>
  <c r="H2585"/>
  <c r="H2586"/>
  <c r="H2587"/>
  <c r="H2588"/>
  <c r="H2589"/>
  <c r="H2590"/>
  <c r="H2591"/>
  <c r="H2592"/>
  <c r="H2593"/>
  <c r="H2594"/>
  <c r="H2595"/>
  <c r="H2596"/>
  <c r="H2597"/>
  <c r="H2598"/>
  <c r="H2599"/>
  <c r="H2600"/>
  <c r="H2601"/>
  <c r="H2602"/>
  <c r="H2603"/>
  <c r="H2604"/>
  <c r="H2605"/>
  <c r="H2606"/>
  <c r="H2607"/>
  <c r="H2608"/>
  <c r="H2609"/>
  <c r="H2610"/>
  <c r="H2611"/>
  <c r="H2612"/>
  <c r="H2613"/>
  <c r="H2614"/>
  <c r="H2615"/>
  <c r="H2616"/>
  <c r="H2617"/>
  <c r="H2618"/>
  <c r="H2619"/>
  <c r="H2620"/>
  <c r="H2621"/>
  <c r="H2622"/>
  <c r="H2623"/>
  <c r="H2624"/>
  <c r="H2625"/>
  <c r="H2626"/>
  <c r="H2627"/>
  <c r="H2628"/>
  <c r="H2629"/>
  <c r="H2630"/>
  <c r="H2631"/>
  <c r="H2632"/>
  <c r="H2633"/>
  <c r="H2634"/>
  <c r="H2635"/>
  <c r="H2636"/>
  <c r="H2637"/>
  <c r="H2638"/>
  <c r="H2639"/>
  <c r="H2640"/>
  <c r="H2641"/>
  <c r="H2642"/>
  <c r="H2643"/>
  <c r="H2644"/>
  <c r="H2645"/>
  <c r="H2646"/>
  <c r="H2647"/>
  <c r="H2648"/>
  <c r="H2649"/>
  <c r="H2650"/>
  <c r="H2651"/>
  <c r="H2652"/>
  <c r="H2653"/>
  <c r="H2654"/>
  <c r="H2655"/>
  <c r="H2656"/>
  <c r="H2657"/>
  <c r="H2658"/>
  <c r="H2659"/>
  <c r="H2660"/>
  <c r="H2661"/>
  <c r="H2662"/>
  <c r="H2663"/>
  <c r="H2664"/>
  <c r="H2665"/>
  <c r="H2666"/>
  <c r="H2667"/>
  <c r="H2668"/>
  <c r="H2669"/>
  <c r="H2670"/>
  <c r="H2671"/>
  <c r="H2672"/>
  <c r="H2673"/>
  <c r="H2674"/>
  <c r="H2675"/>
  <c r="H2676"/>
  <c r="H2677"/>
  <c r="H2678"/>
  <c r="H2679"/>
  <c r="H2680"/>
  <c r="H2681"/>
  <c r="H2682"/>
  <c r="H2683"/>
  <c r="H2684"/>
  <c r="H2685"/>
  <c r="H2686"/>
  <c r="H2687"/>
  <c r="H2688"/>
  <c r="H2689"/>
  <c r="H2690"/>
  <c r="H2691"/>
  <c r="H2692"/>
  <c r="H2693"/>
  <c r="H2694"/>
  <c r="H2695"/>
  <c r="H2696"/>
  <c r="H2697"/>
  <c r="H2698"/>
  <c r="H2699"/>
  <c r="H2700"/>
  <c r="H2701"/>
  <c r="H2702"/>
  <c r="H2703"/>
  <c r="H2704"/>
  <c r="H2705"/>
  <c r="H2706"/>
  <c r="H2707"/>
  <c r="H2708"/>
  <c r="H2709"/>
  <c r="H2710"/>
  <c r="H2711"/>
  <c r="H2712"/>
  <c r="H2713"/>
  <c r="H2714"/>
  <c r="H2715"/>
  <c r="H2716"/>
  <c r="H2717"/>
  <c r="H2718"/>
  <c r="H2719"/>
  <c r="H2720"/>
  <c r="H2721"/>
  <c r="H2722"/>
  <c r="H2723"/>
  <c r="H2724"/>
  <c r="H2725"/>
  <c r="H2726"/>
  <c r="H2727"/>
  <c r="H2728"/>
  <c r="H2729"/>
  <c r="H2730"/>
  <c r="H2731"/>
  <c r="H2732"/>
  <c r="H2733"/>
  <c r="H2734"/>
  <c r="H2735"/>
  <c r="H2736"/>
  <c r="H2737"/>
  <c r="H2738"/>
  <c r="H2739"/>
  <c r="H2740"/>
  <c r="H2741"/>
  <c r="H2742"/>
  <c r="H2743"/>
  <c r="H2744"/>
  <c r="H2745"/>
  <c r="H2746"/>
  <c r="H2747"/>
  <c r="H2748"/>
  <c r="H2749"/>
  <c r="H2750"/>
  <c r="H2751"/>
  <c r="H2752"/>
  <c r="H2753"/>
  <c r="H2754"/>
  <c r="H2755"/>
  <c r="H2756"/>
  <c r="H2757"/>
  <c r="H2758"/>
  <c r="H2759"/>
  <c r="H2760"/>
  <c r="H2761"/>
  <c r="H2762"/>
  <c r="H2763"/>
  <c r="H2764"/>
  <c r="H2765"/>
  <c r="H2766"/>
  <c r="H2767"/>
  <c r="H2768"/>
  <c r="H2769"/>
  <c r="H2770"/>
  <c r="H2771"/>
  <c r="H2772"/>
  <c r="H2773"/>
  <c r="H2774"/>
  <c r="H2775"/>
  <c r="H2776"/>
  <c r="H2777"/>
  <c r="H2778"/>
  <c r="H2779"/>
  <c r="H2780"/>
  <c r="H2781"/>
  <c r="H2782"/>
  <c r="H2783"/>
  <c r="H2784"/>
  <c r="H2785"/>
  <c r="H2786"/>
  <c r="H2787"/>
  <c r="H2788"/>
  <c r="H2789"/>
  <c r="H2790"/>
  <c r="H2791"/>
  <c r="H2792"/>
  <c r="H2793"/>
  <c r="H2794"/>
  <c r="H2795"/>
  <c r="H2796"/>
  <c r="H2797"/>
  <c r="H2798"/>
  <c r="H2799"/>
  <c r="H2800"/>
  <c r="H2801"/>
  <c r="H2802"/>
  <c r="H2803"/>
  <c r="H2804"/>
  <c r="H2805"/>
  <c r="H2806"/>
  <c r="H2807"/>
  <c r="H2808"/>
  <c r="H2809"/>
  <c r="H2810"/>
  <c r="H2811"/>
  <c r="H2812"/>
  <c r="H2813"/>
  <c r="H2814"/>
  <c r="H2815"/>
  <c r="H2816"/>
  <c r="H2817"/>
  <c r="H2818"/>
  <c r="H2819"/>
  <c r="H2820"/>
  <c r="H2821"/>
  <c r="H2822"/>
  <c r="H2823"/>
  <c r="H2824"/>
  <c r="H2825"/>
  <c r="H2826"/>
  <c r="H2827"/>
  <c r="H2828"/>
  <c r="H2829"/>
  <c r="H2830"/>
  <c r="H2831"/>
  <c r="H2832"/>
  <c r="H2833"/>
  <c r="H2834"/>
  <c r="H2835"/>
  <c r="H2836"/>
  <c r="H2837"/>
  <c r="H2838"/>
  <c r="H2839"/>
  <c r="H2840"/>
  <c r="H2841"/>
  <c r="H2842"/>
  <c r="H2843"/>
  <c r="H2844"/>
  <c r="H2845"/>
  <c r="H2846"/>
  <c r="H2847"/>
  <c r="H2848"/>
  <c r="H2849"/>
  <c r="H2850"/>
  <c r="H2851"/>
  <c r="H2852"/>
  <c r="H2853"/>
  <c r="H2854"/>
  <c r="H2855"/>
  <c r="H2856"/>
  <c r="H2857"/>
  <c r="H2858"/>
  <c r="H2859"/>
  <c r="H2860"/>
  <c r="H2861"/>
  <c r="H2862"/>
  <c r="H2863"/>
  <c r="H2864"/>
  <c r="H2865"/>
  <c r="H2866"/>
  <c r="H2867"/>
  <c r="H2868"/>
  <c r="H2869"/>
  <c r="H2870"/>
  <c r="H2871"/>
  <c r="H2872"/>
  <c r="H2873"/>
  <c r="H2874"/>
  <c r="H2875"/>
  <c r="H2876"/>
  <c r="H2877"/>
  <c r="H2878"/>
  <c r="H2879"/>
  <c r="H2880"/>
  <c r="H2881"/>
  <c r="H2882"/>
  <c r="H2883"/>
  <c r="H2884"/>
  <c r="H2885"/>
  <c r="H2886"/>
  <c r="H2887"/>
  <c r="H2888"/>
  <c r="H2889"/>
  <c r="H2890"/>
  <c r="H2891"/>
  <c r="H2892"/>
  <c r="H2893"/>
  <c r="H2894"/>
  <c r="H2895"/>
  <c r="H2896"/>
  <c r="H2897"/>
  <c r="H2898"/>
  <c r="H2899"/>
  <c r="H2900"/>
  <c r="H2901"/>
  <c r="H2902"/>
  <c r="H2903"/>
  <c r="H2904"/>
  <c r="H2905"/>
  <c r="H2906"/>
  <c r="H2907"/>
  <c r="H2908"/>
  <c r="H2909"/>
  <c r="H2910"/>
  <c r="H2911"/>
  <c r="H2912"/>
  <c r="H2913"/>
  <c r="H2914"/>
  <c r="H2915"/>
  <c r="H2916"/>
  <c r="H2917"/>
  <c r="H2918"/>
  <c r="H2919"/>
  <c r="H2920"/>
  <c r="H2921"/>
  <c r="H2922"/>
  <c r="H2923"/>
  <c r="H2924"/>
  <c r="H2925"/>
  <c r="H2926"/>
  <c r="H2927"/>
  <c r="H2928"/>
  <c r="H2929"/>
  <c r="H2930"/>
  <c r="H2931"/>
  <c r="H2932"/>
  <c r="H2933"/>
  <c r="H2934"/>
  <c r="H2935"/>
  <c r="H2936"/>
  <c r="H2937"/>
  <c r="H2938"/>
  <c r="H2939"/>
  <c r="H2940"/>
  <c r="H2941"/>
  <c r="H2942"/>
  <c r="H2943"/>
  <c r="H2944"/>
  <c r="H2945"/>
  <c r="H2946"/>
  <c r="H2947"/>
  <c r="H2948"/>
  <c r="H2949"/>
  <c r="H2950"/>
  <c r="H2951"/>
  <c r="H2952"/>
  <c r="H2953"/>
  <c r="H2954"/>
  <c r="H2955"/>
  <c r="H2956"/>
  <c r="H2957"/>
  <c r="H2958"/>
  <c r="H2959"/>
  <c r="H2960"/>
  <c r="H2961"/>
  <c r="H2962"/>
  <c r="H2963"/>
  <c r="H2964"/>
  <c r="H2965"/>
  <c r="H2966"/>
  <c r="H2967"/>
  <c r="H2968"/>
  <c r="H2969"/>
  <c r="H2970"/>
  <c r="H2971"/>
  <c r="H2972"/>
  <c r="H2973"/>
  <c r="H2974"/>
  <c r="H2975"/>
  <c r="H2976"/>
  <c r="H2977"/>
  <c r="H2978"/>
  <c r="H2979"/>
  <c r="H2980"/>
  <c r="H2981"/>
  <c r="H2982"/>
  <c r="H2983"/>
  <c r="H2984"/>
  <c r="H2985"/>
  <c r="H2986"/>
  <c r="H2987"/>
  <c r="H2988"/>
  <c r="H2989"/>
  <c r="H2990"/>
  <c r="H2991"/>
  <c r="H2992"/>
  <c r="H2993"/>
  <c r="H2994"/>
  <c r="H2995"/>
  <c r="H2996"/>
  <c r="H2997"/>
  <c r="H2998"/>
  <c r="H2999"/>
  <c r="H3000"/>
  <c r="H3001"/>
  <c r="H3002"/>
  <c r="H3003"/>
  <c r="H3004"/>
  <c r="H3005"/>
  <c r="H3006"/>
  <c r="H3007"/>
  <c r="H3008"/>
  <c r="H3009"/>
  <c r="H3010"/>
  <c r="H3011"/>
  <c r="H3012"/>
  <c r="H3013"/>
  <c r="H3014"/>
  <c r="H3015"/>
  <c r="H3016"/>
  <c r="H3017"/>
  <c r="H3018"/>
  <c r="H3019"/>
  <c r="H3020"/>
  <c r="H3021"/>
  <c r="H3022"/>
  <c r="H3023"/>
  <c r="H3024"/>
  <c r="H3025"/>
  <c r="H3026"/>
  <c r="H3027"/>
  <c r="H3028"/>
  <c r="H3029"/>
  <c r="H3030"/>
  <c r="H3031"/>
  <c r="H3032"/>
  <c r="H3033"/>
  <c r="H3034"/>
  <c r="H3035"/>
  <c r="H3036"/>
  <c r="H3037"/>
  <c r="H3038"/>
  <c r="H3039"/>
  <c r="H3040"/>
  <c r="H3041"/>
  <c r="H3042"/>
  <c r="H3043"/>
  <c r="H3044"/>
  <c r="H3045"/>
  <c r="H3046"/>
  <c r="H3047"/>
  <c r="H3048"/>
  <c r="H3049"/>
  <c r="H3050"/>
  <c r="H3051"/>
  <c r="H3052"/>
  <c r="H3053"/>
  <c r="H3054"/>
  <c r="H3055"/>
  <c r="H3056"/>
  <c r="H3057"/>
  <c r="H3058"/>
  <c r="H3059"/>
  <c r="H3060"/>
  <c r="H3061"/>
  <c r="H3062"/>
  <c r="H3063"/>
  <c r="H3064"/>
  <c r="H3065"/>
  <c r="H3066"/>
  <c r="H3067"/>
  <c r="H3068"/>
  <c r="H3069"/>
  <c r="H3070"/>
  <c r="H3071"/>
  <c r="H3072"/>
  <c r="H3073"/>
  <c r="H3074"/>
  <c r="H3075"/>
  <c r="H3076"/>
  <c r="H3077"/>
  <c r="H3078"/>
  <c r="H3079"/>
  <c r="H3080"/>
  <c r="H3081"/>
  <c r="H3082"/>
  <c r="H3083"/>
  <c r="H3084"/>
  <c r="H3085"/>
  <c r="H3086"/>
  <c r="H3087"/>
  <c r="H3088"/>
  <c r="H3089"/>
  <c r="H3090"/>
  <c r="H3091"/>
  <c r="H3092"/>
  <c r="H3093"/>
  <c r="H3094"/>
  <c r="H3095"/>
  <c r="H3096"/>
  <c r="H3097"/>
  <c r="H3098"/>
  <c r="H3099"/>
  <c r="H3100"/>
  <c r="H3101"/>
  <c r="H3102"/>
  <c r="H3103"/>
  <c r="H3104"/>
  <c r="H3105"/>
  <c r="H3106"/>
  <c r="H3107"/>
  <c r="H3108"/>
  <c r="H3109"/>
  <c r="H3110"/>
  <c r="H3111"/>
  <c r="H3112"/>
  <c r="H3113"/>
  <c r="H3114"/>
  <c r="H3115"/>
  <c r="H3116"/>
  <c r="H3117"/>
  <c r="H3118"/>
  <c r="H3119"/>
  <c r="H3120"/>
  <c r="H3121"/>
  <c r="H3122"/>
  <c r="H3123"/>
  <c r="H3124"/>
  <c r="H3125"/>
  <c r="H3126"/>
  <c r="H3127"/>
  <c r="H3128"/>
  <c r="H3129"/>
  <c r="H3130"/>
  <c r="H3131"/>
  <c r="H3132"/>
  <c r="H3133"/>
  <c r="H3134"/>
  <c r="H3135"/>
  <c r="H3136"/>
  <c r="H3137"/>
  <c r="H3138"/>
  <c r="H3139"/>
  <c r="H3140"/>
  <c r="H3141"/>
  <c r="H3142"/>
  <c r="H3143"/>
  <c r="H3144"/>
  <c r="H3145"/>
  <c r="H3146"/>
  <c r="H3147"/>
  <c r="H3148"/>
  <c r="H3149"/>
  <c r="H3150"/>
  <c r="H3151"/>
  <c r="H3152"/>
  <c r="H3153"/>
  <c r="H3154"/>
  <c r="H3155"/>
  <c r="H3156"/>
  <c r="H3157"/>
  <c r="H3158"/>
  <c r="H3159"/>
  <c r="H3160"/>
  <c r="H3161"/>
  <c r="H3162"/>
  <c r="H3163"/>
  <c r="H3164"/>
  <c r="H3165"/>
  <c r="H3166"/>
  <c r="H3167"/>
  <c r="H3168"/>
  <c r="H3169"/>
  <c r="H3170"/>
  <c r="H3171"/>
  <c r="H3172"/>
  <c r="H3173"/>
  <c r="H3174"/>
  <c r="H3175"/>
  <c r="H3176"/>
  <c r="H3177"/>
  <c r="H3178"/>
  <c r="H3179"/>
  <c r="H3180"/>
  <c r="H3181"/>
  <c r="H3182"/>
  <c r="H3183"/>
  <c r="H3184"/>
  <c r="H3185"/>
  <c r="H3186"/>
  <c r="H3187"/>
  <c r="H3188"/>
  <c r="H3189"/>
  <c r="H3190"/>
  <c r="H3191"/>
  <c r="H3192"/>
  <c r="H3193"/>
  <c r="H3194"/>
  <c r="H3195"/>
  <c r="H3196"/>
  <c r="H3197"/>
  <c r="H3198"/>
  <c r="H3199"/>
  <c r="H3200"/>
  <c r="H3201"/>
  <c r="H3202"/>
  <c r="H3203"/>
  <c r="H3204"/>
  <c r="H3205"/>
  <c r="H3206"/>
  <c r="H3207"/>
  <c r="H3208"/>
  <c r="H3209"/>
  <c r="H3210"/>
  <c r="H3211"/>
  <c r="H3212"/>
  <c r="H3213"/>
  <c r="H3214"/>
  <c r="H3215"/>
  <c r="H3216"/>
  <c r="H3217"/>
  <c r="H3218"/>
  <c r="H3219"/>
  <c r="H3220"/>
  <c r="H3221"/>
  <c r="H3222"/>
  <c r="H3223"/>
  <c r="H3224"/>
  <c r="H3225"/>
  <c r="H3226"/>
  <c r="H3227"/>
  <c r="H3228"/>
  <c r="H3229"/>
  <c r="H3230"/>
  <c r="H3231"/>
  <c r="H3232"/>
  <c r="H3233"/>
  <c r="H3234"/>
  <c r="H3235"/>
  <c r="H3236"/>
  <c r="H3237"/>
  <c r="H3238"/>
  <c r="H3239"/>
  <c r="H3240"/>
  <c r="H3241"/>
  <c r="H3242"/>
  <c r="H3243"/>
  <c r="H3244"/>
  <c r="H3245"/>
  <c r="H3246"/>
  <c r="H3247"/>
  <c r="H3248"/>
  <c r="H3249"/>
  <c r="H3250"/>
  <c r="H3251"/>
  <c r="H3252"/>
  <c r="H3253"/>
  <c r="H3254"/>
  <c r="H3255"/>
  <c r="H3256"/>
  <c r="H3257"/>
  <c r="H3258"/>
  <c r="H3259"/>
  <c r="H3260"/>
  <c r="H3261"/>
  <c r="H3262"/>
  <c r="H3263"/>
  <c r="H3264"/>
  <c r="H3265"/>
  <c r="H3266"/>
  <c r="H3267"/>
  <c r="H3268"/>
  <c r="H3269"/>
  <c r="H3270"/>
  <c r="H3271"/>
  <c r="H3272"/>
  <c r="H3273"/>
  <c r="H3274"/>
  <c r="H3275"/>
  <c r="H3276"/>
  <c r="H3277"/>
  <c r="H3278"/>
  <c r="H3279"/>
  <c r="H3280"/>
  <c r="H3281"/>
  <c r="H3282"/>
  <c r="H3283"/>
  <c r="H3284"/>
  <c r="H3285"/>
  <c r="H3286"/>
  <c r="H3287"/>
  <c r="H3288"/>
  <c r="H3289"/>
  <c r="H3290"/>
  <c r="H3291"/>
  <c r="H3292"/>
  <c r="H3293"/>
  <c r="H3294"/>
  <c r="H3295"/>
  <c r="H3296"/>
  <c r="H3297"/>
  <c r="H3298"/>
  <c r="H3299"/>
  <c r="H3300"/>
  <c r="H3301"/>
  <c r="H3302"/>
  <c r="H3303"/>
  <c r="H3304"/>
  <c r="H3305"/>
  <c r="H3306"/>
  <c r="H3307"/>
  <c r="H3308"/>
  <c r="H3309"/>
  <c r="H3310"/>
  <c r="H3311"/>
  <c r="H3312"/>
  <c r="H3313"/>
  <c r="H3314"/>
  <c r="H3315"/>
  <c r="H3316"/>
  <c r="H3317"/>
  <c r="H3318"/>
  <c r="H3319"/>
  <c r="H3320"/>
  <c r="H3321"/>
  <c r="H3322"/>
  <c r="H3323"/>
  <c r="H3324"/>
  <c r="H3325"/>
  <c r="H3326"/>
  <c r="H3327"/>
  <c r="H3328"/>
  <c r="H3329"/>
  <c r="H3330"/>
  <c r="H3331"/>
  <c r="H3332"/>
  <c r="H3333"/>
  <c r="H3334"/>
  <c r="H3335"/>
  <c r="H3336"/>
  <c r="H3337"/>
  <c r="H3338"/>
  <c r="H3339"/>
  <c r="H3340"/>
  <c r="H3341"/>
  <c r="H3342"/>
  <c r="H3343"/>
  <c r="H3344"/>
  <c r="H3345"/>
  <c r="H3346"/>
  <c r="H3347"/>
  <c r="H3348"/>
  <c r="H3349"/>
  <c r="H3350"/>
  <c r="H3351"/>
  <c r="H3352"/>
  <c r="H3353"/>
  <c r="H3354"/>
  <c r="H3355"/>
  <c r="H3356"/>
  <c r="H3357"/>
  <c r="H3358"/>
  <c r="H3359"/>
  <c r="H3360"/>
  <c r="H3361"/>
  <c r="H3362"/>
  <c r="H3363"/>
  <c r="H3364"/>
  <c r="H3365"/>
  <c r="H3366"/>
  <c r="H3367"/>
  <c r="H3368"/>
  <c r="H3369"/>
  <c r="H3370"/>
  <c r="H3371"/>
  <c r="H3372"/>
  <c r="H3373"/>
  <c r="H3374"/>
  <c r="H3375"/>
  <c r="H3376"/>
  <c r="H3377"/>
  <c r="H3378"/>
  <c r="H3379"/>
  <c r="H3380"/>
  <c r="H3381"/>
  <c r="H3382"/>
  <c r="H3383"/>
  <c r="H3384"/>
  <c r="H3385"/>
  <c r="H3386"/>
  <c r="H3387"/>
  <c r="H3388"/>
  <c r="H3389"/>
  <c r="H3390"/>
  <c r="H3391"/>
  <c r="H3392"/>
  <c r="H3393"/>
  <c r="H3394"/>
  <c r="H3395"/>
  <c r="H3396"/>
  <c r="H3397"/>
  <c r="H3398"/>
  <c r="H3399"/>
  <c r="H3400"/>
  <c r="H3401"/>
  <c r="H3402"/>
  <c r="H3403"/>
  <c r="H3404"/>
  <c r="H3405"/>
  <c r="H3406"/>
  <c r="H3407"/>
  <c r="H3408"/>
  <c r="H3409"/>
  <c r="H3410"/>
  <c r="H3411"/>
  <c r="H3412"/>
  <c r="H3413"/>
  <c r="H3414"/>
  <c r="H3415"/>
  <c r="H3416"/>
  <c r="H3417"/>
  <c r="H3418"/>
  <c r="H3419"/>
  <c r="H3420"/>
  <c r="H3421"/>
  <c r="H3422"/>
  <c r="H3423"/>
  <c r="H3424"/>
  <c r="H3425"/>
  <c r="H3426"/>
  <c r="H3427"/>
  <c r="H3428"/>
  <c r="H3429"/>
  <c r="H3430"/>
  <c r="H3431"/>
  <c r="H3432"/>
  <c r="H3433"/>
  <c r="H3434"/>
  <c r="H3435"/>
  <c r="H3436"/>
  <c r="H3437"/>
  <c r="H3438"/>
  <c r="H3439"/>
  <c r="H3440"/>
  <c r="H3441"/>
  <c r="H3442"/>
  <c r="H3443"/>
  <c r="H3444"/>
  <c r="H3445"/>
  <c r="H3446"/>
  <c r="H3447"/>
  <c r="H3448"/>
  <c r="H3449"/>
  <c r="H3450"/>
  <c r="H3451"/>
  <c r="H3452"/>
  <c r="H3453"/>
  <c r="H3454"/>
  <c r="H3455"/>
  <c r="H3456"/>
  <c r="H3457"/>
  <c r="H3458"/>
  <c r="H3459"/>
  <c r="H3460"/>
  <c r="H3461"/>
  <c r="H3462"/>
  <c r="H3463"/>
  <c r="H3464"/>
  <c r="H3465"/>
  <c r="H3466"/>
  <c r="H3467"/>
  <c r="H3468"/>
  <c r="H3469"/>
  <c r="H3470"/>
  <c r="H3471"/>
  <c r="H3472"/>
  <c r="H3473"/>
  <c r="H3474"/>
  <c r="H3475"/>
  <c r="H3476"/>
  <c r="H3477"/>
  <c r="H3478"/>
  <c r="H3479"/>
  <c r="H3480"/>
  <c r="H3481"/>
  <c r="H3482"/>
  <c r="H3483"/>
  <c r="H3484"/>
  <c r="H3485"/>
  <c r="H3486"/>
  <c r="H3487"/>
  <c r="H3488"/>
  <c r="I2"/>
  <c r="I3"/>
  <c r="I4"/>
  <c r="I5"/>
  <c r="I6"/>
  <c r="I7"/>
  <c r="I8"/>
  <c r="I9"/>
  <c r="I10"/>
  <c r="I11"/>
  <c r="I12"/>
  <c r="I13"/>
  <c r="I14"/>
  <c r="I15"/>
  <c r="I16"/>
  <c r="I17"/>
  <c r="I18"/>
  <c r="I19"/>
  <c r="I20"/>
  <c r="I21"/>
  <c r="I22"/>
  <c r="I23"/>
  <c r="I24"/>
  <c r="I25"/>
  <c r="I26"/>
  <c r="I27"/>
  <c r="I28"/>
  <c r="I29"/>
  <c r="I30"/>
  <c r="I31"/>
  <c r="I32"/>
  <c r="I33"/>
  <c r="I34"/>
  <c r="I35"/>
  <c r="I36"/>
  <c r="I37"/>
  <c r="I38"/>
  <c r="I39"/>
  <c r="I40"/>
  <c r="I41"/>
  <c r="I42"/>
  <c r="I43"/>
  <c r="I44"/>
  <c r="I45"/>
  <c r="I46"/>
  <c r="I47"/>
  <c r="I48"/>
  <c r="I49"/>
  <c r="I50"/>
  <c r="I51"/>
  <c r="I52"/>
  <c r="I53"/>
  <c r="I54"/>
  <c r="I55"/>
  <c r="I56"/>
  <c r="I57"/>
  <c r="I58"/>
  <c r="I59"/>
  <c r="I60"/>
  <c r="I61"/>
  <c r="I62"/>
  <c r="I63"/>
  <c r="I64"/>
  <c r="I65"/>
  <c r="I66"/>
  <c r="I67"/>
  <c r="I68"/>
  <c r="I69"/>
  <c r="I70"/>
  <c r="I71"/>
  <c r="I72"/>
  <c r="I73"/>
  <c r="I74"/>
  <c r="I75"/>
  <c r="I76"/>
  <c r="I77"/>
  <c r="I78"/>
  <c r="I79"/>
  <c r="I80"/>
  <c r="I81"/>
  <c r="I82"/>
  <c r="I83"/>
  <c r="I84"/>
  <c r="I85"/>
  <c r="I86"/>
  <c r="I87"/>
  <c r="I88"/>
  <c r="I89"/>
  <c r="I90"/>
  <c r="I91"/>
  <c r="I92"/>
  <c r="I93"/>
  <c r="I94"/>
  <c r="I95"/>
  <c r="I96"/>
  <c r="I97"/>
  <c r="I98"/>
  <c r="I99"/>
  <c r="I100"/>
  <c r="I101"/>
  <c r="I102"/>
  <c r="I103"/>
  <c r="I104"/>
  <c r="I105"/>
  <c r="I106"/>
  <c r="I107"/>
  <c r="I108"/>
  <c r="I109"/>
  <c r="I110"/>
  <c r="I111"/>
  <c r="I112"/>
  <c r="I113"/>
  <c r="I114"/>
  <c r="I115"/>
  <c r="I116"/>
  <c r="I117"/>
  <c r="I118"/>
  <c r="I119"/>
  <c r="I120"/>
  <c r="I121"/>
  <c r="I122"/>
  <c r="I123"/>
  <c r="I124"/>
  <c r="I125"/>
  <c r="I126"/>
  <c r="I127"/>
  <c r="I128"/>
  <c r="I129"/>
  <c r="I130"/>
  <c r="I131"/>
  <c r="I132"/>
  <c r="I133"/>
  <c r="I134"/>
  <c r="I135"/>
  <c r="I136"/>
  <c r="I137"/>
  <c r="I138"/>
  <c r="I139"/>
  <c r="I140"/>
  <c r="I141"/>
  <c r="I142"/>
  <c r="I143"/>
  <c r="I144"/>
  <c r="I145"/>
  <c r="I146"/>
  <c r="I147"/>
  <c r="I148"/>
  <c r="I149"/>
  <c r="I150"/>
  <c r="I151"/>
  <c r="I152"/>
  <c r="I153"/>
  <c r="I154"/>
  <c r="I155"/>
  <c r="I156"/>
  <c r="I157"/>
  <c r="I158"/>
  <c r="I159"/>
  <c r="I160"/>
  <c r="I161"/>
  <c r="I162"/>
  <c r="I163"/>
  <c r="I164"/>
  <c r="I165"/>
  <c r="I166"/>
  <c r="I167"/>
  <c r="I168"/>
  <c r="I169"/>
  <c r="I170"/>
  <c r="I171"/>
  <c r="I172"/>
  <c r="I173"/>
  <c r="I174"/>
  <c r="I175"/>
  <c r="I176"/>
  <c r="I177"/>
  <c r="I178"/>
  <c r="I179"/>
  <c r="I180"/>
  <c r="I181"/>
  <c r="I182"/>
  <c r="I183"/>
  <c r="I184"/>
  <c r="I185"/>
  <c r="I186"/>
  <c r="I187"/>
  <c r="I188"/>
  <c r="I189"/>
  <c r="I190"/>
  <c r="I191"/>
  <c r="I192"/>
  <c r="I193"/>
  <c r="I194"/>
  <c r="I195"/>
  <c r="I196"/>
  <c r="I197"/>
  <c r="I198"/>
  <c r="I199"/>
  <c r="I200"/>
  <c r="I201"/>
  <c r="I202"/>
  <c r="I203"/>
  <c r="I204"/>
  <c r="I205"/>
  <c r="I206"/>
  <c r="I207"/>
  <c r="I208"/>
  <c r="I209"/>
  <c r="I210"/>
  <c r="I211"/>
  <c r="I212"/>
  <c r="I213"/>
  <c r="I214"/>
  <c r="I215"/>
  <c r="I216"/>
  <c r="I217"/>
  <c r="I218"/>
  <c r="I219"/>
  <c r="I220"/>
  <c r="I221"/>
  <c r="I222"/>
  <c r="I223"/>
  <c r="I224"/>
  <c r="I225"/>
  <c r="I226"/>
  <c r="I227"/>
  <c r="I228"/>
  <c r="I229"/>
  <c r="I230"/>
  <c r="I231"/>
  <c r="I232"/>
  <c r="I233"/>
  <c r="I234"/>
  <c r="I235"/>
  <c r="I236"/>
  <c r="I237"/>
  <c r="I238"/>
  <c r="I239"/>
  <c r="I240"/>
  <c r="I241"/>
  <c r="I242"/>
  <c r="I243"/>
  <c r="I244"/>
  <c r="I245"/>
  <c r="I246"/>
  <c r="I247"/>
  <c r="I248"/>
  <c r="I249"/>
  <c r="I250"/>
  <c r="I251"/>
  <c r="I252"/>
  <c r="I253"/>
  <c r="I254"/>
  <c r="I255"/>
  <c r="I256"/>
  <c r="I257"/>
  <c r="I258"/>
  <c r="I259"/>
  <c r="I260"/>
  <c r="I261"/>
  <c r="I262"/>
  <c r="I263"/>
  <c r="I264"/>
  <c r="I265"/>
  <c r="I266"/>
  <c r="I267"/>
  <c r="I268"/>
  <c r="I269"/>
  <c r="I270"/>
  <c r="I271"/>
  <c r="I272"/>
  <c r="I273"/>
  <c r="I274"/>
  <c r="I275"/>
  <c r="I276"/>
  <c r="I277"/>
  <c r="I278"/>
  <c r="I279"/>
  <c r="I280"/>
  <c r="I281"/>
  <c r="I282"/>
  <c r="I283"/>
  <c r="I284"/>
  <c r="I285"/>
  <c r="I286"/>
  <c r="I287"/>
  <c r="I288"/>
  <c r="I289"/>
  <c r="I290"/>
  <c r="I291"/>
  <c r="I292"/>
  <c r="I293"/>
  <c r="I294"/>
  <c r="I295"/>
  <c r="I296"/>
  <c r="I297"/>
  <c r="I298"/>
  <c r="I299"/>
  <c r="I300"/>
  <c r="I301"/>
  <c r="I302"/>
  <c r="I303"/>
  <c r="I304"/>
  <c r="I305"/>
  <c r="I306"/>
  <c r="I307"/>
  <c r="I308"/>
  <c r="I309"/>
  <c r="I310"/>
  <c r="I311"/>
  <c r="I312"/>
  <c r="I313"/>
  <c r="I314"/>
  <c r="I315"/>
  <c r="I316"/>
  <c r="I317"/>
  <c r="I318"/>
  <c r="I319"/>
  <c r="I320"/>
  <c r="I321"/>
  <c r="I322"/>
  <c r="I323"/>
  <c r="I324"/>
  <c r="I325"/>
  <c r="I326"/>
  <c r="I327"/>
  <c r="I328"/>
  <c r="I329"/>
  <c r="I330"/>
  <c r="I331"/>
  <c r="I332"/>
  <c r="I333"/>
  <c r="I334"/>
  <c r="I335"/>
  <c r="I336"/>
  <c r="I337"/>
  <c r="I338"/>
  <c r="I339"/>
  <c r="I340"/>
  <c r="I341"/>
  <c r="I342"/>
  <c r="I343"/>
  <c r="I344"/>
  <c r="I345"/>
  <c r="I346"/>
  <c r="I347"/>
  <c r="I348"/>
  <c r="I349"/>
  <c r="I350"/>
  <c r="I351"/>
  <c r="I352"/>
  <c r="I353"/>
  <c r="I354"/>
  <c r="I355"/>
  <c r="I356"/>
  <c r="I357"/>
  <c r="I358"/>
  <c r="I359"/>
  <c r="I360"/>
  <c r="I361"/>
  <c r="I362"/>
  <c r="I363"/>
  <c r="I364"/>
  <c r="I365"/>
  <c r="I366"/>
  <c r="I367"/>
  <c r="I368"/>
  <c r="I369"/>
  <c r="I370"/>
  <c r="I371"/>
  <c r="I372"/>
  <c r="I373"/>
  <c r="I374"/>
  <c r="I375"/>
  <c r="I376"/>
  <c r="I377"/>
  <c r="I378"/>
  <c r="I379"/>
  <c r="I380"/>
  <c r="I381"/>
  <c r="I382"/>
  <c r="I383"/>
  <c r="I384"/>
  <c r="I385"/>
  <c r="I386"/>
  <c r="I387"/>
  <c r="I388"/>
  <c r="I389"/>
  <c r="I390"/>
  <c r="I391"/>
  <c r="I392"/>
  <c r="I393"/>
  <c r="I394"/>
  <c r="I395"/>
  <c r="I396"/>
  <c r="I397"/>
  <c r="I398"/>
  <c r="I399"/>
  <c r="I400"/>
  <c r="I401"/>
  <c r="I402"/>
  <c r="I403"/>
  <c r="I404"/>
  <c r="I405"/>
  <c r="I406"/>
  <c r="I407"/>
  <c r="I408"/>
  <c r="I409"/>
  <c r="I410"/>
  <c r="I411"/>
  <c r="I412"/>
  <c r="I413"/>
  <c r="I414"/>
  <c r="I415"/>
  <c r="I416"/>
  <c r="I417"/>
  <c r="I418"/>
  <c r="I419"/>
  <c r="I420"/>
  <c r="I421"/>
  <c r="I422"/>
  <c r="I423"/>
  <c r="I424"/>
  <c r="I425"/>
  <c r="I426"/>
  <c r="I427"/>
  <c r="I428"/>
  <c r="I429"/>
  <c r="I430"/>
  <c r="I431"/>
  <c r="I432"/>
  <c r="I433"/>
  <c r="I434"/>
  <c r="I435"/>
  <c r="I436"/>
  <c r="I437"/>
  <c r="I438"/>
  <c r="I439"/>
  <c r="I440"/>
  <c r="I441"/>
  <c r="I442"/>
  <c r="I443"/>
  <c r="I444"/>
  <c r="I445"/>
  <c r="I446"/>
  <c r="I447"/>
  <c r="I448"/>
  <c r="I449"/>
  <c r="I450"/>
  <c r="I451"/>
  <c r="I452"/>
  <c r="I453"/>
  <c r="I454"/>
  <c r="I455"/>
  <c r="I456"/>
  <c r="I457"/>
  <c r="I458"/>
  <c r="I459"/>
  <c r="I460"/>
  <c r="I461"/>
  <c r="I462"/>
  <c r="I463"/>
  <c r="I464"/>
  <c r="I465"/>
  <c r="I466"/>
  <c r="I467"/>
  <c r="I468"/>
  <c r="I469"/>
  <c r="I470"/>
  <c r="I471"/>
  <c r="I472"/>
  <c r="I473"/>
  <c r="I474"/>
  <c r="I475"/>
  <c r="I476"/>
  <c r="I477"/>
  <c r="I478"/>
  <c r="I479"/>
  <c r="I480"/>
  <c r="I481"/>
  <c r="I482"/>
  <c r="I483"/>
  <c r="I484"/>
  <c r="I485"/>
  <c r="I486"/>
  <c r="I487"/>
  <c r="I488"/>
  <c r="I489"/>
  <c r="I490"/>
  <c r="I491"/>
  <c r="I492"/>
  <c r="I493"/>
  <c r="I494"/>
  <c r="I495"/>
  <c r="I496"/>
  <c r="I497"/>
  <c r="I498"/>
  <c r="I499"/>
  <c r="I500"/>
  <c r="I501"/>
  <c r="I502"/>
  <c r="I503"/>
  <c r="I504"/>
  <c r="I505"/>
  <c r="I506"/>
  <c r="I507"/>
  <c r="I508"/>
  <c r="I509"/>
  <c r="I510"/>
  <c r="I511"/>
  <c r="I512"/>
  <c r="I513"/>
  <c r="I514"/>
  <c r="I515"/>
  <c r="I516"/>
  <c r="I517"/>
  <c r="I518"/>
  <c r="I519"/>
  <c r="I520"/>
  <c r="I521"/>
  <c r="I522"/>
  <c r="I523"/>
  <c r="I524"/>
  <c r="I525"/>
  <c r="I526"/>
  <c r="I527"/>
  <c r="I528"/>
  <c r="I529"/>
  <c r="I530"/>
  <c r="I531"/>
  <c r="I532"/>
  <c r="I533"/>
  <c r="I534"/>
  <c r="I535"/>
  <c r="I536"/>
  <c r="I537"/>
  <c r="I538"/>
  <c r="I539"/>
  <c r="I540"/>
  <c r="I541"/>
  <c r="I542"/>
  <c r="I543"/>
  <c r="I544"/>
  <c r="I545"/>
  <c r="I546"/>
  <c r="I547"/>
  <c r="I548"/>
  <c r="I549"/>
  <c r="I550"/>
  <c r="I551"/>
  <c r="I552"/>
  <c r="I553"/>
  <c r="I554"/>
  <c r="I555"/>
  <c r="I556"/>
  <c r="I557"/>
  <c r="I558"/>
  <c r="I559"/>
  <c r="I560"/>
  <c r="I561"/>
  <c r="I562"/>
  <c r="I563"/>
  <c r="I564"/>
  <c r="I565"/>
  <c r="I566"/>
  <c r="I567"/>
  <c r="I568"/>
  <c r="I569"/>
  <c r="I570"/>
  <c r="I571"/>
  <c r="I572"/>
  <c r="I573"/>
  <c r="I574"/>
  <c r="I575"/>
  <c r="I576"/>
  <c r="I577"/>
  <c r="I578"/>
  <c r="I579"/>
  <c r="I580"/>
  <c r="I581"/>
  <c r="I582"/>
  <c r="I583"/>
  <c r="I584"/>
  <c r="I585"/>
  <c r="I586"/>
  <c r="I587"/>
  <c r="I588"/>
  <c r="I589"/>
  <c r="I590"/>
  <c r="I591"/>
  <c r="I592"/>
  <c r="I593"/>
  <c r="I594"/>
  <c r="I595"/>
  <c r="I596"/>
  <c r="I597"/>
  <c r="I598"/>
  <c r="I599"/>
  <c r="I600"/>
  <c r="I601"/>
  <c r="I602"/>
  <c r="I603"/>
  <c r="I604"/>
  <c r="I605"/>
  <c r="I606"/>
  <c r="I607"/>
  <c r="I608"/>
  <c r="I609"/>
  <c r="I610"/>
  <c r="I611"/>
  <c r="I612"/>
  <c r="I613"/>
  <c r="I614"/>
  <c r="I615"/>
  <c r="I616"/>
  <c r="I617"/>
  <c r="I618"/>
  <c r="I619"/>
  <c r="I620"/>
  <c r="I621"/>
  <c r="I622"/>
  <c r="I623"/>
  <c r="I624"/>
  <c r="I625"/>
  <c r="I626"/>
  <c r="I627"/>
  <c r="I628"/>
  <c r="I629"/>
  <c r="I630"/>
  <c r="I631"/>
  <c r="I632"/>
  <c r="I633"/>
  <c r="I634"/>
  <c r="I635"/>
  <c r="I636"/>
  <c r="I637"/>
  <c r="I638"/>
  <c r="I639"/>
  <c r="I640"/>
  <c r="I641"/>
  <c r="I642"/>
  <c r="I643"/>
  <c r="I644"/>
  <c r="I645"/>
  <c r="I646"/>
  <c r="I647"/>
  <c r="I648"/>
  <c r="I649"/>
  <c r="I650"/>
  <c r="I651"/>
  <c r="I652"/>
  <c r="I653"/>
  <c r="I654"/>
  <c r="I655"/>
  <c r="I656"/>
  <c r="I657"/>
  <c r="I658"/>
  <c r="I659"/>
  <c r="I660"/>
  <c r="I661"/>
  <c r="I662"/>
  <c r="I663"/>
  <c r="I664"/>
  <c r="I665"/>
  <c r="I666"/>
  <c r="I667"/>
  <c r="I668"/>
  <c r="I669"/>
  <c r="I670"/>
  <c r="I671"/>
  <c r="I672"/>
  <c r="I673"/>
  <c r="I674"/>
  <c r="I675"/>
  <c r="I676"/>
  <c r="I677"/>
  <c r="I678"/>
  <c r="I679"/>
  <c r="I680"/>
  <c r="I681"/>
  <c r="I682"/>
  <c r="I683"/>
  <c r="I684"/>
  <c r="I685"/>
  <c r="I686"/>
  <c r="I687"/>
  <c r="I688"/>
  <c r="I689"/>
  <c r="I690"/>
  <c r="I691"/>
  <c r="I692"/>
  <c r="I693"/>
  <c r="I694"/>
  <c r="I695"/>
  <c r="I696"/>
  <c r="I697"/>
  <c r="I698"/>
  <c r="I699"/>
  <c r="I700"/>
  <c r="I701"/>
  <c r="I702"/>
  <c r="I703"/>
  <c r="I704"/>
  <c r="I705"/>
  <c r="I706"/>
  <c r="I707"/>
  <c r="I708"/>
  <c r="I709"/>
  <c r="I710"/>
  <c r="I711"/>
  <c r="I712"/>
  <c r="I713"/>
  <c r="I714"/>
  <c r="I715"/>
  <c r="I716"/>
  <c r="I717"/>
  <c r="I718"/>
  <c r="I719"/>
  <c r="I720"/>
  <c r="I721"/>
  <c r="I722"/>
  <c r="I723"/>
  <c r="I724"/>
  <c r="I725"/>
  <c r="I726"/>
  <c r="I727"/>
  <c r="I728"/>
  <c r="I729"/>
  <c r="I730"/>
  <c r="I731"/>
  <c r="I732"/>
  <c r="I733"/>
  <c r="I734"/>
  <c r="I735"/>
  <c r="I736"/>
  <c r="I737"/>
  <c r="I738"/>
  <c r="I739"/>
  <c r="I740"/>
  <c r="I741"/>
  <c r="I742"/>
  <c r="I743"/>
  <c r="I744"/>
  <c r="I745"/>
  <c r="I746"/>
  <c r="I747"/>
  <c r="I748"/>
  <c r="I749"/>
  <c r="I750"/>
  <c r="I751"/>
  <c r="I752"/>
  <c r="I753"/>
  <c r="I754"/>
  <c r="I755"/>
  <c r="I756"/>
  <c r="I757"/>
  <c r="I758"/>
  <c r="I759"/>
  <c r="I760"/>
  <c r="I761"/>
  <c r="I762"/>
  <c r="I763"/>
  <c r="I764"/>
  <c r="I765"/>
  <c r="I766"/>
  <c r="I767"/>
  <c r="I768"/>
  <c r="I769"/>
  <c r="I770"/>
  <c r="I771"/>
  <c r="I772"/>
  <c r="I773"/>
  <c r="I774"/>
  <c r="I775"/>
  <c r="I776"/>
  <c r="I777"/>
  <c r="I778"/>
  <c r="I779"/>
  <c r="I780"/>
  <c r="I781"/>
  <c r="I782"/>
  <c r="I783"/>
  <c r="I784"/>
  <c r="I785"/>
  <c r="I786"/>
  <c r="I787"/>
  <c r="I788"/>
  <c r="I789"/>
  <c r="I790"/>
  <c r="I791"/>
  <c r="I792"/>
  <c r="I793"/>
  <c r="I794"/>
  <c r="I795"/>
  <c r="I796"/>
  <c r="I797"/>
  <c r="I798"/>
  <c r="I799"/>
  <c r="I800"/>
  <c r="I801"/>
  <c r="I802"/>
  <c r="I803"/>
  <c r="I804"/>
  <c r="I805"/>
  <c r="I806"/>
  <c r="I807"/>
  <c r="I808"/>
  <c r="I809"/>
  <c r="I810"/>
  <c r="I811"/>
  <c r="I812"/>
  <c r="I813"/>
  <c r="I814"/>
  <c r="I815"/>
  <c r="I816"/>
  <c r="I817"/>
  <c r="I818"/>
  <c r="I819"/>
  <c r="I820"/>
  <c r="I821"/>
  <c r="I822"/>
  <c r="I823"/>
  <c r="I824"/>
  <c r="I825"/>
  <c r="I826"/>
  <c r="I827"/>
  <c r="I828"/>
  <c r="I829"/>
  <c r="I830"/>
  <c r="I831"/>
  <c r="I832"/>
  <c r="I833"/>
  <c r="I834"/>
  <c r="I835"/>
  <c r="I836"/>
  <c r="I837"/>
  <c r="I838"/>
  <c r="I839"/>
  <c r="I840"/>
  <c r="I841"/>
  <c r="I842"/>
  <c r="I843"/>
  <c r="I844"/>
  <c r="I845"/>
  <c r="I846"/>
  <c r="I847"/>
  <c r="I848"/>
  <c r="I849"/>
  <c r="I850"/>
  <c r="I851"/>
  <c r="I852"/>
  <c r="I853"/>
  <c r="I854"/>
  <c r="I855"/>
  <c r="I856"/>
  <c r="I857"/>
  <c r="I858"/>
  <c r="I859"/>
  <c r="I860"/>
  <c r="I861"/>
  <c r="I862"/>
  <c r="I863"/>
  <c r="I864"/>
  <c r="I865"/>
  <c r="I866"/>
  <c r="I867"/>
  <c r="I868"/>
  <c r="I869"/>
  <c r="I870"/>
  <c r="I871"/>
  <c r="I872"/>
  <c r="I873"/>
  <c r="I874"/>
  <c r="I875"/>
  <c r="I876"/>
  <c r="I877"/>
  <c r="I878"/>
  <c r="I879"/>
  <c r="I880"/>
  <c r="I881"/>
  <c r="I882"/>
  <c r="I883"/>
  <c r="I884"/>
  <c r="I885"/>
  <c r="I886"/>
  <c r="I887"/>
  <c r="I888"/>
  <c r="I889"/>
  <c r="I890"/>
  <c r="I891"/>
  <c r="I892"/>
  <c r="I893"/>
  <c r="I894"/>
  <c r="I895"/>
  <c r="I896"/>
  <c r="I897"/>
  <c r="I898"/>
  <c r="I899"/>
  <c r="I900"/>
  <c r="I901"/>
  <c r="I902"/>
  <c r="I903"/>
  <c r="I904"/>
  <c r="I905"/>
  <c r="I906"/>
  <c r="I907"/>
  <c r="I908"/>
  <c r="I909"/>
  <c r="I910"/>
  <c r="I911"/>
  <c r="I912"/>
  <c r="I913"/>
  <c r="I914"/>
  <c r="I915"/>
  <c r="I916"/>
  <c r="I917"/>
  <c r="I918"/>
  <c r="I919"/>
  <c r="I920"/>
  <c r="I921"/>
  <c r="I922"/>
  <c r="I923"/>
  <c r="I924"/>
  <c r="I925"/>
  <c r="I926"/>
  <c r="I927"/>
  <c r="I928"/>
  <c r="I929"/>
  <c r="I930"/>
  <c r="I931"/>
  <c r="I932"/>
  <c r="I933"/>
  <c r="I934"/>
  <c r="I935"/>
  <c r="I936"/>
  <c r="I937"/>
  <c r="I938"/>
  <c r="I939"/>
  <c r="I940"/>
  <c r="I941"/>
  <c r="I942"/>
  <c r="I943"/>
  <c r="I944"/>
  <c r="I945"/>
  <c r="I946"/>
  <c r="I947"/>
  <c r="I948"/>
  <c r="I949"/>
  <c r="I950"/>
  <c r="I951"/>
  <c r="I952"/>
  <c r="I953"/>
  <c r="I954"/>
  <c r="I955"/>
  <c r="I956"/>
  <c r="I957"/>
  <c r="I958"/>
  <c r="I959"/>
  <c r="I960"/>
  <c r="I961"/>
  <c r="I962"/>
  <c r="I963"/>
  <c r="I964"/>
  <c r="I965"/>
  <c r="I966"/>
  <c r="I967"/>
  <c r="I968"/>
  <c r="I969"/>
  <c r="I970"/>
  <c r="I971"/>
  <c r="I972"/>
  <c r="I973"/>
  <c r="I974"/>
  <c r="I975"/>
  <c r="I976"/>
  <c r="I977"/>
  <c r="I978"/>
  <c r="I979"/>
  <c r="I980"/>
  <c r="I981"/>
  <c r="I982"/>
  <c r="I983"/>
  <c r="I984"/>
  <c r="I985"/>
  <c r="I986"/>
  <c r="I987"/>
  <c r="I988"/>
  <c r="I989"/>
  <c r="I990"/>
  <c r="I991"/>
  <c r="I992"/>
  <c r="I993"/>
  <c r="I994"/>
  <c r="I995"/>
  <c r="I996"/>
  <c r="I997"/>
  <c r="I998"/>
  <c r="I999"/>
  <c r="I1000"/>
  <c r="I1001"/>
  <c r="I1002"/>
  <c r="I1003"/>
  <c r="I1004"/>
  <c r="I1005"/>
  <c r="I1006"/>
  <c r="I1007"/>
  <c r="I1008"/>
  <c r="I1009"/>
  <c r="I1010"/>
  <c r="I1011"/>
  <c r="I1012"/>
  <c r="I1013"/>
  <c r="I1014"/>
  <c r="I1015"/>
  <c r="I1016"/>
  <c r="I1017"/>
  <c r="I1018"/>
  <c r="I1019"/>
  <c r="I1020"/>
  <c r="I1021"/>
  <c r="I1022"/>
  <c r="I1023"/>
  <c r="I1024"/>
  <c r="I1025"/>
  <c r="I1026"/>
  <c r="I1027"/>
  <c r="I1028"/>
  <c r="I1029"/>
  <c r="I1030"/>
  <c r="I1031"/>
  <c r="I1032"/>
  <c r="I1033"/>
  <c r="I1034"/>
  <c r="I1035"/>
  <c r="I1036"/>
  <c r="I1037"/>
  <c r="I1038"/>
  <c r="I1039"/>
  <c r="I1040"/>
  <c r="I1041"/>
  <c r="I1042"/>
  <c r="I1043"/>
  <c r="I1044"/>
  <c r="I1045"/>
  <c r="I1046"/>
  <c r="I1047"/>
  <c r="I1048"/>
  <c r="I1049"/>
  <c r="I1050"/>
  <c r="I1051"/>
  <c r="I1052"/>
  <c r="I1053"/>
  <c r="I1054"/>
  <c r="I1055"/>
  <c r="I1056"/>
  <c r="I1057"/>
  <c r="I1058"/>
  <c r="I1059"/>
  <c r="I1060"/>
  <c r="I1061"/>
  <c r="I1062"/>
  <c r="I1063"/>
  <c r="I1064"/>
  <c r="I1065"/>
  <c r="I1066"/>
  <c r="I1067"/>
  <c r="I1068"/>
  <c r="I1069"/>
  <c r="I1070"/>
  <c r="I1071"/>
  <c r="I1072"/>
  <c r="I1073"/>
  <c r="I1074"/>
  <c r="I1075"/>
  <c r="I1076"/>
  <c r="I1077"/>
  <c r="I1078"/>
  <c r="I1079"/>
  <c r="I1080"/>
  <c r="I1081"/>
  <c r="I1082"/>
  <c r="I1083"/>
  <c r="I1084"/>
  <c r="I1085"/>
  <c r="I1086"/>
  <c r="I1087"/>
  <c r="I1088"/>
  <c r="I1089"/>
  <c r="I1090"/>
  <c r="I1091"/>
  <c r="I1092"/>
  <c r="I1093"/>
  <c r="I1094"/>
  <c r="I1095"/>
  <c r="I1096"/>
  <c r="I1097"/>
  <c r="I1098"/>
  <c r="I1099"/>
  <c r="I1100"/>
  <c r="I1101"/>
  <c r="I1102"/>
  <c r="I1103"/>
  <c r="I1104"/>
  <c r="I1105"/>
  <c r="I1106"/>
  <c r="I1107"/>
  <c r="I1108"/>
  <c r="I1109"/>
  <c r="I1110"/>
  <c r="I1111"/>
  <c r="I1112"/>
  <c r="I1113"/>
  <c r="I1114"/>
  <c r="I1115"/>
  <c r="I1116"/>
  <c r="I1117"/>
  <c r="I1118"/>
  <c r="I1119"/>
  <c r="I1120"/>
  <c r="I1121"/>
  <c r="I1122"/>
  <c r="I1123"/>
  <c r="I1124"/>
  <c r="I1125"/>
  <c r="I1126"/>
  <c r="I1127"/>
  <c r="I1128"/>
  <c r="I1129"/>
  <c r="I1130"/>
  <c r="I1131"/>
  <c r="I1132"/>
  <c r="I1133"/>
  <c r="I1134"/>
  <c r="I1135"/>
  <c r="I1136"/>
  <c r="I1137"/>
  <c r="I1138"/>
  <c r="I1139"/>
  <c r="I1140"/>
  <c r="I1141"/>
  <c r="I1142"/>
  <c r="I1143"/>
  <c r="I1144"/>
  <c r="I1145"/>
  <c r="I1146"/>
  <c r="I1147"/>
  <c r="I1148"/>
  <c r="I1149"/>
  <c r="I1150"/>
  <c r="I1151"/>
  <c r="I1152"/>
  <c r="I1153"/>
  <c r="I1154"/>
  <c r="I1155"/>
  <c r="I1156"/>
  <c r="I1157"/>
  <c r="I1158"/>
  <c r="I1159"/>
  <c r="I1160"/>
  <c r="I1161"/>
  <c r="I1162"/>
  <c r="I1163"/>
  <c r="I1164"/>
  <c r="I1165"/>
  <c r="I1166"/>
  <c r="I1167"/>
  <c r="I1168"/>
  <c r="I1169"/>
  <c r="I1170"/>
  <c r="I1171"/>
  <c r="I1172"/>
  <c r="I1173"/>
  <c r="I1174"/>
  <c r="I1175"/>
  <c r="I1176"/>
  <c r="I1177"/>
  <c r="I1178"/>
  <c r="I1179"/>
  <c r="I1180"/>
  <c r="I1181"/>
  <c r="I1182"/>
  <c r="I1183"/>
  <c r="I1184"/>
  <c r="I1185"/>
  <c r="I1186"/>
  <c r="I1187"/>
  <c r="I1188"/>
  <c r="I1189"/>
  <c r="I1190"/>
  <c r="I1191"/>
  <c r="I1192"/>
  <c r="I1193"/>
  <c r="I1194"/>
  <c r="I1195"/>
  <c r="I1196"/>
  <c r="I1197"/>
  <c r="I1198"/>
  <c r="I1199"/>
  <c r="I1200"/>
  <c r="I1201"/>
  <c r="I1202"/>
  <c r="I1203"/>
  <c r="I1204"/>
  <c r="I1205"/>
  <c r="I1206"/>
  <c r="I1207"/>
  <c r="I1208"/>
  <c r="I1209"/>
  <c r="I1210"/>
  <c r="I1211"/>
  <c r="I1212"/>
  <c r="I1213"/>
  <c r="I1214"/>
  <c r="I1215"/>
  <c r="I1216"/>
  <c r="I1217"/>
  <c r="I1218"/>
  <c r="I1219"/>
  <c r="I1220"/>
  <c r="I1221"/>
  <c r="I1222"/>
  <c r="I1223"/>
  <c r="I1224"/>
  <c r="I1225"/>
  <c r="I1226"/>
  <c r="I1227"/>
  <c r="I1228"/>
  <c r="I1229"/>
  <c r="I1230"/>
  <c r="I1231"/>
  <c r="I1232"/>
  <c r="I1233"/>
  <c r="I1234"/>
  <c r="I1235"/>
  <c r="I1236"/>
  <c r="I1237"/>
  <c r="I1238"/>
  <c r="I1239"/>
  <c r="I1240"/>
  <c r="I1241"/>
  <c r="I1242"/>
  <c r="I1243"/>
  <c r="I1244"/>
  <c r="I1245"/>
  <c r="I1246"/>
  <c r="I1247"/>
  <c r="I1248"/>
  <c r="I1249"/>
  <c r="I1250"/>
  <c r="I1251"/>
  <c r="I1252"/>
  <c r="I1253"/>
  <c r="I1254"/>
  <c r="I1255"/>
  <c r="I1256"/>
  <c r="I1257"/>
  <c r="I1258"/>
  <c r="I1259"/>
  <c r="I1260"/>
  <c r="I1261"/>
  <c r="I1262"/>
  <c r="I1263"/>
  <c r="I1264"/>
  <c r="I1265"/>
  <c r="I1266"/>
  <c r="I1267"/>
  <c r="I1268"/>
  <c r="I1269"/>
  <c r="I1270"/>
  <c r="I1271"/>
  <c r="I1272"/>
  <c r="I1273"/>
  <c r="I1274"/>
  <c r="I1275"/>
  <c r="I1276"/>
  <c r="I1277"/>
  <c r="I1278"/>
  <c r="I1279"/>
  <c r="I1280"/>
  <c r="I1281"/>
  <c r="I1282"/>
  <c r="I1283"/>
  <c r="I1284"/>
  <c r="I1285"/>
  <c r="I1286"/>
  <c r="I1287"/>
  <c r="I1288"/>
  <c r="I1289"/>
  <c r="I1290"/>
  <c r="I1291"/>
  <c r="I1292"/>
  <c r="I1293"/>
  <c r="I1294"/>
  <c r="I1295"/>
  <c r="I1296"/>
  <c r="I1297"/>
  <c r="I1298"/>
  <c r="I1299"/>
  <c r="I1300"/>
  <c r="I1301"/>
  <c r="I1302"/>
  <c r="I1303"/>
  <c r="I1304"/>
  <c r="I1305"/>
  <c r="I1306"/>
  <c r="I1307"/>
  <c r="I1308"/>
  <c r="I1309"/>
  <c r="I1310"/>
  <c r="I1311"/>
  <c r="I1312"/>
  <c r="I1313"/>
  <c r="I1314"/>
  <c r="I1315"/>
  <c r="I1316"/>
  <c r="I1317"/>
  <c r="I1318"/>
  <c r="I1319"/>
  <c r="I1320"/>
  <c r="I1321"/>
  <c r="I1322"/>
  <c r="I1323"/>
  <c r="I1324"/>
  <c r="I1325"/>
  <c r="I1326"/>
  <c r="I1327"/>
  <c r="I1328"/>
  <c r="I1329"/>
  <c r="I1330"/>
  <c r="I1331"/>
  <c r="I1332"/>
  <c r="I1333"/>
  <c r="I1334"/>
  <c r="I1335"/>
  <c r="I1336"/>
  <c r="I1337"/>
  <c r="I1338"/>
  <c r="I1339"/>
  <c r="I1340"/>
  <c r="I1341"/>
  <c r="I1342"/>
  <c r="I1343"/>
  <c r="I1344"/>
  <c r="I1345"/>
  <c r="I1346"/>
  <c r="I1347"/>
  <c r="I1348"/>
  <c r="I1349"/>
  <c r="I1350"/>
  <c r="I1351"/>
  <c r="I1352"/>
  <c r="I1353"/>
  <c r="I1354"/>
  <c r="I1355"/>
  <c r="I1356"/>
  <c r="I1357"/>
  <c r="I1358"/>
  <c r="I1359"/>
  <c r="I1360"/>
  <c r="I1361"/>
  <c r="I1362"/>
  <c r="I1363"/>
  <c r="I1364"/>
  <c r="I1365"/>
  <c r="I1366"/>
  <c r="I1367"/>
  <c r="I1368"/>
  <c r="I1369"/>
  <c r="I1370"/>
  <c r="I1371"/>
  <c r="I1372"/>
  <c r="I1373"/>
  <c r="I1374"/>
  <c r="I1375"/>
  <c r="I1376"/>
  <c r="I1377"/>
  <c r="I1378"/>
  <c r="I1379"/>
  <c r="I1380"/>
  <c r="I1381"/>
  <c r="I1382"/>
  <c r="I1383"/>
  <c r="I1384"/>
  <c r="I1385"/>
  <c r="I1386"/>
  <c r="I1387"/>
  <c r="I1388"/>
  <c r="I1389"/>
  <c r="I1390"/>
  <c r="I1391"/>
  <c r="I1392"/>
  <c r="I1393"/>
  <c r="I1394"/>
  <c r="I1395"/>
  <c r="I1396"/>
  <c r="I1397"/>
  <c r="I1398"/>
  <c r="I1399"/>
  <c r="I1400"/>
  <c r="I1401"/>
  <c r="I1402"/>
  <c r="I1403"/>
  <c r="I1404"/>
  <c r="I1405"/>
  <c r="I1406"/>
  <c r="I1407"/>
  <c r="I1408"/>
  <c r="I1409"/>
  <c r="I1410"/>
  <c r="I1411"/>
  <c r="I1412"/>
  <c r="I1413"/>
  <c r="I1414"/>
  <c r="I1415"/>
  <c r="I1416"/>
  <c r="I1417"/>
  <c r="I1418"/>
  <c r="I1419"/>
  <c r="I1420"/>
  <c r="I1421"/>
  <c r="I1422"/>
  <c r="I1423"/>
  <c r="I1424"/>
  <c r="I1425"/>
  <c r="I1426"/>
  <c r="I1427"/>
  <c r="I1428"/>
  <c r="I1429"/>
  <c r="I1430"/>
  <c r="I1431"/>
  <c r="I1432"/>
  <c r="I1433"/>
  <c r="I1434"/>
  <c r="I1435"/>
  <c r="I1436"/>
  <c r="I1437"/>
  <c r="I1438"/>
  <c r="I1439"/>
  <c r="I1440"/>
  <c r="I1441"/>
  <c r="I1442"/>
  <c r="I1443"/>
  <c r="I1444"/>
  <c r="I1445"/>
  <c r="I1446"/>
  <c r="I1447"/>
  <c r="I1448"/>
  <c r="I1449"/>
  <c r="I1450"/>
  <c r="I1451"/>
  <c r="I1452"/>
  <c r="I1453"/>
  <c r="I1454"/>
  <c r="I1455"/>
  <c r="I1456"/>
  <c r="I1457"/>
  <c r="I1458"/>
  <c r="I1459"/>
  <c r="I1460"/>
  <c r="I1461"/>
  <c r="I1462"/>
  <c r="I1463"/>
  <c r="I1464"/>
  <c r="I1465"/>
  <c r="I1466"/>
  <c r="I1467"/>
  <c r="I1468"/>
  <c r="I1469"/>
  <c r="I1470"/>
  <c r="I1471"/>
  <c r="I1472"/>
  <c r="I1473"/>
  <c r="I1474"/>
  <c r="I1475"/>
  <c r="I1476"/>
  <c r="I1477"/>
  <c r="I1478"/>
  <c r="I1479"/>
  <c r="I1480"/>
  <c r="I1481"/>
  <c r="I1482"/>
  <c r="I1483"/>
  <c r="I1484"/>
  <c r="I1485"/>
  <c r="I1486"/>
  <c r="I1487"/>
  <c r="I1488"/>
  <c r="I1489"/>
  <c r="I1490"/>
  <c r="I1491"/>
  <c r="I1492"/>
  <c r="I1493"/>
  <c r="I1494"/>
  <c r="I1495"/>
  <c r="I1496"/>
  <c r="I1497"/>
  <c r="I1498"/>
  <c r="I1499"/>
  <c r="I1500"/>
  <c r="I1501"/>
  <c r="I1502"/>
  <c r="I1503"/>
  <c r="I1504"/>
  <c r="I1505"/>
  <c r="I1506"/>
  <c r="I1507"/>
  <c r="I1508"/>
  <c r="I1509"/>
  <c r="I1510"/>
  <c r="I1511"/>
  <c r="I1512"/>
  <c r="I1513"/>
  <c r="I1514"/>
  <c r="I1515"/>
  <c r="I1516"/>
  <c r="I1517"/>
  <c r="I1518"/>
  <c r="I1519"/>
  <c r="I1520"/>
  <c r="I1521"/>
  <c r="I1522"/>
  <c r="I1523"/>
  <c r="I1524"/>
  <c r="I1525"/>
  <c r="I1526"/>
  <c r="I1527"/>
  <c r="I1528"/>
  <c r="I1529"/>
  <c r="I1530"/>
  <c r="I1531"/>
  <c r="I1532"/>
  <c r="I1533"/>
  <c r="I1534"/>
  <c r="I1535"/>
  <c r="I1536"/>
  <c r="I1537"/>
  <c r="I1538"/>
  <c r="I1539"/>
  <c r="I1540"/>
  <c r="I1541"/>
  <c r="I1542"/>
  <c r="I1543"/>
  <c r="I1544"/>
  <c r="I1545"/>
  <c r="I1546"/>
  <c r="I1547"/>
  <c r="I1548"/>
  <c r="I1549"/>
  <c r="I1550"/>
  <c r="I1551"/>
  <c r="I1552"/>
  <c r="I1553"/>
  <c r="I1554"/>
  <c r="I1555"/>
  <c r="I1556"/>
  <c r="I1557"/>
  <c r="I1558"/>
  <c r="I1559"/>
  <c r="I1560"/>
  <c r="I1561"/>
  <c r="I1562"/>
  <c r="I1563"/>
  <c r="I1564"/>
  <c r="I1565"/>
  <c r="I1566"/>
  <c r="I1567"/>
  <c r="I1568"/>
  <c r="I1569"/>
  <c r="I1570"/>
  <c r="I1571"/>
  <c r="I1572"/>
  <c r="I1573"/>
  <c r="I1574"/>
  <c r="I1575"/>
  <c r="I1576"/>
  <c r="I1577"/>
  <c r="I1578"/>
  <c r="I1579"/>
  <c r="I1580"/>
  <c r="I1581"/>
  <c r="I1582"/>
  <c r="I1583"/>
  <c r="I1584"/>
  <c r="I1585"/>
  <c r="I1586"/>
  <c r="I1587"/>
  <c r="I1588"/>
  <c r="I1589"/>
  <c r="I1590"/>
  <c r="I1591"/>
  <c r="I1592"/>
  <c r="I1593"/>
  <c r="I1594"/>
  <c r="I1595"/>
  <c r="I1596"/>
  <c r="I1597"/>
  <c r="I1598"/>
  <c r="I1599"/>
  <c r="I1600"/>
  <c r="I1601"/>
  <c r="I1602"/>
  <c r="I1603"/>
  <c r="I1604"/>
  <c r="I1605"/>
  <c r="I1606"/>
  <c r="I1607"/>
  <c r="I1608"/>
  <c r="I1609"/>
  <c r="I1610"/>
  <c r="I1611"/>
  <c r="I1612"/>
  <c r="I1613"/>
  <c r="I1614"/>
  <c r="I1615"/>
  <c r="I1616"/>
  <c r="I1617"/>
  <c r="I1618"/>
  <c r="I1619"/>
  <c r="I1620"/>
  <c r="I1621"/>
  <c r="I1622"/>
  <c r="I1623"/>
  <c r="I1624"/>
  <c r="I1625"/>
  <c r="I1626"/>
  <c r="I1627"/>
  <c r="I1628"/>
  <c r="I1629"/>
  <c r="I1630"/>
  <c r="I1631"/>
  <c r="I1632"/>
  <c r="I1633"/>
  <c r="I1634"/>
  <c r="I1635"/>
  <c r="I1636"/>
  <c r="I1637"/>
  <c r="I1638"/>
  <c r="I1639"/>
  <c r="I1640"/>
  <c r="I1641"/>
  <c r="I1642"/>
  <c r="I1643"/>
  <c r="I1644"/>
  <c r="I1645"/>
  <c r="I1646"/>
  <c r="I1647"/>
  <c r="I1648"/>
  <c r="I1649"/>
  <c r="I1650"/>
  <c r="I1651"/>
  <c r="I1652"/>
  <c r="I1653"/>
  <c r="I1654"/>
  <c r="I1655"/>
  <c r="I1656"/>
  <c r="I1657"/>
  <c r="I1658"/>
  <c r="I1659"/>
  <c r="I1660"/>
  <c r="I1661"/>
  <c r="I1662"/>
  <c r="I1663"/>
  <c r="I1664"/>
  <c r="I1665"/>
  <c r="I1666"/>
  <c r="I1667"/>
  <c r="I1668"/>
  <c r="I1669"/>
  <c r="I1670"/>
  <c r="I1671"/>
  <c r="I1672"/>
  <c r="I1673"/>
  <c r="I1674"/>
  <c r="I1675"/>
  <c r="I1676"/>
  <c r="I1677"/>
  <c r="I1678"/>
  <c r="I1679"/>
  <c r="I1680"/>
  <c r="I1681"/>
  <c r="I1682"/>
  <c r="I1683"/>
  <c r="I1684"/>
  <c r="I1685"/>
  <c r="I1686"/>
  <c r="I1687"/>
  <c r="I1688"/>
  <c r="I1689"/>
  <c r="I1690"/>
  <c r="I1691"/>
  <c r="I1692"/>
  <c r="I1693"/>
  <c r="I1694"/>
  <c r="I1695"/>
  <c r="I1696"/>
  <c r="I1697"/>
  <c r="I1698"/>
  <c r="I1699"/>
  <c r="I1700"/>
  <c r="I1701"/>
  <c r="I1702"/>
  <c r="I1703"/>
  <c r="I1704"/>
  <c r="I1705"/>
  <c r="I1706"/>
  <c r="I1707"/>
  <c r="I1708"/>
  <c r="I1709"/>
  <c r="I1710"/>
  <c r="I1711"/>
  <c r="I1712"/>
  <c r="I1713"/>
  <c r="I1714"/>
  <c r="I1715"/>
  <c r="I1716"/>
  <c r="I1717"/>
  <c r="I1718"/>
  <c r="I1719"/>
  <c r="I1720"/>
  <c r="I1721"/>
  <c r="I1722"/>
  <c r="I1723"/>
  <c r="I1724"/>
  <c r="I1725"/>
  <c r="I1726"/>
  <c r="I1727"/>
  <c r="I1728"/>
  <c r="I1729"/>
  <c r="I1730"/>
  <c r="I1731"/>
  <c r="I1732"/>
  <c r="I1733"/>
  <c r="I1734"/>
  <c r="I1735"/>
  <c r="I1736"/>
  <c r="I1737"/>
  <c r="I1738"/>
  <c r="I1739"/>
  <c r="I1740"/>
  <c r="I1741"/>
  <c r="I1742"/>
  <c r="I1743"/>
  <c r="I1744"/>
  <c r="I1745"/>
  <c r="I1746"/>
  <c r="I1747"/>
  <c r="I1748"/>
  <c r="I1749"/>
  <c r="I1750"/>
  <c r="I1751"/>
  <c r="I1752"/>
  <c r="I1753"/>
  <c r="I1754"/>
  <c r="I1755"/>
  <c r="I1756"/>
  <c r="I1757"/>
  <c r="I1758"/>
  <c r="I1759"/>
  <c r="I1760"/>
  <c r="I1761"/>
  <c r="I1762"/>
  <c r="I1763"/>
  <c r="I1764"/>
  <c r="I1765"/>
  <c r="I1766"/>
  <c r="I1767"/>
  <c r="I1768"/>
  <c r="I1769"/>
  <c r="I1770"/>
  <c r="I1771"/>
  <c r="I1772"/>
  <c r="I1773"/>
  <c r="I1774"/>
  <c r="I1775"/>
  <c r="I1776"/>
  <c r="I1777"/>
  <c r="I1778"/>
  <c r="I1779"/>
  <c r="I1780"/>
  <c r="I1781"/>
  <c r="I1782"/>
  <c r="I1783"/>
  <c r="I1784"/>
  <c r="I1785"/>
  <c r="I1786"/>
  <c r="I1787"/>
  <c r="I1788"/>
  <c r="I1789"/>
  <c r="I1790"/>
  <c r="I1791"/>
  <c r="I1792"/>
  <c r="I1793"/>
  <c r="I1794"/>
  <c r="I1795"/>
  <c r="I1796"/>
  <c r="I1797"/>
  <c r="I1798"/>
  <c r="I1799"/>
  <c r="I1800"/>
  <c r="I1801"/>
  <c r="I1802"/>
  <c r="I1803"/>
  <c r="I1804"/>
  <c r="I1805"/>
  <c r="I1806"/>
  <c r="I1807"/>
  <c r="I1808"/>
  <c r="I1809"/>
  <c r="I1810"/>
  <c r="I1811"/>
  <c r="I1812"/>
  <c r="I1813"/>
  <c r="I1814"/>
  <c r="I1815"/>
  <c r="I1816"/>
  <c r="I1817"/>
  <c r="I1818"/>
  <c r="I1819"/>
  <c r="I1820"/>
  <c r="I1821"/>
  <c r="I1822"/>
  <c r="I1823"/>
  <c r="I1824"/>
  <c r="I1825"/>
  <c r="I1826"/>
  <c r="I1827"/>
  <c r="I1828"/>
  <c r="I1829"/>
  <c r="I1830"/>
  <c r="I1831"/>
  <c r="I1832"/>
  <c r="I1833"/>
  <c r="I1834"/>
  <c r="I1835"/>
  <c r="I1836"/>
  <c r="I1837"/>
  <c r="I1838"/>
  <c r="I1839"/>
  <c r="I1840"/>
  <c r="I1841"/>
  <c r="I1842"/>
  <c r="I1843"/>
  <c r="I1844"/>
  <c r="I1845"/>
  <c r="I1846"/>
  <c r="I1847"/>
  <c r="I1848"/>
  <c r="I1849"/>
  <c r="I1850"/>
  <c r="I1851"/>
  <c r="I1852"/>
  <c r="I1853"/>
  <c r="I1854"/>
  <c r="I1855"/>
  <c r="I1856"/>
  <c r="I1857"/>
  <c r="I1858"/>
  <c r="I1859"/>
  <c r="I1860"/>
  <c r="I1861"/>
  <c r="I1862"/>
  <c r="I1863"/>
  <c r="I1864"/>
  <c r="I1865"/>
  <c r="I1866"/>
  <c r="I1867"/>
  <c r="I1868"/>
  <c r="I1869"/>
  <c r="I1870"/>
  <c r="I1871"/>
  <c r="I1872"/>
  <c r="I1873"/>
  <c r="I1874"/>
  <c r="I1875"/>
  <c r="I1876"/>
  <c r="I1877"/>
  <c r="I1878"/>
  <c r="I1879"/>
  <c r="I1880"/>
  <c r="I1881"/>
  <c r="I1882"/>
  <c r="I1883"/>
  <c r="I1884"/>
  <c r="I1885"/>
  <c r="I1886"/>
  <c r="I1887"/>
  <c r="I1888"/>
  <c r="I1889"/>
  <c r="I1890"/>
  <c r="I1891"/>
  <c r="I1892"/>
  <c r="I1893"/>
  <c r="I1894"/>
  <c r="I1895"/>
  <c r="I1896"/>
  <c r="I1897"/>
  <c r="I1898"/>
  <c r="I1899"/>
  <c r="I1900"/>
  <c r="I1901"/>
  <c r="I1902"/>
  <c r="I1903"/>
  <c r="I1904"/>
  <c r="I1905"/>
  <c r="I1906"/>
  <c r="I1907"/>
  <c r="I1908"/>
  <c r="I1909"/>
  <c r="I1910"/>
  <c r="I1911"/>
  <c r="I1912"/>
  <c r="I1913"/>
  <c r="I1914"/>
  <c r="I1915"/>
  <c r="I1916"/>
  <c r="I1917"/>
  <c r="I1918"/>
  <c r="I1919"/>
  <c r="I1920"/>
  <c r="I1921"/>
  <c r="I1922"/>
  <c r="I1923"/>
  <c r="I1924"/>
  <c r="I1925"/>
  <c r="I1926"/>
  <c r="I1927"/>
  <c r="I1928"/>
  <c r="I1929"/>
  <c r="I1930"/>
  <c r="I1931"/>
  <c r="I1932"/>
  <c r="I1933"/>
  <c r="I1934"/>
  <c r="I1935"/>
  <c r="I1936"/>
  <c r="I1937"/>
  <c r="I1938"/>
  <c r="I1939"/>
  <c r="I1940"/>
  <c r="I1941"/>
  <c r="I1942"/>
  <c r="I1943"/>
  <c r="I1944"/>
  <c r="I1945"/>
  <c r="I1946"/>
  <c r="I1947"/>
  <c r="I1948"/>
  <c r="I1949"/>
  <c r="I1950"/>
  <c r="I1951"/>
  <c r="I1952"/>
  <c r="I1953"/>
  <c r="I1954"/>
  <c r="I1955"/>
  <c r="I1956"/>
  <c r="I1957"/>
  <c r="I1958"/>
  <c r="I1959"/>
  <c r="I1960"/>
  <c r="I1961"/>
  <c r="I1962"/>
  <c r="I1963"/>
  <c r="I1964"/>
  <c r="I1965"/>
  <c r="I1966"/>
  <c r="I1967"/>
  <c r="I1968"/>
  <c r="I1969"/>
  <c r="I1970"/>
  <c r="I1971"/>
  <c r="I1972"/>
  <c r="I1973"/>
  <c r="I1974"/>
  <c r="I1975"/>
  <c r="I1976"/>
  <c r="I1977"/>
  <c r="I1978"/>
  <c r="I1979"/>
  <c r="I1980"/>
  <c r="I1981"/>
  <c r="I1982"/>
  <c r="I1983"/>
  <c r="I1984"/>
  <c r="I1985"/>
  <c r="I1986"/>
  <c r="I1987"/>
  <c r="I1988"/>
  <c r="I1989"/>
  <c r="I1990"/>
  <c r="I1991"/>
  <c r="I1992"/>
  <c r="I1993"/>
  <c r="I1994"/>
  <c r="I1995"/>
  <c r="I1996"/>
  <c r="I1997"/>
  <c r="I1998"/>
  <c r="I1999"/>
  <c r="I2000"/>
  <c r="I2001"/>
  <c r="I2002"/>
  <c r="I2003"/>
  <c r="I2004"/>
  <c r="I2005"/>
  <c r="I2006"/>
  <c r="I2007"/>
  <c r="I2008"/>
  <c r="I2009"/>
  <c r="I2010"/>
  <c r="I2011"/>
  <c r="I2012"/>
  <c r="I2013"/>
  <c r="I2014"/>
  <c r="I2015"/>
  <c r="I2016"/>
  <c r="I2017"/>
  <c r="I2018"/>
  <c r="I2019"/>
  <c r="I2020"/>
  <c r="I2021"/>
  <c r="I2022"/>
  <c r="I2023"/>
  <c r="I2024"/>
  <c r="I2025"/>
  <c r="I2026"/>
  <c r="I2027"/>
  <c r="I2028"/>
  <c r="I2029"/>
  <c r="I2030"/>
  <c r="I2031"/>
  <c r="I2032"/>
  <c r="I2033"/>
  <c r="I2034"/>
  <c r="I2035"/>
  <c r="I2036"/>
  <c r="I2037"/>
  <c r="I2038"/>
  <c r="I2039"/>
  <c r="I2040"/>
  <c r="I2041"/>
  <c r="I2042"/>
  <c r="I2043"/>
  <c r="I2044"/>
  <c r="I2045"/>
  <c r="I2046"/>
  <c r="I2047"/>
  <c r="I2048"/>
  <c r="I2049"/>
  <c r="I2050"/>
  <c r="I2051"/>
  <c r="I2052"/>
  <c r="I2053"/>
  <c r="I2054"/>
  <c r="I2055"/>
  <c r="I2056"/>
  <c r="I2057"/>
  <c r="I2058"/>
  <c r="I2059"/>
  <c r="I2060"/>
  <c r="I2061"/>
  <c r="I2062"/>
  <c r="I2063"/>
  <c r="I2064"/>
  <c r="I2065"/>
  <c r="I2066"/>
  <c r="I2067"/>
  <c r="I2068"/>
  <c r="I2069"/>
  <c r="I2070"/>
  <c r="I2071"/>
  <c r="I2072"/>
  <c r="I2073"/>
  <c r="I2074"/>
  <c r="I2075"/>
  <c r="I2076"/>
  <c r="I2077"/>
  <c r="I2078"/>
  <c r="I2079"/>
  <c r="I2080"/>
  <c r="I2081"/>
  <c r="I2082"/>
  <c r="I2083"/>
  <c r="I2084"/>
  <c r="I2085"/>
  <c r="I2086"/>
  <c r="I2087"/>
  <c r="I2088"/>
  <c r="I2089"/>
  <c r="I2090"/>
  <c r="I2091"/>
  <c r="I2092"/>
  <c r="I2093"/>
  <c r="I2094"/>
  <c r="I2095"/>
  <c r="I2096"/>
  <c r="I2097"/>
  <c r="I2098"/>
  <c r="I2099"/>
  <c r="I2100"/>
  <c r="I2101"/>
  <c r="I2102"/>
  <c r="I2103"/>
  <c r="I2104"/>
  <c r="I2105"/>
  <c r="I2106"/>
  <c r="I2107"/>
  <c r="I2108"/>
  <c r="I2109"/>
  <c r="I2110"/>
  <c r="I2111"/>
  <c r="I2112"/>
  <c r="I2113"/>
  <c r="I2114"/>
  <c r="I2115"/>
  <c r="I2116"/>
  <c r="I2117"/>
  <c r="I2118"/>
  <c r="I2119"/>
  <c r="I2120"/>
  <c r="I2121"/>
  <c r="I2122"/>
  <c r="I2123"/>
  <c r="I2124"/>
  <c r="I2125"/>
  <c r="I2126"/>
  <c r="I2127"/>
  <c r="I2128"/>
  <c r="I2129"/>
  <c r="I2130"/>
  <c r="I2131"/>
  <c r="I2132"/>
  <c r="I2133"/>
  <c r="I2134"/>
  <c r="I2135"/>
  <c r="I2136"/>
  <c r="I2137"/>
  <c r="I2138"/>
  <c r="I2139"/>
  <c r="I2140"/>
  <c r="I2141"/>
  <c r="I2142"/>
  <c r="I2143"/>
  <c r="I2144"/>
  <c r="I2145"/>
  <c r="I2146"/>
  <c r="I2147"/>
  <c r="I2148"/>
  <c r="I2149"/>
  <c r="I2150"/>
  <c r="I2151"/>
  <c r="I2152"/>
  <c r="I2153"/>
  <c r="I2154"/>
  <c r="I2155"/>
  <c r="I2156"/>
  <c r="I2157"/>
  <c r="I2158"/>
  <c r="I2159"/>
  <c r="I2160"/>
  <c r="I2161"/>
  <c r="I2162"/>
  <c r="I2163"/>
  <c r="I2164"/>
  <c r="I2165"/>
  <c r="I2166"/>
  <c r="I2167"/>
  <c r="I2168"/>
  <c r="I2169"/>
  <c r="I2170"/>
  <c r="I2171"/>
  <c r="I2172"/>
  <c r="I2173"/>
  <c r="I2174"/>
  <c r="I2175"/>
  <c r="I2176"/>
  <c r="I2177"/>
  <c r="I2178"/>
  <c r="I2179"/>
  <c r="I2180"/>
  <c r="I2181"/>
  <c r="I2182"/>
  <c r="I2183"/>
  <c r="I2184"/>
  <c r="I2185"/>
  <c r="I2186"/>
  <c r="I2187"/>
  <c r="I2188"/>
  <c r="I2189"/>
  <c r="I2190"/>
  <c r="I2191"/>
  <c r="I2192"/>
  <c r="I2193"/>
  <c r="I2194"/>
  <c r="I2195"/>
  <c r="I2196"/>
  <c r="I2197"/>
  <c r="I2198"/>
  <c r="I2199"/>
  <c r="I2200"/>
  <c r="I2201"/>
  <c r="I2202"/>
  <c r="I2203"/>
  <c r="I2204"/>
  <c r="I2205"/>
  <c r="I2206"/>
  <c r="I2207"/>
  <c r="I2208"/>
  <c r="I2209"/>
  <c r="I2210"/>
  <c r="I2211"/>
  <c r="I2212"/>
  <c r="I2213"/>
  <c r="I2214"/>
  <c r="I2215"/>
  <c r="I2216"/>
  <c r="I2217"/>
  <c r="I2218"/>
  <c r="I2219"/>
  <c r="I2220"/>
  <c r="I2221"/>
  <c r="I2222"/>
  <c r="I2223"/>
  <c r="I2224"/>
  <c r="I2225"/>
  <c r="I2226"/>
  <c r="I2227"/>
  <c r="I2228"/>
  <c r="I2229"/>
  <c r="I2230"/>
  <c r="I2231"/>
  <c r="I2232"/>
  <c r="I2233"/>
  <c r="I2234"/>
  <c r="I2235"/>
  <c r="I2236"/>
  <c r="I2237"/>
  <c r="I2238"/>
  <c r="I2239"/>
  <c r="I2240"/>
  <c r="I2241"/>
  <c r="I2242"/>
  <c r="I2243"/>
  <c r="I2244"/>
  <c r="I2245"/>
  <c r="I2246"/>
  <c r="I2247"/>
  <c r="I2248"/>
  <c r="I2249"/>
  <c r="I2250"/>
  <c r="I2251"/>
  <c r="I2252"/>
  <c r="I2253"/>
  <c r="I2254"/>
  <c r="I2255"/>
  <c r="I2256"/>
  <c r="I2257"/>
  <c r="I2258"/>
  <c r="I2259"/>
  <c r="I2260"/>
  <c r="I2261"/>
  <c r="I2262"/>
  <c r="I2263"/>
  <c r="I2264"/>
  <c r="I2265"/>
  <c r="I2266"/>
  <c r="I2267"/>
  <c r="I2268"/>
  <c r="I2269"/>
  <c r="I2270"/>
  <c r="I2271"/>
  <c r="I2272"/>
  <c r="I2273"/>
  <c r="I2274"/>
  <c r="I2275"/>
  <c r="I2276"/>
  <c r="I2277"/>
  <c r="I2278"/>
  <c r="I2279"/>
  <c r="I2280"/>
  <c r="I2281"/>
  <c r="I2282"/>
  <c r="I2283"/>
  <c r="I2284"/>
  <c r="I2285"/>
  <c r="I2286"/>
  <c r="I2287"/>
  <c r="I2288"/>
  <c r="I2289"/>
  <c r="I2290"/>
  <c r="I2291"/>
  <c r="I2292"/>
  <c r="I2293"/>
  <c r="I2294"/>
  <c r="I2295"/>
  <c r="I2296"/>
  <c r="I2297"/>
  <c r="I2298"/>
  <c r="I2299"/>
  <c r="I2300"/>
  <c r="I2301"/>
  <c r="I2302"/>
  <c r="I2303"/>
  <c r="I2304"/>
  <c r="I2305"/>
  <c r="I2306"/>
  <c r="I2307"/>
  <c r="I2308"/>
  <c r="I2309"/>
  <c r="I2310"/>
  <c r="I2311"/>
  <c r="I2312"/>
  <c r="I2313"/>
  <c r="I2314"/>
  <c r="I2315"/>
  <c r="I2316"/>
  <c r="I2317"/>
  <c r="I2318"/>
  <c r="I2319"/>
  <c r="I2320"/>
  <c r="I2321"/>
  <c r="I2322"/>
  <c r="I2323"/>
  <c r="I2324"/>
  <c r="I2325"/>
  <c r="I2326"/>
  <c r="I2327"/>
  <c r="I2328"/>
  <c r="I2329"/>
  <c r="I2330"/>
  <c r="I2331"/>
  <c r="I2332"/>
  <c r="I2333"/>
  <c r="I2334"/>
  <c r="I2335"/>
  <c r="I2336"/>
  <c r="I2337"/>
  <c r="I2338"/>
  <c r="I2339"/>
  <c r="I2340"/>
  <c r="I2341"/>
  <c r="I2342"/>
  <c r="I2343"/>
  <c r="I2344"/>
  <c r="I2345"/>
  <c r="I2346"/>
  <c r="I2347"/>
  <c r="I2348"/>
  <c r="I2349"/>
  <c r="I2350"/>
  <c r="I2351"/>
  <c r="I2352"/>
  <c r="I2353"/>
  <c r="I2354"/>
  <c r="I2355"/>
  <c r="I2356"/>
  <c r="I2357"/>
  <c r="I2358"/>
  <c r="I2359"/>
  <c r="I2360"/>
  <c r="I2361"/>
  <c r="I2362"/>
  <c r="I2363"/>
  <c r="I2364"/>
  <c r="I2365"/>
  <c r="I2366"/>
  <c r="I2367"/>
  <c r="I2368"/>
  <c r="I2369"/>
  <c r="I2370"/>
  <c r="I2371"/>
  <c r="I2372"/>
  <c r="I2373"/>
  <c r="I2374"/>
  <c r="I2375"/>
  <c r="I2376"/>
  <c r="I2377"/>
  <c r="I2378"/>
  <c r="I2379"/>
  <c r="I2380"/>
  <c r="I2381"/>
  <c r="I2382"/>
  <c r="I2383"/>
  <c r="I2384"/>
  <c r="I2385"/>
  <c r="I2386"/>
  <c r="I2387"/>
  <c r="I2388"/>
  <c r="I2389"/>
  <c r="I2390"/>
  <c r="I2391"/>
  <c r="I2392"/>
  <c r="I2393"/>
  <c r="I2394"/>
  <c r="I2395"/>
  <c r="I2396"/>
  <c r="I2397"/>
  <c r="I2398"/>
  <c r="I2399"/>
  <c r="I2400"/>
  <c r="I2401"/>
  <c r="I2402"/>
  <c r="I2403"/>
  <c r="I2404"/>
  <c r="I2405"/>
  <c r="I2406"/>
  <c r="I2407"/>
  <c r="I2408"/>
  <c r="I2409"/>
  <c r="I2410"/>
  <c r="I2411"/>
  <c r="I2412"/>
  <c r="I2413"/>
  <c r="I2414"/>
  <c r="I2415"/>
  <c r="I2416"/>
  <c r="I2417"/>
  <c r="I2418"/>
  <c r="I2419"/>
  <c r="I2420"/>
  <c r="I2421"/>
  <c r="I2422"/>
  <c r="I2423"/>
  <c r="I2424"/>
  <c r="I2425"/>
  <c r="I2426"/>
  <c r="I2427"/>
  <c r="I2428"/>
  <c r="I2429"/>
  <c r="I2430"/>
  <c r="I2431"/>
  <c r="I2432"/>
  <c r="I2433"/>
  <c r="I2434"/>
  <c r="I2435"/>
  <c r="I2436"/>
  <c r="I2437"/>
  <c r="I2438"/>
  <c r="I2439"/>
  <c r="I2440"/>
  <c r="I2441"/>
  <c r="I2442"/>
  <c r="I2443"/>
  <c r="I2444"/>
  <c r="I2445"/>
  <c r="I2446"/>
  <c r="I2447"/>
  <c r="I2448"/>
  <c r="I2449"/>
  <c r="I2450"/>
  <c r="I2451"/>
  <c r="I2452"/>
  <c r="I2453"/>
  <c r="I2454"/>
  <c r="I2455"/>
  <c r="I2456"/>
  <c r="I2457"/>
  <c r="I2458"/>
  <c r="I2459"/>
  <c r="I2460"/>
  <c r="I2461"/>
  <c r="I2462"/>
  <c r="I2463"/>
  <c r="I2464"/>
  <c r="I2465"/>
  <c r="I2466"/>
  <c r="I2467"/>
  <c r="I2468"/>
  <c r="I2469"/>
  <c r="I2470"/>
  <c r="I2471"/>
  <c r="I2472"/>
  <c r="I2473"/>
  <c r="I2474"/>
  <c r="I2475"/>
  <c r="I2476"/>
  <c r="I2477"/>
  <c r="I2478"/>
  <c r="I2479"/>
  <c r="I2480"/>
  <c r="I2481"/>
  <c r="I2482"/>
  <c r="I2483"/>
  <c r="I2484"/>
  <c r="I2485"/>
  <c r="I2486"/>
  <c r="I2487"/>
  <c r="I2488"/>
  <c r="I2489"/>
  <c r="I2490"/>
  <c r="I2491"/>
  <c r="I2492"/>
  <c r="I2493"/>
  <c r="I2494"/>
  <c r="I2495"/>
  <c r="I2496"/>
  <c r="I2497"/>
  <c r="I2498"/>
  <c r="I2499"/>
  <c r="I2500"/>
  <c r="I2501"/>
  <c r="I2502"/>
  <c r="I2503"/>
  <c r="I2504"/>
  <c r="I2505"/>
  <c r="I2506"/>
  <c r="I2507"/>
  <c r="I2508"/>
  <c r="I2509"/>
  <c r="I2510"/>
  <c r="I2511"/>
  <c r="I2512"/>
  <c r="I2513"/>
  <c r="I2514"/>
  <c r="I2515"/>
  <c r="I2516"/>
  <c r="I2517"/>
  <c r="I2518"/>
  <c r="I2519"/>
  <c r="I2520"/>
  <c r="I2521"/>
  <c r="I2522"/>
  <c r="I2523"/>
  <c r="I2524"/>
  <c r="I2525"/>
  <c r="I2526"/>
  <c r="I2527"/>
  <c r="I2528"/>
  <c r="I2529"/>
  <c r="I2530"/>
  <c r="I2531"/>
  <c r="I2532"/>
  <c r="I2533"/>
  <c r="I2534"/>
  <c r="I2535"/>
  <c r="I2536"/>
  <c r="I2537"/>
  <c r="I2538"/>
  <c r="I2539"/>
  <c r="I2540"/>
  <c r="I2541"/>
  <c r="I2542"/>
  <c r="I2543"/>
  <c r="I2544"/>
  <c r="I2545"/>
  <c r="I2546"/>
  <c r="I2547"/>
  <c r="I2548"/>
  <c r="I2549"/>
  <c r="I2550"/>
  <c r="I2551"/>
  <c r="I2552"/>
  <c r="I2553"/>
  <c r="I2554"/>
  <c r="I2555"/>
  <c r="I2556"/>
  <c r="I2557"/>
  <c r="I2558"/>
  <c r="I2559"/>
  <c r="I2560"/>
  <c r="I2561"/>
  <c r="I2562"/>
  <c r="I2563"/>
  <c r="I2564"/>
  <c r="I2565"/>
  <c r="I2566"/>
  <c r="I2567"/>
  <c r="I2568"/>
  <c r="I2569"/>
  <c r="I2570"/>
  <c r="I2571"/>
  <c r="I2572"/>
  <c r="I2573"/>
  <c r="I2574"/>
  <c r="I2575"/>
  <c r="I2576"/>
  <c r="I2577"/>
  <c r="I2578"/>
  <c r="I2579"/>
  <c r="I2580"/>
  <c r="I2581"/>
  <c r="I2582"/>
  <c r="I2583"/>
  <c r="I2584"/>
  <c r="I2585"/>
  <c r="I2586"/>
  <c r="I2587"/>
  <c r="I2588"/>
  <c r="I2589"/>
  <c r="I2590"/>
  <c r="I2591"/>
  <c r="I2592"/>
  <c r="I2593"/>
  <c r="I2594"/>
  <c r="I2595"/>
  <c r="I2596"/>
  <c r="I2597"/>
  <c r="I2598"/>
  <c r="I2599"/>
  <c r="I2600"/>
  <c r="I2601"/>
  <c r="I2602"/>
  <c r="I2603"/>
  <c r="I2604"/>
  <c r="I2605"/>
  <c r="I2606"/>
  <c r="I2607"/>
  <c r="I2608"/>
  <c r="I2609"/>
  <c r="I2610"/>
  <c r="I2611"/>
  <c r="I2612"/>
  <c r="I2613"/>
  <c r="I2614"/>
  <c r="I2615"/>
  <c r="I2616"/>
  <c r="I2617"/>
  <c r="I2618"/>
  <c r="I2619"/>
  <c r="I2620"/>
  <c r="I2621"/>
  <c r="I2622"/>
  <c r="I2623"/>
  <c r="I2624"/>
  <c r="I2625"/>
  <c r="I2626"/>
  <c r="I2627"/>
  <c r="I2628"/>
  <c r="I2629"/>
  <c r="I2630"/>
  <c r="I2631"/>
  <c r="I2632"/>
  <c r="I2633"/>
  <c r="I2634"/>
  <c r="I2635"/>
  <c r="I2636"/>
  <c r="I2637"/>
  <c r="I2638"/>
  <c r="I2639"/>
  <c r="I2640"/>
  <c r="I2641"/>
  <c r="I2642"/>
  <c r="I2643"/>
  <c r="I2644"/>
  <c r="I2645"/>
  <c r="I2646"/>
  <c r="I2647"/>
  <c r="I2648"/>
  <c r="I2649"/>
  <c r="I2650"/>
  <c r="I2651"/>
  <c r="I2652"/>
  <c r="I2653"/>
  <c r="I2654"/>
  <c r="I2655"/>
  <c r="I2656"/>
  <c r="I2657"/>
  <c r="I2658"/>
  <c r="I2659"/>
  <c r="I2660"/>
  <c r="I2661"/>
  <c r="I2662"/>
  <c r="I2663"/>
  <c r="I2664"/>
  <c r="I2665"/>
  <c r="I2666"/>
  <c r="I2667"/>
  <c r="I2668"/>
  <c r="I2669"/>
  <c r="I2670"/>
  <c r="I2671"/>
  <c r="I2672"/>
  <c r="I2673"/>
  <c r="I2674"/>
  <c r="I2675"/>
  <c r="I2676"/>
  <c r="I2677"/>
  <c r="I2678"/>
  <c r="I2679"/>
  <c r="I2680"/>
  <c r="I2681"/>
  <c r="I2682"/>
  <c r="I2683"/>
  <c r="I2684"/>
  <c r="I2685"/>
  <c r="I2686"/>
  <c r="I2687"/>
  <c r="I2688"/>
  <c r="I2689"/>
  <c r="I2690"/>
  <c r="I2691"/>
  <c r="I2692"/>
  <c r="I2693"/>
  <c r="I2694"/>
  <c r="I2695"/>
  <c r="I2696"/>
  <c r="I2697"/>
  <c r="I2698"/>
  <c r="I2699"/>
  <c r="I2700"/>
  <c r="I2701"/>
  <c r="I2702"/>
  <c r="I2703"/>
  <c r="I2704"/>
  <c r="I2705"/>
  <c r="I2706"/>
  <c r="I2707"/>
  <c r="I2708"/>
  <c r="I2709"/>
  <c r="I2710"/>
  <c r="I2711"/>
  <c r="I2712"/>
  <c r="I2713"/>
  <c r="I2714"/>
  <c r="I2715"/>
  <c r="I2716"/>
  <c r="I2717"/>
  <c r="I2718"/>
  <c r="I2719"/>
  <c r="I2720"/>
  <c r="I2721"/>
  <c r="I2722"/>
  <c r="I2723"/>
  <c r="I2724"/>
  <c r="I2725"/>
  <c r="I2726"/>
  <c r="I2727"/>
  <c r="I2728"/>
  <c r="I2729"/>
  <c r="I2730"/>
  <c r="I2731"/>
  <c r="I2732"/>
  <c r="I2733"/>
  <c r="I2734"/>
  <c r="I2735"/>
  <c r="I2736"/>
  <c r="I2737"/>
  <c r="I2738"/>
  <c r="I2739"/>
  <c r="I2740"/>
  <c r="I2741"/>
  <c r="I2742"/>
  <c r="I2743"/>
  <c r="I2744"/>
  <c r="I2745"/>
  <c r="I2746"/>
  <c r="I2747"/>
  <c r="I2748"/>
  <c r="I2749"/>
  <c r="I2750"/>
  <c r="I2751"/>
  <c r="I2752"/>
  <c r="I2753"/>
  <c r="I2754"/>
  <c r="I2755"/>
  <c r="I2756"/>
  <c r="I2757"/>
  <c r="I2758"/>
  <c r="I2759"/>
  <c r="I2760"/>
  <c r="I2761"/>
  <c r="I2762"/>
  <c r="I2763"/>
  <c r="I2764"/>
  <c r="I2765"/>
  <c r="I2766"/>
  <c r="I2767"/>
  <c r="I2768"/>
  <c r="I2769"/>
  <c r="I2770"/>
  <c r="I2771"/>
  <c r="I2772"/>
  <c r="I2773"/>
  <c r="I2774"/>
  <c r="I2775"/>
  <c r="I2776"/>
  <c r="I2777"/>
  <c r="I2778"/>
  <c r="I2779"/>
  <c r="I2780"/>
  <c r="I2781"/>
  <c r="I2782"/>
  <c r="I2783"/>
  <c r="I2784"/>
  <c r="I2785"/>
  <c r="I2786"/>
  <c r="I2787"/>
  <c r="I2788"/>
  <c r="I2789"/>
  <c r="I2790"/>
  <c r="I2791"/>
  <c r="I2792"/>
  <c r="I2793"/>
  <c r="I2794"/>
  <c r="I2795"/>
  <c r="I2796"/>
  <c r="I2797"/>
  <c r="I2798"/>
  <c r="I2799"/>
  <c r="I2800"/>
  <c r="I2801"/>
  <c r="I2802"/>
  <c r="I2803"/>
  <c r="I2804"/>
  <c r="I2805"/>
  <c r="I2806"/>
  <c r="I2807"/>
  <c r="I2808"/>
  <c r="I2809"/>
  <c r="I2810"/>
  <c r="I2811"/>
  <c r="I2812"/>
  <c r="I2813"/>
  <c r="I2814"/>
  <c r="I2815"/>
  <c r="I2816"/>
  <c r="I2817"/>
  <c r="I2818"/>
  <c r="I2819"/>
  <c r="I2820"/>
  <c r="I2821"/>
  <c r="I2822"/>
  <c r="I2823"/>
  <c r="I2824"/>
  <c r="I2825"/>
  <c r="I2826"/>
  <c r="I2827"/>
  <c r="I2828"/>
  <c r="I2829"/>
  <c r="I2830"/>
  <c r="I2831"/>
  <c r="I2832"/>
  <c r="I2833"/>
  <c r="I2834"/>
  <c r="I2835"/>
  <c r="I2836"/>
  <c r="I2837"/>
  <c r="I2838"/>
  <c r="I2839"/>
  <c r="I2840"/>
  <c r="I2841"/>
  <c r="I2842"/>
  <c r="I2843"/>
  <c r="I2844"/>
  <c r="I2845"/>
  <c r="I2846"/>
  <c r="I2847"/>
  <c r="I2848"/>
  <c r="I2849"/>
  <c r="I2850"/>
  <c r="I2851"/>
  <c r="I2852"/>
  <c r="I2853"/>
  <c r="I2854"/>
  <c r="I2855"/>
  <c r="I2856"/>
  <c r="I2857"/>
  <c r="I2858"/>
  <c r="I2859"/>
  <c r="I2860"/>
  <c r="I2861"/>
  <c r="I2862"/>
  <c r="I2863"/>
  <c r="I2864"/>
  <c r="I2865"/>
  <c r="I2866"/>
  <c r="I2867"/>
  <c r="I2868"/>
  <c r="I2869"/>
  <c r="I2870"/>
  <c r="I2871"/>
  <c r="I2872"/>
  <c r="I2873"/>
  <c r="I2874"/>
  <c r="I2875"/>
  <c r="I2876"/>
  <c r="I2877"/>
  <c r="I2878"/>
  <c r="I2879"/>
  <c r="I2880"/>
  <c r="I2881"/>
  <c r="I2882"/>
  <c r="I2883"/>
  <c r="I2884"/>
  <c r="I2885"/>
  <c r="I2886"/>
  <c r="I2887"/>
  <c r="I2888"/>
  <c r="I2889"/>
  <c r="I2890"/>
  <c r="I2891"/>
  <c r="I2892"/>
  <c r="I2893"/>
  <c r="I2894"/>
  <c r="I2895"/>
  <c r="I2896"/>
  <c r="I2897"/>
  <c r="I2898"/>
  <c r="I2899"/>
  <c r="I2900"/>
  <c r="I2901"/>
  <c r="I2902"/>
  <c r="I2903"/>
  <c r="I2904"/>
  <c r="I2905"/>
  <c r="I2906"/>
  <c r="I2907"/>
  <c r="I2908"/>
  <c r="I2909"/>
  <c r="I2910"/>
  <c r="I2911"/>
  <c r="I2912"/>
  <c r="I2913"/>
  <c r="I2914"/>
  <c r="I2915"/>
  <c r="I2916"/>
  <c r="I2917"/>
  <c r="I2918"/>
  <c r="I2919"/>
  <c r="I2920"/>
  <c r="I2921"/>
  <c r="I2922"/>
  <c r="I2923"/>
  <c r="I2924"/>
  <c r="I2925"/>
  <c r="I2926"/>
  <c r="I2927"/>
  <c r="I2928"/>
  <c r="I2929"/>
  <c r="I2930"/>
  <c r="I2931"/>
  <c r="I2932"/>
  <c r="I2933"/>
  <c r="I2934"/>
  <c r="I2935"/>
  <c r="I2936"/>
  <c r="I2937"/>
  <c r="I2938"/>
  <c r="I2939"/>
  <c r="I2940"/>
  <c r="I2941"/>
  <c r="I2942"/>
  <c r="I2943"/>
  <c r="I2944"/>
  <c r="I2945"/>
  <c r="I2946"/>
  <c r="I2947"/>
  <c r="I2948"/>
  <c r="I2949"/>
  <c r="I2950"/>
  <c r="I2951"/>
  <c r="I2952"/>
  <c r="I2953"/>
  <c r="I2954"/>
  <c r="I2955"/>
  <c r="I2956"/>
  <c r="I2957"/>
  <c r="I2958"/>
  <c r="I2959"/>
  <c r="I2960"/>
  <c r="I2961"/>
  <c r="I2962"/>
  <c r="I2963"/>
  <c r="I2964"/>
  <c r="I2965"/>
  <c r="I2966"/>
  <c r="I2967"/>
  <c r="I2968"/>
  <c r="I2969"/>
  <c r="I2970"/>
  <c r="I2971"/>
  <c r="I2972"/>
  <c r="I2973"/>
  <c r="I2974"/>
  <c r="I2975"/>
  <c r="I2976"/>
  <c r="I2977"/>
  <c r="I2978"/>
  <c r="I2979"/>
  <c r="I2980"/>
  <c r="I2981"/>
  <c r="I2982"/>
  <c r="I2983"/>
  <c r="I2984"/>
  <c r="I2985"/>
  <c r="I2986"/>
  <c r="I2987"/>
  <c r="I2988"/>
  <c r="I2989"/>
  <c r="I2990"/>
  <c r="I2991"/>
  <c r="I2992"/>
  <c r="I2993"/>
  <c r="I2994"/>
  <c r="I2995"/>
  <c r="I2996"/>
  <c r="I2997"/>
  <c r="I2998"/>
  <c r="I2999"/>
  <c r="I3000"/>
  <c r="I3001"/>
  <c r="I3002"/>
  <c r="I3003"/>
  <c r="I3004"/>
  <c r="I3005"/>
  <c r="I3006"/>
  <c r="I3007"/>
  <c r="I3008"/>
  <c r="I3009"/>
  <c r="I3010"/>
  <c r="I3011"/>
  <c r="I3012"/>
  <c r="I3013"/>
  <c r="I3014"/>
  <c r="I3015"/>
  <c r="I3016"/>
  <c r="I3017"/>
  <c r="I3018"/>
  <c r="I3019"/>
  <c r="I3020"/>
  <c r="I3021"/>
  <c r="I3022"/>
  <c r="I3023"/>
  <c r="I3024"/>
  <c r="I3025"/>
  <c r="I3026"/>
  <c r="I3027"/>
  <c r="I3028"/>
  <c r="I3029"/>
  <c r="I3030"/>
  <c r="I3031"/>
  <c r="I3032"/>
  <c r="I3033"/>
  <c r="I3034"/>
  <c r="I3035"/>
  <c r="I3036"/>
  <c r="I3037"/>
  <c r="I3038"/>
  <c r="I3039"/>
  <c r="I3040"/>
  <c r="I3041"/>
  <c r="I3042"/>
  <c r="I3043"/>
  <c r="I3044"/>
  <c r="I3045"/>
  <c r="I3046"/>
  <c r="I3047"/>
  <c r="I3048"/>
  <c r="I3049"/>
  <c r="I3050"/>
  <c r="I3051"/>
  <c r="I3052"/>
  <c r="I3053"/>
  <c r="I3054"/>
  <c r="I3055"/>
  <c r="I3056"/>
  <c r="I3057"/>
  <c r="I3058"/>
  <c r="I3059"/>
  <c r="I3060"/>
  <c r="I3061"/>
  <c r="I3062"/>
  <c r="I3063"/>
  <c r="I3064"/>
  <c r="I3065"/>
  <c r="I3066"/>
  <c r="I3067"/>
  <c r="I3068"/>
  <c r="I3069"/>
  <c r="I3070"/>
  <c r="I3071"/>
  <c r="I3072"/>
  <c r="I3073"/>
  <c r="I3074"/>
  <c r="I3075"/>
  <c r="I3076"/>
  <c r="I3077"/>
  <c r="I3078"/>
  <c r="I3079"/>
  <c r="I3080"/>
  <c r="I3081"/>
  <c r="I3082"/>
  <c r="I3083"/>
  <c r="I3084"/>
  <c r="I3085"/>
  <c r="I3086"/>
  <c r="I3087"/>
  <c r="I3088"/>
  <c r="I3089"/>
  <c r="I3090"/>
  <c r="I3091"/>
  <c r="I3092"/>
  <c r="I3093"/>
  <c r="I3094"/>
  <c r="I3095"/>
  <c r="I3096"/>
  <c r="I3097"/>
  <c r="I3098"/>
  <c r="I3099"/>
  <c r="I3100"/>
  <c r="I3101"/>
  <c r="I3102"/>
  <c r="I3103"/>
  <c r="I3104"/>
  <c r="I3105"/>
  <c r="I3106"/>
  <c r="I3107"/>
  <c r="I3108"/>
  <c r="I3109"/>
  <c r="I3110"/>
  <c r="I3111"/>
  <c r="I3112"/>
  <c r="I3113"/>
  <c r="I3114"/>
  <c r="I3115"/>
  <c r="I3116"/>
  <c r="I3117"/>
  <c r="I3118"/>
  <c r="I3119"/>
  <c r="I3120"/>
  <c r="I3121"/>
  <c r="I3122"/>
  <c r="I3123"/>
  <c r="I3124"/>
  <c r="I3125"/>
  <c r="I3126"/>
  <c r="I3127"/>
  <c r="I3128"/>
  <c r="I3129"/>
  <c r="I3130"/>
  <c r="I3131"/>
  <c r="I3132"/>
  <c r="I3133"/>
  <c r="I3134"/>
  <c r="I3135"/>
  <c r="I3136"/>
  <c r="I3137"/>
  <c r="I3138"/>
  <c r="I3139"/>
  <c r="I3140"/>
  <c r="I3141"/>
  <c r="I3142"/>
  <c r="I3143"/>
  <c r="I3144"/>
  <c r="I3145"/>
  <c r="I3146"/>
  <c r="I3147"/>
  <c r="I3148"/>
  <c r="I3149"/>
  <c r="I3150"/>
  <c r="I3151"/>
  <c r="I3152"/>
  <c r="I3153"/>
  <c r="I3154"/>
  <c r="I3155"/>
  <c r="I3156"/>
  <c r="I3157"/>
  <c r="I3158"/>
  <c r="I3159"/>
  <c r="I3160"/>
  <c r="I3161"/>
  <c r="I3162"/>
  <c r="I3163"/>
  <c r="I3164"/>
  <c r="I3165"/>
  <c r="I3166"/>
  <c r="I3167"/>
  <c r="I3168"/>
  <c r="I3169"/>
  <c r="I3170"/>
  <c r="I3171"/>
  <c r="I3172"/>
  <c r="I3173"/>
  <c r="I3174"/>
  <c r="I3175"/>
  <c r="I3176"/>
  <c r="I3177"/>
  <c r="I3178"/>
  <c r="I3179"/>
  <c r="I3180"/>
  <c r="I3181"/>
  <c r="I3182"/>
  <c r="I3183"/>
  <c r="I3184"/>
  <c r="I3185"/>
  <c r="I3186"/>
  <c r="I3187"/>
  <c r="I3188"/>
  <c r="I3189"/>
  <c r="I3190"/>
  <c r="I3191"/>
  <c r="I3192"/>
  <c r="I3193"/>
  <c r="I3194"/>
  <c r="I3195"/>
  <c r="I3196"/>
  <c r="I3197"/>
  <c r="I3198"/>
  <c r="I3199"/>
  <c r="I3200"/>
  <c r="I3201"/>
  <c r="I3202"/>
  <c r="I3203"/>
  <c r="I3204"/>
  <c r="I3205"/>
  <c r="I3206"/>
  <c r="I3207"/>
  <c r="I3208"/>
  <c r="I3209"/>
  <c r="I3210"/>
  <c r="I3211"/>
  <c r="I3212"/>
  <c r="I3213"/>
  <c r="I3214"/>
  <c r="I3215"/>
  <c r="I3216"/>
  <c r="I3217"/>
  <c r="I3218"/>
  <c r="I3219"/>
  <c r="I3220"/>
  <c r="I3221"/>
  <c r="I3222"/>
  <c r="I3223"/>
  <c r="I3224"/>
  <c r="I3225"/>
  <c r="I3226"/>
  <c r="I3227"/>
  <c r="I3228"/>
  <c r="I3229"/>
  <c r="I3230"/>
  <c r="I3231"/>
  <c r="I3232"/>
  <c r="I3233"/>
  <c r="I3234"/>
  <c r="I3235"/>
  <c r="I3236"/>
  <c r="I3237"/>
  <c r="I3238"/>
  <c r="I3239"/>
  <c r="I3240"/>
  <c r="I3241"/>
  <c r="I3242"/>
  <c r="I3243"/>
  <c r="I3244"/>
  <c r="I3245"/>
  <c r="I3246"/>
  <c r="I3247"/>
  <c r="I3248"/>
  <c r="I3249"/>
  <c r="I3250"/>
  <c r="I3251"/>
  <c r="I3252"/>
  <c r="I3253"/>
  <c r="I3254"/>
  <c r="I3255"/>
  <c r="I3256"/>
  <c r="I3257"/>
  <c r="I3258"/>
  <c r="I3259"/>
  <c r="I3260"/>
  <c r="I3261"/>
  <c r="I3262"/>
  <c r="I3263"/>
  <c r="I3264"/>
  <c r="I3265"/>
  <c r="I3266"/>
  <c r="I3267"/>
  <c r="I3268"/>
  <c r="I3269"/>
  <c r="I3270"/>
  <c r="I3271"/>
  <c r="I3272"/>
  <c r="I3273"/>
  <c r="I3274"/>
  <c r="I3275"/>
  <c r="I3276"/>
  <c r="I3277"/>
  <c r="I3278"/>
  <c r="I3279"/>
  <c r="I3280"/>
  <c r="I3281"/>
  <c r="I3282"/>
  <c r="I3283"/>
  <c r="I3284"/>
  <c r="I3285"/>
  <c r="I3286"/>
  <c r="I3287"/>
  <c r="I3288"/>
  <c r="I3289"/>
  <c r="I3290"/>
  <c r="I3291"/>
  <c r="I3292"/>
  <c r="I3293"/>
  <c r="I3294"/>
  <c r="I3295"/>
  <c r="I3296"/>
  <c r="I3297"/>
  <c r="I3298"/>
  <c r="I3299"/>
  <c r="I3300"/>
  <c r="I3301"/>
  <c r="I3302"/>
  <c r="I3303"/>
  <c r="I3304"/>
  <c r="I3305"/>
  <c r="I3306"/>
  <c r="I3307"/>
  <c r="I3308"/>
  <c r="I3309"/>
  <c r="I3310"/>
  <c r="I3311"/>
  <c r="I3312"/>
  <c r="I3313"/>
  <c r="I3314"/>
  <c r="I3315"/>
  <c r="I3316"/>
  <c r="I3317"/>
  <c r="I3318"/>
  <c r="I3319"/>
  <c r="I3320"/>
  <c r="I3321"/>
  <c r="I3322"/>
  <c r="I3323"/>
  <c r="I3324"/>
  <c r="I3325"/>
  <c r="I3326"/>
  <c r="I3327"/>
  <c r="I3328"/>
  <c r="I3329"/>
  <c r="I3330"/>
  <c r="I3331"/>
  <c r="I3332"/>
  <c r="I3333"/>
  <c r="I3334"/>
  <c r="I3335"/>
  <c r="I3336"/>
  <c r="I3337"/>
  <c r="I3338"/>
  <c r="I3339"/>
  <c r="I3340"/>
  <c r="I3341"/>
  <c r="I3342"/>
  <c r="I3343"/>
  <c r="I3344"/>
  <c r="I3345"/>
  <c r="I3346"/>
  <c r="I3347"/>
  <c r="I3348"/>
  <c r="I3349"/>
  <c r="I3350"/>
  <c r="I3351"/>
  <c r="I3352"/>
  <c r="I3353"/>
  <c r="I3354"/>
  <c r="I3355"/>
  <c r="I3356"/>
  <c r="I3357"/>
  <c r="I3358"/>
  <c r="I3359"/>
  <c r="I3360"/>
  <c r="I3361"/>
  <c r="I3362"/>
  <c r="I3363"/>
  <c r="I3364"/>
  <c r="I3365"/>
  <c r="I3366"/>
  <c r="I3367"/>
  <c r="I3368"/>
  <c r="I3369"/>
  <c r="I3370"/>
  <c r="I3371"/>
  <c r="I3372"/>
  <c r="I3373"/>
  <c r="I3374"/>
  <c r="I3375"/>
  <c r="I3376"/>
  <c r="I3377"/>
  <c r="I3378"/>
  <c r="I3379"/>
  <c r="I3380"/>
  <c r="I3381"/>
  <c r="I3382"/>
  <c r="I3383"/>
  <c r="I3384"/>
  <c r="I3385"/>
  <c r="I3386"/>
  <c r="I3387"/>
  <c r="I3388"/>
  <c r="I3389"/>
  <c r="I3390"/>
  <c r="I3391"/>
  <c r="I3392"/>
  <c r="I3393"/>
  <c r="I3394"/>
  <c r="I3395"/>
  <c r="I3396"/>
  <c r="I3397"/>
  <c r="I3398"/>
  <c r="I3399"/>
  <c r="I3400"/>
  <c r="I3401"/>
  <c r="I3402"/>
  <c r="I3403"/>
  <c r="I3404"/>
  <c r="I3405"/>
  <c r="I3406"/>
  <c r="I3407"/>
  <c r="I3408"/>
  <c r="I3409"/>
  <c r="I3410"/>
  <c r="I3411"/>
  <c r="I3412"/>
  <c r="I3413"/>
  <c r="I3414"/>
  <c r="I3415"/>
  <c r="I3416"/>
  <c r="I3417"/>
  <c r="I3418"/>
  <c r="I3419"/>
  <c r="I3420"/>
  <c r="I3421"/>
  <c r="I3422"/>
  <c r="I3423"/>
  <c r="I3424"/>
  <c r="I3425"/>
  <c r="I3426"/>
  <c r="I3427"/>
  <c r="I3428"/>
  <c r="I3429"/>
  <c r="I3430"/>
  <c r="I3431"/>
  <c r="I3432"/>
  <c r="I3433"/>
  <c r="I3434"/>
  <c r="I3435"/>
  <c r="I3436"/>
  <c r="I3437"/>
  <c r="I3438"/>
  <c r="I3439"/>
  <c r="I3440"/>
  <c r="I3441"/>
  <c r="I3442"/>
  <c r="I3443"/>
  <c r="I3444"/>
  <c r="I3445"/>
  <c r="I3446"/>
  <c r="I3447"/>
  <c r="I3448"/>
  <c r="I3449"/>
  <c r="I3450"/>
  <c r="I3451"/>
  <c r="I3452"/>
  <c r="I3453"/>
  <c r="I3454"/>
  <c r="I3455"/>
  <c r="I3456"/>
  <c r="I3457"/>
  <c r="I3458"/>
  <c r="I3459"/>
  <c r="I3460"/>
  <c r="I3461"/>
  <c r="I3462"/>
  <c r="I3463"/>
  <c r="I3464"/>
  <c r="I3465"/>
  <c r="I3466"/>
  <c r="I3467"/>
  <c r="I3468"/>
  <c r="I3469"/>
  <c r="I3470"/>
  <c r="I3471"/>
  <c r="I3472"/>
  <c r="I3473"/>
  <c r="I3474"/>
  <c r="I3475"/>
  <c r="I3476"/>
  <c r="I3477"/>
  <c r="I3478"/>
  <c r="I3479"/>
  <c r="I3480"/>
  <c r="I3481"/>
  <c r="I3482"/>
  <c r="I3483"/>
  <c r="I3484"/>
  <c r="I3485"/>
  <c r="I3486"/>
  <c r="I3487"/>
  <c r="I3488"/>
</calcChain>
</file>

<file path=xl/connections.xml><?xml version="1.0" encoding="utf-8"?>
<connections xmlns="http://schemas.openxmlformats.org/spreadsheetml/2006/main">
  <connection id="1" name="Consulta desde DatosConsolidados1" type="1" refreshedVersion="3" saveData="1">
    <dbPr connection="DBQ=C:\RAM CAS\MEJORA CONTINUA\CONTROL DE BUFFERS\REPORTES\REPORTES.xlsm;DefaultDir=C:\RAM CAS\MEJORA CONTINUA\CONTROL DE BUFFERS\REPORTES;Driver={Microsoft Excel Driver (*.xls, *.xlsx, *.xlsm, *.xlsb)};DriverId=1046;FIL=excel 12.0;MaxBufferSize=2048;MaxScanRows=8;PageTimeout=5;ReadOnly=1;SafeTransactions=0;Threads=3;UserCommitSync=Yes;" command="SELECT `CONSOLIDADO$`.Empresa, `CONSOLIDADO$`.Codigo as [CODIGO], Sum(`CONSOLIDADO$`.`Buff Act`) AS [BUFF TOTALES], Sum(`CONSOLIDADO$`.`Inv Fís Act`) AS [INV TOTAL]_x000d__x000a_FROM `CONSOLIDADO$` `CONSOLIDADO$`_x000d__x000a_WHERE (`CONSOLIDADO$`.Bodega&lt;&gt;'AGROTACENTRALPROPIA') AND (`CONSOLIDADO$`.Bodega &lt;&gt;'AGROINSUMOSCENTRALPROPIA') _x000d__x000a_GROUP BY `CONSOLIDADO$`.Codigo, `CONSOLIDADO$`.Empresa_x000d__x000a_HAVING (Sum(`CONSOLIDADO$`.`Buff Act`) &gt;0)_x000d__x000a_ORDER BY `CONSOLIDADO$`.Codigo"/>
  </connection>
  <connection id="2" name="Consulta desde ODBC MySQL en AGROTA" type="1" refreshedVersion="3" saveData="1">
    <dbPr connection="DSN=ODBC RAMCAS1;UID=root;SERVER=localhost;DATABASE=ramcas;PORT=3306;" command="SELECT empresas_0.NombreEmpresa AS 'EMPRESA', vexistenciasxbodega_0.CodigoVentaProducto AS 'CODIGO', vproductos_0.DescripcionProducto AS 'DESCRIPCION', vproductos_0.NombreGrupo AS 'GRUPO', vproductos_0.NombreLinea AS 'LINEA', Avg(vexistenciasxbodega_0.CostoProducto) AS 'COSTO', Sum(vexistenciasxbodega_0.ExistenciaProductoBodega) AS 'EXISTENCIA'_x000d__x000a_FROM baseevolution.empresas empresas_0, baseevolution.vexistenciasxbodega vexistenciasxbodega_0, baseevolution.vproductos vproductos_0_x000d__x000a_WHERE vproductos_0.CodigoProducto = vexistenciasxbodega_0.CodigoProducto AND vproductos_0.EmpresasEmpresaProducto = empresas_0.CodigoEmpresa AND ((vexistenciasxbodega_0.NombreBodega&lt;&gt;'Problemas Agrota' And vexistenciasxbodega_0.NombreBodega&lt;&gt;'Problemas Agroinsumos' And vexistenciasxbodega_0.NombreBodega&lt;&gt;'Pendientes' And vexistenciasxbodega_0.NombreBodega&lt;&gt;'Maquinas para Prueba') AND (vexistenciasxbodega_0.CodigoVentaProducto&lt;&gt;'0'))_x000d__x000a_GROUP BY empresas_0.NombreEmpresa, vexistenciasxbodega_0.CodigoVentaProducto, vproductos_0.DescripcionProducto, vproductos_0.NombreGrupo, vproductos_0.NombreLinea_x000d__x000a_HAVING (Sum(vexistenciasxbodega_0.ExistenciaProductoBodega)&gt;0)_x000d__x000a_ORDER BY vexistenciasxbodega_0.CodigoVentaProducto"/>
  </connection>
  <connection id="3" name="Consulta desde ODBC MySQL en AGROTA1" type="1" refreshedVersion="3" background="1" saveData="1">
    <dbPr connection="DSN=ODBC MySQL en AGROTA;UID=root;DESCRIPTION=DSN directo a Agrota;SERVER=5.100.164.169;DATABASE=baseevolution;PORT=3306;" command="SELECT empresas_0.NombreEmpresa AS 'EMPRESA', vproductos_0.CodigoVentaProducto AS 'CODIGO', vproductos_0.DescripcionProducto AS 'DESCRIPCION', vproductos_0.NombreGrupo AS 'GRUPO', vproductos_0.NombreLinea AS 'LINEA'_x000d__x000a_FROM baseevolution.empresas empresas_0, baseevolution.vproductos vproductos_0_x000d__x000a_WHERE vproductos_0.EmpresasEmpresaProducto = empresas_0.CodigoEmpresa_x000d__x000a_ORDER BY vproductos_0.CodigoVentaProducto"/>
  </connection>
</connections>
</file>

<file path=xl/sharedStrings.xml><?xml version="1.0" encoding="utf-8"?>
<sst xmlns="http://schemas.openxmlformats.org/spreadsheetml/2006/main" count="38255" uniqueCount="9641">
  <si>
    <t>BUFF TOTALES</t>
  </si>
  <si>
    <t>INV TOTAL</t>
  </si>
  <si>
    <t>CODIGO</t>
  </si>
  <si>
    <t>DESCRIPCION</t>
  </si>
  <si>
    <t>COSTO</t>
  </si>
  <si>
    <t>EXISTENCIA</t>
  </si>
  <si>
    <t>ACTIVO</t>
  </si>
  <si>
    <t>Empresa</t>
  </si>
  <si>
    <t>ALEN 5X16</t>
  </si>
  <si>
    <t>ALEN 5X16 CC</t>
  </si>
  <si>
    <t>ALEN 5X25</t>
  </si>
  <si>
    <t>ALEN 5X30</t>
  </si>
  <si>
    <t>ALEN 5X40</t>
  </si>
  <si>
    <t>COR-001</t>
  </si>
  <si>
    <t>COR-002</t>
  </si>
  <si>
    <t>CR-001</t>
  </si>
  <si>
    <t>CR-011</t>
  </si>
  <si>
    <t>CR-012</t>
  </si>
  <si>
    <t>CR-013</t>
  </si>
  <si>
    <t>CR-014</t>
  </si>
  <si>
    <t>CR-015</t>
  </si>
  <si>
    <t>CR-017</t>
  </si>
  <si>
    <t>CR-018</t>
  </si>
  <si>
    <t>CR-019</t>
  </si>
  <si>
    <t>CR-021</t>
  </si>
  <si>
    <t>CR-026</t>
  </si>
  <si>
    <t>CR-027</t>
  </si>
  <si>
    <t>CR-039</t>
  </si>
  <si>
    <t>CR-049</t>
  </si>
  <si>
    <t>CR-052</t>
  </si>
  <si>
    <t>CR-065</t>
  </si>
  <si>
    <t>CR-066</t>
  </si>
  <si>
    <t>CR-067</t>
  </si>
  <si>
    <t>CR-080</t>
  </si>
  <si>
    <t>CR-088</t>
  </si>
  <si>
    <t>CR-089</t>
  </si>
  <si>
    <t>CR-092</t>
  </si>
  <si>
    <t>CR-094</t>
  </si>
  <si>
    <t>CR-095</t>
  </si>
  <si>
    <t>CR-099</t>
  </si>
  <si>
    <t>CR-100</t>
  </si>
  <si>
    <t>CR-1002</t>
  </si>
  <si>
    <t>CR-101</t>
  </si>
  <si>
    <t>CR-102</t>
  </si>
  <si>
    <t>CR-114</t>
  </si>
  <si>
    <t>CR-117</t>
  </si>
  <si>
    <t>CR-119</t>
  </si>
  <si>
    <t>CR-120</t>
  </si>
  <si>
    <t>CR-121</t>
  </si>
  <si>
    <t>CR-123</t>
  </si>
  <si>
    <t>CR-125</t>
  </si>
  <si>
    <t>CR-126</t>
  </si>
  <si>
    <t>CR-140</t>
  </si>
  <si>
    <t>CR-240</t>
  </si>
  <si>
    <t>CR-241</t>
  </si>
  <si>
    <t>CR-71.064.10</t>
  </si>
  <si>
    <t>CR-CARCUSTOM</t>
  </si>
  <si>
    <t>CR-DP1</t>
  </si>
  <si>
    <t>CR-DPC4</t>
  </si>
  <si>
    <t>CR-DPF</t>
  </si>
  <si>
    <t>CR-DPFSR</t>
  </si>
  <si>
    <t>CRE-003</t>
  </si>
  <si>
    <t>CRE-004</t>
  </si>
  <si>
    <t>CRE-005</t>
  </si>
  <si>
    <t>CRE-006</t>
  </si>
  <si>
    <t>CRE-010</t>
  </si>
  <si>
    <t>CRE-016</t>
  </si>
  <si>
    <t>CRE-023</t>
  </si>
  <si>
    <t>CRE-079</t>
  </si>
  <si>
    <t>CRE-082</t>
  </si>
  <si>
    <t>CRE-125</t>
  </si>
  <si>
    <t>CRE-253</t>
  </si>
  <si>
    <t>CRE-267</t>
  </si>
  <si>
    <t>CRE-856</t>
  </si>
  <si>
    <t>CR-EC4000</t>
  </si>
  <si>
    <t>CR-ECO2000</t>
  </si>
  <si>
    <t>CR-PPC3</t>
  </si>
  <si>
    <t>CR-TMC4</t>
  </si>
  <si>
    <t>EC-001107</t>
  </si>
  <si>
    <t>EC-10000039130</t>
  </si>
  <si>
    <t>EC-10000052130</t>
  </si>
  <si>
    <t>EC-10000060931</t>
  </si>
  <si>
    <t>EC-10001101110</t>
  </si>
  <si>
    <t>EC-10001108360</t>
  </si>
  <si>
    <t>EC-10001110530</t>
  </si>
  <si>
    <t>EC-10001116431</t>
  </si>
  <si>
    <t>EC-10001121230</t>
  </si>
  <si>
    <t>EC-10001130831</t>
  </si>
  <si>
    <t>EC-10001132431</t>
  </si>
  <si>
    <t>EC-10001139731</t>
  </si>
  <si>
    <t>EC-10001142230</t>
  </si>
  <si>
    <t>EC-10001143230</t>
  </si>
  <si>
    <t>EC-10001146430</t>
  </si>
  <si>
    <t>EC-10010030830</t>
  </si>
  <si>
    <t>EC-10010043130</t>
  </si>
  <si>
    <t>EC-10010055430</t>
  </si>
  <si>
    <t>EC-10010060731</t>
  </si>
  <si>
    <t>EC-10010160931</t>
  </si>
  <si>
    <t>EC-10014212330</t>
  </si>
  <si>
    <t>EC-10020416430</t>
  </si>
  <si>
    <t>EC-10020442230</t>
  </si>
  <si>
    <t>EC-10020452132</t>
  </si>
  <si>
    <t>EC-10020455430</t>
  </si>
  <si>
    <t>EC-10020456232</t>
  </si>
  <si>
    <t>EC-10021227930</t>
  </si>
  <si>
    <t>EC-10021300310</t>
  </si>
  <si>
    <t>EC-10021302830</t>
  </si>
  <si>
    <t>EC-10021305530</t>
  </si>
  <si>
    <t>EC-10024230830</t>
  </si>
  <si>
    <t>EC-10024232430</t>
  </si>
  <si>
    <t>EC-10024242030</t>
  </si>
  <si>
    <t>EC-10024242230</t>
  </si>
  <si>
    <t>EC-10024255430</t>
  </si>
  <si>
    <t>EC-10091016430</t>
  </si>
  <si>
    <t>EC-10091030830</t>
  </si>
  <si>
    <t>EC-10091516430</t>
  </si>
  <si>
    <t>EC-10091532530</t>
  </si>
  <si>
    <t>EC-10091716430</t>
  </si>
  <si>
    <t>EC-10091730830</t>
  </si>
  <si>
    <t>EC-10092138330</t>
  </si>
  <si>
    <t>EC-10092230830</t>
  </si>
  <si>
    <t>EC-10101006211</t>
  </si>
  <si>
    <t>EC-10101016431</t>
  </si>
  <si>
    <t>EC-10101030830</t>
  </si>
  <si>
    <t>EC-10101032431</t>
  </si>
  <si>
    <t>EC-10101042231</t>
  </si>
  <si>
    <t>EC-10101044332</t>
  </si>
  <si>
    <t>EC-10101055430</t>
  </si>
  <si>
    <t>EC-10101056030</t>
  </si>
  <si>
    <t>EC-10101108961</t>
  </si>
  <si>
    <t>EC-10101147530</t>
  </si>
  <si>
    <t>EC-10101160730</t>
  </si>
  <si>
    <t>EC-10101161230</t>
  </si>
  <si>
    <t>EC-10103456532</t>
  </si>
  <si>
    <t>EC-102922452</t>
  </si>
  <si>
    <t>EC-10494022560</t>
  </si>
  <si>
    <t>EC-12200032930</t>
  </si>
  <si>
    <t>EC-12211200230</t>
  </si>
  <si>
    <t>EC-12212300230</t>
  </si>
  <si>
    <t>EC-12212500230</t>
  </si>
  <si>
    <t>EC-12213700230</t>
  </si>
  <si>
    <t>EC-12214000230</t>
  </si>
  <si>
    <t>EC-12214100230</t>
  </si>
  <si>
    <t>EC-12300038832</t>
  </si>
  <si>
    <t>EC-12300047532</t>
  </si>
  <si>
    <t>EC-12300052133</t>
  </si>
  <si>
    <t>EC-12300055630</t>
  </si>
  <si>
    <t>EC-12300057731</t>
  </si>
  <si>
    <t>EC-12300060131</t>
  </si>
  <si>
    <t>EC-12300060930</t>
  </si>
  <si>
    <t>EC-12310052130</t>
  </si>
  <si>
    <t>EC-12311212330</t>
  </si>
  <si>
    <t>EC-12311605160</t>
  </si>
  <si>
    <t>EC-12311824430</t>
  </si>
  <si>
    <t>EC-12312009560</t>
  </si>
  <si>
    <t>EC-12312203660</t>
  </si>
  <si>
    <t>EC-12312232630</t>
  </si>
  <si>
    <t>EC-12312318330</t>
  </si>
  <si>
    <t>EC-12312338330</t>
  </si>
  <si>
    <t>EC-12312509560</t>
  </si>
  <si>
    <t>EC-12312512330</t>
  </si>
  <si>
    <t>EC-12313704260</t>
  </si>
  <si>
    <t>EC-12314016130</t>
  </si>
  <si>
    <t>EC-12314016131</t>
  </si>
  <si>
    <t>EC-12314103930</t>
  </si>
  <si>
    <t>EC-12314116131</t>
  </si>
  <si>
    <t>EC-12318139130</t>
  </si>
  <si>
    <t>EC-12318140630</t>
  </si>
  <si>
    <t>EC-12411405530</t>
  </si>
  <si>
    <t>EC-12411411120</t>
  </si>
  <si>
    <t>EC-12411505530</t>
  </si>
  <si>
    <t>EC-12411511120</t>
  </si>
  <si>
    <t>EC-12411605530</t>
  </si>
  <si>
    <t>EC-12412215310</t>
  </si>
  <si>
    <t>EC-12415905530</t>
  </si>
  <si>
    <t>EC-12420013220</t>
  </si>
  <si>
    <t>EC-12431749930</t>
  </si>
  <si>
    <t>EC-12435550130</t>
  </si>
  <si>
    <t>EC-12436112710</t>
  </si>
  <si>
    <t>EC-12436212710</t>
  </si>
  <si>
    <t>EC-12436312710</t>
  </si>
  <si>
    <t>EC-12436412710</t>
  </si>
  <si>
    <t>EC-12436721330</t>
  </si>
  <si>
    <t>EC-12437455430</t>
  </si>
  <si>
    <t>EC-12438012710</t>
  </si>
  <si>
    <t>EC-12438055430</t>
  </si>
  <si>
    <t>EC-12532308260</t>
  </si>
  <si>
    <t>EC-12532508360</t>
  </si>
  <si>
    <t>EC-12533708260</t>
  </si>
  <si>
    <t>EC-12534107360</t>
  </si>
  <si>
    <t>EC-12538108660</t>
  </si>
  <si>
    <t>EC-12A0CD3744</t>
  </si>
  <si>
    <t>EC-13000039131</t>
  </si>
  <si>
    <t>EC-13000739932</t>
  </si>
  <si>
    <t>EC-13001005960</t>
  </si>
  <si>
    <t>EC-13001038330</t>
  </si>
  <si>
    <t>EC-13001316431</t>
  </si>
  <si>
    <t>EC-13001606232</t>
  </si>
  <si>
    <t>EC-13001642231</t>
  </si>
  <si>
    <t>EC-13001742031</t>
  </si>
  <si>
    <t>EC-13001743130</t>
  </si>
  <si>
    <t>EC-13001755630</t>
  </si>
  <si>
    <t>EC-13001756431</t>
  </si>
  <si>
    <t>EC-13002151530</t>
  </si>
  <si>
    <t>EC-13030013411</t>
  </si>
  <si>
    <t>EC-13030039730</t>
  </si>
  <si>
    <t>EC-13030252131</t>
  </si>
  <si>
    <t>EC-13030330831</t>
  </si>
  <si>
    <t>EC-13030516430</t>
  </si>
  <si>
    <t>EC-13030747533</t>
  </si>
  <si>
    <t>EC-13031002910</t>
  </si>
  <si>
    <t>EC-13031006230</t>
  </si>
  <si>
    <t>EC-13031013410</t>
  </si>
  <si>
    <t>EC-13031043130</t>
  </si>
  <si>
    <t>EC-13031051730</t>
  </si>
  <si>
    <t>EC-13031051830</t>
  </si>
  <si>
    <t>EC-13031306230</t>
  </si>
  <si>
    <t>EC-13031357030</t>
  </si>
  <si>
    <t>EC-13040652131</t>
  </si>
  <si>
    <t>EC-13051016431</t>
  </si>
  <si>
    <t>EC-13051030830</t>
  </si>
  <si>
    <t>EC-13051039932</t>
  </si>
  <si>
    <t>EC-13051214731</t>
  </si>
  <si>
    <t>EC-13051630830</t>
  </si>
  <si>
    <t>EC-13100455530</t>
  </si>
  <si>
    <t>EC-13100546831</t>
  </si>
  <si>
    <t>EC-13101064931</t>
  </si>
  <si>
    <t>EC-13120507320</t>
  </si>
  <si>
    <t>EC-13120519831</t>
  </si>
  <si>
    <t>EC-13191043130</t>
  </si>
  <si>
    <t>EC-13192055430</t>
  </si>
  <si>
    <t>EC-13192443130</t>
  </si>
  <si>
    <t>EC-13201035430</t>
  </si>
  <si>
    <t>EC-13211544330</t>
  </si>
  <si>
    <t>EC-13211555930</t>
  </si>
  <si>
    <t>EC-13-58</t>
  </si>
  <si>
    <t>EC-14551030830</t>
  </si>
  <si>
    <t>EC-14551055932</t>
  </si>
  <si>
    <t>EC-15262655430</t>
  </si>
  <si>
    <t>EC-15262655932</t>
  </si>
  <si>
    <t>EC-15262656032</t>
  </si>
  <si>
    <t>EC-15262660730</t>
  </si>
  <si>
    <t>EC-15660106211</t>
  </si>
  <si>
    <t>EC-15660112920</t>
  </si>
  <si>
    <t>EC-15660130832</t>
  </si>
  <si>
    <t>EC-15660132632</t>
  </si>
  <si>
    <t>EC-15662639130</t>
  </si>
  <si>
    <t>EC-15662652730</t>
  </si>
  <si>
    <t>EC-15662660930</t>
  </si>
  <si>
    <t>EC-15680142230</t>
  </si>
  <si>
    <t>EC-16340032430</t>
  </si>
  <si>
    <t>EC-17500030832</t>
  </si>
  <si>
    <t>EC-17500056831</t>
  </si>
  <si>
    <t>EC-17500542030</t>
  </si>
  <si>
    <t>EC-17500543130</t>
  </si>
  <si>
    <t>EC-17500549930</t>
  </si>
  <si>
    <t>EC-17500555930</t>
  </si>
  <si>
    <t>EC-17500660730</t>
  </si>
  <si>
    <t>EC-17500942231</t>
  </si>
  <si>
    <t>EC-17500955931</t>
  </si>
  <si>
    <t>EC-17501805533</t>
  </si>
  <si>
    <t>EC-17501842230</t>
  </si>
  <si>
    <t>EC-17501849932</t>
  </si>
  <si>
    <t>EC-17504606230</t>
  </si>
  <si>
    <t>EC-17504646430</t>
  </si>
  <si>
    <t>EC-17504656030</t>
  </si>
  <si>
    <t>EC-17504803920</t>
  </si>
  <si>
    <t>EC-17504805530</t>
  </si>
  <si>
    <t>EC-17504903920</t>
  </si>
  <si>
    <t>EC-17510530831</t>
  </si>
  <si>
    <t>EC-17510532431</t>
  </si>
  <si>
    <t>EC-17720006210</t>
  </si>
  <si>
    <t>EC-17720016431</t>
  </si>
  <si>
    <t>EC-17720030831</t>
  </si>
  <si>
    <t>EC-17720042033</t>
  </si>
  <si>
    <t>EC-17720055631</t>
  </si>
  <si>
    <t>EC-17720055931</t>
  </si>
  <si>
    <t>EC-17720212220</t>
  </si>
  <si>
    <t>EC-17720241030</t>
  </si>
  <si>
    <t>EC-17720360930</t>
  </si>
  <si>
    <t>EC-17720614330</t>
  </si>
  <si>
    <t>EC-17721532330</t>
  </si>
  <si>
    <t>EC-17721535632</t>
  </si>
  <si>
    <t>EC-17721538330</t>
  </si>
  <si>
    <t>EC-17721540630</t>
  </si>
  <si>
    <t>EC-17721543130</t>
  </si>
  <si>
    <t>EC-17721544430</t>
  </si>
  <si>
    <t>EC-17721560930</t>
  </si>
  <si>
    <t>EC-17721830830</t>
  </si>
  <si>
    <t>EC-17721832631</t>
  </si>
  <si>
    <t>EC-17721844330</t>
  </si>
  <si>
    <t>EC-17722002834</t>
  </si>
  <si>
    <t>EC-17722006310</t>
  </si>
  <si>
    <t>EC-17722010631</t>
  </si>
  <si>
    <t>EC-17722035430</t>
  </si>
  <si>
    <t>EC-17722040630</t>
  </si>
  <si>
    <t>EC-17722042030</t>
  </si>
  <si>
    <t>EC-17722107060</t>
  </si>
  <si>
    <t>EC-17722135631</t>
  </si>
  <si>
    <t>EC-17722138330</t>
  </si>
  <si>
    <t>EC-17722827030</t>
  </si>
  <si>
    <t>EC-17723412220</t>
  </si>
  <si>
    <t>EC-17723419832</t>
  </si>
  <si>
    <t>EC-17723430830</t>
  </si>
  <si>
    <t>EC-17723440630</t>
  </si>
  <si>
    <t>EC-17724214730</t>
  </si>
  <si>
    <t>EC-17724230830</t>
  </si>
  <si>
    <t>EC-17800143230</t>
  </si>
  <si>
    <t>EC-17800147530</t>
  </si>
  <si>
    <t>EC-17800151030</t>
  </si>
  <si>
    <t>EC-17800159230</t>
  </si>
  <si>
    <t>EC-17801022560</t>
  </si>
  <si>
    <t>EC-17809022560</t>
  </si>
  <si>
    <t>EC-17809037930</t>
  </si>
  <si>
    <t>EC-17812743230</t>
  </si>
  <si>
    <t>EC-22CINTL</t>
  </si>
  <si>
    <t>EC-25021111610</t>
  </si>
  <si>
    <t>EC-30100156831</t>
  </si>
  <si>
    <t>EC-30511042030</t>
  </si>
  <si>
    <t>EC-30511055630</t>
  </si>
  <si>
    <t>EC-35101052931</t>
  </si>
  <si>
    <t>EC-35110022362</t>
  </si>
  <si>
    <t>EC-35110247530</t>
  </si>
  <si>
    <t>EC-35121452931</t>
  </si>
  <si>
    <t>EC-35131122431</t>
  </si>
  <si>
    <t>EC-400442310</t>
  </si>
  <si>
    <t>EC-43021330833</t>
  </si>
  <si>
    <t>EC-43021530833</t>
  </si>
  <si>
    <t>EC-43021531731</t>
  </si>
  <si>
    <t>EC-43021531733</t>
  </si>
  <si>
    <t>EC-43052737333</t>
  </si>
  <si>
    <t>EC-43101330831</t>
  </si>
  <si>
    <t>EC-43101530831</t>
  </si>
  <si>
    <t>EC-43113516431</t>
  </si>
  <si>
    <t>EC-43171730230</t>
  </si>
  <si>
    <t>EC-43301116430</t>
  </si>
  <si>
    <t>EC-43301330830</t>
  </si>
  <si>
    <t>EC-43301416430</t>
  </si>
  <si>
    <t>EC-43301616430</t>
  </si>
  <si>
    <t>EC-43301910631</t>
  </si>
  <si>
    <t>EC-43302116430</t>
  </si>
  <si>
    <t>EC-43700237530</t>
  </si>
  <si>
    <t>EC-43710016430</t>
  </si>
  <si>
    <t>EC-43710019832</t>
  </si>
  <si>
    <t>EC-43721015130</t>
  </si>
  <si>
    <t>EC-450095060</t>
  </si>
  <si>
    <t>EC-4555310</t>
  </si>
  <si>
    <t>EC-4575740</t>
  </si>
  <si>
    <t>EC-488-50EMC</t>
  </si>
  <si>
    <t>EC-577-60INTL</t>
  </si>
  <si>
    <t>EC-60405105560</t>
  </si>
  <si>
    <t>EC-61001106230</t>
  </si>
  <si>
    <t>EC-61001122061</t>
  </si>
  <si>
    <t>EC-61001122460</t>
  </si>
  <si>
    <t>EC-61001125530</t>
  </si>
  <si>
    <t>EC-61001222361</t>
  </si>
  <si>
    <t>EC-61010522360</t>
  </si>
  <si>
    <t>EC-61020543131</t>
  </si>
  <si>
    <t>EC-61020623030</t>
  </si>
  <si>
    <t>EC-61020643130</t>
  </si>
  <si>
    <t>EC-61020656930</t>
  </si>
  <si>
    <t>EC-61021022461</t>
  </si>
  <si>
    <t>EC-61022222360</t>
  </si>
  <si>
    <t>EC-61023904130</t>
  </si>
  <si>
    <t>EC-61028222360</t>
  </si>
  <si>
    <t>EC-61028222460</t>
  </si>
  <si>
    <t>EC-61029822360</t>
  </si>
  <si>
    <t>EC-61031005730</t>
  </si>
  <si>
    <t>EC-61031056931</t>
  </si>
  <si>
    <t>EC-61031307132</t>
  </si>
  <si>
    <t>EC-61031421231</t>
  </si>
  <si>
    <t>EC-61031507130</t>
  </si>
  <si>
    <t>EC-61032027430</t>
  </si>
  <si>
    <t>EC-61032052130</t>
  </si>
  <si>
    <t>EC-61041307130</t>
  </si>
  <si>
    <t>EC-61043450031</t>
  </si>
  <si>
    <t>EC-61091051830</t>
  </si>
  <si>
    <t>EC-63019-63170</t>
  </si>
  <si>
    <t>EC-682100</t>
  </si>
  <si>
    <t>EC-69922956830</t>
  </si>
  <si>
    <t>EC-70602004970</t>
  </si>
  <si>
    <t>EC-70602018220</t>
  </si>
  <si>
    <t>EC-70602031A13</t>
  </si>
  <si>
    <t>EC-70602034770</t>
  </si>
  <si>
    <t>EC-70602035911</t>
  </si>
  <si>
    <t>EC-70602038720</t>
  </si>
  <si>
    <t>EC-70602040771</t>
  </si>
  <si>
    <t>EC-70602042040</t>
  </si>
  <si>
    <t>EC-70602046780</t>
  </si>
  <si>
    <t>EC-70602047412</t>
  </si>
  <si>
    <t>EC-70602048970</t>
  </si>
  <si>
    <t>EC-70602049A20</t>
  </si>
  <si>
    <t>EC-70602060A22</t>
  </si>
  <si>
    <t>EC-70604001A61</t>
  </si>
  <si>
    <t>EC-70604003770</t>
  </si>
  <si>
    <t>EC-70604060762</t>
  </si>
  <si>
    <t>EC-70613005230</t>
  </si>
  <si>
    <t>EC-70615050520</t>
  </si>
  <si>
    <t>EC-70616002061</t>
  </si>
  <si>
    <t>EC-70617038721</t>
  </si>
  <si>
    <t>EC-757-70INTL</t>
  </si>
  <si>
    <t>EC-8003009</t>
  </si>
  <si>
    <t>EC-80250</t>
  </si>
  <si>
    <t>EC-80786</t>
  </si>
  <si>
    <t>EC-80794A</t>
  </si>
  <si>
    <t>EC-81630</t>
  </si>
  <si>
    <t>EC-89757005560</t>
  </si>
  <si>
    <t>EC-90016205014</t>
  </si>
  <si>
    <t>EC-90016205025</t>
  </si>
  <si>
    <t>EC-90016205050</t>
  </si>
  <si>
    <t>EC-90016205057</t>
  </si>
  <si>
    <t>EC-90024205057</t>
  </si>
  <si>
    <t>EC-90050000005</t>
  </si>
  <si>
    <t>EC-90060300005</t>
  </si>
  <si>
    <t>EC-90072000012</t>
  </si>
  <si>
    <t>EC-9007200012</t>
  </si>
  <si>
    <t>EC-90SG-39X</t>
  </si>
  <si>
    <t>EC-9103006010</t>
  </si>
  <si>
    <t>EC-91VX44CQ</t>
  </si>
  <si>
    <t>EC-9242435000</t>
  </si>
  <si>
    <t>EC-9922956830</t>
  </si>
  <si>
    <t>EC-A011000101</t>
  </si>
  <si>
    <t>EC-A011000120</t>
  </si>
  <si>
    <t>EC-A011000250</t>
  </si>
  <si>
    <t>EC-A011000540</t>
  </si>
  <si>
    <t>EC-A011000810</t>
  </si>
  <si>
    <t>EC-A011000840</t>
  </si>
  <si>
    <t>EC-A020000080</t>
  </si>
  <si>
    <t>EC-A021000220</t>
  </si>
  <si>
    <t>EC-A021000290</t>
  </si>
  <si>
    <t>EC-A021000681</t>
  </si>
  <si>
    <t>EC-A021000990</t>
  </si>
  <si>
    <t>EC-A021001660</t>
  </si>
  <si>
    <t>EC-A021001680</t>
  </si>
  <si>
    <t>EC-A021002120</t>
  </si>
  <si>
    <t>EC-A021002140</t>
  </si>
  <si>
    <t>EC-A021002190</t>
  </si>
  <si>
    <t>EC-A021002520</t>
  </si>
  <si>
    <t>EC-A021002540</t>
  </si>
  <si>
    <t>EC-A021002570</t>
  </si>
  <si>
    <t>EC-A021002690</t>
  </si>
  <si>
    <t>EC-A021003180</t>
  </si>
  <si>
    <t>EC-A023000230</t>
  </si>
  <si>
    <t>EC-A030000120</t>
  </si>
  <si>
    <t>EC-A030000270</t>
  </si>
  <si>
    <t>EC-A033000070</t>
  </si>
  <si>
    <t>EC-A033000230</t>
  </si>
  <si>
    <t>EC-A037000000</t>
  </si>
  <si>
    <t>EC-A038000430</t>
  </si>
  <si>
    <t>EC-A039000020</t>
  </si>
  <si>
    <t>EC-A050000200</t>
  </si>
  <si>
    <t>EC-A050000240</t>
  </si>
  <si>
    <t>EC-A051000070</t>
  </si>
  <si>
    <t>EC-A051000170</t>
  </si>
  <si>
    <t>EC-A051001860</t>
  </si>
  <si>
    <t>EC-A051002010</t>
  </si>
  <si>
    <t>EC-A052000030</t>
  </si>
  <si>
    <t>EC-A052000370</t>
  </si>
  <si>
    <t>EC-A052000380</t>
  </si>
  <si>
    <t>EC-A052000430</t>
  </si>
  <si>
    <t>EC-A055000000</t>
  </si>
  <si>
    <t>EC-A055000020</t>
  </si>
  <si>
    <t>EC-A055000100</t>
  </si>
  <si>
    <t>EC-A056000050</t>
  </si>
  <si>
    <t>EC-A056000170</t>
  </si>
  <si>
    <t>EC-A056000220</t>
  </si>
  <si>
    <t>EC-A056000330</t>
  </si>
  <si>
    <t>EC-A056000450</t>
  </si>
  <si>
    <t>EC-A056000620</t>
  </si>
  <si>
    <t>EC-A056000640</t>
  </si>
  <si>
    <t>EC-A057000011</t>
  </si>
  <si>
    <t>EC-A058000010</t>
  </si>
  <si>
    <t>EC-A101000000</t>
  </si>
  <si>
    <t>EC-A101000010</t>
  </si>
  <si>
    <t>EC-A101000150</t>
  </si>
  <si>
    <t>EC-A101000160</t>
  </si>
  <si>
    <t>EC-A101000210</t>
  </si>
  <si>
    <t>EC-A101000250</t>
  </si>
  <si>
    <t>EC-A101000330</t>
  </si>
  <si>
    <t>EC-A101000350</t>
  </si>
  <si>
    <t>EC-A101000360</t>
  </si>
  <si>
    <t>EC-A101000370</t>
  </si>
  <si>
    <t>EC-A101000380</t>
  </si>
  <si>
    <t>EC-A101000400</t>
  </si>
  <si>
    <t>EC-A101000520</t>
  </si>
  <si>
    <t>EC-A101000560</t>
  </si>
  <si>
    <t>EC-A130000111</t>
  </si>
  <si>
    <t>EC-A130000172</t>
  </si>
  <si>
    <t>EC-A130000292</t>
  </si>
  <si>
    <t>EC-A130000601</t>
  </si>
  <si>
    <t>EC-A130000870</t>
  </si>
  <si>
    <t>EC-A130000910</t>
  </si>
  <si>
    <t>EC-A130001150</t>
  </si>
  <si>
    <t>EC-A130001330</t>
  </si>
  <si>
    <t>EC-A130001340</t>
  </si>
  <si>
    <t>EC-A130001370</t>
  </si>
  <si>
    <t>EC-A130001380</t>
  </si>
  <si>
    <t>EC-A130001390</t>
  </si>
  <si>
    <t>EC-A130001750</t>
  </si>
  <si>
    <t>EC-A130001780</t>
  </si>
  <si>
    <t>EC-A130001820</t>
  </si>
  <si>
    <t>EC-A160001650</t>
  </si>
  <si>
    <t>EC-A160002240</t>
  </si>
  <si>
    <t>EC-A172001270</t>
  </si>
  <si>
    <t>EC-A172001300</t>
  </si>
  <si>
    <t>EC-A175000150</t>
  </si>
  <si>
    <t>EC-A175000180</t>
  </si>
  <si>
    <t>EC-A175000200</t>
  </si>
  <si>
    <t>EC-A175000210</t>
  </si>
  <si>
    <t>EC-A200000140</t>
  </si>
  <si>
    <t>EC-A200000500</t>
  </si>
  <si>
    <t>EC-A200000640</t>
  </si>
  <si>
    <t>EC-A200000870</t>
  </si>
  <si>
    <t>EC-A202000011</t>
  </si>
  <si>
    <t>EC-A202000060</t>
  </si>
  <si>
    <t>EC-A202000080</t>
  </si>
  <si>
    <t>EC-A202000180</t>
  </si>
  <si>
    <t>EC-A206000010</t>
  </si>
  <si>
    <t>EC-A225000400</t>
  </si>
  <si>
    <t>EC-A225000490</t>
  </si>
  <si>
    <t>EC-A226000070</t>
  </si>
  <si>
    <t>EC-A226000300</t>
  </si>
  <si>
    <t>EC-A226000310</t>
  </si>
  <si>
    <t>EC-A226000520</t>
  </si>
  <si>
    <t>EC-A226000580</t>
  </si>
  <si>
    <t>EC-A226000650</t>
  </si>
  <si>
    <t>EC-A226000660</t>
  </si>
  <si>
    <t>EC-A226000670</t>
  </si>
  <si>
    <t>EC-A226000740</t>
  </si>
  <si>
    <t>EC-A226001410</t>
  </si>
  <si>
    <t>EC-A232000710</t>
  </si>
  <si>
    <t>EC-A232000840</t>
  </si>
  <si>
    <t>EC-A232000940</t>
  </si>
  <si>
    <t>EC-A235000220</t>
  </si>
  <si>
    <t>EC-A244000180</t>
  </si>
  <si>
    <t>EC-A300000781</t>
  </si>
  <si>
    <t>EC-A320000080</t>
  </si>
  <si>
    <t>EC-A320000760</t>
  </si>
  <si>
    <t>EC-A350000131</t>
  </si>
  <si>
    <t>EC-A356000030</t>
  </si>
  <si>
    <t>EC-A356000050</t>
  </si>
  <si>
    <t>EC-A369000070</t>
  </si>
  <si>
    <t>EC-A369000100</t>
  </si>
  <si>
    <t>EC-A392000060</t>
  </si>
  <si>
    <t>EC-A393000050</t>
  </si>
  <si>
    <t>EC-A393000190</t>
  </si>
  <si>
    <t>EC-A409000520</t>
  </si>
  <si>
    <t>EC-A409000640</t>
  </si>
  <si>
    <t>EC-A409000650</t>
  </si>
  <si>
    <t>EC-A409000730</t>
  </si>
  <si>
    <t>EC-A410000010</t>
  </si>
  <si>
    <t>EC-A410000030</t>
  </si>
  <si>
    <t>EC-A411000031</t>
  </si>
  <si>
    <t>EC-A411000050</t>
  </si>
  <si>
    <t>EC-A411000264</t>
  </si>
  <si>
    <t>EC-A411000450</t>
  </si>
  <si>
    <t>EC-A411000780</t>
  </si>
  <si>
    <t>EC-A411000790</t>
  </si>
  <si>
    <t>EC-A411000820</t>
  </si>
  <si>
    <t>EC-A411000880</t>
  </si>
  <si>
    <t>EC-A411000910</t>
  </si>
  <si>
    <t>EC-A411001080</t>
  </si>
  <si>
    <t>EC-A416000000</t>
  </si>
  <si>
    <t>EC-A426000000</t>
  </si>
  <si>
    <t>EC-A426000050</t>
  </si>
  <si>
    <t>EC-A427000000</t>
  </si>
  <si>
    <t>EC-A427000090</t>
  </si>
  <si>
    <t>EC-A429000110</t>
  </si>
  <si>
    <t>EC-A429000120</t>
  </si>
  <si>
    <t>EC-A504000060</t>
  </si>
  <si>
    <t>EC-A504000130</t>
  </si>
  <si>
    <t>EC-A504000140</t>
  </si>
  <si>
    <t>EC-A506000080</t>
  </si>
  <si>
    <t>EC-A506000110</t>
  </si>
  <si>
    <t>EC-A506000120</t>
  </si>
  <si>
    <t>EC-A506000150</t>
  </si>
  <si>
    <t>EC-A506000230</t>
  </si>
  <si>
    <t>EC-A506000260</t>
  </si>
  <si>
    <t>EC-A506000270</t>
  </si>
  <si>
    <t>EC-A509000190</t>
  </si>
  <si>
    <t>EC-A509000320</t>
  </si>
  <si>
    <t>EC-A510000110</t>
  </si>
  <si>
    <t>EC-A511000160</t>
  </si>
  <si>
    <t>EC-A514000080</t>
  </si>
  <si>
    <t>EC-A514000130</t>
  </si>
  <si>
    <t>EC-A518000010</t>
  </si>
  <si>
    <t>EC-A520000170</t>
  </si>
  <si>
    <t>EC-A553000000</t>
  </si>
  <si>
    <t>EC-A555000130</t>
  </si>
  <si>
    <t>EC-A556000021</t>
  </si>
  <si>
    <t>EC-A556000181</t>
  </si>
  <si>
    <t>EC-A556000650</t>
  </si>
  <si>
    <t>EC-A556000890</t>
  </si>
  <si>
    <t>EC-A556000960</t>
  </si>
  <si>
    <t>EC-A566000130</t>
  </si>
  <si>
    <t>EC-A566000150</t>
  </si>
  <si>
    <t>EC-A566000200</t>
  </si>
  <si>
    <t>EC-A570000200</t>
  </si>
  <si>
    <t>EC-A575000410</t>
  </si>
  <si>
    <t>EC-B450/AUS</t>
  </si>
  <si>
    <t>EC-B450EMC</t>
  </si>
  <si>
    <t>EC-B530INTL</t>
  </si>
  <si>
    <t>EC-BP35INTL</t>
  </si>
  <si>
    <t>EC-C044000880</t>
  </si>
  <si>
    <t>EC-C050001880</t>
  </si>
  <si>
    <t>EC-C050001920</t>
  </si>
  <si>
    <t>EC-C051000120</t>
  </si>
  <si>
    <t>EC-C051000600</t>
  </si>
  <si>
    <t>EC-C051000680</t>
  </si>
  <si>
    <t>EC-C062000340</t>
  </si>
  <si>
    <t>EC-C062000430</t>
  </si>
  <si>
    <t>EC-C230INTL</t>
  </si>
  <si>
    <t>EC-C305000040</t>
  </si>
  <si>
    <t>EC-C316000010</t>
  </si>
  <si>
    <t>EC-C350INTL</t>
  </si>
  <si>
    <t>EC-C400000211</t>
  </si>
  <si>
    <t>EC-C450000042</t>
  </si>
  <si>
    <t>EC-C454000181</t>
  </si>
  <si>
    <t>EC-C482000070</t>
  </si>
  <si>
    <t>EC-C501000070</t>
  </si>
  <si>
    <t>EC-C504000500</t>
  </si>
  <si>
    <t>EC-C504000620</t>
  </si>
  <si>
    <t>EC-C504000690</t>
  </si>
  <si>
    <t>EC-C504000700</t>
  </si>
  <si>
    <t>EC-C504000740</t>
  </si>
  <si>
    <t>EC-C506000160</t>
  </si>
  <si>
    <t>EC-C506000200</t>
  </si>
  <si>
    <t>EC-C510000120</t>
  </si>
  <si>
    <t>EC-C531000030</t>
  </si>
  <si>
    <t>EC-C531000600</t>
  </si>
  <si>
    <t>EC-C534000590</t>
  </si>
  <si>
    <t>EC-C534000600</t>
  </si>
  <si>
    <t>EC-C534000680</t>
  </si>
  <si>
    <t>EC-C535000001</t>
  </si>
  <si>
    <t>EC-C535000510</t>
  </si>
  <si>
    <t>EC-C535000520</t>
  </si>
  <si>
    <t>EC-C535000530</t>
  </si>
  <si>
    <t>EC-C535000630</t>
  </si>
  <si>
    <t>EC-C535000790</t>
  </si>
  <si>
    <t>EC-C535000850</t>
  </si>
  <si>
    <t>EC-C53500850</t>
  </si>
  <si>
    <t>EC-C536000030</t>
  </si>
  <si>
    <t>EC-CS 680S-60</t>
  </si>
  <si>
    <t>EC-CS 8002EUSTD</t>
  </si>
  <si>
    <t>EC-CS-1201-90EUSTD</t>
  </si>
  <si>
    <t>EC-CS-3000-30EUSTD</t>
  </si>
  <si>
    <t>EC-CS-3500-35EUSTD</t>
  </si>
  <si>
    <t>EC-CS-3500-40EUSTD</t>
  </si>
  <si>
    <t>EC-CS-420ES-45EU</t>
  </si>
  <si>
    <t>EC-CS-510-50EU</t>
  </si>
  <si>
    <t>EC-CS-600-50EUSTD</t>
  </si>
  <si>
    <t>EC-CS-680S-70EUSTD</t>
  </si>
  <si>
    <t>EC-CS-8002-80EUSTD</t>
  </si>
  <si>
    <t>EC-DM-6110-13EUSTD</t>
  </si>
  <si>
    <t>EC-EB500/EC1</t>
  </si>
  <si>
    <t>EC-EDR-210</t>
  </si>
  <si>
    <t>EC-ES726</t>
  </si>
  <si>
    <t>EC-GP450INTL</t>
  </si>
  <si>
    <t>EC-GT-22GES</t>
  </si>
  <si>
    <t>EC-M230/EMC</t>
  </si>
  <si>
    <t>EC-P003000240</t>
  </si>
  <si>
    <t>EC-P003000250</t>
  </si>
  <si>
    <t>EC-P004000440</t>
  </si>
  <si>
    <t>EC-P004000700</t>
  </si>
  <si>
    <t>EC-P004000880</t>
  </si>
  <si>
    <t>EC-P004000890</t>
  </si>
  <si>
    <t>EC-P004000930</t>
  </si>
  <si>
    <t>EC-P004001340</t>
  </si>
  <si>
    <t>EC-P004001660</t>
  </si>
  <si>
    <t>EC-P004002860</t>
  </si>
  <si>
    <t>EC-P005001080</t>
  </si>
  <si>
    <t>EC-P005001110</t>
  </si>
  <si>
    <t>EC-P005001130</t>
  </si>
  <si>
    <t>EC-P005001150</t>
  </si>
  <si>
    <t>EC-P005001160</t>
  </si>
  <si>
    <t>EC-P021000371</t>
  </si>
  <si>
    <t>EC-P021000803</t>
  </si>
  <si>
    <t>EC-P021001820</t>
  </si>
  <si>
    <t>EC-P021002471</t>
  </si>
  <si>
    <t>EC-P021002791</t>
  </si>
  <si>
    <t>EC-P021003540</t>
  </si>
  <si>
    <t>EC-P021004090</t>
  </si>
  <si>
    <t>EC-P021005410</t>
  </si>
  <si>
    <t>EC-P021005420</t>
  </si>
  <si>
    <t>EC-P021005900</t>
  </si>
  <si>
    <t>EC-P021005911</t>
  </si>
  <si>
    <t>EC-P021006153</t>
  </si>
  <si>
    <t>EC-P021006200</t>
  </si>
  <si>
    <t>EC-P021006290</t>
  </si>
  <si>
    <t>EC-P021010210</t>
  </si>
  <si>
    <t>EC-P021010232</t>
  </si>
  <si>
    <t>EC-P021010574</t>
  </si>
  <si>
    <t>EC-P021010581</t>
  </si>
  <si>
    <t>EC-P021010582</t>
  </si>
  <si>
    <t>EC-P021011610</t>
  </si>
  <si>
    <t>EC-P021012591</t>
  </si>
  <si>
    <t>EC-P021012600</t>
  </si>
  <si>
    <t>EC-P021012620</t>
  </si>
  <si>
    <t>EC-P021012781</t>
  </si>
  <si>
    <t>EC-P021012791</t>
  </si>
  <si>
    <t>EC-P021012830</t>
  </si>
  <si>
    <t>EC-P021012920</t>
  </si>
  <si>
    <t>EC-P021013620</t>
  </si>
  <si>
    <t>EC-P021014260</t>
  </si>
  <si>
    <t>EC-P021014320</t>
  </si>
  <si>
    <t>EC-P021014440</t>
  </si>
  <si>
    <t>EC-P021015132</t>
  </si>
  <si>
    <t>EC-P021015160</t>
  </si>
  <si>
    <t>EC-P021015190</t>
  </si>
  <si>
    <t>EC-P021015290</t>
  </si>
  <si>
    <t>EC-P021015770</t>
  </si>
  <si>
    <t>EC-P021015780</t>
  </si>
  <si>
    <t>EC-P021016250</t>
  </si>
  <si>
    <t>EC-P021016370</t>
  </si>
  <si>
    <t>EC-P021017990</t>
  </si>
  <si>
    <t>EC-P021021240</t>
  </si>
  <si>
    <t>EC-P021023260</t>
  </si>
  <si>
    <t>EC-P021027030</t>
  </si>
  <si>
    <t>EC-P021027040</t>
  </si>
  <si>
    <t>EC-P021027090</t>
  </si>
  <si>
    <t>EC-P021027100</t>
  </si>
  <si>
    <t>EC-P021027280</t>
  </si>
  <si>
    <t>EC-P021028610</t>
  </si>
  <si>
    <t>EC-P021028810</t>
  </si>
  <si>
    <t>EC-P021028900</t>
  </si>
  <si>
    <t>EC-P021029730</t>
  </si>
  <si>
    <t>EC-P021030360</t>
  </si>
  <si>
    <t>EC-P021030550</t>
  </si>
  <si>
    <t>EC-P021030570</t>
  </si>
  <si>
    <t>EC-P021031560</t>
  </si>
  <si>
    <t>EC-P021031630</t>
  </si>
  <si>
    <t>EC-P021031650</t>
  </si>
  <si>
    <t>EC-P021032610</t>
  </si>
  <si>
    <t>EC-P021032670</t>
  </si>
  <si>
    <t>EC-P021032910</t>
  </si>
  <si>
    <t>EC-P021033470</t>
  </si>
  <si>
    <t>EC-P021035430</t>
  </si>
  <si>
    <t>EC-P021036100</t>
  </si>
  <si>
    <t>EC-P022002080</t>
  </si>
  <si>
    <t>EC-P022006910</t>
  </si>
  <si>
    <t>EC-P022006970</t>
  </si>
  <si>
    <t>EC-P022006980</t>
  </si>
  <si>
    <t>EC-P022007020</t>
  </si>
  <si>
    <t>EC-P022007030</t>
  </si>
  <si>
    <t>EC-P022007041</t>
  </si>
  <si>
    <t>EC-P022007050</t>
  </si>
  <si>
    <t>EC-P022007060</t>
  </si>
  <si>
    <t>EC-P022007081</t>
  </si>
  <si>
    <t>EC-P022007090</t>
  </si>
  <si>
    <t>EC-P022007100</t>
  </si>
  <si>
    <t>EC-P022007110</t>
  </si>
  <si>
    <t>EC-P022007120</t>
  </si>
  <si>
    <t>EC-P022007131</t>
  </si>
  <si>
    <t>EC-P022007151</t>
  </si>
  <si>
    <t>EC-P022007160</t>
  </si>
  <si>
    <t>EC-P022007230</t>
  </si>
  <si>
    <t>EC-P022007310</t>
  </si>
  <si>
    <t>EC-P022007430</t>
  </si>
  <si>
    <t>EC-P022007440</t>
  </si>
  <si>
    <t>EC-P022007460</t>
  </si>
  <si>
    <t>EC-P022010440</t>
  </si>
  <si>
    <t>EC-P022024750</t>
  </si>
  <si>
    <t>EC-P022025180</t>
  </si>
  <si>
    <t>EC-PPT-2400STD</t>
  </si>
  <si>
    <t>EC-SHP-800EUSTD</t>
  </si>
  <si>
    <t>EC-SP20HPS</t>
  </si>
  <si>
    <t>EC-SP30BPE</t>
  </si>
  <si>
    <t>EC-SP40BPS</t>
  </si>
  <si>
    <t>EC-SP45BPE</t>
  </si>
  <si>
    <t>EC-SRAH-205</t>
  </si>
  <si>
    <t>EC-SRM-22GUES</t>
  </si>
  <si>
    <t>EC-SRM-270UEU</t>
  </si>
  <si>
    <t>EC-SRM-3605UEU</t>
  </si>
  <si>
    <t>EC-SRM-4300F</t>
  </si>
  <si>
    <t>EC-SRM-4300R</t>
  </si>
  <si>
    <t>EC-SRM-4605UEU</t>
  </si>
  <si>
    <t>EC-T230XREMC</t>
  </si>
  <si>
    <t>EC-V043000530</t>
  </si>
  <si>
    <t>EC-V043000540</t>
  </si>
  <si>
    <t>EC-V043000560</t>
  </si>
  <si>
    <t>EC-V100000040</t>
  </si>
  <si>
    <t>EC-V100000270</t>
  </si>
  <si>
    <t>EC-V100000410</t>
  </si>
  <si>
    <t>EC-V100000450</t>
  </si>
  <si>
    <t>EC-V100000470</t>
  </si>
  <si>
    <t>EC-V100000490</t>
  </si>
  <si>
    <t>EC-V102000001</t>
  </si>
  <si>
    <t>EC-V102000060</t>
  </si>
  <si>
    <t>EC-V103000070</t>
  </si>
  <si>
    <t>EC-V103000490</t>
  </si>
  <si>
    <t>EC-V103000850</t>
  </si>
  <si>
    <t>EC-V103000950</t>
  </si>
  <si>
    <t>EC-V103001010</t>
  </si>
  <si>
    <t>EC-V103001030</t>
  </si>
  <si>
    <t>EC-V103001040</t>
  </si>
  <si>
    <t>EC-V103001080</t>
  </si>
  <si>
    <t>EC-V103001200</t>
  </si>
  <si>
    <t>EC-V104000210</t>
  </si>
  <si>
    <t>EC-V104000910</t>
  </si>
  <si>
    <t>EC-V104000920</t>
  </si>
  <si>
    <t>EC-V104001330</t>
  </si>
  <si>
    <t>EC-V104001500</t>
  </si>
  <si>
    <t>EC-V138000020</t>
  </si>
  <si>
    <t>EC-V205000400</t>
  </si>
  <si>
    <t>EC-V205000480</t>
  </si>
  <si>
    <t>EC-V206000220</t>
  </si>
  <si>
    <t>EC-V206000230</t>
  </si>
  <si>
    <t>EC-V216000040</t>
  </si>
  <si>
    <t>EC-V225000180</t>
  </si>
  <si>
    <t>EC-V265000250</t>
  </si>
  <si>
    <t>EC-V299000410</t>
  </si>
  <si>
    <t>EC-V299000420</t>
  </si>
  <si>
    <t>EC-V304000010</t>
  </si>
  <si>
    <t>EC-V304000180</t>
  </si>
  <si>
    <t>EC-V307000230</t>
  </si>
  <si>
    <t>EC-V322000040</t>
  </si>
  <si>
    <t>EC-V352000140</t>
  </si>
  <si>
    <t>EC-V353000430</t>
  </si>
  <si>
    <t>EC-V358000130</t>
  </si>
  <si>
    <t>EC-V360000060</t>
  </si>
  <si>
    <t>EC-V401000430</t>
  </si>
  <si>
    <t>EC-V420000530</t>
  </si>
  <si>
    <t>EC-V420002390</t>
  </si>
  <si>
    <t>EC-V420002400</t>
  </si>
  <si>
    <t>EC-V420002520</t>
  </si>
  <si>
    <t>EC-V430001330</t>
  </si>
  <si>
    <t>EC-V430002900</t>
  </si>
  <si>
    <t>EC-V430002910</t>
  </si>
  <si>
    <t>EC-V430002930</t>
  </si>
  <si>
    <t>EC-V450000150</t>
  </si>
  <si>
    <t>EC-V451000040</t>
  </si>
  <si>
    <t>EC-V452000520</t>
  </si>
  <si>
    <t>EC-V452000550</t>
  </si>
  <si>
    <t>EC-V452000560</t>
  </si>
  <si>
    <t>EC-V471002660</t>
  </si>
  <si>
    <t>EC-V475004810</t>
  </si>
  <si>
    <t>EC-V490000530</t>
  </si>
  <si>
    <t>EC-V505000080</t>
  </si>
  <si>
    <t>EC-V508000050</t>
  </si>
  <si>
    <t>EC-V508000080</t>
  </si>
  <si>
    <t>EC-V509000000</t>
  </si>
  <si>
    <t>EC-V513000000</t>
  </si>
  <si>
    <t>EC-V580000100</t>
  </si>
  <si>
    <t>EC-V580000110</t>
  </si>
  <si>
    <t>EC-V583000140</t>
  </si>
  <si>
    <t>EC-V641000140</t>
  </si>
  <si>
    <t>EC-V651000520</t>
  </si>
  <si>
    <t>EC-V651000540</t>
  </si>
  <si>
    <t>EC-V651000550</t>
  </si>
  <si>
    <t>EC-V651000690</t>
  </si>
  <si>
    <t>EC-V651000700</t>
  </si>
  <si>
    <t>EC-V652000170</t>
  </si>
  <si>
    <t>EC-V652000190</t>
  </si>
  <si>
    <t>EC-WP-1000</t>
  </si>
  <si>
    <t>EC-X114000000</t>
  </si>
  <si>
    <t>EC-X405000001</t>
  </si>
  <si>
    <t>EC-X405000011</t>
  </si>
  <si>
    <t>EC-X411000940</t>
  </si>
  <si>
    <t>EC-X411000950</t>
  </si>
  <si>
    <t>EC-X411000960</t>
  </si>
  <si>
    <t>EC-X411001150</t>
  </si>
  <si>
    <t>EC-X475000050</t>
  </si>
  <si>
    <t>IB-007</t>
  </si>
  <si>
    <t>IB-009</t>
  </si>
  <si>
    <t>INCO-015</t>
  </si>
  <si>
    <t>INCO-019</t>
  </si>
  <si>
    <t>INCO-9031910</t>
  </si>
  <si>
    <t>INCO-9051910</t>
  </si>
  <si>
    <t>INCO-9061910</t>
  </si>
  <si>
    <t>INCO-9511900</t>
  </si>
  <si>
    <t>INCO-9661970</t>
  </si>
  <si>
    <t>JF-002</t>
  </si>
  <si>
    <t>JF-003</t>
  </si>
  <si>
    <t>JF-008</t>
  </si>
  <si>
    <t>JF-012</t>
  </si>
  <si>
    <t>JF-014</t>
  </si>
  <si>
    <t>JF-016</t>
  </si>
  <si>
    <t>JF-017</t>
  </si>
  <si>
    <t>JF-018</t>
  </si>
  <si>
    <t>JF-019</t>
  </si>
  <si>
    <t>JF-021</t>
  </si>
  <si>
    <t>JF-022</t>
  </si>
  <si>
    <t>JF-023</t>
  </si>
  <si>
    <t>JF-025</t>
  </si>
  <si>
    <t>JF-026</t>
  </si>
  <si>
    <t>JF-029</t>
  </si>
  <si>
    <t>JF-030</t>
  </si>
  <si>
    <t>JF-033</t>
  </si>
  <si>
    <t>JF-038</t>
  </si>
  <si>
    <t>JF-039</t>
  </si>
  <si>
    <t>JF-040</t>
  </si>
  <si>
    <t>JF-041</t>
  </si>
  <si>
    <t>JF-071</t>
  </si>
  <si>
    <t>JF-085</t>
  </si>
  <si>
    <t>JF-086</t>
  </si>
  <si>
    <t>JF-125</t>
  </si>
  <si>
    <t>JF-281</t>
  </si>
  <si>
    <t>MOT-003</t>
  </si>
  <si>
    <t>MOT-004</t>
  </si>
  <si>
    <t>MOT-052</t>
  </si>
  <si>
    <t>OR-205963</t>
  </si>
  <si>
    <t>OR-206045</t>
  </si>
  <si>
    <t>OR-238337</t>
  </si>
  <si>
    <t>OR-65789</t>
  </si>
  <si>
    <t>OT-02002-06001</t>
  </si>
  <si>
    <t>OT-02006-06000</t>
  </si>
  <si>
    <t>OT-02030-06202</t>
  </si>
  <si>
    <t>OT-11</t>
  </si>
  <si>
    <t>OT-113</t>
  </si>
  <si>
    <t>OT-1131</t>
  </si>
  <si>
    <t>OT-2356</t>
  </si>
  <si>
    <t>OT-343</t>
  </si>
  <si>
    <t>OT-478</t>
  </si>
  <si>
    <t>OT-479</t>
  </si>
  <si>
    <t>OT-481</t>
  </si>
  <si>
    <t>OT-55</t>
  </si>
  <si>
    <t>OT-584</t>
  </si>
  <si>
    <t>OT-653</t>
  </si>
  <si>
    <t>OT-694</t>
  </si>
  <si>
    <t>OT-701</t>
  </si>
  <si>
    <t>OT-A48</t>
  </si>
  <si>
    <t>OT-B48</t>
  </si>
  <si>
    <t>OT-B83</t>
  </si>
  <si>
    <t>OT-B87</t>
  </si>
  <si>
    <t>OT-B95</t>
  </si>
  <si>
    <t>PR-002</t>
  </si>
  <si>
    <t>PRO-001</t>
  </si>
  <si>
    <t>RULIT-009</t>
  </si>
  <si>
    <t>SH-02432-28120</t>
  </si>
  <si>
    <t>SH-037</t>
  </si>
  <si>
    <t>SH-09026-03001</t>
  </si>
  <si>
    <t>SH-09026-04001</t>
  </si>
  <si>
    <t>SH-1001141</t>
  </si>
  <si>
    <t>SH-108636-10</t>
  </si>
  <si>
    <t>SH-108642-24</t>
  </si>
  <si>
    <t>SH-108644-30</t>
  </si>
  <si>
    <t>SH-1123300</t>
  </si>
  <si>
    <t>SH-20000-75150</t>
  </si>
  <si>
    <t>SH-20000-85511</t>
  </si>
  <si>
    <t>SH-20000-96104</t>
  </si>
  <si>
    <t>SH-20000-96411</t>
  </si>
  <si>
    <t>SH-20011-31230</t>
  </si>
  <si>
    <t>SH-20011-35110</t>
  </si>
  <si>
    <t>SH-20011-35141</t>
  </si>
  <si>
    <t>SH-20011-35151</t>
  </si>
  <si>
    <t>SH-20011-81021</t>
  </si>
  <si>
    <t>SH-20011-81360</t>
  </si>
  <si>
    <t>SH-20015-93200</t>
  </si>
  <si>
    <t>SH-20019-81440</t>
  </si>
  <si>
    <t>SH-20021-81121</t>
  </si>
  <si>
    <t>SH-20021-81180</t>
  </si>
  <si>
    <t>SH-20021-81920</t>
  </si>
  <si>
    <t>SH-20021-86110</t>
  </si>
  <si>
    <t>SH-20021-96601</t>
  </si>
  <si>
    <t>SH-20040-81430</t>
  </si>
  <si>
    <t>SH-20060-81760</t>
  </si>
  <si>
    <t>SH-20070-81350</t>
  </si>
  <si>
    <t>SH-20140-12210</t>
  </si>
  <si>
    <t>SH-20140-12221</t>
  </si>
  <si>
    <t>SH-20140-75100</t>
  </si>
  <si>
    <t>SH-20142-41210</t>
  </si>
  <si>
    <t>SH-22000-13241</t>
  </si>
  <si>
    <t>SH-22000-13290</t>
  </si>
  <si>
    <t>SH-22000-92167</t>
  </si>
  <si>
    <t>SH-22000-92812</t>
  </si>
  <si>
    <t>SH-22015-13410</t>
  </si>
  <si>
    <t>SH-22015-96500</t>
  </si>
  <si>
    <t>SH-22015-96600</t>
  </si>
  <si>
    <t>SH-22017-12210</t>
  </si>
  <si>
    <t>SH-22019-11313</t>
  </si>
  <si>
    <t>SH-22021-12120</t>
  </si>
  <si>
    <t>SH-22021-12400</t>
  </si>
  <si>
    <t>SH-22104-75420</t>
  </si>
  <si>
    <t>SH-22150-21250</t>
  </si>
  <si>
    <t>SH-22150-51520</t>
  </si>
  <si>
    <t>SH-22152-41210</t>
  </si>
  <si>
    <t>SH-22155-55110</t>
  </si>
  <si>
    <t>SH-22155-71130</t>
  </si>
  <si>
    <t>SH-22155-72280</t>
  </si>
  <si>
    <t>SH-22155-75410</t>
  </si>
  <si>
    <t>SH-22155-91580</t>
  </si>
  <si>
    <t>SH-22155-96521</t>
  </si>
  <si>
    <t>SH-22155-96531</t>
  </si>
  <si>
    <t>SH-22155-96540</t>
  </si>
  <si>
    <t>SH-22160-55200</t>
  </si>
  <si>
    <t>SH-22169-15212</t>
  </si>
  <si>
    <t>SH-22169-21203</t>
  </si>
  <si>
    <t>SH-22169-21300</t>
  </si>
  <si>
    <t>SH-22169-21503</t>
  </si>
  <si>
    <t>SH-22169-33740</t>
  </si>
  <si>
    <t>SH-22169-51110</t>
  </si>
  <si>
    <t>SH-22169-51130</t>
  </si>
  <si>
    <t>SH-22169-51140</t>
  </si>
  <si>
    <t>SH-22169-51170</t>
  </si>
  <si>
    <t>SH-22169-52460</t>
  </si>
  <si>
    <t>SH-22169-53111</t>
  </si>
  <si>
    <t>SH-22169-53120</t>
  </si>
  <si>
    <t>SH-22169-54630</t>
  </si>
  <si>
    <t>SH-22169-55130</t>
  </si>
  <si>
    <t>SH-22169-55310</t>
  </si>
  <si>
    <t>SH-22169-57360</t>
  </si>
  <si>
    <t>SH-22169-81000</t>
  </si>
  <si>
    <t>SH-22169-82251</t>
  </si>
  <si>
    <t>SH-22169-82310</t>
  </si>
  <si>
    <t>SH-22169-96580</t>
  </si>
  <si>
    <t>SH-22175-21200</t>
  </si>
  <si>
    <t>SH-22175-71110</t>
  </si>
  <si>
    <t>SH-22175-82310</t>
  </si>
  <si>
    <t>SH-22175-82520</t>
  </si>
  <si>
    <t>SH-22197-55201</t>
  </si>
  <si>
    <t>SH-224127-13710</t>
  </si>
  <si>
    <t>SH-28820-08000</t>
  </si>
  <si>
    <t>SH-33SL0-72X</t>
  </si>
  <si>
    <t>SH-38490-18</t>
  </si>
  <si>
    <t>SH-38500-71020</t>
  </si>
  <si>
    <t>SH-38500-82120</t>
  </si>
  <si>
    <t>SH-4037771</t>
  </si>
  <si>
    <t>SH-4042881</t>
  </si>
  <si>
    <t>SH-4070981</t>
  </si>
  <si>
    <t>SH-4073281</t>
  </si>
  <si>
    <t>SH-4517530</t>
  </si>
  <si>
    <t>SH-4525920</t>
  </si>
  <si>
    <t>SH-4527270</t>
  </si>
  <si>
    <t>SH-4529110</t>
  </si>
  <si>
    <t>SH-4552760</t>
  </si>
  <si>
    <t>SH-4557850</t>
  </si>
  <si>
    <t>SH-4562530</t>
  </si>
  <si>
    <t>SH-4573060</t>
  </si>
  <si>
    <t>SH-4573110</t>
  </si>
  <si>
    <t>SH-4574920</t>
  </si>
  <si>
    <t>SH-4575060</t>
  </si>
  <si>
    <t>SH-4575700</t>
  </si>
  <si>
    <t>SH-4579070</t>
  </si>
  <si>
    <t>SH-60035-98040</t>
  </si>
  <si>
    <t>SH-60035-98061</t>
  </si>
  <si>
    <t>SH-60876</t>
  </si>
  <si>
    <t>SH-62022-15100</t>
  </si>
  <si>
    <t>SH-62035-12210</t>
  </si>
  <si>
    <t>SH-62035-15210</t>
  </si>
  <si>
    <t>SH-62035-21010</t>
  </si>
  <si>
    <t>SH-62035-21020</t>
  </si>
  <si>
    <t>SH-62035-32320</t>
  </si>
  <si>
    <t>SH-62035-32331</t>
  </si>
  <si>
    <t>SH-62035-33130</t>
  </si>
  <si>
    <t>SH-62035-81360</t>
  </si>
  <si>
    <t>SH-62035-83111</t>
  </si>
  <si>
    <t>SH-62035-85013</t>
  </si>
  <si>
    <t>SH-62035-85031</t>
  </si>
  <si>
    <t>SH-62035-85341</t>
  </si>
  <si>
    <t>SH-62083-81310</t>
  </si>
  <si>
    <t>SH-62903-66111</t>
  </si>
  <si>
    <t>SH-63019-63170</t>
  </si>
  <si>
    <t>SH-64007-67011</t>
  </si>
  <si>
    <t>SH-67000-42010</t>
  </si>
  <si>
    <t>SH-68501-98010</t>
  </si>
  <si>
    <t>SH-69011-98310</t>
  </si>
  <si>
    <t>SH-70030-31120</t>
  </si>
  <si>
    <t>SH-70036-75100</t>
  </si>
  <si>
    <t>SH-70200-85001</t>
  </si>
  <si>
    <t>SH-70203-81020</t>
  </si>
  <si>
    <t>SH-70210-32111</t>
  </si>
  <si>
    <t>SH-70244-98050</t>
  </si>
  <si>
    <t>SH-70870-98030</t>
  </si>
  <si>
    <t>SH-72005-92630</t>
  </si>
  <si>
    <t>SH-72017-13013</t>
  </si>
  <si>
    <t>SH-72017-16130</t>
  </si>
  <si>
    <t>SH-72030-13140</t>
  </si>
  <si>
    <t>SH-72030-13151</t>
  </si>
  <si>
    <t>SH-72080-98020</t>
  </si>
  <si>
    <t>SH-72312-21520</t>
  </si>
  <si>
    <t>SH-72330-82320</t>
  </si>
  <si>
    <t>SH-72432-13230</t>
  </si>
  <si>
    <t>SH-72447-13121</t>
  </si>
  <si>
    <t>SH-72447-13240</t>
  </si>
  <si>
    <t>SH-72514-14100</t>
  </si>
  <si>
    <t>SH-72518-91180</t>
  </si>
  <si>
    <t>SH-72547-91100</t>
  </si>
  <si>
    <t>SH-72551-12101</t>
  </si>
  <si>
    <t>SH-72555-14100</t>
  </si>
  <si>
    <t>SH-72920-81820</t>
  </si>
  <si>
    <t>SH-73DP-98X</t>
  </si>
  <si>
    <t>SH-78890-14000</t>
  </si>
  <si>
    <t>SH-8000142</t>
  </si>
  <si>
    <t>SH-80023</t>
  </si>
  <si>
    <t>SH-8003009</t>
  </si>
  <si>
    <t>SH-80247</t>
  </si>
  <si>
    <t>SH-80250</t>
  </si>
  <si>
    <t>SH-80253</t>
  </si>
  <si>
    <t>SH-80255</t>
  </si>
  <si>
    <t>SH-80256</t>
  </si>
  <si>
    <t>SH-80265</t>
  </si>
  <si>
    <t>SH-80387</t>
  </si>
  <si>
    <t>SH-80405</t>
  </si>
  <si>
    <t>SH-80424</t>
  </si>
  <si>
    <t>SH-80426</t>
  </si>
  <si>
    <t>SH-80550</t>
  </si>
  <si>
    <t>SH-80551</t>
  </si>
  <si>
    <t>SH-80676</t>
  </si>
  <si>
    <t>SH-80771</t>
  </si>
  <si>
    <t>SH-813010</t>
  </si>
  <si>
    <t>SH-82067</t>
  </si>
  <si>
    <t>SH-88102</t>
  </si>
  <si>
    <t>SH-88198-S</t>
  </si>
  <si>
    <t>SH-88421</t>
  </si>
  <si>
    <t>SH-8890802</t>
  </si>
  <si>
    <t>SH-900302</t>
  </si>
  <si>
    <t>SH-91032</t>
  </si>
  <si>
    <t>SH-9701401</t>
  </si>
  <si>
    <t>SH-9711151</t>
  </si>
  <si>
    <t>SH-9720135</t>
  </si>
  <si>
    <t>SH-99909-12212</t>
  </si>
  <si>
    <t>SH-99909-156</t>
  </si>
  <si>
    <t>SH-99909-159</t>
  </si>
  <si>
    <t>SH-99909-160</t>
  </si>
  <si>
    <t>SH-99909-207</t>
  </si>
  <si>
    <t>SH-99909-229</t>
  </si>
  <si>
    <t>SH-99909-306</t>
  </si>
  <si>
    <t>SH-99909-307</t>
  </si>
  <si>
    <t>SH-99909-450</t>
  </si>
  <si>
    <t>SH-99909-451</t>
  </si>
  <si>
    <t>SH-99909-453</t>
  </si>
  <si>
    <t>SH-99909-55130</t>
  </si>
  <si>
    <t>SH-99909-55133</t>
  </si>
  <si>
    <t>SH-CAB.- BUJIA</t>
  </si>
  <si>
    <t>SHDW-006</t>
  </si>
  <si>
    <t>SHDW-009</t>
  </si>
  <si>
    <t>SHDW-016</t>
  </si>
  <si>
    <t>SHDW-018</t>
  </si>
  <si>
    <t>SHDW-025</t>
  </si>
  <si>
    <t>SHDW-026</t>
  </si>
  <si>
    <t>SHDW-028</t>
  </si>
  <si>
    <t>SHDW-036</t>
  </si>
  <si>
    <t>SHDW-038</t>
  </si>
  <si>
    <t>SHDW-048</t>
  </si>
  <si>
    <t>SHDW-051</t>
  </si>
  <si>
    <t>SH-HT230/40</t>
  </si>
  <si>
    <t>SH-PBN22301</t>
  </si>
  <si>
    <t>ZM-001</t>
  </si>
  <si>
    <t>ZM-036</t>
  </si>
  <si>
    <t>ZM-037</t>
  </si>
  <si>
    <t>ZM-051</t>
  </si>
  <si>
    <t>ZM-057</t>
  </si>
  <si>
    <t>ZM-058</t>
  </si>
  <si>
    <t>01-00102</t>
  </si>
  <si>
    <t>LACURA X LT</t>
  </si>
  <si>
    <t>05010102436</t>
  </si>
  <si>
    <t>TORNILLO COM SUJ. RUED SUBS 1K27766</t>
  </si>
  <si>
    <t>0501011545</t>
  </si>
  <si>
    <t>TORNILLO SUJ. CUERP DISCO AFL 1K06857</t>
  </si>
  <si>
    <t>0503010014 AFL</t>
  </si>
  <si>
    <t>TUERCA 3/4UNC 1K03097SUJE CUER  DSC AFL</t>
  </si>
  <si>
    <t>0503010023</t>
  </si>
  <si>
    <t>ARANDELA P GRAPA P AF (1K01584)</t>
  </si>
  <si>
    <t>0503010335</t>
  </si>
  <si>
    <t>TUERCA 3/4 UNF RUEDA GUIA 1K03290</t>
  </si>
  <si>
    <t>0624010005</t>
  </si>
  <si>
    <t>PUNTA UÑA SUBS. 16"X3"X1 (1656056)</t>
  </si>
  <si>
    <t>073001105872</t>
  </si>
  <si>
    <t>DISCO FRENO SAME 603 CRONO</t>
  </si>
  <si>
    <t>0T-012</t>
  </si>
  <si>
    <t>MAQUINA DE SOLDAR</t>
  </si>
  <si>
    <t>0T-13</t>
  </si>
  <si>
    <t>TALADRO PEDESTAL MEDIANO</t>
  </si>
  <si>
    <t>0T-14</t>
  </si>
  <si>
    <t>MOLADORA GRANDE</t>
  </si>
  <si>
    <t xml:space="preserve">0T-16 </t>
  </si>
  <si>
    <t xml:space="preserve">TALADRO DE MANO   </t>
  </si>
  <si>
    <t>34012301</t>
  </si>
  <si>
    <t>KIT 123 ( BOMBA M)</t>
  </si>
  <si>
    <t>34012701</t>
  </si>
  <si>
    <t>KIT 127 ( BOMBA M )</t>
  </si>
  <si>
    <t>34013200</t>
  </si>
  <si>
    <t>KIT 132 ( CLEANMATIC )</t>
  </si>
  <si>
    <t>34013401</t>
  </si>
  <si>
    <t>KIT 134 ( CLEANMATIC )</t>
  </si>
  <si>
    <t>34013701</t>
  </si>
  <si>
    <t>KIT 137 ( BOMBA M )</t>
  </si>
  <si>
    <t>3982-000-1640</t>
  </si>
  <si>
    <t>38920001640 DIENTE DE CADENA D.S.C. 820</t>
  </si>
  <si>
    <t>44040109</t>
  </si>
  <si>
    <t>PISTONE D 18X37.5</t>
  </si>
  <si>
    <t>51040009</t>
  </si>
  <si>
    <t>PISTONE D 15X25</t>
  </si>
  <si>
    <t>75218022</t>
  </si>
  <si>
    <t>COPPERCHIO VALVOLE T33</t>
  </si>
  <si>
    <t>83907851BR</t>
  </si>
  <si>
    <t>TAPA TANQUE HIDRAULICO TL-90</t>
  </si>
  <si>
    <t>89218022</t>
  </si>
  <si>
    <t>COPPERCHIO VALVOLE T44</t>
  </si>
  <si>
    <t>90154200</t>
  </si>
  <si>
    <t>KIT 147 ( CLEANMATIC )</t>
  </si>
  <si>
    <t>90156500</t>
  </si>
  <si>
    <t>KIT 83 ( BOX JET )</t>
  </si>
  <si>
    <t>96700800</t>
  </si>
  <si>
    <t>ROSETTA D 8X13X1</t>
  </si>
  <si>
    <t>96707000</t>
  </si>
  <si>
    <t>ROSETTA D 9X23X 0.5</t>
  </si>
  <si>
    <t>A506000260</t>
  </si>
  <si>
    <t>TAMBOR B530</t>
  </si>
  <si>
    <t>PERNO ALEN 5 X 16 CA</t>
  </si>
  <si>
    <t>PERNO ALEN 5X16 CC</t>
  </si>
  <si>
    <t>PERNO ALEN 5 X 25</t>
  </si>
  <si>
    <t>PERNO ALEN 5X30</t>
  </si>
  <si>
    <t>PERNO ALEN 5X40</t>
  </si>
  <si>
    <t>BA-028</t>
  </si>
  <si>
    <t>POWER PLEX X 5 LT</t>
  </si>
  <si>
    <t>BR-001</t>
  </si>
  <si>
    <t>DESMALEZADORA 025 BRISTOL</t>
  </si>
  <si>
    <t>BR-002</t>
  </si>
  <si>
    <t>DESMALEZADORA 08 BRISTOL</t>
  </si>
  <si>
    <t>BR-004</t>
  </si>
  <si>
    <t>RABETA 051/076 BRISTOL</t>
  </si>
  <si>
    <t>BR-007</t>
  </si>
  <si>
    <t>PERFORADOR SOLO PS10 051/076</t>
  </si>
  <si>
    <t>BR-010</t>
  </si>
  <si>
    <t>FUMIGADOR 08 BRISTOL</t>
  </si>
  <si>
    <t>C-0010</t>
  </si>
  <si>
    <t>CAJA 500 ML</t>
  </si>
  <si>
    <t>C-007</t>
  </si>
  <si>
    <t>CAJA 100 ML</t>
  </si>
  <si>
    <t>C-008</t>
  </si>
  <si>
    <t>CAJA LITRO</t>
  </si>
  <si>
    <t>C-009</t>
  </si>
  <si>
    <t>CAJA 250 ML</t>
  </si>
  <si>
    <t>CHEV-LUVDMAX</t>
  </si>
  <si>
    <t>CAMIONETA CHEVROLET LUV D-MAX 2.5L DIESEL TM 4X2</t>
  </si>
  <si>
    <t>CO-0021</t>
  </si>
  <si>
    <t>STICKER COMBO SINOPRID XL</t>
  </si>
  <si>
    <t>CO-0031</t>
  </si>
  <si>
    <t>STICKER COMBO SCOBA XL</t>
  </si>
  <si>
    <t>CO-01311</t>
  </si>
  <si>
    <t>STICKER COMBO COGOLLERO</t>
  </si>
  <si>
    <t>MOTOR 3HP WEG 3600 RPM 110/220V</t>
  </si>
  <si>
    <t>COR-006</t>
  </si>
  <si>
    <t>MOTOR 1HP WEG 1800RPM 110/220V</t>
  </si>
  <si>
    <t>ENSILADORA EC 4800</t>
  </si>
  <si>
    <t xml:space="preserve">CR-008   </t>
  </si>
  <si>
    <t xml:space="preserve">MOTOR 10HP EBERLE 1800RPM 220/440V   </t>
  </si>
  <si>
    <t>CR-0100</t>
  </si>
  <si>
    <t>ENGRANAJE 13 DIENTES BATIDOR VFC 5000</t>
  </si>
  <si>
    <t>CR-01001</t>
  </si>
  <si>
    <t>ENGRANAJE 14 DIENTES FLANJE VFC 5000</t>
  </si>
  <si>
    <t>JUEGO DE CUCHILLAS DP2</t>
  </si>
  <si>
    <t>JUEGO DE CUCHILLAS DP4 / DPC-4 / EC- MINI</t>
  </si>
  <si>
    <t>CONTRA CUCHILLA DP2</t>
  </si>
  <si>
    <t>JUEGO DE MARTILLOS PARA DP2</t>
  </si>
  <si>
    <t>JUEGO DE ZARANDAS PARA DP1</t>
  </si>
  <si>
    <t>CONTRA CUCHILLA DP4</t>
  </si>
  <si>
    <t>JUEGO DE MARTILLOS PARA DP4</t>
  </si>
  <si>
    <t>JUEGO DE ZARANDAS PARA DP4</t>
  </si>
  <si>
    <t>CR-02.053.02</t>
  </si>
  <si>
    <t>BANDA 5B-152 COSECHADORA 930C</t>
  </si>
  <si>
    <t>CR-02.100.07</t>
  </si>
  <si>
    <t>CAJA DE TRANSMICION DAC 600</t>
  </si>
  <si>
    <t>CR-020</t>
  </si>
  <si>
    <t>JUEGO TORNILLOS CUCHILLAS DP4</t>
  </si>
  <si>
    <t>CR-023</t>
  </si>
  <si>
    <t>RESORTE DEL BASCULANTE PARA EC 4800</t>
  </si>
  <si>
    <t>CR-025</t>
  </si>
  <si>
    <t>CORONA DE BRONCE SINFIN</t>
  </si>
  <si>
    <t>CILINDRO ALIMENTADOR DENTADO</t>
  </si>
  <si>
    <t>CILINDRO ALIMENTADOR LISO</t>
  </si>
  <si>
    <t>CR-028</t>
  </si>
  <si>
    <t>DESGRANADORA 360 (KG/HORA) OSORIO</t>
  </si>
  <si>
    <t>CR-03.090.05</t>
  </si>
  <si>
    <t>CILINDRO ALIMENTADOR LISO EC-4800</t>
  </si>
  <si>
    <t>CR-03.154.07</t>
  </si>
  <si>
    <t>CILINDRO ALIMENTADOR LISO EC-4000</t>
  </si>
  <si>
    <t>ENSILADORA EC MINI</t>
  </si>
  <si>
    <t xml:space="preserve">CR-041  </t>
  </si>
  <si>
    <t xml:space="preserve">GANCHO GTC1000   </t>
  </si>
  <si>
    <t>MOTOR 5HP WEG 1800RPM 220/440V</t>
  </si>
  <si>
    <t>MOLINO PICADOR DPF JR.</t>
  </si>
  <si>
    <t>CR-054</t>
  </si>
  <si>
    <t>ENSILADORA EC 5000</t>
  </si>
  <si>
    <t>CR-056</t>
  </si>
  <si>
    <t>ZARANDA DP4 (0,6MM)</t>
  </si>
  <si>
    <t>CR-057</t>
  </si>
  <si>
    <t>ZARANDA DP4 (0,8MM)</t>
  </si>
  <si>
    <t>CR-058</t>
  </si>
  <si>
    <t>ZARANDA TCM4 (0,6MM)</t>
  </si>
  <si>
    <t>CR-059</t>
  </si>
  <si>
    <t>ZARANDA TCM4 (0,8MM)</t>
  </si>
  <si>
    <t>CR-060</t>
  </si>
  <si>
    <t>ZARANDA DPF JR (0,6MM)</t>
  </si>
  <si>
    <t>CR-061</t>
  </si>
  <si>
    <t>ZARANDA DPF JR (0,8MM)</t>
  </si>
  <si>
    <t>CR-062</t>
  </si>
  <si>
    <t>ZARANDA DP1 (0,6MM)</t>
  </si>
  <si>
    <t>CR-063</t>
  </si>
  <si>
    <t>ZARANDA DP1 (0,8MM)</t>
  </si>
  <si>
    <t>CR-064</t>
  </si>
  <si>
    <t>ZARANDA DP2 (0,6MM)</t>
  </si>
  <si>
    <t>JUEGO DE CUCHILLAS DP1</t>
  </si>
  <si>
    <t>JUEGO DE CUCHILLAS DPF MINI</t>
  </si>
  <si>
    <t>JUEGO DE MARTILLOS PARA DP1</t>
  </si>
  <si>
    <t>JUEGO DE CUCHILLAS DPF JR</t>
  </si>
  <si>
    <t xml:space="preserve">CR-082 </t>
  </si>
  <si>
    <t xml:space="preserve">MOTOR 1.5 HP KOLBACH 3600 RPM </t>
  </si>
  <si>
    <t>CR-083</t>
  </si>
  <si>
    <t>MOTOR 1.5 HP WEG 1800 RPM</t>
  </si>
  <si>
    <t>CONTRA CUCHILLA DPF MINI</t>
  </si>
  <si>
    <t>CONTRA CUCHILLA DPF JR</t>
  </si>
  <si>
    <t>COSECHADORA CUSTOM 930-C</t>
  </si>
  <si>
    <t>CR-093</t>
  </si>
  <si>
    <t>CONTRA CUCHILLA CILINDRO RECOGEDOR P 930</t>
  </si>
  <si>
    <t>CONTRA CUCHILLA DEL ROTOR 930 C</t>
  </si>
  <si>
    <t>CUCHILLAS RECOGEDORAS IZQUIERDAS 930 C</t>
  </si>
  <si>
    <t>CR-096</t>
  </si>
  <si>
    <t>ESTIRADOR CADENA CILINDRO DENTADO 930 C</t>
  </si>
  <si>
    <t>CR-097</t>
  </si>
  <si>
    <t>ESTIRADOR CADENA CILINDRO MOVIL 930 C</t>
  </si>
  <si>
    <t>CR-098</t>
  </si>
  <si>
    <t>FLANJE ENTALLADO COSECHADORA 930 C</t>
  </si>
  <si>
    <t>JUEGO CUCHILLAS ROTOR COSECHADORA 930 C</t>
  </si>
  <si>
    <t>CONTRA CUCHILLA DP1</t>
  </si>
  <si>
    <t>CUCHILLAS RECOGEDORAS DERECHAS 930 C</t>
  </si>
  <si>
    <t>CONTRA CUCHILLA EC 4000</t>
  </si>
  <si>
    <t xml:space="preserve">CR-104       </t>
  </si>
  <si>
    <t xml:space="preserve">TOLVA DE SALIDA PARA EC 4000/4800  </t>
  </si>
  <si>
    <t>CR-115</t>
  </si>
  <si>
    <t>MOTOR GASO 3.5 HP EJE RECTO</t>
  </si>
  <si>
    <t>MEZCLADORA MRC 500</t>
  </si>
  <si>
    <t>MEZCLADORA MRC 1000</t>
  </si>
  <si>
    <t xml:space="preserve">CORONA DE BRONCE EC MINI  71.200.10 </t>
  </si>
  <si>
    <t>CR-122</t>
  </si>
  <si>
    <t>71.118.10 SINFIN PARA EC MINI</t>
  </si>
  <si>
    <t>10.236.05 SINFIN PARA EC 4000/EC 4800</t>
  </si>
  <si>
    <t>CORONA BRONCE EC 4800</t>
  </si>
  <si>
    <t>PERILLAS PARA EC/DP</t>
  </si>
  <si>
    <t>MOTOR 2 HP PARA DPF SR</t>
  </si>
  <si>
    <t>CR-158</t>
  </si>
  <si>
    <t>JUEGO PISTON STD</t>
  </si>
  <si>
    <t>CR-20.170.07</t>
  </si>
  <si>
    <t>CILINDRO ALIMENTADOR DENTADO EC-4800</t>
  </si>
  <si>
    <t>CR-20.171.07</t>
  </si>
  <si>
    <t>CILINDRO ALIMENTADOR DENTADO EC-4000</t>
  </si>
  <si>
    <t>CR-20.715.07</t>
  </si>
  <si>
    <t>TOLVA NEGRA PARA DPF-JR</t>
  </si>
  <si>
    <t>POLEA 4`` DE 2 RANURAS</t>
  </si>
  <si>
    <t>CAJA INVERSORA EC-MINI</t>
  </si>
  <si>
    <t xml:space="preserve">CR-999   </t>
  </si>
  <si>
    <t xml:space="preserve">CICLON PARA DP1 SIN ELEVADOR       </t>
  </si>
  <si>
    <t>CARDAN PARA CUSTOM 930-C SIN EMBRAGUE</t>
  </si>
  <si>
    <t>MOLINO PICADOR DP1</t>
  </si>
  <si>
    <t>CR-DP2</t>
  </si>
  <si>
    <t>MOLINO PICADOR DP2</t>
  </si>
  <si>
    <t>MOLINO PICADOR DPC4</t>
  </si>
  <si>
    <t>MOLINO DPF MINI</t>
  </si>
  <si>
    <t>MOLINO PICADOR DPF-SR</t>
  </si>
  <si>
    <t>ENSILADORA EC 4000</t>
  </si>
  <si>
    <t>PICADORA PPC3</t>
  </si>
  <si>
    <t>JUEGO DE ZARANDAS PARA DPF JR.</t>
  </si>
  <si>
    <t>JUEGO DE MARTILLOS PARA DPF JR.</t>
  </si>
  <si>
    <t>JUEGO DE CUCHILLAS EC 4800</t>
  </si>
  <si>
    <t>JUEGO DE CUCHILLAS EC 4000</t>
  </si>
  <si>
    <t>JUEGO DE ZARANDAS PARA DP2</t>
  </si>
  <si>
    <t>CUCHILLAS REPICADORAS PPC3</t>
  </si>
  <si>
    <t>CRE-032</t>
  </si>
  <si>
    <t xml:space="preserve">TOLVA DE ENTRADA EC 4800   </t>
  </si>
  <si>
    <t xml:space="preserve">CRE-033    </t>
  </si>
  <si>
    <t>TOLVA DE ENTRADA DPF MINI</t>
  </si>
  <si>
    <t>CRE-034</t>
  </si>
  <si>
    <t>TOLVA DE ENTRADA EC 4000</t>
  </si>
  <si>
    <t>JUEGO DE ZARANDAS PARA DPF MINI</t>
  </si>
  <si>
    <t>CONTRA CUCHILLA EC MINI</t>
  </si>
  <si>
    <t>JUEGO DE MARTILLOS PARA TMC-4</t>
  </si>
  <si>
    <t>CRE-128</t>
  </si>
  <si>
    <t>RODILLO DEL DESCASCARADOR</t>
  </si>
  <si>
    <t>CRE-129</t>
  </si>
  <si>
    <t>ZARANDA DEL BRUNIDOR</t>
  </si>
  <si>
    <t>JUEGO DE CUCHILLAS PPC3</t>
  </si>
  <si>
    <t>CONTRA CUCHILLA PARA PPC-3</t>
  </si>
  <si>
    <t>KIT CUCHILLAS DE ROTOR PPC-3</t>
  </si>
  <si>
    <t>CRE-857</t>
  </si>
  <si>
    <t>CUCHILLAS EC MINI (UNIDADES)</t>
  </si>
  <si>
    <t>AGARRADERA MANUBRIO PULVERIZADORA</t>
  </si>
  <si>
    <t>PISTON KIT CS3000</t>
  </si>
  <si>
    <t>KIT DE PISTON PPT2400</t>
  </si>
  <si>
    <t>EC-10000060730</t>
  </si>
  <si>
    <t>PISTON KIT CS1201</t>
  </si>
  <si>
    <t>PISTON KIT CS3500-35</t>
  </si>
  <si>
    <t>ANILLOS PISTON CS3500</t>
  </si>
  <si>
    <t>EC-10001105330</t>
  </si>
  <si>
    <t>ANILLOS PISTON, KIT SHP800  EDR210</t>
  </si>
  <si>
    <t>ANILLO JUEGO PISTON DM6110</t>
  </si>
  <si>
    <t>ANILLOS JUEGO PISTON SRM4300</t>
  </si>
  <si>
    <t>ANILLO PISTON CS1201</t>
  </si>
  <si>
    <t>ANILLO PISTON PPT2400</t>
  </si>
  <si>
    <t>ANILLO DE PISTON CS8002</t>
  </si>
  <si>
    <t>ANILLOS JUEGO PISTON CS6700</t>
  </si>
  <si>
    <t>ANILLO JUEGO PISTON CS510</t>
  </si>
  <si>
    <t>ANILLO PISTON SRM3605</t>
  </si>
  <si>
    <t>ANILLOS PISTON SRM4605</t>
  </si>
  <si>
    <t>ANILLOS JUEGO PISTON CS3000</t>
  </si>
  <si>
    <t>EC-10010006210</t>
  </si>
  <si>
    <t>CIGUEÑAL DM6110</t>
  </si>
  <si>
    <t>10010030830 CIGUENAL CS8002</t>
  </si>
  <si>
    <t>10010043130 CIGUENAL SRM4605</t>
  </si>
  <si>
    <t>10010055430 CIGUENAL SRM3605</t>
  </si>
  <si>
    <t>EC-10010055931</t>
  </si>
  <si>
    <t>10010055930 CIGUEÑAL SHP-800</t>
  </si>
  <si>
    <t>CIGUEÑAL CS1201</t>
  </si>
  <si>
    <t>10010160931 CIGUENAL CS3500</t>
  </si>
  <si>
    <t>CHAVETA SRM3605</t>
  </si>
  <si>
    <t>CARTER COMPLETO CS1201</t>
  </si>
  <si>
    <t>10020442230 CARTER KIT SRM4605</t>
  </si>
  <si>
    <t>CARTER WP-1000 EDR-210</t>
  </si>
  <si>
    <t>10020455430 CARTER SRM3605</t>
  </si>
  <si>
    <t>10020456232 CARTER KIT SRM270</t>
  </si>
  <si>
    <t>SELLO DE ACEITE, RETEN SRM4605</t>
  </si>
  <si>
    <t>RETENEDOR CIGUEÑAL DM6110 SRM4300</t>
  </si>
  <si>
    <t>SELLLO DE ACEITE SRM4300</t>
  </si>
  <si>
    <t>EMPAQUE CARTER  CS8002</t>
  </si>
  <si>
    <t>EMPAQUE CARTER CS680</t>
  </si>
  <si>
    <t>EMPAQUE CARTER PPT2400, HC150, WP1000</t>
  </si>
  <si>
    <t>EMPAQUE CARTER SRM 4605</t>
  </si>
  <si>
    <t>10024255430 EMPAQUE CARTER SRM3605</t>
  </si>
  <si>
    <t>AMORTIGUADOR POSTERIOR CS1201</t>
  </si>
  <si>
    <t>AMORTIGUADOR FRONTAL CS8002</t>
  </si>
  <si>
    <t>PERNO SUJETADOR DE AMORTIGUADOR CS1201</t>
  </si>
  <si>
    <t>PERNO AMORTIGUADOR CS510</t>
  </si>
  <si>
    <t>AMORTIGUADOR FRONTAL CS1201</t>
  </si>
  <si>
    <t>AMORTIGUADOR CS8002</t>
  </si>
  <si>
    <t>AMORTIGUADOR CS510</t>
  </si>
  <si>
    <t>AMORTIGUADOR POSTERIOR CS8002</t>
  </si>
  <si>
    <t>10101006211 EMPAQUE CILINDRO DM6110</t>
  </si>
  <si>
    <t>EMPAQUE DE CILINDRO CS1201</t>
  </si>
  <si>
    <t>10101030830 EMPAQUET DE CILINDRO CS8002</t>
  </si>
  <si>
    <t>10101032431 EMPAQUE CILINDRO CS680S</t>
  </si>
  <si>
    <t>10101042231 EMPAQUE CILINDRO SRM4605</t>
  </si>
  <si>
    <t>EMPAQUE DE CILINDRO PPT2400, EDR210</t>
  </si>
  <si>
    <t>10101055430 EMPAQUE CILINDRO SRM3605</t>
  </si>
  <si>
    <t>10101056030 EMPAQUE CILINDRO SRM270</t>
  </si>
  <si>
    <t>CILINDRO PPT-2400</t>
  </si>
  <si>
    <t>10101147530 CILINDRO SRM4605</t>
  </si>
  <si>
    <t>CILINDRO CS1201</t>
  </si>
  <si>
    <t>10101161230 CILINDRO SHP800</t>
  </si>
  <si>
    <t>10103456532 CILINDRO SRM270</t>
  </si>
  <si>
    <t>GAFAS SPORT ECHO</t>
  </si>
  <si>
    <t>RESORTE DE COMPRESION EJE PPT2400</t>
  </si>
  <si>
    <t>EC-10503</t>
  </si>
  <si>
    <t>ROLLO NYLON SHINDAIWA 3LB 0.105"</t>
  </si>
  <si>
    <t>EC-10505</t>
  </si>
  <si>
    <t>ROLLO NYLON SHINDAIWA 5LB 0.105"</t>
  </si>
  <si>
    <t>CARBURADOR CS1201</t>
  </si>
  <si>
    <t>DIAFRAGMA CARBURADOR CS1201</t>
  </si>
  <si>
    <t>PALANCA BALANCIN CS1201</t>
  </si>
  <si>
    <t>EMPAQUETADURA BOMBA CARBURADOR CS1201</t>
  </si>
  <si>
    <t>VALVULA REGULADORA CS1201</t>
  </si>
  <si>
    <t>EMPAQUE DE DIAFRAGMA DE MEDICION CS1201</t>
  </si>
  <si>
    <t>DIAFRAGMA DEL BALANCIN CS1201</t>
  </si>
  <si>
    <t>CARBURADOR CS8002</t>
  </si>
  <si>
    <t>CARBURADOR SRM4605</t>
  </si>
  <si>
    <t>CARBURADOR PPT-2400</t>
  </si>
  <si>
    <t>CARBURADOR SRM3605</t>
  </si>
  <si>
    <t>CARBURADOR SRM270</t>
  </si>
  <si>
    <t>CARBURADOR CS3000</t>
  </si>
  <si>
    <t>CARBURADOR CS3500-35</t>
  </si>
  <si>
    <t>KIT DE REPARACION, CARBURADOR PPT2400</t>
  </si>
  <si>
    <t>DIAFRAGMA DE CARBURADOR CS680 488</t>
  </si>
  <si>
    <t>20016-81180 VALVULA SOUPAPE 22F</t>
  </si>
  <si>
    <t>AGUJA (L) SRM3605</t>
  </si>
  <si>
    <t>AGUJA (H) SRM3605</t>
  </si>
  <si>
    <t>RESORTE BALANCIN SRM3605</t>
  </si>
  <si>
    <t>RESORTE DE BALANCIN CS8002</t>
  </si>
  <si>
    <t>PALANCA BALANCIN CS680  488,577,757</t>
  </si>
  <si>
    <t>PALANCA BALANCIN SRM3605 SRM4605</t>
  </si>
  <si>
    <t>12312509560 DIAFRAGMA SRM3605</t>
  </si>
  <si>
    <t>EMPAQUE DE DIAFRAGMA DE CARBURADOR CS680 488,577,757</t>
  </si>
  <si>
    <t>VALVULA SRM3605</t>
  </si>
  <si>
    <t>EC-12313719830</t>
  </si>
  <si>
    <t>AGUJA CARBURADOR DM6110 CS420 CS600 PPT2400 SRM270 CS3500</t>
  </si>
  <si>
    <t>EMPAQUE DE DIAFRAGMA DE MEDICION CARB 488,577,757</t>
  </si>
  <si>
    <t>EMPAQUE DE DIAFRAGMA DE BALANCIN CS8002</t>
  </si>
  <si>
    <t xml:space="preserve">DIAFRAGMA SRM3605 SRM4605 </t>
  </si>
  <si>
    <t>DIAFRAGMA DE BALANCIN CS600 CS680</t>
  </si>
  <si>
    <t>BOMBA DE CEBADOR CS420</t>
  </si>
  <si>
    <t>BOMBA DEL CEBADOR 22F-C230-EB500-HT23</t>
  </si>
  <si>
    <t>RESORTE ACELERADOR SHP800</t>
  </si>
  <si>
    <t>RETENEDOR C350-B450</t>
  </si>
  <si>
    <t>20020-81150 RESORTE RODELA B45-B530-B45L</t>
  </si>
  <si>
    <t>RETENEDOR TIPO E SHP800-B530</t>
  </si>
  <si>
    <t>INYECTOR PRINCIPAL SHP800</t>
  </si>
  <si>
    <t>CARBURADOR SHP800</t>
  </si>
  <si>
    <t>AGUJA PIVOTE SHP800</t>
  </si>
  <si>
    <t>RESORTE MEMBRANA B450-C350-C270-SHP800</t>
  </si>
  <si>
    <t>PLACA CARBURADOR SHP800</t>
  </si>
  <si>
    <t>EMPAQUE DE BOMBA SHP800</t>
  </si>
  <si>
    <t>20011-81680 RESORTE MEMBRANA C35LA-B45-B</t>
  </si>
  <si>
    <t>VALVULA PATO B530,B450</t>
  </si>
  <si>
    <t>BOMBA CEBADOR B450-B530-C350</t>
  </si>
  <si>
    <t>BOMBA DEL CEBADOR ES726</t>
  </si>
  <si>
    <t>PALANCA BALANCIN SR4300</t>
  </si>
  <si>
    <t>AGUJA H SRM4300</t>
  </si>
  <si>
    <t>12534107360 DIAFRAGMA SRM4300</t>
  </si>
  <si>
    <t>EC-12534408560</t>
  </si>
  <si>
    <t>TORNILLO RELANTIN 4300</t>
  </si>
  <si>
    <t>BOMBA DE CEBADO SRM4300</t>
  </si>
  <si>
    <t>BARRA 12" PPT2400</t>
  </si>
  <si>
    <t xml:space="preserve">GRASA SHINDAIWA TUBO 283.5 G  </t>
  </si>
  <si>
    <t>AISLADOR KIT CS3000</t>
  </si>
  <si>
    <t>EC-13000739930</t>
  </si>
  <si>
    <t>AISLADOR SC3500</t>
  </si>
  <si>
    <t>AISLADOR SC420</t>
  </si>
  <si>
    <t>EMPAQUE (B) ADMICSION PPT2400</t>
  </si>
  <si>
    <t>EMAPAQUE CARBURADOR CS510</t>
  </si>
  <si>
    <t>ADAPTADOR DE MANGA CARBURADOR CS1201</t>
  </si>
  <si>
    <t>EMPAQUE B CARBURADOR SRM4300</t>
  </si>
  <si>
    <t>AISLADOR PPT2400</t>
  </si>
  <si>
    <t>AISLADOR SRM4605</t>
  </si>
  <si>
    <t>AISLADOR SRM3605</t>
  </si>
  <si>
    <t>AISLADOR SRM270</t>
  </si>
  <si>
    <t>PERNO CARBURADOR SRM4605</t>
  </si>
  <si>
    <t>EC-13010</t>
  </si>
  <si>
    <t>HILO NYLON 0.130  13010"</t>
  </si>
  <si>
    <t>FILTRO COMPLETO AIRE SHP800</t>
  </si>
  <si>
    <t>13030039730 FILTRO AIRE CS3500-CS420-45</t>
  </si>
  <si>
    <t>13030252131 COMBERTOR FILTRO SRM3605</t>
  </si>
  <si>
    <t>FILTRO DE AIRE CS8002</t>
  </si>
  <si>
    <t>FILTRO DE AIRE CS1201</t>
  </si>
  <si>
    <t>FILTRO AIRE DM6110</t>
  </si>
  <si>
    <t>FILTRO AIRE SRM4605</t>
  </si>
  <si>
    <t>FILTRO AIRE SHP800</t>
  </si>
  <si>
    <t>FILTRO DE AIRE SRM4605</t>
  </si>
  <si>
    <t>13031051730 ELEMENTO FILTRO AIRE SRM3605</t>
  </si>
  <si>
    <t>FILTRO AIRE SRM270</t>
  </si>
  <si>
    <t>13031306230 CUBIERTA FILTRO AIRE SRM4605</t>
  </si>
  <si>
    <t>CUBIERTA FILTRO SRM4300</t>
  </si>
  <si>
    <t>PERILLA TAPA FILTRO SRM3605</t>
  </si>
  <si>
    <t>MANGA CS1201</t>
  </si>
  <si>
    <t>MANGA ADMISION CS80002</t>
  </si>
  <si>
    <t>MANGA ADMISION CS3500</t>
  </si>
  <si>
    <t>PLACA BASE MANGA CS1201</t>
  </si>
  <si>
    <t>ANILLO BASE DE LA MANGA CS8002</t>
  </si>
  <si>
    <t>TAPA TANQUE SRM3605 4300 4605</t>
  </si>
  <si>
    <t>TANQUE DE COMBUSTIBLE PPT2400</t>
  </si>
  <si>
    <t>TANQUE COMBUST SRM3605</t>
  </si>
  <si>
    <t>FILTRO DE COMBUSTIBLE PPT2400</t>
  </si>
  <si>
    <t>FILTRO COMBUST SRM4300</t>
  </si>
  <si>
    <t>BASE TANQUE SRM4605</t>
  </si>
  <si>
    <t>AMORTIGUA TANQ SRM4300-3605-4605</t>
  </si>
  <si>
    <t>TUBO COMBUSTIBLE SRM4300</t>
  </si>
  <si>
    <t>OJAL TANQUE COMBUSTIBLE SHP-800</t>
  </si>
  <si>
    <t>OJAL LINEA DE COMBUSTIBLE SRM4300</t>
  </si>
  <si>
    <t>EMPAQUE SILENCIADOR CS8002</t>
  </si>
  <si>
    <t>14551055932 EMPAQUE DE ESCAPE SHP800</t>
  </si>
  <si>
    <t>BOBINA SRM3605</t>
  </si>
  <si>
    <t>BOBINA SHP800</t>
  </si>
  <si>
    <t>BOBINA SRM270</t>
  </si>
  <si>
    <t>BOBINA DE ENCENDIDO CS1201</t>
  </si>
  <si>
    <t>BOBINA DM6110</t>
  </si>
  <si>
    <t>BOBINA SRM4605</t>
  </si>
  <si>
    <t>BOBINA DE ENCENDIDO CS8002</t>
  </si>
  <si>
    <t>BOBINA CS680S</t>
  </si>
  <si>
    <t>BOBINA CS3000</t>
  </si>
  <si>
    <t>BOBINA DE ENCENDIDO PPT2400</t>
  </si>
  <si>
    <t>BOBINA CS3500-35</t>
  </si>
  <si>
    <t>VOLANTE</t>
  </si>
  <si>
    <t>INTERRUPTOR DE ENCENDIDO CS680</t>
  </si>
  <si>
    <t>EMBRAGUE CS8002</t>
  </si>
  <si>
    <t>EMBRAGUE PPT2400</t>
  </si>
  <si>
    <t>EC-17500539133</t>
  </si>
  <si>
    <t>TAMBOR EMBRAGUE CS3000 SH</t>
  </si>
  <si>
    <t>TAMBOR EMBRAGUE PPT2400</t>
  </si>
  <si>
    <t>TAMBOR EMBRAGUE SRM4605</t>
  </si>
  <si>
    <t>TAMBOR EMBRAGUE SRM3605</t>
  </si>
  <si>
    <t>TAMBOR EMBRAGUE SRM270</t>
  </si>
  <si>
    <t>TAMBOR DE EMBRAGUE CS1201</t>
  </si>
  <si>
    <t>EC-17500905131</t>
  </si>
  <si>
    <t>ZAPATA EMBRAGUE HC-150</t>
  </si>
  <si>
    <t>ZAPATA EMBRAGUE UNIDAD SRM4605</t>
  </si>
  <si>
    <t>ZAPATA EMBRAGUE UNIDAD SRM270, SHP800</t>
  </si>
  <si>
    <t>RESORTE EMBRAGUE SRM270</t>
  </si>
  <si>
    <t>RESORTE EMBRAGUE SRM4300-4605</t>
  </si>
  <si>
    <t>RESORTE EMBRAGUE SRM3605</t>
  </si>
  <si>
    <t>PERNO EMBRAGUE SRM4300-4605</t>
  </si>
  <si>
    <t>PERNO EMBRAGUE SRM3605</t>
  </si>
  <si>
    <t>TORNILLO EMBRAGUE SHP800</t>
  </si>
  <si>
    <t>ARANDELA B EMBRAGUE SRM4300</t>
  </si>
  <si>
    <t>ARANDELA EMBRAGUE SRM3605</t>
  </si>
  <si>
    <t>ARANDELA A EMBRAGUE SRM4300</t>
  </si>
  <si>
    <t>TAMBOR DE EMBREGUE CS8002</t>
  </si>
  <si>
    <t>TAMBOR EMBRAGUE CS680</t>
  </si>
  <si>
    <t>ARRANCADOR COMP. DM6110</t>
  </si>
  <si>
    <t>ARRANCADOR  COMPLETO CS1201</t>
  </si>
  <si>
    <t>ARRANCADOR CS8002</t>
  </si>
  <si>
    <t>ARRANCADOR COMP PPT2400</t>
  </si>
  <si>
    <t>ARRANCADOR COMPLETO SRM3605</t>
  </si>
  <si>
    <t>ARRANCADOR COMPLETO SRM270-SHP-800</t>
  </si>
  <si>
    <t>EC-17720206210</t>
  </si>
  <si>
    <t>POLEA COMPLETA DM6110</t>
  </si>
  <si>
    <t>POLEA DE ALUMINIO DE ARRANQUE PPT2400</t>
  </si>
  <si>
    <t>POLEA ARRANQUE SRM3605,4605</t>
  </si>
  <si>
    <t>RESORTE ARRANQUE CS3500</t>
  </si>
  <si>
    <t>TAMBOR DE ARRANCADOR CS8002</t>
  </si>
  <si>
    <t>EC-17721510632</t>
  </si>
  <si>
    <t>TAMBOR CUERDA CS-1201</t>
  </si>
  <si>
    <t>TAMBOR ARRANCADOR CS680S</t>
  </si>
  <si>
    <t>TAMBOR ARRANQUE CS3000</t>
  </si>
  <si>
    <t>TAMBOR ARRANQUE CS510</t>
  </si>
  <si>
    <t>TAMBOR ARRANQUE SHP800</t>
  </si>
  <si>
    <t>70131-75120 TAMBOR B45LA-C350-EB500</t>
  </si>
  <si>
    <t>TAMBOR DE ARRANCADOR HT230</t>
  </si>
  <si>
    <t>TAMBOR ARRANCADOR CS3500</t>
  </si>
  <si>
    <t>TRINQUTE CS8002</t>
  </si>
  <si>
    <t>TRINQUETE CS680</t>
  </si>
  <si>
    <t>EC-17721840630</t>
  </si>
  <si>
    <t>TRINQUETE SRM270,C350,B530</t>
  </si>
  <si>
    <t>TRINQUETE PPT2400</t>
  </si>
  <si>
    <t>RESORTE ARRANCADOR CS680</t>
  </si>
  <si>
    <t>RESORTE ARRANQUE SRM4300</t>
  </si>
  <si>
    <t>RESORTE DE ARRANCADOR CS1201</t>
  </si>
  <si>
    <t>RESORTE RECULAR ARRANQUE SC600</t>
  </si>
  <si>
    <t>RESORTE ARRANQUE SHP800</t>
  </si>
  <si>
    <t>RESORTE ARRANCADOR HT230</t>
  </si>
  <si>
    <t>BASE RESORTE ARRANCADOR CS680</t>
  </si>
  <si>
    <t>PLATO ARRANQUE CS3000</t>
  </si>
  <si>
    <t>CAJA RESORTE ARRANCADOR CS510</t>
  </si>
  <si>
    <t>EC-17722601110</t>
  </si>
  <si>
    <t>CUERDA SRM3605</t>
  </si>
  <si>
    <t>EC-17722811120</t>
  </si>
  <si>
    <t>PERILLA DEL ARRANCADOR HC-150</t>
  </si>
  <si>
    <t>PERILLA ARRANCADOR SRM3605</t>
  </si>
  <si>
    <t>RESORTE DE ARRANCADOR ES726</t>
  </si>
  <si>
    <t>RESORTE DEL TRINQUETE CS680</t>
  </si>
  <si>
    <t>RESORTE DEL TRINQUETE CS8002</t>
  </si>
  <si>
    <t>RESORTE TRINQUETE SRM3605-4605</t>
  </si>
  <si>
    <t>BASE DEL RESORTE DE ARRANQUE CS1201</t>
  </si>
  <si>
    <t>BASE DEL RESORTE DE ARRANQUE CS8002</t>
  </si>
  <si>
    <t>CABLE ACELERADOR SRM4605</t>
  </si>
  <si>
    <t>CABLE ACELERADOR CS3605</t>
  </si>
  <si>
    <t>CABLE DE ACELERADOR PPT2400</t>
  </si>
  <si>
    <t>CABLE ACELERADOR SRM270</t>
  </si>
  <si>
    <t>GATILLO DEL ACELERADOR PPT2400</t>
  </si>
  <si>
    <t>TRABA DE GATILLO PPT2400</t>
  </si>
  <si>
    <t>PALANCA SEGURO ACELERADOR CS3500</t>
  </si>
  <si>
    <t>PROTECTOR CABLE SRM4605</t>
  </si>
  <si>
    <t>EC-20087-31211</t>
  </si>
  <si>
    <t>TAMBOR EMBRAGUE C230-P230</t>
  </si>
  <si>
    <t>EC-21001304111</t>
  </si>
  <si>
    <t>TUBO ACORDEON DM6110</t>
  </si>
  <si>
    <t>EC-22412713710</t>
  </si>
  <si>
    <t>4050771 EMPAQUE DIFUSOR ES726</t>
  </si>
  <si>
    <t>DESMALEZADORA 22C</t>
  </si>
  <si>
    <t>EC-25001102011</t>
  </si>
  <si>
    <t>EMPAQUE DE TAPA TANQUE DM6110</t>
  </si>
  <si>
    <t>EC-25001708012</t>
  </si>
  <si>
    <t>TANQUE 23L DM6110</t>
  </si>
  <si>
    <t>TAPA DRENAJE SHP 800</t>
  </si>
  <si>
    <t>30100156831 ARNES SRM3605</t>
  </si>
  <si>
    <t>PROTECTOR DEL TANQUE PPT2400</t>
  </si>
  <si>
    <t>BASE TANQUE SRM 3605</t>
  </si>
  <si>
    <t>EC-313105055</t>
  </si>
  <si>
    <t>ROLLO NYLON ECHO 3LB 0.105"</t>
  </si>
  <si>
    <t>EC-315105055</t>
  </si>
  <si>
    <t>FILAMENTO 5LB.105" REDONDO NYL</t>
  </si>
  <si>
    <t>MANUBRIO IZQ SRM3605-4605</t>
  </si>
  <si>
    <t>MANGO POSTERIOR PPT2400</t>
  </si>
  <si>
    <t>MANGO DERECHO SRM3605-SRM460</t>
  </si>
  <si>
    <t>MANUBRIO DERECHO SRM3605-SRM</t>
  </si>
  <si>
    <t>MANGO IZQUIERDO SRM3605-4605</t>
  </si>
  <si>
    <t>FILTRO MALLA ES726</t>
  </si>
  <si>
    <t>EC-43021113432</t>
  </si>
  <si>
    <t>BARRA DE 3/8 40RC50 40CM/16"</t>
  </si>
  <si>
    <t>BARRA 24"  CS-680, CS-8002</t>
  </si>
  <si>
    <t>BARRA 28" CS 8002</t>
  </si>
  <si>
    <t>BARRA GUIA 28" CS-8002</t>
  </si>
  <si>
    <t>BARRA GUIA 70CM</t>
  </si>
  <si>
    <t>EC-43052737332</t>
  </si>
  <si>
    <t>BARRA CS-420ES</t>
  </si>
  <si>
    <t>BARRA 17" CS420ES 0.375</t>
  </si>
  <si>
    <t>CADENA 24" CS680 CS 8002</t>
  </si>
  <si>
    <t>73LGX92X CADENA70CM 28" CS8002</t>
  </si>
  <si>
    <t>CADENA 36" CS1201 0.404</t>
  </si>
  <si>
    <t>CADENA 17" CS420ES</t>
  </si>
  <si>
    <t>ESPARRAGO DE BARRA CS1201</t>
  </si>
  <si>
    <t>EC-43301119830</t>
  </si>
  <si>
    <t>ESPARRAGO BARRA CS680</t>
  </si>
  <si>
    <t>PLACA GUIA INTERNA CS680  CS8002</t>
  </si>
  <si>
    <t>TENSOR DE LA CADENA CS1201</t>
  </si>
  <si>
    <t>TORNILLO TENSOR CS1201</t>
  </si>
  <si>
    <t>EC-43301903933</t>
  </si>
  <si>
    <t>TUERCA BARRA CS3500</t>
  </si>
  <si>
    <t>TUERCA BARRA CS1201</t>
  </si>
  <si>
    <t>CUBIERTA DE EMBRAGUE CS1201</t>
  </si>
  <si>
    <t>BOMBA ACEITE CS680 CS8002</t>
  </si>
  <si>
    <t>BOMBA DE ACEITE CS1201</t>
  </si>
  <si>
    <t>BOMBA DE ACEITE CS8002</t>
  </si>
  <si>
    <t>EC-43710038832</t>
  </si>
  <si>
    <t>BOMBA DE ACEITE CS8000</t>
  </si>
  <si>
    <t>MANGUERA COMBUST A SHP-800</t>
  </si>
  <si>
    <t>EC-450093990</t>
  </si>
  <si>
    <t>CONECTOR GIRATORIO</t>
  </si>
  <si>
    <t>4515030 VALVULA DE PASO ES726</t>
  </si>
  <si>
    <t>4555310 PLACA GOTA FINA ES726</t>
  </si>
  <si>
    <t>TAPA TANQUE ES726</t>
  </si>
  <si>
    <t>MOTOSIERRA 488 SHINDAIWA</t>
  </si>
  <si>
    <t>EC-488/EMC</t>
  </si>
  <si>
    <t>MOTOSIERRA 488</t>
  </si>
  <si>
    <t>EC-569006</t>
  </si>
  <si>
    <t xml:space="preserve">UNIDAD CIERRE SP40BPS			</t>
  </si>
  <si>
    <t>EC-569007</t>
  </si>
  <si>
    <t>MANGUERA SP40BPS</t>
  </si>
  <si>
    <t>EC-569020</t>
  </si>
  <si>
    <t>ANILLO KIT SP40BPS</t>
  </si>
  <si>
    <t>EC-569023</t>
  </si>
  <si>
    <t>VALVULA KIT CARTUCHO SP40BPS</t>
  </si>
  <si>
    <t>EC-569024</t>
  </si>
  <si>
    <t>PISTON CILINDRO KIT SP40BPS</t>
  </si>
  <si>
    <t>EC-569028</t>
  </si>
  <si>
    <t>CAMARA DE PRESION SP40BPS</t>
  </si>
  <si>
    <t>MOTOSIERRA 577-60 CON BARRA Y CADENA</t>
  </si>
  <si>
    <t>MANDRIL EDR-210</t>
  </si>
  <si>
    <t>61001106230 EJE CENTRAL SRM3605 SRM4605</t>
  </si>
  <si>
    <t>EJE TRANSMISIÓN INFERIOR PPT2400</t>
  </si>
  <si>
    <t>EJE TRANSMISION SUPERIOR PPT240</t>
  </si>
  <si>
    <t>61001125530 EJE CENTRAL SRM270</t>
  </si>
  <si>
    <t>CONECTOR EJE TRANSMISION PPT2400</t>
  </si>
  <si>
    <t>SOPORTE COJINETE COMPLETO PPT2400</t>
  </si>
  <si>
    <t>TUBO EXTERNO SRM270</t>
  </si>
  <si>
    <t>TUBO EXTERNO SRM4605</t>
  </si>
  <si>
    <t>TUBO EXTERNO SRM3605</t>
  </si>
  <si>
    <t>TUBO SUPERIOR PPT2400</t>
  </si>
  <si>
    <t>TUBO PRINCIPAL PPT2400</t>
  </si>
  <si>
    <t>ABRAZADERA INFERIOR PPY2400</t>
  </si>
  <si>
    <t>ABRAZADERA SUPERIOR PPT2400</t>
  </si>
  <si>
    <t>ADAPTADOR EJE TRANSMISION PPT2400</t>
  </si>
  <si>
    <t>EC-61030056930</t>
  </si>
  <si>
    <t>PIÑON KIT CAJA SRM 3605</t>
  </si>
  <si>
    <t>61031005730 EJE PINON SRM4300</t>
  </si>
  <si>
    <t>EJE PIÑON SRM 4300</t>
  </si>
  <si>
    <t>SOPORTE (A) SRM4300</t>
  </si>
  <si>
    <t>61031421231 ESTBILIZAD CUCHILLA SRM4300</t>
  </si>
  <si>
    <t>EC-61031452130</t>
  </si>
  <si>
    <t>SOPORTE B SRM 270</t>
  </si>
  <si>
    <t>ESPACIADOR DE CAJA DE ENGRANAJES SRM4300</t>
  </si>
  <si>
    <t>TUERCA CUCHILLA SRM4300</t>
  </si>
  <si>
    <t>TUERCA DE CUCHILLA SRM3605 SRM4605</t>
  </si>
  <si>
    <t>SELLO DE ACEITE B530</t>
  </si>
  <si>
    <t>PERNO GRASERO SRM3605-4300-4605</t>
  </si>
  <si>
    <t>AMORTIGUADOR UNION SRM4605</t>
  </si>
  <si>
    <t>22015-13251 SOPORTE B B45-B450-C350</t>
  </si>
  <si>
    <t>EC-6450009</t>
  </si>
  <si>
    <t>TAZA PARA MEDIR ACEITE</t>
  </si>
  <si>
    <t>EC-6450107</t>
  </si>
  <si>
    <t>ACEITE ECHO POWER BLEND 2T</t>
  </si>
  <si>
    <t>EC-65001</t>
  </si>
  <si>
    <t>ACC. DESMALEZADORA M-230 65001</t>
  </si>
  <si>
    <t>EC-65002</t>
  </si>
  <si>
    <t>ACC. PODARRAMAS M-230 65002</t>
  </si>
  <si>
    <t>EC-65003</t>
  </si>
  <si>
    <t>ACC. CORTASETOS ARTICULADOS M-230 65003</t>
  </si>
  <si>
    <t>PIÑON LOCO CS680S</t>
  </si>
  <si>
    <t>ESTABILIZADOR CUCHILLA SRM270-3605</t>
  </si>
  <si>
    <t>EC-70102005510</t>
  </si>
  <si>
    <t>CONECTOR VARILLA DM6110</t>
  </si>
  <si>
    <t>EC-70602009970</t>
  </si>
  <si>
    <t>TAPON BOMBA SHP800</t>
  </si>
  <si>
    <t>BIELA BOMBA SHP-800</t>
  </si>
  <si>
    <t>EC-70602032010</t>
  </si>
  <si>
    <t>RESORTE VALVULA SHP-800</t>
  </si>
  <si>
    <t>EC-70602033710</t>
  </si>
  <si>
    <t>VALVULA PROSION SHP-800</t>
  </si>
  <si>
    <t>ASIENTO DE VALVULA SHP800</t>
  </si>
  <si>
    <t>EMPAQUE BOMBA SHP 800</t>
  </si>
  <si>
    <t>JUEGO DE EMPAQUES BOMBA SHP800</t>
  </si>
  <si>
    <t>TAPA DE GRASERO SHP800</t>
  </si>
  <si>
    <t>EMPAQUE DE CILINDRO PRESION SHP800</t>
  </si>
  <si>
    <t>70602047412 CILINDRO DE BOMBA SHP 800</t>
  </si>
  <si>
    <t>O RING B SHP800</t>
  </si>
  <si>
    <t>VALVULA PRESION SHP800</t>
  </si>
  <si>
    <t>70602060A22 VALVULA REGULADORA SHP800</t>
  </si>
  <si>
    <t>EC-70602066011</t>
  </si>
  <si>
    <t>BOLA DE ACERO BOMBA SHP800</t>
  </si>
  <si>
    <t>EC-70602067820</t>
  </si>
  <si>
    <t>70602067820 RETENEDOR DE RESORTE</t>
  </si>
  <si>
    <t>EC-70602068010</t>
  </si>
  <si>
    <t>RESORTE VALVULA PRESION SHP800</t>
  </si>
  <si>
    <t>TAPA DE TANQUE SHP-800</t>
  </si>
  <si>
    <t>EMPAQUE TAPA SHP-800</t>
  </si>
  <si>
    <t>MANGUERA PULV SHP800</t>
  </si>
  <si>
    <t>CABLE DE ACELERADOR SHP800</t>
  </si>
  <si>
    <t>EC-70615001951</t>
  </si>
  <si>
    <t>VISOR ACEITE SHP800</t>
  </si>
  <si>
    <t>CABEZA DE CILINDRO BOMBA SHP 800</t>
  </si>
  <si>
    <t>EC-70615086060</t>
  </si>
  <si>
    <t>RETENEDOR RESORTE SHP800</t>
  </si>
  <si>
    <t>MANGUERA COMBUST B SHP-800</t>
  </si>
  <si>
    <t>EC-70617005560</t>
  </si>
  <si>
    <t>TANQUE QUIMICA SHP800</t>
  </si>
  <si>
    <t>EC-70617027722</t>
  </si>
  <si>
    <t>VARILLA PULVERIZADORA SHP800</t>
  </si>
  <si>
    <t>BOQUILLA COMPLETA SHP800</t>
  </si>
  <si>
    <t>EC-70617055030</t>
  </si>
  <si>
    <t>HERRAMIENTA BOMBA SHP800</t>
  </si>
  <si>
    <t>EC-72LPX60CQ</t>
  </si>
  <si>
    <t>CADENA 16"</t>
  </si>
  <si>
    <t>EC-73LGX72X</t>
  </si>
  <si>
    <t xml:space="preserve"> 43101230831CADENA 50CM 20" CS600</t>
  </si>
  <si>
    <t>EC-73LGX84X</t>
  </si>
  <si>
    <t>73DP-84X CADENA60CM 24", 3/8, 058</t>
  </si>
  <si>
    <t>EMPAQUE TAPA ES726</t>
  </si>
  <si>
    <t>EC-80221</t>
  </si>
  <si>
    <t>TANQUE COMBUS C270</t>
  </si>
  <si>
    <t>ZAPATA DEL EMBRAGUE COMPLETA ES726</t>
  </si>
  <si>
    <t>EC-80253</t>
  </si>
  <si>
    <t>KIT REPARA BOMBA ES726</t>
  </si>
  <si>
    <t>EC-80256</t>
  </si>
  <si>
    <t>AGUJA KIT KWIK ES726</t>
  </si>
  <si>
    <t>EC-80677</t>
  </si>
  <si>
    <t>80677 ADAPTADOR UN10 C270,BP35</t>
  </si>
  <si>
    <t>EC-80678</t>
  </si>
  <si>
    <t>ADAPTADOR UN10,B450,B530,C350</t>
  </si>
  <si>
    <t>CABEZAL METALICO SIN EMPAQUE</t>
  </si>
  <si>
    <t>CABEZAL DE NYLON METALICO</t>
  </si>
  <si>
    <t>MANGUERA LANZA ES726</t>
  </si>
  <si>
    <t>EC-82002</t>
  </si>
  <si>
    <t>82002 COMBNACION CASCO/VISOR Y OREJERAS</t>
  </si>
  <si>
    <t>EC-82003</t>
  </si>
  <si>
    <t>82003 COMBINACION VISOR/OREJERAS</t>
  </si>
  <si>
    <t>EC-82067A</t>
  </si>
  <si>
    <t>82067A UN-10 CABEZAL NYLON (SIN EMPAQUE)</t>
  </si>
  <si>
    <t>EC-83003</t>
  </si>
  <si>
    <t>ACEITE LIMPIADOR RED ARMOR FD 2T</t>
  </si>
  <si>
    <t>EC-8890150</t>
  </si>
  <si>
    <t>INTERRUPTOR ES726</t>
  </si>
  <si>
    <t>EC-8890802</t>
  </si>
  <si>
    <t>AMORTIGUADOR ES726</t>
  </si>
  <si>
    <t>LLAVE MANDRIL EDR-210</t>
  </si>
  <si>
    <t>EC-89852017130</t>
  </si>
  <si>
    <t>MEDIDA DE COMBUSTIBLE</t>
  </si>
  <si>
    <t xml:space="preserve">PERNO 5x14 </t>
  </si>
  <si>
    <t>PERNO DE CARBURADOR CS510</t>
  </si>
  <si>
    <t>PERNO SUJETADOR CARBURADOR SRM3605</t>
  </si>
  <si>
    <t>EC-90024205025</t>
  </si>
  <si>
    <t>90024205025 TORNILLO 5X25</t>
  </si>
  <si>
    <t>ARANDELA VARIOS MODELOS</t>
  </si>
  <si>
    <t>ORING CAJA SRM4605</t>
  </si>
  <si>
    <t>EC-90072000125</t>
  </si>
  <si>
    <t>JUNTA TORICA</t>
  </si>
  <si>
    <t>90SG-039X CADENA GUIA 10";90SG-039X CADENA GUIA 10"</t>
  </si>
  <si>
    <t>TAPA GRASA C230</t>
  </si>
  <si>
    <t>EC-91046</t>
  </si>
  <si>
    <t>MALETIN HERRAMIENTA ECHO</t>
  </si>
  <si>
    <t>CADENA 12" PPT2400</t>
  </si>
  <si>
    <t>EC-99944100471</t>
  </si>
  <si>
    <t>EC-99944100473</t>
  </si>
  <si>
    <t>569002 TAPA Y FILTRO DE TANQUE QUIMICO SP40BPS</t>
  </si>
  <si>
    <t>EC-99944100475</t>
  </si>
  <si>
    <t>569004 PISTON KIT SP40BPS</t>
  </si>
  <si>
    <t>EC-99944100477</t>
  </si>
  <si>
    <t xml:space="preserve">VALVULA KIT REPARACION CIERRE SP40BPS			</t>
  </si>
  <si>
    <t>EC-99944100480</t>
  </si>
  <si>
    <t>569008 LANZA DE FUMIGACION SP40BPS</t>
  </si>
  <si>
    <t>EC-99944100482</t>
  </si>
  <si>
    <t>BOQUILLA DE LATON SP40BPS</t>
  </si>
  <si>
    <t>EC-99944100483</t>
  </si>
  <si>
    <t xml:space="preserve">BOQUILLA POIETIL SP40BPS			</t>
  </si>
  <si>
    <t>EC-99944100484</t>
  </si>
  <si>
    <t>569012 BOQUILLA TIPO ABANICO SP40BPS</t>
  </si>
  <si>
    <t>EC-99944100485</t>
  </si>
  <si>
    <t>569013 BOQUILLAS KIT</t>
  </si>
  <si>
    <t>EC-99944100486</t>
  </si>
  <si>
    <t>569014 O-RING KIT SP40BPS</t>
  </si>
  <si>
    <t>EC-99944200904</t>
  </si>
  <si>
    <t>CABEZAL SPEED FEED CURVED SHAFT</t>
  </si>
  <si>
    <t>EC-99944900040</t>
  </si>
  <si>
    <t>BROCA EDR210</t>
  </si>
  <si>
    <t>EC-99946400023</t>
  </si>
  <si>
    <t>EXTENSION 122CM-4</t>
  </si>
  <si>
    <t>CIGUEÑAL PPT2400</t>
  </si>
  <si>
    <t>A011000120 CIGUENAL SRM4300</t>
  </si>
  <si>
    <t>A011000250 CIGUEÑAL CS680-S</t>
  </si>
  <si>
    <t>CIGUENAL CS600</t>
  </si>
  <si>
    <t>CIGUEÑAL B45-B45LA</t>
  </si>
  <si>
    <t>CIGUEÑAL B530</t>
  </si>
  <si>
    <t>EC-A011000860</t>
  </si>
  <si>
    <t>20010-42002 CIGUENAL COMPLETO C350-BP35</t>
  </si>
  <si>
    <t>CARBURADOR COMPLETO BP35</t>
  </si>
  <si>
    <t>CARBURADOR CS510</t>
  </si>
  <si>
    <t>CARBURADOR CS6702</t>
  </si>
  <si>
    <t>CARBURADOR SRM4300</t>
  </si>
  <si>
    <t>EC-A021000740</t>
  </si>
  <si>
    <t>CARBURADOR HC-150</t>
  </si>
  <si>
    <t>CARBURADOR DM6110</t>
  </si>
  <si>
    <t>CARBURADOR COMPLETO CS600</t>
  </si>
  <si>
    <t>CARBURADOR CS680</t>
  </si>
  <si>
    <t>CARBURADOR 22F-22C</t>
  </si>
  <si>
    <t>CARBURADOR COMPLETO C230</t>
  </si>
  <si>
    <t>CARBURADOR C230</t>
  </si>
  <si>
    <t>EC-A021002470</t>
  </si>
  <si>
    <t>CARBURADOR COMPLETO C350</t>
  </si>
  <si>
    <t>CARBURADOR B45-B45LA</t>
  </si>
  <si>
    <t>CARBURADOR B450 C350</t>
  </si>
  <si>
    <t>CARBURADOR HT230</t>
  </si>
  <si>
    <t>EC-A021003110</t>
  </si>
  <si>
    <t>22175-81000 CARBURADOR COMP 577-577P</t>
  </si>
  <si>
    <t>CARBURADOR COMPLETO ES726</t>
  </si>
  <si>
    <t>EC-A023000160</t>
  </si>
  <si>
    <t>CUBIERTA FILTRO DE AIRE B530</t>
  </si>
  <si>
    <t>EC-A030000250</t>
  </si>
  <si>
    <t>70210-15102 SILENCIADOR COMP. B450</t>
  </si>
  <si>
    <t>62035-15012 SILENCIADOR COMPLETO B530</t>
  </si>
  <si>
    <t>EC-A030000610</t>
  </si>
  <si>
    <t>22169-15113 SILENCIADOR 757</t>
  </si>
  <si>
    <t>TAPA COMBUS 22C-22F-ES726</t>
  </si>
  <si>
    <t>22160-33801 TAPA COMBUS 757-577-488</t>
  </si>
  <si>
    <t>EC-A033000330</t>
  </si>
  <si>
    <t>TAPA DE COMBUSTIBLE B530,B450,C350,C230</t>
  </si>
  <si>
    <t>20016-85003 TANQUE DE COMBUSTIBLE C230</t>
  </si>
  <si>
    <t>VALVULA DE PRESION B450-B45L</t>
  </si>
  <si>
    <t>ARRANCADOR COMPLETO B530</t>
  </si>
  <si>
    <t>ARRANCADOR COMP. B45-B450</t>
  </si>
  <si>
    <t>ARRANCADOR COMPLETO SRM4300</t>
  </si>
  <si>
    <t>ARRANCADOR COMPLETO SRM4605</t>
  </si>
  <si>
    <t>EC-A051001861</t>
  </si>
  <si>
    <t>72933-75900 ARRANCADOR SIN ETIQUETA C230</t>
  </si>
  <si>
    <t>EC-A052000011</t>
  </si>
  <si>
    <t>TAMBOR ARRANCADOR SRM4300</t>
  </si>
  <si>
    <t>POLEA ARRACADOR SHP800</t>
  </si>
  <si>
    <t>EC-A052000160</t>
  </si>
  <si>
    <t>POLEA CON TRINQUETE ARRANCADOR HC-150</t>
  </si>
  <si>
    <t>POLEA DE ARRANCADOR B530; SRM4300</t>
  </si>
  <si>
    <t>20035-75200 POLEA COMPLETA ALUMINIO ES726</t>
  </si>
  <si>
    <t>TAMBOR EMBRAGUE C350</t>
  </si>
  <si>
    <t>TAMBOR EMBRAGUE B450-B45</t>
  </si>
  <si>
    <t>TAMBOR EMBRAGUE COMPLETO 488</t>
  </si>
  <si>
    <t>EC-A056000010</t>
  </si>
  <si>
    <t>EMBRAGUE CS3500</t>
  </si>
  <si>
    <t>EMBRAGUE CS680S</t>
  </si>
  <si>
    <t>EMBRAGUE CS1201</t>
  </si>
  <si>
    <t>EMBRAGUE COMPLETO CS600</t>
  </si>
  <si>
    <t>ZAPATA EMBRAGUE COMP. 22F</t>
  </si>
  <si>
    <t>EMBRAGUE B530-B450-C350</t>
  </si>
  <si>
    <t>EC-A056000520</t>
  </si>
  <si>
    <t>EMBRAGUE COMPLETO C230</t>
  </si>
  <si>
    <t>EC-A056000650</t>
  </si>
  <si>
    <t>EMBRAGUE COMPLETO 757</t>
  </si>
  <si>
    <t>CUBIERTA EMBRAGUE SRM4300</t>
  </si>
  <si>
    <t>62035-33010 UNION COMPLETA B530</t>
  </si>
  <si>
    <t>EC-A100000680</t>
  </si>
  <si>
    <t>PISTON B530</t>
  </si>
  <si>
    <t>ANILLO PISTON SHP-800</t>
  </si>
  <si>
    <t>ANILLO PISTON JUEGO  SRM270</t>
  </si>
  <si>
    <t>EC-A101000090</t>
  </si>
  <si>
    <t>ANILLO DE PISTON HC-150</t>
  </si>
  <si>
    <t>ANILLOS PISTON JUEGO CS680</t>
  </si>
  <si>
    <t>ANILLOS PISTON CS420</t>
  </si>
  <si>
    <t>ANILLO DEL PISTON CS 600</t>
  </si>
  <si>
    <t>ANILLOS DEL PISTON EB500</t>
  </si>
  <si>
    <t>20024-41210 ANILLOS PISTON KIT C270</t>
  </si>
  <si>
    <t>JUEGO ANILLO PISTON B45-B45LA</t>
  </si>
  <si>
    <t>JUEGO ANILLOS PISTON B450</t>
  </si>
  <si>
    <t>ANILLO PISTON (SET) B530</t>
  </si>
  <si>
    <t>JUEGO ANILLO PISTON C350-BP35</t>
  </si>
  <si>
    <t>JUEGO ANILLO PISTON C230-HT230</t>
  </si>
  <si>
    <t>A130000111 CILINDRO DM6110</t>
  </si>
  <si>
    <t>CILINDRO SRM4300</t>
  </si>
  <si>
    <t>A130000601 CILINDRO SRM3605</t>
  </si>
  <si>
    <t>A130000870 CILINDRO SRM4300</t>
  </si>
  <si>
    <t>CILINDRO CS600</t>
  </si>
  <si>
    <t>EC-A130000980</t>
  </si>
  <si>
    <t>CILINDRO CS-680</t>
  </si>
  <si>
    <t>EC-A130001070</t>
  </si>
  <si>
    <t>CILINDRO EB500</t>
  </si>
  <si>
    <t>CILINDRO 22F-22C-F220</t>
  </si>
  <si>
    <t>CILINDRO 450</t>
  </si>
  <si>
    <t>CILINDRO C350-C35LA</t>
  </si>
  <si>
    <t>EC-A130001660</t>
  </si>
  <si>
    <t>CILINDRO 577</t>
  </si>
  <si>
    <t>CILINDRO B530</t>
  </si>
  <si>
    <t>CILINDRO 488</t>
  </si>
  <si>
    <t>CUBIERTA CILINDRO B530</t>
  </si>
  <si>
    <t>CUBIERTA DE CILINDRO C230-ES726</t>
  </si>
  <si>
    <t>EC-A16001650</t>
  </si>
  <si>
    <t>CUBIERTA DEL VENTILADOR</t>
  </si>
  <si>
    <t>BASE B45-B45LA-B450-C350</t>
  </si>
  <si>
    <t>PROTECTOR DEL TANQUE B45-B450</t>
  </si>
  <si>
    <t>PROTECTOR DEL TANQUE B530</t>
  </si>
  <si>
    <t>AISLADOR SRM4300</t>
  </si>
  <si>
    <t>AISLADOR CONDENSADORES726</t>
  </si>
  <si>
    <t>EC-A200000560</t>
  </si>
  <si>
    <t>AISLADOR C270</t>
  </si>
  <si>
    <t>AISLADOR B450 C350</t>
  </si>
  <si>
    <t>PLATO ASIENTO MANGA 577</t>
  </si>
  <si>
    <t>AISLADOR CS680</t>
  </si>
  <si>
    <t>AISLADOR CS420</t>
  </si>
  <si>
    <t>MANGA CS600</t>
  </si>
  <si>
    <t>MANGA 757-577</t>
  </si>
  <si>
    <t>BRIDA MANGA CS600</t>
  </si>
  <si>
    <t>A225000400 PORTA FILTRO ES726</t>
  </si>
  <si>
    <t>FILTRO CUERPO AIRE B450-C350</t>
  </si>
  <si>
    <t>EC-A225000500</t>
  </si>
  <si>
    <t>20010-81711 PORTA FILTRO B45-BP35</t>
  </si>
  <si>
    <t>EC-A226000020</t>
  </si>
  <si>
    <t>FILTRO AIRE SRM4300</t>
  </si>
  <si>
    <t>A226000070 ELEMENT AIR FILTER CS680</t>
  </si>
  <si>
    <t>FILTRO AIRE  INTERMEDIO SRM4300</t>
  </si>
  <si>
    <t>PRE FILTRO B530</t>
  </si>
  <si>
    <t>FILTRO AIRE C350-B450</t>
  </si>
  <si>
    <t>FILTRO AIRE B530</t>
  </si>
  <si>
    <t>FILTRO DE AIRE SRM270</t>
  </si>
  <si>
    <t>EC-A230000000</t>
  </si>
  <si>
    <t>REJILLA FILTRO AIRE SRM4300</t>
  </si>
  <si>
    <t>CUBIERTA FILTRO AIRE ES726</t>
  </si>
  <si>
    <t>EC-A232000820</t>
  </si>
  <si>
    <t>CUBIERTA, FILTRO DE AIRE</t>
  </si>
  <si>
    <t>A235000220 PERILLA ARRANCADOR C230</t>
  </si>
  <si>
    <t>PLACA  FILTRO POSTERIOR B530</t>
  </si>
  <si>
    <t>SILENCIADOR CS680</t>
  </si>
  <si>
    <t>CUBIERTA SILENCIADOR SRM4300</t>
  </si>
  <si>
    <t>CUBIERTA SILENCIADOR B450</t>
  </si>
  <si>
    <t>TANQUE COMBUSTIBLE SRM4300</t>
  </si>
  <si>
    <t>VALVULA DE VENTILADOR B530</t>
  </si>
  <si>
    <t>FILTRO COMBUST 22F-C230-HT230-ES726</t>
  </si>
  <si>
    <t>BANDA C350-BP35-B450</t>
  </si>
  <si>
    <t>BASE TANQUE SRM4300</t>
  </si>
  <si>
    <t>ABRAZADERA (M) B450 C350</t>
  </si>
  <si>
    <t>VOLANTE ES726</t>
  </si>
  <si>
    <t>VOLANTE B450 C350</t>
  </si>
  <si>
    <t>62035-71110 VOLANTE B530</t>
  </si>
  <si>
    <t>20016-71200 VOLANTE  C230-P230</t>
  </si>
  <si>
    <t>BOBINA 577-757</t>
  </si>
  <si>
    <t>BOBINA DE ENCENDIDO CS510</t>
  </si>
  <si>
    <t>BOBINA SRM4300</t>
  </si>
  <si>
    <t>EC-A411000130</t>
  </si>
  <si>
    <t>BOBINA DE ENCENDIDO HC 150</t>
  </si>
  <si>
    <t>BOBINA CS420</t>
  </si>
  <si>
    <t>BOBINA DE ENCENDIDO CS600</t>
  </si>
  <si>
    <t>EC-A411000550</t>
  </si>
  <si>
    <t>BOBINA EB500</t>
  </si>
  <si>
    <t>BOBINA B450 C350 C35LA B45LA</t>
  </si>
  <si>
    <t>BOBINA COMPLETA B530</t>
  </si>
  <si>
    <t>BOBINA B45-BP35</t>
  </si>
  <si>
    <t>BOBINA C270</t>
  </si>
  <si>
    <t>UNIDAD ELECTRONICA BP35-B45</t>
  </si>
  <si>
    <t>RESORTE BUJIA SRM4300</t>
  </si>
  <si>
    <t>RESORTE BUJIA C230-C350-EB500</t>
  </si>
  <si>
    <t>TAPA DE BUJIA SRM4300</t>
  </si>
  <si>
    <t>CAPUCHON DE BUJIA C350</t>
  </si>
  <si>
    <t>CUBIERTA BUJIA C230-C350-B45</t>
  </si>
  <si>
    <t>CUBIERTA BUJIA B530</t>
  </si>
  <si>
    <t>RESORTE ARRANCADOR B450-C350-B45</t>
  </si>
  <si>
    <t>EC-A504000110</t>
  </si>
  <si>
    <t>20140-75130 RESORTE ARRANCADOR 22C-C230-P230</t>
  </si>
  <si>
    <t>RESORTE ARRANQUE B530</t>
  </si>
  <si>
    <t>RESORTE ARRANCADOR B450-B45</t>
  </si>
  <si>
    <t>EC-A504000190</t>
  </si>
  <si>
    <t>RESORTE DE ARRANCADOR Y CAJA 577,757</t>
  </si>
  <si>
    <t>TAMBOR ARRANCE CS420</t>
  </si>
  <si>
    <t>TAMBOR CUERDA CS600</t>
  </si>
  <si>
    <t>TAMBOR C230</t>
  </si>
  <si>
    <t>TAMBOR ARRANQUE B45LA-C350-EB500</t>
  </si>
  <si>
    <t>20024-75120 TAMBOR CUERDA C270</t>
  </si>
  <si>
    <t>TAMBOR ARANQUE B530</t>
  </si>
  <si>
    <t>TAMBOR ARANQ B450-B45</t>
  </si>
  <si>
    <t>CUERDA 22F-22C-C230</t>
  </si>
  <si>
    <t>GUIA CUERDA B530</t>
  </si>
  <si>
    <t>MANGO DEL ARRANCADOR HT230</t>
  </si>
  <si>
    <t>TRINQUETE B45LA-B530-C350-SRM270</t>
  </si>
  <si>
    <t>TRINQUETE B450,BP35,B45</t>
  </si>
  <si>
    <t>EC-A520000080</t>
  </si>
  <si>
    <t>70064-75310 POLEA DE ARRANCADOR C230</t>
  </si>
  <si>
    <t>POLEA DE ALUMINIO DE ARRANQUE B450,B45,BP35</t>
  </si>
  <si>
    <t>ZAPATA EMBRAGUE UNIDAD SRM3605</t>
  </si>
  <si>
    <t>ZAPATA EMBRAGUE C350-B450-B5</t>
  </si>
  <si>
    <t>TAMBOR EMBRAGUE</t>
  </si>
  <si>
    <t>EC-A556000480</t>
  </si>
  <si>
    <t>TAMBOR EMBRAGUE CS420</t>
  </si>
  <si>
    <t>20016-31212TAMBOR DE EMBRAGUE 22C</t>
  </si>
  <si>
    <t>TAMBOR EMBRAGUE B530</t>
  </si>
  <si>
    <t>TAMBOR DE EMBRAGUE BP35</t>
  </si>
  <si>
    <t>RESORTE EMBRAGUE B45</t>
  </si>
  <si>
    <t>RESORTE EMBRAGUE B450-B530-C</t>
  </si>
  <si>
    <t>RESORTE EMBRAGUE C230,HT230</t>
  </si>
  <si>
    <t>PLACA UNION B530</t>
  </si>
  <si>
    <t>DESMALEZADORA B450 AUS</t>
  </si>
  <si>
    <t>DESMALEZADORA B450</t>
  </si>
  <si>
    <t>DESMALEZADORA B-530</t>
  </si>
  <si>
    <t>DESMALEZADORA BP35</t>
  </si>
  <si>
    <t>EC-C020000010</t>
  </si>
  <si>
    <t>63880-62391 TAPA DE ACEITE COMP P230</t>
  </si>
  <si>
    <t>EC-C022000120</t>
  </si>
  <si>
    <t>C022000120 BOMBA DE ACEITE P230</t>
  </si>
  <si>
    <t>PALANCA ACELERADOR COMP B450,B530</t>
  </si>
  <si>
    <t>TUBO B450</t>
  </si>
  <si>
    <t>22050-12100 TUBO COMP. BP35</t>
  </si>
  <si>
    <t>CARCASA SUPERIOR CAJA ENGRANAJE PPT2400</t>
  </si>
  <si>
    <t>EC-C051000480</t>
  </si>
  <si>
    <t>CAJA DE ENGRANAJE C270</t>
  </si>
  <si>
    <t>EC-C05100600</t>
  </si>
  <si>
    <t>CAJA DE ENGRANAJE</t>
  </si>
  <si>
    <t>EC-C057000070</t>
  </si>
  <si>
    <t>EJE FLEXIBLE, KIT COMPLETO BP35</t>
  </si>
  <si>
    <t>ARNES C230 22C</t>
  </si>
  <si>
    <t>MONTAJE DE ARNES</t>
  </si>
  <si>
    <t>DESMALEZADORA C-230</t>
  </si>
  <si>
    <t>EC-C270EMC</t>
  </si>
  <si>
    <t>DESMALEZADORA C-270</t>
  </si>
  <si>
    <t>PLACA GUIA EXTRENO CS680</t>
  </si>
  <si>
    <t>EC-C305000350</t>
  </si>
  <si>
    <t>22155-97610 PLACA GUIA A 577</t>
  </si>
  <si>
    <t>EC-C305000360</t>
  </si>
  <si>
    <t>22155-97620 PLACA GUIA B 577</t>
  </si>
  <si>
    <t>EC-C309000030</t>
  </si>
  <si>
    <t>PIN TENSOR CADENA CS680S</t>
  </si>
  <si>
    <t>EC-C309000110</t>
  </si>
  <si>
    <t>22150-52440 PIN DEL TENSOR DE CADENA 577-488-757</t>
  </si>
  <si>
    <t>GUIA DE EJE PPT2400</t>
  </si>
  <si>
    <t>EC-C320000350</t>
  </si>
  <si>
    <t>MANGO DE FRENO 577</t>
  </si>
  <si>
    <t>DESMALEZADORA C-350</t>
  </si>
  <si>
    <t>MANUBRIO DERECHO SRM270</t>
  </si>
  <si>
    <t>GATILLO DEL ACELERADOR</t>
  </si>
  <si>
    <t>VARRILLA ACELERADOR CS680</t>
  </si>
  <si>
    <t>CONECTOR B450-B530-C350</t>
  </si>
  <si>
    <t>BUSHING C350</t>
  </si>
  <si>
    <t>EC-C504000550</t>
  </si>
  <si>
    <t>EJE CENTRAL A P230</t>
  </si>
  <si>
    <t>EJE CENTRAL C270</t>
  </si>
  <si>
    <t>EJE CENTRAL C350</t>
  </si>
  <si>
    <t>EJE CENTRAL C35LA</t>
  </si>
  <si>
    <t>EJE CENTRAL B530 B450</t>
  </si>
  <si>
    <t>EC-C504000770</t>
  </si>
  <si>
    <t>22050-12411 EJE CENTRAL BP 35</t>
  </si>
  <si>
    <t>EJE FLEXIBLE BP35</t>
  </si>
  <si>
    <t>ACOPLE TUBO PRINCIPAL PPT2400</t>
  </si>
  <si>
    <t>CAJA DE ENGRANAJES B450-B45LA</t>
  </si>
  <si>
    <t>EJE DE ENGRANAJE B45-B450-C350</t>
  </si>
  <si>
    <t xml:space="preserve"> SOPORTE (A) CS3605</t>
  </si>
  <si>
    <t>SOPORTE (B) C230</t>
  </si>
  <si>
    <t>PROTECTOR DE PERNO C230</t>
  </si>
  <si>
    <t>PROTECTOR DE PERNO (B) C270</t>
  </si>
  <si>
    <t>EC-C535000640</t>
  </si>
  <si>
    <t>SOPORTE (A) C270</t>
  </si>
  <si>
    <t>EC-C535000650</t>
  </si>
  <si>
    <t>SOPORTE (B) C270</t>
  </si>
  <si>
    <t>PROTECTOR PERNO C350,B450,B530</t>
  </si>
  <si>
    <t>SOPORTE (B) BP35</t>
  </si>
  <si>
    <t>EC-C535000860</t>
  </si>
  <si>
    <t>PROTECTOR PERNO BP35</t>
  </si>
  <si>
    <t>PROTECTOR CAJA ENGRANAJE SRM4300</t>
  </si>
  <si>
    <t>EC-CS 680S</t>
  </si>
  <si>
    <t>MOTOSIERRA CS-680S</t>
  </si>
  <si>
    <t xml:space="preserve">MOTOSIERRA CS-8002EUSTD       </t>
  </si>
  <si>
    <t>MOTOSIERRA CS-1201-90 CON BARRA Y CADENA</t>
  </si>
  <si>
    <t>EC-CS-3000</t>
  </si>
  <si>
    <t>MOTOSIERRA CS-3000-30</t>
  </si>
  <si>
    <t>MOTOSIERRA CS-3000-30 CON BARRA Y CADEN</t>
  </si>
  <si>
    <t>MOTOSIERRA CS-3500-35 CON BARRA Y CADENA</t>
  </si>
  <si>
    <t>MOTOSIERRA CS-3500-40 CON BARRA Y CADENA</t>
  </si>
  <si>
    <t>MOTOSIERRA CS-420EU CON BARRA Y CADENA</t>
  </si>
  <si>
    <t>MOTOSIERRA CS-600-50 CON BARRA Y CADENA</t>
  </si>
  <si>
    <t>EC-CS-680S-50EUSTD</t>
  </si>
  <si>
    <t>MOTOSIERRA CS-680S-50 CON BARRA Y CADENA</t>
  </si>
  <si>
    <t>EC-CS-8002-60EUSTD</t>
  </si>
  <si>
    <t>MOTOSIERRA CS-8002-60 CON BARRA Y CADENA</t>
  </si>
  <si>
    <t>EC-CS-8002-70EUSTD</t>
  </si>
  <si>
    <t>MOTOSIERRA CS-8002-70 (28") CON BARRA,CA</t>
  </si>
  <si>
    <t>NEBULIZADORA, PULVERIZADORA 13LITROS</t>
  </si>
  <si>
    <t>EC-DM6110EUSTD</t>
  </si>
  <si>
    <t>NEBULIZADORA, PULVERIZADORA 23LITROS</t>
  </si>
  <si>
    <t>EC-DMAD4610</t>
  </si>
  <si>
    <t>ACC. PARA PULVERIZADOR (SOLIDOS) DMAD461</t>
  </si>
  <si>
    <t>EC-E025000260</t>
  </si>
  <si>
    <t>BOQUILLA AJUSTABLE</t>
  </si>
  <si>
    <t>SOPLADORA EB500</t>
  </si>
  <si>
    <t>TALADRO DE 21.2CC CON FUNCION EDR-210</t>
  </si>
  <si>
    <t>EC-ES-255</t>
  </si>
  <si>
    <t>SOPLADORA ECHO ES-255</t>
  </si>
  <si>
    <t>BOMBA DE FUMIGAR A MOTOR ES726</t>
  </si>
  <si>
    <t>BOMBA DE AGUA GP 450</t>
  </si>
  <si>
    <t>DESMALEZADORA GT-22GES</t>
  </si>
  <si>
    <t>EC-HC-150STD</t>
  </si>
  <si>
    <t>CORTACETOS HC-150 20"</t>
  </si>
  <si>
    <t>MAQUINA MULTI USOS M230</t>
  </si>
  <si>
    <t>P003000240 EMPAQUE DIAFRAG CS510</t>
  </si>
  <si>
    <t>20011-81140 RESORTE CABLE ES726-C35LA</t>
  </si>
  <si>
    <t>TAPA CARBURADOR C350-B450</t>
  </si>
  <si>
    <t>TORNILLO (L) B450-B530</t>
  </si>
  <si>
    <t>RESORTE L B450-B530</t>
  </si>
  <si>
    <t>AGUJA BALANCIN B450-C350</t>
  </si>
  <si>
    <t>PALANCA BALANCIN B450-C350</t>
  </si>
  <si>
    <t>EC-P004001360</t>
  </si>
  <si>
    <t>20011-81550 VALVULA COMBUST B45-B45LA</t>
  </si>
  <si>
    <t>VALVULA REGULADORA CARBURADOR B530</t>
  </si>
  <si>
    <t>EC-P004001940</t>
  </si>
  <si>
    <t>PALANCA BALANCIN B45LA B45</t>
  </si>
  <si>
    <t>AGUJA ES726</t>
  </si>
  <si>
    <t>EC-P005000790</t>
  </si>
  <si>
    <t>RESORTE MARIPOSA CARBURADOR SRM4300</t>
  </si>
  <si>
    <t>BOQUILLA VALVULA RET SRM4300</t>
  </si>
  <si>
    <t>AGUJA (H)  SRM4300</t>
  </si>
  <si>
    <t>AGUJA (L) SRM4300</t>
  </si>
  <si>
    <t>PISTON KIT SRM270</t>
  </si>
  <si>
    <t>CARTER SET CS3500</t>
  </si>
  <si>
    <t>PISTON  KIT DM6110</t>
  </si>
  <si>
    <t>CARTER SET SRM4300</t>
  </si>
  <si>
    <t>P021002791 PISTON KIT CS6702</t>
  </si>
  <si>
    <t>EC-P021002800</t>
  </si>
  <si>
    <t>AISLADOR DE ADMICION CS680</t>
  </si>
  <si>
    <t>TAPA DEL TUBO PPT2400</t>
  </si>
  <si>
    <t>P021004090 CILINDRO Y CARTER CS510</t>
  </si>
  <si>
    <t>CILINDRO CS8002</t>
  </si>
  <si>
    <t>PISTON KIT CS8002</t>
  </si>
  <si>
    <t>VOLANTE SRM4300</t>
  </si>
  <si>
    <t>PISTON KIT CS510</t>
  </si>
  <si>
    <t>ZAPATAS EMBRAGUE KIT SRM4300</t>
  </si>
  <si>
    <t>BASE FILTRO AIRE SRM4300 anterior</t>
  </si>
  <si>
    <t>EC-P021007772</t>
  </si>
  <si>
    <t>PISTON KIT HC-150</t>
  </si>
  <si>
    <t>AISLADOR DM6110</t>
  </si>
  <si>
    <t>CAJA FILTRO DE AIRE SRM4300</t>
  </si>
  <si>
    <t>P021010574 CILINDRO CS420</t>
  </si>
  <si>
    <t>PISTON KIT CS420</t>
  </si>
  <si>
    <t>JUEGO DE PIÑONES PPT-2400</t>
  </si>
  <si>
    <t>CAJA ENGRANAJE SRM4605</t>
  </si>
  <si>
    <t>CAJA ENGRANAJE SRM270</t>
  </si>
  <si>
    <t>PROTECTOR DE DESPOJOS SRM3605-4605</t>
  </si>
  <si>
    <t>EC-P021012780</t>
  </si>
  <si>
    <t>ABRAZAD CODO SRM4605 3605</t>
  </si>
  <si>
    <t>EC-P021012790</t>
  </si>
  <si>
    <t>ABRAZADERA MANUBRIO SRM270</t>
  </si>
  <si>
    <t>ABRAZADERA DE MANGO KIT SRM4300</t>
  </si>
  <si>
    <t>ABRAZADERA MANUBRIO SRM3605</t>
  </si>
  <si>
    <t>P021012920 CIGUENAL CS420-45</t>
  </si>
  <si>
    <t>P021013620 CIGUENAL CS420</t>
  </si>
  <si>
    <t>PISTON KIT SRM4300</t>
  </si>
  <si>
    <t>P021014320 CUCHILLA 3 PUNTAS</t>
  </si>
  <si>
    <t>PISTON KIT SHP-800</t>
  </si>
  <si>
    <t>CARTER COMPLETO CS600</t>
  </si>
  <si>
    <t>ARRANCADOR COMPLETO CS600</t>
  </si>
  <si>
    <t>KIT DE PISTON CS600</t>
  </si>
  <si>
    <t>PISTON KIT CS680S</t>
  </si>
  <si>
    <t>PISTON KIT SRM4605</t>
  </si>
  <si>
    <t>PISTON KIT SRM3605</t>
  </si>
  <si>
    <t>MANGO TRASERO CS680</t>
  </si>
  <si>
    <t>FILTRO DE AIRE CS600</t>
  </si>
  <si>
    <t>EMBRAGUE COMP. B45</t>
  </si>
  <si>
    <t>ABRAZADERA DE TUBO CON MARIPOSA (B) B450</t>
  </si>
  <si>
    <t>CABLE ACELERADOR C230</t>
  </si>
  <si>
    <t>KIT MOTOR RECONSTRUC B450</t>
  </si>
  <si>
    <t>PISTON KIT B530</t>
  </si>
  <si>
    <t>KIT MOTOR RECONSTRUC B530</t>
  </si>
  <si>
    <t>TUBO EXTERNO B530</t>
  </si>
  <si>
    <t>EC-P021028790</t>
  </si>
  <si>
    <t>P021028790 MONTAJE DE CAJA ENGRANAJE</t>
  </si>
  <si>
    <t>CAJA ENGRANAJES ACC CORT</t>
  </si>
  <si>
    <t>PROTECT DESPOJO COMP B450-C350</t>
  </si>
  <si>
    <t>KIT MOTOR RECONSRTUCCION 757</t>
  </si>
  <si>
    <t>CUBIERTA CILINDRO C230</t>
  </si>
  <si>
    <t>70244-98040 PISTON COMPLETO C270</t>
  </si>
  <si>
    <t>PISTON KIT C350,C35LA,BP35</t>
  </si>
  <si>
    <t>PISTON KIT B45 B45LA</t>
  </si>
  <si>
    <t>KIT MOTOR RECONSTRUCCION B45</t>
  </si>
  <si>
    <t>PISTON JUEGO COMPLETO 488</t>
  </si>
  <si>
    <t>TUBO EXTERIOR C270</t>
  </si>
  <si>
    <t>EC-P021032700</t>
  </si>
  <si>
    <t>72441-16003 PROTECTOR DESPOJO C350</t>
  </si>
  <si>
    <t>PISTON KIT EB500</t>
  </si>
  <si>
    <t>EC-P021035440</t>
  </si>
  <si>
    <t>MANUBRIO TUBO B450 B530 C350</t>
  </si>
  <si>
    <t>EC-P021035720</t>
  </si>
  <si>
    <t>70131-75100 ARRANCADOR COMP B45LA-C350</t>
  </si>
  <si>
    <t>KIT MOTOR RECONSTRUCCION 488</t>
  </si>
  <si>
    <t>TAMBOR ARRANCADOR SRM4300 B530</t>
  </si>
  <si>
    <t>EC-P022002090</t>
  </si>
  <si>
    <t>RESORTE TRINQUETE SRM4300</t>
  </si>
  <si>
    <t>EC-P022006870</t>
  </si>
  <si>
    <t>EC-P022006900</t>
  </si>
  <si>
    <t>SEGURO TAMBOR EMBRRAGUE SRM4300</t>
  </si>
  <si>
    <t>TAMBOR EMBRAGUE SRM4300</t>
  </si>
  <si>
    <t>EC-P022006940</t>
  </si>
  <si>
    <t>AMORTIGUADOR CAMPANA SRM4300</t>
  </si>
  <si>
    <t>TUBO COMPLETO SRM4300</t>
  </si>
  <si>
    <t>P022006980 EJE CENTRAL SRM4300</t>
  </si>
  <si>
    <t>EC-P022006990</t>
  </si>
  <si>
    <t>COLGADOR SRM4300</t>
  </si>
  <si>
    <t>P022007020 ABRAZADERA MANGO GIRAT. SRM4300</t>
  </si>
  <si>
    <t>CAJA DE ENGRANAJES SRM4300</t>
  </si>
  <si>
    <t>ABRAZADERA (B) SRM4300</t>
  </si>
  <si>
    <t>MANUBRIO IZQUIERDO SRM4300</t>
  </si>
  <si>
    <t>MANUBRIO DERECHO SRM4300</t>
  </si>
  <si>
    <t>PROTECTOR DESPOJOS SRM4300</t>
  </si>
  <si>
    <t>PALANCA ACELERADOR SRM4300</t>
  </si>
  <si>
    <t>EC-P022007260</t>
  </si>
  <si>
    <t>GATILLO ACELERADOR SRM4300</t>
  </si>
  <si>
    <t>EC-P022007270</t>
  </si>
  <si>
    <t>TRABA ACELERADOR SRM4300</t>
  </si>
  <si>
    <t>RESORTE GATILLO SRM4300</t>
  </si>
  <si>
    <t>EC-P022007320</t>
  </si>
  <si>
    <t>RESORTE MANGO TRABA 4300</t>
  </si>
  <si>
    <t>CABLE ACELERADOR SRM4300</t>
  </si>
  <si>
    <t>CABLE CONDUCTOR SRM 4300</t>
  </si>
  <si>
    <t>PIÑON KIT SRM4300</t>
  </si>
  <si>
    <t>RESORTE DE ARRANCADRO CS420</t>
  </si>
  <si>
    <t>CABLE COMPLETO B450</t>
  </si>
  <si>
    <t>EC-P050008390</t>
  </si>
  <si>
    <t>BOQUILLA COMPLETA DM6110</t>
  </si>
  <si>
    <t>PODADORA DE EXTENSION 2400STD</t>
  </si>
  <si>
    <t>EC-SHP-800-2</t>
  </si>
  <si>
    <t>BOMBA DE FUMIGACION SHP-800-2</t>
  </si>
  <si>
    <t>BOMBA DE FUMIGACION SHP-800</t>
  </si>
  <si>
    <t>BOMBA MANUAL 7,5 LTS</t>
  </si>
  <si>
    <t>BOMBA MANUAL 11,5 LTS</t>
  </si>
  <si>
    <t>BOMBA MANUAL 15LT</t>
  </si>
  <si>
    <t>BOMBA MANUAL 17LT</t>
  </si>
  <si>
    <t>SRAH-205 CABEZAL DE NYLON ECHO</t>
  </si>
  <si>
    <t>DESMALEZADORA SRM-22GES</t>
  </si>
  <si>
    <t>DESMALEZADORA SRM 270</t>
  </si>
  <si>
    <t>DESMALEZADORA SRM 3605</t>
  </si>
  <si>
    <t>DESMALEZADORA SRM 4300F</t>
  </si>
  <si>
    <t>DESMALEZADORA SRM 4300R</t>
  </si>
  <si>
    <t>DESMALEZADORA SRM 4605</t>
  </si>
  <si>
    <t>DESMALEZADORA T230</t>
  </si>
  <si>
    <t>CABLE COMPLETO C350</t>
  </si>
  <si>
    <t>CABLE ACELERADOR BP35</t>
  </si>
  <si>
    <t>EMPAQUE CILINDRO SRM4300</t>
  </si>
  <si>
    <t>EMPAQUE CILINDRO CS600</t>
  </si>
  <si>
    <t>EMPAQUE CILINDRO C270</t>
  </si>
  <si>
    <t>EMPAQUE CILINDRO B530</t>
  </si>
  <si>
    <t>EMPAQUE CILINDRO B450-C350</t>
  </si>
  <si>
    <t>EMPAQUE CILINDRO 22F-C230-ES726</t>
  </si>
  <si>
    <t>EC-V100000570</t>
  </si>
  <si>
    <t>22169-12120 EMPAQUE CILINDRO 757</t>
  </si>
  <si>
    <t>EMPAQUE CARTER ACEITE CS600</t>
  </si>
  <si>
    <t>EMPAQUE AISLADOR A SRM 4300</t>
  </si>
  <si>
    <t>EMPAQUETADURA DE ADMISION PPT-2400</t>
  </si>
  <si>
    <t>EMPAQUE AISLADOR B450-C350</t>
  </si>
  <si>
    <t>EMPQUE CARB. B450-B45-C350</t>
  </si>
  <si>
    <t>EC-V103001020</t>
  </si>
  <si>
    <t>EMPAQUE AISLADOR (A) B530</t>
  </si>
  <si>
    <t>EMPAQUE B CARBURADOR B530</t>
  </si>
  <si>
    <t>EMPAQUE A CARBURADOR B530.</t>
  </si>
  <si>
    <t>EMPAQUE ESCAPE SRM4300</t>
  </si>
  <si>
    <t>EMPAQUE ESCAPE CS600</t>
  </si>
  <si>
    <t>EMPAQUE ESCAPE CS 680</t>
  </si>
  <si>
    <t>EMPAQUE SILENCIAD B45, B450, C350, BP35</t>
  </si>
  <si>
    <t>EC-V104001360</t>
  </si>
  <si>
    <t>EMPAQUE DE SILENCIADOR B530</t>
  </si>
  <si>
    <t>EMPAQUE SILENCIADOR C230-ES726</t>
  </si>
  <si>
    <t>EC-V104001620</t>
  </si>
  <si>
    <t>EMPAQUE DE SILENCIADOR 757</t>
  </si>
  <si>
    <t>EC-V13800020</t>
  </si>
  <si>
    <t>OJAL DEL TANQUE DE COMBUSTIBL B450</t>
  </si>
  <si>
    <t>EC-V203000110</t>
  </si>
  <si>
    <t>PERNO 5 TENSOR CS680S</t>
  </si>
  <si>
    <t>EC-V204000640</t>
  </si>
  <si>
    <t>22150-15412 ESPARRAGOS DE CARBURADOR 577</t>
  </si>
  <si>
    <t>PERNO PRISIONERO CARTER CS600</t>
  </si>
  <si>
    <t>PERNO CUCHILLA  BP 35</t>
  </si>
  <si>
    <t>PERNO CUCHILLA B450 C350</t>
  </si>
  <si>
    <t>PERNO CUCHILLA 10MM B530</t>
  </si>
  <si>
    <t>EC-V206000250</t>
  </si>
  <si>
    <t>PERNO TAPA GRASA B530,B450,C350</t>
  </si>
  <si>
    <t>PERNO CUCHILLA C230</t>
  </si>
  <si>
    <t>EC-V224000030</t>
  </si>
  <si>
    <t>ESPARRAGO GUIA BARRA  CS3000</t>
  </si>
  <si>
    <t>22169-21520 ESPARRAGO BARRA 757</t>
  </si>
  <si>
    <t>EC-V255000030</t>
  </si>
  <si>
    <t>72316-53310 TORNILO TENSOR 757</t>
  </si>
  <si>
    <t>EC-V265000230</t>
  </si>
  <si>
    <t>22150-52411 TUERCA 577</t>
  </si>
  <si>
    <t>TUERCA MOTOSIERRA757</t>
  </si>
  <si>
    <t>PERILLA DE FILTRO B530-HT230</t>
  </si>
  <si>
    <t>20018-31251 PERILLA C230-ES726-P230</t>
  </si>
  <si>
    <t>ARANDELA EMBRAGUE SHP 800</t>
  </si>
  <si>
    <t>22000-13410 ANILLO DE GRASERO C230</t>
  </si>
  <si>
    <t>EMPAQUE SEGURO 450-B530-C350</t>
  </si>
  <si>
    <t>AISLADOR DE BOBINA B450-C350</t>
  </si>
  <si>
    <t>AISLADOR BOBINA ES726</t>
  </si>
  <si>
    <t>EC-V356000490</t>
  </si>
  <si>
    <t>COLLAR CAJA DE ENGRANAJE C230,T230XR</t>
  </si>
  <si>
    <t>COLLAR B45-B450-B530-C350</t>
  </si>
  <si>
    <t>COLLAR MANGA CS-600</t>
  </si>
  <si>
    <t>AMORTIGUADOR 577-757</t>
  </si>
  <si>
    <t>AMORTIGUADOR CS 680</t>
  </si>
  <si>
    <t>AMORTIGUADOR,TANQUE B530</t>
  </si>
  <si>
    <t>CABLE ACELERADOR DM6110</t>
  </si>
  <si>
    <t>CABLE B B450-B530-C350</t>
  </si>
  <si>
    <t>CABLE ACELERADOR CORTO B530</t>
  </si>
  <si>
    <t>RESORTE DEL ACELERADOR CS680-CS600</t>
  </si>
  <si>
    <t>RESORTE EMBRAGUE SHP800</t>
  </si>
  <si>
    <t>RESORTE TRINQUETE B530-B45LA</t>
  </si>
  <si>
    <t>RESORTE DE FRICCION B450-B45</t>
  </si>
  <si>
    <t>RESORTE TRIQUETE B450</t>
  </si>
  <si>
    <t>70200-85320 TUBO SUCCION C350-B450</t>
  </si>
  <si>
    <t>MANGA C350-B450-B530</t>
  </si>
  <si>
    <t>SUJETADOR CUCHILLA C230-22C</t>
  </si>
  <si>
    <t>RETEN 22F-C230-ES726</t>
  </si>
  <si>
    <t>RETEN B450-B530-C350-EB500</t>
  </si>
  <si>
    <t>22155-21630 RETEN 757-577</t>
  </si>
  <si>
    <t>EC-V510000030</t>
  </si>
  <si>
    <t>22169-21630 RETEN 757-577</t>
  </si>
  <si>
    <t>RETEN C350-B450-B530-B45</t>
  </si>
  <si>
    <t>ANILLO DE RETENCION B45-B530-B45LA</t>
  </si>
  <si>
    <t>20024-75240 SUJETADOR CUCHILLA B530-C350</t>
  </si>
  <si>
    <t>EC-V592000290</t>
  </si>
  <si>
    <t>COJINETE B450</t>
  </si>
  <si>
    <t>SUJET CUCHILLA B450-B530-C350</t>
  </si>
  <si>
    <t>EC-V641000150</t>
  </si>
  <si>
    <t>SEGURO DE CUCHILLA BP35,C270</t>
  </si>
  <si>
    <t>EC-V651000001</t>
  </si>
  <si>
    <t>ENGRANAJE PIÑON TENSOR CS680S</t>
  </si>
  <si>
    <t>EC-V651000011</t>
  </si>
  <si>
    <t>ENGRANAJE ANGULAR TENSOR CS680S</t>
  </si>
  <si>
    <t>PIÑON CONICO CON VASTAGO C350</t>
  </si>
  <si>
    <t>PIÑON HUECO B45-B450-B530-C350</t>
  </si>
  <si>
    <t>JUEGO DE PIÑON B45-B450-B530</t>
  </si>
  <si>
    <t>22035-13220 PINON HUECO C230-22C</t>
  </si>
  <si>
    <t>PINON BASTAGO C230-22C</t>
  </si>
  <si>
    <t>ENGRANAJE 488</t>
  </si>
  <si>
    <t>EC-V652000180</t>
  </si>
  <si>
    <t>ENGRANAJE SIN FIN 577</t>
  </si>
  <si>
    <t>ENGRANAJE SINFIN 757</t>
  </si>
  <si>
    <t>BOMBA DE AGUA WP-1000</t>
  </si>
  <si>
    <t>BARRA 36G63 PARA S.A.</t>
  </si>
  <si>
    <t>X405000001  CUCHILLA METALICA DE 3 ELEME</t>
  </si>
  <si>
    <t>X405000011  CUCHILLA METALICA DE 3 ELEME</t>
  </si>
  <si>
    <t>CUCHILLA INFERIOR 40" ACC CORTACETOS</t>
  </si>
  <si>
    <t>28820-07340 BOQUILLA SPEED FEED</t>
  </si>
  <si>
    <t>EC-X602000140</t>
  </si>
  <si>
    <t>LLAVE DE BUJIA B530,B450,C350</t>
  </si>
  <si>
    <t>EC-X602000150</t>
  </si>
  <si>
    <t>LLAVE DE BUJIA C230</t>
  </si>
  <si>
    <t>EC-X602000220</t>
  </si>
  <si>
    <t>LLAVE T 4mm</t>
  </si>
  <si>
    <t>F-001</t>
  </si>
  <si>
    <t>BLINDAX X LT</t>
  </si>
  <si>
    <t>F-0013</t>
  </si>
  <si>
    <t>VIRUS STOP X 250 ML</t>
  </si>
  <si>
    <t>F-0014</t>
  </si>
  <si>
    <t>BLINDAX X 100 ML</t>
  </si>
  <si>
    <t>F-0015</t>
  </si>
  <si>
    <t>CITOQMAX X LT</t>
  </si>
  <si>
    <t>F-002</t>
  </si>
  <si>
    <t>BLINDAX X 20 LT</t>
  </si>
  <si>
    <t>F-003</t>
  </si>
  <si>
    <t>CINNA MIX X LT</t>
  </si>
  <si>
    <t>F-004</t>
  </si>
  <si>
    <t>BACTER STOP X 500 KG</t>
  </si>
  <si>
    <t>F-005</t>
  </si>
  <si>
    <t>IMPULMAX X LT</t>
  </si>
  <si>
    <t>F-007</t>
  </si>
  <si>
    <t>UREUM X 20 LT</t>
  </si>
  <si>
    <t>F-011</t>
  </si>
  <si>
    <t>IMPULMAX X 250 ML</t>
  </si>
  <si>
    <t>F-013</t>
  </si>
  <si>
    <t>UREUM X LT</t>
  </si>
  <si>
    <t>F-014</t>
  </si>
  <si>
    <t>UREUM X GL</t>
  </si>
  <si>
    <t>F-018</t>
  </si>
  <si>
    <t>RAIZ FORTE G  X KG</t>
  </si>
  <si>
    <t>FIL-003</t>
  </si>
  <si>
    <t>FILTRO DE COMBUSTIBLE FLEETGUARD FF5039</t>
  </si>
  <si>
    <t>FIL-013</t>
  </si>
  <si>
    <t>FILTRO AIRE (I) TL80/90/100 1930825</t>
  </si>
  <si>
    <t>FIL-232</t>
  </si>
  <si>
    <t>FILTRO HCDO. S-40/TS110 82005016</t>
  </si>
  <si>
    <t>FIL-237</t>
  </si>
  <si>
    <t>FILTRO ACEITE MOTOR TL60 73403765</t>
  </si>
  <si>
    <t>FIL-299</t>
  </si>
  <si>
    <t>FILTRO ACEITE MOTOR TL/935/4010/5010/UN</t>
  </si>
  <si>
    <t>FIL-40572</t>
  </si>
  <si>
    <t>VASO CRISTAL COMBUSTIBLE 40572</t>
  </si>
  <si>
    <t>FIL-501</t>
  </si>
  <si>
    <t>FILTRO HIDRAULICO NEW HOLLAND 1930986 UK</t>
  </si>
  <si>
    <t>FIL-568</t>
  </si>
  <si>
    <t>FILTRO LH. TL-85-TL-95 73402522</t>
  </si>
  <si>
    <t>FIL-570</t>
  </si>
  <si>
    <t>FILTRO GASOLIN FP586F</t>
  </si>
  <si>
    <t>FIL-571</t>
  </si>
  <si>
    <t>FILTRO ACEITE PH 4403</t>
  </si>
  <si>
    <t>FUM-004</t>
  </si>
  <si>
    <t>DISCOS D35</t>
  </si>
  <si>
    <t>FUM-007</t>
  </si>
  <si>
    <t>LANZAS DE FUMIGACION</t>
  </si>
  <si>
    <t>FUM-010</t>
  </si>
  <si>
    <t>MANGUERA FUMIGACION X 100 MTS.</t>
  </si>
  <si>
    <t>G-001</t>
  </si>
  <si>
    <t>ALGAENZIMES 20 LT</t>
  </si>
  <si>
    <t>G-0010</t>
  </si>
  <si>
    <t>VIRAFIN X LT</t>
  </si>
  <si>
    <t>G-0011</t>
  </si>
  <si>
    <t>VIRAFIN X 250 ML</t>
  </si>
  <si>
    <t>G-0012</t>
  </si>
  <si>
    <t>ESTAMPIDA ORG X LITRO</t>
  </si>
  <si>
    <t>G-0014</t>
  </si>
  <si>
    <t>BIOBAN X GALON</t>
  </si>
  <si>
    <t>G-0015</t>
  </si>
  <si>
    <t>BIOBAN X 20 LT</t>
  </si>
  <si>
    <t>G-002</t>
  </si>
  <si>
    <t>EZCOBA OR X LITRO</t>
  </si>
  <si>
    <t>G-003</t>
  </si>
  <si>
    <t>ALG - VIRABLOCK X LT</t>
  </si>
  <si>
    <t>G-004</t>
  </si>
  <si>
    <t>PROLIFIC PLUS X LT</t>
  </si>
  <si>
    <t>G-005</t>
  </si>
  <si>
    <t>ABUNDANCE PLUS X LITRO</t>
  </si>
  <si>
    <t>G-006</t>
  </si>
  <si>
    <t>BSK 100 X 200 LT</t>
  </si>
  <si>
    <t>G-008</t>
  </si>
  <si>
    <t>BIOBAN X LITRO</t>
  </si>
  <si>
    <t xml:space="preserve">HER-001  </t>
  </si>
  <si>
    <t>TALADRO 1/2 PERCUSION TP-6R</t>
  </si>
  <si>
    <t>HER-009</t>
  </si>
  <si>
    <t>ESMERIL DE BANCO 1/3 HP</t>
  </si>
  <si>
    <t>HER-010</t>
  </si>
  <si>
    <t>DESTORNILLADOR P/RELOJERO 6PZS AL K2219X</t>
  </si>
  <si>
    <t>HER-011</t>
  </si>
  <si>
    <t>PRO ALICATE PRESION CURVO 10 95IB84378"</t>
  </si>
  <si>
    <t>HER-013</t>
  </si>
  <si>
    <t xml:space="preserve">PINZA P SEGURO STY EXTER-84271-7X </t>
  </si>
  <si>
    <t>HER-015</t>
  </si>
  <si>
    <t>MARTILLO BOLA CABO F/VIDRIO 3LB. JL-809</t>
  </si>
  <si>
    <t>HER-017</t>
  </si>
  <si>
    <t>PULIDORA NEUMATICA KMJ-328</t>
  </si>
  <si>
    <t>HER-019</t>
  </si>
  <si>
    <t>CEPILLO ACERO 6PZS. 880204 DORADO</t>
  </si>
  <si>
    <t>HER-020</t>
  </si>
  <si>
    <t>BROCA ESPIRAL HSS 29PZ 1/16-1/2 ALEMANA"</t>
  </si>
  <si>
    <t>HI-001</t>
  </si>
  <si>
    <t>JGO. DADOS 25PZA. SAE#86736</t>
  </si>
  <si>
    <t>HI-002</t>
  </si>
  <si>
    <t>LLAVE MIXTA 8.00MM 86-833</t>
  </si>
  <si>
    <t>HI-004</t>
  </si>
  <si>
    <t>LLAVE EXAG/ALEN 8PZS 69-264</t>
  </si>
  <si>
    <t>HI-010</t>
  </si>
  <si>
    <t>DADO/BUJIA 1/213/16 # 86-581</t>
  </si>
  <si>
    <t>HI-011</t>
  </si>
  <si>
    <t>ESPATULA AC. 2 #28-081"</t>
  </si>
  <si>
    <t>HI-014</t>
  </si>
  <si>
    <t>LLAVE MIXTA-10 MM 86-855</t>
  </si>
  <si>
    <t>HI-015</t>
  </si>
  <si>
    <t>LLAVE MIXTA 8.0MM 86-853</t>
  </si>
  <si>
    <t>HI-016</t>
  </si>
  <si>
    <t>SANTIAGO 3 PATAS 4";SANTIAGO 3 PATAS 4""</t>
  </si>
  <si>
    <t>HI-018</t>
  </si>
  <si>
    <t>LLAVE MIXTA 13MM 86-858</t>
  </si>
  <si>
    <t>HI-019</t>
  </si>
  <si>
    <t>LLAVE MIXTA 14 MM ·#86-859</t>
  </si>
  <si>
    <t>HI-020</t>
  </si>
  <si>
    <t>CORTADORA DE CADENA # 24548 A OREGON</t>
  </si>
  <si>
    <t>HI-021</t>
  </si>
  <si>
    <t>REMACHADORA DE CADENA # 24549 A OREGON</t>
  </si>
  <si>
    <t>IB-001</t>
  </si>
  <si>
    <t>BANDAS B-58</t>
  </si>
  <si>
    <t>IB-002</t>
  </si>
  <si>
    <t>BANDAS B-59</t>
  </si>
  <si>
    <t>IB-003</t>
  </si>
  <si>
    <t>BANDA B-61</t>
  </si>
  <si>
    <t>IB-006</t>
  </si>
  <si>
    <t>BANDA B-40</t>
  </si>
  <si>
    <t>BANDA B-45</t>
  </si>
  <si>
    <t>BANDAS B-53</t>
  </si>
  <si>
    <t>IB-010</t>
  </si>
  <si>
    <t>BANDA B-43</t>
  </si>
  <si>
    <t>IB-011</t>
  </si>
  <si>
    <t>MOTOR MONOFASICO 3HP-1800RPM 220V</t>
  </si>
  <si>
    <t>IMB-001</t>
  </si>
  <si>
    <t>LIMA TRIANGULAR # 10-4083 BELLOTA</t>
  </si>
  <si>
    <t>IMP-032</t>
  </si>
  <si>
    <t>ROTAVATOR 1,70 M LAVRALE</t>
  </si>
  <si>
    <t>IMP-045</t>
  </si>
  <si>
    <t>FILTRO AIRE (E) PRIMARIO 3540051M1 ATLAS</t>
  </si>
  <si>
    <t>IMP-061</t>
  </si>
  <si>
    <t>FILTRO AIRE (I) SECUND 3540052M1ATLAS 90</t>
  </si>
  <si>
    <t>IMP-188</t>
  </si>
  <si>
    <t>KIT SURCADOR</t>
  </si>
  <si>
    <t>IMP-241</t>
  </si>
  <si>
    <t>PIÑONES PARA ROTAVATOR LAVRALE</t>
  </si>
  <si>
    <t>IMP-250</t>
  </si>
  <si>
    <t>CHUMACERA DE GRASA 182MM X 1 1/4</t>
  </si>
  <si>
    <t>IMP-251</t>
  </si>
  <si>
    <t>LATAS PARA REPUESTOS DP4</t>
  </si>
  <si>
    <t>IMP-252</t>
  </si>
  <si>
    <t>TIRO DE TRACTOR LANDINI</t>
  </si>
  <si>
    <t>IMP-254</t>
  </si>
  <si>
    <t>TIRO AMARILLO PARA CARRETON</t>
  </si>
  <si>
    <t>IMP-256</t>
  </si>
  <si>
    <t>PIEZAS TRACTOR (TORNILLO TUERCA PASADOR)</t>
  </si>
  <si>
    <t>IMP-2563</t>
  </si>
  <si>
    <t>PASADOR CON BINCHA 15CMX22CM</t>
  </si>
  <si>
    <t>IMP-259</t>
  </si>
  <si>
    <t>TENSOR DE CADENA</t>
  </si>
  <si>
    <t>IMP-261</t>
  </si>
  <si>
    <t>SET REPUESTOS (2BASES 1LLAVE 2PIÑON)</t>
  </si>
  <si>
    <t>IMP-271</t>
  </si>
  <si>
    <t>BASE PLOMA</t>
  </si>
  <si>
    <t>IMP-278</t>
  </si>
  <si>
    <t>LLAVES DE ARADO</t>
  </si>
  <si>
    <t>IMP-279</t>
  </si>
  <si>
    <t>LIMPIADORES DE RASTRA</t>
  </si>
  <si>
    <t>IMP-528</t>
  </si>
  <si>
    <t>CHUMACERA EJE PARA GCMR 16-18-20</t>
  </si>
  <si>
    <t>IMP-865</t>
  </si>
  <si>
    <t>SEMBRADORA DE HORTALIZAS SPH-110</t>
  </si>
  <si>
    <t>IN - 126</t>
  </si>
  <si>
    <t>AGROTAFOL COMBI X 200 G</t>
  </si>
  <si>
    <t>IN - 127</t>
  </si>
  <si>
    <t>RAIZ FORTE X LT</t>
  </si>
  <si>
    <t>IN -141</t>
  </si>
  <si>
    <t>SINOTOP X LT</t>
  </si>
  <si>
    <t>IN-000127</t>
  </si>
  <si>
    <t>TOKAL 400 X 500 ML</t>
  </si>
  <si>
    <t>IN-0004</t>
  </si>
  <si>
    <t>AGROTAFOL K PLUS X 500 ML</t>
  </si>
  <si>
    <t>IN-0007</t>
  </si>
  <si>
    <t>AGROTAFOL BORO X 500 ML</t>
  </si>
  <si>
    <t>IN-0008</t>
  </si>
  <si>
    <t>AGROTAFOL FOSFITO X 500 ML</t>
  </si>
  <si>
    <t>IN-00102</t>
  </si>
  <si>
    <t>AGROTAFOL SUPER X KG</t>
  </si>
  <si>
    <t>IN-0011</t>
  </si>
  <si>
    <t>BUCANER X LT</t>
  </si>
  <si>
    <t>IN-0012</t>
  </si>
  <si>
    <t>BUCANER X 250 ML</t>
  </si>
  <si>
    <t>IN-00126</t>
  </si>
  <si>
    <t>TOKAL  400 X 100 ML</t>
  </si>
  <si>
    <t>IN-0014</t>
  </si>
  <si>
    <t>BUCANER X 500 ML</t>
  </si>
  <si>
    <t>IN-0017</t>
  </si>
  <si>
    <t>AGROTHANE  X KG</t>
  </si>
  <si>
    <t>IN-00171</t>
  </si>
  <si>
    <t>BUCANER FORTE X 500 ML</t>
  </si>
  <si>
    <t>IN-00172</t>
  </si>
  <si>
    <t>BUCANER FORTE X 250 ML</t>
  </si>
  <si>
    <t>IN-0028</t>
  </si>
  <si>
    <t>AGROTAFIX  X 250 ML</t>
  </si>
  <si>
    <t>IN-0042</t>
  </si>
  <si>
    <t>AGROTAFIX  X 100 ML</t>
  </si>
  <si>
    <t>IN-0081</t>
  </si>
  <si>
    <t>AGROTAFOL FOSFITO X 250 ML</t>
  </si>
  <si>
    <t>IN-0236</t>
  </si>
  <si>
    <t>FAST X 250 ML</t>
  </si>
  <si>
    <t>IN-031</t>
  </si>
  <si>
    <t>SKEKURA WP X KG</t>
  </si>
  <si>
    <t>IN-033</t>
  </si>
  <si>
    <t>SKEKURA WP X 100 G</t>
  </si>
  <si>
    <t>IN-035</t>
  </si>
  <si>
    <t>SCOBA X 50 ML</t>
  </si>
  <si>
    <t>IN-036</t>
  </si>
  <si>
    <t>SCOBA X 100 ML</t>
  </si>
  <si>
    <t>IN-037</t>
  </si>
  <si>
    <t>SCOBA X 250 ML</t>
  </si>
  <si>
    <t>IN-038</t>
  </si>
  <si>
    <t>SKEKURA  X LT</t>
  </si>
  <si>
    <t>IN-039</t>
  </si>
  <si>
    <t>SKEKURA  X 250 ML</t>
  </si>
  <si>
    <t>IN-040</t>
  </si>
  <si>
    <t>SCOBA COEX X LT</t>
  </si>
  <si>
    <t>IN-041.</t>
  </si>
  <si>
    <t>AGROTAFIX X LT</t>
  </si>
  <si>
    <t>IN-043</t>
  </si>
  <si>
    <t>AGROTAFOL FOSFITO X LT</t>
  </si>
  <si>
    <t>IN-044</t>
  </si>
  <si>
    <t>AGROTAFOL AMINO X LT</t>
  </si>
  <si>
    <t>IN-048</t>
  </si>
  <si>
    <t>AGROTAFOL K PLUS X LT</t>
  </si>
  <si>
    <t>IN-082</t>
  </si>
  <si>
    <t>AGROTAFOL AC-105 X LT</t>
  </si>
  <si>
    <t>IN-086</t>
  </si>
  <si>
    <t>SKEKURA  X 500 ML</t>
  </si>
  <si>
    <t>IN-092</t>
  </si>
  <si>
    <t>AGROTAFOL BORO X LT</t>
  </si>
  <si>
    <t>IN-094</t>
  </si>
  <si>
    <t>AGROTALINA X LT</t>
  </si>
  <si>
    <t>IN-102</t>
  </si>
  <si>
    <t>KEMADOR X GALON</t>
  </si>
  <si>
    <t>IN-104</t>
  </si>
  <si>
    <t>AGROTAFOL BORO X 250 ML</t>
  </si>
  <si>
    <t>IN-123</t>
  </si>
  <si>
    <t>KEMADOR X 19 LT</t>
  </si>
  <si>
    <t>IN-1234</t>
  </si>
  <si>
    <t>SKEKURA WP X 500 GRS</t>
  </si>
  <si>
    <t>IN-1235</t>
  </si>
  <si>
    <t>AGROTAFIX PLUS X 100 ML</t>
  </si>
  <si>
    <t>IN-127</t>
  </si>
  <si>
    <t>ORGANIC POWER X 500 ML</t>
  </si>
  <si>
    <t>IN-128</t>
  </si>
  <si>
    <t>SKEKURA X 100 ML</t>
  </si>
  <si>
    <t>IN-129</t>
  </si>
  <si>
    <t>YOGA X LT</t>
  </si>
  <si>
    <t>IN-130</t>
  </si>
  <si>
    <t>YOGA X 100 ML</t>
  </si>
  <si>
    <t>IN-139</t>
  </si>
  <si>
    <t>AGROTAZOLE 25% EC  X LT</t>
  </si>
  <si>
    <t>IN-140</t>
  </si>
  <si>
    <t>AGROVERDOL X 500 ML</t>
  </si>
  <si>
    <t>IN-141</t>
  </si>
  <si>
    <t>AGROVERDOL X LT</t>
  </si>
  <si>
    <t>IN-1410</t>
  </si>
  <si>
    <t>AGROVERDOL X GL</t>
  </si>
  <si>
    <t>IN-144</t>
  </si>
  <si>
    <t>CIROMAZINA X 50 G AGROTA</t>
  </si>
  <si>
    <t>IN-1441</t>
  </si>
  <si>
    <t>CIROMAZINA FRONTEAGRO X 50 G</t>
  </si>
  <si>
    <t xml:space="preserve">IN-2041             </t>
  </si>
  <si>
    <t xml:space="preserve">MYCLOBUTANIL 12,5 % EC SOL  X 100 ML  </t>
  </si>
  <si>
    <t>IN-30</t>
  </si>
  <si>
    <t>AGROTAFOL ZINC X LT</t>
  </si>
  <si>
    <t>IN-32</t>
  </si>
  <si>
    <t>AGROTAFOL 15-40-15-10 INICIAL X KG</t>
  </si>
  <si>
    <t>IN-33</t>
  </si>
  <si>
    <t>AGROTAFOL 30-10-10-20 DESARROLLO X KG</t>
  </si>
  <si>
    <t>IN-34</t>
  </si>
  <si>
    <t>AGROTAFOL 10-15-30-5 ENGROSE X KG</t>
  </si>
  <si>
    <t>IN-35</t>
  </si>
  <si>
    <t>AGROTAFOL 20-20-1 FLORACION X KG</t>
  </si>
  <si>
    <t>IN-352</t>
  </si>
  <si>
    <t>SKEKURA WP X 200 G</t>
  </si>
  <si>
    <t>IN-358</t>
  </si>
  <si>
    <t>ZULLY X 60</t>
  </si>
  <si>
    <t>IN-362</t>
  </si>
  <si>
    <t>ORGANIC POWER X 250 ML</t>
  </si>
  <si>
    <t>IN-375</t>
  </si>
  <si>
    <t>PARALANCHA BLUE X 250 G</t>
  </si>
  <si>
    <t>IN-378</t>
  </si>
  <si>
    <t>PARALANCHA BLUE X 500 G</t>
  </si>
  <si>
    <t>IN-38</t>
  </si>
  <si>
    <t>KRESOBY X 500CC (ML)</t>
  </si>
  <si>
    <t>IN-380</t>
  </si>
  <si>
    <t>SCOBA  X LT</t>
  </si>
  <si>
    <t>IN-5421</t>
  </si>
  <si>
    <t>RIDONATE X 100 ML</t>
  </si>
  <si>
    <t>IN-5422</t>
  </si>
  <si>
    <t>BUCANER X 100 ML</t>
  </si>
  <si>
    <t>IN-65</t>
  </si>
  <si>
    <t>AGROTAFOL 20-20-20-1 FLORACION 500G</t>
  </si>
  <si>
    <t>IN-6610</t>
  </si>
  <si>
    <t>PROPILAQ X 100 ML</t>
  </si>
  <si>
    <t>IN-6611</t>
  </si>
  <si>
    <t>RIDONATE X LITRO</t>
  </si>
  <si>
    <t>IN-6612</t>
  </si>
  <si>
    <t>RIDONATE X 500 ML</t>
  </si>
  <si>
    <t>IN-6613</t>
  </si>
  <si>
    <t>RIDONATE X 250 ML</t>
  </si>
  <si>
    <t>IN-6614</t>
  </si>
  <si>
    <t>RIDONATE x 200 ML</t>
  </si>
  <si>
    <t>IN-6615</t>
  </si>
  <si>
    <t>PROPILAQ X  250 ML</t>
  </si>
  <si>
    <t>IN-666</t>
  </si>
  <si>
    <t>AGROTAFOL AC X 250 ML</t>
  </si>
  <si>
    <t>IN-6669</t>
  </si>
  <si>
    <t>PROPILAQ X LITRO</t>
  </si>
  <si>
    <t>IN-667</t>
  </si>
  <si>
    <t>CITOQMAX X 250 ML</t>
  </si>
  <si>
    <t>IN-668</t>
  </si>
  <si>
    <t>BIOBAN X 250 ML</t>
  </si>
  <si>
    <t>IN-670</t>
  </si>
  <si>
    <t>QUBIK X LT</t>
  </si>
  <si>
    <t>IN-768</t>
  </si>
  <si>
    <t>AGROVERDOL X 5 GAL|</t>
  </si>
  <si>
    <t>IN-81</t>
  </si>
  <si>
    <t>KEMADOR X LT</t>
  </si>
  <si>
    <t>IN-94</t>
  </si>
  <si>
    <t>PROGIBB X 10  GR</t>
  </si>
  <si>
    <t>INCO-006</t>
  </si>
  <si>
    <t>2011556 MANGUERA DE CORTA DE COLECTOR</t>
  </si>
  <si>
    <t>INCO-007</t>
  </si>
  <si>
    <t>2011682 PALETA DE LA BOMBA BVIN-185</t>
  </si>
  <si>
    <t>INCO-008</t>
  </si>
  <si>
    <t>9401077 CAJA REGULADOR VACIO CON MUELLE</t>
  </si>
  <si>
    <t>INCO-010</t>
  </si>
  <si>
    <t>2010154 BALON LISA DE GOMA NO. 03/70MM</t>
  </si>
  <si>
    <t>INCO-011</t>
  </si>
  <si>
    <t>2010452 JUNTA DE LA TAPA OPERATRIZ</t>
  </si>
  <si>
    <t>INCO-012</t>
  </si>
  <si>
    <t>2011939 TAPA DE PULSACION</t>
  </si>
  <si>
    <t>INCO-013</t>
  </si>
  <si>
    <t>2011970 SELLADO DE PULSACIÓN</t>
  </si>
  <si>
    <t>INCO-014</t>
  </si>
  <si>
    <t>9400338 RECEPTOR DE LECHE 350</t>
  </si>
  <si>
    <t>2011026 SELLADO DEL RECOLECTOR DE LECHE</t>
  </si>
  <si>
    <t>INCO-016</t>
  </si>
  <si>
    <t>2011080 ANILLO INTERNO DE RECOLECTOR 350</t>
  </si>
  <si>
    <t>INCO-017</t>
  </si>
  <si>
    <t>9402047 VALVULA DE CIERRE AUTOMATICO</t>
  </si>
  <si>
    <t>INCO-018</t>
  </si>
  <si>
    <t>2011968 TRABA DE VALVULA DE CIERRE AUTOM</t>
  </si>
  <si>
    <t>9400337 TAPA DE RECOLECTOR 350</t>
  </si>
  <si>
    <t>INCO-020</t>
  </si>
  <si>
    <t>2011082 AMORTIGUADOR PARA RECOLECTOR 350</t>
  </si>
  <si>
    <t>INCO-021</t>
  </si>
  <si>
    <t>2010642 MEMBRANA PRINCIPAL DEL PULSADOR</t>
  </si>
  <si>
    <t>INCO-022</t>
  </si>
  <si>
    <t>2010065 ANILLO ORING 2006 6.46X2.90X1.7</t>
  </si>
  <si>
    <t>INCO-023</t>
  </si>
  <si>
    <t>2012000 VALVULA DE DRENAJE (GOMA)</t>
  </si>
  <si>
    <t>INCO-024</t>
  </si>
  <si>
    <t>2011662 NIPLE DEL LUBRIFICADOR MECANICO</t>
  </si>
  <si>
    <t>INCO-025</t>
  </si>
  <si>
    <t>9400388 VISOR DE ACEITE</t>
  </si>
  <si>
    <t>INCO-026</t>
  </si>
  <si>
    <t>2012776 ANILLO ORING 2005 2,57X6,13X1,7</t>
  </si>
  <si>
    <t>INCO-027</t>
  </si>
  <si>
    <t>2012777 ANILLO ORING 2114 15,54X20,78X2</t>
  </si>
  <si>
    <t>INCO-029</t>
  </si>
  <si>
    <t>2010193 MANGUERA GEMELA DE PULSACIÓN</t>
  </si>
  <si>
    <t>INCO-030</t>
  </si>
  <si>
    <t>9401109 CONJUNTO DE TETERAS PARA CABRA ";9401109 CONJUNTO DE TETERAS PARA CABRA ""</t>
  </si>
  <si>
    <t>INCO-031</t>
  </si>
  <si>
    <t>2010643 MEMBRADA DE INVENSION PULSADOR C</t>
  </si>
  <si>
    <t>INCO-033</t>
  </si>
  <si>
    <t>MARTILLO PARA MOLINO TIN-2</t>
  </si>
  <si>
    <t>INCO-034</t>
  </si>
  <si>
    <t>CONTRA MARTILLO C.J. PARA TIN-2</t>
  </si>
  <si>
    <t>INCO-040</t>
  </si>
  <si>
    <t>PUESTO COMPLETO DE ORDEÑADORA</t>
  </si>
  <si>
    <t>INCO-041</t>
  </si>
  <si>
    <t>2010025 ANILLO ORING</t>
  </si>
  <si>
    <t>INCO-042</t>
  </si>
  <si>
    <t>2011297 TRABA DEL AJUSTADOR</t>
  </si>
  <si>
    <t>INCO-043</t>
  </si>
  <si>
    <t>2010046 ANILLO DE GOMA DEL ASIENTO PULSA</t>
  </si>
  <si>
    <t>INCO-044</t>
  </si>
  <si>
    <t>2013174 MANIPULO DEL COLECTOR</t>
  </si>
  <si>
    <t>INCO-047</t>
  </si>
  <si>
    <t>2010177 BUJE DE GOMA ADAPTADOR</t>
  </si>
  <si>
    <t>INCO-051</t>
  </si>
  <si>
    <t>2010640 MEMBRANA DEL LAVADOR</t>
  </si>
  <si>
    <t>INCO-054</t>
  </si>
  <si>
    <t>2010762 ALETA DE LA BOMBA BVIN 765</t>
  </si>
  <si>
    <t>INCO-055</t>
  </si>
  <si>
    <t>2010810 KNOB</t>
  </si>
  <si>
    <t>INCO-056</t>
  </si>
  <si>
    <t>2010886 RETENEDOR</t>
  </si>
  <si>
    <t>INCO-057</t>
  </si>
  <si>
    <t>2010998 VALVULA DE REPERCUSION</t>
  </si>
  <si>
    <t>INCO-059</t>
  </si>
  <si>
    <t>2011030 ASIENTO DEL PULSADOR</t>
  </si>
  <si>
    <t>INCO-065</t>
  </si>
  <si>
    <t>2011554 MANGUERA DE GOMA</t>
  </si>
  <si>
    <t>INCO-066</t>
  </si>
  <si>
    <t>2011574 RESORTE MENOR DEL LAVADOR</t>
  </si>
  <si>
    <t>INCO-067</t>
  </si>
  <si>
    <t>2011553 MANGUERA DE DESCARGA DE LAVADOR</t>
  </si>
  <si>
    <t>INCO-068</t>
  </si>
  <si>
    <t>2011557 RESORTE MAYOR DEL LAVADOR</t>
  </si>
  <si>
    <t>INCO-069</t>
  </si>
  <si>
    <t>2010972 TOMA DE VACIO</t>
  </si>
  <si>
    <t>INCO-070</t>
  </si>
  <si>
    <t>2011024 ANILLO DE VEDACION DEL CONTENEDO</t>
  </si>
  <si>
    <t>INCO-071</t>
  </si>
  <si>
    <t>9401172 PULSADOR PIN</t>
  </si>
  <si>
    <t>INCO-072</t>
  </si>
  <si>
    <t>9400422 VISOR DEL ACEITE II</t>
  </si>
  <si>
    <t>INCO-073</t>
  </si>
  <si>
    <t>2010902 BALERO DURO DE ESFERA 6204</t>
  </si>
  <si>
    <t>INCO-074</t>
  </si>
  <si>
    <t>VACUOMETRO</t>
  </si>
  <si>
    <t>INCO-075</t>
  </si>
  <si>
    <t>9400024 ANILLO DE ENCOSTO BVIN 745/765</t>
  </si>
  <si>
    <t>INCO-076</t>
  </si>
  <si>
    <t>9401010 PESAS REGULADORA DE VACIO</t>
  </si>
  <si>
    <t>INCO-077</t>
  </si>
  <si>
    <t>2011664 NIPLE DE CONECCION 745/765</t>
  </si>
  <si>
    <t>INCO-078</t>
  </si>
  <si>
    <t>LUBRICADOR II</t>
  </si>
  <si>
    <t>INCO-079</t>
  </si>
  <si>
    <t>2011570 MANGUERA DE CRISTAL DE LUBRICACI</t>
  </si>
  <si>
    <t>INCO-080</t>
  </si>
  <si>
    <t>9400326 CUERPO DEL AJUSTADOR DE VACIO</t>
  </si>
  <si>
    <t>INCO-085</t>
  </si>
  <si>
    <t>9402011T CONJUNTO DE LA VALVULA DE AJUST</t>
  </si>
  <si>
    <t>INCO-087</t>
  </si>
  <si>
    <t>JUEGO DE PALETA BOMBA BVIN-350 2012789</t>
  </si>
  <si>
    <t>INCO-088</t>
  </si>
  <si>
    <t>JUEGO DE PALETA BOMBA B-VIN 745 2010761</t>
  </si>
  <si>
    <t>INCO-091</t>
  </si>
  <si>
    <t>TUBO DE ACE, INOX PERFORADO 1CC</t>
  </si>
  <si>
    <t>INCO-092</t>
  </si>
  <si>
    <t>TUBO DE ACE, INOX PERFORADO 1.9M</t>
  </si>
  <si>
    <t>INCO-093</t>
  </si>
  <si>
    <t>TUBO DE ACE INOX PERFORADO X 3M</t>
  </si>
  <si>
    <t>INCO-095</t>
  </si>
  <si>
    <t>9401013 SISTEMA LAVADOR</t>
  </si>
  <si>
    <t>INCO-096</t>
  </si>
  <si>
    <t>TUBOS DE ESCAPE DE ORDEÑO</t>
  </si>
  <si>
    <t>INCO-1602</t>
  </si>
  <si>
    <t>GRIFO DE VACIO</t>
  </si>
  <si>
    <t>INCO-2010602</t>
  </si>
  <si>
    <t>MANGURTA ATOXICA CRISTAL 15.5X26</t>
  </si>
  <si>
    <t>INCO-2010762</t>
  </si>
  <si>
    <t>PALETA PARA BOMBA BIN 900 (765)</t>
  </si>
  <si>
    <t>INCO-2011384</t>
  </si>
  <si>
    <t>2011384 TETERA LARGA</t>
  </si>
  <si>
    <t>INCO-35</t>
  </si>
  <si>
    <t>ZARANDA DIAMETRO 5MM TIN-2</t>
  </si>
  <si>
    <t>INCO-36</t>
  </si>
  <si>
    <t>BARRA C/ 15 CUCHILLAS Y 1 MEDIA CUCHILLA</t>
  </si>
  <si>
    <t>INCO-365</t>
  </si>
  <si>
    <t>9400339 MANIPULO</t>
  </si>
  <si>
    <t>INCO-5011</t>
  </si>
  <si>
    <t>ADAPTADOR PULSADOR</t>
  </si>
  <si>
    <t>INCO-88</t>
  </si>
  <si>
    <t>2011016 ANILLO DE FIJACIÓN REG. 415</t>
  </si>
  <si>
    <t>MEZCLADORA INCOMAGRI MIN-300P</t>
  </si>
  <si>
    <t>MEZCLADORA INCOMAGRI MIN-500P</t>
  </si>
  <si>
    <t>MEZCLADORA INCOMAGRI MIN-1000P</t>
  </si>
  <si>
    <t>INCO-9400447T</t>
  </si>
  <si>
    <t>ADAPTADOR DE ALUMINIO PARA ORDEÑO</t>
  </si>
  <si>
    <t>INCO-9403002</t>
  </si>
  <si>
    <t>PESO DE INOX 350</t>
  </si>
  <si>
    <t>TRITURADOR TIN-2 CON CICLÓN</t>
  </si>
  <si>
    <t>ESPARCIDORA ABONADORA SEMBRA 400P</t>
  </si>
  <si>
    <t>INCO-9661990</t>
  </si>
  <si>
    <t>ESPARCIDORA ABONADORA SEMBRA 600P</t>
  </si>
  <si>
    <t>INT-002</t>
  </si>
  <si>
    <t>TROMBA X 500 G</t>
  </si>
  <si>
    <t>INT-007</t>
  </si>
  <si>
    <t>SINOMITE X LT</t>
  </si>
  <si>
    <t>INT-009</t>
  </si>
  <si>
    <t>SARGENT X 250 ML</t>
  </si>
  <si>
    <t>INT-010</t>
  </si>
  <si>
    <t>SINOTYL X 100 G</t>
  </si>
  <si>
    <t>INT-011</t>
  </si>
  <si>
    <t>SARGENT X LT</t>
  </si>
  <si>
    <t>INT-013</t>
  </si>
  <si>
    <t>TROMBA X 250 G</t>
  </si>
  <si>
    <t>IP009</t>
  </si>
  <si>
    <t>KIT 1 ( BOX JET )</t>
  </si>
  <si>
    <t>IP010</t>
  </si>
  <si>
    <t>KIT 87 ( BOX JET )</t>
  </si>
  <si>
    <t>IP011</t>
  </si>
  <si>
    <t>KIT 125 ( BOMBA M )</t>
  </si>
  <si>
    <t>IP012</t>
  </si>
  <si>
    <t>KIT 146</t>
  </si>
  <si>
    <t>IP013</t>
  </si>
  <si>
    <t>FILTRO LINEA</t>
  </si>
  <si>
    <t>IP014</t>
  </si>
  <si>
    <t>DADO M8X13X5 INOX AISI</t>
  </si>
  <si>
    <t>JD-006</t>
  </si>
  <si>
    <t>FIL. COMBUSTIBLE JOHN DEERE 5705 RE62419</t>
  </si>
  <si>
    <t>JD-010</t>
  </si>
  <si>
    <t>FILTRO PRIMARIO 6405 JOHN DEERE AL78223</t>
  </si>
  <si>
    <t>JD-012</t>
  </si>
  <si>
    <t>JUEGO DE PESAS DELANTERAS TRACTOR 5705</t>
  </si>
  <si>
    <t>JD-013</t>
  </si>
  <si>
    <t>FILTRO SEC. 5705  AT 171854 JOHN DEERE</t>
  </si>
  <si>
    <t>JD-015</t>
  </si>
  <si>
    <t>FILTRO SECUNDARIO AIRE 6405 AL78224</t>
  </si>
  <si>
    <t>JD-352</t>
  </si>
  <si>
    <t>CUCHILLA Z A51501</t>
  </si>
  <si>
    <t>JET50AX/F400</t>
  </si>
  <si>
    <t>BOMBA DIESEL 6.7HP JET - F/400</t>
  </si>
  <si>
    <t>ENSILADORA JF 50 MAXXIUM</t>
  </si>
  <si>
    <t>02.045001 PERNO DE SEGURIDAD</t>
  </si>
  <si>
    <t>JF-009</t>
  </si>
  <si>
    <t>02.046636 TORNILLO DE LA CONTRA CUCHILLA</t>
  </si>
  <si>
    <t>JF-010</t>
  </si>
  <si>
    <t>CONTRA PERNO DE LA CORONA</t>
  </si>
  <si>
    <t>JF-011</t>
  </si>
  <si>
    <t>02.045379 CONTRA CUCHILLA JF5/H5-F3</t>
  </si>
  <si>
    <t>02.045389 CONTRA CUCHILLA JF10</t>
  </si>
  <si>
    <t>JF-013</t>
  </si>
  <si>
    <t>05.001159 RESORTE DE LA TAPA (PICADORA)</t>
  </si>
  <si>
    <t>02.045369 CONTRA CUCHILLA JF2 / JF3</t>
  </si>
  <si>
    <t>JF-015</t>
  </si>
  <si>
    <t>05.01194 RESORTE DEL TAMBOR DENTADO MOVI</t>
  </si>
  <si>
    <t>02.070822 JUEGO COMP. MARTILLOS JF 2</t>
  </si>
  <si>
    <t>02.045530 KIT CUCHILLAS COMPLETO JF2/2D/</t>
  </si>
  <si>
    <t>02.046292 CONTRA CUCHILLA JF40S/MAXXIUM</t>
  </si>
  <si>
    <t>JF-020</t>
  </si>
  <si>
    <t>CONTRA CUCHILLA H20F4 JF60S JF</t>
  </si>
  <si>
    <t>02.045510 KIT CUCHILLAS COMPLETO JF5</t>
  </si>
  <si>
    <t>02.045520 KIT CUCHILLAS COMPLETO JF10</t>
  </si>
  <si>
    <t>02.070842 JUEGO COMP. MARTILLOS JF 5</t>
  </si>
  <si>
    <t>JF-024</t>
  </si>
  <si>
    <t>02.049503 EJE DOBLE POLEA CARDAN</t>
  </si>
  <si>
    <t>02.070862 JUEGO COMP. MARTILLOS JF10</t>
  </si>
  <si>
    <t>JF-027</t>
  </si>
  <si>
    <t>BASE Y PIEDRA AFILADOR JF92Z10</t>
  </si>
  <si>
    <t>JF-028</t>
  </si>
  <si>
    <t>02.075377 KIT CUCHILLA DEL RECOGEDOR JF9</t>
  </si>
  <si>
    <t>02.046575 KIT CUCHILLA COMP. JF50</t>
  </si>
  <si>
    <t xml:space="preserve">JF-032 </t>
  </si>
  <si>
    <t xml:space="preserve">02.093647 KIT DE HERRAMIENTAS P/JF92 </t>
  </si>
  <si>
    <t>ENSILADORA JF 40P</t>
  </si>
  <si>
    <t>JF-034</t>
  </si>
  <si>
    <t>02.045823 VEDACION INFERIOR JFD 250</t>
  </si>
  <si>
    <t>JF-036</t>
  </si>
  <si>
    <t>ZARANDA DIAMETRO 0.8MM TIN-2</t>
  </si>
  <si>
    <t>MOLINO PICADOR JF 10 D</t>
  </si>
  <si>
    <t>MOLINO PICADOR JF 5 D</t>
  </si>
  <si>
    <t>MOLINO PICADOR JF 2 D</t>
  </si>
  <si>
    <t>CONTRA CUCHILLA JF 40P</t>
  </si>
  <si>
    <t>JF-064</t>
  </si>
  <si>
    <t>ORDEÑADORA BVIN-765 02.400163</t>
  </si>
  <si>
    <t>2012619 KIT DE CUCHILLA COMPLETO JF-40P</t>
  </si>
  <si>
    <t>JF-082</t>
  </si>
  <si>
    <t>KIT DE ZARANDAS H5F3/JF5/JF5D</t>
  </si>
  <si>
    <t>JF-083</t>
  </si>
  <si>
    <t>KIT DE ZARANDAS JF5</t>
  </si>
  <si>
    <t>JF-084</t>
  </si>
  <si>
    <t>KIT DE ZARANDAS JF2/3</t>
  </si>
  <si>
    <t>KIT CUCHILLAS JF 50 MAXXIUM COMPLETO</t>
  </si>
  <si>
    <t>KIT CUCHILLAS  JF40P COMPLETO</t>
  </si>
  <si>
    <t xml:space="preserve">JF-087  </t>
  </si>
  <si>
    <t>KIT CUCHILLAS JF2/2D/D250 COMPLETO</t>
  </si>
  <si>
    <t>JF-095</t>
  </si>
  <si>
    <t>9401058 TAPA OPERATRIZ</t>
  </si>
  <si>
    <t>ENSILADORA JF-30P</t>
  </si>
  <si>
    <t xml:space="preserve">JF-232  </t>
  </si>
  <si>
    <t>02.116560 CUBIERTA DE LA TRANSMISION</t>
  </si>
  <si>
    <t xml:space="preserve">JF-233   </t>
  </si>
  <si>
    <t xml:space="preserve">02.116594 CUBIERTA DE PROTECCION SUPERIOR  </t>
  </si>
  <si>
    <t>JF-265</t>
  </si>
  <si>
    <t>02.116555 BRAZO ACCIONADOR COMPLETO</t>
  </si>
  <si>
    <t>JF-266</t>
  </si>
  <si>
    <t>05.001491 DEIDO DUPLO (0816-00 - VV)</t>
  </si>
  <si>
    <t>JF-267</t>
  </si>
  <si>
    <t>02.116629 ENGANCHE DE LA BARRA DE CORTE</t>
  </si>
  <si>
    <t>JF-269</t>
  </si>
  <si>
    <t>05.001489 GUIA SUPERIOR (0004-00-W)</t>
  </si>
  <si>
    <t>JF-270</t>
  </si>
  <si>
    <t>05.00133 TORNILLOS M10X1.5X0.35 8.8 ZB B</t>
  </si>
  <si>
    <t>JF-271</t>
  </si>
  <si>
    <t>05.001544 TORNILLO M10X1.5X0.5 8.8 ZB RI</t>
  </si>
  <si>
    <t>JF-272</t>
  </si>
  <si>
    <t>05.000520 ARANDELA LISA M 10 DIN 125 ZB</t>
  </si>
  <si>
    <t>JF-273</t>
  </si>
  <si>
    <t>05.000581 TUERCA SEXTAVADA C/ TRABA DE N</t>
  </si>
  <si>
    <t>JF-274</t>
  </si>
  <si>
    <t>CUCHILLAS JF-40P UNIDADES</t>
  </si>
  <si>
    <t>JF-275</t>
  </si>
  <si>
    <t>02.081277 CONJUNTO DEL SIN FIM ZM10</t>
  </si>
  <si>
    <t>JF-276</t>
  </si>
  <si>
    <t>03.056705 ENGRANAGE SUPERIOR</t>
  </si>
  <si>
    <t>JF-277</t>
  </si>
  <si>
    <t>02.046460 ENGRANAJE CON LANZADOR DE ACEI</t>
  </si>
  <si>
    <t>JF-278</t>
  </si>
  <si>
    <t>03.060444 ENGRANAGE INTERMEDIARIA</t>
  </si>
  <si>
    <t>JF-279</t>
  </si>
  <si>
    <t>03.046449 ENGRANAGE DE MANDO</t>
  </si>
  <si>
    <t>JF-280</t>
  </si>
  <si>
    <t>03.046499 GUA DEL ENGRANAGE DE MANDO</t>
  </si>
  <si>
    <t>02.055541 JUEGO DE CUCHILLAS</t>
  </si>
  <si>
    <t>JF-282</t>
  </si>
  <si>
    <t>02.055600 ENGRANAJE DEL COMANDO</t>
  </si>
  <si>
    <t>JF-283</t>
  </si>
  <si>
    <t>02.043906 CONTRA CUCHILLA RECOJEDOR</t>
  </si>
  <si>
    <t>JF-284</t>
  </si>
  <si>
    <t>02.081227 CARDAN MANGO MECAN. JFZ10</t>
  </si>
  <si>
    <t>JF-285</t>
  </si>
  <si>
    <t>02.066265 CRUCETA P/MANDO MECANICO</t>
  </si>
  <si>
    <t>JF-286</t>
  </si>
  <si>
    <t>05.000260 TORNILLO SEXT 7.94X 44.45</t>
  </si>
  <si>
    <t>JF-287</t>
  </si>
  <si>
    <t>05.035274 TUERCA SEXT 7.94(5/16)"</t>
  </si>
  <si>
    <t>JF-288</t>
  </si>
  <si>
    <t>05.032192 PIN ELASTICO 5 X 30MM</t>
  </si>
  <si>
    <t xml:space="preserve">JF-289 </t>
  </si>
  <si>
    <t xml:space="preserve">05.003018 BANDA 5/ B 152" </t>
  </si>
  <si>
    <t>JF-290</t>
  </si>
  <si>
    <t>CONTRA CUCHILLAS JF 30P</t>
  </si>
  <si>
    <t>JF-291</t>
  </si>
  <si>
    <t>KIT CUCHILLAS COMPLETO JF30P</t>
  </si>
  <si>
    <t xml:space="preserve">JGOHERR-04 </t>
  </si>
  <si>
    <t>JUEGO DE HERRAM. 10PC HM-1798</t>
  </si>
  <si>
    <t>JIM-003</t>
  </si>
  <si>
    <t>RETEN 65X90X12</t>
  </si>
  <si>
    <t>JIM-004</t>
  </si>
  <si>
    <t>RETEN 45X70X12</t>
  </si>
  <si>
    <t>JIM-005</t>
  </si>
  <si>
    <t>RETEN 45X65X8</t>
  </si>
  <si>
    <t>JIM-007</t>
  </si>
  <si>
    <t>ANILLOS</t>
  </si>
  <si>
    <t>JIM-008</t>
  </si>
  <si>
    <t>JUEGO DE FOCOS</t>
  </si>
  <si>
    <t>JIM-009</t>
  </si>
  <si>
    <t>JUEGO DE ANILLOS</t>
  </si>
  <si>
    <t>JIM-010</t>
  </si>
  <si>
    <t>ABRASADERA</t>
  </si>
  <si>
    <t>JIM-012</t>
  </si>
  <si>
    <t>FILTROS</t>
  </si>
  <si>
    <t>JIM-013</t>
  </si>
  <si>
    <t>EMPAQUES DE LAS PUNTAS</t>
  </si>
  <si>
    <t>JIM-014</t>
  </si>
  <si>
    <t>EMPAQUES DEL CABESOTE</t>
  </si>
  <si>
    <t>JIM-015</t>
  </si>
  <si>
    <t>EMPAQUES DEL TUBO DE ESCAPE</t>
  </si>
  <si>
    <t>JIM-016</t>
  </si>
  <si>
    <t>EMPAQUES DE LA TAPA DE MOTOR</t>
  </si>
  <si>
    <t>JIM-017</t>
  </si>
  <si>
    <t>EMPAQUE VERDE</t>
  </si>
  <si>
    <t>JIM-018</t>
  </si>
  <si>
    <t>SENSOR INDUITIVO</t>
  </si>
  <si>
    <t>JIM-019</t>
  </si>
  <si>
    <t>EJE DE TRANSMICION DELANTERO</t>
  </si>
  <si>
    <t>JIM-020</t>
  </si>
  <si>
    <t>ACOPLE DE ACEITE</t>
  </si>
  <si>
    <t>JIM-021</t>
  </si>
  <si>
    <t>RETEN 40X64X8</t>
  </si>
  <si>
    <t>JIM-023</t>
  </si>
  <si>
    <t>MEDIDOR DE GASOLINA</t>
  </si>
  <si>
    <t>JIM-024</t>
  </si>
  <si>
    <t>JUEGO DE CHAPA DE BIELA YZ-4100</t>
  </si>
  <si>
    <t>JIM-025</t>
  </si>
  <si>
    <t>TAPA DE GASOLINA</t>
  </si>
  <si>
    <t>JIM-026</t>
  </si>
  <si>
    <t>SEGURO DE ARRANQUE</t>
  </si>
  <si>
    <t>JIM-028</t>
  </si>
  <si>
    <t>RESORTE PEQUEÑO</t>
  </si>
  <si>
    <t>JIM-029</t>
  </si>
  <si>
    <t>RESORTE GRANDE</t>
  </si>
  <si>
    <t>JIM-031</t>
  </si>
  <si>
    <t>BOYA PARA NIVEL DE DIESEL</t>
  </si>
  <si>
    <t>JIM-032</t>
  </si>
  <si>
    <t>VALVULAS DE ADMISION</t>
  </si>
  <si>
    <t>JIM-035</t>
  </si>
  <si>
    <t>MEDIDOR DE ACEITE</t>
  </si>
  <si>
    <t>JIM-036</t>
  </si>
  <si>
    <t>FOCOS PARA TRACTOR JINMA</t>
  </si>
  <si>
    <t>JIM-037</t>
  </si>
  <si>
    <t>JUEGO DE RINGS</t>
  </si>
  <si>
    <t>JIM-038</t>
  </si>
  <si>
    <t>RETEN 100X130X12</t>
  </si>
  <si>
    <t>JM-005</t>
  </si>
  <si>
    <t>BOMBA DE AGUA</t>
  </si>
  <si>
    <t>JM-006</t>
  </si>
  <si>
    <t>INYECTORES</t>
  </si>
  <si>
    <t>JM-007</t>
  </si>
  <si>
    <t>CAJA DE FUSIBLES</t>
  </si>
  <si>
    <t>JM-008</t>
  </si>
  <si>
    <t>FILTRO DE ACEITE(PARA JINMA)</t>
  </si>
  <si>
    <t>JM-011</t>
  </si>
  <si>
    <t>ALTERNADOR</t>
  </si>
  <si>
    <t>JM-013</t>
  </si>
  <si>
    <t>MANGUERA DE RADIADOR</t>
  </si>
  <si>
    <t>JM-014</t>
  </si>
  <si>
    <t>MOTOR DE ARRANQUE</t>
  </si>
  <si>
    <t>JM-015</t>
  </si>
  <si>
    <t>PITO</t>
  </si>
  <si>
    <t>JM-016</t>
  </si>
  <si>
    <t>RADIADOR</t>
  </si>
  <si>
    <t>JM-017</t>
  </si>
  <si>
    <t>REGULADOR</t>
  </si>
  <si>
    <t>JM-018</t>
  </si>
  <si>
    <t>RELAY DE PITO</t>
  </si>
  <si>
    <t>JM-019</t>
  </si>
  <si>
    <t>SWITCH DE ARRANQUE</t>
  </si>
  <si>
    <t>JM-021</t>
  </si>
  <si>
    <t>TAPA DE RADIADOR</t>
  </si>
  <si>
    <t>JM-023</t>
  </si>
  <si>
    <t>JUNTA PARA EL CILINDRO DE LA DIRECCION</t>
  </si>
  <si>
    <t>JM-025</t>
  </si>
  <si>
    <t>TUERCA DE LA LLANTA</t>
  </si>
  <si>
    <t>JM-026</t>
  </si>
  <si>
    <t>PERNO DE LA LLANTA</t>
  </si>
  <si>
    <t>JM-029</t>
  </si>
  <si>
    <t>BOLAS PARA LOS FRENOS</t>
  </si>
  <si>
    <t>JM-033</t>
  </si>
  <si>
    <t>AMPERIMETRO</t>
  </si>
  <si>
    <t>JM-034</t>
  </si>
  <si>
    <t>SWITCH</t>
  </si>
  <si>
    <t>JM-035</t>
  </si>
  <si>
    <t>SWITCH DIRECCIONALES</t>
  </si>
  <si>
    <t>JM-036</t>
  </si>
  <si>
    <t>MEDIDOR DE TEMPERATURA DEL AGUA</t>
  </si>
  <si>
    <t>JM-038</t>
  </si>
  <si>
    <t>PLUG DE PRESION DE ACEITE</t>
  </si>
  <si>
    <t>JM-039</t>
  </si>
  <si>
    <t>DISCO DE EMBRAGUE (PTO)</t>
  </si>
  <si>
    <t>LB-002</t>
  </si>
  <si>
    <t>FILT COMB. GP 243190601</t>
  </si>
  <si>
    <t>LB-005</t>
  </si>
  <si>
    <t>FILT AICEITE GP 24419340</t>
  </si>
  <si>
    <t>LB-236</t>
  </si>
  <si>
    <t>TAPA P  DEPURADOR DE TRAC  LAMBORGHINI</t>
  </si>
  <si>
    <t>LIQ-0005</t>
  </si>
  <si>
    <t>FUNDA PARA VIVERO DE 4X6 10 MILLARES</t>
  </si>
  <si>
    <t>MAY-004</t>
  </si>
  <si>
    <t>DISCO PLASTICO C35</t>
  </si>
  <si>
    <t>MAY-963</t>
  </si>
  <si>
    <t>ARRANQUE COMPLETO DE MS 56</t>
  </si>
  <si>
    <t>MOT-0023</t>
  </si>
  <si>
    <t>MOTOR HONDA 6.5 HP</t>
  </si>
  <si>
    <t xml:space="preserve">MOTOR DIESEL 10 HP F400 </t>
  </si>
  <si>
    <t>MOTOR DIESEL 6.7 HP F300</t>
  </si>
  <si>
    <t>MOTOR DIESEL 16HP 2200RPM CHANGFA-1100</t>
  </si>
  <si>
    <t>MOT-365</t>
  </si>
  <si>
    <t>MOTOR GASO 4 HP EJE RECTO</t>
  </si>
  <si>
    <t>MOT-53</t>
  </si>
  <si>
    <t>MOTOR HONDA 5.5 HP 3600 RPM</t>
  </si>
  <si>
    <t>MOT-640</t>
  </si>
  <si>
    <t>MOTOR DIESEL 8 HP CHANFA</t>
  </si>
  <si>
    <t>MP - 063</t>
  </si>
  <si>
    <t>MICROELEEMENTOS SOLUBLES + AMINOACIDOS</t>
  </si>
  <si>
    <t>MP - 064</t>
  </si>
  <si>
    <t>ORTOFOSFATO 20% + AMINIO ACIDOS X LITRO</t>
  </si>
  <si>
    <t>MP - 233</t>
  </si>
  <si>
    <t>ETIQUETA AGROTAFOL COMBI DELANTERA</t>
  </si>
  <si>
    <t>MP -234</t>
  </si>
  <si>
    <t>ETIQUETA AGROTAFOL COMBI POSTERIOR</t>
  </si>
  <si>
    <t>MP-000100</t>
  </si>
  <si>
    <t>ETIQUETA AGROTAFOL FOSFITO X 250 ML</t>
  </si>
  <si>
    <t>MP-001</t>
  </si>
  <si>
    <t>30 - 10 - 10 - 2 + MICROELEMENTOS X KG</t>
  </si>
  <si>
    <t>MP-002</t>
  </si>
  <si>
    <t>10 - 15 - 30 - 5 + MICROELEMENTOS X KG</t>
  </si>
  <si>
    <t>MP-003</t>
  </si>
  <si>
    <t>20 - 20 - 20 - 1 + MICROELEMENTOS X KG</t>
  </si>
  <si>
    <t>MP-004</t>
  </si>
  <si>
    <t>15 - 40 - 15 - 1 + MICROELEMENTOS X KG</t>
  </si>
  <si>
    <t>MP-0056</t>
  </si>
  <si>
    <t>BISPIRIBAC SODIO 40%</t>
  </si>
  <si>
    <t>MP-006</t>
  </si>
  <si>
    <t>10 - 15 - 30 - 5 + MICROELEMENTOS  500 G</t>
  </si>
  <si>
    <t>MP-008</t>
  </si>
  <si>
    <t>15-40-15-1+MICROELEMENTOS 500 G</t>
  </si>
  <si>
    <t>MP-011</t>
  </si>
  <si>
    <t>35 -  25 - 20 + MICRO + GA3 + AUXINAS + VITAMINAS</t>
  </si>
  <si>
    <t>MP-015</t>
  </si>
  <si>
    <t>FOSFONATO POTASICO 70 %</t>
  </si>
  <si>
    <t>MP-017</t>
  </si>
  <si>
    <t>OXIDO DE POTASIO 40 % QUELATADO</t>
  </si>
  <si>
    <t>MP-0176</t>
  </si>
  <si>
    <t>ETIQUETA TOKAL 400 X 100 ML</t>
  </si>
  <si>
    <t>MP-019</t>
  </si>
  <si>
    <t>QUELATO DE ZN + AZUFRE + AC. HUMICOS</t>
  </si>
  <si>
    <t>MP-020</t>
  </si>
  <si>
    <t>CALCIO 6 % / BORO 3 %</t>
  </si>
  <si>
    <t>MP-021</t>
  </si>
  <si>
    <t>ACEITE MINERAL</t>
  </si>
  <si>
    <t>MP-022</t>
  </si>
  <si>
    <t>ACIDOS HUMICOS , FULVICOS + AMINOACIDOS</t>
  </si>
  <si>
    <t>MP-023</t>
  </si>
  <si>
    <t>HEXYTHIAZOX 5 % EC</t>
  </si>
  <si>
    <t>MP-024</t>
  </si>
  <si>
    <t>MYCLOBUTANIL 12,5 % EC x 200L</t>
  </si>
  <si>
    <t>MP-025</t>
  </si>
  <si>
    <t>BENALAXIL 8% + MANCOZEB 65 % WP 500 GR</t>
  </si>
  <si>
    <t>MP-029</t>
  </si>
  <si>
    <t>DIFENOCONAZOLE 25 % EC</t>
  </si>
  <si>
    <t>MP-031</t>
  </si>
  <si>
    <t>FOSETYL ALUMINIO 80 % WP KILO</t>
  </si>
  <si>
    <t>MP-034</t>
  </si>
  <si>
    <t>CLOROTALONIL 72 % SC</t>
  </si>
  <si>
    <t>MP-037</t>
  </si>
  <si>
    <t>CARBENDAZIM 50 % SC 200L</t>
  </si>
  <si>
    <t>MP-038</t>
  </si>
  <si>
    <t>CARBENDAZIM 50 % WP KILO</t>
  </si>
  <si>
    <t>MP-040</t>
  </si>
  <si>
    <t>CARBENDAZIM 50 % WP 100 GR</t>
  </si>
  <si>
    <t>MP-047</t>
  </si>
  <si>
    <t>SULFATO DE COBRE 24%</t>
  </si>
  <si>
    <t>MP-0471</t>
  </si>
  <si>
    <t>SULFATO DE COBRE + AMINOACIDOS</t>
  </si>
  <si>
    <t>MP-058</t>
  </si>
  <si>
    <t>PARAQUAT 24 % SC 200 LT</t>
  </si>
  <si>
    <t>MP-062</t>
  </si>
  <si>
    <t>TENSOACTIVO HUMECTANTE</t>
  </si>
  <si>
    <t>MP-064</t>
  </si>
  <si>
    <t>DELTAMETRINA 2,5 % EC</t>
  </si>
  <si>
    <t>MP-072</t>
  </si>
  <si>
    <t>CARTAP 50% WP  100 G</t>
  </si>
  <si>
    <t>MP-073</t>
  </si>
  <si>
    <t>CYROMAZINA 75 % WP x 50g</t>
  </si>
  <si>
    <t>MP-075</t>
  </si>
  <si>
    <t>IMIDACLOPRID 25 % WP 100 G</t>
  </si>
  <si>
    <t>MP-076</t>
  </si>
  <si>
    <t xml:space="preserve">LAMBDA CYHALOTRINA 2,5 % EC 200L </t>
  </si>
  <si>
    <t>MP-079</t>
  </si>
  <si>
    <t>CLOFENTAZINE 50 % SC</t>
  </si>
  <si>
    <t>MP-083</t>
  </si>
  <si>
    <t>ETIQUETA AGROTAFOL FLORACION X KILO</t>
  </si>
  <si>
    <t>MP-084</t>
  </si>
  <si>
    <t>ETIQUETA AGROTAFOL INICIAL X KILO</t>
  </si>
  <si>
    <t>MP-085</t>
  </si>
  <si>
    <t>ETIQUETA AGROTAFOL DESARROLLO X 500 GRS</t>
  </si>
  <si>
    <t>MP-087</t>
  </si>
  <si>
    <t>ETIQUETA AGROTAFOL FLORACION X 500 GRS</t>
  </si>
  <si>
    <t>MP-088</t>
  </si>
  <si>
    <t>ETIQUETA AGROTAFOL INICIAL X 500 GRS</t>
  </si>
  <si>
    <t>MP-089</t>
  </si>
  <si>
    <t>ETIQUETA AGROTAFOL SUPER X KILO</t>
  </si>
  <si>
    <t>MP-092</t>
  </si>
  <si>
    <t>ETIQUETA AGROTAFOL CALCIO X 500 ML</t>
  </si>
  <si>
    <t>MP-095</t>
  </si>
  <si>
    <t>ETIQUETA AGROTAFOL AMINO X 500 ML</t>
  </si>
  <si>
    <t>MP-097</t>
  </si>
  <si>
    <t>ETIQUETA AGROTAFOL FOSFITO X LITRO</t>
  </si>
  <si>
    <t>MP-098</t>
  </si>
  <si>
    <t>ETIQUETA AGROTAFOL FOSFITO X 500 ML</t>
  </si>
  <si>
    <t>MP-099</t>
  </si>
  <si>
    <t>ETIQUETA AGROTAFOL K X LITRO</t>
  </si>
  <si>
    <t>MP-100</t>
  </si>
  <si>
    <t>ETIQUETA AGROTAFOL K PLUS X LITRO</t>
  </si>
  <si>
    <t>MP-101</t>
  </si>
  <si>
    <t>ETIQUETA AGROTAFOL K PLUS X 500 ML</t>
  </si>
  <si>
    <t>MP-103</t>
  </si>
  <si>
    <t>ETIQUETA AGROTAFOL ZINC X LITRO</t>
  </si>
  <si>
    <t>MP-104</t>
  </si>
  <si>
    <t>ETIQUETA AGROTAFOL ZINC X 500 ML</t>
  </si>
  <si>
    <t>MP-107</t>
  </si>
  <si>
    <t>ETIQUETA AGROTAFOL BORO X LITRO</t>
  </si>
  <si>
    <t>MP-108</t>
  </si>
  <si>
    <t>ETIQUETA AGROTAFOL BORO X 500 ML</t>
  </si>
  <si>
    <t>MP-109</t>
  </si>
  <si>
    <t>ETIQUETA AGROTAFOL BORO X 250 ML</t>
  </si>
  <si>
    <t>MP-110</t>
  </si>
  <si>
    <t>ETIQUETA AGROTAFOL AC X LITRO</t>
  </si>
  <si>
    <t>MP-113</t>
  </si>
  <si>
    <t>ETIQUETA ORGANIC POWER X LITRO</t>
  </si>
  <si>
    <t>MP-114</t>
  </si>
  <si>
    <t>ETIQUETA ORGANIC POWER X 250 ML</t>
  </si>
  <si>
    <t>MP-117</t>
  </si>
  <si>
    <t>ETIQUETA SINOMITE X LITRO</t>
  </si>
  <si>
    <t>MP-118</t>
  </si>
  <si>
    <t>ETIQUETA SINOMITE X 100 ML</t>
  </si>
  <si>
    <t>MP-121</t>
  </si>
  <si>
    <t>ETIQUETA SINOZOX X 500 ML</t>
  </si>
  <si>
    <t>MP-122</t>
  </si>
  <si>
    <t>ETIQUETA SINOZOX X 100 ML</t>
  </si>
  <si>
    <t>MP-123</t>
  </si>
  <si>
    <t>ETIQUETA LETAL X 500 ML</t>
  </si>
  <si>
    <t>MP-1234</t>
  </si>
  <si>
    <t>ETIQUETA SKEKURA X 500 GRS DEL</t>
  </si>
  <si>
    <t>MP-1235</t>
  </si>
  <si>
    <t>TENSOACTIVO PLUS</t>
  </si>
  <si>
    <t>MP-124</t>
  </si>
  <si>
    <t>ETIQUETA LETAL X 250 ML</t>
  </si>
  <si>
    <t>MP-125</t>
  </si>
  <si>
    <t>ETIQUETA LETAL X 100 ML</t>
  </si>
  <si>
    <t>MP-126</t>
  </si>
  <si>
    <t>ETIQUETA PARALANCHA X 500 GRS / DELANTER</t>
  </si>
  <si>
    <t>MP-1262</t>
  </si>
  <si>
    <t>16-16-12  + B X LITRO</t>
  </si>
  <si>
    <t>MP-1266</t>
  </si>
  <si>
    <t>16-16-12+1B X GALON</t>
  </si>
  <si>
    <t>MP-128</t>
  </si>
  <si>
    <t>ETIQUETA SARGENT X LITRO</t>
  </si>
  <si>
    <t>MP-129</t>
  </si>
  <si>
    <t>ETIQUETA SARGENT X 250 ML</t>
  </si>
  <si>
    <t>MP-130</t>
  </si>
  <si>
    <t>ETIQUETA FAST X LITRO</t>
  </si>
  <si>
    <t>MP-131</t>
  </si>
  <si>
    <t>ETIQUETA FAST X 250 ML</t>
  </si>
  <si>
    <t>MP-132</t>
  </si>
  <si>
    <t>ETIQUETA FAST X 100 ML</t>
  </si>
  <si>
    <t>MP-1323</t>
  </si>
  <si>
    <t>ETIQUETA SKEKURA X 500 GRS POST</t>
  </si>
  <si>
    <t>MP-133</t>
  </si>
  <si>
    <t>ETIQUETA SCOBA X LITRO</t>
  </si>
  <si>
    <t>MP-134</t>
  </si>
  <si>
    <t>ETIQUETA SCOBA X 250 ML</t>
  </si>
  <si>
    <t>MP-135</t>
  </si>
  <si>
    <t>ETIQUETA SCOBA X 100 ML</t>
  </si>
  <si>
    <t>MP-136</t>
  </si>
  <si>
    <t>ETIQUETA SCOBA X 50 ML</t>
  </si>
  <si>
    <t>MP-137</t>
  </si>
  <si>
    <t>ETIQUETA BOTRYAZOLE X LITRO</t>
  </si>
  <si>
    <t>MP-138</t>
  </si>
  <si>
    <t>ETIQUETA BOTRYAZOLE X 250 ML</t>
  </si>
  <si>
    <t>MP-140</t>
  </si>
  <si>
    <t>ETIQUETA SINOTYL X KILO</t>
  </si>
  <si>
    <t>MP-141</t>
  </si>
  <si>
    <t>ETIQUETA SINOTYL X 500 GRS - DELANTERA</t>
  </si>
  <si>
    <t>MP-146</t>
  </si>
  <si>
    <t>ETIQUETA SITI X 500 GRS</t>
  </si>
  <si>
    <t>MP-147</t>
  </si>
  <si>
    <t>ETIQUETA SITI X 250 GRS</t>
  </si>
  <si>
    <t>MP-148</t>
  </si>
  <si>
    <t>ETIQUETA SKEKURA X LITRO</t>
  </si>
  <si>
    <t>MP-149</t>
  </si>
  <si>
    <t>ETIQUETA SKEKURA X250 ML</t>
  </si>
  <si>
    <t>MP-150</t>
  </si>
  <si>
    <t>ETIQUETA SKEKURA X 100 ML</t>
  </si>
  <si>
    <t>MP-151</t>
  </si>
  <si>
    <t>ETIQUETA SKEKURA X KILO</t>
  </si>
  <si>
    <t>MP-152</t>
  </si>
  <si>
    <t>ETIQUETA SKEKURA X 250 GRS</t>
  </si>
  <si>
    <t>MP-156</t>
  </si>
  <si>
    <t>ETIQUETA SPIN X 500 ML</t>
  </si>
  <si>
    <t>MP-157</t>
  </si>
  <si>
    <t>ETIQUETA SPIN X 250 ML</t>
  </si>
  <si>
    <t>MP-160</t>
  </si>
  <si>
    <t>ETIQUETA AGROTHANE X 500 GRS</t>
  </si>
  <si>
    <t>MP-162</t>
  </si>
  <si>
    <t>ETIQUETA BUCANER X LITRO</t>
  </si>
  <si>
    <t>MP-163</t>
  </si>
  <si>
    <t>ETIQUETA BUCANER X 500 ML</t>
  </si>
  <si>
    <t>MP-164</t>
  </si>
  <si>
    <t>ETIQUETA BUCANER X 250 ML</t>
  </si>
  <si>
    <t>MP-168</t>
  </si>
  <si>
    <t>ETIQUETA GLIFOSATO X LITRO</t>
  </si>
  <si>
    <t>MP-170</t>
  </si>
  <si>
    <t>ETIQUETA AGROTAMINA X LITRO</t>
  </si>
  <si>
    <t>MP-173</t>
  </si>
  <si>
    <t>ETIQUETA AGROTALINA X LITRO</t>
  </si>
  <si>
    <t>MP-176</t>
  </si>
  <si>
    <t>ETIQUETA TOKAL X 250 ML</t>
  </si>
  <si>
    <t>MP-177</t>
  </si>
  <si>
    <t>ETIQUETA FIERA X LITRO</t>
  </si>
  <si>
    <t>MP-180</t>
  </si>
  <si>
    <t>ETIQUETA KEMADOR X LITRO</t>
  </si>
  <si>
    <t>MP-181</t>
  </si>
  <si>
    <t>ETIQUETA KEMADOR X GALON</t>
  </si>
  <si>
    <t>MP-183</t>
  </si>
  <si>
    <t>ETIQUETA TANQUE X LITRO</t>
  </si>
  <si>
    <t>MP-186</t>
  </si>
  <si>
    <t>ETIQUETA AGROTAFIX X LITRO</t>
  </si>
  <si>
    <t>MP-187</t>
  </si>
  <si>
    <t>ETIQUETA AGROTAFIX X 250 ML</t>
  </si>
  <si>
    <t>MP-188</t>
  </si>
  <si>
    <t>ETIQUETA AGROTAFOL PH X LITRO</t>
  </si>
  <si>
    <t>MP-189</t>
  </si>
  <si>
    <t>ETIQUETA AGROTAFOL PH X 100 ML</t>
  </si>
  <si>
    <t>MP-190</t>
  </si>
  <si>
    <t>ETIQUETA ANIQUILADOR X LITRO</t>
  </si>
  <si>
    <t>MP-191</t>
  </si>
  <si>
    <t>ETIQUETA ANIQUILADOR X 100 ML</t>
  </si>
  <si>
    <t>MP-193</t>
  </si>
  <si>
    <t>ETIQUETA CAPITAN X 500 ML</t>
  </si>
  <si>
    <t>MP-1945</t>
  </si>
  <si>
    <t>BENALAXYL + MANCOZEB  BLUE X 500 G</t>
  </si>
  <si>
    <t>MP-19451</t>
  </si>
  <si>
    <t>ETIQUETA RIDONATE X 200 ML</t>
  </si>
  <si>
    <t>MP-19452</t>
  </si>
  <si>
    <t>ETIQUETA BUCANER FORTE X 250 ML</t>
  </si>
  <si>
    <t>MP-19453</t>
  </si>
  <si>
    <t>ETIQUETA BUCANER X 100 ML</t>
  </si>
  <si>
    <t>MP-19454</t>
  </si>
  <si>
    <t>ETIQUETA RIDONATE X 100 ML</t>
  </si>
  <si>
    <t>MP-19455</t>
  </si>
  <si>
    <t>ETIQUETA RIDONATE X 400 ML</t>
  </si>
  <si>
    <t>MP-19456</t>
  </si>
  <si>
    <t>ETIQUETA BUCANER FORTE X 500 ML</t>
  </si>
  <si>
    <t>MP-19457</t>
  </si>
  <si>
    <t>ETIQUETA BUCANER FORTE X 100 ML</t>
  </si>
  <si>
    <t>MP-19458</t>
  </si>
  <si>
    <t>ETIQUETA GREEN GIBB DELANTERA</t>
  </si>
  <si>
    <t>MP-19459</t>
  </si>
  <si>
    <t>ETIQUETA GREEN GIBB POSTERIOR</t>
  </si>
  <si>
    <t>MP-1946</t>
  </si>
  <si>
    <t>CIROMAZINA 75%WP PREIMPRESA X 50 G</t>
  </si>
  <si>
    <t>MP-195</t>
  </si>
  <si>
    <t>ETIQUETA LABOMBA X LITRO</t>
  </si>
  <si>
    <t>MP-197</t>
  </si>
  <si>
    <t>ETIQUETA LORFOS X LITRO</t>
  </si>
  <si>
    <t>MP-198</t>
  </si>
  <si>
    <t>ETIQUETA LORFOS X 250 ML</t>
  </si>
  <si>
    <t>MP-200</t>
  </si>
  <si>
    <t>ETIQUETA ENDOSULFAN X 250 ML</t>
  </si>
  <si>
    <t>MP-201</t>
  </si>
  <si>
    <t>ETIQUETA CIPERMETRINA X LITRO</t>
  </si>
  <si>
    <t>MP-206</t>
  </si>
  <si>
    <t>ETIQUETA DEPREDADOR X 300 GRS</t>
  </si>
  <si>
    <t>MP-207</t>
  </si>
  <si>
    <t>ETIQUETA DEPREDADOR X 100 GRS</t>
  </si>
  <si>
    <t>MP-208</t>
  </si>
  <si>
    <t>ETIQUETA FULMINANTE  X 50 GRS / DELANTER</t>
  </si>
  <si>
    <t>MP-211</t>
  </si>
  <si>
    <t>ETIQUETA SKEMATA X 100 ML</t>
  </si>
  <si>
    <t>MP-212</t>
  </si>
  <si>
    <t>ETIQUETA SKEMATA X 250 ML</t>
  </si>
  <si>
    <t>MP-213</t>
  </si>
  <si>
    <t>ETIQUETA SKEMATA X 500 ML</t>
  </si>
  <si>
    <t>MP-214</t>
  </si>
  <si>
    <t>ETIQUETA SKEMATA X LITRO</t>
  </si>
  <si>
    <t>MP-216</t>
  </si>
  <si>
    <t>ENVASE PET LITRO</t>
  </si>
  <si>
    <t>MP-217</t>
  </si>
  <si>
    <t>ENVASE PET 500 ML</t>
  </si>
  <si>
    <t>MP-218</t>
  </si>
  <si>
    <t>ENVASE PET 250 ML</t>
  </si>
  <si>
    <t>MP-219</t>
  </si>
  <si>
    <t>ENVASE AGROGALON</t>
  </si>
  <si>
    <t>MP-221</t>
  </si>
  <si>
    <t>ENVASE AGROBALA 1/2 LITRO</t>
  </si>
  <si>
    <t>MP-222</t>
  </si>
  <si>
    <t>ENVASE AGROBALA 1/4 LITRO</t>
  </si>
  <si>
    <t>MP-223</t>
  </si>
  <si>
    <t>ENVASE FARMACEUTICO 120 ML</t>
  </si>
  <si>
    <t>MP-224</t>
  </si>
  <si>
    <t>ENVASE FARMACEUTICO 60 ML</t>
  </si>
  <si>
    <t>MP-225</t>
  </si>
  <si>
    <t>ENVASE PARAGUAS PREIMPRESA</t>
  </si>
  <si>
    <t>MP-227</t>
  </si>
  <si>
    <t>ENVASE TROMBA 250 G PREIMPRESA</t>
  </si>
  <si>
    <t>MP-228</t>
  </si>
  <si>
    <t>ENVASE AGROTHANE KG PREIMPRESA</t>
  </si>
  <si>
    <t>MP-229</t>
  </si>
  <si>
    <t>ENVASE ATRAZINA KG PREIMPRESA</t>
  </si>
  <si>
    <t>MP-230</t>
  </si>
  <si>
    <t>ETIQUETA ESTAMPIDA X 100 ML</t>
  </si>
  <si>
    <t>MP-234</t>
  </si>
  <si>
    <t>ETIQUETA ESTAMPIDA X 250 ML</t>
  </si>
  <si>
    <t>MP-241</t>
  </si>
  <si>
    <t>ETIQUETA MOSKAFIN X 100 GMS</t>
  </si>
  <si>
    <t>MP-246</t>
  </si>
  <si>
    <t>ETIQUETA SINOPRID X 500 GMS / DELANTERA</t>
  </si>
  <si>
    <t>MP-248</t>
  </si>
  <si>
    <t>ETIQUETA ORGANIC POWER X 500 ML</t>
  </si>
  <si>
    <t>MP-249</t>
  </si>
  <si>
    <t>ENVASE PREIMPRESO SKEKURA WP X 100 GMS</t>
  </si>
  <si>
    <t>MP-251</t>
  </si>
  <si>
    <t>ETIQUETA YOGA X LITRO</t>
  </si>
  <si>
    <t>MP-254</t>
  </si>
  <si>
    <t>ETIQUETA SINOPRID X 50 GMS</t>
  </si>
  <si>
    <t>MP-255</t>
  </si>
  <si>
    <t>ETIQUETA YOGA X 100 ML</t>
  </si>
  <si>
    <t>MP-259</t>
  </si>
  <si>
    <t>PROPICONAZOL 25 % EC</t>
  </si>
  <si>
    <t>MP-26</t>
  </si>
  <si>
    <t>ETIQUETA FULMINANTE X 50 GMS / TRASERA</t>
  </si>
  <si>
    <t>MP-2601</t>
  </si>
  <si>
    <t>ETIQUETA FULMINANTE DEL AGRIPAC</t>
  </si>
  <si>
    <t>MP-2602</t>
  </si>
  <si>
    <t>ETIQUETA FULMINANTE POST AGRIPAC</t>
  </si>
  <si>
    <t>MP-261</t>
  </si>
  <si>
    <t>ETIQUETA RAIZ FORTE X LITRO</t>
  </si>
  <si>
    <t>MP-2611</t>
  </si>
  <si>
    <t>ETIQUETA RAIZ FORTE X 500 ML</t>
  </si>
  <si>
    <t>MP-262</t>
  </si>
  <si>
    <t>16-16-12 -1B x 500 ml</t>
  </si>
  <si>
    <t>MP-2621</t>
  </si>
  <si>
    <t>16-16-12+ B X 200 LTS</t>
  </si>
  <si>
    <t>MP-265</t>
  </si>
  <si>
    <t>ENVASE SINOPRID X 100 GMS PREIMPRESA</t>
  </si>
  <si>
    <t>MP-267</t>
  </si>
  <si>
    <t>CARBENDAZIM 50 % WP 25 KG (Kg)</t>
  </si>
  <si>
    <t>MP-268</t>
  </si>
  <si>
    <t>ETIQUETA AGROTAFIX X 100 ML</t>
  </si>
  <si>
    <t>MP-2681</t>
  </si>
  <si>
    <t>ETIQUETA AGROTAFIX PLUS X 100 ML</t>
  </si>
  <si>
    <t>MP-269</t>
  </si>
  <si>
    <t>ETIQUETA AGROCARBOFURAN X LITRO</t>
  </si>
  <si>
    <t>MP-270</t>
  </si>
  <si>
    <t>ETIQUETA AGROCARBOFURAN X 250 ML</t>
  </si>
  <si>
    <t>MP-271</t>
  </si>
  <si>
    <t>ENVASE AGROBALA X 100 ML</t>
  </si>
  <si>
    <t>MP-273</t>
  </si>
  <si>
    <t>ETIQUETA AGROVERDOL X 500 ML</t>
  </si>
  <si>
    <t>MP-274</t>
  </si>
  <si>
    <t>ETIQUETA SINOTOP X LITRO</t>
  </si>
  <si>
    <t>MP-275</t>
  </si>
  <si>
    <t>ETIQUETA SINOTOP X 100 ML</t>
  </si>
  <si>
    <t>MP-276</t>
  </si>
  <si>
    <t>ETIQUETA AGROTASULF X LITRO</t>
  </si>
  <si>
    <t>MP-279</t>
  </si>
  <si>
    <t>ETIQUETA SKEKURA X 200 GMS</t>
  </si>
  <si>
    <t>MP-2791</t>
  </si>
  <si>
    <t>ETIQUETA SKEKURA 200 GRS DELANTERA</t>
  </si>
  <si>
    <t xml:space="preserve">MP-2792        </t>
  </si>
  <si>
    <t>ETIQUETA SKEKURA X 200 GRS POSTERIOR</t>
  </si>
  <si>
    <t>MP-284</t>
  </si>
  <si>
    <t>ETIQUETA CITOQMAX X LITRO</t>
  </si>
  <si>
    <t>MP-285</t>
  </si>
  <si>
    <t>ETIQUETA AGROVERDOL X LITRO</t>
  </si>
  <si>
    <t>MP-289</t>
  </si>
  <si>
    <t>ETIQUETA CIROMAZINA X 50 GMS DEL  (F. A.</t>
  </si>
  <si>
    <t>MP-2891</t>
  </si>
  <si>
    <t>ETIQUETA CIROMAZINA  50 GRS AGROMAC ( DEL)</t>
  </si>
  <si>
    <t>MP-292</t>
  </si>
  <si>
    <t>ENVASE COEX 125 g X LITRO</t>
  </si>
  <si>
    <t>MP-310</t>
  </si>
  <si>
    <t>ENVASE SINOTYL X 100 GMS PREIMPRESO</t>
  </si>
  <si>
    <t>MP-313</t>
  </si>
  <si>
    <t>FOSETIL ALUMINIO 80 %   X 25 KG</t>
  </si>
  <si>
    <t>MP-315</t>
  </si>
  <si>
    <t>ENVASE AGROTAFOL DESARROLLO X KILO PREIM</t>
  </si>
  <si>
    <t>MP-316</t>
  </si>
  <si>
    <t>ENVASE AGROTAFOL ENGROSE X KILO PREIMPRE</t>
  </si>
  <si>
    <t>MP-350</t>
  </si>
  <si>
    <t>ETIQUETA BIOBAN LITRO GALON 5 GL</t>
  </si>
  <si>
    <t>MP-351</t>
  </si>
  <si>
    <t>ETIQUETA VIRAFIN X LT</t>
  </si>
  <si>
    <t>MP-352</t>
  </si>
  <si>
    <t>ETIQUETA VIRAFIN X 250 ML</t>
  </si>
  <si>
    <t>MP-353</t>
  </si>
  <si>
    <t>ETIQUETA ESTAMPIDA ORGANICO X LITRO</t>
  </si>
  <si>
    <t>MP-358</t>
  </si>
  <si>
    <t>METSULFURON METYL 600 GL/LT</t>
  </si>
  <si>
    <t>MP-359</t>
  </si>
  <si>
    <t>ETIQUETA ZULLY X 15 GRS DELANTERA</t>
  </si>
  <si>
    <t>MP-360</t>
  </si>
  <si>
    <t>ETIQUETA ZULLY X 15 GRS POSTERIOR</t>
  </si>
  <si>
    <t>MP-361</t>
  </si>
  <si>
    <t>ENVASE PREIMPRESO PARALANCHA 250/500 G</t>
  </si>
  <si>
    <t>MP-362</t>
  </si>
  <si>
    <t>ETIQUETA VIRUS STOP X 250 ML</t>
  </si>
  <si>
    <t>MP-363</t>
  </si>
  <si>
    <t>ETIQUETA SKEKURA X 500 ML</t>
  </si>
  <si>
    <t>MP-364</t>
  </si>
  <si>
    <t>CARBENDAZIM 50 % WP X 200 GMS</t>
  </si>
  <si>
    <t>MP-366</t>
  </si>
  <si>
    <t>ETIQUETA BLINDAX X 100 ML</t>
  </si>
  <si>
    <t>MP-368</t>
  </si>
  <si>
    <t>ETIQUETA QUITA LATEX GALON - CANECA</t>
  </si>
  <si>
    <t>MP-370</t>
  </si>
  <si>
    <t>BENALAXIL + MANCOZEB BLUE X 25 KG</t>
  </si>
  <si>
    <t>MP-371</t>
  </si>
  <si>
    <t>BISPIRIBAC SODIUM 40% SC X 100 ML</t>
  </si>
  <si>
    <t>MP-373</t>
  </si>
  <si>
    <t>LAMBDACIHALOTRINA 2,5% EC X 250 ML</t>
  </si>
  <si>
    <t>MP-374</t>
  </si>
  <si>
    <t>LAMBDACIHALOTRINA 2,5% EC X 100 ML</t>
  </si>
  <si>
    <t>MP-382</t>
  </si>
  <si>
    <t>DIFENOCONAZOLE COEX x LT</t>
  </si>
  <si>
    <t>MP-387</t>
  </si>
  <si>
    <t>ETIQUETA CIROMAZINA X 50 GMS  DEL (AGROT</t>
  </si>
  <si>
    <t>MP-388</t>
  </si>
  <si>
    <t>ETIQUETA CIROMAZINA 50 GRS POST (AGROTA)</t>
  </si>
  <si>
    <t>MP-389</t>
  </si>
  <si>
    <t>ETIQUETA CIROMAZINA 50 GRS POST (F.A)</t>
  </si>
  <si>
    <t>MP-390</t>
  </si>
  <si>
    <t>ETIQUETA IMPULMAX X LITRO</t>
  </si>
  <si>
    <t>MP-391</t>
  </si>
  <si>
    <t>ETIQUETA IMPULMAX X 250 ML</t>
  </si>
  <si>
    <t>MP-392</t>
  </si>
  <si>
    <t>ETIQUETA UREUM LITRO-GALON-20 L</t>
  </si>
  <si>
    <t>MP-393</t>
  </si>
  <si>
    <t>ETIQUETA ANIQUILADOR X 250 ML</t>
  </si>
  <si>
    <t>MP-394</t>
  </si>
  <si>
    <t>ETIQUETA ANIQUILADOR X 500 ML</t>
  </si>
  <si>
    <t>MP-395</t>
  </si>
  <si>
    <t>ETIQUETA RAIZ FORTE G X KILO</t>
  </si>
  <si>
    <t>MP-396</t>
  </si>
  <si>
    <t>HUMICEL 20 LITROS</t>
  </si>
  <si>
    <t>MP-398</t>
  </si>
  <si>
    <t>KELAGRO MAGNESIO X 20 LITROS</t>
  </si>
  <si>
    <t>MP-400</t>
  </si>
  <si>
    <t>ETIQUETA TOKAL 400 X 500ML</t>
  </si>
  <si>
    <t>MP-402</t>
  </si>
  <si>
    <t>ABAMECTINA NEGRA 1.8% X 200L</t>
  </si>
  <si>
    <t>MP-405</t>
  </si>
  <si>
    <t>ETIQUETA AMINO FISH X LITRO</t>
  </si>
  <si>
    <t>MP-407</t>
  </si>
  <si>
    <t>UREFOL X CANECA 20L</t>
  </si>
  <si>
    <t>MP-413</t>
  </si>
  <si>
    <t>MICROMAR BORO X LT</t>
  </si>
  <si>
    <t>MP-414</t>
  </si>
  <si>
    <t>HUMITREX X LT</t>
  </si>
  <si>
    <t>MP-415</t>
  </si>
  <si>
    <t>BUTACLOR X LT</t>
  </si>
  <si>
    <t>MP-416</t>
  </si>
  <si>
    <t>PROPANIL X GL</t>
  </si>
  <si>
    <t>MP-417</t>
  </si>
  <si>
    <t>PROPAMAC X GL</t>
  </si>
  <si>
    <t>MP-459</t>
  </si>
  <si>
    <t>ENVASE PREIMPRESO AGROTAFOL COMBI X 200</t>
  </si>
  <si>
    <t>MP-460</t>
  </si>
  <si>
    <t>CARTAP 50 % PS 25KG</t>
  </si>
  <si>
    <t>MP-465</t>
  </si>
  <si>
    <t>IMIDACLOROPRID 25% WP X 25KL</t>
  </si>
  <si>
    <t>MP-542</t>
  </si>
  <si>
    <t>ETIQUETA BLINDAX LITRO GALON 20 L</t>
  </si>
  <si>
    <t>MP-543</t>
  </si>
  <si>
    <t>PARAQUAT X GALON</t>
  </si>
  <si>
    <t>MP-558</t>
  </si>
  <si>
    <t>CAJA COMBO FRESA</t>
  </si>
  <si>
    <t>MP-578</t>
  </si>
  <si>
    <t>16-16-12+ 1B X 5 GALO</t>
  </si>
  <si>
    <t>MP-6610</t>
  </si>
  <si>
    <t>ETIQUETA PROPILAQ POR 100ML</t>
  </si>
  <si>
    <t>MP-6612</t>
  </si>
  <si>
    <t>ETIQUETA RIDONATE X LITRO</t>
  </si>
  <si>
    <t>MP-6613</t>
  </si>
  <si>
    <t>ETIQUETA RIDONATE X 500 ML</t>
  </si>
  <si>
    <t xml:space="preserve">MP-6614        </t>
  </si>
  <si>
    <t>ETIQUETA RIDONATE X 250 ML</t>
  </si>
  <si>
    <t>mp-6615</t>
  </si>
  <si>
    <t>ETIQUETA PROPILAQ X  250ML</t>
  </si>
  <si>
    <t>MP-66690</t>
  </si>
  <si>
    <t>ETIQUETA CITOQMAX X 250 ML</t>
  </si>
  <si>
    <t>MP-667</t>
  </si>
  <si>
    <t>ETIQUETA PROPILAQ X LITRO</t>
  </si>
  <si>
    <t>MP-668</t>
  </si>
  <si>
    <t>TEBUCONAZOL 25% EC x 200 LT</t>
  </si>
  <si>
    <t>MP-6687</t>
  </si>
  <si>
    <t>ETIQUETA BIOBAN X 250 ML</t>
  </si>
  <si>
    <t>MP-669</t>
  </si>
  <si>
    <t>ETIQUETA QUBIK X LITRO</t>
  </si>
  <si>
    <t>MP-7091</t>
  </si>
  <si>
    <t>ETIQUETA FEGADAZIM X LITRO</t>
  </si>
  <si>
    <t>MP-7092</t>
  </si>
  <si>
    <t>ETIQUETA FEGADAZIM X 250 ML</t>
  </si>
  <si>
    <t>MP-767</t>
  </si>
  <si>
    <t>ENVASE CLON X LITRO</t>
  </si>
  <si>
    <t>MP-788</t>
  </si>
  <si>
    <t>ETIQUETA ABAMECTIN  X 100 ML</t>
  </si>
  <si>
    <t>MP-789</t>
  </si>
  <si>
    <t>ETIQUETA ABAMECTIN X LITRO</t>
  </si>
  <si>
    <t>MP-790</t>
  </si>
  <si>
    <t>TENSOACTIVO HUMECTANTE  PLUS  X 100 ML</t>
  </si>
  <si>
    <t>MP-791</t>
  </si>
  <si>
    <t>FOSFONATO POTASICO 70% X 500 ML</t>
  </si>
  <si>
    <t>MP-7911</t>
  </si>
  <si>
    <t>TENSOACTIVO HUMECTANTE X 100 ML</t>
  </si>
  <si>
    <t>MP-800</t>
  </si>
  <si>
    <t xml:space="preserve">ENVASE COEX 105g X LITRO   </t>
  </si>
  <si>
    <t>MP-801</t>
  </si>
  <si>
    <t xml:space="preserve">ENVASE COEX 60g X 500ML     </t>
  </si>
  <si>
    <t>MP-802</t>
  </si>
  <si>
    <t xml:space="preserve">ENVASE COEX 40g X 250ML    </t>
  </si>
  <si>
    <t>MP-803</t>
  </si>
  <si>
    <t xml:space="preserve">ENVASE COEX 20g X 100ML     </t>
  </si>
  <si>
    <t>MP-855</t>
  </si>
  <si>
    <t>ETIQUETA SUPERMATA TODO (RIERA) LT/GL</t>
  </si>
  <si>
    <t>MP-856</t>
  </si>
  <si>
    <t>ETIQUETA MOSKAFIN 100G (DR. AGRO)POST.</t>
  </si>
  <si>
    <t>MP-857</t>
  </si>
  <si>
    <t>ETIQUETA GLIFOSATO 20LT (RIERA)</t>
  </si>
  <si>
    <t>MP-858</t>
  </si>
  <si>
    <t>ETIQUETA SINOPRID 50 G / TRASERA</t>
  </si>
  <si>
    <t>MP-859</t>
  </si>
  <si>
    <t>ETIQUETA CIROMAZINA  50 GRS AGROMAC (POS</t>
  </si>
  <si>
    <t>MP-890</t>
  </si>
  <si>
    <t>BENALAXYL + MANCOZEB CREMA X 25 KILOS</t>
  </si>
  <si>
    <t>MP-897</t>
  </si>
  <si>
    <t>ETIQUETA LETAL X LITRO</t>
  </si>
  <si>
    <t>MP.0302</t>
  </si>
  <si>
    <t>STICKER PARALANCHA BLUE</t>
  </si>
  <si>
    <t>MY-008</t>
  </si>
  <si>
    <t>CILINDRO DEL MOTOR</t>
  </si>
  <si>
    <t>MY-010</t>
  </si>
  <si>
    <t>WASA CLUCTH</t>
  </si>
  <si>
    <t>MY-011</t>
  </si>
  <si>
    <t>TORNILLO DEL CLUTH</t>
  </si>
  <si>
    <t>MY-012</t>
  </si>
  <si>
    <t>PISTON</t>
  </si>
  <si>
    <t>MY-014</t>
  </si>
  <si>
    <t>BALIENRA DEL CIGUENAL</t>
  </si>
  <si>
    <t>MY-016</t>
  </si>
  <si>
    <t>EMPAQUE SILIENCIADOR</t>
  </si>
  <si>
    <t>MY-019</t>
  </si>
  <si>
    <t>BASE DIAFRAGMAS BC 420</t>
  </si>
  <si>
    <t>MY-024</t>
  </si>
  <si>
    <t>DIAFRAGMA CARBURADOR  BC420 190405</t>
  </si>
  <si>
    <t>MY-025</t>
  </si>
  <si>
    <t>DIAFRAGMA CARBURADOR BC 420 190408</t>
  </si>
  <si>
    <t>MY-029</t>
  </si>
  <si>
    <t>ESTABILIZADOR CUCHILLA BC 320H</t>
  </si>
  <si>
    <t>MY-032</t>
  </si>
  <si>
    <t>VALVULA DE V.R.P. COMPLETA</t>
  </si>
  <si>
    <t>MY-040</t>
  </si>
  <si>
    <t>COLLAR</t>
  </si>
  <si>
    <t>MY-1903-26</t>
  </si>
  <si>
    <t>1903-26 ANILLO DEL PISTON</t>
  </si>
  <si>
    <t>MY-1903-27</t>
  </si>
  <si>
    <t>1903-27 PIN DEL PISTON</t>
  </si>
  <si>
    <t>MY-36</t>
  </si>
  <si>
    <t>CILINDRO 7304-02</t>
  </si>
  <si>
    <t>MY1903-25</t>
  </si>
  <si>
    <t>1903-25 PISTON</t>
  </si>
  <si>
    <t>N-OO1</t>
  </si>
  <si>
    <t>RAICES 500</t>
  </si>
  <si>
    <t>NEW-001</t>
  </si>
  <si>
    <t>FILTRO HIDRAULICO 1920986-1</t>
  </si>
  <si>
    <t>NEW-010</t>
  </si>
  <si>
    <t>FILTRO DE ACETIE 81879134UK</t>
  </si>
  <si>
    <t>NEW-D8NN-B486-D</t>
  </si>
  <si>
    <t>FILTRO HDCO 4-5-6-7600 S10 S 30 D8NN-B48</t>
  </si>
  <si>
    <t>DIENTE P/MOTOSIERRA 27R 100B 0.404;DIENTE P/MOTOSIERRA 27R 100B 0.404</t>
  </si>
  <si>
    <t>BARRA GUIA 30 STL 303ATLE099 OREGON</t>
  </si>
  <si>
    <t>DIENTE P/MOTOSIERRA 73D 100B 3/8 OREGON</t>
  </si>
  <si>
    <t>ANILLO PINON PASO 0.404" 7 DIENTES 22270</t>
  </si>
  <si>
    <t>OR2021</t>
  </si>
  <si>
    <t>AN. ANTIES 6.2X9X1.5</t>
  </si>
  <si>
    <t>OT-00040</t>
  </si>
  <si>
    <t>KIT ESPADA Y CADENA 14"</t>
  </si>
  <si>
    <t>OT-0010</t>
  </si>
  <si>
    <t>DESARMADOR PLANO Y ESTRELLA SHINDAIWA</t>
  </si>
  <si>
    <t>OT-00404</t>
  </si>
  <si>
    <t>IMPULSOR DM-6110</t>
  </si>
  <si>
    <t>OT-015</t>
  </si>
  <si>
    <t>MOTOR 10HP WEG 1800RPM 220/440V</t>
  </si>
  <si>
    <t>02002-06001 COJINETE B450-B530</t>
  </si>
  <si>
    <t>02006-06000 COJINETE B45-B530</t>
  </si>
  <si>
    <t>OT-059</t>
  </si>
  <si>
    <t>CORONA DE TRACTOR LAMBORGINI</t>
  </si>
  <si>
    <t>OT-085</t>
  </si>
  <si>
    <t>BOMBA PRESION 10HP/F400 DIESEL</t>
  </si>
  <si>
    <t>OT-1000</t>
  </si>
  <si>
    <t>PINZA SEGURO INTERNO CUVO</t>
  </si>
  <si>
    <t>OT-1001</t>
  </si>
  <si>
    <t>PLAYO</t>
  </si>
  <si>
    <t>OT-1002</t>
  </si>
  <si>
    <t>PINZA PATA CONICA</t>
  </si>
  <si>
    <t>OT-1003</t>
  </si>
  <si>
    <t>PORTA MACHUELOS</t>
  </si>
  <si>
    <t>OT-1004</t>
  </si>
  <si>
    <t>CORTADORA DE ZUNCHOS SANDUIK</t>
  </si>
  <si>
    <t>OT-1005</t>
  </si>
  <si>
    <t>JUEGO LIMA JOYERO 10 PIEZAS</t>
  </si>
  <si>
    <t>OT-1006</t>
  </si>
  <si>
    <t>QUEMADOR DE GAS-MANGUERA-VALVULA</t>
  </si>
  <si>
    <t>OT-1007</t>
  </si>
  <si>
    <t>CILINDRO DE GAS</t>
  </si>
  <si>
    <t>OT-1008</t>
  </si>
  <si>
    <t>CHISPERO</t>
  </si>
  <si>
    <t>OT-1009</t>
  </si>
  <si>
    <t>DADO STY 1/2-1/4 86-384</t>
  </si>
  <si>
    <t>OT-1010</t>
  </si>
  <si>
    <t>DESTORNILLADOR DOBLE PUNTA</t>
  </si>
  <si>
    <t>OT-1011</t>
  </si>
  <si>
    <t>DESTORNILLADOR PARA CALIBRAR CARBURADOR</t>
  </si>
  <si>
    <t>OT-1012</t>
  </si>
  <si>
    <t>CALIBRADOR</t>
  </si>
  <si>
    <t>OT-1013</t>
  </si>
  <si>
    <t>ACEITERO</t>
  </si>
  <si>
    <t>OT-1014</t>
  </si>
  <si>
    <t>JUEGO TARRAJA - MACHUELO 25 PIEZAS</t>
  </si>
  <si>
    <t>OT-1015</t>
  </si>
  <si>
    <t>JUEGO DE MACHUELOS 5MM 0.8 3 PIEZAS</t>
  </si>
  <si>
    <t>OT-1017</t>
  </si>
  <si>
    <t>PINZA SACA BOCADOR</t>
  </si>
  <si>
    <t>OT-1018</t>
  </si>
  <si>
    <t>JUEGO DE MACHUELOS 3/16 24 3 PIEZAS"</t>
  </si>
  <si>
    <t>OT-1019</t>
  </si>
  <si>
    <t>LLAVE TORX 8 PIEZAS</t>
  </si>
  <si>
    <t>OT-1020</t>
  </si>
  <si>
    <t>LINTERNA</t>
  </si>
  <si>
    <t>OT-1021</t>
  </si>
  <si>
    <t>CAUTIN</t>
  </si>
  <si>
    <t>OT-1022</t>
  </si>
  <si>
    <t>LLAVE DE BUJIA 19MM</t>
  </si>
  <si>
    <t>OT-1023</t>
  </si>
  <si>
    <t>JUEGO DE MACHUELO 1/4 20 3 PIEZAS"</t>
  </si>
  <si>
    <t>OT-1024</t>
  </si>
  <si>
    <t>JUEGO TORQUIMETRO</t>
  </si>
  <si>
    <t>OT-1025</t>
  </si>
  <si>
    <t>LLAVE TUBO 24";LLAVE TUBO 24""</t>
  </si>
  <si>
    <t>OT-1030</t>
  </si>
  <si>
    <t>ZS1100-1120 FILTRO DE AIRE</t>
  </si>
  <si>
    <t>OT-1031</t>
  </si>
  <si>
    <t>ZS1100-CO506A FILTRO DE GASOLINA</t>
  </si>
  <si>
    <t>OT-1032</t>
  </si>
  <si>
    <t>PRENSA HIDRAULICA 20T</t>
  </si>
  <si>
    <t>OT-1033</t>
  </si>
  <si>
    <t>BOMBA DE FUMIGAR ANOBI REVERVERI 1 SALIDA</t>
  </si>
  <si>
    <t>OT-1041</t>
  </si>
  <si>
    <t>BOMBA DE AGUA DIESEL CWD 50XL</t>
  </si>
  <si>
    <t xml:space="preserve">OT-1050  </t>
  </si>
  <si>
    <t xml:space="preserve">TECLE HIDRAULICO </t>
  </si>
  <si>
    <t>OT-1051</t>
  </si>
  <si>
    <t xml:space="preserve">MOTOR 18HP EJE RECTO </t>
  </si>
  <si>
    <t>OT-107</t>
  </si>
  <si>
    <t>MOTOR GASO 16 HP EJE RECTO I/C B&amp;S</t>
  </si>
  <si>
    <t>POLEA A3.5"/1RAN,3/4" GASO</t>
  </si>
  <si>
    <t>MOTOR GASO 10 HP INTEK EJE RECTO</t>
  </si>
  <si>
    <t xml:space="preserve">OT-1131 </t>
  </si>
  <si>
    <t xml:space="preserve">MOTOR GASO 6 HP INTEK EJE RECTO  </t>
  </si>
  <si>
    <t>OT-126</t>
  </si>
  <si>
    <t>ESPARCIDORA FERTILIZANTE SITREX500 Y CAR</t>
  </si>
  <si>
    <t xml:space="preserve">OT-15   </t>
  </si>
  <si>
    <t xml:space="preserve">ESMERIL DE PEDESTAL </t>
  </si>
  <si>
    <t>OT-154</t>
  </si>
  <si>
    <t>BASES PARA TERCER PUNTO(JINMA)</t>
  </si>
  <si>
    <t>OT-159</t>
  </si>
  <si>
    <t>VALVULAS CHEQUE 2 DE BRONCE"</t>
  </si>
  <si>
    <t>OT-16</t>
  </si>
  <si>
    <t>JUEGO COMPRESOR</t>
  </si>
  <si>
    <t>OT-2316</t>
  </si>
  <si>
    <t>BOMBA 2" DE CAUDAL WP 2-40 (SIN MOTOR)</t>
  </si>
  <si>
    <t>OT-2317</t>
  </si>
  <si>
    <t>BOMBA AGUA 6.5HP 3" (SIN MOTOR)</t>
  </si>
  <si>
    <t>ORGANIZADOR DE PASTOS VALLE</t>
  </si>
  <si>
    <t>OT-237</t>
  </si>
  <si>
    <t>CAJON DE HERRAMIENTAS # 1</t>
  </si>
  <si>
    <t>OT-238</t>
  </si>
  <si>
    <t>CAJON DE HERRAMIENTAS # 2</t>
  </si>
  <si>
    <t>OT-240</t>
  </si>
  <si>
    <t>CAJON DE HERRAMIENTAS # 3</t>
  </si>
  <si>
    <t>OT-247</t>
  </si>
  <si>
    <t>BOMBA DE AGUA 5.5 2 (SIN MOTOR)"</t>
  </si>
  <si>
    <t>OT-25</t>
  </si>
  <si>
    <t>POLEA B3.5 1RAN  28MM. MEZCLADORA</t>
  </si>
  <si>
    <t>OT-2653</t>
  </si>
  <si>
    <t>VALVULA DE PIE</t>
  </si>
  <si>
    <t>OT-326</t>
  </si>
  <si>
    <t>MOTOR DIESEL 13.2 HP JIANG DONG</t>
  </si>
  <si>
    <t>TAPAS ALUMINIO FUNDIDAS ORDEÑADORA</t>
  </si>
  <si>
    <t>OT-401</t>
  </si>
  <si>
    <t>GATA HIDRAULICA DE RUEDAS 2.5</t>
  </si>
  <si>
    <t>OT-412</t>
  </si>
  <si>
    <t>ACEITE SUPER DIESEL 25W40</t>
  </si>
  <si>
    <t>OT-421</t>
  </si>
  <si>
    <t xml:space="preserve">TECLE TIGER 5T-3M-ACCION C.CADE </t>
  </si>
  <si>
    <t>OT-457</t>
  </si>
  <si>
    <t>DESENGRASANTE NEUTRO</t>
  </si>
  <si>
    <t>POLA 4  2RAN 1  GASODISEL PC3 DP2 DP1</t>
  </si>
  <si>
    <t>POLEA B2.5 1RAN 3 4  GASOL TRAPICHE</t>
  </si>
  <si>
    <t>OT-480</t>
  </si>
  <si>
    <t>POLEA MIXTA 3.5" Y 4"/DESGRA/GASO</t>
  </si>
  <si>
    <t>POLA 4" 1RA 16MM ELEC 3HPEC-MINI,30P</t>
  </si>
  <si>
    <t>OT-482</t>
  </si>
  <si>
    <t>POLEA B2.5"/1RAN,5/8",ELECTRI/TRAPICHE</t>
  </si>
  <si>
    <t>OT-483</t>
  </si>
  <si>
    <t>POLEA A3.5  1RAN,5 8  ELECT</t>
  </si>
  <si>
    <t xml:space="preserve">OT-503 </t>
  </si>
  <si>
    <t xml:space="preserve">ARCO DE SIERRA ALUMINIO </t>
  </si>
  <si>
    <t>OT-504</t>
  </si>
  <si>
    <t>CUBOS DE RACHET JFO 1/2 25 PCS"</t>
  </si>
  <si>
    <t>OT-508</t>
  </si>
  <si>
    <t>DESARMADORES DE GOLPE 7 PZ</t>
  </si>
  <si>
    <t>OT-51</t>
  </si>
  <si>
    <t>JUEGO DE LLAVEZ MIXTAS CV8-19MM</t>
  </si>
  <si>
    <t>OT-523</t>
  </si>
  <si>
    <t>MOTOR 2HP EBERLE 1800RPM 110/220V</t>
  </si>
  <si>
    <t>PERNO 4X15 MM</t>
  </si>
  <si>
    <t>OT-5632</t>
  </si>
  <si>
    <t>ACOPLE P  BOMBA DE GASOLINA B&amp;S</t>
  </si>
  <si>
    <t>OT-5633</t>
  </si>
  <si>
    <t>POLEA 4" 2 RANURAS HUECO 1"</t>
  </si>
  <si>
    <t>OT-5634</t>
  </si>
  <si>
    <t>POLEA 4" 2 RANURAS HUECO 38MM</t>
  </si>
  <si>
    <t>OT-5635</t>
  </si>
  <si>
    <t>POLEA 4" 1 RANURA HUECO 16MM</t>
  </si>
  <si>
    <t>OT-5642</t>
  </si>
  <si>
    <t>COMPRESOR 2HP DONOJONO</t>
  </si>
  <si>
    <t>OT-5643</t>
  </si>
  <si>
    <t>MANGUERA 5/16, 10 MTS</t>
  </si>
  <si>
    <t>BUJIA 6A</t>
  </si>
  <si>
    <t>OT-585</t>
  </si>
  <si>
    <t>BUJIA 7A</t>
  </si>
  <si>
    <t xml:space="preserve">OT-601  </t>
  </si>
  <si>
    <t>TECLE TIGER 1.1/2T-2.5M</t>
  </si>
  <si>
    <t>OT-65</t>
  </si>
  <si>
    <t>LLAVE PICO DE LORO 12";LLAVE PICO DE LORO 12""</t>
  </si>
  <si>
    <t>POLEA 4" 1 RANURA HUECO 1"</t>
  </si>
  <si>
    <t>OT-65765</t>
  </si>
  <si>
    <t>65765 TAPA ACEI. MOTOR FORD 6600-7600-S1</t>
  </si>
  <si>
    <t xml:space="preserve">OT-664 </t>
  </si>
  <si>
    <t>TANQUE APILABLE 500LTRS</t>
  </si>
  <si>
    <t>OT-687</t>
  </si>
  <si>
    <t>DISCO SIERRA 48 DIENTES</t>
  </si>
  <si>
    <t>OT-693</t>
  </si>
  <si>
    <t>ORGANIC POWER X LT</t>
  </si>
  <si>
    <t>GRASA SINTETICA AZUL 1LIBRA</t>
  </si>
  <si>
    <t>MOTOR 10HP WEG 3600RPM 220/440V</t>
  </si>
  <si>
    <t>OT-702</t>
  </si>
  <si>
    <t>JUEGO DE RINES B&amp;S 9HP</t>
  </si>
  <si>
    <t>OT-703</t>
  </si>
  <si>
    <t>KIT DE CARBURADOR B&amp;S 9HP</t>
  </si>
  <si>
    <t>OT-704</t>
  </si>
  <si>
    <t>KIT DE EMPAQUES MOTOR B&amp;S 9HP</t>
  </si>
  <si>
    <t>OT-72LPX</t>
  </si>
  <si>
    <t>DIENTE CADENA 3/8 OREGON</t>
  </si>
  <si>
    <t xml:space="preserve">OT-744  </t>
  </si>
  <si>
    <t>CARRETILLA P/ BODEGA 2 POSTURAS ROJA 16.5 KG</t>
  </si>
  <si>
    <t>OT-749</t>
  </si>
  <si>
    <t>BRAZO GUIADOR IZQUIERDO</t>
  </si>
  <si>
    <t>OT-75</t>
  </si>
  <si>
    <t>ENGRASADORA</t>
  </si>
  <si>
    <t>OT-750</t>
  </si>
  <si>
    <t>BRAZO GUIADOR DERECHO</t>
  </si>
  <si>
    <t>OT-7845</t>
  </si>
  <si>
    <t>AMOLADORA</t>
  </si>
  <si>
    <t xml:space="preserve">OT-7846 </t>
  </si>
  <si>
    <t xml:space="preserve">REMACHADORA </t>
  </si>
  <si>
    <t>OT-845</t>
  </si>
  <si>
    <t>MANGUERA DE SUCCION 3-6MT(1)"</t>
  </si>
  <si>
    <t>OT-848</t>
  </si>
  <si>
    <t>POLEA 4" 1 RANURA HUECO 3/4</t>
  </si>
  <si>
    <t>OT-849</t>
  </si>
  <si>
    <t>JUEGO DADOS STANLEY</t>
  </si>
  <si>
    <t>OT-854</t>
  </si>
  <si>
    <t>MANGUERA DE AGUA 10  M, 1 1/2" VERDE</t>
  </si>
  <si>
    <t xml:space="preserve">OT-880 </t>
  </si>
  <si>
    <t>ZAPAPICO KILOS PULIDO</t>
  </si>
  <si>
    <t>OT-881</t>
  </si>
  <si>
    <t xml:space="preserve">CABO P/ZAPAPICO  </t>
  </si>
  <si>
    <t xml:space="preserve">OT-882  </t>
  </si>
  <si>
    <t>PALA P/JARDIN</t>
  </si>
  <si>
    <t>OT-900</t>
  </si>
  <si>
    <t>CAMISETAS</t>
  </si>
  <si>
    <t xml:space="preserve">OT-990  </t>
  </si>
  <si>
    <t xml:space="preserve">LAVADORA BOSCH </t>
  </si>
  <si>
    <t>OT-997</t>
  </si>
  <si>
    <t>ACEITE CELERITY 2T 24/4</t>
  </si>
  <si>
    <t>OT-998</t>
  </si>
  <si>
    <t>JUEGO DE LIMAS 8 5 PIEZAS"</t>
  </si>
  <si>
    <t>OT-999</t>
  </si>
  <si>
    <t>PINZA SEGURO INTERNO</t>
  </si>
  <si>
    <t>OT-A20</t>
  </si>
  <si>
    <t>BANDA A-20</t>
  </si>
  <si>
    <t>OT-A30</t>
  </si>
  <si>
    <t>BANDA A-30</t>
  </si>
  <si>
    <t>OT-A36</t>
  </si>
  <si>
    <t>BANDA A-36</t>
  </si>
  <si>
    <t>OT-A40</t>
  </si>
  <si>
    <t>BANDA A-40</t>
  </si>
  <si>
    <t>BANDA A-48</t>
  </si>
  <si>
    <t>OT-A54</t>
  </si>
  <si>
    <t>BANDA A-54</t>
  </si>
  <si>
    <t>OT-A56</t>
  </si>
  <si>
    <t>BANDA A-56</t>
  </si>
  <si>
    <t>OT-A75</t>
  </si>
  <si>
    <t>BANDA A-75</t>
  </si>
  <si>
    <t>OT-AG001</t>
  </si>
  <si>
    <t xml:space="preserve">AGUILON DE FUMIGACION  </t>
  </si>
  <si>
    <t>BANDA B-48</t>
  </si>
  <si>
    <t>OT-B66</t>
  </si>
  <si>
    <t>BANDA B-66</t>
  </si>
  <si>
    <t>OT-B67</t>
  </si>
  <si>
    <t>BANDA B-67</t>
  </si>
  <si>
    <t>OT-B70</t>
  </si>
  <si>
    <t>BANDA B-70</t>
  </si>
  <si>
    <t>OT-B71</t>
  </si>
  <si>
    <t>BANDA B-71</t>
  </si>
  <si>
    <t>OT-B72</t>
  </si>
  <si>
    <t>BANDA B-72</t>
  </si>
  <si>
    <t>OT-B75</t>
  </si>
  <si>
    <t>BANDA B-75</t>
  </si>
  <si>
    <t>OT-B79</t>
  </si>
  <si>
    <t>BANDA B-79</t>
  </si>
  <si>
    <t>OT-B80</t>
  </si>
  <si>
    <t>BANDA B-90</t>
  </si>
  <si>
    <t>BANDA B-83</t>
  </si>
  <si>
    <t>BANDA-B95</t>
  </si>
  <si>
    <t>OT-B98</t>
  </si>
  <si>
    <t>BANDA B-98</t>
  </si>
  <si>
    <t>OT-CARB002</t>
  </si>
  <si>
    <t>CARBURADOR PARA MOTOR 16HP I/C</t>
  </si>
  <si>
    <t>OT-FILC001</t>
  </si>
  <si>
    <t>FILTROS CARTUCHO MOTOR 8HP</t>
  </si>
  <si>
    <t>OT-PULS</t>
  </si>
  <si>
    <t>PULSADOR JD-91</t>
  </si>
  <si>
    <t>OT-SRAH-ADAP</t>
  </si>
  <si>
    <t>ADAPTADOR PARA CABEZAL SRAH-205</t>
  </si>
  <si>
    <t>OT-VANG18HP</t>
  </si>
  <si>
    <t>MOTOR GASOLINA VANGUARD EJE RECTO</t>
  </si>
  <si>
    <t>P-001</t>
  </si>
  <si>
    <t>CAJA COMBO PRO</t>
  </si>
  <si>
    <t>P-0010</t>
  </si>
  <si>
    <t>CAJA COMBO ARROZ INICIAL</t>
  </si>
  <si>
    <t>P-0011</t>
  </si>
  <si>
    <t>CAJA COMBO MONILIA</t>
  </si>
  <si>
    <t>P-0012</t>
  </si>
  <si>
    <t>CAJA COMBO CACAO FLORACION</t>
  </si>
  <si>
    <t>P-0013</t>
  </si>
  <si>
    <t>CAJA COMBO MARACUYA</t>
  </si>
  <si>
    <t>P-0014</t>
  </si>
  <si>
    <t>CAJA COMBO ARROZ ENGROSE</t>
  </si>
  <si>
    <t>P-003</t>
  </si>
  <si>
    <t>CAJA COMBO MASTER INICIAL</t>
  </si>
  <si>
    <t>P-004</t>
  </si>
  <si>
    <t>CAJA COMBO MASTER ENGROSE</t>
  </si>
  <si>
    <t>P-005</t>
  </si>
  <si>
    <t>CAJA COMBO INSECTICIDA</t>
  </si>
  <si>
    <t>P-006</t>
  </si>
  <si>
    <t>CAJA COMBO ARROZ TOTAL</t>
  </si>
  <si>
    <t>P-007</t>
  </si>
  <si>
    <t>CAJA COMBO DESARROLLO</t>
  </si>
  <si>
    <t>P-009</t>
  </si>
  <si>
    <t>CAJA COMBO PAPAYA</t>
  </si>
  <si>
    <t>MOTOR 2HP WEG 1800 RPM 110/220V</t>
  </si>
  <si>
    <t>MOTOR 7.5HP WEG 3600 RPM 220/440</t>
  </si>
  <si>
    <t>PT-009</t>
  </si>
  <si>
    <t>AGROTAFOL AMINO X GL</t>
  </si>
  <si>
    <t>PT-268</t>
  </si>
  <si>
    <t>QUITALATEX  X GL</t>
  </si>
  <si>
    <t>PT-269</t>
  </si>
  <si>
    <t>QUITALATEX X 5 GL</t>
  </si>
  <si>
    <t>QU-012</t>
  </si>
  <si>
    <t>ANIQUILADOR X 250 ML</t>
  </si>
  <si>
    <t>QU-013</t>
  </si>
  <si>
    <t>ANIQUILADOR X 500 ML</t>
  </si>
  <si>
    <t>QUIM-001</t>
  </si>
  <si>
    <t>LETAL  500 ML</t>
  </si>
  <si>
    <t>QUIM-002</t>
  </si>
  <si>
    <t>LETAL X 250 ML</t>
  </si>
  <si>
    <t>QUIM-003</t>
  </si>
  <si>
    <t>FULMINANTE  X 50 G</t>
  </si>
  <si>
    <t>QUIM-004</t>
  </si>
  <si>
    <t>SINOTYL X 500 G</t>
  </si>
  <si>
    <t>QUIM-005</t>
  </si>
  <si>
    <t>SINOTYL X KG</t>
  </si>
  <si>
    <t>QUIM-007</t>
  </si>
  <si>
    <t>SINOPRID X 500 G</t>
  </si>
  <si>
    <t>QUIM-008</t>
  </si>
  <si>
    <t>SINOPRID X 100 G</t>
  </si>
  <si>
    <t>QUIM-010</t>
  </si>
  <si>
    <t>ANIQUILADOR X LT</t>
  </si>
  <si>
    <t>QUIM-011</t>
  </si>
  <si>
    <t>ANIQUILADOR X 100 ML</t>
  </si>
  <si>
    <t>QUIM-013</t>
  </si>
  <si>
    <t>SKEMATA X LT</t>
  </si>
  <si>
    <t>QUIM-014</t>
  </si>
  <si>
    <t>SKEMATA X 500 ML</t>
  </si>
  <si>
    <t>QUIM-015</t>
  </si>
  <si>
    <t>SKEMATA X 250 ML</t>
  </si>
  <si>
    <t>QUIM-016</t>
  </si>
  <si>
    <t>SKEMATA X 100 ML</t>
  </si>
  <si>
    <t>QUIM-018</t>
  </si>
  <si>
    <t>LETAL X 100 ML</t>
  </si>
  <si>
    <t>QUIM-0181</t>
  </si>
  <si>
    <t>LETAL X LITRO</t>
  </si>
  <si>
    <t>QUIM-019</t>
  </si>
  <si>
    <t>SINOZOX X 100 ML</t>
  </si>
  <si>
    <t>QUIM-020</t>
  </si>
  <si>
    <t>DEPREDADOR X 100 G</t>
  </si>
  <si>
    <t>QUIM-021</t>
  </si>
  <si>
    <t>DEPREDADOR X 300 G</t>
  </si>
  <si>
    <t>QUIM-022</t>
  </si>
  <si>
    <t>PARALANCHA X 500 G</t>
  </si>
  <si>
    <t>QUIM-023</t>
  </si>
  <si>
    <t>PARALANCHA X 250 GRMS</t>
  </si>
  <si>
    <t>QUIM-024</t>
  </si>
  <si>
    <t>SINOZOX X 500 ML</t>
  </si>
  <si>
    <t>QUIM-025</t>
  </si>
  <si>
    <t>SINOZINE X 100 ML</t>
  </si>
  <si>
    <t>ROD 20 D6 629</t>
  </si>
  <si>
    <t>RODAMIENTO 20 D6 629-ZZ</t>
  </si>
  <si>
    <t>ROD 20-6002</t>
  </si>
  <si>
    <t>RODAMIENTO 20 D6 6002-2RS</t>
  </si>
  <si>
    <t>ROD-20 D6201</t>
  </si>
  <si>
    <t>RODAMIENTO 20D6 6201-2RS</t>
  </si>
  <si>
    <t>ROD-20 D6202</t>
  </si>
  <si>
    <t>RODAMIENTO 20 D6 6202-2RS</t>
  </si>
  <si>
    <t>ROD-20D6 6000</t>
  </si>
  <si>
    <t>RODAMIENTO 20 D6 6000-2RS</t>
  </si>
  <si>
    <t>ROD-62072ZJ</t>
  </si>
  <si>
    <t>RODAMIENTOS 6207 2Z JAPAN</t>
  </si>
  <si>
    <t>ROD-69002RS</t>
  </si>
  <si>
    <t>RODAMIENTOS 6900 2RS CMB</t>
  </si>
  <si>
    <t>RULIT-00102</t>
  </si>
  <si>
    <t>BANDA B-102</t>
  </si>
  <si>
    <t>RULIT-004</t>
  </si>
  <si>
    <t>BANDAS B-62</t>
  </si>
  <si>
    <t>RULIT-005</t>
  </si>
  <si>
    <t>BANDAS B-65</t>
  </si>
  <si>
    <t>RULIT-006</t>
  </si>
  <si>
    <t>BANDAS A-32</t>
  </si>
  <si>
    <t>RULIT-007</t>
  </si>
  <si>
    <t>BANDA B-44</t>
  </si>
  <si>
    <t>BANDAS B-75</t>
  </si>
  <si>
    <t xml:space="preserve">SE-014 </t>
  </si>
  <si>
    <t>CUCHILLA DE TRES PUNTAS 300 MM</t>
  </si>
  <si>
    <t>SE-025</t>
  </si>
  <si>
    <t>PULVERIZADOR A MOTOR MD.432</t>
  </si>
  <si>
    <t>SE-029</t>
  </si>
  <si>
    <t>BULON DEL PISTON MD.603-70-80-90</t>
  </si>
  <si>
    <t>SE-045</t>
  </si>
  <si>
    <t>TACOMETRO</t>
  </si>
  <si>
    <t>SE-075</t>
  </si>
  <si>
    <t>MANGUITO VITON MD.425-35.EMPAQUE PARA PI</t>
  </si>
  <si>
    <t>SE-091</t>
  </si>
  <si>
    <t>TORNILLO MD.130-34-40-41</t>
  </si>
  <si>
    <t>SE-112</t>
  </si>
  <si>
    <t>PISTON MD.425-35-56-57</t>
  </si>
  <si>
    <t>SE-140</t>
  </si>
  <si>
    <t>TUERCA RACORD MD.415-20-22-24-25-26-35</t>
  </si>
  <si>
    <t>SE-157</t>
  </si>
  <si>
    <t>PODADORA DE ALTURA SOLO(ACCESORIO)</t>
  </si>
  <si>
    <t>SE-195</t>
  </si>
  <si>
    <t>BARRA TOBERA 2 SALIDAS</t>
  </si>
  <si>
    <t>SE-236</t>
  </si>
  <si>
    <t>TAPA DE FILTRO 20.74.113</t>
  </si>
  <si>
    <t>SE-253</t>
  </si>
  <si>
    <t>FILTRO DE AIRE 20.48.121</t>
  </si>
  <si>
    <t>SE-522</t>
  </si>
  <si>
    <t>KIT DE JUNTAS MD. 425/435</t>
  </si>
  <si>
    <t>SE-998</t>
  </si>
  <si>
    <t>SOPORTE</t>
  </si>
  <si>
    <t>SE-999</t>
  </si>
  <si>
    <t>BOMBA DE FUMIGAR MOTOR 20 LT. 432</t>
  </si>
  <si>
    <t>SH-01600-04101</t>
  </si>
  <si>
    <t>ARANDELA PRESION C230,P230,C350,B45,B450</t>
  </si>
  <si>
    <t>SH-02006-06002</t>
  </si>
  <si>
    <t>COJINETE C350-B450</t>
  </si>
  <si>
    <t>SH-02432-22100</t>
  </si>
  <si>
    <t>SEGURO ZEGER CAJA ENGRANAJE C230</t>
  </si>
  <si>
    <t>SH-02432-26120</t>
  </si>
  <si>
    <t>ANILLO RETENEDOR</t>
  </si>
  <si>
    <t>02432-28120 ANILLO DE RETENCION 22F</t>
  </si>
  <si>
    <t>SH-02432-32120</t>
  </si>
  <si>
    <t>ANILLO DE RETENCION B450-C35</t>
  </si>
  <si>
    <t>SH-02432-35150</t>
  </si>
  <si>
    <t>ANILLO RETENCION C350-B450-B</t>
  </si>
  <si>
    <t>SH-02432-40170</t>
  </si>
  <si>
    <t>ANILLO DE RETENCION B45-488</t>
  </si>
  <si>
    <t>SH-036</t>
  </si>
  <si>
    <t>EXHIBIDOR MOTOSIERRA</t>
  </si>
  <si>
    <t>EXHIBIDOR DESMALEZADORA</t>
  </si>
  <si>
    <t>09026-03001 HERRAM LLAVE EXAGONAL 3MM B450</t>
  </si>
  <si>
    <t>09026-04001 HERRAMIENTA LLAVE 4MM B450</t>
  </si>
  <si>
    <t>TANQUE ES726</t>
  </si>
  <si>
    <t>108636-10 BARRA 10, 0.42G</t>
  </si>
  <si>
    <t>108642-24 BARRA 24 LT, 3/8, 0.58</t>
  </si>
  <si>
    <t>108644-30 BARRA 30 .058 D009</t>
  </si>
  <si>
    <t>SH-11022-06280</t>
  </si>
  <si>
    <t>PERNO 6X25CC UNION B530</t>
  </si>
  <si>
    <t>1123300 PISTOLA CROMADA CON MANGO</t>
  </si>
  <si>
    <t>SH-12311215030</t>
  </si>
  <si>
    <t>DIAFRAGMA DE LA BOMBA 4605</t>
  </si>
  <si>
    <t>SH-12411411120</t>
  </si>
  <si>
    <t>RESORTE ACELERADOR B530</t>
  </si>
  <si>
    <t>SH-12415905530</t>
  </si>
  <si>
    <t>12415905530 TORNILLO</t>
  </si>
  <si>
    <t>SH-12534408560</t>
  </si>
  <si>
    <t>SH-13031303710</t>
  </si>
  <si>
    <t>13031303710 CUBIERTA DEL FILTRO DE AIRE</t>
  </si>
  <si>
    <t>SH-18500-50100</t>
  </si>
  <si>
    <t>18500-50100 CUCHILLA ACC CORTACETOS</t>
  </si>
  <si>
    <t>SH-18500-50102</t>
  </si>
  <si>
    <t>CUCHILLA ACC CORTACETOS</t>
  </si>
  <si>
    <t>SH-18500-90002</t>
  </si>
  <si>
    <t>18500-90002 CUCHILLA SUPERIOR 40 HT230</t>
  </si>
  <si>
    <t>SH-18500-90003</t>
  </si>
  <si>
    <t>18500-90003 CUCHILLA INFERIOR 40"</t>
  </si>
  <si>
    <t>SH-20000-21211</t>
  </si>
  <si>
    <t>SH-20000-41210</t>
  </si>
  <si>
    <t>JUEGO ANILLO PISTON C230-HT2</t>
  </si>
  <si>
    <t>SH-20000-72230</t>
  </si>
  <si>
    <t>20000-72230 RESORTE SPARK C230-C350-EB50</t>
  </si>
  <si>
    <t>SH-20000-72241</t>
  </si>
  <si>
    <t>20000-72241 CUBIERTA BUJIA C230-C350-B45</t>
  </si>
  <si>
    <t>SH-20000-75130</t>
  </si>
  <si>
    <t>20000-75130 TRINQUETE B450-BP35</t>
  </si>
  <si>
    <t>20000-75150 PLACA FRICCION B450-BP35</t>
  </si>
  <si>
    <t>SH-20000-75160</t>
  </si>
  <si>
    <t>20000-75160 RESORTE SEGURO ARRANC  B450</t>
  </si>
  <si>
    <t>SH-20000-75220</t>
  </si>
  <si>
    <t>20000-75220 RESORTE TRIQUETE B450</t>
  </si>
  <si>
    <t>SH-20000-81150</t>
  </si>
  <si>
    <t>SH-20000-81310</t>
  </si>
  <si>
    <t>20000-81310 TORNILLO (T) B450-B530-BP35</t>
  </si>
  <si>
    <t>SH-20000-81330</t>
  </si>
  <si>
    <t>20000-81330 TORNILLO (L) B450-B530</t>
  </si>
  <si>
    <t>SH-20000-81340</t>
  </si>
  <si>
    <t>CA RESORTE L B450-B530</t>
  </si>
  <si>
    <t>SH-20000-81441</t>
  </si>
  <si>
    <t>20000-81441 AGUJA BALANCIN B450-C350</t>
  </si>
  <si>
    <t>SH-20000-81740</t>
  </si>
  <si>
    <t>20000-81740 FILTRO AIRE B45-B45LA</t>
  </si>
  <si>
    <t>SH-20000-85500</t>
  </si>
  <si>
    <t>20000-85500 VALVULA DE PRESION B450-B45L</t>
  </si>
  <si>
    <t>20000-85511 TAPON DE VENTILACION B45</t>
  </si>
  <si>
    <t>SH-20000-85579</t>
  </si>
  <si>
    <t>20000-85579 OJAL TANQUE COMB B450-C350</t>
  </si>
  <si>
    <t>20000-96104 HERRAM EXTACT VOLANTE</t>
  </si>
  <si>
    <t>HERRAM LLAVE VOLANTE</t>
  </si>
  <si>
    <t>SH-20010-12121</t>
  </si>
  <si>
    <t>20010-12121 EMPAQUE CILINDRO B450-C350</t>
  </si>
  <si>
    <t>SH-20010-12211</t>
  </si>
  <si>
    <t>20010-12211 TUBERIA USE</t>
  </si>
  <si>
    <t>SH-20010-21211</t>
  </si>
  <si>
    <t>20010-21211 RETEN B450-B530-C350-EB500</t>
  </si>
  <si>
    <t>SH-20010-41210</t>
  </si>
  <si>
    <t>SH-20010-41330</t>
  </si>
  <si>
    <t>CA COJINETE AGUJA C350-BP35</t>
  </si>
  <si>
    <t>SH-20010-71631</t>
  </si>
  <si>
    <t>SH-20010-71650</t>
  </si>
  <si>
    <t>20010-71650 ARANDELA B450-B530-C350</t>
  </si>
  <si>
    <t>SH-20010-72221</t>
  </si>
  <si>
    <t>20010-72221 CAPUCHON DE BUJIA C350</t>
  </si>
  <si>
    <t>SH-20010-75190</t>
  </si>
  <si>
    <t>20010-75190 PERILLA ARRANCADOR B450-C350</t>
  </si>
  <si>
    <t>SH-20010-81760</t>
  </si>
  <si>
    <t>CA FILTRO REJA B45-B45LA</t>
  </si>
  <si>
    <t>SH-20010-86130</t>
  </si>
  <si>
    <t>20010-86130 AMORTIGUADOR B450-C350</t>
  </si>
  <si>
    <t>SH-20011-12220</t>
  </si>
  <si>
    <t>CA EMPAQUE AISLADOR B450-C350</t>
  </si>
  <si>
    <t>SH-20011-31200</t>
  </si>
  <si>
    <t>CA TAMBOR EMBRAGUE COMPLETO C350</t>
  </si>
  <si>
    <t>20011-31230 ANILLO DE RETENCION C350-B45</t>
  </si>
  <si>
    <t>UNION MOTOR-EJE B450-C350</t>
  </si>
  <si>
    <t>ABRAZADERA B450-C350</t>
  </si>
  <si>
    <t>ABRAZADERA B B450-C350</t>
  </si>
  <si>
    <t>20011-81021 CARBURADOR C35LA</t>
  </si>
  <si>
    <t>20011-81360 RESORTE H B450-C350-B530</t>
  </si>
  <si>
    <t>SH-20011-81451</t>
  </si>
  <si>
    <t>20011-81451 PALANCA BALANCIN B450-C350</t>
  </si>
  <si>
    <t>SH-20011-85401</t>
  </si>
  <si>
    <t>CA FILTRO COMBUST B45-B45LA</t>
  </si>
  <si>
    <t>SH-20011-86120</t>
  </si>
  <si>
    <t>ABRAZADERA (M) B450-C350</t>
  </si>
  <si>
    <t>20015-93200 ACELERADOR COMP. ES726</t>
  </si>
  <si>
    <t>SH-20016-12112</t>
  </si>
  <si>
    <t>20016-12112 CILINDRO C230-ES726-M230/1-P</t>
  </si>
  <si>
    <t>SH-20016-12120</t>
  </si>
  <si>
    <t>20016-12120 EMPAQUE CILINDRO 22F-C230-ES</t>
  </si>
  <si>
    <t>SH-20016-12222</t>
  </si>
  <si>
    <t>20016-12222 EMPAQUE AISLADOR C230-ES726</t>
  </si>
  <si>
    <t>SH-20016-21100</t>
  </si>
  <si>
    <t>20016-21100 CARTER COMP. C230-P230</t>
  </si>
  <si>
    <t>SH-20016-21200</t>
  </si>
  <si>
    <t>20016-21200 CARTER M COMP C230-P230</t>
  </si>
  <si>
    <t>SH-20016-71601</t>
  </si>
  <si>
    <t>BOBINA COMPLETA C230-P230</t>
  </si>
  <si>
    <t>SH-20016-81021</t>
  </si>
  <si>
    <t>20016-81021 CARBURADOR SUB. COMP. C230</t>
  </si>
  <si>
    <t>SH-20016-85400</t>
  </si>
  <si>
    <t>20016-85400 FILTRO COMBUSTIBLE 22F-C230</t>
  </si>
  <si>
    <t>SH-20018-31260</t>
  </si>
  <si>
    <t>CA AISLADOR BOBINA ES726</t>
  </si>
  <si>
    <t>SH-20018-31270</t>
  </si>
  <si>
    <t>SUJETADOR C230-ES726</t>
  </si>
  <si>
    <t>SH-20018-81750</t>
  </si>
  <si>
    <t>20018-81750 FILTRO AIRE C230-P230</t>
  </si>
  <si>
    <t>20019-81440 VALVULA REGULADORA B530</t>
  </si>
  <si>
    <t>SH-20019-83410</t>
  </si>
  <si>
    <t>20019-83410 EMPAQUETADURA</t>
  </si>
  <si>
    <t>SH-20020-51112</t>
  </si>
  <si>
    <t>CABEZAL DEL EMBRAGUE C230-B450-B530</t>
  </si>
  <si>
    <t>SH-20020-75120</t>
  </si>
  <si>
    <t>20020-75120 TAMBOR B450-B45</t>
  </si>
  <si>
    <t>SH-20020-75180</t>
  </si>
  <si>
    <t>20020-75180 CUERDA B450-C350-B530-BP35</t>
  </si>
  <si>
    <t>SH-20020-81140</t>
  </si>
  <si>
    <t>20020-81140 RESORTE CABLE B45-B530-B45LA</t>
  </si>
  <si>
    <t>SH-20020-86140</t>
  </si>
  <si>
    <t>20020-86140 BANDA C350-BP35-B450</t>
  </si>
  <si>
    <t>SH-20021-31200</t>
  </si>
  <si>
    <t>CA TAMBOR DE EMBRAQUE B450-B45</t>
  </si>
  <si>
    <t>SH-20021-41210</t>
  </si>
  <si>
    <t>JUEGO ANILLO PISTON B45-B45L</t>
  </si>
  <si>
    <t>SH-20021-41330</t>
  </si>
  <si>
    <t>20021-41330 COJINETE B45-EB500-B45LA</t>
  </si>
  <si>
    <t>SH-20021-51102</t>
  </si>
  <si>
    <t>20021-81121 TAPA CARBURADOR B45-B45LA</t>
  </si>
  <si>
    <t>20021-81180 VALVULA PISTON B45-B45LA</t>
  </si>
  <si>
    <t>SH-20021-81560</t>
  </si>
  <si>
    <t>20021-81560 PALANCA DE BOMBEO B45-B45LA</t>
  </si>
  <si>
    <t>20021-81920 EMPAQUETADURA DIAFR B45-B45L</t>
  </si>
  <si>
    <t>SH-20021-83411</t>
  </si>
  <si>
    <t>20021-83411 EMPAQUE CARB. B450-B45-C350</t>
  </si>
  <si>
    <t>ABRAZADER J B45-B45LA</t>
  </si>
  <si>
    <t>SH-20021-96420</t>
  </si>
  <si>
    <t>20021-96420 HERRAMIENTA RETENEDOR X2</t>
  </si>
  <si>
    <t>HERRAM EXTRACTOR PISTON B450</t>
  </si>
  <si>
    <t>SH-20024-42001</t>
  </si>
  <si>
    <t>CIGUENAL C270</t>
  </si>
  <si>
    <t>SH-20024-71610</t>
  </si>
  <si>
    <t>SH-20024-75130</t>
  </si>
  <si>
    <t>20024-75130 RESORTE ARRANC B450-C350-B45</t>
  </si>
  <si>
    <t>SH-20024-75220</t>
  </si>
  <si>
    <t>20024-75220 TRINQUETE B45LA-B530-C350</t>
  </si>
  <si>
    <t>SH-20024-81023</t>
  </si>
  <si>
    <t>20024-81023 CARBURADO C270</t>
  </si>
  <si>
    <t>SH-20024-81931</t>
  </si>
  <si>
    <t>KIT DE AGUJA C270</t>
  </si>
  <si>
    <t>SH-20024-83410</t>
  </si>
  <si>
    <t>20024-83410 EMPAQUE CABURA C270</t>
  </si>
  <si>
    <t>SH-20035-21100</t>
  </si>
  <si>
    <t>20035-21100 CARTER S 22F-22C</t>
  </si>
  <si>
    <t>SH-20036-81670</t>
  </si>
  <si>
    <t>20036-81670 BOMBA DEL CEBADOR 22F-C230-E</t>
  </si>
  <si>
    <t>SH-20037-82130</t>
  </si>
  <si>
    <t>20037-82130 MANGA C350-B450-B530</t>
  </si>
  <si>
    <t>20040-81430 RESORTE BALANCIN C350-B450-B</t>
  </si>
  <si>
    <t>SH-20040-81680</t>
  </si>
  <si>
    <t>20040-81680 RESORTE MEMBRANA B450-C350-C</t>
  </si>
  <si>
    <t>SH-20055-81004</t>
  </si>
  <si>
    <t>20055-81004 CARBURADOR COMPLETO BP35</t>
  </si>
  <si>
    <t>SH-20055-81120</t>
  </si>
  <si>
    <t>20055-81120 TAPA CARBURADOR C350-B450</t>
  </si>
  <si>
    <t>SH-20055-81610</t>
  </si>
  <si>
    <t>LLAVES DE PASO BP-35</t>
  </si>
  <si>
    <t>SH-20056-81740</t>
  </si>
  <si>
    <t>20056-81740 FILTRO AIRE C350-B450</t>
  </si>
  <si>
    <t>SH-20060-12210</t>
  </si>
  <si>
    <t>20060-12210 AISLADOR CONDENS B450-C350</t>
  </si>
  <si>
    <t>TAPA FILTRO C350-B450</t>
  </si>
  <si>
    <t>SH-20060-81781</t>
  </si>
  <si>
    <t>20060-81781 PERILLA DE FILTRO C350-B450</t>
  </si>
  <si>
    <t>20070-81350 TORNILLO (H) B450</t>
  </si>
  <si>
    <t>SH-20075-41111</t>
  </si>
  <si>
    <t>20075-41111 PISTON P230-C230-ES726-HT230</t>
  </si>
  <si>
    <t>SH-20087-81820</t>
  </si>
  <si>
    <t>20087-81820 BOMBA CEBADOR  B450-B530-C35</t>
  </si>
  <si>
    <t>SH-20112-81530</t>
  </si>
  <si>
    <t>20112-81530 EMPAQUE CARBURADOR ES726</t>
  </si>
  <si>
    <t>20140-12210 AISLADOR CONDENS 22F</t>
  </si>
  <si>
    <t>20140-12221 EMPAQUE-AISLADOR 22C-22F</t>
  </si>
  <si>
    <t>20140-75100 ARRANCADOR SEMI 22F</t>
  </si>
  <si>
    <t>SH-20142-12110</t>
  </si>
  <si>
    <t>20142-12110 CILINDRO 22F-22C-F220</t>
  </si>
  <si>
    <t>20142-41210 ANILLO DEL PISTON 22F-22C-F2</t>
  </si>
  <si>
    <t>SH-20870-33120</t>
  </si>
  <si>
    <t>20870-33120 PERILLA DE FILTRO B530-HT230</t>
  </si>
  <si>
    <t>SH-21001-304111</t>
  </si>
  <si>
    <t>CODO CORRUGADO DM6110</t>
  </si>
  <si>
    <t>22000-13241 PLACA A B35</t>
  </si>
  <si>
    <t>PROTECTOR DE PERNO BP35</t>
  </si>
  <si>
    <t>SH-22000-13512</t>
  </si>
  <si>
    <t>22000-13512 PERNO CUCHILLA  BP 35</t>
  </si>
  <si>
    <t>SH-22000-13530</t>
  </si>
  <si>
    <t>PASADOR CUCHUILLA C270</t>
  </si>
  <si>
    <t>SH-22000-92157</t>
  </si>
  <si>
    <t>22000-92157 DISCO 8" 30 DIENTES</t>
  </si>
  <si>
    <t xml:space="preserve">22000-92167 DISCO 9" 30 DIENTES </t>
  </si>
  <si>
    <t>SH-22015-12120</t>
  </si>
  <si>
    <t>22015-12120 BUSHING C350</t>
  </si>
  <si>
    <t>SH-22015-12130</t>
  </si>
  <si>
    <t>SEGURO ZEGER B450</t>
  </si>
  <si>
    <t>SH-22015-13120</t>
  </si>
  <si>
    <t>SH-22015-13220</t>
  </si>
  <si>
    <t>22015-13220 PINON HUECO B45-B450-B530-C3</t>
  </si>
  <si>
    <t>SH-22015-13230</t>
  </si>
  <si>
    <t>22015-13230 COLLAR B45-B450-B530-C350</t>
  </si>
  <si>
    <t>SH-22015-13241</t>
  </si>
  <si>
    <t>22015-13241 SOPORTE A B450-C350-B45-B530</t>
  </si>
  <si>
    <t>SH-22015-13261</t>
  </si>
  <si>
    <t>PERNO CUCHILLA B45-B450-C350</t>
  </si>
  <si>
    <t>SH-22015-13270</t>
  </si>
  <si>
    <t>22015-13270 PROTECTOR PERNO B45-B450-B53</t>
  </si>
  <si>
    <t>SH-22015-13290</t>
  </si>
  <si>
    <t>22015-13290 SUJETADOR CUCHILLA B450-B530</t>
  </si>
  <si>
    <t>SH-22015-13390</t>
  </si>
  <si>
    <t>22015-13390 JUEGO DE PINON C350</t>
  </si>
  <si>
    <t>22015-13410 PERNO TAPA GRASA B45-B450-B5</t>
  </si>
  <si>
    <t>SH-22015-13420</t>
  </si>
  <si>
    <t>22015-13420 EMPAQUE SEGURO 450-B530-C350</t>
  </si>
  <si>
    <t>SH-22015-14301</t>
  </si>
  <si>
    <t>22015-14301 PALANCA ACELERADOR B45-C35LA</t>
  </si>
  <si>
    <t>SH-22015-14331</t>
  </si>
  <si>
    <t>PALANCA GATILLO B45-C35LA-B45LA</t>
  </si>
  <si>
    <t>22015-96500 HERRAM EXTRACTOR COMPLETO</t>
  </si>
  <si>
    <t>22015-96600 HERRAM EXTRACTOR COMPLETO</t>
  </si>
  <si>
    <t>22017-12210 COLGADOR C350-B530</t>
  </si>
  <si>
    <t>SH-22017-12410</t>
  </si>
  <si>
    <t>22017-12410 EJE CENTRAL C35LA</t>
  </si>
  <si>
    <t>ABRAZADERA B450-B45</t>
  </si>
  <si>
    <t>22020-11110 UNION B450-B45</t>
  </si>
  <si>
    <t>SH-22020-14200</t>
  </si>
  <si>
    <t>22020-14200 MANGO COMPLETO B45-B45LA-C350</t>
  </si>
  <si>
    <t>22021-12120 BUSHING B450-B530</t>
  </si>
  <si>
    <t>EJE CENTRAL B45-B45LA</t>
  </si>
  <si>
    <t>SH-22021-13390</t>
  </si>
  <si>
    <t>CA JUEGO DE PIÑON B45-B450-B530</t>
  </si>
  <si>
    <t>SH-22024-13291</t>
  </si>
  <si>
    <t>22024-13291 PROTECTOR DE PERNO C270</t>
  </si>
  <si>
    <t>SH-22024-13912</t>
  </si>
  <si>
    <t>SOPORTE A C270</t>
  </si>
  <si>
    <t>SH-22035-13140</t>
  </si>
  <si>
    <t>22035-13140 RETEN 22C-C230</t>
  </si>
  <si>
    <t>SH-22035-13242</t>
  </si>
  <si>
    <t>22035-13242 SOPORTE (A) C230-22C</t>
  </si>
  <si>
    <t>SH-22035-13271</t>
  </si>
  <si>
    <t>22035-13271 PERNO CUCHILLA C230</t>
  </si>
  <si>
    <t>SH-22035-13290</t>
  </si>
  <si>
    <t>22035-13290 PROTECTOR PERNO 22C-C230</t>
  </si>
  <si>
    <t>SH-22044-14120</t>
  </si>
  <si>
    <t>22044-14120 PLACA MANUBRIO BP35</t>
  </si>
  <si>
    <t>SH-22045-14101</t>
  </si>
  <si>
    <t>ABRAZADERA COMPLETA 22C-C230</t>
  </si>
  <si>
    <t>SH-22051-11922</t>
  </si>
  <si>
    <t>22051-11922 EJE FLEXIBLE BP35</t>
  </si>
  <si>
    <t>SH-22070-12410</t>
  </si>
  <si>
    <t>22070-12410 EJE CENTRAL C230</t>
  </si>
  <si>
    <t>SH-22100-41230</t>
  </si>
  <si>
    <t>22100-41230 ANILLO RETENEDOR B450</t>
  </si>
  <si>
    <t>SH-22100-81230</t>
  </si>
  <si>
    <t>22100-81230 PALANCA BALANCIN C230</t>
  </si>
  <si>
    <t>SH-22102-72220</t>
  </si>
  <si>
    <t>22102-72220 BUJIA DE CAPUCHON 22F-C230</t>
  </si>
  <si>
    <t>22104-75420 PERILLA ARRANCADOR B530</t>
  </si>
  <si>
    <t>SH-22150-12180</t>
  </si>
  <si>
    <t>PLACA MANGA 757</t>
  </si>
  <si>
    <t>22150-21250 RETEN 22F-22C</t>
  </si>
  <si>
    <t>SH-22150-41280</t>
  </si>
  <si>
    <t>22150-41280 COJINETE DE AGUJAS 577-B530</t>
  </si>
  <si>
    <t>SH-22150-51230</t>
  </si>
  <si>
    <t>RESORTE DEL EMBRAGUE 577-757</t>
  </si>
  <si>
    <t>SH-22150-51310</t>
  </si>
  <si>
    <t>COJINETE 577-757</t>
  </si>
  <si>
    <t>22150-51520 PINON FLOTANTE 577-757</t>
  </si>
  <si>
    <t>SH-22150-71120</t>
  </si>
  <si>
    <t>22150-71120 TRINQUETE 757-577</t>
  </si>
  <si>
    <t>SH-22150-75520</t>
  </si>
  <si>
    <t>22150-75520 PERILLA ARRANCADOR 757-577-4</t>
  </si>
  <si>
    <t>SH-22152-21501</t>
  </si>
  <si>
    <t>22152-21501 CARTER C COMPLETO 577</t>
  </si>
  <si>
    <t>JUEGO ANILLO DEL PISTON 577</t>
  </si>
  <si>
    <t>SH-22152-41231</t>
  </si>
  <si>
    <t>22152-41231 ANILLO DE RETENCION B45-B530</t>
  </si>
  <si>
    <t>SH-22154-52410</t>
  </si>
  <si>
    <t>22154-52410 TUERCA 757</t>
  </si>
  <si>
    <t>SH-22154-55110</t>
  </si>
  <si>
    <t>22154-55110 ENGRANAJE 488</t>
  </si>
  <si>
    <t>SH-22154-85540</t>
  </si>
  <si>
    <t>22154-85540 SUJETADOR 757</t>
  </si>
  <si>
    <t>SH-22155-51200</t>
  </si>
  <si>
    <t>EMBRAGUE 577</t>
  </si>
  <si>
    <t>SH-22155-51500</t>
  </si>
  <si>
    <t>TAMBOR EMBRAGUE COMPLETO 577</t>
  </si>
  <si>
    <t>22155-55110 ENGRANAJE-SIN FIN 577</t>
  </si>
  <si>
    <t>22155-71130 RESORTE DEL TRINQUETE 757-57</t>
  </si>
  <si>
    <t>22155-91580 HERRAMIENTA LLAVE</t>
  </si>
  <si>
    <t>22155-96521 HERRAMIENTA LLAVE (3)</t>
  </si>
  <si>
    <t>22155-96531 HERRAMIENTA LLAVE (4)</t>
  </si>
  <si>
    <t>22155-96540 HERRAMIENTA LLAVE-T (5)</t>
  </si>
  <si>
    <t>SH-22157-41112</t>
  </si>
  <si>
    <t>PISTON 488</t>
  </si>
  <si>
    <t>SH-22157-41210</t>
  </si>
  <si>
    <t>ANILLO PISTON 488</t>
  </si>
  <si>
    <t>SH-22160-12150</t>
  </si>
  <si>
    <t>22160-12150 MANGA 488</t>
  </si>
  <si>
    <t>SH-22160-33821</t>
  </si>
  <si>
    <t>22160-33821 EMPAQUE CORCHO 488-577-757</t>
  </si>
  <si>
    <t>SH-22160-41240</t>
  </si>
  <si>
    <t>CA COJINETE DE BIELA 488</t>
  </si>
  <si>
    <t>SH-22160-42002</t>
  </si>
  <si>
    <t>22160-42002 CIGUENAL 488</t>
  </si>
  <si>
    <t>SH-22160-51200</t>
  </si>
  <si>
    <t>EMBRAGUE COMPLETO 488</t>
  </si>
  <si>
    <t>SH-22160-51220</t>
  </si>
  <si>
    <t>ZAPATA DEL EMBRAGUE 488</t>
  </si>
  <si>
    <t>SH-22160-51230</t>
  </si>
  <si>
    <t>RESORTE DEL EMBRAGUE 488</t>
  </si>
  <si>
    <t>22160-55200 BOMBA DE ACEITE 488-577</t>
  </si>
  <si>
    <t>SH-22160-71511</t>
  </si>
  <si>
    <t>BOBINA 488</t>
  </si>
  <si>
    <t>SH-22160-72220</t>
  </si>
  <si>
    <t>22160-72220 CAPUCHON 488</t>
  </si>
  <si>
    <t>SH-22160-75100</t>
  </si>
  <si>
    <t>22160-75100 ARRANCADOR COMPLETO 488</t>
  </si>
  <si>
    <t>SH-22169-12111</t>
  </si>
  <si>
    <t>CILINDRO 757</t>
  </si>
  <si>
    <t>SH-22169-15170</t>
  </si>
  <si>
    <t>22169-15170 DEFLECTOR 577</t>
  </si>
  <si>
    <t>EMPAQUE ESCAPE 757</t>
  </si>
  <si>
    <t>22169-21203 CARTER M COMPLETO 757</t>
  </si>
  <si>
    <t>22169-21300 TAPA ACIETE 757</t>
  </si>
  <si>
    <t>22169-21503 CARTER C COMPLETO 757</t>
  </si>
  <si>
    <t>SH-22169-31110</t>
  </si>
  <si>
    <t>CUBIERTA DE CILINDRO 757</t>
  </si>
  <si>
    <t>SH-22169-32110</t>
  </si>
  <si>
    <t>22169-32110 MANGO 757</t>
  </si>
  <si>
    <t>SH-22169-33102</t>
  </si>
  <si>
    <t>22169-33102 HANDLE ASSY 577</t>
  </si>
  <si>
    <t>SH-22169-35400</t>
  </si>
  <si>
    <t>22169-35400 FILTRO GASOLINA 577-757-B450-B30</t>
  </si>
  <si>
    <t>SH-22169-41210</t>
  </si>
  <si>
    <t>22169-41210 JUEGO ANILLO DEL PISTON 757</t>
  </si>
  <si>
    <t>22169-42000 CIGUENAL 757</t>
  </si>
  <si>
    <t>SH-22169-51100</t>
  </si>
  <si>
    <t>TAMBOR EMBRAGUE COMPLETO 757</t>
  </si>
  <si>
    <t>TAMBOR DE EMBRAGUE 757</t>
  </si>
  <si>
    <t>22169-51130 ARANDELA 757</t>
  </si>
  <si>
    <t>22169-51140 ANILLO DE RETENCION 757</t>
  </si>
  <si>
    <t>22169-51170 TUERCA PUNTA CIGUE 757</t>
  </si>
  <si>
    <t>22169-52460 GUIA PLACA (A) 757</t>
  </si>
  <si>
    <t>TAPA DEL EMBRAGUE 757</t>
  </si>
  <si>
    <t>22169-53120 GUIA PLACA (B) 757</t>
  </si>
  <si>
    <t>SH-22169-54102</t>
  </si>
  <si>
    <t>22169-84102 FRENO COMPLETO NR 757</t>
  </si>
  <si>
    <t>22169-54630 RESORTE ACELERADOR 757</t>
  </si>
  <si>
    <t>SH-22169-55110</t>
  </si>
  <si>
    <t>22169-55110 ENGRANAJE 757</t>
  </si>
  <si>
    <t>22169-55130 COLLAR 757</t>
  </si>
  <si>
    <t xml:space="preserve">SH-22169-55200 </t>
  </si>
  <si>
    <t>CA BOMBA DE ACEITE COMP. 757</t>
  </si>
  <si>
    <t>22169-55310 TUBERIA 757</t>
  </si>
  <si>
    <t>22169-57360 FILTRO ACEITE 488-577-757</t>
  </si>
  <si>
    <t>SH-22169-71510</t>
  </si>
  <si>
    <t>SH-22169-71700</t>
  </si>
  <si>
    <t>CA BOBINA AZUL PEQUEÑA 757</t>
  </si>
  <si>
    <t>SH-22169-72220</t>
  </si>
  <si>
    <t>22169-72220 CAPUCHON DE BUJIA 757</t>
  </si>
  <si>
    <t>SH-22169-75101</t>
  </si>
  <si>
    <t>22169-75101 ARRANCADOR COMPLETO 577</t>
  </si>
  <si>
    <t>22169-81000 CARBURADOR COMPLETO 757</t>
  </si>
  <si>
    <t>22169-82251 BASE DE FLTRO 757</t>
  </si>
  <si>
    <t>22169-82310 FILTRO AIRE 577-757</t>
  </si>
  <si>
    <t>22169-96580 HERRAM ESTRACTOR</t>
  </si>
  <si>
    <t>SH-22175-12121</t>
  </si>
  <si>
    <t>22175-12121 EMPAQUE CILINDRO 577</t>
  </si>
  <si>
    <t>22175-21200 CARTER M COMPLETO 577</t>
  </si>
  <si>
    <t>VOLANTE 577</t>
  </si>
  <si>
    <t>22175-82310 FILTRO DE AIRE 577-757C</t>
  </si>
  <si>
    <t>SH-22175-82320</t>
  </si>
  <si>
    <t>22175-82320 FILTRO BASE 577</t>
  </si>
  <si>
    <t>SH-22175-82510</t>
  </si>
  <si>
    <t>22175-82510 TAPA DE FILTRO 577</t>
  </si>
  <si>
    <t>22175-82520 PERILLA DE CUBIERTA 577</t>
  </si>
  <si>
    <t>SH-22182-41210</t>
  </si>
  <si>
    <t>22197-55201 BOMBA DE ACEITE COMPLETO</t>
  </si>
  <si>
    <t>SH-22410-13210</t>
  </si>
  <si>
    <t>22410-13210 EJE DE ENGRANAJE C230</t>
  </si>
  <si>
    <t>SH-22410-13251</t>
  </si>
  <si>
    <t>22410-13251 SOPORTE (B) 22C-C230</t>
  </si>
  <si>
    <t>SH-22410-13530</t>
  </si>
  <si>
    <t>22410-13530 SUJETADOR CUCHILLA C230-22C</t>
  </si>
  <si>
    <t>SH-22410-14100</t>
  </si>
  <si>
    <t>22410-14100 MANGO DELANTERO COMP C230</t>
  </si>
  <si>
    <t>SH-22410-14302</t>
  </si>
  <si>
    <t>22410-14302 PALANCA DEL ACELERADOR C230</t>
  </si>
  <si>
    <t>SH-22410-17202</t>
  </si>
  <si>
    <t>22410-17202 ARNES C230-22C</t>
  </si>
  <si>
    <t>EMPAQUE DIFUSOR ES726</t>
  </si>
  <si>
    <t>SH-22901-31000</t>
  </si>
  <si>
    <t>22901-31000 MANGUERA DE SUCCION GP25</t>
  </si>
  <si>
    <t>SH-25090206310</t>
  </si>
  <si>
    <t>SUETADOR DE TANQUE DM6110</t>
  </si>
  <si>
    <t>28820-08000 CABEZAL NYLON SPEED-FEED</t>
  </si>
  <si>
    <t>SH-3013172</t>
  </si>
  <si>
    <t>3013172 ALMOHADILLA ES726</t>
  </si>
  <si>
    <t>SH-3014111</t>
  </si>
  <si>
    <t>3014111 FILTRO DE TANQUE ES726</t>
  </si>
  <si>
    <t>33SL0-72X CADENA 18.325.050</t>
  </si>
  <si>
    <t>SH-37019-63170</t>
  </si>
  <si>
    <t>37019-63170 SOPORTE (B) BP35</t>
  </si>
  <si>
    <t>38490-18 BARRA 18 PROLITE D 0.816</t>
  </si>
  <si>
    <t>SH-38500-32010</t>
  </si>
  <si>
    <t>38500-32010 CUBIERTA DE CILINDRO C230-ES726</t>
  </si>
  <si>
    <t>38500-71020 BOBINA COMPLETA ES726</t>
  </si>
  <si>
    <t>SH-38500-81321</t>
  </si>
  <si>
    <t>38500-81321 TAPA SUJETADORA CARBURADOR ES726</t>
  </si>
  <si>
    <t>38500-82120 FILTRO AIRE ES726</t>
  </si>
  <si>
    <t>SH-38500-82130</t>
  </si>
  <si>
    <t>38500-82130 CUBIERTA FILTRO AIRE ES726</t>
  </si>
  <si>
    <t>TAMBOR DE EMBRAGUE ES726</t>
  </si>
  <si>
    <t>4042881 EMBOLO ES726</t>
  </si>
  <si>
    <t>SH-4044231</t>
  </si>
  <si>
    <t>4044231 FILTRO MALLA ES726</t>
  </si>
  <si>
    <t>SH-4048451</t>
  </si>
  <si>
    <t>4048451 ASIENTO DE VALVULA ES726</t>
  </si>
  <si>
    <t>4070981 ASIENTO DE VALVULA ES726</t>
  </si>
  <si>
    <t>4073281 SOPORTE DE LANZA ES726</t>
  </si>
  <si>
    <t>SH-43301912330</t>
  </si>
  <si>
    <t>SH-4502640</t>
  </si>
  <si>
    <t>4502640 LANZA MANGO ES726</t>
  </si>
  <si>
    <t>4517530 ESLABON GIRATORIO</t>
  </si>
  <si>
    <t>4525920 ESLABON GIRATORIO C/DESCONEXION</t>
  </si>
  <si>
    <t>4527270 FILTRO 320</t>
  </si>
  <si>
    <t>LANZA 5 BOQUILLAS</t>
  </si>
  <si>
    <t>SH-4550460</t>
  </si>
  <si>
    <t>4550460 BOQUILLA ES726</t>
  </si>
  <si>
    <t>4552760 VALVULA DE GATILLO ES726</t>
  </si>
  <si>
    <t>4557850 LANZA ES726</t>
  </si>
  <si>
    <t>CA BOQUILLA METAL ES726</t>
  </si>
  <si>
    <t>SH-4567930</t>
  </si>
  <si>
    <t>4567930 CAJA DE ENGRANAJE ES726</t>
  </si>
  <si>
    <t>SH-4568020</t>
  </si>
  <si>
    <t>4568020 CUERPO DE LA VALVULA ES726</t>
  </si>
  <si>
    <t>SH-4573040</t>
  </si>
  <si>
    <t>4573040 BOMBA COMPLETA ES726</t>
  </si>
  <si>
    <t>JUEGO DE EMPAQUES ES726</t>
  </si>
  <si>
    <t>4573110 ASIENTO DE VALVULA ES726</t>
  </si>
  <si>
    <t>4574920 JUEGO DE VALVULAS ES726</t>
  </si>
  <si>
    <t>4575060 JUEGO DE VALVULAS ES726</t>
  </si>
  <si>
    <t>TAPA DEL DRENAJE ES726</t>
  </si>
  <si>
    <t>SH-4575740</t>
  </si>
  <si>
    <t>4575740 TAPA DEL TANQUE ES726</t>
  </si>
  <si>
    <t>SH-4576340</t>
  </si>
  <si>
    <t>HOMBRERA ES726</t>
  </si>
  <si>
    <t>4579070 VALVULA COMPLETA ES726</t>
  </si>
  <si>
    <t>SH-60020-98310</t>
  </si>
  <si>
    <t>KT MOTOR RECONSTRUC B450</t>
  </si>
  <si>
    <t>SH-60023-98031</t>
  </si>
  <si>
    <t>FILTRO DE AIRE M230-M231</t>
  </si>
  <si>
    <t>SH-60035-98030</t>
  </si>
  <si>
    <t>JUEGO DE EMPAQUETADURA B530</t>
  </si>
  <si>
    <t>JUEGO DE AGUJAS B530</t>
  </si>
  <si>
    <t>SH-60035-98310</t>
  </si>
  <si>
    <t>SH-60059-98310</t>
  </si>
  <si>
    <t>KIT MOTOR RECONSTRUC C270</t>
  </si>
  <si>
    <t>SH-60119-98310</t>
  </si>
  <si>
    <t>60119-98310 KIT MOTOR RECONSTR B45LA</t>
  </si>
  <si>
    <t>60876 MANUAL SERVICIO TECNICO</t>
  </si>
  <si>
    <t>62022-15100 SILENCIADOR COMPLETO B450</t>
  </si>
  <si>
    <t>SH-62035-12111</t>
  </si>
  <si>
    <t>62035-12111 CILINDRO B530</t>
  </si>
  <si>
    <t>SH-62035-12120</t>
  </si>
  <si>
    <t>62035-12120 EMPAQUE CILINDRO B530</t>
  </si>
  <si>
    <t>AISLADOR CONDENS B530</t>
  </si>
  <si>
    <t>EMPAQUE SILENCIADOR B530</t>
  </si>
  <si>
    <t>CARTER COMPLETO B530</t>
  </si>
  <si>
    <t>CARTER COMP. M B530</t>
  </si>
  <si>
    <t>SH-62035-31110</t>
  </si>
  <si>
    <t>62035-31110 CUBIERTA DE VENTILADOR B530</t>
  </si>
  <si>
    <t>SH-62035-31212</t>
  </si>
  <si>
    <t>SH-62035-31310</t>
  </si>
  <si>
    <t>62035-31310 PLACA UNION B530</t>
  </si>
  <si>
    <t>SH-62035-32112</t>
  </si>
  <si>
    <t>62035-32112 CUBIERTA CILINDRO B530</t>
  </si>
  <si>
    <t>SH-62035-32310</t>
  </si>
  <si>
    <t>62035-32320 PERILLA DORADA B530</t>
  </si>
  <si>
    <t>CUBIERTA, SILENCIADOR B530</t>
  </si>
  <si>
    <t>SH-62035-33110</t>
  </si>
  <si>
    <t>62035-33110 UNION B530</t>
  </si>
  <si>
    <t>AMORTIGUADOR A B530</t>
  </si>
  <si>
    <t>SH-62035-41120</t>
  </si>
  <si>
    <t>JUEGO ANILLO  B530</t>
  </si>
  <si>
    <t>SH-62035-41210</t>
  </si>
  <si>
    <t>62035-41210 PERNO DE PISTON B530</t>
  </si>
  <si>
    <t>SH-62035-42010</t>
  </si>
  <si>
    <t>CA CIGUENAL B530</t>
  </si>
  <si>
    <t>SH-62035-71020</t>
  </si>
  <si>
    <t>SH-62035-75120</t>
  </si>
  <si>
    <t>TAMBOR ARRANCADOR B530</t>
  </si>
  <si>
    <t>SH-62035-75310</t>
  </si>
  <si>
    <t>SH-62035-81013</t>
  </si>
  <si>
    <t>62035-81013 CARBURADOR COMP. B530</t>
  </si>
  <si>
    <t>SH-62035-81310</t>
  </si>
  <si>
    <t>62035-81310 EMPAQUE B CARBURADOR B530</t>
  </si>
  <si>
    <t>62035-81360 ROSORTE MEMBRANA B530</t>
  </si>
  <si>
    <t>SH-62035-82121</t>
  </si>
  <si>
    <t>62035-82121 FILTRO AIRE B530</t>
  </si>
  <si>
    <t>SH-62035-82330</t>
  </si>
  <si>
    <t>62035-82330 EMPAQUE A CARBURADOR B530</t>
  </si>
  <si>
    <t>SH-62035-82340</t>
  </si>
  <si>
    <t>CA PLACA FILTRO B530</t>
  </si>
  <si>
    <t>CABLE B530</t>
  </si>
  <si>
    <t>62035-85031 MANGUERA B530</t>
  </si>
  <si>
    <t>AMORTIGUADOR TANQUE B530</t>
  </si>
  <si>
    <t>SH-62035-85360</t>
  </si>
  <si>
    <t>62035-85360 PROTECTOR DEL TANQUE B530</t>
  </si>
  <si>
    <t>SH-62064-81011</t>
  </si>
  <si>
    <t>62064-81011 CARBURADOR COMPLETO C230</t>
  </si>
  <si>
    <t>SH-62074-12120</t>
  </si>
  <si>
    <t>62074-12120 EMPAQUE CILINDRO C270</t>
  </si>
  <si>
    <t>62083-81310 TAPA CARBURADOR B530</t>
  </si>
  <si>
    <t>SH-62104-32321</t>
  </si>
  <si>
    <t xml:space="preserve">62104-32321 CUBIERTA, SILENCIADOR B45LA-C35LA    </t>
  </si>
  <si>
    <t>62113-83010 CABLE COMPLETO B45-C35LA</t>
  </si>
  <si>
    <t>SH-62809-12111</t>
  </si>
  <si>
    <t>62809-12111 CILINDRO C230-HT230</t>
  </si>
  <si>
    <t>62903-66111 PORTEC DESPOJO B450-C350-B53</t>
  </si>
  <si>
    <t>63019-63170 SOPORTE (B) B530</t>
  </si>
  <si>
    <t>SH-63020-63111</t>
  </si>
  <si>
    <t>CAJA DE ENGRANAJES B450-B45L</t>
  </si>
  <si>
    <t>SH-63880-64460</t>
  </si>
  <si>
    <t>EJE B COMPLETO P230</t>
  </si>
  <si>
    <t>SH-63880-65371</t>
  </si>
  <si>
    <t>CABLE DEL ACELERADOR M230 P230 P231</t>
  </si>
  <si>
    <t>SH-63901-63022</t>
  </si>
  <si>
    <t>63901-63022 CAJA DE ENGRANAJE C230</t>
  </si>
  <si>
    <t>SH-64000-66311</t>
  </si>
  <si>
    <t>64000-66311 PROTECT DESPOJO COMP B450-C3</t>
  </si>
  <si>
    <t>SH-64007-64310</t>
  </si>
  <si>
    <t>64007-64310 CABLE B530</t>
  </si>
  <si>
    <t>64007-67011 ARNES COMPLETO</t>
  </si>
  <si>
    <t>SH-64112-66330</t>
  </si>
  <si>
    <t>64112-66330 TAPA PROTECT DESPOJO 22F</t>
  </si>
  <si>
    <t>SH-67000-41230</t>
  </si>
  <si>
    <t>COJINETE 22F</t>
  </si>
  <si>
    <t>CIGUEÑAL  22F-22C-ES726</t>
  </si>
  <si>
    <t>SH-67000-81010</t>
  </si>
  <si>
    <t>CA CARBURADOR 22F-22C</t>
  </si>
  <si>
    <t>SH-67001-62211</t>
  </si>
  <si>
    <t>67001-62211 EJE FLEXIBLE 22F</t>
  </si>
  <si>
    <t>SH-68501-12210</t>
  </si>
  <si>
    <t>CA AISLADOR  ES726</t>
  </si>
  <si>
    <t>SH-68501-81360</t>
  </si>
  <si>
    <t>68501-81360 VALVULA PISTON ES726</t>
  </si>
  <si>
    <t>SH-68501-81490</t>
  </si>
  <si>
    <t>68501-81490 AGUJA ES726</t>
  </si>
  <si>
    <t>CABLE DEL ACELERADOR ES726</t>
  </si>
  <si>
    <t>KIT MOTOR RECONSTRUC 577</t>
  </si>
  <si>
    <t>SH-70012-31111</t>
  </si>
  <si>
    <t>CUBIERTA VENTILADOR B45-B450</t>
  </si>
  <si>
    <t>SH-70012-35130</t>
  </si>
  <si>
    <t>70012-35130 TAPA DE LA UNION B450</t>
  </si>
  <si>
    <t>SH-70014-74120</t>
  </si>
  <si>
    <t>ABRAZADERA</t>
  </si>
  <si>
    <t>TAMBOR EMBRAGUE 22F</t>
  </si>
  <si>
    <t>SH-70030-71620</t>
  </si>
  <si>
    <t>70030-71620 AISLADOR DE BOBINA B530-22F</t>
  </si>
  <si>
    <t>SH-70036-98020</t>
  </si>
  <si>
    <t>EMPAQUETADURA DIAGRAG C270</t>
  </si>
  <si>
    <t>SH-70051-31210</t>
  </si>
  <si>
    <t>SH-70064-75190</t>
  </si>
  <si>
    <t>CA CUERDA 22F-22C-C230</t>
  </si>
  <si>
    <t>SH-70103-86130</t>
  </si>
  <si>
    <t>70103-86130 PROTECT TANQUE C270</t>
  </si>
  <si>
    <t>SH-70131-75110</t>
  </si>
  <si>
    <t>70131-75110 TAPA ARRANCADOR B45LA-C350</t>
  </si>
  <si>
    <t>SH-70131-75200</t>
  </si>
  <si>
    <t>70131-75200 POLEA COMPLETA B45LA-C350</t>
  </si>
  <si>
    <t>SH-70131-81180</t>
  </si>
  <si>
    <t>70131-81180 VALVULA PISTON B450-C350</t>
  </si>
  <si>
    <t>SH-70135-15100</t>
  </si>
  <si>
    <t>70135-15100 SILENCIADOR COMPLETO C230-ES726-P230-M230</t>
  </si>
  <si>
    <t>SH-70140-51220</t>
  </si>
  <si>
    <t>RESORTE EMBRAGUE C230-HT230</t>
  </si>
  <si>
    <t>SH-70140-81710</t>
  </si>
  <si>
    <t>70140-81710 BASE FILTRO P230</t>
  </si>
  <si>
    <t>SH-70140-81760</t>
  </si>
  <si>
    <t>70140-81760 TAPA DE FILTRO T230</t>
  </si>
  <si>
    <t>SH-70162-75100</t>
  </si>
  <si>
    <t>ARRANCADOR COMPLETO C270</t>
  </si>
  <si>
    <t>SH-70168-85201</t>
  </si>
  <si>
    <t>70168-85201TAPA TANQUE B450-C350-B530</t>
  </si>
  <si>
    <t>SH-70196-12110</t>
  </si>
  <si>
    <t>70196-12110 CILINDRO C350-C35LA</t>
  </si>
  <si>
    <t>SH-70198-12110</t>
  </si>
  <si>
    <t>70198-12110 CILINDRO B45-B45LA</t>
  </si>
  <si>
    <t>SH-70200-33112</t>
  </si>
  <si>
    <t>70200-33112 BASE B45-B45LA-B450-C350</t>
  </si>
  <si>
    <t>SH-70200-71200</t>
  </si>
  <si>
    <t>70200-71200 VOLANTE B450-C350</t>
  </si>
  <si>
    <t>SH-70200-71610</t>
  </si>
  <si>
    <t>70200-71610 BOBINA B450-C350-C35LA-B45LA</t>
  </si>
  <si>
    <t>TANQUE DE COMBUSTIBLE C350-B45</t>
  </si>
  <si>
    <t>CARBURADOR SEMI COMP C350</t>
  </si>
  <si>
    <t>SH-70210-12111</t>
  </si>
  <si>
    <t>70210-12111 CILINDRO B450</t>
  </si>
  <si>
    <t>SH-70210-15212</t>
  </si>
  <si>
    <t xml:space="preserve">70210-15212 EMPAQUE, SILENCIADOR B45-B450-C350-BP35                               </t>
  </si>
  <si>
    <t>CUBIERTA CILINDRO B450</t>
  </si>
  <si>
    <t>SH-70210-41110</t>
  </si>
  <si>
    <t>70210-41110  PISTON B450</t>
  </si>
  <si>
    <t>SH-70210-81022</t>
  </si>
  <si>
    <t>CARBURADOR B450-C350</t>
  </si>
  <si>
    <t>SH-70210-81451</t>
  </si>
  <si>
    <t>70210-81451 PLACA CARB B450</t>
  </si>
  <si>
    <t>SH-70210-83110</t>
  </si>
  <si>
    <t>70210-83110 CABLE B450-C350</t>
  </si>
  <si>
    <t>EMPAQUETADURA-DIAF C350</t>
  </si>
  <si>
    <t>SH-70870-98020</t>
  </si>
  <si>
    <t>70870-98020 PISTON COMP C230-ES726-HT230</t>
  </si>
  <si>
    <t>70870-98030 KIT DE VALVULAS HT230</t>
  </si>
  <si>
    <t>SH-70871-81100</t>
  </si>
  <si>
    <t>70871-81100 CARBURADOR SEMI COMP HT230</t>
  </si>
  <si>
    <t>SH-713545</t>
  </si>
  <si>
    <t>713545 ARNES</t>
  </si>
  <si>
    <t>SH-72005-13010</t>
  </si>
  <si>
    <t>CAJA DE ENGRANAJE BP35</t>
  </si>
  <si>
    <t>BOQUILLA UN-10-UN-32</t>
  </si>
  <si>
    <t>CAJA DE ENGRANAJE C350-C35LA</t>
  </si>
  <si>
    <t xml:space="preserve">72017-16130 PLACA DESPOJ C350-B450-B530-C230 </t>
  </si>
  <si>
    <t>COLLAR B 22F</t>
  </si>
  <si>
    <t>72030-13151 SOPORTE 22F</t>
  </si>
  <si>
    <t>SH-72051-98011</t>
  </si>
  <si>
    <t>72051-98011 PISTON COMP C350-C35LA-BP35</t>
  </si>
  <si>
    <t>SH-72051-98310</t>
  </si>
  <si>
    <t>72051-98310 PISTON SEMI COMPL. C35LA-C350</t>
  </si>
  <si>
    <t>SH-72080-13013</t>
  </si>
  <si>
    <t>CAJA DE ENGRANAJES COMP.B450</t>
  </si>
  <si>
    <t>SH-72080-98011</t>
  </si>
  <si>
    <t>72080-98011 PISTON JUEGO COMP. B45-B45LA</t>
  </si>
  <si>
    <t>EMPAQUETADURA DIAF B45-B45LA</t>
  </si>
  <si>
    <t>SH-72174-99200</t>
  </si>
  <si>
    <t>HERRAMIENTA PROBADOR DE PRESION D</t>
  </si>
  <si>
    <t>SH-72282-15101</t>
  </si>
  <si>
    <t>72282-15101 SILENCIADOR 577</t>
  </si>
  <si>
    <t>SH-72282-15310</t>
  </si>
  <si>
    <t>CUBIERTA SILENCIADOR 577</t>
  </si>
  <si>
    <t>72312-21520 ESPARRAGO BARRA 488</t>
  </si>
  <si>
    <t>SH-72330-33710</t>
  </si>
  <si>
    <t>72330-82320 PRE FILTRO 577P-757</t>
  </si>
  <si>
    <t>72330-98010 PISTON COMPLETO 757</t>
  </si>
  <si>
    <t>72334-98010 PISTON COMPLETO 577</t>
  </si>
  <si>
    <t>SH-72365-98011</t>
  </si>
  <si>
    <t>CA PISTON JUEGO COMPLETO 488</t>
  </si>
  <si>
    <t>SH-72432-13240</t>
  </si>
  <si>
    <t>72432-13240 SOPORTE A C230</t>
  </si>
  <si>
    <t>SH-72435-13920</t>
  </si>
  <si>
    <t>SOPORTE B C270</t>
  </si>
  <si>
    <t>SH-72441-12100</t>
  </si>
  <si>
    <t>72441-12100 TUBO EXTERIOR C270</t>
  </si>
  <si>
    <t>72447-13121 RETENEDOR B530-B450-C350-B45</t>
  </si>
  <si>
    <t>SOPORTE (A) C350-B450-B530-B</t>
  </si>
  <si>
    <t>SH-72450-14200</t>
  </si>
  <si>
    <t>MANUBRIO C270</t>
  </si>
  <si>
    <t>SH-72451-14502</t>
  </si>
  <si>
    <t xml:space="preserve"> ACELERADOR (A) B450,C350</t>
  </si>
  <si>
    <t>SH-72451-14570</t>
  </si>
  <si>
    <t>72451-14570 CABLE COMPLETO C350</t>
  </si>
  <si>
    <t>72481-14200 MANGO SEMI COMPLETO C230</t>
  </si>
  <si>
    <t>SH-72481-98310</t>
  </si>
  <si>
    <t>72481-98310 KIT MOTOR RECONSTRUC. C230</t>
  </si>
  <si>
    <t>ABRAZADERA COMPLETA B530-B450</t>
  </si>
  <si>
    <t>HERRAMIENTA LLAVE B45-B450-B530-C350</t>
  </si>
  <si>
    <t>SH-72550-82120</t>
  </si>
  <si>
    <t>72550-82120 CONECTADOR B450-B530-C350</t>
  </si>
  <si>
    <t>72551-12101 TUBO EXTERIOR B450</t>
  </si>
  <si>
    <t xml:space="preserve"> ABRAZADERA COMP. B450-B530-C350</t>
  </si>
  <si>
    <t>SH-72920-71711</t>
  </si>
  <si>
    <t>CA UNIDAD ELECTRONICA BP35-B45</t>
  </si>
  <si>
    <t>72920-81820 RESORTE T B450-C350-B530</t>
  </si>
  <si>
    <t>SH-72930-14210</t>
  </si>
  <si>
    <t>72930-14210 INTERRUPTOR B45-B45LA</t>
  </si>
  <si>
    <t>SH-72933-75120</t>
  </si>
  <si>
    <t>72933-75120 TAMBOR C230</t>
  </si>
  <si>
    <t>SH-72935-63210</t>
  </si>
  <si>
    <t>CA TUBERIA PRINCIPAL EB500</t>
  </si>
  <si>
    <t>SH-72936-81000</t>
  </si>
  <si>
    <t>CARBURADOR EB 500</t>
  </si>
  <si>
    <t>SH-72LG0-105X</t>
  </si>
  <si>
    <t>72LG0-105X CADENA 32" 3/08 0.5</t>
  </si>
  <si>
    <t xml:space="preserve">SH-72LG0-84X </t>
  </si>
  <si>
    <t>72LG0-84X CADENA 3/8 0.5</t>
  </si>
  <si>
    <t>73DP-98X CADENA, 30 3/8", 058"</t>
  </si>
  <si>
    <t>SH-78890-11000</t>
  </si>
  <si>
    <t>SPEED FEED 375 CABEZAL</t>
  </si>
  <si>
    <t>78890-14000 CABEZAL SPEED FEED 375 PARA</t>
  </si>
  <si>
    <t>8000142 SELLO ES726</t>
  </si>
  <si>
    <t>80023 TUBO COMPLETO C350</t>
  </si>
  <si>
    <t>SH-80025</t>
  </si>
  <si>
    <t>80025 TUBO COMP CON ETIQUETA B450</t>
  </si>
  <si>
    <t xml:space="preserve"> EMPAQUE TAPA ES726</t>
  </si>
  <si>
    <t>SH-80187</t>
  </si>
  <si>
    <t>80187 JUEGO, GUIAS DE RETENEDOR</t>
  </si>
  <si>
    <t>80247 TUBO COMP CON ETIQUETA  C230</t>
  </si>
  <si>
    <t>KIT DE REPARACION BOMBA ES726</t>
  </si>
  <si>
    <t>80255 EMPAQUETADURA-DIAF ES726</t>
  </si>
  <si>
    <t>80256 AGUJA KIT KWIK ES726</t>
  </si>
  <si>
    <t>SH-80360</t>
  </si>
  <si>
    <t>80360 EXHIBIDOR</t>
  </si>
  <si>
    <t>80387 CABEZAL METALICO EMPACADO</t>
  </si>
  <si>
    <t>JUEGO DE PERNO</t>
  </si>
  <si>
    <t>80424 DISCO MAXI BLADE 9</t>
  </si>
  <si>
    <t xml:space="preserve">SH-80425 </t>
  </si>
  <si>
    <t xml:space="preserve">80425 DISCO 8" (NO USAR) </t>
  </si>
  <si>
    <t>80426 DISCO 9</t>
  </si>
  <si>
    <t>80550 EMPAQUETADURA DIAFR 488-577-757</t>
  </si>
  <si>
    <t>80551 EMPAQUETADURA DIAFR 488-488P</t>
  </si>
  <si>
    <t>80676 ADAPTADOR UN10 C230</t>
  </si>
  <si>
    <t>SH-80728</t>
  </si>
  <si>
    <t>80728 DISCO DE ACERO 4 PUNTAS</t>
  </si>
  <si>
    <t>80771 DISCO ACERO 10; 3 DIENTES</t>
  </si>
  <si>
    <t>SH-810502</t>
  </si>
  <si>
    <t>ROLLO HILO NYLON 0.105" 12.2M (2.7MM)</t>
  </si>
  <si>
    <t>ROLLO NYLON AZUL (460MT) 0.130"</t>
  </si>
  <si>
    <t>SH-81593</t>
  </si>
  <si>
    <t>COJINETE DE AGUJAS BIELA C230</t>
  </si>
  <si>
    <t>SH-81630</t>
  </si>
  <si>
    <t>MANGUERA ES726</t>
  </si>
  <si>
    <t>82067 UN-10 CABEZAL NYLON (SIN EMPAQUE)</t>
  </si>
  <si>
    <t>SH-88051</t>
  </si>
  <si>
    <t>88051 DISCO D3</t>
  </si>
  <si>
    <t>SH-88054</t>
  </si>
  <si>
    <t>88054 DISCO D6</t>
  </si>
  <si>
    <t>SH-88056</t>
  </si>
  <si>
    <t>88056 DISCO B7</t>
  </si>
  <si>
    <t>SH-88057</t>
  </si>
  <si>
    <t>88057 DISCO C6</t>
  </si>
  <si>
    <t>88102 BOQUILLA HV-2</t>
  </si>
  <si>
    <t>88198-S TAPA DE BOQUILLA ES726</t>
  </si>
  <si>
    <t>88421 PISTOLA HZ-20GT</t>
  </si>
  <si>
    <t>8890802 AMORTIGUADOR ES726</t>
  </si>
  <si>
    <t>SH-9-P230EPA</t>
  </si>
  <si>
    <t>CORTARAMAS P230EPA</t>
  </si>
  <si>
    <t>HERRAMIENTA PROBADOR CHISPA</t>
  </si>
  <si>
    <t>SH-901018</t>
  </si>
  <si>
    <t>901018 ARNES</t>
  </si>
  <si>
    <t>SH-90SG-033X</t>
  </si>
  <si>
    <t>90SG-033X CADENA 8 3/8"; 0.43"</t>
  </si>
  <si>
    <t>91032 HERRAMIENTA KIT ENGENER</t>
  </si>
  <si>
    <t>SH-9214D-24</t>
  </si>
  <si>
    <t>9214D-24 BARRA 24 050 D 009</t>
  </si>
  <si>
    <t xml:space="preserve">SH-9216D-32  </t>
  </si>
  <si>
    <t>9216D-32 BARRA 3/8 050 D 009</t>
  </si>
  <si>
    <t>SH-9242432000</t>
  </si>
  <si>
    <t>SH-9701201</t>
  </si>
  <si>
    <t>9701201 ANILLO ES726</t>
  </si>
  <si>
    <t>9701401 ORINGS ES726</t>
  </si>
  <si>
    <t>9711151 ORINGS ES 726</t>
  </si>
  <si>
    <t>9720135 ORINGS ES 726</t>
  </si>
  <si>
    <t>AISLADOR CONDENS C230</t>
  </si>
  <si>
    <t>AGUJA KIT 757</t>
  </si>
  <si>
    <t>99909-159 KIT DE EMPAQUETADURA C230</t>
  </si>
  <si>
    <t>AGUJA KIT C230</t>
  </si>
  <si>
    <t>99909-207 VALVULA DE CONTROL C230</t>
  </si>
  <si>
    <t>JUEGO DE PISTON 22C-22F</t>
  </si>
  <si>
    <t>99909-306 CARTER S C350</t>
  </si>
  <si>
    <t>99909-307 CARTER M C350</t>
  </si>
  <si>
    <t>99909-450 PISTON KIT B450</t>
  </si>
  <si>
    <t>EMPAQUETADURA-DIAFRAG B450</t>
  </si>
  <si>
    <t>99909-453 AGUJA KIT B450</t>
  </si>
  <si>
    <t>ACEITE BARRA CADENA PREMIUM 99909-551</t>
  </si>
  <si>
    <t>ACEITE SHINDAIWA PREMIUM 2T</t>
  </si>
  <si>
    <t>CABLE BUJIA</t>
  </si>
  <si>
    <t>CORTASETOS HT230/40</t>
  </si>
  <si>
    <t>SH-P230/EC1</t>
  </si>
  <si>
    <t>PODADORA DE ALTURA P230S</t>
  </si>
  <si>
    <t>SH-P231</t>
  </si>
  <si>
    <t>PODADORA DE ALTURA  P231</t>
  </si>
  <si>
    <t>ROLLO NYLON AZUL (700MT)0.105"</t>
  </si>
  <si>
    <t xml:space="preserve">SH-UN32  </t>
  </si>
  <si>
    <t xml:space="preserve">UN-32 CABEZAL PRO-MATIC CON PERNOS </t>
  </si>
  <si>
    <t>MOTOSIERRA 757 SHINDAIWA</t>
  </si>
  <si>
    <t>SHDW-012</t>
  </si>
  <si>
    <t>HILO NYLON 0.095  09510"</t>
  </si>
  <si>
    <t>SHDW-013</t>
  </si>
  <si>
    <t>HILO NYLON 0.105"  10510</t>
  </si>
  <si>
    <t>SHDW-015</t>
  </si>
  <si>
    <t>DISCO PARA ORILLADORA 7 3/4 80419"</t>
  </si>
  <si>
    <t>DISCO TORNADO 9 12 DIENTES LP12-9"</t>
  </si>
  <si>
    <t>UN-10 CABEZAL NYLON</t>
  </si>
  <si>
    <t>ROLLO HILO NYLON 0.095 (870 MTS) 09510"</t>
  </si>
  <si>
    <t>ROLLO HILO NYLON 0.105"700MTS) 10510"</t>
  </si>
  <si>
    <t>ROLLO HILO NYLON 0.130 (460MTS) 13010"</t>
  </si>
  <si>
    <t>CUCHILLA CORBATIN</t>
  </si>
  <si>
    <t>SHDW-037</t>
  </si>
  <si>
    <t>DISCO TORNADO 9 6 DIENTES LP6-9"</t>
  </si>
  <si>
    <t>DISCOS VIDIA 9";DISCOS VIDIA 9""</t>
  </si>
  <si>
    <t>SHDW-045</t>
  </si>
  <si>
    <t>GAFAS SHINDAIWA</t>
  </si>
  <si>
    <t>MASCARILLA LETES OREJERAS</t>
  </si>
  <si>
    <t>CASCO CON VSERA GRANDE TOMATE</t>
  </si>
  <si>
    <t>SO-13008-6045</t>
  </si>
  <si>
    <t>ARO DEL PISTON MD 135</t>
  </si>
  <si>
    <t>SO-21171-2157</t>
  </si>
  <si>
    <t>21171-2157 BOBINA ELECTRONICA MD 135</t>
  </si>
  <si>
    <t>SO-23.00.713</t>
  </si>
  <si>
    <t>BOBINA MOD. 134/140/141</t>
  </si>
  <si>
    <t>SO-508</t>
  </si>
  <si>
    <t>BANDA A-35</t>
  </si>
  <si>
    <t>SO-69.00.653</t>
  </si>
  <si>
    <t>69.00.653 POLYMATIC MD. 140/142/154</t>
  </si>
  <si>
    <t xml:space="preserve">SOUTH-006 </t>
  </si>
  <si>
    <t xml:space="preserve">MOTOR 3HP TEMCO 1800RPM 110/220V  </t>
  </si>
  <si>
    <t xml:space="preserve">SOUTH-017 </t>
  </si>
  <si>
    <t xml:space="preserve">MOTOR 2HP TEMCO 3600RPM 110/220V </t>
  </si>
  <si>
    <t>SOUTH-020</t>
  </si>
  <si>
    <t>BOMBA HIDRONEUMATICA 2 HP</t>
  </si>
  <si>
    <t xml:space="preserve">SOUTH-04  </t>
  </si>
  <si>
    <t xml:space="preserve">MOTOR 7.5HP TEMCO 1800RPM 220V </t>
  </si>
  <si>
    <t xml:space="preserve">SOUTH-05   </t>
  </si>
  <si>
    <t xml:space="preserve">MOTOR 10HP TEMCO 1800RPM 220V </t>
  </si>
  <si>
    <t>TB-1715538</t>
  </si>
  <si>
    <t>BUSHING-NYLON 1715538 PARA EC MINI</t>
  </si>
  <si>
    <t>TB-1756904</t>
  </si>
  <si>
    <t>SHREDDER BLADE 1756904</t>
  </si>
  <si>
    <t>TB-1762636</t>
  </si>
  <si>
    <t>BELT V 1762636</t>
  </si>
  <si>
    <t>TB-1771392</t>
  </si>
  <si>
    <t>TAMPER 1771392</t>
  </si>
  <si>
    <t>TB-1771495</t>
  </si>
  <si>
    <t>WHEEL 1771495</t>
  </si>
  <si>
    <t>TB-1901748</t>
  </si>
  <si>
    <t>WHEEL-NEW HUB CHIP/VAC 1901748</t>
  </si>
  <si>
    <t>TB-1902656</t>
  </si>
  <si>
    <t>FLAP SAFETY 1902656</t>
  </si>
  <si>
    <t>TB-1902802001</t>
  </si>
  <si>
    <t>LOWER HANDLEBAR 1902802001</t>
  </si>
  <si>
    <t>TB-1903417</t>
  </si>
  <si>
    <t>QUADRANT INNER 1903417</t>
  </si>
  <si>
    <t>TB-1908749</t>
  </si>
  <si>
    <t>BELT DRIVE 1908749</t>
  </si>
  <si>
    <t>TB-1909946</t>
  </si>
  <si>
    <t>BELT-V NGMM 1909946</t>
  </si>
  <si>
    <t>TB-9621</t>
  </si>
  <si>
    <t>SEAL-OIL WHEELSHAFT 9621</t>
  </si>
  <si>
    <t>TB-97075</t>
  </si>
  <si>
    <t>BELT FLAT 97075</t>
  </si>
  <si>
    <t>TR-236</t>
  </si>
  <si>
    <t>BOMBA FRENO S-60/35/TL-TM135</t>
  </si>
  <si>
    <t>TRANSAUT-001</t>
  </si>
  <si>
    <t>TRACTOR CRAFTSMAN LT 1500/17.5HP</t>
  </si>
  <si>
    <t>TROY-002</t>
  </si>
  <si>
    <t>GEAR-WORM</t>
  </si>
  <si>
    <t>V103001040</t>
  </si>
  <si>
    <t>CA EMPAQUE CARBURADOR B530</t>
  </si>
  <si>
    <t>ZM-002</t>
  </si>
  <si>
    <t>BOMBA ZM 44 MAXXI</t>
  </si>
  <si>
    <t>ZM-003</t>
  </si>
  <si>
    <t>BOMBA ZM 76 MAXXI</t>
  </si>
  <si>
    <t>ZM-010</t>
  </si>
  <si>
    <t>JUEGOS O RINGS ZM-44</t>
  </si>
  <si>
    <t>ZM-013</t>
  </si>
  <si>
    <t>CILINDROS ZM 44</t>
  </si>
  <si>
    <t>ZM-014</t>
  </si>
  <si>
    <t>VALVULAS (XEQUE) ZM 51</t>
  </si>
  <si>
    <t>ZM-015</t>
  </si>
  <si>
    <t>VALVULAS (XEQUE) ZM-44</t>
  </si>
  <si>
    <t>ZM-016</t>
  </si>
  <si>
    <t>GUIA DE HASTE ZM-44/51</t>
  </si>
  <si>
    <t>ZM-017</t>
  </si>
  <si>
    <t>APOYO DE LOS CUEROS ZM 51</t>
  </si>
  <si>
    <t>ZM-018</t>
  </si>
  <si>
    <t>APOYO DE LOS CUEROS ZM-44</t>
  </si>
  <si>
    <t>ZM-019</t>
  </si>
  <si>
    <t>SEPARADOR DE CUEROS ZM 51</t>
  </si>
  <si>
    <t>ZM-020</t>
  </si>
  <si>
    <t>SEPARADOR DE CUEROS ZM-44</t>
  </si>
  <si>
    <t>ZM-021</t>
  </si>
  <si>
    <t>ASTA DE ZM 51</t>
  </si>
  <si>
    <t>ZM-022</t>
  </si>
  <si>
    <t>ASTA DE ZM-44</t>
  </si>
  <si>
    <t>ZM-023</t>
  </si>
  <si>
    <t>CAJA VALVULAS ENTRADAS ZM-51</t>
  </si>
  <si>
    <t>ZM-024</t>
  </si>
  <si>
    <t>CAJA VALVULAS SALIDA ZM-44</t>
  </si>
  <si>
    <t>ZM-025</t>
  </si>
  <si>
    <t>BIELA OVAL ZM-51</t>
  </si>
  <si>
    <t>ZM-026</t>
  </si>
  <si>
    <t>BIELA OVAL ZM-44</t>
  </si>
  <si>
    <t>ZM-027</t>
  </si>
  <si>
    <t>ANEL RODAMIENTO BIELA ZM-51</t>
  </si>
  <si>
    <t>ZM-028</t>
  </si>
  <si>
    <t>ANEL RODAMIENTO BIELA ZM-44</t>
  </si>
  <si>
    <t>ZM-029</t>
  </si>
  <si>
    <t>PROTECTOR DE PISTON ZM-51</t>
  </si>
  <si>
    <t>ZM-030</t>
  </si>
  <si>
    <t>PROTECTOR DE PISTON ZM-44</t>
  </si>
  <si>
    <t>ZM-031</t>
  </si>
  <si>
    <t>CAJA VALVULAS SALIDA ZM-51</t>
  </si>
  <si>
    <t>BOMBA ZM 95 MAXXI</t>
  </si>
  <si>
    <t xml:space="preserve">RUEDA PARA ZM 51 1.40X0.18 </t>
  </si>
  <si>
    <t>ZM-040</t>
  </si>
  <si>
    <t xml:space="preserve">RUEDA PARA ZM 51 1.80X0.18 </t>
  </si>
  <si>
    <t>ZM-042</t>
  </si>
  <si>
    <t>RUEDA PARA ZM 76 2.00X0.35</t>
  </si>
  <si>
    <t xml:space="preserve">ZM-043     </t>
  </si>
  <si>
    <t>RUEDA PARA ZM 51 1.80X0.25</t>
  </si>
  <si>
    <t>ZM-044</t>
  </si>
  <si>
    <t>RUEDA PARA ZM 44 1.00X0.15</t>
  </si>
  <si>
    <t>ZM-045</t>
  </si>
  <si>
    <t>CABALLETE PARA ZM 44</t>
  </si>
  <si>
    <t>ZM-048</t>
  </si>
  <si>
    <t>LAVADORA HIDROMAXXI 22L</t>
  </si>
  <si>
    <t>CABALLETE PARA ZM 51</t>
  </si>
  <si>
    <t xml:space="preserve">ZM-055 </t>
  </si>
  <si>
    <t xml:space="preserve">RUEDA PARA ZM 95 2.00X0.50 CON EJE INDEPENDIENTE </t>
  </si>
  <si>
    <t>ZM-056</t>
  </si>
  <si>
    <t>CILINDROS ZM 76</t>
  </si>
  <si>
    <t xml:space="preserve">RUEDA PARA ZM 95 2.00X0.35  </t>
  </si>
  <si>
    <t xml:space="preserve">CABALLETE PARA ZM 95 </t>
  </si>
  <si>
    <t>ZM-060</t>
  </si>
  <si>
    <t>VALVULA PARA ZM 76 MAXXI</t>
  </si>
  <si>
    <t>ZM-061</t>
  </si>
  <si>
    <t>CUERO PARA ZM 76 MAXXI</t>
  </si>
  <si>
    <t xml:space="preserve">ZM-063 </t>
  </si>
  <si>
    <t>RUEDA PARA ZM 95 2.00X0.50 PARA EJE SUPERIOR</t>
  </si>
  <si>
    <t>ZM-064</t>
  </si>
  <si>
    <t>JUEGO CILINDROS ZM 95 MAXXI</t>
  </si>
  <si>
    <t>ZM-065</t>
  </si>
  <si>
    <t>JUEGO DE CUEROS ZM 95 MAXXI</t>
  </si>
  <si>
    <t>ZM-066</t>
  </si>
  <si>
    <t>JUEGO O RINGS ZM-95 MAXXI</t>
  </si>
  <si>
    <t>ZM-067</t>
  </si>
  <si>
    <t>JUEGOS O RINGS ZM 76</t>
  </si>
  <si>
    <t>ZM-068</t>
  </si>
  <si>
    <t>JUEGO DE CUEROS ZM 51 MAXXI</t>
  </si>
  <si>
    <t>ZM-069</t>
  </si>
  <si>
    <t>SEPARADOR DE CAMISA ZM-44 MAXXI</t>
  </si>
  <si>
    <t>ZM-070</t>
  </si>
  <si>
    <t>JUEGO DE CUEROS ZM 44 MAXXI</t>
  </si>
  <si>
    <t>ZM-071</t>
  </si>
  <si>
    <t>JUEGO CILINDROS ZM 76</t>
  </si>
  <si>
    <t>ZM-073</t>
  </si>
  <si>
    <t>JUEGO CILINDROS ZM 44</t>
  </si>
  <si>
    <t>ZM-074</t>
  </si>
  <si>
    <t>JUEGO DE CUEROS ZM 76</t>
  </si>
  <si>
    <t>ZMANO060</t>
  </si>
  <si>
    <t>MANOMETRO DE GLICERINA</t>
  </si>
  <si>
    <t>ZONDA</t>
  </si>
  <si>
    <t>REDUCTOR  MOTOR A GASOLINA</t>
  </si>
  <si>
    <t>ZU-005</t>
  </si>
  <si>
    <t>BROCA METAL DORADA</t>
  </si>
  <si>
    <t>ZU-015</t>
  </si>
  <si>
    <t>CUCHILLA TUPI RC005A</t>
  </si>
  <si>
    <t>EC-A011000720</t>
  </si>
  <si>
    <t>CIGUENAL C230-P230-ES726</t>
  </si>
  <si>
    <t>EC-A011000830</t>
  </si>
  <si>
    <t>70210-42001 CIGUEÑAL COMPLETO B450</t>
  </si>
  <si>
    <t>EC-A011001060</t>
  </si>
  <si>
    <t>EC-A055000140</t>
  </si>
  <si>
    <t>62035-82131 CUBIERTA FILTRO AIRE B530</t>
  </si>
  <si>
    <t>FILTRO COMBUSTIBLE TANQUE 577-757-B450-B530</t>
  </si>
  <si>
    <t>EC-A575000380</t>
  </si>
  <si>
    <t>EC-C051000610</t>
  </si>
  <si>
    <t>63019-63010 CAJA DE ENGRANAJE COMP B530</t>
  </si>
  <si>
    <t>63019-63130 EJE, ENGRANAJE B530</t>
  </si>
  <si>
    <t>EC-P021032390</t>
  </si>
  <si>
    <t>AA (No Aplica)</t>
  </si>
  <si>
    <t>REPUESTOS DESMALEZADORA</t>
  </si>
  <si>
    <t>AGROFORESTAL</t>
  </si>
  <si>
    <t>DESMALEZADORA</t>
  </si>
  <si>
    <t>REPUESTO BOMBA DE FUMIGACION</t>
  </si>
  <si>
    <t xml:space="preserve">MATERIA PRIMA </t>
  </si>
  <si>
    <t>PRODUCCION</t>
  </si>
  <si>
    <t>LUV DMAX CAMIONETA</t>
  </si>
  <si>
    <t>ACTIVO FIJO</t>
  </si>
  <si>
    <t>MATERIA PRIMA</t>
  </si>
  <si>
    <t xml:space="preserve">MOTORES </t>
  </si>
  <si>
    <t>AGROPECUARIA</t>
  </si>
  <si>
    <t>ENSILADORAS</t>
  </si>
  <si>
    <t xml:space="preserve">REPUESTOS MOLINOS PICADORES </t>
  </si>
  <si>
    <t>REPUESTOS COSECHADORAS</t>
  </si>
  <si>
    <t xml:space="preserve">ACCESORIOS MOLINOS PICADORES </t>
  </si>
  <si>
    <t xml:space="preserve">REPUESTOS ESPARCIDORAS </t>
  </si>
  <si>
    <t xml:space="preserve">REPUESTOS ENSILADORAS </t>
  </si>
  <si>
    <t>DESGRANADORAS</t>
  </si>
  <si>
    <t xml:space="preserve">MOLINOS PICADORES </t>
  </si>
  <si>
    <t xml:space="preserve">REPUESTOS TRITURADORES </t>
  </si>
  <si>
    <t>COSECHADORAS</t>
  </si>
  <si>
    <t>ACCESORIOS COSECHADORAS</t>
  </si>
  <si>
    <t xml:space="preserve">ACCESORIOS PICADORA </t>
  </si>
  <si>
    <t>MEZCLADORAS</t>
  </si>
  <si>
    <t xml:space="preserve">PICADORA </t>
  </si>
  <si>
    <t xml:space="preserve">ACCESORIOS ENSILADORAS </t>
  </si>
  <si>
    <t xml:space="preserve">REPUESTOS PICADORA </t>
  </si>
  <si>
    <t>ACCESORIOS BOMBA DE FUMIGACION</t>
  </si>
  <si>
    <t xml:space="preserve">REPUESTOS MOTOSIERRAS </t>
  </si>
  <si>
    <t xml:space="preserve">REPUESTOS PODADORAS DE ALTURA </t>
  </si>
  <si>
    <t>REPUESTOS NEBULIZADORA. PULVERIZADORA Y ESPOLVEADORA</t>
  </si>
  <si>
    <t>REPUESTOS TALADRO MOTORIZADO</t>
  </si>
  <si>
    <t>ACCESORIOS DESMALEZADORA</t>
  </si>
  <si>
    <t>ACEITES Y GRASA</t>
  </si>
  <si>
    <t>OTROS</t>
  </si>
  <si>
    <t>NEBULIZADORA. PULVERIZADORA Y ESPOLVEADORA</t>
  </si>
  <si>
    <t xml:space="preserve">REPUESTOS CORTASETOS </t>
  </si>
  <si>
    <t>ACCESORIOS MOTOSIERRAS</t>
  </si>
  <si>
    <t>MOTOSIERRAS</t>
  </si>
  <si>
    <t>BOMBA DE FUMIGACION</t>
  </si>
  <si>
    <t xml:space="preserve">ACCESORIOS PODADORAS DE ALTURA </t>
  </si>
  <si>
    <t>HERRAMIENTA</t>
  </si>
  <si>
    <t>ACCESORIOS TALADRO MOTORIZADO</t>
  </si>
  <si>
    <t xml:space="preserve">REPUESTOS SOPLADORAS </t>
  </si>
  <si>
    <t>REPUESTOS MAQ MULTIUSOS</t>
  </si>
  <si>
    <t>SOPLADORAS</t>
  </si>
  <si>
    <t>TALADRO MOTORIZADO</t>
  </si>
  <si>
    <t xml:space="preserve">CORTASETOS </t>
  </si>
  <si>
    <t>MAQ MULTIUSOS</t>
  </si>
  <si>
    <t>EC-P021032440</t>
  </si>
  <si>
    <t xml:space="preserve">PODADORAS DE ALTURA </t>
  </si>
  <si>
    <t>TERMINADO</t>
  </si>
  <si>
    <t>NUTRICIONAL</t>
  </si>
  <si>
    <t xml:space="preserve">TERMINADO </t>
  </si>
  <si>
    <t>INSECTICIDAS</t>
  </si>
  <si>
    <t>FUNGICIDAS</t>
  </si>
  <si>
    <t>HERBICIDAS</t>
  </si>
  <si>
    <t>FIJADORES</t>
  </si>
  <si>
    <t>ACCESORIOS ORDENOS MECANICOS</t>
  </si>
  <si>
    <t xml:space="preserve">REPUESTOS ORDENOS MECANICOS </t>
  </si>
  <si>
    <t xml:space="preserve">ORDENOS MECANICOS </t>
  </si>
  <si>
    <t xml:space="preserve">TRITURADORES </t>
  </si>
  <si>
    <t xml:space="preserve">ESPARCIDORAS </t>
  </si>
  <si>
    <t xml:space="preserve">ACCESORIOS MOTOCULTORES </t>
  </si>
  <si>
    <t xml:space="preserve">REPUESTOS MOTOCULTORES </t>
  </si>
  <si>
    <t>MOTOR DIESEL</t>
  </si>
  <si>
    <t>MOTOR GASOLINA</t>
  </si>
  <si>
    <t xml:space="preserve">ACCESORIOS TRAPICHES </t>
  </si>
  <si>
    <t xml:space="preserve">IMPLEMENTOS </t>
  </si>
  <si>
    <t>PUBLICIDAD</t>
  </si>
  <si>
    <t xml:space="preserve">REPUESTOS MOTORES </t>
  </si>
  <si>
    <t xml:space="preserve">TRACTORES </t>
  </si>
  <si>
    <t xml:space="preserve">BOMBAS DE AGUA </t>
  </si>
  <si>
    <t>REPUESTO ZM</t>
  </si>
  <si>
    <t xml:space="preserve">ACCESORIOS BOMBAS DE AGUA </t>
  </si>
  <si>
    <t xml:space="preserve">REPUESTOS BOMBAS DE AGUA </t>
  </si>
  <si>
    <t>GRUPO</t>
  </si>
  <si>
    <t>LINEA</t>
  </si>
  <si>
    <t>ESLIVE-004</t>
  </si>
  <si>
    <t>MOTOCULTOR DF-15L DE 16HP</t>
  </si>
  <si>
    <t>OT-920</t>
  </si>
  <si>
    <t>ARADO 2 DISCOS MOTOCULTOR</t>
  </si>
  <si>
    <t>EMPRESA</t>
  </si>
  <si>
    <t>Agroinsumos</t>
  </si>
  <si>
    <t>0</t>
  </si>
  <si>
    <t>REEMBOLSO DE GASTOS</t>
  </si>
  <si>
    <t>Agrota</t>
  </si>
  <si>
    <t>5010102436</t>
  </si>
  <si>
    <t>501011545</t>
  </si>
  <si>
    <t>503010023</t>
  </si>
  <si>
    <t>ARANDELA P/ GRAPA P/ AF (1K01584)</t>
  </si>
  <si>
    <t>503010335</t>
  </si>
  <si>
    <t>624010005</t>
  </si>
  <si>
    <t>73001105872</t>
  </si>
  <si>
    <t>A101000370</t>
  </si>
  <si>
    <t xml:space="preserve"> ANILLO (SET) B530</t>
  </si>
  <si>
    <t>A172001300</t>
  </si>
  <si>
    <t>A202000011</t>
  </si>
  <si>
    <t xml:space="preserve">CA FUELLE ENTRADA </t>
  </si>
  <si>
    <t>A226000600</t>
  </si>
  <si>
    <t>A300000781</t>
  </si>
  <si>
    <t>CA SILENCIADOR DE ESCAPE</t>
  </si>
  <si>
    <t>A411000790</t>
  </si>
  <si>
    <t xml:space="preserve"> BOBINA COMPLETA B530</t>
  </si>
  <si>
    <t>A510000110</t>
  </si>
  <si>
    <t>ACEREXT5630</t>
  </si>
  <si>
    <t>PORTATIL ACER EXTENSA 5630EZ-4062</t>
  </si>
  <si>
    <t>AM-001</t>
  </si>
  <si>
    <t>MOSKAFIN X 100 GRAMOS</t>
  </si>
  <si>
    <t xml:space="preserve">BELEC-004 </t>
  </si>
  <si>
    <t xml:space="preserve">BALANZA ELECTRICA 30KG </t>
  </si>
  <si>
    <t>C051000600</t>
  </si>
  <si>
    <t>C450000042</t>
  </si>
  <si>
    <t xml:space="preserve">CA GATILLO DEL ACELERADOR </t>
  </si>
  <si>
    <t>C504000740</t>
  </si>
  <si>
    <t>EJE PRINCIPAL DE B-530</t>
  </si>
  <si>
    <t>C531000600</t>
  </si>
  <si>
    <t>C535000510</t>
  </si>
  <si>
    <t>C535000510 SOPORTE (A)</t>
  </si>
  <si>
    <t>CO-001</t>
  </si>
  <si>
    <t>COMBO DINAMITE</t>
  </si>
  <si>
    <t>CO-002</t>
  </si>
  <si>
    <t>COMBO SINOPRID XL</t>
  </si>
  <si>
    <t>CO-003</t>
  </si>
  <si>
    <t>COMBO SCOBA XL</t>
  </si>
  <si>
    <t>CO-004</t>
  </si>
  <si>
    <t>COMBO ARROZ TOTAL</t>
  </si>
  <si>
    <t>CO-005</t>
  </si>
  <si>
    <t>COMBO CACAO FLORACION</t>
  </si>
  <si>
    <t>CO-006</t>
  </si>
  <si>
    <t>COMBO CACAO MONILIA</t>
  </si>
  <si>
    <t>CO-007</t>
  </si>
  <si>
    <t>COMBO INSECTICIDA</t>
  </si>
  <si>
    <t>CO-008</t>
  </si>
  <si>
    <t>COMBO ARROZ INICIAL</t>
  </si>
  <si>
    <t>CO-009</t>
  </si>
  <si>
    <t>COMBO ARROZ DESARROLLO</t>
  </si>
  <si>
    <t>CO-010</t>
  </si>
  <si>
    <t>COMBO ARROZ ENGROSE</t>
  </si>
  <si>
    <t>CO-011</t>
  </si>
  <si>
    <t>COMBO PAPAYA</t>
  </si>
  <si>
    <t>CO-012</t>
  </si>
  <si>
    <t>COMBO MARACUYA</t>
  </si>
  <si>
    <t>CO-013</t>
  </si>
  <si>
    <t>COMBO COGOLLERO</t>
  </si>
  <si>
    <t>CO-014</t>
  </si>
  <si>
    <t>COMBO MATER INICIAL</t>
  </si>
  <si>
    <t>CO-015</t>
  </si>
  <si>
    <t>COMBO MASTER ENGROSE</t>
  </si>
  <si>
    <t>COMBO 1 22C</t>
  </si>
  <si>
    <t>COMBO 1 488</t>
  </si>
  <si>
    <t>MOTOSIERRA 488 B Y C 18"</t>
  </si>
  <si>
    <t>COMBO 1 577</t>
  </si>
  <si>
    <t>COMBO 1 757</t>
  </si>
  <si>
    <t>COMBO 1 B450</t>
  </si>
  <si>
    <t>COMBO 1 B450 AUS</t>
  </si>
  <si>
    <t>COMBO 1 B530</t>
  </si>
  <si>
    <t>COMBO 1 C230</t>
  </si>
  <si>
    <t>COMBO 1 C270</t>
  </si>
  <si>
    <t>COMBO 1 C350</t>
  </si>
  <si>
    <t>COMBO 1 CS3000</t>
  </si>
  <si>
    <t>COMBO 1 CS420ES</t>
  </si>
  <si>
    <t>COMBO 1 CS8002</t>
  </si>
  <si>
    <t>COMBO 1 CS8002 CON B Y C 28"</t>
  </si>
  <si>
    <t>COMBO 1 F220</t>
  </si>
  <si>
    <t>COMBO 1 P230</t>
  </si>
  <si>
    <t>COMBO 1 SRM270</t>
  </si>
  <si>
    <t>COMBO 1 SRM3605</t>
  </si>
  <si>
    <t>COMBO 1 SRM4300</t>
  </si>
  <si>
    <t>COMBO 1 SRM4605</t>
  </si>
  <si>
    <t>COMBO 2 22C</t>
  </si>
  <si>
    <t>COMBO 2 577</t>
  </si>
  <si>
    <t>COMBO 2 757</t>
  </si>
  <si>
    <t>COMBO 2 B450</t>
  </si>
  <si>
    <t>COMBO 2 B450 AUS</t>
  </si>
  <si>
    <t>COMBO 2 B530</t>
  </si>
  <si>
    <t>COMBO 2 C230</t>
  </si>
  <si>
    <t>COMBO 2 C270</t>
  </si>
  <si>
    <t>COMBO 2 C350</t>
  </si>
  <si>
    <t>COMBO 2 CS8002</t>
  </si>
  <si>
    <t>CS8002 CON B Y C 24"</t>
  </si>
  <si>
    <t>COMBO 3 757</t>
  </si>
  <si>
    <t>COMBO 3 B450</t>
  </si>
  <si>
    <t>COMBO 3 B450 AUS</t>
  </si>
  <si>
    <t>COMBO 3 B530</t>
  </si>
  <si>
    <t>COMBO 3 C230</t>
  </si>
  <si>
    <t>COMBO 3 C270</t>
  </si>
  <si>
    <t>COMBO 3 C350</t>
  </si>
  <si>
    <t>COMBO 4 B450</t>
  </si>
  <si>
    <t>COMBO 4 B450 AUS</t>
  </si>
  <si>
    <t>COMBO 4 B530</t>
  </si>
  <si>
    <t>COMBO 4 C270</t>
  </si>
  <si>
    <t>COMBO 4 C350</t>
  </si>
  <si>
    <t>COMBO 5 B450</t>
  </si>
  <si>
    <t>COMBO 5 B450 AUS</t>
  </si>
  <si>
    <t>COMBO 5 B530</t>
  </si>
  <si>
    <t>COMBO 5 C350</t>
  </si>
  <si>
    <t>COMBO 6 B530</t>
  </si>
  <si>
    <t>COMBO DM6110-13</t>
  </si>
  <si>
    <t>COMBO DM6110-23</t>
  </si>
  <si>
    <t>MOTOR 3HP WEG 1800 RPM 110/220V</t>
  </si>
  <si>
    <t>CR-003</t>
  </si>
  <si>
    <t xml:space="preserve">ENSILADORA EC 4800                                                                                 </t>
  </si>
  <si>
    <t>CONTRA CUCHILLA EC 4800</t>
  </si>
  <si>
    <t>CR-03.144.05</t>
  </si>
  <si>
    <t>POLEA DE 4" DOS RANURAS SIN HUECO</t>
  </si>
  <si>
    <t>CR-03.158.05</t>
  </si>
  <si>
    <t>CORONA EC-4000</t>
  </si>
  <si>
    <t>DESGRANADORA DE MAIZ NUX SDMN 5/10</t>
  </si>
  <si>
    <t>MOTOR GASO 6.5 HP INTEK EJE RECTO</t>
  </si>
  <si>
    <t>CR-12.001.40</t>
  </si>
  <si>
    <t>POLEA EJE ROTOR 930C</t>
  </si>
  <si>
    <t xml:space="preserve">MOTOR 1.5HP 110/220V PARA DPF MINI  </t>
  </si>
  <si>
    <t>CR-22.067.08</t>
  </si>
  <si>
    <t>JUEGO DE MARTILLOS PARA DPC4</t>
  </si>
  <si>
    <t>POLEA 4`` DE 1 RANURA</t>
  </si>
  <si>
    <t>CR-70.224.01</t>
  </si>
  <si>
    <t>POLEA DE UNA RANURA 3.5" SIN HUECO</t>
  </si>
  <si>
    <t>CR-85.021.05</t>
  </si>
  <si>
    <t>ESPIRAL MEZCLADORA MRC 500</t>
  </si>
  <si>
    <t xml:space="preserve">REPUESTOS MEZCLADORAS </t>
  </si>
  <si>
    <t>CR-85.021.10</t>
  </si>
  <si>
    <t>ESPIRAL MEZCLADORA MRC1000</t>
  </si>
  <si>
    <t>TRAPICHE OSORIO ECO 2000</t>
  </si>
  <si>
    <t xml:space="preserve">TRAPICHES </t>
  </si>
  <si>
    <t>CR-ECO3000</t>
  </si>
  <si>
    <t>TRAPICHE OSORIO ECO3000</t>
  </si>
  <si>
    <t>TRITURADORA TMC4</t>
  </si>
  <si>
    <t>JUEGO DE CUCHILLAS EC-MINI</t>
  </si>
  <si>
    <t xml:space="preserve">DDD </t>
  </si>
  <si>
    <t>EXHIBIDOR ECHO-SHINDAIWA RANURADO</t>
  </si>
  <si>
    <t>EC-10000043231</t>
  </si>
  <si>
    <t>EMPAQUE DE CARBURADOR SHP800</t>
  </si>
  <si>
    <t>DIAFRAGMA BOMBA GASOLINA SHP800</t>
  </si>
  <si>
    <t>12532508360 EMPAQUE SRM4300</t>
  </si>
  <si>
    <t>EMPAQUE AISLADOR (B) SRM4605</t>
  </si>
  <si>
    <t>BASE FILTRO AIRE SRM4605</t>
  </si>
  <si>
    <t>AMORTIGUADOR DE TANQUE SRM4605</t>
  </si>
  <si>
    <t>EC-14551006211</t>
  </si>
  <si>
    <t>EMPAQUE DE SILENCIADOR DM6110</t>
  </si>
  <si>
    <t>EC-20D8TW3872</t>
  </si>
  <si>
    <t>BARRA 50CM 3/8"/0.58"</t>
  </si>
  <si>
    <t>EC-21001101160</t>
  </si>
  <si>
    <t>CODO DM9</t>
  </si>
  <si>
    <t>EC-21001201112</t>
  </si>
  <si>
    <t>21001201112 TUBO FLEXIBLE</t>
  </si>
  <si>
    <t>EC-21001400310</t>
  </si>
  <si>
    <t>21001400310 TUBO RECTO</t>
  </si>
  <si>
    <t>EC-21002301060</t>
  </si>
  <si>
    <t>TUBO CURVO DM-9</t>
  </si>
  <si>
    <t>EC-21040001110</t>
  </si>
  <si>
    <t>EC-21040701110</t>
  </si>
  <si>
    <t>EC-24D8TW3884</t>
  </si>
  <si>
    <t>BARRA 60CM 3/8"/0.58"</t>
  </si>
  <si>
    <t>EC-28D8TW3892</t>
  </si>
  <si>
    <t>BARRA 70CM 3/8"/0.058"</t>
  </si>
  <si>
    <t>EC-35791100111</t>
  </si>
  <si>
    <t>SUJETADOR DE CAUCHO TUBO DM6110</t>
  </si>
  <si>
    <t>EC-3581000111</t>
  </si>
  <si>
    <t>LLAVE DE PASO DM6110</t>
  </si>
  <si>
    <t>EC-43301912330</t>
  </si>
  <si>
    <t>TUERCA BARRA CS680</t>
  </si>
  <si>
    <t>EC-4331116430</t>
  </si>
  <si>
    <t>PERNO PRISIONERO</t>
  </si>
  <si>
    <t>EC-577</t>
  </si>
  <si>
    <t>MOTOSIERRA 577</t>
  </si>
  <si>
    <t>EC-6045105560</t>
  </si>
  <si>
    <t>CHUCK</t>
  </si>
  <si>
    <t>CUBIERTA DE EMBRAGUE SRM4605</t>
  </si>
  <si>
    <t>ARANDELAS DE SEGURIDAD DE CAJA SRM4300</t>
  </si>
  <si>
    <t>ORING DE TAPA DE CARTER DE BOMBA SHP800</t>
  </si>
  <si>
    <t>EC-70602013250</t>
  </si>
  <si>
    <t>TAMBOR DE EMBRAGUE SHP800</t>
  </si>
  <si>
    <t>EC-70602016970</t>
  </si>
  <si>
    <t>RETEN DE CARTER BIELA SHP800</t>
  </si>
  <si>
    <t>EC-70602028970</t>
  </si>
  <si>
    <t>RETEN DE CUBIERTA DE EMBRAGUE SHP800</t>
  </si>
  <si>
    <t>VASTAGO DE EMBOLO</t>
  </si>
  <si>
    <t>70602034770 CABEZA PISTON SHP800</t>
  </si>
  <si>
    <t>EC-70602050000</t>
  </si>
  <si>
    <t>VALVULA KIT DE EMBOLO SHP800</t>
  </si>
  <si>
    <t>MOTOSIERRA 757-70 CON BARRA Y CADENA</t>
  </si>
  <si>
    <t>PERNO DE SUJECION (COM) SRM4605,SRM4300,SRM3605</t>
  </si>
  <si>
    <t>TORNILLO SRM4605</t>
  </si>
  <si>
    <t>TUERCA DE MANUBRIO SRM4605</t>
  </si>
  <si>
    <t>EC-9006030005</t>
  </si>
  <si>
    <t>ARANDELA</t>
  </si>
  <si>
    <t>O RING CAJA ENGRANAJE SRM4605</t>
  </si>
  <si>
    <t>EC-91VX57X</t>
  </si>
  <si>
    <t>CADENA PARA BARRA DE 16" 40CM 3/8" 0.058"</t>
  </si>
  <si>
    <t>EC-9242432000</t>
  </si>
  <si>
    <t>ANILLO ZEGER B450-C350</t>
  </si>
  <si>
    <t>ANILLO SEGER C350-B450-B530</t>
  </si>
  <si>
    <t>ESTABILIZADOR CUCHILLA SRM4300</t>
  </si>
  <si>
    <t>CARBURADOR COMP. B530</t>
  </si>
  <si>
    <t>BASE FILTRO P230</t>
  </si>
  <si>
    <t>EC-A030000570</t>
  </si>
  <si>
    <t>SILENCIADOR COMPLETO 488</t>
  </si>
  <si>
    <t>FILTRO COMBUST B45-B45LA</t>
  </si>
  <si>
    <t>ARRANCADOR SIN ETIQUETA C230-P230</t>
  </si>
  <si>
    <t>ARRANCADOR COMPLETO 488</t>
  </si>
  <si>
    <t>JUEGO ANILLO PISTON 488</t>
  </si>
  <si>
    <t>JUEGO ANILLO PISTON 757</t>
  </si>
  <si>
    <t>CILINDRO CS680</t>
  </si>
  <si>
    <t>CILINDRO B45-B45LA</t>
  </si>
  <si>
    <t>CILINDRO C230-HT230</t>
  </si>
  <si>
    <t>CILINDRO C230-ES726-M230-P230</t>
  </si>
  <si>
    <t>CUBIERTA DE VENTILADOR B530</t>
  </si>
  <si>
    <t>FILTRO AIRE  22F-22C</t>
  </si>
  <si>
    <t>EC-A226000600</t>
  </si>
  <si>
    <t>FILTRO AIRE B45-B45LA</t>
  </si>
  <si>
    <t>FILTRO AIRE C230-P230</t>
  </si>
  <si>
    <t>EC-A230000040</t>
  </si>
  <si>
    <t>FILTRO RED B45-B45LA</t>
  </si>
  <si>
    <t>EC-A232000312</t>
  </si>
  <si>
    <t>CUBIERTA FILTRO DE AIRE SRM4300</t>
  </si>
  <si>
    <t>EC-A320000770</t>
  </si>
  <si>
    <t>CUBIERTA, SILENCIADOR B45LA-C35LA</t>
  </si>
  <si>
    <t>EC-A320000890</t>
  </si>
  <si>
    <t>CUBIERTA DEL SILENCIADOR SRM4605</t>
  </si>
  <si>
    <t>BOBINA C230-P230</t>
  </si>
  <si>
    <t>BOBINA PAQUEÑA 757</t>
  </si>
  <si>
    <t>EC-A427000060</t>
  </si>
  <si>
    <t>CAPUCHON 488</t>
  </si>
  <si>
    <t>EC-A427000100</t>
  </si>
  <si>
    <t>BUJÍA DE CAPUCHON 22F-C230</t>
  </si>
  <si>
    <t>EC-A43302116430</t>
  </si>
  <si>
    <t>CUBIERTA DE EMBRAGUE</t>
  </si>
  <si>
    <t>CUERDA B450-C350-B530-BP35</t>
  </si>
  <si>
    <t>TRINQUETE C230-P230-M230</t>
  </si>
  <si>
    <t>Sukampo</t>
  </si>
  <si>
    <t>EC-C044000410</t>
  </si>
  <si>
    <t>CONTROL DEL ACELERADOR</t>
  </si>
  <si>
    <t>EC-C044000830</t>
  </si>
  <si>
    <t>PALANCA ACELERADOR B45-C35LA</t>
  </si>
  <si>
    <t>CAJA DE ENGRANAJES COMP.B45-B45LA-B45</t>
  </si>
  <si>
    <t>CAJA DE ENGRANAJE C230</t>
  </si>
  <si>
    <t>EJE CENTRAL C230</t>
  </si>
  <si>
    <t>EJE FLEXIBLE 22F</t>
  </si>
  <si>
    <t>EJE DE ENGRANAJE C230</t>
  </si>
  <si>
    <t>PLACA (B )BP35</t>
  </si>
  <si>
    <t>MOTOSIERRA CS-680S-60 CON BARRA Y CADENA</t>
  </si>
  <si>
    <t>EC-CS-420ES</t>
  </si>
  <si>
    <t>MOTOSIERRA CS-420ES</t>
  </si>
  <si>
    <t>MOTOSIERRA CS-510-50 CON BARRA Y CADENA</t>
  </si>
  <si>
    <t>MOTOSIERRA CS-680-70 CON BARRA Y CADENA</t>
  </si>
  <si>
    <t>MOTOSIERRA CS-8002-80 CON BARRA Y CADENA</t>
  </si>
  <si>
    <t>AGUJA KIT REPARACION CS510</t>
  </si>
  <si>
    <t>MEMBRANA CARBURADOR SRM4300</t>
  </si>
  <si>
    <t>RESORTE BALANCIN SRM4300</t>
  </si>
  <si>
    <t>EC-P021008630</t>
  </si>
  <si>
    <t>SILENCIADOR DM6110</t>
  </si>
  <si>
    <t>EC-P021012590</t>
  </si>
  <si>
    <t>EC-P021022530</t>
  </si>
  <si>
    <t>KIT MOTOR RECONSTRUC C230</t>
  </si>
  <si>
    <t>KIT MOTOR RECONSTR B45LA</t>
  </si>
  <si>
    <t>EC-P021030500</t>
  </si>
  <si>
    <t>JUEGO DE PISTON C230-P230</t>
  </si>
  <si>
    <t>PISTON KIT C230</t>
  </si>
  <si>
    <t>KIT MOTOR RECONSTRUC. C230</t>
  </si>
  <si>
    <t>EC-P021033200</t>
  </si>
  <si>
    <t>HERRAMIENTAS KIT</t>
  </si>
  <si>
    <t>EC-P021035490</t>
  </si>
  <si>
    <t>MANGO COMPLETO B45-B45LA-C35LA</t>
  </si>
  <si>
    <t>PERNO (COM) CAJA ENGRANAJE SRM4300</t>
  </si>
  <si>
    <t>PERNO SEGURO CAJA SRM4300</t>
  </si>
  <si>
    <t>ABRAZADERA (A) SRM4300</t>
  </si>
  <si>
    <t>ABRAZADERA SRM4300</t>
  </si>
  <si>
    <t>PERNO DE LA ABRAZADERA SRM4300</t>
  </si>
  <si>
    <t>CABLE MANUBRIO B530</t>
  </si>
  <si>
    <t>EMPAQUE CARTER SRM4300</t>
  </si>
  <si>
    <t>EMPAQUE CABURA C270</t>
  </si>
  <si>
    <t>EMPAQUE CARBURADOR ES726</t>
  </si>
  <si>
    <t>EMPAQUE AISLADOR C230-ES726</t>
  </si>
  <si>
    <t>EC-V107000080</t>
  </si>
  <si>
    <t>EMPAQUE CORCHO 488-577-757</t>
  </si>
  <si>
    <t>OJAL TANQUE COMB B450-C350</t>
  </si>
  <si>
    <t>AISLADOR DE BOBINA B530-22F</t>
  </si>
  <si>
    <t>AMORTIGUADOR B450-C350</t>
  </si>
  <si>
    <t>CABLE CORTO ACELERADOR B450-C350</t>
  </si>
  <si>
    <t>RETEN 22C-C230</t>
  </si>
  <si>
    <t>EC-V555000090</t>
  </si>
  <si>
    <t>COJINETE AGUJA C350-BP35</t>
  </si>
  <si>
    <t>EC-V555000140</t>
  </si>
  <si>
    <t>COJINETE DE BIELA 488</t>
  </si>
  <si>
    <t>ANILLO RETENEDOR B450</t>
  </si>
  <si>
    <t>CUCHILLA SUPERIOR 40" HT230</t>
  </si>
  <si>
    <t>CUCHILLA 40" ACC CORTACETOS</t>
  </si>
  <si>
    <t xml:space="preserve">ACCESORIOS CORTASETOS </t>
  </si>
  <si>
    <t>CUCHILLA ACC CORTASETOS</t>
  </si>
  <si>
    <t xml:space="preserve">ELHIERR-0004  </t>
  </si>
  <si>
    <t>ACEITE RACING 5000SAE 40P. PARA MOTOCULTOR</t>
  </si>
  <si>
    <t>EM 1135</t>
  </si>
  <si>
    <t>TAPA DE RADIADOR 13LBS</t>
  </si>
  <si>
    <t>F-0010</t>
  </si>
  <si>
    <t>VIRUS STOP X LT</t>
  </si>
  <si>
    <t>F-0011</t>
  </si>
  <si>
    <t>BLINDAX X GL</t>
  </si>
  <si>
    <t>F-006</t>
  </si>
  <si>
    <t>MIX SAP X LT</t>
  </si>
  <si>
    <t>F-008</t>
  </si>
  <si>
    <t>PROROOT</t>
  </si>
  <si>
    <t>F-009</t>
  </si>
  <si>
    <t>NITROFOL X 20 LT</t>
  </si>
  <si>
    <t>F-010</t>
  </si>
  <si>
    <t>IMPULSSOR  X LT</t>
  </si>
  <si>
    <t>F-017</t>
  </si>
  <si>
    <t>FARMAKIN X LT</t>
  </si>
  <si>
    <t>F-020</t>
  </si>
  <si>
    <t>BIORGAN X LT</t>
  </si>
  <si>
    <t>F-027</t>
  </si>
  <si>
    <t>ENZIPROB CANECA  20 LT</t>
  </si>
  <si>
    <t>FIL 152</t>
  </si>
  <si>
    <t>FILT TRAMPA AGUA GP 243192206</t>
  </si>
  <si>
    <t>FIL-235</t>
  </si>
  <si>
    <t>FILTRO COMBUSTIBLE 47135706</t>
  </si>
  <si>
    <t>FIMPORT-001</t>
  </si>
  <si>
    <t>FLETE DE IMPORTACION AGROINSUMOS</t>
  </si>
  <si>
    <t>FLETE</t>
  </si>
  <si>
    <t>FLETE DE MERCADERIAS</t>
  </si>
  <si>
    <t>FUM-001</t>
  </si>
  <si>
    <t>LANZA TELESCOPICA DE FUMIGACION</t>
  </si>
  <si>
    <t>FUM-002</t>
  </si>
  <si>
    <t>BOQUILLA PARA LANZA TELESCÓPICA</t>
  </si>
  <si>
    <t>FUN-01</t>
  </si>
  <si>
    <t>FUNDAS IMPRESAS</t>
  </si>
  <si>
    <t>HT-2/4</t>
  </si>
  <si>
    <t>CONTRA HOJA FELCO 2/4</t>
  </si>
  <si>
    <t>IMP-009</t>
  </si>
  <si>
    <t>TORNILLO PARA DISCO DE ARADO</t>
  </si>
  <si>
    <t xml:space="preserve">IMP-010  </t>
  </si>
  <si>
    <t>TUERCA PARA DISCO DE ARADO</t>
  </si>
  <si>
    <t xml:space="preserve">IMP-011 </t>
  </si>
  <si>
    <t>ARANDELA PARA DISCO DE ARADO</t>
  </si>
  <si>
    <t>IMP-064</t>
  </si>
  <si>
    <t>ARADO FIJO AF 4 DISCOS TATU</t>
  </si>
  <si>
    <t xml:space="preserve">IMP-956 </t>
  </si>
  <si>
    <t>GANCHO AGRICOLA HCC 800</t>
  </si>
  <si>
    <t>IN - 1271</t>
  </si>
  <si>
    <t>RAIZ FORTE X 500 ML</t>
  </si>
  <si>
    <t>IN- 00116</t>
  </si>
  <si>
    <t>LORFOS X 250 ML</t>
  </si>
  <si>
    <t>IN-0001</t>
  </si>
  <si>
    <t>AGROTAFOL 15-40-15-1 INICIAL X 25 KG</t>
  </si>
  <si>
    <t>IN-000105</t>
  </si>
  <si>
    <t>AGROTAFOLCORRECTOR  PH  X LT</t>
  </si>
  <si>
    <t>IN-000106</t>
  </si>
  <si>
    <t>AGROTAFOL CORRECTOR PH  X 100 ML</t>
  </si>
  <si>
    <t>IN-000125</t>
  </si>
  <si>
    <t>SPIN  X 500 ML</t>
  </si>
  <si>
    <t>IN-0002</t>
  </si>
  <si>
    <t>AGROTAFOL AMINO X 500 ML</t>
  </si>
  <si>
    <t>IN-0003</t>
  </si>
  <si>
    <t>AGROTAFOL CALCIO X 500 ML</t>
  </si>
  <si>
    <t>IN-0005</t>
  </si>
  <si>
    <t>AGROTAFOL ZINC X 500 ML</t>
  </si>
  <si>
    <t>IN-0006</t>
  </si>
  <si>
    <t>AGROTAFOL ZINC X GL</t>
  </si>
  <si>
    <t>IN-0009</t>
  </si>
  <si>
    <t>AGROTAFOL FOSFITO X 20 LTS</t>
  </si>
  <si>
    <t>IN-00101</t>
  </si>
  <si>
    <t>LACURA X 200 LT</t>
  </si>
  <si>
    <t>IN-00103</t>
  </si>
  <si>
    <t>LACURA X 250 ML</t>
  </si>
  <si>
    <t>IN-00117</t>
  </si>
  <si>
    <t>LORFOS X LT</t>
  </si>
  <si>
    <t>IN-00119</t>
  </si>
  <si>
    <t>LABOMBA  X 250 ML</t>
  </si>
  <si>
    <t>IN-00120</t>
  </si>
  <si>
    <t>LABOMBA  X LT</t>
  </si>
  <si>
    <t>IN-0016</t>
  </si>
  <si>
    <t>LACURA  X 500 ML</t>
  </si>
  <si>
    <t>IN-0019</t>
  </si>
  <si>
    <t>PARAGUAS X 500 G</t>
  </si>
  <si>
    <t>IN-0021</t>
  </si>
  <si>
    <t>GLIFOSATO X 5 GL</t>
  </si>
  <si>
    <t>IN-0022</t>
  </si>
  <si>
    <t>ATRAZINA X KG</t>
  </si>
  <si>
    <t>IN-0023</t>
  </si>
  <si>
    <t>AGROTAMINA X 5 GL</t>
  </si>
  <si>
    <t>IN-0024</t>
  </si>
  <si>
    <t>AGROTALINA X 5 GL</t>
  </si>
  <si>
    <t>IN-0102</t>
  </si>
  <si>
    <t>AGROTAFOL BORO X GL</t>
  </si>
  <si>
    <t>IN-015</t>
  </si>
  <si>
    <t>ENDOSULFAN X 200 LT</t>
  </si>
  <si>
    <t>IN-018</t>
  </si>
  <si>
    <t>AGROTHANE X 500 ML</t>
  </si>
  <si>
    <t>IN-027</t>
  </si>
  <si>
    <t>CAPITAN X 250 ML</t>
  </si>
  <si>
    <t>IN-028</t>
  </si>
  <si>
    <t>ZAMURAY 100ML</t>
  </si>
  <si>
    <t>IN-045</t>
  </si>
  <si>
    <t>GLIFOSATO X GL</t>
  </si>
  <si>
    <t>IN-046</t>
  </si>
  <si>
    <t>AGROTAFOL MICROPLUS X LT</t>
  </si>
  <si>
    <t>IN-047</t>
  </si>
  <si>
    <t>AGROTAFOL CALCIO x LT</t>
  </si>
  <si>
    <t>IN-052</t>
  </si>
  <si>
    <t>KEMADOR X 200 LT</t>
  </si>
  <si>
    <t>IN-061</t>
  </si>
  <si>
    <t>CAPO    X 250 ML</t>
  </si>
  <si>
    <t>IN-065</t>
  </si>
  <si>
    <t>GLIFOSATO X 200 LT</t>
  </si>
  <si>
    <t>IN-066</t>
  </si>
  <si>
    <t>GLIFOSATO X 19 GL</t>
  </si>
  <si>
    <t>IN-071</t>
  </si>
  <si>
    <t>CAPO X LT</t>
  </si>
  <si>
    <t>IN-075</t>
  </si>
  <si>
    <t>AGROTALINA X 20 LT</t>
  </si>
  <si>
    <t>IN-081</t>
  </si>
  <si>
    <t>TANQUE X GALON</t>
  </si>
  <si>
    <t>IN-091</t>
  </si>
  <si>
    <t>ESTAMPIDA X LT</t>
  </si>
  <si>
    <t>IN-093</t>
  </si>
  <si>
    <t>ESTAMPIDA X 100 ML</t>
  </si>
  <si>
    <t>IN-095</t>
  </si>
  <si>
    <t>FAST X LT</t>
  </si>
  <si>
    <t>IN-096</t>
  </si>
  <si>
    <t>BOTRYAZOLE X 250 ML</t>
  </si>
  <si>
    <t>IN-097</t>
  </si>
  <si>
    <t>BOTRYAZOLE X LT</t>
  </si>
  <si>
    <t>IN-103</t>
  </si>
  <si>
    <t>AGROTAFOL CALCIO X 250 ML</t>
  </si>
  <si>
    <t>IN-105</t>
  </si>
  <si>
    <t>AGROTAFOL AMINO X 250 ML</t>
  </si>
  <si>
    <t>IN-142</t>
  </si>
  <si>
    <t>SINOTOP X 100 ML</t>
  </si>
  <si>
    <t>IN-143</t>
  </si>
  <si>
    <t>AGROTASULF X LT</t>
  </si>
  <si>
    <t>IN-1442</t>
  </si>
  <si>
    <t>CIROMAZINA X 50 G AGROMAC</t>
  </si>
  <si>
    <t>IN-150</t>
  </si>
  <si>
    <t>AGROCARBOFURAN X LT</t>
  </si>
  <si>
    <t>IN-152</t>
  </si>
  <si>
    <t>AGROCARBOFURAN X 250 ML</t>
  </si>
  <si>
    <t xml:space="preserve">IN-20417            </t>
  </si>
  <si>
    <t xml:space="preserve">CIROMAZINA 75% SOL X 50 GRS </t>
  </si>
  <si>
    <t xml:space="preserve">IN-2042        </t>
  </si>
  <si>
    <t xml:space="preserve">MYCLOBUTANIL 12,5 %  EC SOL X 250 ML                                                                </t>
  </si>
  <si>
    <t>IN-2047</t>
  </si>
  <si>
    <t>LAMBDA SOL X 100 ML</t>
  </si>
  <si>
    <t xml:space="preserve">IN-2048             </t>
  </si>
  <si>
    <t xml:space="preserve">LAMBDA SOL  X 250 ML        </t>
  </si>
  <si>
    <t>IN-23</t>
  </si>
  <si>
    <t>FIERA X GL</t>
  </si>
  <si>
    <t>IN-233</t>
  </si>
  <si>
    <t>KEMADOR X 5 GL</t>
  </si>
  <si>
    <t>IN-239</t>
  </si>
  <si>
    <t>ETIQUETA AGROTAFOL SUPER X 500 GMS</t>
  </si>
  <si>
    <t>IN-241</t>
  </si>
  <si>
    <t>CAPITAN X LT</t>
  </si>
  <si>
    <t>IN-25</t>
  </si>
  <si>
    <t>AGROTAMINA  X LT</t>
  </si>
  <si>
    <t>IN-253</t>
  </si>
  <si>
    <t>ENDOSULFAN X 250 ML</t>
  </si>
  <si>
    <t>IN-2601</t>
  </si>
  <si>
    <t>FULMINANTE AGRIPAC X 50 GRAMOS</t>
  </si>
  <si>
    <t>IN-265</t>
  </si>
  <si>
    <t>AGROCARBOFURAN X GL</t>
  </si>
  <si>
    <t>IN-31</t>
  </si>
  <si>
    <t>AGROTAFOL K  X LT</t>
  </si>
  <si>
    <t>IN-37</t>
  </si>
  <si>
    <t>BOTRYAZOLE X 100 ML</t>
  </si>
  <si>
    <t>IN-389</t>
  </si>
  <si>
    <t>ORGANIC POWER X 5 GL</t>
  </si>
  <si>
    <t>IN-48</t>
  </si>
  <si>
    <t>ASTUTO X LITRO</t>
  </si>
  <si>
    <t>IN-55</t>
  </si>
  <si>
    <t>ORGANIC POWER X GL</t>
  </si>
  <si>
    <t>IN-555</t>
  </si>
  <si>
    <t>AGROTAFOL AC X 5 GL</t>
  </si>
  <si>
    <t>IN-62</t>
  </si>
  <si>
    <t>AGROTAFOL 10-15-30-5 ENGROSE 500 G</t>
  </si>
  <si>
    <t>IN-63</t>
  </si>
  <si>
    <t>AGROTAFOL 15-40-15-10 INICIAL 500 G</t>
  </si>
  <si>
    <t>IN-64</t>
  </si>
  <si>
    <t>AGROTAFOL 30-10-10-20 DESARROLLO 500G</t>
  </si>
  <si>
    <t>IN-6617</t>
  </si>
  <si>
    <t>RIDONATE X 400 ML</t>
  </si>
  <si>
    <t>IN-669</t>
  </si>
  <si>
    <t>CIROMAZINA FRONTEAGRO X 250 G</t>
  </si>
  <si>
    <t>IN-82</t>
  </si>
  <si>
    <t>ESTAMPIDA X 250 ML</t>
  </si>
  <si>
    <t>IN-88</t>
  </si>
  <si>
    <t>AGROTAMINA X 20 LT</t>
  </si>
  <si>
    <t>IN-89</t>
  </si>
  <si>
    <t>ENDOSULFAN X LT</t>
  </si>
  <si>
    <t>IN-93</t>
  </si>
  <si>
    <t>FIERA X LT</t>
  </si>
  <si>
    <t>IN-963</t>
  </si>
  <si>
    <t>FAST X 100 ML</t>
  </si>
  <si>
    <t>INCO-094</t>
  </si>
  <si>
    <t>BOMBA DE VACIO 765</t>
  </si>
  <si>
    <t>INT-001</t>
  </si>
  <si>
    <t>SITI X 500 G</t>
  </si>
  <si>
    <t>INT-006</t>
  </si>
  <si>
    <t>GLIFOSATO X LT</t>
  </si>
  <si>
    <t>INT-008</t>
  </si>
  <si>
    <t>SINOMITE X 100 ML</t>
  </si>
  <si>
    <t>INT-012</t>
  </si>
  <si>
    <t>SITI X 250 G</t>
  </si>
  <si>
    <t>INT-014</t>
  </si>
  <si>
    <t>CIPERMETRINA 20 CE X LT</t>
  </si>
  <si>
    <t>INT-015</t>
  </si>
  <si>
    <t>SINOMITE X 50 ML</t>
  </si>
  <si>
    <t>INT-016</t>
  </si>
  <si>
    <t>CIPERMETRINA X 100 ML (AGROTA)</t>
  </si>
  <si>
    <t>INT-017</t>
  </si>
  <si>
    <t>CIPERMETRINA X 250 ML (AGROTA)</t>
  </si>
  <si>
    <t>IP008</t>
  </si>
  <si>
    <t>POLEAS</t>
  </si>
  <si>
    <t xml:space="preserve">JESPIN-005 </t>
  </si>
  <si>
    <t xml:space="preserve">ARADO 3 DISCOS MARCA BALDAN </t>
  </si>
  <si>
    <t>ENSILADORA JF 40 MAXXIUM</t>
  </si>
  <si>
    <t>02.046303 CONTRA CUCHILLA JF50S/MAXXIUM</t>
  </si>
  <si>
    <t>02.046555 KIT CUCHILLA COMP. JF40</t>
  </si>
  <si>
    <t>02.055529 KIT CUCHILLA COMPL JF90/92Z10</t>
  </si>
  <si>
    <t>JM-043</t>
  </si>
  <si>
    <t>ADAPTADOR CADENA HOROMETRO 5109356P</t>
  </si>
  <si>
    <t>MOT-005</t>
  </si>
  <si>
    <t>MOTOR 5HP WEG 3600 RPM 220/440V</t>
  </si>
  <si>
    <t>MOT-159</t>
  </si>
  <si>
    <t>MOTOR GASO 6.5HP VANGUARD</t>
  </si>
  <si>
    <t>MOT-641</t>
  </si>
  <si>
    <t>MOTOR TRIFASICO 10HP 1800 RPM WEG</t>
  </si>
  <si>
    <t>MP - 268</t>
  </si>
  <si>
    <t>ETIQUETA SINOTOP X 250 ML</t>
  </si>
  <si>
    <t>MP - 289</t>
  </si>
  <si>
    <t>ETIQUETA CAPO X 500 ML</t>
  </si>
  <si>
    <t>MP-0031</t>
  </si>
  <si>
    <t>MYCLOBUTANIL 12.5%EC</t>
  </si>
  <si>
    <t>MP-007</t>
  </si>
  <si>
    <t>20-20-20-1+MICROELEMENTOS 500 GR</t>
  </si>
  <si>
    <t>MP-010</t>
  </si>
  <si>
    <t>15-40-15-1+MICROELEMENTOS 25 KG</t>
  </si>
  <si>
    <t>MP-012</t>
  </si>
  <si>
    <t>CALCIO 4%, MG 3 %, AMI</t>
  </si>
  <si>
    <t>MP-01245</t>
  </si>
  <si>
    <t>FOSFONATO POTASICO 70 % X 20LITROS</t>
  </si>
  <si>
    <t>MP-013</t>
  </si>
  <si>
    <t>AMINOACIDOS, FITOHORMONAS Y CARBOHIDRATO</t>
  </si>
  <si>
    <t>MP-014</t>
  </si>
  <si>
    <t>FE,CU,MN,ZN,MO QUELATADOS</t>
  </si>
  <si>
    <t>MP-016</t>
  </si>
  <si>
    <t>POTASIO LIQUIDO 50000 PPM</t>
  </si>
  <si>
    <t>MP-026</t>
  </si>
  <si>
    <t>BENALAXIL 8% + MANCOZEB 65 % WP 250 GR</t>
  </si>
  <si>
    <t>MP-028</t>
  </si>
  <si>
    <t>PROCLHORAZ 45 % EC</t>
  </si>
  <si>
    <t>MP-030</t>
  </si>
  <si>
    <t>THIABENDAZOLE 50 % SC</t>
  </si>
  <si>
    <t>MP-032</t>
  </si>
  <si>
    <t>FOSETIL ALUMINIO 80 % WP 500 G</t>
  </si>
  <si>
    <t>MP-033</t>
  </si>
  <si>
    <t>FOSETIL ALUMINIO 80 % WP 100 G</t>
  </si>
  <si>
    <t>MP-035</t>
  </si>
  <si>
    <t>PROPINEB 70 % WP 500 GR</t>
  </si>
  <si>
    <t>MP-036</t>
  </si>
  <si>
    <t>PROPINEB 70 % WP 250 GR</t>
  </si>
  <si>
    <t>MP-041</t>
  </si>
  <si>
    <t>PROPINEB 70 % + CIMOXANIL 6 %</t>
  </si>
  <si>
    <t>MP-042</t>
  </si>
  <si>
    <t>IPRODIONE 50 % SC</t>
  </si>
  <si>
    <t>MP-043</t>
  </si>
  <si>
    <t>CIMOXANIL 8% + MANCOZEB 64 % WP 500 GR</t>
  </si>
  <si>
    <t>MP-044</t>
  </si>
  <si>
    <t>CIMOXANIL 8% + MANCOZEB 64 % WP 250 GR</t>
  </si>
  <si>
    <t>MP-045</t>
  </si>
  <si>
    <t>MANCOZEB 80 % WP 500 GR</t>
  </si>
  <si>
    <t>MP-046</t>
  </si>
  <si>
    <t>MANCOZEB 80 % WP KILO</t>
  </si>
  <si>
    <t>MP-048</t>
  </si>
  <si>
    <t>GLIFOSATO 48 % SC X 200 LT</t>
  </si>
  <si>
    <t>MP-049</t>
  </si>
  <si>
    <t>GLIFOSATO 48 % SC X 20 LT</t>
  </si>
  <si>
    <t>MP-050</t>
  </si>
  <si>
    <t>ATRAZINA 80 % WP</t>
  </si>
  <si>
    <t>MP-051</t>
  </si>
  <si>
    <t>2,4 D AMINA 72 % SL 200 LT</t>
  </si>
  <si>
    <t>MP-052</t>
  </si>
  <si>
    <t>2,4 D AMINA 72 % SL 20 LT</t>
  </si>
  <si>
    <t>MP-053</t>
  </si>
  <si>
    <t>PENDIMETALINA 40 % EC 200 LT</t>
  </si>
  <si>
    <t>MP-054</t>
  </si>
  <si>
    <t>PENDIMETALINA 40 % EC 20 LT</t>
  </si>
  <si>
    <t>MP-055</t>
  </si>
  <si>
    <t>BISPIRIBAC SODIUM 10 % SC</t>
  </si>
  <si>
    <t>MP-056</t>
  </si>
  <si>
    <t>BUTACLOR 60 % EC 200 LT</t>
  </si>
  <si>
    <t>MP-059</t>
  </si>
  <si>
    <t>PARAQUAT 24 % SC 20 LT</t>
  </si>
  <si>
    <t>MP-063</t>
  </si>
  <si>
    <t>ACIDOS ORGANICOS 25 %</t>
  </si>
  <si>
    <t>MP-0632</t>
  </si>
  <si>
    <t>ETIQUETA AGROTAZOLE X LITRO</t>
  </si>
  <si>
    <t>MP-065</t>
  </si>
  <si>
    <t>AMITRAZ 20 % EC</t>
  </si>
  <si>
    <t>MP-066</t>
  </si>
  <si>
    <t>DIMETOATO 40 % EC</t>
  </si>
  <si>
    <t>MP-067</t>
  </si>
  <si>
    <t>CLORPIRIFOS 48 % EC</t>
  </si>
  <si>
    <t>MP-068</t>
  </si>
  <si>
    <t>ENDOSULFAN 35 % EC</t>
  </si>
  <si>
    <t>MP-069</t>
  </si>
  <si>
    <t>CIPERMETRINA 20 % EC</t>
  </si>
  <si>
    <t>MP-070</t>
  </si>
  <si>
    <t>METAMIDOFOS 60 % CS</t>
  </si>
  <si>
    <t>MP-071</t>
  </si>
  <si>
    <t>CARTAP 50% WP  300 GR</t>
  </si>
  <si>
    <t>MP-074</t>
  </si>
  <si>
    <t>IMIDACLOPRID 25 % WP 500 G</t>
  </si>
  <si>
    <t>MP-077</t>
  </si>
  <si>
    <t>DIAZINON 60 % EC</t>
  </si>
  <si>
    <t>MP-078</t>
  </si>
  <si>
    <t>PIRIMIFOS METIL 50 % EC</t>
  </si>
  <si>
    <t>MP-080</t>
  </si>
  <si>
    <t>ABAMECTINA 1,8 % EC</t>
  </si>
  <si>
    <t>MP-086</t>
  </si>
  <si>
    <t>ETIQUETA AGROTAFOL ENGROSE X 500 GRS</t>
  </si>
  <si>
    <t>MP-090</t>
  </si>
  <si>
    <t>ETIQUETA AGROTAFOL CALCIO X LITRO</t>
  </si>
  <si>
    <t>MP-091</t>
  </si>
  <si>
    <t>ETIQUETA AGROTAFOL CALCIO X 250 ML</t>
  </si>
  <si>
    <t>MP-093</t>
  </si>
  <si>
    <t>ETIQUETA AGROTAFOL AMINO X LITRO</t>
  </si>
  <si>
    <t>MP-094</t>
  </si>
  <si>
    <t>ETIQUETA AGROTAFOL AMINO X 250 ML</t>
  </si>
  <si>
    <t>MP-096</t>
  </si>
  <si>
    <t>ETIQUETA AGROTAFOL MICROPLUS X LITRO</t>
  </si>
  <si>
    <t>MP-102</t>
  </si>
  <si>
    <t>ETIQUETA AGROTAFOL PLUS X LITRO</t>
  </si>
  <si>
    <t>MP-112</t>
  </si>
  <si>
    <t>ETIQUETA ORGANIC POWER X GALON</t>
  </si>
  <si>
    <t>MP-119</t>
  </si>
  <si>
    <t>ETIQUETA SINOMITE X 50 ML</t>
  </si>
  <si>
    <t>MP-127</t>
  </si>
  <si>
    <t>ETIQUETA PARALANCHA 250 GRS / DELANTERA</t>
  </si>
  <si>
    <t>MP-139</t>
  </si>
  <si>
    <t>ETIQUETA BOTRYAZOLE X 100 ML</t>
  </si>
  <si>
    <t>MP-143</t>
  </si>
  <si>
    <t>ETIQUETA LACURA X LITRO</t>
  </si>
  <si>
    <t>MP-144</t>
  </si>
  <si>
    <t>ETIQUETA LACURA X 250 ML</t>
  </si>
  <si>
    <t>MP-145</t>
  </si>
  <si>
    <t>ETIQUETA LACURA X 500 ML</t>
  </si>
  <si>
    <t>MP-155</t>
  </si>
  <si>
    <t>ETIQUETA SPIN X LITRO</t>
  </si>
  <si>
    <t>MP-166</t>
  </si>
  <si>
    <t>ETIQUETA GLIFOSATO X 20 LITROS</t>
  </si>
  <si>
    <t>MP-167</t>
  </si>
  <si>
    <t>ETIQUETA GLIFOSATO X GALON</t>
  </si>
  <si>
    <t>MP-171</t>
  </si>
  <si>
    <t>ETIQUETA AGROTAMINA X GALON</t>
  </si>
  <si>
    <t>MP-172</t>
  </si>
  <si>
    <t>ETIQUETA AGROTAMINA X 20 LITROS</t>
  </si>
  <si>
    <t>MP-175</t>
  </si>
  <si>
    <t>ETIQUETA AGROTALINA X 20 LITROS</t>
  </si>
  <si>
    <t>MP-178</t>
  </si>
  <si>
    <t>ETIQUETA FIERA X GALON</t>
  </si>
  <si>
    <t>MP-192</t>
  </si>
  <si>
    <t>ETIQUETA CAPITAN X LITRO</t>
  </si>
  <si>
    <t>MP-194</t>
  </si>
  <si>
    <t>ETIQUETA CAPITAN X 250 ML</t>
  </si>
  <si>
    <t>MP-196</t>
  </si>
  <si>
    <t>ETIQUETA LABOMBA X 250 ML</t>
  </si>
  <si>
    <t>MP-199</t>
  </si>
  <si>
    <t>ETIQUETA ENDOSULFAN X LITRO</t>
  </si>
  <si>
    <t>MP-202</t>
  </si>
  <si>
    <t>ETIQUETA CIPERMETRINA X 250 ML</t>
  </si>
  <si>
    <t>MP-203</t>
  </si>
  <si>
    <t>ETIQUETA CIPERMETRINA X 100 ML</t>
  </si>
  <si>
    <t>MP-204</t>
  </si>
  <si>
    <t>ETIQUETA CAPO X LITRO</t>
  </si>
  <si>
    <t>MP-205</t>
  </si>
  <si>
    <t>ETIQUETA CAPO X 250 ML</t>
  </si>
  <si>
    <t>MP-209</t>
  </si>
  <si>
    <t>ETIQUETA SINOPRID X 100 GRS / DELANTERA</t>
  </si>
  <si>
    <t>MP-210</t>
  </si>
  <si>
    <t>ETIQUETA SINOPRID X 100 GRS / TRASERA</t>
  </si>
  <si>
    <t>MP-215</t>
  </si>
  <si>
    <t>ETIQUETA ESTAMPIDA X LITRO</t>
  </si>
  <si>
    <t>MP-220</t>
  </si>
  <si>
    <t>ENVASE AGROBALA LITRO</t>
  </si>
  <si>
    <t>MP-226</t>
  </si>
  <si>
    <t>ENVASE TROMBA 500 G PREIMPRESA</t>
  </si>
  <si>
    <t>MP-231</t>
  </si>
  <si>
    <t>ETIQUETA ZAMURAY X 250 ML</t>
  </si>
  <si>
    <t>MP-232</t>
  </si>
  <si>
    <t>ETIQUETA ZAMURAY X 500 ML</t>
  </si>
  <si>
    <t>MP-233</t>
  </si>
  <si>
    <t>ETIQUETA ZAMURAY X 100 ML</t>
  </si>
  <si>
    <t>MP-243</t>
  </si>
  <si>
    <t>ETIQUETA TROMBA X 250 GMS</t>
  </si>
  <si>
    <t>MP-258</t>
  </si>
  <si>
    <t>ETIQUETA ZAMURAY X LITRO</t>
  </si>
  <si>
    <t>MP-260</t>
  </si>
  <si>
    <t>CARBOFURAN 4F</t>
  </si>
  <si>
    <t>MP-263</t>
  </si>
  <si>
    <t>PENCONAZOL X LITRO</t>
  </si>
  <si>
    <t>MP-264</t>
  </si>
  <si>
    <t>PENCONAZOL X 100 ML</t>
  </si>
  <si>
    <t>MP-272</t>
  </si>
  <si>
    <t>AZUFRE 72% X LITRO</t>
  </si>
  <si>
    <t>MP-283</t>
  </si>
  <si>
    <t>ENVASE X CANECA 20 LITROS</t>
  </si>
  <si>
    <t>MP-295</t>
  </si>
  <si>
    <t>ETIQUETA AGROTAZOLE X 100 CC</t>
  </si>
  <si>
    <t>MP-317</t>
  </si>
  <si>
    <t>ETIQUETA QUITA PLAGA X 500 ML</t>
  </si>
  <si>
    <t>MP-318</t>
  </si>
  <si>
    <t>ETIQUETA QUITA PLAGA X 100 ML</t>
  </si>
  <si>
    <t>MP-319</t>
  </si>
  <si>
    <t>ETIQUETA FERTILIFE X LITRO</t>
  </si>
  <si>
    <t>MP-320</t>
  </si>
  <si>
    <t>ETIQUETA QUITA PLAGA X LITRO</t>
  </si>
  <si>
    <t>MP-321</t>
  </si>
  <si>
    <t>ETIQUETA FERTILIFE PLUS X 250 ML</t>
  </si>
  <si>
    <t>MP-322</t>
  </si>
  <si>
    <t>ETIQUETA QUITA PLAGA X 250 ML</t>
  </si>
  <si>
    <t>MP-323</t>
  </si>
  <si>
    <t>IMIDACLOPRID 25 % WP 50 G</t>
  </si>
  <si>
    <t>MP-325</t>
  </si>
  <si>
    <t>ETIQUETA FERTILIFE PLUS X 500 ML</t>
  </si>
  <si>
    <t>MP-355</t>
  </si>
  <si>
    <t>ETIQUETA AGROCARBOFURAN X GALON</t>
  </si>
  <si>
    <t>MP-369</t>
  </si>
  <si>
    <t>ENDOSULFAN 35% EC  X 20 LT</t>
  </si>
  <si>
    <t>MP-375</t>
  </si>
  <si>
    <t>DIFENOCONAZOLE 25 % EC x 250 ML</t>
  </si>
  <si>
    <t>MP-376</t>
  </si>
  <si>
    <t>DIFENOCONAZOLE 2,5% EC X 100 ML</t>
  </si>
  <si>
    <t>MP-397</t>
  </si>
  <si>
    <t>KELAGRO ZINC X 20 LT</t>
  </si>
  <si>
    <t>MP-403</t>
  </si>
  <si>
    <t>DIFENOCONAZOLE 25 % EC x 20 LT</t>
  </si>
  <si>
    <t>MP-406</t>
  </si>
  <si>
    <t>ETIQUETA SUPERMATA TODO 20L</t>
  </si>
  <si>
    <t>MP-408</t>
  </si>
  <si>
    <t>UREFOL X GL</t>
  </si>
  <si>
    <t>MP-409</t>
  </si>
  <si>
    <t>UREFOL X LT</t>
  </si>
  <si>
    <t>MP-412</t>
  </si>
  <si>
    <t>MICROMAR ZINC X LT</t>
  </si>
  <si>
    <t>MP-419</t>
  </si>
  <si>
    <t>Q BA COBRE X LT</t>
  </si>
  <si>
    <t>MP.027</t>
  </si>
  <si>
    <t>PROPAMOCARB 72 % SC</t>
  </si>
  <si>
    <t>OT- 2317</t>
  </si>
  <si>
    <t>BOMBA AGUA 6 5HP 3" CON MOTOR</t>
  </si>
  <si>
    <t>OT- 653</t>
  </si>
  <si>
    <t>POLEA B1RAN  DIESEL F4</t>
  </si>
  <si>
    <t>OT-0001</t>
  </si>
  <si>
    <t>SPRAY CARBURADOR</t>
  </si>
  <si>
    <t>OT-000520</t>
  </si>
  <si>
    <t xml:space="preserve">BOQUILLA JACTO 01 </t>
  </si>
  <si>
    <t>ot-00101</t>
  </si>
  <si>
    <t xml:space="preserve">filtro de aire para motor 10 hp /vanguard intek </t>
  </si>
  <si>
    <t>OT-0056</t>
  </si>
  <si>
    <t>BOMBA DE FUMIGAR MANUAL 20 LTS. 435</t>
  </si>
  <si>
    <t>OT-0110</t>
  </si>
  <si>
    <t>POLEA 4"/1RAN/1 1/8</t>
  </si>
  <si>
    <t>02030-06202 COJINETE B450-B530</t>
  </si>
  <si>
    <t>OT-078</t>
  </si>
  <si>
    <t>TANQUES PLASTICOS 200 LITROS</t>
  </si>
  <si>
    <t>OT-079</t>
  </si>
  <si>
    <t>TANQUES METAL 200 LITROS</t>
  </si>
  <si>
    <t>OT-080</t>
  </si>
  <si>
    <t>TANQUE CANECA 20L</t>
  </si>
  <si>
    <t>OT-10001</t>
  </si>
  <si>
    <t>BOMBA DE RIEGO 2" 10HP</t>
  </si>
  <si>
    <t>OT-10011</t>
  </si>
  <si>
    <t>ACEITE HAVOLINE ( GALON )</t>
  </si>
  <si>
    <t>OT-1040</t>
  </si>
  <si>
    <t>MOTOCULTOR 15HP CHANGFA</t>
  </si>
  <si>
    <t>OT-123</t>
  </si>
  <si>
    <t>MOTOR TRIFASICO 10 HP 3600 RPM</t>
  </si>
  <si>
    <t>MOTOR ELETRICO</t>
  </si>
  <si>
    <t>OT-305</t>
  </si>
  <si>
    <t>SERVICIO TECNICO</t>
  </si>
  <si>
    <t>OT-3241</t>
  </si>
  <si>
    <t>BOMBA DE FUMIGAR MANUAL 20 LTS JACK</t>
  </si>
  <si>
    <t>OT-3302185</t>
  </si>
  <si>
    <t xml:space="preserve">PERNO HIE.C/E 3/0X2-1/2 (21)  </t>
  </si>
  <si>
    <t xml:space="preserve">OT-3302475  </t>
  </si>
  <si>
    <t>PERNO HIE.C/E 5/16X2 (36)</t>
  </si>
  <si>
    <t>OT-3600145</t>
  </si>
  <si>
    <t>ANILLO PLANO AC. GALV. 5/16 (440)</t>
  </si>
  <si>
    <t>OT-3600265</t>
  </si>
  <si>
    <t xml:space="preserve">ANILLO PLANO GRUESO 3/8 (68) </t>
  </si>
  <si>
    <t>OT-3600330</t>
  </si>
  <si>
    <t>ANILLO PRESION AC. 3/8 (176)</t>
  </si>
  <si>
    <t xml:space="preserve">OT-3600340  </t>
  </si>
  <si>
    <t>ANILLO PRESION AC.5/16 (556)</t>
  </si>
  <si>
    <t>OT-452</t>
  </si>
  <si>
    <t>EXIBIDOR AGROTA INSUMOS</t>
  </si>
  <si>
    <t>OT-487</t>
  </si>
  <si>
    <t>OT-528</t>
  </si>
  <si>
    <t>AGROBALA 1 LT BL (120GR) T/36</t>
  </si>
  <si>
    <t>OT-531</t>
  </si>
  <si>
    <t>MOTOR 3HP MONOFASICO 3600 RPM</t>
  </si>
  <si>
    <t>OT-654</t>
  </si>
  <si>
    <t>REPOSICION DE GASTOS</t>
  </si>
  <si>
    <t>OT-658</t>
  </si>
  <si>
    <t>GRASA 62EP LITIO 1 LB</t>
  </si>
  <si>
    <t>OT-853</t>
  </si>
  <si>
    <t>GORRAS ALGODON</t>
  </si>
  <si>
    <t>OT-921</t>
  </si>
  <si>
    <t>SURCADORA DOBLE MOTOCULTOR</t>
  </si>
  <si>
    <t>OT-A45</t>
  </si>
  <si>
    <t>BANDA A-45</t>
  </si>
  <si>
    <t>BANDA B87</t>
  </si>
  <si>
    <t>OT124</t>
  </si>
  <si>
    <t>ACEITE LIQUIDO DE FRENO LHM PLUS</t>
  </si>
  <si>
    <t>P-008</t>
  </si>
  <si>
    <t>ENVASE AGROBALA VERDE X 500 ML</t>
  </si>
  <si>
    <t>PISTOLA Y CODIGO DE BARRAS</t>
  </si>
  <si>
    <t>LECTOR CODIGO BARRAS</t>
  </si>
  <si>
    <t>PT-010</t>
  </si>
  <si>
    <t>AGROTAZOLE 25% EC X 100 ML</t>
  </si>
  <si>
    <t>PT-012</t>
  </si>
  <si>
    <t>SINOPRID X 50 G</t>
  </si>
  <si>
    <t>PT-016</t>
  </si>
  <si>
    <t>BANA - CLEAN</t>
  </si>
  <si>
    <t>PT-018</t>
  </si>
  <si>
    <t>SCOBA X 5 GL</t>
  </si>
  <si>
    <t>PT-019</t>
  </si>
  <si>
    <t>RAIZ FORTE X GL</t>
  </si>
  <si>
    <t>PT-029</t>
  </si>
  <si>
    <t>PROPANIL 500 X GL</t>
  </si>
  <si>
    <t>QUIM-032</t>
  </si>
  <si>
    <t>SKEMATA X 200 LT</t>
  </si>
  <si>
    <t>RA-010</t>
  </si>
  <si>
    <t>PISTON STD / MOTOR 16 HP BRIGSS</t>
  </si>
  <si>
    <t>RA-011</t>
  </si>
  <si>
    <t>BIELA STD / MOTOR 16 HP BRIGGS</t>
  </si>
  <si>
    <t>RA-012</t>
  </si>
  <si>
    <t>KIT DE CARBURADOR / MOTOR 16 HP BRIGGS</t>
  </si>
  <si>
    <t>RA-013</t>
  </si>
  <si>
    <t>JUEGO DE EMPAQUES / MOTOR 16 HP BRIGGS</t>
  </si>
  <si>
    <t>ROD-6001ZE</t>
  </si>
  <si>
    <t>RODAMIENTO 6001</t>
  </si>
  <si>
    <t>RULIT-BAN-A33</t>
  </si>
  <si>
    <t>BANDA A-33</t>
  </si>
  <si>
    <t>SA-R100P</t>
  </si>
  <si>
    <t>REPUESTO TIJERA R100P</t>
  </si>
  <si>
    <t>SA-R103P</t>
  </si>
  <si>
    <t>REPUESTO TIJERA R103P</t>
  </si>
  <si>
    <t>SA-R139P</t>
  </si>
  <si>
    <t>REPUESTO TIJERA R139P</t>
  </si>
  <si>
    <t>SA-R1601</t>
  </si>
  <si>
    <t>REPUESTO TIJERA R1601</t>
  </si>
  <si>
    <t>SA-R200P</t>
  </si>
  <si>
    <t>REPUESTO TIJERA R200P</t>
  </si>
  <si>
    <t>SA-R203P</t>
  </si>
  <si>
    <t>REPUESTO TIJERA R203P</t>
  </si>
  <si>
    <t xml:space="preserve">SE-010 </t>
  </si>
  <si>
    <t>BOMBA DE FUMIGAR MANUAL  20 LT. 435</t>
  </si>
  <si>
    <t>SE-048</t>
  </si>
  <si>
    <t>JUNTA DEL ESCAPE</t>
  </si>
  <si>
    <t>SE-130</t>
  </si>
  <si>
    <t>BANDA A-29</t>
  </si>
  <si>
    <t>SH-01014-06100</t>
  </si>
  <si>
    <t>PERNO TAPA GRASA C230</t>
  </si>
  <si>
    <t>SH-040</t>
  </si>
  <si>
    <t>MOSTRADO SHINDAIWA DOBLE LADO</t>
  </si>
  <si>
    <t>SH-09502</t>
  </si>
  <si>
    <t xml:space="preserve">ROLLO HILO NYLON 0.095" 1/2 LIBRA </t>
  </si>
  <si>
    <t>SH-1001101</t>
  </si>
  <si>
    <t>1001101 ARMAZON ES726</t>
  </si>
  <si>
    <t>SH-12211200230</t>
  </si>
  <si>
    <t>CA DIAFRAGMA BOMBA CS601</t>
  </si>
  <si>
    <t>SH-12900-62020</t>
  </si>
  <si>
    <t>12900-62020 COJINETE B450</t>
  </si>
  <si>
    <t>SH-17724214730</t>
  </si>
  <si>
    <t>PLACA DE ARRANQUE CS1201</t>
  </si>
  <si>
    <t>SH-20011-71611</t>
  </si>
  <si>
    <t>CA BOBINA B45-BP35</t>
  </si>
  <si>
    <t>SH-20016-15123</t>
  </si>
  <si>
    <t>EMPAQUE SILENCIADOR C230-ES7</t>
  </si>
  <si>
    <t>SH-20020-75140</t>
  </si>
  <si>
    <t>CA RESORTE ARRANCADOR B450,B45</t>
  </si>
  <si>
    <t>SH-20021-51120</t>
  </si>
  <si>
    <t>RESORTE DEL EMBRAGUE B45</t>
  </si>
  <si>
    <t>SH-20024-75230</t>
  </si>
  <si>
    <t>20024-75230 RESORTE TRINQUETE B530-B45LA</t>
  </si>
  <si>
    <t>SH-20087-81531</t>
  </si>
  <si>
    <t>20087-81531 BOMBA COMPLETA C350-B450</t>
  </si>
  <si>
    <t>SH-20140-82210</t>
  </si>
  <si>
    <t>20140-82210 FILTRO AIRE  22F-22C</t>
  </si>
  <si>
    <t>SH-22000-12413</t>
  </si>
  <si>
    <t>22000-12413 EJE CENTRAL C270</t>
  </si>
  <si>
    <t>SH-22000-13513</t>
  </si>
  <si>
    <t>PERNO CUCHILLA BP 35</t>
  </si>
  <si>
    <t>CABEZAL METALICO</t>
  </si>
  <si>
    <t>SH-22015-13210</t>
  </si>
  <si>
    <t>22015-13210 EJE DE ENGRANAJE B45-B450-C3</t>
  </si>
  <si>
    <t>SH-22051-11920</t>
  </si>
  <si>
    <t xml:space="preserve">EJE FLEXIBE BP 35 </t>
  </si>
  <si>
    <t>SH-22150-12152</t>
  </si>
  <si>
    <t>22150-12152 MANGA 757-577</t>
  </si>
  <si>
    <t>SH-22150-42002</t>
  </si>
  <si>
    <t>22150-42002 CIGUEÑAL COMPLETO 577</t>
  </si>
  <si>
    <t>TUBO PROTECTOR CABLE B530-757</t>
  </si>
  <si>
    <t>22155-75410 RESORTE ARRANCADOR 577-757</t>
  </si>
  <si>
    <t>SH-22169-21512</t>
  </si>
  <si>
    <t>ENGRANAJE 757</t>
  </si>
  <si>
    <t>SH-22169-54103</t>
  </si>
  <si>
    <t>FRENO COMPLETO NR 757</t>
  </si>
  <si>
    <t>SH-22169-54650</t>
  </si>
  <si>
    <t>MANDO DEL FRENO MOTOSIERRA 757</t>
  </si>
  <si>
    <t>SH-22169-71100</t>
  </si>
  <si>
    <t>VOLANTE PARA MOTOSIERRA 757</t>
  </si>
  <si>
    <t>SH-22197-33960</t>
  </si>
  <si>
    <t>22197-33960 VALVULA DE VENTILADOR B530</t>
  </si>
  <si>
    <t>SH-22411-14500</t>
  </si>
  <si>
    <t>22411-14500 CABLE COMPLETO C230</t>
  </si>
  <si>
    <t>SH-40084-20</t>
  </si>
  <si>
    <t>40084-20 BARRA 20 DG. 325.050</t>
  </si>
  <si>
    <t>SH-60018-98310</t>
  </si>
  <si>
    <t>CA KIT MOTOR RECONSTRUC .C230</t>
  </si>
  <si>
    <t>SH-60035-98070</t>
  </si>
  <si>
    <t>60035-98070 FILTRO-PRE B530</t>
  </si>
  <si>
    <t>SH-62035-75020</t>
  </si>
  <si>
    <t>62035-75020 POLEA ARRANCADOR  B530</t>
  </si>
  <si>
    <t>SH-62035-75130</t>
  </si>
  <si>
    <t>CA RESORTE DE ARRANCADOR B530</t>
  </si>
  <si>
    <t>62035-85013 TANQUE COMBUSTIBLE  B530</t>
  </si>
  <si>
    <t>SH-62035-85351</t>
  </si>
  <si>
    <t>62035-85351 AMORTIGUADOR,TANQUE B530</t>
  </si>
  <si>
    <t>SH-63019-12102</t>
  </si>
  <si>
    <t>63019-12102 TUBO EXTERIOR SEMI COMP B530</t>
  </si>
  <si>
    <t>SH-63019-63310</t>
  </si>
  <si>
    <t>63019-63310 PERNO DE CUCHILLA B530</t>
  </si>
  <si>
    <t>sh-63880-62310</t>
  </si>
  <si>
    <t>ENGRANAJE PODADORA P-230</t>
  </si>
  <si>
    <t>SH-64007-64253</t>
  </si>
  <si>
    <t>64007-64253 PALANCA DEL ACELERADOR B530</t>
  </si>
  <si>
    <t>SH-64007-64320</t>
  </si>
  <si>
    <t>CA CABLE B B450-B530-C350</t>
  </si>
  <si>
    <t>SH-68501-81340</t>
  </si>
  <si>
    <t>68501-81340 VALVULA PATO B530</t>
  </si>
  <si>
    <t>SH-68501-81460</t>
  </si>
  <si>
    <t>SH-69012-98310</t>
  </si>
  <si>
    <t>CA KIT MOTOR RECONSTRUC 757</t>
  </si>
  <si>
    <t>SH-70000-75230</t>
  </si>
  <si>
    <t>CA POLEA ARAN ALUMINIO B45-B450-BP35</t>
  </si>
  <si>
    <t>SH-70005-86131</t>
  </si>
  <si>
    <t>CA PROTECTOR DEL TANQUE B45-B450-C350</t>
  </si>
  <si>
    <t>SH-70011-83101</t>
  </si>
  <si>
    <t>CA CABLE DEL ACELERADOR MAL</t>
  </si>
  <si>
    <t>SH-70020-75100</t>
  </si>
  <si>
    <t>70020-75100 ARRANCADOR COMP. B45-B450</t>
  </si>
  <si>
    <t>SH-70030-75120</t>
  </si>
  <si>
    <t>TAMBOR DE ARRANCADOR ES-726</t>
  </si>
  <si>
    <t>ARRANCADOR COMPLETO ES726</t>
  </si>
  <si>
    <t>SH-70043-85201</t>
  </si>
  <si>
    <t>70043-85201 TAPA COMBUS 22C-22F-ES726-C2</t>
  </si>
  <si>
    <t>SH-70102-51220</t>
  </si>
  <si>
    <t>RESORTE EMBRAGUE C270</t>
  </si>
  <si>
    <t>SH-70102-81710</t>
  </si>
  <si>
    <t>70102-81710  FILTRO CUERPO AIRE B450-C350</t>
  </si>
  <si>
    <t>SH-70157-51101</t>
  </si>
  <si>
    <t>EMBRAGUE C230</t>
  </si>
  <si>
    <t>SH-70200-15101</t>
  </si>
  <si>
    <t xml:space="preserve">70200-15101 SILENCIADOR SEMI COMP. B45 </t>
  </si>
  <si>
    <t>SH-70210-15311</t>
  </si>
  <si>
    <t>SH-70210-51100</t>
  </si>
  <si>
    <t>SH-70234-98011</t>
  </si>
  <si>
    <t>70234-98011 JUEGO DE PISTON C230-P230</t>
  </si>
  <si>
    <t>SH-72051-14101</t>
  </si>
  <si>
    <t>MANUBRIO BP 35</t>
  </si>
  <si>
    <t>COLLAR C230-22C</t>
  </si>
  <si>
    <t>SH-72540-12410</t>
  </si>
  <si>
    <t>72540-12410 EJE CENTRAL C350</t>
  </si>
  <si>
    <t>HERRAMIENTA KIT  B450-B530</t>
  </si>
  <si>
    <t>SH-72550-12400</t>
  </si>
  <si>
    <t>SH-72550-14200</t>
  </si>
  <si>
    <t>72550-14200 MANGO SEMI COMPLETO B450-B530</t>
  </si>
  <si>
    <t>SH-72550-14531</t>
  </si>
  <si>
    <t>72550-14531 CABLE COMPLETO B450</t>
  </si>
  <si>
    <t>SH-72933-75140</t>
  </si>
  <si>
    <t>CA TRINQUETE C230-P230-M230</t>
  </si>
  <si>
    <t>EMBRAGUE ES726</t>
  </si>
  <si>
    <t>ACC. CULTIVADOR M230 80265</t>
  </si>
  <si>
    <t>SH-P230</t>
  </si>
  <si>
    <t>PODADORA DE ALTURA P230</t>
  </si>
  <si>
    <t>SHDW-002</t>
  </si>
  <si>
    <t>DESMALEZADORA B-45</t>
  </si>
  <si>
    <t>SHDW-003</t>
  </si>
  <si>
    <t>DESMALEZADORA B-45 LA</t>
  </si>
  <si>
    <t>DESMALEZADORA HOMEPRO F220</t>
  </si>
  <si>
    <t>SHDW-021</t>
  </si>
  <si>
    <t>CUCHILLA 3 PUNTAS, 10" 80771</t>
  </si>
  <si>
    <t>SO-00.54.252</t>
  </si>
  <si>
    <t>ANILLO MD 127-30-32-34-37-40-41</t>
  </si>
  <si>
    <t>SO-20.48.354</t>
  </si>
  <si>
    <t>ARO DEL PISTON MOD 140/141</t>
  </si>
  <si>
    <t>SO-20.61.469</t>
  </si>
  <si>
    <t>JUNTA DEL CILINDRO MD 134-40-41</t>
  </si>
  <si>
    <t>SO-22.00.233</t>
  </si>
  <si>
    <t>PISTON MD 140-41</t>
  </si>
  <si>
    <t xml:space="preserve">SO-26.00.281 </t>
  </si>
  <si>
    <t xml:space="preserve">ARRANQUE MD. 130-134-140-141 </t>
  </si>
  <si>
    <t>SO-27.00.135</t>
  </si>
  <si>
    <t>27.00.135 FILTRO GASOLINA MOD 105L</t>
  </si>
  <si>
    <t>SYMAQ-004</t>
  </si>
  <si>
    <t>DESGRANADORA COPAY 6099</t>
  </si>
  <si>
    <t>SYMAQ-005</t>
  </si>
  <si>
    <t>BALANZA DE PILON 500LB</t>
  </si>
  <si>
    <t>SYMAQ-007</t>
  </si>
  <si>
    <t>MAQUINA DE COSER ELECTRICA / SACOS DE NYLON</t>
  </si>
  <si>
    <t>TB-001</t>
  </si>
  <si>
    <t>FLETE DE MERCADERIA</t>
  </si>
  <si>
    <t>V104000920</t>
  </si>
  <si>
    <t xml:space="preserve">CA EMPAQUETADURA DE ESCAPE </t>
  </si>
  <si>
    <t>V401000430</t>
  </si>
  <si>
    <t>CA AMORTIGUADOR 577-757</t>
  </si>
  <si>
    <t>BOMBA ZM 51 MAXXI</t>
  </si>
  <si>
    <t>ZM-012</t>
  </si>
  <si>
    <t>CILINDROS ZM 51</t>
  </si>
  <si>
    <t>ZM-038</t>
  </si>
  <si>
    <t xml:space="preserve">RUEDA PARA ZM 51 1.40X0.25  </t>
  </si>
  <si>
    <t>ZM-041</t>
  </si>
  <si>
    <t>RUEDA PARA ZM 76 1.80X0.35</t>
  </si>
  <si>
    <t>ACCESORIOS ZM</t>
  </si>
  <si>
    <t>ZM-072</t>
  </si>
  <si>
    <t>JUEGO CILINDROS ZM 51</t>
  </si>
  <si>
    <t>REPUESTOS ZM</t>
  </si>
  <si>
    <t>KIT REPARACION, MANGUITO, VALVULAS SP40BPS</t>
  </si>
  <si>
    <t>RESPIRADERO CS600  EDR210  HC150  WP1000</t>
  </si>
  <si>
    <t>ESPACIADOR (A) SRM4300</t>
  </si>
  <si>
    <t>EC-V043000550</t>
  </si>
  <si>
    <t>22019-17110 PROTECTOR CUERO C350-B450-B45</t>
  </si>
  <si>
    <t>TUERCA BRIDA CS680</t>
  </si>
  <si>
    <t>COSTO TOTAL</t>
  </si>
  <si>
    <t>CARTER C 757</t>
  </si>
  <si>
    <t>ESPACIADOR (B) SRM4300</t>
  </si>
  <si>
    <t>EC-V420002500</t>
  </si>
  <si>
    <t>AMORTIGUADOR (A) B530</t>
  </si>
  <si>
    <t>EC-V420002510</t>
  </si>
  <si>
    <t>62035-85341 AMORTIGUADOR TANQUE B530</t>
  </si>
  <si>
    <t>EC-V505000140</t>
  </si>
  <si>
    <t>BS-6535LA</t>
  </si>
  <si>
    <t>TUNEL TERMOENCOGIBLE BS-6535LA</t>
  </si>
  <si>
    <t>MAQUINARIA</t>
  </si>
  <si>
    <t>ANILLOS  PISTON SRM4300</t>
  </si>
  <si>
    <t>ANILLOS PISTON CS6700</t>
  </si>
  <si>
    <t>EMPAQUE (B) ADMISION PPT2400</t>
  </si>
  <si>
    <t>EMPAQUE CARBURADOR CS510</t>
  </si>
  <si>
    <t>GATILLO ACELERADOR</t>
  </si>
  <si>
    <t>CA TAMBOR EMBRAGUE B530</t>
  </si>
  <si>
    <t>ANILLO PISTON DM6110</t>
  </si>
  <si>
    <t>ANILLO PISTON CS8002</t>
  </si>
  <si>
    <t>ANILLO PISTON CS510</t>
  </si>
  <si>
    <t>ANILLO PISTON CS3000</t>
  </si>
  <si>
    <t>CARTER COMPLETO SRM4605</t>
  </si>
  <si>
    <t>CARTER COMPLETO WP-1000 EDR-210</t>
  </si>
  <si>
    <t>CARTER COMPLETO SRM3605</t>
  </si>
  <si>
    <t>CARTER COMPLETO SRM270</t>
  </si>
  <si>
    <t>10101030830 EMPAQUE DE CILINDRO CS8002</t>
  </si>
  <si>
    <t>BOBINA CS1201</t>
  </si>
  <si>
    <t>BOBINA PPT2400</t>
  </si>
  <si>
    <t>VOLANTE SRM4605</t>
  </si>
  <si>
    <t>ANILLO PISTON SHP-800   EDR-210</t>
  </si>
  <si>
    <t>ANILLO PISTON HC-150</t>
  </si>
  <si>
    <t>CILINDRO B450</t>
  </si>
  <si>
    <t>CUBIERTA DEL VENTILADOR BP35</t>
  </si>
  <si>
    <t>FILTRO AIRE CS680</t>
  </si>
  <si>
    <t>BOBINA CS510</t>
  </si>
  <si>
    <t>BOBINA HC 150</t>
  </si>
  <si>
    <t>BOBINA CS600</t>
  </si>
  <si>
    <t>TAMBOR EMBRAGUE CS600-CS530</t>
  </si>
  <si>
    <t>C022000120 BOMBA DE ACEITE P230,757</t>
  </si>
  <si>
    <t>ARNES COMPLETO B530  B450  C350</t>
  </si>
  <si>
    <t>CONECTOR ACELERADOR B450-B530-C350</t>
  </si>
  <si>
    <t>CARCASA (A) SUPERIOR CAJA ENGRANAJE PPT2400</t>
  </si>
  <si>
    <t>CARTER COMPLETO CS3500</t>
  </si>
  <si>
    <t>CARTER COMPLETO SRM4300</t>
  </si>
  <si>
    <t>EMPAQUE (B) CARBURADOR B530</t>
  </si>
  <si>
    <t>EMPAQUE (A) CARBURADOR B530.</t>
  </si>
  <si>
    <t>SUJETA CUCHILLA B450-B530-C350</t>
  </si>
  <si>
    <t>ENGRANAJE SIN FIN 757</t>
  </si>
  <si>
    <t>ETIQUETA SKEKURA X 250 ML</t>
  </si>
  <si>
    <t>ETIQUETA CIROMAZINA X 50 GMS DEL  (F. A.)</t>
  </si>
  <si>
    <t>ETIQUETA CIROMAZINA X 50 GMS  DEL (AGROTA)</t>
  </si>
  <si>
    <t>ABRAZADERA (A) TUBO B450-C350</t>
  </si>
  <si>
    <t>20016-71601 BOBINA C230-P230</t>
  </si>
  <si>
    <t>20142-41210 ANILLO PISTON 22F-22C-F2</t>
  </si>
  <si>
    <t>22155-55110 ENGRANAJE SIN FIN 577</t>
  </si>
  <si>
    <t>22169-41210 ANILLOS PISTON 757</t>
  </si>
  <si>
    <t>22197-55201 BOMBA ACEITE P230,757</t>
  </si>
  <si>
    <t>62035-81013 CARBURADOR B530</t>
  </si>
  <si>
    <t>72550-82120 CONECTOR ACELERADOR B450-B530-C350</t>
  </si>
  <si>
    <t>EC-70604062621</t>
  </si>
  <si>
    <t>EC-70617050720</t>
  </si>
  <si>
    <t>EC-70617051631</t>
  </si>
  <si>
    <t>EC-70617052970</t>
  </si>
  <si>
    <t>EC-9311503010</t>
  </si>
  <si>
    <t>EC-A409000620</t>
  </si>
  <si>
    <t>EC-P004002680</t>
  </si>
  <si>
    <t>EC-P021022590</t>
  </si>
  <si>
    <t>EC-P021027031</t>
  </si>
  <si>
    <t>EC-P022002100</t>
  </si>
  <si>
    <t xml:space="preserve">MAQUINA DE TALLER </t>
  </si>
  <si>
    <t>CR-1715538</t>
  </si>
  <si>
    <t>PISTON KIT PPT2400</t>
  </si>
  <si>
    <t>ACCESORIOS</t>
  </si>
  <si>
    <t>22100-81230 PALANCA BALANCIN SRM3605 SRM4605 C230</t>
  </si>
  <si>
    <t>20036-81670 BOMBA DEL CEBADOR 22F-C230-EB500-HT23</t>
  </si>
  <si>
    <t>EC-12411305910</t>
  </si>
  <si>
    <t>EC-12416011120</t>
  </si>
  <si>
    <t>EC-12433149930</t>
  </si>
  <si>
    <t>EC-12435412710</t>
  </si>
  <si>
    <t>EC-12435521330</t>
  </si>
  <si>
    <t>20040-81680 RESORTE MEMBRANA B450-C350-C270-SHP800</t>
  </si>
  <si>
    <t>EC-12436755430</t>
  </si>
  <si>
    <t>62035-81360 RESORTE MEMBRANA B530</t>
  </si>
  <si>
    <t>VALVULA PATO B530 B450</t>
  </si>
  <si>
    <t>12438012710 BOMBA CEBADOR B450-B530-C350</t>
  </si>
  <si>
    <t>PALANCA BALANCIN SRM4300</t>
  </si>
  <si>
    <t>GRASAS</t>
  </si>
  <si>
    <t>EC-13031303710</t>
  </si>
  <si>
    <t>EC-17503314731</t>
  </si>
  <si>
    <t>70030-75120 TAMBOR DE ARRANCADOR HT230,ES726</t>
  </si>
  <si>
    <t>62035-75130 RESORTE ARRANQUE SRM4300 B530</t>
  </si>
  <si>
    <t>20024-75130 RESORTE ARRANQUE SHP800</t>
  </si>
  <si>
    <t>CABLE DE ACELERADOR SRM4605</t>
  </si>
  <si>
    <t>EC-20019-83410</t>
  </si>
  <si>
    <t>ROLLO NYLON  5LB.105" REDONDO NYL</t>
  </si>
  <si>
    <t>EC-4037771</t>
  </si>
  <si>
    <t>EC-4042881</t>
  </si>
  <si>
    <t>EMBOLO ES726</t>
  </si>
  <si>
    <t>EC-4048451</t>
  </si>
  <si>
    <t>ASIENTO DE VALVULA ES726</t>
  </si>
  <si>
    <t>EC-4070981</t>
  </si>
  <si>
    <t>EC-4073281</t>
  </si>
  <si>
    <t>SOPORTE DE LANZA ES726</t>
  </si>
  <si>
    <t>EC-4502640</t>
  </si>
  <si>
    <t>LANZA MANGO ES726</t>
  </si>
  <si>
    <t>EC-4517530</t>
  </si>
  <si>
    <t>ESLABON GIRATORIO ES726,SHP800</t>
  </si>
  <si>
    <t>EC-4525920</t>
  </si>
  <si>
    <t>ESLABON GIRATORIO C/DESCONEXION</t>
  </si>
  <si>
    <t>EC-4527270</t>
  </si>
  <si>
    <t>MANGO FILTRO 320 PARA ES726,SHP800</t>
  </si>
  <si>
    <t>EC-4550460</t>
  </si>
  <si>
    <t>BOQUILLA ES726</t>
  </si>
  <si>
    <t>EC-4552760</t>
  </si>
  <si>
    <t>VALVULA DE GATILLO ES726</t>
  </si>
  <si>
    <t>EC-4557850</t>
  </si>
  <si>
    <t>LANZA ES726</t>
  </si>
  <si>
    <t>EC-4562530</t>
  </si>
  <si>
    <t>EC-4567930</t>
  </si>
  <si>
    <t>CAJA DE ENGRANAJE ES726</t>
  </si>
  <si>
    <t>EC-4573040</t>
  </si>
  <si>
    <t>BOMBA COMPLETA ES726</t>
  </si>
  <si>
    <t>EC-4573060</t>
  </si>
  <si>
    <t>EC-4573110</t>
  </si>
  <si>
    <t>EC-4574920</t>
  </si>
  <si>
    <t>JUEGO DE VALVULAS ES726</t>
  </si>
  <si>
    <t>EC-4575060</t>
  </si>
  <si>
    <t>EC-4575700</t>
  </si>
  <si>
    <t>EC-4576340</t>
  </si>
  <si>
    <t>EC-4579070</t>
  </si>
  <si>
    <t>VALVULA COMPLETA ES726</t>
  </si>
  <si>
    <t>EC-60876</t>
  </si>
  <si>
    <t>MANUAL SERVICIO TECNICO</t>
  </si>
  <si>
    <t>ACEITES</t>
  </si>
  <si>
    <t>VASTAGO DE EMBOLO SHP800</t>
  </si>
  <si>
    <t>VALVULA DE PASO SHP800</t>
  </si>
  <si>
    <t>TAPA DE LA BOQUILLA SHP800</t>
  </si>
  <si>
    <t>PLACA DE BOQUILLA SHP800</t>
  </si>
  <si>
    <t>ORING DE BOQUILLA SHP800</t>
  </si>
  <si>
    <t>EC-73LGX92X</t>
  </si>
  <si>
    <t>43101530831 CADENA70CM 28" CS8002</t>
  </si>
  <si>
    <t>EC-8000142</t>
  </si>
  <si>
    <t>EC-80023</t>
  </si>
  <si>
    <t>TUBO COMPLETO C350</t>
  </si>
  <si>
    <t>EC-80025</t>
  </si>
  <si>
    <t>EC-80187</t>
  </si>
  <si>
    <t>JUEGO, GUIAS DE RETENEDOR</t>
  </si>
  <si>
    <t>EC-80247</t>
  </si>
  <si>
    <t>TUBO COMP CON ETIQUETA  C230</t>
  </si>
  <si>
    <t>EC-80255</t>
  </si>
  <si>
    <t>EMPAQUETADURA-DIAF ES726</t>
  </si>
  <si>
    <t>EC-80405</t>
  </si>
  <si>
    <t>EC-80425</t>
  </si>
  <si>
    <t>EC-80426</t>
  </si>
  <si>
    <t>EC-80550</t>
  </si>
  <si>
    <t>EMPAQUETADURA DIAFR 488-577-757</t>
  </si>
  <si>
    <t>EC-80551</t>
  </si>
  <si>
    <t>EMPAQUETADURA DIAFR 488-488P</t>
  </si>
  <si>
    <t>EC-80676</t>
  </si>
  <si>
    <t>ADAPTADOR UN10 C230</t>
  </si>
  <si>
    <t>EC-81593</t>
  </si>
  <si>
    <t xml:space="preserve">CABEZAL NYLON UN-10 SIN EMPAQUE) 82067A </t>
  </si>
  <si>
    <t>EC-88102</t>
  </si>
  <si>
    <t>EC-88198-S</t>
  </si>
  <si>
    <t>TAPA DE BOQUILLA ES726</t>
  </si>
  <si>
    <t>EC-900302</t>
  </si>
  <si>
    <t xml:space="preserve">HERRAMIENTAS VENTA </t>
  </si>
  <si>
    <t>EC-90060500004</t>
  </si>
  <si>
    <t>01600-04101 ARANDELA PRESION C230,P230,C350,B45,B450</t>
  </si>
  <si>
    <t>EC-90080206002</t>
  </si>
  <si>
    <t>02006-06002 COJINETE C350-B450</t>
  </si>
  <si>
    <t>EC-901018</t>
  </si>
  <si>
    <t>EC-91032</t>
  </si>
  <si>
    <t>HERRAMIENTA KIT ENGENER</t>
  </si>
  <si>
    <t>EC-9242422000</t>
  </si>
  <si>
    <t>02432-22100 SEGURO ZEGER CAJA ENGRANAJE C230</t>
  </si>
  <si>
    <t>EC-9242426000</t>
  </si>
  <si>
    <t>02432-26120 ANILLO RETENEDOR C230</t>
  </si>
  <si>
    <t>EC-9242428000</t>
  </si>
  <si>
    <t>EC-9242440000</t>
  </si>
  <si>
    <t>02432-40170 ANILLO DE RETENCION B45-488</t>
  </si>
  <si>
    <t>CHAVETA B530</t>
  </si>
  <si>
    <t>EC-9701201</t>
  </si>
  <si>
    <t>EC-9701401</t>
  </si>
  <si>
    <t>ORINGS ES726</t>
  </si>
  <si>
    <t>EC-9711151</t>
  </si>
  <si>
    <t>ORINGS ES 726</t>
  </si>
  <si>
    <t>EC-9720135</t>
  </si>
  <si>
    <t>EC-99909-156</t>
  </si>
  <si>
    <t>EC-99909-159</t>
  </si>
  <si>
    <t>EMPAQUETADURA KIT C230</t>
  </si>
  <si>
    <t>EC-99909-160</t>
  </si>
  <si>
    <t>EC-99909-207</t>
  </si>
  <si>
    <t>VALVULA DE CONTROL C230</t>
  </si>
  <si>
    <t>EC-99909-229</t>
  </si>
  <si>
    <t>EC-99909-306</t>
  </si>
  <si>
    <t>CARTER S C350</t>
  </si>
  <si>
    <t>EC-99909-307</t>
  </si>
  <si>
    <t>CARTER M C350</t>
  </si>
  <si>
    <t>EC-99909-450</t>
  </si>
  <si>
    <t>EC-99909-451</t>
  </si>
  <si>
    <t>EC-99909-453</t>
  </si>
  <si>
    <t>AGUJA KIT B450</t>
  </si>
  <si>
    <t>20016-42002 CIGUENAL C230-P230-ES726</t>
  </si>
  <si>
    <t>EC-A011000770</t>
  </si>
  <si>
    <t>20024-42001 CIGUENAL C270</t>
  </si>
  <si>
    <t>EC-A011001030</t>
  </si>
  <si>
    <t>EC-A021002010</t>
  </si>
  <si>
    <t>EC-A021002500</t>
  </si>
  <si>
    <t>70203-81020 CARBURADOR SEMI COMP C350</t>
  </si>
  <si>
    <t>EC-A021003440</t>
  </si>
  <si>
    <t>EC-A021003490</t>
  </si>
  <si>
    <t>EC-A023000240</t>
  </si>
  <si>
    <t>EC-A030000260</t>
  </si>
  <si>
    <t>EC-A030000590</t>
  </si>
  <si>
    <t>70168-85201 TAPA DE COMBUSTIBLE B530,B450,C350,C230</t>
  </si>
  <si>
    <t>EC-A045000340</t>
  </si>
  <si>
    <t>EC-A051001660</t>
  </si>
  <si>
    <t>70162-75100 ARRANCADOR COMPLETO C270</t>
  </si>
  <si>
    <t>EC-A051002100</t>
  </si>
  <si>
    <t>TAMBOR ARRANCADOR ALUMINIO SRM4300</t>
  </si>
  <si>
    <t>70157-51101 EMBRAGUE COMPLETO C230</t>
  </si>
  <si>
    <t>EC-A100000670</t>
  </si>
  <si>
    <t>EC-A100000730</t>
  </si>
  <si>
    <t>EC-A100000960</t>
  </si>
  <si>
    <t>22157-41112 PISTON 488</t>
  </si>
  <si>
    <t>EC-A101000300</t>
  </si>
  <si>
    <t>ANILLOS PISTON B450</t>
  </si>
  <si>
    <t>ANILLOS PISTON C350-BP35</t>
  </si>
  <si>
    <t>ANILLOS PISTON C230-HT230</t>
  </si>
  <si>
    <t>EC-A101000550</t>
  </si>
  <si>
    <t>EC-A130001371</t>
  </si>
  <si>
    <t>EC-A130001670</t>
  </si>
  <si>
    <t>22169-12111 CILINDRO 757</t>
  </si>
  <si>
    <t>EC-A160001640</t>
  </si>
  <si>
    <t>70210-32111 CUBIERTA CILINDRO B450</t>
  </si>
  <si>
    <t>EC-A160002110</t>
  </si>
  <si>
    <t>EC-A200000470</t>
  </si>
  <si>
    <t>EC-A200000680</t>
  </si>
  <si>
    <t>62035-12210 AISLADOR CONDENS B530</t>
  </si>
  <si>
    <t>EC-A201000030</t>
  </si>
  <si>
    <t>EC-A202000160</t>
  </si>
  <si>
    <t>EC-A225000530</t>
  </si>
  <si>
    <t>EC-A226000620</t>
  </si>
  <si>
    <t>EC-A226001220</t>
  </si>
  <si>
    <t>EC-A226001260</t>
  </si>
  <si>
    <t>70140-81760 CUBIERTA  DE FILTRO T230</t>
  </si>
  <si>
    <t>EC-A232001250</t>
  </si>
  <si>
    <t>EC-A235000300</t>
  </si>
  <si>
    <t>EC-A313001590</t>
  </si>
  <si>
    <t>EC-A314000020</t>
  </si>
  <si>
    <t>72282-15310 CUBIERTA SILENCIADOR 577</t>
  </si>
  <si>
    <t>EC-A320000790</t>
  </si>
  <si>
    <t>62035-32331 CUBIERTA, SILENCIADOR B530</t>
  </si>
  <si>
    <t>EC-A362000000</t>
  </si>
  <si>
    <t>EC-A393000180</t>
  </si>
  <si>
    <t>20021-86110 ABRAZADERA S B450 C300 B45-B45LA</t>
  </si>
  <si>
    <t>VOLANTE BP35</t>
  </si>
  <si>
    <t>EC-A409000960</t>
  </si>
  <si>
    <t>22175-71110 VOLANTE 577</t>
  </si>
  <si>
    <t>EC-A411000650</t>
  </si>
  <si>
    <t>EC-A427000150</t>
  </si>
  <si>
    <t>EC-A439000510</t>
  </si>
  <si>
    <t>EC-A500000840</t>
  </si>
  <si>
    <t>TAMBOR ARRANQUE C230</t>
  </si>
  <si>
    <t>EC-A511000210</t>
  </si>
  <si>
    <t>EC-A511000250</t>
  </si>
  <si>
    <t>EC-A514000230</t>
  </si>
  <si>
    <t>EC-A518000050</t>
  </si>
  <si>
    <t>EC-A552000120</t>
  </si>
  <si>
    <t>20020-51112 CABEZAL DEL EMBRAGUE C350-B450-B530</t>
  </si>
  <si>
    <t>EC-A555000220</t>
  </si>
  <si>
    <t>EC-A556000660</t>
  </si>
  <si>
    <t>70030-31120 TAMBOR EMBRAGUE 22F</t>
  </si>
  <si>
    <t>EC-A556000700</t>
  </si>
  <si>
    <t>20087-31210 TAMBOR EMBRAGUE C230-P230</t>
  </si>
  <si>
    <t>EC-A556001170</t>
  </si>
  <si>
    <t>22169-51110 TAMBOR DE EMBRAGUE 757</t>
  </si>
  <si>
    <t>EC-A565000070</t>
  </si>
  <si>
    <t>22150-12180 PLACA MANGA 757</t>
  </si>
  <si>
    <t>EC-A566000210</t>
  </si>
  <si>
    <t>70012-35130 CUBIERTA DE LA UNION B450</t>
  </si>
  <si>
    <t>EC-A575000420</t>
  </si>
  <si>
    <t>20011-35141 ABRAZADERA (B) TUBO B450-C350</t>
  </si>
  <si>
    <t>EC-A575000430</t>
  </si>
  <si>
    <t>EC-A575000440</t>
  </si>
  <si>
    <t>EC-AP004001950</t>
  </si>
  <si>
    <t>EC-C020000070</t>
  </si>
  <si>
    <t>EC-C022000130</t>
  </si>
  <si>
    <t>EC-C044000480</t>
  </si>
  <si>
    <t>EC-C044000540</t>
  </si>
  <si>
    <t>EC-C051000560</t>
  </si>
  <si>
    <t>72017-13013 CAJA DE ENGRANAJE C350-C35LA</t>
  </si>
  <si>
    <t>EC-C063000030</t>
  </si>
  <si>
    <t>EC-C209000080</t>
  </si>
  <si>
    <t>EC-C300000740</t>
  </si>
  <si>
    <t>22169-53111 TAPA DEL EMBRAGUE 757</t>
  </si>
  <si>
    <t>EC-C305000370</t>
  </si>
  <si>
    <t>EC-C305000380</t>
  </si>
  <si>
    <t>EC-C423000790</t>
  </si>
  <si>
    <t>EC-C450000510</t>
  </si>
  <si>
    <t>22015-14331 PALANCA GATILLO B45-C35LA-B45LA</t>
  </si>
  <si>
    <t>EC-C501000080</t>
  </si>
  <si>
    <t>EC-C504000560</t>
  </si>
  <si>
    <t>63880-64460 EJE B COMPLETO P230</t>
  </si>
  <si>
    <t>EC-C504000720</t>
  </si>
  <si>
    <t>22021-12400 EJE CENTRAL B45-B45LA</t>
  </si>
  <si>
    <t>EC-C535000480</t>
  </si>
  <si>
    <t>EC-C535000770</t>
  </si>
  <si>
    <t>72447-13240 SOPORTE (A) C350-B450-B530-B</t>
  </si>
  <si>
    <t>EC-C535000990</t>
  </si>
  <si>
    <t>EC-C535001010</t>
  </si>
  <si>
    <t>EC-C550000430</t>
  </si>
  <si>
    <t>EC-C551000070</t>
  </si>
  <si>
    <t>EC-C551000110</t>
  </si>
  <si>
    <t>EC-E025000470</t>
  </si>
  <si>
    <t>BOQUILLA AJUSTABLE SHP800</t>
  </si>
  <si>
    <t>EC-E164000100</t>
  </si>
  <si>
    <t>72935-63210 TUBERIA PRINCIPAL EB500</t>
  </si>
  <si>
    <t>CORTASETOS HC-150 20"</t>
  </si>
  <si>
    <t>EC-P004000430</t>
  </si>
  <si>
    <t>20055-81610 LLAVES DE PASO BP-35</t>
  </si>
  <si>
    <t>EC-P004001890</t>
  </si>
  <si>
    <t>EC-P004001920</t>
  </si>
  <si>
    <t>EC-P004002640</t>
  </si>
  <si>
    <t>VALVULA DESLIZANTE DE CARBURADOR B530</t>
  </si>
  <si>
    <t>EC-P004002820</t>
  </si>
  <si>
    <t>EC-P004002900</t>
  </si>
  <si>
    <t>EC-P004003010</t>
  </si>
  <si>
    <t>EC-P021012831</t>
  </si>
  <si>
    <t>P021012830 ABRAZADERA MANUBRIO SRM3605</t>
  </si>
  <si>
    <t>CUCHILLA 3 PUNTAS  P021014320</t>
  </si>
  <si>
    <t>MANGO POSTERIOR CS680</t>
  </si>
  <si>
    <t>EC-P021017910</t>
  </si>
  <si>
    <t>EC-P021017920</t>
  </si>
  <si>
    <t>EC-P021021540</t>
  </si>
  <si>
    <t>22045-14101 ABRAZADERA COMPLETA 22C-C230</t>
  </si>
  <si>
    <t>EC-P021021910</t>
  </si>
  <si>
    <t>EC-P021022060</t>
  </si>
  <si>
    <t>EC-P021022520</t>
  </si>
  <si>
    <t>EC-P021022550</t>
  </si>
  <si>
    <t>EC-P021022560</t>
  </si>
  <si>
    <t>22169-51100 TAMBOR EMBRAGUE COMPLETO 757</t>
  </si>
  <si>
    <t>EC-P021022570</t>
  </si>
  <si>
    <t>EC-P021022720</t>
  </si>
  <si>
    <t>EC-P021023230</t>
  </si>
  <si>
    <t>EC-P021027130</t>
  </si>
  <si>
    <t>EC-P021027760</t>
  </si>
  <si>
    <t>EC-P021027770</t>
  </si>
  <si>
    <t>62035-21020 CARTER COMP. M B530</t>
  </si>
  <si>
    <t>EC-P021031570</t>
  </si>
  <si>
    <t>EC-P021033070</t>
  </si>
  <si>
    <t>72514-14100 ABRAZADERA COMPLETA B530-B450</t>
  </si>
  <si>
    <t>72547-91100 HERRAMIENTAS KIT B450</t>
  </si>
  <si>
    <t>EC-P021033230</t>
  </si>
  <si>
    <t>EC-P021033250</t>
  </si>
  <si>
    <t>72555-14100 ABRAZADERA MANUBRIO COMP. B450-B530-C350</t>
  </si>
  <si>
    <t>EC-P021034560</t>
  </si>
  <si>
    <t>62035-85031 MANGUERA TANQUE B530</t>
  </si>
  <si>
    <t>EC-P021035221</t>
  </si>
  <si>
    <t>69011-98310 KIT MOTOR RECONSTRUC 577</t>
  </si>
  <si>
    <t>EC-P021035261</t>
  </si>
  <si>
    <t>EC-P021036030</t>
  </si>
  <si>
    <t>60035-98310 KIT MOTOR RECONSTRUC B530</t>
  </si>
  <si>
    <t>EC-P021036460</t>
  </si>
  <si>
    <t>70200-85001 TANQUE DE COMBUSTIBLE C350-B45</t>
  </si>
  <si>
    <t>V583000140 SUJETADOR CUCHILLA B530-C350-B450</t>
  </si>
  <si>
    <t xml:space="preserve">CABEZAL DE NYLON ECHO  SRAH-205 </t>
  </si>
  <si>
    <t>EC-V100000560</t>
  </si>
  <si>
    <t>EC-V103000720</t>
  </si>
  <si>
    <t>62035-12220 EMPAQUE AISLADOR (A) B530</t>
  </si>
  <si>
    <t>EC-V104001610</t>
  </si>
  <si>
    <t>22169-15212 EMPAQUE ESCAPE 757</t>
  </si>
  <si>
    <t>EC-V204000410</t>
  </si>
  <si>
    <t>11022-06280 PERNO 6X25CC UNION B530</t>
  </si>
  <si>
    <t>PERNO CUCHILLA B530</t>
  </si>
  <si>
    <t>EC-V225000160</t>
  </si>
  <si>
    <t>EC-V299000390</t>
  </si>
  <si>
    <t>EC-V302000010</t>
  </si>
  <si>
    <t>EC-V309000080</t>
  </si>
  <si>
    <t>EC-V357000180</t>
  </si>
  <si>
    <t>72030-13140 COLLAR B 22F</t>
  </si>
  <si>
    <t>EC-V358000140</t>
  </si>
  <si>
    <t>EC-V401000390</t>
  </si>
  <si>
    <t>22169-33740 AMORTIGUADOR 577-757</t>
  </si>
  <si>
    <t>EC-V430003240</t>
  </si>
  <si>
    <t>63880-65371 CABLE DEL ACELERADOR M230 P230 P231</t>
  </si>
  <si>
    <t>EC-V451000940</t>
  </si>
  <si>
    <t>22160-51230 RESORTE DEL EMBRAGUE 488</t>
  </si>
  <si>
    <t>EC-V452000950</t>
  </si>
  <si>
    <t>EC-V452000960</t>
  </si>
  <si>
    <t>EC-V470001600</t>
  </si>
  <si>
    <t>EC-V490000680</t>
  </si>
  <si>
    <t>20018-31270 SUJETADOR C230-ES726</t>
  </si>
  <si>
    <t>EC-V490000720</t>
  </si>
  <si>
    <t>EC-V553000100</t>
  </si>
  <si>
    <t>67000-41230 COJINETE 22F</t>
  </si>
  <si>
    <t>EC-V556000020</t>
  </si>
  <si>
    <t>EC-V556000030</t>
  </si>
  <si>
    <t>EC-V558000000</t>
  </si>
  <si>
    <t>22150-51310 COJINETE 577-757</t>
  </si>
  <si>
    <t>EC-V582000100</t>
  </si>
  <si>
    <t>EC-V582000200</t>
  </si>
  <si>
    <t>EC-V583000181</t>
  </si>
  <si>
    <t>EC-V609000050</t>
  </si>
  <si>
    <t>22015-13390 PIÑON CONICO CON VASTAGO C350</t>
  </si>
  <si>
    <t>22035-13391 PINON BASTAGO C230-22C</t>
  </si>
  <si>
    <t>EC-V652000090</t>
  </si>
  <si>
    <t>PIÑON DE LA CAJA DE ENGRANAJE P230</t>
  </si>
  <si>
    <t>BOMBAS DE AGUA</t>
  </si>
  <si>
    <t xml:space="preserve">CUCHILLA METALICA DE 3 ELEME   X405000011  </t>
  </si>
  <si>
    <t>EC-X600000111</t>
  </si>
  <si>
    <t>20000-96411 HERRAM LLAVE VOLANTE</t>
  </si>
  <si>
    <t>EC-X602000020</t>
  </si>
  <si>
    <t>X602000140 LLAVE DE BUJIA B530,B450,C350</t>
  </si>
  <si>
    <t>EC-X602000210</t>
  </si>
  <si>
    <t>22155-96531 LLAVE T 4mm</t>
  </si>
  <si>
    <t>EC-X602000230</t>
  </si>
  <si>
    <t>EC-X605000090</t>
  </si>
  <si>
    <t>09026-03001 LLAVE EXAGONAL 3MM B450 HERRAM</t>
  </si>
  <si>
    <t>EC-X605000100</t>
  </si>
  <si>
    <t>09026-04001 LLAVE 4MM B450 HERRAMIENTA</t>
  </si>
  <si>
    <t>EC-X640000150</t>
  </si>
  <si>
    <t>G-0041</t>
  </si>
  <si>
    <t>IN-00173</t>
  </si>
  <si>
    <t>BUCANER FORTE X 100 ML</t>
  </si>
  <si>
    <t>IN-00174</t>
  </si>
  <si>
    <t>BUCANER FORTE X LITRO</t>
  </si>
  <si>
    <t>9401109 CONJUNTO DE TETERAS PARA CABRA</t>
  </si>
  <si>
    <t>9402011T CONJUNTO DE LA VALVULA DE AJUSTE</t>
  </si>
  <si>
    <t>DIFENOCONAZOLE 25 % EC X 200 LITROS</t>
  </si>
  <si>
    <t>MP-19460</t>
  </si>
  <si>
    <t>ETIQUETA BUCANER FORTE X LITRO</t>
  </si>
  <si>
    <t>ETIQUETA MOSKAFIN X 100 GMS DELANTERA</t>
  </si>
  <si>
    <t>METSULFURON METYL X 15 GR</t>
  </si>
  <si>
    <t>MP-7881</t>
  </si>
  <si>
    <t>ABAMECTIN X 100 ML</t>
  </si>
  <si>
    <t>ACCESORIOS NEBULIZADORA. PULVERIZADORA Y ESPOLVEADORA</t>
  </si>
  <si>
    <t xml:space="preserve">ACCESORIOS MEZCLADORAS </t>
  </si>
  <si>
    <t>P-0015</t>
  </si>
  <si>
    <t>CAJA COMBO RAIZ ROSADA</t>
  </si>
  <si>
    <t>SH-11022-05450</t>
  </si>
  <si>
    <t>PERNO PROTECTOR DESPOJOS B530</t>
  </si>
  <si>
    <t>ANILLOS PISTON B45-B45L</t>
  </si>
  <si>
    <t>20024-75220 TRINQUETE B45LA-B530-C350-SRM270</t>
  </si>
  <si>
    <t>22901-31000 MANGUERA DE SUCCION GP450</t>
  </si>
  <si>
    <t>68501-98010 CABLE DEL ACELERADOR ES726</t>
  </si>
  <si>
    <t>70870-98020 PISTON KIT C230-ES726-HT230</t>
  </si>
  <si>
    <t>SH-72LG0-84X</t>
  </si>
  <si>
    <t xml:space="preserve">PISTOLA HZ-20GT 88421 </t>
  </si>
  <si>
    <t xml:space="preserve">CADENA 8" 3/8" 0.43"     90SG-033X </t>
  </si>
  <si>
    <t>HILO NYLON 0.105" 10510</t>
  </si>
  <si>
    <t>SHDW-014</t>
  </si>
  <si>
    <t>MASCARILLA LENTES OREJERAS</t>
  </si>
  <si>
    <t>CASCO CON VISERA GRANDE TOMATE</t>
  </si>
  <si>
    <t>SOUTH-017</t>
  </si>
  <si>
    <t>REPUESTOS BOMBAS DE AGUA</t>
  </si>
  <si>
    <t>ACCESORIOS BOMBAS ZM</t>
  </si>
  <si>
    <t>BOMBAS ZM</t>
  </si>
  <si>
    <t>REPUESTOS BOMBAS ZM</t>
  </si>
  <si>
    <t>REPUESTOS TRACTORES</t>
  </si>
  <si>
    <t>EC-1001141</t>
  </si>
  <si>
    <t>EC-61031056831</t>
  </si>
  <si>
    <t>EC-A038000330</t>
  </si>
  <si>
    <t>EC-P021022580</t>
  </si>
  <si>
    <t>EC-V265000240</t>
  </si>
  <si>
    <t>Agroinsumos Cia. Ltda</t>
  </si>
  <si>
    <t>Agrota Cia. Ltda</t>
  </si>
  <si>
    <t>Sukampo S.A.</t>
  </si>
  <si>
    <t>2DK-16</t>
  </si>
  <si>
    <t xml:space="preserve">BOMBA CAUDAL 1HP 2"X2" </t>
  </si>
  <si>
    <t>CA TAMBOR ARRANQUE B530</t>
  </si>
  <si>
    <t>ACC-014</t>
  </si>
  <si>
    <t>ROLLO 100MT MANGUERA FUM 200BAR 3/8"</t>
  </si>
  <si>
    <t>ARA-1LS-220</t>
  </si>
  <si>
    <t>ARADO DE 2 VERTEDERAS</t>
  </si>
  <si>
    <t>BR-CAT-72780</t>
  </si>
  <si>
    <t>KIT,.155 ROUND STRING (10)</t>
  </si>
  <si>
    <t>BR-CAT-73060</t>
  </si>
  <si>
    <t>KIT, TRIMMER BLADE</t>
  </si>
  <si>
    <t>BR-CAT-74548-00</t>
  </si>
  <si>
    <t>KIT, SABRE TOOTH BLADE</t>
  </si>
  <si>
    <t>BR-CAT-7620212</t>
  </si>
  <si>
    <t>ZARANDA FINA 76202-12</t>
  </si>
  <si>
    <t>BR-CAT-76204-12</t>
  </si>
  <si>
    <t>ZARANDA MEDIANA 76204-12</t>
  </si>
  <si>
    <t>BR-CAT-76206-12</t>
  </si>
  <si>
    <t xml:space="preserve">TRIMMERS-DESBROZADORA WT190			</t>
  </si>
  <si>
    <t>DIS-ESCRITORIO 150X50 HAYA</t>
  </si>
  <si>
    <t>ESCRITORIO DE 150X60 CON SOPORTES Y CAJONERA METALICA COLOR HAYA</t>
  </si>
  <si>
    <t>MUEBLES</t>
  </si>
  <si>
    <t>DIS-ESTACIONTRABAJO</t>
  </si>
  <si>
    <t>ESTACIÓN DE TRABAJO DE 150X150 ESTRUCTURA SOPORTES Y FALDON CAJONERA 3 GAVETAS</t>
  </si>
  <si>
    <t>ANILLO PISTON, KIT SHP800  EDR210</t>
  </si>
  <si>
    <t>ANILLO PISTON SRM4605</t>
  </si>
  <si>
    <t>EC-10021219830</t>
  </si>
  <si>
    <t>SELLO DE ACEITE CS680S</t>
  </si>
  <si>
    <t>EC-10021232430</t>
  </si>
  <si>
    <t>SELLO DE ACEITE CS680</t>
  </si>
  <si>
    <t>SELLO DE ACEITE SRM3605 SRM4300</t>
  </si>
  <si>
    <t>EC-10021330830</t>
  </si>
  <si>
    <t>SELLO DE ACEITE CS8002</t>
  </si>
  <si>
    <t>EC-10101055930</t>
  </si>
  <si>
    <t>EC-10510</t>
  </si>
  <si>
    <t>EC-12312116130</t>
  </si>
  <si>
    <t>RESORTE DE AGUJA DE REGULACION CS8002</t>
  </si>
  <si>
    <t>RESORTE BALANCIN CS8002</t>
  </si>
  <si>
    <t>RETENEDOR TIPO E SHP800</t>
  </si>
  <si>
    <t>TORNILLO RELANTIN B450 C350</t>
  </si>
  <si>
    <t>20040-81430 RESORTE BALANCIN C350-B450</t>
  </si>
  <si>
    <t>TAPA FILTRO SRM3605</t>
  </si>
  <si>
    <t>TAPA FILTRO AIRE DM-6110</t>
  </si>
  <si>
    <t>EC-13192311120</t>
  </si>
  <si>
    <t>AMORTIGUADOR SRM4605</t>
  </si>
  <si>
    <t>EC-13201043130</t>
  </si>
  <si>
    <t>MANGUERA DE COMBUSTIBLE SRM4605</t>
  </si>
  <si>
    <t>EC-13201119831</t>
  </si>
  <si>
    <t>ADAPTADOR DE MANGUERA CS8002</t>
  </si>
  <si>
    <t>EC-14551206211</t>
  </si>
  <si>
    <t>EMPAQUETADURA DEL SILENCIADOR DM6110</t>
  </si>
  <si>
    <t>EC-14586130830</t>
  </si>
  <si>
    <t>DEFLECTOR DE SILENCIADOR CS8002</t>
  </si>
  <si>
    <t>BOBINA CS680S, CS6702</t>
  </si>
  <si>
    <t>EC-15901201620</t>
  </si>
  <si>
    <t>TAPA DE BUJIA SRM4605</t>
  </si>
  <si>
    <t>EMBRAGUE PPT2400 GT-22GES</t>
  </si>
  <si>
    <t>EC-17500544331</t>
  </si>
  <si>
    <t>TAMBOR DEL EMBRAGUE 22GT</t>
  </si>
  <si>
    <t>EC-17501230831</t>
  </si>
  <si>
    <t>COJINETE AGUJAS EMBRAGUE CS8002</t>
  </si>
  <si>
    <t>EC-17501232430</t>
  </si>
  <si>
    <t>COJINETE DE AGUJAS PARA EMBRAGUE CS680</t>
  </si>
  <si>
    <t>22150-51520 PINON FLOTANTE 577-757-CS8002</t>
  </si>
  <si>
    <t>EC-17531320430</t>
  </si>
  <si>
    <t>EMPAQUE GT22</t>
  </si>
  <si>
    <t>PLACA DE ARRANQUE CS3000</t>
  </si>
  <si>
    <t>20035-75230 RESORTE TRINQUETE ES726</t>
  </si>
  <si>
    <t>CABLE ACELERADOR SRM3605</t>
  </si>
  <si>
    <t>EC-17801005960</t>
  </si>
  <si>
    <t>GATILLO DEL ACELERADOR 4605</t>
  </si>
  <si>
    <t>EC-17801205960</t>
  </si>
  <si>
    <t>TRABA DE GATILLO 4605</t>
  </si>
  <si>
    <t>EC-17801335631</t>
  </si>
  <si>
    <t>RESORTE DE GATILLO 4605</t>
  </si>
  <si>
    <t>EMPAQUE ADMISION CARBURADOR CILINDRO ES726</t>
  </si>
  <si>
    <t>EC-22400010610</t>
  </si>
  <si>
    <t>HERRAMIENTA EXTRACTOR DE EMBRAGUE DE MOTOSIERRA</t>
  </si>
  <si>
    <t>EC-32D8PS3805</t>
  </si>
  <si>
    <t>BARRA DE 30" 3/8 0.58 (80CM) PARA CS8002</t>
  </si>
  <si>
    <t>EC-33SL0-72X</t>
  </si>
  <si>
    <t>EC-35810001111</t>
  </si>
  <si>
    <t>EC-43700037530</t>
  </si>
  <si>
    <t>ENGRANAJE COMPLETO CS680</t>
  </si>
  <si>
    <t>EC-43700632330</t>
  </si>
  <si>
    <t>KIT TORNILLO SIN FIN BOMBA CS-680 CS-6702</t>
  </si>
  <si>
    <t>EC-43706319930</t>
  </si>
  <si>
    <t>ENGRANAJE TORNILLO SINFIN CS-680</t>
  </si>
  <si>
    <t>EC-452009480</t>
  </si>
  <si>
    <t>ABRAZADERA INFERIOR PPT2400</t>
  </si>
  <si>
    <t>EJE DE ENGRANAJE SRM270</t>
  </si>
  <si>
    <t xml:space="preserve">EJE PIÑON SRM4605 SRM3605  </t>
  </si>
  <si>
    <t>61031421231 ESTABILIZADOR CUCHILLA SRM4300</t>
  </si>
  <si>
    <t>PERNO GRASERO SRM3605-4300-4605-270</t>
  </si>
  <si>
    <t>VALVULA PRESION SHP-800</t>
  </si>
  <si>
    <t>CILINDRO DE BOMBA SHP 800</t>
  </si>
  <si>
    <t>RETENEDOR DE RESORTE SHP-800</t>
  </si>
  <si>
    <t>EC-70604061461</t>
  </si>
  <si>
    <t>MANIJA DE LANZA SHP800</t>
  </si>
  <si>
    <t>EC-78890-21001</t>
  </si>
  <si>
    <t>CABEZAL DE ALTA CAPACIDAD SPEED FEED</t>
  </si>
  <si>
    <t>O-RING DE LANZA,SELLO ES726</t>
  </si>
  <si>
    <t>TUBO COMPLETO B450</t>
  </si>
  <si>
    <t>KIT ESPARRAJOS ROSCA IZQUIERDA</t>
  </si>
  <si>
    <t>EC-89770819835</t>
  </si>
  <si>
    <t>LLAVERO PROBADOR CHISPA</t>
  </si>
  <si>
    <t>EC-90080206000</t>
  </si>
  <si>
    <t>COJINETE 6000 B450 B530</t>
  </si>
  <si>
    <t>EC-90080406001</t>
  </si>
  <si>
    <t>02002-06001 COJINETE B450 B530</t>
  </si>
  <si>
    <t>EC-90081036202</t>
  </si>
  <si>
    <t>COJINETE 6202 B450 B530 SRM430</t>
  </si>
  <si>
    <t>90SG-039X CADENA GUIA 10" P230</t>
  </si>
  <si>
    <t>ANILLO BOQUILLA LANZA ES726</t>
  </si>
  <si>
    <t>PISTON KIT 22C-22F</t>
  </si>
  <si>
    <t>EC-99909-55113</t>
  </si>
  <si>
    <t>ACEITE SHINDAIWA PREMIUM 2-TIEMPOS 100ML</t>
  </si>
  <si>
    <t>CABEZAL SPEED FEED CURVED SHAFT GT-22 SRM22</t>
  </si>
  <si>
    <t>EC-A011001050</t>
  </si>
  <si>
    <t>CARBURADOR B530</t>
  </si>
  <si>
    <t>EC-A021003120</t>
  </si>
  <si>
    <t>EC-A030000190</t>
  </si>
  <si>
    <t>70103-15100 SILENCIADOR C270</t>
  </si>
  <si>
    <t>EC-A030000240</t>
  </si>
  <si>
    <t>VALVULA DE AIRE, RESPIRADERO COMP B450-B45L</t>
  </si>
  <si>
    <t>EC-A051002180</t>
  </si>
  <si>
    <t>62035-41110 PISTON B530</t>
  </si>
  <si>
    <t>ANILLO PISTON SRM270</t>
  </si>
  <si>
    <t>ANILLO PISTON CS680</t>
  </si>
  <si>
    <t>ANILLO PISTON EB500</t>
  </si>
  <si>
    <t>20024-41210 ANILLO PISTON C270</t>
  </si>
  <si>
    <t>ANILLO PISTON B45-B45LA</t>
  </si>
  <si>
    <t>EC-A130000990</t>
  </si>
  <si>
    <t>CILINDRO 6702</t>
  </si>
  <si>
    <t>CA CILINDRO C350-C35LA</t>
  </si>
  <si>
    <t>EC-A1601650</t>
  </si>
  <si>
    <t>CA CUBIERTA CILINDRO B530</t>
  </si>
  <si>
    <t>AISLADOR CONDENS B450-C350</t>
  </si>
  <si>
    <t>CA CUBIERTA FILTRO DE AIRE SRM4300</t>
  </si>
  <si>
    <t>PLACA FILTRO B530</t>
  </si>
  <si>
    <t>70014-74120 SOPORTE INTERUPTOR  B45</t>
  </si>
  <si>
    <t>EC-A440000300</t>
  </si>
  <si>
    <t>SWICH 4605</t>
  </si>
  <si>
    <t>CA RESORTE ARRANQUE B530</t>
  </si>
  <si>
    <t>TAMBOR ARRANQUE CS420</t>
  </si>
  <si>
    <t>EC-A506000410</t>
  </si>
  <si>
    <t xml:space="preserve"> TAMBOR DE ARRANCADOR 757</t>
  </si>
  <si>
    <t>EC-A553000060</t>
  </si>
  <si>
    <t>EC-A556000810</t>
  </si>
  <si>
    <t>TAMBOR DE EMBRAGUE C270</t>
  </si>
  <si>
    <t>EC-A566000120</t>
  </si>
  <si>
    <t>70102-51220 RESORTE EMBRAGUE C270</t>
  </si>
  <si>
    <t>EC-A566000220</t>
  </si>
  <si>
    <t>A566000220 RESORTE EMBRAGUE B450-B530-C</t>
  </si>
  <si>
    <t>EC-A575000270</t>
  </si>
  <si>
    <t>UNION C270</t>
  </si>
  <si>
    <t>EC-C022000020</t>
  </si>
  <si>
    <t>BOMBA DE ACEITE CS420</t>
  </si>
  <si>
    <t>TUBO EXTERNO B450</t>
  </si>
  <si>
    <t>63019-63019 CAJA DE ENGRANAJE SEMICOMPLETA B530</t>
  </si>
  <si>
    <t xml:space="preserve">CAJA DE ENGRANAJE SEMICOMPLETO B450 </t>
  </si>
  <si>
    <t>CARCASA CAJA DE ENGRANAJES B530-B450-B45LA</t>
  </si>
  <si>
    <t xml:space="preserve"> SOPORTE (A) SRM3605</t>
  </si>
  <si>
    <t>62903-66111 PROTECTOR DESPOJO B450-C350-B530</t>
  </si>
  <si>
    <t>72017-16130 PLACA DESPOJ C350-B450-B530</t>
  </si>
  <si>
    <t>EC-CS-3500</t>
  </si>
  <si>
    <t>MOTOSIERRA CS3500</t>
  </si>
  <si>
    <t>EC-CS-680S-60EUSTD</t>
  </si>
  <si>
    <t>EC-DM-6110EUSTD</t>
  </si>
  <si>
    <t>EC-DMAD-4610EUSTD</t>
  </si>
  <si>
    <t>ACC. PARA PULVERIZADOR (SOLIDOS) DMAD4610</t>
  </si>
  <si>
    <t>LANZA CON BOQUILLA AJUSTABLE</t>
  </si>
  <si>
    <t>EC-P003000570</t>
  </si>
  <si>
    <t>AGUJA DE REGULACION DE BAJA CS8002</t>
  </si>
  <si>
    <t>EC-P003002210</t>
  </si>
  <si>
    <t>AGUJA DE REGULACION ALTA CS8002</t>
  </si>
  <si>
    <t>EC-P004002520</t>
  </si>
  <si>
    <t>EC-P004002730</t>
  </si>
  <si>
    <t>AGUJA JET B530</t>
  </si>
  <si>
    <t>AISLADOR DE ADMISION CS680</t>
  </si>
  <si>
    <t>EC-P021010593</t>
  </si>
  <si>
    <t>MANGO POSTERIOR CS420</t>
  </si>
  <si>
    <t>EC-P021012810</t>
  </si>
  <si>
    <t>ABRAZADERA COMPLETA DE LA UNION SRM4605</t>
  </si>
  <si>
    <t>P021012920 CARCASA EMBRAGUE SRM4605</t>
  </si>
  <si>
    <t>PISTON KIT CS600</t>
  </si>
  <si>
    <t>EC-P021015350</t>
  </si>
  <si>
    <t>13001744330 INSULADOR AISLADOR EDR210</t>
  </si>
  <si>
    <t>EC-P021018010</t>
  </si>
  <si>
    <t>MANGUERA DE COMBUSTIBLE CON CEBADOR B45LA B45</t>
  </si>
  <si>
    <t>22169-54103 FRENO COMPLETO NR 757</t>
  </si>
  <si>
    <t>22169-71100 VOLANTE PARA MOTOSIERRA 757</t>
  </si>
  <si>
    <t>P021027030 KIT MOTOR RECONSTRUCCION C350</t>
  </si>
  <si>
    <t>KIT MOTOR RECONSTRUCCION B450</t>
  </si>
  <si>
    <t>KIT MOTOR RECONSTRUCCION B530</t>
  </si>
  <si>
    <t>P021027130 KIT MOTOR RECONSTRUCCION C270</t>
  </si>
  <si>
    <t>KIT MOTOR RECONSTRUCCION B45LA</t>
  </si>
  <si>
    <t>62035-21010 CARTER COMPLETO B530</t>
  </si>
  <si>
    <t>KIT MOTOR RECONTRUCCION 757</t>
  </si>
  <si>
    <t>70244-98040 PISTON KIT C270</t>
  </si>
  <si>
    <t>PISTON KIT C230-ES726-HT230</t>
  </si>
  <si>
    <t>72330-98010 PISTON KIT 757</t>
  </si>
  <si>
    <t>72334-98010 PISTON KIT 577</t>
  </si>
  <si>
    <t>EC-P021034100</t>
  </si>
  <si>
    <t>EMBRAGUE BP35</t>
  </si>
  <si>
    <t>EC-P021035340</t>
  </si>
  <si>
    <t>MANUBRIO B450AUS</t>
  </si>
  <si>
    <t>PERNO DE SUJECION CAJA ENGRANAJE SRM4300</t>
  </si>
  <si>
    <t>P022007100 ABRAZADERA (C) SRM4300</t>
  </si>
  <si>
    <t>DESMALEZADORA SRM-22GUES</t>
  </si>
  <si>
    <t>CABLE (B) ACELERADOR MANUBRIO B530 B450 C350</t>
  </si>
  <si>
    <t>EC-V224000031</t>
  </si>
  <si>
    <t>V224000030 ESPARRAGO BARRA  CS3000,CS3500</t>
  </si>
  <si>
    <t>EC-V309000040</t>
  </si>
  <si>
    <t xml:space="preserve">ARANDELA 12 DE BOMBA CS680		</t>
  </si>
  <si>
    <t>EC-V356000352</t>
  </si>
  <si>
    <t>COLLAR DE EMBRAGUE BOMBA CS420</t>
  </si>
  <si>
    <t>EC-V356000480</t>
  </si>
  <si>
    <t>COLLAR C230</t>
  </si>
  <si>
    <t>72432-13230 COLLAR CAJA DE ENGRANAJE C230,T230XR</t>
  </si>
  <si>
    <t>EC-V420002620</t>
  </si>
  <si>
    <t>AMORTIGUADOR DE CARCAZA C230</t>
  </si>
  <si>
    <t>CABLE (A) CORTO ACELERADOR B450-C350</t>
  </si>
  <si>
    <t>20011-31230 ANILLO DE RETENCION, SEGURO C350-B450</t>
  </si>
  <si>
    <t>62035-41210 PIN DE PISTON B530</t>
  </si>
  <si>
    <t>EC-V652000030</t>
  </si>
  <si>
    <t>ENGRANAJE DE BOMBA CS420</t>
  </si>
  <si>
    <t xml:space="preserve">MOTOCULTORES </t>
  </si>
  <si>
    <t>MAQUINARIA HUESO</t>
  </si>
  <si>
    <t>HF-011</t>
  </si>
  <si>
    <t xml:space="preserve">BOMBA FUMIGAR 16LTS LANZA METAL </t>
  </si>
  <si>
    <t>HF-011AB</t>
  </si>
  <si>
    <t>BOMBA FUMIGACION  16LT AZUL LANZA  MET</t>
  </si>
  <si>
    <t>HF-019</t>
  </si>
  <si>
    <t xml:space="preserve">BOMBA DE FUMIGAR 20LTS LANZA METAL </t>
  </si>
  <si>
    <t>HF-019AB</t>
  </si>
  <si>
    <t xml:space="preserve">BOMBA FUMIGAR 20LT AZUAL LANZA METAL </t>
  </si>
  <si>
    <t>HFPJ-20</t>
  </si>
  <si>
    <t xml:space="preserve">BOMBA FUMIGAR 20LTS LANZA METAL </t>
  </si>
  <si>
    <t>BANDAS</t>
  </si>
  <si>
    <t>IN-1130</t>
  </si>
  <si>
    <t>SUPER VIVERO X KILO</t>
  </si>
  <si>
    <t>IN-1131</t>
  </si>
  <si>
    <t>IN-1945</t>
  </si>
  <si>
    <t>GREEN GIBB X 10 GRS</t>
  </si>
  <si>
    <t>MANGUERA ATOXICA CRISTAL 15.5X26</t>
  </si>
  <si>
    <t>JA-001</t>
  </si>
  <si>
    <t>JARRITA DOSIFICADORA X 250 cc</t>
  </si>
  <si>
    <t>RESORTE DE LA TAPA (PICADORA) 05.001159</t>
  </si>
  <si>
    <t>02.045510 KIT CUCHILLAS COMPLETO JF5D</t>
  </si>
  <si>
    <t>JF-CABALLETE</t>
  </si>
  <si>
    <t>CABALLETE JF-40P</t>
  </si>
  <si>
    <t>LA186FAE</t>
  </si>
  <si>
    <t xml:space="preserve">MOTOR 10HP DIESEL ARRANQUE ELECTRICO </t>
  </si>
  <si>
    <t>LT1200C</t>
  </si>
  <si>
    <t>GENERADOR 1.2KM 110 12V LT1200C</t>
  </si>
  <si>
    <t>LT200</t>
  </si>
  <si>
    <t xml:space="preserve">MOTOR 6.5HP GASOLINA </t>
  </si>
  <si>
    <t>LT420Q1E</t>
  </si>
  <si>
    <t xml:space="preserve">MOTOR 16HP GASOLINA </t>
  </si>
  <si>
    <t>LT950DC</t>
  </si>
  <si>
    <t>GENERADOR 800W 110V 12V</t>
  </si>
  <si>
    <t>LTA007</t>
  </si>
  <si>
    <t>ROLLO 100M  MANGUERA FUM 200BAR 5/16"</t>
  </si>
  <si>
    <t>LTF40C-2</t>
  </si>
  <si>
    <t xml:space="preserve">BOMBA DE PRESION 1.5" 6.5HP GASOLINA </t>
  </si>
  <si>
    <t>LTP50C</t>
  </si>
  <si>
    <t xml:space="preserve">BOMBA DE PRESION 2" 5.5HP GASOLINA </t>
  </si>
  <si>
    <t>LTP80C</t>
  </si>
  <si>
    <t xml:space="preserve">BOMBA DE CAUDAL TEMCO 3" 6.5HP GASOLINA </t>
  </si>
  <si>
    <t>LTS22W</t>
  </si>
  <si>
    <t xml:space="preserve">FUMIGADORA ESTAC GASOLINA 15L/M </t>
  </si>
  <si>
    <t>MP - 0631</t>
  </si>
  <si>
    <t>MICROELEMENTOS SOLUBLES + AMINOACIDOS X KILO</t>
  </si>
  <si>
    <t>MP-01130</t>
  </si>
  <si>
    <t>ETIQUETA SUPER VIVERO X KILO</t>
  </si>
  <si>
    <t>MP-01131</t>
  </si>
  <si>
    <t>ETIQUETA PROFESIONAL THICKER X KILO</t>
  </si>
  <si>
    <t>MP-01945</t>
  </si>
  <si>
    <t>MP-060</t>
  </si>
  <si>
    <t>PARAQUAT X LITRO</t>
  </si>
  <si>
    <t>MP-1130</t>
  </si>
  <si>
    <t>0-20-50 TIPO K-FOL</t>
  </si>
  <si>
    <t>MP-194589</t>
  </si>
  <si>
    <t>MP-2021</t>
  </si>
  <si>
    <t>FUNDA GREENGIB</t>
  </si>
  <si>
    <t>MP-2022</t>
  </si>
  <si>
    <t xml:space="preserve">FUNDA ALUMINIZADA 250/500 GRS </t>
  </si>
  <si>
    <t>MP-2023</t>
  </si>
  <si>
    <t>FUNDA ALUMINIZADA 300 GRS</t>
  </si>
  <si>
    <t>MP-257</t>
  </si>
  <si>
    <t>ABAMECTINA NEGRA 1.8% X 100 ML</t>
  </si>
  <si>
    <t>MP-3611</t>
  </si>
  <si>
    <t>ETIQUETA PARALANCHA 250/500 GRS DELANTERA</t>
  </si>
  <si>
    <t>MP-3612</t>
  </si>
  <si>
    <t>ETIQUETA PARALANCHA 250/500 GRS POSTERIOR</t>
  </si>
  <si>
    <t>MP-6614</t>
  </si>
  <si>
    <t>OT-82067A</t>
  </si>
  <si>
    <t>CABEZAL NYLON UN-10 SIN EMPAQUE 82067A</t>
  </si>
  <si>
    <t>MANGUERA DE AGUA 10" M 1 1/2" VERDE</t>
  </si>
  <si>
    <t>OT-MO4HP</t>
  </si>
  <si>
    <t xml:space="preserve">MOTOR 4HP WEG 1800RPM 220V  </t>
  </si>
  <si>
    <t>P-0016</t>
  </si>
  <si>
    <t>CAJA COMBO CACAO INICIO</t>
  </si>
  <si>
    <t>CAJA COMBO ARROZ DESARROLLO</t>
  </si>
  <si>
    <t>PK60-1</t>
  </si>
  <si>
    <t xml:space="preserve">BOMBA CENTRIFUGA 0.5HP 1"X1" </t>
  </si>
  <si>
    <t>PK80-1</t>
  </si>
  <si>
    <t xml:space="preserve">BOMBA CENTRIFUGA 1HP 1"X12 </t>
  </si>
  <si>
    <t>LETAL X 500 ML</t>
  </si>
  <si>
    <t>ANILLO PISTON C350-BP35</t>
  </si>
  <si>
    <t>CA PROTECTOR DE PERNO BP35</t>
  </si>
  <si>
    <t>22015-13220 PINON HUECO B45-B450-B530-C350</t>
  </si>
  <si>
    <t>22015-13241 SOPORTE (A) B450-C350-B450</t>
  </si>
  <si>
    <t>CA PERNO TAPA GRASA B45-B450-B5</t>
  </si>
  <si>
    <t>CA EMPAQUE SILENCIADOR B530</t>
  </si>
  <si>
    <t>62035-82330 EMPAQUE (A) CARBURADOR B530.</t>
  </si>
  <si>
    <t>64000-66311 PROTECTOR DESPOJO COMP B450  B530</t>
  </si>
  <si>
    <t>CA AISLADOR CONDENSADOR ES726</t>
  </si>
  <si>
    <t>72051-98011 PISTON KIT C350-C35LA-BP35</t>
  </si>
  <si>
    <t>72080-98011 PISTON KIT B45-B45LA</t>
  </si>
  <si>
    <t>72080-98020 EMPAQUETADURA DIAF B45-B45LA</t>
  </si>
  <si>
    <t>CABEZAL SPEED FEED 375 PARA C230, T230</t>
  </si>
  <si>
    <t>CA KIT DE REPARACION BOMBA ES726</t>
  </si>
  <si>
    <t>ACEITE SHINDAIWA PREMIUM 2TIEMPOS 1LT</t>
  </si>
  <si>
    <t>YC-3</t>
  </si>
  <si>
    <t xml:space="preserve">MOTOR ELECTRICO MONOFASICO 110/220V 3HP 1750RPM </t>
  </si>
  <si>
    <t>ZM-043</t>
  </si>
  <si>
    <t>ZM-055</t>
  </si>
  <si>
    <t>ZM-063</t>
  </si>
  <si>
    <t>72518-91180 LLAVE DE BUJIA B45-B450-B530-C350</t>
  </si>
  <si>
    <t>MP-250</t>
  </si>
  <si>
    <t>SO-00.71.237A</t>
  </si>
  <si>
    <t>SO-00.71.237A RESORTE DE EMBRAGUE MD-117-121-129</t>
  </si>
  <si>
    <t>SO-20.48.121</t>
  </si>
  <si>
    <t>SO-20.48.121 FILTRO DE AIRE MOD.117/121/129</t>
  </si>
  <si>
    <t>SO-20.48.346</t>
  </si>
  <si>
    <t>SO-20.48.346 ARO DEL PISTON MOD.129/130</t>
  </si>
  <si>
    <t>SO-20.48.377</t>
  </si>
  <si>
    <t xml:space="preserve">SO-20.48.377 ARO DEL PISTON MOD.432/433 </t>
  </si>
  <si>
    <t>SO-20.63.372</t>
  </si>
  <si>
    <t>SO-20.63.372 JUNTA MD. 433/432</t>
  </si>
  <si>
    <t>SO-20.74.113</t>
  </si>
  <si>
    <t>SO-20.74.113 TAPA DE FILTRO MOD. 117-121.129</t>
  </si>
  <si>
    <t>SO-33.00.194</t>
  </si>
  <si>
    <t>SO-33.00.194 CASQUILLO DE COJINETE MOD. 369/645/</t>
  </si>
  <si>
    <t>SO-60.63.322</t>
  </si>
  <si>
    <t>SO-60.63.322 TUBO MOD. 450</t>
  </si>
  <si>
    <t>EMPAQUE CILINDRO SHP-800</t>
  </si>
  <si>
    <t>12532508360 EMPAQUE BOMBA CARBURADOR SRM4300</t>
  </si>
  <si>
    <t>ANILLO PISTON CS600</t>
  </si>
  <si>
    <t>22152-41210 ANILLO DEL PISTON 577</t>
  </si>
  <si>
    <t>62035-15210 EMPAQUE SILENCIADOR B530</t>
  </si>
  <si>
    <t>ZULLY 60 X 15G</t>
  </si>
  <si>
    <t>ENVASE AGROBALA VERDE X LITRO</t>
  </si>
  <si>
    <t>ROD-62052ZF</t>
  </si>
  <si>
    <t>RODAMEINTO 6205 2Z FAG</t>
  </si>
  <si>
    <t>ROD-62072ZC3F</t>
  </si>
  <si>
    <t>RODAMIENTO  6207 2Z C3 FAG</t>
  </si>
  <si>
    <t>ANILLOS PISTON B530</t>
  </si>
  <si>
    <t>CARCASA CAJA DE ENGRANAJES B450 B530 C350</t>
  </si>
  <si>
    <t>CAJA DE ENGRANAJES SEMCOMP B45LA</t>
  </si>
  <si>
    <t>THICKER X KILO</t>
  </si>
  <si>
    <t>EC-757CINTL</t>
  </si>
  <si>
    <t>62035-41120 ANILLO PISTON B530</t>
  </si>
  <si>
    <t>CAPUCHON DE BUJIA   C350</t>
  </si>
  <si>
    <t>20140-75130 RESORTE ARRANCADOR  22c-c230-9230</t>
  </si>
  <si>
    <t>EC-V043000870</t>
  </si>
  <si>
    <t>PROLIFIC TIPO BIOZYME X LITRO</t>
  </si>
  <si>
    <t>PALETA DE LA BOMBA BVIN-185-765</t>
  </si>
  <si>
    <t>ORTOFOSFATO 20% + AMINO ACIDOS X LT</t>
  </si>
  <si>
    <t>QUELATO DE ZN + AZUFRE + AC. HUMICOS X LT</t>
  </si>
  <si>
    <t>CAJA GREEN GIBB X 15 UNID</t>
  </si>
  <si>
    <t>SULFATO DE COBRE + AMINOACIDOS X LT</t>
  </si>
  <si>
    <t>16-16-12+ B X LT</t>
  </si>
  <si>
    <t>MP-280</t>
  </si>
  <si>
    <t>TENSOACTIVO HUMECTANTE X 500ML</t>
  </si>
  <si>
    <t>OT-M.CHAVET</t>
  </si>
  <si>
    <t>MATERIAL PARA CHAVETA</t>
  </si>
  <si>
    <t>20055-81004 CARBURADOR BP35</t>
  </si>
  <si>
    <t>ZM-011</t>
  </si>
  <si>
    <t>JUEGOS O RINGS ZM 51</t>
  </si>
  <si>
    <t>MP-0221</t>
  </si>
  <si>
    <t>ACIDOS HUMICOS, FULVICOS + AMINOACIDOS X 20 LITROS</t>
  </si>
  <si>
    <t>MP-281</t>
  </si>
  <si>
    <t>ETIQUETA AGROTAFIX X 500 ML</t>
  </si>
  <si>
    <t>MP-282</t>
  </si>
  <si>
    <t>ETIQUETA IMPULMAX X 100 ML</t>
  </si>
  <si>
    <t>P022007000</t>
  </si>
  <si>
    <t>PERNO SUJETADOR SRM4300</t>
  </si>
  <si>
    <t>EC-70617047620</t>
  </si>
  <si>
    <t>EC-CS-600-60EUSTD</t>
  </si>
  <si>
    <t>BOMSU-004</t>
  </si>
  <si>
    <t>BOMBA DE AGUA SUBARU  PKX 20IT</t>
  </si>
  <si>
    <t>BR-CAT-12390</t>
  </si>
  <si>
    <t>ROLLO DE NYLON 1LB PARA WT-190</t>
  </si>
  <si>
    <t>ACCESORIOS CHIPPER/SHEDDERS</t>
  </si>
  <si>
    <t>BR-CAT-70089</t>
  </si>
  <si>
    <t>KIT ACCESORIO DE CORTE 70089</t>
  </si>
  <si>
    <t>BR-CAT-70738</t>
  </si>
  <si>
    <t>KIT, HERRAMIENTA EN HOJA DE ACERO 70738</t>
  </si>
  <si>
    <t>BR-CAT-70973</t>
  </si>
  <si>
    <t>KIT, DESFIBRADOR 70973</t>
  </si>
  <si>
    <t>BR-CAT-71381</t>
  </si>
  <si>
    <t>BR-CAT-72704-12</t>
  </si>
  <si>
    <t>CABEZAL DE NYLON PARA WT190</t>
  </si>
  <si>
    <t>Criba para humedos mod. SC3305, SC3265, SC3342</t>
  </si>
  <si>
    <t>BR-CAT-76214-12</t>
  </si>
  <si>
    <t>Criba para humedos mod. SC3206</t>
  </si>
  <si>
    <t>BR-CAT-77022-00</t>
  </si>
  <si>
    <t>KIT, DESFIBRADOR PARA SC2170</t>
  </si>
  <si>
    <t>BR-CAT-CH4400</t>
  </si>
  <si>
    <t>CHIPPER TIPO REMOLQUE CH4400</t>
  </si>
  <si>
    <t>BR-CAT-CS3206</t>
  </si>
  <si>
    <t>CHIPPER/SHREDDERS CS3206</t>
  </si>
  <si>
    <t>CHIPPER/SHEDDERS</t>
  </si>
  <si>
    <t>BR-CAT-CS3342</t>
  </si>
  <si>
    <t>CHIPPER/SHREDDERS CS3342</t>
  </si>
  <si>
    <t>BR-CAT-SC2170</t>
  </si>
  <si>
    <t>CHIPPER/SHREDDERS SC2170</t>
  </si>
  <si>
    <t>BR-CAT-SC3305</t>
  </si>
  <si>
    <t xml:space="preserve">CHIPPER/SHREDDERS SC3305		</t>
  </si>
  <si>
    <t>COA-001</t>
  </si>
  <si>
    <t xml:space="preserve">COMBO AGROTA  MONILIA </t>
  </si>
  <si>
    <t>COA-002</t>
  </si>
  <si>
    <t xml:space="preserve">COMBO  AGROTA CACAO FLORACION </t>
  </si>
  <si>
    <t>COA-003</t>
  </si>
  <si>
    <t xml:space="preserve">COMBO AGROTA CACAO INICIO </t>
  </si>
  <si>
    <t>COA-004</t>
  </si>
  <si>
    <t>COMBO AGROTA INSECTICIDA</t>
  </si>
  <si>
    <t>COA-005</t>
  </si>
  <si>
    <t>COMBO AGROTA FRESA</t>
  </si>
  <si>
    <t>CONSTRUCCION</t>
  </si>
  <si>
    <t>CT-0001</t>
  </si>
  <si>
    <t>CORTADORA CRAFTSMAN  5.5HP CON LLANTAS POS. ALTAS MOD. 917.385143</t>
  </si>
  <si>
    <t>CT-0002</t>
  </si>
  <si>
    <t>CORTADORA CRAFTSMAN 5.5HP LLANTA BAJA MOD. 247.385200</t>
  </si>
  <si>
    <t>CT-0003</t>
  </si>
  <si>
    <t>CORTADORA CRAFTSMAN  6.7 LLANTAS POS. ALTAS Y RECO  CESPED MOD. 247.389160</t>
  </si>
  <si>
    <t>CT-0004</t>
  </si>
  <si>
    <t>CORTADORA CRAFTSMAN 7HP DE TRACC. DE LLANTERA CON LLAN POST ALTAS MO 917.370680</t>
  </si>
  <si>
    <t>CY-001</t>
  </si>
  <si>
    <t>CYTOKIN X 100CC</t>
  </si>
  <si>
    <t>EC-10001212331</t>
  </si>
  <si>
    <t>COJINETE DE AGUJAS DE TAMBOR CS420</t>
  </si>
  <si>
    <t>EC-17501830830</t>
  </si>
  <si>
    <t>RESORTE DE EMBRAGUE DE CS8002</t>
  </si>
  <si>
    <t>EC-21250001111</t>
  </si>
  <si>
    <t>P050008390 BOQUILLA COMPLETA DM6110</t>
  </si>
  <si>
    <t>EC-25001708013</t>
  </si>
  <si>
    <t>EC-43021531732</t>
  </si>
  <si>
    <t>BARRA GUIA 60CM</t>
  </si>
  <si>
    <t>EC-43301402830</t>
  </si>
  <si>
    <t>PIN TENSOR DE CADENA CS8002</t>
  </si>
  <si>
    <t>EC-43301611031</t>
  </si>
  <si>
    <t>TORNILLO TENSOR DE CADENA DE CS8002</t>
  </si>
  <si>
    <t>EC-43302811030</t>
  </si>
  <si>
    <t>CLIP TENSOR DE CADENA CS8002</t>
  </si>
  <si>
    <t>MOTOSIERRA 488 Con espada de 50"</t>
  </si>
  <si>
    <t>SOPORTE (B) SRM270 SRM3605 SRM4605</t>
  </si>
  <si>
    <t>EC-70602039720</t>
  </si>
  <si>
    <t>EMPAQUE DE GRASA SHP800</t>
  </si>
  <si>
    <t>EC-70602041720</t>
  </si>
  <si>
    <t>ANILLO DE GRASA SHP-800</t>
  </si>
  <si>
    <t>MALLA SHP800</t>
  </si>
  <si>
    <t>EC-73LGX92X60</t>
  </si>
  <si>
    <t>CADENA 60CM 28" CS8002</t>
  </si>
  <si>
    <t>EC-A051000982</t>
  </si>
  <si>
    <t>ARRANCADOR CS420</t>
  </si>
  <si>
    <t>EC-A100000610</t>
  </si>
  <si>
    <t>PISTON C270</t>
  </si>
  <si>
    <t>EC-A130000430</t>
  </si>
  <si>
    <t>CILINDRO EDR-210</t>
  </si>
  <si>
    <t>EC-A556001270</t>
  </si>
  <si>
    <t>TAMBOR DE EMBRAGUE CS420</t>
  </si>
  <si>
    <t>EC-C044000640</t>
  </si>
  <si>
    <t>PALANCA DEL ACELERADOR COMPLETO C270</t>
  </si>
  <si>
    <t>EC-C328000080</t>
  </si>
  <si>
    <t>BANDA DE FRENO CS420</t>
  </si>
  <si>
    <t>EC-C535000760</t>
  </si>
  <si>
    <t>C53500850 SOPORTE (B) BP35</t>
  </si>
  <si>
    <t>MOTOSIERRA CS-600-60 CON BARRA Y CADENA</t>
  </si>
  <si>
    <t>EC-J420000080</t>
  </si>
  <si>
    <t>EC-P021001102</t>
  </si>
  <si>
    <t>P021001101 PISTON KIT EDR-210</t>
  </si>
  <si>
    <t>EC-P021007312</t>
  </si>
  <si>
    <t>FRENO CS8002</t>
  </si>
  <si>
    <t>EC-P021017220</t>
  </si>
  <si>
    <t>FRENO COMPLETO CS420</t>
  </si>
  <si>
    <t>EC-P021028840</t>
  </si>
  <si>
    <t>CAJA DE ENGRANAJE PODADORA DE ALTURA</t>
  </si>
  <si>
    <t>EC-P021028850</t>
  </si>
  <si>
    <t>MANGUERA DE ACEITE P230</t>
  </si>
  <si>
    <t>MANUBRIO TUBO B450 B530</t>
  </si>
  <si>
    <t>EC-P230S/EC1</t>
  </si>
  <si>
    <t>EC-V000000130</t>
  </si>
  <si>
    <t>PIÑON CONICO CON VASTAGO P230</t>
  </si>
  <si>
    <t>EC-V043000420</t>
  </si>
  <si>
    <t>CABLE DE ACELERADOR C270</t>
  </si>
  <si>
    <t>EC-V401000050</t>
  </si>
  <si>
    <t>AMORTIGUADOR DERECHO CS680</t>
  </si>
  <si>
    <t>80678 ADAPTADOR UN10,B450,B530,C350</t>
  </si>
  <si>
    <t>GESU-005</t>
  </si>
  <si>
    <t>GENERADOR SUBARU 211  MOD.  9000354</t>
  </si>
  <si>
    <t>GENERADORES</t>
  </si>
  <si>
    <t>IN-0029</t>
  </si>
  <si>
    <t>AGROTAFIX X 500 ML</t>
  </si>
  <si>
    <t>IN-7654</t>
  </si>
  <si>
    <t>JAQUER 400 X 100 ML</t>
  </si>
  <si>
    <t>IN-9876</t>
  </si>
  <si>
    <t>IMPULMAX  X 100 ML</t>
  </si>
  <si>
    <t>MOTSU-001</t>
  </si>
  <si>
    <t xml:space="preserve">MOTOR SUBARU  DE 6 HP </t>
  </si>
  <si>
    <t>MOTSU-002</t>
  </si>
  <si>
    <t xml:space="preserve">MOTOR   SUBARU  9HP </t>
  </si>
  <si>
    <t>MOTSU-003</t>
  </si>
  <si>
    <t xml:space="preserve">MOTOR  SUBARU DE 13.5HP </t>
  </si>
  <si>
    <t>CA 16-16-12  + B</t>
  </si>
  <si>
    <t>MP-7654</t>
  </si>
  <si>
    <t>ETIQUETA JAQUER X 100 ML</t>
  </si>
  <si>
    <t>MP-9753</t>
  </si>
  <si>
    <t>CAJA COMBO MARACUYA FLORACION</t>
  </si>
  <si>
    <t>OT-28MM</t>
  </si>
  <si>
    <t>POLEA 4"X 2RANUX28MMM</t>
  </si>
  <si>
    <t>ELECTRODOMESTICOS</t>
  </si>
  <si>
    <t>PASU-007</t>
  </si>
  <si>
    <t>PLANCHA  SUBARU   CF2</t>
  </si>
  <si>
    <t>VIBROAPISONADOR</t>
  </si>
  <si>
    <t>SC-002</t>
  </si>
  <si>
    <t>SCORE X 100CC</t>
  </si>
  <si>
    <t>VIBSU-006</t>
  </si>
  <si>
    <t>VIBROAPISONADOR  SUBARU SRU66 1106654</t>
  </si>
  <si>
    <t>ACCESORIOS WHEELED TRIMMERS</t>
  </si>
  <si>
    <t>KIT, CUCHILLA DESFIBRADORA</t>
  </si>
  <si>
    <t>BR-WT190</t>
  </si>
  <si>
    <t>CRMOT</t>
  </si>
  <si>
    <t>COCINA MONTE CARLO QUARZO</t>
  </si>
  <si>
    <t>EC-09510</t>
  </si>
  <si>
    <t>EC-12314003930</t>
  </si>
  <si>
    <t>EMPAQUETADURA Y DIAFRAGMA SRM4605</t>
  </si>
  <si>
    <t>FILTRO COMBUST SRM4300 SRM4605</t>
  </si>
  <si>
    <t>TAMBOR ARRANQ SRM4605 B45LA-C350-EB500 (A506000150)</t>
  </si>
  <si>
    <t>EC-18F8LS3372</t>
  </si>
  <si>
    <t>BARRA 18" CS-420ES</t>
  </si>
  <si>
    <t>EC-2150001111</t>
  </si>
  <si>
    <t>BOQUILLA</t>
  </si>
  <si>
    <t>EC-21560056</t>
  </si>
  <si>
    <t>CABEZAL SRM22GUES</t>
  </si>
  <si>
    <t>BARRA 28" 70CM 3/8"/0.058" CS680S CS8002</t>
  </si>
  <si>
    <t>CA BARRA 28" CS 8002</t>
  </si>
  <si>
    <t>CA BARRA GUIA 28" CS-8002</t>
  </si>
  <si>
    <t>CA BOMBA DE ACEITE CS8000</t>
  </si>
  <si>
    <t>EC-4529110</t>
  </si>
  <si>
    <t>CA TAPON BOMBA SHP800</t>
  </si>
  <si>
    <t>CA DISCOS DE ALTA EXIGENCIA 8"</t>
  </si>
  <si>
    <t>CA DISCO DE ALTA EXIGENCIA 9"</t>
  </si>
  <si>
    <t xml:space="preserve">CA ARNES 901018 </t>
  </si>
  <si>
    <t>CA BROCA EDR210</t>
  </si>
  <si>
    <t>EC-99944900240</t>
  </si>
  <si>
    <t>ACCESORIO PARA HOYADORA 6"</t>
  </si>
  <si>
    <t>EC-99944900250</t>
  </si>
  <si>
    <t>ACCESORIO PARA HOYADORA 8"</t>
  </si>
  <si>
    <t>EC-99944900260</t>
  </si>
  <si>
    <t>ACCESORIO PARA HOYADORA 10"</t>
  </si>
  <si>
    <t>CARBURADOR BP35</t>
  </si>
  <si>
    <t>TAMBOR EMBRAGUE B530 (A556000870)</t>
  </si>
  <si>
    <t>CA FILTRO AIRE SRM4300 MODELO ANTIGUO</t>
  </si>
  <si>
    <t>CA RESORTE ARRANCADOR B450-B45</t>
  </si>
  <si>
    <t>CA TAMBOR ARANQUE B530 (P022002080)</t>
  </si>
  <si>
    <t>SOPORTE (A) C230</t>
  </si>
  <si>
    <t>EC-C624000070</t>
  </si>
  <si>
    <t>22019-11313 ABRAZADERA ALETA B450-B45</t>
  </si>
  <si>
    <t>MOTOSIERRA CS-420-45 CON BARRA Y CADENA</t>
  </si>
  <si>
    <t>EC-EA-410</t>
  </si>
  <si>
    <t>HOYADORA EA-410</t>
  </si>
  <si>
    <t>PLACA SWITCH 757</t>
  </si>
  <si>
    <t>EC-P005001140</t>
  </si>
  <si>
    <t>EMPAQUETADURA DE DIAFRAGMA SRM4300</t>
  </si>
  <si>
    <t>CA BASE FILTRO AIRE SRM4300 anterior</t>
  </si>
  <si>
    <t>EC-P021010642</t>
  </si>
  <si>
    <t>FRENO COMPLETO CS680S</t>
  </si>
  <si>
    <t>TAMBOR ARRANCADOR SRM4300 B530 (A506000260)</t>
  </si>
  <si>
    <t>CUBIERTA EMBRAGUE CARCASA SRM4300</t>
  </si>
  <si>
    <t>EC-P022007170</t>
  </si>
  <si>
    <t>ARNES SRM4300</t>
  </si>
  <si>
    <t>EC-P022024760</t>
  </si>
  <si>
    <t>CARCAZA DE EMBRAGUE</t>
  </si>
  <si>
    <t>EC-P050009350</t>
  </si>
  <si>
    <t>EMPAQUETADURA Y DIAFRAGMA KIT B530 (60035-98040)</t>
  </si>
  <si>
    <t>EC-UN10</t>
  </si>
  <si>
    <t xml:space="preserve">CA CUCHILLA METALICA DE 3 ELEME   X405000001 </t>
  </si>
  <si>
    <t>IN-0976</t>
  </si>
  <si>
    <t>FEGADAZIM X 250 ML</t>
  </si>
  <si>
    <t>IN-0977</t>
  </si>
  <si>
    <t>FEGADAZIM X 500 ML</t>
  </si>
  <si>
    <t>IN-0987</t>
  </si>
  <si>
    <t>FEGADAZIM X LITRO</t>
  </si>
  <si>
    <t>IN-0998</t>
  </si>
  <si>
    <t>FEGADAZIM X 100 ML</t>
  </si>
  <si>
    <t>IN-5665</t>
  </si>
  <si>
    <t>ABAMECTIN X LITRO</t>
  </si>
  <si>
    <t xml:space="preserve">ACCESORIOS TRITURADORES </t>
  </si>
  <si>
    <t>LCD42G40090H</t>
  </si>
  <si>
    <t>TV LCD 42"</t>
  </si>
  <si>
    <t>MONT-6M15421</t>
  </si>
  <si>
    <t>MONTACARGA MANUAL MT JPC0307</t>
  </si>
  <si>
    <t>AGROQUIMICOS</t>
  </si>
  <si>
    <t>ETIQUETA AGROTAFOL SUPER</t>
  </si>
  <si>
    <t>MP-09877</t>
  </si>
  <si>
    <t>ETIQUETA FEGADAZIM X 500 ML</t>
  </si>
  <si>
    <t>ACIDO GIBERELICO X KILO</t>
  </si>
  <si>
    <t>ENVASES</t>
  </si>
  <si>
    <t>MP-7687</t>
  </si>
  <si>
    <t>ETIQUETA FEGADAZIM X 100 ML</t>
  </si>
  <si>
    <t>RI-585</t>
  </si>
  <si>
    <t>QUARZO CROMA INDURAMA</t>
  </si>
  <si>
    <t>CA DISCO 8" 30 DIENTES</t>
  </si>
  <si>
    <t xml:space="preserve">CA CABEZAL METALICO  22000-92812  </t>
  </si>
  <si>
    <t>CA CABLE B530</t>
  </si>
  <si>
    <t>CA PROBADOR DE PRESION DE PRESION</t>
  </si>
  <si>
    <t>CA CABEZAL METALICO EMPACADO</t>
  </si>
  <si>
    <t>CA DISCO DE ACERO 4 PUNTAS</t>
  </si>
  <si>
    <t>CA ROLLO HILO NYLON 0.105" 12.2M (2.7MM)</t>
  </si>
  <si>
    <t xml:space="preserve">CA BARRA 24 050 9214D-24 </t>
  </si>
  <si>
    <t>WA17W7MDP</t>
  </si>
  <si>
    <t>LAVADORA WOBBLE</t>
  </si>
  <si>
    <t>MOTORALMOR</t>
  </si>
  <si>
    <t>01.002.0001</t>
  </si>
  <si>
    <t>01.002.0002</t>
  </si>
  <si>
    <t>01.003.0001</t>
  </si>
  <si>
    <t>01.003.0002</t>
  </si>
  <si>
    <t>01.003.0003</t>
  </si>
  <si>
    <t>01.003.0004</t>
  </si>
  <si>
    <t>01.003.0005</t>
  </si>
  <si>
    <t>01.003.0006</t>
  </si>
  <si>
    <t>01.003.0007</t>
  </si>
  <si>
    <t>01.003.0008</t>
  </si>
  <si>
    <t>01.005.0001</t>
  </si>
  <si>
    <t>01.006.0001</t>
  </si>
  <si>
    <t>01.006.0002</t>
  </si>
  <si>
    <t>01.006.0003</t>
  </si>
  <si>
    <t>01.006.0004</t>
  </si>
  <si>
    <t>01.006.0005</t>
  </si>
  <si>
    <t>01.006.0006</t>
  </si>
  <si>
    <t>01.006.0022</t>
  </si>
  <si>
    <t>01.006.0023</t>
  </si>
  <si>
    <t>01.007.0001</t>
  </si>
  <si>
    <t>01.007.0003</t>
  </si>
  <si>
    <t>01.007.0004</t>
  </si>
  <si>
    <t>01.007.0005</t>
  </si>
  <si>
    <t>01.007.0006</t>
  </si>
  <si>
    <t>01.007.0007</t>
  </si>
  <si>
    <t>01.007.0008</t>
  </si>
  <si>
    <t>01.007.0009</t>
  </si>
  <si>
    <t>01.007.0010</t>
  </si>
  <si>
    <t>01.007.0011</t>
  </si>
  <si>
    <t>01.007.0012</t>
  </si>
  <si>
    <t>01.007.0013</t>
  </si>
  <si>
    <t>01.007.0014</t>
  </si>
  <si>
    <t>01.007.0015</t>
  </si>
  <si>
    <t>01.007.0016</t>
  </si>
  <si>
    <t>01.007.0018</t>
  </si>
  <si>
    <t>01.009.0002</t>
  </si>
  <si>
    <t>01.009.0003</t>
  </si>
  <si>
    <t>01.009.0006</t>
  </si>
  <si>
    <t>01.009.0007</t>
  </si>
  <si>
    <t>01.009.0008</t>
  </si>
  <si>
    <t>01.010.0001</t>
  </si>
  <si>
    <t>01.010.0002</t>
  </si>
  <si>
    <t>01.010.0003</t>
  </si>
  <si>
    <t>01.010.0004</t>
  </si>
  <si>
    <t>01.010.0005</t>
  </si>
  <si>
    <t>01.010.0006</t>
  </si>
  <si>
    <t>01.010.0007</t>
  </si>
  <si>
    <t>01.010.0008</t>
  </si>
  <si>
    <t>01.011.0001</t>
  </si>
  <si>
    <t>01.011.0006</t>
  </si>
  <si>
    <t>01.011.0007</t>
  </si>
  <si>
    <t>01.011.0008</t>
  </si>
  <si>
    <t>01.011.0009</t>
  </si>
  <si>
    <t>01.011.0010</t>
  </si>
  <si>
    <t>01.011.0011</t>
  </si>
  <si>
    <t>01.011.0017</t>
  </si>
  <si>
    <t>01.011.0018</t>
  </si>
  <si>
    <t>01.011.0019</t>
  </si>
  <si>
    <t>01.011.0020</t>
  </si>
  <si>
    <t>01.011.0021</t>
  </si>
  <si>
    <t>01.011.0022</t>
  </si>
  <si>
    <t>01.011.0023</t>
  </si>
  <si>
    <t>01.011.0024</t>
  </si>
  <si>
    <t>01.011.0025</t>
  </si>
  <si>
    <t>01.011.0026</t>
  </si>
  <si>
    <t>01.011.0027</t>
  </si>
  <si>
    <t>01.011.0028</t>
  </si>
  <si>
    <t>01.011.0029</t>
  </si>
  <si>
    <t>01.011.0030</t>
  </si>
  <si>
    <t>01.011.0031</t>
  </si>
  <si>
    <t>01.011.0032</t>
  </si>
  <si>
    <t>01.011.0033</t>
  </si>
  <si>
    <t>01.011.0034</t>
  </si>
  <si>
    <t>01.011.0035</t>
  </si>
  <si>
    <t>01.011.0036</t>
  </si>
  <si>
    <t>01.011.0037</t>
  </si>
  <si>
    <t>01.011.0038</t>
  </si>
  <si>
    <t>01.011.0039</t>
  </si>
  <si>
    <t>01.011.0040</t>
  </si>
  <si>
    <t>01.011.0041</t>
  </si>
  <si>
    <t>01.011.0042</t>
  </si>
  <si>
    <t>01.011.0043</t>
  </si>
  <si>
    <t>01.011.0044</t>
  </si>
  <si>
    <t>01.011.0045</t>
  </si>
  <si>
    <t>01.013.0001</t>
  </si>
  <si>
    <t>01.013.0002</t>
  </si>
  <si>
    <t>01.013.0003</t>
  </si>
  <si>
    <t>01.013.0004</t>
  </si>
  <si>
    <t>01.013.0005</t>
  </si>
  <si>
    <t>01.013.0006</t>
  </si>
  <si>
    <t>01.013.0007</t>
  </si>
  <si>
    <t>01.013.0012</t>
  </si>
  <si>
    <t>01.013.0013</t>
  </si>
  <si>
    <t>01.013.0014</t>
  </si>
  <si>
    <t>01.013.0015</t>
  </si>
  <si>
    <t>01.013.0017</t>
  </si>
  <si>
    <t>01.013.0028</t>
  </si>
  <si>
    <t>01.013.0029</t>
  </si>
  <si>
    <t>01.013.0035</t>
  </si>
  <si>
    <t>01.013.0036</t>
  </si>
  <si>
    <t>01.013.0037</t>
  </si>
  <si>
    <t>01.013.0038</t>
  </si>
  <si>
    <t>01.013.0039</t>
  </si>
  <si>
    <t>01.013.0044</t>
  </si>
  <si>
    <t>01.013.0045</t>
  </si>
  <si>
    <t>01.013.0046</t>
  </si>
  <si>
    <t>01.013.0047</t>
  </si>
  <si>
    <t>01.013.0048</t>
  </si>
  <si>
    <t>01.013.0049</t>
  </si>
  <si>
    <t>01.013.0050</t>
  </si>
  <si>
    <t>01.013.0051</t>
  </si>
  <si>
    <t>01.013.0052</t>
  </si>
  <si>
    <t>01.013.0053</t>
  </si>
  <si>
    <t>01.013.0054</t>
  </si>
  <si>
    <t>01.013.0055</t>
  </si>
  <si>
    <t>01.013.0056</t>
  </si>
  <si>
    <t>01.013.0057</t>
  </si>
  <si>
    <t>01.013.0058</t>
  </si>
  <si>
    <t>01.013.0065</t>
  </si>
  <si>
    <t>01.013.0066</t>
  </si>
  <si>
    <t>01.013.0067</t>
  </si>
  <si>
    <t>01.013.0068</t>
  </si>
  <si>
    <t>01.013.0069</t>
  </si>
  <si>
    <t>01.013.0070</t>
  </si>
  <si>
    <t>01.013.0077</t>
  </si>
  <si>
    <t>01.013.0078</t>
  </si>
  <si>
    <t>01.013.0079</t>
  </si>
  <si>
    <t>01.013.0080</t>
  </si>
  <si>
    <t>01.013.0081</t>
  </si>
  <si>
    <t>01.013.0082</t>
  </si>
  <si>
    <t>01.013.0083</t>
  </si>
  <si>
    <t>01.013.0084</t>
  </si>
  <si>
    <t>01.013.0085</t>
  </si>
  <si>
    <t>01.013.0086</t>
  </si>
  <si>
    <t>01.013.0087</t>
  </si>
  <si>
    <t>01.013.0088</t>
  </si>
  <si>
    <t>01.013.0089</t>
  </si>
  <si>
    <t>01.013.0090</t>
  </si>
  <si>
    <t>01.013.0091</t>
  </si>
  <si>
    <t>01.013.0092</t>
  </si>
  <si>
    <t>01.013.0093</t>
  </si>
  <si>
    <t>01.016.0001</t>
  </si>
  <si>
    <t>01.016.0002</t>
  </si>
  <si>
    <t>01.016.0003</t>
  </si>
  <si>
    <t>01.016.0004</t>
  </si>
  <si>
    <t>01.016.0005</t>
  </si>
  <si>
    <t>01.016.0006</t>
  </si>
  <si>
    <t>01.016.0007</t>
  </si>
  <si>
    <t>01.016.0008</t>
  </si>
  <si>
    <t>01.016.0009</t>
  </si>
  <si>
    <t>01.016.0010</t>
  </si>
  <si>
    <t>01.016.0011</t>
  </si>
  <si>
    <t>01.016.0012</t>
  </si>
  <si>
    <t>01.016.0013</t>
  </si>
  <si>
    <t>01.016.0017</t>
  </si>
  <si>
    <t>01.016.0018</t>
  </si>
  <si>
    <t>01.016.0021</t>
  </si>
  <si>
    <t>01.016.0022</t>
  </si>
  <si>
    <t>01.016.0023</t>
  </si>
  <si>
    <t>01.016.0024</t>
  </si>
  <si>
    <t>01.016.0025</t>
  </si>
  <si>
    <t>01.017.0001</t>
  </si>
  <si>
    <t>01.017.0002</t>
  </si>
  <si>
    <t>01.017.0003</t>
  </si>
  <si>
    <t>01.017.0005</t>
  </si>
  <si>
    <t>01.017.0006</t>
  </si>
  <si>
    <t>01.017.0007</t>
  </si>
  <si>
    <t>01.017.0008</t>
  </si>
  <si>
    <t>01.017.0009</t>
  </si>
  <si>
    <t>01.017.0010</t>
  </si>
  <si>
    <t>01.017.0011</t>
  </si>
  <si>
    <t>01.017.0012</t>
  </si>
  <si>
    <t>01.017.0013</t>
  </si>
  <si>
    <t>01.017.0014</t>
  </si>
  <si>
    <t>01.017.0015</t>
  </si>
  <si>
    <t>01.017.0016</t>
  </si>
  <si>
    <t>01.017.0017</t>
  </si>
  <si>
    <t>01.017.0018</t>
  </si>
  <si>
    <t>01.017.0019</t>
  </si>
  <si>
    <t>01.017.0020</t>
  </si>
  <si>
    <t>01.017.0021</t>
  </si>
  <si>
    <t>01.017.0022</t>
  </si>
  <si>
    <t>01.017.0023</t>
  </si>
  <si>
    <t>01.017.0024</t>
  </si>
  <si>
    <t>01.017.0025</t>
  </si>
  <si>
    <t>01.017.0026</t>
  </si>
  <si>
    <t>01.017.0027</t>
  </si>
  <si>
    <t>01.017.0028</t>
  </si>
  <si>
    <t>01.017.0029</t>
  </si>
  <si>
    <t>01.017.0030</t>
  </si>
  <si>
    <t>01.017.0031</t>
  </si>
  <si>
    <t>01.017.0032</t>
  </si>
  <si>
    <t>01.017.0033</t>
  </si>
  <si>
    <t>01.018.0001</t>
  </si>
  <si>
    <t>01.018.0002</t>
  </si>
  <si>
    <t>01.018.0004</t>
  </si>
  <si>
    <t>01.018.0005</t>
  </si>
  <si>
    <t>01.018.0007</t>
  </si>
  <si>
    <t>01.018.0008</t>
  </si>
  <si>
    <t>01.018.0010</t>
  </si>
  <si>
    <t>01.018.0011</t>
  </si>
  <si>
    <t>01.018.0012</t>
  </si>
  <si>
    <t>01.018.0013</t>
  </si>
  <si>
    <t>01.018.0014</t>
  </si>
  <si>
    <t>01.018.0015</t>
  </si>
  <si>
    <t>01.018.0016</t>
  </si>
  <si>
    <t>01.018.0017</t>
  </si>
  <si>
    <t>01.018.0018</t>
  </si>
  <si>
    <t>01.018.0019</t>
  </si>
  <si>
    <t>01.018.0020</t>
  </si>
  <si>
    <t>01.018.0021</t>
  </si>
  <si>
    <t>01.018.0022</t>
  </si>
  <si>
    <t>01.018.0023</t>
  </si>
  <si>
    <t>01.018.0024</t>
  </si>
  <si>
    <t>01.018.0026</t>
  </si>
  <si>
    <t>01.018.0027</t>
  </si>
  <si>
    <t>01.018.0028</t>
  </si>
  <si>
    <t>01.018.0029</t>
  </si>
  <si>
    <t>01.018.0030</t>
  </si>
  <si>
    <t>01.018.0031</t>
  </si>
  <si>
    <t>01.018.0032</t>
  </si>
  <si>
    <t>01.018.0033</t>
  </si>
  <si>
    <t>01.019.0001</t>
  </si>
  <si>
    <t>01.019.0002</t>
  </si>
  <si>
    <t>01.019.0003</t>
  </si>
  <si>
    <t>01.019.0004</t>
  </si>
  <si>
    <t>01.019.0007</t>
  </si>
  <si>
    <t>01.019.0008</t>
  </si>
  <si>
    <t>01.019.0009</t>
  </si>
  <si>
    <t>01.019.0010</t>
  </si>
  <si>
    <t>01.019.0011</t>
  </si>
  <si>
    <t>01.019.0012</t>
  </si>
  <si>
    <t>01.019.0013</t>
  </si>
  <si>
    <t>01.019.0014</t>
  </si>
  <si>
    <t>01.019.0015</t>
  </si>
  <si>
    <t>01.019.0016</t>
  </si>
  <si>
    <t>01.019.0017</t>
  </si>
  <si>
    <t>01.019.0018</t>
  </si>
  <si>
    <t>01.019.0019</t>
  </si>
  <si>
    <t>01.019.0026</t>
  </si>
  <si>
    <t>01.019.0027</t>
  </si>
  <si>
    <t>01.019.0028</t>
  </si>
  <si>
    <t>01.019.0029</t>
  </si>
  <si>
    <t>01.019.0037</t>
  </si>
  <si>
    <t>01.019.0038</t>
  </si>
  <si>
    <t>01.019.0039</t>
  </si>
  <si>
    <t>01.019.0040</t>
  </si>
  <si>
    <t>01.019.0041</t>
  </si>
  <si>
    <t>01.019.0042</t>
  </si>
  <si>
    <t>01.019.0043</t>
  </si>
  <si>
    <t>01.019.0044</t>
  </si>
  <si>
    <t>01.019.0045</t>
  </si>
  <si>
    <t>01.019.0046</t>
  </si>
  <si>
    <t>01.019.0047</t>
  </si>
  <si>
    <t>01.019.0050</t>
  </si>
  <si>
    <t>01.019.0051</t>
  </si>
  <si>
    <t>01.019.0052</t>
  </si>
  <si>
    <t>01.019.0053</t>
  </si>
  <si>
    <t>01.019.0056</t>
  </si>
  <si>
    <t>01.019.0057</t>
  </si>
  <si>
    <t>01.019.0058</t>
  </si>
  <si>
    <t>01.019.0059</t>
  </si>
  <si>
    <t>01.019.0060</t>
  </si>
  <si>
    <t>01.019.0061</t>
  </si>
  <si>
    <t>01.019.0062</t>
  </si>
  <si>
    <t>01.019.0063</t>
  </si>
  <si>
    <t>01.019.0064</t>
  </si>
  <si>
    <t>01.019.0065</t>
  </si>
  <si>
    <t>01.019.0072</t>
  </si>
  <si>
    <t>01.019.0073</t>
  </si>
  <si>
    <t>01.019.0074</t>
  </si>
  <si>
    <t>01.019.0075</t>
  </si>
  <si>
    <t>01.019.0078</t>
  </si>
  <si>
    <t>01.019.0079</t>
  </si>
  <si>
    <t>01.019.0080</t>
  </si>
  <si>
    <t>01.019.0082</t>
  </si>
  <si>
    <t>01.019.0083</t>
  </si>
  <si>
    <t>01.019.0084</t>
  </si>
  <si>
    <t>01.019.0085</t>
  </si>
  <si>
    <t>01.019.0086</t>
  </si>
  <si>
    <t>01.019.0087</t>
  </si>
  <si>
    <t>01.019.0090</t>
  </si>
  <si>
    <t>01.019.0091</t>
  </si>
  <si>
    <t>01.019.0092</t>
  </si>
  <si>
    <t>01.019.0093</t>
  </si>
  <si>
    <t>01.019.0094</t>
  </si>
  <si>
    <t>01.019.0095</t>
  </si>
  <si>
    <t>01.019.0096</t>
  </si>
  <si>
    <t>01.019.0101</t>
  </si>
  <si>
    <t>01.019.0102</t>
  </si>
  <si>
    <t>01.019.0103</t>
  </si>
  <si>
    <t>01.019.0104</t>
  </si>
  <si>
    <t>01.019.0105</t>
  </si>
  <si>
    <t>01.019.0106</t>
  </si>
  <si>
    <t>01.019.0107</t>
  </si>
  <si>
    <t>01.019.0108</t>
  </si>
  <si>
    <t>01.019.0109</t>
  </si>
  <si>
    <t>01.019.0110</t>
  </si>
  <si>
    <t>01.019.0111</t>
  </si>
  <si>
    <t>01.019.0112</t>
  </si>
  <si>
    <t>01.019.0113</t>
  </si>
  <si>
    <t>01.019.0114</t>
  </si>
  <si>
    <t>01.019.0115</t>
  </si>
  <si>
    <t>01.019.0116</t>
  </si>
  <si>
    <t>01.019.0117</t>
  </si>
  <si>
    <t>01.019.0118</t>
  </si>
  <si>
    <t>01.019.0119</t>
  </si>
  <si>
    <t>01.019.0120</t>
  </si>
  <si>
    <t>01.019.0121</t>
  </si>
  <si>
    <t>01.019.0126</t>
  </si>
  <si>
    <t>01.019.0127</t>
  </si>
  <si>
    <t>01.019.0128</t>
  </si>
  <si>
    <t>01.019.0129</t>
  </si>
  <si>
    <t>01.019.0130</t>
  </si>
  <si>
    <t>01.019.0131</t>
  </si>
  <si>
    <t>01.019.0132</t>
  </si>
  <si>
    <t>01.019.0135</t>
  </si>
  <si>
    <t>01.019.0136</t>
  </si>
  <si>
    <t>01.019.0137</t>
  </si>
  <si>
    <t>01.019.0138</t>
  </si>
  <si>
    <t>01.019.0139</t>
  </si>
  <si>
    <t>01.019.0140</t>
  </si>
  <si>
    <t>01.019.0141</t>
  </si>
  <si>
    <t>01.019.0142</t>
  </si>
  <si>
    <t>01.019.0143</t>
  </si>
  <si>
    <t>01.019.0144</t>
  </si>
  <si>
    <t>01.019.0145</t>
  </si>
  <si>
    <t>01.019.0151</t>
  </si>
  <si>
    <t>01.019.0152</t>
  </si>
  <si>
    <t>01.019.0153</t>
  </si>
  <si>
    <t>01.019.0157</t>
  </si>
  <si>
    <t>01.020.0001</t>
  </si>
  <si>
    <t>01.020.0002</t>
  </si>
  <si>
    <t>01.020.0003</t>
  </si>
  <si>
    <t>01.020.0004</t>
  </si>
  <si>
    <t>01.020.0005</t>
  </si>
  <si>
    <t>01.020.0006</t>
  </si>
  <si>
    <t>01.020.0007</t>
  </si>
  <si>
    <t>01.020.0008</t>
  </si>
  <si>
    <t>01.020.0009</t>
  </si>
  <si>
    <t>01.024.0004</t>
  </si>
  <si>
    <t>01.024.0005</t>
  </si>
  <si>
    <t>01.024.0009</t>
  </si>
  <si>
    <t>01.024.0010</t>
  </si>
  <si>
    <t>01.024.0011</t>
  </si>
  <si>
    <t>01.024.0012</t>
  </si>
  <si>
    <t>01.024.0013</t>
  </si>
  <si>
    <t>01.024.0014</t>
  </si>
  <si>
    <t>01.024.0015</t>
  </si>
  <si>
    <t>01.024.0016</t>
  </si>
  <si>
    <t>01.024.0017</t>
  </si>
  <si>
    <t>01.024.0018</t>
  </si>
  <si>
    <t>01.024.0019</t>
  </si>
  <si>
    <t>01.024.0036</t>
  </si>
  <si>
    <t>01.024.0037</t>
  </si>
  <si>
    <t>01.024.0038</t>
  </si>
  <si>
    <t>01.024.0039</t>
  </si>
  <si>
    <t>01.024.0040</t>
  </si>
  <si>
    <t>01.024.0041</t>
  </si>
  <si>
    <t>01.024.0043</t>
  </si>
  <si>
    <t>01.024.0044</t>
  </si>
  <si>
    <t>01.024.0045</t>
  </si>
  <si>
    <t>01.024.0046</t>
  </si>
  <si>
    <t>01.024.0049</t>
  </si>
  <si>
    <t>01.024.0051</t>
  </si>
  <si>
    <t>01.024.0052</t>
  </si>
  <si>
    <t>01.024.0053</t>
  </si>
  <si>
    <t>01.025.0020</t>
  </si>
  <si>
    <t>01.025.0021</t>
  </si>
  <si>
    <t>01.025.0022</t>
  </si>
  <si>
    <t>01.025.0023</t>
  </si>
  <si>
    <t>01.025.0027</t>
  </si>
  <si>
    <t>01.025.0028</t>
  </si>
  <si>
    <t>01.025.0029</t>
  </si>
  <si>
    <t>01.025.0030</t>
  </si>
  <si>
    <t>01.025.0031</t>
  </si>
  <si>
    <t>01.025.0032</t>
  </si>
  <si>
    <t>01.025.0033</t>
  </si>
  <si>
    <t>01.025.0034</t>
  </si>
  <si>
    <t>01.025.0035</t>
  </si>
  <si>
    <t>01.025.0036</t>
  </si>
  <si>
    <t>01.025.0037</t>
  </si>
  <si>
    <t>01.025.0038</t>
  </si>
  <si>
    <t>01.025.0039</t>
  </si>
  <si>
    <t>01.025.0040</t>
  </si>
  <si>
    <t>01.025.0049</t>
  </si>
  <si>
    <t>01.025.0050</t>
  </si>
  <si>
    <t>01.025.0051</t>
  </si>
  <si>
    <t>01.025.0052</t>
  </si>
  <si>
    <t>01.025.0053</t>
  </si>
  <si>
    <t>01.025.0054</t>
  </si>
  <si>
    <t>01.025.0059</t>
  </si>
  <si>
    <t>01.025.0060</t>
  </si>
  <si>
    <t>01.025.0061</t>
  </si>
  <si>
    <t>01.025.0062</t>
  </si>
  <si>
    <t>01.025.0063</t>
  </si>
  <si>
    <t>01.025.0064</t>
  </si>
  <si>
    <t>01.025.0065</t>
  </si>
  <si>
    <t>01.025.0066</t>
  </si>
  <si>
    <t>01.025.0071</t>
  </si>
  <si>
    <t>01.025.0072</t>
  </si>
  <si>
    <t>01.025.0073</t>
  </si>
  <si>
    <t>01.025.0074</t>
  </si>
  <si>
    <t>01.025.0075</t>
  </si>
  <si>
    <t>01.025.0076</t>
  </si>
  <si>
    <t>01.025.0077</t>
  </si>
  <si>
    <t>01.025.0078</t>
  </si>
  <si>
    <t>01.025.0079</t>
  </si>
  <si>
    <t>01.025.0080</t>
  </si>
  <si>
    <t>01.025.0081</t>
  </si>
  <si>
    <t>01.028.0001</t>
  </si>
  <si>
    <t>01.028.0002</t>
  </si>
  <si>
    <t>01.028.0003</t>
  </si>
  <si>
    <t>01.028.0004</t>
  </si>
  <si>
    <t>01.028.0005</t>
  </si>
  <si>
    <t>01.028.0013</t>
  </si>
  <si>
    <t>01.028.0014</t>
  </si>
  <si>
    <t>01.028.0015</t>
  </si>
  <si>
    <t>01.029.0001</t>
  </si>
  <si>
    <t>01.029.0002</t>
  </si>
  <si>
    <t>01.029.0003</t>
  </si>
  <si>
    <t>01.030.0002</t>
  </si>
  <si>
    <t>01.030.0003</t>
  </si>
  <si>
    <t>01.030.0004</t>
  </si>
  <si>
    <t>01.031.0001</t>
  </si>
  <si>
    <t>01.033.0001</t>
  </si>
  <si>
    <t>01.033.0002</t>
  </si>
  <si>
    <t>01.033.0003</t>
  </si>
  <si>
    <t>01.033.0004</t>
  </si>
  <si>
    <t>01.033.0005</t>
  </si>
  <si>
    <t>01.033.0006</t>
  </si>
  <si>
    <t>01.033.0007</t>
  </si>
  <si>
    <t>01.033.0008</t>
  </si>
  <si>
    <t>01.033.0009</t>
  </si>
  <si>
    <t>01.033.0010</t>
  </si>
  <si>
    <t>01.033.0012</t>
  </si>
  <si>
    <t>01.033.0013</t>
  </si>
  <si>
    <t>01.033.0017</t>
  </si>
  <si>
    <t>01.033.0018</t>
  </si>
  <si>
    <t>01.033.0019</t>
  </si>
  <si>
    <t>01.033.0020</t>
  </si>
  <si>
    <t>01.033.0021</t>
  </si>
  <si>
    <t>01.033.0022</t>
  </si>
  <si>
    <t>01.033.0023</t>
  </si>
  <si>
    <t>01.033.0025</t>
  </si>
  <si>
    <t>01.040.0001</t>
  </si>
  <si>
    <t>01.040.0002</t>
  </si>
  <si>
    <t>01.040.0006</t>
  </si>
  <si>
    <t>01.040.0007</t>
  </si>
  <si>
    <t>01.040.0008</t>
  </si>
  <si>
    <t>01.040.0009</t>
  </si>
  <si>
    <t>01.042.0004</t>
  </si>
  <si>
    <t>01.042.0005</t>
  </si>
  <si>
    <t>01.042.0006</t>
  </si>
  <si>
    <t>01.044.0001</t>
  </si>
  <si>
    <t>02.001.0001</t>
  </si>
  <si>
    <t>02.001.0002</t>
  </si>
  <si>
    <t>02.001.0003</t>
  </si>
  <si>
    <t>02.001.0004</t>
  </si>
  <si>
    <t>02.001.0005</t>
  </si>
  <si>
    <t>02.001.0006</t>
  </si>
  <si>
    <t>02.001.0007</t>
  </si>
  <si>
    <t>02.001.0008</t>
  </si>
  <si>
    <t>02.001.0009</t>
  </si>
  <si>
    <t>02.001.0010</t>
  </si>
  <si>
    <t>02.001.0011</t>
  </si>
  <si>
    <t>02.001.0012</t>
  </si>
  <si>
    <t>02.001.0013</t>
  </si>
  <si>
    <t>02.001.0017</t>
  </si>
  <si>
    <t>02.001.0018</t>
  </si>
  <si>
    <t>02.001.0019</t>
  </si>
  <si>
    <t>02.001.0021</t>
  </si>
  <si>
    <t>02.001.0027</t>
  </si>
  <si>
    <t>02.001.0028</t>
  </si>
  <si>
    <t>02.001.0029</t>
  </si>
  <si>
    <t>02.001.0030</t>
  </si>
  <si>
    <t>02.001.0031</t>
  </si>
  <si>
    <t>02.001.0032</t>
  </si>
  <si>
    <t>02.001.0033</t>
  </si>
  <si>
    <t>02.001.0034</t>
  </si>
  <si>
    <t>02.001.0035</t>
  </si>
  <si>
    <t>02.001.0036</t>
  </si>
  <si>
    <t>02.001.0037</t>
  </si>
  <si>
    <t>02.001.0038</t>
  </si>
  <si>
    <t>02.001.0039</t>
  </si>
  <si>
    <t>02.001.0040</t>
  </si>
  <si>
    <t>02.001.0041</t>
  </si>
  <si>
    <t>03.001.0001</t>
  </si>
  <si>
    <t>03.001.0002</t>
  </si>
  <si>
    <t>03.001.0003</t>
  </si>
  <si>
    <t>03.001.0004</t>
  </si>
  <si>
    <t>03.001.0005</t>
  </si>
  <si>
    <t>03.001.0006</t>
  </si>
  <si>
    <t>03.001.0007</t>
  </si>
  <si>
    <t>03.001.0008</t>
  </si>
  <si>
    <t>03.001.0009</t>
  </si>
  <si>
    <t>03.001.0010</t>
  </si>
  <si>
    <t>03.001.0011</t>
  </si>
  <si>
    <t>03.001.0012</t>
  </si>
  <si>
    <t>03.001.0013</t>
  </si>
  <si>
    <t>03.001.0014</t>
  </si>
  <si>
    <t>03.001.0015</t>
  </si>
  <si>
    <t>03.001.0016</t>
  </si>
  <si>
    <t>03.001.0017</t>
  </si>
  <si>
    <t>03.001.0018</t>
  </si>
  <si>
    <t>03.001.0019</t>
  </si>
  <si>
    <t>03.001.0020</t>
  </si>
  <si>
    <t>03.001.0021</t>
  </si>
  <si>
    <t>03.001.0022</t>
  </si>
  <si>
    <t>03.001.0023</t>
  </si>
  <si>
    <t>03.001.0024</t>
  </si>
  <si>
    <t>03.001.0025</t>
  </si>
  <si>
    <t>03.001.0026</t>
  </si>
  <si>
    <t>03.001.0027</t>
  </si>
  <si>
    <t>03.001.0028</t>
  </si>
  <si>
    <t>03.001.0029</t>
  </si>
  <si>
    <t>03.002.0001</t>
  </si>
  <si>
    <t>03.002.0004</t>
  </si>
  <si>
    <t>03.002.0006</t>
  </si>
  <si>
    <t>03.002.0007</t>
  </si>
  <si>
    <t>03.002.0008</t>
  </si>
  <si>
    <t>03.002.0009</t>
  </si>
  <si>
    <t>03.002.0010</t>
  </si>
  <si>
    <t>03.002.0011</t>
  </si>
  <si>
    <t>03.002.0013</t>
  </si>
  <si>
    <t>03.002.0014</t>
  </si>
  <si>
    <t>03.002.0015</t>
  </si>
  <si>
    <t>03.002.0016</t>
  </si>
  <si>
    <t>03.002.0017</t>
  </si>
  <si>
    <t>03.002.0018</t>
  </si>
  <si>
    <t>03.002.0020</t>
  </si>
  <si>
    <t>03.002.0022</t>
  </si>
  <si>
    <t>03.002.0023</t>
  </si>
  <si>
    <t>03.002.0029</t>
  </si>
  <si>
    <t>03.002.0031</t>
  </si>
  <si>
    <t>03.002.0032</t>
  </si>
  <si>
    <t>03.002.0033</t>
  </si>
  <si>
    <t>03.002.0034</t>
  </si>
  <si>
    <t>03.002.0035</t>
  </si>
  <si>
    <t>03.002.0036</t>
  </si>
  <si>
    <t>03.002.0037</t>
  </si>
  <si>
    <t>03.002.0038</t>
  </si>
  <si>
    <t>03.002.0039</t>
  </si>
  <si>
    <t>03.002.0040</t>
  </si>
  <si>
    <t>03.002.0041</t>
  </si>
  <si>
    <t>03.002.0042</t>
  </si>
  <si>
    <t>03.002.0043</t>
  </si>
  <si>
    <t>03.002.0044</t>
  </si>
  <si>
    <t>03.002.0045</t>
  </si>
  <si>
    <t>03.002.0046</t>
  </si>
  <si>
    <t>03.002.0047</t>
  </si>
  <si>
    <t>03.002.0048</t>
  </si>
  <si>
    <t>03.002.0049</t>
  </si>
  <si>
    <t>03.002.0050</t>
  </si>
  <si>
    <t>03.002.0051</t>
  </si>
  <si>
    <t>03.002.0052</t>
  </si>
  <si>
    <t>03.002.0053</t>
  </si>
  <si>
    <t>03.002.0054</t>
  </si>
  <si>
    <t>03.002.0055</t>
  </si>
  <si>
    <t>03.002.0056</t>
  </si>
  <si>
    <t>03.002.0057</t>
  </si>
  <si>
    <t>03.002.0058</t>
  </si>
  <si>
    <t>03.002.0059</t>
  </si>
  <si>
    <t>03.002.0060</t>
  </si>
  <si>
    <t>03.002.0061</t>
  </si>
  <si>
    <t>03.002.0062</t>
  </si>
  <si>
    <t>03.002.0063</t>
  </si>
  <si>
    <t>03.002.0064</t>
  </si>
  <si>
    <t>03.002.0065</t>
  </si>
  <si>
    <t>03.002.0066</t>
  </si>
  <si>
    <t>03.002.0067</t>
  </si>
  <si>
    <t>03.002.0068</t>
  </si>
  <si>
    <t>03.002.0070</t>
  </si>
  <si>
    <t>03.002.0071</t>
  </si>
  <si>
    <t>03.002.0072</t>
  </si>
  <si>
    <t>03.002.0073</t>
  </si>
  <si>
    <t>03.002.0074</t>
  </si>
  <si>
    <t>03.002.0075</t>
  </si>
  <si>
    <t>03.002.0076</t>
  </si>
  <si>
    <t>03.002.0077</t>
  </si>
  <si>
    <t>03.002.0078</t>
  </si>
  <si>
    <t>03.002.0079</t>
  </si>
  <si>
    <t>03.002.0080</t>
  </si>
  <si>
    <t>03.003.0001</t>
  </si>
  <si>
    <t>03.004.0026</t>
  </si>
  <si>
    <t>03.004.0027</t>
  </si>
  <si>
    <t>03.004.0028</t>
  </si>
  <si>
    <t>03.004.0029</t>
  </si>
  <si>
    <t>03.004.0030</t>
  </si>
  <si>
    <t>03.004.0036</t>
  </si>
  <si>
    <t>03.004.0037</t>
  </si>
  <si>
    <t>03.004.0040</t>
  </si>
  <si>
    <t>03.004.0041</t>
  </si>
  <si>
    <t>03.004.0046</t>
  </si>
  <si>
    <t>03.004.0047</t>
  </si>
  <si>
    <t>03.004.0052</t>
  </si>
  <si>
    <t>03.004.0058</t>
  </si>
  <si>
    <t>03.004.0060</t>
  </si>
  <si>
    <t>03.004.0063</t>
  </si>
  <si>
    <t>03.004.0067</t>
  </si>
  <si>
    <t>03.004.0068</t>
  </si>
  <si>
    <t>03.004.0069</t>
  </si>
  <si>
    <t>03.004.0070</t>
  </si>
  <si>
    <t>03.004.0071</t>
  </si>
  <si>
    <t>03.004.0072</t>
  </si>
  <si>
    <t>03.004.0073</t>
  </si>
  <si>
    <t>03.004.0074</t>
  </si>
  <si>
    <t>03.004.0075</t>
  </si>
  <si>
    <t>03.004.0076</t>
  </si>
  <si>
    <t>03.004.0079</t>
  </si>
  <si>
    <t>03.004.0081</t>
  </si>
  <si>
    <t>03.004.0082</t>
  </si>
  <si>
    <t>03.005.0002</t>
  </si>
  <si>
    <t>03.005.0004</t>
  </si>
  <si>
    <t>03.005.0006</t>
  </si>
  <si>
    <t>03.005.0008</t>
  </si>
  <si>
    <t>03.005.0009</t>
  </si>
  <si>
    <t>03.005.0010</t>
  </si>
  <si>
    <t>03.005.0012</t>
  </si>
  <si>
    <t>03.005.0013</t>
  </si>
  <si>
    <t>03.005.0041</t>
  </si>
  <si>
    <t>03.005.0042</t>
  </si>
  <si>
    <t>03.005.0043</t>
  </si>
  <si>
    <t>03.005.0044</t>
  </si>
  <si>
    <t>03.005.0045</t>
  </si>
  <si>
    <t>03.005.0046</t>
  </si>
  <si>
    <t>03.005.0047</t>
  </si>
  <si>
    <t>03.005.0048</t>
  </si>
  <si>
    <t>03.005.0049</t>
  </si>
  <si>
    <t>03.005.0050</t>
  </si>
  <si>
    <t>03.005.0051</t>
  </si>
  <si>
    <t>03.005.0052</t>
  </si>
  <si>
    <t>03.006.0001</t>
  </si>
  <si>
    <t>03.006.0002</t>
  </si>
  <si>
    <t>03.006.0003</t>
  </si>
  <si>
    <t>03.006.0004</t>
  </si>
  <si>
    <t>03.006.0005</t>
  </si>
  <si>
    <t>03.006.0006</t>
  </si>
  <si>
    <t>03.006.0007</t>
  </si>
  <si>
    <t>03.006.0008</t>
  </si>
  <si>
    <t>03.006.0009</t>
  </si>
  <si>
    <t>03.006.0010</t>
  </si>
  <si>
    <t>03.006.0011</t>
  </si>
  <si>
    <t>03.006.0012</t>
  </si>
  <si>
    <t>03.006.0013</t>
  </si>
  <si>
    <t>03.006.0014</t>
  </si>
  <si>
    <t>03.006.0015</t>
  </si>
  <si>
    <t>03.006.0016</t>
  </si>
  <si>
    <t>03.006.0017</t>
  </si>
  <si>
    <t>03.006.0018</t>
  </si>
  <si>
    <t>03.007.0001</t>
  </si>
  <si>
    <t>03.007.0002</t>
  </si>
  <si>
    <t>03.007.0003</t>
  </si>
  <si>
    <t>03.007.0004</t>
  </si>
  <si>
    <t>03.007.0005</t>
  </si>
  <si>
    <t>03.007.0006</t>
  </si>
  <si>
    <t>03.007.0007</t>
  </si>
  <si>
    <t>03.007.0008</t>
  </si>
  <si>
    <t>03.007.0009</t>
  </si>
  <si>
    <t>03.007.0010</t>
  </si>
  <si>
    <t>03.007.0011</t>
  </si>
  <si>
    <t>03.007.0012</t>
  </si>
  <si>
    <t>03.007.0013</t>
  </si>
  <si>
    <t>03.007.0014</t>
  </si>
  <si>
    <t>03.007.0015</t>
  </si>
  <si>
    <t>03.007.0016</t>
  </si>
  <si>
    <t>03.009.0001</t>
  </si>
  <si>
    <t>03.009.0002</t>
  </si>
  <si>
    <t>03.009.0003</t>
  </si>
  <si>
    <t>03.009.0004</t>
  </si>
  <si>
    <t>03.009.0005</t>
  </si>
  <si>
    <t>03.009.0006</t>
  </si>
  <si>
    <t>03.009.0007</t>
  </si>
  <si>
    <t>03.009.0009</t>
  </si>
  <si>
    <t>03.009.0010</t>
  </si>
  <si>
    <t>03.011.0001</t>
  </si>
  <si>
    <t>03.011.0006</t>
  </si>
  <si>
    <t>03.011.0007</t>
  </si>
  <si>
    <t>03.011.0008</t>
  </si>
  <si>
    <t>03.011.0009</t>
  </si>
  <si>
    <t>03.011.0010</t>
  </si>
  <si>
    <t>03.011.0011</t>
  </si>
  <si>
    <t>03.011.0012</t>
  </si>
  <si>
    <t>03.011.0013</t>
  </si>
  <si>
    <t>03.011.0014</t>
  </si>
  <si>
    <t>03.011.0015</t>
  </si>
  <si>
    <t>03.011.0016</t>
  </si>
  <si>
    <t>03.012.0001</t>
  </si>
  <si>
    <t>03.012.0002</t>
  </si>
  <si>
    <t>03.012.0003</t>
  </si>
  <si>
    <t>03.012.0004</t>
  </si>
  <si>
    <t>03.012.0005</t>
  </si>
  <si>
    <t>03.012.0007</t>
  </si>
  <si>
    <t>03.012.0008</t>
  </si>
  <si>
    <t>03.012.0009</t>
  </si>
  <si>
    <t>03.012.0011</t>
  </si>
  <si>
    <t>03.012.0012</t>
  </si>
  <si>
    <t>03.012.0013</t>
  </si>
  <si>
    <t>03.012.0015</t>
  </si>
  <si>
    <t>03.012.0016</t>
  </si>
  <si>
    <t>03.012.0017</t>
  </si>
  <si>
    <t>03.012.0018</t>
  </si>
  <si>
    <t>03.012.0020</t>
  </si>
  <si>
    <t>03.013.0001</t>
  </si>
  <si>
    <t>03.013.0002</t>
  </si>
  <si>
    <t>03.013.0003</t>
  </si>
  <si>
    <t>03.013.0004</t>
  </si>
  <si>
    <t>03.013.0005</t>
  </si>
  <si>
    <t>03.013.0006</t>
  </si>
  <si>
    <t>03.013.0007</t>
  </si>
  <si>
    <t>03.013.0008</t>
  </si>
  <si>
    <t>03.013.0009</t>
  </si>
  <si>
    <t>03.013.0010</t>
  </si>
  <si>
    <t>03.013.0011</t>
  </si>
  <si>
    <t>03.013.0012</t>
  </si>
  <si>
    <t>03.013.0013</t>
  </si>
  <si>
    <t>03.013.0014</t>
  </si>
  <si>
    <t>03.013.0015</t>
  </si>
  <si>
    <t>03.013.0016</t>
  </si>
  <si>
    <t>03.013.0017</t>
  </si>
  <si>
    <t>03.013.0018</t>
  </si>
  <si>
    <t>03.013.0019</t>
  </si>
  <si>
    <t>03.013.0020</t>
  </si>
  <si>
    <t>03.013.0021</t>
  </si>
  <si>
    <t>03.013.0022</t>
  </si>
  <si>
    <t>03.013.0023</t>
  </si>
  <si>
    <t>03.013.0024</t>
  </si>
  <si>
    <t>03.013.0025</t>
  </si>
  <si>
    <t>03.013.0026</t>
  </si>
  <si>
    <t>03.013.0027</t>
  </si>
  <si>
    <t>03.013.0028</t>
  </si>
  <si>
    <t>03.013.0029</t>
  </si>
  <si>
    <t>03.013.0030</t>
  </si>
  <si>
    <t>03.014.0001</t>
  </si>
  <si>
    <t>03.014.0002</t>
  </si>
  <si>
    <t>03.014.0003</t>
  </si>
  <si>
    <t>03.014.0004</t>
  </si>
  <si>
    <t>03.014.0005</t>
  </si>
  <si>
    <t>03.014.0006</t>
  </si>
  <si>
    <t>03.014.0007</t>
  </si>
  <si>
    <t>03.014.0008</t>
  </si>
  <si>
    <t>03.014.0014</t>
  </si>
  <si>
    <t>03.016.0001</t>
  </si>
  <si>
    <t>03.016.0002</t>
  </si>
  <si>
    <t>03.017.0001</t>
  </si>
  <si>
    <t>03.017.0002</t>
  </si>
  <si>
    <t>03.017.0003</t>
  </si>
  <si>
    <t>03.017.0004</t>
  </si>
  <si>
    <t>03.017.0005</t>
  </si>
  <si>
    <t>03.017.0006</t>
  </si>
  <si>
    <t>03.017.0007</t>
  </si>
  <si>
    <t>03.017.0008</t>
  </si>
  <si>
    <t>03.017.0009</t>
  </si>
  <si>
    <t>03.017.0010</t>
  </si>
  <si>
    <t>03.017.0011</t>
  </si>
  <si>
    <t>03.017.0012</t>
  </si>
  <si>
    <t>03.017.0013</t>
  </si>
  <si>
    <t>03.017.0014</t>
  </si>
  <si>
    <t>03.017.0015</t>
  </si>
  <si>
    <t>03.017.0016</t>
  </si>
  <si>
    <t>03.017.0017</t>
  </si>
  <si>
    <t>03.017.0018</t>
  </si>
  <si>
    <t>03.017.0019</t>
  </si>
  <si>
    <t>03.017.0020</t>
  </si>
  <si>
    <t>03.017.0021</t>
  </si>
  <si>
    <t>03.017.0022</t>
  </si>
  <si>
    <t>03.017.0023</t>
  </si>
  <si>
    <t>03.017.0024</t>
  </si>
  <si>
    <t>03.017.0025</t>
  </si>
  <si>
    <t>03.018.0001</t>
  </si>
  <si>
    <t>03.018.0002</t>
  </si>
  <si>
    <t>03.018.0003</t>
  </si>
  <si>
    <t>03.018.0004</t>
  </si>
  <si>
    <t>03.018.0005</t>
  </si>
  <si>
    <t>03.018.0006</t>
  </si>
  <si>
    <t>03.018.0007</t>
  </si>
  <si>
    <t>03.018.0008</t>
  </si>
  <si>
    <t>03.018.0009</t>
  </si>
  <si>
    <t>03.018.0010</t>
  </si>
  <si>
    <t>03.018.0011</t>
  </si>
  <si>
    <t>03.018.0012</t>
  </si>
  <si>
    <t>03.018.0013</t>
  </si>
  <si>
    <t>03.018.0014</t>
  </si>
  <si>
    <t>03.018.0015</t>
  </si>
  <si>
    <t>03.018.0016</t>
  </si>
  <si>
    <t>03.018.0017</t>
  </si>
  <si>
    <t>03.018.0018</t>
  </si>
  <si>
    <t>03.018.0019</t>
  </si>
  <si>
    <t>03.018.0020</t>
  </si>
  <si>
    <t>03.018.0021</t>
  </si>
  <si>
    <t>03.018.0022</t>
  </si>
  <si>
    <t>03.019.0001</t>
  </si>
  <si>
    <t>03.019.0002</t>
  </si>
  <si>
    <t>03.019.0003</t>
  </si>
  <si>
    <t>03.019.0004</t>
  </si>
  <si>
    <t>03.019.0005</t>
  </si>
  <si>
    <t>03.019.0006</t>
  </si>
  <si>
    <t>03.019.0008</t>
  </si>
  <si>
    <t>03.019.0009</t>
  </si>
  <si>
    <t>03.019.0010</t>
  </si>
  <si>
    <t>03.019.0012</t>
  </si>
  <si>
    <t>03.019.0014</t>
  </si>
  <si>
    <t>03.019.0015</t>
  </si>
  <si>
    <t>03.019.0017</t>
  </si>
  <si>
    <t>04.001.0001</t>
  </si>
  <si>
    <t>04.001.0003</t>
  </si>
  <si>
    <t>04.001.0004</t>
  </si>
  <si>
    <t>04.001.0005</t>
  </si>
  <si>
    <t>04.001.0006</t>
  </si>
  <si>
    <t>04.001.0007</t>
  </si>
  <si>
    <t>04.001.0008</t>
  </si>
  <si>
    <t>04.001.0009</t>
  </si>
  <si>
    <t>04.001.0010</t>
  </si>
  <si>
    <t>04.001.0011</t>
  </si>
  <si>
    <t>04.001.0014</t>
  </si>
  <si>
    <t>04.001.0015</t>
  </si>
  <si>
    <t>04.001.0016</t>
  </si>
  <si>
    <t>04.001.0019</t>
  </si>
  <si>
    <t>04.001.0020</t>
  </si>
  <si>
    <t>04.001.0021</t>
  </si>
  <si>
    <t>04.001.0022</t>
  </si>
  <si>
    <t>04.001.0023</t>
  </si>
  <si>
    <t>04.001.0024</t>
  </si>
  <si>
    <t>04.001.0025</t>
  </si>
  <si>
    <t>04.003.0001</t>
  </si>
  <si>
    <t>04.003.0002</t>
  </si>
  <si>
    <t>04.003.0003</t>
  </si>
  <si>
    <t>04.003.0004</t>
  </si>
  <si>
    <t>04.003.0005</t>
  </si>
  <si>
    <t>04.003.0006</t>
  </si>
  <si>
    <t>04.003.0007</t>
  </si>
  <si>
    <t>04.003.0008</t>
  </si>
  <si>
    <t>04.003.0009</t>
  </si>
  <si>
    <t>04.003.0010</t>
  </si>
  <si>
    <t>04.003.0011</t>
  </si>
  <si>
    <t>04.003.0012</t>
  </si>
  <si>
    <t>04.003.0013</t>
  </si>
  <si>
    <t>04.003.0014</t>
  </si>
  <si>
    <t>04.003.0015</t>
  </si>
  <si>
    <t>04.003.0016</t>
  </si>
  <si>
    <t>04.003.0017</t>
  </si>
  <si>
    <t>04.003.0018</t>
  </si>
  <si>
    <t>04.003.0019</t>
  </si>
  <si>
    <t>04.003.0020</t>
  </si>
  <si>
    <t>04.003.0021</t>
  </si>
  <si>
    <t>04.003.0022</t>
  </si>
  <si>
    <t>04.003.0023</t>
  </si>
  <si>
    <t>04.003.0024</t>
  </si>
  <si>
    <t>04.003.0025</t>
  </si>
  <si>
    <t>04.003.0026</t>
  </si>
  <si>
    <t>04.003.0027</t>
  </si>
  <si>
    <t>04.003.0028</t>
  </si>
  <si>
    <t>04.003.0029</t>
  </si>
  <si>
    <t>04.003.0031</t>
  </si>
  <si>
    <t>04.003.0032</t>
  </si>
  <si>
    <t>04.003.0033</t>
  </si>
  <si>
    <t>04.003.0034</t>
  </si>
  <si>
    <t>04.003.0035</t>
  </si>
  <si>
    <t>04.003.0036</t>
  </si>
  <si>
    <t>04.003.0037</t>
  </si>
  <si>
    <t>04.003.0038</t>
  </si>
  <si>
    <t>04.003.0039</t>
  </si>
  <si>
    <t>04.003.0040</t>
  </si>
  <si>
    <t>04.003.0041</t>
  </si>
  <si>
    <t>04.003.0042</t>
  </si>
  <si>
    <t>04.003.0043</t>
  </si>
  <si>
    <t>04.003.0044</t>
  </si>
  <si>
    <t>04.003.0045</t>
  </si>
  <si>
    <t>04.003.0048</t>
  </si>
  <si>
    <t>04.003.0049</t>
  </si>
  <si>
    <t>04.003.0050</t>
  </si>
  <si>
    <t>04.003.0051</t>
  </si>
  <si>
    <t>04.003.0054</t>
  </si>
  <si>
    <t>04.003.0055</t>
  </si>
  <si>
    <t>04.003.0056</t>
  </si>
  <si>
    <t>04.003.0057</t>
  </si>
  <si>
    <t>04.003.0058</t>
  </si>
  <si>
    <t>04.003.0059</t>
  </si>
  <si>
    <t>04.003.0060</t>
  </si>
  <si>
    <t>04.003.0061</t>
  </si>
  <si>
    <t>04.003.0062</t>
  </si>
  <si>
    <t>04.003.0063</t>
  </si>
  <si>
    <t>04.003.0064</t>
  </si>
  <si>
    <t>04.003.0065</t>
  </si>
  <si>
    <t>04.003.0066</t>
  </si>
  <si>
    <t>04.003.0067</t>
  </si>
  <si>
    <t>04.003.0068</t>
  </si>
  <si>
    <t>04.003.0069</t>
  </si>
  <si>
    <t>04.003.0070</t>
  </si>
  <si>
    <t>04.003.0071</t>
  </si>
  <si>
    <t>04.003.0072</t>
  </si>
  <si>
    <t>04.003.0073</t>
  </si>
  <si>
    <t>04.003.0074</t>
  </si>
  <si>
    <t>04.003.0075</t>
  </si>
  <si>
    <t>04.003.0076</t>
  </si>
  <si>
    <t>04.003.0078</t>
  </si>
  <si>
    <t>04.003.0079</t>
  </si>
  <si>
    <t>04.003.0080</t>
  </si>
  <si>
    <t>04.003.0081</t>
  </si>
  <si>
    <t>04.003.0082</t>
  </si>
  <si>
    <t>04.003.0083</t>
  </si>
  <si>
    <t>04.003.0084</t>
  </si>
  <si>
    <t>04.003.0085</t>
  </si>
  <si>
    <t>04.003.0086</t>
  </si>
  <si>
    <t>04.003.0087</t>
  </si>
  <si>
    <t>04.003.0088</t>
  </si>
  <si>
    <t>04.003.0089</t>
  </si>
  <si>
    <t>04.003.0090</t>
  </si>
  <si>
    <t>04.003.0091</t>
  </si>
  <si>
    <t>04.004.0003</t>
  </si>
  <si>
    <t>04.005.0001</t>
  </si>
  <si>
    <t>04.005.0002</t>
  </si>
  <si>
    <t>04.005.0003</t>
  </si>
  <si>
    <t>04.005.0004</t>
  </si>
  <si>
    <t>04.005.0005</t>
  </si>
  <si>
    <t>04.005.0006</t>
  </si>
  <si>
    <t>04.005.0007</t>
  </si>
  <si>
    <t>04.005.0008</t>
  </si>
  <si>
    <t>04.005.0009</t>
  </si>
  <si>
    <t>04.005.0010</t>
  </si>
  <si>
    <t>04.005.0011</t>
  </si>
  <si>
    <t>04.005.0012</t>
  </si>
  <si>
    <t>04.005.0013</t>
  </si>
  <si>
    <t>04.005.0014</t>
  </si>
  <si>
    <t>04.005.0015</t>
  </si>
  <si>
    <t>04.005.0017</t>
  </si>
  <si>
    <t>04.005.0018</t>
  </si>
  <si>
    <t>04.005.0019</t>
  </si>
  <si>
    <t>04.005.0020</t>
  </si>
  <si>
    <t>04.005.0021</t>
  </si>
  <si>
    <t>04.005.0022</t>
  </si>
  <si>
    <t>04.005.0023</t>
  </si>
  <si>
    <t>04.005.0025</t>
  </si>
  <si>
    <t>04.005.0026</t>
  </si>
  <si>
    <t>04.005.0027</t>
  </si>
  <si>
    <t>04.005.0028</t>
  </si>
  <si>
    <t>04.005.0029</t>
  </si>
  <si>
    <t>04.005.0030</t>
  </si>
  <si>
    <t>04.005.0031</t>
  </si>
  <si>
    <t>04.005.0032</t>
  </si>
  <si>
    <t>04.005.0033</t>
  </si>
  <si>
    <t>04.005.0034</t>
  </si>
  <si>
    <t>04.005.0035</t>
  </si>
  <si>
    <t>04.005.0036</t>
  </si>
  <si>
    <t>04.005.0037</t>
  </si>
  <si>
    <t>04.005.0038</t>
  </si>
  <si>
    <t>04.005.0039</t>
  </si>
  <si>
    <t>04.005.0040</t>
  </si>
  <si>
    <t>04.005.0041</t>
  </si>
  <si>
    <t>04.005.0042</t>
  </si>
  <si>
    <t>04.005.0044</t>
  </si>
  <si>
    <t>04.005.0045</t>
  </si>
  <si>
    <t>04.005.0046</t>
  </si>
  <si>
    <t>04.005.0047</t>
  </si>
  <si>
    <t>04.005.0048</t>
  </si>
  <si>
    <t>04.005.0049</t>
  </si>
  <si>
    <t>04.005.0050</t>
  </si>
  <si>
    <t>04.005.0051</t>
  </si>
  <si>
    <t>04.005.0052</t>
  </si>
  <si>
    <t>04.005.0053</t>
  </si>
  <si>
    <t>04.005.0054</t>
  </si>
  <si>
    <t>04.005.0055</t>
  </si>
  <si>
    <t>04.005.0056</t>
  </si>
  <si>
    <t>04.005.0058</t>
  </si>
  <si>
    <t>04.005.0059</t>
  </si>
  <si>
    <t>04.005.0061</t>
  </si>
  <si>
    <t>04.005.0063</t>
  </si>
  <si>
    <t>04.005.0069</t>
  </si>
  <si>
    <t>04.005.0070</t>
  </si>
  <si>
    <t>04.005.0071</t>
  </si>
  <si>
    <t>04.005.0072</t>
  </si>
  <si>
    <t>04.005.0075</t>
  </si>
  <si>
    <t>04.005.0080</t>
  </si>
  <si>
    <t>04.005.0081</t>
  </si>
  <si>
    <t>04.005.0082</t>
  </si>
  <si>
    <t>04.005.0083</t>
  </si>
  <si>
    <t>04.005.0084</t>
  </si>
  <si>
    <t>04.005.0085</t>
  </si>
  <si>
    <t>04.005.0086</t>
  </si>
  <si>
    <t>04.005.0087</t>
  </si>
  <si>
    <t>04.005.0088</t>
  </si>
  <si>
    <t>04.005.0089</t>
  </si>
  <si>
    <t>04.005.0090</t>
  </si>
  <si>
    <t>04.005.0091</t>
  </si>
  <si>
    <t>04.005.0092</t>
  </si>
  <si>
    <t>04.005.0093</t>
  </si>
  <si>
    <t>04.005.0094</t>
  </si>
  <si>
    <t>04.005.0095</t>
  </si>
  <si>
    <t>04.005.0096</t>
  </si>
  <si>
    <t>04.005.0097</t>
  </si>
  <si>
    <t>04.005.0098</t>
  </si>
  <si>
    <t>04.005.0099</t>
  </si>
  <si>
    <t>04.005.0100</t>
  </si>
  <si>
    <t>04.005.0101</t>
  </si>
  <si>
    <t>04.005.0102</t>
  </si>
  <si>
    <t>04.005.0103</t>
  </si>
  <si>
    <t>04.005.0104</t>
  </si>
  <si>
    <t>04.005.0105</t>
  </si>
  <si>
    <t>04.005.0106</t>
  </si>
  <si>
    <t>04.005.0107</t>
  </si>
  <si>
    <t>04.005.0108</t>
  </si>
  <si>
    <t>04.005.0109</t>
  </si>
  <si>
    <t>04.005.0110</t>
  </si>
  <si>
    <t>04.005.0111</t>
  </si>
  <si>
    <t>04.005.0112</t>
  </si>
  <si>
    <t>04.005.0113</t>
  </si>
  <si>
    <t>04.005.0114</t>
  </si>
  <si>
    <t>04.005.0115</t>
  </si>
  <si>
    <t>04.005.0116</t>
  </si>
  <si>
    <t>04.005.0117</t>
  </si>
  <si>
    <t>04.005.0118</t>
  </si>
  <si>
    <t>04.005.0119</t>
  </si>
  <si>
    <t>04.005.0120</t>
  </si>
  <si>
    <t>04.005.0121</t>
  </si>
  <si>
    <t>04.005.0122</t>
  </si>
  <si>
    <t>04.005.0123</t>
  </si>
  <si>
    <t>04.005.0125</t>
  </si>
  <si>
    <t>04.005.0126</t>
  </si>
  <si>
    <t>04.005.0127</t>
  </si>
  <si>
    <t>04.005.0128</t>
  </si>
  <si>
    <t>04.005.0129</t>
  </si>
  <si>
    <t>04.005.0130</t>
  </si>
  <si>
    <t>04.005.0131</t>
  </si>
  <si>
    <t>04.005.0132</t>
  </si>
  <si>
    <t>04.005.0133</t>
  </si>
  <si>
    <t>04.005.0134</t>
  </si>
  <si>
    <t>04.005.0135</t>
  </si>
  <si>
    <t>04.005.0136</t>
  </si>
  <si>
    <t>04.005.0137</t>
  </si>
  <si>
    <t>04.005.0138</t>
  </si>
  <si>
    <t>04.005.0139</t>
  </si>
  <si>
    <t>04.005.0140</t>
  </si>
  <si>
    <t>04.005.0141</t>
  </si>
  <si>
    <t>04.005.0142</t>
  </si>
  <si>
    <t>04.006.0001</t>
  </si>
  <si>
    <t>04.006.0002</t>
  </si>
  <si>
    <t>04.006.0003</t>
  </si>
  <si>
    <t>04.006.0006</t>
  </si>
  <si>
    <t>04.006.0007</t>
  </si>
  <si>
    <t>04.006.0008</t>
  </si>
  <si>
    <t>04.006.0009</t>
  </si>
  <si>
    <t>04.006.0010</t>
  </si>
  <si>
    <t>04.006.0011</t>
  </si>
  <si>
    <t>04.006.0012</t>
  </si>
  <si>
    <t>04.006.0013</t>
  </si>
  <si>
    <t>04.006.0014</t>
  </si>
  <si>
    <t>04.006.0015</t>
  </si>
  <si>
    <t>04.006.0016</t>
  </si>
  <si>
    <t>04.006.0017</t>
  </si>
  <si>
    <t>04.006.0018</t>
  </si>
  <si>
    <t>04.006.0019</t>
  </si>
  <si>
    <t>04.007.0001</t>
  </si>
  <si>
    <t>04.007.0002</t>
  </si>
  <si>
    <t>04.007.0003</t>
  </si>
  <si>
    <t>04.007.0005</t>
  </si>
  <si>
    <t>04.007.0006</t>
  </si>
  <si>
    <t>04.007.0007</t>
  </si>
  <si>
    <t>04.007.0008</t>
  </si>
  <si>
    <t>04.007.0009</t>
  </si>
  <si>
    <t>04.007.0010</t>
  </si>
  <si>
    <t>04.007.0011</t>
  </si>
  <si>
    <t>04.007.0012</t>
  </si>
  <si>
    <t>04.007.0013</t>
  </si>
  <si>
    <t>04.007.0014</t>
  </si>
  <si>
    <t>04.007.0015</t>
  </si>
  <si>
    <t>04.007.0016</t>
  </si>
  <si>
    <t>04.007.0017</t>
  </si>
  <si>
    <t>04.007.0018</t>
  </si>
  <si>
    <t>04.007.0019</t>
  </si>
  <si>
    <t>04.007.0020</t>
  </si>
  <si>
    <t>04.007.0021</t>
  </si>
  <si>
    <t>04.007.0022</t>
  </si>
  <si>
    <t>04.007.0023</t>
  </si>
  <si>
    <t>04.007.0024</t>
  </si>
  <si>
    <t>04.007.0025</t>
  </si>
  <si>
    <t>04.008.0001</t>
  </si>
  <si>
    <t>04.008.0002</t>
  </si>
  <si>
    <t>04.008.0003</t>
  </si>
  <si>
    <t>04.008.0004</t>
  </si>
  <si>
    <t>04.008.0005</t>
  </si>
  <si>
    <t>04.008.0006</t>
  </si>
  <si>
    <t>04.008.0007</t>
  </si>
  <si>
    <t>04.008.0008</t>
  </si>
  <si>
    <t>04.008.0009</t>
  </si>
  <si>
    <t>04.008.0010</t>
  </si>
  <si>
    <t>04.008.0011</t>
  </si>
  <si>
    <t>04.008.0012</t>
  </si>
  <si>
    <t>04.008.0013</t>
  </si>
  <si>
    <t>04.008.0014</t>
  </si>
  <si>
    <t>04.008.0015</t>
  </si>
  <si>
    <t>04.008.0016</t>
  </si>
  <si>
    <t>04.008.0017</t>
  </si>
  <si>
    <t>04.008.0018</t>
  </si>
  <si>
    <t>04.008.0019</t>
  </si>
  <si>
    <t>04.008.0020</t>
  </si>
  <si>
    <t>04.008.0021</t>
  </si>
  <si>
    <t>04.008.0022</t>
  </si>
  <si>
    <t>04.008.0023</t>
  </si>
  <si>
    <t>04.008.0024</t>
  </si>
  <si>
    <t>04.008.0025</t>
  </si>
  <si>
    <t>04.008.0026</t>
  </si>
  <si>
    <t>04.008.0027</t>
  </si>
  <si>
    <t>04.008.0028</t>
  </si>
  <si>
    <t>04.008.0029</t>
  </si>
  <si>
    <t>04.008.0030</t>
  </si>
  <si>
    <t>04.008.0031</t>
  </si>
  <si>
    <t>04.008.0032</t>
  </si>
  <si>
    <t>04.008.0033</t>
  </si>
  <si>
    <t>04.008.0034</t>
  </si>
  <si>
    <t>04.008.0035</t>
  </si>
  <si>
    <t>04.008.0036</t>
  </si>
  <si>
    <t>04.008.0037</t>
  </si>
  <si>
    <t>04.008.0038</t>
  </si>
  <si>
    <t>04.008.0039</t>
  </si>
  <si>
    <t>04.008.0040</t>
  </si>
  <si>
    <t>04.008.0041</t>
  </si>
  <si>
    <t>04.008.0042</t>
  </si>
  <si>
    <t>04.008.0043</t>
  </si>
  <si>
    <t>04.008.0044</t>
  </si>
  <si>
    <t>04.008.0045</t>
  </si>
  <si>
    <t>04.008.0046</t>
  </si>
  <si>
    <t>04.008.0047</t>
  </si>
  <si>
    <t>04.008.0048</t>
  </si>
  <si>
    <t>04.008.0049</t>
  </si>
  <si>
    <t>04.008.0050</t>
  </si>
  <si>
    <t>04.008.0051</t>
  </si>
  <si>
    <t>04.008.0052</t>
  </si>
  <si>
    <t>04.008.0053</t>
  </si>
  <si>
    <t>04.008.0054</t>
  </si>
  <si>
    <t>04.008.0055</t>
  </si>
  <si>
    <t>04.008.0056</t>
  </si>
  <si>
    <t>04.008.0057</t>
  </si>
  <si>
    <t>04.008.0058</t>
  </si>
  <si>
    <t>04.008.0059</t>
  </si>
  <si>
    <t>04.008.0060</t>
  </si>
  <si>
    <t>04.008.0061</t>
  </si>
  <si>
    <t>04.008.0062</t>
  </si>
  <si>
    <t>04.008.0063</t>
  </si>
  <si>
    <t>04.008.0064</t>
  </si>
  <si>
    <t>04.008.0065</t>
  </si>
  <si>
    <t>04.008.0066</t>
  </si>
  <si>
    <t>04.009.0001</t>
  </si>
  <si>
    <t>04.009.0002</t>
  </si>
  <si>
    <t>04.009.0003</t>
  </si>
  <si>
    <t>04.009.0004</t>
  </si>
  <si>
    <t>04.009.0005</t>
  </si>
  <si>
    <t>04.009.0006</t>
  </si>
  <si>
    <t>04.009.0007</t>
  </si>
  <si>
    <t>04.009.0008</t>
  </si>
  <si>
    <t>04.009.0009</t>
  </si>
  <si>
    <t>04.009.0010</t>
  </si>
  <si>
    <t>04.009.0011</t>
  </si>
  <si>
    <t>04.009.0012</t>
  </si>
  <si>
    <t>04.009.0013</t>
  </si>
  <si>
    <t>04.009.0014</t>
  </si>
  <si>
    <t>04.009.0015</t>
  </si>
  <si>
    <t>04.010.0001</t>
  </si>
  <si>
    <t>04.010.0002</t>
  </si>
  <si>
    <t>04.010.0003</t>
  </si>
  <si>
    <t>04.010.0004</t>
  </si>
  <si>
    <t>04.010.0005</t>
  </si>
  <si>
    <t>04.010.0007</t>
  </si>
  <si>
    <t>04.010.0009</t>
  </si>
  <si>
    <t>04.010.0010</t>
  </si>
  <si>
    <t>05.001.0003</t>
  </si>
  <si>
    <t>05.001.0004</t>
  </si>
  <si>
    <t>05.001.0009</t>
  </si>
  <si>
    <t>05.001.0015</t>
  </si>
  <si>
    <t>05.001.0016</t>
  </si>
  <si>
    <t>05.003.0006</t>
  </si>
  <si>
    <t>05.003.0008</t>
  </si>
  <si>
    <t>05.004.0003</t>
  </si>
  <si>
    <t>05.006.0007</t>
  </si>
  <si>
    <t>05.015.0002</t>
  </si>
  <si>
    <t>05.016.0013</t>
  </si>
  <si>
    <t>05.018.0001</t>
  </si>
  <si>
    <t>05.019.0001</t>
  </si>
  <si>
    <t>05.019.0002</t>
  </si>
  <si>
    <t>05.024.0001</t>
  </si>
  <si>
    <t>05.024.0002</t>
  </si>
  <si>
    <t>06.002.0003</t>
  </si>
  <si>
    <t>06.002.0005</t>
  </si>
  <si>
    <t>06.002.0007</t>
  </si>
  <si>
    <t>06.002.0010</t>
  </si>
  <si>
    <t>06.002.0011</t>
  </si>
  <si>
    <t>06.002.0012</t>
  </si>
  <si>
    <t>06.002.0013</t>
  </si>
  <si>
    <t>06.002.0014</t>
  </si>
  <si>
    <t>06.003.0001</t>
  </si>
  <si>
    <t>06.003.0002</t>
  </si>
  <si>
    <t>06.004.0003</t>
  </si>
  <si>
    <t>06.004.0004</t>
  </si>
  <si>
    <t>06.004.0005</t>
  </si>
  <si>
    <t>06.004.0006</t>
  </si>
  <si>
    <t>06.004.0007</t>
  </si>
  <si>
    <t>06.004.0008</t>
  </si>
  <si>
    <t>06.004.0009</t>
  </si>
  <si>
    <t>06.004.0010</t>
  </si>
  <si>
    <t>06.004.0011</t>
  </si>
  <si>
    <t>06.004.0012</t>
  </si>
  <si>
    <t>06.004.0013</t>
  </si>
  <si>
    <t>06.004.0014</t>
  </si>
  <si>
    <t>06.004.0015</t>
  </si>
  <si>
    <t>06.004.0016</t>
  </si>
  <si>
    <t>06.004.0017</t>
  </si>
  <si>
    <t>06.004.0019</t>
  </si>
  <si>
    <t>06.004.0020</t>
  </si>
  <si>
    <t>06.004.0022</t>
  </si>
  <si>
    <t>06.004.0025</t>
  </si>
  <si>
    <t>06.004.0031</t>
  </si>
  <si>
    <t>06.004.0034</t>
  </si>
  <si>
    <t>06.004.0036</t>
  </si>
  <si>
    <t>06.006.0001</t>
  </si>
  <si>
    <t>06.006.0002</t>
  </si>
  <si>
    <t>06.006.0003</t>
  </si>
  <si>
    <t>06.006.0004</t>
  </si>
  <si>
    <t>06.006.0005</t>
  </si>
  <si>
    <t>06.006.0006</t>
  </si>
  <si>
    <t>06.006.0009</t>
  </si>
  <si>
    <t>06.006.0010</t>
  </si>
  <si>
    <t>06.006.0011</t>
  </si>
  <si>
    <t>06.006.0014</t>
  </si>
  <si>
    <t>06.006.0015</t>
  </si>
  <si>
    <t>06.006.0016</t>
  </si>
  <si>
    <t>06.006.0017</t>
  </si>
  <si>
    <t>06.006.0018</t>
  </si>
  <si>
    <t>06.007.0001</t>
  </si>
  <si>
    <t>06.007.0002</t>
  </si>
  <si>
    <t>06.007.0003</t>
  </si>
  <si>
    <t>06.008.0008</t>
  </si>
  <si>
    <t>06.008.0012</t>
  </si>
  <si>
    <t>06.008.0013</t>
  </si>
  <si>
    <t>06.008.0014</t>
  </si>
  <si>
    <t>06.008.0015</t>
  </si>
  <si>
    <t>06.008.0016</t>
  </si>
  <si>
    <t>06.008.0017</t>
  </si>
  <si>
    <t>06.008.0018</t>
  </si>
  <si>
    <t>06.008.0021</t>
  </si>
  <si>
    <t>06.008.0024</t>
  </si>
  <si>
    <t>06.008.0028</t>
  </si>
  <si>
    <t>06.008.0029</t>
  </si>
  <si>
    <t>06.009.0001</t>
  </si>
  <si>
    <t>06.009.0002</t>
  </si>
  <si>
    <t>06.009.0005</t>
  </si>
  <si>
    <t>06.009.0006</t>
  </si>
  <si>
    <t>06.009.0007</t>
  </si>
  <si>
    <t>06.009.0009</t>
  </si>
  <si>
    <t>06.009.0011</t>
  </si>
  <si>
    <t>06.009.0012</t>
  </si>
  <si>
    <t>06.009.0016</t>
  </si>
  <si>
    <t>06.009.0017</t>
  </si>
  <si>
    <t>06.009.0018</t>
  </si>
  <si>
    <t>06.009.0020</t>
  </si>
  <si>
    <t>06.009.0022</t>
  </si>
  <si>
    <t>06.010.0001</t>
  </si>
  <si>
    <t>06.010.0002</t>
  </si>
  <si>
    <t>06.011.0002</t>
  </si>
  <si>
    <t>06.011.0003</t>
  </si>
  <si>
    <t>06.012.0001</t>
  </si>
  <si>
    <t>06.012.0002</t>
  </si>
  <si>
    <t>06.013.0001</t>
  </si>
  <si>
    <t>06.014.0001</t>
  </si>
  <si>
    <t>06.014.0002</t>
  </si>
  <si>
    <t>06.014.0005</t>
  </si>
  <si>
    <t>06.014.0007</t>
  </si>
  <si>
    <t>06.014.0008</t>
  </si>
  <si>
    <t>06.014.0009</t>
  </si>
  <si>
    <t>06.014.0010</t>
  </si>
  <si>
    <t>06.015.0001</t>
  </si>
  <si>
    <t>06.015.0002</t>
  </si>
  <si>
    <t>06.016.0001</t>
  </si>
  <si>
    <t>06.016.0005</t>
  </si>
  <si>
    <t>06.017.0001</t>
  </si>
  <si>
    <t>06.018.0001</t>
  </si>
  <si>
    <t>06.018.0002</t>
  </si>
  <si>
    <t>06.018.0003</t>
  </si>
  <si>
    <t>06.018.0004</t>
  </si>
  <si>
    <t>06.018.0005</t>
  </si>
  <si>
    <t>06.018.0006</t>
  </si>
  <si>
    <t>06.018.0008</t>
  </si>
  <si>
    <t>06.018.0009</t>
  </si>
  <si>
    <t>06.019.0001</t>
  </si>
  <si>
    <t>06.019.0002</t>
  </si>
  <si>
    <t>06.019.0003</t>
  </si>
  <si>
    <t>06.020.0003</t>
  </si>
  <si>
    <t>06.020.0005</t>
  </si>
  <si>
    <t>06.020.0006</t>
  </si>
  <si>
    <t>06.020.0010</t>
  </si>
  <si>
    <t>06.020.0011</t>
  </si>
  <si>
    <t>06.020.0012</t>
  </si>
  <si>
    <t>06.020.0013</t>
  </si>
  <si>
    <t>06.020.0014</t>
  </si>
  <si>
    <t>06.020.0015</t>
  </si>
  <si>
    <t>06.020.0016</t>
  </si>
  <si>
    <t>06.020.0017</t>
  </si>
  <si>
    <t>06.021.0001</t>
  </si>
  <si>
    <t>06.021.0002</t>
  </si>
  <si>
    <t>06.021.0003</t>
  </si>
  <si>
    <t>06.021.0004</t>
  </si>
  <si>
    <t>06.021.0005</t>
  </si>
  <si>
    <t>06.021.0006</t>
  </si>
  <si>
    <t>06.021.0007</t>
  </si>
  <si>
    <t>06.021.0008</t>
  </si>
  <si>
    <t>06.021.0009</t>
  </si>
  <si>
    <t>06.021.0010</t>
  </si>
  <si>
    <t>06.021.0011</t>
  </si>
  <si>
    <t>06.021.0012</t>
  </si>
  <si>
    <t>06.021.0013</t>
  </si>
  <si>
    <t>06.021.0014</t>
  </si>
  <si>
    <t>06.021.0017</t>
  </si>
  <si>
    <t>06.022.0001</t>
  </si>
  <si>
    <t>06.022.0002</t>
  </si>
  <si>
    <t>06.022.0006</t>
  </si>
  <si>
    <t>06.022.0009</t>
  </si>
  <si>
    <t>06.022.0010</t>
  </si>
  <si>
    <t>06.022.0012</t>
  </si>
  <si>
    <t>06.023.0001</t>
  </si>
  <si>
    <t>06.023.0004</t>
  </si>
  <si>
    <t>06.023.0005</t>
  </si>
  <si>
    <t>06.023.0009</t>
  </si>
  <si>
    <t>06.023.0010</t>
  </si>
  <si>
    <t>06.023.0012</t>
  </si>
  <si>
    <t>06.023.0014</t>
  </si>
  <si>
    <t>06.023.0015</t>
  </si>
  <si>
    <t>06.025.0009</t>
  </si>
  <si>
    <t>06.025.0010</t>
  </si>
  <si>
    <t>06.025.0011</t>
  </si>
  <si>
    <t>06.025.0012</t>
  </si>
  <si>
    <t>06.026.0001</t>
  </si>
  <si>
    <t>06.026.0003</t>
  </si>
  <si>
    <t>06.026.0006</t>
  </si>
  <si>
    <t>06.026.0007</t>
  </si>
  <si>
    <t>06.027.0001</t>
  </si>
  <si>
    <t>06.027.0002</t>
  </si>
  <si>
    <t>06.027.0004</t>
  </si>
  <si>
    <t>06.027.0005</t>
  </si>
  <si>
    <t>06.027.0006</t>
  </si>
  <si>
    <t>06.027.0007</t>
  </si>
  <si>
    <t>06.027.0008</t>
  </si>
  <si>
    <t>06.027.0009</t>
  </si>
  <si>
    <t>06.027.0010</t>
  </si>
  <si>
    <t>06.027.0011</t>
  </si>
  <si>
    <t>06.027.0012</t>
  </si>
  <si>
    <t>06.027.0013</t>
  </si>
  <si>
    <t>06.027.0014</t>
  </si>
  <si>
    <t>06.027.0016</t>
  </si>
  <si>
    <t>06.027.0017</t>
  </si>
  <si>
    <t>06.027.0020</t>
  </si>
  <si>
    <t>06.027.0021</t>
  </si>
  <si>
    <t>06.027.0024</t>
  </si>
  <si>
    <t>06.027.0025</t>
  </si>
  <si>
    <t>06.028.0001</t>
  </si>
  <si>
    <t>06.028.0002</t>
  </si>
  <si>
    <t>06.028.0003</t>
  </si>
  <si>
    <t>06.028.0004</t>
  </si>
  <si>
    <t>06.028.0006</t>
  </si>
  <si>
    <t>06.028.0007</t>
  </si>
  <si>
    <t>06.029.0001</t>
  </si>
  <si>
    <t>06.029.0002</t>
  </si>
  <si>
    <t>06.029.0003</t>
  </si>
  <si>
    <t>06.029.0004</t>
  </si>
  <si>
    <t>06.029.0005</t>
  </si>
  <si>
    <t>06.029.0006</t>
  </si>
  <si>
    <t>06.029.0007</t>
  </si>
  <si>
    <t>06.029.0008</t>
  </si>
  <si>
    <t>06.029.0009</t>
  </si>
  <si>
    <t>06.029.0012</t>
  </si>
  <si>
    <t>06.029.0013</t>
  </si>
  <si>
    <t>06.029.0017</t>
  </si>
  <si>
    <t>06.030.0001</t>
  </si>
  <si>
    <t>06.030.0002</t>
  </si>
  <si>
    <t>06.030.0003</t>
  </si>
  <si>
    <t>06.030.0004</t>
  </si>
  <si>
    <t>06.030.0007</t>
  </si>
  <si>
    <t>06.030.0008</t>
  </si>
  <si>
    <t>06.031.0001</t>
  </si>
  <si>
    <t>06.031.0002</t>
  </si>
  <si>
    <t>06.031.0003</t>
  </si>
  <si>
    <t>06.031.0005</t>
  </si>
  <si>
    <t>06.031.0008</t>
  </si>
  <si>
    <t>06.032.0001</t>
  </si>
  <si>
    <t>06.032.0002</t>
  </si>
  <si>
    <t>06.032.0003</t>
  </si>
  <si>
    <t>06.032.0004</t>
  </si>
  <si>
    <t>06.032.0005</t>
  </si>
  <si>
    <t>06.032.0006</t>
  </si>
  <si>
    <t>06.032.0007</t>
  </si>
  <si>
    <t>06.032.0008</t>
  </si>
  <si>
    <t>06.032.0009</t>
  </si>
  <si>
    <t>06.032.0010</t>
  </si>
  <si>
    <t>06.032.0011</t>
  </si>
  <si>
    <t>06.032.0013</t>
  </si>
  <si>
    <t>06.032.0018</t>
  </si>
  <si>
    <t>06.033.0001</t>
  </si>
  <si>
    <t>06.033.0002</t>
  </si>
  <si>
    <t>06.033.0005</t>
  </si>
  <si>
    <t>06.033.0006</t>
  </si>
  <si>
    <t>06.033.0009</t>
  </si>
  <si>
    <t>06.033.0012</t>
  </si>
  <si>
    <t>06.033.0013</t>
  </si>
  <si>
    <t>06.033.0014</t>
  </si>
  <si>
    <t>06.033.0015</t>
  </si>
  <si>
    <t>06.033.0019</t>
  </si>
  <si>
    <t>06.033.0023</t>
  </si>
  <si>
    <t>06.034.0001</t>
  </si>
  <si>
    <t>06.034.0002</t>
  </si>
  <si>
    <t>06.034.0005</t>
  </si>
  <si>
    <t>06.034.0006</t>
  </si>
  <si>
    <t>06.034.0007</t>
  </si>
  <si>
    <t>06.034.0008</t>
  </si>
  <si>
    <t>06.036.0001</t>
  </si>
  <si>
    <t>06.036.0002</t>
  </si>
  <si>
    <t>06.036.0003</t>
  </si>
  <si>
    <t>06.036.0004</t>
  </si>
  <si>
    <t>06.036.0005</t>
  </si>
  <si>
    <t>06.036.0006</t>
  </si>
  <si>
    <t>06.036.0007</t>
  </si>
  <si>
    <t>06.036.0008</t>
  </si>
  <si>
    <t>06.036.0009</t>
  </si>
  <si>
    <t>06.037.0003</t>
  </si>
  <si>
    <t>06.037.0004</t>
  </si>
  <si>
    <t>06.039.0001</t>
  </si>
  <si>
    <t>06.039.0002</t>
  </si>
  <si>
    <t>06.039.0003</t>
  </si>
  <si>
    <t>06.040.0001</t>
  </si>
  <si>
    <t>06.040.0002</t>
  </si>
  <si>
    <t>06.040.0003</t>
  </si>
  <si>
    <t>06.040.0005</t>
  </si>
  <si>
    <t>06.040.0006</t>
  </si>
  <si>
    <t>06.040.0008</t>
  </si>
  <si>
    <t>06.040.0009</t>
  </si>
  <si>
    <t>06.040.0014</t>
  </si>
  <si>
    <t>06.041.0002</t>
  </si>
  <si>
    <t>06.041.0005</t>
  </si>
  <si>
    <t>06.041.0006</t>
  </si>
  <si>
    <t>06.041.0007</t>
  </si>
  <si>
    <t>06.041.0008</t>
  </si>
  <si>
    <t>06.042.0001</t>
  </si>
  <si>
    <t>06.042.0002</t>
  </si>
  <si>
    <t>06.042.0003</t>
  </si>
  <si>
    <t>06.042.0004</t>
  </si>
  <si>
    <t>06.042.0005</t>
  </si>
  <si>
    <t>06.042.0006</t>
  </si>
  <si>
    <t>06.042.0007</t>
  </si>
  <si>
    <t>06.042.0008</t>
  </si>
  <si>
    <t>06.042.0009</t>
  </si>
  <si>
    <t>06.042.0010</t>
  </si>
  <si>
    <t>06.042.0011</t>
  </si>
  <si>
    <t>06.042.0012</t>
  </si>
  <si>
    <t>06.042.0015</t>
  </si>
  <si>
    <t>06.042.0016</t>
  </si>
  <si>
    <t>06.042.0017</t>
  </si>
  <si>
    <t>06.042.0019</t>
  </si>
  <si>
    <t>06.042.0020</t>
  </si>
  <si>
    <t>06.042.0021</t>
  </si>
  <si>
    <t>06.042.0024</t>
  </si>
  <si>
    <t>06.042.0026</t>
  </si>
  <si>
    <t>06.042.0028</t>
  </si>
  <si>
    <t>06.042.0029</t>
  </si>
  <si>
    <t>06.042.0030</t>
  </si>
  <si>
    <t>06.042.0031</t>
  </si>
  <si>
    <t>06.042.0034</t>
  </si>
  <si>
    <t>06.042.0035</t>
  </si>
  <si>
    <t>06.042.0036</t>
  </si>
  <si>
    <t>06.042.0039</t>
  </si>
  <si>
    <t>06.042.0040</t>
  </si>
  <si>
    <t>06.042.0041</t>
  </si>
  <si>
    <t>06.042.0043</t>
  </si>
  <si>
    <t>06.042.0044</t>
  </si>
  <si>
    <t>06.042.0055</t>
  </si>
  <si>
    <t>06.042.0057</t>
  </si>
  <si>
    <t>06.042.0058</t>
  </si>
  <si>
    <t>06.042.0060</t>
  </si>
  <si>
    <t>06.042.0061</t>
  </si>
  <si>
    <t>06.042.0062</t>
  </si>
  <si>
    <t>06.042.0071</t>
  </si>
  <si>
    <t>06.042.0072</t>
  </si>
  <si>
    <t>06.042.0073</t>
  </si>
  <si>
    <t>06.042.0074</t>
  </si>
  <si>
    <t>06.042.0075</t>
  </si>
  <si>
    <t>06.043.0002</t>
  </si>
  <si>
    <t>06.044.0001</t>
  </si>
  <si>
    <t>06.045.0001</t>
  </si>
  <si>
    <t>06.045.0002</t>
  </si>
  <si>
    <t>06.045.0003</t>
  </si>
  <si>
    <t>06.045.0005</t>
  </si>
  <si>
    <t>06.045.0007</t>
  </si>
  <si>
    <t>06.045.0008</t>
  </si>
  <si>
    <t>06.045.0009</t>
  </si>
  <si>
    <t>06.045.0010</t>
  </si>
  <si>
    <t>06.046.0001</t>
  </si>
  <si>
    <t>06.046.0002</t>
  </si>
  <si>
    <t>06.046.0004</t>
  </si>
  <si>
    <t>06.046.0005</t>
  </si>
  <si>
    <t>06.047.0001</t>
  </si>
  <si>
    <t>06.047.0002</t>
  </si>
  <si>
    <t>06.047.0003</t>
  </si>
  <si>
    <t>06.047.0004</t>
  </si>
  <si>
    <t>06.048.0001</t>
  </si>
  <si>
    <t>06.048.0002</t>
  </si>
  <si>
    <t>06.048.0004</t>
  </si>
  <si>
    <t>06.048.0006</t>
  </si>
  <si>
    <t>06.048.0007</t>
  </si>
  <si>
    <t>06.048.0008</t>
  </si>
  <si>
    <t>06.048.0009</t>
  </si>
  <si>
    <t>06.048.0013</t>
  </si>
  <si>
    <t>06.049.0002</t>
  </si>
  <si>
    <t>06.049.0005</t>
  </si>
  <si>
    <t>06.050.0001</t>
  </si>
  <si>
    <t>06.050.0003</t>
  </si>
  <si>
    <t>06.050.0004</t>
  </si>
  <si>
    <t>06.050.0005</t>
  </si>
  <si>
    <t>06.050.0006</t>
  </si>
  <si>
    <t>06.050.0007</t>
  </si>
  <si>
    <t>06.050.0009</t>
  </si>
  <si>
    <t>06.050.0010</t>
  </si>
  <si>
    <t>06.050.0011</t>
  </si>
  <si>
    <t>06.050.0012</t>
  </si>
  <si>
    <t>06.050.0017</t>
  </si>
  <si>
    <t>06.050.0018</t>
  </si>
  <si>
    <t>06.055.0008</t>
  </si>
  <si>
    <t>06.056.0001</t>
  </si>
  <si>
    <t>06.056.0008</t>
  </si>
  <si>
    <t>06.058.0002</t>
  </si>
  <si>
    <t>06.058.0003</t>
  </si>
  <si>
    <t>06.058.0004</t>
  </si>
  <si>
    <t>06.058.0005</t>
  </si>
  <si>
    <t>06.058.0006</t>
  </si>
  <si>
    <t>06.059.0002</t>
  </si>
  <si>
    <t>06.060.0001</t>
  </si>
  <si>
    <t>06.060.0003</t>
  </si>
  <si>
    <t>06.061.0001</t>
  </si>
  <si>
    <t>06.061.0002</t>
  </si>
  <si>
    <t>06.061.0003</t>
  </si>
  <si>
    <t>06.061.0004</t>
  </si>
  <si>
    <t>06.061.0006</t>
  </si>
  <si>
    <t>06.061.0007</t>
  </si>
  <si>
    <t>06.061.0009</t>
  </si>
  <si>
    <t>06.061.0010</t>
  </si>
  <si>
    <t>06.061.0011</t>
  </si>
  <si>
    <t>06.061.0012</t>
  </si>
  <si>
    <t>06.061.0013</t>
  </si>
  <si>
    <t>06.061.0014</t>
  </si>
  <si>
    <t>06.061.0016</t>
  </si>
  <si>
    <t>06.061.0017</t>
  </si>
  <si>
    <t>06.061.0018</t>
  </si>
  <si>
    <t>06.061.0019</t>
  </si>
  <si>
    <t>06.061.0020</t>
  </si>
  <si>
    <t>06.061.0021</t>
  </si>
  <si>
    <t>06.061.0027</t>
  </si>
  <si>
    <t>06.061.0028</t>
  </si>
  <si>
    <t>06.062.0001</t>
  </si>
  <si>
    <t>06.062.0002</t>
  </si>
  <si>
    <t>06.062.0003</t>
  </si>
  <si>
    <t>06.062.0004</t>
  </si>
  <si>
    <t>06.062.0005</t>
  </si>
  <si>
    <t>06.062.0006</t>
  </si>
  <si>
    <t>06.062.0007</t>
  </si>
  <si>
    <t>06.062.0008</t>
  </si>
  <si>
    <t>06.062.0009</t>
  </si>
  <si>
    <t>06.062.0010</t>
  </si>
  <si>
    <t>06.065.0003</t>
  </si>
  <si>
    <t>06.065.0004</t>
  </si>
  <si>
    <t>06.066.0001</t>
  </si>
  <si>
    <t>06.066.0002</t>
  </si>
  <si>
    <t>06.066.0003</t>
  </si>
  <si>
    <t>06.066.0004</t>
  </si>
  <si>
    <t>06.067.0001</t>
  </si>
  <si>
    <t>06.067.0002</t>
  </si>
  <si>
    <t>06.068.0001</t>
  </si>
  <si>
    <t>06.068.0002</t>
  </si>
  <si>
    <t>06.069.0001</t>
  </si>
  <si>
    <t>06.069.0002</t>
  </si>
  <si>
    <t>06.069.0003</t>
  </si>
  <si>
    <t>06.070.0001</t>
  </si>
  <si>
    <t>06.070.0002</t>
  </si>
  <si>
    <t>06.070.0003</t>
  </si>
  <si>
    <t>06.070.0004</t>
  </si>
  <si>
    <t>06.070.0005</t>
  </si>
  <si>
    <t>06.070.0006</t>
  </si>
  <si>
    <t>06.070.0007</t>
  </si>
  <si>
    <t>06.070.0009</t>
  </si>
  <si>
    <t>06.070.0010</t>
  </si>
  <si>
    <t>06.070.0011</t>
  </si>
  <si>
    <t>06.070.0012</t>
  </si>
  <si>
    <t>06.070.0015</t>
  </si>
  <si>
    <t>06.071.0002</t>
  </si>
  <si>
    <t>06.072.0001</t>
  </si>
  <si>
    <t>06.072.0002</t>
  </si>
  <si>
    <t>06.072.0004</t>
  </si>
  <si>
    <t>06.072.0005</t>
  </si>
  <si>
    <t>06.072.0007</t>
  </si>
  <si>
    <t>06.072.0008</t>
  </si>
  <si>
    <t>06.072.0013</t>
  </si>
  <si>
    <t>06.072.0014</t>
  </si>
  <si>
    <t>06.072.0015</t>
  </si>
  <si>
    <t>06.072.0017</t>
  </si>
  <si>
    <t>06.072.0018</t>
  </si>
  <si>
    <t>06.072.0019</t>
  </si>
  <si>
    <t>06.072.0020</t>
  </si>
  <si>
    <t>06.072.0023</t>
  </si>
  <si>
    <t>06.072.0024</t>
  </si>
  <si>
    <t>06.072.0025</t>
  </si>
  <si>
    <t>06.072.0028</t>
  </si>
  <si>
    <t>06.072.0031</t>
  </si>
  <si>
    <t>06.072.0033</t>
  </si>
  <si>
    <t>06.072.0034</t>
  </si>
  <si>
    <t>06.073.0001</t>
  </si>
  <si>
    <t>06.073.0005</t>
  </si>
  <si>
    <t>06.073.0006</t>
  </si>
  <si>
    <t>06.073.0007</t>
  </si>
  <si>
    <t>06.074.0001</t>
  </si>
  <si>
    <t>06.074.0002</t>
  </si>
  <si>
    <t>06.074.0003</t>
  </si>
  <si>
    <t>06.074.0004</t>
  </si>
  <si>
    <t>06.074.0005</t>
  </si>
  <si>
    <t>06.074.0007</t>
  </si>
  <si>
    <t>06.075.0001</t>
  </si>
  <si>
    <t>06.075.0002</t>
  </si>
  <si>
    <t>06.075.0003</t>
  </si>
  <si>
    <t>06.075.0004</t>
  </si>
  <si>
    <t>06.076.0001</t>
  </si>
  <si>
    <t>06.076.0002</t>
  </si>
  <si>
    <t>06.076.0003</t>
  </si>
  <si>
    <t>06.076.0004</t>
  </si>
  <si>
    <t>06.077.0001</t>
  </si>
  <si>
    <t>06.077.0002</t>
  </si>
  <si>
    <t>06.077.0003</t>
  </si>
  <si>
    <t>06.077.0004</t>
  </si>
  <si>
    <t>06.077.0005</t>
  </si>
  <si>
    <t>06.077.0006</t>
  </si>
  <si>
    <t>06.077.0008</t>
  </si>
  <si>
    <t>06.077.0009</t>
  </si>
  <si>
    <t>06.077.0010</t>
  </si>
  <si>
    <t>06.077.0011</t>
  </si>
  <si>
    <t>06.077.0012</t>
  </si>
  <si>
    <t>06.077.0013</t>
  </si>
  <si>
    <t>06.077.0016</t>
  </si>
  <si>
    <t>06.077.0019</t>
  </si>
  <si>
    <t>06.077.0024</t>
  </si>
  <si>
    <t>06.077.0025</t>
  </si>
  <si>
    <t>06.077.0026</t>
  </si>
  <si>
    <t>06.077.0030</t>
  </si>
  <si>
    <t>06.077.0031</t>
  </si>
  <si>
    <t>06.079.0001</t>
  </si>
  <si>
    <t>06.080.0001</t>
  </si>
  <si>
    <t>06.080.0002</t>
  </si>
  <si>
    <t>06.080.0003</t>
  </si>
  <si>
    <t>06.080.0004</t>
  </si>
  <si>
    <t>06.080.0005</t>
  </si>
  <si>
    <t>06.080.0006</t>
  </si>
  <si>
    <t>06.080.0007</t>
  </si>
  <si>
    <t>06.080.0011</t>
  </si>
  <si>
    <t>06.080.0012</t>
  </si>
  <si>
    <t>06.080.0013</t>
  </si>
  <si>
    <t>06.080.0014</t>
  </si>
  <si>
    <t>06.080.0015</t>
  </si>
  <si>
    <t>06.080.0016</t>
  </si>
  <si>
    <t>06.080.0017</t>
  </si>
  <si>
    <t>06.080.0018</t>
  </si>
  <si>
    <t>06.080.0019</t>
  </si>
  <si>
    <t>06.080.0021</t>
  </si>
  <si>
    <t>06.080.0022</t>
  </si>
  <si>
    <t>06.080.0024</t>
  </si>
  <si>
    <t>06.080.0025</t>
  </si>
  <si>
    <t>06.080.0026</t>
  </si>
  <si>
    <t>06.080.0027</t>
  </si>
  <si>
    <t>06.080.0028</t>
  </si>
  <si>
    <t>06.080.0029</t>
  </si>
  <si>
    <t>06.080.0030</t>
  </si>
  <si>
    <t>06.080.0031</t>
  </si>
  <si>
    <t>06.080.0032</t>
  </si>
  <si>
    <t>06.080.0034</t>
  </si>
  <si>
    <t>06.080.0035</t>
  </si>
  <si>
    <t>06.080.0036</t>
  </si>
  <si>
    <t>06.080.0037</t>
  </si>
  <si>
    <t>06.080.0038</t>
  </si>
  <si>
    <t>06.080.0040</t>
  </si>
  <si>
    <t>06.080.0041</t>
  </si>
  <si>
    <t>06.080.0042</t>
  </si>
  <si>
    <t>06.080.0043</t>
  </si>
  <si>
    <t>06.080.0045</t>
  </si>
  <si>
    <t>06.080.0046</t>
  </si>
  <si>
    <t>06.080.0047</t>
  </si>
  <si>
    <t>06.080.0048</t>
  </si>
  <si>
    <t>06.080.0049</t>
  </si>
  <si>
    <t>06.080.0051</t>
  </si>
  <si>
    <t>06.080.0052</t>
  </si>
  <si>
    <t>06.080.0053</t>
  </si>
  <si>
    <t>06.081.0001</t>
  </si>
  <si>
    <t>06.081.0002</t>
  </si>
  <si>
    <t>06.081.0004</t>
  </si>
  <si>
    <t>06.081.0005</t>
  </si>
  <si>
    <t>06.081.0006</t>
  </si>
  <si>
    <t>06.081.0007</t>
  </si>
  <si>
    <t>06.081.0008</t>
  </si>
  <si>
    <t>06.081.0009</t>
  </si>
  <si>
    <t>06.081.0010</t>
  </si>
  <si>
    <t>06.081.0011</t>
  </si>
  <si>
    <t>06.081.0013</t>
  </si>
  <si>
    <t>06.081.0014</t>
  </si>
  <si>
    <t>06.081.0015</t>
  </si>
  <si>
    <t>06.081.0016</t>
  </si>
  <si>
    <t>06.082.0002</t>
  </si>
  <si>
    <t>06.084.0001</t>
  </si>
  <si>
    <t>06.084.0002</t>
  </si>
  <si>
    <t>06.084.0003</t>
  </si>
  <si>
    <t>06.084.0004</t>
  </si>
  <si>
    <t>06.084.0005</t>
  </si>
  <si>
    <t>06.084.0006</t>
  </si>
  <si>
    <t>06.084.0007</t>
  </si>
  <si>
    <t>06.085.0001</t>
  </si>
  <si>
    <t>06.085.0002</t>
  </si>
  <si>
    <t>06.086.0001</t>
  </si>
  <si>
    <t>06.086.0003</t>
  </si>
  <si>
    <t>06.086.0004</t>
  </si>
  <si>
    <t>06.086.0005</t>
  </si>
  <si>
    <t>06.086.0015</t>
  </si>
  <si>
    <t>06.086.0016</t>
  </si>
  <si>
    <t>06.087.0002</t>
  </si>
  <si>
    <t>06.087.0003</t>
  </si>
  <si>
    <t>06.088.0001</t>
  </si>
  <si>
    <t>06.088.0002</t>
  </si>
  <si>
    <t>06.088.0003</t>
  </si>
  <si>
    <t>06.088.0004</t>
  </si>
  <si>
    <t>06.088.0005</t>
  </si>
  <si>
    <t>06.088.0006</t>
  </si>
  <si>
    <t>06.088.0019</t>
  </si>
  <si>
    <t>06.088.0022</t>
  </si>
  <si>
    <t>06.088.0023</t>
  </si>
  <si>
    <t>06.088.0024</t>
  </si>
  <si>
    <t>06.088.0032</t>
  </si>
  <si>
    <t>06.088.0038</t>
  </si>
  <si>
    <t>06.088.0042</t>
  </si>
  <si>
    <t>06.088.0043</t>
  </si>
  <si>
    <t>06.088.0044</t>
  </si>
  <si>
    <t>06.088.0045</t>
  </si>
  <si>
    <t>06.088.0046</t>
  </si>
  <si>
    <t>06.089.0001</t>
  </si>
  <si>
    <t>06.089.0002</t>
  </si>
  <si>
    <t>06.089.0003</t>
  </si>
  <si>
    <t>06.089.0004</t>
  </si>
  <si>
    <t>06.089.0005</t>
  </si>
  <si>
    <t>06.089.0006</t>
  </si>
  <si>
    <t>06.089.0007</t>
  </si>
  <si>
    <t>06.089.0008</t>
  </si>
  <si>
    <t>06.089.0010</t>
  </si>
  <si>
    <t>06.089.0012</t>
  </si>
  <si>
    <t>06.089.0014</t>
  </si>
  <si>
    <t>06.089.0015</t>
  </si>
  <si>
    <t>06.089.0016</t>
  </si>
  <si>
    <t>06.090.0001</t>
  </si>
  <si>
    <t>06.091.0001</t>
  </si>
  <si>
    <t>06.091.0002</t>
  </si>
  <si>
    <t>06.091.0004</t>
  </si>
  <si>
    <t>06.091.0005</t>
  </si>
  <si>
    <t>06.092.0001</t>
  </si>
  <si>
    <t>06.094.0002</t>
  </si>
  <si>
    <t>06.094.0003</t>
  </si>
  <si>
    <t>06.094.0004</t>
  </si>
  <si>
    <t>06.094.0015</t>
  </si>
  <si>
    <t>06.094.0018</t>
  </si>
  <si>
    <t>06.094.0029</t>
  </si>
  <si>
    <t>06.094.0033</t>
  </si>
  <si>
    <t>06.094.0055</t>
  </si>
  <si>
    <t>06.094.0067</t>
  </si>
  <si>
    <t>06.094.0083</t>
  </si>
  <si>
    <t>06.094.0087</t>
  </si>
  <si>
    <t>06.094.0090</t>
  </si>
  <si>
    <t>06.094.0092</t>
  </si>
  <si>
    <t>06.095.0001</t>
  </si>
  <si>
    <t>06.095.0002</t>
  </si>
  <si>
    <t>06.095.0004</t>
  </si>
  <si>
    <t>06.095.0005</t>
  </si>
  <si>
    <t>06.097.0001</t>
  </si>
  <si>
    <t>06.097.0002</t>
  </si>
  <si>
    <t>06.097.0003</t>
  </si>
  <si>
    <t>06.097.0005</t>
  </si>
  <si>
    <t>06.097.0006</t>
  </si>
  <si>
    <t>06.097.0007</t>
  </si>
  <si>
    <t>06.097.0008</t>
  </si>
  <si>
    <t>06.097.0009</t>
  </si>
  <si>
    <t>06.097.0010</t>
  </si>
  <si>
    <t>06.097.0011</t>
  </si>
  <si>
    <t>06.097.0012</t>
  </si>
  <si>
    <t>06.097.0013</t>
  </si>
  <si>
    <t>06.098.0001</t>
  </si>
  <si>
    <t>06.098.0002</t>
  </si>
  <si>
    <t>06.098.0003</t>
  </si>
  <si>
    <t>06.098.0018</t>
  </si>
  <si>
    <t>06.098.0019</t>
  </si>
  <si>
    <t>06.098.0020</t>
  </si>
  <si>
    <t>06.098.0021</t>
  </si>
  <si>
    <t>06.098.0023</t>
  </si>
  <si>
    <t>06.098.0029</t>
  </si>
  <si>
    <t>06.098.0042</t>
  </si>
  <si>
    <t>06.099.0001</t>
  </si>
  <si>
    <t>06.099.0003</t>
  </si>
  <si>
    <t>06.100.0001</t>
  </si>
  <si>
    <t>06.100.0002</t>
  </si>
  <si>
    <t>06.101.0001</t>
  </si>
  <si>
    <t>06.101.0004</t>
  </si>
  <si>
    <t>06.102.0001</t>
  </si>
  <si>
    <t>06.103.0001</t>
  </si>
  <si>
    <t>06.103.0002</t>
  </si>
  <si>
    <t>06.103.0003</t>
  </si>
  <si>
    <t>06.103.0005</t>
  </si>
  <si>
    <t>06.103.0006</t>
  </si>
  <si>
    <t>06.103.0007</t>
  </si>
  <si>
    <t>06.105.0002</t>
  </si>
  <si>
    <t>06.105.0003</t>
  </si>
  <si>
    <t>06.105.0004</t>
  </si>
  <si>
    <t>06.105.0005</t>
  </si>
  <si>
    <t>06.106.0001</t>
  </si>
  <si>
    <t>06.106.0002</t>
  </si>
  <si>
    <t>06.106.0003</t>
  </si>
  <si>
    <t>06.106.0004</t>
  </si>
  <si>
    <t>06.106.0005</t>
  </si>
  <si>
    <t>06.106.0006</t>
  </si>
  <si>
    <t>06.106.0007</t>
  </si>
  <si>
    <t>06.106.0008</t>
  </si>
  <si>
    <t>06.106.0009</t>
  </si>
  <si>
    <t>06.106.0010</t>
  </si>
  <si>
    <t>06.106.0011</t>
  </si>
  <si>
    <t>06.106.0012</t>
  </si>
  <si>
    <t>06.106.0013</t>
  </si>
  <si>
    <t>06.106.0016</t>
  </si>
  <si>
    <t>06.106.0017</t>
  </si>
  <si>
    <t>06.106.0022</t>
  </si>
  <si>
    <t>06.106.0023</t>
  </si>
  <si>
    <t>06.108.0001</t>
  </si>
  <si>
    <t>06.108.0002</t>
  </si>
  <si>
    <t>06.108.0003</t>
  </si>
  <si>
    <t>06.108.0005</t>
  </si>
  <si>
    <t>06.108.0006</t>
  </si>
  <si>
    <t>06.108.0007</t>
  </si>
  <si>
    <t>06.108.0008</t>
  </si>
  <si>
    <t>06.108.0009</t>
  </si>
  <si>
    <t>06.108.0010</t>
  </si>
  <si>
    <t>06.108.0012</t>
  </si>
  <si>
    <t>06.108.0013</t>
  </si>
  <si>
    <t>06.109.0001</t>
  </si>
  <si>
    <t>06.109.0002</t>
  </si>
  <si>
    <t>06.109.0003</t>
  </si>
  <si>
    <t>06.109.0004</t>
  </si>
  <si>
    <t>06.109.0006</t>
  </si>
  <si>
    <t>06.109.0007</t>
  </si>
  <si>
    <t>06.110.0001</t>
  </si>
  <si>
    <t>06.110.0002</t>
  </si>
  <si>
    <t>06.110.0003</t>
  </si>
  <si>
    <t>06.110.0004</t>
  </si>
  <si>
    <t>06.110.0005</t>
  </si>
  <si>
    <t>06.110.0006</t>
  </si>
  <si>
    <t>06.110.0007</t>
  </si>
  <si>
    <t>06.110.0008</t>
  </si>
  <si>
    <t>06.110.0010</t>
  </si>
  <si>
    <t>06.110.0011</t>
  </si>
  <si>
    <t>06.110.0012</t>
  </si>
  <si>
    <t>06.110.0013</t>
  </si>
  <si>
    <t>06.110.0014</t>
  </si>
  <si>
    <t>06.110.0015</t>
  </si>
  <si>
    <t>06.110.0016</t>
  </si>
  <si>
    <t>06.110.0017</t>
  </si>
  <si>
    <t>06.110.0018</t>
  </si>
  <si>
    <t>06.110.0020</t>
  </si>
  <si>
    <t>06.110.0021</t>
  </si>
  <si>
    <t>06.111.0001</t>
  </si>
  <si>
    <t>06.111.0002</t>
  </si>
  <si>
    <t>06.111.0004</t>
  </si>
  <si>
    <t>06.111.0005</t>
  </si>
  <si>
    <t>06.111.0007</t>
  </si>
  <si>
    <t>06.111.0008</t>
  </si>
  <si>
    <t>06.111.0014</t>
  </si>
  <si>
    <t>06.112.0001</t>
  </si>
  <si>
    <t>06.113.0003</t>
  </si>
  <si>
    <t>06.113.0004</t>
  </si>
  <si>
    <t>06.113.0006</t>
  </si>
  <si>
    <t>06.113.0007</t>
  </si>
  <si>
    <t>06.113.0008</t>
  </si>
  <si>
    <t>06.114.0001</t>
  </si>
  <si>
    <t>06.114.0002</t>
  </si>
  <si>
    <t>06.114.0003</t>
  </si>
  <si>
    <t>06.114.0005</t>
  </si>
  <si>
    <t>06.114.0006</t>
  </si>
  <si>
    <t>06.114.0007</t>
  </si>
  <si>
    <t>06.115.0001</t>
  </si>
  <si>
    <t>06.115.0002</t>
  </si>
  <si>
    <t>06.115.0003</t>
  </si>
  <si>
    <t>06.115.0004</t>
  </si>
  <si>
    <t>06.115.0005</t>
  </si>
  <si>
    <t>06.115.0006</t>
  </si>
  <si>
    <t>06.115.0007</t>
  </si>
  <si>
    <t>06.117.0001</t>
  </si>
  <si>
    <t>06.117.0003</t>
  </si>
  <si>
    <t>06.117.0004</t>
  </si>
  <si>
    <t>06.118.0001</t>
  </si>
  <si>
    <t>06.118.0002</t>
  </si>
  <si>
    <t>06.119.0001</t>
  </si>
  <si>
    <t>06.119.0002</t>
  </si>
  <si>
    <t>06.119.0003</t>
  </si>
  <si>
    <t>06.120.0004</t>
  </si>
  <si>
    <t>06.121.0001</t>
  </si>
  <si>
    <t>06.121.0002</t>
  </si>
  <si>
    <t>06.121.0004</t>
  </si>
  <si>
    <t>06.121.0005</t>
  </si>
  <si>
    <t>06.121.0006</t>
  </si>
  <si>
    <t>06.121.0007</t>
  </si>
  <si>
    <t>06.121.0008</t>
  </si>
  <si>
    <t>06.121.0009</t>
  </si>
  <si>
    <t>06.121.0010</t>
  </si>
  <si>
    <t>06.121.0013</t>
  </si>
  <si>
    <t>06.121.0014</t>
  </si>
  <si>
    <t>06.121.0016</t>
  </si>
  <si>
    <t>06.121.0025</t>
  </si>
  <si>
    <t>06.122.0001</t>
  </si>
  <si>
    <t>06.123.0001</t>
  </si>
  <si>
    <t>06.123.0002</t>
  </si>
  <si>
    <t>06.123.0003</t>
  </si>
  <si>
    <t>06.123.0004</t>
  </si>
  <si>
    <t>06.123.0005</t>
  </si>
  <si>
    <t>06.123.0006</t>
  </si>
  <si>
    <t>06.123.0007</t>
  </si>
  <si>
    <t>06.123.0008</t>
  </si>
  <si>
    <t>06.123.0009</t>
  </si>
  <si>
    <t>06.123.0011</t>
  </si>
  <si>
    <t>06.123.0012</t>
  </si>
  <si>
    <t>06.123.0014</t>
  </si>
  <si>
    <t>06.123.0016</t>
  </si>
  <si>
    <t>06.123.0018</t>
  </si>
  <si>
    <t>06.124.0001</t>
  </si>
  <si>
    <t>06.124.0002</t>
  </si>
  <si>
    <t>06.124.0003</t>
  </si>
  <si>
    <t>06.124.0004</t>
  </si>
  <si>
    <t>06.124.0005</t>
  </si>
  <si>
    <t>06.124.0007</t>
  </si>
  <si>
    <t>06.124.0008</t>
  </si>
  <si>
    <t>06.124.0009</t>
  </si>
  <si>
    <t>06.124.0014</t>
  </si>
  <si>
    <t>06.125.0003</t>
  </si>
  <si>
    <t>06.125.0004</t>
  </si>
  <si>
    <t>06.127.0001</t>
  </si>
  <si>
    <t>06.127.0002</t>
  </si>
  <si>
    <t>06.127.0003</t>
  </si>
  <si>
    <t>06.127.0004</t>
  </si>
  <si>
    <t>06.127.0005</t>
  </si>
  <si>
    <t>06.127.0006</t>
  </si>
  <si>
    <t>06.127.0007</t>
  </si>
  <si>
    <t>06.127.0008</t>
  </si>
  <si>
    <t>06.127.0009</t>
  </si>
  <si>
    <t>06.129.0002</t>
  </si>
  <si>
    <t>06.129.0003</t>
  </si>
  <si>
    <t>06.131.0002</t>
  </si>
  <si>
    <t>06.132.0003</t>
  </si>
  <si>
    <t>06.133.0001</t>
  </si>
  <si>
    <t>06.133.0002</t>
  </si>
  <si>
    <t>06.133.0003</t>
  </si>
  <si>
    <t>06.133.0004</t>
  </si>
  <si>
    <t>06.133.0005</t>
  </si>
  <si>
    <t>06.133.0006</t>
  </si>
  <si>
    <t>06.133.0008</t>
  </si>
  <si>
    <t>06.133.0009</t>
  </si>
  <si>
    <t>06.133.0011</t>
  </si>
  <si>
    <t>06.133.0012</t>
  </si>
  <si>
    <t>06.133.0013</t>
  </si>
  <si>
    <t>06.133.0014</t>
  </si>
  <si>
    <t>06.133.0015</t>
  </si>
  <si>
    <t>06.133.0016</t>
  </si>
  <si>
    <t>06.133.0019</t>
  </si>
  <si>
    <t>06.133.0020</t>
  </si>
  <si>
    <t>06.133.0021</t>
  </si>
  <si>
    <t>06.133.0022</t>
  </si>
  <si>
    <t>06.133.0025</t>
  </si>
  <si>
    <t>06.133.0026</t>
  </si>
  <si>
    <t>06.133.0027</t>
  </si>
  <si>
    <t>06.133.0029</t>
  </si>
  <si>
    <t>06.133.0030</t>
  </si>
  <si>
    <t>06.133.0044</t>
  </si>
  <si>
    <t>06.133.0045</t>
  </si>
  <si>
    <t>06.133.0046</t>
  </si>
  <si>
    <t>06.133.0047</t>
  </si>
  <si>
    <t>06.135.0001</t>
  </si>
  <si>
    <t>06.135.0002</t>
  </si>
  <si>
    <t>06.137.0001</t>
  </si>
  <si>
    <t>06.137.0002</t>
  </si>
  <si>
    <t>06.137.0003</t>
  </si>
  <si>
    <t>06.138.0001</t>
  </si>
  <si>
    <t>06.138.0002</t>
  </si>
  <si>
    <t>06.138.0003</t>
  </si>
  <si>
    <t>06.138.0004</t>
  </si>
  <si>
    <t>06.138.0006</t>
  </si>
  <si>
    <t>06.139.0001</t>
  </si>
  <si>
    <t>06.139.0002</t>
  </si>
  <si>
    <t>06.139.0003</t>
  </si>
  <si>
    <t>06.140.0001</t>
  </si>
  <si>
    <t>06.140.0004</t>
  </si>
  <si>
    <t>06.141.0001</t>
  </si>
  <si>
    <t>06.141.0004</t>
  </si>
  <si>
    <t>06.141.0005</t>
  </si>
  <si>
    <t>06.141.0006</t>
  </si>
  <si>
    <t>06.141.0007</t>
  </si>
  <si>
    <t>06.141.0008</t>
  </si>
  <si>
    <t>06.141.0009</t>
  </si>
  <si>
    <t>06.141.0011</t>
  </si>
  <si>
    <t>06.141.0017</t>
  </si>
  <si>
    <t>06.141.0018</t>
  </si>
  <si>
    <t>06.141.0019</t>
  </si>
  <si>
    <t>06.142.0001</t>
  </si>
  <si>
    <t>06.142.0002</t>
  </si>
  <si>
    <t>06.142.0003</t>
  </si>
  <si>
    <t>06.142.0004</t>
  </si>
  <si>
    <t>06.142.0006</t>
  </si>
  <si>
    <t>06.142.0007</t>
  </si>
  <si>
    <t>06.142.0008</t>
  </si>
  <si>
    <t>06.143.0001</t>
  </si>
  <si>
    <t>06.143.0002</t>
  </si>
  <si>
    <t>06.143.0003</t>
  </si>
  <si>
    <t>06.143.0004</t>
  </si>
  <si>
    <t>06.143.0006</t>
  </si>
  <si>
    <t>06.143.0007</t>
  </si>
  <si>
    <t>06.143.0008</t>
  </si>
  <si>
    <t>06.143.0009</t>
  </si>
  <si>
    <t>06.143.0010</t>
  </si>
  <si>
    <t>06.143.0011</t>
  </si>
  <si>
    <t>06.143.0012</t>
  </si>
  <si>
    <t>06.143.0013</t>
  </si>
  <si>
    <t>06.145.0003</t>
  </si>
  <si>
    <t>06.145.0004</t>
  </si>
  <si>
    <t>06.145.0005</t>
  </si>
  <si>
    <t>06.145.0006</t>
  </si>
  <si>
    <t>06.146.0001</t>
  </si>
  <si>
    <t>06.149.0001</t>
  </si>
  <si>
    <t>06.149.0002</t>
  </si>
  <si>
    <t>06.149.0003</t>
  </si>
  <si>
    <t>06.149.0004</t>
  </si>
  <si>
    <t>06.149.0005</t>
  </si>
  <si>
    <t>06.149.0008</t>
  </si>
  <si>
    <t>06.149.0009</t>
  </si>
  <si>
    <t>06.149.0010</t>
  </si>
  <si>
    <t>06.149.0011</t>
  </si>
  <si>
    <t>06.149.0012</t>
  </si>
  <si>
    <t>06.149.0013</t>
  </si>
  <si>
    <t>06.149.0016</t>
  </si>
  <si>
    <t>06.149.0018</t>
  </si>
  <si>
    <t>06.149.0020</t>
  </si>
  <si>
    <t>06.149.0021</t>
  </si>
  <si>
    <t>06.150.0002</t>
  </si>
  <si>
    <t>06.150.0003</t>
  </si>
  <si>
    <t>06.150.0004</t>
  </si>
  <si>
    <t>06.150.0006</t>
  </si>
  <si>
    <t>06.150.0007</t>
  </si>
  <si>
    <t>06.150.0008</t>
  </si>
  <si>
    <t>06.150.0010</t>
  </si>
  <si>
    <t>06.150.0011</t>
  </si>
  <si>
    <t>06.150.0012</t>
  </si>
  <si>
    <t>06.150.0014</t>
  </si>
  <si>
    <t>06.152.0003</t>
  </si>
  <si>
    <t>06.152.0004</t>
  </si>
  <si>
    <t>06.152.0005</t>
  </si>
  <si>
    <t>06.152.0007</t>
  </si>
  <si>
    <t>06.152.0008</t>
  </si>
  <si>
    <t>06.152.0009</t>
  </si>
  <si>
    <t>06.152.0011</t>
  </si>
  <si>
    <t>06.152.0012</t>
  </si>
  <si>
    <t>06.152.0015</t>
  </si>
  <si>
    <t>06.152.0019</t>
  </si>
  <si>
    <t>06.152.0020</t>
  </si>
  <si>
    <t>06.152.0021</t>
  </si>
  <si>
    <t>06.152.0022</t>
  </si>
  <si>
    <t>06.152.0024</t>
  </si>
  <si>
    <t>06.152.0025</t>
  </si>
  <si>
    <t>06.152.0026</t>
  </si>
  <si>
    <t>06.152.0029</t>
  </si>
  <si>
    <t>06.152.0037</t>
  </si>
  <si>
    <t>06.152.0039</t>
  </si>
  <si>
    <t>06.153.0006</t>
  </si>
  <si>
    <t>06.153.0007</t>
  </si>
  <si>
    <t>06.153.0008</t>
  </si>
  <si>
    <t>06.156.0001</t>
  </si>
  <si>
    <t>06.156.0002</t>
  </si>
  <si>
    <t>06.156.0003</t>
  </si>
  <si>
    <t>06.157.0001</t>
  </si>
  <si>
    <t>06.157.0002</t>
  </si>
  <si>
    <t>06.157.0003</t>
  </si>
  <si>
    <t>06.158.0001</t>
  </si>
  <si>
    <t>06.158.0002</t>
  </si>
  <si>
    <t>06.159.0001</t>
  </si>
  <si>
    <t>06.159.0002</t>
  </si>
  <si>
    <t>06.160.0002</t>
  </si>
  <si>
    <t>06.160.0003</t>
  </si>
  <si>
    <t>06.160.0004</t>
  </si>
  <si>
    <t>06.160.0005</t>
  </si>
  <si>
    <t>06.160.0006</t>
  </si>
  <si>
    <t>06.161.0001</t>
  </si>
  <si>
    <t>06.161.0002</t>
  </si>
  <si>
    <t>06.161.0003</t>
  </si>
  <si>
    <t>06.161.0004</t>
  </si>
  <si>
    <t>06.161.0005</t>
  </si>
  <si>
    <t>06.161.0007</t>
  </si>
  <si>
    <t>06.162.0001</t>
  </si>
  <si>
    <t>06.162.0002</t>
  </si>
  <si>
    <t>06.163.0001</t>
  </si>
  <si>
    <t>06.163.0002</t>
  </si>
  <si>
    <t>06.163.0003</t>
  </si>
  <si>
    <t>06.163.0004</t>
  </si>
  <si>
    <t>06.164.0002</t>
  </si>
  <si>
    <t>06.165.0002</t>
  </si>
  <si>
    <t>06.165.0003</t>
  </si>
  <si>
    <t>06.166.0001</t>
  </si>
  <si>
    <t>06.166.0003</t>
  </si>
  <si>
    <t>06.166.0004</t>
  </si>
  <si>
    <t>06.166.0005</t>
  </si>
  <si>
    <t>06.166.0007</t>
  </si>
  <si>
    <t>06.166.0008</t>
  </si>
  <si>
    <t>06.166.0009</t>
  </si>
  <si>
    <t>06.166.0011</t>
  </si>
  <si>
    <t>06.166.0013</t>
  </si>
  <si>
    <t>06.166.0016</t>
  </si>
  <si>
    <t>06.168.0001</t>
  </si>
  <si>
    <t>06.169.0001</t>
  </si>
  <si>
    <t>06.169.0003</t>
  </si>
  <si>
    <t>06.169.0007</t>
  </si>
  <si>
    <t>06.169.0008</t>
  </si>
  <si>
    <t>06.169.0009</t>
  </si>
  <si>
    <t>06.169.0012</t>
  </si>
  <si>
    <t>06.169.0013</t>
  </si>
  <si>
    <t>06.169.0014</t>
  </si>
  <si>
    <t>06.169.0015</t>
  </si>
  <si>
    <t>06.169.0017</t>
  </si>
  <si>
    <t>06.169.0018</t>
  </si>
  <si>
    <t>06.169.0019</t>
  </si>
  <si>
    <t>06.169.0024</t>
  </si>
  <si>
    <t>06.169.0025</t>
  </si>
  <si>
    <t>06.169.0026</t>
  </si>
  <si>
    <t>06.169.0027</t>
  </si>
  <si>
    <t>06.169.0028</t>
  </si>
  <si>
    <t>06.169.0029</t>
  </si>
  <si>
    <t>06.169.0030</t>
  </si>
  <si>
    <t>06.169.0031</t>
  </si>
  <si>
    <t>06.169.0032</t>
  </si>
  <si>
    <t>06.169.0048</t>
  </si>
  <si>
    <t>06.169.0049</t>
  </si>
  <si>
    <t>06.169.0050</t>
  </si>
  <si>
    <t>06.171.0001</t>
  </si>
  <si>
    <t>06.171.0002</t>
  </si>
  <si>
    <t>06.171.0003</t>
  </si>
  <si>
    <t>06.173.0001</t>
  </si>
  <si>
    <t>06.173.0007</t>
  </si>
  <si>
    <t>06.173.0008</t>
  </si>
  <si>
    <t>06.173.0009</t>
  </si>
  <si>
    <t>06.174.0002</t>
  </si>
  <si>
    <t>06.174.0007</t>
  </si>
  <si>
    <t>06.174.0008</t>
  </si>
  <si>
    <t>06.174.0010</t>
  </si>
  <si>
    <t>06.175.0001</t>
  </si>
  <si>
    <t>06.175.0005</t>
  </si>
  <si>
    <t>06.175.0006</t>
  </si>
  <si>
    <t>06.175.0007</t>
  </si>
  <si>
    <t>06.175.0008</t>
  </si>
  <si>
    <t>06.176.0001</t>
  </si>
  <si>
    <t>06.176.0002</t>
  </si>
  <si>
    <t>06.176.0005</t>
  </si>
  <si>
    <t>06.176.0009</t>
  </si>
  <si>
    <t>06.176.0012</t>
  </si>
  <si>
    <t>06.176.0013</t>
  </si>
  <si>
    <t>06.177.0006</t>
  </si>
  <si>
    <t>06.178.0001</t>
  </si>
  <si>
    <t>06.178.0002</t>
  </si>
  <si>
    <t>06.178.0003</t>
  </si>
  <si>
    <t>06.178.0004</t>
  </si>
  <si>
    <t>06.180.0001</t>
  </si>
  <si>
    <t>06.180.0002</t>
  </si>
  <si>
    <t>06.180.0009</t>
  </si>
  <si>
    <t>06.180.0010</t>
  </si>
  <si>
    <t>06.180.0011</t>
  </si>
  <si>
    <t>06.180.0012</t>
  </si>
  <si>
    <t>06.180.0013</t>
  </si>
  <si>
    <t>06.180.0016</t>
  </si>
  <si>
    <t>06.180.0018</t>
  </si>
  <si>
    <t>06.181.0001</t>
  </si>
  <si>
    <t>06.181.0002</t>
  </si>
  <si>
    <t>06.181.0003</t>
  </si>
  <si>
    <t>06.181.0004</t>
  </si>
  <si>
    <t>06.181.0005</t>
  </si>
  <si>
    <t>06.181.0006</t>
  </si>
  <si>
    <t>06.181.0007</t>
  </si>
  <si>
    <t>06.181.0008</t>
  </si>
  <si>
    <t>06.181.0009</t>
  </si>
  <si>
    <t>06.181.0010</t>
  </si>
  <si>
    <t>06.181.0011</t>
  </si>
  <si>
    <t>06.181.0013</t>
  </si>
  <si>
    <t>06.181.0014</t>
  </si>
  <si>
    <t>06.181.0015</t>
  </si>
  <si>
    <t>06.181.0016</t>
  </si>
  <si>
    <t>06.181.0017</t>
  </si>
  <si>
    <t>06.182.0001</t>
  </si>
  <si>
    <t>06.183.0002</t>
  </si>
  <si>
    <t>06.184.0001</t>
  </si>
  <si>
    <t>06.185.0002</t>
  </si>
  <si>
    <t>06.185.0003</t>
  </si>
  <si>
    <t>06.185.0004</t>
  </si>
  <si>
    <t>06.185.0005</t>
  </si>
  <si>
    <t>06.185.0006</t>
  </si>
  <si>
    <t>06.185.0007</t>
  </si>
  <si>
    <t>06.186.0001</t>
  </si>
  <si>
    <t>06.186.0002</t>
  </si>
  <si>
    <t>06.186.0005</t>
  </si>
  <si>
    <t>06.187.0001</t>
  </si>
  <si>
    <t>06.189.0001</t>
  </si>
  <si>
    <t>06.190.0001</t>
  </si>
  <si>
    <t>06.190.0002</t>
  </si>
  <si>
    <t>06.191.0001</t>
  </si>
  <si>
    <t>06.193.0001</t>
  </si>
  <si>
    <t>06.195.0001</t>
  </si>
  <si>
    <t>06.199.0001</t>
  </si>
  <si>
    <t>06.200.0001</t>
  </si>
  <si>
    <t>06.201.0001</t>
  </si>
  <si>
    <t>06.202.0001</t>
  </si>
  <si>
    <t>06.202.0002</t>
  </si>
  <si>
    <t>06.204.0001</t>
  </si>
  <si>
    <t>06.204.0002</t>
  </si>
  <si>
    <t>06.204.0003</t>
  </si>
  <si>
    <t>06.206.0001</t>
  </si>
  <si>
    <t>06.207.0001</t>
  </si>
  <si>
    <t>06.207.0002</t>
  </si>
  <si>
    <t>06.209.0001</t>
  </si>
  <si>
    <t>06.210.0002</t>
  </si>
  <si>
    <t>06.210.0004</t>
  </si>
  <si>
    <t>06.210.0005</t>
  </si>
  <si>
    <t>06.210.0006</t>
  </si>
  <si>
    <t>06.210.0007</t>
  </si>
  <si>
    <t>06.210.0008</t>
  </si>
  <si>
    <t>06.211.0001</t>
  </si>
  <si>
    <t>06.213.0001</t>
  </si>
  <si>
    <t>10.001.0001</t>
  </si>
  <si>
    <t>10.001.0006</t>
  </si>
  <si>
    <t>10.001.0007</t>
  </si>
  <si>
    <t>10.004.0002</t>
  </si>
  <si>
    <t>10.005.0003</t>
  </si>
  <si>
    <t>10.005.0004</t>
  </si>
  <si>
    <t>10.007.0002</t>
  </si>
  <si>
    <t>10.007.0003</t>
  </si>
  <si>
    <t>10.008.0003</t>
  </si>
  <si>
    <t>10.008.0004</t>
  </si>
  <si>
    <t>10.010.0001</t>
  </si>
  <si>
    <t>10.012.0015</t>
  </si>
  <si>
    <t>10.012.0016</t>
  </si>
  <si>
    <t>10.012.0017</t>
  </si>
  <si>
    <t>10.018.0002</t>
  </si>
  <si>
    <t>10.022.0001</t>
  </si>
  <si>
    <t>10.023.0001</t>
  </si>
  <si>
    <t>10.024.0001</t>
  </si>
  <si>
    <t>10.025.0001</t>
  </si>
</sst>
</file>

<file path=xl/styles.xml><?xml version="1.0" encoding="utf-8"?>
<styleSheet xmlns="http://schemas.openxmlformats.org/spreadsheetml/2006/main">
  <numFmts count="1">
    <numFmt numFmtId="164" formatCode="&quot;$&quot;\ #,##0.00"/>
  </numFmts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NumberFormat="1"/>
    <xf numFmtId="164" fontId="0" fillId="0" borderId="0" xfId="0" applyNumberFormat="1"/>
  </cellXfs>
  <cellStyles count="1">
    <cellStyle name="Normal" xfId="0" builtinId="0"/>
  </cellStyles>
  <dxfs count="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&quot;$&quot;\ #,##0.00"/>
    </dxf>
    <dxf>
      <numFmt numFmtId="164" formatCode="&quot;$&quot;\ #,##0.00"/>
    </dxf>
    <dxf>
      <numFmt numFmtId="164" formatCode="&quot;$&quot;\ #,##0.00"/>
    </dxf>
    <dxf>
      <numFmt numFmtId="164" formatCode="&quot;$&quot;\ #,##0.00"/>
    </dxf>
    <dxf>
      <numFmt numFmtId="164" formatCode="&quot;$&quot;\ #,##0.00"/>
    </dxf>
    <dxf>
      <numFmt numFmtId="164" formatCode="&quot;$&quot;\ #,##0.00"/>
    </dxf>
    <dxf>
      <numFmt numFmtId="164" formatCode="&quot;$&quot;\ #,##0.00"/>
    </dxf>
    <dxf>
      <numFmt numFmtId="164" formatCode="&quot;$&quot;\ #,##0.00"/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/Relationships>
</file>

<file path=xl/queryTables/queryTable1.xml><?xml version="1.0" encoding="utf-8"?>
<queryTable xmlns="http://schemas.openxmlformats.org/spreadsheetml/2006/main" name="Consulta desde ODBC MySQL en AGROTA" connectionId="3" autoFormatId="16" applyNumberFormats="0" applyBorderFormats="0" applyFontFormats="0" applyPatternFormats="0" applyAlignmentFormats="0" applyWidthHeightFormats="0">
  <queryTableRefresh nextId="6">
    <queryTableFields count="5">
      <queryTableField id="1" name="EMPRESA" tableColumnId="1"/>
      <queryTableField id="2" name="CODIGO" tableColumnId="2"/>
      <queryTableField id="3" name="DESCRIPCION" tableColumnId="3"/>
      <queryTableField id="4" name="GRUPO" tableColumnId="4"/>
      <queryTableField id="5" name="LINEA" tableColumnId="5"/>
    </queryTableFields>
  </queryTableRefresh>
</queryTable>
</file>

<file path=xl/queryTables/queryTable2.xml><?xml version="1.0" encoding="utf-8"?>
<queryTable xmlns="http://schemas.openxmlformats.org/spreadsheetml/2006/main" name="Consulta desde ODBC MySQL en AGROTA" backgroundRefresh="0" connectionId="2" autoFormatId="16" applyNumberFormats="0" applyBorderFormats="0" applyFontFormats="0" applyPatternFormats="0" applyAlignmentFormats="0" applyWidthHeightFormats="0">
  <queryTableRefresh nextId="43" unboundColumnsRight="2">
    <queryTableFields count="9">
      <queryTableField id="40" name="EMPRESA" tableColumnId="1"/>
      <queryTableField id="24" name="CODIGO" tableColumnId="3"/>
      <queryTableField id="28" name="DESCRIPCION" tableColumnId="7"/>
      <queryTableField id="35" name="GRUPO" tableColumnId="5"/>
      <queryTableField id="36" name="LINEA" tableColumnId="6"/>
      <queryTableField id="29" name="COSTO" tableColumnId="8"/>
      <queryTableField id="30" name="EXISTENCIA" tableColumnId="9"/>
      <queryTableField id="42" dataBound="0" tableColumnId="2"/>
      <queryTableField id="31" dataBound="0" tableColumnId="10"/>
    </queryTableFields>
  </queryTableRefresh>
</queryTable>
</file>

<file path=xl/queryTables/queryTable3.xml><?xml version="1.0" encoding="utf-8"?>
<queryTable xmlns="http://schemas.openxmlformats.org/spreadsheetml/2006/main" name="Consulta desde DatosConsolidados" backgroundRefresh="0" connectionId="1" autoFormatId="16" applyNumberFormats="0" applyBorderFormats="0" applyFontFormats="0" applyPatternFormats="0" applyAlignmentFormats="0" applyWidthHeightFormats="0">
  <queryTableRefresh nextId="19">
    <queryTableFields count="7">
      <queryTableField id="14" name="Empresa" tableColumnId="1"/>
      <queryTableField id="3" name="Codigo" tableColumnId="3"/>
      <queryTableField id="16" dataBound="0" tableColumnId="2"/>
      <queryTableField id="17" dataBound="0" tableColumnId="6"/>
      <queryTableField id="18" dataBound="0" tableColumnId="7"/>
      <queryTableField id="11" name="BUFF TOTALES" tableColumnId="4"/>
      <queryTableField id="12" name="INV TOTAL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id="1" name="Tabla_Items_Completos" displayName="Tabla_Items_Completos" ref="A1:E3260" tableType="queryTable" totalsRowShown="0">
  <autoFilter ref="A1:E3260"/>
  <tableColumns count="5">
    <tableColumn id="1" uniqueName="1" name="EMPRESA" queryTableFieldId="1"/>
    <tableColumn id="2" uniqueName="2" name="CODIGO" queryTableFieldId="2"/>
    <tableColumn id="3" uniqueName="3" name="DESCRIPCION" queryTableFieldId="3"/>
    <tableColumn id="4" uniqueName="4" name="GRUPO" queryTableFieldId="4"/>
    <tableColumn id="5" uniqueName="5" name="LINEA" queryTableFieldId="5"/>
  </tableColumns>
  <tableStyleInfo name="TableStyleLight17" showFirstColumn="0" showLastColumn="0" showRowStripes="1" showColumnStripes="0"/>
</table>
</file>

<file path=xl/tables/table2.xml><?xml version="1.0" encoding="utf-8"?>
<table xmlns="http://schemas.openxmlformats.org/spreadsheetml/2006/main" id="5" name="Tabla_Items_Con_Existencia" displayName="Tabla_Items_Con_Existencia" ref="A1:I3488" tableType="queryTable" totalsRowShown="0">
  <autoFilter ref="A1:I3488"/>
  <tableColumns count="9">
    <tableColumn id="1" uniqueName="1" name="EMPRESA" queryTableFieldId="40" dataDxfId="11"/>
    <tableColumn id="3" uniqueName="3" name="CODIGO" queryTableFieldId="24" dataDxfId="10"/>
    <tableColumn id="7" uniqueName="7" name="DESCRIPCION" queryTableFieldId="28" dataDxfId="9"/>
    <tableColumn id="5" uniqueName="5" name="GRUPO" queryTableFieldId="35" dataDxfId="8"/>
    <tableColumn id="6" uniqueName="6" name="LINEA" queryTableFieldId="36" dataDxfId="7"/>
    <tableColumn id="8" uniqueName="8" name="COSTO" queryTableFieldId="29" dataDxfId="6"/>
    <tableColumn id="9" uniqueName="9" name="EXISTENCIA" queryTableFieldId="30" dataDxfId="5"/>
    <tableColumn id="2" uniqueName="2" name="COSTO TOTAL" queryTableFieldId="42" dataDxfId="4">
      <calculatedColumnFormula>Tabla_Items_Con_Existencia[[#This Row],[COSTO]]*Tabla_Items_Con_Existencia[[#This Row],[EXISTENCIA]]</calculatedColumnFormula>
    </tableColumn>
    <tableColumn id="10" uniqueName="10" name="ACTIVO" queryTableFieldId="31" dataDxfId="3">
      <calculatedColumnFormula>IF(ISERROR(MATCH(Tabla_Items_Con_Existencia[[#This Row],[CODIGO]],Tabla_Items_Activos[CODIGO],0)),0,1)</calculatedColumnFormula>
    </tableColumn>
  </tableColumns>
  <tableStyleInfo name="TableStyleLight21" showFirstColumn="0" showLastColumn="0" showRowStripes="1" showColumnStripes="0"/>
</table>
</file>

<file path=xl/tables/table3.xml><?xml version="1.0" encoding="utf-8"?>
<table xmlns="http://schemas.openxmlformats.org/spreadsheetml/2006/main" id="2" name="Tabla_Items_Activos" displayName="Tabla_Items_Activos" ref="A1:G2253" tableType="queryTable" totalsRowShown="0">
  <autoFilter ref="A1:G2253"/>
  <tableColumns count="7">
    <tableColumn id="1" uniqueName="1" name="Empresa" queryTableFieldId="14"/>
    <tableColumn id="3" uniqueName="3" name="CODIGO" queryTableFieldId="3"/>
    <tableColumn id="2" uniqueName="2" name="DESCRIPCION" queryTableFieldId="16" dataDxfId="2">
      <calculatedColumnFormula>VLOOKUP(Tabla_Items_Activos[[#This Row],[CODIGO]],Tabla_Items_Completos[[CODIGO]:[LINEA]],2,0)</calculatedColumnFormula>
    </tableColumn>
    <tableColumn id="6" uniqueName="6" name="GRUPO" queryTableFieldId="17" dataDxfId="1">
      <calculatedColumnFormula>VLOOKUP(Tabla_Items_Activos[[#This Row],[CODIGO]],Tabla_Items_Completos[[CODIGO]:[LINEA]],3,0)</calculatedColumnFormula>
    </tableColumn>
    <tableColumn id="7" uniqueName="7" name="LINEA" queryTableFieldId="18" dataDxfId="0">
      <calculatedColumnFormula>VLOOKUP(Tabla_Items_Activos[[#This Row],[CODIGO]],Tabla_Items_Completos[[CODIGO]:[LINEA]],4,0)</calculatedColumnFormula>
    </tableColumn>
    <tableColumn id="4" uniqueName="4" name="BUFF TOTALES" queryTableFieldId="11"/>
    <tableColumn id="5" uniqueName="5" name="INV TOTAL" queryTableFieldId="12"/>
  </tableColumns>
  <tableStyleInfo name="TableStyleMedium16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4"/>
  <dimension ref="A1:E3260"/>
  <sheetViews>
    <sheetView showGridLines="0" zoomScale="85" zoomScaleNormal="85" workbookViewId="0">
      <selection activeCell="C23" sqref="C23"/>
    </sheetView>
  </sheetViews>
  <sheetFormatPr baseColWidth="10" defaultRowHeight="15"/>
  <cols>
    <col min="1" max="1" width="13.140625" bestFit="1" customWidth="1"/>
    <col min="2" max="2" width="28" bestFit="1" customWidth="1"/>
    <col min="3" max="3" width="81.140625" bestFit="1" customWidth="1"/>
    <col min="4" max="4" width="58.140625" bestFit="1" customWidth="1"/>
    <col min="5" max="5" width="15" bestFit="1" customWidth="1"/>
  </cols>
  <sheetData>
    <row r="1" spans="1:5">
      <c r="A1" t="s">
        <v>5240</v>
      </c>
      <c r="B1" t="s">
        <v>2</v>
      </c>
      <c r="C1" t="s">
        <v>3</v>
      </c>
      <c r="D1" t="s">
        <v>5234</v>
      </c>
      <c r="E1" t="s">
        <v>5235</v>
      </c>
    </row>
    <row r="2" spans="1:5">
      <c r="A2" t="s">
        <v>5241</v>
      </c>
      <c r="B2" t="s">
        <v>5242</v>
      </c>
      <c r="C2" t="s">
        <v>5243</v>
      </c>
      <c r="D2" t="s">
        <v>5157</v>
      </c>
      <c r="E2" t="s">
        <v>5157</v>
      </c>
    </row>
    <row r="3" spans="1:5">
      <c r="A3" t="s">
        <v>5241</v>
      </c>
      <c r="B3" t="s">
        <v>1143</v>
      </c>
      <c r="C3" t="s">
        <v>1144</v>
      </c>
      <c r="D3" t="s">
        <v>5157</v>
      </c>
      <c r="E3" t="s">
        <v>5157</v>
      </c>
    </row>
    <row r="4" spans="1:5">
      <c r="A4" t="s">
        <v>5244</v>
      </c>
      <c r="B4" t="s">
        <v>1145</v>
      </c>
      <c r="C4" t="s">
        <v>1146</v>
      </c>
      <c r="D4" t="s">
        <v>5157</v>
      </c>
      <c r="E4" t="s">
        <v>5157</v>
      </c>
    </row>
    <row r="5" spans="1:5">
      <c r="A5" t="s">
        <v>5244</v>
      </c>
      <c r="B5" t="s">
        <v>1147</v>
      </c>
      <c r="C5" t="s">
        <v>1148</v>
      </c>
      <c r="D5" t="s">
        <v>5157</v>
      </c>
      <c r="E5" t="s">
        <v>5157</v>
      </c>
    </row>
    <row r="6" spans="1:5">
      <c r="A6" t="s">
        <v>5244</v>
      </c>
      <c r="B6" t="s">
        <v>1149</v>
      </c>
      <c r="C6" t="s">
        <v>1150</v>
      </c>
      <c r="D6" t="s">
        <v>5157</v>
      </c>
      <c r="E6" t="s">
        <v>5157</v>
      </c>
    </row>
    <row r="7" spans="1:5">
      <c r="A7" t="s">
        <v>5244</v>
      </c>
      <c r="B7" t="s">
        <v>1151</v>
      </c>
      <c r="C7" t="s">
        <v>1152</v>
      </c>
      <c r="D7" t="s">
        <v>5157</v>
      </c>
      <c r="E7" t="s">
        <v>5157</v>
      </c>
    </row>
    <row r="8" spans="1:5">
      <c r="A8" t="s">
        <v>5244</v>
      </c>
      <c r="B8" t="s">
        <v>1153</v>
      </c>
      <c r="C8" t="s">
        <v>1154</v>
      </c>
      <c r="D8" t="s">
        <v>5157</v>
      </c>
      <c r="E8" t="s">
        <v>5157</v>
      </c>
    </row>
    <row r="9" spans="1:5">
      <c r="A9" t="s">
        <v>5244</v>
      </c>
      <c r="B9" t="s">
        <v>1155</v>
      </c>
      <c r="C9" t="s">
        <v>1156</v>
      </c>
      <c r="D9" t="s">
        <v>5157</v>
      </c>
      <c r="E9" t="s">
        <v>5157</v>
      </c>
    </row>
    <row r="10" spans="1:5">
      <c r="A10" t="s">
        <v>5244</v>
      </c>
      <c r="B10" t="s">
        <v>1157</v>
      </c>
      <c r="C10" t="s">
        <v>1158</v>
      </c>
      <c r="D10" t="s">
        <v>5157</v>
      </c>
      <c r="E10" t="s">
        <v>5157</v>
      </c>
    </row>
    <row r="11" spans="1:5">
      <c r="A11" t="s">
        <v>5244</v>
      </c>
      <c r="B11" t="s">
        <v>1159</v>
      </c>
      <c r="C11" t="s">
        <v>1160</v>
      </c>
      <c r="D11" t="s">
        <v>5157</v>
      </c>
      <c r="E11" t="s">
        <v>5157</v>
      </c>
    </row>
    <row r="12" spans="1:5">
      <c r="A12" t="s">
        <v>5244</v>
      </c>
      <c r="B12" t="s">
        <v>1161</v>
      </c>
      <c r="C12" t="s">
        <v>1162</v>
      </c>
      <c r="D12" t="s">
        <v>5157</v>
      </c>
      <c r="E12" t="s">
        <v>5157</v>
      </c>
    </row>
    <row r="13" spans="1:5">
      <c r="A13" t="s">
        <v>5244</v>
      </c>
      <c r="B13" t="s">
        <v>1163</v>
      </c>
      <c r="C13" t="s">
        <v>1164</v>
      </c>
      <c r="D13" t="s">
        <v>5157</v>
      </c>
      <c r="E13" t="s">
        <v>5157</v>
      </c>
    </row>
    <row r="14" spans="1:5">
      <c r="A14" t="s">
        <v>5244</v>
      </c>
      <c r="B14" t="s">
        <v>1165</v>
      </c>
      <c r="C14" t="s">
        <v>1166</v>
      </c>
      <c r="D14" t="s">
        <v>5157</v>
      </c>
      <c r="E14" t="s">
        <v>5157</v>
      </c>
    </row>
    <row r="15" spans="1:5">
      <c r="A15" t="s">
        <v>5244</v>
      </c>
      <c r="B15" t="s">
        <v>1167</v>
      </c>
      <c r="C15" t="s">
        <v>1168</v>
      </c>
      <c r="D15" t="s">
        <v>5157</v>
      </c>
      <c r="E15" t="s">
        <v>5157</v>
      </c>
    </row>
    <row r="16" spans="1:5">
      <c r="A16" t="s">
        <v>5244</v>
      </c>
      <c r="B16" t="s">
        <v>1169</v>
      </c>
      <c r="C16" t="s">
        <v>1170</v>
      </c>
      <c r="D16" t="s">
        <v>5157</v>
      </c>
      <c r="E16" t="s">
        <v>5157</v>
      </c>
    </row>
    <row r="17" spans="1:5">
      <c r="A17" t="s">
        <v>5244</v>
      </c>
      <c r="B17" t="s">
        <v>1171</v>
      </c>
      <c r="C17" t="s">
        <v>1172</v>
      </c>
      <c r="D17" t="s">
        <v>5157</v>
      </c>
      <c r="E17" t="s">
        <v>5157</v>
      </c>
    </row>
    <row r="18" spans="1:5">
      <c r="A18" t="s">
        <v>5244</v>
      </c>
      <c r="B18" t="s">
        <v>1173</v>
      </c>
      <c r="C18" t="s">
        <v>1174</v>
      </c>
      <c r="D18" t="s">
        <v>5157</v>
      </c>
      <c r="E18" t="s">
        <v>5157</v>
      </c>
    </row>
    <row r="19" spans="1:5">
      <c r="A19" t="s">
        <v>5244</v>
      </c>
      <c r="B19" t="s">
        <v>1175</v>
      </c>
      <c r="C19" t="s">
        <v>1176</v>
      </c>
      <c r="D19" t="s">
        <v>5157</v>
      </c>
      <c r="E19" t="s">
        <v>5157</v>
      </c>
    </row>
    <row r="20" spans="1:5">
      <c r="A20" t="s">
        <v>5244</v>
      </c>
      <c r="B20" t="s">
        <v>1177</v>
      </c>
      <c r="C20" t="s">
        <v>1178</v>
      </c>
      <c r="D20" t="s">
        <v>5157</v>
      </c>
      <c r="E20" t="s">
        <v>5157</v>
      </c>
    </row>
    <row r="21" spans="1:5">
      <c r="A21" t="s">
        <v>5244</v>
      </c>
      <c r="B21" t="s">
        <v>1179</v>
      </c>
      <c r="C21" t="s">
        <v>1180</v>
      </c>
      <c r="D21" t="s">
        <v>5157</v>
      </c>
      <c r="E21" t="s">
        <v>5157</v>
      </c>
    </row>
    <row r="22" spans="1:5">
      <c r="A22" t="s">
        <v>5244</v>
      </c>
      <c r="B22" t="s">
        <v>5245</v>
      </c>
      <c r="C22" t="s">
        <v>1146</v>
      </c>
      <c r="D22" t="s">
        <v>5157</v>
      </c>
      <c r="E22" t="s">
        <v>5157</v>
      </c>
    </row>
    <row r="23" spans="1:5">
      <c r="A23" t="s">
        <v>5244</v>
      </c>
      <c r="B23" t="s">
        <v>5246</v>
      </c>
      <c r="C23" t="s">
        <v>1148</v>
      </c>
      <c r="D23" t="s">
        <v>5157</v>
      </c>
      <c r="E23" t="s">
        <v>5157</v>
      </c>
    </row>
    <row r="24" spans="1:5">
      <c r="A24" t="s">
        <v>5244</v>
      </c>
      <c r="B24" t="s">
        <v>5247</v>
      </c>
      <c r="C24" t="s">
        <v>5248</v>
      </c>
      <c r="D24" t="s">
        <v>5157</v>
      </c>
      <c r="E24" t="s">
        <v>5157</v>
      </c>
    </row>
    <row r="25" spans="1:5">
      <c r="A25" t="s">
        <v>5244</v>
      </c>
      <c r="B25" t="s">
        <v>5249</v>
      </c>
      <c r="C25" t="s">
        <v>1154</v>
      </c>
      <c r="D25" t="s">
        <v>5157</v>
      </c>
      <c r="E25" t="s">
        <v>5157</v>
      </c>
    </row>
    <row r="26" spans="1:5">
      <c r="A26" t="s">
        <v>5244</v>
      </c>
      <c r="B26" t="s">
        <v>1181</v>
      </c>
      <c r="C26" t="s">
        <v>1182</v>
      </c>
      <c r="D26" t="s">
        <v>5157</v>
      </c>
      <c r="E26" t="s">
        <v>5157</v>
      </c>
    </row>
    <row r="27" spans="1:5">
      <c r="A27" t="s">
        <v>5244</v>
      </c>
      <c r="B27" t="s">
        <v>5250</v>
      </c>
      <c r="C27" t="s">
        <v>1156</v>
      </c>
      <c r="D27" t="s">
        <v>5157</v>
      </c>
      <c r="E27" t="s">
        <v>5157</v>
      </c>
    </row>
    <row r="28" spans="1:5">
      <c r="A28" t="s">
        <v>5244</v>
      </c>
      <c r="B28" t="s">
        <v>5251</v>
      </c>
      <c r="C28" t="s">
        <v>1158</v>
      </c>
      <c r="D28" t="s">
        <v>5157</v>
      </c>
      <c r="E28" t="s">
        <v>5157</v>
      </c>
    </row>
    <row r="29" spans="1:5">
      <c r="A29" t="s">
        <v>5244</v>
      </c>
      <c r="B29" t="s">
        <v>1183</v>
      </c>
      <c r="C29" t="s">
        <v>1184</v>
      </c>
      <c r="D29" t="s">
        <v>5157</v>
      </c>
      <c r="E29" t="s">
        <v>5157</v>
      </c>
    </row>
    <row r="30" spans="1:5">
      <c r="A30" t="s">
        <v>5244</v>
      </c>
      <c r="B30" t="s">
        <v>1185</v>
      </c>
      <c r="C30" t="s">
        <v>1186</v>
      </c>
      <c r="D30" t="s">
        <v>5157</v>
      </c>
      <c r="E30" t="s">
        <v>5157</v>
      </c>
    </row>
    <row r="31" spans="1:5">
      <c r="A31" t="s">
        <v>5244</v>
      </c>
      <c r="B31" t="s">
        <v>1187</v>
      </c>
      <c r="C31" t="s">
        <v>1188</v>
      </c>
      <c r="D31" t="s">
        <v>5157</v>
      </c>
      <c r="E31" t="s">
        <v>5157</v>
      </c>
    </row>
    <row r="32" spans="1:5">
      <c r="A32" t="s">
        <v>5244</v>
      </c>
      <c r="B32" t="s">
        <v>1189</v>
      </c>
      <c r="C32" t="s">
        <v>1190</v>
      </c>
      <c r="D32" t="s">
        <v>5157</v>
      </c>
      <c r="E32" t="s">
        <v>5157</v>
      </c>
    </row>
    <row r="33" spans="1:5">
      <c r="A33" t="s">
        <v>5244</v>
      </c>
      <c r="B33" t="s">
        <v>1191</v>
      </c>
      <c r="C33" t="s">
        <v>1192</v>
      </c>
      <c r="D33" t="s">
        <v>5157</v>
      </c>
      <c r="E33" t="s">
        <v>5157</v>
      </c>
    </row>
    <row r="34" spans="1:5">
      <c r="A34" t="s">
        <v>5244</v>
      </c>
      <c r="B34" t="s">
        <v>1193</v>
      </c>
      <c r="C34" t="s">
        <v>1194</v>
      </c>
      <c r="D34" t="s">
        <v>5157</v>
      </c>
      <c r="E34" t="s">
        <v>5157</v>
      </c>
    </row>
    <row r="35" spans="1:5">
      <c r="A35" t="s">
        <v>5244</v>
      </c>
      <c r="B35" t="s">
        <v>1195</v>
      </c>
      <c r="C35" t="s">
        <v>1196</v>
      </c>
      <c r="D35" t="s">
        <v>5157</v>
      </c>
      <c r="E35" t="s">
        <v>5157</v>
      </c>
    </row>
    <row r="36" spans="1:5">
      <c r="A36" t="s">
        <v>5244</v>
      </c>
      <c r="B36" t="s">
        <v>5252</v>
      </c>
      <c r="C36" t="s">
        <v>5253</v>
      </c>
      <c r="D36" t="s">
        <v>5158</v>
      </c>
      <c r="E36" t="s">
        <v>5159</v>
      </c>
    </row>
    <row r="37" spans="1:5">
      <c r="A37" t="s">
        <v>5244</v>
      </c>
      <c r="B37" t="s">
        <v>5254</v>
      </c>
      <c r="C37" t="s">
        <v>4749</v>
      </c>
      <c r="D37" t="s">
        <v>5158</v>
      </c>
      <c r="E37" t="s">
        <v>5159</v>
      </c>
    </row>
    <row r="38" spans="1:5">
      <c r="A38" t="s">
        <v>5244</v>
      </c>
      <c r="B38" t="s">
        <v>5255</v>
      </c>
      <c r="C38" t="s">
        <v>5256</v>
      </c>
      <c r="D38" t="s">
        <v>5157</v>
      </c>
      <c r="E38" t="s">
        <v>5157</v>
      </c>
    </row>
    <row r="39" spans="1:5">
      <c r="A39" t="s">
        <v>5244</v>
      </c>
      <c r="B39" t="s">
        <v>5257</v>
      </c>
      <c r="C39" t="s">
        <v>4648</v>
      </c>
      <c r="D39" t="s">
        <v>5202</v>
      </c>
      <c r="E39" t="s">
        <v>5159</v>
      </c>
    </row>
    <row r="40" spans="1:5">
      <c r="A40" t="s">
        <v>5244</v>
      </c>
      <c r="B40" t="s">
        <v>5258</v>
      </c>
      <c r="C40" t="s">
        <v>5259</v>
      </c>
      <c r="D40" t="s">
        <v>5157</v>
      </c>
      <c r="E40" t="s">
        <v>5157</v>
      </c>
    </row>
    <row r="41" spans="1:5">
      <c r="A41" t="s">
        <v>5244</v>
      </c>
      <c r="B41" t="s">
        <v>5260</v>
      </c>
      <c r="C41" t="s">
        <v>5261</v>
      </c>
      <c r="D41" t="s">
        <v>5158</v>
      </c>
      <c r="E41" t="s">
        <v>5159</v>
      </c>
    </row>
    <row r="42" spans="1:5">
      <c r="A42" t="s">
        <v>5244</v>
      </c>
      <c r="B42" t="s">
        <v>1197</v>
      </c>
      <c r="C42" t="s">
        <v>1198</v>
      </c>
      <c r="D42" t="s">
        <v>5158</v>
      </c>
      <c r="E42" t="s">
        <v>5159</v>
      </c>
    </row>
    <row r="43" spans="1:5">
      <c r="A43" t="s">
        <v>5244</v>
      </c>
      <c r="B43" t="s">
        <v>5262</v>
      </c>
      <c r="C43" t="s">
        <v>2058</v>
      </c>
      <c r="D43" t="s">
        <v>5158</v>
      </c>
      <c r="E43" t="s">
        <v>5159</v>
      </c>
    </row>
    <row r="44" spans="1:5">
      <c r="A44" t="s">
        <v>5244</v>
      </c>
      <c r="B44" t="s">
        <v>5263</v>
      </c>
      <c r="C44" t="s">
        <v>5264</v>
      </c>
      <c r="D44" t="s">
        <v>5157</v>
      </c>
      <c r="E44" t="s">
        <v>5157</v>
      </c>
    </row>
    <row r="45" spans="1:5">
      <c r="A45" t="s">
        <v>5244</v>
      </c>
      <c r="B45" t="s">
        <v>8</v>
      </c>
      <c r="C45" t="s">
        <v>1199</v>
      </c>
      <c r="D45" t="s">
        <v>5158</v>
      </c>
      <c r="E45" t="s">
        <v>5159</v>
      </c>
    </row>
    <row r="46" spans="1:5">
      <c r="A46" t="s">
        <v>5244</v>
      </c>
      <c r="B46" t="s">
        <v>9</v>
      </c>
      <c r="C46" t="s">
        <v>1200</v>
      </c>
      <c r="D46" t="s">
        <v>5157</v>
      </c>
      <c r="E46" t="s">
        <v>5157</v>
      </c>
    </row>
    <row r="47" spans="1:5">
      <c r="A47" t="s">
        <v>5244</v>
      </c>
      <c r="B47" t="s">
        <v>10</v>
      </c>
      <c r="C47" t="s">
        <v>1201</v>
      </c>
      <c r="D47" t="s">
        <v>5158</v>
      </c>
      <c r="E47" t="s">
        <v>5159</v>
      </c>
    </row>
    <row r="48" spans="1:5">
      <c r="A48" t="s">
        <v>5244</v>
      </c>
      <c r="B48" t="s">
        <v>11</v>
      </c>
      <c r="C48" t="s">
        <v>1202</v>
      </c>
      <c r="D48" t="s">
        <v>5157</v>
      </c>
      <c r="E48" t="s">
        <v>5157</v>
      </c>
    </row>
    <row r="49" spans="1:5">
      <c r="A49" t="s">
        <v>5244</v>
      </c>
      <c r="B49" t="s">
        <v>12</v>
      </c>
      <c r="C49" t="s">
        <v>1203</v>
      </c>
      <c r="D49" t="s">
        <v>5157</v>
      </c>
      <c r="E49" t="s">
        <v>5157</v>
      </c>
    </row>
    <row r="50" spans="1:5">
      <c r="A50" t="s">
        <v>5241</v>
      </c>
      <c r="B50" t="s">
        <v>5265</v>
      </c>
      <c r="C50" t="s">
        <v>5266</v>
      </c>
      <c r="D50" t="s">
        <v>5209</v>
      </c>
      <c r="E50" t="s">
        <v>5212</v>
      </c>
    </row>
    <row r="51" spans="1:5">
      <c r="A51" t="s">
        <v>5241</v>
      </c>
      <c r="B51" t="s">
        <v>1204</v>
      </c>
      <c r="C51" t="s">
        <v>1205</v>
      </c>
      <c r="D51" t="s">
        <v>5157</v>
      </c>
      <c r="E51" t="s">
        <v>5157</v>
      </c>
    </row>
    <row r="52" spans="1:5">
      <c r="A52" t="s">
        <v>5244</v>
      </c>
      <c r="B52" t="s">
        <v>5267</v>
      </c>
      <c r="C52" t="s">
        <v>5268</v>
      </c>
      <c r="D52" t="s">
        <v>5157</v>
      </c>
      <c r="E52" t="s">
        <v>5157</v>
      </c>
    </row>
    <row r="53" spans="1:5">
      <c r="A53" t="s">
        <v>5244</v>
      </c>
      <c r="B53" t="s">
        <v>1206</v>
      </c>
      <c r="C53" t="s">
        <v>1207</v>
      </c>
      <c r="D53" t="s">
        <v>5160</v>
      </c>
      <c r="E53" t="s">
        <v>5159</v>
      </c>
    </row>
    <row r="54" spans="1:5">
      <c r="A54" t="s">
        <v>5244</v>
      </c>
      <c r="B54" t="s">
        <v>1208</v>
      </c>
      <c r="C54" t="s">
        <v>1209</v>
      </c>
      <c r="D54" t="s">
        <v>5160</v>
      </c>
      <c r="E54" t="s">
        <v>5159</v>
      </c>
    </row>
    <row r="55" spans="1:5">
      <c r="A55" t="s">
        <v>5244</v>
      </c>
      <c r="B55" t="s">
        <v>1210</v>
      </c>
      <c r="C55" t="s">
        <v>1211</v>
      </c>
      <c r="D55" t="s">
        <v>5157</v>
      </c>
      <c r="E55" t="s">
        <v>5157</v>
      </c>
    </row>
    <row r="56" spans="1:5">
      <c r="A56" t="s">
        <v>5244</v>
      </c>
      <c r="B56" t="s">
        <v>1212</v>
      </c>
      <c r="C56" t="s">
        <v>1213</v>
      </c>
      <c r="D56" t="s">
        <v>5157</v>
      </c>
      <c r="E56" t="s">
        <v>5157</v>
      </c>
    </row>
    <row r="57" spans="1:5">
      <c r="A57" t="s">
        <v>5244</v>
      </c>
      <c r="B57" t="s">
        <v>1214</v>
      </c>
      <c r="C57" t="s">
        <v>1215</v>
      </c>
      <c r="D57" t="s">
        <v>5161</v>
      </c>
      <c r="E57" t="s">
        <v>5159</v>
      </c>
    </row>
    <row r="58" spans="1:5">
      <c r="A58" t="s">
        <v>5241</v>
      </c>
      <c r="B58" t="s">
        <v>1216</v>
      </c>
      <c r="C58" t="s">
        <v>1217</v>
      </c>
      <c r="D58" t="s">
        <v>5162</v>
      </c>
      <c r="E58" t="s">
        <v>5163</v>
      </c>
    </row>
    <row r="59" spans="1:5">
      <c r="A59" t="s">
        <v>5241</v>
      </c>
      <c r="B59" t="s">
        <v>1218</v>
      </c>
      <c r="C59" t="s">
        <v>1219</v>
      </c>
      <c r="D59" t="s">
        <v>5157</v>
      </c>
      <c r="E59" t="s">
        <v>5157</v>
      </c>
    </row>
    <row r="60" spans="1:5">
      <c r="A60" t="s">
        <v>5241</v>
      </c>
      <c r="B60" t="s">
        <v>1220</v>
      </c>
      <c r="C60" t="s">
        <v>1221</v>
      </c>
      <c r="D60" t="s">
        <v>5157</v>
      </c>
      <c r="E60" t="s">
        <v>5157</v>
      </c>
    </row>
    <row r="61" spans="1:5">
      <c r="A61" t="s">
        <v>5241</v>
      </c>
      <c r="B61" t="s">
        <v>1222</v>
      </c>
      <c r="C61" t="s">
        <v>1223</v>
      </c>
      <c r="D61" t="s">
        <v>5162</v>
      </c>
      <c r="E61" t="s">
        <v>5163</v>
      </c>
    </row>
    <row r="62" spans="1:5">
      <c r="A62" t="s">
        <v>5244</v>
      </c>
      <c r="B62" t="s">
        <v>5269</v>
      </c>
      <c r="C62" t="s">
        <v>4827</v>
      </c>
      <c r="D62" t="s">
        <v>5158</v>
      </c>
      <c r="E62" t="s">
        <v>5159</v>
      </c>
    </row>
    <row r="63" spans="1:5">
      <c r="A63" t="s">
        <v>5244</v>
      </c>
      <c r="B63" t="s">
        <v>5270</v>
      </c>
      <c r="C63" t="s">
        <v>5271</v>
      </c>
      <c r="D63" t="s">
        <v>5157</v>
      </c>
      <c r="E63" t="s">
        <v>5157</v>
      </c>
    </row>
    <row r="64" spans="1:5">
      <c r="A64" t="s">
        <v>5244</v>
      </c>
      <c r="B64" t="s">
        <v>5272</v>
      </c>
      <c r="C64" t="s">
        <v>5273</v>
      </c>
      <c r="D64" t="s">
        <v>5158</v>
      </c>
      <c r="E64" t="s">
        <v>5159</v>
      </c>
    </row>
    <row r="65" spans="1:5">
      <c r="A65" t="s">
        <v>5244</v>
      </c>
      <c r="B65" t="s">
        <v>5274</v>
      </c>
      <c r="C65" t="s">
        <v>4719</v>
      </c>
      <c r="D65" t="s">
        <v>5158</v>
      </c>
      <c r="E65" t="s">
        <v>5159</v>
      </c>
    </row>
    <row r="66" spans="1:5">
      <c r="A66" t="s">
        <v>5244</v>
      </c>
      <c r="B66" t="s">
        <v>5275</v>
      </c>
      <c r="C66" t="s">
        <v>5276</v>
      </c>
      <c r="D66" t="s">
        <v>5158</v>
      </c>
      <c r="E66" t="s">
        <v>5159</v>
      </c>
    </row>
    <row r="67" spans="1:5">
      <c r="A67" t="s">
        <v>5244</v>
      </c>
      <c r="B67" t="s">
        <v>1224</v>
      </c>
      <c r="C67" t="s">
        <v>1225</v>
      </c>
      <c r="D67" t="s">
        <v>5164</v>
      </c>
      <c r="E67" t="s">
        <v>5165</v>
      </c>
    </row>
    <row r="68" spans="1:5">
      <c r="A68" t="s">
        <v>5241</v>
      </c>
      <c r="B68" t="s">
        <v>5277</v>
      </c>
      <c r="C68" t="s">
        <v>5278</v>
      </c>
      <c r="D68" t="s">
        <v>5209</v>
      </c>
      <c r="E68" t="s">
        <v>5212</v>
      </c>
    </row>
    <row r="69" spans="1:5">
      <c r="A69" t="s">
        <v>5241</v>
      </c>
      <c r="B69" t="s">
        <v>5279</v>
      </c>
      <c r="C69" t="s">
        <v>5280</v>
      </c>
      <c r="D69" t="s">
        <v>5209</v>
      </c>
      <c r="E69" t="s">
        <v>5212</v>
      </c>
    </row>
    <row r="70" spans="1:5">
      <c r="A70" t="s">
        <v>5241</v>
      </c>
      <c r="B70" t="s">
        <v>1226</v>
      </c>
      <c r="C70" t="s">
        <v>1227</v>
      </c>
      <c r="D70" t="s">
        <v>5166</v>
      </c>
      <c r="E70" t="s">
        <v>5163</v>
      </c>
    </row>
    <row r="71" spans="1:5">
      <c r="A71" t="s">
        <v>5241</v>
      </c>
      <c r="B71" t="s">
        <v>5281</v>
      </c>
      <c r="C71" t="s">
        <v>5282</v>
      </c>
      <c r="D71" t="s">
        <v>5211</v>
      </c>
      <c r="E71" t="s">
        <v>5213</v>
      </c>
    </row>
    <row r="72" spans="1:5">
      <c r="A72" t="s">
        <v>5241</v>
      </c>
      <c r="B72" t="s">
        <v>1228</v>
      </c>
      <c r="C72" t="s">
        <v>1229</v>
      </c>
      <c r="D72" t="s">
        <v>5166</v>
      </c>
      <c r="E72" t="s">
        <v>5163</v>
      </c>
    </row>
    <row r="73" spans="1:5">
      <c r="A73" t="s">
        <v>5241</v>
      </c>
      <c r="B73" t="s">
        <v>5283</v>
      </c>
      <c r="C73" t="s">
        <v>5284</v>
      </c>
      <c r="D73" t="s">
        <v>5211</v>
      </c>
      <c r="E73" t="s">
        <v>5214</v>
      </c>
    </row>
    <row r="74" spans="1:5">
      <c r="A74" t="s">
        <v>5241</v>
      </c>
      <c r="B74" t="s">
        <v>5285</v>
      </c>
      <c r="C74" t="s">
        <v>5286</v>
      </c>
      <c r="D74" t="s">
        <v>5209</v>
      </c>
      <c r="E74" t="s">
        <v>5210</v>
      </c>
    </row>
    <row r="75" spans="1:5">
      <c r="A75" t="s">
        <v>5241</v>
      </c>
      <c r="B75" t="s">
        <v>5287</v>
      </c>
      <c r="C75" t="s">
        <v>5288</v>
      </c>
      <c r="D75" t="s">
        <v>5211</v>
      </c>
      <c r="E75" t="s">
        <v>5213</v>
      </c>
    </row>
    <row r="76" spans="1:5">
      <c r="A76" t="s">
        <v>5241</v>
      </c>
      <c r="B76" t="s">
        <v>5289</v>
      </c>
      <c r="C76" t="s">
        <v>5290</v>
      </c>
      <c r="D76" t="s">
        <v>5209</v>
      </c>
      <c r="E76" t="s">
        <v>5212</v>
      </c>
    </row>
    <row r="77" spans="1:5">
      <c r="A77" t="s">
        <v>5241</v>
      </c>
      <c r="B77" t="s">
        <v>5291</v>
      </c>
      <c r="C77" t="s">
        <v>5292</v>
      </c>
      <c r="D77" t="s">
        <v>5209</v>
      </c>
      <c r="E77" t="s">
        <v>5210</v>
      </c>
    </row>
    <row r="78" spans="1:5">
      <c r="A78" t="s">
        <v>5241</v>
      </c>
      <c r="B78" t="s">
        <v>5293</v>
      </c>
      <c r="C78" t="s">
        <v>5294</v>
      </c>
      <c r="D78" t="s">
        <v>5209</v>
      </c>
      <c r="E78" t="s">
        <v>5210</v>
      </c>
    </row>
    <row r="79" spans="1:5">
      <c r="A79" t="s">
        <v>5241</v>
      </c>
      <c r="B79" t="s">
        <v>5295</v>
      </c>
      <c r="C79" t="s">
        <v>5296</v>
      </c>
      <c r="D79" t="s">
        <v>5209</v>
      </c>
      <c r="E79" t="s">
        <v>5210</v>
      </c>
    </row>
    <row r="80" spans="1:5">
      <c r="A80" t="s">
        <v>5241</v>
      </c>
      <c r="B80" t="s">
        <v>5297</v>
      </c>
      <c r="C80" t="s">
        <v>5298</v>
      </c>
      <c r="D80" t="s">
        <v>5209</v>
      </c>
      <c r="E80" t="s">
        <v>5212</v>
      </c>
    </row>
    <row r="81" spans="1:5">
      <c r="A81" t="s">
        <v>5241</v>
      </c>
      <c r="B81" t="s">
        <v>5299</v>
      </c>
      <c r="C81" t="s">
        <v>5300</v>
      </c>
      <c r="D81" t="s">
        <v>5209</v>
      </c>
      <c r="E81" t="s">
        <v>5212</v>
      </c>
    </row>
    <row r="82" spans="1:5">
      <c r="A82" t="s">
        <v>5241</v>
      </c>
      <c r="B82" t="s">
        <v>5301</v>
      </c>
      <c r="C82" t="s">
        <v>5302</v>
      </c>
      <c r="D82" t="s">
        <v>5209</v>
      </c>
      <c r="E82" t="s">
        <v>5212</v>
      </c>
    </row>
    <row r="83" spans="1:5">
      <c r="A83" t="s">
        <v>5241</v>
      </c>
      <c r="B83" t="s">
        <v>1230</v>
      </c>
      <c r="C83" t="s">
        <v>1231</v>
      </c>
      <c r="D83" t="s">
        <v>5166</v>
      </c>
      <c r="E83" t="s">
        <v>5163</v>
      </c>
    </row>
    <row r="84" spans="1:5">
      <c r="A84" t="s">
        <v>5241</v>
      </c>
      <c r="B84" t="s">
        <v>5303</v>
      </c>
      <c r="C84" t="s">
        <v>5304</v>
      </c>
      <c r="D84" t="s">
        <v>5157</v>
      </c>
      <c r="E84" t="s">
        <v>5157</v>
      </c>
    </row>
    <row r="85" spans="1:5">
      <c r="A85" t="s">
        <v>5241</v>
      </c>
      <c r="B85" t="s">
        <v>5305</v>
      </c>
      <c r="C85" t="s">
        <v>5306</v>
      </c>
      <c r="D85" t="s">
        <v>5157</v>
      </c>
      <c r="E85" t="s">
        <v>5157</v>
      </c>
    </row>
    <row r="86" spans="1:5">
      <c r="A86" t="s">
        <v>5244</v>
      </c>
      <c r="B86" t="s">
        <v>5307</v>
      </c>
      <c r="C86" t="s">
        <v>5307</v>
      </c>
      <c r="D86" t="s">
        <v>5160</v>
      </c>
      <c r="E86" t="s">
        <v>5159</v>
      </c>
    </row>
    <row r="87" spans="1:5">
      <c r="A87" t="s">
        <v>5244</v>
      </c>
      <c r="B87" t="s">
        <v>5308</v>
      </c>
      <c r="C87" t="s">
        <v>5309</v>
      </c>
      <c r="D87" t="s">
        <v>5196</v>
      </c>
      <c r="E87" t="s">
        <v>5159</v>
      </c>
    </row>
    <row r="88" spans="1:5">
      <c r="A88" t="s">
        <v>5244</v>
      </c>
      <c r="B88" t="s">
        <v>5310</v>
      </c>
      <c r="C88" t="s">
        <v>5310</v>
      </c>
      <c r="D88" t="s">
        <v>5196</v>
      </c>
      <c r="E88" t="s">
        <v>5159</v>
      </c>
    </row>
    <row r="89" spans="1:5">
      <c r="A89" t="s">
        <v>5244</v>
      </c>
      <c r="B89" t="s">
        <v>5311</v>
      </c>
      <c r="C89" t="s">
        <v>5311</v>
      </c>
      <c r="D89" t="s">
        <v>5196</v>
      </c>
      <c r="E89" t="s">
        <v>5159</v>
      </c>
    </row>
    <row r="90" spans="1:5">
      <c r="A90" t="s">
        <v>5244</v>
      </c>
      <c r="B90" t="s">
        <v>5312</v>
      </c>
      <c r="C90" t="s">
        <v>5312</v>
      </c>
      <c r="D90" t="s">
        <v>5160</v>
      </c>
      <c r="E90" t="s">
        <v>5159</v>
      </c>
    </row>
    <row r="91" spans="1:5">
      <c r="A91" t="s">
        <v>5244</v>
      </c>
      <c r="B91" t="s">
        <v>5313</v>
      </c>
      <c r="C91" t="s">
        <v>5313</v>
      </c>
      <c r="D91" t="s">
        <v>5160</v>
      </c>
      <c r="E91" t="s">
        <v>5159</v>
      </c>
    </row>
    <row r="92" spans="1:5">
      <c r="A92" t="s">
        <v>5244</v>
      </c>
      <c r="B92" t="s">
        <v>5314</v>
      </c>
      <c r="C92" t="s">
        <v>5314</v>
      </c>
      <c r="D92" t="s">
        <v>5160</v>
      </c>
      <c r="E92" t="s">
        <v>5159</v>
      </c>
    </row>
    <row r="93" spans="1:5">
      <c r="A93" t="s">
        <v>5244</v>
      </c>
      <c r="B93" t="s">
        <v>5315</v>
      </c>
      <c r="C93" t="s">
        <v>5315</v>
      </c>
      <c r="D93" t="s">
        <v>5160</v>
      </c>
      <c r="E93" t="s">
        <v>5159</v>
      </c>
    </row>
    <row r="94" spans="1:5">
      <c r="A94" t="s">
        <v>5244</v>
      </c>
      <c r="B94" t="s">
        <v>5316</v>
      </c>
      <c r="C94" t="s">
        <v>5316</v>
      </c>
      <c r="D94" t="s">
        <v>5160</v>
      </c>
      <c r="E94" t="s">
        <v>5159</v>
      </c>
    </row>
    <row r="95" spans="1:5">
      <c r="A95" t="s">
        <v>5244</v>
      </c>
      <c r="B95" t="s">
        <v>5317</v>
      </c>
      <c r="C95" t="s">
        <v>5317</v>
      </c>
      <c r="D95" t="s">
        <v>5160</v>
      </c>
      <c r="E95" t="s">
        <v>5159</v>
      </c>
    </row>
    <row r="96" spans="1:5">
      <c r="A96" t="s">
        <v>5244</v>
      </c>
      <c r="B96" t="s">
        <v>5318</v>
      </c>
      <c r="C96" t="s">
        <v>5318</v>
      </c>
      <c r="D96" t="s">
        <v>5196</v>
      </c>
      <c r="E96" t="s">
        <v>5159</v>
      </c>
    </row>
    <row r="97" spans="1:5">
      <c r="A97" t="s">
        <v>5244</v>
      </c>
      <c r="B97" t="s">
        <v>5319</v>
      </c>
      <c r="C97" t="s">
        <v>5319</v>
      </c>
      <c r="D97" t="s">
        <v>5196</v>
      </c>
      <c r="E97" t="s">
        <v>5159</v>
      </c>
    </row>
    <row r="98" spans="1:5">
      <c r="A98" t="s">
        <v>5244</v>
      </c>
      <c r="B98" t="s">
        <v>5320</v>
      </c>
      <c r="C98" t="s">
        <v>5321</v>
      </c>
      <c r="D98" t="s">
        <v>5196</v>
      </c>
      <c r="E98" t="s">
        <v>5159</v>
      </c>
    </row>
    <row r="99" spans="1:5">
      <c r="A99" t="s">
        <v>5244</v>
      </c>
      <c r="B99" t="s">
        <v>5322</v>
      </c>
      <c r="C99" t="s">
        <v>5322</v>
      </c>
      <c r="D99" t="s">
        <v>5160</v>
      </c>
      <c r="E99" t="s">
        <v>5159</v>
      </c>
    </row>
    <row r="100" spans="1:5">
      <c r="A100" t="s">
        <v>5244</v>
      </c>
      <c r="B100" t="s">
        <v>5323</v>
      </c>
      <c r="C100" t="s">
        <v>5323</v>
      </c>
      <c r="D100" t="s">
        <v>5208</v>
      </c>
      <c r="E100" t="s">
        <v>5159</v>
      </c>
    </row>
    <row r="101" spans="1:5">
      <c r="A101" t="s">
        <v>5244</v>
      </c>
      <c r="B101" t="s">
        <v>5324</v>
      </c>
      <c r="C101" t="s">
        <v>5324</v>
      </c>
      <c r="D101" t="s">
        <v>5160</v>
      </c>
      <c r="E101" t="s">
        <v>5159</v>
      </c>
    </row>
    <row r="102" spans="1:5">
      <c r="A102" t="s">
        <v>5244</v>
      </c>
      <c r="B102" t="s">
        <v>5325</v>
      </c>
      <c r="C102" t="s">
        <v>5325</v>
      </c>
      <c r="D102" t="s">
        <v>5160</v>
      </c>
      <c r="E102" t="s">
        <v>5159</v>
      </c>
    </row>
    <row r="103" spans="1:5">
      <c r="A103" t="s">
        <v>5244</v>
      </c>
      <c r="B103" t="s">
        <v>5326</v>
      </c>
      <c r="C103" t="s">
        <v>5326</v>
      </c>
      <c r="D103" t="s">
        <v>5160</v>
      </c>
      <c r="E103" t="s">
        <v>5159</v>
      </c>
    </row>
    <row r="104" spans="1:5">
      <c r="A104" t="s">
        <v>5244</v>
      </c>
      <c r="B104" t="s">
        <v>5327</v>
      </c>
      <c r="C104" t="s">
        <v>5327</v>
      </c>
      <c r="D104" t="s">
        <v>5160</v>
      </c>
      <c r="E104" t="s">
        <v>5159</v>
      </c>
    </row>
    <row r="105" spans="1:5">
      <c r="A105" t="s">
        <v>5244</v>
      </c>
      <c r="B105" t="s">
        <v>5328</v>
      </c>
      <c r="C105" t="s">
        <v>5328</v>
      </c>
      <c r="D105" t="s">
        <v>5160</v>
      </c>
      <c r="E105" t="s">
        <v>5159</v>
      </c>
    </row>
    <row r="106" spans="1:5">
      <c r="A106" t="s">
        <v>5244</v>
      </c>
      <c r="B106" t="s">
        <v>5329</v>
      </c>
      <c r="C106" t="s">
        <v>5329</v>
      </c>
      <c r="D106" t="s">
        <v>5196</v>
      </c>
      <c r="E106" t="s">
        <v>5159</v>
      </c>
    </row>
    <row r="107" spans="1:5">
      <c r="A107" t="s">
        <v>5244</v>
      </c>
      <c r="B107" t="s">
        <v>5330</v>
      </c>
      <c r="C107" t="s">
        <v>5330</v>
      </c>
      <c r="D107" t="s">
        <v>5196</v>
      </c>
      <c r="E107" t="s">
        <v>5159</v>
      </c>
    </row>
    <row r="108" spans="1:5">
      <c r="A108" t="s">
        <v>5244</v>
      </c>
      <c r="B108" t="s">
        <v>5331</v>
      </c>
      <c r="C108" t="s">
        <v>5331</v>
      </c>
      <c r="D108" t="s">
        <v>5160</v>
      </c>
      <c r="E108" t="s">
        <v>5159</v>
      </c>
    </row>
    <row r="109" spans="1:5">
      <c r="A109" t="s">
        <v>5244</v>
      </c>
      <c r="B109" t="s">
        <v>5332</v>
      </c>
      <c r="C109" t="s">
        <v>5332</v>
      </c>
      <c r="D109" t="s">
        <v>5160</v>
      </c>
      <c r="E109" t="s">
        <v>5159</v>
      </c>
    </row>
    <row r="110" spans="1:5">
      <c r="A110" t="s">
        <v>5244</v>
      </c>
      <c r="B110" t="s">
        <v>5333</v>
      </c>
      <c r="C110" t="s">
        <v>5333</v>
      </c>
      <c r="D110" t="s">
        <v>5160</v>
      </c>
      <c r="E110" t="s">
        <v>5159</v>
      </c>
    </row>
    <row r="111" spans="1:5">
      <c r="A111" t="s">
        <v>5244</v>
      </c>
      <c r="B111" t="s">
        <v>5334</v>
      </c>
      <c r="C111" t="s">
        <v>5334</v>
      </c>
      <c r="D111" t="s">
        <v>5160</v>
      </c>
      <c r="E111" t="s">
        <v>5159</v>
      </c>
    </row>
    <row r="112" spans="1:5">
      <c r="A112" t="s">
        <v>5244</v>
      </c>
      <c r="B112" t="s">
        <v>5335</v>
      </c>
      <c r="C112" t="s">
        <v>5335</v>
      </c>
      <c r="D112" t="s">
        <v>5160</v>
      </c>
      <c r="E112" t="s">
        <v>5159</v>
      </c>
    </row>
    <row r="113" spans="1:5">
      <c r="A113" t="s">
        <v>5244</v>
      </c>
      <c r="B113" t="s">
        <v>5336</v>
      </c>
      <c r="C113" t="s">
        <v>5336</v>
      </c>
      <c r="D113" t="s">
        <v>5160</v>
      </c>
      <c r="E113" t="s">
        <v>5159</v>
      </c>
    </row>
    <row r="114" spans="1:5">
      <c r="A114" t="s">
        <v>5244</v>
      </c>
      <c r="B114" t="s">
        <v>5337</v>
      </c>
      <c r="C114" t="s">
        <v>5338</v>
      </c>
      <c r="D114" t="s">
        <v>5196</v>
      </c>
      <c r="E114" t="s">
        <v>5159</v>
      </c>
    </row>
    <row r="115" spans="1:5">
      <c r="A115" t="s">
        <v>5244</v>
      </c>
      <c r="B115" t="s">
        <v>5339</v>
      </c>
      <c r="C115" t="s">
        <v>5339</v>
      </c>
      <c r="D115" t="s">
        <v>5196</v>
      </c>
      <c r="E115" t="s">
        <v>5159</v>
      </c>
    </row>
    <row r="116" spans="1:5">
      <c r="A116" t="s">
        <v>5244</v>
      </c>
      <c r="B116" t="s">
        <v>5340</v>
      </c>
      <c r="C116" t="s">
        <v>5340</v>
      </c>
      <c r="D116" t="s">
        <v>5160</v>
      </c>
      <c r="E116" t="s">
        <v>5159</v>
      </c>
    </row>
    <row r="117" spans="1:5">
      <c r="A117" t="s">
        <v>5244</v>
      </c>
      <c r="B117" t="s">
        <v>5341</v>
      </c>
      <c r="C117" t="s">
        <v>5341</v>
      </c>
      <c r="D117" t="s">
        <v>5160</v>
      </c>
      <c r="E117" t="s">
        <v>5159</v>
      </c>
    </row>
    <row r="118" spans="1:5">
      <c r="A118" t="s">
        <v>5244</v>
      </c>
      <c r="B118" t="s">
        <v>5342</v>
      </c>
      <c r="C118" t="s">
        <v>5342</v>
      </c>
      <c r="D118" t="s">
        <v>5160</v>
      </c>
      <c r="E118" t="s">
        <v>5159</v>
      </c>
    </row>
    <row r="119" spans="1:5">
      <c r="A119" t="s">
        <v>5244</v>
      </c>
      <c r="B119" t="s">
        <v>5343</v>
      </c>
      <c r="C119" t="s">
        <v>5343</v>
      </c>
      <c r="D119" t="s">
        <v>5160</v>
      </c>
      <c r="E119" t="s">
        <v>5159</v>
      </c>
    </row>
    <row r="120" spans="1:5">
      <c r="A120" t="s">
        <v>5244</v>
      </c>
      <c r="B120" t="s">
        <v>5344</v>
      </c>
      <c r="C120" t="s">
        <v>5344</v>
      </c>
      <c r="D120" t="s">
        <v>5160</v>
      </c>
      <c r="E120" t="s">
        <v>5159</v>
      </c>
    </row>
    <row r="121" spans="1:5">
      <c r="A121" t="s">
        <v>5244</v>
      </c>
      <c r="B121" t="s">
        <v>5345</v>
      </c>
      <c r="C121" t="s">
        <v>5345</v>
      </c>
      <c r="D121" t="s">
        <v>5160</v>
      </c>
      <c r="E121" t="s">
        <v>5159</v>
      </c>
    </row>
    <row r="122" spans="1:5">
      <c r="A122" t="s">
        <v>5244</v>
      </c>
      <c r="B122" t="s">
        <v>5346</v>
      </c>
      <c r="C122" t="s">
        <v>5346</v>
      </c>
      <c r="D122" t="s">
        <v>5160</v>
      </c>
      <c r="E122" t="s">
        <v>5159</v>
      </c>
    </row>
    <row r="123" spans="1:5">
      <c r="A123" t="s">
        <v>5244</v>
      </c>
      <c r="B123" t="s">
        <v>5347</v>
      </c>
      <c r="C123" t="s">
        <v>5347</v>
      </c>
      <c r="D123" t="s">
        <v>5160</v>
      </c>
      <c r="E123" t="s">
        <v>5159</v>
      </c>
    </row>
    <row r="124" spans="1:5">
      <c r="A124" t="s">
        <v>5244</v>
      </c>
      <c r="B124" t="s">
        <v>5348</v>
      </c>
      <c r="C124" t="s">
        <v>5348</v>
      </c>
      <c r="D124" t="s">
        <v>5160</v>
      </c>
      <c r="E124" t="s">
        <v>5159</v>
      </c>
    </row>
    <row r="125" spans="1:5">
      <c r="A125" t="s">
        <v>5244</v>
      </c>
      <c r="B125" t="s">
        <v>5349</v>
      </c>
      <c r="C125" t="s">
        <v>5349</v>
      </c>
      <c r="D125" t="s">
        <v>5160</v>
      </c>
      <c r="E125" t="s">
        <v>5159</v>
      </c>
    </row>
    <row r="126" spans="1:5">
      <c r="A126" t="s">
        <v>5244</v>
      </c>
      <c r="B126" t="s">
        <v>5350</v>
      </c>
      <c r="C126" t="s">
        <v>5350</v>
      </c>
      <c r="D126" t="s">
        <v>5160</v>
      </c>
      <c r="E126" t="s">
        <v>5159</v>
      </c>
    </row>
    <row r="127" spans="1:5">
      <c r="A127" t="s">
        <v>5244</v>
      </c>
      <c r="B127" t="s">
        <v>5351</v>
      </c>
      <c r="C127" t="s">
        <v>5351</v>
      </c>
      <c r="D127" t="s">
        <v>5160</v>
      </c>
      <c r="E127" t="s">
        <v>5159</v>
      </c>
    </row>
    <row r="128" spans="1:5">
      <c r="A128" t="s">
        <v>5244</v>
      </c>
      <c r="B128" t="s">
        <v>5352</v>
      </c>
      <c r="C128" t="s">
        <v>5352</v>
      </c>
      <c r="D128" t="s">
        <v>5160</v>
      </c>
      <c r="E128" t="s">
        <v>5159</v>
      </c>
    </row>
    <row r="129" spans="1:5">
      <c r="A129" t="s">
        <v>5244</v>
      </c>
      <c r="B129" t="s">
        <v>5353</v>
      </c>
      <c r="C129" t="s">
        <v>5353</v>
      </c>
      <c r="D129" t="s">
        <v>5160</v>
      </c>
      <c r="E129" t="s">
        <v>5159</v>
      </c>
    </row>
    <row r="130" spans="1:5">
      <c r="A130" t="s">
        <v>5244</v>
      </c>
      <c r="B130" t="s">
        <v>5354</v>
      </c>
      <c r="C130" t="s">
        <v>5354</v>
      </c>
      <c r="D130" t="s">
        <v>5160</v>
      </c>
      <c r="E130" t="s">
        <v>5159</v>
      </c>
    </row>
    <row r="131" spans="1:5">
      <c r="A131" t="s">
        <v>5244</v>
      </c>
      <c r="B131" t="s">
        <v>5355</v>
      </c>
      <c r="C131" t="s">
        <v>5355</v>
      </c>
      <c r="D131" t="s">
        <v>5160</v>
      </c>
      <c r="E131" t="s">
        <v>5159</v>
      </c>
    </row>
    <row r="132" spans="1:5">
      <c r="A132" t="s">
        <v>5244</v>
      </c>
      <c r="B132" t="s">
        <v>5356</v>
      </c>
      <c r="C132" t="s">
        <v>5356</v>
      </c>
      <c r="D132" t="s">
        <v>5193</v>
      </c>
      <c r="E132" t="s">
        <v>5159</v>
      </c>
    </row>
    <row r="133" spans="1:5">
      <c r="A133" t="s">
        <v>5244</v>
      </c>
      <c r="B133" t="s">
        <v>5357</v>
      </c>
      <c r="C133" t="s">
        <v>5357</v>
      </c>
      <c r="D133" t="s">
        <v>5193</v>
      </c>
      <c r="E133" t="s">
        <v>5159</v>
      </c>
    </row>
    <row r="134" spans="1:5">
      <c r="A134" t="s">
        <v>5244</v>
      </c>
      <c r="B134" t="s">
        <v>13</v>
      </c>
      <c r="C134" t="s">
        <v>1232</v>
      </c>
      <c r="D134" t="s">
        <v>5167</v>
      </c>
      <c r="E134" t="s">
        <v>5168</v>
      </c>
    </row>
    <row r="135" spans="1:5">
      <c r="A135" t="s">
        <v>5244</v>
      </c>
      <c r="B135" t="s">
        <v>14</v>
      </c>
      <c r="C135" t="s">
        <v>5358</v>
      </c>
      <c r="D135" t="s">
        <v>5167</v>
      </c>
      <c r="E135" t="s">
        <v>5168</v>
      </c>
    </row>
    <row r="136" spans="1:5">
      <c r="A136" t="s">
        <v>5244</v>
      </c>
      <c r="B136" t="s">
        <v>1233</v>
      </c>
      <c r="C136" t="s">
        <v>1234</v>
      </c>
      <c r="D136" t="s">
        <v>5157</v>
      </c>
      <c r="E136" t="s">
        <v>5157</v>
      </c>
    </row>
    <row r="137" spans="1:5">
      <c r="A137" t="s">
        <v>5488</v>
      </c>
      <c r="B137" t="s">
        <v>15</v>
      </c>
      <c r="C137" t="s">
        <v>1235</v>
      </c>
      <c r="D137" t="s">
        <v>5169</v>
      </c>
      <c r="E137" t="s">
        <v>5168</v>
      </c>
    </row>
    <row r="138" spans="1:5">
      <c r="A138" t="s">
        <v>5244</v>
      </c>
      <c r="B138" t="s">
        <v>15</v>
      </c>
      <c r="C138" t="s">
        <v>1235</v>
      </c>
      <c r="D138" t="s">
        <v>5169</v>
      </c>
      <c r="E138" t="s">
        <v>5168</v>
      </c>
    </row>
    <row r="139" spans="1:5">
      <c r="A139" t="s">
        <v>5244</v>
      </c>
      <c r="B139" t="s">
        <v>5359</v>
      </c>
      <c r="C139" t="s">
        <v>5360</v>
      </c>
      <c r="D139" t="s">
        <v>5169</v>
      </c>
      <c r="E139" t="s">
        <v>5168</v>
      </c>
    </row>
    <row r="140" spans="1:5">
      <c r="A140" t="s">
        <v>5244</v>
      </c>
      <c r="B140" t="s">
        <v>1236</v>
      </c>
      <c r="C140" t="s">
        <v>1237</v>
      </c>
      <c r="D140" t="s">
        <v>5167</v>
      </c>
      <c r="E140" t="s">
        <v>5168</v>
      </c>
    </row>
    <row r="141" spans="1:5">
      <c r="A141" t="s">
        <v>5244</v>
      </c>
      <c r="B141" t="s">
        <v>1238</v>
      </c>
      <c r="C141" t="s">
        <v>1239</v>
      </c>
      <c r="D141" t="s">
        <v>5170</v>
      </c>
      <c r="E141" t="s">
        <v>5168</v>
      </c>
    </row>
    <row r="142" spans="1:5">
      <c r="A142" t="s">
        <v>5244</v>
      </c>
      <c r="B142" t="s">
        <v>1240</v>
      </c>
      <c r="C142" t="s">
        <v>1241</v>
      </c>
      <c r="D142" t="s">
        <v>5171</v>
      </c>
      <c r="E142" t="s">
        <v>5168</v>
      </c>
    </row>
    <row r="143" spans="1:5">
      <c r="A143" t="s">
        <v>5244</v>
      </c>
      <c r="B143" t="s">
        <v>16</v>
      </c>
      <c r="C143" t="s">
        <v>1242</v>
      </c>
      <c r="D143" t="s">
        <v>5170</v>
      </c>
      <c r="E143" t="s">
        <v>5168</v>
      </c>
    </row>
    <row r="144" spans="1:5">
      <c r="A144" t="s">
        <v>5244</v>
      </c>
      <c r="B144" t="s">
        <v>17</v>
      </c>
      <c r="C144" t="s">
        <v>1243</v>
      </c>
      <c r="D144" t="s">
        <v>5170</v>
      </c>
      <c r="E144" t="s">
        <v>5168</v>
      </c>
    </row>
    <row r="145" spans="1:5">
      <c r="A145" t="s">
        <v>5244</v>
      </c>
      <c r="B145" t="s">
        <v>18</v>
      </c>
      <c r="C145" t="s">
        <v>1244</v>
      </c>
      <c r="D145" t="s">
        <v>5170</v>
      </c>
      <c r="E145" t="s">
        <v>5168</v>
      </c>
    </row>
    <row r="146" spans="1:5">
      <c r="A146" t="s">
        <v>5244</v>
      </c>
      <c r="B146" t="s">
        <v>19</v>
      </c>
      <c r="C146" t="s">
        <v>1245</v>
      </c>
      <c r="D146" t="s">
        <v>5170</v>
      </c>
      <c r="E146" t="s">
        <v>5168</v>
      </c>
    </row>
    <row r="147" spans="1:5">
      <c r="A147" t="s">
        <v>5244</v>
      </c>
      <c r="B147" t="s">
        <v>20</v>
      </c>
      <c r="C147" t="s">
        <v>1246</v>
      </c>
      <c r="D147" t="s">
        <v>5170</v>
      </c>
      <c r="E147" t="s">
        <v>5168</v>
      </c>
    </row>
    <row r="148" spans="1:5">
      <c r="A148" t="s">
        <v>5244</v>
      </c>
      <c r="B148" t="s">
        <v>21</v>
      </c>
      <c r="C148" t="s">
        <v>1247</v>
      </c>
      <c r="D148" t="s">
        <v>5170</v>
      </c>
      <c r="E148" t="s">
        <v>5168</v>
      </c>
    </row>
    <row r="149" spans="1:5">
      <c r="A149" t="s">
        <v>5244</v>
      </c>
      <c r="B149" t="s">
        <v>22</v>
      </c>
      <c r="C149" t="s">
        <v>1248</v>
      </c>
      <c r="D149" t="s">
        <v>5172</v>
      </c>
      <c r="E149" t="s">
        <v>5168</v>
      </c>
    </row>
    <row r="150" spans="1:5">
      <c r="A150" t="s">
        <v>5244</v>
      </c>
      <c r="B150" t="s">
        <v>23</v>
      </c>
      <c r="C150" t="s">
        <v>1249</v>
      </c>
      <c r="D150" t="s">
        <v>5170</v>
      </c>
      <c r="E150" t="s">
        <v>5168</v>
      </c>
    </row>
    <row r="151" spans="1:5">
      <c r="A151" t="s">
        <v>5244</v>
      </c>
      <c r="B151" t="s">
        <v>1250</v>
      </c>
      <c r="C151" t="s">
        <v>1251</v>
      </c>
      <c r="D151" t="s">
        <v>5171</v>
      </c>
      <c r="E151" t="s">
        <v>5168</v>
      </c>
    </row>
    <row r="152" spans="1:5">
      <c r="A152" t="s">
        <v>5244</v>
      </c>
      <c r="B152" t="s">
        <v>1252</v>
      </c>
      <c r="C152" t="s">
        <v>1253</v>
      </c>
      <c r="D152" t="s">
        <v>5173</v>
      </c>
      <c r="E152" t="s">
        <v>5168</v>
      </c>
    </row>
    <row r="153" spans="1:5">
      <c r="A153" t="s">
        <v>5244</v>
      </c>
      <c r="B153" t="s">
        <v>1254</v>
      </c>
      <c r="C153" t="s">
        <v>1255</v>
      </c>
      <c r="D153" t="s">
        <v>5157</v>
      </c>
      <c r="E153" t="s">
        <v>5157</v>
      </c>
    </row>
    <row r="154" spans="1:5">
      <c r="A154" t="s">
        <v>5244</v>
      </c>
      <c r="B154" t="s">
        <v>24</v>
      </c>
      <c r="C154" t="s">
        <v>5361</v>
      </c>
      <c r="D154" t="s">
        <v>5174</v>
      </c>
      <c r="E154" t="s">
        <v>5168</v>
      </c>
    </row>
    <row r="155" spans="1:5">
      <c r="A155" t="s">
        <v>5244</v>
      </c>
      <c r="B155" t="s">
        <v>1256</v>
      </c>
      <c r="C155" t="s">
        <v>1257</v>
      </c>
      <c r="D155" t="s">
        <v>5174</v>
      </c>
      <c r="E155" t="s">
        <v>5168</v>
      </c>
    </row>
    <row r="156" spans="1:5">
      <c r="A156" t="s">
        <v>5244</v>
      </c>
      <c r="B156" t="s">
        <v>1258</v>
      </c>
      <c r="C156" t="s">
        <v>1259</v>
      </c>
      <c r="D156" t="s">
        <v>5174</v>
      </c>
      <c r="E156" t="s">
        <v>5168</v>
      </c>
    </row>
    <row r="157" spans="1:5">
      <c r="A157" t="s">
        <v>5244</v>
      </c>
      <c r="B157" t="s">
        <v>25</v>
      </c>
      <c r="C157" t="s">
        <v>1260</v>
      </c>
      <c r="D157" t="s">
        <v>5174</v>
      </c>
      <c r="E157" t="s">
        <v>5168</v>
      </c>
    </row>
    <row r="158" spans="1:5">
      <c r="A158" t="s">
        <v>5244</v>
      </c>
      <c r="B158" t="s">
        <v>26</v>
      </c>
      <c r="C158" t="s">
        <v>1261</v>
      </c>
      <c r="D158" t="s">
        <v>5171</v>
      </c>
      <c r="E158" t="s">
        <v>5168</v>
      </c>
    </row>
    <row r="159" spans="1:5">
      <c r="A159" t="s">
        <v>5488</v>
      </c>
      <c r="B159" t="s">
        <v>1262</v>
      </c>
      <c r="C159" t="s">
        <v>1263</v>
      </c>
      <c r="D159" t="s">
        <v>5175</v>
      </c>
      <c r="E159" t="s">
        <v>5168</v>
      </c>
    </row>
    <row r="160" spans="1:5">
      <c r="A160" t="s">
        <v>5244</v>
      </c>
      <c r="B160" t="s">
        <v>1262</v>
      </c>
      <c r="C160" t="s">
        <v>1263</v>
      </c>
      <c r="D160" t="s">
        <v>5175</v>
      </c>
      <c r="E160" t="s">
        <v>5168</v>
      </c>
    </row>
    <row r="161" spans="1:5">
      <c r="A161" t="s">
        <v>5244</v>
      </c>
      <c r="B161" t="s">
        <v>1264</v>
      </c>
      <c r="C161" t="s">
        <v>1265</v>
      </c>
      <c r="D161" t="s">
        <v>5174</v>
      </c>
      <c r="E161" t="s">
        <v>5168</v>
      </c>
    </row>
    <row r="162" spans="1:5">
      <c r="A162" t="s">
        <v>5244</v>
      </c>
      <c r="B162" t="s">
        <v>5362</v>
      </c>
      <c r="C162" t="s">
        <v>5363</v>
      </c>
      <c r="D162" t="s">
        <v>5170</v>
      </c>
      <c r="E162" t="s">
        <v>5168</v>
      </c>
    </row>
    <row r="163" spans="1:5">
      <c r="A163" t="s">
        <v>5244</v>
      </c>
      <c r="B163" t="s">
        <v>1266</v>
      </c>
      <c r="C163" t="s">
        <v>1267</v>
      </c>
      <c r="D163" t="s">
        <v>5174</v>
      </c>
      <c r="E163" t="s">
        <v>5168</v>
      </c>
    </row>
    <row r="164" spans="1:5">
      <c r="A164" t="s">
        <v>5244</v>
      </c>
      <c r="B164" t="s">
        <v>5364</v>
      </c>
      <c r="C164" t="s">
        <v>5365</v>
      </c>
      <c r="D164" t="s">
        <v>5174</v>
      </c>
      <c r="E164" t="s">
        <v>5168</v>
      </c>
    </row>
    <row r="165" spans="1:5">
      <c r="A165" t="s">
        <v>5488</v>
      </c>
      <c r="B165" t="s">
        <v>27</v>
      </c>
      <c r="C165" t="s">
        <v>1268</v>
      </c>
      <c r="D165" t="s">
        <v>5169</v>
      </c>
      <c r="E165" t="s">
        <v>5168</v>
      </c>
    </row>
    <row r="166" spans="1:5">
      <c r="A166" t="s">
        <v>5244</v>
      </c>
      <c r="B166" t="s">
        <v>27</v>
      </c>
      <c r="C166" t="s">
        <v>1268</v>
      </c>
      <c r="D166" t="s">
        <v>5169</v>
      </c>
      <c r="E166" t="s">
        <v>5168</v>
      </c>
    </row>
    <row r="167" spans="1:5">
      <c r="A167" t="s">
        <v>5244</v>
      </c>
      <c r="B167" t="s">
        <v>1269</v>
      </c>
      <c r="C167" t="s">
        <v>1270</v>
      </c>
      <c r="D167" t="s">
        <v>5157</v>
      </c>
      <c r="E167" t="s">
        <v>5157</v>
      </c>
    </row>
    <row r="168" spans="1:5">
      <c r="A168" t="s">
        <v>5244</v>
      </c>
      <c r="B168" t="s">
        <v>28</v>
      </c>
      <c r="C168" t="s">
        <v>1271</v>
      </c>
      <c r="D168" t="s">
        <v>5157</v>
      </c>
      <c r="E168" t="s">
        <v>5157</v>
      </c>
    </row>
    <row r="169" spans="1:5">
      <c r="A169" t="s">
        <v>5244</v>
      </c>
      <c r="B169" t="s">
        <v>29</v>
      </c>
      <c r="C169" t="s">
        <v>1272</v>
      </c>
      <c r="D169" t="s">
        <v>5176</v>
      </c>
      <c r="E169" t="s">
        <v>5168</v>
      </c>
    </row>
    <row r="170" spans="1:5">
      <c r="A170" t="s">
        <v>5488</v>
      </c>
      <c r="B170" t="s">
        <v>29</v>
      </c>
      <c r="C170" t="s">
        <v>1272</v>
      </c>
      <c r="D170" t="s">
        <v>5176</v>
      </c>
      <c r="E170" t="s">
        <v>5168</v>
      </c>
    </row>
    <row r="171" spans="1:5">
      <c r="A171" t="s">
        <v>5244</v>
      </c>
      <c r="B171" t="s">
        <v>1273</v>
      </c>
      <c r="C171" t="s">
        <v>1274</v>
      </c>
      <c r="D171" t="s">
        <v>5169</v>
      </c>
      <c r="E171" t="s">
        <v>5168</v>
      </c>
    </row>
    <row r="172" spans="1:5">
      <c r="A172" t="s">
        <v>5488</v>
      </c>
      <c r="B172" t="s">
        <v>1273</v>
      </c>
      <c r="C172" t="s">
        <v>1274</v>
      </c>
      <c r="D172" t="s">
        <v>5169</v>
      </c>
      <c r="E172" t="s">
        <v>5168</v>
      </c>
    </row>
    <row r="173" spans="1:5">
      <c r="A173" t="s">
        <v>5244</v>
      </c>
      <c r="B173" t="s">
        <v>1275</v>
      </c>
      <c r="C173" t="s">
        <v>1276</v>
      </c>
      <c r="D173" t="s">
        <v>5170</v>
      </c>
      <c r="E173" t="s">
        <v>5168</v>
      </c>
    </row>
    <row r="174" spans="1:5">
      <c r="A174" t="s">
        <v>5244</v>
      </c>
      <c r="B174" t="s">
        <v>1277</v>
      </c>
      <c r="C174" t="s">
        <v>1278</v>
      </c>
      <c r="D174" t="s">
        <v>5170</v>
      </c>
      <c r="E174" t="s">
        <v>5168</v>
      </c>
    </row>
    <row r="175" spans="1:5">
      <c r="A175" t="s">
        <v>5244</v>
      </c>
      <c r="B175" t="s">
        <v>1279</v>
      </c>
      <c r="C175" t="s">
        <v>1280</v>
      </c>
      <c r="D175" t="s">
        <v>5177</v>
      </c>
      <c r="E175" t="s">
        <v>5168</v>
      </c>
    </row>
    <row r="176" spans="1:5">
      <c r="A176" t="s">
        <v>5244</v>
      </c>
      <c r="B176" t="s">
        <v>1281</v>
      </c>
      <c r="C176" t="s">
        <v>1282</v>
      </c>
      <c r="D176" t="s">
        <v>5177</v>
      </c>
      <c r="E176" t="s">
        <v>5168</v>
      </c>
    </row>
    <row r="177" spans="1:5">
      <c r="A177" t="s">
        <v>5244</v>
      </c>
      <c r="B177" t="s">
        <v>1283</v>
      </c>
      <c r="C177" t="s">
        <v>1284</v>
      </c>
      <c r="D177" t="s">
        <v>5170</v>
      </c>
      <c r="E177" t="s">
        <v>5168</v>
      </c>
    </row>
    <row r="178" spans="1:5">
      <c r="A178" t="s">
        <v>5244</v>
      </c>
      <c r="B178" t="s">
        <v>1285</v>
      </c>
      <c r="C178" t="s">
        <v>1286</v>
      </c>
      <c r="D178" t="s">
        <v>5170</v>
      </c>
      <c r="E178" t="s">
        <v>5168</v>
      </c>
    </row>
    <row r="179" spans="1:5">
      <c r="A179" t="s">
        <v>5244</v>
      </c>
      <c r="B179" t="s">
        <v>1287</v>
      </c>
      <c r="C179" t="s">
        <v>1288</v>
      </c>
      <c r="D179" t="s">
        <v>5170</v>
      </c>
      <c r="E179" t="s">
        <v>5168</v>
      </c>
    </row>
    <row r="180" spans="1:5">
      <c r="A180" t="s">
        <v>5244</v>
      </c>
      <c r="B180" t="s">
        <v>1289</v>
      </c>
      <c r="C180" t="s">
        <v>1290</v>
      </c>
      <c r="D180" t="s">
        <v>5170</v>
      </c>
      <c r="E180" t="s">
        <v>5168</v>
      </c>
    </row>
    <row r="181" spans="1:5">
      <c r="A181" t="s">
        <v>5244</v>
      </c>
      <c r="B181" t="s">
        <v>1291</v>
      </c>
      <c r="C181" t="s">
        <v>1292</v>
      </c>
      <c r="D181" t="s">
        <v>5170</v>
      </c>
      <c r="E181" t="s">
        <v>5168</v>
      </c>
    </row>
    <row r="182" spans="1:5">
      <c r="A182" t="s">
        <v>5244</v>
      </c>
      <c r="B182" t="s">
        <v>30</v>
      </c>
      <c r="C182" t="s">
        <v>1293</v>
      </c>
      <c r="D182" t="s">
        <v>5170</v>
      </c>
      <c r="E182" t="s">
        <v>5168</v>
      </c>
    </row>
    <row r="183" spans="1:5">
      <c r="A183" t="s">
        <v>5244</v>
      </c>
      <c r="B183" t="s">
        <v>31</v>
      </c>
      <c r="C183" t="s">
        <v>1294</v>
      </c>
      <c r="D183" t="s">
        <v>5170</v>
      </c>
      <c r="E183" t="s">
        <v>5168</v>
      </c>
    </row>
    <row r="184" spans="1:5">
      <c r="A184" t="s">
        <v>5244</v>
      </c>
      <c r="B184" t="s">
        <v>32</v>
      </c>
      <c r="C184" t="s">
        <v>1295</v>
      </c>
      <c r="D184" t="s">
        <v>5170</v>
      </c>
      <c r="E184" t="s">
        <v>5168</v>
      </c>
    </row>
    <row r="185" spans="1:5">
      <c r="A185" t="s">
        <v>5244</v>
      </c>
      <c r="B185" t="s">
        <v>33</v>
      </c>
      <c r="C185" t="s">
        <v>1296</v>
      </c>
      <c r="D185" t="s">
        <v>5170</v>
      </c>
      <c r="E185" t="s">
        <v>5168</v>
      </c>
    </row>
    <row r="186" spans="1:5">
      <c r="A186" t="s">
        <v>5244</v>
      </c>
      <c r="B186" t="s">
        <v>1297</v>
      </c>
      <c r="C186" t="s">
        <v>1298</v>
      </c>
      <c r="D186" t="s">
        <v>5157</v>
      </c>
      <c r="E186" t="s">
        <v>5157</v>
      </c>
    </row>
    <row r="187" spans="1:5">
      <c r="A187" t="s">
        <v>5244</v>
      </c>
      <c r="B187" t="s">
        <v>1299</v>
      </c>
      <c r="C187" t="s">
        <v>1300</v>
      </c>
      <c r="D187" t="s">
        <v>5157</v>
      </c>
      <c r="E187" t="s">
        <v>5157</v>
      </c>
    </row>
    <row r="188" spans="1:5">
      <c r="A188" t="s">
        <v>5244</v>
      </c>
      <c r="B188" t="s">
        <v>34</v>
      </c>
      <c r="C188" t="s">
        <v>1301</v>
      </c>
      <c r="D188" t="s">
        <v>5170</v>
      </c>
      <c r="E188" t="s">
        <v>5168</v>
      </c>
    </row>
    <row r="189" spans="1:5">
      <c r="A189" t="s">
        <v>5244</v>
      </c>
      <c r="B189" t="s">
        <v>35</v>
      </c>
      <c r="C189" t="s">
        <v>1302</v>
      </c>
      <c r="D189" t="s">
        <v>5170</v>
      </c>
      <c r="E189" t="s">
        <v>5168</v>
      </c>
    </row>
    <row r="190" spans="1:5">
      <c r="A190" t="s">
        <v>5244</v>
      </c>
      <c r="B190" t="s">
        <v>36</v>
      </c>
      <c r="C190" t="s">
        <v>1303</v>
      </c>
      <c r="D190" t="s">
        <v>5178</v>
      </c>
      <c r="E190" t="s">
        <v>5168</v>
      </c>
    </row>
    <row r="191" spans="1:5">
      <c r="A191" t="s">
        <v>5488</v>
      </c>
      <c r="B191" t="s">
        <v>36</v>
      </c>
      <c r="C191" t="s">
        <v>1303</v>
      </c>
      <c r="D191" t="s">
        <v>5178</v>
      </c>
      <c r="E191" t="s">
        <v>5168</v>
      </c>
    </row>
    <row r="192" spans="1:5">
      <c r="A192" t="s">
        <v>5244</v>
      </c>
      <c r="B192" t="s">
        <v>1304</v>
      </c>
      <c r="C192" t="s">
        <v>1305</v>
      </c>
      <c r="D192" t="s">
        <v>5171</v>
      </c>
      <c r="E192" t="s">
        <v>5168</v>
      </c>
    </row>
    <row r="193" spans="1:5">
      <c r="A193" t="s">
        <v>5244</v>
      </c>
      <c r="B193" t="s">
        <v>37</v>
      </c>
      <c r="C193" t="s">
        <v>1306</v>
      </c>
      <c r="D193" t="s">
        <v>5171</v>
      </c>
      <c r="E193" t="s">
        <v>5168</v>
      </c>
    </row>
    <row r="194" spans="1:5">
      <c r="A194" t="s">
        <v>5244</v>
      </c>
      <c r="B194" t="s">
        <v>38</v>
      </c>
      <c r="C194" t="s">
        <v>1307</v>
      </c>
      <c r="D194" t="s">
        <v>5171</v>
      </c>
      <c r="E194" t="s">
        <v>5168</v>
      </c>
    </row>
    <row r="195" spans="1:5">
      <c r="A195" t="s">
        <v>5244</v>
      </c>
      <c r="B195" t="s">
        <v>1308</v>
      </c>
      <c r="C195" t="s">
        <v>1309</v>
      </c>
      <c r="D195" t="s">
        <v>5171</v>
      </c>
      <c r="E195" t="s">
        <v>5168</v>
      </c>
    </row>
    <row r="196" spans="1:5">
      <c r="A196" t="s">
        <v>5244</v>
      </c>
      <c r="B196" t="s">
        <v>1310</v>
      </c>
      <c r="C196" t="s">
        <v>1311</v>
      </c>
      <c r="D196" t="s">
        <v>5171</v>
      </c>
      <c r="E196" t="s">
        <v>5168</v>
      </c>
    </row>
    <row r="197" spans="1:5">
      <c r="A197" t="s">
        <v>5244</v>
      </c>
      <c r="B197" t="s">
        <v>1312</v>
      </c>
      <c r="C197" t="s">
        <v>1313</v>
      </c>
      <c r="D197" t="s">
        <v>5171</v>
      </c>
      <c r="E197" t="s">
        <v>5168</v>
      </c>
    </row>
    <row r="198" spans="1:5">
      <c r="A198" t="s">
        <v>5244</v>
      </c>
      <c r="B198" t="s">
        <v>39</v>
      </c>
      <c r="C198" t="s">
        <v>1314</v>
      </c>
      <c r="D198" t="s">
        <v>5179</v>
      </c>
      <c r="E198" t="s">
        <v>5168</v>
      </c>
    </row>
    <row r="199" spans="1:5">
      <c r="A199" t="s">
        <v>5244</v>
      </c>
      <c r="B199" t="s">
        <v>40</v>
      </c>
      <c r="C199" t="s">
        <v>1315</v>
      </c>
      <c r="D199" t="s">
        <v>5170</v>
      </c>
      <c r="E199" t="s">
        <v>5168</v>
      </c>
    </row>
    <row r="200" spans="1:5">
      <c r="A200" t="s">
        <v>5244</v>
      </c>
      <c r="B200" t="s">
        <v>41</v>
      </c>
      <c r="C200" t="s">
        <v>1316</v>
      </c>
      <c r="D200" t="s">
        <v>5171</v>
      </c>
      <c r="E200" t="s">
        <v>5168</v>
      </c>
    </row>
    <row r="201" spans="1:5">
      <c r="A201" t="s">
        <v>5244</v>
      </c>
      <c r="B201" t="s">
        <v>42</v>
      </c>
      <c r="C201" t="s">
        <v>5366</v>
      </c>
      <c r="D201" t="s">
        <v>5175</v>
      </c>
      <c r="E201" t="s">
        <v>5168</v>
      </c>
    </row>
    <row r="202" spans="1:5">
      <c r="A202" t="s">
        <v>5244</v>
      </c>
      <c r="B202" t="s">
        <v>43</v>
      </c>
      <c r="C202" t="s">
        <v>1317</v>
      </c>
      <c r="D202" t="s">
        <v>5174</v>
      </c>
      <c r="E202" t="s">
        <v>5168</v>
      </c>
    </row>
    <row r="203" spans="1:5">
      <c r="A203" t="s">
        <v>5244</v>
      </c>
      <c r="B203" t="s">
        <v>1318</v>
      </c>
      <c r="C203" t="s">
        <v>1319</v>
      </c>
      <c r="D203" t="s">
        <v>5180</v>
      </c>
      <c r="E203" t="s">
        <v>5168</v>
      </c>
    </row>
    <row r="204" spans="1:5">
      <c r="A204" t="s">
        <v>5244</v>
      </c>
      <c r="B204" t="s">
        <v>44</v>
      </c>
      <c r="C204" t="s">
        <v>5367</v>
      </c>
      <c r="D204" t="s">
        <v>5167</v>
      </c>
      <c r="E204" t="s">
        <v>5168</v>
      </c>
    </row>
    <row r="205" spans="1:5">
      <c r="A205" t="s">
        <v>5244</v>
      </c>
      <c r="B205" t="s">
        <v>1320</v>
      </c>
      <c r="C205" t="s">
        <v>1321</v>
      </c>
      <c r="D205" t="s">
        <v>5167</v>
      </c>
      <c r="E205" t="s">
        <v>5168</v>
      </c>
    </row>
    <row r="206" spans="1:5">
      <c r="A206" t="s">
        <v>5244</v>
      </c>
      <c r="B206" t="s">
        <v>45</v>
      </c>
      <c r="C206" t="s">
        <v>1322</v>
      </c>
      <c r="D206" t="s">
        <v>5181</v>
      </c>
      <c r="E206" t="s">
        <v>5168</v>
      </c>
    </row>
    <row r="207" spans="1:5">
      <c r="A207" t="s">
        <v>5244</v>
      </c>
      <c r="B207" t="s">
        <v>46</v>
      </c>
      <c r="C207" t="s">
        <v>1323</v>
      </c>
      <c r="D207" t="s">
        <v>5181</v>
      </c>
      <c r="E207" t="s">
        <v>5168</v>
      </c>
    </row>
    <row r="208" spans="1:5">
      <c r="A208" t="s">
        <v>5244</v>
      </c>
      <c r="B208" t="s">
        <v>5368</v>
      </c>
      <c r="C208" t="s">
        <v>5369</v>
      </c>
      <c r="D208" t="s">
        <v>5171</v>
      </c>
      <c r="E208" t="s">
        <v>5168</v>
      </c>
    </row>
    <row r="209" spans="1:5">
      <c r="A209" t="s">
        <v>5244</v>
      </c>
      <c r="B209" t="s">
        <v>47</v>
      </c>
      <c r="C209" t="s">
        <v>5370</v>
      </c>
      <c r="D209" t="s">
        <v>5167</v>
      </c>
      <c r="E209" t="s">
        <v>5168</v>
      </c>
    </row>
    <row r="210" spans="1:5">
      <c r="A210" t="s">
        <v>5244</v>
      </c>
      <c r="B210" t="s">
        <v>48</v>
      </c>
      <c r="C210" t="s">
        <v>1324</v>
      </c>
      <c r="D210" t="s">
        <v>5174</v>
      </c>
      <c r="E210" t="s">
        <v>5168</v>
      </c>
    </row>
    <row r="211" spans="1:5">
      <c r="A211" t="s">
        <v>5244</v>
      </c>
      <c r="B211" t="s">
        <v>1325</v>
      </c>
      <c r="C211" t="s">
        <v>1326</v>
      </c>
      <c r="D211" t="s">
        <v>5157</v>
      </c>
      <c r="E211" t="s">
        <v>5157</v>
      </c>
    </row>
    <row r="212" spans="1:5">
      <c r="A212" t="s">
        <v>5244</v>
      </c>
      <c r="B212" t="s">
        <v>49</v>
      </c>
      <c r="C212" t="s">
        <v>1327</v>
      </c>
      <c r="D212" t="s">
        <v>5157</v>
      </c>
      <c r="E212" t="s">
        <v>5157</v>
      </c>
    </row>
    <row r="213" spans="1:5">
      <c r="A213" t="s">
        <v>5244</v>
      </c>
      <c r="B213" t="s">
        <v>50</v>
      </c>
      <c r="C213" t="s">
        <v>1328</v>
      </c>
      <c r="D213" t="s">
        <v>5174</v>
      </c>
      <c r="E213" t="s">
        <v>5168</v>
      </c>
    </row>
    <row r="214" spans="1:5">
      <c r="A214" t="s">
        <v>5244</v>
      </c>
      <c r="B214" t="s">
        <v>51</v>
      </c>
      <c r="C214" t="s">
        <v>1329</v>
      </c>
      <c r="D214" t="s">
        <v>5174</v>
      </c>
      <c r="E214" t="s">
        <v>5168</v>
      </c>
    </row>
    <row r="215" spans="1:5">
      <c r="A215" t="s">
        <v>5244</v>
      </c>
      <c r="B215" t="s">
        <v>52</v>
      </c>
      <c r="C215" t="s">
        <v>1330</v>
      </c>
      <c r="D215" t="s">
        <v>5157</v>
      </c>
      <c r="E215" t="s">
        <v>5157</v>
      </c>
    </row>
    <row r="216" spans="1:5">
      <c r="A216" t="s">
        <v>5244</v>
      </c>
      <c r="B216" t="s">
        <v>1331</v>
      </c>
      <c r="C216" t="s">
        <v>1332</v>
      </c>
      <c r="D216" t="s">
        <v>5157</v>
      </c>
      <c r="E216" t="s">
        <v>5157</v>
      </c>
    </row>
    <row r="217" spans="1:5">
      <c r="A217" t="s">
        <v>5244</v>
      </c>
      <c r="B217" t="s">
        <v>1333</v>
      </c>
      <c r="C217" t="s">
        <v>1334</v>
      </c>
      <c r="D217" t="s">
        <v>5174</v>
      </c>
      <c r="E217" t="s">
        <v>5168</v>
      </c>
    </row>
    <row r="218" spans="1:5">
      <c r="A218" t="s">
        <v>5244</v>
      </c>
      <c r="B218" t="s">
        <v>1335</v>
      </c>
      <c r="C218" t="s">
        <v>1336</v>
      </c>
      <c r="D218" t="s">
        <v>5174</v>
      </c>
      <c r="E218" t="s">
        <v>5168</v>
      </c>
    </row>
    <row r="219" spans="1:5">
      <c r="A219" t="s">
        <v>5244</v>
      </c>
      <c r="B219" t="s">
        <v>1337</v>
      </c>
      <c r="C219" t="s">
        <v>1338</v>
      </c>
      <c r="D219" t="s">
        <v>5170</v>
      </c>
      <c r="E219" t="s">
        <v>5168</v>
      </c>
    </row>
    <row r="220" spans="1:5">
      <c r="A220" t="s">
        <v>5244</v>
      </c>
      <c r="B220" t="s">
        <v>5371</v>
      </c>
      <c r="C220" t="s">
        <v>5372</v>
      </c>
      <c r="D220" t="s">
        <v>5170</v>
      </c>
      <c r="E220" t="s">
        <v>5168</v>
      </c>
    </row>
    <row r="221" spans="1:5">
      <c r="A221" t="s">
        <v>5244</v>
      </c>
      <c r="B221" t="s">
        <v>53</v>
      </c>
      <c r="C221" t="s">
        <v>1339</v>
      </c>
      <c r="D221" t="s">
        <v>5157</v>
      </c>
      <c r="E221" t="s">
        <v>5157</v>
      </c>
    </row>
    <row r="222" spans="1:5">
      <c r="A222" t="s">
        <v>5244</v>
      </c>
      <c r="B222" t="s">
        <v>54</v>
      </c>
      <c r="C222" t="s">
        <v>5373</v>
      </c>
      <c r="D222" t="s">
        <v>5157</v>
      </c>
      <c r="E222" t="s">
        <v>5157</v>
      </c>
    </row>
    <row r="223" spans="1:5">
      <c r="A223" t="s">
        <v>5244</v>
      </c>
      <c r="B223" t="s">
        <v>5374</v>
      </c>
      <c r="C223" t="s">
        <v>5375</v>
      </c>
      <c r="D223" t="s">
        <v>5170</v>
      </c>
      <c r="E223" t="s">
        <v>5168</v>
      </c>
    </row>
    <row r="224" spans="1:5">
      <c r="A224" t="s">
        <v>5244</v>
      </c>
      <c r="B224" t="s">
        <v>55</v>
      </c>
      <c r="C224" t="s">
        <v>1340</v>
      </c>
      <c r="D224" t="s">
        <v>5174</v>
      </c>
      <c r="E224" t="s">
        <v>5168</v>
      </c>
    </row>
    <row r="225" spans="1:5">
      <c r="A225" t="s">
        <v>5244</v>
      </c>
      <c r="B225" t="s">
        <v>5376</v>
      </c>
      <c r="C225" t="s">
        <v>5377</v>
      </c>
      <c r="D225" t="s">
        <v>5378</v>
      </c>
      <c r="E225" t="s">
        <v>5168</v>
      </c>
    </row>
    <row r="226" spans="1:5">
      <c r="A226" t="s">
        <v>5488</v>
      </c>
      <c r="B226" t="s">
        <v>5376</v>
      </c>
      <c r="C226" t="s">
        <v>5377</v>
      </c>
      <c r="D226" t="s">
        <v>5378</v>
      </c>
      <c r="E226" t="s">
        <v>5168</v>
      </c>
    </row>
    <row r="227" spans="1:5">
      <c r="A227" t="s">
        <v>5241</v>
      </c>
      <c r="B227" t="s">
        <v>5376</v>
      </c>
      <c r="C227" t="s">
        <v>5377</v>
      </c>
      <c r="D227" t="s">
        <v>5378</v>
      </c>
      <c r="E227" t="s">
        <v>5168</v>
      </c>
    </row>
    <row r="228" spans="1:5">
      <c r="A228" t="s">
        <v>5244</v>
      </c>
      <c r="B228" t="s">
        <v>5379</v>
      </c>
      <c r="C228" t="s">
        <v>5380</v>
      </c>
      <c r="D228" t="s">
        <v>5378</v>
      </c>
      <c r="E228" t="s">
        <v>5168</v>
      </c>
    </row>
    <row r="229" spans="1:5">
      <c r="A229" t="s">
        <v>5488</v>
      </c>
      <c r="B229" t="s">
        <v>5379</v>
      </c>
      <c r="C229" t="s">
        <v>5380</v>
      </c>
      <c r="D229" t="s">
        <v>5378</v>
      </c>
      <c r="E229" t="s">
        <v>5168</v>
      </c>
    </row>
    <row r="230" spans="1:5">
      <c r="A230" t="s">
        <v>5244</v>
      </c>
      <c r="B230" t="s">
        <v>1341</v>
      </c>
      <c r="C230" t="s">
        <v>1342</v>
      </c>
      <c r="D230" t="s">
        <v>5172</v>
      </c>
      <c r="E230" t="s">
        <v>5168</v>
      </c>
    </row>
    <row r="231" spans="1:5">
      <c r="A231" t="s">
        <v>5244</v>
      </c>
      <c r="B231" t="s">
        <v>56</v>
      </c>
      <c r="C231" t="s">
        <v>1343</v>
      </c>
      <c r="D231" t="s">
        <v>5171</v>
      </c>
      <c r="E231" t="s">
        <v>5168</v>
      </c>
    </row>
    <row r="232" spans="1:5">
      <c r="A232" t="s">
        <v>5488</v>
      </c>
      <c r="B232" t="s">
        <v>57</v>
      </c>
      <c r="C232" t="s">
        <v>1344</v>
      </c>
      <c r="D232" t="s">
        <v>5176</v>
      </c>
      <c r="E232" t="s">
        <v>5168</v>
      </c>
    </row>
    <row r="233" spans="1:5">
      <c r="A233" t="s">
        <v>5244</v>
      </c>
      <c r="B233" t="s">
        <v>57</v>
      </c>
      <c r="C233" t="s">
        <v>1344</v>
      </c>
      <c r="D233" t="s">
        <v>5176</v>
      </c>
      <c r="E233" t="s">
        <v>5168</v>
      </c>
    </row>
    <row r="234" spans="1:5">
      <c r="A234" t="s">
        <v>5244</v>
      </c>
      <c r="B234" t="s">
        <v>1345</v>
      </c>
      <c r="C234" t="s">
        <v>1346</v>
      </c>
      <c r="D234" t="s">
        <v>5176</v>
      </c>
      <c r="E234" t="s">
        <v>5168</v>
      </c>
    </row>
    <row r="235" spans="1:5">
      <c r="A235" t="s">
        <v>5488</v>
      </c>
      <c r="B235" t="s">
        <v>1345</v>
      </c>
      <c r="C235" t="s">
        <v>1346</v>
      </c>
      <c r="D235" t="s">
        <v>5176</v>
      </c>
      <c r="E235" t="s">
        <v>5168</v>
      </c>
    </row>
    <row r="236" spans="1:5">
      <c r="A236" t="s">
        <v>5488</v>
      </c>
      <c r="B236" t="s">
        <v>58</v>
      </c>
      <c r="C236" t="s">
        <v>1347</v>
      </c>
      <c r="D236" t="s">
        <v>5176</v>
      </c>
      <c r="E236" t="s">
        <v>5168</v>
      </c>
    </row>
    <row r="237" spans="1:5">
      <c r="A237" t="s">
        <v>5244</v>
      </c>
      <c r="B237" t="s">
        <v>58</v>
      </c>
      <c r="C237" t="s">
        <v>1347</v>
      </c>
      <c r="D237" t="s">
        <v>5176</v>
      </c>
      <c r="E237" t="s">
        <v>5168</v>
      </c>
    </row>
    <row r="238" spans="1:5">
      <c r="A238" t="s">
        <v>5244</v>
      </c>
      <c r="B238" t="s">
        <v>59</v>
      </c>
      <c r="C238" t="s">
        <v>1348</v>
      </c>
      <c r="D238" t="s">
        <v>5176</v>
      </c>
      <c r="E238" t="s">
        <v>5168</v>
      </c>
    </row>
    <row r="239" spans="1:5">
      <c r="A239" t="s">
        <v>5488</v>
      </c>
      <c r="B239" t="s">
        <v>59</v>
      </c>
      <c r="C239" t="s">
        <v>1348</v>
      </c>
      <c r="D239" t="s">
        <v>5176</v>
      </c>
      <c r="E239" t="s">
        <v>5168</v>
      </c>
    </row>
    <row r="240" spans="1:5">
      <c r="A240" t="s">
        <v>5488</v>
      </c>
      <c r="B240" t="s">
        <v>60</v>
      </c>
      <c r="C240" t="s">
        <v>1349</v>
      </c>
      <c r="D240" t="s">
        <v>5176</v>
      </c>
      <c r="E240" t="s">
        <v>5168</v>
      </c>
    </row>
    <row r="241" spans="1:5">
      <c r="A241" t="s">
        <v>5244</v>
      </c>
      <c r="B241" t="s">
        <v>60</v>
      </c>
      <c r="C241" t="s">
        <v>1349</v>
      </c>
      <c r="D241" t="s">
        <v>5176</v>
      </c>
      <c r="E241" t="s">
        <v>5168</v>
      </c>
    </row>
    <row r="242" spans="1:5">
      <c r="A242" t="s">
        <v>5488</v>
      </c>
      <c r="B242" t="s">
        <v>74</v>
      </c>
      <c r="C242" t="s">
        <v>1350</v>
      </c>
      <c r="D242" t="s">
        <v>5169</v>
      </c>
      <c r="E242" t="s">
        <v>5168</v>
      </c>
    </row>
    <row r="243" spans="1:5">
      <c r="A243" t="s">
        <v>5244</v>
      </c>
      <c r="B243" t="s">
        <v>74</v>
      </c>
      <c r="C243" t="s">
        <v>1350</v>
      </c>
      <c r="D243" t="s">
        <v>5169</v>
      </c>
      <c r="E243" t="s">
        <v>5168</v>
      </c>
    </row>
    <row r="244" spans="1:5">
      <c r="A244" t="s">
        <v>5244</v>
      </c>
      <c r="B244" t="s">
        <v>75</v>
      </c>
      <c r="C244" t="s">
        <v>5381</v>
      </c>
      <c r="D244" t="s">
        <v>5382</v>
      </c>
      <c r="E244" t="s">
        <v>5168</v>
      </c>
    </row>
    <row r="245" spans="1:5">
      <c r="A245" t="s">
        <v>5244</v>
      </c>
      <c r="B245" t="s">
        <v>5383</v>
      </c>
      <c r="C245" t="s">
        <v>5384</v>
      </c>
      <c r="D245" t="s">
        <v>5382</v>
      </c>
      <c r="E245" t="s">
        <v>5168</v>
      </c>
    </row>
    <row r="246" spans="1:5">
      <c r="A246" t="s">
        <v>5244</v>
      </c>
      <c r="B246" t="s">
        <v>76</v>
      </c>
      <c r="C246" t="s">
        <v>1351</v>
      </c>
      <c r="D246" t="s">
        <v>5182</v>
      </c>
      <c r="E246" t="s">
        <v>5168</v>
      </c>
    </row>
    <row r="247" spans="1:5">
      <c r="A247" t="s">
        <v>5488</v>
      </c>
      <c r="B247" t="s">
        <v>76</v>
      </c>
      <c r="C247" t="s">
        <v>1351</v>
      </c>
      <c r="D247" t="s">
        <v>5182</v>
      </c>
      <c r="E247" t="s">
        <v>5168</v>
      </c>
    </row>
    <row r="248" spans="1:5">
      <c r="A248" t="s">
        <v>5488</v>
      </c>
      <c r="B248" t="s">
        <v>77</v>
      </c>
      <c r="C248" t="s">
        <v>5385</v>
      </c>
      <c r="D248" t="s">
        <v>5219</v>
      </c>
      <c r="E248" t="s">
        <v>5168</v>
      </c>
    </row>
    <row r="249" spans="1:5">
      <c r="A249" t="s">
        <v>5244</v>
      </c>
      <c r="B249" t="s">
        <v>77</v>
      </c>
      <c r="C249" t="s">
        <v>5385</v>
      </c>
      <c r="D249" t="s">
        <v>5219</v>
      </c>
      <c r="E249" t="s">
        <v>5168</v>
      </c>
    </row>
    <row r="250" spans="1:5">
      <c r="A250" t="s">
        <v>5244</v>
      </c>
      <c r="B250" t="s">
        <v>61</v>
      </c>
      <c r="C250" t="s">
        <v>1352</v>
      </c>
      <c r="D250" t="s">
        <v>5172</v>
      </c>
      <c r="E250" t="s">
        <v>5168</v>
      </c>
    </row>
    <row r="251" spans="1:5">
      <c r="A251" t="s">
        <v>5244</v>
      </c>
      <c r="B251" t="s">
        <v>62</v>
      </c>
      <c r="C251" t="s">
        <v>1353</v>
      </c>
      <c r="D251" t="s">
        <v>5170</v>
      </c>
      <c r="E251" t="s">
        <v>5168</v>
      </c>
    </row>
    <row r="252" spans="1:5">
      <c r="A252" t="s">
        <v>5244</v>
      </c>
      <c r="B252" t="s">
        <v>63</v>
      </c>
      <c r="C252" t="s">
        <v>1354</v>
      </c>
      <c r="D252" t="s">
        <v>5174</v>
      </c>
      <c r="E252" t="s">
        <v>5168</v>
      </c>
    </row>
    <row r="253" spans="1:5">
      <c r="A253" t="s">
        <v>5244</v>
      </c>
      <c r="B253" t="s">
        <v>64</v>
      </c>
      <c r="C253" t="s">
        <v>5386</v>
      </c>
      <c r="D253" t="s">
        <v>5174</v>
      </c>
      <c r="E253" t="s">
        <v>5168</v>
      </c>
    </row>
    <row r="254" spans="1:5">
      <c r="A254" t="s">
        <v>5244</v>
      </c>
      <c r="B254" t="s">
        <v>65</v>
      </c>
      <c r="C254" t="s">
        <v>1355</v>
      </c>
      <c r="D254" t="s">
        <v>5183</v>
      </c>
      <c r="E254" t="s">
        <v>5168</v>
      </c>
    </row>
    <row r="255" spans="1:5">
      <c r="A255" t="s">
        <v>5244</v>
      </c>
      <c r="B255" t="s">
        <v>66</v>
      </c>
      <c r="C255" t="s">
        <v>1356</v>
      </c>
      <c r="D255" t="s">
        <v>5170</v>
      </c>
      <c r="E255" t="s">
        <v>5168</v>
      </c>
    </row>
    <row r="256" spans="1:5">
      <c r="A256" t="s">
        <v>5244</v>
      </c>
      <c r="B256" t="s">
        <v>67</v>
      </c>
      <c r="C256" t="s">
        <v>1357</v>
      </c>
      <c r="D256" t="s">
        <v>5180</v>
      </c>
      <c r="E256" t="s">
        <v>5168</v>
      </c>
    </row>
    <row r="257" spans="1:5">
      <c r="A257" t="s">
        <v>5244</v>
      </c>
      <c r="B257" t="s">
        <v>1358</v>
      </c>
      <c r="C257" t="s">
        <v>1359</v>
      </c>
      <c r="D257" t="s">
        <v>5180</v>
      </c>
      <c r="E257" t="s">
        <v>5168</v>
      </c>
    </row>
    <row r="258" spans="1:5">
      <c r="A258" t="s">
        <v>5244</v>
      </c>
      <c r="B258" t="s">
        <v>1360</v>
      </c>
      <c r="C258" t="s">
        <v>1361</v>
      </c>
      <c r="D258" t="s">
        <v>5183</v>
      </c>
      <c r="E258" t="s">
        <v>5168</v>
      </c>
    </row>
    <row r="259" spans="1:5">
      <c r="A259" t="s">
        <v>5244</v>
      </c>
      <c r="B259" t="s">
        <v>1362</v>
      </c>
      <c r="C259" t="s">
        <v>1363</v>
      </c>
      <c r="D259" t="s">
        <v>5174</v>
      </c>
      <c r="E259" t="s">
        <v>5168</v>
      </c>
    </row>
    <row r="260" spans="1:5">
      <c r="A260" t="s">
        <v>5244</v>
      </c>
      <c r="B260" t="s">
        <v>68</v>
      </c>
      <c r="C260" t="s">
        <v>1364</v>
      </c>
      <c r="D260" t="s">
        <v>5170</v>
      </c>
      <c r="E260" t="s">
        <v>5168</v>
      </c>
    </row>
    <row r="261" spans="1:5">
      <c r="A261" t="s">
        <v>5244</v>
      </c>
      <c r="B261" t="s">
        <v>69</v>
      </c>
      <c r="C261" t="s">
        <v>1365</v>
      </c>
      <c r="D261" t="s">
        <v>5174</v>
      </c>
      <c r="E261" t="s">
        <v>5168</v>
      </c>
    </row>
    <row r="262" spans="1:5">
      <c r="A262" t="s">
        <v>5244</v>
      </c>
      <c r="B262" t="s">
        <v>70</v>
      </c>
      <c r="C262" t="s">
        <v>1366</v>
      </c>
      <c r="D262" t="s">
        <v>5177</v>
      </c>
      <c r="E262" t="s">
        <v>5168</v>
      </c>
    </row>
    <row r="263" spans="1:5">
      <c r="A263" t="s">
        <v>5244</v>
      </c>
      <c r="B263" t="s">
        <v>1367</v>
      </c>
      <c r="C263" t="s">
        <v>1368</v>
      </c>
      <c r="D263" t="s">
        <v>5157</v>
      </c>
      <c r="E263" t="s">
        <v>5157</v>
      </c>
    </row>
    <row r="264" spans="1:5">
      <c r="A264" t="s">
        <v>5244</v>
      </c>
      <c r="B264" t="s">
        <v>1369</v>
      </c>
      <c r="C264" t="s">
        <v>1370</v>
      </c>
      <c r="D264" t="s">
        <v>5157</v>
      </c>
      <c r="E264" t="s">
        <v>5157</v>
      </c>
    </row>
    <row r="265" spans="1:5">
      <c r="A265" t="s">
        <v>5244</v>
      </c>
      <c r="B265" t="s">
        <v>71</v>
      </c>
      <c r="C265" t="s">
        <v>1371</v>
      </c>
      <c r="D265" t="s">
        <v>5184</v>
      </c>
      <c r="E265" t="s">
        <v>5168</v>
      </c>
    </row>
    <row r="266" spans="1:5">
      <c r="A266" t="s">
        <v>5244</v>
      </c>
      <c r="B266" t="s">
        <v>72</v>
      </c>
      <c r="C266" t="s">
        <v>1372</v>
      </c>
      <c r="D266" t="s">
        <v>5184</v>
      </c>
      <c r="E266" t="s">
        <v>5168</v>
      </c>
    </row>
    <row r="267" spans="1:5">
      <c r="A267" t="s">
        <v>5244</v>
      </c>
      <c r="B267" t="s">
        <v>73</v>
      </c>
      <c r="C267" t="s">
        <v>1373</v>
      </c>
      <c r="D267" t="s">
        <v>5180</v>
      </c>
      <c r="E267" t="s">
        <v>5168</v>
      </c>
    </row>
    <row r="268" spans="1:5">
      <c r="A268" t="s">
        <v>5244</v>
      </c>
      <c r="B268" t="s">
        <v>1374</v>
      </c>
      <c r="C268" t="s">
        <v>1375</v>
      </c>
      <c r="D268" t="s">
        <v>5174</v>
      </c>
      <c r="E268" t="s">
        <v>5168</v>
      </c>
    </row>
    <row r="269" spans="1:5">
      <c r="A269" t="s">
        <v>5244</v>
      </c>
      <c r="B269" t="s">
        <v>5387</v>
      </c>
      <c r="C269" t="s">
        <v>5388</v>
      </c>
      <c r="D269" t="s">
        <v>5157</v>
      </c>
      <c r="E269" t="s">
        <v>5157</v>
      </c>
    </row>
    <row r="270" spans="1:5">
      <c r="A270" t="s">
        <v>5244</v>
      </c>
      <c r="B270" t="s">
        <v>78</v>
      </c>
      <c r="C270" t="s">
        <v>1376</v>
      </c>
      <c r="D270" t="s">
        <v>5185</v>
      </c>
      <c r="E270" t="s">
        <v>5159</v>
      </c>
    </row>
    <row r="271" spans="1:5">
      <c r="A271" t="s">
        <v>5244</v>
      </c>
      <c r="B271" t="s">
        <v>79</v>
      </c>
      <c r="C271" t="s">
        <v>1377</v>
      </c>
      <c r="D271" t="s">
        <v>5186</v>
      </c>
      <c r="E271" t="s">
        <v>5159</v>
      </c>
    </row>
    <row r="272" spans="1:5">
      <c r="A272" t="s">
        <v>5244</v>
      </c>
      <c r="B272" t="s">
        <v>5389</v>
      </c>
      <c r="C272" t="s">
        <v>2235</v>
      </c>
      <c r="D272" t="s">
        <v>5158</v>
      </c>
      <c r="E272" t="s">
        <v>5159</v>
      </c>
    </row>
    <row r="273" spans="1:5">
      <c r="A273" t="s">
        <v>5244</v>
      </c>
      <c r="B273" t="s">
        <v>80</v>
      </c>
      <c r="C273" t="s">
        <v>1378</v>
      </c>
      <c r="D273" t="s">
        <v>5187</v>
      </c>
      <c r="E273" t="s">
        <v>5159</v>
      </c>
    </row>
    <row r="274" spans="1:5">
      <c r="A274" t="s">
        <v>5244</v>
      </c>
      <c r="B274" t="s">
        <v>1379</v>
      </c>
      <c r="C274" t="s">
        <v>1380</v>
      </c>
      <c r="D274" t="s">
        <v>5186</v>
      </c>
      <c r="E274" t="s">
        <v>5159</v>
      </c>
    </row>
    <row r="275" spans="1:5">
      <c r="A275" t="s">
        <v>5244</v>
      </c>
      <c r="B275" t="s">
        <v>81</v>
      </c>
      <c r="C275" t="s">
        <v>1381</v>
      </c>
      <c r="D275" t="s">
        <v>5186</v>
      </c>
      <c r="E275" t="s">
        <v>5159</v>
      </c>
    </row>
    <row r="276" spans="1:5">
      <c r="A276" t="s">
        <v>5244</v>
      </c>
      <c r="B276" t="s">
        <v>82</v>
      </c>
      <c r="C276" t="s">
        <v>1382</v>
      </c>
      <c r="D276" t="s">
        <v>5186</v>
      </c>
      <c r="E276" t="s">
        <v>5159</v>
      </c>
    </row>
    <row r="277" spans="1:5">
      <c r="A277" t="s">
        <v>5244</v>
      </c>
      <c r="B277" t="s">
        <v>1383</v>
      </c>
      <c r="C277" t="s">
        <v>1384</v>
      </c>
      <c r="D277" t="s">
        <v>5161</v>
      </c>
      <c r="E277" t="s">
        <v>5159</v>
      </c>
    </row>
    <row r="278" spans="1:5">
      <c r="A278" t="s">
        <v>5244</v>
      </c>
      <c r="B278" t="s">
        <v>83</v>
      </c>
      <c r="C278" t="s">
        <v>1385</v>
      </c>
      <c r="D278" t="s">
        <v>5188</v>
      </c>
      <c r="E278" t="s">
        <v>5159</v>
      </c>
    </row>
    <row r="279" spans="1:5">
      <c r="A279" t="s">
        <v>5244</v>
      </c>
      <c r="B279" t="s">
        <v>84</v>
      </c>
      <c r="C279" t="s">
        <v>1386</v>
      </c>
      <c r="D279" t="s">
        <v>5158</v>
      </c>
      <c r="E279" t="s">
        <v>5159</v>
      </c>
    </row>
    <row r="280" spans="1:5">
      <c r="A280" t="s">
        <v>5244</v>
      </c>
      <c r="B280" t="s">
        <v>85</v>
      </c>
      <c r="C280" t="s">
        <v>1387</v>
      </c>
      <c r="D280" t="s">
        <v>5186</v>
      </c>
      <c r="E280" t="s">
        <v>5159</v>
      </c>
    </row>
    <row r="281" spans="1:5">
      <c r="A281" t="s">
        <v>5244</v>
      </c>
      <c r="B281" t="s">
        <v>86</v>
      </c>
      <c r="C281" t="s">
        <v>1388</v>
      </c>
      <c r="D281" t="s">
        <v>5187</v>
      </c>
      <c r="E281" t="s">
        <v>5159</v>
      </c>
    </row>
    <row r="282" spans="1:5">
      <c r="A282" t="s">
        <v>5244</v>
      </c>
      <c r="B282" t="s">
        <v>87</v>
      </c>
      <c r="C282" t="s">
        <v>1389</v>
      </c>
      <c r="D282" t="s">
        <v>5186</v>
      </c>
      <c r="E282" t="s">
        <v>5159</v>
      </c>
    </row>
    <row r="283" spans="1:5">
      <c r="A283" t="s">
        <v>5244</v>
      </c>
      <c r="B283" t="s">
        <v>88</v>
      </c>
      <c r="C283" t="s">
        <v>1390</v>
      </c>
      <c r="D283" t="s">
        <v>5186</v>
      </c>
      <c r="E283" t="s">
        <v>5159</v>
      </c>
    </row>
    <row r="284" spans="1:5">
      <c r="A284" t="s">
        <v>5244</v>
      </c>
      <c r="B284" t="s">
        <v>89</v>
      </c>
      <c r="C284" t="s">
        <v>1391</v>
      </c>
      <c r="D284" t="s">
        <v>5186</v>
      </c>
      <c r="E284" t="s">
        <v>5159</v>
      </c>
    </row>
    <row r="285" spans="1:5">
      <c r="A285" t="s">
        <v>5244</v>
      </c>
      <c r="B285" t="s">
        <v>90</v>
      </c>
      <c r="C285" t="s">
        <v>1392</v>
      </c>
      <c r="D285" t="s">
        <v>5158</v>
      </c>
      <c r="E285" t="s">
        <v>5159</v>
      </c>
    </row>
    <row r="286" spans="1:5">
      <c r="A286" t="s">
        <v>5244</v>
      </c>
      <c r="B286" t="s">
        <v>91</v>
      </c>
      <c r="C286" t="s">
        <v>1393</v>
      </c>
      <c r="D286" t="s">
        <v>5158</v>
      </c>
      <c r="E286" t="s">
        <v>5159</v>
      </c>
    </row>
    <row r="287" spans="1:5">
      <c r="A287" t="s">
        <v>5244</v>
      </c>
      <c r="B287" t="s">
        <v>92</v>
      </c>
      <c r="C287" t="s">
        <v>1394</v>
      </c>
      <c r="D287" t="s">
        <v>5186</v>
      </c>
      <c r="E287" t="s">
        <v>5159</v>
      </c>
    </row>
    <row r="288" spans="1:5">
      <c r="A288" t="s">
        <v>5244</v>
      </c>
      <c r="B288" t="s">
        <v>1395</v>
      </c>
      <c r="C288" t="s">
        <v>1396</v>
      </c>
      <c r="D288" t="s">
        <v>5188</v>
      </c>
      <c r="E288" t="s">
        <v>5159</v>
      </c>
    </row>
    <row r="289" spans="1:5">
      <c r="A289" t="s">
        <v>5244</v>
      </c>
      <c r="B289" t="s">
        <v>93</v>
      </c>
      <c r="C289" t="s">
        <v>1397</v>
      </c>
      <c r="D289" t="s">
        <v>5186</v>
      </c>
      <c r="E289" t="s">
        <v>5159</v>
      </c>
    </row>
    <row r="290" spans="1:5">
      <c r="A290" t="s">
        <v>5244</v>
      </c>
      <c r="B290" t="s">
        <v>94</v>
      </c>
      <c r="C290" t="s">
        <v>1398</v>
      </c>
      <c r="D290" t="s">
        <v>5158</v>
      </c>
      <c r="E290" t="s">
        <v>5159</v>
      </c>
    </row>
    <row r="291" spans="1:5">
      <c r="A291" t="s">
        <v>5244</v>
      </c>
      <c r="B291" t="s">
        <v>95</v>
      </c>
      <c r="C291" t="s">
        <v>1399</v>
      </c>
      <c r="D291" t="s">
        <v>5158</v>
      </c>
      <c r="E291" t="s">
        <v>5159</v>
      </c>
    </row>
    <row r="292" spans="1:5">
      <c r="A292" t="s">
        <v>5244</v>
      </c>
      <c r="B292" t="s">
        <v>1400</v>
      </c>
      <c r="C292" t="s">
        <v>1401</v>
      </c>
      <c r="D292" t="s">
        <v>5161</v>
      </c>
      <c r="E292" t="s">
        <v>5159</v>
      </c>
    </row>
    <row r="293" spans="1:5">
      <c r="A293" t="s">
        <v>5244</v>
      </c>
      <c r="B293" t="s">
        <v>96</v>
      </c>
      <c r="C293" t="s">
        <v>1402</v>
      </c>
      <c r="D293" t="s">
        <v>5186</v>
      </c>
      <c r="E293" t="s">
        <v>5159</v>
      </c>
    </row>
    <row r="294" spans="1:5">
      <c r="A294" t="s">
        <v>5244</v>
      </c>
      <c r="B294" t="s">
        <v>97</v>
      </c>
      <c r="C294" t="s">
        <v>1403</v>
      </c>
      <c r="D294" t="s">
        <v>5186</v>
      </c>
      <c r="E294" t="s">
        <v>5159</v>
      </c>
    </row>
    <row r="295" spans="1:5">
      <c r="A295" t="s">
        <v>5244</v>
      </c>
      <c r="B295" t="s">
        <v>98</v>
      </c>
      <c r="C295" t="s">
        <v>1404</v>
      </c>
      <c r="D295" t="s">
        <v>5158</v>
      </c>
      <c r="E295" t="s">
        <v>5159</v>
      </c>
    </row>
    <row r="296" spans="1:5">
      <c r="A296" t="s">
        <v>5244</v>
      </c>
      <c r="B296" t="s">
        <v>99</v>
      </c>
      <c r="C296" t="s">
        <v>1405</v>
      </c>
      <c r="D296" t="s">
        <v>5186</v>
      </c>
      <c r="E296" t="s">
        <v>5159</v>
      </c>
    </row>
    <row r="297" spans="1:5">
      <c r="A297" t="s">
        <v>5244</v>
      </c>
      <c r="B297" t="s">
        <v>100</v>
      </c>
      <c r="C297" t="s">
        <v>1406</v>
      </c>
      <c r="D297" t="s">
        <v>5158</v>
      </c>
      <c r="E297" t="s">
        <v>5159</v>
      </c>
    </row>
    <row r="298" spans="1:5">
      <c r="A298" t="s">
        <v>5244</v>
      </c>
      <c r="B298" t="s">
        <v>101</v>
      </c>
      <c r="C298" t="s">
        <v>1407</v>
      </c>
      <c r="D298" t="s">
        <v>5189</v>
      </c>
      <c r="E298" t="s">
        <v>5159</v>
      </c>
    </row>
    <row r="299" spans="1:5">
      <c r="A299" t="s">
        <v>5244</v>
      </c>
      <c r="B299" t="s">
        <v>102</v>
      </c>
      <c r="C299" t="s">
        <v>1408</v>
      </c>
      <c r="D299" t="s">
        <v>5158</v>
      </c>
      <c r="E299" t="s">
        <v>5159</v>
      </c>
    </row>
    <row r="300" spans="1:5">
      <c r="A300" t="s">
        <v>5244</v>
      </c>
      <c r="B300" t="s">
        <v>103</v>
      </c>
      <c r="C300" t="s">
        <v>1409</v>
      </c>
      <c r="D300" t="s">
        <v>5158</v>
      </c>
      <c r="E300" t="s">
        <v>5159</v>
      </c>
    </row>
    <row r="301" spans="1:5">
      <c r="A301" t="s">
        <v>5244</v>
      </c>
      <c r="B301" t="s">
        <v>104</v>
      </c>
      <c r="C301" t="s">
        <v>1410</v>
      </c>
      <c r="D301" t="s">
        <v>5158</v>
      </c>
      <c r="E301" t="s">
        <v>5159</v>
      </c>
    </row>
    <row r="302" spans="1:5">
      <c r="A302" t="s">
        <v>5244</v>
      </c>
      <c r="B302" t="s">
        <v>105</v>
      </c>
      <c r="C302" t="s">
        <v>1411</v>
      </c>
      <c r="D302" t="s">
        <v>5158</v>
      </c>
      <c r="E302" t="s">
        <v>5159</v>
      </c>
    </row>
    <row r="303" spans="1:5">
      <c r="A303" t="s">
        <v>5244</v>
      </c>
      <c r="B303" t="s">
        <v>106</v>
      </c>
      <c r="C303" t="s">
        <v>1410</v>
      </c>
      <c r="D303" t="s">
        <v>5158</v>
      </c>
      <c r="E303" t="s">
        <v>5159</v>
      </c>
    </row>
    <row r="304" spans="1:5">
      <c r="A304" t="s">
        <v>5244</v>
      </c>
      <c r="B304" t="s">
        <v>107</v>
      </c>
      <c r="C304" t="s">
        <v>1412</v>
      </c>
      <c r="D304" t="s">
        <v>5158</v>
      </c>
      <c r="E304" t="s">
        <v>5159</v>
      </c>
    </row>
    <row r="305" spans="1:5">
      <c r="A305" t="s">
        <v>5244</v>
      </c>
      <c r="B305" t="s">
        <v>108</v>
      </c>
      <c r="C305" t="s">
        <v>1413</v>
      </c>
      <c r="D305" t="s">
        <v>5186</v>
      </c>
      <c r="E305" t="s">
        <v>5159</v>
      </c>
    </row>
    <row r="306" spans="1:5">
      <c r="A306" t="s">
        <v>5244</v>
      </c>
      <c r="B306" t="s">
        <v>109</v>
      </c>
      <c r="C306" t="s">
        <v>1414</v>
      </c>
      <c r="D306" t="s">
        <v>5186</v>
      </c>
      <c r="E306" t="s">
        <v>5159</v>
      </c>
    </row>
    <row r="307" spans="1:5">
      <c r="A307" t="s">
        <v>5244</v>
      </c>
      <c r="B307" t="s">
        <v>110</v>
      </c>
      <c r="C307" t="s">
        <v>1415</v>
      </c>
      <c r="D307" t="s">
        <v>5187</v>
      </c>
      <c r="E307" t="s">
        <v>5159</v>
      </c>
    </row>
    <row r="308" spans="1:5">
      <c r="A308" t="s">
        <v>5244</v>
      </c>
      <c r="B308" t="s">
        <v>111</v>
      </c>
      <c r="C308" t="s">
        <v>1416</v>
      </c>
      <c r="D308" t="s">
        <v>5158</v>
      </c>
      <c r="E308" t="s">
        <v>5159</v>
      </c>
    </row>
    <row r="309" spans="1:5">
      <c r="A309" t="s">
        <v>5244</v>
      </c>
      <c r="B309" t="s">
        <v>112</v>
      </c>
      <c r="C309" t="s">
        <v>1417</v>
      </c>
      <c r="D309" t="s">
        <v>5158</v>
      </c>
      <c r="E309" t="s">
        <v>5159</v>
      </c>
    </row>
    <row r="310" spans="1:5">
      <c r="A310" t="s">
        <v>5244</v>
      </c>
      <c r="B310" t="s">
        <v>113</v>
      </c>
      <c r="C310" t="s">
        <v>1418</v>
      </c>
      <c r="D310" t="s">
        <v>5186</v>
      </c>
      <c r="E310" t="s">
        <v>5159</v>
      </c>
    </row>
    <row r="311" spans="1:5">
      <c r="A311" t="s">
        <v>5244</v>
      </c>
      <c r="B311" t="s">
        <v>114</v>
      </c>
      <c r="C311" t="s">
        <v>1419</v>
      </c>
      <c r="D311" t="s">
        <v>5186</v>
      </c>
      <c r="E311" t="s">
        <v>5159</v>
      </c>
    </row>
    <row r="312" spans="1:5">
      <c r="A312" t="s">
        <v>5244</v>
      </c>
      <c r="B312" t="s">
        <v>115</v>
      </c>
      <c r="C312" t="s">
        <v>1420</v>
      </c>
      <c r="D312" t="s">
        <v>5186</v>
      </c>
      <c r="E312" t="s">
        <v>5159</v>
      </c>
    </row>
    <row r="313" spans="1:5">
      <c r="A313" t="s">
        <v>5244</v>
      </c>
      <c r="B313" t="s">
        <v>116</v>
      </c>
      <c r="C313" t="s">
        <v>1421</v>
      </c>
      <c r="D313" t="s">
        <v>5186</v>
      </c>
      <c r="E313" t="s">
        <v>5159</v>
      </c>
    </row>
    <row r="314" spans="1:5">
      <c r="A314" t="s">
        <v>5244</v>
      </c>
      <c r="B314" t="s">
        <v>117</v>
      </c>
      <c r="C314" t="s">
        <v>1422</v>
      </c>
      <c r="D314" t="s">
        <v>5186</v>
      </c>
      <c r="E314" t="s">
        <v>5159</v>
      </c>
    </row>
    <row r="315" spans="1:5">
      <c r="A315" t="s">
        <v>5244</v>
      </c>
      <c r="B315" t="s">
        <v>118</v>
      </c>
      <c r="C315" t="s">
        <v>1423</v>
      </c>
      <c r="D315" t="s">
        <v>5186</v>
      </c>
      <c r="E315" t="s">
        <v>5159</v>
      </c>
    </row>
    <row r="316" spans="1:5">
      <c r="A316" t="s">
        <v>5244</v>
      </c>
      <c r="B316" t="s">
        <v>119</v>
      </c>
      <c r="C316" t="s">
        <v>1424</v>
      </c>
      <c r="D316" t="s">
        <v>5186</v>
      </c>
      <c r="E316" t="s">
        <v>5159</v>
      </c>
    </row>
    <row r="317" spans="1:5">
      <c r="A317" t="s">
        <v>5244</v>
      </c>
      <c r="B317" t="s">
        <v>120</v>
      </c>
      <c r="C317" t="s">
        <v>1425</v>
      </c>
      <c r="D317" t="s">
        <v>5186</v>
      </c>
      <c r="E317" t="s">
        <v>5159</v>
      </c>
    </row>
    <row r="318" spans="1:5">
      <c r="A318" t="s">
        <v>5244</v>
      </c>
      <c r="B318" t="s">
        <v>121</v>
      </c>
      <c r="C318" t="s">
        <v>1426</v>
      </c>
      <c r="D318" t="s">
        <v>5188</v>
      </c>
      <c r="E318" t="s">
        <v>5159</v>
      </c>
    </row>
    <row r="319" spans="1:5">
      <c r="A319" t="s">
        <v>5244</v>
      </c>
      <c r="B319" t="s">
        <v>122</v>
      </c>
      <c r="C319" t="s">
        <v>1427</v>
      </c>
      <c r="D319" t="s">
        <v>5186</v>
      </c>
      <c r="E319" t="s">
        <v>5159</v>
      </c>
    </row>
    <row r="320" spans="1:5">
      <c r="A320" t="s">
        <v>5244</v>
      </c>
      <c r="B320" t="s">
        <v>123</v>
      </c>
      <c r="C320" t="s">
        <v>1428</v>
      </c>
      <c r="D320" t="s">
        <v>5186</v>
      </c>
      <c r="E320" t="s">
        <v>5159</v>
      </c>
    </row>
    <row r="321" spans="1:5">
      <c r="A321" t="s">
        <v>5244</v>
      </c>
      <c r="B321" t="s">
        <v>124</v>
      </c>
      <c r="C321" t="s">
        <v>1429</v>
      </c>
      <c r="D321" t="s">
        <v>5186</v>
      </c>
      <c r="E321" t="s">
        <v>5159</v>
      </c>
    </row>
    <row r="322" spans="1:5">
      <c r="A322" t="s">
        <v>5244</v>
      </c>
      <c r="B322" t="s">
        <v>125</v>
      </c>
      <c r="C322" t="s">
        <v>1430</v>
      </c>
      <c r="D322" t="s">
        <v>5158</v>
      </c>
      <c r="E322" t="s">
        <v>5159</v>
      </c>
    </row>
    <row r="323" spans="1:5">
      <c r="A323" t="s">
        <v>5244</v>
      </c>
      <c r="B323" t="s">
        <v>126</v>
      </c>
      <c r="C323" t="s">
        <v>1431</v>
      </c>
      <c r="D323" t="s">
        <v>5187</v>
      </c>
      <c r="E323" t="s">
        <v>5159</v>
      </c>
    </row>
    <row r="324" spans="1:5">
      <c r="A324" t="s">
        <v>5244</v>
      </c>
      <c r="B324" t="s">
        <v>127</v>
      </c>
      <c r="C324" t="s">
        <v>1432</v>
      </c>
      <c r="D324" t="s">
        <v>5158</v>
      </c>
      <c r="E324" t="s">
        <v>5159</v>
      </c>
    </row>
    <row r="325" spans="1:5">
      <c r="A325" t="s">
        <v>5244</v>
      </c>
      <c r="B325" t="s">
        <v>128</v>
      </c>
      <c r="C325" t="s">
        <v>1433</v>
      </c>
      <c r="D325" t="s">
        <v>5158</v>
      </c>
      <c r="E325" t="s">
        <v>5159</v>
      </c>
    </row>
    <row r="326" spans="1:5">
      <c r="A326" t="s">
        <v>5244</v>
      </c>
      <c r="B326" t="s">
        <v>129</v>
      </c>
      <c r="C326" t="s">
        <v>1434</v>
      </c>
      <c r="D326" t="s">
        <v>5187</v>
      </c>
      <c r="E326" t="s">
        <v>5159</v>
      </c>
    </row>
    <row r="327" spans="1:5">
      <c r="A327" t="s">
        <v>5244</v>
      </c>
      <c r="B327" t="s">
        <v>130</v>
      </c>
      <c r="C327" t="s">
        <v>1435</v>
      </c>
      <c r="D327" t="s">
        <v>5158</v>
      </c>
      <c r="E327" t="s">
        <v>5159</v>
      </c>
    </row>
    <row r="328" spans="1:5">
      <c r="A328" t="s">
        <v>5244</v>
      </c>
      <c r="B328" t="s">
        <v>131</v>
      </c>
      <c r="C328" t="s">
        <v>1436</v>
      </c>
      <c r="D328" t="s">
        <v>5186</v>
      </c>
      <c r="E328" t="s">
        <v>5159</v>
      </c>
    </row>
    <row r="329" spans="1:5">
      <c r="A329" t="s">
        <v>5244</v>
      </c>
      <c r="B329" t="s">
        <v>132</v>
      </c>
      <c r="C329" t="s">
        <v>1437</v>
      </c>
      <c r="D329" t="s">
        <v>5161</v>
      </c>
      <c r="E329" t="s">
        <v>5159</v>
      </c>
    </row>
    <row r="330" spans="1:5">
      <c r="A330" t="s">
        <v>5244</v>
      </c>
      <c r="B330" t="s">
        <v>133</v>
      </c>
      <c r="C330" t="s">
        <v>1438</v>
      </c>
      <c r="D330" t="s">
        <v>5158</v>
      </c>
      <c r="E330" t="s">
        <v>5159</v>
      </c>
    </row>
    <row r="331" spans="1:5">
      <c r="A331" t="s">
        <v>5244</v>
      </c>
      <c r="B331" t="s">
        <v>134</v>
      </c>
      <c r="C331" t="s">
        <v>1439</v>
      </c>
      <c r="D331" t="s">
        <v>5190</v>
      </c>
      <c r="E331" t="s">
        <v>5159</v>
      </c>
    </row>
    <row r="332" spans="1:5">
      <c r="A332" t="s">
        <v>5244</v>
      </c>
      <c r="B332" t="s">
        <v>135</v>
      </c>
      <c r="C332" t="s">
        <v>1440</v>
      </c>
      <c r="D332" t="s">
        <v>5187</v>
      </c>
      <c r="E332" t="s">
        <v>5159</v>
      </c>
    </row>
    <row r="333" spans="1:5">
      <c r="A333" t="s">
        <v>5244</v>
      </c>
      <c r="B333" t="s">
        <v>1441</v>
      </c>
      <c r="C333" t="s">
        <v>1442</v>
      </c>
      <c r="D333" t="s">
        <v>5190</v>
      </c>
      <c r="E333" t="s">
        <v>5159</v>
      </c>
    </row>
    <row r="334" spans="1:5">
      <c r="A334" t="s">
        <v>5244</v>
      </c>
      <c r="B334" t="s">
        <v>1443</v>
      </c>
      <c r="C334" t="s">
        <v>1444</v>
      </c>
      <c r="D334" t="s">
        <v>5190</v>
      </c>
      <c r="E334" t="s">
        <v>5159</v>
      </c>
    </row>
    <row r="335" spans="1:5">
      <c r="A335" t="s">
        <v>5244</v>
      </c>
      <c r="B335" t="s">
        <v>136</v>
      </c>
      <c r="C335" t="s">
        <v>1445</v>
      </c>
      <c r="D335" t="s">
        <v>5186</v>
      </c>
      <c r="E335" t="s">
        <v>5159</v>
      </c>
    </row>
    <row r="336" spans="1:5">
      <c r="A336" t="s">
        <v>5244</v>
      </c>
      <c r="B336" t="s">
        <v>137</v>
      </c>
      <c r="C336" t="s">
        <v>1446</v>
      </c>
      <c r="D336" t="s">
        <v>5186</v>
      </c>
      <c r="E336" t="s">
        <v>5159</v>
      </c>
    </row>
    <row r="337" spans="1:5">
      <c r="A337" t="s">
        <v>5244</v>
      </c>
      <c r="B337" t="s">
        <v>138</v>
      </c>
      <c r="C337" t="s">
        <v>1447</v>
      </c>
      <c r="D337" t="s">
        <v>5186</v>
      </c>
      <c r="E337" t="s">
        <v>5159</v>
      </c>
    </row>
    <row r="338" spans="1:5">
      <c r="A338" t="s">
        <v>5244</v>
      </c>
      <c r="B338" t="s">
        <v>139</v>
      </c>
      <c r="C338" t="s">
        <v>1448</v>
      </c>
      <c r="D338" t="s">
        <v>5186</v>
      </c>
      <c r="E338" t="s">
        <v>5159</v>
      </c>
    </row>
    <row r="339" spans="1:5">
      <c r="A339" t="s">
        <v>5244</v>
      </c>
      <c r="B339" t="s">
        <v>140</v>
      </c>
      <c r="C339" t="s">
        <v>1449</v>
      </c>
      <c r="D339" t="s">
        <v>5186</v>
      </c>
      <c r="E339" t="s">
        <v>5159</v>
      </c>
    </row>
    <row r="340" spans="1:5">
      <c r="A340" t="s">
        <v>5244</v>
      </c>
      <c r="B340" t="s">
        <v>141</v>
      </c>
      <c r="C340" t="s">
        <v>1450</v>
      </c>
      <c r="D340" t="s">
        <v>5186</v>
      </c>
      <c r="E340" t="s">
        <v>5159</v>
      </c>
    </row>
    <row r="341" spans="1:5">
      <c r="A341" t="s">
        <v>5244</v>
      </c>
      <c r="B341" t="s">
        <v>142</v>
      </c>
      <c r="C341" t="s">
        <v>1451</v>
      </c>
      <c r="D341" t="s">
        <v>5186</v>
      </c>
      <c r="E341" t="s">
        <v>5159</v>
      </c>
    </row>
    <row r="342" spans="1:5">
      <c r="A342" t="s">
        <v>5244</v>
      </c>
      <c r="B342" t="s">
        <v>143</v>
      </c>
      <c r="C342" t="s">
        <v>1452</v>
      </c>
      <c r="D342" t="s">
        <v>5186</v>
      </c>
      <c r="E342" t="s">
        <v>5159</v>
      </c>
    </row>
    <row r="343" spans="1:5">
      <c r="A343" t="s">
        <v>5244</v>
      </c>
      <c r="B343" t="s">
        <v>144</v>
      </c>
      <c r="C343" t="s">
        <v>1453</v>
      </c>
      <c r="D343" t="s">
        <v>5158</v>
      </c>
      <c r="E343" t="s">
        <v>5159</v>
      </c>
    </row>
    <row r="344" spans="1:5">
      <c r="A344" t="s">
        <v>5244</v>
      </c>
      <c r="B344" t="s">
        <v>145</v>
      </c>
      <c r="C344" t="s">
        <v>1454</v>
      </c>
      <c r="D344" t="s">
        <v>5187</v>
      </c>
      <c r="E344" t="s">
        <v>5159</v>
      </c>
    </row>
    <row r="345" spans="1:5">
      <c r="A345" t="s">
        <v>5244</v>
      </c>
      <c r="B345" t="s">
        <v>146</v>
      </c>
      <c r="C345" t="s">
        <v>1455</v>
      </c>
      <c r="D345" t="s">
        <v>5158</v>
      </c>
      <c r="E345" t="s">
        <v>5159</v>
      </c>
    </row>
    <row r="346" spans="1:5">
      <c r="A346" t="s">
        <v>5244</v>
      </c>
      <c r="B346" t="s">
        <v>147</v>
      </c>
      <c r="C346" t="s">
        <v>1456</v>
      </c>
      <c r="D346" t="s">
        <v>5158</v>
      </c>
      <c r="E346" t="s">
        <v>5159</v>
      </c>
    </row>
    <row r="347" spans="1:5">
      <c r="A347" t="s">
        <v>5244</v>
      </c>
      <c r="B347" t="s">
        <v>148</v>
      </c>
      <c r="C347" t="s">
        <v>1457</v>
      </c>
      <c r="D347" t="s">
        <v>5186</v>
      </c>
      <c r="E347" t="s">
        <v>5159</v>
      </c>
    </row>
    <row r="348" spans="1:5">
      <c r="A348" t="s">
        <v>5244</v>
      </c>
      <c r="B348" t="s">
        <v>149</v>
      </c>
      <c r="C348" t="s">
        <v>1458</v>
      </c>
      <c r="D348" t="s">
        <v>5186</v>
      </c>
      <c r="E348" t="s">
        <v>5159</v>
      </c>
    </row>
    <row r="349" spans="1:5">
      <c r="A349" t="s">
        <v>5244</v>
      </c>
      <c r="B349" t="s">
        <v>150</v>
      </c>
      <c r="C349" t="s">
        <v>1459</v>
      </c>
      <c r="D349" t="s">
        <v>5187</v>
      </c>
      <c r="E349" t="s">
        <v>5159</v>
      </c>
    </row>
    <row r="350" spans="1:5">
      <c r="A350" t="s">
        <v>5244</v>
      </c>
      <c r="B350" t="s">
        <v>151</v>
      </c>
      <c r="C350" t="s">
        <v>1460</v>
      </c>
      <c r="D350" t="s">
        <v>5186</v>
      </c>
      <c r="E350" t="s">
        <v>5159</v>
      </c>
    </row>
    <row r="351" spans="1:5">
      <c r="A351" t="s">
        <v>5244</v>
      </c>
      <c r="B351" t="s">
        <v>152</v>
      </c>
      <c r="C351" t="s">
        <v>1461</v>
      </c>
      <c r="D351" t="s">
        <v>5187</v>
      </c>
      <c r="E351" t="s">
        <v>5159</v>
      </c>
    </row>
    <row r="352" spans="1:5">
      <c r="A352" t="s">
        <v>5244</v>
      </c>
      <c r="B352" t="s">
        <v>153</v>
      </c>
      <c r="C352" t="s">
        <v>1462</v>
      </c>
      <c r="D352" t="s">
        <v>5158</v>
      </c>
      <c r="E352" t="s">
        <v>5159</v>
      </c>
    </row>
    <row r="353" spans="1:5">
      <c r="A353" t="s">
        <v>5244</v>
      </c>
      <c r="B353" t="s">
        <v>154</v>
      </c>
      <c r="C353" t="s">
        <v>1463</v>
      </c>
      <c r="D353" t="s">
        <v>5158</v>
      </c>
      <c r="E353" t="s">
        <v>5159</v>
      </c>
    </row>
    <row r="354" spans="1:5">
      <c r="A354" t="s">
        <v>5244</v>
      </c>
      <c r="B354" t="s">
        <v>155</v>
      </c>
      <c r="C354" t="s">
        <v>1464</v>
      </c>
      <c r="D354" t="s">
        <v>5158</v>
      </c>
      <c r="E354" t="s">
        <v>5159</v>
      </c>
    </row>
    <row r="355" spans="1:5">
      <c r="A355" t="s">
        <v>5244</v>
      </c>
      <c r="B355" t="s">
        <v>156</v>
      </c>
      <c r="C355" t="s">
        <v>1465</v>
      </c>
      <c r="D355" t="s">
        <v>5186</v>
      </c>
      <c r="E355" t="s">
        <v>5159</v>
      </c>
    </row>
    <row r="356" spans="1:5">
      <c r="A356" t="s">
        <v>5244</v>
      </c>
      <c r="B356" t="s">
        <v>157</v>
      </c>
      <c r="C356" t="s">
        <v>1466</v>
      </c>
      <c r="D356" t="s">
        <v>5186</v>
      </c>
      <c r="E356" t="s">
        <v>5159</v>
      </c>
    </row>
    <row r="357" spans="1:5">
      <c r="A357" t="s">
        <v>5244</v>
      </c>
      <c r="B357" t="s">
        <v>158</v>
      </c>
      <c r="C357" t="s">
        <v>1467</v>
      </c>
      <c r="D357" t="s">
        <v>5158</v>
      </c>
      <c r="E357" t="s">
        <v>5159</v>
      </c>
    </row>
    <row r="358" spans="1:5">
      <c r="A358" t="s">
        <v>5244</v>
      </c>
      <c r="B358" t="s">
        <v>159</v>
      </c>
      <c r="C358" t="s">
        <v>1468</v>
      </c>
      <c r="D358" t="s">
        <v>5158</v>
      </c>
      <c r="E358" t="s">
        <v>5159</v>
      </c>
    </row>
    <row r="359" spans="1:5">
      <c r="A359" t="s">
        <v>5244</v>
      </c>
      <c r="B359" t="s">
        <v>160</v>
      </c>
      <c r="C359" t="s">
        <v>1469</v>
      </c>
      <c r="D359" t="s">
        <v>5186</v>
      </c>
      <c r="E359" t="s">
        <v>5159</v>
      </c>
    </row>
    <row r="360" spans="1:5">
      <c r="A360" t="s">
        <v>5244</v>
      </c>
      <c r="B360" t="s">
        <v>161</v>
      </c>
      <c r="C360" t="s">
        <v>1470</v>
      </c>
      <c r="D360" t="s">
        <v>5158</v>
      </c>
      <c r="E360" t="s">
        <v>5159</v>
      </c>
    </row>
    <row r="361" spans="1:5">
      <c r="A361" t="s">
        <v>5244</v>
      </c>
      <c r="B361" t="s">
        <v>1471</v>
      </c>
      <c r="C361" t="s">
        <v>1472</v>
      </c>
      <c r="D361" t="s">
        <v>5188</v>
      </c>
      <c r="E361" t="s">
        <v>5159</v>
      </c>
    </row>
    <row r="362" spans="1:5">
      <c r="A362" t="s">
        <v>5244</v>
      </c>
      <c r="B362" t="s">
        <v>162</v>
      </c>
      <c r="C362" t="s">
        <v>1473</v>
      </c>
      <c r="D362" t="s">
        <v>5186</v>
      </c>
      <c r="E362" t="s">
        <v>5159</v>
      </c>
    </row>
    <row r="363" spans="1:5">
      <c r="A363" t="s">
        <v>5244</v>
      </c>
      <c r="B363" t="s">
        <v>163</v>
      </c>
      <c r="C363" t="s">
        <v>1474</v>
      </c>
      <c r="D363" t="s">
        <v>5186</v>
      </c>
      <c r="E363" t="s">
        <v>5159</v>
      </c>
    </row>
    <row r="364" spans="1:5">
      <c r="A364" t="s">
        <v>5244</v>
      </c>
      <c r="B364" t="s">
        <v>164</v>
      </c>
      <c r="C364" t="s">
        <v>1475</v>
      </c>
      <c r="D364" t="s">
        <v>5158</v>
      </c>
      <c r="E364" t="s">
        <v>5159</v>
      </c>
    </row>
    <row r="365" spans="1:5">
      <c r="A365" t="s">
        <v>5244</v>
      </c>
      <c r="B365" t="s">
        <v>165</v>
      </c>
      <c r="C365" t="s">
        <v>1476</v>
      </c>
      <c r="D365" t="s">
        <v>5186</v>
      </c>
      <c r="E365" t="s">
        <v>5159</v>
      </c>
    </row>
    <row r="366" spans="1:5">
      <c r="A366" t="s">
        <v>5244</v>
      </c>
      <c r="B366" t="s">
        <v>166</v>
      </c>
      <c r="C366" t="s">
        <v>1477</v>
      </c>
      <c r="D366" t="s">
        <v>5186</v>
      </c>
      <c r="E366" t="s">
        <v>5159</v>
      </c>
    </row>
    <row r="367" spans="1:5">
      <c r="A367" t="s">
        <v>5244</v>
      </c>
      <c r="B367" t="s">
        <v>167</v>
      </c>
      <c r="C367" t="s">
        <v>1478</v>
      </c>
      <c r="D367" t="s">
        <v>5161</v>
      </c>
      <c r="E367" t="s">
        <v>5159</v>
      </c>
    </row>
    <row r="368" spans="1:5">
      <c r="A368" t="s">
        <v>5244</v>
      </c>
      <c r="B368" t="s">
        <v>168</v>
      </c>
      <c r="C368" t="s">
        <v>1479</v>
      </c>
      <c r="D368" t="s">
        <v>5161</v>
      </c>
      <c r="E368" t="s">
        <v>5159</v>
      </c>
    </row>
    <row r="369" spans="1:5">
      <c r="A369" t="s">
        <v>5244</v>
      </c>
      <c r="B369" t="s">
        <v>170</v>
      </c>
      <c r="C369" t="s">
        <v>1480</v>
      </c>
      <c r="D369" t="s">
        <v>5161</v>
      </c>
      <c r="E369" t="s">
        <v>5159</v>
      </c>
    </row>
    <row r="370" spans="1:5">
      <c r="A370" t="s">
        <v>5244</v>
      </c>
      <c r="B370" t="s">
        <v>171</v>
      </c>
      <c r="C370" t="s">
        <v>1481</v>
      </c>
      <c r="D370" t="s">
        <v>5158</v>
      </c>
      <c r="E370" t="s">
        <v>5159</v>
      </c>
    </row>
    <row r="371" spans="1:5">
      <c r="A371" t="s">
        <v>5244</v>
      </c>
      <c r="B371" t="s">
        <v>172</v>
      </c>
      <c r="C371" t="s">
        <v>1482</v>
      </c>
      <c r="D371" t="s">
        <v>5161</v>
      </c>
      <c r="E371" t="s">
        <v>5159</v>
      </c>
    </row>
    <row r="372" spans="1:5">
      <c r="A372" t="s">
        <v>5244</v>
      </c>
      <c r="B372" t="s">
        <v>173</v>
      </c>
      <c r="C372" t="s">
        <v>1483</v>
      </c>
      <c r="D372" t="s">
        <v>5161</v>
      </c>
      <c r="E372" t="s">
        <v>5159</v>
      </c>
    </row>
    <row r="373" spans="1:5">
      <c r="A373" t="s">
        <v>5244</v>
      </c>
      <c r="B373" t="s">
        <v>175</v>
      </c>
      <c r="C373" t="s">
        <v>1484</v>
      </c>
      <c r="D373" t="s">
        <v>5161</v>
      </c>
      <c r="E373" t="s">
        <v>5159</v>
      </c>
    </row>
    <row r="374" spans="1:5">
      <c r="A374" t="s">
        <v>5244</v>
      </c>
      <c r="B374" t="s">
        <v>176</v>
      </c>
      <c r="C374" t="s">
        <v>1485</v>
      </c>
      <c r="D374" t="s">
        <v>5161</v>
      </c>
      <c r="E374" t="s">
        <v>5159</v>
      </c>
    </row>
    <row r="375" spans="1:5">
      <c r="A375" t="s">
        <v>5244</v>
      </c>
      <c r="B375" t="s">
        <v>177</v>
      </c>
      <c r="C375" t="s">
        <v>1486</v>
      </c>
      <c r="D375" t="s">
        <v>5161</v>
      </c>
      <c r="E375" t="s">
        <v>5159</v>
      </c>
    </row>
    <row r="376" spans="1:5">
      <c r="A376" t="s">
        <v>5244</v>
      </c>
      <c r="B376" t="s">
        <v>178</v>
      </c>
      <c r="C376" t="s">
        <v>5390</v>
      </c>
      <c r="D376" t="s">
        <v>5161</v>
      </c>
      <c r="E376" t="s">
        <v>5159</v>
      </c>
    </row>
    <row r="377" spans="1:5">
      <c r="A377" t="s">
        <v>5244</v>
      </c>
      <c r="B377" t="s">
        <v>179</v>
      </c>
      <c r="C377" t="s">
        <v>1487</v>
      </c>
      <c r="D377" t="s">
        <v>5161</v>
      </c>
      <c r="E377" t="s">
        <v>5159</v>
      </c>
    </row>
    <row r="378" spans="1:5">
      <c r="A378" t="s">
        <v>5244</v>
      </c>
      <c r="B378" t="s">
        <v>180</v>
      </c>
      <c r="C378" t="s">
        <v>1488</v>
      </c>
      <c r="D378" t="s">
        <v>5161</v>
      </c>
      <c r="E378" t="s">
        <v>5159</v>
      </c>
    </row>
    <row r="379" spans="1:5">
      <c r="A379" t="s">
        <v>5244</v>
      </c>
      <c r="B379" t="s">
        <v>181</v>
      </c>
      <c r="C379" t="s">
        <v>5391</v>
      </c>
      <c r="D379" t="s">
        <v>5161</v>
      </c>
      <c r="E379" t="s">
        <v>5159</v>
      </c>
    </row>
    <row r="380" spans="1:5">
      <c r="A380" t="s">
        <v>5244</v>
      </c>
      <c r="B380" t="s">
        <v>182</v>
      </c>
      <c r="C380" t="s">
        <v>1489</v>
      </c>
      <c r="D380" t="s">
        <v>5158</v>
      </c>
      <c r="E380" t="s">
        <v>5159</v>
      </c>
    </row>
    <row r="381" spans="1:5">
      <c r="A381" t="s">
        <v>5244</v>
      </c>
      <c r="B381" t="s">
        <v>183</v>
      </c>
      <c r="C381" t="s">
        <v>1490</v>
      </c>
      <c r="D381" t="s">
        <v>5158</v>
      </c>
      <c r="E381" t="s">
        <v>5159</v>
      </c>
    </row>
    <row r="382" spans="1:5">
      <c r="A382" t="s">
        <v>5244</v>
      </c>
      <c r="B382" t="s">
        <v>184</v>
      </c>
      <c r="C382" t="s">
        <v>1491</v>
      </c>
      <c r="D382" t="s">
        <v>5158</v>
      </c>
      <c r="E382" t="s">
        <v>5159</v>
      </c>
    </row>
    <row r="383" spans="1:5">
      <c r="A383" t="s">
        <v>5244</v>
      </c>
      <c r="B383" t="s">
        <v>185</v>
      </c>
      <c r="C383" t="s">
        <v>1492</v>
      </c>
      <c r="D383" t="s">
        <v>5161</v>
      </c>
      <c r="E383" t="s">
        <v>5159</v>
      </c>
    </row>
    <row r="384" spans="1:5">
      <c r="A384" t="s">
        <v>5244</v>
      </c>
      <c r="B384" t="s">
        <v>186</v>
      </c>
      <c r="C384" t="s">
        <v>1493</v>
      </c>
      <c r="D384" t="s">
        <v>5158</v>
      </c>
      <c r="E384" t="s">
        <v>5159</v>
      </c>
    </row>
    <row r="385" spans="1:5">
      <c r="A385" t="s">
        <v>5244</v>
      </c>
      <c r="B385" t="s">
        <v>187</v>
      </c>
      <c r="C385" t="s">
        <v>5392</v>
      </c>
      <c r="D385" t="s">
        <v>5158</v>
      </c>
      <c r="E385" t="s">
        <v>5159</v>
      </c>
    </row>
    <row r="386" spans="1:5">
      <c r="A386" t="s">
        <v>5244</v>
      </c>
      <c r="B386" t="s">
        <v>188</v>
      </c>
      <c r="C386" t="s">
        <v>1494</v>
      </c>
      <c r="D386" t="s">
        <v>5158</v>
      </c>
      <c r="E386" t="s">
        <v>5159</v>
      </c>
    </row>
    <row r="387" spans="1:5">
      <c r="A387" t="s">
        <v>5244</v>
      </c>
      <c r="B387" t="s">
        <v>189</v>
      </c>
      <c r="C387" t="s">
        <v>1495</v>
      </c>
      <c r="D387" t="s">
        <v>5158</v>
      </c>
      <c r="E387" t="s">
        <v>5159</v>
      </c>
    </row>
    <row r="388" spans="1:5">
      <c r="A388" t="s">
        <v>5244</v>
      </c>
      <c r="B388" t="s">
        <v>1496</v>
      </c>
      <c r="C388" t="s">
        <v>1497</v>
      </c>
      <c r="D388" t="s">
        <v>5158</v>
      </c>
      <c r="E388" t="s">
        <v>5159</v>
      </c>
    </row>
    <row r="389" spans="1:5">
      <c r="A389" t="s">
        <v>5244</v>
      </c>
      <c r="B389" t="s">
        <v>190</v>
      </c>
      <c r="C389" t="s">
        <v>1498</v>
      </c>
      <c r="D389" t="s">
        <v>5158</v>
      </c>
      <c r="E389" t="s">
        <v>5159</v>
      </c>
    </row>
    <row r="390" spans="1:5">
      <c r="A390" t="s">
        <v>5244</v>
      </c>
      <c r="B390" t="s">
        <v>191</v>
      </c>
      <c r="C390" t="s">
        <v>1499</v>
      </c>
      <c r="D390" t="s">
        <v>5187</v>
      </c>
      <c r="E390" t="s">
        <v>5159</v>
      </c>
    </row>
    <row r="391" spans="1:5">
      <c r="A391" t="s">
        <v>5244</v>
      </c>
      <c r="B391" t="s">
        <v>235</v>
      </c>
      <c r="C391" t="s">
        <v>1500</v>
      </c>
      <c r="D391" t="s">
        <v>5191</v>
      </c>
      <c r="E391" t="s">
        <v>5192</v>
      </c>
    </row>
    <row r="392" spans="1:5">
      <c r="A392" t="s">
        <v>5244</v>
      </c>
      <c r="B392" t="s">
        <v>192</v>
      </c>
      <c r="C392" t="s">
        <v>1501</v>
      </c>
      <c r="D392" t="s">
        <v>5186</v>
      </c>
      <c r="E392" t="s">
        <v>5159</v>
      </c>
    </row>
    <row r="393" spans="1:5">
      <c r="A393" t="s">
        <v>5244</v>
      </c>
      <c r="B393" t="s">
        <v>1502</v>
      </c>
      <c r="C393" t="s">
        <v>1503</v>
      </c>
      <c r="D393" t="s">
        <v>5186</v>
      </c>
      <c r="E393" t="s">
        <v>5159</v>
      </c>
    </row>
    <row r="394" spans="1:5">
      <c r="A394" t="s">
        <v>5244</v>
      </c>
      <c r="B394" t="s">
        <v>193</v>
      </c>
      <c r="C394" t="s">
        <v>1504</v>
      </c>
      <c r="D394" t="s">
        <v>5186</v>
      </c>
      <c r="E394" t="s">
        <v>5159</v>
      </c>
    </row>
    <row r="395" spans="1:5">
      <c r="A395" t="s">
        <v>5244</v>
      </c>
      <c r="B395" t="s">
        <v>194</v>
      </c>
      <c r="C395" t="s">
        <v>1505</v>
      </c>
      <c r="D395" t="s">
        <v>5187</v>
      </c>
      <c r="E395" t="s">
        <v>5159</v>
      </c>
    </row>
    <row r="396" spans="1:5">
      <c r="A396" t="s">
        <v>5244</v>
      </c>
      <c r="B396" t="s">
        <v>195</v>
      </c>
      <c r="C396" t="s">
        <v>1506</v>
      </c>
      <c r="D396" t="s">
        <v>5186</v>
      </c>
      <c r="E396" t="s">
        <v>5159</v>
      </c>
    </row>
    <row r="397" spans="1:5">
      <c r="A397" t="s">
        <v>5244</v>
      </c>
      <c r="B397" t="s">
        <v>196</v>
      </c>
      <c r="C397" t="s">
        <v>1507</v>
      </c>
      <c r="D397" t="s">
        <v>5186</v>
      </c>
      <c r="E397" t="s">
        <v>5159</v>
      </c>
    </row>
    <row r="398" spans="1:5">
      <c r="A398" t="s">
        <v>5244</v>
      </c>
      <c r="B398" t="s">
        <v>197</v>
      </c>
      <c r="C398" t="s">
        <v>1508</v>
      </c>
      <c r="D398" t="s">
        <v>5158</v>
      </c>
      <c r="E398" t="s">
        <v>5159</v>
      </c>
    </row>
    <row r="399" spans="1:5">
      <c r="A399" t="s">
        <v>5244</v>
      </c>
      <c r="B399" t="s">
        <v>198</v>
      </c>
      <c r="C399" t="s">
        <v>5393</v>
      </c>
      <c r="D399" t="s">
        <v>5161</v>
      </c>
      <c r="E399" t="s">
        <v>5159</v>
      </c>
    </row>
    <row r="400" spans="1:5">
      <c r="A400" t="s">
        <v>5244</v>
      </c>
      <c r="B400" t="s">
        <v>199</v>
      </c>
      <c r="C400" t="s">
        <v>1509</v>
      </c>
      <c r="D400" t="s">
        <v>5187</v>
      </c>
      <c r="E400" t="s">
        <v>5159</v>
      </c>
    </row>
    <row r="401" spans="1:5">
      <c r="A401" t="s">
        <v>5244</v>
      </c>
      <c r="B401" t="s">
        <v>200</v>
      </c>
      <c r="C401" t="s">
        <v>1510</v>
      </c>
      <c r="D401" t="s">
        <v>5158</v>
      </c>
      <c r="E401" t="s">
        <v>5159</v>
      </c>
    </row>
    <row r="402" spans="1:5">
      <c r="A402" t="s">
        <v>5244</v>
      </c>
      <c r="B402" t="s">
        <v>201</v>
      </c>
      <c r="C402" t="s">
        <v>1511</v>
      </c>
      <c r="D402" t="s">
        <v>5158</v>
      </c>
      <c r="E402" t="s">
        <v>5159</v>
      </c>
    </row>
    <row r="403" spans="1:5">
      <c r="A403" t="s">
        <v>5244</v>
      </c>
      <c r="B403" t="s">
        <v>202</v>
      </c>
      <c r="C403" t="s">
        <v>1512</v>
      </c>
      <c r="D403" t="s">
        <v>5158</v>
      </c>
      <c r="E403" t="s">
        <v>5159</v>
      </c>
    </row>
    <row r="404" spans="1:5">
      <c r="A404" t="s">
        <v>5244</v>
      </c>
      <c r="B404" t="s">
        <v>203</v>
      </c>
      <c r="C404" t="s">
        <v>1513</v>
      </c>
      <c r="D404" t="s">
        <v>5158</v>
      </c>
      <c r="E404" t="s">
        <v>5159</v>
      </c>
    </row>
    <row r="405" spans="1:5">
      <c r="A405" t="s">
        <v>5244</v>
      </c>
      <c r="B405" t="s">
        <v>1514</v>
      </c>
      <c r="C405" t="s">
        <v>1515</v>
      </c>
      <c r="D405" t="s">
        <v>5190</v>
      </c>
      <c r="E405" t="s">
        <v>5159</v>
      </c>
    </row>
    <row r="406" spans="1:5">
      <c r="A406" t="s">
        <v>5244</v>
      </c>
      <c r="B406" t="s">
        <v>204</v>
      </c>
      <c r="C406" t="s">
        <v>1516</v>
      </c>
      <c r="D406" t="s">
        <v>5161</v>
      </c>
      <c r="E406" t="s">
        <v>5159</v>
      </c>
    </row>
    <row r="407" spans="1:5">
      <c r="A407" t="s">
        <v>5244</v>
      </c>
      <c r="B407" t="s">
        <v>205</v>
      </c>
      <c r="C407" t="s">
        <v>1517</v>
      </c>
      <c r="D407" t="s">
        <v>5186</v>
      </c>
      <c r="E407" t="s">
        <v>5159</v>
      </c>
    </row>
    <row r="408" spans="1:5">
      <c r="A408" t="s">
        <v>5244</v>
      </c>
      <c r="B408" t="s">
        <v>206</v>
      </c>
      <c r="C408" t="s">
        <v>1518</v>
      </c>
      <c r="D408" t="s">
        <v>5158</v>
      </c>
      <c r="E408" t="s">
        <v>5159</v>
      </c>
    </row>
    <row r="409" spans="1:5">
      <c r="A409" t="s">
        <v>5244</v>
      </c>
      <c r="B409" t="s">
        <v>207</v>
      </c>
      <c r="C409" t="s">
        <v>1519</v>
      </c>
      <c r="D409" t="s">
        <v>5186</v>
      </c>
      <c r="E409" t="s">
        <v>5159</v>
      </c>
    </row>
    <row r="410" spans="1:5">
      <c r="A410" t="s">
        <v>5244</v>
      </c>
      <c r="B410" t="s">
        <v>208</v>
      </c>
      <c r="C410" t="s">
        <v>1520</v>
      </c>
      <c r="D410" t="s">
        <v>5186</v>
      </c>
      <c r="E410" t="s">
        <v>5159</v>
      </c>
    </row>
    <row r="411" spans="1:5">
      <c r="A411" t="s">
        <v>5244</v>
      </c>
      <c r="B411" t="s">
        <v>209</v>
      </c>
      <c r="C411" t="s">
        <v>5394</v>
      </c>
      <c r="D411" t="s">
        <v>5158</v>
      </c>
      <c r="E411" t="s">
        <v>5159</v>
      </c>
    </row>
    <row r="412" spans="1:5">
      <c r="A412" t="s">
        <v>5244</v>
      </c>
      <c r="B412" t="s">
        <v>210</v>
      </c>
      <c r="C412" t="s">
        <v>1521</v>
      </c>
      <c r="D412" t="s">
        <v>5188</v>
      </c>
      <c r="E412" t="s">
        <v>5159</v>
      </c>
    </row>
    <row r="413" spans="1:5">
      <c r="A413" t="s">
        <v>5244</v>
      </c>
      <c r="B413" t="s">
        <v>211</v>
      </c>
      <c r="C413" t="s">
        <v>1522</v>
      </c>
      <c r="D413" t="s">
        <v>5158</v>
      </c>
      <c r="E413" t="s">
        <v>5159</v>
      </c>
    </row>
    <row r="414" spans="1:5">
      <c r="A414" t="s">
        <v>5244</v>
      </c>
      <c r="B414" t="s">
        <v>212</v>
      </c>
      <c r="C414" t="s">
        <v>1523</v>
      </c>
      <c r="D414" t="s">
        <v>5161</v>
      </c>
      <c r="E414" t="s">
        <v>5159</v>
      </c>
    </row>
    <row r="415" spans="1:5">
      <c r="A415" t="s">
        <v>5244</v>
      </c>
      <c r="B415" t="s">
        <v>213</v>
      </c>
      <c r="C415" t="s">
        <v>1524</v>
      </c>
      <c r="D415" t="s">
        <v>5158</v>
      </c>
      <c r="E415" t="s">
        <v>5159</v>
      </c>
    </row>
    <row r="416" spans="1:5">
      <c r="A416" t="s">
        <v>5244</v>
      </c>
      <c r="B416" t="s">
        <v>214</v>
      </c>
      <c r="C416" t="s">
        <v>1525</v>
      </c>
      <c r="D416" t="s">
        <v>5158</v>
      </c>
      <c r="E416" t="s">
        <v>5159</v>
      </c>
    </row>
    <row r="417" spans="1:5">
      <c r="A417" t="s">
        <v>5244</v>
      </c>
      <c r="B417" t="s">
        <v>215</v>
      </c>
      <c r="C417" t="s">
        <v>1526</v>
      </c>
      <c r="D417" t="s">
        <v>5158</v>
      </c>
      <c r="E417" t="s">
        <v>5159</v>
      </c>
    </row>
    <row r="418" spans="1:5">
      <c r="A418" t="s">
        <v>5244</v>
      </c>
      <c r="B418" t="s">
        <v>216</v>
      </c>
      <c r="C418" t="s">
        <v>1527</v>
      </c>
      <c r="D418" t="s">
        <v>5158</v>
      </c>
      <c r="E418" t="s">
        <v>5159</v>
      </c>
    </row>
    <row r="419" spans="1:5">
      <c r="A419" t="s">
        <v>5244</v>
      </c>
      <c r="B419" t="s">
        <v>217</v>
      </c>
      <c r="C419" t="s">
        <v>1528</v>
      </c>
      <c r="D419" t="s">
        <v>5158</v>
      </c>
      <c r="E419" t="s">
        <v>5159</v>
      </c>
    </row>
    <row r="420" spans="1:5">
      <c r="A420" t="s">
        <v>5244</v>
      </c>
      <c r="B420" t="s">
        <v>218</v>
      </c>
      <c r="C420" t="s">
        <v>1529</v>
      </c>
      <c r="D420" t="s">
        <v>5158</v>
      </c>
      <c r="E420" t="s">
        <v>5159</v>
      </c>
    </row>
    <row r="421" spans="1:5">
      <c r="A421" t="s">
        <v>5244</v>
      </c>
      <c r="B421" t="s">
        <v>219</v>
      </c>
      <c r="C421" t="s">
        <v>1530</v>
      </c>
      <c r="D421" t="s">
        <v>5186</v>
      </c>
      <c r="E421" t="s">
        <v>5159</v>
      </c>
    </row>
    <row r="422" spans="1:5">
      <c r="A422" t="s">
        <v>5244</v>
      </c>
      <c r="B422" t="s">
        <v>220</v>
      </c>
      <c r="C422" t="s">
        <v>1531</v>
      </c>
      <c r="D422" t="s">
        <v>5161</v>
      </c>
      <c r="E422" t="s">
        <v>5159</v>
      </c>
    </row>
    <row r="423" spans="1:5">
      <c r="A423" t="s">
        <v>5244</v>
      </c>
      <c r="B423" t="s">
        <v>221</v>
      </c>
      <c r="C423" t="s">
        <v>1532</v>
      </c>
      <c r="D423" t="s">
        <v>5186</v>
      </c>
      <c r="E423" t="s">
        <v>5159</v>
      </c>
    </row>
    <row r="424" spans="1:5">
      <c r="A424" t="s">
        <v>5244</v>
      </c>
      <c r="B424" t="s">
        <v>222</v>
      </c>
      <c r="C424" t="s">
        <v>1533</v>
      </c>
      <c r="D424" t="s">
        <v>5186</v>
      </c>
      <c r="E424" t="s">
        <v>5159</v>
      </c>
    </row>
    <row r="425" spans="1:5">
      <c r="A425" t="s">
        <v>5244</v>
      </c>
      <c r="B425" t="s">
        <v>223</v>
      </c>
      <c r="C425" t="s">
        <v>1534</v>
      </c>
      <c r="D425" t="s">
        <v>5186</v>
      </c>
      <c r="E425" t="s">
        <v>5159</v>
      </c>
    </row>
    <row r="426" spans="1:5">
      <c r="A426" t="s">
        <v>5244</v>
      </c>
      <c r="B426" t="s">
        <v>224</v>
      </c>
      <c r="C426" t="s">
        <v>1535</v>
      </c>
      <c r="D426" t="s">
        <v>5158</v>
      </c>
      <c r="E426" t="s">
        <v>5159</v>
      </c>
    </row>
    <row r="427" spans="1:5">
      <c r="A427" t="s">
        <v>5244</v>
      </c>
      <c r="B427" t="s">
        <v>225</v>
      </c>
      <c r="C427" t="s">
        <v>1536</v>
      </c>
      <c r="D427" t="s">
        <v>5187</v>
      </c>
      <c r="E427" t="s">
        <v>5159</v>
      </c>
    </row>
    <row r="428" spans="1:5">
      <c r="A428" t="s">
        <v>5244</v>
      </c>
      <c r="B428" t="s">
        <v>226</v>
      </c>
      <c r="C428" t="s">
        <v>1537</v>
      </c>
      <c r="D428" t="s">
        <v>5158</v>
      </c>
      <c r="E428" t="s">
        <v>5159</v>
      </c>
    </row>
    <row r="429" spans="1:5">
      <c r="A429" t="s">
        <v>5244</v>
      </c>
      <c r="B429" t="s">
        <v>227</v>
      </c>
      <c r="C429" t="s">
        <v>1538</v>
      </c>
      <c r="D429" t="s">
        <v>5187</v>
      </c>
      <c r="E429" t="s">
        <v>5159</v>
      </c>
    </row>
    <row r="430" spans="1:5">
      <c r="A430" t="s">
        <v>5244</v>
      </c>
      <c r="B430" t="s">
        <v>228</v>
      </c>
      <c r="C430" t="s">
        <v>1539</v>
      </c>
      <c r="D430" t="s">
        <v>5158</v>
      </c>
      <c r="E430" t="s">
        <v>5159</v>
      </c>
    </row>
    <row r="431" spans="1:5">
      <c r="A431" t="s">
        <v>5244</v>
      </c>
      <c r="B431" t="s">
        <v>229</v>
      </c>
      <c r="C431" t="s">
        <v>1540</v>
      </c>
      <c r="D431" t="s">
        <v>5158</v>
      </c>
      <c r="E431" t="s">
        <v>5159</v>
      </c>
    </row>
    <row r="432" spans="1:5">
      <c r="A432" t="s">
        <v>5244</v>
      </c>
      <c r="B432" t="s">
        <v>230</v>
      </c>
      <c r="C432" t="s">
        <v>1541</v>
      </c>
      <c r="D432" t="s">
        <v>5158</v>
      </c>
      <c r="E432" t="s">
        <v>5159</v>
      </c>
    </row>
    <row r="433" spans="1:5">
      <c r="A433" t="s">
        <v>5244</v>
      </c>
      <c r="B433" t="s">
        <v>231</v>
      </c>
      <c r="C433" t="s">
        <v>5395</v>
      </c>
      <c r="D433" t="s">
        <v>5158</v>
      </c>
      <c r="E433" t="s">
        <v>5159</v>
      </c>
    </row>
    <row r="434" spans="1:5">
      <c r="A434" t="s">
        <v>5244</v>
      </c>
      <c r="B434" t="s">
        <v>232</v>
      </c>
      <c r="C434" t="s">
        <v>1542</v>
      </c>
      <c r="D434" t="s">
        <v>5158</v>
      </c>
      <c r="E434" t="s">
        <v>5159</v>
      </c>
    </row>
    <row r="435" spans="1:5">
      <c r="A435" t="s">
        <v>5244</v>
      </c>
      <c r="B435" t="s">
        <v>233</v>
      </c>
      <c r="C435" t="s">
        <v>1543</v>
      </c>
      <c r="D435" t="s">
        <v>5161</v>
      </c>
      <c r="E435" t="s">
        <v>5159</v>
      </c>
    </row>
    <row r="436" spans="1:5">
      <c r="A436" t="s">
        <v>5244</v>
      </c>
      <c r="B436" t="s">
        <v>234</v>
      </c>
      <c r="C436" t="s">
        <v>1544</v>
      </c>
      <c r="D436" t="s">
        <v>5158</v>
      </c>
      <c r="E436" t="s">
        <v>5159</v>
      </c>
    </row>
    <row r="437" spans="1:5">
      <c r="A437" t="s">
        <v>5244</v>
      </c>
      <c r="B437" t="s">
        <v>5396</v>
      </c>
      <c r="C437" t="s">
        <v>5397</v>
      </c>
      <c r="D437" t="s">
        <v>5161</v>
      </c>
      <c r="E437" t="s">
        <v>5159</v>
      </c>
    </row>
    <row r="438" spans="1:5">
      <c r="A438" t="s">
        <v>5244</v>
      </c>
      <c r="B438" t="s">
        <v>236</v>
      </c>
      <c r="C438" t="s">
        <v>1545</v>
      </c>
      <c r="D438" t="s">
        <v>5186</v>
      </c>
      <c r="E438" t="s">
        <v>5159</v>
      </c>
    </row>
    <row r="439" spans="1:5">
      <c r="A439" t="s">
        <v>5244</v>
      </c>
      <c r="B439" t="s">
        <v>237</v>
      </c>
      <c r="C439" t="s">
        <v>1546</v>
      </c>
      <c r="D439" t="s">
        <v>5161</v>
      </c>
      <c r="E439" t="s">
        <v>5159</v>
      </c>
    </row>
    <row r="440" spans="1:5">
      <c r="A440" t="s">
        <v>5244</v>
      </c>
      <c r="B440" t="s">
        <v>238</v>
      </c>
      <c r="C440" t="s">
        <v>1547</v>
      </c>
      <c r="D440" t="s">
        <v>5158</v>
      </c>
      <c r="E440" t="s">
        <v>5159</v>
      </c>
    </row>
    <row r="441" spans="1:5">
      <c r="A441" t="s">
        <v>5244</v>
      </c>
      <c r="B441" t="s">
        <v>239</v>
      </c>
      <c r="C441" t="s">
        <v>1548</v>
      </c>
      <c r="D441" t="s">
        <v>5161</v>
      </c>
      <c r="E441" t="s">
        <v>5159</v>
      </c>
    </row>
    <row r="442" spans="1:5">
      <c r="A442" t="s">
        <v>5244</v>
      </c>
      <c r="B442" t="s">
        <v>240</v>
      </c>
      <c r="C442" t="s">
        <v>1549</v>
      </c>
      <c r="D442" t="s">
        <v>5158</v>
      </c>
      <c r="E442" t="s">
        <v>5159</v>
      </c>
    </row>
    <row r="443" spans="1:5">
      <c r="A443" t="s">
        <v>5244</v>
      </c>
      <c r="B443" t="s">
        <v>241</v>
      </c>
      <c r="C443" t="s">
        <v>1550</v>
      </c>
      <c r="D443" t="s">
        <v>5186</v>
      </c>
      <c r="E443" t="s">
        <v>5159</v>
      </c>
    </row>
    <row r="444" spans="1:5">
      <c r="A444" t="s">
        <v>5244</v>
      </c>
      <c r="B444" t="s">
        <v>242</v>
      </c>
      <c r="C444" t="s">
        <v>1551</v>
      </c>
      <c r="D444" t="s">
        <v>5188</v>
      </c>
      <c r="E444" t="s">
        <v>5159</v>
      </c>
    </row>
    <row r="445" spans="1:5">
      <c r="A445" t="s">
        <v>5244</v>
      </c>
      <c r="B445" t="s">
        <v>243</v>
      </c>
      <c r="C445" t="s">
        <v>1552</v>
      </c>
      <c r="D445" t="s">
        <v>5158</v>
      </c>
      <c r="E445" t="s">
        <v>5159</v>
      </c>
    </row>
    <row r="446" spans="1:5">
      <c r="A446" t="s">
        <v>5244</v>
      </c>
      <c r="B446" t="s">
        <v>244</v>
      </c>
      <c r="C446" t="s">
        <v>1553</v>
      </c>
      <c r="D446" t="s">
        <v>5186</v>
      </c>
      <c r="E446" t="s">
        <v>5159</v>
      </c>
    </row>
    <row r="447" spans="1:5">
      <c r="A447" t="s">
        <v>5244</v>
      </c>
      <c r="B447" t="s">
        <v>245</v>
      </c>
      <c r="C447" t="s">
        <v>1554</v>
      </c>
      <c r="D447" t="s">
        <v>5186</v>
      </c>
      <c r="E447" t="s">
        <v>5159</v>
      </c>
    </row>
    <row r="448" spans="1:5">
      <c r="A448" t="s">
        <v>5244</v>
      </c>
      <c r="B448" t="s">
        <v>246</v>
      </c>
      <c r="C448" t="s">
        <v>1555</v>
      </c>
      <c r="D448" t="s">
        <v>5186</v>
      </c>
      <c r="E448" t="s">
        <v>5159</v>
      </c>
    </row>
    <row r="449" spans="1:5">
      <c r="A449" t="s">
        <v>5244</v>
      </c>
      <c r="B449" t="s">
        <v>247</v>
      </c>
      <c r="C449" t="s">
        <v>1556</v>
      </c>
      <c r="D449" t="s">
        <v>5187</v>
      </c>
      <c r="E449" t="s">
        <v>5159</v>
      </c>
    </row>
    <row r="450" spans="1:5">
      <c r="A450" t="s">
        <v>5244</v>
      </c>
      <c r="B450" t="s">
        <v>248</v>
      </c>
      <c r="C450" t="s">
        <v>1557</v>
      </c>
      <c r="D450" t="s">
        <v>5186</v>
      </c>
      <c r="E450" t="s">
        <v>5159</v>
      </c>
    </row>
    <row r="451" spans="1:5">
      <c r="A451" t="s">
        <v>5244</v>
      </c>
      <c r="B451" t="s">
        <v>249</v>
      </c>
      <c r="C451" t="s">
        <v>1558</v>
      </c>
      <c r="D451" t="s">
        <v>5158</v>
      </c>
      <c r="E451" t="s">
        <v>5159</v>
      </c>
    </row>
    <row r="452" spans="1:5">
      <c r="A452" t="s">
        <v>5244</v>
      </c>
      <c r="B452" t="s">
        <v>250</v>
      </c>
      <c r="C452" t="s">
        <v>1559</v>
      </c>
      <c r="D452" t="s">
        <v>5186</v>
      </c>
      <c r="E452" t="s">
        <v>5159</v>
      </c>
    </row>
    <row r="453" spans="1:5">
      <c r="A453" t="s">
        <v>5244</v>
      </c>
      <c r="B453" t="s">
        <v>251</v>
      </c>
      <c r="C453" t="s">
        <v>1560</v>
      </c>
      <c r="D453" t="s">
        <v>5186</v>
      </c>
      <c r="E453" t="s">
        <v>5159</v>
      </c>
    </row>
    <row r="454" spans="1:5">
      <c r="A454" t="s">
        <v>5244</v>
      </c>
      <c r="B454" t="s">
        <v>252</v>
      </c>
      <c r="C454" t="s">
        <v>1561</v>
      </c>
      <c r="D454" t="s">
        <v>5187</v>
      </c>
      <c r="E454" t="s">
        <v>5159</v>
      </c>
    </row>
    <row r="455" spans="1:5">
      <c r="A455" t="s">
        <v>5244</v>
      </c>
      <c r="B455" t="s">
        <v>1562</v>
      </c>
      <c r="C455" t="s">
        <v>1563</v>
      </c>
      <c r="D455" t="s">
        <v>5186</v>
      </c>
      <c r="E455" t="s">
        <v>5159</v>
      </c>
    </row>
    <row r="456" spans="1:5">
      <c r="A456" t="s">
        <v>5244</v>
      </c>
      <c r="B456" t="s">
        <v>253</v>
      </c>
      <c r="C456" t="s">
        <v>1564</v>
      </c>
      <c r="D456" t="s">
        <v>5187</v>
      </c>
      <c r="E456" t="s">
        <v>5159</v>
      </c>
    </row>
    <row r="457" spans="1:5">
      <c r="A457" t="s">
        <v>5244</v>
      </c>
      <c r="B457" t="s">
        <v>254</v>
      </c>
      <c r="C457" t="s">
        <v>1565</v>
      </c>
      <c r="D457" t="s">
        <v>5158</v>
      </c>
      <c r="E457" t="s">
        <v>5159</v>
      </c>
    </row>
    <row r="458" spans="1:5">
      <c r="A458" t="s">
        <v>5244</v>
      </c>
      <c r="B458" t="s">
        <v>255</v>
      </c>
      <c r="C458" t="s">
        <v>1566</v>
      </c>
      <c r="D458" t="s">
        <v>5158</v>
      </c>
      <c r="E458" t="s">
        <v>5159</v>
      </c>
    </row>
    <row r="459" spans="1:5">
      <c r="A459" t="s">
        <v>5244</v>
      </c>
      <c r="B459" t="s">
        <v>256</v>
      </c>
      <c r="C459" t="s">
        <v>1567</v>
      </c>
      <c r="D459" t="s">
        <v>5158</v>
      </c>
      <c r="E459" t="s">
        <v>5159</v>
      </c>
    </row>
    <row r="460" spans="1:5">
      <c r="A460" t="s">
        <v>5244</v>
      </c>
      <c r="B460" t="s">
        <v>257</v>
      </c>
      <c r="C460" t="s">
        <v>1568</v>
      </c>
      <c r="D460" t="s">
        <v>5186</v>
      </c>
      <c r="E460" t="s">
        <v>5159</v>
      </c>
    </row>
    <row r="461" spans="1:5">
      <c r="A461" t="s">
        <v>5244</v>
      </c>
      <c r="B461" t="s">
        <v>1569</v>
      </c>
      <c r="C461" t="s">
        <v>1570</v>
      </c>
      <c r="D461" t="s">
        <v>5194</v>
      </c>
      <c r="E461" t="s">
        <v>5159</v>
      </c>
    </row>
    <row r="462" spans="1:5">
      <c r="A462" t="s">
        <v>5244</v>
      </c>
      <c r="B462" t="s">
        <v>258</v>
      </c>
      <c r="C462" t="s">
        <v>1571</v>
      </c>
      <c r="D462" t="s">
        <v>5158</v>
      </c>
      <c r="E462" t="s">
        <v>5159</v>
      </c>
    </row>
    <row r="463" spans="1:5">
      <c r="A463" t="s">
        <v>5244</v>
      </c>
      <c r="B463" t="s">
        <v>259</v>
      </c>
      <c r="C463" t="s">
        <v>1572</v>
      </c>
      <c r="D463" t="s">
        <v>5158</v>
      </c>
      <c r="E463" t="s">
        <v>5159</v>
      </c>
    </row>
    <row r="464" spans="1:5">
      <c r="A464" t="s">
        <v>5244</v>
      </c>
      <c r="B464" t="s">
        <v>260</v>
      </c>
      <c r="C464" t="s">
        <v>1573</v>
      </c>
      <c r="D464" t="s">
        <v>5158</v>
      </c>
      <c r="E464" t="s">
        <v>5159</v>
      </c>
    </row>
    <row r="465" spans="1:5">
      <c r="A465" t="s">
        <v>5244</v>
      </c>
      <c r="B465" t="s">
        <v>261</v>
      </c>
      <c r="C465" t="s">
        <v>1574</v>
      </c>
      <c r="D465" t="s">
        <v>5158</v>
      </c>
      <c r="E465" t="s">
        <v>5159</v>
      </c>
    </row>
    <row r="466" spans="1:5">
      <c r="A466" t="s">
        <v>5244</v>
      </c>
      <c r="B466" t="s">
        <v>262</v>
      </c>
      <c r="C466" t="s">
        <v>1575</v>
      </c>
      <c r="D466" t="s">
        <v>5158</v>
      </c>
      <c r="E466" t="s">
        <v>5159</v>
      </c>
    </row>
    <row r="467" spans="1:5">
      <c r="A467" t="s">
        <v>5244</v>
      </c>
      <c r="B467" t="s">
        <v>263</v>
      </c>
      <c r="C467" t="s">
        <v>1576</v>
      </c>
      <c r="D467" t="s">
        <v>5158</v>
      </c>
      <c r="E467" t="s">
        <v>5159</v>
      </c>
    </row>
    <row r="468" spans="1:5">
      <c r="A468" t="s">
        <v>5244</v>
      </c>
      <c r="B468" t="s">
        <v>264</v>
      </c>
      <c r="C468" t="s">
        <v>1577</v>
      </c>
      <c r="D468" t="s">
        <v>5158</v>
      </c>
      <c r="E468" t="s">
        <v>5159</v>
      </c>
    </row>
    <row r="469" spans="1:5">
      <c r="A469" t="s">
        <v>5244</v>
      </c>
      <c r="B469" t="s">
        <v>265</v>
      </c>
      <c r="C469" t="s">
        <v>1578</v>
      </c>
      <c r="D469" t="s">
        <v>5161</v>
      </c>
      <c r="E469" t="s">
        <v>5159</v>
      </c>
    </row>
    <row r="470" spans="1:5">
      <c r="A470" t="s">
        <v>5244</v>
      </c>
      <c r="B470" t="s">
        <v>266</v>
      </c>
      <c r="C470" t="s">
        <v>1579</v>
      </c>
      <c r="D470" t="s">
        <v>5158</v>
      </c>
      <c r="E470" t="s">
        <v>5159</v>
      </c>
    </row>
    <row r="471" spans="1:5">
      <c r="A471" t="s">
        <v>5244</v>
      </c>
      <c r="B471" t="s">
        <v>267</v>
      </c>
      <c r="C471" t="s">
        <v>1580</v>
      </c>
      <c r="D471" t="s">
        <v>5158</v>
      </c>
      <c r="E471" t="s">
        <v>5159</v>
      </c>
    </row>
    <row r="472" spans="1:5">
      <c r="A472" t="s">
        <v>5244</v>
      </c>
      <c r="B472" t="s">
        <v>268</v>
      </c>
      <c r="C472" t="s">
        <v>1581</v>
      </c>
      <c r="D472" t="s">
        <v>5158</v>
      </c>
      <c r="E472" t="s">
        <v>5159</v>
      </c>
    </row>
    <row r="473" spans="1:5">
      <c r="A473" t="s">
        <v>5244</v>
      </c>
      <c r="B473" t="s">
        <v>269</v>
      </c>
      <c r="C473" t="s">
        <v>1582</v>
      </c>
      <c r="D473" t="s">
        <v>5186</v>
      </c>
      <c r="E473" t="s">
        <v>5159</v>
      </c>
    </row>
    <row r="474" spans="1:5">
      <c r="A474" t="s">
        <v>5244</v>
      </c>
      <c r="B474" t="s">
        <v>270</v>
      </c>
      <c r="C474" t="s">
        <v>1583</v>
      </c>
      <c r="D474" t="s">
        <v>5186</v>
      </c>
      <c r="E474" t="s">
        <v>5159</v>
      </c>
    </row>
    <row r="475" spans="1:5">
      <c r="A475" t="s">
        <v>5244</v>
      </c>
      <c r="B475" t="s">
        <v>271</v>
      </c>
      <c r="C475" t="s">
        <v>1584</v>
      </c>
      <c r="D475" t="s">
        <v>5188</v>
      </c>
      <c r="E475" t="s">
        <v>5159</v>
      </c>
    </row>
    <row r="476" spans="1:5">
      <c r="A476" t="s">
        <v>5244</v>
      </c>
      <c r="B476" t="s">
        <v>272</v>
      </c>
      <c r="C476" t="s">
        <v>1585</v>
      </c>
      <c r="D476" t="s">
        <v>5186</v>
      </c>
      <c r="E476" t="s">
        <v>5159</v>
      </c>
    </row>
    <row r="477" spans="1:5">
      <c r="A477" t="s">
        <v>5244</v>
      </c>
      <c r="B477" t="s">
        <v>273</v>
      </c>
      <c r="C477" t="s">
        <v>1586</v>
      </c>
      <c r="D477" t="s">
        <v>5186</v>
      </c>
      <c r="E477" t="s">
        <v>5159</v>
      </c>
    </row>
    <row r="478" spans="1:5">
      <c r="A478" t="s">
        <v>5244</v>
      </c>
      <c r="B478" t="s">
        <v>274</v>
      </c>
      <c r="C478" t="s">
        <v>1587</v>
      </c>
      <c r="D478" t="s">
        <v>5187</v>
      </c>
      <c r="E478" t="s">
        <v>5159</v>
      </c>
    </row>
    <row r="479" spans="1:5">
      <c r="A479" t="s">
        <v>5244</v>
      </c>
      <c r="B479" t="s">
        <v>275</v>
      </c>
      <c r="C479" t="s">
        <v>1588</v>
      </c>
      <c r="D479" t="s">
        <v>5158</v>
      </c>
      <c r="E479" t="s">
        <v>5159</v>
      </c>
    </row>
    <row r="480" spans="1:5">
      <c r="A480" t="s">
        <v>5244</v>
      </c>
      <c r="B480" t="s">
        <v>276</v>
      </c>
      <c r="C480" t="s">
        <v>1589</v>
      </c>
      <c r="D480" t="s">
        <v>5158</v>
      </c>
      <c r="E480" t="s">
        <v>5159</v>
      </c>
    </row>
    <row r="481" spans="1:5">
      <c r="A481" t="s">
        <v>5244</v>
      </c>
      <c r="B481" t="s">
        <v>1590</v>
      </c>
      <c r="C481" t="s">
        <v>1591</v>
      </c>
      <c r="D481" t="s">
        <v>5188</v>
      </c>
      <c r="E481" t="s">
        <v>5159</v>
      </c>
    </row>
    <row r="482" spans="1:5">
      <c r="A482" t="s">
        <v>5244</v>
      </c>
      <c r="B482" t="s">
        <v>277</v>
      </c>
      <c r="C482" t="s">
        <v>1592</v>
      </c>
      <c r="D482" t="s">
        <v>5187</v>
      </c>
      <c r="E482" t="s">
        <v>5159</v>
      </c>
    </row>
    <row r="483" spans="1:5">
      <c r="A483" t="s">
        <v>5244</v>
      </c>
      <c r="B483" t="s">
        <v>278</v>
      </c>
      <c r="C483" t="s">
        <v>1593</v>
      </c>
      <c r="D483" t="s">
        <v>5158</v>
      </c>
      <c r="E483" t="s">
        <v>5159</v>
      </c>
    </row>
    <row r="484" spans="1:5">
      <c r="A484" t="s">
        <v>5244</v>
      </c>
      <c r="B484" t="s">
        <v>279</v>
      </c>
      <c r="C484" t="s">
        <v>1594</v>
      </c>
      <c r="D484" t="s">
        <v>5186</v>
      </c>
      <c r="E484" t="s">
        <v>5159</v>
      </c>
    </row>
    <row r="485" spans="1:5">
      <c r="A485" t="s">
        <v>5244</v>
      </c>
      <c r="B485" t="s">
        <v>280</v>
      </c>
      <c r="C485" t="s">
        <v>1595</v>
      </c>
      <c r="D485" t="s">
        <v>5186</v>
      </c>
      <c r="E485" t="s">
        <v>5159</v>
      </c>
    </row>
    <row r="486" spans="1:5">
      <c r="A486" t="s">
        <v>5244</v>
      </c>
      <c r="B486" t="s">
        <v>1596</v>
      </c>
      <c r="C486" t="s">
        <v>1597</v>
      </c>
      <c r="D486" t="s">
        <v>5186</v>
      </c>
      <c r="E486" t="s">
        <v>5159</v>
      </c>
    </row>
    <row r="487" spans="1:5">
      <c r="A487" t="s">
        <v>5244</v>
      </c>
      <c r="B487" t="s">
        <v>281</v>
      </c>
      <c r="C487" t="s">
        <v>1598</v>
      </c>
      <c r="D487" t="s">
        <v>5186</v>
      </c>
      <c r="E487" t="s">
        <v>5159</v>
      </c>
    </row>
    <row r="488" spans="1:5">
      <c r="A488" t="s">
        <v>5244</v>
      </c>
      <c r="B488" t="s">
        <v>282</v>
      </c>
      <c r="C488" t="s">
        <v>1599</v>
      </c>
      <c r="D488" t="s">
        <v>5186</v>
      </c>
      <c r="E488" t="s">
        <v>5159</v>
      </c>
    </row>
    <row r="489" spans="1:5">
      <c r="A489" t="s">
        <v>5244</v>
      </c>
      <c r="B489" t="s">
        <v>283</v>
      </c>
      <c r="C489" t="s">
        <v>1600</v>
      </c>
      <c r="D489" t="s">
        <v>5188</v>
      </c>
      <c r="E489" t="s">
        <v>5159</v>
      </c>
    </row>
    <row r="490" spans="1:5">
      <c r="A490" t="s">
        <v>5244</v>
      </c>
      <c r="B490" t="s">
        <v>284</v>
      </c>
      <c r="C490" t="s">
        <v>1601</v>
      </c>
      <c r="D490" t="s">
        <v>5161</v>
      </c>
      <c r="E490" t="s">
        <v>5159</v>
      </c>
    </row>
    <row r="491" spans="1:5">
      <c r="A491" t="s">
        <v>5244</v>
      </c>
      <c r="B491" t="s">
        <v>285</v>
      </c>
      <c r="C491" t="s">
        <v>1602</v>
      </c>
      <c r="D491" t="s">
        <v>5158</v>
      </c>
      <c r="E491" t="s">
        <v>5159</v>
      </c>
    </row>
    <row r="492" spans="1:5">
      <c r="A492" t="s">
        <v>5244</v>
      </c>
      <c r="B492" t="s">
        <v>286</v>
      </c>
      <c r="C492" t="s">
        <v>1603</v>
      </c>
      <c r="D492" t="s">
        <v>5194</v>
      </c>
      <c r="E492" t="s">
        <v>5159</v>
      </c>
    </row>
    <row r="493" spans="1:5">
      <c r="A493" t="s">
        <v>5244</v>
      </c>
      <c r="B493" t="s">
        <v>287</v>
      </c>
      <c r="C493" t="s">
        <v>1604</v>
      </c>
      <c r="D493" t="s">
        <v>5186</v>
      </c>
      <c r="E493" t="s">
        <v>5159</v>
      </c>
    </row>
    <row r="494" spans="1:5">
      <c r="A494" t="s">
        <v>5244</v>
      </c>
      <c r="B494" t="s">
        <v>288</v>
      </c>
      <c r="C494" t="s">
        <v>1605</v>
      </c>
      <c r="D494" t="s">
        <v>5186</v>
      </c>
      <c r="E494" t="s">
        <v>5159</v>
      </c>
    </row>
    <row r="495" spans="1:5">
      <c r="A495" t="s">
        <v>5244</v>
      </c>
      <c r="B495" t="s">
        <v>289</v>
      </c>
      <c r="C495" t="s">
        <v>1606</v>
      </c>
      <c r="D495" t="s">
        <v>5186</v>
      </c>
      <c r="E495" t="s">
        <v>5159</v>
      </c>
    </row>
    <row r="496" spans="1:5">
      <c r="A496" t="s">
        <v>5244</v>
      </c>
      <c r="B496" t="s">
        <v>1607</v>
      </c>
      <c r="C496" t="s">
        <v>1608</v>
      </c>
      <c r="D496" t="s">
        <v>5158</v>
      </c>
      <c r="E496" t="s">
        <v>5159</v>
      </c>
    </row>
    <row r="497" spans="1:5">
      <c r="A497" t="s">
        <v>5244</v>
      </c>
      <c r="B497" t="s">
        <v>290</v>
      </c>
      <c r="C497" t="s">
        <v>1609</v>
      </c>
      <c r="D497" t="s">
        <v>5187</v>
      </c>
      <c r="E497" t="s">
        <v>5159</v>
      </c>
    </row>
    <row r="498" spans="1:5">
      <c r="A498" t="s">
        <v>5244</v>
      </c>
      <c r="B498" t="s">
        <v>291</v>
      </c>
      <c r="C498" t="s">
        <v>1610</v>
      </c>
      <c r="D498" t="s">
        <v>5186</v>
      </c>
      <c r="E498" t="s">
        <v>5159</v>
      </c>
    </row>
    <row r="499" spans="1:5">
      <c r="A499" t="s">
        <v>5244</v>
      </c>
      <c r="B499" t="s">
        <v>292</v>
      </c>
      <c r="C499" t="s">
        <v>1611</v>
      </c>
      <c r="D499" t="s">
        <v>5158</v>
      </c>
      <c r="E499" t="s">
        <v>5159</v>
      </c>
    </row>
    <row r="500" spans="1:5">
      <c r="A500" t="s">
        <v>5244</v>
      </c>
      <c r="B500" t="s">
        <v>293</v>
      </c>
      <c r="C500" t="s">
        <v>1612</v>
      </c>
      <c r="D500" t="s">
        <v>5186</v>
      </c>
      <c r="E500" t="s">
        <v>5159</v>
      </c>
    </row>
    <row r="501" spans="1:5">
      <c r="A501" t="s">
        <v>5244</v>
      </c>
      <c r="B501" t="s">
        <v>294</v>
      </c>
      <c r="C501" t="s">
        <v>1613</v>
      </c>
      <c r="D501" t="s">
        <v>5186</v>
      </c>
      <c r="E501" t="s">
        <v>5159</v>
      </c>
    </row>
    <row r="502" spans="1:5">
      <c r="A502" t="s">
        <v>5244</v>
      </c>
      <c r="B502" t="s">
        <v>295</v>
      </c>
      <c r="C502" t="s">
        <v>1614</v>
      </c>
      <c r="D502" t="s">
        <v>5161</v>
      </c>
      <c r="E502" t="s">
        <v>5159</v>
      </c>
    </row>
    <row r="503" spans="1:5">
      <c r="A503" t="s">
        <v>5244</v>
      </c>
      <c r="B503" t="s">
        <v>296</v>
      </c>
      <c r="C503" t="s">
        <v>1615</v>
      </c>
      <c r="D503" t="s">
        <v>5194</v>
      </c>
      <c r="E503" t="s">
        <v>5159</v>
      </c>
    </row>
    <row r="504" spans="1:5">
      <c r="A504" t="s">
        <v>5244</v>
      </c>
      <c r="B504" t="s">
        <v>297</v>
      </c>
      <c r="C504" t="s">
        <v>1616</v>
      </c>
      <c r="D504" t="s">
        <v>5186</v>
      </c>
      <c r="E504" t="s">
        <v>5159</v>
      </c>
    </row>
    <row r="505" spans="1:5">
      <c r="A505" t="s">
        <v>5244</v>
      </c>
      <c r="B505" t="s">
        <v>298</v>
      </c>
      <c r="C505" t="s">
        <v>1617</v>
      </c>
      <c r="D505" t="s">
        <v>5186</v>
      </c>
      <c r="E505" t="s">
        <v>5159</v>
      </c>
    </row>
    <row r="506" spans="1:5">
      <c r="A506" t="s">
        <v>5244</v>
      </c>
      <c r="B506" t="s">
        <v>299</v>
      </c>
      <c r="C506" t="s">
        <v>1618</v>
      </c>
      <c r="D506" t="s">
        <v>5186</v>
      </c>
      <c r="E506" t="s">
        <v>5159</v>
      </c>
    </row>
    <row r="507" spans="1:5">
      <c r="A507" t="s">
        <v>5244</v>
      </c>
      <c r="B507" t="s">
        <v>1619</v>
      </c>
      <c r="C507" t="s">
        <v>1620</v>
      </c>
      <c r="D507" t="s">
        <v>5186</v>
      </c>
      <c r="E507" t="s">
        <v>5159</v>
      </c>
    </row>
    <row r="508" spans="1:5">
      <c r="A508" t="s">
        <v>5244</v>
      </c>
      <c r="B508" t="s">
        <v>1621</v>
      </c>
      <c r="C508" t="s">
        <v>1622</v>
      </c>
      <c r="D508" t="s">
        <v>5194</v>
      </c>
      <c r="E508" t="s">
        <v>5159</v>
      </c>
    </row>
    <row r="509" spans="1:5">
      <c r="A509" t="s">
        <v>5244</v>
      </c>
      <c r="B509" t="s">
        <v>300</v>
      </c>
      <c r="C509" t="s">
        <v>1623</v>
      </c>
      <c r="D509" t="s">
        <v>5158</v>
      </c>
      <c r="E509" t="s">
        <v>5159</v>
      </c>
    </row>
    <row r="510" spans="1:5">
      <c r="A510" t="s">
        <v>5244</v>
      </c>
      <c r="B510" t="s">
        <v>301</v>
      </c>
      <c r="C510" t="s">
        <v>1624</v>
      </c>
      <c r="D510" t="s">
        <v>5161</v>
      </c>
      <c r="E510" t="s">
        <v>5159</v>
      </c>
    </row>
    <row r="511" spans="1:5">
      <c r="A511" t="s">
        <v>5244</v>
      </c>
      <c r="B511" t="s">
        <v>302</v>
      </c>
      <c r="C511" t="s">
        <v>1625</v>
      </c>
      <c r="D511" t="s">
        <v>5186</v>
      </c>
      <c r="E511" t="s">
        <v>5159</v>
      </c>
    </row>
    <row r="512" spans="1:5">
      <c r="A512" t="s">
        <v>5244</v>
      </c>
      <c r="B512" t="s">
        <v>303</v>
      </c>
      <c r="C512" t="s">
        <v>1626</v>
      </c>
      <c r="D512" t="s">
        <v>5186</v>
      </c>
      <c r="E512" t="s">
        <v>5159</v>
      </c>
    </row>
    <row r="513" spans="1:5">
      <c r="A513" t="s">
        <v>5244</v>
      </c>
      <c r="B513" t="s">
        <v>304</v>
      </c>
      <c r="C513" t="s">
        <v>1627</v>
      </c>
      <c r="D513" t="s">
        <v>5158</v>
      </c>
      <c r="E513" t="s">
        <v>5159</v>
      </c>
    </row>
    <row r="514" spans="1:5">
      <c r="A514" t="s">
        <v>5244</v>
      </c>
      <c r="B514" t="s">
        <v>305</v>
      </c>
      <c r="C514" t="s">
        <v>1628</v>
      </c>
      <c r="D514" t="s">
        <v>5186</v>
      </c>
      <c r="E514" t="s">
        <v>5159</v>
      </c>
    </row>
    <row r="515" spans="1:5">
      <c r="A515" t="s">
        <v>5244</v>
      </c>
      <c r="B515" t="s">
        <v>306</v>
      </c>
      <c r="C515" t="s">
        <v>1629</v>
      </c>
      <c r="D515" t="s">
        <v>5186</v>
      </c>
      <c r="E515" t="s">
        <v>5159</v>
      </c>
    </row>
    <row r="516" spans="1:5">
      <c r="A516" t="s">
        <v>5244</v>
      </c>
      <c r="B516" t="s">
        <v>307</v>
      </c>
      <c r="C516" t="s">
        <v>1630</v>
      </c>
      <c r="D516" t="s">
        <v>5158</v>
      </c>
      <c r="E516" t="s">
        <v>5159</v>
      </c>
    </row>
    <row r="517" spans="1:5">
      <c r="A517" t="s">
        <v>5244</v>
      </c>
      <c r="B517" t="s">
        <v>308</v>
      </c>
      <c r="C517" t="s">
        <v>1631</v>
      </c>
      <c r="D517" t="s">
        <v>5186</v>
      </c>
      <c r="E517" t="s">
        <v>5159</v>
      </c>
    </row>
    <row r="518" spans="1:5">
      <c r="A518" t="s">
        <v>5244</v>
      </c>
      <c r="B518" t="s">
        <v>309</v>
      </c>
      <c r="C518" t="s">
        <v>1632</v>
      </c>
      <c r="D518" t="s">
        <v>5187</v>
      </c>
      <c r="E518" t="s">
        <v>5159</v>
      </c>
    </row>
    <row r="519" spans="1:5">
      <c r="A519" t="s">
        <v>5244</v>
      </c>
      <c r="B519" t="s">
        <v>310</v>
      </c>
      <c r="C519" t="s">
        <v>1633</v>
      </c>
      <c r="D519" t="s">
        <v>5158</v>
      </c>
      <c r="E519" t="s">
        <v>5159</v>
      </c>
    </row>
    <row r="520" spans="1:5">
      <c r="A520" t="s">
        <v>5244</v>
      </c>
      <c r="B520" t="s">
        <v>311</v>
      </c>
      <c r="C520" t="s">
        <v>1634</v>
      </c>
      <c r="D520" t="s">
        <v>5187</v>
      </c>
      <c r="E520" t="s">
        <v>5159</v>
      </c>
    </row>
    <row r="521" spans="1:5">
      <c r="A521" t="s">
        <v>5244</v>
      </c>
      <c r="B521" t="s">
        <v>312</v>
      </c>
      <c r="C521" t="s">
        <v>1635</v>
      </c>
      <c r="D521" t="s">
        <v>5187</v>
      </c>
      <c r="E521" t="s">
        <v>5159</v>
      </c>
    </row>
    <row r="522" spans="1:5">
      <c r="A522" t="s">
        <v>5244</v>
      </c>
      <c r="B522" t="s">
        <v>313</v>
      </c>
      <c r="C522" t="s">
        <v>1636</v>
      </c>
      <c r="D522" t="s">
        <v>5186</v>
      </c>
      <c r="E522" t="s">
        <v>5159</v>
      </c>
    </row>
    <row r="523" spans="1:5">
      <c r="A523" t="s">
        <v>5244</v>
      </c>
      <c r="B523" t="s">
        <v>314</v>
      </c>
      <c r="C523" t="s">
        <v>1637</v>
      </c>
      <c r="D523" t="s">
        <v>5158</v>
      </c>
      <c r="E523" t="s">
        <v>5159</v>
      </c>
    </row>
    <row r="524" spans="1:5">
      <c r="A524" t="s">
        <v>5244</v>
      </c>
      <c r="B524" t="s">
        <v>1638</v>
      </c>
      <c r="C524" t="s">
        <v>1639</v>
      </c>
      <c r="D524" t="s">
        <v>5158</v>
      </c>
      <c r="E524" t="s">
        <v>5159</v>
      </c>
    </row>
    <row r="525" spans="1:5">
      <c r="A525" t="s">
        <v>5244</v>
      </c>
      <c r="B525" t="s">
        <v>5398</v>
      </c>
      <c r="C525" t="s">
        <v>5399</v>
      </c>
      <c r="D525" t="s">
        <v>5195</v>
      </c>
      <c r="E525" t="s">
        <v>5159</v>
      </c>
    </row>
    <row r="526" spans="1:5">
      <c r="A526" t="s">
        <v>5244</v>
      </c>
      <c r="B526" t="s">
        <v>5400</v>
      </c>
      <c r="C526" t="s">
        <v>5401</v>
      </c>
      <c r="D526" t="s">
        <v>5188</v>
      </c>
      <c r="E526" t="s">
        <v>5159</v>
      </c>
    </row>
    <row r="527" spans="1:5">
      <c r="A527" t="s">
        <v>5244</v>
      </c>
      <c r="B527" t="s">
        <v>5402</v>
      </c>
      <c r="C527" t="s">
        <v>5403</v>
      </c>
      <c r="D527" t="s">
        <v>5157</v>
      </c>
      <c r="E527" t="s">
        <v>5157</v>
      </c>
    </row>
    <row r="528" spans="1:5">
      <c r="A528" t="s">
        <v>5244</v>
      </c>
      <c r="B528" t="s">
        <v>1640</v>
      </c>
      <c r="C528" t="s">
        <v>1641</v>
      </c>
      <c r="D528" t="s">
        <v>5188</v>
      </c>
      <c r="E528" t="s">
        <v>5159</v>
      </c>
    </row>
    <row r="529" spans="1:5">
      <c r="A529" t="s">
        <v>5244</v>
      </c>
      <c r="B529" t="s">
        <v>5404</v>
      </c>
      <c r="C529" t="s">
        <v>5405</v>
      </c>
      <c r="D529" t="s">
        <v>5157</v>
      </c>
      <c r="E529" t="s">
        <v>5157</v>
      </c>
    </row>
    <row r="530" spans="1:5">
      <c r="A530" t="s">
        <v>5244</v>
      </c>
      <c r="B530" t="s">
        <v>5406</v>
      </c>
      <c r="C530" t="s">
        <v>5407</v>
      </c>
      <c r="D530" t="s">
        <v>5188</v>
      </c>
      <c r="E530" t="s">
        <v>5159</v>
      </c>
    </row>
    <row r="531" spans="1:5">
      <c r="A531" t="s">
        <v>5244</v>
      </c>
      <c r="B531" t="s">
        <v>5408</v>
      </c>
      <c r="C531" t="s">
        <v>4753</v>
      </c>
      <c r="D531" t="s">
        <v>5158</v>
      </c>
      <c r="E531" t="s">
        <v>5159</v>
      </c>
    </row>
    <row r="532" spans="1:5">
      <c r="A532" t="s">
        <v>5244</v>
      </c>
      <c r="B532" t="s">
        <v>5409</v>
      </c>
      <c r="C532" t="s">
        <v>4753</v>
      </c>
      <c r="D532" t="s">
        <v>5158</v>
      </c>
      <c r="E532" t="s">
        <v>5159</v>
      </c>
    </row>
    <row r="533" spans="1:5">
      <c r="A533" t="s">
        <v>5244</v>
      </c>
      <c r="B533" t="s">
        <v>1642</v>
      </c>
      <c r="C533" t="s">
        <v>1643</v>
      </c>
      <c r="D533" t="s">
        <v>5161</v>
      </c>
      <c r="E533" t="s">
        <v>5159</v>
      </c>
    </row>
    <row r="534" spans="1:5">
      <c r="A534" t="s">
        <v>5244</v>
      </c>
      <c r="B534" t="s">
        <v>315</v>
      </c>
      <c r="C534" t="s">
        <v>1644</v>
      </c>
      <c r="D534" t="s">
        <v>5160</v>
      </c>
      <c r="E534" t="s">
        <v>5159</v>
      </c>
    </row>
    <row r="535" spans="1:5">
      <c r="A535" t="s">
        <v>5488</v>
      </c>
      <c r="B535" t="s">
        <v>315</v>
      </c>
      <c r="C535" t="s">
        <v>1644</v>
      </c>
      <c r="D535" t="s">
        <v>5160</v>
      </c>
      <c r="E535" t="s">
        <v>5159</v>
      </c>
    </row>
    <row r="536" spans="1:5">
      <c r="A536" t="s">
        <v>5244</v>
      </c>
      <c r="B536" t="s">
        <v>5410</v>
      </c>
      <c r="C536" t="s">
        <v>5411</v>
      </c>
      <c r="D536" t="s">
        <v>5195</v>
      </c>
      <c r="E536" t="s">
        <v>5159</v>
      </c>
    </row>
    <row r="537" spans="1:5">
      <c r="A537" t="s">
        <v>5244</v>
      </c>
      <c r="B537" t="s">
        <v>1645</v>
      </c>
      <c r="C537" t="s">
        <v>1646</v>
      </c>
      <c r="D537" t="s">
        <v>5188</v>
      </c>
      <c r="E537" t="s">
        <v>5159</v>
      </c>
    </row>
    <row r="538" spans="1:5">
      <c r="A538" t="s">
        <v>5244</v>
      </c>
      <c r="B538" t="s">
        <v>1647</v>
      </c>
      <c r="C538" t="s">
        <v>1648</v>
      </c>
      <c r="D538" t="s">
        <v>5188</v>
      </c>
      <c r="E538" t="s">
        <v>5159</v>
      </c>
    </row>
    <row r="539" spans="1:5">
      <c r="A539" t="s">
        <v>5244</v>
      </c>
      <c r="B539" t="s">
        <v>316</v>
      </c>
      <c r="C539" t="s">
        <v>1649</v>
      </c>
      <c r="D539" t="s">
        <v>5161</v>
      </c>
      <c r="E539" t="s">
        <v>5159</v>
      </c>
    </row>
    <row r="540" spans="1:5">
      <c r="A540" t="s">
        <v>5244</v>
      </c>
      <c r="B540" t="s">
        <v>5412</v>
      </c>
      <c r="C540" t="s">
        <v>5413</v>
      </c>
      <c r="D540" t="s">
        <v>5195</v>
      </c>
      <c r="E540" t="s">
        <v>5159</v>
      </c>
    </row>
    <row r="541" spans="1:5">
      <c r="A541" t="s">
        <v>5244</v>
      </c>
      <c r="B541" t="s">
        <v>317</v>
      </c>
      <c r="C541" t="s">
        <v>1650</v>
      </c>
      <c r="D541" t="s">
        <v>5158</v>
      </c>
      <c r="E541" t="s">
        <v>5159</v>
      </c>
    </row>
    <row r="542" spans="1:5">
      <c r="A542" t="s">
        <v>5244</v>
      </c>
      <c r="B542" t="s">
        <v>318</v>
      </c>
      <c r="C542" t="s">
        <v>1651</v>
      </c>
      <c r="D542" t="s">
        <v>5187</v>
      </c>
      <c r="E542" t="s">
        <v>5159</v>
      </c>
    </row>
    <row r="543" spans="1:5">
      <c r="A543" t="s">
        <v>5244</v>
      </c>
      <c r="B543" t="s">
        <v>319</v>
      </c>
      <c r="C543" t="s">
        <v>1652</v>
      </c>
      <c r="D543" t="s">
        <v>5158</v>
      </c>
      <c r="E543" t="s">
        <v>5159</v>
      </c>
    </row>
    <row r="544" spans="1:5">
      <c r="A544" t="s">
        <v>5244</v>
      </c>
      <c r="B544" t="s">
        <v>1653</v>
      </c>
      <c r="C544" t="s">
        <v>1654</v>
      </c>
      <c r="D544" t="s">
        <v>5190</v>
      </c>
      <c r="E544" t="s">
        <v>5159</v>
      </c>
    </row>
    <row r="545" spans="1:5">
      <c r="A545" t="s">
        <v>5244</v>
      </c>
      <c r="B545" t="s">
        <v>1655</v>
      </c>
      <c r="C545" t="s">
        <v>1656</v>
      </c>
      <c r="D545" t="s">
        <v>5190</v>
      </c>
      <c r="E545" t="s">
        <v>5159</v>
      </c>
    </row>
    <row r="546" spans="1:5">
      <c r="A546" t="s">
        <v>5244</v>
      </c>
      <c r="B546" t="s">
        <v>320</v>
      </c>
      <c r="C546" t="s">
        <v>1657</v>
      </c>
      <c r="D546" t="s">
        <v>5158</v>
      </c>
      <c r="E546" t="s">
        <v>5159</v>
      </c>
    </row>
    <row r="547" spans="1:5">
      <c r="A547" t="s">
        <v>5244</v>
      </c>
      <c r="B547" t="s">
        <v>321</v>
      </c>
      <c r="C547" t="s">
        <v>1658</v>
      </c>
      <c r="D547" t="s">
        <v>5187</v>
      </c>
      <c r="E547" t="s">
        <v>5159</v>
      </c>
    </row>
    <row r="548" spans="1:5">
      <c r="A548" t="s">
        <v>5244</v>
      </c>
      <c r="B548" t="s">
        <v>322</v>
      </c>
      <c r="C548" t="s">
        <v>1659</v>
      </c>
      <c r="D548" t="s">
        <v>5158</v>
      </c>
      <c r="E548" t="s">
        <v>5159</v>
      </c>
    </row>
    <row r="549" spans="1:5">
      <c r="A549" t="s">
        <v>5244</v>
      </c>
      <c r="B549" t="s">
        <v>323</v>
      </c>
      <c r="C549" t="s">
        <v>1660</v>
      </c>
      <c r="D549" t="s">
        <v>5158</v>
      </c>
      <c r="E549" t="s">
        <v>5159</v>
      </c>
    </row>
    <row r="550" spans="1:5">
      <c r="A550" t="s">
        <v>5244</v>
      </c>
      <c r="B550" t="s">
        <v>324</v>
      </c>
      <c r="C550" t="s">
        <v>1661</v>
      </c>
      <c r="D550" t="s">
        <v>5158</v>
      </c>
      <c r="E550" t="s">
        <v>5159</v>
      </c>
    </row>
    <row r="551" spans="1:5">
      <c r="A551" t="s">
        <v>5244</v>
      </c>
      <c r="B551" t="s">
        <v>5414</v>
      </c>
      <c r="C551" t="s">
        <v>5415</v>
      </c>
      <c r="D551" t="s">
        <v>5188</v>
      </c>
      <c r="E551" t="s">
        <v>5159</v>
      </c>
    </row>
    <row r="552" spans="1:5">
      <c r="A552" t="s">
        <v>5244</v>
      </c>
      <c r="B552" t="s">
        <v>5416</v>
      </c>
      <c r="C552" t="s">
        <v>5417</v>
      </c>
      <c r="D552" t="s">
        <v>5188</v>
      </c>
      <c r="E552" t="s">
        <v>5159</v>
      </c>
    </row>
    <row r="553" spans="1:5">
      <c r="A553" t="s">
        <v>5244</v>
      </c>
      <c r="B553" t="s">
        <v>325</v>
      </c>
      <c r="C553" t="s">
        <v>1662</v>
      </c>
      <c r="D553" t="s">
        <v>5161</v>
      </c>
      <c r="E553" t="s">
        <v>5159</v>
      </c>
    </row>
    <row r="554" spans="1:5">
      <c r="A554" t="s">
        <v>5244</v>
      </c>
      <c r="B554" t="s">
        <v>1663</v>
      </c>
      <c r="C554" t="s">
        <v>1664</v>
      </c>
      <c r="D554" t="s">
        <v>5195</v>
      </c>
      <c r="E554" t="s">
        <v>5159</v>
      </c>
    </row>
    <row r="555" spans="1:5">
      <c r="A555" t="s">
        <v>5244</v>
      </c>
      <c r="B555" t="s">
        <v>326</v>
      </c>
      <c r="C555" t="s">
        <v>1665</v>
      </c>
      <c r="D555" t="s">
        <v>5195</v>
      </c>
      <c r="E555" t="s">
        <v>5159</v>
      </c>
    </row>
    <row r="556" spans="1:5">
      <c r="A556" t="s">
        <v>5244</v>
      </c>
      <c r="B556" t="s">
        <v>327</v>
      </c>
      <c r="C556" t="s">
        <v>1666</v>
      </c>
      <c r="D556" t="s">
        <v>5195</v>
      </c>
      <c r="E556" t="s">
        <v>5159</v>
      </c>
    </row>
    <row r="557" spans="1:5">
      <c r="A557" t="s">
        <v>5244</v>
      </c>
      <c r="B557" t="s">
        <v>328</v>
      </c>
      <c r="C557" t="s">
        <v>1667</v>
      </c>
      <c r="D557" t="s">
        <v>5195</v>
      </c>
      <c r="E557" t="s">
        <v>5159</v>
      </c>
    </row>
    <row r="558" spans="1:5">
      <c r="A558" t="s">
        <v>5244</v>
      </c>
      <c r="B558" t="s">
        <v>329</v>
      </c>
      <c r="C558" t="s">
        <v>1668</v>
      </c>
      <c r="D558" t="s">
        <v>5157</v>
      </c>
      <c r="E558" t="s">
        <v>5157</v>
      </c>
    </row>
    <row r="559" spans="1:5">
      <c r="A559" t="s">
        <v>5244</v>
      </c>
      <c r="B559" t="s">
        <v>1669</v>
      </c>
      <c r="C559" t="s">
        <v>1670</v>
      </c>
      <c r="D559" t="s">
        <v>5195</v>
      </c>
      <c r="E559" t="s">
        <v>5159</v>
      </c>
    </row>
    <row r="560" spans="1:5">
      <c r="A560" t="s">
        <v>5244</v>
      </c>
      <c r="B560" t="s">
        <v>330</v>
      </c>
      <c r="C560" t="s">
        <v>1671</v>
      </c>
      <c r="D560" t="s">
        <v>5195</v>
      </c>
      <c r="E560" t="s">
        <v>5159</v>
      </c>
    </row>
    <row r="561" spans="1:5">
      <c r="A561" t="s">
        <v>5244</v>
      </c>
      <c r="B561" t="s">
        <v>331</v>
      </c>
      <c r="C561" t="s">
        <v>1672</v>
      </c>
      <c r="D561" t="s">
        <v>5195</v>
      </c>
      <c r="E561" t="s">
        <v>5159</v>
      </c>
    </row>
    <row r="562" spans="1:5">
      <c r="A562" t="s">
        <v>5244</v>
      </c>
      <c r="B562" t="s">
        <v>332</v>
      </c>
      <c r="C562" t="s">
        <v>1673</v>
      </c>
      <c r="D562" t="s">
        <v>5195</v>
      </c>
      <c r="E562" t="s">
        <v>5159</v>
      </c>
    </row>
    <row r="563" spans="1:5">
      <c r="A563" t="s">
        <v>5244</v>
      </c>
      <c r="B563" t="s">
        <v>333</v>
      </c>
      <c r="C563" t="s">
        <v>1674</v>
      </c>
      <c r="D563" t="s">
        <v>5195</v>
      </c>
      <c r="E563" t="s">
        <v>5159</v>
      </c>
    </row>
    <row r="564" spans="1:5">
      <c r="A564" t="s">
        <v>5244</v>
      </c>
      <c r="B564" t="s">
        <v>334</v>
      </c>
      <c r="C564" t="s">
        <v>1675</v>
      </c>
      <c r="D564" t="s">
        <v>5195</v>
      </c>
      <c r="E564" t="s">
        <v>5159</v>
      </c>
    </row>
    <row r="565" spans="1:5">
      <c r="A565" t="s">
        <v>5244</v>
      </c>
      <c r="B565" t="s">
        <v>335</v>
      </c>
      <c r="C565" t="s">
        <v>1676</v>
      </c>
      <c r="D565" t="s">
        <v>5186</v>
      </c>
      <c r="E565" t="s">
        <v>5159</v>
      </c>
    </row>
    <row r="566" spans="1:5">
      <c r="A566" t="s">
        <v>5244</v>
      </c>
      <c r="B566" t="s">
        <v>1677</v>
      </c>
      <c r="C566" t="s">
        <v>1678</v>
      </c>
      <c r="D566" t="s">
        <v>5186</v>
      </c>
      <c r="E566" t="s">
        <v>5159</v>
      </c>
    </row>
    <row r="567" spans="1:5">
      <c r="A567" t="s">
        <v>5244</v>
      </c>
      <c r="B567" t="s">
        <v>336</v>
      </c>
      <c r="C567" t="s">
        <v>1679</v>
      </c>
      <c r="D567" t="s">
        <v>5186</v>
      </c>
      <c r="E567" t="s">
        <v>5159</v>
      </c>
    </row>
    <row r="568" spans="1:5">
      <c r="A568" t="s">
        <v>5244</v>
      </c>
      <c r="B568" t="s">
        <v>337</v>
      </c>
      <c r="C568" t="s">
        <v>1680</v>
      </c>
      <c r="D568" t="s">
        <v>5186</v>
      </c>
      <c r="E568" t="s">
        <v>5159</v>
      </c>
    </row>
    <row r="569" spans="1:5">
      <c r="A569" t="s">
        <v>5244</v>
      </c>
      <c r="B569" t="s">
        <v>338</v>
      </c>
      <c r="C569" t="s">
        <v>1681</v>
      </c>
      <c r="D569" t="s">
        <v>5186</v>
      </c>
      <c r="E569" t="s">
        <v>5159</v>
      </c>
    </row>
    <row r="570" spans="1:5">
      <c r="A570" t="s">
        <v>5244</v>
      </c>
      <c r="B570" t="s">
        <v>1682</v>
      </c>
      <c r="C570" t="s">
        <v>1683</v>
      </c>
      <c r="D570" t="s">
        <v>5186</v>
      </c>
      <c r="E570" t="s">
        <v>5159</v>
      </c>
    </row>
    <row r="571" spans="1:5">
      <c r="A571" t="s">
        <v>5244</v>
      </c>
      <c r="B571" t="s">
        <v>339</v>
      </c>
      <c r="C571" t="s">
        <v>1684</v>
      </c>
      <c r="D571" t="s">
        <v>5186</v>
      </c>
      <c r="E571" t="s">
        <v>5159</v>
      </c>
    </row>
    <row r="572" spans="1:5">
      <c r="A572" t="s">
        <v>5244</v>
      </c>
      <c r="B572" t="s">
        <v>5418</v>
      </c>
      <c r="C572" t="s">
        <v>5419</v>
      </c>
      <c r="D572" t="s">
        <v>5186</v>
      </c>
      <c r="E572" t="s">
        <v>5159</v>
      </c>
    </row>
    <row r="573" spans="1:5">
      <c r="A573" t="s">
        <v>5244</v>
      </c>
      <c r="B573" t="s">
        <v>340</v>
      </c>
      <c r="C573" t="s">
        <v>1685</v>
      </c>
      <c r="D573" t="s">
        <v>5186</v>
      </c>
      <c r="E573" t="s">
        <v>5159</v>
      </c>
    </row>
    <row r="574" spans="1:5">
      <c r="A574" t="s">
        <v>5244</v>
      </c>
      <c r="B574" t="s">
        <v>5420</v>
      </c>
      <c r="C574" t="s">
        <v>5421</v>
      </c>
      <c r="D574" t="s">
        <v>5157</v>
      </c>
      <c r="E574" t="s">
        <v>5157</v>
      </c>
    </row>
    <row r="575" spans="1:5">
      <c r="A575" t="s">
        <v>5244</v>
      </c>
      <c r="B575" t="s">
        <v>341</v>
      </c>
      <c r="C575" t="s">
        <v>1686</v>
      </c>
      <c r="D575" t="s">
        <v>5186</v>
      </c>
      <c r="E575" t="s">
        <v>5159</v>
      </c>
    </row>
    <row r="576" spans="1:5">
      <c r="A576" t="s">
        <v>5244</v>
      </c>
      <c r="B576" t="s">
        <v>342</v>
      </c>
      <c r="C576" t="s">
        <v>1687</v>
      </c>
      <c r="D576" t="s">
        <v>5186</v>
      </c>
      <c r="E576" t="s">
        <v>5159</v>
      </c>
    </row>
    <row r="577" spans="1:5">
      <c r="A577" t="s">
        <v>5244</v>
      </c>
      <c r="B577" t="s">
        <v>343</v>
      </c>
      <c r="C577" t="s">
        <v>1688</v>
      </c>
      <c r="D577" t="s">
        <v>5186</v>
      </c>
      <c r="E577" t="s">
        <v>5159</v>
      </c>
    </row>
    <row r="578" spans="1:5">
      <c r="A578" t="s">
        <v>5244</v>
      </c>
      <c r="B578" t="s">
        <v>1689</v>
      </c>
      <c r="C578" t="s">
        <v>1690</v>
      </c>
      <c r="D578" t="s">
        <v>5186</v>
      </c>
      <c r="E578" t="s">
        <v>5159</v>
      </c>
    </row>
    <row r="579" spans="1:5">
      <c r="A579" t="s">
        <v>5244</v>
      </c>
      <c r="B579" t="s">
        <v>344</v>
      </c>
      <c r="C579" t="s">
        <v>1691</v>
      </c>
      <c r="D579" t="s">
        <v>5161</v>
      </c>
      <c r="E579" t="s">
        <v>5159</v>
      </c>
    </row>
    <row r="580" spans="1:5">
      <c r="A580" t="s">
        <v>5244</v>
      </c>
      <c r="B580" t="s">
        <v>1692</v>
      </c>
      <c r="C580" t="s">
        <v>1693</v>
      </c>
      <c r="D580" t="s">
        <v>5161</v>
      </c>
      <c r="E580" t="s">
        <v>5159</v>
      </c>
    </row>
    <row r="581" spans="1:5">
      <c r="A581" t="s">
        <v>5244</v>
      </c>
      <c r="B581" t="s">
        <v>345</v>
      </c>
      <c r="C581" t="s">
        <v>1694</v>
      </c>
      <c r="D581" t="s">
        <v>5161</v>
      </c>
      <c r="E581" t="s">
        <v>5159</v>
      </c>
    </row>
    <row r="582" spans="1:5">
      <c r="A582" t="s">
        <v>5244</v>
      </c>
      <c r="B582" t="s">
        <v>346</v>
      </c>
      <c r="C582" t="s">
        <v>1695</v>
      </c>
      <c r="D582" t="s">
        <v>5161</v>
      </c>
      <c r="E582" t="s">
        <v>5159</v>
      </c>
    </row>
    <row r="583" spans="1:5">
      <c r="A583" t="s">
        <v>5244</v>
      </c>
      <c r="B583" t="s">
        <v>347</v>
      </c>
      <c r="C583" t="s">
        <v>1696</v>
      </c>
      <c r="D583" t="s">
        <v>5161</v>
      </c>
      <c r="E583" t="s">
        <v>5159</v>
      </c>
    </row>
    <row r="584" spans="1:5">
      <c r="A584" t="s">
        <v>5244</v>
      </c>
      <c r="B584" t="s">
        <v>348</v>
      </c>
      <c r="C584" t="s">
        <v>1697</v>
      </c>
      <c r="D584" t="s">
        <v>5196</v>
      </c>
      <c r="E584" t="s">
        <v>5159</v>
      </c>
    </row>
    <row r="585" spans="1:5">
      <c r="A585" t="s">
        <v>5244</v>
      </c>
      <c r="B585" t="s">
        <v>1698</v>
      </c>
      <c r="C585" t="s">
        <v>1699</v>
      </c>
      <c r="D585" t="s">
        <v>5157</v>
      </c>
      <c r="E585" t="s">
        <v>5157</v>
      </c>
    </row>
    <row r="586" spans="1:5">
      <c r="A586" t="s">
        <v>5488</v>
      </c>
      <c r="B586" t="s">
        <v>1698</v>
      </c>
      <c r="C586" t="s">
        <v>1699</v>
      </c>
      <c r="D586" t="s">
        <v>5157</v>
      </c>
      <c r="E586" t="s">
        <v>5157</v>
      </c>
    </row>
    <row r="587" spans="1:5">
      <c r="A587" t="s">
        <v>5244</v>
      </c>
      <c r="B587" t="s">
        <v>1700</v>
      </c>
      <c r="C587" t="s">
        <v>1701</v>
      </c>
      <c r="D587" t="s">
        <v>5161</v>
      </c>
      <c r="E587" t="s">
        <v>5159</v>
      </c>
    </row>
    <row r="588" spans="1:5">
      <c r="A588" t="s">
        <v>5244</v>
      </c>
      <c r="B588" t="s">
        <v>1702</v>
      </c>
      <c r="C588" t="s">
        <v>1703</v>
      </c>
      <c r="D588" t="s">
        <v>5161</v>
      </c>
      <c r="E588" t="s">
        <v>5159</v>
      </c>
    </row>
    <row r="589" spans="1:5">
      <c r="A589" t="s">
        <v>5244</v>
      </c>
      <c r="B589" t="s">
        <v>1704</v>
      </c>
      <c r="C589" t="s">
        <v>1705</v>
      </c>
      <c r="D589" t="s">
        <v>5161</v>
      </c>
      <c r="E589" t="s">
        <v>5159</v>
      </c>
    </row>
    <row r="590" spans="1:5">
      <c r="A590" t="s">
        <v>5244</v>
      </c>
      <c r="B590" t="s">
        <v>1706</v>
      </c>
      <c r="C590" t="s">
        <v>1707</v>
      </c>
      <c r="D590" t="s">
        <v>5161</v>
      </c>
      <c r="E590" t="s">
        <v>5159</v>
      </c>
    </row>
    <row r="591" spans="1:5">
      <c r="A591" t="s">
        <v>5244</v>
      </c>
      <c r="B591" t="s">
        <v>1708</v>
      </c>
      <c r="C591" t="s">
        <v>1709</v>
      </c>
      <c r="D591" t="s">
        <v>5197</v>
      </c>
      <c r="E591" t="s">
        <v>5159</v>
      </c>
    </row>
    <row r="592" spans="1:5">
      <c r="A592" t="s">
        <v>5244</v>
      </c>
      <c r="B592" t="s">
        <v>1710</v>
      </c>
      <c r="C592" t="s">
        <v>1711</v>
      </c>
      <c r="D592" t="s">
        <v>5197</v>
      </c>
      <c r="E592" t="s">
        <v>5159</v>
      </c>
    </row>
    <row r="593" spans="1:5">
      <c r="A593" t="s">
        <v>5244</v>
      </c>
      <c r="B593" t="s">
        <v>5422</v>
      </c>
      <c r="C593" t="s">
        <v>5423</v>
      </c>
      <c r="D593" t="s">
        <v>5196</v>
      </c>
      <c r="E593" t="s">
        <v>5159</v>
      </c>
    </row>
    <row r="594" spans="1:5">
      <c r="A594" t="s">
        <v>5244</v>
      </c>
      <c r="B594" t="s">
        <v>349</v>
      </c>
      <c r="C594" t="s">
        <v>1712</v>
      </c>
      <c r="D594" t="s">
        <v>5196</v>
      </c>
      <c r="E594" t="s">
        <v>5159</v>
      </c>
    </row>
    <row r="595" spans="1:5">
      <c r="A595" t="s">
        <v>5244</v>
      </c>
      <c r="B595" t="s">
        <v>350</v>
      </c>
      <c r="C595" t="s">
        <v>1713</v>
      </c>
      <c r="D595" t="s">
        <v>5189</v>
      </c>
      <c r="E595" t="s">
        <v>5159</v>
      </c>
    </row>
    <row r="596" spans="1:5">
      <c r="A596" t="s">
        <v>5244</v>
      </c>
      <c r="B596" t="s">
        <v>5424</v>
      </c>
      <c r="C596" t="s">
        <v>5425</v>
      </c>
      <c r="D596" t="s">
        <v>5157</v>
      </c>
      <c r="E596" t="s">
        <v>5157</v>
      </c>
    </row>
    <row r="597" spans="1:5">
      <c r="A597" t="s">
        <v>5244</v>
      </c>
      <c r="B597" t="s">
        <v>351</v>
      </c>
      <c r="C597" t="s">
        <v>1714</v>
      </c>
      <c r="D597" t="s">
        <v>5158</v>
      </c>
      <c r="E597" t="s">
        <v>5159</v>
      </c>
    </row>
    <row r="598" spans="1:5">
      <c r="A598" t="s">
        <v>5244</v>
      </c>
      <c r="B598" t="s">
        <v>352</v>
      </c>
      <c r="C598" t="s">
        <v>1715</v>
      </c>
      <c r="D598" t="s">
        <v>5187</v>
      </c>
      <c r="E598" t="s">
        <v>5159</v>
      </c>
    </row>
    <row r="599" spans="1:5">
      <c r="A599" t="s">
        <v>5244</v>
      </c>
      <c r="B599" t="s">
        <v>353</v>
      </c>
      <c r="C599" t="s">
        <v>1716</v>
      </c>
      <c r="D599" t="s">
        <v>5187</v>
      </c>
      <c r="E599" t="s">
        <v>5159</v>
      </c>
    </row>
    <row r="600" spans="1:5">
      <c r="A600" t="s">
        <v>5244</v>
      </c>
      <c r="B600" t="s">
        <v>354</v>
      </c>
      <c r="C600" t="s">
        <v>1717</v>
      </c>
      <c r="D600" t="s">
        <v>5158</v>
      </c>
      <c r="E600" t="s">
        <v>5159</v>
      </c>
    </row>
    <row r="601" spans="1:5">
      <c r="A601" t="s">
        <v>5244</v>
      </c>
      <c r="B601" t="s">
        <v>355</v>
      </c>
      <c r="C601" t="s">
        <v>1718</v>
      </c>
      <c r="D601" t="s">
        <v>5187</v>
      </c>
      <c r="E601" t="s">
        <v>5159</v>
      </c>
    </row>
    <row r="602" spans="1:5">
      <c r="A602" t="s">
        <v>5244</v>
      </c>
      <c r="B602" t="s">
        <v>356</v>
      </c>
      <c r="C602" t="s">
        <v>1719</v>
      </c>
      <c r="D602" t="s">
        <v>5187</v>
      </c>
      <c r="E602" t="s">
        <v>5159</v>
      </c>
    </row>
    <row r="603" spans="1:5">
      <c r="A603" t="s">
        <v>5244</v>
      </c>
      <c r="B603" t="s">
        <v>357</v>
      </c>
      <c r="C603" t="s">
        <v>5426</v>
      </c>
      <c r="D603" t="s">
        <v>5158</v>
      </c>
      <c r="E603" t="s">
        <v>5159</v>
      </c>
    </row>
    <row r="604" spans="1:5">
      <c r="A604" t="s">
        <v>5244</v>
      </c>
      <c r="B604" t="s">
        <v>358</v>
      </c>
      <c r="C604" t="s">
        <v>1720</v>
      </c>
      <c r="D604" t="s">
        <v>5158</v>
      </c>
      <c r="E604" t="s">
        <v>5159</v>
      </c>
    </row>
    <row r="605" spans="1:5">
      <c r="A605" t="s">
        <v>5244</v>
      </c>
      <c r="B605" t="s">
        <v>359</v>
      </c>
      <c r="C605" t="s">
        <v>1721</v>
      </c>
      <c r="D605" t="s">
        <v>5158</v>
      </c>
      <c r="E605" t="s">
        <v>5159</v>
      </c>
    </row>
    <row r="606" spans="1:5">
      <c r="A606" t="s">
        <v>5244</v>
      </c>
      <c r="B606" t="s">
        <v>360</v>
      </c>
      <c r="C606" t="s">
        <v>1722</v>
      </c>
      <c r="D606" t="s">
        <v>5158</v>
      </c>
      <c r="E606" t="s">
        <v>5159</v>
      </c>
    </row>
    <row r="607" spans="1:5">
      <c r="A607" t="s">
        <v>5244</v>
      </c>
      <c r="B607" t="s">
        <v>361</v>
      </c>
      <c r="C607" t="s">
        <v>1723</v>
      </c>
      <c r="D607" t="s">
        <v>5187</v>
      </c>
      <c r="E607" t="s">
        <v>5159</v>
      </c>
    </row>
    <row r="608" spans="1:5">
      <c r="A608" t="s">
        <v>5244</v>
      </c>
      <c r="B608" t="s">
        <v>362</v>
      </c>
      <c r="C608" t="s">
        <v>1724</v>
      </c>
      <c r="D608" t="s">
        <v>5187</v>
      </c>
      <c r="E608" t="s">
        <v>5159</v>
      </c>
    </row>
    <row r="609" spans="1:5">
      <c r="A609" t="s">
        <v>5244</v>
      </c>
      <c r="B609" t="s">
        <v>363</v>
      </c>
      <c r="C609" t="s">
        <v>5427</v>
      </c>
      <c r="D609" t="s">
        <v>5158</v>
      </c>
      <c r="E609" t="s">
        <v>5159</v>
      </c>
    </row>
    <row r="610" spans="1:5">
      <c r="A610" t="s">
        <v>5244</v>
      </c>
      <c r="B610" t="s">
        <v>364</v>
      </c>
      <c r="C610" t="s">
        <v>1725</v>
      </c>
      <c r="D610" t="s">
        <v>5187</v>
      </c>
      <c r="E610" t="s">
        <v>5159</v>
      </c>
    </row>
    <row r="611" spans="1:5">
      <c r="A611" t="s">
        <v>5244</v>
      </c>
      <c r="B611" t="s">
        <v>365</v>
      </c>
      <c r="C611" t="s">
        <v>1726</v>
      </c>
      <c r="D611" t="s">
        <v>5187</v>
      </c>
      <c r="E611" t="s">
        <v>5159</v>
      </c>
    </row>
    <row r="612" spans="1:5">
      <c r="A612" t="s">
        <v>5244</v>
      </c>
      <c r="B612" t="s">
        <v>366</v>
      </c>
      <c r="C612" t="s">
        <v>1727</v>
      </c>
      <c r="D612" t="s">
        <v>5187</v>
      </c>
      <c r="E612" t="s">
        <v>5159</v>
      </c>
    </row>
    <row r="613" spans="1:5">
      <c r="A613" t="s">
        <v>5244</v>
      </c>
      <c r="B613" t="s">
        <v>1728</v>
      </c>
      <c r="C613" t="s">
        <v>1729</v>
      </c>
      <c r="D613" t="s">
        <v>5158</v>
      </c>
      <c r="E613" t="s">
        <v>5159</v>
      </c>
    </row>
    <row r="614" spans="1:5">
      <c r="A614" t="s">
        <v>5244</v>
      </c>
      <c r="B614" t="s">
        <v>367</v>
      </c>
      <c r="C614" t="s">
        <v>1730</v>
      </c>
      <c r="D614" t="s">
        <v>5158</v>
      </c>
      <c r="E614" t="s">
        <v>5159</v>
      </c>
    </row>
    <row r="615" spans="1:5">
      <c r="A615" t="s">
        <v>5244</v>
      </c>
      <c r="B615" t="s">
        <v>368</v>
      </c>
      <c r="C615" t="s">
        <v>1731</v>
      </c>
      <c r="D615" t="s">
        <v>5158</v>
      </c>
      <c r="E615" t="s">
        <v>5159</v>
      </c>
    </row>
    <row r="616" spans="1:5">
      <c r="A616" t="s">
        <v>5244</v>
      </c>
      <c r="B616" t="s">
        <v>369</v>
      </c>
      <c r="C616" t="s">
        <v>1732</v>
      </c>
      <c r="D616" t="s">
        <v>5158</v>
      </c>
      <c r="E616" t="s">
        <v>5159</v>
      </c>
    </row>
    <row r="617" spans="1:5">
      <c r="A617" t="s">
        <v>5244</v>
      </c>
      <c r="B617" t="s">
        <v>370</v>
      </c>
      <c r="C617" t="s">
        <v>1733</v>
      </c>
      <c r="D617" t="s">
        <v>5158</v>
      </c>
      <c r="E617" t="s">
        <v>5159</v>
      </c>
    </row>
    <row r="618" spans="1:5">
      <c r="A618" t="s">
        <v>5244</v>
      </c>
      <c r="B618" t="s">
        <v>1734</v>
      </c>
      <c r="C618" t="s">
        <v>1735</v>
      </c>
      <c r="D618" t="s">
        <v>5158</v>
      </c>
      <c r="E618" t="s">
        <v>5159</v>
      </c>
    </row>
    <row r="619" spans="1:5">
      <c r="A619" t="s">
        <v>5244</v>
      </c>
      <c r="B619" t="s">
        <v>371</v>
      </c>
      <c r="C619" t="s">
        <v>1736</v>
      </c>
      <c r="D619" t="s">
        <v>5158</v>
      </c>
      <c r="E619" t="s">
        <v>5159</v>
      </c>
    </row>
    <row r="620" spans="1:5">
      <c r="A620" t="s">
        <v>5244</v>
      </c>
      <c r="B620" t="s">
        <v>372</v>
      </c>
      <c r="C620" t="s">
        <v>1737</v>
      </c>
      <c r="D620" t="s">
        <v>5158</v>
      </c>
      <c r="E620" t="s">
        <v>5159</v>
      </c>
    </row>
    <row r="621" spans="1:5">
      <c r="A621" t="s">
        <v>5244</v>
      </c>
      <c r="B621" t="s">
        <v>373</v>
      </c>
      <c r="C621" t="s">
        <v>1738</v>
      </c>
      <c r="D621" t="s">
        <v>5158</v>
      </c>
      <c r="E621" t="s">
        <v>5159</v>
      </c>
    </row>
    <row r="622" spans="1:5">
      <c r="A622" t="s">
        <v>5244</v>
      </c>
      <c r="B622" t="s">
        <v>374</v>
      </c>
      <c r="C622" t="s">
        <v>1739</v>
      </c>
      <c r="D622" t="s">
        <v>5158</v>
      </c>
      <c r="E622" t="s">
        <v>5159</v>
      </c>
    </row>
    <row r="623" spans="1:5">
      <c r="A623" t="s">
        <v>5244</v>
      </c>
      <c r="B623" t="s">
        <v>375</v>
      </c>
      <c r="C623" t="s">
        <v>1740</v>
      </c>
      <c r="D623" t="s">
        <v>5158</v>
      </c>
      <c r="E623" t="s">
        <v>5159</v>
      </c>
    </row>
    <row r="624" spans="1:5">
      <c r="A624" t="s">
        <v>5244</v>
      </c>
      <c r="B624" t="s">
        <v>376</v>
      </c>
      <c r="C624" t="s">
        <v>1741</v>
      </c>
      <c r="D624" t="s">
        <v>5158</v>
      </c>
      <c r="E624" t="s">
        <v>5159</v>
      </c>
    </row>
    <row r="625" spans="1:5">
      <c r="A625" t="s">
        <v>5244</v>
      </c>
      <c r="B625" t="s">
        <v>377</v>
      </c>
      <c r="C625" t="s">
        <v>1742</v>
      </c>
      <c r="D625" t="s">
        <v>5158</v>
      </c>
      <c r="E625" t="s">
        <v>5159</v>
      </c>
    </row>
    <row r="626" spans="1:5">
      <c r="A626" t="s">
        <v>5244</v>
      </c>
      <c r="B626" t="s">
        <v>1743</v>
      </c>
      <c r="C626" t="s">
        <v>1744</v>
      </c>
      <c r="D626" t="s">
        <v>5190</v>
      </c>
      <c r="E626" t="s">
        <v>5159</v>
      </c>
    </row>
    <row r="627" spans="1:5">
      <c r="A627" t="s">
        <v>5244</v>
      </c>
      <c r="B627" t="s">
        <v>1745</v>
      </c>
      <c r="C627" t="s">
        <v>1746</v>
      </c>
      <c r="D627" t="s">
        <v>5190</v>
      </c>
      <c r="E627" t="s">
        <v>5159</v>
      </c>
    </row>
    <row r="628" spans="1:5">
      <c r="A628" t="s">
        <v>5244</v>
      </c>
      <c r="B628" t="s">
        <v>1747</v>
      </c>
      <c r="C628" t="s">
        <v>1748</v>
      </c>
      <c r="D628" t="s">
        <v>5190</v>
      </c>
      <c r="E628" t="s">
        <v>5159</v>
      </c>
    </row>
    <row r="629" spans="1:5">
      <c r="A629" t="s">
        <v>5244</v>
      </c>
      <c r="B629" t="s">
        <v>1749</v>
      </c>
      <c r="C629" t="s">
        <v>1750</v>
      </c>
      <c r="D629" t="s">
        <v>5190</v>
      </c>
      <c r="E629" t="s">
        <v>5159</v>
      </c>
    </row>
    <row r="630" spans="1:5">
      <c r="A630" t="s">
        <v>5244</v>
      </c>
      <c r="B630" t="s">
        <v>1751</v>
      </c>
      <c r="C630" t="s">
        <v>1752</v>
      </c>
      <c r="D630" t="s">
        <v>5190</v>
      </c>
      <c r="E630" t="s">
        <v>5159</v>
      </c>
    </row>
    <row r="631" spans="1:5">
      <c r="A631" t="s">
        <v>5244</v>
      </c>
      <c r="B631" t="s">
        <v>378</v>
      </c>
      <c r="C631" t="s">
        <v>1753</v>
      </c>
      <c r="D631" t="s">
        <v>5186</v>
      </c>
      <c r="E631" t="s">
        <v>5159</v>
      </c>
    </row>
    <row r="632" spans="1:5">
      <c r="A632" t="s">
        <v>5244</v>
      </c>
      <c r="B632" t="s">
        <v>379</v>
      </c>
      <c r="C632" t="s">
        <v>1754</v>
      </c>
      <c r="D632" t="s">
        <v>5158</v>
      </c>
      <c r="E632" t="s">
        <v>5159</v>
      </c>
    </row>
    <row r="633" spans="1:5">
      <c r="A633" t="s">
        <v>5244</v>
      </c>
      <c r="B633" t="s">
        <v>1755</v>
      </c>
      <c r="C633" t="s">
        <v>1756</v>
      </c>
      <c r="D633" t="s">
        <v>5188</v>
      </c>
      <c r="E633" t="s">
        <v>5159</v>
      </c>
    </row>
    <row r="634" spans="1:5">
      <c r="A634" t="s">
        <v>5244</v>
      </c>
      <c r="B634" t="s">
        <v>380</v>
      </c>
      <c r="C634" t="s">
        <v>5428</v>
      </c>
      <c r="D634" t="s">
        <v>5161</v>
      </c>
      <c r="E634" t="s">
        <v>5159</v>
      </c>
    </row>
    <row r="635" spans="1:5">
      <c r="A635" t="s">
        <v>5244</v>
      </c>
      <c r="B635" t="s">
        <v>1757</v>
      </c>
      <c r="C635" t="s">
        <v>1758</v>
      </c>
      <c r="D635" t="s">
        <v>5161</v>
      </c>
      <c r="E635" t="s">
        <v>5159</v>
      </c>
    </row>
    <row r="636" spans="1:5">
      <c r="A636" t="s">
        <v>5244</v>
      </c>
      <c r="B636" t="s">
        <v>5429</v>
      </c>
      <c r="C636" t="s">
        <v>5430</v>
      </c>
      <c r="D636" t="s">
        <v>5161</v>
      </c>
      <c r="E636" t="s">
        <v>5159</v>
      </c>
    </row>
    <row r="637" spans="1:5">
      <c r="A637" t="s">
        <v>5244</v>
      </c>
      <c r="B637" t="s">
        <v>5431</v>
      </c>
      <c r="C637" t="s">
        <v>5432</v>
      </c>
      <c r="D637" t="s">
        <v>5161</v>
      </c>
      <c r="E637" t="s">
        <v>5159</v>
      </c>
    </row>
    <row r="638" spans="1:5">
      <c r="A638" t="s">
        <v>5244</v>
      </c>
      <c r="B638" t="s">
        <v>381</v>
      </c>
      <c r="C638" t="s">
        <v>1759</v>
      </c>
      <c r="D638" t="s">
        <v>5161</v>
      </c>
      <c r="E638" t="s">
        <v>5159</v>
      </c>
    </row>
    <row r="639" spans="1:5">
      <c r="A639" t="s">
        <v>5244</v>
      </c>
      <c r="B639" t="s">
        <v>5433</v>
      </c>
      <c r="C639" t="s">
        <v>5434</v>
      </c>
      <c r="D639" t="s">
        <v>5161</v>
      </c>
      <c r="E639" t="s">
        <v>5159</v>
      </c>
    </row>
    <row r="640" spans="1:5">
      <c r="A640" t="s">
        <v>5244</v>
      </c>
      <c r="B640" t="s">
        <v>382</v>
      </c>
      <c r="C640" t="s">
        <v>5435</v>
      </c>
      <c r="D640" t="s">
        <v>5161</v>
      </c>
      <c r="E640" t="s">
        <v>5159</v>
      </c>
    </row>
    <row r="641" spans="1:5">
      <c r="A641" t="s">
        <v>5244</v>
      </c>
      <c r="B641" t="s">
        <v>1760</v>
      </c>
      <c r="C641" t="s">
        <v>1761</v>
      </c>
      <c r="D641" t="s">
        <v>5161</v>
      </c>
      <c r="E641" t="s">
        <v>5159</v>
      </c>
    </row>
    <row r="642" spans="1:5">
      <c r="A642" t="s">
        <v>5244</v>
      </c>
      <c r="B642" t="s">
        <v>1762</v>
      </c>
      <c r="C642" t="s">
        <v>1763</v>
      </c>
      <c r="D642" t="s">
        <v>5161</v>
      </c>
      <c r="E642" t="s">
        <v>5159</v>
      </c>
    </row>
    <row r="643" spans="1:5">
      <c r="A643" t="s">
        <v>5244</v>
      </c>
      <c r="B643" t="s">
        <v>383</v>
      </c>
      <c r="C643" t="s">
        <v>5436</v>
      </c>
      <c r="D643" t="s">
        <v>5161</v>
      </c>
      <c r="E643" t="s">
        <v>5159</v>
      </c>
    </row>
    <row r="644" spans="1:5">
      <c r="A644" t="s">
        <v>5244</v>
      </c>
      <c r="B644" t="s">
        <v>384</v>
      </c>
      <c r="C644" t="s">
        <v>1764</v>
      </c>
      <c r="D644" t="s">
        <v>5161</v>
      </c>
      <c r="E644" t="s">
        <v>5159</v>
      </c>
    </row>
    <row r="645" spans="1:5">
      <c r="A645" t="s">
        <v>5244</v>
      </c>
      <c r="B645" t="s">
        <v>385</v>
      </c>
      <c r="C645" t="s">
        <v>1765</v>
      </c>
      <c r="D645" t="s">
        <v>5161</v>
      </c>
      <c r="E645" t="s">
        <v>5159</v>
      </c>
    </row>
    <row r="646" spans="1:5">
      <c r="A646" t="s">
        <v>5244</v>
      </c>
      <c r="B646" t="s">
        <v>386</v>
      </c>
      <c r="C646" t="s">
        <v>1766</v>
      </c>
      <c r="D646" t="s">
        <v>5161</v>
      </c>
      <c r="E646" t="s">
        <v>5159</v>
      </c>
    </row>
    <row r="647" spans="1:5">
      <c r="A647" t="s">
        <v>5244</v>
      </c>
      <c r="B647" t="s">
        <v>387</v>
      </c>
      <c r="C647" t="s">
        <v>1767</v>
      </c>
      <c r="D647" t="s">
        <v>5161</v>
      </c>
      <c r="E647" t="s">
        <v>5159</v>
      </c>
    </row>
    <row r="648" spans="1:5">
      <c r="A648" t="s">
        <v>5244</v>
      </c>
      <c r="B648" t="s">
        <v>388</v>
      </c>
      <c r="C648" t="s">
        <v>1768</v>
      </c>
      <c r="D648" t="s">
        <v>5161</v>
      </c>
      <c r="E648" t="s">
        <v>5159</v>
      </c>
    </row>
    <row r="649" spans="1:5">
      <c r="A649" t="s">
        <v>5244</v>
      </c>
      <c r="B649" t="s">
        <v>389</v>
      </c>
      <c r="C649" t="s">
        <v>1769</v>
      </c>
      <c r="D649" t="s">
        <v>5161</v>
      </c>
      <c r="E649" t="s">
        <v>5159</v>
      </c>
    </row>
    <row r="650" spans="1:5">
      <c r="A650" t="s">
        <v>5244</v>
      </c>
      <c r="B650" t="s">
        <v>390</v>
      </c>
      <c r="C650" t="s">
        <v>1770</v>
      </c>
      <c r="D650" t="s">
        <v>5161</v>
      </c>
      <c r="E650" t="s">
        <v>5159</v>
      </c>
    </row>
    <row r="651" spans="1:5">
      <c r="A651" t="s">
        <v>5244</v>
      </c>
      <c r="B651" t="s">
        <v>391</v>
      </c>
      <c r="C651" t="s">
        <v>1771</v>
      </c>
      <c r="D651" t="s">
        <v>5161</v>
      </c>
      <c r="E651" t="s">
        <v>5159</v>
      </c>
    </row>
    <row r="652" spans="1:5">
      <c r="A652" t="s">
        <v>5244</v>
      </c>
      <c r="B652" t="s">
        <v>5437</v>
      </c>
      <c r="C652" t="s">
        <v>5438</v>
      </c>
      <c r="D652" t="s">
        <v>5161</v>
      </c>
      <c r="E652" t="s">
        <v>5159</v>
      </c>
    </row>
    <row r="653" spans="1:5">
      <c r="A653" t="s">
        <v>5244</v>
      </c>
      <c r="B653" t="s">
        <v>392</v>
      </c>
      <c r="C653" t="s">
        <v>1772</v>
      </c>
      <c r="D653" t="s">
        <v>5161</v>
      </c>
      <c r="E653" t="s">
        <v>5159</v>
      </c>
    </row>
    <row r="654" spans="1:5">
      <c r="A654" t="s">
        <v>5244</v>
      </c>
      <c r="B654" t="s">
        <v>1773</v>
      </c>
      <c r="C654" t="s">
        <v>1774</v>
      </c>
      <c r="D654" t="s">
        <v>5161</v>
      </c>
      <c r="E654" t="s">
        <v>5159</v>
      </c>
    </row>
    <row r="655" spans="1:5">
      <c r="A655" t="s">
        <v>5244</v>
      </c>
      <c r="B655" t="s">
        <v>1775</v>
      </c>
      <c r="C655" t="s">
        <v>1776</v>
      </c>
      <c r="D655" t="s">
        <v>5158</v>
      </c>
      <c r="E655" t="s">
        <v>5159</v>
      </c>
    </row>
    <row r="656" spans="1:5">
      <c r="A656" t="s">
        <v>5244</v>
      </c>
      <c r="B656" t="s">
        <v>1777</v>
      </c>
      <c r="C656" t="s">
        <v>1778</v>
      </c>
      <c r="D656" t="s">
        <v>5161</v>
      </c>
      <c r="E656" t="s">
        <v>5159</v>
      </c>
    </row>
    <row r="657" spans="1:5">
      <c r="A657" t="s">
        <v>5244</v>
      </c>
      <c r="B657" t="s">
        <v>393</v>
      </c>
      <c r="C657" t="s">
        <v>1779</v>
      </c>
      <c r="D657" t="s">
        <v>5161</v>
      </c>
      <c r="E657" t="s">
        <v>5159</v>
      </c>
    </row>
    <row r="658" spans="1:5">
      <c r="A658" t="s">
        <v>5244</v>
      </c>
      <c r="B658" t="s">
        <v>394</v>
      </c>
      <c r="C658" t="s">
        <v>1780</v>
      </c>
      <c r="D658" t="s">
        <v>5161</v>
      </c>
      <c r="E658" t="s">
        <v>5159</v>
      </c>
    </row>
    <row r="659" spans="1:5">
      <c r="A659" t="s">
        <v>5244</v>
      </c>
      <c r="B659" t="s">
        <v>395</v>
      </c>
      <c r="C659" t="s">
        <v>1781</v>
      </c>
      <c r="D659" t="s">
        <v>5161</v>
      </c>
      <c r="E659" t="s">
        <v>5159</v>
      </c>
    </row>
    <row r="660" spans="1:5">
      <c r="A660" t="s">
        <v>5244</v>
      </c>
      <c r="B660" t="s">
        <v>396</v>
      </c>
      <c r="C660" t="s">
        <v>1782</v>
      </c>
      <c r="D660" t="s">
        <v>5161</v>
      </c>
      <c r="E660" t="s">
        <v>5159</v>
      </c>
    </row>
    <row r="661" spans="1:5">
      <c r="A661" t="s">
        <v>5244</v>
      </c>
      <c r="B661" t="s">
        <v>1783</v>
      </c>
      <c r="C661" t="s">
        <v>1784</v>
      </c>
      <c r="D661" t="s">
        <v>5161</v>
      </c>
      <c r="E661" t="s">
        <v>5159</v>
      </c>
    </row>
    <row r="662" spans="1:5">
      <c r="A662" t="s">
        <v>5244</v>
      </c>
      <c r="B662" t="s">
        <v>397</v>
      </c>
      <c r="C662" t="s">
        <v>1785</v>
      </c>
      <c r="D662" t="s">
        <v>5161</v>
      </c>
      <c r="E662" t="s">
        <v>5159</v>
      </c>
    </row>
    <row r="663" spans="1:5">
      <c r="A663" t="s">
        <v>5244</v>
      </c>
      <c r="B663" t="s">
        <v>1786</v>
      </c>
      <c r="C663" t="s">
        <v>1787</v>
      </c>
      <c r="D663" t="s">
        <v>5161</v>
      </c>
      <c r="E663" t="s">
        <v>5159</v>
      </c>
    </row>
    <row r="664" spans="1:5">
      <c r="A664" t="s">
        <v>5244</v>
      </c>
      <c r="B664" t="s">
        <v>398</v>
      </c>
      <c r="C664" t="s">
        <v>1788</v>
      </c>
      <c r="D664" t="s">
        <v>5161</v>
      </c>
      <c r="E664" t="s">
        <v>5159</v>
      </c>
    </row>
    <row r="665" spans="1:5">
      <c r="A665" t="s">
        <v>5244</v>
      </c>
      <c r="B665" t="s">
        <v>1789</v>
      </c>
      <c r="C665" t="s">
        <v>1790</v>
      </c>
      <c r="D665" t="s">
        <v>5161</v>
      </c>
      <c r="E665" t="s">
        <v>5159</v>
      </c>
    </row>
    <row r="666" spans="1:5">
      <c r="A666" t="s">
        <v>5244</v>
      </c>
      <c r="B666" t="s">
        <v>1791</v>
      </c>
      <c r="C666" t="s">
        <v>1792</v>
      </c>
      <c r="D666" t="s">
        <v>5161</v>
      </c>
      <c r="E666" t="s">
        <v>5159</v>
      </c>
    </row>
    <row r="667" spans="1:5">
      <c r="A667" t="s">
        <v>5244</v>
      </c>
      <c r="B667" t="s">
        <v>399</v>
      </c>
      <c r="C667" t="s">
        <v>1793</v>
      </c>
      <c r="D667" t="s">
        <v>5161</v>
      </c>
      <c r="E667" t="s">
        <v>5159</v>
      </c>
    </row>
    <row r="668" spans="1:5">
      <c r="A668" t="s">
        <v>5244</v>
      </c>
      <c r="B668" t="s">
        <v>1794</v>
      </c>
      <c r="C668" t="s">
        <v>1795</v>
      </c>
      <c r="D668" t="s">
        <v>5161</v>
      </c>
      <c r="E668" t="s">
        <v>5159</v>
      </c>
    </row>
    <row r="669" spans="1:5">
      <c r="A669" t="s">
        <v>5244</v>
      </c>
      <c r="B669" t="s">
        <v>1796</v>
      </c>
      <c r="C669" t="s">
        <v>1797</v>
      </c>
      <c r="D669" t="s">
        <v>5195</v>
      </c>
      <c r="E669" t="s">
        <v>5159</v>
      </c>
    </row>
    <row r="670" spans="1:5">
      <c r="A670" t="s">
        <v>5244</v>
      </c>
      <c r="B670" t="s">
        <v>1798</v>
      </c>
      <c r="C670" t="s">
        <v>1799</v>
      </c>
      <c r="D670" t="s">
        <v>5195</v>
      </c>
      <c r="E670" t="s">
        <v>5159</v>
      </c>
    </row>
    <row r="671" spans="1:5">
      <c r="A671" t="s">
        <v>5244</v>
      </c>
      <c r="B671" t="s">
        <v>1800</v>
      </c>
      <c r="C671" t="s">
        <v>1801</v>
      </c>
      <c r="D671" t="s">
        <v>5195</v>
      </c>
      <c r="E671" t="s">
        <v>5159</v>
      </c>
    </row>
    <row r="672" spans="1:5">
      <c r="A672" t="s">
        <v>5244</v>
      </c>
      <c r="B672" t="s">
        <v>400</v>
      </c>
      <c r="C672" t="s">
        <v>5439</v>
      </c>
      <c r="D672" t="s">
        <v>5196</v>
      </c>
      <c r="E672" t="s">
        <v>5159</v>
      </c>
    </row>
    <row r="673" spans="1:5">
      <c r="A673" t="s">
        <v>5244</v>
      </c>
      <c r="B673" t="s">
        <v>401</v>
      </c>
      <c r="C673" t="s">
        <v>1802</v>
      </c>
      <c r="D673" t="s">
        <v>5161</v>
      </c>
      <c r="E673" t="s">
        <v>5159</v>
      </c>
    </row>
    <row r="674" spans="1:5">
      <c r="A674" t="s">
        <v>5244</v>
      </c>
      <c r="B674" t="s">
        <v>1803</v>
      </c>
      <c r="C674" t="s">
        <v>1804</v>
      </c>
      <c r="D674" t="s">
        <v>5158</v>
      </c>
      <c r="E674" t="s">
        <v>5159</v>
      </c>
    </row>
    <row r="675" spans="1:5">
      <c r="A675" t="s">
        <v>5244</v>
      </c>
      <c r="B675" t="s">
        <v>402</v>
      </c>
      <c r="C675" t="s">
        <v>1805</v>
      </c>
      <c r="D675" t="s">
        <v>5161</v>
      </c>
      <c r="E675" t="s">
        <v>5159</v>
      </c>
    </row>
    <row r="676" spans="1:5">
      <c r="A676" t="s">
        <v>5244</v>
      </c>
      <c r="B676" t="s">
        <v>1806</v>
      </c>
      <c r="C676" t="s">
        <v>1807</v>
      </c>
      <c r="D676" t="s">
        <v>5161</v>
      </c>
      <c r="E676" t="s">
        <v>5159</v>
      </c>
    </row>
    <row r="677" spans="1:5">
      <c r="A677" t="s">
        <v>5244</v>
      </c>
      <c r="B677" t="s">
        <v>1808</v>
      </c>
      <c r="C677" t="s">
        <v>1809</v>
      </c>
      <c r="D677" t="s">
        <v>5161</v>
      </c>
      <c r="E677" t="s">
        <v>5159</v>
      </c>
    </row>
    <row r="678" spans="1:5">
      <c r="A678" t="s">
        <v>5244</v>
      </c>
      <c r="B678" t="s">
        <v>1810</v>
      </c>
      <c r="C678" t="s">
        <v>1811</v>
      </c>
      <c r="D678" t="s">
        <v>5158</v>
      </c>
      <c r="E678" t="s">
        <v>5159</v>
      </c>
    </row>
    <row r="679" spans="1:5">
      <c r="A679" t="s">
        <v>5244</v>
      </c>
      <c r="B679" t="s">
        <v>1812</v>
      </c>
      <c r="C679" t="s">
        <v>1813</v>
      </c>
      <c r="D679" t="s">
        <v>5190</v>
      </c>
      <c r="E679" t="s">
        <v>5159</v>
      </c>
    </row>
    <row r="680" spans="1:5">
      <c r="A680" t="s">
        <v>5241</v>
      </c>
      <c r="B680" t="s">
        <v>1812</v>
      </c>
      <c r="C680" t="s">
        <v>1813</v>
      </c>
      <c r="D680" t="s">
        <v>5190</v>
      </c>
      <c r="E680" t="s">
        <v>5159</v>
      </c>
    </row>
    <row r="681" spans="1:5">
      <c r="A681" t="s">
        <v>5241</v>
      </c>
      <c r="B681" t="s">
        <v>403</v>
      </c>
      <c r="C681" t="s">
        <v>1814</v>
      </c>
      <c r="D681" t="s">
        <v>5190</v>
      </c>
      <c r="E681" t="s">
        <v>5159</v>
      </c>
    </row>
    <row r="682" spans="1:5">
      <c r="A682" t="s">
        <v>5244</v>
      </c>
      <c r="B682" t="s">
        <v>403</v>
      </c>
      <c r="C682" t="s">
        <v>1814</v>
      </c>
      <c r="D682" t="s">
        <v>5190</v>
      </c>
      <c r="E682" t="s">
        <v>5159</v>
      </c>
    </row>
    <row r="683" spans="1:5">
      <c r="A683" t="s">
        <v>5244</v>
      </c>
      <c r="B683" t="s">
        <v>404</v>
      </c>
      <c r="C683" t="s">
        <v>1815</v>
      </c>
      <c r="D683" t="s">
        <v>5190</v>
      </c>
      <c r="E683" t="s">
        <v>5159</v>
      </c>
    </row>
    <row r="684" spans="1:5">
      <c r="A684" t="s">
        <v>5244</v>
      </c>
      <c r="B684" t="s">
        <v>405</v>
      </c>
      <c r="C684" t="s">
        <v>1816</v>
      </c>
      <c r="D684" t="s">
        <v>5161</v>
      </c>
      <c r="E684" t="s">
        <v>5159</v>
      </c>
    </row>
    <row r="685" spans="1:5">
      <c r="A685" t="s">
        <v>5244</v>
      </c>
      <c r="B685" t="s">
        <v>1817</v>
      </c>
      <c r="C685" t="s">
        <v>1818</v>
      </c>
      <c r="D685" t="s">
        <v>5190</v>
      </c>
      <c r="E685" t="s">
        <v>5159</v>
      </c>
    </row>
    <row r="686" spans="1:5">
      <c r="A686" t="s">
        <v>5244</v>
      </c>
      <c r="B686" t="s">
        <v>1819</v>
      </c>
      <c r="C686" t="s">
        <v>1820</v>
      </c>
      <c r="D686" t="s">
        <v>5190</v>
      </c>
      <c r="E686" t="s">
        <v>5159</v>
      </c>
    </row>
    <row r="687" spans="1:5">
      <c r="A687" t="s">
        <v>5244</v>
      </c>
      <c r="B687" t="s">
        <v>1821</v>
      </c>
      <c r="C687" t="s">
        <v>1822</v>
      </c>
      <c r="D687" t="s">
        <v>5190</v>
      </c>
      <c r="E687" t="s">
        <v>5159</v>
      </c>
    </row>
    <row r="688" spans="1:5">
      <c r="A688" t="s">
        <v>5241</v>
      </c>
      <c r="B688" t="s">
        <v>1821</v>
      </c>
      <c r="C688" t="s">
        <v>1822</v>
      </c>
      <c r="D688" t="s">
        <v>5190</v>
      </c>
      <c r="E688" t="s">
        <v>5159</v>
      </c>
    </row>
    <row r="689" spans="1:5">
      <c r="A689" t="s">
        <v>5244</v>
      </c>
      <c r="B689" t="s">
        <v>1823</v>
      </c>
      <c r="C689" t="s">
        <v>1824</v>
      </c>
      <c r="D689" t="s">
        <v>5190</v>
      </c>
      <c r="E689" t="s">
        <v>5159</v>
      </c>
    </row>
    <row r="690" spans="1:5">
      <c r="A690" t="s">
        <v>5244</v>
      </c>
      <c r="B690" t="s">
        <v>1825</v>
      </c>
      <c r="C690" t="s">
        <v>1826</v>
      </c>
      <c r="D690" t="s">
        <v>5161</v>
      </c>
      <c r="E690" t="s">
        <v>5159</v>
      </c>
    </row>
    <row r="691" spans="1:5">
      <c r="A691" t="s">
        <v>5244</v>
      </c>
      <c r="B691" t="s">
        <v>1827</v>
      </c>
      <c r="C691" t="s">
        <v>1828</v>
      </c>
      <c r="D691" t="s">
        <v>5161</v>
      </c>
      <c r="E691" t="s">
        <v>5159</v>
      </c>
    </row>
    <row r="692" spans="1:5">
      <c r="A692" t="s">
        <v>5244</v>
      </c>
      <c r="B692" t="s">
        <v>406</v>
      </c>
      <c r="C692" t="s">
        <v>1829</v>
      </c>
      <c r="D692" t="s">
        <v>5189</v>
      </c>
      <c r="E692" t="s">
        <v>5159</v>
      </c>
    </row>
    <row r="693" spans="1:5">
      <c r="A693" t="s">
        <v>5244</v>
      </c>
      <c r="B693" t="s">
        <v>1830</v>
      </c>
      <c r="C693" t="s">
        <v>1831</v>
      </c>
      <c r="D693" t="s">
        <v>5158</v>
      </c>
      <c r="E693" t="s">
        <v>5159</v>
      </c>
    </row>
    <row r="694" spans="1:5">
      <c r="A694" t="s">
        <v>5244</v>
      </c>
      <c r="B694" t="s">
        <v>407</v>
      </c>
      <c r="C694" t="s">
        <v>1832</v>
      </c>
      <c r="D694" t="s">
        <v>5186</v>
      </c>
      <c r="E694" t="s">
        <v>5159</v>
      </c>
    </row>
    <row r="695" spans="1:5">
      <c r="A695" t="s">
        <v>5244</v>
      </c>
      <c r="B695" t="s">
        <v>408</v>
      </c>
      <c r="C695" t="s">
        <v>5440</v>
      </c>
      <c r="D695" t="s">
        <v>5158</v>
      </c>
      <c r="E695" t="s">
        <v>5159</v>
      </c>
    </row>
    <row r="696" spans="1:5">
      <c r="A696" t="s">
        <v>5244</v>
      </c>
      <c r="B696" t="s">
        <v>409</v>
      </c>
      <c r="C696" t="s">
        <v>1833</v>
      </c>
      <c r="D696" t="s">
        <v>5186</v>
      </c>
      <c r="E696" t="s">
        <v>5159</v>
      </c>
    </row>
    <row r="697" spans="1:5">
      <c r="A697" t="s">
        <v>5244</v>
      </c>
      <c r="B697" t="s">
        <v>410</v>
      </c>
      <c r="C697" t="s">
        <v>1834</v>
      </c>
      <c r="D697" t="s">
        <v>5158</v>
      </c>
      <c r="E697" t="s">
        <v>5159</v>
      </c>
    </row>
    <row r="698" spans="1:5">
      <c r="A698" t="s">
        <v>5244</v>
      </c>
      <c r="B698" t="s">
        <v>1835</v>
      </c>
      <c r="C698" t="s">
        <v>1836</v>
      </c>
      <c r="D698" t="s">
        <v>5157</v>
      </c>
      <c r="E698" t="s">
        <v>5157</v>
      </c>
    </row>
    <row r="699" spans="1:5">
      <c r="A699" t="s">
        <v>5244</v>
      </c>
      <c r="B699" t="s">
        <v>411</v>
      </c>
      <c r="C699" t="s">
        <v>5441</v>
      </c>
      <c r="D699" t="s">
        <v>5158</v>
      </c>
      <c r="E699" t="s">
        <v>5159</v>
      </c>
    </row>
    <row r="700" spans="1:5">
      <c r="A700" t="s">
        <v>5244</v>
      </c>
      <c r="B700" t="s">
        <v>412</v>
      </c>
      <c r="C700" t="s">
        <v>5442</v>
      </c>
      <c r="D700" t="s">
        <v>5158</v>
      </c>
      <c r="E700" t="s">
        <v>5159</v>
      </c>
    </row>
    <row r="701" spans="1:5">
      <c r="A701" t="s">
        <v>5244</v>
      </c>
      <c r="B701" t="s">
        <v>413</v>
      </c>
      <c r="C701" t="s">
        <v>1837</v>
      </c>
      <c r="D701" t="s">
        <v>5158</v>
      </c>
      <c r="E701" t="s">
        <v>5159</v>
      </c>
    </row>
    <row r="702" spans="1:5">
      <c r="A702" t="s">
        <v>5244</v>
      </c>
      <c r="B702" t="s">
        <v>5443</v>
      </c>
      <c r="C702" t="s">
        <v>5444</v>
      </c>
      <c r="D702" t="s">
        <v>5157</v>
      </c>
      <c r="E702" t="s">
        <v>5157</v>
      </c>
    </row>
    <row r="703" spans="1:5">
      <c r="A703" t="s">
        <v>5244</v>
      </c>
      <c r="B703" t="s">
        <v>414</v>
      </c>
      <c r="C703" t="s">
        <v>5445</v>
      </c>
      <c r="D703" t="s">
        <v>5158</v>
      </c>
      <c r="E703" t="s">
        <v>5159</v>
      </c>
    </row>
    <row r="704" spans="1:5">
      <c r="A704" t="s">
        <v>5244</v>
      </c>
      <c r="B704" t="s">
        <v>415</v>
      </c>
      <c r="C704" t="s">
        <v>1838</v>
      </c>
      <c r="D704" t="s">
        <v>5158</v>
      </c>
      <c r="E704" t="s">
        <v>5159</v>
      </c>
    </row>
    <row r="705" spans="1:5">
      <c r="A705" t="s">
        <v>5244</v>
      </c>
      <c r="B705" t="s">
        <v>1839</v>
      </c>
      <c r="C705" t="s">
        <v>1840</v>
      </c>
      <c r="D705" t="s">
        <v>5161</v>
      </c>
      <c r="E705" t="s">
        <v>5159</v>
      </c>
    </row>
    <row r="706" spans="1:5">
      <c r="A706" t="s">
        <v>5244</v>
      </c>
      <c r="B706" t="s">
        <v>416</v>
      </c>
      <c r="C706" t="s">
        <v>1841</v>
      </c>
      <c r="D706" t="s">
        <v>5198</v>
      </c>
      <c r="E706" t="s">
        <v>5159</v>
      </c>
    </row>
    <row r="707" spans="1:5">
      <c r="A707" t="s">
        <v>5244</v>
      </c>
      <c r="B707" t="s">
        <v>417</v>
      </c>
      <c r="C707" t="s">
        <v>1842</v>
      </c>
      <c r="D707" t="s">
        <v>5158</v>
      </c>
      <c r="E707" t="s">
        <v>5159</v>
      </c>
    </row>
    <row r="708" spans="1:5">
      <c r="A708" t="s">
        <v>5244</v>
      </c>
      <c r="B708" t="s">
        <v>1843</v>
      </c>
      <c r="C708" t="s">
        <v>1844</v>
      </c>
      <c r="D708" t="s">
        <v>5199</v>
      </c>
      <c r="E708" t="s">
        <v>5159</v>
      </c>
    </row>
    <row r="709" spans="1:5">
      <c r="A709" t="s">
        <v>5244</v>
      </c>
      <c r="B709" t="s">
        <v>418</v>
      </c>
      <c r="C709" t="s">
        <v>1845</v>
      </c>
      <c r="D709" t="s">
        <v>5187</v>
      </c>
      <c r="E709" t="s">
        <v>5159</v>
      </c>
    </row>
    <row r="710" spans="1:5">
      <c r="A710" t="s">
        <v>5244</v>
      </c>
      <c r="B710" t="s">
        <v>5446</v>
      </c>
      <c r="C710" t="s">
        <v>5447</v>
      </c>
      <c r="D710" t="s">
        <v>5195</v>
      </c>
      <c r="E710" t="s">
        <v>5159</v>
      </c>
    </row>
    <row r="711" spans="1:5">
      <c r="A711" t="s">
        <v>5244</v>
      </c>
      <c r="B711" t="s">
        <v>5448</v>
      </c>
      <c r="C711" t="s">
        <v>5449</v>
      </c>
      <c r="D711" t="s">
        <v>5158</v>
      </c>
      <c r="E711" t="s">
        <v>5159</v>
      </c>
    </row>
    <row r="712" spans="1:5">
      <c r="A712" t="s">
        <v>5244</v>
      </c>
      <c r="B712" t="s">
        <v>419</v>
      </c>
      <c r="C712" t="s">
        <v>5450</v>
      </c>
      <c r="D712" t="s">
        <v>5158</v>
      </c>
      <c r="E712" t="s">
        <v>5159</v>
      </c>
    </row>
    <row r="713" spans="1:5">
      <c r="A713" t="s">
        <v>5244</v>
      </c>
      <c r="B713" t="s">
        <v>420</v>
      </c>
      <c r="C713" t="s">
        <v>5451</v>
      </c>
      <c r="D713" t="s">
        <v>5158</v>
      </c>
      <c r="E713" t="s">
        <v>5159</v>
      </c>
    </row>
    <row r="714" spans="1:5">
      <c r="A714" t="s">
        <v>5244</v>
      </c>
      <c r="B714" t="s">
        <v>1846</v>
      </c>
      <c r="C714" t="s">
        <v>6287</v>
      </c>
      <c r="D714" t="s">
        <v>5161</v>
      </c>
      <c r="E714" t="s">
        <v>5159</v>
      </c>
    </row>
    <row r="715" spans="1:5">
      <c r="A715" t="s">
        <v>5244</v>
      </c>
      <c r="B715" t="s">
        <v>1847</v>
      </c>
      <c r="C715" t="s">
        <v>1848</v>
      </c>
      <c r="D715" t="s">
        <v>5161</v>
      </c>
      <c r="E715" t="s">
        <v>5159</v>
      </c>
    </row>
    <row r="716" spans="1:5">
      <c r="A716" t="s">
        <v>5244</v>
      </c>
      <c r="B716" t="s">
        <v>1849</v>
      </c>
      <c r="C716" t="s">
        <v>1850</v>
      </c>
      <c r="D716" t="s">
        <v>5161</v>
      </c>
      <c r="E716" t="s">
        <v>5159</v>
      </c>
    </row>
    <row r="717" spans="1:5">
      <c r="A717" t="s">
        <v>5244</v>
      </c>
      <c r="B717" t="s">
        <v>1851</v>
      </c>
      <c r="C717" t="s">
        <v>1852</v>
      </c>
      <c r="D717" t="s">
        <v>5161</v>
      </c>
      <c r="E717" t="s">
        <v>5159</v>
      </c>
    </row>
    <row r="718" spans="1:5">
      <c r="A718" t="s">
        <v>5244</v>
      </c>
      <c r="B718" t="s">
        <v>1853</v>
      </c>
      <c r="C718" t="s">
        <v>1854</v>
      </c>
      <c r="D718" t="s">
        <v>5161</v>
      </c>
      <c r="E718" t="s">
        <v>5159</v>
      </c>
    </row>
    <row r="719" spans="1:5">
      <c r="A719" t="s">
        <v>5244</v>
      </c>
      <c r="B719" t="s">
        <v>1855</v>
      </c>
      <c r="C719" t="s">
        <v>1856</v>
      </c>
      <c r="D719" t="s">
        <v>5161</v>
      </c>
      <c r="E719" t="s">
        <v>5159</v>
      </c>
    </row>
    <row r="720" spans="1:5">
      <c r="A720" t="s">
        <v>5244</v>
      </c>
      <c r="B720" t="s">
        <v>1857</v>
      </c>
      <c r="C720" t="s">
        <v>1858</v>
      </c>
      <c r="D720" t="s">
        <v>5161</v>
      </c>
      <c r="E720" t="s">
        <v>5159</v>
      </c>
    </row>
    <row r="721" spans="1:5">
      <c r="A721" t="s">
        <v>5244</v>
      </c>
      <c r="B721" t="s">
        <v>1859</v>
      </c>
      <c r="C721" t="s">
        <v>1860</v>
      </c>
      <c r="D721" t="s">
        <v>5161</v>
      </c>
      <c r="E721" t="s">
        <v>5159</v>
      </c>
    </row>
    <row r="722" spans="1:5">
      <c r="A722" t="s">
        <v>5244</v>
      </c>
      <c r="B722" t="s">
        <v>1861</v>
      </c>
      <c r="C722" t="s">
        <v>1862</v>
      </c>
      <c r="D722" t="s">
        <v>5161</v>
      </c>
      <c r="E722" t="s">
        <v>5159</v>
      </c>
    </row>
    <row r="723" spans="1:5">
      <c r="A723" t="s">
        <v>5244</v>
      </c>
      <c r="B723" t="s">
        <v>1863</v>
      </c>
      <c r="C723" t="s">
        <v>1864</v>
      </c>
      <c r="D723" t="s">
        <v>5161</v>
      </c>
      <c r="E723" t="s">
        <v>5159</v>
      </c>
    </row>
    <row r="724" spans="1:5">
      <c r="A724" t="s">
        <v>5244</v>
      </c>
      <c r="B724" t="s">
        <v>1865</v>
      </c>
      <c r="C724" t="s">
        <v>1866</v>
      </c>
      <c r="D724" t="s">
        <v>5190</v>
      </c>
      <c r="E724" t="s">
        <v>5159</v>
      </c>
    </row>
    <row r="725" spans="1:5">
      <c r="A725" t="s">
        <v>5244</v>
      </c>
      <c r="B725" t="s">
        <v>1867</v>
      </c>
      <c r="C725" t="s">
        <v>1868</v>
      </c>
      <c r="D725" t="s">
        <v>5200</v>
      </c>
      <c r="E725" t="s">
        <v>5159</v>
      </c>
    </row>
    <row r="726" spans="1:5">
      <c r="A726" t="s">
        <v>5244</v>
      </c>
      <c r="B726" t="s">
        <v>1869</v>
      </c>
      <c r="C726" t="s">
        <v>1870</v>
      </c>
      <c r="D726" t="s">
        <v>5198</v>
      </c>
      <c r="E726" t="s">
        <v>5159</v>
      </c>
    </row>
    <row r="727" spans="1:5">
      <c r="A727" t="s">
        <v>5244</v>
      </c>
      <c r="B727" t="s">
        <v>421</v>
      </c>
      <c r="C727" t="s">
        <v>1871</v>
      </c>
      <c r="D727" t="s">
        <v>5187</v>
      </c>
      <c r="E727" t="s">
        <v>5159</v>
      </c>
    </row>
    <row r="728" spans="1:5">
      <c r="A728" t="s">
        <v>5244</v>
      </c>
      <c r="B728" t="s">
        <v>422</v>
      </c>
      <c r="C728" t="s">
        <v>1872</v>
      </c>
      <c r="D728" t="s">
        <v>5158</v>
      </c>
      <c r="E728" t="s">
        <v>5159</v>
      </c>
    </row>
    <row r="729" spans="1:5">
      <c r="A729" t="s">
        <v>5244</v>
      </c>
      <c r="B729" t="s">
        <v>423</v>
      </c>
      <c r="C729" t="s">
        <v>1873</v>
      </c>
      <c r="D729" t="s">
        <v>5186</v>
      </c>
      <c r="E729" t="s">
        <v>5159</v>
      </c>
    </row>
    <row r="730" spans="1:5">
      <c r="A730" t="s">
        <v>5244</v>
      </c>
      <c r="B730" t="s">
        <v>424</v>
      </c>
      <c r="C730" t="s">
        <v>1874</v>
      </c>
      <c r="D730" t="s">
        <v>5186</v>
      </c>
      <c r="E730" t="s">
        <v>5159</v>
      </c>
    </row>
    <row r="731" spans="1:5">
      <c r="A731" t="s">
        <v>5244</v>
      </c>
      <c r="B731" t="s">
        <v>5144</v>
      </c>
      <c r="C731" t="s">
        <v>5145</v>
      </c>
      <c r="D731" t="s">
        <v>5158</v>
      </c>
      <c r="E731" t="s">
        <v>5159</v>
      </c>
    </row>
    <row r="732" spans="1:5">
      <c r="A732" t="s">
        <v>5244</v>
      </c>
      <c r="B732" t="s">
        <v>425</v>
      </c>
      <c r="C732" t="s">
        <v>1875</v>
      </c>
      <c r="D732" t="s">
        <v>5158</v>
      </c>
      <c r="E732" t="s">
        <v>5159</v>
      </c>
    </row>
    <row r="733" spans="1:5">
      <c r="A733" t="s">
        <v>5244</v>
      </c>
      <c r="B733" t="s">
        <v>5146</v>
      </c>
      <c r="C733" t="s">
        <v>5147</v>
      </c>
      <c r="D733" t="s">
        <v>5158</v>
      </c>
      <c r="E733" t="s">
        <v>5159</v>
      </c>
    </row>
    <row r="734" spans="1:5">
      <c r="A734" t="s">
        <v>5244</v>
      </c>
      <c r="B734" t="s">
        <v>426</v>
      </c>
      <c r="C734" t="s">
        <v>1876</v>
      </c>
      <c r="D734" t="s">
        <v>5158</v>
      </c>
      <c r="E734" t="s">
        <v>5159</v>
      </c>
    </row>
    <row r="735" spans="1:5">
      <c r="A735" t="s">
        <v>5244</v>
      </c>
      <c r="B735" t="s">
        <v>1877</v>
      </c>
      <c r="C735" t="s">
        <v>1878</v>
      </c>
      <c r="D735" t="s">
        <v>5158</v>
      </c>
      <c r="E735" t="s">
        <v>5159</v>
      </c>
    </row>
    <row r="736" spans="1:5">
      <c r="A736" t="s">
        <v>5244</v>
      </c>
      <c r="B736" t="s">
        <v>5148</v>
      </c>
      <c r="C736" t="s">
        <v>4532</v>
      </c>
      <c r="D736" t="s">
        <v>5186</v>
      </c>
      <c r="E736" t="s">
        <v>5159</v>
      </c>
    </row>
    <row r="737" spans="1:5">
      <c r="A737" t="s">
        <v>5244</v>
      </c>
      <c r="B737" t="s">
        <v>427</v>
      </c>
      <c r="C737" t="s">
        <v>1879</v>
      </c>
      <c r="D737" t="s">
        <v>5158</v>
      </c>
      <c r="E737" t="s">
        <v>5159</v>
      </c>
    </row>
    <row r="738" spans="1:5">
      <c r="A738" t="s">
        <v>5244</v>
      </c>
      <c r="B738" t="s">
        <v>428</v>
      </c>
      <c r="C738" t="s">
        <v>1880</v>
      </c>
      <c r="D738" t="s">
        <v>5186</v>
      </c>
      <c r="E738" t="s">
        <v>5159</v>
      </c>
    </row>
    <row r="739" spans="1:5">
      <c r="A739" t="s">
        <v>5244</v>
      </c>
      <c r="B739" t="s">
        <v>429</v>
      </c>
      <c r="C739" t="s">
        <v>1881</v>
      </c>
      <c r="D739" t="s">
        <v>5186</v>
      </c>
      <c r="E739" t="s">
        <v>5159</v>
      </c>
    </row>
    <row r="740" spans="1:5">
      <c r="A740" t="s">
        <v>5244</v>
      </c>
      <c r="B740" t="s">
        <v>430</v>
      </c>
      <c r="C740" t="s">
        <v>1882</v>
      </c>
      <c r="D740" t="s">
        <v>5158</v>
      </c>
      <c r="E740" t="s">
        <v>5159</v>
      </c>
    </row>
    <row r="741" spans="1:5">
      <c r="A741" t="s">
        <v>5244</v>
      </c>
      <c r="B741" t="s">
        <v>1883</v>
      </c>
      <c r="C741" t="s">
        <v>1884</v>
      </c>
      <c r="D741" t="s">
        <v>5194</v>
      </c>
      <c r="E741" t="s">
        <v>5159</v>
      </c>
    </row>
    <row r="742" spans="1:5">
      <c r="A742" t="s">
        <v>5244</v>
      </c>
      <c r="B742" t="s">
        <v>431</v>
      </c>
      <c r="C742" t="s">
        <v>1885</v>
      </c>
      <c r="D742" t="s">
        <v>5188</v>
      </c>
      <c r="E742" t="s">
        <v>5159</v>
      </c>
    </row>
    <row r="743" spans="1:5">
      <c r="A743" t="s">
        <v>5244</v>
      </c>
      <c r="B743" t="s">
        <v>432</v>
      </c>
      <c r="C743" t="s">
        <v>1886</v>
      </c>
      <c r="D743" t="s">
        <v>5186</v>
      </c>
      <c r="E743" t="s">
        <v>5159</v>
      </c>
    </row>
    <row r="744" spans="1:5">
      <c r="A744" t="s">
        <v>5244</v>
      </c>
      <c r="B744" t="s">
        <v>433</v>
      </c>
      <c r="C744" t="s">
        <v>1887</v>
      </c>
      <c r="D744" t="s">
        <v>5186</v>
      </c>
      <c r="E744" t="s">
        <v>5159</v>
      </c>
    </row>
    <row r="745" spans="1:5">
      <c r="A745" t="s">
        <v>5244</v>
      </c>
      <c r="B745" t="s">
        <v>434</v>
      </c>
      <c r="C745" t="s">
        <v>1888</v>
      </c>
      <c r="D745" t="s">
        <v>5158</v>
      </c>
      <c r="E745" t="s">
        <v>5159</v>
      </c>
    </row>
    <row r="746" spans="1:5">
      <c r="A746" t="s">
        <v>5244</v>
      </c>
      <c r="B746" t="s">
        <v>435</v>
      </c>
      <c r="C746" t="s">
        <v>1889</v>
      </c>
      <c r="D746" t="s">
        <v>5158</v>
      </c>
      <c r="E746" t="s">
        <v>5159</v>
      </c>
    </row>
    <row r="747" spans="1:5">
      <c r="A747" t="s">
        <v>5244</v>
      </c>
      <c r="B747" t="s">
        <v>436</v>
      </c>
      <c r="C747" t="s">
        <v>1890</v>
      </c>
      <c r="D747" t="s">
        <v>5158</v>
      </c>
      <c r="E747" t="s">
        <v>5159</v>
      </c>
    </row>
    <row r="748" spans="1:5">
      <c r="A748" t="s">
        <v>5244</v>
      </c>
      <c r="B748" t="s">
        <v>1891</v>
      </c>
      <c r="C748" t="s">
        <v>1892</v>
      </c>
      <c r="D748" t="s">
        <v>5158</v>
      </c>
      <c r="E748" t="s">
        <v>5159</v>
      </c>
    </row>
    <row r="749" spans="1:5">
      <c r="A749" t="s">
        <v>5244</v>
      </c>
      <c r="B749" t="s">
        <v>437</v>
      </c>
      <c r="C749" t="s">
        <v>1893</v>
      </c>
      <c r="D749" t="s">
        <v>5158</v>
      </c>
      <c r="E749" t="s">
        <v>5159</v>
      </c>
    </row>
    <row r="750" spans="1:5">
      <c r="A750" t="s">
        <v>5244</v>
      </c>
      <c r="B750" t="s">
        <v>438</v>
      </c>
      <c r="C750" t="s">
        <v>1894</v>
      </c>
      <c r="D750" t="s">
        <v>5158</v>
      </c>
      <c r="E750" t="s">
        <v>5159</v>
      </c>
    </row>
    <row r="751" spans="1:5">
      <c r="A751" t="s">
        <v>5244</v>
      </c>
      <c r="B751" t="s">
        <v>439</v>
      </c>
      <c r="C751" t="s">
        <v>5452</v>
      </c>
      <c r="D751" t="s">
        <v>5158</v>
      </c>
      <c r="E751" t="s">
        <v>5159</v>
      </c>
    </row>
    <row r="752" spans="1:5">
      <c r="A752" t="s">
        <v>5244</v>
      </c>
      <c r="B752" t="s">
        <v>440</v>
      </c>
      <c r="C752" t="s">
        <v>1895</v>
      </c>
      <c r="D752" t="s">
        <v>5194</v>
      </c>
      <c r="E752" t="s">
        <v>5159</v>
      </c>
    </row>
    <row r="753" spans="1:5">
      <c r="A753" t="s">
        <v>5244</v>
      </c>
      <c r="B753" t="s">
        <v>1896</v>
      </c>
      <c r="C753" t="s">
        <v>1897</v>
      </c>
      <c r="D753" t="s">
        <v>5186</v>
      </c>
      <c r="E753" t="s">
        <v>5159</v>
      </c>
    </row>
    <row r="754" spans="1:5">
      <c r="A754" t="s">
        <v>5244</v>
      </c>
      <c r="B754" t="s">
        <v>441</v>
      </c>
      <c r="C754" t="s">
        <v>1898</v>
      </c>
      <c r="D754" t="s">
        <v>5161</v>
      </c>
      <c r="E754" t="s">
        <v>5159</v>
      </c>
    </row>
    <row r="755" spans="1:5">
      <c r="A755" t="s">
        <v>5244</v>
      </c>
      <c r="B755" t="s">
        <v>1899</v>
      </c>
      <c r="C755" t="s">
        <v>1900</v>
      </c>
      <c r="D755" t="s">
        <v>5158</v>
      </c>
      <c r="E755" t="s">
        <v>5159</v>
      </c>
    </row>
    <row r="756" spans="1:5">
      <c r="A756" t="s">
        <v>5244</v>
      </c>
      <c r="B756" t="s">
        <v>442</v>
      </c>
      <c r="C756" t="s">
        <v>5453</v>
      </c>
      <c r="D756" t="s">
        <v>5158</v>
      </c>
      <c r="E756" t="s">
        <v>5159</v>
      </c>
    </row>
    <row r="757" spans="1:5">
      <c r="A757" t="s">
        <v>5244</v>
      </c>
      <c r="B757" t="s">
        <v>1901</v>
      </c>
      <c r="C757" t="s">
        <v>1902</v>
      </c>
      <c r="D757" t="s">
        <v>5158</v>
      </c>
      <c r="E757" t="s">
        <v>5159</v>
      </c>
    </row>
    <row r="758" spans="1:5">
      <c r="A758" t="s">
        <v>5244</v>
      </c>
      <c r="B758" t="s">
        <v>444</v>
      </c>
      <c r="C758" t="s">
        <v>1903</v>
      </c>
      <c r="D758" t="s">
        <v>5158</v>
      </c>
      <c r="E758" t="s">
        <v>5159</v>
      </c>
    </row>
    <row r="759" spans="1:5">
      <c r="A759" t="s">
        <v>5244</v>
      </c>
      <c r="B759" t="s">
        <v>5454</v>
      </c>
      <c r="C759" t="s">
        <v>5455</v>
      </c>
      <c r="D759" t="s">
        <v>5186</v>
      </c>
      <c r="E759" t="s">
        <v>5159</v>
      </c>
    </row>
    <row r="760" spans="1:5">
      <c r="A760" t="s">
        <v>5244</v>
      </c>
      <c r="B760" t="s">
        <v>1904</v>
      </c>
      <c r="C760" t="s">
        <v>1905</v>
      </c>
      <c r="D760" t="s">
        <v>5186</v>
      </c>
      <c r="E760" t="s">
        <v>5159</v>
      </c>
    </row>
    <row r="761" spans="1:5">
      <c r="A761" t="s">
        <v>5244</v>
      </c>
      <c r="B761" t="s">
        <v>445</v>
      </c>
      <c r="C761" t="s">
        <v>1906</v>
      </c>
      <c r="D761" t="s">
        <v>5158</v>
      </c>
      <c r="E761" t="s">
        <v>5159</v>
      </c>
    </row>
    <row r="762" spans="1:5">
      <c r="A762" t="s">
        <v>5244</v>
      </c>
      <c r="B762" t="s">
        <v>446</v>
      </c>
      <c r="C762" t="s">
        <v>1907</v>
      </c>
      <c r="D762" t="s">
        <v>5186</v>
      </c>
      <c r="E762" t="s">
        <v>5159</v>
      </c>
    </row>
    <row r="763" spans="1:5">
      <c r="A763" t="s">
        <v>5244</v>
      </c>
      <c r="B763" t="s">
        <v>1908</v>
      </c>
      <c r="C763" t="s">
        <v>1909</v>
      </c>
      <c r="D763" t="s">
        <v>5158</v>
      </c>
      <c r="E763" t="s">
        <v>5159</v>
      </c>
    </row>
    <row r="764" spans="1:5">
      <c r="A764" t="s">
        <v>5244</v>
      </c>
      <c r="B764" t="s">
        <v>447</v>
      </c>
      <c r="C764" t="s">
        <v>5456</v>
      </c>
      <c r="D764" t="s">
        <v>5158</v>
      </c>
      <c r="E764" t="s">
        <v>5159</v>
      </c>
    </row>
    <row r="765" spans="1:5">
      <c r="A765" t="s">
        <v>5244</v>
      </c>
      <c r="B765" t="s">
        <v>448</v>
      </c>
      <c r="C765" t="s">
        <v>1910</v>
      </c>
      <c r="D765" t="s">
        <v>5158</v>
      </c>
      <c r="E765" t="s">
        <v>5159</v>
      </c>
    </row>
    <row r="766" spans="1:5">
      <c r="A766" t="s">
        <v>5244</v>
      </c>
      <c r="B766" t="s">
        <v>449</v>
      </c>
      <c r="C766" t="s">
        <v>1911</v>
      </c>
      <c r="D766" t="s">
        <v>5158</v>
      </c>
      <c r="E766" t="s">
        <v>5159</v>
      </c>
    </row>
    <row r="767" spans="1:5">
      <c r="A767" t="s">
        <v>5244</v>
      </c>
      <c r="B767" t="s">
        <v>450</v>
      </c>
      <c r="C767" t="s">
        <v>1912</v>
      </c>
      <c r="D767" t="s">
        <v>5158</v>
      </c>
      <c r="E767" t="s">
        <v>5159</v>
      </c>
    </row>
    <row r="768" spans="1:5">
      <c r="A768" t="s">
        <v>5244</v>
      </c>
      <c r="B768" t="s">
        <v>451</v>
      </c>
      <c r="C768" t="s">
        <v>1913</v>
      </c>
      <c r="D768" t="s">
        <v>5158</v>
      </c>
      <c r="E768" t="s">
        <v>5159</v>
      </c>
    </row>
    <row r="769" spans="1:5">
      <c r="A769" t="s">
        <v>5244</v>
      </c>
      <c r="B769" t="s">
        <v>452</v>
      </c>
      <c r="C769" t="s">
        <v>1914</v>
      </c>
      <c r="D769" t="s">
        <v>5158</v>
      </c>
      <c r="E769" t="s">
        <v>5159</v>
      </c>
    </row>
    <row r="770" spans="1:5">
      <c r="A770" t="s">
        <v>5244</v>
      </c>
      <c r="B770" t="s">
        <v>453</v>
      </c>
      <c r="C770" t="s">
        <v>1915</v>
      </c>
      <c r="D770" t="s">
        <v>5158</v>
      </c>
      <c r="E770" t="s">
        <v>5159</v>
      </c>
    </row>
    <row r="771" spans="1:5">
      <c r="A771" t="s">
        <v>5244</v>
      </c>
      <c r="B771" t="s">
        <v>454</v>
      </c>
      <c r="C771" t="s">
        <v>5457</v>
      </c>
      <c r="D771" t="s">
        <v>5158</v>
      </c>
      <c r="E771" t="s">
        <v>5159</v>
      </c>
    </row>
    <row r="772" spans="1:5">
      <c r="A772" t="s">
        <v>5244</v>
      </c>
      <c r="B772" t="s">
        <v>1916</v>
      </c>
      <c r="C772" t="s">
        <v>1917</v>
      </c>
      <c r="D772" t="s">
        <v>5158</v>
      </c>
      <c r="E772" t="s">
        <v>5159</v>
      </c>
    </row>
    <row r="773" spans="1:5">
      <c r="A773" t="s">
        <v>5244</v>
      </c>
      <c r="B773" t="s">
        <v>455</v>
      </c>
      <c r="C773" t="s">
        <v>5458</v>
      </c>
      <c r="D773" t="s">
        <v>5186</v>
      </c>
      <c r="E773" t="s">
        <v>5159</v>
      </c>
    </row>
    <row r="774" spans="1:5">
      <c r="A774" t="s">
        <v>5244</v>
      </c>
      <c r="B774" t="s">
        <v>1918</v>
      </c>
      <c r="C774" t="s">
        <v>1919</v>
      </c>
      <c r="D774" t="s">
        <v>5158</v>
      </c>
      <c r="E774" t="s">
        <v>5159</v>
      </c>
    </row>
    <row r="775" spans="1:5">
      <c r="A775" t="s">
        <v>5244</v>
      </c>
      <c r="B775" t="s">
        <v>456</v>
      </c>
      <c r="C775" t="s">
        <v>1920</v>
      </c>
      <c r="D775" t="s">
        <v>5161</v>
      </c>
      <c r="E775" t="s">
        <v>5159</v>
      </c>
    </row>
    <row r="776" spans="1:5">
      <c r="A776" t="s">
        <v>5244</v>
      </c>
      <c r="B776" t="s">
        <v>1921</v>
      </c>
      <c r="C776" t="s">
        <v>1922</v>
      </c>
      <c r="D776" t="s">
        <v>5194</v>
      </c>
      <c r="E776" t="s">
        <v>5159</v>
      </c>
    </row>
    <row r="777" spans="1:5">
      <c r="A777" t="s">
        <v>5244</v>
      </c>
      <c r="B777" t="s">
        <v>458</v>
      </c>
      <c r="C777" t="s">
        <v>1923</v>
      </c>
      <c r="D777" t="s">
        <v>5158</v>
      </c>
      <c r="E777" t="s">
        <v>5159</v>
      </c>
    </row>
    <row r="778" spans="1:5">
      <c r="A778" t="s">
        <v>5244</v>
      </c>
      <c r="B778" t="s">
        <v>459</v>
      </c>
      <c r="C778" t="s">
        <v>1924</v>
      </c>
      <c r="D778" t="s">
        <v>5161</v>
      </c>
      <c r="E778" t="s">
        <v>5159</v>
      </c>
    </row>
    <row r="779" spans="1:5">
      <c r="A779" t="s">
        <v>5244</v>
      </c>
      <c r="B779" t="s">
        <v>460</v>
      </c>
      <c r="C779" t="s">
        <v>1925</v>
      </c>
      <c r="D779" t="s">
        <v>5158</v>
      </c>
      <c r="E779" t="s">
        <v>5159</v>
      </c>
    </row>
    <row r="780" spans="1:5">
      <c r="A780" t="s">
        <v>5244</v>
      </c>
      <c r="B780" t="s">
        <v>461</v>
      </c>
      <c r="C780" t="s">
        <v>1926</v>
      </c>
      <c r="D780" t="s">
        <v>5158</v>
      </c>
      <c r="E780" t="s">
        <v>5159</v>
      </c>
    </row>
    <row r="781" spans="1:5">
      <c r="A781" t="s">
        <v>5244</v>
      </c>
      <c r="B781" t="s">
        <v>462</v>
      </c>
      <c r="C781" t="s">
        <v>1927</v>
      </c>
      <c r="D781" t="s">
        <v>5186</v>
      </c>
      <c r="E781" t="s">
        <v>5159</v>
      </c>
    </row>
    <row r="782" spans="1:5">
      <c r="A782" t="s">
        <v>5244</v>
      </c>
      <c r="B782" t="s">
        <v>5149</v>
      </c>
      <c r="C782" t="s">
        <v>2071</v>
      </c>
      <c r="D782" t="s">
        <v>5158</v>
      </c>
      <c r="E782" t="s">
        <v>5159</v>
      </c>
    </row>
    <row r="783" spans="1:5">
      <c r="A783" t="s">
        <v>5244</v>
      </c>
      <c r="B783" t="s">
        <v>1928</v>
      </c>
      <c r="C783" t="s">
        <v>1929</v>
      </c>
      <c r="D783" t="s">
        <v>5186</v>
      </c>
      <c r="E783" t="s">
        <v>5159</v>
      </c>
    </row>
    <row r="784" spans="1:5">
      <c r="A784" t="s">
        <v>5244</v>
      </c>
      <c r="B784" t="s">
        <v>463</v>
      </c>
      <c r="C784" t="s">
        <v>1930</v>
      </c>
      <c r="D784" t="s">
        <v>5186</v>
      </c>
      <c r="E784" t="s">
        <v>5159</v>
      </c>
    </row>
    <row r="785" spans="1:5">
      <c r="A785" t="s">
        <v>5244</v>
      </c>
      <c r="B785" t="s">
        <v>464</v>
      </c>
      <c r="C785" t="s">
        <v>1931</v>
      </c>
      <c r="D785" t="s">
        <v>5186</v>
      </c>
      <c r="E785" t="s">
        <v>5159</v>
      </c>
    </row>
    <row r="786" spans="1:5">
      <c r="A786" t="s">
        <v>5244</v>
      </c>
      <c r="B786" t="s">
        <v>465</v>
      </c>
      <c r="C786" t="s">
        <v>1932</v>
      </c>
      <c r="D786" t="s">
        <v>5186</v>
      </c>
      <c r="E786" t="s">
        <v>5159</v>
      </c>
    </row>
    <row r="787" spans="1:5">
      <c r="A787" t="s">
        <v>5244</v>
      </c>
      <c r="B787" t="s">
        <v>466</v>
      </c>
      <c r="C787" t="s">
        <v>1933</v>
      </c>
      <c r="D787" t="s">
        <v>5187</v>
      </c>
      <c r="E787" t="s">
        <v>5159</v>
      </c>
    </row>
    <row r="788" spans="1:5">
      <c r="A788" t="s">
        <v>5244</v>
      </c>
      <c r="B788" t="s">
        <v>467</v>
      </c>
      <c r="C788" t="s">
        <v>1934</v>
      </c>
      <c r="D788" t="s">
        <v>5158</v>
      </c>
      <c r="E788" t="s">
        <v>5159</v>
      </c>
    </row>
    <row r="789" spans="1:5">
      <c r="A789" t="s">
        <v>5244</v>
      </c>
      <c r="B789" t="s">
        <v>1935</v>
      </c>
      <c r="C789" t="s">
        <v>1936</v>
      </c>
      <c r="D789" t="s">
        <v>5158</v>
      </c>
      <c r="E789" t="s">
        <v>5159</v>
      </c>
    </row>
    <row r="790" spans="1:5">
      <c r="A790" t="s">
        <v>5244</v>
      </c>
      <c r="B790" t="s">
        <v>468</v>
      </c>
      <c r="C790" t="s">
        <v>4502</v>
      </c>
      <c r="D790" t="s">
        <v>5186</v>
      </c>
      <c r="E790" t="s">
        <v>5159</v>
      </c>
    </row>
    <row r="791" spans="1:5">
      <c r="A791" t="s">
        <v>5244</v>
      </c>
      <c r="B791" t="s">
        <v>469</v>
      </c>
      <c r="C791" t="s">
        <v>4480</v>
      </c>
      <c r="D791" t="s">
        <v>5186</v>
      </c>
      <c r="E791" t="s">
        <v>5159</v>
      </c>
    </row>
    <row r="792" spans="1:5">
      <c r="A792" t="s">
        <v>5244</v>
      </c>
      <c r="B792" t="s">
        <v>1937</v>
      </c>
      <c r="C792" t="s">
        <v>1938</v>
      </c>
      <c r="D792" t="s">
        <v>5186</v>
      </c>
      <c r="E792" t="s">
        <v>5159</v>
      </c>
    </row>
    <row r="793" spans="1:5">
      <c r="A793" t="s">
        <v>5244</v>
      </c>
      <c r="B793" t="s">
        <v>470</v>
      </c>
      <c r="C793" t="s">
        <v>1939</v>
      </c>
      <c r="D793" t="s">
        <v>5158</v>
      </c>
      <c r="E793" t="s">
        <v>5159</v>
      </c>
    </row>
    <row r="794" spans="1:5">
      <c r="A794" t="s">
        <v>5244</v>
      </c>
      <c r="B794" t="s">
        <v>471</v>
      </c>
      <c r="C794" t="s">
        <v>1940</v>
      </c>
      <c r="D794" t="s">
        <v>5158</v>
      </c>
      <c r="E794" t="s">
        <v>5159</v>
      </c>
    </row>
    <row r="795" spans="1:5">
      <c r="A795" t="s">
        <v>5244</v>
      </c>
      <c r="B795" t="s">
        <v>1941</v>
      </c>
      <c r="C795" t="s">
        <v>1942</v>
      </c>
      <c r="D795" t="s">
        <v>5158</v>
      </c>
      <c r="E795" t="s">
        <v>5159</v>
      </c>
    </row>
    <row r="796" spans="1:5">
      <c r="A796" t="s">
        <v>5244</v>
      </c>
      <c r="B796" t="s">
        <v>472</v>
      </c>
      <c r="C796" t="s">
        <v>1943</v>
      </c>
      <c r="D796" t="s">
        <v>5161</v>
      </c>
      <c r="E796" t="s">
        <v>5159</v>
      </c>
    </row>
    <row r="797" spans="1:5">
      <c r="A797" t="s">
        <v>5244</v>
      </c>
      <c r="B797" t="s">
        <v>473</v>
      </c>
      <c r="C797" t="s">
        <v>1944</v>
      </c>
      <c r="D797" t="s">
        <v>5158</v>
      </c>
      <c r="E797" t="s">
        <v>5159</v>
      </c>
    </row>
    <row r="798" spans="1:5">
      <c r="A798" t="s">
        <v>5244</v>
      </c>
      <c r="B798" t="s">
        <v>1945</v>
      </c>
      <c r="C798" t="s">
        <v>1946</v>
      </c>
      <c r="D798" t="s">
        <v>5194</v>
      </c>
      <c r="E798" t="s">
        <v>5159</v>
      </c>
    </row>
    <row r="799" spans="1:5">
      <c r="A799" t="s">
        <v>5244</v>
      </c>
      <c r="B799" t="s">
        <v>474</v>
      </c>
      <c r="C799" t="s">
        <v>1947</v>
      </c>
      <c r="D799" t="s">
        <v>5186</v>
      </c>
      <c r="E799" t="s">
        <v>5159</v>
      </c>
    </row>
    <row r="800" spans="1:5">
      <c r="A800" t="s">
        <v>5244</v>
      </c>
      <c r="B800" t="s">
        <v>475</v>
      </c>
      <c r="C800" t="s">
        <v>1948</v>
      </c>
      <c r="D800" t="s">
        <v>5186</v>
      </c>
      <c r="E800" t="s">
        <v>5159</v>
      </c>
    </row>
    <row r="801" spans="1:5">
      <c r="A801" t="s">
        <v>5244</v>
      </c>
      <c r="B801" t="s">
        <v>476</v>
      </c>
      <c r="C801" t="s">
        <v>1949</v>
      </c>
      <c r="D801" t="s">
        <v>5186</v>
      </c>
      <c r="E801" t="s">
        <v>5159</v>
      </c>
    </row>
    <row r="802" spans="1:5">
      <c r="A802" t="s">
        <v>5244</v>
      </c>
      <c r="B802" t="s">
        <v>477</v>
      </c>
      <c r="C802" t="s">
        <v>1950</v>
      </c>
      <c r="D802" t="s">
        <v>5201</v>
      </c>
      <c r="E802" t="s">
        <v>5159</v>
      </c>
    </row>
    <row r="803" spans="1:5">
      <c r="A803" t="s">
        <v>5244</v>
      </c>
      <c r="B803" t="s">
        <v>478</v>
      </c>
      <c r="C803" t="s">
        <v>1951</v>
      </c>
      <c r="D803" t="s">
        <v>5158</v>
      </c>
      <c r="E803" t="s">
        <v>5159</v>
      </c>
    </row>
    <row r="804" spans="1:5">
      <c r="A804" t="s">
        <v>5244</v>
      </c>
      <c r="B804" t="s">
        <v>479</v>
      </c>
      <c r="C804" t="s">
        <v>1952</v>
      </c>
      <c r="D804" t="s">
        <v>5158</v>
      </c>
      <c r="E804" t="s">
        <v>5159</v>
      </c>
    </row>
    <row r="805" spans="1:5">
      <c r="A805" t="s">
        <v>5244</v>
      </c>
      <c r="B805" t="s">
        <v>480</v>
      </c>
      <c r="C805" t="s">
        <v>1953</v>
      </c>
      <c r="D805" t="s">
        <v>5158</v>
      </c>
      <c r="E805" t="s">
        <v>5159</v>
      </c>
    </row>
    <row r="806" spans="1:5">
      <c r="A806" t="s">
        <v>5244</v>
      </c>
      <c r="B806" t="s">
        <v>481</v>
      </c>
      <c r="C806" t="s">
        <v>1954</v>
      </c>
      <c r="D806" t="s">
        <v>5158</v>
      </c>
      <c r="E806" t="s">
        <v>5159</v>
      </c>
    </row>
    <row r="807" spans="1:5">
      <c r="A807" t="s">
        <v>5244</v>
      </c>
      <c r="B807" t="s">
        <v>482</v>
      </c>
      <c r="C807" t="s">
        <v>1955</v>
      </c>
      <c r="D807" t="s">
        <v>5158</v>
      </c>
      <c r="E807" t="s">
        <v>5159</v>
      </c>
    </row>
    <row r="808" spans="1:5">
      <c r="A808" t="s">
        <v>5244</v>
      </c>
      <c r="B808" t="s">
        <v>483</v>
      </c>
      <c r="C808" t="s">
        <v>1956</v>
      </c>
      <c r="D808" t="s">
        <v>5158</v>
      </c>
      <c r="E808" t="s">
        <v>5159</v>
      </c>
    </row>
    <row r="809" spans="1:5">
      <c r="A809" t="s">
        <v>5244</v>
      </c>
      <c r="B809" t="s">
        <v>484</v>
      </c>
      <c r="C809" t="s">
        <v>5459</v>
      </c>
      <c r="D809" t="s">
        <v>5186</v>
      </c>
      <c r="E809" t="s">
        <v>5159</v>
      </c>
    </row>
    <row r="810" spans="1:5">
      <c r="A810" t="s">
        <v>5244</v>
      </c>
      <c r="B810" t="s">
        <v>485</v>
      </c>
      <c r="C810" t="s">
        <v>5460</v>
      </c>
      <c r="D810" t="s">
        <v>5186</v>
      </c>
      <c r="E810" t="s">
        <v>5159</v>
      </c>
    </row>
    <row r="811" spans="1:5">
      <c r="A811" t="s">
        <v>5244</v>
      </c>
      <c r="B811" t="s">
        <v>486</v>
      </c>
      <c r="C811" t="s">
        <v>1957</v>
      </c>
      <c r="D811" t="s">
        <v>5188</v>
      </c>
      <c r="E811" t="s">
        <v>5159</v>
      </c>
    </row>
    <row r="812" spans="1:5">
      <c r="A812" t="s">
        <v>5244</v>
      </c>
      <c r="B812" t="s">
        <v>487</v>
      </c>
      <c r="C812" t="s">
        <v>5461</v>
      </c>
      <c r="D812" t="s">
        <v>5186</v>
      </c>
      <c r="E812" t="s">
        <v>5159</v>
      </c>
    </row>
    <row r="813" spans="1:5">
      <c r="A813" t="s">
        <v>5244</v>
      </c>
      <c r="B813" t="s">
        <v>488</v>
      </c>
      <c r="C813" t="s">
        <v>1958</v>
      </c>
      <c r="D813" t="s">
        <v>5158</v>
      </c>
      <c r="E813" t="s">
        <v>5159</v>
      </c>
    </row>
    <row r="814" spans="1:5">
      <c r="A814" t="s">
        <v>5244</v>
      </c>
      <c r="B814" t="s">
        <v>489</v>
      </c>
      <c r="C814" t="s">
        <v>1959</v>
      </c>
      <c r="D814" t="s">
        <v>5158</v>
      </c>
      <c r="E814" t="s">
        <v>5159</v>
      </c>
    </row>
    <row r="815" spans="1:5">
      <c r="A815" t="s">
        <v>5244</v>
      </c>
      <c r="B815" t="s">
        <v>490</v>
      </c>
      <c r="C815" t="s">
        <v>1960</v>
      </c>
      <c r="D815" t="s">
        <v>5158</v>
      </c>
      <c r="E815" t="s">
        <v>5159</v>
      </c>
    </row>
    <row r="816" spans="1:5">
      <c r="A816" t="s">
        <v>5244</v>
      </c>
      <c r="B816" t="s">
        <v>491</v>
      </c>
      <c r="C816" t="s">
        <v>1961</v>
      </c>
      <c r="D816" t="s">
        <v>5186</v>
      </c>
      <c r="E816" t="s">
        <v>5159</v>
      </c>
    </row>
    <row r="817" spans="1:5">
      <c r="A817" t="s">
        <v>5244</v>
      </c>
      <c r="B817" t="s">
        <v>1962</v>
      </c>
      <c r="C817" t="s">
        <v>1963</v>
      </c>
      <c r="D817" t="s">
        <v>5186</v>
      </c>
      <c r="E817" t="s">
        <v>5159</v>
      </c>
    </row>
    <row r="818" spans="1:5">
      <c r="A818" t="s">
        <v>5244</v>
      </c>
      <c r="B818" t="s">
        <v>1964</v>
      </c>
      <c r="C818" t="s">
        <v>1965</v>
      </c>
      <c r="D818" t="s">
        <v>5201</v>
      </c>
      <c r="E818" t="s">
        <v>5159</v>
      </c>
    </row>
    <row r="819" spans="1:5">
      <c r="A819" t="s">
        <v>5244</v>
      </c>
      <c r="B819" t="s">
        <v>492</v>
      </c>
      <c r="C819" t="s">
        <v>1966</v>
      </c>
      <c r="D819" t="s">
        <v>5158</v>
      </c>
      <c r="E819" t="s">
        <v>5159</v>
      </c>
    </row>
    <row r="820" spans="1:5">
      <c r="A820" t="s">
        <v>5244</v>
      </c>
      <c r="B820" t="s">
        <v>493</v>
      </c>
      <c r="C820" t="s">
        <v>5462</v>
      </c>
      <c r="D820" t="s">
        <v>5158</v>
      </c>
      <c r="E820" t="s">
        <v>5159</v>
      </c>
    </row>
    <row r="821" spans="1:5">
      <c r="A821" t="s">
        <v>5244</v>
      </c>
      <c r="B821" t="s">
        <v>494</v>
      </c>
      <c r="C821" t="s">
        <v>1967</v>
      </c>
      <c r="D821" t="s">
        <v>5158</v>
      </c>
      <c r="E821" t="s">
        <v>5159</v>
      </c>
    </row>
    <row r="822" spans="1:5">
      <c r="A822" t="s">
        <v>5244</v>
      </c>
      <c r="B822" t="s">
        <v>495</v>
      </c>
      <c r="C822" t="s">
        <v>1968</v>
      </c>
      <c r="D822" t="s">
        <v>5158</v>
      </c>
      <c r="E822" t="s">
        <v>5159</v>
      </c>
    </row>
    <row r="823" spans="1:5">
      <c r="A823" t="s">
        <v>5244</v>
      </c>
      <c r="B823" t="s">
        <v>496</v>
      </c>
      <c r="C823" t="s">
        <v>5463</v>
      </c>
      <c r="D823" t="s">
        <v>5158</v>
      </c>
      <c r="E823" t="s">
        <v>5159</v>
      </c>
    </row>
    <row r="824" spans="1:5">
      <c r="A824" t="s">
        <v>5244</v>
      </c>
      <c r="B824" t="s">
        <v>497</v>
      </c>
      <c r="C824" t="s">
        <v>5464</v>
      </c>
      <c r="D824" t="s">
        <v>5158</v>
      </c>
      <c r="E824" t="s">
        <v>5159</v>
      </c>
    </row>
    <row r="825" spans="1:5">
      <c r="A825" t="s">
        <v>5244</v>
      </c>
      <c r="B825" t="s">
        <v>1969</v>
      </c>
      <c r="C825" t="s">
        <v>1970</v>
      </c>
      <c r="D825" t="s">
        <v>5186</v>
      </c>
      <c r="E825" t="s">
        <v>5159</v>
      </c>
    </row>
    <row r="826" spans="1:5">
      <c r="A826" t="s">
        <v>5244</v>
      </c>
      <c r="B826" t="s">
        <v>498</v>
      </c>
      <c r="C826" t="s">
        <v>1970</v>
      </c>
      <c r="D826" t="s">
        <v>5186</v>
      </c>
      <c r="E826" t="s">
        <v>5159</v>
      </c>
    </row>
    <row r="827" spans="1:5">
      <c r="A827" t="s">
        <v>5244</v>
      </c>
      <c r="B827" t="s">
        <v>499</v>
      </c>
      <c r="C827" t="s">
        <v>1971</v>
      </c>
      <c r="D827" t="s">
        <v>5158</v>
      </c>
      <c r="E827" t="s">
        <v>5159</v>
      </c>
    </row>
    <row r="828" spans="1:5">
      <c r="A828" t="s">
        <v>5244</v>
      </c>
      <c r="B828" t="s">
        <v>500</v>
      </c>
      <c r="C828" t="s">
        <v>1972</v>
      </c>
      <c r="D828" t="s">
        <v>5186</v>
      </c>
      <c r="E828" t="s">
        <v>5159</v>
      </c>
    </row>
    <row r="829" spans="1:5">
      <c r="A829" t="s">
        <v>5244</v>
      </c>
      <c r="B829" t="s">
        <v>501</v>
      </c>
      <c r="C829" t="s">
        <v>1973</v>
      </c>
      <c r="D829" t="s">
        <v>5158</v>
      </c>
      <c r="E829" t="s">
        <v>5159</v>
      </c>
    </row>
    <row r="830" spans="1:5">
      <c r="A830" t="s">
        <v>5244</v>
      </c>
      <c r="B830" t="s">
        <v>502</v>
      </c>
      <c r="C830" t="s">
        <v>1974</v>
      </c>
      <c r="D830" t="s">
        <v>5158</v>
      </c>
      <c r="E830" t="s">
        <v>5159</v>
      </c>
    </row>
    <row r="831" spans="1:5">
      <c r="A831" t="s">
        <v>5244</v>
      </c>
      <c r="B831" t="s">
        <v>1975</v>
      </c>
      <c r="C831" t="s">
        <v>1973</v>
      </c>
      <c r="D831" t="s">
        <v>5158</v>
      </c>
      <c r="E831" t="s">
        <v>5159</v>
      </c>
    </row>
    <row r="832" spans="1:5">
      <c r="A832" t="s">
        <v>5244</v>
      </c>
      <c r="B832" t="s">
        <v>503</v>
      </c>
      <c r="C832" t="s">
        <v>5465</v>
      </c>
      <c r="D832" t="s">
        <v>5158</v>
      </c>
      <c r="E832" t="s">
        <v>5159</v>
      </c>
    </row>
    <row r="833" spans="1:5">
      <c r="A833" t="s">
        <v>5244</v>
      </c>
      <c r="B833" t="s">
        <v>504</v>
      </c>
      <c r="C833" t="s">
        <v>1976</v>
      </c>
      <c r="D833" t="s">
        <v>5158</v>
      </c>
      <c r="E833" t="s">
        <v>5159</v>
      </c>
    </row>
    <row r="834" spans="1:5">
      <c r="A834" t="s">
        <v>5244</v>
      </c>
      <c r="B834" t="s">
        <v>506</v>
      </c>
      <c r="C834" t="s">
        <v>1977</v>
      </c>
      <c r="D834" t="s">
        <v>5158</v>
      </c>
      <c r="E834" t="s">
        <v>5159</v>
      </c>
    </row>
    <row r="835" spans="1:5">
      <c r="A835" t="s">
        <v>5244</v>
      </c>
      <c r="B835" t="s">
        <v>507</v>
      </c>
      <c r="C835" t="s">
        <v>1978</v>
      </c>
      <c r="D835" t="s">
        <v>5158</v>
      </c>
      <c r="E835" t="s">
        <v>5159</v>
      </c>
    </row>
    <row r="836" spans="1:5">
      <c r="A836" t="s">
        <v>5244</v>
      </c>
      <c r="B836" t="s">
        <v>508</v>
      </c>
      <c r="C836" t="s">
        <v>1979</v>
      </c>
      <c r="D836" t="s">
        <v>5158</v>
      </c>
      <c r="E836" t="s">
        <v>5159</v>
      </c>
    </row>
    <row r="837" spans="1:5">
      <c r="A837" t="s">
        <v>5244</v>
      </c>
      <c r="B837" t="s">
        <v>509</v>
      </c>
      <c r="C837" t="s">
        <v>1980</v>
      </c>
      <c r="D837" t="s">
        <v>5158</v>
      </c>
      <c r="E837" t="s">
        <v>5159</v>
      </c>
    </row>
    <row r="838" spans="1:5">
      <c r="A838" t="s">
        <v>5244</v>
      </c>
      <c r="B838" t="s">
        <v>510</v>
      </c>
      <c r="C838" t="s">
        <v>1981</v>
      </c>
      <c r="D838" t="s">
        <v>5161</v>
      </c>
      <c r="E838" t="s">
        <v>5159</v>
      </c>
    </row>
    <row r="839" spans="1:5">
      <c r="A839" t="s">
        <v>5244</v>
      </c>
      <c r="B839" t="s">
        <v>1982</v>
      </c>
      <c r="C839" t="s">
        <v>1983</v>
      </c>
      <c r="D839" t="s">
        <v>5158</v>
      </c>
      <c r="E839" t="s">
        <v>5159</v>
      </c>
    </row>
    <row r="840" spans="1:5">
      <c r="A840" t="s">
        <v>5244</v>
      </c>
      <c r="B840" t="s">
        <v>511</v>
      </c>
      <c r="C840" t="s">
        <v>1984</v>
      </c>
      <c r="D840" t="s">
        <v>5158</v>
      </c>
      <c r="E840" t="s">
        <v>5159</v>
      </c>
    </row>
    <row r="841" spans="1:5">
      <c r="A841" t="s">
        <v>5244</v>
      </c>
      <c r="B841" t="s">
        <v>512</v>
      </c>
      <c r="C841" t="s">
        <v>1985</v>
      </c>
      <c r="D841" t="s">
        <v>5186</v>
      </c>
      <c r="E841" t="s">
        <v>5159</v>
      </c>
    </row>
    <row r="842" spans="1:5">
      <c r="A842" t="s">
        <v>5244</v>
      </c>
      <c r="B842" t="s">
        <v>513</v>
      </c>
      <c r="C842" t="s">
        <v>1986</v>
      </c>
      <c r="D842" t="s">
        <v>5186</v>
      </c>
      <c r="E842" t="s">
        <v>5159</v>
      </c>
    </row>
    <row r="843" spans="1:5">
      <c r="A843" t="s">
        <v>5244</v>
      </c>
      <c r="B843" t="s">
        <v>514</v>
      </c>
      <c r="C843" t="s">
        <v>1987</v>
      </c>
      <c r="D843" t="s">
        <v>5186</v>
      </c>
      <c r="E843" t="s">
        <v>5159</v>
      </c>
    </row>
    <row r="844" spans="1:5">
      <c r="A844" t="s">
        <v>5244</v>
      </c>
      <c r="B844" t="s">
        <v>515</v>
      </c>
      <c r="C844" t="s">
        <v>1988</v>
      </c>
      <c r="D844" t="s">
        <v>5186</v>
      </c>
      <c r="E844" t="s">
        <v>5159</v>
      </c>
    </row>
    <row r="845" spans="1:5">
      <c r="A845" t="s">
        <v>5244</v>
      </c>
      <c r="B845" t="s">
        <v>516</v>
      </c>
      <c r="C845" t="s">
        <v>1989</v>
      </c>
      <c r="D845" t="s">
        <v>5158</v>
      </c>
      <c r="E845" t="s">
        <v>5159</v>
      </c>
    </row>
    <row r="846" spans="1:5">
      <c r="A846" t="s">
        <v>5244</v>
      </c>
      <c r="B846" t="s">
        <v>517</v>
      </c>
      <c r="C846" t="s">
        <v>1990</v>
      </c>
      <c r="D846" t="s">
        <v>5186</v>
      </c>
      <c r="E846" t="s">
        <v>5159</v>
      </c>
    </row>
    <row r="847" spans="1:5">
      <c r="A847" t="s">
        <v>5244</v>
      </c>
      <c r="B847" t="s">
        <v>518</v>
      </c>
      <c r="C847" t="s">
        <v>1991</v>
      </c>
      <c r="D847" t="s">
        <v>5161</v>
      </c>
      <c r="E847" t="s">
        <v>5159</v>
      </c>
    </row>
    <row r="848" spans="1:5">
      <c r="A848" t="s">
        <v>5244</v>
      </c>
      <c r="B848" t="s">
        <v>519</v>
      </c>
      <c r="C848" t="s">
        <v>1992</v>
      </c>
      <c r="D848" t="s">
        <v>5158</v>
      </c>
      <c r="E848" t="s">
        <v>5159</v>
      </c>
    </row>
    <row r="849" spans="1:5">
      <c r="A849" t="s">
        <v>5244</v>
      </c>
      <c r="B849" t="s">
        <v>1993</v>
      </c>
      <c r="C849" t="s">
        <v>1994</v>
      </c>
      <c r="D849" t="s">
        <v>5158</v>
      </c>
      <c r="E849" t="s">
        <v>5159</v>
      </c>
    </row>
    <row r="850" spans="1:5">
      <c r="A850" t="s">
        <v>5244</v>
      </c>
      <c r="B850" t="s">
        <v>1995</v>
      </c>
      <c r="C850" t="s">
        <v>1996</v>
      </c>
      <c r="D850" t="s">
        <v>5158</v>
      </c>
      <c r="E850" t="s">
        <v>5159</v>
      </c>
    </row>
    <row r="851" spans="1:5">
      <c r="A851" t="s">
        <v>5244</v>
      </c>
      <c r="B851" t="s">
        <v>520</v>
      </c>
      <c r="C851" t="s">
        <v>1997</v>
      </c>
      <c r="D851" t="s">
        <v>5186</v>
      </c>
      <c r="E851" t="s">
        <v>5159</v>
      </c>
    </row>
    <row r="852" spans="1:5">
      <c r="A852" t="s">
        <v>5244</v>
      </c>
      <c r="B852" t="s">
        <v>521</v>
      </c>
      <c r="C852" t="s">
        <v>1996</v>
      </c>
      <c r="D852" t="s">
        <v>5158</v>
      </c>
      <c r="E852" t="s">
        <v>5159</v>
      </c>
    </row>
    <row r="853" spans="1:5">
      <c r="A853" t="s">
        <v>5244</v>
      </c>
      <c r="B853" t="s">
        <v>522</v>
      </c>
      <c r="C853" t="s">
        <v>1998</v>
      </c>
      <c r="D853" t="s">
        <v>5158</v>
      </c>
      <c r="E853" t="s">
        <v>5159</v>
      </c>
    </row>
    <row r="854" spans="1:5">
      <c r="A854" t="s">
        <v>5244</v>
      </c>
      <c r="B854" t="s">
        <v>523</v>
      </c>
      <c r="C854" t="s">
        <v>1999</v>
      </c>
      <c r="D854" t="s">
        <v>5158</v>
      </c>
      <c r="E854" t="s">
        <v>5159</v>
      </c>
    </row>
    <row r="855" spans="1:5">
      <c r="A855" t="s">
        <v>5244</v>
      </c>
      <c r="B855" t="s">
        <v>524</v>
      </c>
      <c r="C855" t="s">
        <v>5466</v>
      </c>
      <c r="D855" t="s">
        <v>5158</v>
      </c>
      <c r="E855" t="s">
        <v>5159</v>
      </c>
    </row>
    <row r="856" spans="1:5">
      <c r="A856" t="s">
        <v>5244</v>
      </c>
      <c r="B856" t="s">
        <v>5467</v>
      </c>
      <c r="C856" t="s">
        <v>4648</v>
      </c>
      <c r="D856" t="s">
        <v>5202</v>
      </c>
      <c r="E856" t="s">
        <v>5159</v>
      </c>
    </row>
    <row r="857" spans="1:5">
      <c r="A857" t="s">
        <v>5244</v>
      </c>
      <c r="B857" t="s">
        <v>525</v>
      </c>
      <c r="C857" t="s">
        <v>2000</v>
      </c>
      <c r="D857" t="s">
        <v>5158</v>
      </c>
      <c r="E857" t="s">
        <v>5159</v>
      </c>
    </row>
    <row r="858" spans="1:5">
      <c r="A858" t="s">
        <v>5244</v>
      </c>
      <c r="B858" t="s">
        <v>526</v>
      </c>
      <c r="C858" t="s">
        <v>2001</v>
      </c>
      <c r="D858" t="s">
        <v>5158</v>
      </c>
      <c r="E858" t="s">
        <v>5159</v>
      </c>
    </row>
    <row r="859" spans="1:5">
      <c r="A859" t="s">
        <v>5244</v>
      </c>
      <c r="B859" t="s">
        <v>527</v>
      </c>
      <c r="C859" t="s">
        <v>5468</v>
      </c>
      <c r="D859" t="s">
        <v>5158</v>
      </c>
      <c r="E859" t="s">
        <v>5159</v>
      </c>
    </row>
    <row r="860" spans="1:5">
      <c r="A860" t="s">
        <v>5244</v>
      </c>
      <c r="B860" t="s">
        <v>528</v>
      </c>
      <c r="C860" t="s">
        <v>5469</v>
      </c>
      <c r="D860" t="s">
        <v>5158</v>
      </c>
      <c r="E860" t="s">
        <v>5159</v>
      </c>
    </row>
    <row r="861" spans="1:5">
      <c r="A861" t="s">
        <v>5244</v>
      </c>
      <c r="B861" t="s">
        <v>529</v>
      </c>
      <c r="C861" t="s">
        <v>2002</v>
      </c>
      <c r="D861" t="s">
        <v>5158</v>
      </c>
      <c r="E861" t="s">
        <v>5159</v>
      </c>
    </row>
    <row r="862" spans="1:5">
      <c r="A862" t="s">
        <v>5244</v>
      </c>
      <c r="B862" t="s">
        <v>2003</v>
      </c>
      <c r="C862" t="s">
        <v>2004</v>
      </c>
      <c r="D862" t="s">
        <v>5158</v>
      </c>
      <c r="E862" t="s">
        <v>5159</v>
      </c>
    </row>
    <row r="863" spans="1:5">
      <c r="A863" t="s">
        <v>5244</v>
      </c>
      <c r="B863" t="s">
        <v>5470</v>
      </c>
      <c r="C863" t="s">
        <v>5471</v>
      </c>
      <c r="D863" t="s">
        <v>5158</v>
      </c>
      <c r="E863" t="s">
        <v>5159</v>
      </c>
    </row>
    <row r="864" spans="1:5">
      <c r="A864" t="s">
        <v>5244</v>
      </c>
      <c r="B864" t="s">
        <v>5472</v>
      </c>
      <c r="C864" t="s">
        <v>5473</v>
      </c>
      <c r="D864" t="s">
        <v>5158</v>
      </c>
      <c r="E864" t="s">
        <v>5159</v>
      </c>
    </row>
    <row r="865" spans="1:5">
      <c r="A865" t="s">
        <v>5244</v>
      </c>
      <c r="B865" t="s">
        <v>530</v>
      </c>
      <c r="C865" t="s">
        <v>2005</v>
      </c>
      <c r="D865" t="s">
        <v>5161</v>
      </c>
      <c r="E865" t="s">
        <v>5159</v>
      </c>
    </row>
    <row r="866" spans="1:5">
      <c r="A866" t="s">
        <v>5244</v>
      </c>
      <c r="B866" t="s">
        <v>2006</v>
      </c>
      <c r="C866" t="s">
        <v>2007</v>
      </c>
      <c r="D866" t="s">
        <v>5158</v>
      </c>
      <c r="E866" t="s">
        <v>5159</v>
      </c>
    </row>
    <row r="867" spans="1:5">
      <c r="A867" t="s">
        <v>5244</v>
      </c>
      <c r="B867" t="s">
        <v>531</v>
      </c>
      <c r="C867" t="s">
        <v>5150</v>
      </c>
      <c r="D867" t="s">
        <v>5158</v>
      </c>
      <c r="E867" t="s">
        <v>5159</v>
      </c>
    </row>
    <row r="868" spans="1:5">
      <c r="A868" t="s">
        <v>5244</v>
      </c>
      <c r="B868" t="s">
        <v>533</v>
      </c>
      <c r="C868" t="s">
        <v>2008</v>
      </c>
      <c r="D868" t="s">
        <v>5158</v>
      </c>
      <c r="E868" t="s">
        <v>5159</v>
      </c>
    </row>
    <row r="869" spans="1:5">
      <c r="A869" t="s">
        <v>5244</v>
      </c>
      <c r="B869" t="s">
        <v>534</v>
      </c>
      <c r="C869" t="s">
        <v>2009</v>
      </c>
      <c r="D869" t="s">
        <v>5158</v>
      </c>
      <c r="E869" t="s">
        <v>5159</v>
      </c>
    </row>
    <row r="870" spans="1:5">
      <c r="A870" t="s">
        <v>5244</v>
      </c>
      <c r="B870" t="s">
        <v>535</v>
      </c>
      <c r="C870" t="s">
        <v>2010</v>
      </c>
      <c r="D870" t="s">
        <v>5186</v>
      </c>
      <c r="E870" t="s">
        <v>5159</v>
      </c>
    </row>
    <row r="871" spans="1:5">
      <c r="A871" t="s">
        <v>5244</v>
      </c>
      <c r="B871" t="s">
        <v>536</v>
      </c>
      <c r="C871" t="s">
        <v>2011</v>
      </c>
      <c r="D871" t="s">
        <v>5158</v>
      </c>
      <c r="E871" t="s">
        <v>5159</v>
      </c>
    </row>
    <row r="872" spans="1:5">
      <c r="A872" t="s">
        <v>5244</v>
      </c>
      <c r="B872" t="s">
        <v>537</v>
      </c>
      <c r="C872" t="s">
        <v>2012</v>
      </c>
      <c r="D872" t="s">
        <v>5158</v>
      </c>
      <c r="E872" t="s">
        <v>5159</v>
      </c>
    </row>
    <row r="873" spans="1:5">
      <c r="A873" t="s">
        <v>5244</v>
      </c>
      <c r="B873" t="s">
        <v>5474</v>
      </c>
      <c r="C873" t="s">
        <v>5475</v>
      </c>
      <c r="D873" t="s">
        <v>5158</v>
      </c>
      <c r="E873" t="s">
        <v>5159</v>
      </c>
    </row>
    <row r="874" spans="1:5">
      <c r="A874" t="s">
        <v>5244</v>
      </c>
      <c r="B874" t="s">
        <v>5476</v>
      </c>
      <c r="C874" t="s">
        <v>5477</v>
      </c>
      <c r="D874" t="s">
        <v>5158</v>
      </c>
      <c r="E874" t="s">
        <v>5159</v>
      </c>
    </row>
    <row r="875" spans="1:5">
      <c r="A875" t="s">
        <v>5244</v>
      </c>
      <c r="B875" t="s">
        <v>538</v>
      </c>
      <c r="C875" t="s">
        <v>2013</v>
      </c>
      <c r="D875" t="s">
        <v>5158</v>
      </c>
      <c r="E875" t="s">
        <v>5159</v>
      </c>
    </row>
    <row r="876" spans="1:5">
      <c r="A876" t="s">
        <v>5244</v>
      </c>
      <c r="B876" t="s">
        <v>539</v>
      </c>
      <c r="C876" t="s">
        <v>6288</v>
      </c>
      <c r="D876" t="s">
        <v>5158</v>
      </c>
      <c r="E876" t="s">
        <v>5159</v>
      </c>
    </row>
    <row r="877" spans="1:5">
      <c r="A877" t="s">
        <v>5244</v>
      </c>
      <c r="B877" t="s">
        <v>540</v>
      </c>
      <c r="C877" t="s">
        <v>2014</v>
      </c>
      <c r="D877" t="s">
        <v>5158</v>
      </c>
      <c r="E877" t="s">
        <v>5159</v>
      </c>
    </row>
    <row r="878" spans="1:5">
      <c r="A878" t="s">
        <v>5244</v>
      </c>
      <c r="B878" t="s">
        <v>541</v>
      </c>
      <c r="C878" t="s">
        <v>2015</v>
      </c>
      <c r="D878" t="s">
        <v>5158</v>
      </c>
      <c r="E878" t="s">
        <v>5159</v>
      </c>
    </row>
    <row r="879" spans="1:5">
      <c r="A879" t="s">
        <v>5244</v>
      </c>
      <c r="B879" t="s">
        <v>542</v>
      </c>
      <c r="C879" t="s">
        <v>5151</v>
      </c>
      <c r="D879" t="s">
        <v>5186</v>
      </c>
      <c r="E879" t="s">
        <v>5159</v>
      </c>
    </row>
    <row r="880" spans="1:5">
      <c r="A880" t="s">
        <v>5244</v>
      </c>
      <c r="B880" t="s">
        <v>543</v>
      </c>
      <c r="C880" t="s">
        <v>2016</v>
      </c>
      <c r="D880" t="s">
        <v>5158</v>
      </c>
      <c r="E880" t="s">
        <v>5159</v>
      </c>
    </row>
    <row r="881" spans="1:5">
      <c r="A881" t="s">
        <v>5244</v>
      </c>
      <c r="B881" t="s">
        <v>544</v>
      </c>
      <c r="C881" t="s">
        <v>2017</v>
      </c>
      <c r="D881" t="s">
        <v>5158</v>
      </c>
      <c r="E881" t="s">
        <v>5159</v>
      </c>
    </row>
    <row r="882" spans="1:5">
      <c r="A882" t="s">
        <v>5244</v>
      </c>
      <c r="B882" t="s">
        <v>545</v>
      </c>
      <c r="C882" t="s">
        <v>2018</v>
      </c>
      <c r="D882" t="s">
        <v>5158</v>
      </c>
      <c r="E882" t="s">
        <v>5159</v>
      </c>
    </row>
    <row r="883" spans="1:5">
      <c r="A883" t="s">
        <v>5244</v>
      </c>
      <c r="B883" t="s">
        <v>546</v>
      </c>
      <c r="C883" t="s">
        <v>2019</v>
      </c>
      <c r="D883" t="s">
        <v>5161</v>
      </c>
      <c r="E883" t="s">
        <v>5159</v>
      </c>
    </row>
    <row r="884" spans="1:5">
      <c r="A884" t="s">
        <v>5244</v>
      </c>
      <c r="B884" t="s">
        <v>547</v>
      </c>
      <c r="C884" t="s">
        <v>2020</v>
      </c>
      <c r="D884" t="s">
        <v>5158</v>
      </c>
      <c r="E884" t="s">
        <v>5159</v>
      </c>
    </row>
    <row r="885" spans="1:5">
      <c r="A885" t="s">
        <v>5244</v>
      </c>
      <c r="B885" t="s">
        <v>548</v>
      </c>
      <c r="C885" t="s">
        <v>2021</v>
      </c>
      <c r="D885" t="s">
        <v>5158</v>
      </c>
      <c r="E885" t="s">
        <v>5159</v>
      </c>
    </row>
    <row r="886" spans="1:5">
      <c r="A886" t="s">
        <v>5244</v>
      </c>
      <c r="B886" t="s">
        <v>549</v>
      </c>
      <c r="C886" t="s">
        <v>2022</v>
      </c>
      <c r="D886" t="s">
        <v>5158</v>
      </c>
      <c r="E886" t="s">
        <v>5159</v>
      </c>
    </row>
    <row r="887" spans="1:5">
      <c r="A887" t="s">
        <v>5244</v>
      </c>
      <c r="B887" t="s">
        <v>550</v>
      </c>
      <c r="C887" t="s">
        <v>4509</v>
      </c>
      <c r="D887" t="s">
        <v>5186</v>
      </c>
      <c r="E887" t="s">
        <v>5159</v>
      </c>
    </row>
    <row r="888" spans="1:5">
      <c r="A888" t="s">
        <v>5244</v>
      </c>
      <c r="B888" t="s">
        <v>551</v>
      </c>
      <c r="C888" t="s">
        <v>2023</v>
      </c>
      <c r="D888" t="s">
        <v>5158</v>
      </c>
      <c r="E888" t="s">
        <v>5159</v>
      </c>
    </row>
    <row r="889" spans="1:5">
      <c r="A889" t="s">
        <v>5244</v>
      </c>
      <c r="B889" t="s">
        <v>552</v>
      </c>
      <c r="C889" t="s">
        <v>2024</v>
      </c>
      <c r="D889" t="s">
        <v>5186</v>
      </c>
      <c r="E889" t="s">
        <v>5159</v>
      </c>
    </row>
    <row r="890" spans="1:5">
      <c r="A890" t="s">
        <v>5244</v>
      </c>
      <c r="B890" t="s">
        <v>553</v>
      </c>
      <c r="C890" t="s">
        <v>2025</v>
      </c>
      <c r="D890" t="s">
        <v>5158</v>
      </c>
      <c r="E890" t="s">
        <v>5159</v>
      </c>
    </row>
    <row r="891" spans="1:5">
      <c r="A891" t="s">
        <v>5244</v>
      </c>
      <c r="B891" t="s">
        <v>2026</v>
      </c>
      <c r="C891" t="s">
        <v>2027</v>
      </c>
      <c r="D891" t="s">
        <v>5194</v>
      </c>
      <c r="E891" t="s">
        <v>5159</v>
      </c>
    </row>
    <row r="892" spans="1:5">
      <c r="A892" t="s">
        <v>5244</v>
      </c>
      <c r="B892" t="s">
        <v>554</v>
      </c>
      <c r="C892" t="s">
        <v>2028</v>
      </c>
      <c r="D892" t="s">
        <v>5186</v>
      </c>
      <c r="E892" t="s">
        <v>5159</v>
      </c>
    </row>
    <row r="893" spans="1:5">
      <c r="A893" t="s">
        <v>5244</v>
      </c>
      <c r="B893" t="s">
        <v>555</v>
      </c>
      <c r="C893" t="s">
        <v>2029</v>
      </c>
      <c r="D893" t="s">
        <v>5186</v>
      </c>
      <c r="E893" t="s">
        <v>5159</v>
      </c>
    </row>
    <row r="894" spans="1:5">
      <c r="A894" t="s">
        <v>5244</v>
      </c>
      <c r="B894" t="s">
        <v>2030</v>
      </c>
      <c r="C894" t="s">
        <v>2031</v>
      </c>
      <c r="D894" t="s">
        <v>5201</v>
      </c>
      <c r="E894" t="s">
        <v>5159</v>
      </c>
    </row>
    <row r="895" spans="1:5">
      <c r="A895" t="s">
        <v>5244</v>
      </c>
      <c r="B895" t="s">
        <v>556</v>
      </c>
      <c r="C895" t="s">
        <v>2032</v>
      </c>
      <c r="D895" t="s">
        <v>5158</v>
      </c>
      <c r="E895" t="s">
        <v>5159</v>
      </c>
    </row>
    <row r="896" spans="1:5">
      <c r="A896" t="s">
        <v>5244</v>
      </c>
      <c r="B896" t="s">
        <v>557</v>
      </c>
      <c r="C896" t="s">
        <v>2033</v>
      </c>
      <c r="D896" t="s">
        <v>5158</v>
      </c>
      <c r="E896" t="s">
        <v>5159</v>
      </c>
    </row>
    <row r="897" spans="1:5">
      <c r="A897" t="s">
        <v>5244</v>
      </c>
      <c r="B897" t="s">
        <v>558</v>
      </c>
      <c r="C897" t="s">
        <v>2034</v>
      </c>
      <c r="D897" t="s">
        <v>5158</v>
      </c>
      <c r="E897" t="s">
        <v>5159</v>
      </c>
    </row>
    <row r="898" spans="1:5">
      <c r="A898" t="s">
        <v>5244</v>
      </c>
      <c r="B898" t="s">
        <v>559</v>
      </c>
      <c r="C898" t="s">
        <v>5478</v>
      </c>
      <c r="D898" t="s">
        <v>5158</v>
      </c>
      <c r="E898" t="s">
        <v>5159</v>
      </c>
    </row>
    <row r="899" spans="1:5">
      <c r="A899" t="s">
        <v>5244</v>
      </c>
      <c r="B899" t="s">
        <v>560</v>
      </c>
      <c r="C899" t="s">
        <v>2035</v>
      </c>
      <c r="D899" t="s">
        <v>5158</v>
      </c>
      <c r="E899" t="s">
        <v>5159</v>
      </c>
    </row>
    <row r="900" spans="1:5">
      <c r="A900" t="s">
        <v>5244</v>
      </c>
      <c r="B900" t="s">
        <v>561</v>
      </c>
      <c r="C900" t="s">
        <v>5479</v>
      </c>
      <c r="D900" t="s">
        <v>5186</v>
      </c>
      <c r="E900" t="s">
        <v>5159</v>
      </c>
    </row>
    <row r="901" spans="1:5">
      <c r="A901" t="s">
        <v>5244</v>
      </c>
      <c r="B901" t="s">
        <v>562</v>
      </c>
      <c r="C901" t="s">
        <v>2036</v>
      </c>
      <c r="D901" t="s">
        <v>5158</v>
      </c>
      <c r="E901" t="s">
        <v>5159</v>
      </c>
    </row>
    <row r="902" spans="1:5">
      <c r="A902" t="s">
        <v>5244</v>
      </c>
      <c r="B902" t="s">
        <v>563</v>
      </c>
      <c r="C902" t="s">
        <v>2037</v>
      </c>
      <c r="D902" t="s">
        <v>5158</v>
      </c>
      <c r="E902" t="s">
        <v>5159</v>
      </c>
    </row>
    <row r="903" spans="1:5">
      <c r="A903" t="s">
        <v>5244</v>
      </c>
      <c r="B903" t="s">
        <v>564</v>
      </c>
      <c r="C903" t="s">
        <v>2038</v>
      </c>
      <c r="D903" t="s">
        <v>5158</v>
      </c>
      <c r="E903" t="s">
        <v>5159</v>
      </c>
    </row>
    <row r="904" spans="1:5">
      <c r="A904" t="s">
        <v>5244</v>
      </c>
      <c r="B904" t="s">
        <v>565</v>
      </c>
      <c r="C904" t="s">
        <v>2039</v>
      </c>
      <c r="D904" t="s">
        <v>5158</v>
      </c>
      <c r="E904" t="s">
        <v>5159</v>
      </c>
    </row>
    <row r="905" spans="1:5">
      <c r="A905" t="s">
        <v>5244</v>
      </c>
      <c r="B905" t="s">
        <v>5480</v>
      </c>
      <c r="C905" t="s">
        <v>5481</v>
      </c>
      <c r="D905" t="s">
        <v>5186</v>
      </c>
      <c r="E905" t="s">
        <v>5159</v>
      </c>
    </row>
    <row r="906" spans="1:5">
      <c r="A906" t="s">
        <v>5244</v>
      </c>
      <c r="B906" t="s">
        <v>566</v>
      </c>
      <c r="C906" t="s">
        <v>2040</v>
      </c>
      <c r="D906" t="s">
        <v>5158</v>
      </c>
      <c r="E906" t="s">
        <v>5159</v>
      </c>
    </row>
    <row r="907" spans="1:5">
      <c r="A907" t="s">
        <v>5244</v>
      </c>
      <c r="B907" t="s">
        <v>5482</v>
      </c>
      <c r="C907" t="s">
        <v>5483</v>
      </c>
      <c r="D907" t="s">
        <v>5158</v>
      </c>
      <c r="E907" t="s">
        <v>5159</v>
      </c>
    </row>
    <row r="908" spans="1:5">
      <c r="A908" t="s">
        <v>5244</v>
      </c>
      <c r="B908" t="s">
        <v>567</v>
      </c>
      <c r="C908" t="s">
        <v>2041</v>
      </c>
      <c r="D908" t="s">
        <v>5158</v>
      </c>
      <c r="E908" t="s">
        <v>5159</v>
      </c>
    </row>
    <row r="909" spans="1:5">
      <c r="A909" t="s">
        <v>5244</v>
      </c>
      <c r="B909" t="s">
        <v>568</v>
      </c>
      <c r="C909" t="s">
        <v>2042</v>
      </c>
      <c r="D909" t="s">
        <v>5158</v>
      </c>
      <c r="E909" t="s">
        <v>5159</v>
      </c>
    </row>
    <row r="910" spans="1:5">
      <c r="A910" t="s">
        <v>5244</v>
      </c>
      <c r="B910" t="s">
        <v>5484</v>
      </c>
      <c r="C910" t="s">
        <v>5485</v>
      </c>
      <c r="D910" t="s">
        <v>5157</v>
      </c>
      <c r="E910" t="s">
        <v>5157</v>
      </c>
    </row>
    <row r="911" spans="1:5">
      <c r="A911" t="s">
        <v>5244</v>
      </c>
      <c r="B911" t="s">
        <v>569</v>
      </c>
      <c r="C911" t="s">
        <v>2043</v>
      </c>
      <c r="D911" t="s">
        <v>5158</v>
      </c>
      <c r="E911" t="s">
        <v>5159</v>
      </c>
    </row>
    <row r="912" spans="1:5">
      <c r="A912" t="s">
        <v>5244</v>
      </c>
      <c r="B912" t="s">
        <v>2044</v>
      </c>
      <c r="C912" t="s">
        <v>2045</v>
      </c>
      <c r="D912" t="s">
        <v>5158</v>
      </c>
      <c r="E912" t="s">
        <v>5159</v>
      </c>
    </row>
    <row r="913" spans="1:5">
      <c r="A913" t="s">
        <v>5244</v>
      </c>
      <c r="B913" t="s">
        <v>570</v>
      </c>
      <c r="C913" t="s">
        <v>2046</v>
      </c>
      <c r="D913" t="s">
        <v>5158</v>
      </c>
      <c r="E913" t="s">
        <v>5159</v>
      </c>
    </row>
    <row r="914" spans="1:5">
      <c r="A914" t="s">
        <v>5244</v>
      </c>
      <c r="B914" t="s">
        <v>571</v>
      </c>
      <c r="C914" t="s">
        <v>2047</v>
      </c>
      <c r="D914" t="s">
        <v>5158</v>
      </c>
      <c r="E914" t="s">
        <v>5159</v>
      </c>
    </row>
    <row r="915" spans="1:5">
      <c r="A915" t="s">
        <v>5244</v>
      </c>
      <c r="B915" t="s">
        <v>2048</v>
      </c>
      <c r="C915" t="s">
        <v>2049</v>
      </c>
      <c r="D915" t="s">
        <v>5186</v>
      </c>
      <c r="E915" t="s">
        <v>5159</v>
      </c>
    </row>
    <row r="916" spans="1:5">
      <c r="A916" t="s">
        <v>5244</v>
      </c>
      <c r="B916" t="s">
        <v>572</v>
      </c>
      <c r="C916" t="s">
        <v>2050</v>
      </c>
      <c r="D916" t="s">
        <v>5186</v>
      </c>
      <c r="E916" t="s">
        <v>5159</v>
      </c>
    </row>
    <row r="917" spans="1:5">
      <c r="A917" t="s">
        <v>5244</v>
      </c>
      <c r="B917" t="s">
        <v>573</v>
      </c>
      <c r="C917" t="s">
        <v>2051</v>
      </c>
      <c r="D917" t="s">
        <v>5186</v>
      </c>
      <c r="E917" t="s">
        <v>5159</v>
      </c>
    </row>
    <row r="918" spans="1:5">
      <c r="A918" t="s">
        <v>5244</v>
      </c>
      <c r="B918" t="s">
        <v>574</v>
      </c>
      <c r="C918" t="s">
        <v>2052</v>
      </c>
      <c r="D918" t="s">
        <v>5158</v>
      </c>
      <c r="E918" t="s">
        <v>5159</v>
      </c>
    </row>
    <row r="919" spans="1:5">
      <c r="A919" t="s">
        <v>5244</v>
      </c>
      <c r="B919" t="s">
        <v>575</v>
      </c>
      <c r="C919" t="s">
        <v>2053</v>
      </c>
      <c r="D919" t="s">
        <v>5158</v>
      </c>
      <c r="E919" t="s">
        <v>5159</v>
      </c>
    </row>
    <row r="920" spans="1:5">
      <c r="A920" t="s">
        <v>5244</v>
      </c>
      <c r="B920" t="s">
        <v>576</v>
      </c>
      <c r="C920" t="s">
        <v>2054</v>
      </c>
      <c r="D920" t="s">
        <v>5158</v>
      </c>
      <c r="E920" t="s">
        <v>5159</v>
      </c>
    </row>
    <row r="921" spans="1:5">
      <c r="A921" t="s">
        <v>5244</v>
      </c>
      <c r="B921" t="s">
        <v>577</v>
      </c>
      <c r="C921" t="s">
        <v>2055</v>
      </c>
      <c r="D921" t="s">
        <v>5158</v>
      </c>
      <c r="E921" t="s">
        <v>5159</v>
      </c>
    </row>
    <row r="922" spans="1:5">
      <c r="A922" t="s">
        <v>5244</v>
      </c>
      <c r="B922" t="s">
        <v>578</v>
      </c>
      <c r="C922" t="s">
        <v>2056</v>
      </c>
      <c r="D922" t="s">
        <v>5158</v>
      </c>
      <c r="E922" t="s">
        <v>5159</v>
      </c>
    </row>
    <row r="923" spans="1:5">
      <c r="A923" t="s">
        <v>5244</v>
      </c>
      <c r="B923" t="s">
        <v>579</v>
      </c>
      <c r="C923" t="s">
        <v>5486</v>
      </c>
      <c r="D923" t="s">
        <v>5158</v>
      </c>
      <c r="E923" t="s">
        <v>5159</v>
      </c>
    </row>
    <row r="924" spans="1:5">
      <c r="A924" t="s">
        <v>5244</v>
      </c>
      <c r="B924" t="s">
        <v>580</v>
      </c>
      <c r="C924" t="s">
        <v>2057</v>
      </c>
      <c r="D924" t="s">
        <v>5158</v>
      </c>
      <c r="E924" t="s">
        <v>5159</v>
      </c>
    </row>
    <row r="925" spans="1:5">
      <c r="A925" t="s">
        <v>5244</v>
      </c>
      <c r="B925" t="s">
        <v>581</v>
      </c>
      <c r="C925" t="s">
        <v>2058</v>
      </c>
      <c r="D925" t="s">
        <v>5158</v>
      </c>
      <c r="E925" t="s">
        <v>5159</v>
      </c>
    </row>
    <row r="926" spans="1:5">
      <c r="A926" t="s">
        <v>5244</v>
      </c>
      <c r="B926" t="s">
        <v>582</v>
      </c>
      <c r="C926" t="s">
        <v>2059</v>
      </c>
      <c r="D926" t="s">
        <v>5158</v>
      </c>
      <c r="E926" t="s">
        <v>5159</v>
      </c>
    </row>
    <row r="927" spans="1:5">
      <c r="A927" t="s">
        <v>5244</v>
      </c>
      <c r="B927" t="s">
        <v>583</v>
      </c>
      <c r="C927" t="s">
        <v>2060</v>
      </c>
      <c r="D927" t="s">
        <v>5158</v>
      </c>
      <c r="E927" t="s">
        <v>5159</v>
      </c>
    </row>
    <row r="928" spans="1:5">
      <c r="A928" t="s">
        <v>5244</v>
      </c>
      <c r="B928" t="s">
        <v>584</v>
      </c>
      <c r="C928" t="s">
        <v>2061</v>
      </c>
      <c r="D928" t="s">
        <v>5158</v>
      </c>
      <c r="E928" t="s">
        <v>5159</v>
      </c>
    </row>
    <row r="929" spans="1:5">
      <c r="A929" t="s">
        <v>5244</v>
      </c>
      <c r="B929" t="s">
        <v>585</v>
      </c>
      <c r="C929" t="s">
        <v>5487</v>
      </c>
      <c r="D929" t="s">
        <v>5158</v>
      </c>
      <c r="E929" t="s">
        <v>5159</v>
      </c>
    </row>
    <row r="930" spans="1:5">
      <c r="A930" t="s">
        <v>5244</v>
      </c>
      <c r="B930" t="s">
        <v>2062</v>
      </c>
      <c r="C930" t="s">
        <v>2063</v>
      </c>
      <c r="D930" t="s">
        <v>5158</v>
      </c>
      <c r="E930" t="s">
        <v>5159</v>
      </c>
    </row>
    <row r="931" spans="1:5">
      <c r="A931" t="s">
        <v>5244</v>
      </c>
      <c r="B931" t="s">
        <v>586</v>
      </c>
      <c r="C931" t="s">
        <v>2064</v>
      </c>
      <c r="D931" t="s">
        <v>5158</v>
      </c>
      <c r="E931" t="s">
        <v>5159</v>
      </c>
    </row>
    <row r="932" spans="1:5">
      <c r="A932" t="s">
        <v>5244</v>
      </c>
      <c r="B932" t="s">
        <v>587</v>
      </c>
      <c r="C932" t="s">
        <v>2065</v>
      </c>
      <c r="D932" t="s">
        <v>5158</v>
      </c>
      <c r="E932" t="s">
        <v>5159</v>
      </c>
    </row>
    <row r="933" spans="1:5">
      <c r="A933" t="s">
        <v>5244</v>
      </c>
      <c r="B933" t="s">
        <v>588</v>
      </c>
      <c r="C933" t="s">
        <v>2066</v>
      </c>
      <c r="D933" t="s">
        <v>5158</v>
      </c>
      <c r="E933" t="s">
        <v>5159</v>
      </c>
    </row>
    <row r="934" spans="1:5">
      <c r="A934" t="s">
        <v>5244</v>
      </c>
      <c r="B934" t="s">
        <v>589</v>
      </c>
      <c r="C934" t="s">
        <v>2067</v>
      </c>
      <c r="D934" t="s">
        <v>5186</v>
      </c>
      <c r="E934" t="s">
        <v>5159</v>
      </c>
    </row>
    <row r="935" spans="1:5">
      <c r="A935" t="s">
        <v>5244</v>
      </c>
      <c r="B935" t="s">
        <v>590</v>
      </c>
      <c r="C935" t="s">
        <v>1565</v>
      </c>
      <c r="D935" t="s">
        <v>5158</v>
      </c>
      <c r="E935" t="s">
        <v>5159</v>
      </c>
    </row>
    <row r="936" spans="1:5">
      <c r="A936" t="s">
        <v>5244</v>
      </c>
      <c r="B936" t="s">
        <v>2068</v>
      </c>
      <c r="C936" t="s">
        <v>2069</v>
      </c>
      <c r="D936" t="s">
        <v>5186</v>
      </c>
      <c r="E936" t="s">
        <v>5159</v>
      </c>
    </row>
    <row r="937" spans="1:5">
      <c r="A937" t="s">
        <v>5244</v>
      </c>
      <c r="B937" t="s">
        <v>591</v>
      </c>
      <c r="C937" t="s">
        <v>2070</v>
      </c>
      <c r="D937" t="s">
        <v>5158</v>
      </c>
      <c r="E937" t="s">
        <v>5159</v>
      </c>
    </row>
    <row r="938" spans="1:5">
      <c r="A938" t="s">
        <v>5244</v>
      </c>
      <c r="B938" t="s">
        <v>592</v>
      </c>
      <c r="C938" t="s">
        <v>2072</v>
      </c>
      <c r="D938" t="s">
        <v>5158</v>
      </c>
      <c r="E938" t="s">
        <v>5159</v>
      </c>
    </row>
    <row r="939" spans="1:5">
      <c r="A939" t="s">
        <v>5244</v>
      </c>
      <c r="B939" t="s">
        <v>593</v>
      </c>
      <c r="C939" t="s">
        <v>1639</v>
      </c>
      <c r="D939" t="s">
        <v>5158</v>
      </c>
      <c r="E939" t="s">
        <v>5159</v>
      </c>
    </row>
    <row r="940" spans="1:5">
      <c r="A940" t="s">
        <v>5244</v>
      </c>
      <c r="B940" t="s">
        <v>594</v>
      </c>
      <c r="C940" t="s">
        <v>2073</v>
      </c>
      <c r="D940" t="s">
        <v>5158</v>
      </c>
      <c r="E940" t="s">
        <v>5159</v>
      </c>
    </row>
    <row r="941" spans="1:5">
      <c r="A941" t="s">
        <v>5244</v>
      </c>
      <c r="B941" t="s">
        <v>595</v>
      </c>
      <c r="C941" t="s">
        <v>2074</v>
      </c>
      <c r="D941" t="s">
        <v>5158</v>
      </c>
      <c r="E941" t="s">
        <v>5159</v>
      </c>
    </row>
    <row r="942" spans="1:5">
      <c r="A942" t="s">
        <v>5244</v>
      </c>
      <c r="B942" t="s">
        <v>596</v>
      </c>
      <c r="C942" t="s">
        <v>2075</v>
      </c>
      <c r="D942" t="s">
        <v>5158</v>
      </c>
      <c r="E942" t="s">
        <v>5159</v>
      </c>
    </row>
    <row r="943" spans="1:5">
      <c r="A943" t="s">
        <v>5244</v>
      </c>
      <c r="B943" t="s">
        <v>597</v>
      </c>
      <c r="C943" t="s">
        <v>2076</v>
      </c>
      <c r="D943" t="s">
        <v>5158</v>
      </c>
      <c r="E943" t="s">
        <v>5159</v>
      </c>
    </row>
    <row r="944" spans="1:5">
      <c r="A944" t="s">
        <v>5244</v>
      </c>
      <c r="B944" t="s">
        <v>5152</v>
      </c>
      <c r="C944" t="s">
        <v>4420</v>
      </c>
      <c r="D944" t="s">
        <v>5158</v>
      </c>
      <c r="E944" t="s">
        <v>5159</v>
      </c>
    </row>
    <row r="945" spans="1:5">
      <c r="A945" t="s">
        <v>5488</v>
      </c>
      <c r="B945" t="s">
        <v>599</v>
      </c>
      <c r="C945" t="s">
        <v>2077</v>
      </c>
      <c r="D945" t="s">
        <v>5160</v>
      </c>
      <c r="E945" t="s">
        <v>5159</v>
      </c>
    </row>
    <row r="946" spans="1:5">
      <c r="A946" t="s">
        <v>5244</v>
      </c>
      <c r="B946" t="s">
        <v>599</v>
      </c>
      <c r="C946" t="s">
        <v>2077</v>
      </c>
      <c r="D946" t="s">
        <v>5160</v>
      </c>
      <c r="E946" t="s">
        <v>5159</v>
      </c>
    </row>
    <row r="947" spans="1:5">
      <c r="A947" t="s">
        <v>5244</v>
      </c>
      <c r="B947" t="s">
        <v>600</v>
      </c>
      <c r="C947" t="s">
        <v>2078</v>
      </c>
      <c r="D947" t="s">
        <v>5160</v>
      </c>
      <c r="E947" t="s">
        <v>5159</v>
      </c>
    </row>
    <row r="948" spans="1:5">
      <c r="A948" t="s">
        <v>5241</v>
      </c>
      <c r="B948" t="s">
        <v>600</v>
      </c>
      <c r="C948" t="s">
        <v>2078</v>
      </c>
      <c r="D948" t="s">
        <v>5160</v>
      </c>
      <c r="E948" t="s">
        <v>5159</v>
      </c>
    </row>
    <row r="949" spans="1:5">
      <c r="A949" t="s">
        <v>5488</v>
      </c>
      <c r="B949" t="s">
        <v>600</v>
      </c>
      <c r="C949" t="s">
        <v>2078</v>
      </c>
      <c r="D949" t="s">
        <v>5160</v>
      </c>
      <c r="E949" t="s">
        <v>5159</v>
      </c>
    </row>
    <row r="950" spans="1:5">
      <c r="A950" t="s">
        <v>5488</v>
      </c>
      <c r="B950" t="s">
        <v>601</v>
      </c>
      <c r="C950" t="s">
        <v>2079</v>
      </c>
      <c r="D950" t="s">
        <v>5160</v>
      </c>
      <c r="E950" t="s">
        <v>5159</v>
      </c>
    </row>
    <row r="951" spans="1:5">
      <c r="A951" t="s">
        <v>5244</v>
      </c>
      <c r="B951" t="s">
        <v>601</v>
      </c>
      <c r="C951" t="s">
        <v>2079</v>
      </c>
      <c r="D951" t="s">
        <v>5160</v>
      </c>
      <c r="E951" t="s">
        <v>5159</v>
      </c>
    </row>
    <row r="952" spans="1:5">
      <c r="A952" t="s">
        <v>5488</v>
      </c>
      <c r="B952" t="s">
        <v>602</v>
      </c>
      <c r="C952" t="s">
        <v>2080</v>
      </c>
      <c r="D952" t="s">
        <v>5160</v>
      </c>
      <c r="E952" t="s">
        <v>5159</v>
      </c>
    </row>
    <row r="953" spans="1:5">
      <c r="A953" t="s">
        <v>5244</v>
      </c>
      <c r="B953" t="s">
        <v>602</v>
      </c>
      <c r="C953" t="s">
        <v>2080</v>
      </c>
      <c r="D953" t="s">
        <v>5160</v>
      </c>
      <c r="E953" t="s">
        <v>5159</v>
      </c>
    </row>
    <row r="954" spans="1:5">
      <c r="A954" t="s">
        <v>5244</v>
      </c>
      <c r="B954" t="s">
        <v>2081</v>
      </c>
      <c r="C954" t="s">
        <v>2082</v>
      </c>
      <c r="D954" t="s">
        <v>5202</v>
      </c>
      <c r="E954" t="s">
        <v>5159</v>
      </c>
    </row>
    <row r="955" spans="1:5">
      <c r="A955" t="s">
        <v>5244</v>
      </c>
      <c r="B955" t="s">
        <v>2083</v>
      </c>
      <c r="C955" t="s">
        <v>2084</v>
      </c>
      <c r="D955" t="s">
        <v>5187</v>
      </c>
      <c r="E955" t="s">
        <v>5159</v>
      </c>
    </row>
    <row r="956" spans="1:5">
      <c r="A956" t="s">
        <v>5244</v>
      </c>
      <c r="B956" t="s">
        <v>5489</v>
      </c>
      <c r="C956" t="s">
        <v>5490</v>
      </c>
      <c r="D956" t="s">
        <v>5158</v>
      </c>
      <c r="E956" t="s">
        <v>5159</v>
      </c>
    </row>
    <row r="957" spans="1:5">
      <c r="A957" t="s">
        <v>5244</v>
      </c>
      <c r="B957" t="s">
        <v>5491</v>
      </c>
      <c r="C957" t="s">
        <v>5492</v>
      </c>
      <c r="D957" t="s">
        <v>5158</v>
      </c>
      <c r="E957" t="s">
        <v>5159</v>
      </c>
    </row>
    <row r="958" spans="1:5">
      <c r="A958" t="s">
        <v>5244</v>
      </c>
      <c r="B958" t="s">
        <v>603</v>
      </c>
      <c r="C958" t="s">
        <v>2085</v>
      </c>
      <c r="D958" t="s">
        <v>5158</v>
      </c>
      <c r="E958" t="s">
        <v>5159</v>
      </c>
    </row>
    <row r="959" spans="1:5">
      <c r="A959" t="s">
        <v>5244</v>
      </c>
      <c r="B959" t="s">
        <v>604</v>
      </c>
      <c r="C959" t="s">
        <v>2086</v>
      </c>
      <c r="D959" t="s">
        <v>5158</v>
      </c>
      <c r="E959" t="s">
        <v>5159</v>
      </c>
    </row>
    <row r="960" spans="1:5">
      <c r="A960" t="s">
        <v>5244</v>
      </c>
      <c r="B960" t="s">
        <v>605</v>
      </c>
      <c r="C960" t="s">
        <v>2087</v>
      </c>
      <c r="D960" t="s">
        <v>5158</v>
      </c>
      <c r="E960" t="s">
        <v>5159</v>
      </c>
    </row>
    <row r="961" spans="1:5">
      <c r="A961" t="s">
        <v>5244</v>
      </c>
      <c r="B961" t="s">
        <v>606</v>
      </c>
      <c r="C961" t="s">
        <v>2088</v>
      </c>
      <c r="D961" t="s">
        <v>5187</v>
      </c>
      <c r="E961" t="s">
        <v>5159</v>
      </c>
    </row>
    <row r="962" spans="1:5">
      <c r="A962" t="s">
        <v>5244</v>
      </c>
      <c r="B962" t="s">
        <v>2089</v>
      </c>
      <c r="C962" t="s">
        <v>2090</v>
      </c>
      <c r="D962" t="s">
        <v>5158</v>
      </c>
      <c r="E962" t="s">
        <v>5159</v>
      </c>
    </row>
    <row r="963" spans="1:5">
      <c r="A963" t="s">
        <v>5244</v>
      </c>
      <c r="B963" t="s">
        <v>607</v>
      </c>
      <c r="C963" t="s">
        <v>5493</v>
      </c>
      <c r="D963" t="s">
        <v>5158</v>
      </c>
      <c r="E963" t="s">
        <v>5159</v>
      </c>
    </row>
    <row r="964" spans="1:5">
      <c r="A964" t="s">
        <v>5244</v>
      </c>
      <c r="B964" t="s">
        <v>5153</v>
      </c>
      <c r="C964" t="s">
        <v>5154</v>
      </c>
      <c r="D964" t="s">
        <v>5158</v>
      </c>
      <c r="E964" t="s">
        <v>5159</v>
      </c>
    </row>
    <row r="965" spans="1:5">
      <c r="A965" t="s">
        <v>5244</v>
      </c>
      <c r="B965" t="s">
        <v>608</v>
      </c>
      <c r="C965" t="s">
        <v>5494</v>
      </c>
      <c r="D965" t="s">
        <v>5158</v>
      </c>
      <c r="E965" t="s">
        <v>5159</v>
      </c>
    </row>
    <row r="966" spans="1:5">
      <c r="A966" t="s">
        <v>5244</v>
      </c>
      <c r="B966" t="s">
        <v>2091</v>
      </c>
      <c r="C966" t="s">
        <v>2092</v>
      </c>
      <c r="D966" t="s">
        <v>5158</v>
      </c>
      <c r="E966" t="s">
        <v>5159</v>
      </c>
    </row>
    <row r="967" spans="1:5">
      <c r="A967" t="s">
        <v>5244</v>
      </c>
      <c r="B967" t="s">
        <v>2093</v>
      </c>
      <c r="C967" t="s">
        <v>2094</v>
      </c>
      <c r="D967" t="s">
        <v>5158</v>
      </c>
      <c r="E967" t="s">
        <v>5159</v>
      </c>
    </row>
    <row r="968" spans="1:5">
      <c r="A968" t="s">
        <v>5244</v>
      </c>
      <c r="B968" t="s">
        <v>609</v>
      </c>
      <c r="C968" t="s">
        <v>2095</v>
      </c>
      <c r="D968" t="s">
        <v>5190</v>
      </c>
      <c r="E968" t="s">
        <v>5159</v>
      </c>
    </row>
    <row r="969" spans="1:5">
      <c r="A969" t="s">
        <v>5244</v>
      </c>
      <c r="B969" t="s">
        <v>610</v>
      </c>
      <c r="C969" t="s">
        <v>2096</v>
      </c>
      <c r="D969" t="s">
        <v>5190</v>
      </c>
      <c r="E969" t="s">
        <v>5159</v>
      </c>
    </row>
    <row r="970" spans="1:5">
      <c r="A970" t="s">
        <v>5488</v>
      </c>
      <c r="B970" t="s">
        <v>611</v>
      </c>
      <c r="C970" t="s">
        <v>2097</v>
      </c>
      <c r="D970" t="s">
        <v>5160</v>
      </c>
      <c r="E970" t="s">
        <v>5159</v>
      </c>
    </row>
    <row r="971" spans="1:5">
      <c r="A971" t="s">
        <v>5244</v>
      </c>
      <c r="B971" t="s">
        <v>611</v>
      </c>
      <c r="C971" t="s">
        <v>2097</v>
      </c>
      <c r="D971" t="s">
        <v>5160</v>
      </c>
      <c r="E971" t="s">
        <v>5159</v>
      </c>
    </row>
    <row r="972" spans="1:5">
      <c r="A972" t="s">
        <v>5488</v>
      </c>
      <c r="B972" t="s">
        <v>2098</v>
      </c>
      <c r="C972" t="s">
        <v>2099</v>
      </c>
      <c r="D972" t="s">
        <v>5160</v>
      </c>
      <c r="E972" t="s">
        <v>5159</v>
      </c>
    </row>
    <row r="973" spans="1:5">
      <c r="A973" t="s">
        <v>5244</v>
      </c>
      <c r="B973" t="s">
        <v>2098</v>
      </c>
      <c r="C973" t="s">
        <v>2099</v>
      </c>
      <c r="D973" t="s">
        <v>5160</v>
      </c>
      <c r="E973" t="s">
        <v>5159</v>
      </c>
    </row>
    <row r="974" spans="1:5">
      <c r="A974" t="s">
        <v>5244</v>
      </c>
      <c r="B974" t="s">
        <v>612</v>
      </c>
      <c r="C974" t="s">
        <v>2100</v>
      </c>
      <c r="D974" t="s">
        <v>5186</v>
      </c>
      <c r="E974" t="s">
        <v>5159</v>
      </c>
    </row>
    <row r="975" spans="1:5">
      <c r="A975" t="s">
        <v>5244</v>
      </c>
      <c r="B975" t="s">
        <v>2101</v>
      </c>
      <c r="C975" t="s">
        <v>2102</v>
      </c>
      <c r="D975" t="s">
        <v>5186</v>
      </c>
      <c r="E975" t="s">
        <v>5159</v>
      </c>
    </row>
    <row r="976" spans="1:5">
      <c r="A976" t="s">
        <v>5244</v>
      </c>
      <c r="B976" t="s">
        <v>2103</v>
      </c>
      <c r="C976" t="s">
        <v>2104</v>
      </c>
      <c r="D976" t="s">
        <v>5186</v>
      </c>
      <c r="E976" t="s">
        <v>5159</v>
      </c>
    </row>
    <row r="977" spans="1:5">
      <c r="A977" t="s">
        <v>5244</v>
      </c>
      <c r="B977" t="s">
        <v>2105</v>
      </c>
      <c r="C977" t="s">
        <v>2106</v>
      </c>
      <c r="D977" t="s">
        <v>5186</v>
      </c>
      <c r="E977" t="s">
        <v>5159</v>
      </c>
    </row>
    <row r="978" spans="1:5">
      <c r="A978" t="s">
        <v>5244</v>
      </c>
      <c r="B978" t="s">
        <v>2107</v>
      </c>
      <c r="C978" t="s">
        <v>2108</v>
      </c>
      <c r="D978" t="s">
        <v>5186</v>
      </c>
      <c r="E978" t="s">
        <v>5159</v>
      </c>
    </row>
    <row r="979" spans="1:5">
      <c r="A979" t="s">
        <v>5244</v>
      </c>
      <c r="B979" t="s">
        <v>613</v>
      </c>
      <c r="C979" t="s">
        <v>2109</v>
      </c>
      <c r="D979" t="s">
        <v>5187</v>
      </c>
      <c r="E979" t="s">
        <v>5159</v>
      </c>
    </row>
    <row r="980" spans="1:5">
      <c r="A980" t="s">
        <v>5244</v>
      </c>
      <c r="B980" t="s">
        <v>2110</v>
      </c>
      <c r="C980" t="s">
        <v>2111</v>
      </c>
      <c r="D980" t="s">
        <v>5186</v>
      </c>
      <c r="E980" t="s">
        <v>5159</v>
      </c>
    </row>
    <row r="981" spans="1:5">
      <c r="A981" t="s">
        <v>5488</v>
      </c>
      <c r="B981" t="s">
        <v>614</v>
      </c>
      <c r="C981" t="s">
        <v>2112</v>
      </c>
      <c r="D981" t="s">
        <v>5160</v>
      </c>
      <c r="E981" t="s">
        <v>5159</v>
      </c>
    </row>
    <row r="982" spans="1:5">
      <c r="A982" t="s">
        <v>5244</v>
      </c>
      <c r="B982" t="s">
        <v>614</v>
      </c>
      <c r="C982" t="s">
        <v>2112</v>
      </c>
      <c r="D982" t="s">
        <v>5160</v>
      </c>
      <c r="E982" t="s">
        <v>5159</v>
      </c>
    </row>
    <row r="983" spans="1:5">
      <c r="A983" t="s">
        <v>5244</v>
      </c>
      <c r="B983" t="s">
        <v>615</v>
      </c>
      <c r="C983" t="s">
        <v>2113</v>
      </c>
      <c r="D983" t="s">
        <v>5158</v>
      </c>
      <c r="E983" t="s">
        <v>5159</v>
      </c>
    </row>
    <row r="984" spans="1:5">
      <c r="A984" t="s">
        <v>5244</v>
      </c>
      <c r="B984" t="s">
        <v>616</v>
      </c>
      <c r="C984" t="s">
        <v>2114</v>
      </c>
      <c r="D984" t="s">
        <v>5186</v>
      </c>
      <c r="E984" t="s">
        <v>5159</v>
      </c>
    </row>
    <row r="985" spans="1:5">
      <c r="A985" t="s">
        <v>5244</v>
      </c>
      <c r="B985" t="s">
        <v>617</v>
      </c>
      <c r="C985" t="s">
        <v>2115</v>
      </c>
      <c r="D985" t="s">
        <v>5186</v>
      </c>
      <c r="E985" t="s">
        <v>5159</v>
      </c>
    </row>
    <row r="986" spans="1:5">
      <c r="A986" t="s">
        <v>5244</v>
      </c>
      <c r="B986" t="s">
        <v>618</v>
      </c>
      <c r="C986" t="s">
        <v>2116</v>
      </c>
      <c r="D986" t="s">
        <v>5158</v>
      </c>
      <c r="E986" t="s">
        <v>5159</v>
      </c>
    </row>
    <row r="987" spans="1:5">
      <c r="A987" t="s">
        <v>5244</v>
      </c>
      <c r="B987" t="s">
        <v>619</v>
      </c>
      <c r="C987" t="s">
        <v>2117</v>
      </c>
      <c r="D987" t="s">
        <v>5158</v>
      </c>
      <c r="E987" t="s">
        <v>5159</v>
      </c>
    </row>
    <row r="988" spans="1:5">
      <c r="A988" t="s">
        <v>5244</v>
      </c>
      <c r="B988" t="s">
        <v>620</v>
      </c>
      <c r="C988" t="s">
        <v>5495</v>
      </c>
      <c r="D988" t="s">
        <v>5158</v>
      </c>
      <c r="E988" t="s">
        <v>5159</v>
      </c>
    </row>
    <row r="989" spans="1:5">
      <c r="A989" t="s">
        <v>5244</v>
      </c>
      <c r="B989" t="s">
        <v>2118</v>
      </c>
      <c r="C989" t="s">
        <v>2119</v>
      </c>
      <c r="D989" t="s">
        <v>5158</v>
      </c>
      <c r="E989" t="s">
        <v>5159</v>
      </c>
    </row>
    <row r="990" spans="1:5">
      <c r="A990" t="s">
        <v>5244</v>
      </c>
      <c r="B990" t="s">
        <v>621</v>
      </c>
      <c r="C990" t="s">
        <v>2120</v>
      </c>
      <c r="D990" t="s">
        <v>5158</v>
      </c>
      <c r="E990" t="s">
        <v>5159</v>
      </c>
    </row>
    <row r="991" spans="1:5">
      <c r="A991" t="s">
        <v>5244</v>
      </c>
      <c r="B991" t="s">
        <v>622</v>
      </c>
      <c r="C991" t="s">
        <v>2121</v>
      </c>
      <c r="D991" t="s">
        <v>5158</v>
      </c>
      <c r="E991" t="s">
        <v>5159</v>
      </c>
    </row>
    <row r="992" spans="1:5">
      <c r="A992" t="s">
        <v>5244</v>
      </c>
      <c r="B992" t="s">
        <v>623</v>
      </c>
      <c r="C992" t="s">
        <v>2122</v>
      </c>
      <c r="D992" t="s">
        <v>5158</v>
      </c>
      <c r="E992" t="s">
        <v>5159</v>
      </c>
    </row>
    <row r="993" spans="1:5">
      <c r="A993" t="s">
        <v>5244</v>
      </c>
      <c r="B993" t="s">
        <v>624</v>
      </c>
      <c r="C993" t="s">
        <v>2123</v>
      </c>
      <c r="D993" t="s">
        <v>5158</v>
      </c>
      <c r="E993" t="s">
        <v>5159</v>
      </c>
    </row>
    <row r="994" spans="1:5">
      <c r="A994" t="s">
        <v>5244</v>
      </c>
      <c r="B994" t="s">
        <v>2124</v>
      </c>
      <c r="C994" t="s">
        <v>2125</v>
      </c>
      <c r="D994" t="s">
        <v>5158</v>
      </c>
      <c r="E994" t="s">
        <v>5159</v>
      </c>
    </row>
    <row r="995" spans="1:5">
      <c r="A995" t="s">
        <v>5244</v>
      </c>
      <c r="B995" t="s">
        <v>625</v>
      </c>
      <c r="C995" t="s">
        <v>5496</v>
      </c>
      <c r="D995" t="s">
        <v>5158</v>
      </c>
      <c r="E995" t="s">
        <v>5159</v>
      </c>
    </row>
    <row r="996" spans="1:5">
      <c r="A996" t="s">
        <v>5244</v>
      </c>
      <c r="B996" t="s">
        <v>626</v>
      </c>
      <c r="C996" t="s">
        <v>2126</v>
      </c>
      <c r="D996" t="s">
        <v>5158</v>
      </c>
      <c r="E996" t="s">
        <v>5159</v>
      </c>
    </row>
    <row r="997" spans="1:5">
      <c r="A997" t="s">
        <v>5244</v>
      </c>
      <c r="B997" t="s">
        <v>627</v>
      </c>
      <c r="C997" t="s">
        <v>2127</v>
      </c>
      <c r="D997" t="s">
        <v>5187</v>
      </c>
      <c r="E997" t="s">
        <v>5159</v>
      </c>
    </row>
    <row r="998" spans="1:5">
      <c r="A998" t="s">
        <v>5244</v>
      </c>
      <c r="B998" t="s">
        <v>628</v>
      </c>
      <c r="C998" t="s">
        <v>2088</v>
      </c>
      <c r="D998" t="s">
        <v>5187</v>
      </c>
      <c r="E998" t="s">
        <v>5159</v>
      </c>
    </row>
    <row r="999" spans="1:5">
      <c r="A999" t="s">
        <v>5244</v>
      </c>
      <c r="B999" t="s">
        <v>629</v>
      </c>
      <c r="C999" t="s">
        <v>2128</v>
      </c>
      <c r="D999" t="s">
        <v>5158</v>
      </c>
      <c r="E999" t="s">
        <v>5159</v>
      </c>
    </row>
    <row r="1000" spans="1:5">
      <c r="A1000" t="s">
        <v>5244</v>
      </c>
      <c r="B1000" t="s">
        <v>630</v>
      </c>
      <c r="C1000" t="s">
        <v>2129</v>
      </c>
      <c r="D1000" t="s">
        <v>5158</v>
      </c>
      <c r="E1000" t="s">
        <v>5159</v>
      </c>
    </row>
    <row r="1001" spans="1:5">
      <c r="A1001" t="s">
        <v>5244</v>
      </c>
      <c r="B1001" t="s">
        <v>631</v>
      </c>
      <c r="C1001" t="s">
        <v>5155</v>
      </c>
      <c r="D1001" t="s">
        <v>5158</v>
      </c>
      <c r="E1001" t="s">
        <v>5159</v>
      </c>
    </row>
    <row r="1002" spans="1:5">
      <c r="A1002" t="s">
        <v>5244</v>
      </c>
      <c r="B1002" t="s">
        <v>632</v>
      </c>
      <c r="C1002" t="s">
        <v>5497</v>
      </c>
      <c r="D1002" t="s">
        <v>5158</v>
      </c>
      <c r="E1002" t="s">
        <v>5159</v>
      </c>
    </row>
    <row r="1003" spans="1:5">
      <c r="A1003" t="s">
        <v>5244</v>
      </c>
      <c r="B1003" t="s">
        <v>633</v>
      </c>
      <c r="C1003" t="s">
        <v>2130</v>
      </c>
      <c r="D1003" t="s">
        <v>5186</v>
      </c>
      <c r="E1003" t="s">
        <v>5159</v>
      </c>
    </row>
    <row r="1004" spans="1:5">
      <c r="A1004" t="s">
        <v>5244</v>
      </c>
      <c r="B1004" t="s">
        <v>634</v>
      </c>
      <c r="C1004" t="s">
        <v>5497</v>
      </c>
      <c r="D1004" t="s">
        <v>5158</v>
      </c>
      <c r="E1004" t="s">
        <v>5159</v>
      </c>
    </row>
    <row r="1005" spans="1:5">
      <c r="A1005" t="s">
        <v>5244</v>
      </c>
      <c r="B1005" t="s">
        <v>635</v>
      </c>
      <c r="C1005" t="s">
        <v>2131</v>
      </c>
      <c r="D1005" t="s">
        <v>5158</v>
      </c>
      <c r="E1005" t="s">
        <v>5159</v>
      </c>
    </row>
    <row r="1006" spans="1:5">
      <c r="A1006" t="s">
        <v>5244</v>
      </c>
      <c r="B1006" t="s">
        <v>636</v>
      </c>
      <c r="C1006" t="s">
        <v>2132</v>
      </c>
      <c r="D1006" t="s">
        <v>5158</v>
      </c>
      <c r="E1006" t="s">
        <v>5159</v>
      </c>
    </row>
    <row r="1007" spans="1:5">
      <c r="A1007" t="s">
        <v>5244</v>
      </c>
      <c r="B1007" t="s">
        <v>637</v>
      </c>
      <c r="C1007" t="s">
        <v>2133</v>
      </c>
      <c r="D1007" t="s">
        <v>5158</v>
      </c>
      <c r="E1007" t="s">
        <v>5159</v>
      </c>
    </row>
    <row r="1008" spans="1:5">
      <c r="A1008" t="s">
        <v>5244</v>
      </c>
      <c r="B1008" t="s">
        <v>2134</v>
      </c>
      <c r="C1008" t="s">
        <v>2135</v>
      </c>
      <c r="D1008" t="s">
        <v>5158</v>
      </c>
      <c r="E1008" t="s">
        <v>5159</v>
      </c>
    </row>
    <row r="1009" spans="1:5">
      <c r="A1009" t="s">
        <v>5244</v>
      </c>
      <c r="B1009" t="s">
        <v>2136</v>
      </c>
      <c r="C1009" t="s">
        <v>2137</v>
      </c>
      <c r="D1009" t="s">
        <v>5158</v>
      </c>
      <c r="E1009" t="s">
        <v>5159</v>
      </c>
    </row>
    <row r="1010" spans="1:5">
      <c r="A1010" t="s">
        <v>5244</v>
      </c>
      <c r="B1010" t="s">
        <v>638</v>
      </c>
      <c r="C1010" t="s">
        <v>2138</v>
      </c>
      <c r="D1010" t="s">
        <v>5158</v>
      </c>
      <c r="E1010" t="s">
        <v>5159</v>
      </c>
    </row>
    <row r="1011" spans="1:5">
      <c r="A1011" t="s">
        <v>5244</v>
      </c>
      <c r="B1011" t="s">
        <v>639</v>
      </c>
      <c r="C1011" t="s">
        <v>2139</v>
      </c>
      <c r="D1011" t="s">
        <v>5158</v>
      </c>
      <c r="E1011" t="s">
        <v>5159</v>
      </c>
    </row>
    <row r="1012" spans="1:5">
      <c r="A1012" t="s">
        <v>5244</v>
      </c>
      <c r="B1012" t="s">
        <v>2140</v>
      </c>
      <c r="C1012" t="s">
        <v>2141</v>
      </c>
      <c r="D1012" t="s">
        <v>5158</v>
      </c>
      <c r="E1012" t="s">
        <v>5159</v>
      </c>
    </row>
    <row r="1013" spans="1:5">
      <c r="A1013" t="s">
        <v>5244</v>
      </c>
      <c r="B1013" t="s">
        <v>640</v>
      </c>
      <c r="C1013" t="s">
        <v>5498</v>
      </c>
      <c r="D1013" t="s">
        <v>5158</v>
      </c>
      <c r="E1013" t="s">
        <v>5159</v>
      </c>
    </row>
    <row r="1014" spans="1:5">
      <c r="A1014" t="s">
        <v>5244</v>
      </c>
      <c r="B1014" t="s">
        <v>641</v>
      </c>
      <c r="C1014" t="s">
        <v>2142</v>
      </c>
      <c r="D1014" t="s">
        <v>5158</v>
      </c>
      <c r="E1014" t="s">
        <v>5159</v>
      </c>
    </row>
    <row r="1015" spans="1:5">
      <c r="A1015" t="s">
        <v>5244</v>
      </c>
      <c r="B1015" t="s">
        <v>2143</v>
      </c>
      <c r="C1015" t="s">
        <v>2144</v>
      </c>
      <c r="D1015" t="s">
        <v>5196</v>
      </c>
      <c r="E1015" t="s">
        <v>5159</v>
      </c>
    </row>
    <row r="1016" spans="1:5">
      <c r="A1016" t="s">
        <v>5244</v>
      </c>
      <c r="B1016" t="s">
        <v>642</v>
      </c>
      <c r="C1016" t="s">
        <v>5499</v>
      </c>
      <c r="D1016" t="s">
        <v>5196</v>
      </c>
      <c r="E1016" t="s">
        <v>5159</v>
      </c>
    </row>
    <row r="1017" spans="1:5">
      <c r="A1017" t="s">
        <v>5488</v>
      </c>
      <c r="B1017" t="s">
        <v>643</v>
      </c>
      <c r="C1017" t="s">
        <v>2145</v>
      </c>
      <c r="D1017" t="s">
        <v>5196</v>
      </c>
      <c r="E1017" t="s">
        <v>5159</v>
      </c>
    </row>
    <row r="1018" spans="1:5">
      <c r="A1018" t="s">
        <v>5244</v>
      </c>
      <c r="B1018" t="s">
        <v>643</v>
      </c>
      <c r="C1018" t="s">
        <v>2145</v>
      </c>
      <c r="D1018" t="s">
        <v>5196</v>
      </c>
      <c r="E1018" t="s">
        <v>5159</v>
      </c>
    </row>
    <row r="1019" spans="1:5">
      <c r="A1019" t="s">
        <v>5488</v>
      </c>
      <c r="B1019" t="s">
        <v>644</v>
      </c>
      <c r="C1019" t="s">
        <v>2146</v>
      </c>
      <c r="D1019" t="s">
        <v>5196</v>
      </c>
      <c r="E1019" t="s">
        <v>5159</v>
      </c>
    </row>
    <row r="1020" spans="1:5">
      <c r="A1020" t="s">
        <v>5244</v>
      </c>
      <c r="B1020" t="s">
        <v>644</v>
      </c>
      <c r="C1020" t="s">
        <v>2146</v>
      </c>
      <c r="D1020" t="s">
        <v>5196</v>
      </c>
      <c r="E1020" t="s">
        <v>5159</v>
      </c>
    </row>
    <row r="1021" spans="1:5">
      <c r="A1021" t="s">
        <v>5244</v>
      </c>
      <c r="B1021" t="s">
        <v>2147</v>
      </c>
      <c r="C1021" t="s">
        <v>2148</v>
      </c>
      <c r="D1021" t="s">
        <v>5196</v>
      </c>
      <c r="E1021" t="s">
        <v>5159</v>
      </c>
    </row>
    <row r="1022" spans="1:5">
      <c r="A1022" t="s">
        <v>5244</v>
      </c>
      <c r="B1022" t="s">
        <v>645</v>
      </c>
      <c r="C1022" t="s">
        <v>2149</v>
      </c>
      <c r="D1022" t="s">
        <v>5196</v>
      </c>
      <c r="E1022" t="s">
        <v>5159</v>
      </c>
    </row>
    <row r="1023" spans="1:5">
      <c r="A1023" t="s">
        <v>5488</v>
      </c>
      <c r="B1023" t="s">
        <v>645</v>
      </c>
      <c r="C1023" t="s">
        <v>2149</v>
      </c>
      <c r="D1023" t="s">
        <v>5196</v>
      </c>
      <c r="E1023" t="s">
        <v>5159</v>
      </c>
    </row>
    <row r="1024" spans="1:5">
      <c r="A1024" t="s">
        <v>5488</v>
      </c>
      <c r="B1024" t="s">
        <v>646</v>
      </c>
      <c r="C1024" t="s">
        <v>2150</v>
      </c>
      <c r="D1024" t="s">
        <v>5186</v>
      </c>
      <c r="E1024" t="s">
        <v>5159</v>
      </c>
    </row>
    <row r="1025" spans="1:5">
      <c r="A1025" t="s">
        <v>5244</v>
      </c>
      <c r="B1025" t="s">
        <v>646</v>
      </c>
      <c r="C1025" t="s">
        <v>2150</v>
      </c>
      <c r="D1025" t="s">
        <v>5186</v>
      </c>
      <c r="E1025" t="s">
        <v>5159</v>
      </c>
    </row>
    <row r="1026" spans="1:5">
      <c r="A1026" t="s">
        <v>5244</v>
      </c>
      <c r="B1026" t="s">
        <v>647</v>
      </c>
      <c r="C1026" t="s">
        <v>2151</v>
      </c>
      <c r="D1026" t="s">
        <v>5196</v>
      </c>
      <c r="E1026" t="s">
        <v>5159</v>
      </c>
    </row>
    <row r="1027" spans="1:5">
      <c r="A1027" t="s">
        <v>5244</v>
      </c>
      <c r="B1027" t="s">
        <v>5500</v>
      </c>
      <c r="C1027" t="s">
        <v>5501</v>
      </c>
      <c r="D1027" t="s">
        <v>5196</v>
      </c>
      <c r="E1027" t="s">
        <v>5159</v>
      </c>
    </row>
    <row r="1028" spans="1:5">
      <c r="A1028" t="s">
        <v>5488</v>
      </c>
      <c r="B1028" t="s">
        <v>648</v>
      </c>
      <c r="C1028" t="s">
        <v>2152</v>
      </c>
      <c r="D1028" t="s">
        <v>5196</v>
      </c>
      <c r="E1028" t="s">
        <v>5159</v>
      </c>
    </row>
    <row r="1029" spans="1:5">
      <c r="A1029" t="s">
        <v>5244</v>
      </c>
      <c r="B1029" t="s">
        <v>648</v>
      </c>
      <c r="C1029" t="s">
        <v>2152</v>
      </c>
      <c r="D1029" t="s">
        <v>5196</v>
      </c>
      <c r="E1029" t="s">
        <v>5159</v>
      </c>
    </row>
    <row r="1030" spans="1:5">
      <c r="A1030" t="s">
        <v>5244</v>
      </c>
      <c r="B1030" t="s">
        <v>649</v>
      </c>
      <c r="C1030" t="s">
        <v>5502</v>
      </c>
      <c r="D1030" t="s">
        <v>5196</v>
      </c>
      <c r="E1030" t="s">
        <v>5159</v>
      </c>
    </row>
    <row r="1031" spans="1:5">
      <c r="A1031" t="s">
        <v>5244</v>
      </c>
      <c r="B1031" t="s">
        <v>650</v>
      </c>
      <c r="C1031" t="s">
        <v>2153</v>
      </c>
      <c r="D1031" t="s">
        <v>5196</v>
      </c>
      <c r="E1031" t="s">
        <v>5159</v>
      </c>
    </row>
    <row r="1032" spans="1:5">
      <c r="A1032" t="s">
        <v>5488</v>
      </c>
      <c r="B1032" t="s">
        <v>650</v>
      </c>
      <c r="C1032" t="s">
        <v>2153</v>
      </c>
      <c r="D1032" t="s">
        <v>5196</v>
      </c>
      <c r="E1032" t="s">
        <v>5159</v>
      </c>
    </row>
    <row r="1033" spans="1:5">
      <c r="A1033" t="s">
        <v>5488</v>
      </c>
      <c r="B1033" t="s">
        <v>2154</v>
      </c>
      <c r="C1033" t="s">
        <v>2155</v>
      </c>
      <c r="D1033" t="s">
        <v>5196</v>
      </c>
      <c r="E1033" t="s">
        <v>5159</v>
      </c>
    </row>
    <row r="1034" spans="1:5">
      <c r="A1034" t="s">
        <v>5244</v>
      </c>
      <c r="B1034" t="s">
        <v>2154</v>
      </c>
      <c r="C1034" t="s">
        <v>2155</v>
      </c>
      <c r="D1034" t="s">
        <v>5196</v>
      </c>
      <c r="E1034" t="s">
        <v>5159</v>
      </c>
    </row>
    <row r="1035" spans="1:5">
      <c r="A1035" t="s">
        <v>5244</v>
      </c>
      <c r="B1035" t="s">
        <v>651</v>
      </c>
      <c r="C1035" t="s">
        <v>5503</v>
      </c>
      <c r="D1035" t="s">
        <v>5196</v>
      </c>
      <c r="E1035" t="s">
        <v>5159</v>
      </c>
    </row>
    <row r="1036" spans="1:5">
      <c r="A1036" t="s">
        <v>5244</v>
      </c>
      <c r="B1036" t="s">
        <v>2156</v>
      </c>
      <c r="C1036" t="s">
        <v>2157</v>
      </c>
      <c r="D1036" t="s">
        <v>5196</v>
      </c>
      <c r="E1036" t="s">
        <v>5159</v>
      </c>
    </row>
    <row r="1037" spans="1:5">
      <c r="A1037" t="s">
        <v>5244</v>
      </c>
      <c r="B1037" t="s">
        <v>2158</v>
      </c>
      <c r="C1037" t="s">
        <v>2159</v>
      </c>
      <c r="D1037" t="s">
        <v>5196</v>
      </c>
      <c r="E1037" t="s">
        <v>5159</v>
      </c>
    </row>
    <row r="1038" spans="1:5">
      <c r="A1038" t="s">
        <v>5488</v>
      </c>
      <c r="B1038" t="s">
        <v>2158</v>
      </c>
      <c r="C1038" t="s">
        <v>2159</v>
      </c>
      <c r="D1038" t="s">
        <v>5196</v>
      </c>
      <c r="E1038" t="s">
        <v>5159</v>
      </c>
    </row>
    <row r="1039" spans="1:5">
      <c r="A1039" t="s">
        <v>5244</v>
      </c>
      <c r="B1039" t="s">
        <v>652</v>
      </c>
      <c r="C1039" t="s">
        <v>5504</v>
      </c>
      <c r="D1039" t="s">
        <v>5196</v>
      </c>
      <c r="E1039" t="s">
        <v>5159</v>
      </c>
    </row>
    <row r="1040" spans="1:5">
      <c r="A1040" t="s">
        <v>5244</v>
      </c>
      <c r="B1040" t="s">
        <v>653</v>
      </c>
      <c r="C1040" t="s">
        <v>2160</v>
      </c>
      <c r="D1040" t="s">
        <v>5193</v>
      </c>
      <c r="E1040" t="s">
        <v>5159</v>
      </c>
    </row>
    <row r="1041" spans="1:5">
      <c r="A1041" t="s">
        <v>5488</v>
      </c>
      <c r="B1041" t="s">
        <v>653</v>
      </c>
      <c r="C1041" t="s">
        <v>2160</v>
      </c>
      <c r="D1041" t="s">
        <v>5193</v>
      </c>
      <c r="E1041" t="s">
        <v>5159</v>
      </c>
    </row>
    <row r="1042" spans="1:5">
      <c r="A1042" t="s">
        <v>5244</v>
      </c>
      <c r="B1042" t="s">
        <v>2161</v>
      </c>
      <c r="C1042" t="s">
        <v>2162</v>
      </c>
      <c r="D1042" t="s">
        <v>5193</v>
      </c>
      <c r="E1042" t="s">
        <v>5159</v>
      </c>
    </row>
    <row r="1043" spans="1:5">
      <c r="A1043" t="s">
        <v>5488</v>
      </c>
      <c r="B1043" t="s">
        <v>2161</v>
      </c>
      <c r="C1043" t="s">
        <v>2162</v>
      </c>
      <c r="D1043" t="s">
        <v>5193</v>
      </c>
      <c r="E1043" t="s">
        <v>5159</v>
      </c>
    </row>
    <row r="1044" spans="1:5">
      <c r="A1044" t="s">
        <v>5244</v>
      </c>
      <c r="B1044" t="s">
        <v>2163</v>
      </c>
      <c r="C1044" t="s">
        <v>2164</v>
      </c>
      <c r="D1044" t="s">
        <v>5193</v>
      </c>
      <c r="E1044" t="s">
        <v>5159</v>
      </c>
    </row>
    <row r="1045" spans="1:5">
      <c r="A1045" t="s">
        <v>5244</v>
      </c>
      <c r="B1045" t="s">
        <v>2165</v>
      </c>
      <c r="C1045" t="s">
        <v>2166</v>
      </c>
      <c r="D1045" t="s">
        <v>5185</v>
      </c>
      <c r="E1045" t="s">
        <v>5159</v>
      </c>
    </row>
    <row r="1046" spans="1:5">
      <c r="A1046" t="s">
        <v>5244</v>
      </c>
      <c r="B1046" t="s">
        <v>654</v>
      </c>
      <c r="C1046" t="s">
        <v>2167</v>
      </c>
      <c r="D1046" t="s">
        <v>5203</v>
      </c>
      <c r="E1046" t="s">
        <v>5159</v>
      </c>
    </row>
    <row r="1047" spans="1:5">
      <c r="A1047" t="s">
        <v>5488</v>
      </c>
      <c r="B1047" t="s">
        <v>654</v>
      </c>
      <c r="C1047" t="s">
        <v>2167</v>
      </c>
      <c r="D1047" t="s">
        <v>5203</v>
      </c>
      <c r="E1047" t="s">
        <v>5159</v>
      </c>
    </row>
    <row r="1048" spans="1:5">
      <c r="A1048" t="s">
        <v>5488</v>
      </c>
      <c r="B1048" t="s">
        <v>655</v>
      </c>
      <c r="C1048" t="s">
        <v>2168</v>
      </c>
      <c r="D1048" t="s">
        <v>5204</v>
      </c>
      <c r="E1048" t="s">
        <v>5159</v>
      </c>
    </row>
    <row r="1049" spans="1:5">
      <c r="A1049" t="s">
        <v>5244</v>
      </c>
      <c r="B1049" t="s">
        <v>655</v>
      </c>
      <c r="C1049" t="s">
        <v>2168</v>
      </c>
      <c r="D1049" t="s">
        <v>5204</v>
      </c>
      <c r="E1049" t="s">
        <v>5159</v>
      </c>
    </row>
    <row r="1050" spans="1:5">
      <c r="A1050" t="s">
        <v>5244</v>
      </c>
      <c r="B1050" t="s">
        <v>2169</v>
      </c>
      <c r="C1050" t="s">
        <v>2170</v>
      </c>
      <c r="D1050" t="s">
        <v>5203</v>
      </c>
      <c r="E1050" t="s">
        <v>5159</v>
      </c>
    </row>
    <row r="1051" spans="1:5">
      <c r="A1051" t="s">
        <v>5488</v>
      </c>
      <c r="B1051" t="s">
        <v>2169</v>
      </c>
      <c r="C1051" t="s">
        <v>2170</v>
      </c>
      <c r="D1051" t="s">
        <v>5203</v>
      </c>
      <c r="E1051" t="s">
        <v>5159</v>
      </c>
    </row>
    <row r="1052" spans="1:5">
      <c r="A1052" t="s">
        <v>5244</v>
      </c>
      <c r="B1052" t="s">
        <v>656</v>
      </c>
      <c r="C1052" t="s">
        <v>2171</v>
      </c>
      <c r="D1052" t="s">
        <v>5197</v>
      </c>
      <c r="E1052" t="s">
        <v>5159</v>
      </c>
    </row>
    <row r="1053" spans="1:5">
      <c r="A1053" t="s">
        <v>5488</v>
      </c>
      <c r="B1053" t="s">
        <v>656</v>
      </c>
      <c r="C1053" t="s">
        <v>2171</v>
      </c>
      <c r="D1053" t="s">
        <v>5197</v>
      </c>
      <c r="E1053" t="s">
        <v>5159</v>
      </c>
    </row>
    <row r="1054" spans="1:5">
      <c r="A1054" t="s">
        <v>5241</v>
      </c>
      <c r="B1054" t="s">
        <v>656</v>
      </c>
      <c r="C1054" t="s">
        <v>2171</v>
      </c>
      <c r="D1054" t="s">
        <v>5197</v>
      </c>
      <c r="E1054" t="s">
        <v>5159</v>
      </c>
    </row>
    <row r="1055" spans="1:5">
      <c r="A1055" t="s">
        <v>5244</v>
      </c>
      <c r="B1055" t="s">
        <v>657</v>
      </c>
      <c r="C1055" t="s">
        <v>2172</v>
      </c>
      <c r="D1055" t="s">
        <v>5197</v>
      </c>
      <c r="E1055" t="s">
        <v>5159</v>
      </c>
    </row>
    <row r="1056" spans="1:5">
      <c r="A1056" t="s">
        <v>5488</v>
      </c>
      <c r="B1056" t="s">
        <v>657</v>
      </c>
      <c r="C1056" t="s">
        <v>2172</v>
      </c>
      <c r="D1056" t="s">
        <v>5197</v>
      </c>
      <c r="E1056" t="s">
        <v>5159</v>
      </c>
    </row>
    <row r="1057" spans="1:5">
      <c r="A1057" t="s">
        <v>5244</v>
      </c>
      <c r="B1057" t="s">
        <v>658</v>
      </c>
      <c r="C1057" t="s">
        <v>2173</v>
      </c>
      <c r="D1057" t="s">
        <v>5160</v>
      </c>
      <c r="E1057" t="s">
        <v>5159</v>
      </c>
    </row>
    <row r="1058" spans="1:5">
      <c r="A1058" t="s">
        <v>5488</v>
      </c>
      <c r="B1058" t="s">
        <v>658</v>
      </c>
      <c r="C1058" t="s">
        <v>2173</v>
      </c>
      <c r="D1058" t="s">
        <v>5160</v>
      </c>
      <c r="E1058" t="s">
        <v>5159</v>
      </c>
    </row>
    <row r="1059" spans="1:5">
      <c r="A1059" t="s">
        <v>5244</v>
      </c>
      <c r="B1059" t="s">
        <v>2174</v>
      </c>
      <c r="C1059" t="s">
        <v>2175</v>
      </c>
      <c r="D1059" t="s">
        <v>5205</v>
      </c>
      <c r="E1059" t="s">
        <v>5159</v>
      </c>
    </row>
    <row r="1060" spans="1:5">
      <c r="A1060" t="s">
        <v>5488</v>
      </c>
      <c r="B1060" t="s">
        <v>2174</v>
      </c>
      <c r="C1060" t="s">
        <v>2175</v>
      </c>
      <c r="D1060" t="s">
        <v>5205</v>
      </c>
      <c r="E1060" t="s">
        <v>5159</v>
      </c>
    </row>
    <row r="1061" spans="1:5">
      <c r="A1061" t="s">
        <v>5488</v>
      </c>
      <c r="B1061" t="s">
        <v>659</v>
      </c>
      <c r="C1061" t="s">
        <v>2176</v>
      </c>
      <c r="D1061" t="s">
        <v>5206</v>
      </c>
      <c r="E1061" t="s">
        <v>5159</v>
      </c>
    </row>
    <row r="1062" spans="1:5">
      <c r="A1062" t="s">
        <v>5244</v>
      </c>
      <c r="B1062" t="s">
        <v>659</v>
      </c>
      <c r="C1062" t="s">
        <v>2176</v>
      </c>
      <c r="D1062" t="s">
        <v>5206</v>
      </c>
      <c r="E1062" t="s">
        <v>5159</v>
      </c>
    </row>
    <row r="1063" spans="1:5">
      <c r="A1063" t="s">
        <v>5244</v>
      </c>
      <c r="B1063" t="s">
        <v>660</v>
      </c>
      <c r="C1063" t="s">
        <v>2177</v>
      </c>
      <c r="D1063" t="s">
        <v>5186</v>
      </c>
      <c r="E1063" t="s">
        <v>5159</v>
      </c>
    </row>
    <row r="1064" spans="1:5">
      <c r="A1064" t="s">
        <v>5244</v>
      </c>
      <c r="B1064" t="s">
        <v>661</v>
      </c>
      <c r="C1064" t="s">
        <v>5505</v>
      </c>
      <c r="D1064" t="s">
        <v>5186</v>
      </c>
      <c r="E1064" t="s">
        <v>5159</v>
      </c>
    </row>
    <row r="1065" spans="1:5">
      <c r="A1065" t="s">
        <v>5244</v>
      </c>
      <c r="B1065" t="s">
        <v>662</v>
      </c>
      <c r="C1065" t="s">
        <v>2178</v>
      </c>
      <c r="D1065" t="s">
        <v>5161</v>
      </c>
      <c r="E1065" t="s">
        <v>5159</v>
      </c>
    </row>
    <row r="1066" spans="1:5">
      <c r="A1066" t="s">
        <v>5244</v>
      </c>
      <c r="B1066" t="s">
        <v>663</v>
      </c>
      <c r="C1066" t="s">
        <v>2179</v>
      </c>
      <c r="D1066" t="s">
        <v>5158</v>
      </c>
      <c r="E1066" t="s">
        <v>5159</v>
      </c>
    </row>
    <row r="1067" spans="1:5">
      <c r="A1067" t="s">
        <v>5244</v>
      </c>
      <c r="B1067" t="s">
        <v>664</v>
      </c>
      <c r="C1067" t="s">
        <v>2180</v>
      </c>
      <c r="D1067" t="s">
        <v>5158</v>
      </c>
      <c r="E1067" t="s">
        <v>5159</v>
      </c>
    </row>
    <row r="1068" spans="1:5">
      <c r="A1068" t="s">
        <v>5244</v>
      </c>
      <c r="B1068" t="s">
        <v>665</v>
      </c>
      <c r="C1068" t="s">
        <v>2181</v>
      </c>
      <c r="D1068" t="s">
        <v>5158</v>
      </c>
      <c r="E1068" t="s">
        <v>5159</v>
      </c>
    </row>
    <row r="1069" spans="1:5">
      <c r="A1069" t="s">
        <v>5244</v>
      </c>
      <c r="B1069" t="s">
        <v>666</v>
      </c>
      <c r="C1069" t="s">
        <v>2182</v>
      </c>
      <c r="D1069" t="s">
        <v>5158</v>
      </c>
      <c r="E1069" t="s">
        <v>5159</v>
      </c>
    </row>
    <row r="1070" spans="1:5">
      <c r="A1070" t="s">
        <v>5244</v>
      </c>
      <c r="B1070" t="s">
        <v>667</v>
      </c>
      <c r="C1070" t="s">
        <v>2183</v>
      </c>
      <c r="D1070" t="s">
        <v>5158</v>
      </c>
      <c r="E1070" t="s">
        <v>5159</v>
      </c>
    </row>
    <row r="1071" spans="1:5">
      <c r="A1071" t="s">
        <v>5244</v>
      </c>
      <c r="B1071" t="s">
        <v>2184</v>
      </c>
      <c r="C1071" t="s">
        <v>2185</v>
      </c>
      <c r="D1071" t="s">
        <v>5158</v>
      </c>
      <c r="E1071" t="s">
        <v>5159</v>
      </c>
    </row>
    <row r="1072" spans="1:5">
      <c r="A1072" t="s">
        <v>5244</v>
      </c>
      <c r="B1072" t="s">
        <v>668</v>
      </c>
      <c r="C1072" t="s">
        <v>2186</v>
      </c>
      <c r="D1072" t="s">
        <v>5158</v>
      </c>
      <c r="E1072" t="s">
        <v>5159</v>
      </c>
    </row>
    <row r="1073" spans="1:5">
      <c r="A1073" t="s">
        <v>5244</v>
      </c>
      <c r="B1073" t="s">
        <v>2187</v>
      </c>
      <c r="C1073" t="s">
        <v>2188</v>
      </c>
      <c r="D1073" t="s">
        <v>5158</v>
      </c>
      <c r="E1073" t="s">
        <v>5159</v>
      </c>
    </row>
    <row r="1074" spans="1:5">
      <c r="A1074" t="s">
        <v>5244</v>
      </c>
      <c r="B1074" t="s">
        <v>669</v>
      </c>
      <c r="C1074" t="s">
        <v>2189</v>
      </c>
      <c r="D1074" t="s">
        <v>5161</v>
      </c>
      <c r="E1074" t="s">
        <v>5159</v>
      </c>
    </row>
    <row r="1075" spans="1:5">
      <c r="A1075" t="s">
        <v>5244</v>
      </c>
      <c r="B1075" t="s">
        <v>2190</v>
      </c>
      <c r="C1075" t="s">
        <v>2191</v>
      </c>
      <c r="D1075" t="s">
        <v>5158</v>
      </c>
      <c r="E1075" t="s">
        <v>5159</v>
      </c>
    </row>
    <row r="1076" spans="1:5">
      <c r="A1076" t="s">
        <v>5244</v>
      </c>
      <c r="B1076" t="s">
        <v>670</v>
      </c>
      <c r="C1076" t="s">
        <v>2192</v>
      </c>
      <c r="D1076" t="s">
        <v>5158</v>
      </c>
      <c r="E1076" t="s">
        <v>5159</v>
      </c>
    </row>
    <row r="1077" spans="1:5">
      <c r="A1077" t="s">
        <v>5244</v>
      </c>
      <c r="B1077" t="s">
        <v>671</v>
      </c>
      <c r="C1077" t="s">
        <v>5506</v>
      </c>
      <c r="D1077" t="s">
        <v>5158</v>
      </c>
      <c r="E1077" t="s">
        <v>5159</v>
      </c>
    </row>
    <row r="1078" spans="1:5">
      <c r="A1078" t="s">
        <v>5244</v>
      </c>
      <c r="B1078" t="s">
        <v>672</v>
      </c>
      <c r="C1078" t="s">
        <v>5507</v>
      </c>
      <c r="D1078" t="s">
        <v>5158</v>
      </c>
      <c r="E1078" t="s">
        <v>5159</v>
      </c>
    </row>
    <row r="1079" spans="1:5">
      <c r="A1079" t="s">
        <v>5244</v>
      </c>
      <c r="B1079" t="s">
        <v>673</v>
      </c>
      <c r="C1079" t="s">
        <v>2193</v>
      </c>
      <c r="D1079" t="s">
        <v>5158</v>
      </c>
      <c r="E1079" t="s">
        <v>5159</v>
      </c>
    </row>
    <row r="1080" spans="1:5">
      <c r="A1080" t="s">
        <v>5244</v>
      </c>
      <c r="B1080" t="s">
        <v>674</v>
      </c>
      <c r="C1080" t="s">
        <v>2194</v>
      </c>
      <c r="D1080" t="s">
        <v>5158</v>
      </c>
      <c r="E1080" t="s">
        <v>5159</v>
      </c>
    </row>
    <row r="1081" spans="1:5">
      <c r="A1081" t="s">
        <v>5244</v>
      </c>
      <c r="B1081" t="s">
        <v>675</v>
      </c>
      <c r="C1081" t="s">
        <v>2195</v>
      </c>
      <c r="D1081" t="s">
        <v>5158</v>
      </c>
      <c r="E1081" t="s">
        <v>5159</v>
      </c>
    </row>
    <row r="1082" spans="1:5">
      <c r="A1082" t="s">
        <v>5244</v>
      </c>
      <c r="B1082" t="s">
        <v>676</v>
      </c>
      <c r="C1082" t="s">
        <v>2196</v>
      </c>
      <c r="D1082" t="s">
        <v>5186</v>
      </c>
      <c r="E1082" t="s">
        <v>5159</v>
      </c>
    </row>
    <row r="1083" spans="1:5">
      <c r="A1083" t="s">
        <v>5244</v>
      </c>
      <c r="B1083" t="s">
        <v>677</v>
      </c>
      <c r="C1083" t="s">
        <v>2197</v>
      </c>
      <c r="D1083" t="s">
        <v>5188</v>
      </c>
      <c r="E1083" t="s">
        <v>5159</v>
      </c>
    </row>
    <row r="1084" spans="1:5">
      <c r="A1084" t="s">
        <v>5244</v>
      </c>
      <c r="B1084" t="s">
        <v>678</v>
      </c>
      <c r="C1084" t="s">
        <v>2198</v>
      </c>
      <c r="D1084" t="s">
        <v>5158</v>
      </c>
      <c r="E1084" t="s">
        <v>5159</v>
      </c>
    </row>
    <row r="1085" spans="1:5">
      <c r="A1085" t="s">
        <v>5244</v>
      </c>
      <c r="B1085" t="s">
        <v>679</v>
      </c>
      <c r="C1085" t="s">
        <v>2199</v>
      </c>
      <c r="D1085" t="s">
        <v>5186</v>
      </c>
      <c r="E1085" t="s">
        <v>5159</v>
      </c>
    </row>
    <row r="1086" spans="1:5">
      <c r="A1086" t="s">
        <v>5244</v>
      </c>
      <c r="B1086" t="s">
        <v>2200</v>
      </c>
      <c r="C1086" t="s">
        <v>2201</v>
      </c>
      <c r="D1086" t="s">
        <v>5186</v>
      </c>
      <c r="E1086" t="s">
        <v>5159</v>
      </c>
    </row>
    <row r="1087" spans="1:5">
      <c r="A1087" t="s">
        <v>5244</v>
      </c>
      <c r="B1087" t="s">
        <v>680</v>
      </c>
      <c r="C1087" t="s">
        <v>2202</v>
      </c>
      <c r="D1087" t="s">
        <v>5187</v>
      </c>
      <c r="E1087" t="s">
        <v>5159</v>
      </c>
    </row>
    <row r="1088" spans="1:5">
      <c r="A1088" t="s">
        <v>5244</v>
      </c>
      <c r="B1088" t="s">
        <v>681</v>
      </c>
      <c r="C1088" t="s">
        <v>2203</v>
      </c>
      <c r="D1088" t="s">
        <v>5186</v>
      </c>
      <c r="E1088" t="s">
        <v>5159</v>
      </c>
    </row>
    <row r="1089" spans="1:5">
      <c r="A1089" t="s">
        <v>5244</v>
      </c>
      <c r="B1089" t="s">
        <v>682</v>
      </c>
      <c r="C1089" t="s">
        <v>2204</v>
      </c>
      <c r="D1089" t="s">
        <v>5186</v>
      </c>
      <c r="E1089" t="s">
        <v>5159</v>
      </c>
    </row>
    <row r="1090" spans="1:5">
      <c r="A1090" t="s">
        <v>5244</v>
      </c>
      <c r="B1090" t="s">
        <v>683</v>
      </c>
      <c r="C1090" t="s">
        <v>2205</v>
      </c>
      <c r="D1090" t="s">
        <v>5186</v>
      </c>
      <c r="E1090" t="s">
        <v>5159</v>
      </c>
    </row>
    <row r="1091" spans="1:5">
      <c r="A1091" t="s">
        <v>5244</v>
      </c>
      <c r="B1091" t="s">
        <v>684</v>
      </c>
      <c r="C1091" t="s">
        <v>1929</v>
      </c>
      <c r="D1091" t="s">
        <v>5186</v>
      </c>
      <c r="E1091" t="s">
        <v>5159</v>
      </c>
    </row>
    <row r="1092" spans="1:5">
      <c r="A1092" t="s">
        <v>5244</v>
      </c>
      <c r="B1092" t="s">
        <v>685</v>
      </c>
      <c r="C1092" t="s">
        <v>2206</v>
      </c>
      <c r="D1092" t="s">
        <v>5158</v>
      </c>
      <c r="E1092" t="s">
        <v>5159</v>
      </c>
    </row>
    <row r="1093" spans="1:5">
      <c r="A1093" t="s">
        <v>5244</v>
      </c>
      <c r="B1093" t="s">
        <v>686</v>
      </c>
      <c r="C1093" t="s">
        <v>2207</v>
      </c>
      <c r="D1093" t="s">
        <v>5186</v>
      </c>
      <c r="E1093" t="s">
        <v>5159</v>
      </c>
    </row>
    <row r="1094" spans="1:5">
      <c r="A1094" t="s">
        <v>5244</v>
      </c>
      <c r="B1094" t="s">
        <v>687</v>
      </c>
      <c r="C1094" t="s">
        <v>2208</v>
      </c>
      <c r="D1094" t="s">
        <v>5158</v>
      </c>
      <c r="E1094" t="s">
        <v>5159</v>
      </c>
    </row>
    <row r="1095" spans="1:5">
      <c r="A1095" t="s">
        <v>5244</v>
      </c>
      <c r="B1095" t="s">
        <v>688</v>
      </c>
      <c r="C1095" t="s">
        <v>2209</v>
      </c>
      <c r="D1095" t="s">
        <v>5158</v>
      </c>
      <c r="E1095" t="s">
        <v>5159</v>
      </c>
    </row>
    <row r="1096" spans="1:5">
      <c r="A1096" t="s">
        <v>5244</v>
      </c>
      <c r="B1096" t="s">
        <v>2210</v>
      </c>
      <c r="C1096" t="s">
        <v>2211</v>
      </c>
      <c r="D1096" t="s">
        <v>5194</v>
      </c>
      <c r="E1096" t="s">
        <v>5159</v>
      </c>
    </row>
    <row r="1097" spans="1:5">
      <c r="A1097" t="s">
        <v>5244</v>
      </c>
      <c r="B1097" t="s">
        <v>5508</v>
      </c>
      <c r="C1097" t="s">
        <v>5509</v>
      </c>
      <c r="D1097" t="s">
        <v>5161</v>
      </c>
      <c r="E1097" t="s">
        <v>5159</v>
      </c>
    </row>
    <row r="1098" spans="1:5">
      <c r="A1098" t="s">
        <v>5244</v>
      </c>
      <c r="B1098" t="s">
        <v>689</v>
      </c>
      <c r="C1098" t="s">
        <v>2212</v>
      </c>
      <c r="D1098" t="s">
        <v>5188</v>
      </c>
      <c r="E1098" t="s">
        <v>5159</v>
      </c>
    </row>
    <row r="1099" spans="1:5">
      <c r="A1099" t="s">
        <v>5244</v>
      </c>
      <c r="B1099" t="s">
        <v>690</v>
      </c>
      <c r="C1099" t="s">
        <v>2213</v>
      </c>
      <c r="D1099" t="s">
        <v>5158</v>
      </c>
      <c r="E1099" t="s">
        <v>5159</v>
      </c>
    </row>
    <row r="1100" spans="1:5">
      <c r="A1100" t="s">
        <v>5244</v>
      </c>
      <c r="B1100" t="s">
        <v>691</v>
      </c>
      <c r="C1100" t="s">
        <v>2214</v>
      </c>
      <c r="D1100" t="s">
        <v>5186</v>
      </c>
      <c r="E1100" t="s">
        <v>5159</v>
      </c>
    </row>
    <row r="1101" spans="1:5">
      <c r="A1101" t="s">
        <v>5244</v>
      </c>
      <c r="B1101" t="s">
        <v>692</v>
      </c>
      <c r="C1101" t="s">
        <v>2215</v>
      </c>
      <c r="D1101" t="s">
        <v>5186</v>
      </c>
      <c r="E1101" t="s">
        <v>5159</v>
      </c>
    </row>
    <row r="1102" spans="1:5">
      <c r="A1102" t="s">
        <v>5244</v>
      </c>
      <c r="B1102" t="s">
        <v>693</v>
      </c>
      <c r="C1102" t="s">
        <v>2215</v>
      </c>
      <c r="D1102" t="s">
        <v>5186</v>
      </c>
      <c r="E1102" t="s">
        <v>5159</v>
      </c>
    </row>
    <row r="1103" spans="1:5">
      <c r="A1103" t="s">
        <v>5244</v>
      </c>
      <c r="B1103" t="s">
        <v>694</v>
      </c>
      <c r="C1103" t="s">
        <v>2216</v>
      </c>
      <c r="D1103" t="s">
        <v>5187</v>
      </c>
      <c r="E1103" t="s">
        <v>5159</v>
      </c>
    </row>
    <row r="1104" spans="1:5">
      <c r="A1104" t="s">
        <v>5244</v>
      </c>
      <c r="B1104" t="s">
        <v>5510</v>
      </c>
      <c r="C1104" t="s">
        <v>2217</v>
      </c>
      <c r="D1104" t="s">
        <v>5158</v>
      </c>
      <c r="E1104" t="s">
        <v>5159</v>
      </c>
    </row>
    <row r="1105" spans="1:5">
      <c r="A1105" t="s">
        <v>5244</v>
      </c>
      <c r="B1105" t="s">
        <v>695</v>
      </c>
      <c r="C1105" t="s">
        <v>2217</v>
      </c>
      <c r="D1105" t="s">
        <v>5158</v>
      </c>
      <c r="E1105" t="s">
        <v>5159</v>
      </c>
    </row>
    <row r="1106" spans="1:5">
      <c r="A1106" t="s">
        <v>5244</v>
      </c>
      <c r="B1106" t="s">
        <v>696</v>
      </c>
      <c r="C1106" t="s">
        <v>2218</v>
      </c>
      <c r="D1106" t="s">
        <v>5158</v>
      </c>
      <c r="E1106" t="s">
        <v>5159</v>
      </c>
    </row>
    <row r="1107" spans="1:5">
      <c r="A1107" t="s">
        <v>5244</v>
      </c>
      <c r="B1107" t="s">
        <v>697</v>
      </c>
      <c r="C1107" t="s">
        <v>2219</v>
      </c>
      <c r="D1107" t="s">
        <v>5158</v>
      </c>
      <c r="E1107" t="s">
        <v>5159</v>
      </c>
    </row>
    <row r="1108" spans="1:5">
      <c r="A1108" t="s">
        <v>5244</v>
      </c>
      <c r="B1108" t="s">
        <v>2220</v>
      </c>
      <c r="C1108" t="s">
        <v>2221</v>
      </c>
      <c r="D1108" t="s">
        <v>5158</v>
      </c>
      <c r="E1108" t="s">
        <v>5159</v>
      </c>
    </row>
    <row r="1109" spans="1:5">
      <c r="A1109" t="s">
        <v>5244</v>
      </c>
      <c r="B1109" t="s">
        <v>698</v>
      </c>
      <c r="C1109" t="s">
        <v>2221</v>
      </c>
      <c r="D1109" t="s">
        <v>5158</v>
      </c>
      <c r="E1109" t="s">
        <v>5159</v>
      </c>
    </row>
    <row r="1110" spans="1:5">
      <c r="A1110" t="s">
        <v>5244</v>
      </c>
      <c r="B1110" t="s">
        <v>2222</v>
      </c>
      <c r="C1110" t="s">
        <v>2223</v>
      </c>
      <c r="D1110" t="s">
        <v>5158</v>
      </c>
      <c r="E1110" t="s">
        <v>5159</v>
      </c>
    </row>
    <row r="1111" spans="1:5">
      <c r="A1111" t="s">
        <v>5244</v>
      </c>
      <c r="B1111" t="s">
        <v>699</v>
      </c>
      <c r="C1111" t="s">
        <v>2224</v>
      </c>
      <c r="D1111" t="s">
        <v>5158</v>
      </c>
      <c r="E1111" t="s">
        <v>5159</v>
      </c>
    </row>
    <row r="1112" spans="1:5">
      <c r="A1112" t="s">
        <v>5244</v>
      </c>
      <c r="B1112" t="s">
        <v>700</v>
      </c>
      <c r="C1112" t="s">
        <v>2225</v>
      </c>
      <c r="D1112" t="s">
        <v>5158</v>
      </c>
      <c r="E1112" t="s">
        <v>5159</v>
      </c>
    </row>
    <row r="1113" spans="1:5">
      <c r="A1113" t="s">
        <v>5244</v>
      </c>
      <c r="B1113" t="s">
        <v>701</v>
      </c>
      <c r="C1113" t="s">
        <v>2226</v>
      </c>
      <c r="D1113" t="s">
        <v>5186</v>
      </c>
      <c r="E1113" t="s">
        <v>5159</v>
      </c>
    </row>
    <row r="1114" spans="1:5">
      <c r="A1114" t="s">
        <v>5244</v>
      </c>
      <c r="B1114" t="s">
        <v>702</v>
      </c>
      <c r="C1114" t="s">
        <v>2227</v>
      </c>
      <c r="D1114" t="s">
        <v>5186</v>
      </c>
      <c r="E1114" t="s">
        <v>5159</v>
      </c>
    </row>
    <row r="1115" spans="1:5">
      <c r="A1115" t="s">
        <v>5244</v>
      </c>
      <c r="B1115" t="s">
        <v>703</v>
      </c>
      <c r="C1115" t="s">
        <v>2228</v>
      </c>
      <c r="D1115" t="s">
        <v>5158</v>
      </c>
      <c r="E1115" t="s">
        <v>5159</v>
      </c>
    </row>
    <row r="1116" spans="1:5">
      <c r="A1116" t="s">
        <v>5244</v>
      </c>
      <c r="B1116" t="s">
        <v>704</v>
      </c>
      <c r="C1116" t="s">
        <v>2229</v>
      </c>
      <c r="D1116" t="s">
        <v>5190</v>
      </c>
      <c r="E1116" t="s">
        <v>5159</v>
      </c>
    </row>
    <row r="1117" spans="1:5">
      <c r="A1117" t="s">
        <v>5244</v>
      </c>
      <c r="B1117" t="s">
        <v>705</v>
      </c>
      <c r="C1117" t="s">
        <v>2230</v>
      </c>
      <c r="D1117" t="s">
        <v>5161</v>
      </c>
      <c r="E1117" t="s">
        <v>5159</v>
      </c>
    </row>
    <row r="1118" spans="1:5">
      <c r="A1118" t="s">
        <v>5244</v>
      </c>
      <c r="B1118" t="s">
        <v>706</v>
      </c>
      <c r="C1118" t="s">
        <v>2231</v>
      </c>
      <c r="D1118" t="s">
        <v>5186</v>
      </c>
      <c r="E1118" t="s">
        <v>5159</v>
      </c>
    </row>
    <row r="1119" spans="1:5">
      <c r="A1119" t="s">
        <v>5244</v>
      </c>
      <c r="B1119" t="s">
        <v>707</v>
      </c>
      <c r="C1119" t="s">
        <v>2232</v>
      </c>
      <c r="D1119" t="s">
        <v>5186</v>
      </c>
      <c r="E1119" t="s">
        <v>5159</v>
      </c>
    </row>
    <row r="1120" spans="1:5">
      <c r="A1120" t="s">
        <v>5244</v>
      </c>
      <c r="B1120" t="s">
        <v>708</v>
      </c>
      <c r="C1120" t="s">
        <v>2233</v>
      </c>
      <c r="D1120" t="s">
        <v>5186</v>
      </c>
      <c r="E1120" t="s">
        <v>5159</v>
      </c>
    </row>
    <row r="1121" spans="1:5">
      <c r="A1121" t="s">
        <v>5244</v>
      </c>
      <c r="B1121" t="s">
        <v>709</v>
      </c>
      <c r="C1121" t="s">
        <v>2234</v>
      </c>
      <c r="D1121" t="s">
        <v>5186</v>
      </c>
      <c r="E1121" t="s">
        <v>5159</v>
      </c>
    </row>
    <row r="1122" spans="1:5">
      <c r="A1122" t="s">
        <v>5244</v>
      </c>
      <c r="B1122" t="s">
        <v>710</v>
      </c>
      <c r="C1122" t="s">
        <v>2235</v>
      </c>
      <c r="D1122" t="s">
        <v>5158</v>
      </c>
      <c r="E1122" t="s">
        <v>5159</v>
      </c>
    </row>
    <row r="1123" spans="1:5">
      <c r="A1123" t="s">
        <v>5244</v>
      </c>
      <c r="B1123" t="s">
        <v>711</v>
      </c>
      <c r="C1123" t="s">
        <v>2236</v>
      </c>
      <c r="D1123" t="s">
        <v>5158</v>
      </c>
      <c r="E1123" t="s">
        <v>5159</v>
      </c>
    </row>
    <row r="1124" spans="1:5">
      <c r="A1124" t="s">
        <v>5244</v>
      </c>
      <c r="B1124" t="s">
        <v>712</v>
      </c>
      <c r="C1124" t="s">
        <v>2237</v>
      </c>
      <c r="D1124" t="s">
        <v>5186</v>
      </c>
      <c r="E1124" t="s">
        <v>5159</v>
      </c>
    </row>
    <row r="1125" spans="1:5">
      <c r="A1125" t="s">
        <v>5244</v>
      </c>
      <c r="B1125" t="s">
        <v>713</v>
      </c>
      <c r="C1125" t="s">
        <v>2238</v>
      </c>
      <c r="D1125" t="s">
        <v>5186</v>
      </c>
      <c r="E1125" t="s">
        <v>5159</v>
      </c>
    </row>
    <row r="1126" spans="1:5">
      <c r="A1126" t="s">
        <v>5244</v>
      </c>
      <c r="B1126" t="s">
        <v>714</v>
      </c>
      <c r="C1126" t="s">
        <v>2239</v>
      </c>
      <c r="D1126" t="s">
        <v>5158</v>
      </c>
      <c r="E1126" t="s">
        <v>5159</v>
      </c>
    </row>
    <row r="1127" spans="1:5">
      <c r="A1127" t="s">
        <v>5244</v>
      </c>
      <c r="B1127" t="s">
        <v>715</v>
      </c>
      <c r="C1127" t="s">
        <v>2240</v>
      </c>
      <c r="D1127" t="s">
        <v>5158</v>
      </c>
      <c r="E1127" t="s">
        <v>5159</v>
      </c>
    </row>
    <row r="1128" spans="1:5">
      <c r="A1128" t="s">
        <v>5244</v>
      </c>
      <c r="B1128" t="s">
        <v>5511</v>
      </c>
      <c r="C1128" t="s">
        <v>6294</v>
      </c>
      <c r="D1128" t="s">
        <v>5186</v>
      </c>
      <c r="E1128" t="s">
        <v>5159</v>
      </c>
    </row>
    <row r="1129" spans="1:5">
      <c r="A1129" t="s">
        <v>5244</v>
      </c>
      <c r="B1129" t="s">
        <v>716</v>
      </c>
      <c r="C1129" t="s">
        <v>2241</v>
      </c>
      <c r="D1129" t="s">
        <v>5158</v>
      </c>
      <c r="E1129" t="s">
        <v>5159</v>
      </c>
    </row>
    <row r="1130" spans="1:5">
      <c r="A1130" t="s">
        <v>5244</v>
      </c>
      <c r="B1130" t="s">
        <v>717</v>
      </c>
      <c r="C1130" t="s">
        <v>5512</v>
      </c>
      <c r="D1130" t="s">
        <v>5158</v>
      </c>
      <c r="E1130" t="s">
        <v>5159</v>
      </c>
    </row>
    <row r="1131" spans="1:5">
      <c r="A1131" t="s">
        <v>5244</v>
      </c>
      <c r="B1131" t="s">
        <v>718</v>
      </c>
      <c r="C1131" t="s">
        <v>2242</v>
      </c>
      <c r="D1131" t="s">
        <v>5158</v>
      </c>
      <c r="E1131" t="s">
        <v>5159</v>
      </c>
    </row>
    <row r="1132" spans="1:5">
      <c r="A1132" t="s">
        <v>5244</v>
      </c>
      <c r="B1132" t="s">
        <v>719</v>
      </c>
      <c r="C1132" t="s">
        <v>2243</v>
      </c>
      <c r="D1132" t="s">
        <v>5158</v>
      </c>
      <c r="E1132" t="s">
        <v>5159</v>
      </c>
    </row>
    <row r="1133" spans="1:5">
      <c r="A1133" t="s">
        <v>5244</v>
      </c>
      <c r="B1133" t="s">
        <v>720</v>
      </c>
      <c r="C1133" t="s">
        <v>2244</v>
      </c>
      <c r="D1133" t="s">
        <v>5158</v>
      </c>
      <c r="E1133" t="s">
        <v>5159</v>
      </c>
    </row>
    <row r="1134" spans="1:5">
      <c r="A1134" t="s">
        <v>5244</v>
      </c>
      <c r="B1134" t="s">
        <v>721</v>
      </c>
      <c r="C1134" t="s">
        <v>5513</v>
      </c>
      <c r="D1134" t="s">
        <v>5158</v>
      </c>
      <c r="E1134" t="s">
        <v>5159</v>
      </c>
    </row>
    <row r="1135" spans="1:5">
      <c r="A1135" t="s">
        <v>5244</v>
      </c>
      <c r="B1135" t="s">
        <v>722</v>
      </c>
      <c r="C1135" t="s">
        <v>2245</v>
      </c>
      <c r="D1135" t="s">
        <v>5158</v>
      </c>
      <c r="E1135" t="s">
        <v>5159</v>
      </c>
    </row>
    <row r="1136" spans="1:5">
      <c r="A1136" t="s">
        <v>5244</v>
      </c>
      <c r="B1136" t="s">
        <v>2246</v>
      </c>
      <c r="C1136" t="s">
        <v>2247</v>
      </c>
      <c r="D1136" t="s">
        <v>5158</v>
      </c>
      <c r="E1136" t="s">
        <v>5159</v>
      </c>
    </row>
    <row r="1137" spans="1:5">
      <c r="A1137" t="s">
        <v>5244</v>
      </c>
      <c r="B1137" t="s">
        <v>723</v>
      </c>
      <c r="C1137" t="s">
        <v>2248</v>
      </c>
      <c r="D1137" t="s">
        <v>5202</v>
      </c>
      <c r="E1137" t="s">
        <v>5159</v>
      </c>
    </row>
    <row r="1138" spans="1:5">
      <c r="A1138" t="s">
        <v>5244</v>
      </c>
      <c r="B1138" t="s">
        <v>724</v>
      </c>
      <c r="C1138" t="s">
        <v>2249</v>
      </c>
      <c r="D1138" t="s">
        <v>5158</v>
      </c>
      <c r="E1138" t="s">
        <v>5159</v>
      </c>
    </row>
    <row r="1139" spans="1:5">
      <c r="A1139" t="s">
        <v>5244</v>
      </c>
      <c r="B1139" t="s">
        <v>725</v>
      </c>
      <c r="C1139" t="s">
        <v>2250</v>
      </c>
      <c r="D1139" t="s">
        <v>5186</v>
      </c>
      <c r="E1139" t="s">
        <v>5159</v>
      </c>
    </row>
    <row r="1140" spans="1:5">
      <c r="A1140" t="s">
        <v>5244</v>
      </c>
      <c r="B1140" t="s">
        <v>726</v>
      </c>
      <c r="C1140" t="s">
        <v>2251</v>
      </c>
      <c r="D1140" t="s">
        <v>5158</v>
      </c>
      <c r="E1140" t="s">
        <v>5159</v>
      </c>
    </row>
    <row r="1141" spans="1:5">
      <c r="A1141" t="s">
        <v>5244</v>
      </c>
      <c r="B1141" t="s">
        <v>5514</v>
      </c>
      <c r="C1141" t="s">
        <v>5515</v>
      </c>
      <c r="D1141" t="s">
        <v>5158</v>
      </c>
      <c r="E1141" t="s">
        <v>5159</v>
      </c>
    </row>
    <row r="1142" spans="1:5">
      <c r="A1142" t="s">
        <v>5244</v>
      </c>
      <c r="B1142" t="s">
        <v>727</v>
      </c>
      <c r="C1142" t="s">
        <v>2252</v>
      </c>
      <c r="D1142" t="s">
        <v>5187</v>
      </c>
      <c r="E1142" t="s">
        <v>5159</v>
      </c>
    </row>
    <row r="1143" spans="1:5">
      <c r="A1143" t="s">
        <v>5244</v>
      </c>
      <c r="B1143" t="s">
        <v>728</v>
      </c>
      <c r="C1143" t="s">
        <v>5516</v>
      </c>
      <c r="D1143" t="s">
        <v>5158</v>
      </c>
      <c r="E1143" t="s">
        <v>5159</v>
      </c>
    </row>
    <row r="1144" spans="1:5">
      <c r="A1144" t="s">
        <v>5244</v>
      </c>
      <c r="B1144" t="s">
        <v>729</v>
      </c>
      <c r="C1144" t="s">
        <v>2253</v>
      </c>
      <c r="D1144" t="s">
        <v>5158</v>
      </c>
      <c r="E1144" t="s">
        <v>5159</v>
      </c>
    </row>
    <row r="1145" spans="1:5">
      <c r="A1145" t="s">
        <v>5244</v>
      </c>
      <c r="B1145" t="s">
        <v>730</v>
      </c>
      <c r="C1145" t="s">
        <v>2254</v>
      </c>
      <c r="D1145" t="s">
        <v>5158</v>
      </c>
      <c r="E1145" t="s">
        <v>5159</v>
      </c>
    </row>
    <row r="1146" spans="1:5">
      <c r="A1146" t="s">
        <v>5244</v>
      </c>
      <c r="B1146" t="s">
        <v>731</v>
      </c>
      <c r="C1146" t="s">
        <v>2255</v>
      </c>
      <c r="D1146" t="s">
        <v>5158</v>
      </c>
      <c r="E1146" t="s">
        <v>5159</v>
      </c>
    </row>
    <row r="1147" spans="1:5">
      <c r="A1147" t="s">
        <v>5244</v>
      </c>
      <c r="B1147" t="s">
        <v>5156</v>
      </c>
      <c r="C1147" t="s">
        <v>4840</v>
      </c>
      <c r="D1147" t="s">
        <v>5186</v>
      </c>
      <c r="E1147" t="s">
        <v>5159</v>
      </c>
    </row>
    <row r="1148" spans="1:5">
      <c r="A1148" t="s">
        <v>5244</v>
      </c>
      <c r="B1148" t="s">
        <v>5207</v>
      </c>
      <c r="C1148" t="s">
        <v>4841</v>
      </c>
      <c r="D1148" t="s">
        <v>5186</v>
      </c>
      <c r="E1148" t="s">
        <v>5159</v>
      </c>
    </row>
    <row r="1149" spans="1:5">
      <c r="A1149" t="s">
        <v>5244</v>
      </c>
      <c r="B1149" t="s">
        <v>732</v>
      </c>
      <c r="C1149" t="s">
        <v>2256</v>
      </c>
      <c r="D1149" t="s">
        <v>5202</v>
      </c>
      <c r="E1149" t="s">
        <v>5159</v>
      </c>
    </row>
    <row r="1150" spans="1:5">
      <c r="A1150" t="s">
        <v>5244</v>
      </c>
      <c r="B1150" t="s">
        <v>733</v>
      </c>
      <c r="C1150" t="s">
        <v>2257</v>
      </c>
      <c r="D1150" t="s">
        <v>5158</v>
      </c>
      <c r="E1150" t="s">
        <v>5159</v>
      </c>
    </row>
    <row r="1151" spans="1:5">
      <c r="A1151" t="s">
        <v>5244</v>
      </c>
      <c r="B1151" t="s">
        <v>2258</v>
      </c>
      <c r="C1151" t="s">
        <v>2259</v>
      </c>
      <c r="D1151" t="s">
        <v>5158</v>
      </c>
      <c r="E1151" t="s">
        <v>5159</v>
      </c>
    </row>
    <row r="1152" spans="1:5">
      <c r="A1152" t="s">
        <v>5244</v>
      </c>
      <c r="B1152" t="s">
        <v>734</v>
      </c>
      <c r="C1152" t="s">
        <v>5517</v>
      </c>
      <c r="D1152" t="s">
        <v>5158</v>
      </c>
      <c r="E1152" t="s">
        <v>5159</v>
      </c>
    </row>
    <row r="1153" spans="1:5">
      <c r="A1153" t="s">
        <v>5244</v>
      </c>
      <c r="B1153" t="s">
        <v>5518</v>
      </c>
      <c r="C1153" t="s">
        <v>5519</v>
      </c>
      <c r="D1153" t="s">
        <v>5199</v>
      </c>
      <c r="E1153" t="s">
        <v>5159</v>
      </c>
    </row>
    <row r="1154" spans="1:5">
      <c r="A1154" t="s">
        <v>5244</v>
      </c>
      <c r="B1154" t="s">
        <v>735</v>
      </c>
      <c r="C1154" t="s">
        <v>2260</v>
      </c>
      <c r="D1154" t="s">
        <v>5201</v>
      </c>
      <c r="E1154" t="s">
        <v>5159</v>
      </c>
    </row>
    <row r="1155" spans="1:5">
      <c r="A1155" t="s">
        <v>5244</v>
      </c>
      <c r="B1155" t="s">
        <v>736</v>
      </c>
      <c r="C1155" t="s">
        <v>4858</v>
      </c>
      <c r="D1155" t="s">
        <v>5158</v>
      </c>
      <c r="E1155" t="s">
        <v>5159</v>
      </c>
    </row>
    <row r="1156" spans="1:5">
      <c r="A1156" t="s">
        <v>5244</v>
      </c>
      <c r="B1156" t="s">
        <v>2261</v>
      </c>
      <c r="C1156" t="s">
        <v>2262</v>
      </c>
      <c r="D1156" t="s">
        <v>5158</v>
      </c>
      <c r="E1156" t="s">
        <v>5159</v>
      </c>
    </row>
    <row r="1157" spans="1:5">
      <c r="A1157" t="s">
        <v>5244</v>
      </c>
      <c r="B1157" t="s">
        <v>5520</v>
      </c>
      <c r="C1157" t="s">
        <v>5521</v>
      </c>
      <c r="D1157" t="s">
        <v>5158</v>
      </c>
      <c r="E1157" t="s">
        <v>5159</v>
      </c>
    </row>
    <row r="1158" spans="1:5">
      <c r="A1158" t="s">
        <v>5244</v>
      </c>
      <c r="B1158" t="s">
        <v>2263</v>
      </c>
      <c r="C1158" t="s">
        <v>2264</v>
      </c>
      <c r="D1158" t="s">
        <v>5158</v>
      </c>
      <c r="E1158" t="s">
        <v>5159</v>
      </c>
    </row>
    <row r="1159" spans="1:5">
      <c r="A1159" t="s">
        <v>5244</v>
      </c>
      <c r="B1159" t="s">
        <v>737</v>
      </c>
      <c r="C1159" t="s">
        <v>2265</v>
      </c>
      <c r="D1159" t="s">
        <v>5186</v>
      </c>
      <c r="E1159" t="s">
        <v>5159</v>
      </c>
    </row>
    <row r="1160" spans="1:5">
      <c r="A1160" t="s">
        <v>5244</v>
      </c>
      <c r="B1160" t="s">
        <v>738</v>
      </c>
      <c r="C1160" t="s">
        <v>2266</v>
      </c>
      <c r="D1160" t="s">
        <v>5158</v>
      </c>
      <c r="E1160" t="s">
        <v>5159</v>
      </c>
    </row>
    <row r="1161" spans="1:5">
      <c r="A1161" t="s">
        <v>5244</v>
      </c>
      <c r="B1161" t="s">
        <v>2267</v>
      </c>
      <c r="C1161" t="s">
        <v>2268</v>
      </c>
      <c r="D1161" t="s">
        <v>5158</v>
      </c>
      <c r="E1161" t="s">
        <v>5159</v>
      </c>
    </row>
    <row r="1162" spans="1:5">
      <c r="A1162" t="s">
        <v>5244</v>
      </c>
      <c r="B1162" t="s">
        <v>2269</v>
      </c>
      <c r="C1162" t="s">
        <v>1939</v>
      </c>
      <c r="D1162" t="s">
        <v>5158</v>
      </c>
      <c r="E1162" t="s">
        <v>5159</v>
      </c>
    </row>
    <row r="1163" spans="1:5">
      <c r="A1163" t="s">
        <v>5244</v>
      </c>
      <c r="B1163" t="s">
        <v>2270</v>
      </c>
      <c r="C1163" t="s">
        <v>2271</v>
      </c>
      <c r="D1163" t="s">
        <v>5158</v>
      </c>
      <c r="E1163" t="s">
        <v>5159</v>
      </c>
    </row>
    <row r="1164" spans="1:5">
      <c r="A1164" t="s">
        <v>5244</v>
      </c>
      <c r="B1164" t="s">
        <v>739</v>
      </c>
      <c r="C1164" t="s">
        <v>2272</v>
      </c>
      <c r="D1164" t="s">
        <v>5158</v>
      </c>
      <c r="E1164" t="s">
        <v>5159</v>
      </c>
    </row>
    <row r="1165" spans="1:5">
      <c r="A1165" t="s">
        <v>5244</v>
      </c>
      <c r="B1165" t="s">
        <v>2273</v>
      </c>
      <c r="C1165" t="s">
        <v>2274</v>
      </c>
      <c r="D1165" t="s">
        <v>5158</v>
      </c>
      <c r="E1165" t="s">
        <v>5159</v>
      </c>
    </row>
    <row r="1166" spans="1:5">
      <c r="A1166" t="s">
        <v>5244</v>
      </c>
      <c r="B1166" t="s">
        <v>740</v>
      </c>
      <c r="C1166" t="s">
        <v>2275</v>
      </c>
      <c r="D1166" t="s">
        <v>5158</v>
      </c>
      <c r="E1166" t="s">
        <v>5159</v>
      </c>
    </row>
    <row r="1167" spans="1:5">
      <c r="A1167" t="s">
        <v>5244</v>
      </c>
      <c r="B1167" t="s">
        <v>741</v>
      </c>
      <c r="C1167" t="s">
        <v>2276</v>
      </c>
      <c r="D1167" t="s">
        <v>5158</v>
      </c>
      <c r="E1167" t="s">
        <v>5159</v>
      </c>
    </row>
    <row r="1168" spans="1:5">
      <c r="A1168" t="s">
        <v>5244</v>
      </c>
      <c r="B1168" t="s">
        <v>2277</v>
      </c>
      <c r="C1168" t="s">
        <v>2278</v>
      </c>
      <c r="D1168" t="s">
        <v>5158</v>
      </c>
      <c r="E1168" t="s">
        <v>5159</v>
      </c>
    </row>
    <row r="1169" spans="1:5">
      <c r="A1169" t="s">
        <v>5244</v>
      </c>
      <c r="B1169" t="s">
        <v>742</v>
      </c>
      <c r="C1169" t="s">
        <v>2279</v>
      </c>
      <c r="D1169" t="s">
        <v>5158</v>
      </c>
      <c r="E1169" t="s">
        <v>5159</v>
      </c>
    </row>
    <row r="1170" spans="1:5">
      <c r="A1170" t="s">
        <v>5244</v>
      </c>
      <c r="B1170" t="s">
        <v>743</v>
      </c>
      <c r="C1170" t="s">
        <v>6289</v>
      </c>
      <c r="D1170" t="s">
        <v>5158</v>
      </c>
      <c r="E1170" t="s">
        <v>5159</v>
      </c>
    </row>
    <row r="1171" spans="1:5">
      <c r="A1171" t="s">
        <v>5244</v>
      </c>
      <c r="B1171" t="s">
        <v>744</v>
      </c>
      <c r="C1171" t="s">
        <v>2280</v>
      </c>
      <c r="D1171" t="s">
        <v>5158</v>
      </c>
      <c r="E1171" t="s">
        <v>5159</v>
      </c>
    </row>
    <row r="1172" spans="1:5">
      <c r="A1172" t="s">
        <v>5244</v>
      </c>
      <c r="B1172" t="s">
        <v>745</v>
      </c>
      <c r="C1172" t="s">
        <v>5522</v>
      </c>
      <c r="D1172" t="s">
        <v>5158</v>
      </c>
      <c r="E1172" t="s">
        <v>5159</v>
      </c>
    </row>
    <row r="1173" spans="1:5">
      <c r="A1173" t="s">
        <v>5244</v>
      </c>
      <c r="B1173" t="s">
        <v>746</v>
      </c>
      <c r="C1173" t="s">
        <v>5523</v>
      </c>
      <c r="D1173" t="s">
        <v>5158</v>
      </c>
      <c r="E1173" t="s">
        <v>5159</v>
      </c>
    </row>
    <row r="1174" spans="1:5">
      <c r="A1174" t="s">
        <v>5244</v>
      </c>
      <c r="B1174" t="s">
        <v>747</v>
      </c>
      <c r="C1174" t="s">
        <v>5524</v>
      </c>
      <c r="D1174" t="s">
        <v>5158</v>
      </c>
      <c r="E1174" t="s">
        <v>5159</v>
      </c>
    </row>
    <row r="1175" spans="1:5">
      <c r="A1175" t="s">
        <v>5244</v>
      </c>
      <c r="B1175" t="s">
        <v>748</v>
      </c>
      <c r="C1175" t="s">
        <v>2281</v>
      </c>
      <c r="D1175" t="s">
        <v>5158</v>
      </c>
      <c r="E1175" t="s">
        <v>5159</v>
      </c>
    </row>
    <row r="1176" spans="1:5">
      <c r="A1176" t="s">
        <v>5244</v>
      </c>
      <c r="B1176" t="s">
        <v>749</v>
      </c>
      <c r="C1176" t="s">
        <v>5525</v>
      </c>
      <c r="D1176" t="s">
        <v>5158</v>
      </c>
      <c r="E1176" t="s">
        <v>5159</v>
      </c>
    </row>
    <row r="1177" spans="1:5">
      <c r="A1177" t="s">
        <v>5244</v>
      </c>
      <c r="B1177" t="s">
        <v>750</v>
      </c>
      <c r="C1177" t="s">
        <v>5526</v>
      </c>
      <c r="D1177" t="s">
        <v>5158</v>
      </c>
      <c r="E1177" t="s">
        <v>5159</v>
      </c>
    </row>
    <row r="1178" spans="1:5">
      <c r="A1178" t="s">
        <v>5244</v>
      </c>
      <c r="B1178" t="s">
        <v>751</v>
      </c>
      <c r="C1178" t="s">
        <v>6295</v>
      </c>
      <c r="D1178" t="s">
        <v>5158</v>
      </c>
      <c r="E1178" t="s">
        <v>5159</v>
      </c>
    </row>
    <row r="1179" spans="1:5">
      <c r="A1179" t="s">
        <v>5244</v>
      </c>
      <c r="B1179" t="s">
        <v>752</v>
      </c>
      <c r="C1179" t="s">
        <v>2282</v>
      </c>
      <c r="D1179" t="s">
        <v>5158</v>
      </c>
      <c r="E1179" t="s">
        <v>5159</v>
      </c>
    </row>
    <row r="1180" spans="1:5">
      <c r="A1180" t="s">
        <v>5244</v>
      </c>
      <c r="B1180" t="s">
        <v>753</v>
      </c>
      <c r="C1180" t="s">
        <v>2283</v>
      </c>
      <c r="D1180" t="s">
        <v>5158</v>
      </c>
      <c r="E1180" t="s">
        <v>5159</v>
      </c>
    </row>
    <row r="1181" spans="1:5">
      <c r="A1181" t="s">
        <v>5244</v>
      </c>
      <c r="B1181" t="s">
        <v>754</v>
      </c>
      <c r="C1181" t="s">
        <v>2284</v>
      </c>
      <c r="D1181" t="s">
        <v>5158</v>
      </c>
      <c r="E1181" t="s">
        <v>5159</v>
      </c>
    </row>
    <row r="1182" spans="1:5">
      <c r="A1182" t="s">
        <v>5244</v>
      </c>
      <c r="B1182" t="s">
        <v>755</v>
      </c>
      <c r="C1182" t="s">
        <v>2285</v>
      </c>
      <c r="D1182" t="s">
        <v>5158</v>
      </c>
      <c r="E1182" t="s">
        <v>5159</v>
      </c>
    </row>
    <row r="1183" spans="1:5">
      <c r="A1183" t="s">
        <v>5244</v>
      </c>
      <c r="B1183" t="s">
        <v>2286</v>
      </c>
      <c r="C1183" t="s">
        <v>2287</v>
      </c>
      <c r="D1183" t="s">
        <v>5158</v>
      </c>
      <c r="E1183" t="s">
        <v>5159</v>
      </c>
    </row>
    <row r="1184" spans="1:5">
      <c r="A1184" t="s">
        <v>5244</v>
      </c>
      <c r="B1184" t="s">
        <v>2288</v>
      </c>
      <c r="C1184" t="s">
        <v>2289</v>
      </c>
      <c r="D1184" t="s">
        <v>5158</v>
      </c>
      <c r="E1184" t="s">
        <v>5159</v>
      </c>
    </row>
    <row r="1185" spans="1:5">
      <c r="A1185" t="s">
        <v>5244</v>
      </c>
      <c r="B1185" t="s">
        <v>756</v>
      </c>
      <c r="C1185" t="s">
        <v>2290</v>
      </c>
      <c r="D1185" t="s">
        <v>5158</v>
      </c>
      <c r="E1185" t="s">
        <v>5159</v>
      </c>
    </row>
    <row r="1186" spans="1:5">
      <c r="A1186" t="s">
        <v>5244</v>
      </c>
      <c r="B1186" t="s">
        <v>2291</v>
      </c>
      <c r="C1186" t="s">
        <v>2292</v>
      </c>
      <c r="D1186" t="s">
        <v>5158</v>
      </c>
      <c r="E1186" t="s">
        <v>5159</v>
      </c>
    </row>
    <row r="1187" spans="1:5">
      <c r="A1187" t="s">
        <v>5244</v>
      </c>
      <c r="B1187" t="s">
        <v>757</v>
      </c>
      <c r="C1187" t="s">
        <v>2293</v>
      </c>
      <c r="D1187" t="s">
        <v>5158</v>
      </c>
      <c r="E1187" t="s">
        <v>5159</v>
      </c>
    </row>
    <row r="1188" spans="1:5">
      <c r="A1188" t="s">
        <v>5244</v>
      </c>
      <c r="B1188" t="s">
        <v>758</v>
      </c>
      <c r="C1188" t="s">
        <v>2294</v>
      </c>
      <c r="D1188" t="s">
        <v>5158</v>
      </c>
      <c r="E1188" t="s">
        <v>5159</v>
      </c>
    </row>
    <row r="1189" spans="1:5">
      <c r="A1189" t="s">
        <v>5244</v>
      </c>
      <c r="B1189" t="s">
        <v>759</v>
      </c>
      <c r="C1189" t="s">
        <v>2295</v>
      </c>
      <c r="D1189" t="s">
        <v>5158</v>
      </c>
      <c r="E1189" t="s">
        <v>5159</v>
      </c>
    </row>
    <row r="1190" spans="1:5">
      <c r="A1190" t="s">
        <v>5244</v>
      </c>
      <c r="B1190" t="s">
        <v>760</v>
      </c>
      <c r="C1190" t="s">
        <v>2296</v>
      </c>
      <c r="D1190" t="s">
        <v>5186</v>
      </c>
      <c r="E1190" t="s">
        <v>5159</v>
      </c>
    </row>
    <row r="1191" spans="1:5">
      <c r="A1191" t="s">
        <v>5244</v>
      </c>
      <c r="B1191" t="s">
        <v>762</v>
      </c>
      <c r="C1191" t="s">
        <v>2297</v>
      </c>
      <c r="D1191" t="s">
        <v>5158</v>
      </c>
      <c r="E1191" t="s">
        <v>5159</v>
      </c>
    </row>
    <row r="1192" spans="1:5">
      <c r="A1192" t="s">
        <v>5244</v>
      </c>
      <c r="B1192" t="s">
        <v>2298</v>
      </c>
      <c r="C1192" t="s">
        <v>2299</v>
      </c>
      <c r="D1192" t="s">
        <v>5188</v>
      </c>
      <c r="E1192" t="s">
        <v>5159</v>
      </c>
    </row>
    <row r="1193" spans="1:5">
      <c r="A1193" t="s">
        <v>5244</v>
      </c>
      <c r="B1193" t="s">
        <v>763</v>
      </c>
      <c r="C1193" t="s">
        <v>2300</v>
      </c>
      <c r="D1193" t="s">
        <v>5208</v>
      </c>
      <c r="E1193" t="s">
        <v>5159</v>
      </c>
    </row>
    <row r="1194" spans="1:5">
      <c r="A1194" t="s">
        <v>5488</v>
      </c>
      <c r="B1194" t="s">
        <v>763</v>
      </c>
      <c r="C1194" t="s">
        <v>2300</v>
      </c>
      <c r="D1194" t="s">
        <v>5208</v>
      </c>
      <c r="E1194" t="s">
        <v>5159</v>
      </c>
    </row>
    <row r="1195" spans="1:5">
      <c r="A1195" t="s">
        <v>5244</v>
      </c>
      <c r="B1195" t="s">
        <v>2301</v>
      </c>
      <c r="C1195" t="s">
        <v>2302</v>
      </c>
      <c r="D1195" t="s">
        <v>5197</v>
      </c>
      <c r="E1195" t="s">
        <v>5159</v>
      </c>
    </row>
    <row r="1196" spans="1:5">
      <c r="A1196" t="s">
        <v>5488</v>
      </c>
      <c r="B1196" t="s">
        <v>2301</v>
      </c>
      <c r="C1196" t="s">
        <v>2302</v>
      </c>
      <c r="D1196" t="s">
        <v>5197</v>
      </c>
      <c r="E1196" t="s">
        <v>5159</v>
      </c>
    </row>
    <row r="1197" spans="1:5">
      <c r="A1197" t="s">
        <v>5241</v>
      </c>
      <c r="B1197" t="s">
        <v>764</v>
      </c>
      <c r="C1197" t="s">
        <v>2303</v>
      </c>
      <c r="D1197" t="s">
        <v>5197</v>
      </c>
      <c r="E1197" t="s">
        <v>5159</v>
      </c>
    </row>
    <row r="1198" spans="1:5">
      <c r="A1198" t="s">
        <v>5244</v>
      </c>
      <c r="B1198" t="s">
        <v>764</v>
      </c>
      <c r="C1198" t="s">
        <v>2303</v>
      </c>
      <c r="D1198" t="s">
        <v>5197</v>
      </c>
      <c r="E1198" t="s">
        <v>5159</v>
      </c>
    </row>
    <row r="1199" spans="1:5">
      <c r="A1199" t="s">
        <v>5488</v>
      </c>
      <c r="B1199" t="s">
        <v>764</v>
      </c>
      <c r="C1199" t="s">
        <v>2303</v>
      </c>
      <c r="D1199" t="s">
        <v>5197</v>
      </c>
      <c r="E1199" t="s">
        <v>5159</v>
      </c>
    </row>
    <row r="1200" spans="1:5">
      <c r="A1200" t="s">
        <v>5244</v>
      </c>
      <c r="B1200" t="s">
        <v>765</v>
      </c>
      <c r="C1200" t="s">
        <v>2304</v>
      </c>
      <c r="D1200" t="s">
        <v>5197</v>
      </c>
      <c r="E1200" t="s">
        <v>5159</v>
      </c>
    </row>
    <row r="1201" spans="1:5">
      <c r="A1201" t="s">
        <v>5488</v>
      </c>
      <c r="B1201" t="s">
        <v>765</v>
      </c>
      <c r="C1201" t="s">
        <v>2304</v>
      </c>
      <c r="D1201" t="s">
        <v>5197</v>
      </c>
      <c r="E1201" t="s">
        <v>5159</v>
      </c>
    </row>
    <row r="1202" spans="1:5">
      <c r="A1202" t="s">
        <v>5244</v>
      </c>
      <c r="B1202" t="s">
        <v>766</v>
      </c>
      <c r="C1202" t="s">
        <v>2305</v>
      </c>
      <c r="D1202" t="s">
        <v>5197</v>
      </c>
      <c r="E1202" t="s">
        <v>5159</v>
      </c>
    </row>
    <row r="1203" spans="1:5">
      <c r="A1203" t="s">
        <v>5488</v>
      </c>
      <c r="B1203" t="s">
        <v>766</v>
      </c>
      <c r="C1203" t="s">
        <v>2305</v>
      </c>
      <c r="D1203" t="s">
        <v>5197</v>
      </c>
      <c r="E1203" t="s">
        <v>5159</v>
      </c>
    </row>
    <row r="1204" spans="1:5">
      <c r="A1204" t="s">
        <v>5488</v>
      </c>
      <c r="B1204" t="s">
        <v>767</v>
      </c>
      <c r="C1204" t="s">
        <v>2306</v>
      </c>
      <c r="D1204" t="s">
        <v>5197</v>
      </c>
      <c r="E1204" t="s">
        <v>5159</v>
      </c>
    </row>
    <row r="1205" spans="1:5">
      <c r="A1205" t="s">
        <v>5244</v>
      </c>
      <c r="B1205" t="s">
        <v>767</v>
      </c>
      <c r="C1205" t="s">
        <v>2306</v>
      </c>
      <c r="D1205" t="s">
        <v>5197</v>
      </c>
      <c r="E1205" t="s">
        <v>5159</v>
      </c>
    </row>
    <row r="1206" spans="1:5">
      <c r="A1206" t="s">
        <v>5488</v>
      </c>
      <c r="B1206" t="s">
        <v>768</v>
      </c>
      <c r="C1206" t="s">
        <v>2307</v>
      </c>
      <c r="D1206" t="s">
        <v>5197</v>
      </c>
      <c r="E1206" t="s">
        <v>5159</v>
      </c>
    </row>
    <row r="1207" spans="1:5">
      <c r="A1207" t="s">
        <v>5244</v>
      </c>
      <c r="B1207" t="s">
        <v>768</v>
      </c>
      <c r="C1207" t="s">
        <v>2307</v>
      </c>
      <c r="D1207" t="s">
        <v>5197</v>
      </c>
      <c r="E1207" t="s">
        <v>5159</v>
      </c>
    </row>
    <row r="1208" spans="1:5">
      <c r="A1208" t="s">
        <v>5244</v>
      </c>
      <c r="B1208" t="s">
        <v>769</v>
      </c>
      <c r="C1208" t="s">
        <v>2308</v>
      </c>
      <c r="D1208" t="s">
        <v>5190</v>
      </c>
      <c r="E1208" t="s">
        <v>5159</v>
      </c>
    </row>
    <row r="1209" spans="1:5">
      <c r="A1209" t="s">
        <v>5241</v>
      </c>
      <c r="B1209" t="s">
        <v>769</v>
      </c>
      <c r="C1209" t="s">
        <v>2308</v>
      </c>
      <c r="D1209" t="s">
        <v>5190</v>
      </c>
      <c r="E1209" t="s">
        <v>5159</v>
      </c>
    </row>
    <row r="1210" spans="1:5">
      <c r="A1210" t="s">
        <v>5244</v>
      </c>
      <c r="B1210" t="s">
        <v>770</v>
      </c>
      <c r="C1210" t="s">
        <v>2309</v>
      </c>
      <c r="D1210" t="s">
        <v>5160</v>
      </c>
      <c r="E1210" t="s">
        <v>5159</v>
      </c>
    </row>
    <row r="1211" spans="1:5">
      <c r="A1211" t="s">
        <v>5488</v>
      </c>
      <c r="B1211" t="s">
        <v>770</v>
      </c>
      <c r="C1211" t="s">
        <v>2309</v>
      </c>
      <c r="D1211" t="s">
        <v>5160</v>
      </c>
      <c r="E1211" t="s">
        <v>5159</v>
      </c>
    </row>
    <row r="1212" spans="1:5">
      <c r="A1212" t="s">
        <v>5488</v>
      </c>
      <c r="B1212" t="s">
        <v>771</v>
      </c>
      <c r="C1212" t="s">
        <v>2310</v>
      </c>
      <c r="D1212" t="s">
        <v>5160</v>
      </c>
      <c r="E1212" t="s">
        <v>5159</v>
      </c>
    </row>
    <row r="1213" spans="1:5">
      <c r="A1213" t="s">
        <v>5244</v>
      </c>
      <c r="B1213" t="s">
        <v>771</v>
      </c>
      <c r="C1213" t="s">
        <v>2310</v>
      </c>
      <c r="D1213" t="s">
        <v>5160</v>
      </c>
      <c r="E1213" t="s">
        <v>5159</v>
      </c>
    </row>
    <row r="1214" spans="1:5">
      <c r="A1214" t="s">
        <v>5488</v>
      </c>
      <c r="B1214" t="s">
        <v>772</v>
      </c>
      <c r="C1214" t="s">
        <v>2311</v>
      </c>
      <c r="D1214" t="s">
        <v>5160</v>
      </c>
      <c r="E1214" t="s">
        <v>5159</v>
      </c>
    </row>
    <row r="1215" spans="1:5">
      <c r="A1215" t="s">
        <v>5244</v>
      </c>
      <c r="B1215" t="s">
        <v>772</v>
      </c>
      <c r="C1215" t="s">
        <v>2311</v>
      </c>
      <c r="D1215" t="s">
        <v>5160</v>
      </c>
      <c r="E1215" t="s">
        <v>5159</v>
      </c>
    </row>
    <row r="1216" spans="1:5">
      <c r="A1216" t="s">
        <v>5244</v>
      </c>
      <c r="B1216" t="s">
        <v>773</v>
      </c>
      <c r="C1216" t="s">
        <v>2312</v>
      </c>
      <c r="D1216" t="s">
        <v>5160</v>
      </c>
      <c r="E1216" t="s">
        <v>5159</v>
      </c>
    </row>
    <row r="1217" spans="1:5">
      <c r="A1217" t="s">
        <v>5488</v>
      </c>
      <c r="B1217" t="s">
        <v>773</v>
      </c>
      <c r="C1217" t="s">
        <v>2312</v>
      </c>
      <c r="D1217" t="s">
        <v>5160</v>
      </c>
      <c r="E1217" t="s">
        <v>5159</v>
      </c>
    </row>
    <row r="1218" spans="1:5">
      <c r="A1218" t="s">
        <v>5488</v>
      </c>
      <c r="B1218" t="s">
        <v>774</v>
      </c>
      <c r="C1218" t="s">
        <v>2313</v>
      </c>
      <c r="D1218" t="s">
        <v>5160</v>
      </c>
      <c r="E1218" t="s">
        <v>5159</v>
      </c>
    </row>
    <row r="1219" spans="1:5">
      <c r="A1219" t="s">
        <v>5244</v>
      </c>
      <c r="B1219" t="s">
        <v>774</v>
      </c>
      <c r="C1219" t="s">
        <v>2313</v>
      </c>
      <c r="D1219" t="s">
        <v>5160</v>
      </c>
      <c r="E1219" t="s">
        <v>5159</v>
      </c>
    </row>
    <row r="1220" spans="1:5">
      <c r="A1220" t="s">
        <v>5488</v>
      </c>
      <c r="B1220" t="s">
        <v>775</v>
      </c>
      <c r="C1220" t="s">
        <v>2314</v>
      </c>
      <c r="D1220" t="s">
        <v>5160</v>
      </c>
      <c r="E1220" t="s">
        <v>5159</v>
      </c>
    </row>
    <row r="1221" spans="1:5">
      <c r="A1221" t="s">
        <v>5241</v>
      </c>
      <c r="B1221" t="s">
        <v>775</v>
      </c>
      <c r="C1221" t="s">
        <v>2314</v>
      </c>
      <c r="D1221" t="s">
        <v>5160</v>
      </c>
      <c r="E1221" t="s">
        <v>5159</v>
      </c>
    </row>
    <row r="1222" spans="1:5">
      <c r="A1222" t="s">
        <v>5244</v>
      </c>
      <c r="B1222" t="s">
        <v>775</v>
      </c>
      <c r="C1222" t="s">
        <v>2314</v>
      </c>
      <c r="D1222" t="s">
        <v>5160</v>
      </c>
      <c r="E1222" t="s">
        <v>5159</v>
      </c>
    </row>
    <row r="1223" spans="1:5">
      <c r="A1223" t="s">
        <v>5244</v>
      </c>
      <c r="B1223" t="s">
        <v>776</v>
      </c>
      <c r="C1223" t="s">
        <v>2315</v>
      </c>
      <c r="D1223" t="s">
        <v>5160</v>
      </c>
      <c r="E1223" t="s">
        <v>5159</v>
      </c>
    </row>
    <row r="1224" spans="1:5">
      <c r="A1224" t="s">
        <v>5244</v>
      </c>
      <c r="B1224" t="s">
        <v>777</v>
      </c>
      <c r="C1224" t="s">
        <v>2316</v>
      </c>
      <c r="D1224" t="s">
        <v>5158</v>
      </c>
      <c r="E1224" t="s">
        <v>5159</v>
      </c>
    </row>
    <row r="1225" spans="1:5">
      <c r="A1225" t="s">
        <v>5244</v>
      </c>
      <c r="B1225" t="s">
        <v>778</v>
      </c>
      <c r="C1225" t="s">
        <v>5527</v>
      </c>
      <c r="D1225" t="s">
        <v>5158</v>
      </c>
      <c r="E1225" t="s">
        <v>5159</v>
      </c>
    </row>
    <row r="1226" spans="1:5">
      <c r="A1226" t="s">
        <v>5244</v>
      </c>
      <c r="B1226" t="s">
        <v>6290</v>
      </c>
      <c r="C1226" t="s">
        <v>4713</v>
      </c>
      <c r="D1226" t="s">
        <v>5158</v>
      </c>
      <c r="E1226" t="s">
        <v>5159</v>
      </c>
    </row>
    <row r="1227" spans="1:5">
      <c r="A1227" t="s">
        <v>5244</v>
      </c>
      <c r="B1227" t="s">
        <v>779</v>
      </c>
      <c r="C1227" t="s">
        <v>2317</v>
      </c>
      <c r="D1227" t="s">
        <v>5158</v>
      </c>
      <c r="E1227" t="s">
        <v>5159</v>
      </c>
    </row>
    <row r="1228" spans="1:5">
      <c r="A1228" t="s">
        <v>5244</v>
      </c>
      <c r="B1228" t="s">
        <v>780</v>
      </c>
      <c r="C1228" t="s">
        <v>2318</v>
      </c>
      <c r="D1228" t="s">
        <v>5158</v>
      </c>
      <c r="E1228" t="s">
        <v>5159</v>
      </c>
    </row>
    <row r="1229" spans="1:5">
      <c r="A1229" t="s">
        <v>5244</v>
      </c>
      <c r="B1229" t="s">
        <v>781</v>
      </c>
      <c r="C1229" t="s">
        <v>2319</v>
      </c>
      <c r="D1229" t="s">
        <v>5186</v>
      </c>
      <c r="E1229" t="s">
        <v>5159</v>
      </c>
    </row>
    <row r="1230" spans="1:5">
      <c r="A1230" t="s">
        <v>5244</v>
      </c>
      <c r="B1230" t="s">
        <v>782</v>
      </c>
      <c r="C1230" t="s">
        <v>2320</v>
      </c>
      <c r="D1230" t="s">
        <v>5158</v>
      </c>
      <c r="E1230" t="s">
        <v>5159</v>
      </c>
    </row>
    <row r="1231" spans="1:5">
      <c r="A1231" t="s">
        <v>5244</v>
      </c>
      <c r="B1231" t="s">
        <v>783</v>
      </c>
      <c r="C1231" t="s">
        <v>2321</v>
      </c>
      <c r="D1231" t="s">
        <v>5158</v>
      </c>
      <c r="E1231" t="s">
        <v>5159</v>
      </c>
    </row>
    <row r="1232" spans="1:5">
      <c r="A1232" t="s">
        <v>5244</v>
      </c>
      <c r="B1232" t="s">
        <v>784</v>
      </c>
      <c r="C1232" t="s">
        <v>2322</v>
      </c>
      <c r="D1232" t="s">
        <v>5158</v>
      </c>
      <c r="E1232" t="s">
        <v>5159</v>
      </c>
    </row>
    <row r="1233" spans="1:5">
      <c r="A1233" t="s">
        <v>5244</v>
      </c>
      <c r="B1233" t="s">
        <v>785</v>
      </c>
      <c r="C1233" t="s">
        <v>2323</v>
      </c>
      <c r="D1233" t="s">
        <v>5158</v>
      </c>
      <c r="E1233" t="s">
        <v>5159</v>
      </c>
    </row>
    <row r="1234" spans="1:5">
      <c r="A1234" t="s">
        <v>5244</v>
      </c>
      <c r="B1234" t="s">
        <v>2324</v>
      </c>
      <c r="C1234" t="s">
        <v>2325</v>
      </c>
      <c r="D1234" t="s">
        <v>5186</v>
      </c>
      <c r="E1234" t="s">
        <v>5159</v>
      </c>
    </row>
    <row r="1235" spans="1:5">
      <c r="A1235" t="s">
        <v>5244</v>
      </c>
      <c r="B1235" t="s">
        <v>786</v>
      </c>
      <c r="C1235" t="s">
        <v>5528</v>
      </c>
      <c r="D1235" t="s">
        <v>5158</v>
      </c>
      <c r="E1235" t="s">
        <v>5159</v>
      </c>
    </row>
    <row r="1236" spans="1:5">
      <c r="A1236" t="s">
        <v>5244</v>
      </c>
      <c r="B1236" t="s">
        <v>787</v>
      </c>
      <c r="C1236" t="s">
        <v>2326</v>
      </c>
      <c r="D1236" t="s">
        <v>5186</v>
      </c>
      <c r="E1236" t="s">
        <v>5159</v>
      </c>
    </row>
    <row r="1237" spans="1:5">
      <c r="A1237" t="s">
        <v>5244</v>
      </c>
      <c r="B1237" t="s">
        <v>788</v>
      </c>
      <c r="C1237" t="s">
        <v>2327</v>
      </c>
      <c r="D1237" t="s">
        <v>5158</v>
      </c>
      <c r="E1237" t="s">
        <v>5159</v>
      </c>
    </row>
    <row r="1238" spans="1:5">
      <c r="A1238" t="s">
        <v>5244</v>
      </c>
      <c r="B1238" t="s">
        <v>789</v>
      </c>
      <c r="C1238" t="s">
        <v>2328</v>
      </c>
      <c r="D1238" t="s">
        <v>5187</v>
      </c>
      <c r="E1238" t="s">
        <v>5159</v>
      </c>
    </row>
    <row r="1239" spans="1:5">
      <c r="A1239" t="s">
        <v>5244</v>
      </c>
      <c r="B1239" t="s">
        <v>790</v>
      </c>
      <c r="C1239" t="s">
        <v>5529</v>
      </c>
      <c r="D1239" t="s">
        <v>5158</v>
      </c>
      <c r="E1239" t="s">
        <v>5159</v>
      </c>
    </row>
    <row r="1240" spans="1:5">
      <c r="A1240" t="s">
        <v>5244</v>
      </c>
      <c r="B1240" t="s">
        <v>791</v>
      </c>
      <c r="C1240" t="s">
        <v>2329</v>
      </c>
      <c r="D1240" t="s">
        <v>5158</v>
      </c>
      <c r="E1240" t="s">
        <v>5159</v>
      </c>
    </row>
    <row r="1241" spans="1:5">
      <c r="A1241" t="s">
        <v>5244</v>
      </c>
      <c r="B1241" t="s">
        <v>792</v>
      </c>
      <c r="C1241" t="s">
        <v>2330</v>
      </c>
      <c r="D1241" t="s">
        <v>5158</v>
      </c>
      <c r="E1241" t="s">
        <v>5159</v>
      </c>
    </row>
    <row r="1242" spans="1:5">
      <c r="A1242" t="s">
        <v>5244</v>
      </c>
      <c r="B1242" t="s">
        <v>2331</v>
      </c>
      <c r="C1242" t="s">
        <v>2332</v>
      </c>
      <c r="D1242" t="s">
        <v>5158</v>
      </c>
      <c r="E1242" t="s">
        <v>5159</v>
      </c>
    </row>
    <row r="1243" spans="1:5">
      <c r="A1243" t="s">
        <v>5244</v>
      </c>
      <c r="B1243" t="s">
        <v>793</v>
      </c>
      <c r="C1243" t="s">
        <v>2333</v>
      </c>
      <c r="D1243" t="s">
        <v>5158</v>
      </c>
      <c r="E1243" t="s">
        <v>5159</v>
      </c>
    </row>
    <row r="1244" spans="1:5">
      <c r="A1244" t="s">
        <v>5244</v>
      </c>
      <c r="B1244" t="s">
        <v>794</v>
      </c>
      <c r="C1244" t="s">
        <v>2334</v>
      </c>
      <c r="D1244" t="s">
        <v>5158</v>
      </c>
      <c r="E1244" t="s">
        <v>5159</v>
      </c>
    </row>
    <row r="1245" spans="1:5">
      <c r="A1245" t="s">
        <v>5244</v>
      </c>
      <c r="B1245" t="s">
        <v>795</v>
      </c>
      <c r="C1245" t="s">
        <v>5530</v>
      </c>
      <c r="D1245" t="s">
        <v>5161</v>
      </c>
      <c r="E1245" t="s">
        <v>5159</v>
      </c>
    </row>
    <row r="1246" spans="1:5">
      <c r="A1246" t="s">
        <v>5244</v>
      </c>
      <c r="B1246" t="s">
        <v>796</v>
      </c>
      <c r="C1246" t="s">
        <v>5531</v>
      </c>
      <c r="D1246" t="s">
        <v>5158</v>
      </c>
      <c r="E1246" t="s">
        <v>5159</v>
      </c>
    </row>
    <row r="1247" spans="1:5">
      <c r="A1247" t="s">
        <v>5244</v>
      </c>
      <c r="B1247" t="s">
        <v>797</v>
      </c>
      <c r="C1247" t="s">
        <v>2335</v>
      </c>
      <c r="D1247" t="s">
        <v>5158</v>
      </c>
      <c r="E1247" t="s">
        <v>5159</v>
      </c>
    </row>
    <row r="1248" spans="1:5">
      <c r="A1248" t="s">
        <v>5244</v>
      </c>
      <c r="B1248" t="s">
        <v>798</v>
      </c>
      <c r="C1248" t="s">
        <v>2336</v>
      </c>
      <c r="D1248" t="s">
        <v>5186</v>
      </c>
      <c r="E1248" t="s">
        <v>5159</v>
      </c>
    </row>
    <row r="1249" spans="1:5">
      <c r="A1249" t="s">
        <v>5244</v>
      </c>
      <c r="B1249" t="s">
        <v>799</v>
      </c>
      <c r="C1249" t="s">
        <v>2337</v>
      </c>
      <c r="D1249" t="s">
        <v>5186</v>
      </c>
      <c r="E1249" t="s">
        <v>5159</v>
      </c>
    </row>
    <row r="1250" spans="1:5">
      <c r="A1250" t="s">
        <v>5244</v>
      </c>
      <c r="B1250" t="s">
        <v>800</v>
      </c>
      <c r="C1250" t="s">
        <v>2338</v>
      </c>
      <c r="D1250" t="s">
        <v>5158</v>
      </c>
      <c r="E1250" t="s">
        <v>5159</v>
      </c>
    </row>
    <row r="1251" spans="1:5">
      <c r="A1251" t="s">
        <v>5244</v>
      </c>
      <c r="B1251" t="s">
        <v>2339</v>
      </c>
      <c r="C1251" t="s">
        <v>2340</v>
      </c>
      <c r="D1251" t="s">
        <v>5158</v>
      </c>
      <c r="E1251" t="s">
        <v>5159</v>
      </c>
    </row>
    <row r="1252" spans="1:5">
      <c r="A1252" t="s">
        <v>5244</v>
      </c>
      <c r="B1252" t="s">
        <v>801</v>
      </c>
      <c r="C1252" t="s">
        <v>2341</v>
      </c>
      <c r="D1252" t="s">
        <v>5158</v>
      </c>
      <c r="E1252" t="s">
        <v>5159</v>
      </c>
    </row>
    <row r="1253" spans="1:5">
      <c r="A1253" t="s">
        <v>5244</v>
      </c>
      <c r="B1253" t="s">
        <v>2342</v>
      </c>
      <c r="C1253" t="s">
        <v>2343</v>
      </c>
      <c r="D1253" t="s">
        <v>5186</v>
      </c>
      <c r="E1253" t="s">
        <v>5159</v>
      </c>
    </row>
    <row r="1254" spans="1:5">
      <c r="A1254" t="s">
        <v>5244</v>
      </c>
      <c r="B1254" t="s">
        <v>5532</v>
      </c>
      <c r="C1254" t="s">
        <v>5533</v>
      </c>
      <c r="D1254" t="s">
        <v>5186</v>
      </c>
      <c r="E1254" t="s">
        <v>5159</v>
      </c>
    </row>
    <row r="1255" spans="1:5">
      <c r="A1255" t="s">
        <v>5244</v>
      </c>
      <c r="B1255" t="s">
        <v>802</v>
      </c>
      <c r="C1255" t="s">
        <v>5534</v>
      </c>
      <c r="D1255" t="s">
        <v>5158</v>
      </c>
      <c r="E1255" t="s">
        <v>5159</v>
      </c>
    </row>
    <row r="1256" spans="1:5">
      <c r="A1256" t="s">
        <v>5244</v>
      </c>
      <c r="B1256" t="s">
        <v>2344</v>
      </c>
      <c r="C1256" t="s">
        <v>2345</v>
      </c>
      <c r="D1256" t="s">
        <v>5158</v>
      </c>
      <c r="E1256" t="s">
        <v>5159</v>
      </c>
    </row>
    <row r="1257" spans="1:5">
      <c r="A1257" t="s">
        <v>5244</v>
      </c>
      <c r="B1257" t="s">
        <v>2346</v>
      </c>
      <c r="C1257" t="s">
        <v>2347</v>
      </c>
      <c r="D1257" t="s">
        <v>5186</v>
      </c>
      <c r="E1257" t="s">
        <v>5159</v>
      </c>
    </row>
    <row r="1258" spans="1:5">
      <c r="A1258" t="s">
        <v>5244</v>
      </c>
      <c r="B1258" t="s">
        <v>2348</v>
      </c>
      <c r="C1258" t="s">
        <v>2349</v>
      </c>
      <c r="D1258" t="s">
        <v>5186</v>
      </c>
      <c r="E1258" t="s">
        <v>5159</v>
      </c>
    </row>
    <row r="1259" spans="1:5">
      <c r="A1259" t="s">
        <v>5244</v>
      </c>
      <c r="B1259" t="s">
        <v>803</v>
      </c>
      <c r="C1259" t="s">
        <v>2350</v>
      </c>
      <c r="D1259" t="s">
        <v>5186</v>
      </c>
      <c r="E1259" t="s">
        <v>5159</v>
      </c>
    </row>
    <row r="1260" spans="1:5">
      <c r="A1260" t="s">
        <v>5244</v>
      </c>
      <c r="B1260" t="s">
        <v>804</v>
      </c>
      <c r="C1260" t="s">
        <v>2351</v>
      </c>
      <c r="D1260" t="s">
        <v>5158</v>
      </c>
      <c r="E1260" t="s">
        <v>5159</v>
      </c>
    </row>
    <row r="1261" spans="1:5">
      <c r="A1261" t="s">
        <v>5244</v>
      </c>
      <c r="B1261" t="s">
        <v>805</v>
      </c>
      <c r="C1261" t="s">
        <v>2352</v>
      </c>
      <c r="D1261" t="s">
        <v>5158</v>
      </c>
      <c r="E1261" t="s">
        <v>5159</v>
      </c>
    </row>
    <row r="1262" spans="1:5">
      <c r="A1262" t="s">
        <v>5244</v>
      </c>
      <c r="B1262" t="s">
        <v>806</v>
      </c>
      <c r="C1262" t="s">
        <v>2353</v>
      </c>
      <c r="D1262" t="s">
        <v>5158</v>
      </c>
      <c r="E1262" t="s">
        <v>5159</v>
      </c>
    </row>
    <row r="1263" spans="1:5">
      <c r="A1263" t="s">
        <v>5244</v>
      </c>
      <c r="B1263" t="s">
        <v>2354</v>
      </c>
      <c r="C1263" t="s">
        <v>2355</v>
      </c>
      <c r="D1263" t="s">
        <v>5158</v>
      </c>
      <c r="E1263" t="s">
        <v>5159</v>
      </c>
    </row>
    <row r="1264" spans="1:5">
      <c r="A1264" t="s">
        <v>5244</v>
      </c>
      <c r="B1264" t="s">
        <v>807</v>
      </c>
      <c r="C1264" t="s">
        <v>2356</v>
      </c>
      <c r="D1264" t="s">
        <v>5158</v>
      </c>
      <c r="E1264" t="s">
        <v>5159</v>
      </c>
    </row>
    <row r="1265" spans="1:5">
      <c r="A1265" t="s">
        <v>5244</v>
      </c>
      <c r="B1265" t="s">
        <v>2357</v>
      </c>
      <c r="C1265" t="s">
        <v>2358</v>
      </c>
      <c r="D1265" t="s">
        <v>5186</v>
      </c>
      <c r="E1265" t="s">
        <v>5159</v>
      </c>
    </row>
    <row r="1266" spans="1:5">
      <c r="A1266" t="s">
        <v>5244</v>
      </c>
      <c r="B1266" t="s">
        <v>808</v>
      </c>
      <c r="C1266" t="s">
        <v>2359</v>
      </c>
      <c r="D1266" t="s">
        <v>5186</v>
      </c>
      <c r="E1266" t="s">
        <v>5159</v>
      </c>
    </row>
    <row r="1267" spans="1:5">
      <c r="A1267" t="s">
        <v>5244</v>
      </c>
      <c r="B1267" t="s">
        <v>2360</v>
      </c>
      <c r="C1267" t="s">
        <v>2361</v>
      </c>
      <c r="D1267" t="s">
        <v>5186</v>
      </c>
      <c r="E1267" t="s">
        <v>5159</v>
      </c>
    </row>
    <row r="1268" spans="1:5">
      <c r="A1268" t="s">
        <v>5244</v>
      </c>
      <c r="B1268" t="s">
        <v>2362</v>
      </c>
      <c r="C1268" t="s">
        <v>2363</v>
      </c>
      <c r="D1268" t="s">
        <v>5186</v>
      </c>
      <c r="E1268" t="s">
        <v>5159</v>
      </c>
    </row>
    <row r="1269" spans="1:5">
      <c r="A1269" t="s">
        <v>5244</v>
      </c>
      <c r="B1269" t="s">
        <v>809</v>
      </c>
      <c r="C1269" t="s">
        <v>2364</v>
      </c>
      <c r="D1269" t="s">
        <v>5186</v>
      </c>
      <c r="E1269" t="s">
        <v>5159</v>
      </c>
    </row>
    <row r="1270" spans="1:5">
      <c r="A1270" t="s">
        <v>5244</v>
      </c>
      <c r="B1270" t="s">
        <v>810</v>
      </c>
      <c r="C1270" t="s">
        <v>2365</v>
      </c>
      <c r="D1270" t="s">
        <v>5158</v>
      </c>
      <c r="E1270" t="s">
        <v>5159</v>
      </c>
    </row>
    <row r="1271" spans="1:5">
      <c r="A1271" t="s">
        <v>5244</v>
      </c>
      <c r="B1271" t="s">
        <v>811</v>
      </c>
      <c r="C1271" t="s">
        <v>2366</v>
      </c>
      <c r="D1271" t="s">
        <v>5158</v>
      </c>
      <c r="E1271" t="s">
        <v>5159</v>
      </c>
    </row>
    <row r="1272" spans="1:5">
      <c r="A1272" t="s">
        <v>5244</v>
      </c>
      <c r="B1272" t="s">
        <v>812</v>
      </c>
      <c r="C1272" t="s">
        <v>2367</v>
      </c>
      <c r="D1272" t="s">
        <v>5161</v>
      </c>
      <c r="E1272" t="s">
        <v>5159</v>
      </c>
    </row>
    <row r="1273" spans="1:5">
      <c r="A1273" t="s">
        <v>5244</v>
      </c>
      <c r="B1273" t="s">
        <v>813</v>
      </c>
      <c r="C1273" t="s">
        <v>2368</v>
      </c>
      <c r="D1273" t="s">
        <v>5158</v>
      </c>
      <c r="E1273" t="s">
        <v>5159</v>
      </c>
    </row>
    <row r="1274" spans="1:5">
      <c r="A1274" t="s">
        <v>5244</v>
      </c>
      <c r="B1274" t="s">
        <v>814</v>
      </c>
      <c r="C1274" t="s">
        <v>2369</v>
      </c>
      <c r="D1274" t="s">
        <v>5158</v>
      </c>
      <c r="E1274" t="s">
        <v>5159</v>
      </c>
    </row>
    <row r="1275" spans="1:5">
      <c r="A1275" t="s">
        <v>5244</v>
      </c>
      <c r="B1275" t="s">
        <v>815</v>
      </c>
      <c r="C1275" t="s">
        <v>5535</v>
      </c>
      <c r="D1275" t="s">
        <v>5158</v>
      </c>
      <c r="E1275" t="s">
        <v>5159</v>
      </c>
    </row>
    <row r="1276" spans="1:5">
      <c r="A1276" t="s">
        <v>5244</v>
      </c>
      <c r="B1276" t="s">
        <v>816</v>
      </c>
      <c r="C1276" t="s">
        <v>2370</v>
      </c>
      <c r="D1276" t="s">
        <v>5158</v>
      </c>
      <c r="E1276" t="s">
        <v>5159</v>
      </c>
    </row>
    <row r="1277" spans="1:5">
      <c r="A1277" t="s">
        <v>5244</v>
      </c>
      <c r="B1277" t="s">
        <v>817</v>
      </c>
      <c r="C1277" t="s">
        <v>2371</v>
      </c>
      <c r="D1277" t="s">
        <v>5161</v>
      </c>
      <c r="E1277" t="s">
        <v>5159</v>
      </c>
    </row>
    <row r="1278" spans="1:5">
      <c r="A1278" t="s">
        <v>5244</v>
      </c>
      <c r="B1278" t="s">
        <v>2372</v>
      </c>
      <c r="C1278" t="s">
        <v>2373</v>
      </c>
      <c r="D1278" t="s">
        <v>5158</v>
      </c>
      <c r="E1278" t="s">
        <v>5159</v>
      </c>
    </row>
    <row r="1279" spans="1:5">
      <c r="A1279" t="s">
        <v>5244</v>
      </c>
      <c r="B1279" t="s">
        <v>818</v>
      </c>
      <c r="C1279" t="s">
        <v>2374</v>
      </c>
      <c r="D1279" t="s">
        <v>5158</v>
      </c>
      <c r="E1279" t="s">
        <v>5159</v>
      </c>
    </row>
    <row r="1280" spans="1:5">
      <c r="A1280" t="s">
        <v>5244</v>
      </c>
      <c r="B1280" t="s">
        <v>819</v>
      </c>
      <c r="C1280" t="s">
        <v>2375</v>
      </c>
      <c r="D1280" t="s">
        <v>5186</v>
      </c>
      <c r="E1280" t="s">
        <v>5159</v>
      </c>
    </row>
    <row r="1281" spans="1:5">
      <c r="A1281" t="s">
        <v>5244</v>
      </c>
      <c r="B1281" t="s">
        <v>820</v>
      </c>
      <c r="C1281" t="s">
        <v>2376</v>
      </c>
      <c r="D1281" t="s">
        <v>5186</v>
      </c>
      <c r="E1281" t="s">
        <v>5159</v>
      </c>
    </row>
    <row r="1282" spans="1:5">
      <c r="A1282" t="s">
        <v>5244</v>
      </c>
      <c r="B1282" t="s">
        <v>821</v>
      </c>
      <c r="C1282" t="s">
        <v>2377</v>
      </c>
      <c r="D1282" t="s">
        <v>5186</v>
      </c>
      <c r="E1282" t="s">
        <v>5159</v>
      </c>
    </row>
    <row r="1283" spans="1:5">
      <c r="A1283" t="s">
        <v>5244</v>
      </c>
      <c r="B1283" t="s">
        <v>822</v>
      </c>
      <c r="C1283" t="s">
        <v>5536</v>
      </c>
      <c r="D1283" t="s">
        <v>5158</v>
      </c>
      <c r="E1283" t="s">
        <v>5159</v>
      </c>
    </row>
    <row r="1284" spans="1:5">
      <c r="A1284" t="s">
        <v>5244</v>
      </c>
      <c r="B1284" t="s">
        <v>823</v>
      </c>
      <c r="C1284" t="s">
        <v>6291</v>
      </c>
      <c r="D1284" t="s">
        <v>5158</v>
      </c>
      <c r="E1284" t="s">
        <v>5159</v>
      </c>
    </row>
    <row r="1285" spans="1:5">
      <c r="A1285" t="s">
        <v>5244</v>
      </c>
      <c r="B1285" t="s">
        <v>824</v>
      </c>
      <c r="C1285" t="s">
        <v>2378</v>
      </c>
      <c r="D1285" t="s">
        <v>5158</v>
      </c>
      <c r="E1285" t="s">
        <v>5159</v>
      </c>
    </row>
    <row r="1286" spans="1:5">
      <c r="A1286" t="s">
        <v>5244</v>
      </c>
      <c r="B1286" t="s">
        <v>825</v>
      </c>
      <c r="C1286" t="s">
        <v>2379</v>
      </c>
      <c r="D1286" t="s">
        <v>5188</v>
      </c>
      <c r="E1286" t="s">
        <v>5159</v>
      </c>
    </row>
    <row r="1287" spans="1:5">
      <c r="A1287" t="s">
        <v>5244</v>
      </c>
      <c r="B1287" t="s">
        <v>826</v>
      </c>
      <c r="C1287" t="s">
        <v>5537</v>
      </c>
      <c r="D1287" t="s">
        <v>5158</v>
      </c>
      <c r="E1287" t="s">
        <v>5159</v>
      </c>
    </row>
    <row r="1288" spans="1:5">
      <c r="A1288" t="s">
        <v>5244</v>
      </c>
      <c r="B1288" t="s">
        <v>827</v>
      </c>
      <c r="C1288" t="s">
        <v>2380</v>
      </c>
      <c r="D1288" t="s">
        <v>5158</v>
      </c>
      <c r="E1288" t="s">
        <v>5159</v>
      </c>
    </row>
    <row r="1289" spans="1:5">
      <c r="A1289" t="s">
        <v>5244</v>
      </c>
      <c r="B1289" t="s">
        <v>828</v>
      </c>
      <c r="C1289" t="s">
        <v>2381</v>
      </c>
      <c r="D1289" t="s">
        <v>5158</v>
      </c>
      <c r="E1289" t="s">
        <v>5159</v>
      </c>
    </row>
    <row r="1290" spans="1:5">
      <c r="A1290" t="s">
        <v>5244</v>
      </c>
      <c r="B1290" t="s">
        <v>829</v>
      </c>
      <c r="C1290" t="s">
        <v>2382</v>
      </c>
      <c r="D1290" t="s">
        <v>5186</v>
      </c>
      <c r="E1290" t="s">
        <v>5159</v>
      </c>
    </row>
    <row r="1291" spans="1:5">
      <c r="A1291" t="s">
        <v>5244</v>
      </c>
      <c r="B1291" t="s">
        <v>830</v>
      </c>
      <c r="C1291" t="s">
        <v>2383</v>
      </c>
      <c r="D1291" t="s">
        <v>5161</v>
      </c>
      <c r="E1291" t="s">
        <v>5159</v>
      </c>
    </row>
    <row r="1292" spans="1:5">
      <c r="A1292" t="s">
        <v>5244</v>
      </c>
      <c r="B1292" t="s">
        <v>831</v>
      </c>
      <c r="C1292" t="s">
        <v>2384</v>
      </c>
      <c r="D1292" t="s">
        <v>5158</v>
      </c>
      <c r="E1292" t="s">
        <v>5159</v>
      </c>
    </row>
    <row r="1293" spans="1:5">
      <c r="A1293" t="s">
        <v>5244</v>
      </c>
      <c r="B1293" t="s">
        <v>832</v>
      </c>
      <c r="C1293" t="s">
        <v>2385</v>
      </c>
      <c r="D1293" t="s">
        <v>5158</v>
      </c>
      <c r="E1293" t="s">
        <v>5159</v>
      </c>
    </row>
    <row r="1294" spans="1:5">
      <c r="A1294" t="s">
        <v>5244</v>
      </c>
      <c r="B1294" t="s">
        <v>833</v>
      </c>
      <c r="C1294" t="s">
        <v>2386</v>
      </c>
      <c r="D1294" t="s">
        <v>5158</v>
      </c>
      <c r="E1294" t="s">
        <v>5159</v>
      </c>
    </row>
    <row r="1295" spans="1:5">
      <c r="A1295" t="s">
        <v>5244</v>
      </c>
      <c r="B1295" t="s">
        <v>834</v>
      </c>
      <c r="C1295" t="s">
        <v>2387</v>
      </c>
      <c r="D1295" t="s">
        <v>5158</v>
      </c>
      <c r="E1295" t="s">
        <v>5159</v>
      </c>
    </row>
    <row r="1296" spans="1:5">
      <c r="A1296" t="s">
        <v>5244</v>
      </c>
      <c r="B1296" t="s">
        <v>835</v>
      </c>
      <c r="C1296" t="s">
        <v>2388</v>
      </c>
      <c r="D1296" t="s">
        <v>5158</v>
      </c>
      <c r="E1296" t="s">
        <v>5159</v>
      </c>
    </row>
    <row r="1297" spans="1:5">
      <c r="A1297" t="s">
        <v>5244</v>
      </c>
      <c r="B1297" t="s">
        <v>836</v>
      </c>
      <c r="C1297" t="s">
        <v>2389</v>
      </c>
      <c r="D1297" t="s">
        <v>5158</v>
      </c>
      <c r="E1297" t="s">
        <v>5159</v>
      </c>
    </row>
    <row r="1298" spans="1:5">
      <c r="A1298" t="s">
        <v>5244</v>
      </c>
      <c r="B1298" t="s">
        <v>837</v>
      </c>
      <c r="C1298" t="s">
        <v>2390</v>
      </c>
      <c r="D1298" t="s">
        <v>5158</v>
      </c>
      <c r="E1298" t="s">
        <v>5159</v>
      </c>
    </row>
    <row r="1299" spans="1:5">
      <c r="A1299" t="s">
        <v>5244</v>
      </c>
      <c r="B1299" t="s">
        <v>838</v>
      </c>
      <c r="C1299" t="s">
        <v>2391</v>
      </c>
      <c r="D1299" t="s">
        <v>5158</v>
      </c>
      <c r="E1299" t="s">
        <v>5159</v>
      </c>
    </row>
    <row r="1300" spans="1:5">
      <c r="A1300" t="s">
        <v>5244</v>
      </c>
      <c r="B1300" t="s">
        <v>839</v>
      </c>
      <c r="C1300" t="s">
        <v>2392</v>
      </c>
      <c r="D1300" t="s">
        <v>5186</v>
      </c>
      <c r="E1300" t="s">
        <v>5159</v>
      </c>
    </row>
    <row r="1301" spans="1:5">
      <c r="A1301" t="s">
        <v>5244</v>
      </c>
      <c r="B1301" t="s">
        <v>840</v>
      </c>
      <c r="C1301" t="s">
        <v>5538</v>
      </c>
      <c r="D1301" t="s">
        <v>5158</v>
      </c>
      <c r="E1301" t="s">
        <v>5159</v>
      </c>
    </row>
    <row r="1302" spans="1:5">
      <c r="A1302" t="s">
        <v>5244</v>
      </c>
      <c r="B1302" t="s">
        <v>2393</v>
      </c>
      <c r="C1302" t="s">
        <v>2394</v>
      </c>
      <c r="D1302" t="s">
        <v>5186</v>
      </c>
      <c r="E1302" t="s">
        <v>5159</v>
      </c>
    </row>
    <row r="1303" spans="1:5">
      <c r="A1303" t="s">
        <v>5244</v>
      </c>
      <c r="B1303" t="s">
        <v>841</v>
      </c>
      <c r="C1303" t="s">
        <v>2395</v>
      </c>
      <c r="D1303" t="s">
        <v>5158</v>
      </c>
      <c r="E1303" t="s">
        <v>5159</v>
      </c>
    </row>
    <row r="1304" spans="1:5">
      <c r="A1304" t="s">
        <v>5244</v>
      </c>
      <c r="B1304" t="s">
        <v>5539</v>
      </c>
      <c r="C1304" t="s">
        <v>5540</v>
      </c>
      <c r="D1304" t="s">
        <v>5158</v>
      </c>
      <c r="E1304" t="s">
        <v>5159</v>
      </c>
    </row>
    <row r="1305" spans="1:5">
      <c r="A1305" t="s">
        <v>5244</v>
      </c>
      <c r="B1305" t="s">
        <v>5541</v>
      </c>
      <c r="C1305" t="s">
        <v>5542</v>
      </c>
      <c r="D1305" t="s">
        <v>5186</v>
      </c>
      <c r="E1305" t="s">
        <v>5159</v>
      </c>
    </row>
    <row r="1306" spans="1:5">
      <c r="A1306" t="s">
        <v>5244</v>
      </c>
      <c r="B1306" t="s">
        <v>842</v>
      </c>
      <c r="C1306" t="s">
        <v>2396</v>
      </c>
      <c r="D1306" t="s">
        <v>5158</v>
      </c>
      <c r="E1306" t="s">
        <v>5159</v>
      </c>
    </row>
    <row r="1307" spans="1:5">
      <c r="A1307" t="s">
        <v>5244</v>
      </c>
      <c r="B1307" t="s">
        <v>843</v>
      </c>
      <c r="C1307" t="s">
        <v>5543</v>
      </c>
      <c r="D1307" t="s">
        <v>5158</v>
      </c>
      <c r="E1307" t="s">
        <v>5159</v>
      </c>
    </row>
    <row r="1308" spans="1:5">
      <c r="A1308" t="s">
        <v>5244</v>
      </c>
      <c r="B1308" t="s">
        <v>844</v>
      </c>
      <c r="C1308" t="s">
        <v>2397</v>
      </c>
      <c r="D1308" t="s">
        <v>5158</v>
      </c>
      <c r="E1308" t="s">
        <v>5159</v>
      </c>
    </row>
    <row r="1309" spans="1:5">
      <c r="A1309" t="s">
        <v>5244</v>
      </c>
      <c r="B1309" t="s">
        <v>2398</v>
      </c>
      <c r="C1309" t="s">
        <v>2399</v>
      </c>
      <c r="D1309" t="s">
        <v>5158</v>
      </c>
      <c r="E1309" t="s">
        <v>5159</v>
      </c>
    </row>
    <row r="1310" spans="1:5">
      <c r="A1310" t="s">
        <v>5244</v>
      </c>
      <c r="B1310" t="s">
        <v>845</v>
      </c>
      <c r="C1310" t="s">
        <v>2400</v>
      </c>
      <c r="D1310" t="s">
        <v>5158</v>
      </c>
      <c r="E1310" t="s">
        <v>5159</v>
      </c>
    </row>
    <row r="1311" spans="1:5">
      <c r="A1311" t="s">
        <v>5244</v>
      </c>
      <c r="B1311" t="s">
        <v>2401</v>
      </c>
      <c r="C1311" t="s">
        <v>2402</v>
      </c>
      <c r="D1311" t="s">
        <v>5158</v>
      </c>
      <c r="E1311" t="s">
        <v>5159</v>
      </c>
    </row>
    <row r="1312" spans="1:5">
      <c r="A1312" t="s">
        <v>5244</v>
      </c>
      <c r="B1312" t="s">
        <v>2403</v>
      </c>
      <c r="C1312" t="s">
        <v>2404</v>
      </c>
      <c r="D1312" t="s">
        <v>5186</v>
      </c>
      <c r="E1312" t="s">
        <v>5159</v>
      </c>
    </row>
    <row r="1313" spans="1:5">
      <c r="A1313" t="s">
        <v>5244</v>
      </c>
      <c r="B1313" t="s">
        <v>2405</v>
      </c>
      <c r="C1313" t="s">
        <v>2406</v>
      </c>
      <c r="D1313" t="s">
        <v>5186</v>
      </c>
      <c r="E1313" t="s">
        <v>5159</v>
      </c>
    </row>
    <row r="1314" spans="1:5">
      <c r="A1314" t="s">
        <v>5244</v>
      </c>
      <c r="B1314" t="s">
        <v>846</v>
      </c>
      <c r="C1314" t="s">
        <v>2407</v>
      </c>
      <c r="D1314" t="s">
        <v>5158</v>
      </c>
      <c r="E1314" t="s">
        <v>5159</v>
      </c>
    </row>
    <row r="1315" spans="1:5">
      <c r="A1315" t="s">
        <v>5244</v>
      </c>
      <c r="B1315" t="s">
        <v>847</v>
      </c>
      <c r="C1315" t="s">
        <v>2408</v>
      </c>
      <c r="D1315" t="s">
        <v>5158</v>
      </c>
      <c r="E1315" t="s">
        <v>5159</v>
      </c>
    </row>
    <row r="1316" spans="1:5">
      <c r="A1316" t="s">
        <v>5244</v>
      </c>
      <c r="B1316" t="s">
        <v>848</v>
      </c>
      <c r="C1316" t="s">
        <v>2409</v>
      </c>
      <c r="D1316" t="s">
        <v>5158</v>
      </c>
      <c r="E1316" t="s">
        <v>5159</v>
      </c>
    </row>
    <row r="1317" spans="1:5">
      <c r="A1317" t="s">
        <v>5244</v>
      </c>
      <c r="B1317" t="s">
        <v>849</v>
      </c>
      <c r="C1317" t="s">
        <v>2410</v>
      </c>
      <c r="D1317" t="s">
        <v>5158</v>
      </c>
      <c r="E1317" t="s">
        <v>5159</v>
      </c>
    </row>
    <row r="1318" spans="1:5">
      <c r="A1318" t="s">
        <v>5244</v>
      </c>
      <c r="B1318" t="s">
        <v>850</v>
      </c>
      <c r="C1318" t="s">
        <v>2411</v>
      </c>
      <c r="D1318" t="s">
        <v>5158</v>
      </c>
      <c r="E1318" t="s">
        <v>5159</v>
      </c>
    </row>
    <row r="1319" spans="1:5">
      <c r="A1319" t="s">
        <v>5244</v>
      </c>
      <c r="B1319" t="s">
        <v>851</v>
      </c>
      <c r="C1319" t="s">
        <v>2412</v>
      </c>
      <c r="D1319" t="s">
        <v>5186</v>
      </c>
      <c r="E1319" t="s">
        <v>5159</v>
      </c>
    </row>
    <row r="1320" spans="1:5">
      <c r="A1320" t="s">
        <v>5244</v>
      </c>
      <c r="B1320" t="s">
        <v>2413</v>
      </c>
      <c r="C1320" t="s">
        <v>2414</v>
      </c>
      <c r="D1320" t="s">
        <v>5186</v>
      </c>
      <c r="E1320" t="s">
        <v>5159</v>
      </c>
    </row>
    <row r="1321" spans="1:5">
      <c r="A1321" t="s">
        <v>5244</v>
      </c>
      <c r="B1321" t="s">
        <v>852</v>
      </c>
      <c r="C1321" t="s">
        <v>2415</v>
      </c>
      <c r="D1321" t="s">
        <v>5186</v>
      </c>
      <c r="E1321" t="s">
        <v>5159</v>
      </c>
    </row>
    <row r="1322" spans="1:5">
      <c r="A1322" t="s">
        <v>5488</v>
      </c>
      <c r="B1322" t="s">
        <v>853</v>
      </c>
      <c r="C1322" t="s">
        <v>2416</v>
      </c>
      <c r="D1322" t="s">
        <v>5197</v>
      </c>
      <c r="E1322" t="s">
        <v>5159</v>
      </c>
    </row>
    <row r="1323" spans="1:5">
      <c r="A1323" t="s">
        <v>5244</v>
      </c>
      <c r="B1323" t="s">
        <v>853</v>
      </c>
      <c r="C1323" t="s">
        <v>2416</v>
      </c>
      <c r="D1323" t="s">
        <v>5197</v>
      </c>
      <c r="E1323" t="s">
        <v>5159</v>
      </c>
    </row>
    <row r="1324" spans="1:5">
      <c r="A1324" t="s">
        <v>5244</v>
      </c>
      <c r="B1324" t="s">
        <v>854</v>
      </c>
      <c r="C1324" t="s">
        <v>2417</v>
      </c>
      <c r="D1324" t="s">
        <v>5195</v>
      </c>
      <c r="E1324" t="s">
        <v>5159</v>
      </c>
    </row>
    <row r="1325" spans="1:5">
      <c r="A1325" t="s">
        <v>5244</v>
      </c>
      <c r="B1325" t="s">
        <v>855</v>
      </c>
      <c r="C1325" t="s">
        <v>2418</v>
      </c>
      <c r="D1325" t="s">
        <v>5190</v>
      </c>
      <c r="E1325" t="s">
        <v>5159</v>
      </c>
    </row>
    <row r="1326" spans="1:5">
      <c r="A1326" t="s">
        <v>5244</v>
      </c>
      <c r="B1326" t="s">
        <v>856</v>
      </c>
      <c r="C1326" t="s">
        <v>2419</v>
      </c>
      <c r="D1326" t="s">
        <v>5190</v>
      </c>
      <c r="E1326" t="s">
        <v>5159</v>
      </c>
    </row>
    <row r="1327" spans="1:5">
      <c r="A1327" t="s">
        <v>5244</v>
      </c>
      <c r="B1327" t="s">
        <v>857</v>
      </c>
      <c r="C1327" t="s">
        <v>5544</v>
      </c>
      <c r="D1327" t="s">
        <v>5194</v>
      </c>
      <c r="E1327" t="s">
        <v>5159</v>
      </c>
    </row>
    <row r="1328" spans="1:5">
      <c r="A1328" t="s">
        <v>5244</v>
      </c>
      <c r="B1328" t="s">
        <v>858</v>
      </c>
      <c r="C1328" t="s">
        <v>2420</v>
      </c>
      <c r="D1328" t="s">
        <v>5158</v>
      </c>
      <c r="E1328" t="s">
        <v>5159</v>
      </c>
    </row>
    <row r="1329" spans="1:5">
      <c r="A1329" t="s">
        <v>5244</v>
      </c>
      <c r="B1329" t="s">
        <v>859</v>
      </c>
      <c r="C1329" t="s">
        <v>5545</v>
      </c>
      <c r="D1329" t="s">
        <v>5546</v>
      </c>
      <c r="E1329" t="s">
        <v>5159</v>
      </c>
    </row>
    <row r="1330" spans="1:5">
      <c r="A1330" t="s">
        <v>5244</v>
      </c>
      <c r="B1330" t="s">
        <v>860</v>
      </c>
      <c r="C1330" t="s">
        <v>5547</v>
      </c>
      <c r="D1330" t="s">
        <v>5194</v>
      </c>
      <c r="E1330" t="s">
        <v>5159</v>
      </c>
    </row>
    <row r="1331" spans="1:5">
      <c r="A1331" t="s">
        <v>5244</v>
      </c>
      <c r="B1331" t="s">
        <v>861</v>
      </c>
      <c r="C1331" t="s">
        <v>2421</v>
      </c>
      <c r="D1331" t="s">
        <v>5158</v>
      </c>
      <c r="E1331" t="s">
        <v>5159</v>
      </c>
    </row>
    <row r="1332" spans="1:5">
      <c r="A1332" t="s">
        <v>5244</v>
      </c>
      <c r="B1332" t="s">
        <v>2422</v>
      </c>
      <c r="C1332" t="s">
        <v>2423</v>
      </c>
      <c r="D1332" t="s">
        <v>5190</v>
      </c>
      <c r="E1332" t="s">
        <v>5159</v>
      </c>
    </row>
    <row r="1333" spans="1:5">
      <c r="A1333" t="s">
        <v>5244</v>
      </c>
      <c r="B1333" t="s">
        <v>2424</v>
      </c>
      <c r="C1333" t="s">
        <v>2425</v>
      </c>
      <c r="D1333" t="s">
        <v>5190</v>
      </c>
      <c r="E1333" t="s">
        <v>5159</v>
      </c>
    </row>
    <row r="1334" spans="1:5">
      <c r="A1334" t="s">
        <v>5244</v>
      </c>
      <c r="B1334" t="s">
        <v>2426</v>
      </c>
      <c r="C1334" t="s">
        <v>2427</v>
      </c>
      <c r="D1334" t="s">
        <v>5158</v>
      </c>
      <c r="E1334" t="s">
        <v>5159</v>
      </c>
    </row>
    <row r="1335" spans="1:5">
      <c r="A1335" t="s">
        <v>5244</v>
      </c>
      <c r="B1335" t="s">
        <v>5548</v>
      </c>
      <c r="C1335" t="s">
        <v>5549</v>
      </c>
      <c r="D1335" t="s">
        <v>5157</v>
      </c>
      <c r="E1335" t="s">
        <v>5157</v>
      </c>
    </row>
    <row r="1336" spans="1:5">
      <c r="A1336" t="s">
        <v>5244</v>
      </c>
      <c r="B1336" t="s">
        <v>5550</v>
      </c>
      <c r="C1336" t="s">
        <v>5551</v>
      </c>
      <c r="D1336" t="s">
        <v>5157</v>
      </c>
      <c r="E1336" t="s">
        <v>5157</v>
      </c>
    </row>
    <row r="1337" spans="1:5">
      <c r="A1337" t="s">
        <v>5244</v>
      </c>
      <c r="B1337" t="s">
        <v>5236</v>
      </c>
      <c r="C1337" t="s">
        <v>5237</v>
      </c>
      <c r="D1337" t="s">
        <v>5157</v>
      </c>
      <c r="E1337" t="s">
        <v>5157</v>
      </c>
    </row>
    <row r="1338" spans="1:5">
      <c r="A1338" t="s">
        <v>5241</v>
      </c>
      <c r="B1338" t="s">
        <v>2428</v>
      </c>
      <c r="C1338" t="s">
        <v>2429</v>
      </c>
      <c r="D1338" t="s">
        <v>5157</v>
      </c>
      <c r="E1338" t="s">
        <v>5157</v>
      </c>
    </row>
    <row r="1339" spans="1:5">
      <c r="A1339" t="s">
        <v>5241</v>
      </c>
      <c r="B1339" t="s">
        <v>5552</v>
      </c>
      <c r="C1339" t="s">
        <v>5553</v>
      </c>
      <c r="D1339" t="s">
        <v>5157</v>
      </c>
      <c r="E1339" t="s">
        <v>5157</v>
      </c>
    </row>
    <row r="1340" spans="1:5">
      <c r="A1340" t="s">
        <v>5241</v>
      </c>
      <c r="B1340" t="s">
        <v>5554</v>
      </c>
      <c r="C1340" t="s">
        <v>5555</v>
      </c>
      <c r="D1340" t="s">
        <v>5157</v>
      </c>
      <c r="E1340" t="s">
        <v>5157</v>
      </c>
    </row>
    <row r="1341" spans="1:5">
      <c r="A1341" t="s">
        <v>5241</v>
      </c>
      <c r="B1341" t="s">
        <v>2430</v>
      </c>
      <c r="C1341" t="s">
        <v>2431</v>
      </c>
      <c r="D1341" t="s">
        <v>5157</v>
      </c>
      <c r="E1341" t="s">
        <v>5157</v>
      </c>
    </row>
    <row r="1342" spans="1:5">
      <c r="A1342" t="s">
        <v>5241</v>
      </c>
      <c r="B1342" t="s">
        <v>2432</v>
      </c>
      <c r="C1342" t="s">
        <v>2433</v>
      </c>
      <c r="D1342" t="s">
        <v>5157</v>
      </c>
      <c r="E1342" t="s">
        <v>5157</v>
      </c>
    </row>
    <row r="1343" spans="1:5">
      <c r="A1343" t="s">
        <v>5241</v>
      </c>
      <c r="B1343" t="s">
        <v>2434</v>
      </c>
      <c r="C1343" t="s">
        <v>2435</v>
      </c>
      <c r="D1343" t="s">
        <v>5157</v>
      </c>
      <c r="E1343" t="s">
        <v>5157</v>
      </c>
    </row>
    <row r="1344" spans="1:5">
      <c r="A1344" t="s">
        <v>5241</v>
      </c>
      <c r="B1344" t="s">
        <v>2436</v>
      </c>
      <c r="C1344" t="s">
        <v>2437</v>
      </c>
      <c r="D1344" t="s">
        <v>5157</v>
      </c>
      <c r="E1344" t="s">
        <v>5157</v>
      </c>
    </row>
    <row r="1345" spans="1:5">
      <c r="A1345" t="s">
        <v>5241</v>
      </c>
      <c r="B1345" t="s">
        <v>2438</v>
      </c>
      <c r="C1345" t="s">
        <v>2439</v>
      </c>
      <c r="D1345" t="s">
        <v>5157</v>
      </c>
      <c r="E1345" t="s">
        <v>5157</v>
      </c>
    </row>
    <row r="1346" spans="1:5">
      <c r="A1346" t="s">
        <v>5241</v>
      </c>
      <c r="B1346" t="s">
        <v>2440</v>
      </c>
      <c r="C1346" t="s">
        <v>2441</v>
      </c>
      <c r="D1346" t="s">
        <v>5157</v>
      </c>
      <c r="E1346" t="s">
        <v>5157</v>
      </c>
    </row>
    <row r="1347" spans="1:5">
      <c r="A1347" t="s">
        <v>5241</v>
      </c>
      <c r="B1347" t="s">
        <v>2442</v>
      </c>
      <c r="C1347" t="s">
        <v>2443</v>
      </c>
      <c r="D1347" t="s">
        <v>5157</v>
      </c>
      <c r="E1347" t="s">
        <v>5157</v>
      </c>
    </row>
    <row r="1348" spans="1:5">
      <c r="A1348" t="s">
        <v>5241</v>
      </c>
      <c r="B1348" t="s">
        <v>5556</v>
      </c>
      <c r="C1348" t="s">
        <v>5557</v>
      </c>
      <c r="D1348" t="s">
        <v>5157</v>
      </c>
      <c r="E1348" t="s">
        <v>5157</v>
      </c>
    </row>
    <row r="1349" spans="1:5">
      <c r="A1349" t="s">
        <v>5241</v>
      </c>
      <c r="B1349" t="s">
        <v>2444</v>
      </c>
      <c r="C1349" t="s">
        <v>2445</v>
      </c>
      <c r="D1349" t="s">
        <v>5157</v>
      </c>
      <c r="E1349" t="s">
        <v>5157</v>
      </c>
    </row>
    <row r="1350" spans="1:5">
      <c r="A1350" t="s">
        <v>5241</v>
      </c>
      <c r="B1350" t="s">
        <v>5558</v>
      </c>
      <c r="C1350" t="s">
        <v>5559</v>
      </c>
      <c r="D1350" t="s">
        <v>5157</v>
      </c>
      <c r="E1350" t="s">
        <v>5157</v>
      </c>
    </row>
    <row r="1351" spans="1:5">
      <c r="A1351" t="s">
        <v>5241</v>
      </c>
      <c r="B1351" t="s">
        <v>5560</v>
      </c>
      <c r="C1351" t="s">
        <v>5561</v>
      </c>
      <c r="D1351" t="s">
        <v>5157</v>
      </c>
      <c r="E1351" t="s">
        <v>5157</v>
      </c>
    </row>
    <row r="1352" spans="1:5">
      <c r="A1352" t="s">
        <v>5241</v>
      </c>
      <c r="B1352" t="s">
        <v>5562</v>
      </c>
      <c r="C1352" t="s">
        <v>5563</v>
      </c>
      <c r="D1352" t="s">
        <v>5157</v>
      </c>
      <c r="E1352" t="s">
        <v>5157</v>
      </c>
    </row>
    <row r="1353" spans="1:5">
      <c r="A1353" t="s">
        <v>5241</v>
      </c>
      <c r="B1353" t="s">
        <v>2446</v>
      </c>
      <c r="C1353" t="s">
        <v>2447</v>
      </c>
      <c r="D1353" t="s">
        <v>5209</v>
      </c>
      <c r="E1353" t="s">
        <v>5210</v>
      </c>
    </row>
    <row r="1354" spans="1:5">
      <c r="A1354" t="s">
        <v>5241</v>
      </c>
      <c r="B1354" t="s">
        <v>2448</v>
      </c>
      <c r="C1354" t="s">
        <v>2449</v>
      </c>
      <c r="D1354" t="s">
        <v>5157</v>
      </c>
      <c r="E1354" t="s">
        <v>5157</v>
      </c>
    </row>
    <row r="1355" spans="1:5">
      <c r="A1355" t="s">
        <v>5241</v>
      </c>
      <c r="B1355" t="s">
        <v>2450</v>
      </c>
      <c r="C1355" t="s">
        <v>2451</v>
      </c>
      <c r="D1355" t="s">
        <v>5157</v>
      </c>
      <c r="E1355" t="s">
        <v>5157</v>
      </c>
    </row>
    <row r="1356" spans="1:5">
      <c r="A1356" t="s">
        <v>5241</v>
      </c>
      <c r="B1356" t="s">
        <v>5564</v>
      </c>
      <c r="C1356" t="s">
        <v>5565</v>
      </c>
      <c r="D1356" t="s">
        <v>5157</v>
      </c>
      <c r="E1356" t="s">
        <v>5157</v>
      </c>
    </row>
    <row r="1357" spans="1:5">
      <c r="A1357" t="s">
        <v>5241</v>
      </c>
      <c r="B1357" t="s">
        <v>2452</v>
      </c>
      <c r="C1357" t="s">
        <v>2453</v>
      </c>
      <c r="D1357" t="s">
        <v>5157</v>
      </c>
      <c r="E1357" t="s">
        <v>5157</v>
      </c>
    </row>
    <row r="1358" spans="1:5">
      <c r="A1358" t="s">
        <v>5241</v>
      </c>
      <c r="B1358" t="s">
        <v>5566</v>
      </c>
      <c r="C1358" t="s">
        <v>5567</v>
      </c>
      <c r="D1358" t="s">
        <v>5157</v>
      </c>
      <c r="E1358" t="s">
        <v>5157</v>
      </c>
    </row>
    <row r="1359" spans="1:5">
      <c r="A1359" t="s">
        <v>5241</v>
      </c>
      <c r="B1359" t="s">
        <v>5568</v>
      </c>
      <c r="C1359" t="s">
        <v>5569</v>
      </c>
      <c r="D1359" t="s">
        <v>5157</v>
      </c>
      <c r="E1359" t="s">
        <v>5157</v>
      </c>
    </row>
    <row r="1360" spans="1:5">
      <c r="A1360" t="s">
        <v>5244</v>
      </c>
      <c r="B1360" t="s">
        <v>5570</v>
      </c>
      <c r="C1360" t="s">
        <v>5571</v>
      </c>
      <c r="D1360" t="s">
        <v>5157</v>
      </c>
      <c r="E1360" t="s">
        <v>5157</v>
      </c>
    </row>
    <row r="1361" spans="1:5">
      <c r="A1361" t="s">
        <v>5244</v>
      </c>
      <c r="B1361" t="s">
        <v>2454</v>
      </c>
      <c r="C1361" t="s">
        <v>2455</v>
      </c>
      <c r="D1361" t="s">
        <v>5157</v>
      </c>
      <c r="E1361" t="s">
        <v>5157</v>
      </c>
    </row>
    <row r="1362" spans="1:5">
      <c r="A1362" t="s">
        <v>5244</v>
      </c>
      <c r="B1362" t="s">
        <v>2456</v>
      </c>
      <c r="C1362" t="s">
        <v>2457</v>
      </c>
      <c r="D1362" t="s">
        <v>5157</v>
      </c>
      <c r="E1362" t="s">
        <v>5157</v>
      </c>
    </row>
    <row r="1363" spans="1:5">
      <c r="A1363" t="s">
        <v>5244</v>
      </c>
      <c r="B1363" t="s">
        <v>2458</v>
      </c>
      <c r="C1363" t="s">
        <v>2459</v>
      </c>
      <c r="D1363" t="s">
        <v>5157</v>
      </c>
      <c r="E1363" t="s">
        <v>5157</v>
      </c>
    </row>
    <row r="1364" spans="1:5">
      <c r="A1364" t="s">
        <v>5244</v>
      </c>
      <c r="B1364" t="s">
        <v>5572</v>
      </c>
      <c r="C1364" t="s">
        <v>5573</v>
      </c>
      <c r="D1364" t="s">
        <v>5157</v>
      </c>
      <c r="E1364" t="s">
        <v>5157</v>
      </c>
    </row>
    <row r="1365" spans="1:5">
      <c r="A1365" t="s">
        <v>5244</v>
      </c>
      <c r="B1365" t="s">
        <v>2460</v>
      </c>
      <c r="C1365" t="s">
        <v>2461</v>
      </c>
      <c r="D1365" t="s">
        <v>5157</v>
      </c>
      <c r="E1365" t="s">
        <v>5157</v>
      </c>
    </row>
    <row r="1366" spans="1:5">
      <c r="A1366" t="s">
        <v>5244</v>
      </c>
      <c r="B1366" t="s">
        <v>2462</v>
      </c>
      <c r="C1366" t="s">
        <v>2463</v>
      </c>
      <c r="D1366" t="s">
        <v>5157</v>
      </c>
      <c r="E1366" t="s">
        <v>5157</v>
      </c>
    </row>
    <row r="1367" spans="1:5">
      <c r="A1367" t="s">
        <v>5244</v>
      </c>
      <c r="B1367" t="s">
        <v>2464</v>
      </c>
      <c r="C1367" t="s">
        <v>2465</v>
      </c>
      <c r="D1367" t="s">
        <v>5157</v>
      </c>
      <c r="E1367" t="s">
        <v>5157</v>
      </c>
    </row>
    <row r="1368" spans="1:5">
      <c r="A1368" t="s">
        <v>5244</v>
      </c>
      <c r="B1368" t="s">
        <v>2466</v>
      </c>
      <c r="C1368" t="s">
        <v>2467</v>
      </c>
      <c r="D1368" t="s">
        <v>5157</v>
      </c>
      <c r="E1368" t="s">
        <v>5157</v>
      </c>
    </row>
    <row r="1369" spans="1:5">
      <c r="A1369" t="s">
        <v>5244</v>
      </c>
      <c r="B1369" t="s">
        <v>2468</v>
      </c>
      <c r="C1369" t="s">
        <v>2469</v>
      </c>
      <c r="D1369" t="s">
        <v>5157</v>
      </c>
      <c r="E1369" t="s">
        <v>5157</v>
      </c>
    </row>
    <row r="1370" spans="1:5">
      <c r="A1370" t="s">
        <v>5244</v>
      </c>
      <c r="B1370" t="s">
        <v>2470</v>
      </c>
      <c r="C1370" t="s">
        <v>2471</v>
      </c>
      <c r="D1370" t="s">
        <v>5157</v>
      </c>
      <c r="E1370" t="s">
        <v>5157</v>
      </c>
    </row>
    <row r="1371" spans="1:5">
      <c r="A1371" t="s">
        <v>5244</v>
      </c>
      <c r="B1371" t="s">
        <v>2472</v>
      </c>
      <c r="C1371" t="s">
        <v>2473</v>
      </c>
      <c r="D1371" t="s">
        <v>5157</v>
      </c>
      <c r="E1371" t="s">
        <v>5157</v>
      </c>
    </row>
    <row r="1372" spans="1:5">
      <c r="A1372" t="s">
        <v>5244</v>
      </c>
      <c r="B1372" t="s">
        <v>5574</v>
      </c>
      <c r="C1372" t="s">
        <v>5575</v>
      </c>
      <c r="D1372" t="s">
        <v>5157</v>
      </c>
      <c r="E1372" t="s">
        <v>5157</v>
      </c>
    </row>
    <row r="1373" spans="1:5">
      <c r="A1373" t="s">
        <v>5244</v>
      </c>
      <c r="B1373" t="s">
        <v>5576</v>
      </c>
      <c r="C1373" t="s">
        <v>5577</v>
      </c>
      <c r="D1373" t="s">
        <v>5157</v>
      </c>
      <c r="E1373" t="s">
        <v>5157</v>
      </c>
    </row>
    <row r="1374" spans="1:5">
      <c r="A1374" t="s">
        <v>5244</v>
      </c>
      <c r="B1374" t="s">
        <v>5578</v>
      </c>
      <c r="C1374" t="s">
        <v>5579</v>
      </c>
      <c r="D1374" t="s">
        <v>5160</v>
      </c>
      <c r="E1374" t="s">
        <v>5159</v>
      </c>
    </row>
    <row r="1375" spans="1:5">
      <c r="A1375" t="s">
        <v>5244</v>
      </c>
      <c r="B1375" t="s">
        <v>5580</v>
      </c>
      <c r="C1375" t="s">
        <v>5581</v>
      </c>
      <c r="D1375" t="s">
        <v>5185</v>
      </c>
      <c r="E1375" t="s">
        <v>5159</v>
      </c>
    </row>
    <row r="1376" spans="1:5">
      <c r="A1376" t="s">
        <v>5244</v>
      </c>
      <c r="B1376" t="s">
        <v>2474</v>
      </c>
      <c r="C1376" t="s">
        <v>2475</v>
      </c>
      <c r="D1376" t="s">
        <v>5161</v>
      </c>
      <c r="E1376" t="s">
        <v>5159</v>
      </c>
    </row>
    <row r="1377" spans="1:5">
      <c r="A1377" t="s">
        <v>5244</v>
      </c>
      <c r="B1377" t="s">
        <v>2476</v>
      </c>
      <c r="C1377" t="s">
        <v>2477</v>
      </c>
      <c r="D1377" t="s">
        <v>5157</v>
      </c>
      <c r="E1377" t="s">
        <v>5157</v>
      </c>
    </row>
    <row r="1378" spans="1:5">
      <c r="A1378" t="s">
        <v>5244</v>
      </c>
      <c r="B1378" t="s">
        <v>2478</v>
      </c>
      <c r="C1378" t="s">
        <v>2479</v>
      </c>
      <c r="D1378" t="s">
        <v>5157</v>
      </c>
      <c r="E1378" t="s">
        <v>5157</v>
      </c>
    </row>
    <row r="1379" spans="1:5">
      <c r="A1379" t="s">
        <v>5241</v>
      </c>
      <c r="B1379" t="s">
        <v>5582</v>
      </c>
      <c r="C1379" t="s">
        <v>5583</v>
      </c>
      <c r="D1379" t="s">
        <v>5157</v>
      </c>
      <c r="E1379" t="s">
        <v>5157</v>
      </c>
    </row>
    <row r="1380" spans="1:5">
      <c r="A1380" t="s">
        <v>5241</v>
      </c>
      <c r="B1380" t="s">
        <v>2480</v>
      </c>
      <c r="C1380" t="s">
        <v>2481</v>
      </c>
      <c r="D1380" t="s">
        <v>5157</v>
      </c>
      <c r="E1380" t="s">
        <v>5157</v>
      </c>
    </row>
    <row r="1381" spans="1:5">
      <c r="A1381" t="s">
        <v>5241</v>
      </c>
      <c r="B1381" t="s">
        <v>2482</v>
      </c>
      <c r="C1381" t="s">
        <v>2483</v>
      </c>
      <c r="D1381" t="s">
        <v>5211</v>
      </c>
      <c r="E1381" t="s">
        <v>5212</v>
      </c>
    </row>
    <row r="1382" spans="1:5">
      <c r="A1382" t="s">
        <v>5241</v>
      </c>
      <c r="B1382" t="s">
        <v>2484</v>
      </c>
      <c r="C1382" t="s">
        <v>2485</v>
      </c>
      <c r="D1382" t="s">
        <v>5211</v>
      </c>
      <c r="E1382" t="s">
        <v>5212</v>
      </c>
    </row>
    <row r="1383" spans="1:5">
      <c r="A1383" t="s">
        <v>5241</v>
      </c>
      <c r="B1383" t="s">
        <v>2486</v>
      </c>
      <c r="C1383" t="s">
        <v>2487</v>
      </c>
      <c r="D1383" t="s">
        <v>5211</v>
      </c>
      <c r="E1383" t="s">
        <v>5212</v>
      </c>
    </row>
    <row r="1384" spans="1:5">
      <c r="A1384" t="s">
        <v>5241</v>
      </c>
      <c r="B1384" t="s">
        <v>2488</v>
      </c>
      <c r="C1384" t="s">
        <v>2489</v>
      </c>
      <c r="D1384" t="s">
        <v>5211</v>
      </c>
      <c r="E1384" t="s">
        <v>5213</v>
      </c>
    </row>
    <row r="1385" spans="1:5">
      <c r="A1385" t="s">
        <v>5241</v>
      </c>
      <c r="B1385" t="s">
        <v>2490</v>
      </c>
      <c r="C1385" t="s">
        <v>2491</v>
      </c>
      <c r="D1385" t="s">
        <v>5211</v>
      </c>
      <c r="E1385" t="s">
        <v>5213</v>
      </c>
    </row>
    <row r="1386" spans="1:5">
      <c r="A1386" t="s">
        <v>5241</v>
      </c>
      <c r="B1386" t="s">
        <v>2492</v>
      </c>
      <c r="C1386" t="s">
        <v>2493</v>
      </c>
      <c r="D1386" t="s">
        <v>5211</v>
      </c>
      <c r="E1386" t="s">
        <v>5212</v>
      </c>
    </row>
    <row r="1387" spans="1:5">
      <c r="A1387" t="s">
        <v>5241</v>
      </c>
      <c r="B1387" t="s">
        <v>2494</v>
      </c>
      <c r="C1387" t="s">
        <v>2495</v>
      </c>
      <c r="D1387" t="s">
        <v>5157</v>
      </c>
      <c r="E1387" t="s">
        <v>5157</v>
      </c>
    </row>
    <row r="1388" spans="1:5">
      <c r="A1388" t="s">
        <v>5241</v>
      </c>
      <c r="B1388" t="s">
        <v>2496</v>
      </c>
      <c r="C1388" t="s">
        <v>2497</v>
      </c>
      <c r="D1388" t="s">
        <v>5162</v>
      </c>
      <c r="E1388" t="s">
        <v>5210</v>
      </c>
    </row>
    <row r="1389" spans="1:5">
      <c r="A1389" t="s">
        <v>5241</v>
      </c>
      <c r="B1389" t="s">
        <v>2498</v>
      </c>
      <c r="C1389" t="s">
        <v>2499</v>
      </c>
      <c r="D1389" t="s">
        <v>5162</v>
      </c>
      <c r="E1389" t="s">
        <v>5210</v>
      </c>
    </row>
    <row r="1390" spans="1:5">
      <c r="A1390" t="s">
        <v>5241</v>
      </c>
      <c r="B1390" t="s">
        <v>2500</v>
      </c>
      <c r="C1390" t="s">
        <v>2501</v>
      </c>
      <c r="D1390" t="s">
        <v>5157</v>
      </c>
      <c r="E1390" t="s">
        <v>5157</v>
      </c>
    </row>
    <row r="1391" spans="1:5">
      <c r="A1391" t="s">
        <v>5241</v>
      </c>
      <c r="B1391" t="s">
        <v>2502</v>
      </c>
      <c r="C1391" t="s">
        <v>2503</v>
      </c>
      <c r="D1391" t="s">
        <v>5211</v>
      </c>
      <c r="E1391" t="s">
        <v>5213</v>
      </c>
    </row>
    <row r="1392" spans="1:5">
      <c r="A1392" t="s">
        <v>5244</v>
      </c>
      <c r="B1392" t="s">
        <v>2504</v>
      </c>
      <c r="C1392" t="s">
        <v>2505</v>
      </c>
      <c r="D1392" t="s">
        <v>5157</v>
      </c>
      <c r="E1392" t="s">
        <v>5157</v>
      </c>
    </row>
    <row r="1393" spans="1:5">
      <c r="A1393" t="s">
        <v>5244</v>
      </c>
      <c r="B1393" t="s">
        <v>2506</v>
      </c>
      <c r="C1393" t="s">
        <v>2507</v>
      </c>
      <c r="D1393" t="s">
        <v>5157</v>
      </c>
      <c r="E1393" t="s">
        <v>5157</v>
      </c>
    </row>
    <row r="1394" spans="1:5">
      <c r="A1394" t="s">
        <v>5244</v>
      </c>
      <c r="B1394" t="s">
        <v>2508</v>
      </c>
      <c r="C1394" t="s">
        <v>2509</v>
      </c>
      <c r="D1394" t="s">
        <v>5157</v>
      </c>
      <c r="E1394" t="s">
        <v>5157</v>
      </c>
    </row>
    <row r="1395" spans="1:5">
      <c r="A1395" t="s">
        <v>5244</v>
      </c>
      <c r="B1395" t="s">
        <v>2510</v>
      </c>
      <c r="C1395" t="s">
        <v>2511</v>
      </c>
      <c r="D1395" t="s">
        <v>5157</v>
      </c>
      <c r="E1395" t="s">
        <v>5157</v>
      </c>
    </row>
    <row r="1396" spans="1:5">
      <c r="A1396" t="s">
        <v>5244</v>
      </c>
      <c r="B1396" t="s">
        <v>2512</v>
      </c>
      <c r="C1396" t="s">
        <v>2513</v>
      </c>
      <c r="D1396" t="s">
        <v>5157</v>
      </c>
      <c r="E1396" t="s">
        <v>5157</v>
      </c>
    </row>
    <row r="1397" spans="1:5">
      <c r="A1397" t="s">
        <v>5244</v>
      </c>
      <c r="B1397" t="s">
        <v>2514</v>
      </c>
      <c r="C1397" t="s">
        <v>2515</v>
      </c>
      <c r="D1397" t="s">
        <v>5157</v>
      </c>
      <c r="E1397" t="s">
        <v>5157</v>
      </c>
    </row>
    <row r="1398" spans="1:5">
      <c r="A1398" t="s">
        <v>5244</v>
      </c>
      <c r="B1398" t="s">
        <v>2516</v>
      </c>
      <c r="C1398" t="s">
        <v>2517</v>
      </c>
      <c r="D1398" t="s">
        <v>5157</v>
      </c>
      <c r="E1398" t="s">
        <v>5157</v>
      </c>
    </row>
    <row r="1399" spans="1:5">
      <c r="A1399" t="s">
        <v>5244</v>
      </c>
      <c r="B1399" t="s">
        <v>2518</v>
      </c>
      <c r="C1399" t="s">
        <v>2519</v>
      </c>
      <c r="D1399" t="s">
        <v>5157</v>
      </c>
      <c r="E1399" t="s">
        <v>5157</v>
      </c>
    </row>
    <row r="1400" spans="1:5">
      <c r="A1400" t="s">
        <v>5244</v>
      </c>
      <c r="B1400" t="s">
        <v>2520</v>
      </c>
      <c r="C1400" t="s">
        <v>2521</v>
      </c>
      <c r="D1400" t="s">
        <v>5157</v>
      </c>
      <c r="E1400" t="s">
        <v>5157</v>
      </c>
    </row>
    <row r="1401" spans="1:5">
      <c r="A1401" t="s">
        <v>5244</v>
      </c>
      <c r="B1401" t="s">
        <v>2522</v>
      </c>
      <c r="C1401" t="s">
        <v>2523</v>
      </c>
      <c r="D1401" t="s">
        <v>5157</v>
      </c>
      <c r="E1401" t="s">
        <v>5157</v>
      </c>
    </row>
    <row r="1402" spans="1:5">
      <c r="A1402" t="s">
        <v>5244</v>
      </c>
      <c r="B1402" t="s">
        <v>2524</v>
      </c>
      <c r="C1402" t="s">
        <v>2525</v>
      </c>
      <c r="D1402" t="s">
        <v>5157</v>
      </c>
      <c r="E1402" t="s">
        <v>5157</v>
      </c>
    </row>
    <row r="1403" spans="1:5">
      <c r="A1403" t="s">
        <v>5244</v>
      </c>
      <c r="B1403" t="s">
        <v>2526</v>
      </c>
      <c r="C1403" t="s">
        <v>2527</v>
      </c>
      <c r="D1403" t="s">
        <v>5157</v>
      </c>
      <c r="E1403" t="s">
        <v>5157</v>
      </c>
    </row>
    <row r="1404" spans="1:5">
      <c r="A1404" t="s">
        <v>5244</v>
      </c>
      <c r="B1404" t="s">
        <v>2528</v>
      </c>
      <c r="C1404" t="s">
        <v>2529</v>
      </c>
      <c r="D1404" t="s">
        <v>5157</v>
      </c>
      <c r="E1404" t="s">
        <v>5157</v>
      </c>
    </row>
    <row r="1405" spans="1:5">
      <c r="A1405" t="s">
        <v>5244</v>
      </c>
      <c r="B1405" t="s">
        <v>2530</v>
      </c>
      <c r="C1405" t="s">
        <v>2531</v>
      </c>
      <c r="D1405" t="s">
        <v>5157</v>
      </c>
      <c r="E1405" t="s">
        <v>5157</v>
      </c>
    </row>
    <row r="1406" spans="1:5">
      <c r="A1406" t="s">
        <v>5244</v>
      </c>
      <c r="B1406" t="s">
        <v>2532</v>
      </c>
      <c r="C1406" t="s">
        <v>2533</v>
      </c>
      <c r="D1406" t="s">
        <v>5157</v>
      </c>
      <c r="E1406" t="s">
        <v>5157</v>
      </c>
    </row>
    <row r="1407" spans="1:5">
      <c r="A1407" t="s">
        <v>5244</v>
      </c>
      <c r="B1407" t="s">
        <v>2534</v>
      </c>
      <c r="C1407" t="s">
        <v>2535</v>
      </c>
      <c r="D1407" t="s">
        <v>5157</v>
      </c>
      <c r="E1407" t="s">
        <v>5157</v>
      </c>
    </row>
    <row r="1408" spans="1:5">
      <c r="A1408" t="s">
        <v>5244</v>
      </c>
      <c r="B1408" t="s">
        <v>2536</v>
      </c>
      <c r="C1408" t="s">
        <v>2537</v>
      </c>
      <c r="D1408" t="s">
        <v>5157</v>
      </c>
      <c r="E1408" t="s">
        <v>5157</v>
      </c>
    </row>
    <row r="1409" spans="1:5">
      <c r="A1409" t="s">
        <v>5244</v>
      </c>
      <c r="B1409" t="s">
        <v>2538</v>
      </c>
      <c r="C1409" t="s">
        <v>2539</v>
      </c>
      <c r="D1409" t="s">
        <v>5157</v>
      </c>
      <c r="E1409" t="s">
        <v>5157</v>
      </c>
    </row>
    <row r="1410" spans="1:5">
      <c r="A1410" t="s">
        <v>5244</v>
      </c>
      <c r="B1410" t="s">
        <v>2540</v>
      </c>
      <c r="C1410" t="s">
        <v>2541</v>
      </c>
      <c r="D1410" t="s">
        <v>5157</v>
      </c>
      <c r="E1410" t="s">
        <v>5157</v>
      </c>
    </row>
    <row r="1411" spans="1:5">
      <c r="A1411" t="s">
        <v>5244</v>
      </c>
      <c r="B1411" t="s">
        <v>2542</v>
      </c>
      <c r="C1411" t="s">
        <v>2543</v>
      </c>
      <c r="D1411" t="s">
        <v>5157</v>
      </c>
      <c r="E1411" t="s">
        <v>5157</v>
      </c>
    </row>
    <row r="1412" spans="1:5">
      <c r="A1412" t="s">
        <v>5244</v>
      </c>
      <c r="B1412" t="s">
        <v>2544</v>
      </c>
      <c r="C1412" t="s">
        <v>2545</v>
      </c>
      <c r="D1412" t="s">
        <v>5157</v>
      </c>
      <c r="E1412" t="s">
        <v>5157</v>
      </c>
    </row>
    <row r="1413" spans="1:5">
      <c r="A1413" t="s">
        <v>5241</v>
      </c>
      <c r="B1413" t="s">
        <v>5584</v>
      </c>
      <c r="C1413" t="s">
        <v>5585</v>
      </c>
      <c r="D1413" t="s">
        <v>5157</v>
      </c>
      <c r="E1413" t="s">
        <v>5157</v>
      </c>
    </row>
    <row r="1414" spans="1:5">
      <c r="A1414" t="s">
        <v>5244</v>
      </c>
      <c r="B1414" t="s">
        <v>2546</v>
      </c>
      <c r="C1414" t="s">
        <v>2547</v>
      </c>
      <c r="D1414" t="s">
        <v>5183</v>
      </c>
      <c r="E1414" t="s">
        <v>5168</v>
      </c>
    </row>
    <row r="1415" spans="1:5">
      <c r="A1415" t="s">
        <v>5244</v>
      </c>
      <c r="B1415" t="s">
        <v>2548</v>
      </c>
      <c r="C1415" t="s">
        <v>2549</v>
      </c>
      <c r="D1415" t="s">
        <v>5183</v>
      </c>
      <c r="E1415" t="s">
        <v>5168</v>
      </c>
    </row>
    <row r="1416" spans="1:5">
      <c r="A1416" t="s">
        <v>5244</v>
      </c>
      <c r="B1416" t="s">
        <v>2550</v>
      </c>
      <c r="C1416" t="s">
        <v>2551</v>
      </c>
      <c r="D1416" t="s">
        <v>5183</v>
      </c>
      <c r="E1416" t="s">
        <v>5168</v>
      </c>
    </row>
    <row r="1417" spans="1:5">
      <c r="A1417" t="s">
        <v>5244</v>
      </c>
      <c r="B1417" t="s">
        <v>2552</v>
      </c>
      <c r="C1417" t="s">
        <v>2553</v>
      </c>
      <c r="D1417" t="s">
        <v>5183</v>
      </c>
      <c r="E1417" t="s">
        <v>5168</v>
      </c>
    </row>
    <row r="1418" spans="1:5">
      <c r="A1418" t="s">
        <v>5244</v>
      </c>
      <c r="B1418" t="s">
        <v>862</v>
      </c>
      <c r="C1418" t="s">
        <v>2554</v>
      </c>
      <c r="D1418" t="s">
        <v>5157</v>
      </c>
      <c r="E1418" t="s">
        <v>5157</v>
      </c>
    </row>
    <row r="1419" spans="1:5">
      <c r="A1419" t="s">
        <v>5244</v>
      </c>
      <c r="B1419" t="s">
        <v>863</v>
      </c>
      <c r="C1419" t="s">
        <v>2555</v>
      </c>
      <c r="D1419" t="s">
        <v>5157</v>
      </c>
      <c r="E1419" t="s">
        <v>5157</v>
      </c>
    </row>
    <row r="1420" spans="1:5">
      <c r="A1420" t="s">
        <v>5244</v>
      </c>
      <c r="B1420" t="s">
        <v>2556</v>
      </c>
      <c r="C1420" t="s">
        <v>2557</v>
      </c>
      <c r="D1420" t="s">
        <v>5183</v>
      </c>
      <c r="E1420" t="s">
        <v>5168</v>
      </c>
    </row>
    <row r="1421" spans="1:5">
      <c r="A1421" t="s">
        <v>5244</v>
      </c>
      <c r="B1421" t="s">
        <v>2558</v>
      </c>
      <c r="C1421" t="s">
        <v>2559</v>
      </c>
      <c r="D1421" t="s">
        <v>5183</v>
      </c>
      <c r="E1421" t="s">
        <v>5168</v>
      </c>
    </row>
    <row r="1422" spans="1:5">
      <c r="A1422" t="s">
        <v>5244</v>
      </c>
      <c r="B1422" t="s">
        <v>2560</v>
      </c>
      <c r="C1422" t="s">
        <v>2561</v>
      </c>
      <c r="D1422" t="s">
        <v>5157</v>
      </c>
      <c r="E1422" t="s">
        <v>5157</v>
      </c>
    </row>
    <row r="1423" spans="1:5">
      <c r="A1423" t="s">
        <v>5244</v>
      </c>
      <c r="B1423" t="s">
        <v>5586</v>
      </c>
      <c r="C1423" t="s">
        <v>5587</v>
      </c>
      <c r="D1423" t="s">
        <v>5157</v>
      </c>
      <c r="E1423" t="s">
        <v>5157</v>
      </c>
    </row>
    <row r="1424" spans="1:5">
      <c r="A1424" t="s">
        <v>5244</v>
      </c>
      <c r="B1424" t="s">
        <v>5588</v>
      </c>
      <c r="C1424" t="s">
        <v>5589</v>
      </c>
      <c r="D1424" t="s">
        <v>5157</v>
      </c>
      <c r="E1424" t="s">
        <v>5157</v>
      </c>
    </row>
    <row r="1425" spans="1:5">
      <c r="A1425" t="s">
        <v>5244</v>
      </c>
      <c r="B1425" t="s">
        <v>5590</v>
      </c>
      <c r="C1425" t="s">
        <v>5591</v>
      </c>
      <c r="D1425" t="s">
        <v>5157</v>
      </c>
      <c r="E1425" t="s">
        <v>5157</v>
      </c>
    </row>
    <row r="1426" spans="1:5">
      <c r="A1426" t="s">
        <v>5244</v>
      </c>
      <c r="B1426" t="s">
        <v>2562</v>
      </c>
      <c r="C1426" t="s">
        <v>2563</v>
      </c>
      <c r="D1426" t="s">
        <v>5157</v>
      </c>
      <c r="E1426" t="s">
        <v>5157</v>
      </c>
    </row>
    <row r="1427" spans="1:5">
      <c r="A1427" t="s">
        <v>5244</v>
      </c>
      <c r="B1427" t="s">
        <v>2564</v>
      </c>
      <c r="C1427" t="s">
        <v>2565</v>
      </c>
      <c r="D1427" t="s">
        <v>5157</v>
      </c>
      <c r="E1427" t="s">
        <v>5157</v>
      </c>
    </row>
    <row r="1428" spans="1:5">
      <c r="A1428" t="s">
        <v>5244</v>
      </c>
      <c r="B1428" t="s">
        <v>2566</v>
      </c>
      <c r="C1428" t="s">
        <v>2567</v>
      </c>
      <c r="D1428" t="s">
        <v>5157</v>
      </c>
      <c r="E1428" t="s">
        <v>5157</v>
      </c>
    </row>
    <row r="1429" spans="1:5">
      <c r="A1429" t="s">
        <v>5244</v>
      </c>
      <c r="B1429" t="s">
        <v>5592</v>
      </c>
      <c r="C1429" t="s">
        <v>5593</v>
      </c>
      <c r="D1429" t="s">
        <v>5157</v>
      </c>
      <c r="E1429" t="s">
        <v>5157</v>
      </c>
    </row>
    <row r="1430" spans="1:5">
      <c r="A1430" t="s">
        <v>5244</v>
      </c>
      <c r="B1430" t="s">
        <v>2568</v>
      </c>
      <c r="C1430" t="s">
        <v>2569</v>
      </c>
      <c r="D1430" t="s">
        <v>5157</v>
      </c>
      <c r="E1430" t="s">
        <v>5157</v>
      </c>
    </row>
    <row r="1431" spans="1:5">
      <c r="A1431" t="s">
        <v>5244</v>
      </c>
      <c r="B1431" t="s">
        <v>2570</v>
      </c>
      <c r="C1431" t="s">
        <v>2571</v>
      </c>
      <c r="D1431" t="s">
        <v>5157</v>
      </c>
      <c r="E1431" t="s">
        <v>5157</v>
      </c>
    </row>
    <row r="1432" spans="1:5">
      <c r="A1432" t="s">
        <v>5244</v>
      </c>
      <c r="B1432" t="s">
        <v>2572</v>
      </c>
      <c r="C1432" t="s">
        <v>2573</v>
      </c>
      <c r="D1432" t="s">
        <v>5157</v>
      </c>
      <c r="E1432" t="s">
        <v>5157</v>
      </c>
    </row>
    <row r="1433" spans="1:5">
      <c r="A1433" t="s">
        <v>5244</v>
      </c>
      <c r="B1433" t="s">
        <v>2574</v>
      </c>
      <c r="C1433" t="s">
        <v>2575</v>
      </c>
      <c r="D1433" t="s">
        <v>5170</v>
      </c>
      <c r="E1433" t="s">
        <v>5168</v>
      </c>
    </row>
    <row r="1434" spans="1:5">
      <c r="A1434" t="s">
        <v>5244</v>
      </c>
      <c r="B1434" t="s">
        <v>2576</v>
      </c>
      <c r="C1434" t="s">
        <v>2577</v>
      </c>
      <c r="D1434" t="s">
        <v>5157</v>
      </c>
      <c r="E1434" t="s">
        <v>5157</v>
      </c>
    </row>
    <row r="1435" spans="1:5">
      <c r="A1435" t="s">
        <v>5244</v>
      </c>
      <c r="B1435" t="s">
        <v>2578</v>
      </c>
      <c r="C1435" t="s">
        <v>2579</v>
      </c>
      <c r="D1435" t="s">
        <v>5171</v>
      </c>
      <c r="E1435" t="s">
        <v>5168</v>
      </c>
    </row>
    <row r="1436" spans="1:5">
      <c r="A1436" t="s">
        <v>5244</v>
      </c>
      <c r="B1436" t="s">
        <v>2580</v>
      </c>
      <c r="C1436" t="s">
        <v>2581</v>
      </c>
      <c r="D1436" t="s">
        <v>5157</v>
      </c>
      <c r="E1436" t="s">
        <v>5157</v>
      </c>
    </row>
    <row r="1437" spans="1:5">
      <c r="A1437" t="s">
        <v>5244</v>
      </c>
      <c r="B1437" t="s">
        <v>2582</v>
      </c>
      <c r="C1437" t="s">
        <v>2583</v>
      </c>
      <c r="D1437" t="s">
        <v>5157</v>
      </c>
      <c r="E1437" t="s">
        <v>5157</v>
      </c>
    </row>
    <row r="1438" spans="1:5">
      <c r="A1438" t="s">
        <v>5244</v>
      </c>
      <c r="B1438" t="s">
        <v>2584</v>
      </c>
      <c r="C1438" t="s">
        <v>2585</v>
      </c>
      <c r="D1438" t="s">
        <v>5157</v>
      </c>
      <c r="E1438" t="s">
        <v>5157</v>
      </c>
    </row>
    <row r="1439" spans="1:5">
      <c r="A1439" t="s">
        <v>5244</v>
      </c>
      <c r="B1439" t="s">
        <v>2586</v>
      </c>
      <c r="C1439" t="s">
        <v>2587</v>
      </c>
      <c r="D1439" t="s">
        <v>5157</v>
      </c>
      <c r="E1439" t="s">
        <v>5157</v>
      </c>
    </row>
    <row r="1440" spans="1:5">
      <c r="A1440" t="s">
        <v>5244</v>
      </c>
      <c r="B1440" t="s">
        <v>2588</v>
      </c>
      <c r="C1440" t="s">
        <v>2589</v>
      </c>
      <c r="D1440" t="s">
        <v>5169</v>
      </c>
      <c r="E1440" t="s">
        <v>5168</v>
      </c>
    </row>
    <row r="1441" spans="1:5">
      <c r="A1441" t="s">
        <v>5244</v>
      </c>
      <c r="B1441" t="s">
        <v>2590</v>
      </c>
      <c r="C1441" t="s">
        <v>2591</v>
      </c>
      <c r="D1441" t="s">
        <v>5157</v>
      </c>
      <c r="E1441" t="s">
        <v>5157</v>
      </c>
    </row>
    <row r="1442" spans="1:5">
      <c r="A1442" t="s">
        <v>5244</v>
      </c>
      <c r="B1442" t="s">
        <v>2592</v>
      </c>
      <c r="C1442" t="s">
        <v>2593</v>
      </c>
      <c r="D1442" t="s">
        <v>5157</v>
      </c>
      <c r="E1442" t="s">
        <v>5157</v>
      </c>
    </row>
    <row r="1443" spans="1:5">
      <c r="A1443" t="s">
        <v>5244</v>
      </c>
      <c r="B1443" t="s">
        <v>2594</v>
      </c>
      <c r="C1443" t="s">
        <v>2595</v>
      </c>
      <c r="D1443" t="s">
        <v>5157</v>
      </c>
      <c r="E1443" t="s">
        <v>5157</v>
      </c>
    </row>
    <row r="1444" spans="1:5">
      <c r="A1444" t="s">
        <v>5244</v>
      </c>
      <c r="B1444" t="s">
        <v>2596</v>
      </c>
      <c r="C1444" t="s">
        <v>2597</v>
      </c>
      <c r="D1444" t="s">
        <v>5157</v>
      </c>
      <c r="E1444" t="s">
        <v>5157</v>
      </c>
    </row>
    <row r="1445" spans="1:5">
      <c r="A1445" t="s">
        <v>5244</v>
      </c>
      <c r="B1445" t="s">
        <v>5594</v>
      </c>
      <c r="C1445" t="s">
        <v>5595</v>
      </c>
      <c r="D1445" t="s">
        <v>5157</v>
      </c>
      <c r="E1445" t="s">
        <v>5157</v>
      </c>
    </row>
    <row r="1446" spans="1:5">
      <c r="A1446" t="s">
        <v>5241</v>
      </c>
      <c r="B1446" t="s">
        <v>2598</v>
      </c>
      <c r="C1446" t="s">
        <v>2599</v>
      </c>
      <c r="D1446" t="s">
        <v>5209</v>
      </c>
      <c r="E1446" t="s">
        <v>5210</v>
      </c>
    </row>
    <row r="1447" spans="1:5">
      <c r="A1447" t="s">
        <v>5241</v>
      </c>
      <c r="B1447" t="s">
        <v>2600</v>
      </c>
      <c r="C1447" t="s">
        <v>2601</v>
      </c>
      <c r="D1447" t="s">
        <v>5209</v>
      </c>
      <c r="E1447" t="s">
        <v>5210</v>
      </c>
    </row>
    <row r="1448" spans="1:5">
      <c r="A1448" t="s">
        <v>5241</v>
      </c>
      <c r="B1448" t="s">
        <v>5596</v>
      </c>
      <c r="C1448" t="s">
        <v>5597</v>
      </c>
      <c r="D1448" t="s">
        <v>5209</v>
      </c>
      <c r="E1448" t="s">
        <v>5210</v>
      </c>
    </row>
    <row r="1449" spans="1:5">
      <c r="A1449" t="s">
        <v>5241</v>
      </c>
      <c r="B1449" t="s">
        <v>2602</v>
      </c>
      <c r="C1449" t="s">
        <v>2603</v>
      </c>
      <c r="D1449" t="s">
        <v>5157</v>
      </c>
      <c r="E1449" t="s">
        <v>5157</v>
      </c>
    </row>
    <row r="1450" spans="1:5">
      <c r="A1450" t="s">
        <v>5241</v>
      </c>
      <c r="B1450" t="s">
        <v>5598</v>
      </c>
      <c r="C1450" t="s">
        <v>5599</v>
      </c>
      <c r="D1450" t="s">
        <v>5157</v>
      </c>
      <c r="E1450" t="s">
        <v>5157</v>
      </c>
    </row>
    <row r="1451" spans="1:5">
      <c r="A1451" t="s">
        <v>5241</v>
      </c>
      <c r="B1451" t="s">
        <v>5600</v>
      </c>
      <c r="C1451" t="s">
        <v>5601</v>
      </c>
      <c r="D1451" t="s">
        <v>5157</v>
      </c>
      <c r="E1451" t="s">
        <v>5157</v>
      </c>
    </row>
    <row r="1452" spans="1:5">
      <c r="A1452" t="s">
        <v>5241</v>
      </c>
      <c r="B1452" t="s">
        <v>5602</v>
      </c>
      <c r="C1452" t="s">
        <v>5603</v>
      </c>
      <c r="D1452" t="s">
        <v>5157</v>
      </c>
      <c r="E1452" t="s">
        <v>5157</v>
      </c>
    </row>
    <row r="1453" spans="1:5">
      <c r="A1453" t="s">
        <v>5241</v>
      </c>
      <c r="B1453" t="s">
        <v>5604</v>
      </c>
      <c r="C1453" t="s">
        <v>5605</v>
      </c>
      <c r="D1453" t="s">
        <v>5157</v>
      </c>
      <c r="E1453" t="s">
        <v>5157</v>
      </c>
    </row>
    <row r="1454" spans="1:5">
      <c r="A1454" t="s">
        <v>5241</v>
      </c>
      <c r="B1454" t="s">
        <v>5606</v>
      </c>
      <c r="C1454" t="s">
        <v>5607</v>
      </c>
      <c r="D1454" t="s">
        <v>5157</v>
      </c>
      <c r="E1454" t="s">
        <v>5157</v>
      </c>
    </row>
    <row r="1455" spans="1:5">
      <c r="A1455" t="s">
        <v>5241</v>
      </c>
      <c r="B1455" t="s">
        <v>2604</v>
      </c>
      <c r="C1455" t="s">
        <v>2605</v>
      </c>
      <c r="D1455" t="s">
        <v>5211</v>
      </c>
      <c r="E1455" t="s">
        <v>5214</v>
      </c>
    </row>
    <row r="1456" spans="1:5">
      <c r="A1456" t="s">
        <v>5241</v>
      </c>
      <c r="B1456" t="s">
        <v>5608</v>
      </c>
      <c r="C1456" t="s">
        <v>5609</v>
      </c>
      <c r="D1456" t="s">
        <v>5157</v>
      </c>
      <c r="E1456" t="s">
        <v>5157</v>
      </c>
    </row>
    <row r="1457" spans="1:5">
      <c r="A1457" t="s">
        <v>5241</v>
      </c>
      <c r="B1457" t="s">
        <v>5610</v>
      </c>
      <c r="C1457" t="s">
        <v>5611</v>
      </c>
      <c r="D1457" t="s">
        <v>5157</v>
      </c>
      <c r="E1457" t="s">
        <v>5157</v>
      </c>
    </row>
    <row r="1458" spans="1:5">
      <c r="A1458" t="s">
        <v>5241</v>
      </c>
      <c r="B1458" t="s">
        <v>2606</v>
      </c>
      <c r="C1458" t="s">
        <v>2607</v>
      </c>
      <c r="D1458" t="s">
        <v>5209</v>
      </c>
      <c r="E1458" t="s">
        <v>5210</v>
      </c>
    </row>
    <row r="1459" spans="1:5">
      <c r="A1459" t="s">
        <v>5241</v>
      </c>
      <c r="B1459" t="s">
        <v>5612</v>
      </c>
      <c r="C1459" t="s">
        <v>5613</v>
      </c>
      <c r="D1459" t="s">
        <v>5157</v>
      </c>
      <c r="E1459" t="s">
        <v>5157</v>
      </c>
    </row>
    <row r="1460" spans="1:5">
      <c r="A1460" t="s">
        <v>5241</v>
      </c>
      <c r="B1460" t="s">
        <v>5614</v>
      </c>
      <c r="C1460" t="s">
        <v>5615</v>
      </c>
      <c r="D1460" t="s">
        <v>5157</v>
      </c>
      <c r="E1460" t="s">
        <v>5157</v>
      </c>
    </row>
    <row r="1461" spans="1:5">
      <c r="A1461" t="s">
        <v>5241</v>
      </c>
      <c r="B1461" t="s">
        <v>2608</v>
      </c>
      <c r="C1461" t="s">
        <v>2609</v>
      </c>
      <c r="D1461" t="s">
        <v>5209</v>
      </c>
      <c r="E1461" t="s">
        <v>5210</v>
      </c>
    </row>
    <row r="1462" spans="1:5">
      <c r="A1462" t="s">
        <v>5241</v>
      </c>
      <c r="B1462" t="s">
        <v>2610</v>
      </c>
      <c r="C1462" t="s">
        <v>2611</v>
      </c>
      <c r="D1462" t="s">
        <v>5157</v>
      </c>
      <c r="E1462" t="s">
        <v>5157</v>
      </c>
    </row>
    <row r="1463" spans="1:5">
      <c r="A1463" t="s">
        <v>5241</v>
      </c>
      <c r="B1463" t="s">
        <v>5616</v>
      </c>
      <c r="C1463" t="s">
        <v>5617</v>
      </c>
      <c r="D1463" t="s">
        <v>5209</v>
      </c>
      <c r="E1463" t="s">
        <v>5210</v>
      </c>
    </row>
    <row r="1464" spans="1:5">
      <c r="A1464" t="s">
        <v>5241</v>
      </c>
      <c r="B1464" t="s">
        <v>5618</v>
      </c>
      <c r="C1464" t="s">
        <v>5619</v>
      </c>
      <c r="D1464" t="s">
        <v>5157</v>
      </c>
      <c r="E1464" t="s">
        <v>5157</v>
      </c>
    </row>
    <row r="1465" spans="1:5">
      <c r="A1465" t="s">
        <v>5241</v>
      </c>
      <c r="B1465" t="s">
        <v>2612</v>
      </c>
      <c r="C1465" t="s">
        <v>2613</v>
      </c>
      <c r="D1465" t="s">
        <v>5209</v>
      </c>
      <c r="E1465" t="s">
        <v>5210</v>
      </c>
    </row>
    <row r="1466" spans="1:5">
      <c r="A1466" t="s">
        <v>5241</v>
      </c>
      <c r="B1466" t="s">
        <v>5620</v>
      </c>
      <c r="C1466" t="s">
        <v>5621</v>
      </c>
      <c r="D1466" t="s">
        <v>5157</v>
      </c>
      <c r="E1466" t="s">
        <v>5157</v>
      </c>
    </row>
    <row r="1467" spans="1:5">
      <c r="A1467" t="s">
        <v>5241</v>
      </c>
      <c r="B1467" t="s">
        <v>2614</v>
      </c>
      <c r="C1467" t="s">
        <v>2615</v>
      </c>
      <c r="D1467" t="s">
        <v>5211</v>
      </c>
      <c r="E1467" t="s">
        <v>5213</v>
      </c>
    </row>
    <row r="1468" spans="1:5">
      <c r="A1468" t="s">
        <v>5241</v>
      </c>
      <c r="B1468" t="s">
        <v>5622</v>
      </c>
      <c r="C1468" t="s">
        <v>5623</v>
      </c>
      <c r="D1468" t="s">
        <v>5157</v>
      </c>
      <c r="E1468" t="s">
        <v>5157</v>
      </c>
    </row>
    <row r="1469" spans="1:5">
      <c r="A1469" t="s">
        <v>5241</v>
      </c>
      <c r="B1469" t="s">
        <v>5624</v>
      </c>
      <c r="C1469" t="s">
        <v>5625</v>
      </c>
      <c r="D1469" t="s">
        <v>5157</v>
      </c>
      <c r="E1469" t="s">
        <v>5157</v>
      </c>
    </row>
    <row r="1470" spans="1:5">
      <c r="A1470" t="s">
        <v>5241</v>
      </c>
      <c r="B1470" t="s">
        <v>2616</v>
      </c>
      <c r="C1470" t="s">
        <v>2617</v>
      </c>
      <c r="D1470" t="s">
        <v>5211</v>
      </c>
      <c r="E1470" t="s">
        <v>5213</v>
      </c>
    </row>
    <row r="1471" spans="1:5">
      <c r="A1471" t="s">
        <v>5241</v>
      </c>
      <c r="B1471" t="s">
        <v>5626</v>
      </c>
      <c r="C1471" t="s">
        <v>5627</v>
      </c>
      <c r="D1471" t="s">
        <v>5157</v>
      </c>
      <c r="E1471" t="s">
        <v>5157</v>
      </c>
    </row>
    <row r="1472" spans="1:5">
      <c r="A1472" t="s">
        <v>5241</v>
      </c>
      <c r="B1472" t="s">
        <v>2618</v>
      </c>
      <c r="C1472" t="s">
        <v>2619</v>
      </c>
      <c r="D1472" t="s">
        <v>5211</v>
      </c>
      <c r="E1472" t="s">
        <v>5214</v>
      </c>
    </row>
    <row r="1473" spans="1:5">
      <c r="A1473" t="s">
        <v>5241</v>
      </c>
      <c r="B1473" t="s">
        <v>2620</v>
      </c>
      <c r="C1473" t="s">
        <v>2621</v>
      </c>
      <c r="D1473" t="s">
        <v>5211</v>
      </c>
      <c r="E1473" t="s">
        <v>5213</v>
      </c>
    </row>
    <row r="1474" spans="1:5">
      <c r="A1474" t="s">
        <v>5241</v>
      </c>
      <c r="B1474" t="s">
        <v>5628</v>
      </c>
      <c r="C1474" t="s">
        <v>5629</v>
      </c>
      <c r="D1474" t="s">
        <v>5157</v>
      </c>
      <c r="E1474" t="s">
        <v>5157</v>
      </c>
    </row>
    <row r="1475" spans="1:5">
      <c r="A1475" t="s">
        <v>5241</v>
      </c>
      <c r="B1475" t="s">
        <v>2622</v>
      </c>
      <c r="C1475" t="s">
        <v>2623</v>
      </c>
      <c r="D1475" t="s">
        <v>5157</v>
      </c>
      <c r="E1475" t="s">
        <v>5157</v>
      </c>
    </row>
    <row r="1476" spans="1:5">
      <c r="A1476" t="s">
        <v>5241</v>
      </c>
      <c r="B1476" t="s">
        <v>2624</v>
      </c>
      <c r="C1476" t="s">
        <v>2625</v>
      </c>
      <c r="D1476" t="s">
        <v>5211</v>
      </c>
      <c r="E1476" t="s">
        <v>5213</v>
      </c>
    </row>
    <row r="1477" spans="1:5">
      <c r="A1477" t="s">
        <v>5241</v>
      </c>
      <c r="B1477" t="s">
        <v>2626</v>
      </c>
      <c r="C1477" t="s">
        <v>2627</v>
      </c>
      <c r="D1477" t="s">
        <v>5211</v>
      </c>
      <c r="E1477" t="s">
        <v>5213</v>
      </c>
    </row>
    <row r="1478" spans="1:5">
      <c r="A1478" t="s">
        <v>5241</v>
      </c>
      <c r="B1478" t="s">
        <v>5630</v>
      </c>
      <c r="C1478" t="s">
        <v>5631</v>
      </c>
      <c r="D1478" t="s">
        <v>5211</v>
      </c>
      <c r="E1478" t="s">
        <v>5213</v>
      </c>
    </row>
    <row r="1479" spans="1:5">
      <c r="A1479" t="s">
        <v>5241</v>
      </c>
      <c r="B1479" t="s">
        <v>5632</v>
      </c>
      <c r="C1479" t="s">
        <v>5633</v>
      </c>
      <c r="D1479" t="s">
        <v>5157</v>
      </c>
      <c r="E1479" t="s">
        <v>5157</v>
      </c>
    </row>
    <row r="1480" spans="1:5">
      <c r="A1480" t="s">
        <v>5241</v>
      </c>
      <c r="B1480" t="s">
        <v>5634</v>
      </c>
      <c r="C1480" t="s">
        <v>5635</v>
      </c>
      <c r="D1480" t="s">
        <v>5157</v>
      </c>
      <c r="E1480" t="s">
        <v>5157</v>
      </c>
    </row>
    <row r="1481" spans="1:5">
      <c r="A1481" t="s">
        <v>5241</v>
      </c>
      <c r="B1481" t="s">
        <v>5636</v>
      </c>
      <c r="C1481" t="s">
        <v>5637</v>
      </c>
      <c r="D1481" t="s">
        <v>5157</v>
      </c>
      <c r="E1481" t="s">
        <v>5157</v>
      </c>
    </row>
    <row r="1482" spans="1:5">
      <c r="A1482" t="s">
        <v>5241</v>
      </c>
      <c r="B1482" t="s">
        <v>5638</v>
      </c>
      <c r="C1482" t="s">
        <v>5639</v>
      </c>
      <c r="D1482" t="s">
        <v>5157</v>
      </c>
      <c r="E1482" t="s">
        <v>5157</v>
      </c>
    </row>
    <row r="1483" spans="1:5">
      <c r="A1483" t="s">
        <v>5241</v>
      </c>
      <c r="B1483" t="s">
        <v>2628</v>
      </c>
      <c r="C1483" t="s">
        <v>2629</v>
      </c>
      <c r="D1483" t="s">
        <v>5209</v>
      </c>
      <c r="E1483" t="s">
        <v>5215</v>
      </c>
    </row>
    <row r="1484" spans="1:5">
      <c r="A1484" t="s">
        <v>5241</v>
      </c>
      <c r="B1484" t="s">
        <v>2630</v>
      </c>
      <c r="C1484" t="s">
        <v>2631</v>
      </c>
      <c r="D1484" t="s">
        <v>5209</v>
      </c>
      <c r="E1484" t="s">
        <v>5215</v>
      </c>
    </row>
    <row r="1485" spans="1:5">
      <c r="A1485" t="s">
        <v>5241</v>
      </c>
      <c r="B1485" t="s">
        <v>2632</v>
      </c>
      <c r="C1485" t="s">
        <v>2633</v>
      </c>
      <c r="D1485" t="s">
        <v>5209</v>
      </c>
      <c r="E1485" t="s">
        <v>5210</v>
      </c>
    </row>
    <row r="1486" spans="1:5">
      <c r="A1486" t="s">
        <v>5241</v>
      </c>
      <c r="B1486" t="s">
        <v>5640</v>
      </c>
      <c r="C1486" t="s">
        <v>5641</v>
      </c>
      <c r="D1486" t="s">
        <v>5157</v>
      </c>
      <c r="E1486" t="s">
        <v>5157</v>
      </c>
    </row>
    <row r="1487" spans="1:5">
      <c r="A1487" t="s">
        <v>5241</v>
      </c>
      <c r="B1487" t="s">
        <v>5642</v>
      </c>
      <c r="C1487" t="s">
        <v>5643</v>
      </c>
      <c r="D1487" t="s">
        <v>5157</v>
      </c>
      <c r="E1487" t="s">
        <v>5157</v>
      </c>
    </row>
    <row r="1488" spans="1:5">
      <c r="A1488" t="s">
        <v>5241</v>
      </c>
      <c r="B1488" t="s">
        <v>5644</v>
      </c>
      <c r="C1488" t="s">
        <v>5645</v>
      </c>
      <c r="D1488" t="s">
        <v>5157</v>
      </c>
      <c r="E1488" t="s">
        <v>5157</v>
      </c>
    </row>
    <row r="1489" spans="1:5">
      <c r="A1489" t="s">
        <v>5241</v>
      </c>
      <c r="B1489" t="s">
        <v>2634</v>
      </c>
      <c r="C1489" t="s">
        <v>2635</v>
      </c>
      <c r="D1489" t="s">
        <v>5157</v>
      </c>
      <c r="E1489" t="s">
        <v>5157</v>
      </c>
    </row>
    <row r="1490" spans="1:5">
      <c r="A1490" t="s">
        <v>5241</v>
      </c>
      <c r="B1490" t="s">
        <v>5646</v>
      </c>
      <c r="C1490" t="s">
        <v>5647</v>
      </c>
      <c r="D1490" t="s">
        <v>5157</v>
      </c>
      <c r="E1490" t="s">
        <v>5157</v>
      </c>
    </row>
    <row r="1491" spans="1:5">
      <c r="A1491" t="s">
        <v>5241</v>
      </c>
      <c r="B1491" t="s">
        <v>5648</v>
      </c>
      <c r="C1491" t="s">
        <v>5649</v>
      </c>
      <c r="D1491" t="s">
        <v>5157</v>
      </c>
      <c r="E1491" t="s">
        <v>5157</v>
      </c>
    </row>
    <row r="1492" spans="1:5">
      <c r="A1492" t="s">
        <v>5241</v>
      </c>
      <c r="B1492" t="s">
        <v>2636</v>
      </c>
      <c r="C1492" t="s">
        <v>2637</v>
      </c>
      <c r="D1492" t="s">
        <v>5211</v>
      </c>
      <c r="E1492" t="s">
        <v>5213</v>
      </c>
    </row>
    <row r="1493" spans="1:5">
      <c r="A1493" t="s">
        <v>5241</v>
      </c>
      <c r="B1493" t="s">
        <v>2638</v>
      </c>
      <c r="C1493" t="s">
        <v>2639</v>
      </c>
      <c r="D1493" t="s">
        <v>5211</v>
      </c>
      <c r="E1493" t="s">
        <v>5213</v>
      </c>
    </row>
    <row r="1494" spans="1:5">
      <c r="A1494" t="s">
        <v>5241</v>
      </c>
      <c r="B1494" t="s">
        <v>2640</v>
      </c>
      <c r="C1494" t="s">
        <v>2641</v>
      </c>
      <c r="D1494" t="s">
        <v>5157</v>
      </c>
      <c r="E1494" t="s">
        <v>5157</v>
      </c>
    </row>
    <row r="1495" spans="1:5">
      <c r="A1495" t="s">
        <v>5241</v>
      </c>
      <c r="B1495" t="s">
        <v>2642</v>
      </c>
      <c r="C1495" t="s">
        <v>2643</v>
      </c>
      <c r="D1495" t="s">
        <v>5211</v>
      </c>
      <c r="E1495" t="s">
        <v>5213</v>
      </c>
    </row>
    <row r="1496" spans="1:5">
      <c r="A1496" t="s">
        <v>5241</v>
      </c>
      <c r="B1496" t="s">
        <v>2644</v>
      </c>
      <c r="C1496" t="s">
        <v>2645</v>
      </c>
      <c r="D1496" t="s">
        <v>5211</v>
      </c>
      <c r="E1496" t="s">
        <v>5213</v>
      </c>
    </row>
    <row r="1497" spans="1:5">
      <c r="A1497" t="s">
        <v>5241</v>
      </c>
      <c r="B1497" t="s">
        <v>2646</v>
      </c>
      <c r="C1497" t="s">
        <v>2647</v>
      </c>
      <c r="D1497" t="s">
        <v>5211</v>
      </c>
      <c r="E1497" t="s">
        <v>5213</v>
      </c>
    </row>
    <row r="1498" spans="1:5">
      <c r="A1498" t="s">
        <v>5241</v>
      </c>
      <c r="B1498" t="s">
        <v>2648</v>
      </c>
      <c r="C1498" t="s">
        <v>2649</v>
      </c>
      <c r="D1498" t="s">
        <v>5211</v>
      </c>
      <c r="E1498" t="s">
        <v>5213</v>
      </c>
    </row>
    <row r="1499" spans="1:5">
      <c r="A1499" t="s">
        <v>5241</v>
      </c>
      <c r="B1499" t="s">
        <v>2650</v>
      </c>
      <c r="C1499" t="s">
        <v>2651</v>
      </c>
      <c r="D1499" t="s">
        <v>5211</v>
      </c>
      <c r="E1499" t="s">
        <v>5213</v>
      </c>
    </row>
    <row r="1500" spans="1:5">
      <c r="A1500" t="s">
        <v>5241</v>
      </c>
      <c r="B1500" t="s">
        <v>2652</v>
      </c>
      <c r="C1500" t="s">
        <v>2653</v>
      </c>
      <c r="D1500" t="s">
        <v>5209</v>
      </c>
      <c r="E1500" t="s">
        <v>5215</v>
      </c>
    </row>
    <row r="1501" spans="1:5">
      <c r="A1501" t="s">
        <v>5241</v>
      </c>
      <c r="B1501" t="s">
        <v>2654</v>
      </c>
      <c r="C1501" t="s">
        <v>2655</v>
      </c>
      <c r="D1501" t="s">
        <v>5157</v>
      </c>
      <c r="E1501" t="s">
        <v>5157</v>
      </c>
    </row>
    <row r="1502" spans="1:5">
      <c r="A1502" t="s">
        <v>5241</v>
      </c>
      <c r="B1502" t="s">
        <v>2656</v>
      </c>
      <c r="C1502" t="s">
        <v>2657</v>
      </c>
      <c r="D1502" t="s">
        <v>5157</v>
      </c>
      <c r="E1502" t="s">
        <v>5157</v>
      </c>
    </row>
    <row r="1503" spans="1:5">
      <c r="A1503" t="s">
        <v>5241</v>
      </c>
      <c r="B1503" t="s">
        <v>5650</v>
      </c>
      <c r="C1503" t="s">
        <v>5651</v>
      </c>
      <c r="D1503" t="s">
        <v>5157</v>
      </c>
      <c r="E1503" t="s">
        <v>5157</v>
      </c>
    </row>
    <row r="1504" spans="1:5">
      <c r="A1504" t="s">
        <v>5241</v>
      </c>
      <c r="B1504" t="s">
        <v>5652</v>
      </c>
      <c r="C1504" t="s">
        <v>5653</v>
      </c>
      <c r="D1504" t="s">
        <v>5157</v>
      </c>
      <c r="E1504" t="s">
        <v>5157</v>
      </c>
    </row>
    <row r="1505" spans="1:5">
      <c r="A1505" t="s">
        <v>5241</v>
      </c>
      <c r="B1505" t="s">
        <v>5654</v>
      </c>
      <c r="C1505" t="s">
        <v>5655</v>
      </c>
      <c r="D1505" t="s">
        <v>5157</v>
      </c>
      <c r="E1505" t="s">
        <v>5157</v>
      </c>
    </row>
    <row r="1506" spans="1:5">
      <c r="A1506" t="s">
        <v>5241</v>
      </c>
      <c r="B1506" t="s">
        <v>2658</v>
      </c>
      <c r="C1506" t="s">
        <v>2659</v>
      </c>
      <c r="D1506" t="s">
        <v>5209</v>
      </c>
      <c r="E1506" t="s">
        <v>5210</v>
      </c>
    </row>
    <row r="1507" spans="1:5">
      <c r="A1507" t="s">
        <v>5241</v>
      </c>
      <c r="B1507" t="s">
        <v>5656</v>
      </c>
      <c r="C1507" t="s">
        <v>5657</v>
      </c>
      <c r="D1507" t="s">
        <v>5157</v>
      </c>
      <c r="E1507" t="s">
        <v>5157</v>
      </c>
    </row>
    <row r="1508" spans="1:5">
      <c r="A1508" t="s">
        <v>5241</v>
      </c>
      <c r="B1508" t="s">
        <v>5658</v>
      </c>
      <c r="C1508" t="s">
        <v>5659</v>
      </c>
      <c r="D1508" t="s">
        <v>5157</v>
      </c>
      <c r="E1508" t="s">
        <v>5157</v>
      </c>
    </row>
    <row r="1509" spans="1:5">
      <c r="A1509" t="s">
        <v>5241</v>
      </c>
      <c r="B1509" t="s">
        <v>5660</v>
      </c>
      <c r="C1509" t="s">
        <v>5661</v>
      </c>
      <c r="D1509" t="s">
        <v>5157</v>
      </c>
      <c r="E1509" t="s">
        <v>5157</v>
      </c>
    </row>
    <row r="1510" spans="1:5">
      <c r="A1510" t="s">
        <v>5241</v>
      </c>
      <c r="B1510" t="s">
        <v>5662</v>
      </c>
      <c r="C1510" t="s">
        <v>5663</v>
      </c>
      <c r="D1510" t="s">
        <v>5157</v>
      </c>
      <c r="E1510" t="s">
        <v>5157</v>
      </c>
    </row>
    <row r="1511" spans="1:5">
      <c r="A1511" t="s">
        <v>5241</v>
      </c>
      <c r="B1511" t="s">
        <v>5664</v>
      </c>
      <c r="C1511" t="s">
        <v>5665</v>
      </c>
      <c r="D1511" t="s">
        <v>5157</v>
      </c>
      <c r="E1511" t="s">
        <v>5157</v>
      </c>
    </row>
    <row r="1512" spans="1:5">
      <c r="A1512" t="s">
        <v>5241</v>
      </c>
      <c r="B1512" t="s">
        <v>5666</v>
      </c>
      <c r="C1512" t="s">
        <v>5667</v>
      </c>
      <c r="D1512" t="s">
        <v>5157</v>
      </c>
      <c r="E1512" t="s">
        <v>5157</v>
      </c>
    </row>
    <row r="1513" spans="1:5">
      <c r="A1513" t="s">
        <v>5241</v>
      </c>
      <c r="B1513" t="s">
        <v>5668</v>
      </c>
      <c r="C1513" t="s">
        <v>5669</v>
      </c>
      <c r="D1513" t="s">
        <v>5211</v>
      </c>
      <c r="E1513" t="s">
        <v>5214</v>
      </c>
    </row>
    <row r="1514" spans="1:5">
      <c r="A1514" t="s">
        <v>5241</v>
      </c>
      <c r="B1514" t="s">
        <v>2660</v>
      </c>
      <c r="C1514" t="s">
        <v>2661</v>
      </c>
      <c r="D1514" t="s">
        <v>5157</v>
      </c>
      <c r="E1514" t="s">
        <v>5157</v>
      </c>
    </row>
    <row r="1515" spans="1:5">
      <c r="A1515" t="s">
        <v>5241</v>
      </c>
      <c r="B1515" t="s">
        <v>2662</v>
      </c>
      <c r="C1515" t="s">
        <v>2663</v>
      </c>
      <c r="D1515" t="s">
        <v>5211</v>
      </c>
      <c r="E1515" t="s">
        <v>5213</v>
      </c>
    </row>
    <row r="1516" spans="1:5">
      <c r="A1516" t="s">
        <v>5241</v>
      </c>
      <c r="B1516" t="s">
        <v>5670</v>
      </c>
      <c r="C1516" t="s">
        <v>5671</v>
      </c>
      <c r="D1516" t="s">
        <v>5157</v>
      </c>
      <c r="E1516" t="s">
        <v>5157</v>
      </c>
    </row>
    <row r="1517" spans="1:5">
      <c r="A1517" t="s">
        <v>5241</v>
      </c>
      <c r="B1517" t="s">
        <v>2664</v>
      </c>
      <c r="C1517" t="s">
        <v>2665</v>
      </c>
      <c r="D1517" t="s">
        <v>5157</v>
      </c>
      <c r="E1517" t="s">
        <v>5157</v>
      </c>
    </row>
    <row r="1518" spans="1:5">
      <c r="A1518" t="s">
        <v>5241</v>
      </c>
      <c r="B1518" t="s">
        <v>5672</v>
      </c>
      <c r="C1518" t="s">
        <v>5673</v>
      </c>
      <c r="D1518" t="s">
        <v>5157</v>
      </c>
      <c r="E1518" t="s">
        <v>5157</v>
      </c>
    </row>
    <row r="1519" spans="1:5">
      <c r="A1519" t="s">
        <v>5241</v>
      </c>
      <c r="B1519" t="s">
        <v>2666</v>
      </c>
      <c r="C1519" t="s">
        <v>2667</v>
      </c>
      <c r="D1519" t="s">
        <v>5157</v>
      </c>
      <c r="E1519" t="s">
        <v>5157</v>
      </c>
    </row>
    <row r="1520" spans="1:5">
      <c r="A1520" t="s">
        <v>5241</v>
      </c>
      <c r="B1520" t="s">
        <v>5674</v>
      </c>
      <c r="C1520" t="s">
        <v>5675</v>
      </c>
      <c r="D1520" t="s">
        <v>5157</v>
      </c>
      <c r="E1520" t="s">
        <v>5157</v>
      </c>
    </row>
    <row r="1521" spans="1:5">
      <c r="A1521" t="s">
        <v>5241</v>
      </c>
      <c r="B1521" t="s">
        <v>5676</v>
      </c>
      <c r="C1521" t="s">
        <v>5677</v>
      </c>
      <c r="D1521" t="s">
        <v>5157</v>
      </c>
      <c r="E1521" t="s">
        <v>5157</v>
      </c>
    </row>
    <row r="1522" spans="1:5">
      <c r="A1522" t="s">
        <v>5241</v>
      </c>
      <c r="B1522" t="s">
        <v>5678</v>
      </c>
      <c r="C1522" t="s">
        <v>5679</v>
      </c>
      <c r="D1522" t="s">
        <v>5157</v>
      </c>
      <c r="E1522" t="s">
        <v>5157</v>
      </c>
    </row>
    <row r="1523" spans="1:5">
      <c r="A1523" t="s">
        <v>5241</v>
      </c>
      <c r="B1523" t="s">
        <v>2668</v>
      </c>
      <c r="C1523" t="s">
        <v>2669</v>
      </c>
      <c r="D1523" t="s">
        <v>5211</v>
      </c>
      <c r="E1523" t="s">
        <v>5214</v>
      </c>
    </row>
    <row r="1524" spans="1:5">
      <c r="A1524" t="s">
        <v>5241</v>
      </c>
      <c r="B1524" t="s">
        <v>5680</v>
      </c>
      <c r="C1524" t="s">
        <v>5681</v>
      </c>
      <c r="D1524" t="s">
        <v>5157</v>
      </c>
      <c r="E1524" t="s">
        <v>5157</v>
      </c>
    </row>
    <row r="1525" spans="1:5">
      <c r="A1525" t="s">
        <v>5241</v>
      </c>
      <c r="B1525" t="s">
        <v>2670</v>
      </c>
      <c r="C1525" t="s">
        <v>2671</v>
      </c>
      <c r="D1525" t="s">
        <v>5209</v>
      </c>
      <c r="E1525" t="s">
        <v>5210</v>
      </c>
    </row>
    <row r="1526" spans="1:5">
      <c r="A1526" t="s">
        <v>5241</v>
      </c>
      <c r="B1526" t="s">
        <v>5682</v>
      </c>
      <c r="C1526" t="s">
        <v>5683</v>
      </c>
      <c r="D1526" t="s">
        <v>5157</v>
      </c>
      <c r="E1526" t="s">
        <v>5157</v>
      </c>
    </row>
    <row r="1527" spans="1:5">
      <c r="A1527" t="s">
        <v>5241</v>
      </c>
      <c r="B1527" t="s">
        <v>2672</v>
      </c>
      <c r="C1527" t="s">
        <v>2673</v>
      </c>
      <c r="D1527" t="s">
        <v>5211</v>
      </c>
      <c r="E1527" t="s">
        <v>5214</v>
      </c>
    </row>
    <row r="1528" spans="1:5">
      <c r="A1528" t="s">
        <v>5241</v>
      </c>
      <c r="B1528" t="s">
        <v>2674</v>
      </c>
      <c r="C1528" t="s">
        <v>2675</v>
      </c>
      <c r="D1528" t="s">
        <v>5211</v>
      </c>
      <c r="E1528" t="s">
        <v>5213</v>
      </c>
    </row>
    <row r="1529" spans="1:5">
      <c r="A1529" t="s">
        <v>5241</v>
      </c>
      <c r="B1529" t="s">
        <v>2676</v>
      </c>
      <c r="C1529" t="s">
        <v>2677</v>
      </c>
      <c r="D1529" t="s">
        <v>5209</v>
      </c>
      <c r="E1529" t="s">
        <v>5210</v>
      </c>
    </row>
    <row r="1530" spans="1:5">
      <c r="A1530" t="s">
        <v>5241</v>
      </c>
      <c r="B1530" t="s">
        <v>2678</v>
      </c>
      <c r="C1530" t="s">
        <v>2679</v>
      </c>
      <c r="D1530" t="s">
        <v>5209</v>
      </c>
      <c r="E1530" t="s">
        <v>5210</v>
      </c>
    </row>
    <row r="1531" spans="1:5">
      <c r="A1531" t="s">
        <v>5241</v>
      </c>
      <c r="B1531" t="s">
        <v>2680</v>
      </c>
      <c r="C1531" t="s">
        <v>2681</v>
      </c>
      <c r="D1531" t="s">
        <v>5157</v>
      </c>
      <c r="E1531" t="s">
        <v>5157</v>
      </c>
    </row>
    <row r="1532" spans="1:5">
      <c r="A1532" t="s">
        <v>5241</v>
      </c>
      <c r="B1532" t="s">
        <v>2682</v>
      </c>
      <c r="C1532" t="s">
        <v>2683</v>
      </c>
      <c r="D1532" t="s">
        <v>5209</v>
      </c>
      <c r="E1532" t="s">
        <v>5212</v>
      </c>
    </row>
    <row r="1533" spans="1:5">
      <c r="A1533" t="s">
        <v>5241</v>
      </c>
      <c r="B1533" t="s">
        <v>2684</v>
      </c>
      <c r="C1533" t="s">
        <v>2685</v>
      </c>
      <c r="D1533" t="s">
        <v>5209</v>
      </c>
      <c r="E1533" t="s">
        <v>5212</v>
      </c>
    </row>
    <row r="1534" spans="1:5">
      <c r="A1534" t="s">
        <v>5241</v>
      </c>
      <c r="B1534" t="s">
        <v>2686</v>
      </c>
      <c r="C1534" t="s">
        <v>2687</v>
      </c>
      <c r="D1534" t="s">
        <v>5157</v>
      </c>
      <c r="E1534" t="s">
        <v>5157</v>
      </c>
    </row>
    <row r="1535" spans="1:5">
      <c r="A1535" t="s">
        <v>5241</v>
      </c>
      <c r="B1535" t="s">
        <v>2688</v>
      </c>
      <c r="C1535" t="s">
        <v>2689</v>
      </c>
      <c r="D1535" t="s">
        <v>5209</v>
      </c>
      <c r="E1535" t="s">
        <v>5210</v>
      </c>
    </row>
    <row r="1536" spans="1:5">
      <c r="A1536" t="s">
        <v>5241</v>
      </c>
      <c r="B1536" t="s">
        <v>2690</v>
      </c>
      <c r="C1536" t="s">
        <v>2691</v>
      </c>
      <c r="D1536" t="s">
        <v>5209</v>
      </c>
      <c r="E1536" t="s">
        <v>5210</v>
      </c>
    </row>
    <row r="1537" spans="1:5">
      <c r="A1537" t="s">
        <v>5241</v>
      </c>
      <c r="B1537" t="s">
        <v>2692</v>
      </c>
      <c r="C1537" t="s">
        <v>2693</v>
      </c>
      <c r="D1537" t="s">
        <v>5209</v>
      </c>
      <c r="E1537" t="s">
        <v>5210</v>
      </c>
    </row>
    <row r="1538" spans="1:5">
      <c r="A1538" t="s">
        <v>5241</v>
      </c>
      <c r="B1538" t="s">
        <v>5684</v>
      </c>
      <c r="C1538" t="s">
        <v>5685</v>
      </c>
      <c r="D1538" t="s">
        <v>5157</v>
      </c>
      <c r="E1538" t="s">
        <v>5157</v>
      </c>
    </row>
    <row r="1539" spans="1:5">
      <c r="A1539" t="s">
        <v>5241</v>
      </c>
      <c r="B1539" t="s">
        <v>5686</v>
      </c>
      <c r="C1539" t="s">
        <v>5687</v>
      </c>
      <c r="D1539" t="s">
        <v>5157</v>
      </c>
      <c r="E1539" t="s">
        <v>5157</v>
      </c>
    </row>
    <row r="1540" spans="1:5">
      <c r="A1540" t="s">
        <v>5241</v>
      </c>
      <c r="B1540" t="s">
        <v>2694</v>
      </c>
      <c r="C1540" t="s">
        <v>2695</v>
      </c>
      <c r="D1540" t="s">
        <v>5209</v>
      </c>
      <c r="E1540" t="s">
        <v>5212</v>
      </c>
    </row>
    <row r="1541" spans="1:5">
      <c r="A1541" t="s">
        <v>5241</v>
      </c>
      <c r="B1541" t="s">
        <v>2696</v>
      </c>
      <c r="C1541" t="s">
        <v>2697</v>
      </c>
      <c r="D1541" t="s">
        <v>5157</v>
      </c>
      <c r="E1541" t="s">
        <v>5157</v>
      </c>
    </row>
    <row r="1542" spans="1:5">
      <c r="A1542" t="s">
        <v>5241</v>
      </c>
      <c r="B1542" t="s">
        <v>5688</v>
      </c>
      <c r="C1542" t="s">
        <v>5689</v>
      </c>
      <c r="D1542" t="s">
        <v>5157</v>
      </c>
      <c r="E1542" t="s">
        <v>5157</v>
      </c>
    </row>
    <row r="1543" spans="1:5">
      <c r="A1543" t="s">
        <v>5241</v>
      </c>
      <c r="B1543" t="s">
        <v>5690</v>
      </c>
      <c r="C1543" t="s">
        <v>5691</v>
      </c>
      <c r="D1543" t="s">
        <v>5157</v>
      </c>
      <c r="E1543" t="s">
        <v>5157</v>
      </c>
    </row>
    <row r="1544" spans="1:5">
      <c r="A1544" t="s">
        <v>5241</v>
      </c>
      <c r="B1544" t="s">
        <v>5692</v>
      </c>
      <c r="C1544" t="s">
        <v>5693</v>
      </c>
      <c r="D1544" t="s">
        <v>5157</v>
      </c>
      <c r="E1544" t="s">
        <v>5157</v>
      </c>
    </row>
    <row r="1545" spans="1:5">
      <c r="A1545" t="s">
        <v>5241</v>
      </c>
      <c r="B1545" t="s">
        <v>2698</v>
      </c>
      <c r="C1545" t="s">
        <v>2699</v>
      </c>
      <c r="D1545" t="s">
        <v>5211</v>
      </c>
      <c r="E1545" t="s">
        <v>5213</v>
      </c>
    </row>
    <row r="1546" spans="1:5">
      <c r="A1546" t="s">
        <v>5241</v>
      </c>
      <c r="B1546" t="s">
        <v>5694</v>
      </c>
      <c r="C1546" t="s">
        <v>5695</v>
      </c>
      <c r="D1546" t="s">
        <v>5209</v>
      </c>
      <c r="E1546" t="s">
        <v>5212</v>
      </c>
    </row>
    <row r="1547" spans="1:5">
      <c r="A1547" t="s">
        <v>5241</v>
      </c>
      <c r="B1547" t="s">
        <v>5696</v>
      </c>
      <c r="C1547" t="s">
        <v>5697</v>
      </c>
      <c r="D1547" t="s">
        <v>5211</v>
      </c>
      <c r="E1547" t="s">
        <v>5213</v>
      </c>
    </row>
    <row r="1548" spans="1:5">
      <c r="A1548" t="s">
        <v>5241</v>
      </c>
      <c r="B1548" t="s">
        <v>5698</v>
      </c>
      <c r="C1548" t="s">
        <v>5699</v>
      </c>
      <c r="D1548" t="s">
        <v>5209</v>
      </c>
      <c r="E1548" t="s">
        <v>5212</v>
      </c>
    </row>
    <row r="1549" spans="1:5">
      <c r="A1549" t="s">
        <v>5241</v>
      </c>
      <c r="B1549" t="s">
        <v>5700</v>
      </c>
      <c r="C1549" t="s">
        <v>5701</v>
      </c>
      <c r="D1549" t="s">
        <v>5209</v>
      </c>
      <c r="E1549" t="s">
        <v>5212</v>
      </c>
    </row>
    <row r="1550" spans="1:5">
      <c r="A1550" t="s">
        <v>5241</v>
      </c>
      <c r="B1550" t="s">
        <v>5702</v>
      </c>
      <c r="C1550" t="s">
        <v>5703</v>
      </c>
      <c r="D1550" t="s">
        <v>5157</v>
      </c>
      <c r="E1550" t="s">
        <v>5157</v>
      </c>
    </row>
    <row r="1551" spans="1:5">
      <c r="A1551" t="s">
        <v>5241</v>
      </c>
      <c r="B1551" t="s">
        <v>5704</v>
      </c>
      <c r="C1551" t="s">
        <v>5705</v>
      </c>
      <c r="D1551" t="s">
        <v>5157</v>
      </c>
      <c r="E1551" t="s">
        <v>5157</v>
      </c>
    </row>
    <row r="1552" spans="1:5">
      <c r="A1552" t="s">
        <v>5241</v>
      </c>
      <c r="B1552" t="s">
        <v>5706</v>
      </c>
      <c r="C1552" t="s">
        <v>5707</v>
      </c>
      <c r="D1552" t="s">
        <v>5157</v>
      </c>
      <c r="E1552" t="s">
        <v>5157</v>
      </c>
    </row>
    <row r="1553" spans="1:5">
      <c r="A1553" t="s">
        <v>5241</v>
      </c>
      <c r="B1553" t="s">
        <v>5708</v>
      </c>
      <c r="C1553" t="s">
        <v>5709</v>
      </c>
      <c r="D1553" t="s">
        <v>5157</v>
      </c>
      <c r="E1553" t="s">
        <v>5157</v>
      </c>
    </row>
    <row r="1554" spans="1:5">
      <c r="A1554" t="s">
        <v>5241</v>
      </c>
      <c r="B1554" t="s">
        <v>5710</v>
      </c>
      <c r="C1554" t="s">
        <v>5711</v>
      </c>
      <c r="D1554" t="s">
        <v>5157</v>
      </c>
      <c r="E1554" t="s">
        <v>5157</v>
      </c>
    </row>
    <row r="1555" spans="1:5">
      <c r="A1555" t="s">
        <v>5241</v>
      </c>
      <c r="B1555" t="s">
        <v>5712</v>
      </c>
      <c r="C1555" t="s">
        <v>5713</v>
      </c>
      <c r="D1555" t="s">
        <v>5157</v>
      </c>
      <c r="E1555" t="s">
        <v>5157</v>
      </c>
    </row>
    <row r="1556" spans="1:5">
      <c r="A1556" t="s">
        <v>5241</v>
      </c>
      <c r="B1556" t="s">
        <v>5714</v>
      </c>
      <c r="C1556" t="s">
        <v>5715</v>
      </c>
      <c r="D1556" t="s">
        <v>5209</v>
      </c>
      <c r="E1556" t="s">
        <v>5212</v>
      </c>
    </row>
    <row r="1557" spans="1:5">
      <c r="A1557" t="s">
        <v>5241</v>
      </c>
      <c r="B1557" t="s">
        <v>5716</v>
      </c>
      <c r="C1557" t="s">
        <v>5717</v>
      </c>
      <c r="D1557" t="s">
        <v>5157</v>
      </c>
      <c r="E1557" t="s">
        <v>5157</v>
      </c>
    </row>
    <row r="1558" spans="1:5">
      <c r="A1558" t="s">
        <v>5241</v>
      </c>
      <c r="B1558" t="s">
        <v>2700</v>
      </c>
      <c r="C1558" t="s">
        <v>2701</v>
      </c>
      <c r="D1558" t="s">
        <v>5209</v>
      </c>
      <c r="E1558" t="s">
        <v>5210</v>
      </c>
    </row>
    <row r="1559" spans="1:5">
      <c r="A1559" t="s">
        <v>5241</v>
      </c>
      <c r="B1559" t="s">
        <v>5718</v>
      </c>
      <c r="C1559" t="s">
        <v>5719</v>
      </c>
      <c r="D1559" t="s">
        <v>5157</v>
      </c>
      <c r="E1559" t="s">
        <v>5157</v>
      </c>
    </row>
    <row r="1560" spans="1:5">
      <c r="A1560" t="s">
        <v>5241</v>
      </c>
      <c r="B1560" t="s">
        <v>2702</v>
      </c>
      <c r="C1560" t="s">
        <v>2703</v>
      </c>
      <c r="D1560" t="s">
        <v>5209</v>
      </c>
      <c r="E1560" t="s">
        <v>5210</v>
      </c>
    </row>
    <row r="1561" spans="1:5">
      <c r="A1561" t="s">
        <v>5241</v>
      </c>
      <c r="B1561" t="s">
        <v>2704</v>
      </c>
      <c r="C1561" t="s">
        <v>2705</v>
      </c>
      <c r="D1561" t="s">
        <v>5209</v>
      </c>
      <c r="E1561" t="s">
        <v>5210</v>
      </c>
    </row>
    <row r="1562" spans="1:5">
      <c r="A1562" t="s">
        <v>5241</v>
      </c>
      <c r="B1562" t="s">
        <v>2706</v>
      </c>
      <c r="C1562" t="s">
        <v>2707</v>
      </c>
      <c r="D1562" t="s">
        <v>5157</v>
      </c>
      <c r="E1562" t="s">
        <v>5157</v>
      </c>
    </row>
    <row r="1563" spans="1:5">
      <c r="A1563" t="s">
        <v>5241</v>
      </c>
      <c r="B1563" t="s">
        <v>2708</v>
      </c>
      <c r="C1563" t="s">
        <v>2709</v>
      </c>
      <c r="D1563" t="s">
        <v>5157</v>
      </c>
      <c r="E1563" t="s">
        <v>5157</v>
      </c>
    </row>
    <row r="1564" spans="1:5">
      <c r="A1564" t="s">
        <v>5241</v>
      </c>
      <c r="B1564" t="s">
        <v>2710</v>
      </c>
      <c r="C1564" t="s">
        <v>2711</v>
      </c>
      <c r="D1564" t="s">
        <v>5211</v>
      </c>
      <c r="E1564" t="s">
        <v>5213</v>
      </c>
    </row>
    <row r="1565" spans="1:5">
      <c r="A1565" t="s">
        <v>5241</v>
      </c>
      <c r="B1565" t="s">
        <v>2712</v>
      </c>
      <c r="C1565" t="s">
        <v>2713</v>
      </c>
      <c r="D1565" t="s">
        <v>5209</v>
      </c>
      <c r="E1565" t="s">
        <v>5210</v>
      </c>
    </row>
    <row r="1566" spans="1:5">
      <c r="A1566" t="s">
        <v>5241</v>
      </c>
      <c r="B1566" t="s">
        <v>2714</v>
      </c>
      <c r="C1566" t="s">
        <v>2715</v>
      </c>
      <c r="D1566" t="s">
        <v>5209</v>
      </c>
      <c r="E1566" t="s">
        <v>5210</v>
      </c>
    </row>
    <row r="1567" spans="1:5">
      <c r="A1567" t="s">
        <v>5241</v>
      </c>
      <c r="B1567" t="s">
        <v>5720</v>
      </c>
      <c r="C1567" t="s">
        <v>5721</v>
      </c>
      <c r="D1567" t="s">
        <v>5157</v>
      </c>
      <c r="E1567" t="s">
        <v>5157</v>
      </c>
    </row>
    <row r="1568" spans="1:5">
      <c r="A1568" t="s">
        <v>5241</v>
      </c>
      <c r="B1568" t="s">
        <v>2716</v>
      </c>
      <c r="C1568" t="s">
        <v>2717</v>
      </c>
      <c r="D1568" t="s">
        <v>5211</v>
      </c>
      <c r="E1568" t="s">
        <v>5213</v>
      </c>
    </row>
    <row r="1569" spans="1:5">
      <c r="A1569" t="s">
        <v>5241</v>
      </c>
      <c r="B1569" t="s">
        <v>2718</v>
      </c>
      <c r="C1569" t="s">
        <v>2719</v>
      </c>
      <c r="D1569" t="s">
        <v>5211</v>
      </c>
      <c r="E1569" t="s">
        <v>5213</v>
      </c>
    </row>
    <row r="1570" spans="1:5">
      <c r="A1570" t="s">
        <v>5241</v>
      </c>
      <c r="B1570" t="s">
        <v>2720</v>
      </c>
      <c r="C1570" t="s">
        <v>2721</v>
      </c>
      <c r="D1570" t="s">
        <v>5211</v>
      </c>
      <c r="E1570" t="s">
        <v>5213</v>
      </c>
    </row>
    <row r="1571" spans="1:5">
      <c r="A1571" t="s">
        <v>5241</v>
      </c>
      <c r="B1571" t="s">
        <v>2722</v>
      </c>
      <c r="C1571" t="s">
        <v>2723</v>
      </c>
      <c r="D1571" t="s">
        <v>5211</v>
      </c>
      <c r="E1571" t="s">
        <v>5213</v>
      </c>
    </row>
    <row r="1572" spans="1:5">
      <c r="A1572" t="s">
        <v>5241</v>
      </c>
      <c r="B1572" t="s">
        <v>5722</v>
      </c>
      <c r="C1572" t="s">
        <v>5723</v>
      </c>
      <c r="D1572" t="s">
        <v>5157</v>
      </c>
      <c r="E1572" t="s">
        <v>5157</v>
      </c>
    </row>
    <row r="1573" spans="1:5">
      <c r="A1573" t="s">
        <v>5241</v>
      </c>
      <c r="B1573" t="s">
        <v>5724</v>
      </c>
      <c r="C1573" t="s">
        <v>5725</v>
      </c>
      <c r="D1573" t="s">
        <v>5209</v>
      </c>
      <c r="E1573" t="s">
        <v>5212</v>
      </c>
    </row>
    <row r="1574" spans="1:5">
      <c r="A1574" t="s">
        <v>5241</v>
      </c>
      <c r="B1574" t="s">
        <v>2724</v>
      </c>
      <c r="C1574" t="s">
        <v>2725</v>
      </c>
      <c r="D1574" t="s">
        <v>5211</v>
      </c>
      <c r="E1574" t="s">
        <v>5213</v>
      </c>
    </row>
    <row r="1575" spans="1:5">
      <c r="A1575" t="s">
        <v>5241</v>
      </c>
      <c r="B1575" t="s">
        <v>2726</v>
      </c>
      <c r="C1575" t="s">
        <v>2727</v>
      </c>
      <c r="D1575" t="s">
        <v>5211</v>
      </c>
      <c r="E1575" t="s">
        <v>5213</v>
      </c>
    </row>
    <row r="1576" spans="1:5">
      <c r="A1576" t="s">
        <v>5241</v>
      </c>
      <c r="B1576" t="s">
        <v>5726</v>
      </c>
      <c r="C1576" t="s">
        <v>5727</v>
      </c>
      <c r="D1576" t="s">
        <v>5157</v>
      </c>
      <c r="E1576" t="s">
        <v>5157</v>
      </c>
    </row>
    <row r="1577" spans="1:5">
      <c r="A1577" t="s">
        <v>5241</v>
      </c>
      <c r="B1577" t="s">
        <v>5728</v>
      </c>
      <c r="C1577" t="s">
        <v>5729</v>
      </c>
      <c r="D1577" t="s">
        <v>5157</v>
      </c>
      <c r="E1577" t="s">
        <v>5157</v>
      </c>
    </row>
    <row r="1578" spans="1:5">
      <c r="A1578" t="s">
        <v>5241</v>
      </c>
      <c r="B1578" t="s">
        <v>5730</v>
      </c>
      <c r="C1578" t="s">
        <v>5731</v>
      </c>
      <c r="D1578" t="s">
        <v>5157</v>
      </c>
      <c r="E1578" t="s">
        <v>5157</v>
      </c>
    </row>
    <row r="1579" spans="1:5">
      <c r="A1579" t="s">
        <v>5241</v>
      </c>
      <c r="B1579" t="s">
        <v>5732</v>
      </c>
      <c r="C1579" t="s">
        <v>5733</v>
      </c>
      <c r="D1579" t="s">
        <v>5157</v>
      </c>
      <c r="E1579" t="s">
        <v>5157</v>
      </c>
    </row>
    <row r="1580" spans="1:5">
      <c r="A1580" t="s">
        <v>5241</v>
      </c>
      <c r="B1580" t="s">
        <v>5734</v>
      </c>
      <c r="C1580" t="s">
        <v>5735</v>
      </c>
      <c r="D1580" t="s">
        <v>5157</v>
      </c>
      <c r="E1580" t="s">
        <v>5157</v>
      </c>
    </row>
    <row r="1581" spans="1:5">
      <c r="A1581" t="s">
        <v>5241</v>
      </c>
      <c r="B1581" t="s">
        <v>2728</v>
      </c>
      <c r="C1581" t="s">
        <v>2729</v>
      </c>
      <c r="D1581" t="s">
        <v>5157</v>
      </c>
      <c r="E1581" t="s">
        <v>5157</v>
      </c>
    </row>
    <row r="1582" spans="1:5">
      <c r="A1582" t="s">
        <v>5241</v>
      </c>
      <c r="B1582" t="s">
        <v>2730</v>
      </c>
      <c r="C1582" t="s">
        <v>2731</v>
      </c>
      <c r="D1582" t="s">
        <v>5162</v>
      </c>
      <c r="E1582" t="s">
        <v>5213</v>
      </c>
    </row>
    <row r="1583" spans="1:5">
      <c r="A1583" t="s">
        <v>5241</v>
      </c>
      <c r="B1583" t="s">
        <v>2732</v>
      </c>
      <c r="C1583" t="s">
        <v>2733</v>
      </c>
      <c r="D1583" t="s">
        <v>5211</v>
      </c>
      <c r="E1583" t="s">
        <v>5213</v>
      </c>
    </row>
    <row r="1584" spans="1:5">
      <c r="A1584" t="s">
        <v>5241</v>
      </c>
      <c r="B1584" t="s">
        <v>2734</v>
      </c>
      <c r="C1584" t="s">
        <v>2735</v>
      </c>
      <c r="D1584" t="s">
        <v>5211</v>
      </c>
      <c r="E1584" t="s">
        <v>5213</v>
      </c>
    </row>
    <row r="1585" spans="1:5">
      <c r="A1585" t="s">
        <v>5241</v>
      </c>
      <c r="B1585" t="s">
        <v>2736</v>
      </c>
      <c r="C1585" t="s">
        <v>2737</v>
      </c>
      <c r="D1585" t="s">
        <v>5211</v>
      </c>
      <c r="E1585" t="s">
        <v>5213</v>
      </c>
    </row>
    <row r="1586" spans="1:5">
      <c r="A1586" t="s">
        <v>5241</v>
      </c>
      <c r="B1586" t="s">
        <v>2738</v>
      </c>
      <c r="C1586" t="s">
        <v>2739</v>
      </c>
      <c r="D1586" t="s">
        <v>5211</v>
      </c>
      <c r="E1586" t="s">
        <v>5213</v>
      </c>
    </row>
    <row r="1587" spans="1:5">
      <c r="A1587" t="s">
        <v>5241</v>
      </c>
      <c r="B1587" t="s">
        <v>2740</v>
      </c>
      <c r="C1587" t="s">
        <v>2741</v>
      </c>
      <c r="D1587" t="s">
        <v>5211</v>
      </c>
      <c r="E1587" t="s">
        <v>5213</v>
      </c>
    </row>
    <row r="1588" spans="1:5">
      <c r="A1588" t="s">
        <v>5241</v>
      </c>
      <c r="B1588" t="s">
        <v>5736</v>
      </c>
      <c r="C1588" t="s">
        <v>5737</v>
      </c>
      <c r="D1588" t="s">
        <v>5211</v>
      </c>
      <c r="E1588" t="s">
        <v>5213</v>
      </c>
    </row>
    <row r="1589" spans="1:5">
      <c r="A1589" t="s">
        <v>5241</v>
      </c>
      <c r="B1589" t="s">
        <v>2742</v>
      </c>
      <c r="C1589" t="s">
        <v>2743</v>
      </c>
      <c r="D1589" t="s">
        <v>5209</v>
      </c>
      <c r="E1589" t="s">
        <v>5210</v>
      </c>
    </row>
    <row r="1590" spans="1:5">
      <c r="A1590" t="s">
        <v>5241</v>
      </c>
      <c r="B1590" t="s">
        <v>2744</v>
      </c>
      <c r="C1590" t="s">
        <v>2745</v>
      </c>
      <c r="D1590" t="s">
        <v>5211</v>
      </c>
      <c r="E1590" t="s">
        <v>5213</v>
      </c>
    </row>
    <row r="1591" spans="1:5">
      <c r="A1591" t="s">
        <v>5241</v>
      </c>
      <c r="B1591" t="s">
        <v>2746</v>
      </c>
      <c r="C1591" t="s">
        <v>2747</v>
      </c>
      <c r="D1591" t="s">
        <v>5209</v>
      </c>
      <c r="E1591" t="s">
        <v>5210</v>
      </c>
    </row>
    <row r="1592" spans="1:5">
      <c r="A1592" t="s">
        <v>5241</v>
      </c>
      <c r="B1592" t="s">
        <v>2748</v>
      </c>
      <c r="C1592" t="s">
        <v>2749</v>
      </c>
      <c r="D1592" t="s">
        <v>5211</v>
      </c>
      <c r="E1592" t="s">
        <v>5213</v>
      </c>
    </row>
    <row r="1593" spans="1:5">
      <c r="A1593" t="s">
        <v>5241</v>
      </c>
      <c r="B1593" t="s">
        <v>5738</v>
      </c>
      <c r="C1593" t="s">
        <v>5739</v>
      </c>
      <c r="D1593" t="s">
        <v>5157</v>
      </c>
      <c r="E1593" t="s">
        <v>5157</v>
      </c>
    </row>
    <row r="1594" spans="1:5">
      <c r="A1594" t="s">
        <v>5241</v>
      </c>
      <c r="B1594" t="s">
        <v>2750</v>
      </c>
      <c r="C1594" t="s">
        <v>2751</v>
      </c>
      <c r="D1594" t="s">
        <v>5157</v>
      </c>
      <c r="E1594" t="s">
        <v>5157</v>
      </c>
    </row>
    <row r="1595" spans="1:5">
      <c r="A1595" t="s">
        <v>5241</v>
      </c>
      <c r="B1595" t="s">
        <v>2752</v>
      </c>
      <c r="C1595" t="s">
        <v>2753</v>
      </c>
      <c r="D1595" t="s">
        <v>5209</v>
      </c>
      <c r="E1595" t="s">
        <v>5212</v>
      </c>
    </row>
    <row r="1596" spans="1:5">
      <c r="A1596" t="s">
        <v>5241</v>
      </c>
      <c r="B1596" t="s">
        <v>2754</v>
      </c>
      <c r="C1596" t="s">
        <v>2755</v>
      </c>
      <c r="D1596" t="s">
        <v>5211</v>
      </c>
      <c r="E1596" t="s">
        <v>5214</v>
      </c>
    </row>
    <row r="1597" spans="1:5">
      <c r="A1597" t="s">
        <v>5241</v>
      </c>
      <c r="B1597" t="s">
        <v>5740</v>
      </c>
      <c r="C1597" t="s">
        <v>5741</v>
      </c>
      <c r="D1597" t="s">
        <v>5157</v>
      </c>
      <c r="E1597" t="s">
        <v>5157</v>
      </c>
    </row>
    <row r="1598" spans="1:5">
      <c r="A1598" t="s">
        <v>5241</v>
      </c>
      <c r="B1598" t="s">
        <v>5742</v>
      </c>
      <c r="C1598" t="s">
        <v>5743</v>
      </c>
      <c r="D1598" t="s">
        <v>5157</v>
      </c>
      <c r="E1598" t="s">
        <v>5157</v>
      </c>
    </row>
    <row r="1599" spans="1:5">
      <c r="A1599" t="s">
        <v>5241</v>
      </c>
      <c r="B1599" t="s">
        <v>5744</v>
      </c>
      <c r="C1599" t="s">
        <v>5745</v>
      </c>
      <c r="D1599" t="s">
        <v>5157</v>
      </c>
      <c r="E1599" t="s">
        <v>5157</v>
      </c>
    </row>
    <row r="1600" spans="1:5">
      <c r="A1600" t="s">
        <v>5241</v>
      </c>
      <c r="B1600" t="s">
        <v>5746</v>
      </c>
      <c r="C1600" t="s">
        <v>5747</v>
      </c>
      <c r="D1600" t="s">
        <v>5157</v>
      </c>
      <c r="E1600" t="s">
        <v>5157</v>
      </c>
    </row>
    <row r="1601" spans="1:5">
      <c r="A1601" t="s">
        <v>5241</v>
      </c>
      <c r="B1601" t="s">
        <v>2756</v>
      </c>
      <c r="C1601" t="s">
        <v>2757</v>
      </c>
      <c r="D1601" t="s">
        <v>5209</v>
      </c>
      <c r="E1601" t="s">
        <v>5210</v>
      </c>
    </row>
    <row r="1602" spans="1:5">
      <c r="A1602" t="s">
        <v>5241</v>
      </c>
      <c r="B1602" t="s">
        <v>5748</v>
      </c>
      <c r="C1602" t="s">
        <v>5749</v>
      </c>
      <c r="D1602" t="s">
        <v>5157</v>
      </c>
      <c r="E1602" t="s">
        <v>5157</v>
      </c>
    </row>
    <row r="1603" spans="1:5">
      <c r="A1603" t="s">
        <v>5244</v>
      </c>
      <c r="B1603" t="s">
        <v>2758</v>
      </c>
      <c r="C1603" t="s">
        <v>2759</v>
      </c>
      <c r="D1603" t="s">
        <v>5157</v>
      </c>
      <c r="E1603" t="s">
        <v>5157</v>
      </c>
    </row>
    <row r="1604" spans="1:5">
      <c r="A1604" t="s">
        <v>5244</v>
      </c>
      <c r="B1604" t="s">
        <v>2760</v>
      </c>
      <c r="C1604" t="s">
        <v>2761</v>
      </c>
      <c r="D1604" t="s">
        <v>5157</v>
      </c>
      <c r="E1604" t="s">
        <v>5157</v>
      </c>
    </row>
    <row r="1605" spans="1:5">
      <c r="A1605" t="s">
        <v>5244</v>
      </c>
      <c r="B1605" t="s">
        <v>2762</v>
      </c>
      <c r="C1605" t="s">
        <v>2763</v>
      </c>
      <c r="D1605" t="s">
        <v>5157</v>
      </c>
      <c r="E1605" t="s">
        <v>5157</v>
      </c>
    </row>
    <row r="1606" spans="1:5">
      <c r="A1606" t="s">
        <v>5244</v>
      </c>
      <c r="B1606" t="s">
        <v>2764</v>
      </c>
      <c r="C1606" t="s">
        <v>2765</v>
      </c>
      <c r="D1606" t="s">
        <v>5157</v>
      </c>
      <c r="E1606" t="s">
        <v>5157</v>
      </c>
    </row>
    <row r="1607" spans="1:5">
      <c r="A1607" t="s">
        <v>5244</v>
      </c>
      <c r="B1607" t="s">
        <v>2766</v>
      </c>
      <c r="C1607" t="s">
        <v>2767</v>
      </c>
      <c r="D1607" t="s">
        <v>5157</v>
      </c>
      <c r="E1607" t="s">
        <v>5157</v>
      </c>
    </row>
    <row r="1608" spans="1:5">
      <c r="A1608" t="s">
        <v>5244</v>
      </c>
      <c r="B1608" t="s">
        <v>2768</v>
      </c>
      <c r="C1608" t="s">
        <v>2769</v>
      </c>
      <c r="D1608" t="s">
        <v>5157</v>
      </c>
      <c r="E1608" t="s">
        <v>5157</v>
      </c>
    </row>
    <row r="1609" spans="1:5">
      <c r="A1609" t="s">
        <v>5244</v>
      </c>
      <c r="B1609" t="s">
        <v>2770</v>
      </c>
      <c r="C1609" t="s">
        <v>2771</v>
      </c>
      <c r="D1609" t="s">
        <v>5157</v>
      </c>
      <c r="E1609" t="s">
        <v>5157</v>
      </c>
    </row>
    <row r="1610" spans="1:5">
      <c r="A1610" t="s">
        <v>5244</v>
      </c>
      <c r="B1610" t="s">
        <v>2772</v>
      </c>
      <c r="C1610" t="s">
        <v>2773</v>
      </c>
      <c r="D1610" t="s">
        <v>5157</v>
      </c>
      <c r="E1610" t="s">
        <v>5157</v>
      </c>
    </row>
    <row r="1611" spans="1:5">
      <c r="A1611" t="s">
        <v>5244</v>
      </c>
      <c r="B1611" t="s">
        <v>864</v>
      </c>
      <c r="C1611" t="s">
        <v>2774</v>
      </c>
      <c r="D1611" t="s">
        <v>5216</v>
      </c>
      <c r="E1611" t="s">
        <v>5168</v>
      </c>
    </row>
    <row r="1612" spans="1:5">
      <c r="A1612" t="s">
        <v>5244</v>
      </c>
      <c r="B1612" t="s">
        <v>2775</v>
      </c>
      <c r="C1612" t="s">
        <v>2776</v>
      </c>
      <c r="D1612" t="s">
        <v>5157</v>
      </c>
      <c r="E1612" t="s">
        <v>5157</v>
      </c>
    </row>
    <row r="1613" spans="1:5">
      <c r="A1613" t="s">
        <v>5244</v>
      </c>
      <c r="B1613" t="s">
        <v>2777</v>
      </c>
      <c r="C1613" t="s">
        <v>2778</v>
      </c>
      <c r="D1613" t="s">
        <v>5157</v>
      </c>
      <c r="E1613" t="s">
        <v>5157</v>
      </c>
    </row>
    <row r="1614" spans="1:5">
      <c r="A1614" t="s">
        <v>5244</v>
      </c>
      <c r="B1614" t="s">
        <v>2779</v>
      </c>
      <c r="C1614" t="s">
        <v>2780</v>
      </c>
      <c r="D1614" t="s">
        <v>5157</v>
      </c>
      <c r="E1614" t="s">
        <v>5157</v>
      </c>
    </row>
    <row r="1615" spans="1:5">
      <c r="A1615" t="s">
        <v>5244</v>
      </c>
      <c r="B1615" t="s">
        <v>865</v>
      </c>
      <c r="C1615" t="s">
        <v>2781</v>
      </c>
      <c r="D1615" t="s">
        <v>5157</v>
      </c>
      <c r="E1615" t="s">
        <v>5157</v>
      </c>
    </row>
    <row r="1616" spans="1:5">
      <c r="A1616" t="s">
        <v>5244</v>
      </c>
      <c r="B1616" t="s">
        <v>2782</v>
      </c>
      <c r="C1616" t="s">
        <v>2783</v>
      </c>
      <c r="D1616" t="s">
        <v>5157</v>
      </c>
      <c r="E1616" t="s">
        <v>5157</v>
      </c>
    </row>
    <row r="1617" spans="1:5">
      <c r="A1617" t="s">
        <v>5244</v>
      </c>
      <c r="B1617" t="s">
        <v>2784</v>
      </c>
      <c r="C1617" t="s">
        <v>2785</v>
      </c>
      <c r="D1617" t="s">
        <v>5157</v>
      </c>
      <c r="E1617" t="s">
        <v>5157</v>
      </c>
    </row>
    <row r="1618" spans="1:5">
      <c r="A1618" t="s">
        <v>5244</v>
      </c>
      <c r="B1618" t="s">
        <v>2786</v>
      </c>
      <c r="C1618" t="s">
        <v>2787</v>
      </c>
      <c r="D1618" t="s">
        <v>5161</v>
      </c>
      <c r="E1618" t="s">
        <v>5159</v>
      </c>
    </row>
    <row r="1619" spans="1:5">
      <c r="A1619" t="s">
        <v>5244</v>
      </c>
      <c r="B1619" t="s">
        <v>2788</v>
      </c>
      <c r="C1619" t="s">
        <v>2789</v>
      </c>
      <c r="D1619" t="s">
        <v>5157</v>
      </c>
      <c r="E1619" t="s">
        <v>5157</v>
      </c>
    </row>
    <row r="1620" spans="1:5">
      <c r="A1620" t="s">
        <v>5244</v>
      </c>
      <c r="B1620" t="s">
        <v>2790</v>
      </c>
      <c r="C1620" t="s">
        <v>2791</v>
      </c>
      <c r="D1620" t="s">
        <v>5157</v>
      </c>
      <c r="E1620" t="s">
        <v>5157</v>
      </c>
    </row>
    <row r="1621" spans="1:5">
      <c r="A1621" t="s">
        <v>5244</v>
      </c>
      <c r="B1621" t="s">
        <v>2792</v>
      </c>
      <c r="C1621" t="s">
        <v>2793</v>
      </c>
      <c r="D1621" t="s">
        <v>5157</v>
      </c>
      <c r="E1621" t="s">
        <v>5157</v>
      </c>
    </row>
    <row r="1622" spans="1:5">
      <c r="A1622" t="s">
        <v>5244</v>
      </c>
      <c r="B1622" t="s">
        <v>2794</v>
      </c>
      <c r="C1622" t="s">
        <v>2795</v>
      </c>
      <c r="D1622" t="s">
        <v>5161</v>
      </c>
      <c r="E1622" t="s">
        <v>5159</v>
      </c>
    </row>
    <row r="1623" spans="1:5">
      <c r="A1623" t="s">
        <v>5244</v>
      </c>
      <c r="B1623" t="s">
        <v>2796</v>
      </c>
      <c r="C1623" t="s">
        <v>2797</v>
      </c>
      <c r="D1623" t="s">
        <v>5161</v>
      </c>
      <c r="E1623" t="s">
        <v>5159</v>
      </c>
    </row>
    <row r="1624" spans="1:5">
      <c r="A1624" t="s">
        <v>5244</v>
      </c>
      <c r="B1624" t="s">
        <v>2798</v>
      </c>
      <c r="C1624" t="s">
        <v>2799</v>
      </c>
      <c r="D1624" t="s">
        <v>5157</v>
      </c>
      <c r="E1624" t="s">
        <v>5157</v>
      </c>
    </row>
    <row r="1625" spans="1:5">
      <c r="A1625" t="s">
        <v>5244</v>
      </c>
      <c r="B1625" t="s">
        <v>2800</v>
      </c>
      <c r="C1625" t="s">
        <v>2801</v>
      </c>
      <c r="D1625" t="s">
        <v>5157</v>
      </c>
      <c r="E1625" t="s">
        <v>5157</v>
      </c>
    </row>
    <row r="1626" spans="1:5">
      <c r="A1626" t="s">
        <v>5244</v>
      </c>
      <c r="B1626" t="s">
        <v>2802</v>
      </c>
      <c r="C1626" t="s">
        <v>2803</v>
      </c>
      <c r="D1626" t="s">
        <v>5157</v>
      </c>
      <c r="E1626" t="s">
        <v>5157</v>
      </c>
    </row>
    <row r="1627" spans="1:5">
      <c r="A1627" t="s">
        <v>5244</v>
      </c>
      <c r="B1627" t="s">
        <v>2804</v>
      </c>
      <c r="C1627" t="s">
        <v>2805</v>
      </c>
      <c r="D1627" t="s">
        <v>5157</v>
      </c>
      <c r="E1627" t="s">
        <v>5157</v>
      </c>
    </row>
    <row r="1628" spans="1:5">
      <c r="A1628" t="s">
        <v>5244</v>
      </c>
      <c r="B1628" t="s">
        <v>2806</v>
      </c>
      <c r="C1628" t="s">
        <v>2807</v>
      </c>
      <c r="D1628" t="s">
        <v>5157</v>
      </c>
      <c r="E1628" t="s">
        <v>5157</v>
      </c>
    </row>
    <row r="1629" spans="1:5">
      <c r="A1629" t="s">
        <v>5244</v>
      </c>
      <c r="B1629" t="s">
        <v>2808</v>
      </c>
      <c r="C1629" t="s">
        <v>2809</v>
      </c>
      <c r="D1629" t="s">
        <v>5157</v>
      </c>
      <c r="E1629" t="s">
        <v>5157</v>
      </c>
    </row>
    <row r="1630" spans="1:5">
      <c r="A1630" t="s">
        <v>5244</v>
      </c>
      <c r="B1630" t="s">
        <v>2810</v>
      </c>
      <c r="C1630" t="s">
        <v>2811</v>
      </c>
      <c r="D1630" t="s">
        <v>5157</v>
      </c>
      <c r="E1630" t="s">
        <v>5157</v>
      </c>
    </row>
    <row r="1631" spans="1:5">
      <c r="A1631" t="s">
        <v>5244</v>
      </c>
      <c r="B1631" t="s">
        <v>2812</v>
      </c>
      <c r="C1631" t="s">
        <v>2813</v>
      </c>
      <c r="D1631" t="s">
        <v>5157</v>
      </c>
      <c r="E1631" t="s">
        <v>5157</v>
      </c>
    </row>
    <row r="1632" spans="1:5">
      <c r="A1632" t="s">
        <v>5244</v>
      </c>
      <c r="B1632" t="s">
        <v>2814</v>
      </c>
      <c r="C1632" t="s">
        <v>2815</v>
      </c>
      <c r="D1632" t="s">
        <v>5157</v>
      </c>
      <c r="E1632" t="s">
        <v>5157</v>
      </c>
    </row>
    <row r="1633" spans="1:5">
      <c r="A1633" t="s">
        <v>5244</v>
      </c>
      <c r="B1633" t="s">
        <v>2816</v>
      </c>
      <c r="C1633" t="s">
        <v>2817</v>
      </c>
      <c r="D1633" t="s">
        <v>5157</v>
      </c>
      <c r="E1633" t="s">
        <v>5157</v>
      </c>
    </row>
    <row r="1634" spans="1:5">
      <c r="A1634" t="s">
        <v>5244</v>
      </c>
      <c r="B1634" t="s">
        <v>2818</v>
      </c>
      <c r="C1634" t="s">
        <v>2819</v>
      </c>
      <c r="D1634" t="s">
        <v>5157</v>
      </c>
      <c r="E1634" t="s">
        <v>5157</v>
      </c>
    </row>
    <row r="1635" spans="1:5">
      <c r="A1635" t="s">
        <v>5244</v>
      </c>
      <c r="B1635" t="s">
        <v>2820</v>
      </c>
      <c r="C1635" t="s">
        <v>2821</v>
      </c>
      <c r="D1635" t="s">
        <v>5157</v>
      </c>
      <c r="E1635" t="s">
        <v>5157</v>
      </c>
    </row>
    <row r="1636" spans="1:5">
      <c r="A1636" t="s">
        <v>5244</v>
      </c>
      <c r="B1636" t="s">
        <v>2822</v>
      </c>
      <c r="C1636" t="s">
        <v>2823</v>
      </c>
      <c r="D1636" t="s">
        <v>5157</v>
      </c>
      <c r="E1636" t="s">
        <v>5157</v>
      </c>
    </row>
    <row r="1637" spans="1:5">
      <c r="A1637" t="s">
        <v>5244</v>
      </c>
      <c r="B1637" t="s">
        <v>2824</v>
      </c>
      <c r="C1637" t="s">
        <v>2825</v>
      </c>
      <c r="D1637" t="s">
        <v>5157</v>
      </c>
      <c r="E1637" t="s">
        <v>5157</v>
      </c>
    </row>
    <row r="1638" spans="1:5">
      <c r="A1638" t="s">
        <v>5244</v>
      </c>
      <c r="B1638" t="s">
        <v>2826</v>
      </c>
      <c r="C1638" t="s">
        <v>2827</v>
      </c>
      <c r="D1638" t="s">
        <v>5157</v>
      </c>
      <c r="E1638" t="s">
        <v>5157</v>
      </c>
    </row>
    <row r="1639" spans="1:5">
      <c r="A1639" t="s">
        <v>5244</v>
      </c>
      <c r="B1639" t="s">
        <v>2828</v>
      </c>
      <c r="C1639" t="s">
        <v>2829</v>
      </c>
      <c r="D1639" t="s">
        <v>5157</v>
      </c>
      <c r="E1639" t="s">
        <v>5157</v>
      </c>
    </row>
    <row r="1640" spans="1:5">
      <c r="A1640" t="s">
        <v>5244</v>
      </c>
      <c r="B1640" t="s">
        <v>2830</v>
      </c>
      <c r="C1640" t="s">
        <v>2831</v>
      </c>
      <c r="D1640" t="s">
        <v>5157</v>
      </c>
      <c r="E1640" t="s">
        <v>5157</v>
      </c>
    </row>
    <row r="1641" spans="1:5">
      <c r="A1641" t="s">
        <v>5244</v>
      </c>
      <c r="B1641" t="s">
        <v>2832</v>
      </c>
      <c r="C1641" t="s">
        <v>2833</v>
      </c>
      <c r="D1641" t="s">
        <v>5157</v>
      </c>
      <c r="E1641" t="s">
        <v>5157</v>
      </c>
    </row>
    <row r="1642" spans="1:5">
      <c r="A1642" t="s">
        <v>5244</v>
      </c>
      <c r="B1642" t="s">
        <v>2834</v>
      </c>
      <c r="C1642" t="s">
        <v>2835</v>
      </c>
      <c r="D1642" t="s">
        <v>5157</v>
      </c>
      <c r="E1642" t="s">
        <v>5157</v>
      </c>
    </row>
    <row r="1643" spans="1:5">
      <c r="A1643" t="s">
        <v>5244</v>
      </c>
      <c r="B1643" t="s">
        <v>2836</v>
      </c>
      <c r="C1643" t="s">
        <v>2837</v>
      </c>
      <c r="D1643" t="s">
        <v>5157</v>
      </c>
      <c r="E1643" t="s">
        <v>5157</v>
      </c>
    </row>
    <row r="1644" spans="1:5">
      <c r="A1644" t="s">
        <v>5244</v>
      </c>
      <c r="B1644" t="s">
        <v>2838</v>
      </c>
      <c r="C1644" t="s">
        <v>2839</v>
      </c>
      <c r="D1644" t="s">
        <v>5157</v>
      </c>
      <c r="E1644" t="s">
        <v>5157</v>
      </c>
    </row>
    <row r="1645" spans="1:5">
      <c r="A1645" t="s">
        <v>5244</v>
      </c>
      <c r="B1645" t="s">
        <v>2840</v>
      </c>
      <c r="C1645" t="s">
        <v>2841</v>
      </c>
      <c r="D1645" t="s">
        <v>5157</v>
      </c>
      <c r="E1645" t="s">
        <v>5157</v>
      </c>
    </row>
    <row r="1646" spans="1:5">
      <c r="A1646" t="s">
        <v>5244</v>
      </c>
      <c r="B1646" t="s">
        <v>2842</v>
      </c>
      <c r="C1646" t="s">
        <v>2843</v>
      </c>
      <c r="D1646" t="s">
        <v>5157</v>
      </c>
      <c r="E1646" t="s">
        <v>5157</v>
      </c>
    </row>
    <row r="1647" spans="1:5">
      <c r="A1647" t="s">
        <v>5244</v>
      </c>
      <c r="B1647" t="s">
        <v>2844</v>
      </c>
      <c r="C1647" t="s">
        <v>2845</v>
      </c>
      <c r="D1647" t="s">
        <v>5157</v>
      </c>
      <c r="E1647" t="s">
        <v>5157</v>
      </c>
    </row>
    <row r="1648" spans="1:5">
      <c r="A1648" t="s">
        <v>5244</v>
      </c>
      <c r="B1648" t="s">
        <v>2846</v>
      </c>
      <c r="C1648" t="s">
        <v>2847</v>
      </c>
      <c r="D1648" t="s">
        <v>5157</v>
      </c>
      <c r="E1648" t="s">
        <v>5157</v>
      </c>
    </row>
    <row r="1649" spans="1:5">
      <c r="A1649" t="s">
        <v>5244</v>
      </c>
      <c r="B1649" t="s">
        <v>2848</v>
      </c>
      <c r="C1649" t="s">
        <v>2849</v>
      </c>
      <c r="D1649" t="s">
        <v>5157</v>
      </c>
      <c r="E1649" t="s">
        <v>5157</v>
      </c>
    </row>
    <row r="1650" spans="1:5">
      <c r="A1650" t="s">
        <v>5244</v>
      </c>
      <c r="B1650" t="s">
        <v>2850</v>
      </c>
      <c r="C1650" t="s">
        <v>2851</v>
      </c>
      <c r="D1650" t="s">
        <v>5217</v>
      </c>
      <c r="E1650" t="s">
        <v>5168</v>
      </c>
    </row>
    <row r="1651" spans="1:5">
      <c r="A1651" t="s">
        <v>5244</v>
      </c>
      <c r="B1651" t="s">
        <v>2852</v>
      </c>
      <c r="C1651" t="s">
        <v>2853</v>
      </c>
      <c r="D1651" t="s">
        <v>5157</v>
      </c>
      <c r="E1651" t="s">
        <v>5157</v>
      </c>
    </row>
    <row r="1652" spans="1:5">
      <c r="A1652" t="s">
        <v>5244</v>
      </c>
      <c r="B1652" t="s">
        <v>2854</v>
      </c>
      <c r="C1652" t="s">
        <v>2855</v>
      </c>
      <c r="D1652" t="s">
        <v>5157</v>
      </c>
      <c r="E1652" t="s">
        <v>5157</v>
      </c>
    </row>
    <row r="1653" spans="1:5">
      <c r="A1653" t="s">
        <v>5244</v>
      </c>
      <c r="B1653" t="s">
        <v>2856</v>
      </c>
      <c r="C1653" t="s">
        <v>2857</v>
      </c>
      <c r="D1653" t="s">
        <v>5157</v>
      </c>
      <c r="E1653" t="s">
        <v>5157</v>
      </c>
    </row>
    <row r="1654" spans="1:5">
      <c r="A1654" t="s">
        <v>5244</v>
      </c>
      <c r="B1654" t="s">
        <v>2858</v>
      </c>
      <c r="C1654" t="s">
        <v>2859</v>
      </c>
      <c r="D1654" t="s">
        <v>5217</v>
      </c>
      <c r="E1654" t="s">
        <v>5168</v>
      </c>
    </row>
    <row r="1655" spans="1:5">
      <c r="A1655" t="s">
        <v>5244</v>
      </c>
      <c r="B1655" t="s">
        <v>2860</v>
      </c>
      <c r="C1655" t="s">
        <v>2861</v>
      </c>
      <c r="D1655" t="s">
        <v>5157</v>
      </c>
      <c r="E1655" t="s">
        <v>5157</v>
      </c>
    </row>
    <row r="1656" spans="1:5">
      <c r="A1656" t="s">
        <v>5244</v>
      </c>
      <c r="B1656" t="s">
        <v>2862</v>
      </c>
      <c r="C1656" t="s">
        <v>2863</v>
      </c>
      <c r="D1656" t="s">
        <v>5157</v>
      </c>
      <c r="E1656" t="s">
        <v>5157</v>
      </c>
    </row>
    <row r="1657" spans="1:5">
      <c r="A1657" t="s">
        <v>5244</v>
      </c>
      <c r="B1657" t="s">
        <v>2864</v>
      </c>
      <c r="C1657" t="s">
        <v>2865</v>
      </c>
      <c r="D1657" t="s">
        <v>5157</v>
      </c>
      <c r="E1657" t="s">
        <v>5157</v>
      </c>
    </row>
    <row r="1658" spans="1:5">
      <c r="A1658" t="s">
        <v>5244</v>
      </c>
      <c r="B1658" t="s">
        <v>2866</v>
      </c>
      <c r="C1658" t="s">
        <v>2867</v>
      </c>
      <c r="D1658" t="s">
        <v>5157</v>
      </c>
      <c r="E1658" t="s">
        <v>5157</v>
      </c>
    </row>
    <row r="1659" spans="1:5">
      <c r="A1659" t="s">
        <v>5244</v>
      </c>
      <c r="B1659" t="s">
        <v>2868</v>
      </c>
      <c r="C1659" t="s">
        <v>2869</v>
      </c>
      <c r="D1659" t="s">
        <v>5157</v>
      </c>
      <c r="E1659" t="s">
        <v>5157</v>
      </c>
    </row>
    <row r="1660" spans="1:5">
      <c r="A1660" t="s">
        <v>5244</v>
      </c>
      <c r="B1660" t="s">
        <v>2870</v>
      </c>
      <c r="C1660" t="s">
        <v>2871</v>
      </c>
      <c r="D1660" t="s">
        <v>5157</v>
      </c>
      <c r="E1660" t="s">
        <v>5157</v>
      </c>
    </row>
    <row r="1661" spans="1:5">
      <c r="A1661" t="s">
        <v>5244</v>
      </c>
      <c r="B1661" t="s">
        <v>2872</v>
      </c>
      <c r="C1661" t="s">
        <v>2873</v>
      </c>
      <c r="D1661" t="s">
        <v>5157</v>
      </c>
      <c r="E1661" t="s">
        <v>5157</v>
      </c>
    </row>
    <row r="1662" spans="1:5">
      <c r="A1662" t="s">
        <v>5244</v>
      </c>
      <c r="B1662" t="s">
        <v>2874</v>
      </c>
      <c r="C1662" t="s">
        <v>2875</v>
      </c>
      <c r="D1662" t="s">
        <v>5157</v>
      </c>
      <c r="E1662" t="s">
        <v>5157</v>
      </c>
    </row>
    <row r="1663" spans="1:5">
      <c r="A1663" t="s">
        <v>5244</v>
      </c>
      <c r="B1663" t="s">
        <v>5750</v>
      </c>
      <c r="C1663" t="s">
        <v>5751</v>
      </c>
      <c r="D1663" t="s">
        <v>5157</v>
      </c>
      <c r="E1663" t="s">
        <v>5157</v>
      </c>
    </row>
    <row r="1664" spans="1:5">
      <c r="A1664" t="s">
        <v>5244</v>
      </c>
      <c r="B1664" t="s">
        <v>2876</v>
      </c>
      <c r="C1664" t="s">
        <v>2877</v>
      </c>
      <c r="D1664" t="s">
        <v>5157</v>
      </c>
      <c r="E1664" t="s">
        <v>5157</v>
      </c>
    </row>
    <row r="1665" spans="1:5">
      <c r="A1665" t="s">
        <v>5244</v>
      </c>
      <c r="B1665" t="s">
        <v>2878</v>
      </c>
      <c r="C1665" t="s">
        <v>2879</v>
      </c>
      <c r="D1665" t="s">
        <v>5157</v>
      </c>
      <c r="E1665" t="s">
        <v>5157</v>
      </c>
    </row>
    <row r="1666" spans="1:5">
      <c r="A1666" t="s">
        <v>5244</v>
      </c>
      <c r="B1666" t="s">
        <v>2880</v>
      </c>
      <c r="C1666" t="s">
        <v>2881</v>
      </c>
      <c r="D1666" t="s">
        <v>5217</v>
      </c>
      <c r="E1666" t="s">
        <v>5168</v>
      </c>
    </row>
    <row r="1667" spans="1:5">
      <c r="A1667" t="s">
        <v>5244</v>
      </c>
      <c r="B1667" t="s">
        <v>2882</v>
      </c>
      <c r="C1667" t="s">
        <v>2883</v>
      </c>
      <c r="D1667" t="s">
        <v>5217</v>
      </c>
      <c r="E1667" t="s">
        <v>5168</v>
      </c>
    </row>
    <row r="1668" spans="1:5">
      <c r="A1668" t="s">
        <v>5244</v>
      </c>
      <c r="B1668" t="s">
        <v>2884</v>
      </c>
      <c r="C1668" t="s">
        <v>2885</v>
      </c>
      <c r="D1668" t="s">
        <v>5217</v>
      </c>
      <c r="E1668" t="s">
        <v>5168</v>
      </c>
    </row>
    <row r="1669" spans="1:5">
      <c r="A1669" t="s">
        <v>5244</v>
      </c>
      <c r="B1669" t="s">
        <v>2886</v>
      </c>
      <c r="C1669" t="s">
        <v>2887</v>
      </c>
      <c r="D1669" t="s">
        <v>5218</v>
      </c>
      <c r="E1669" t="s">
        <v>5168</v>
      </c>
    </row>
    <row r="1670" spans="1:5">
      <c r="A1670" t="s">
        <v>5244</v>
      </c>
      <c r="B1670" t="s">
        <v>2888</v>
      </c>
      <c r="C1670" t="s">
        <v>2889</v>
      </c>
      <c r="D1670" t="s">
        <v>5157</v>
      </c>
      <c r="E1670" t="s">
        <v>5157</v>
      </c>
    </row>
    <row r="1671" spans="1:5">
      <c r="A1671" t="s">
        <v>5244</v>
      </c>
      <c r="B1671" t="s">
        <v>2890</v>
      </c>
      <c r="C1671" t="s">
        <v>2891</v>
      </c>
      <c r="D1671" t="s">
        <v>5157</v>
      </c>
      <c r="E1671" t="s">
        <v>5157</v>
      </c>
    </row>
    <row r="1672" spans="1:5">
      <c r="A1672" t="s">
        <v>5244</v>
      </c>
      <c r="B1672" t="s">
        <v>2892</v>
      </c>
      <c r="C1672" t="s">
        <v>2893</v>
      </c>
      <c r="D1672" t="s">
        <v>5157</v>
      </c>
      <c r="E1672" t="s">
        <v>5157</v>
      </c>
    </row>
    <row r="1673" spans="1:5">
      <c r="A1673" t="s">
        <v>5244</v>
      </c>
      <c r="B1673" t="s">
        <v>2894</v>
      </c>
      <c r="C1673" t="s">
        <v>2895</v>
      </c>
      <c r="D1673" t="s">
        <v>5157</v>
      </c>
      <c r="E1673" t="s">
        <v>5157</v>
      </c>
    </row>
    <row r="1674" spans="1:5">
      <c r="A1674" t="s">
        <v>5244</v>
      </c>
      <c r="B1674" t="s">
        <v>2896</v>
      </c>
      <c r="C1674" t="s">
        <v>2897</v>
      </c>
      <c r="D1674" t="s">
        <v>5157</v>
      </c>
      <c r="E1674" t="s">
        <v>5157</v>
      </c>
    </row>
    <row r="1675" spans="1:5">
      <c r="A1675" t="s">
        <v>5244</v>
      </c>
      <c r="B1675" t="s">
        <v>866</v>
      </c>
      <c r="C1675" t="s">
        <v>2898</v>
      </c>
      <c r="D1675" t="s">
        <v>5181</v>
      </c>
      <c r="E1675" t="s">
        <v>5168</v>
      </c>
    </row>
    <row r="1676" spans="1:5">
      <c r="A1676" t="s">
        <v>5244</v>
      </c>
      <c r="B1676" t="s">
        <v>867</v>
      </c>
      <c r="C1676" t="s">
        <v>2899</v>
      </c>
      <c r="D1676" t="s">
        <v>5181</v>
      </c>
      <c r="E1676" t="s">
        <v>5168</v>
      </c>
    </row>
    <row r="1677" spans="1:5">
      <c r="A1677" t="s">
        <v>5244</v>
      </c>
      <c r="B1677" t="s">
        <v>868</v>
      </c>
      <c r="C1677" t="s">
        <v>2900</v>
      </c>
      <c r="D1677" t="s">
        <v>5181</v>
      </c>
      <c r="E1677" t="s">
        <v>5168</v>
      </c>
    </row>
    <row r="1678" spans="1:5">
      <c r="A1678" t="s">
        <v>5244</v>
      </c>
      <c r="B1678" t="s">
        <v>2901</v>
      </c>
      <c r="C1678" t="s">
        <v>2902</v>
      </c>
      <c r="D1678" t="s">
        <v>5217</v>
      </c>
      <c r="E1678" t="s">
        <v>5168</v>
      </c>
    </row>
    <row r="1679" spans="1:5">
      <c r="A1679" t="s">
        <v>5244</v>
      </c>
      <c r="B1679" t="s">
        <v>2903</v>
      </c>
      <c r="C1679" t="s">
        <v>2904</v>
      </c>
      <c r="D1679" t="s">
        <v>5217</v>
      </c>
      <c r="E1679" t="s">
        <v>5168</v>
      </c>
    </row>
    <row r="1680" spans="1:5">
      <c r="A1680" t="s">
        <v>5244</v>
      </c>
      <c r="B1680" t="s">
        <v>869</v>
      </c>
      <c r="C1680" t="s">
        <v>2905</v>
      </c>
      <c r="D1680" t="s">
        <v>5219</v>
      </c>
      <c r="E1680" t="s">
        <v>5168</v>
      </c>
    </row>
    <row r="1681" spans="1:5">
      <c r="A1681" t="s">
        <v>5244</v>
      </c>
      <c r="B1681" t="s">
        <v>870</v>
      </c>
      <c r="C1681" t="s">
        <v>2906</v>
      </c>
      <c r="D1681" t="s">
        <v>5220</v>
      </c>
      <c r="E1681" t="s">
        <v>5168</v>
      </c>
    </row>
    <row r="1682" spans="1:5">
      <c r="A1682" t="s">
        <v>5244</v>
      </c>
      <c r="B1682" t="s">
        <v>2907</v>
      </c>
      <c r="C1682" t="s">
        <v>2908</v>
      </c>
      <c r="D1682" t="s">
        <v>5220</v>
      </c>
      <c r="E1682" t="s">
        <v>5168</v>
      </c>
    </row>
    <row r="1683" spans="1:5">
      <c r="A1683" t="s">
        <v>5241</v>
      </c>
      <c r="B1683" t="s">
        <v>5752</v>
      </c>
      <c r="C1683" t="s">
        <v>5753</v>
      </c>
      <c r="D1683" t="s">
        <v>5157</v>
      </c>
      <c r="E1683" t="s">
        <v>5157</v>
      </c>
    </row>
    <row r="1684" spans="1:5">
      <c r="A1684" t="s">
        <v>5241</v>
      </c>
      <c r="B1684" t="s">
        <v>2909</v>
      </c>
      <c r="C1684" t="s">
        <v>2910</v>
      </c>
      <c r="D1684" t="s">
        <v>5157</v>
      </c>
      <c r="E1684" t="s">
        <v>5157</v>
      </c>
    </row>
    <row r="1685" spans="1:5">
      <c r="A1685" t="s">
        <v>5241</v>
      </c>
      <c r="B1685" t="s">
        <v>5754</v>
      </c>
      <c r="C1685" t="s">
        <v>5755</v>
      </c>
      <c r="D1685" t="s">
        <v>5157</v>
      </c>
      <c r="E1685" t="s">
        <v>5157</v>
      </c>
    </row>
    <row r="1686" spans="1:5">
      <c r="A1686" t="s">
        <v>5241</v>
      </c>
      <c r="B1686" t="s">
        <v>2911</v>
      </c>
      <c r="C1686" t="s">
        <v>2912</v>
      </c>
      <c r="D1686" t="s">
        <v>5157</v>
      </c>
      <c r="E1686" t="s">
        <v>5157</v>
      </c>
    </row>
    <row r="1687" spans="1:5">
      <c r="A1687" t="s">
        <v>5241</v>
      </c>
      <c r="B1687" t="s">
        <v>5756</v>
      </c>
      <c r="C1687" t="s">
        <v>5757</v>
      </c>
      <c r="D1687" t="s">
        <v>5157</v>
      </c>
      <c r="E1687" t="s">
        <v>5157</v>
      </c>
    </row>
    <row r="1688" spans="1:5">
      <c r="A1688" t="s">
        <v>5241</v>
      </c>
      <c r="B1688" t="s">
        <v>2913</v>
      </c>
      <c r="C1688" t="s">
        <v>2914</v>
      </c>
      <c r="D1688" t="s">
        <v>5157</v>
      </c>
      <c r="E1688" t="s">
        <v>5157</v>
      </c>
    </row>
    <row r="1689" spans="1:5">
      <c r="A1689" t="s">
        <v>5241</v>
      </c>
      <c r="B1689" t="s">
        <v>2915</v>
      </c>
      <c r="C1689" t="s">
        <v>2916</v>
      </c>
      <c r="D1689" t="s">
        <v>5211</v>
      </c>
      <c r="E1689" t="s">
        <v>5213</v>
      </c>
    </row>
    <row r="1690" spans="1:5">
      <c r="A1690" t="s">
        <v>5241</v>
      </c>
      <c r="B1690" t="s">
        <v>2917</v>
      </c>
      <c r="C1690" t="s">
        <v>2918</v>
      </c>
      <c r="D1690" t="s">
        <v>5157</v>
      </c>
      <c r="E1690" t="s">
        <v>5157</v>
      </c>
    </row>
    <row r="1691" spans="1:5">
      <c r="A1691" t="s">
        <v>5241</v>
      </c>
      <c r="B1691" t="s">
        <v>5758</v>
      </c>
      <c r="C1691" t="s">
        <v>5759</v>
      </c>
      <c r="D1691" t="s">
        <v>5157</v>
      </c>
      <c r="E1691" t="s">
        <v>5157</v>
      </c>
    </row>
    <row r="1692" spans="1:5">
      <c r="A1692" t="s">
        <v>5241</v>
      </c>
      <c r="B1692" t="s">
        <v>2919</v>
      </c>
      <c r="C1692" t="s">
        <v>2920</v>
      </c>
      <c r="D1692" t="s">
        <v>5157</v>
      </c>
      <c r="E1692" t="s">
        <v>5157</v>
      </c>
    </row>
    <row r="1693" spans="1:5">
      <c r="A1693" t="s">
        <v>5241</v>
      </c>
      <c r="B1693" t="s">
        <v>5760</v>
      </c>
      <c r="C1693" t="s">
        <v>5761</v>
      </c>
      <c r="D1693" t="s">
        <v>5157</v>
      </c>
      <c r="E1693" t="s">
        <v>5157</v>
      </c>
    </row>
    <row r="1694" spans="1:5">
      <c r="A1694" t="s">
        <v>5241</v>
      </c>
      <c r="B1694" t="s">
        <v>5762</v>
      </c>
      <c r="C1694" t="s">
        <v>5763</v>
      </c>
      <c r="D1694" t="s">
        <v>5157</v>
      </c>
      <c r="E1694" t="s">
        <v>5157</v>
      </c>
    </row>
    <row r="1695" spans="1:5">
      <c r="A1695" t="s">
        <v>5241</v>
      </c>
      <c r="B1695" t="s">
        <v>5764</v>
      </c>
      <c r="C1695" t="s">
        <v>5765</v>
      </c>
      <c r="D1695" t="s">
        <v>5157</v>
      </c>
      <c r="E1695" t="s">
        <v>5157</v>
      </c>
    </row>
    <row r="1696" spans="1:5">
      <c r="A1696" t="s">
        <v>5241</v>
      </c>
      <c r="B1696" t="s">
        <v>5766</v>
      </c>
      <c r="C1696" t="s">
        <v>5767</v>
      </c>
      <c r="D1696" t="s">
        <v>5157</v>
      </c>
      <c r="E1696" t="s">
        <v>5157</v>
      </c>
    </row>
    <row r="1697" spans="1:5">
      <c r="A1697" t="s">
        <v>5244</v>
      </c>
      <c r="B1697" t="s">
        <v>5768</v>
      </c>
      <c r="C1697" t="s">
        <v>5769</v>
      </c>
      <c r="D1697" t="s">
        <v>5157</v>
      </c>
      <c r="E1697" t="s">
        <v>5157</v>
      </c>
    </row>
    <row r="1698" spans="1:5">
      <c r="A1698" t="s">
        <v>5244</v>
      </c>
      <c r="B1698" t="s">
        <v>2921</v>
      </c>
      <c r="C1698" t="s">
        <v>2922</v>
      </c>
      <c r="D1698" t="s">
        <v>5157</v>
      </c>
      <c r="E1698" t="s">
        <v>5157</v>
      </c>
    </row>
    <row r="1699" spans="1:5">
      <c r="A1699" t="s">
        <v>5244</v>
      </c>
      <c r="B1699" t="s">
        <v>2923</v>
      </c>
      <c r="C1699" t="s">
        <v>2924</v>
      </c>
      <c r="D1699" t="s">
        <v>5157</v>
      </c>
      <c r="E1699" t="s">
        <v>5157</v>
      </c>
    </row>
    <row r="1700" spans="1:5">
      <c r="A1700" t="s">
        <v>5244</v>
      </c>
      <c r="B1700" t="s">
        <v>2925</v>
      </c>
      <c r="C1700" t="s">
        <v>2926</v>
      </c>
      <c r="D1700" t="s">
        <v>5157</v>
      </c>
      <c r="E1700" t="s">
        <v>5157</v>
      </c>
    </row>
    <row r="1701" spans="1:5">
      <c r="A1701" t="s">
        <v>5244</v>
      </c>
      <c r="B1701" t="s">
        <v>2927</v>
      </c>
      <c r="C1701" t="s">
        <v>2928</v>
      </c>
      <c r="D1701" t="s">
        <v>5157</v>
      </c>
      <c r="E1701" t="s">
        <v>5157</v>
      </c>
    </row>
    <row r="1702" spans="1:5">
      <c r="A1702" t="s">
        <v>5244</v>
      </c>
      <c r="B1702" t="s">
        <v>2929</v>
      </c>
      <c r="C1702" t="s">
        <v>2930</v>
      </c>
      <c r="D1702" t="s">
        <v>5157</v>
      </c>
      <c r="E1702" t="s">
        <v>5157</v>
      </c>
    </row>
    <row r="1703" spans="1:5">
      <c r="A1703" t="s">
        <v>5244</v>
      </c>
      <c r="B1703" t="s">
        <v>2931</v>
      </c>
      <c r="C1703" t="s">
        <v>2932</v>
      </c>
      <c r="D1703" t="s">
        <v>5157</v>
      </c>
      <c r="E1703" t="s">
        <v>5157</v>
      </c>
    </row>
    <row r="1704" spans="1:5">
      <c r="A1704" t="s">
        <v>5244</v>
      </c>
      <c r="B1704" t="s">
        <v>2933</v>
      </c>
      <c r="C1704" t="s">
        <v>2934</v>
      </c>
      <c r="D1704" t="s">
        <v>5157</v>
      </c>
      <c r="E1704" t="s">
        <v>5157</v>
      </c>
    </row>
    <row r="1705" spans="1:5">
      <c r="A1705" t="s">
        <v>5244</v>
      </c>
      <c r="B1705" t="s">
        <v>2935</v>
      </c>
      <c r="C1705" t="s">
        <v>2936</v>
      </c>
      <c r="D1705" t="s">
        <v>5157</v>
      </c>
      <c r="E1705" t="s">
        <v>5157</v>
      </c>
    </row>
    <row r="1706" spans="1:5">
      <c r="A1706" t="s">
        <v>5244</v>
      </c>
      <c r="B1706" t="s">
        <v>2937</v>
      </c>
      <c r="C1706" t="s">
        <v>2938</v>
      </c>
      <c r="D1706" t="s">
        <v>5157</v>
      </c>
      <c r="E1706" t="s">
        <v>5157</v>
      </c>
    </row>
    <row r="1707" spans="1:5">
      <c r="A1707" t="s">
        <v>5244</v>
      </c>
      <c r="B1707" t="s">
        <v>2939</v>
      </c>
      <c r="C1707" t="s">
        <v>2940</v>
      </c>
      <c r="D1707" t="s">
        <v>5157</v>
      </c>
      <c r="E1707" t="s">
        <v>5157</v>
      </c>
    </row>
    <row r="1708" spans="1:5">
      <c r="A1708" t="s">
        <v>5244</v>
      </c>
      <c r="B1708" t="s">
        <v>2941</v>
      </c>
      <c r="C1708" t="s">
        <v>2942</v>
      </c>
      <c r="D1708" t="s">
        <v>5157</v>
      </c>
      <c r="E1708" t="s">
        <v>5157</v>
      </c>
    </row>
    <row r="1709" spans="1:5">
      <c r="A1709" t="s">
        <v>5244</v>
      </c>
      <c r="B1709" t="s">
        <v>2943</v>
      </c>
      <c r="C1709" t="s">
        <v>2944</v>
      </c>
      <c r="D1709" t="s">
        <v>5157</v>
      </c>
      <c r="E1709" t="s">
        <v>5157</v>
      </c>
    </row>
    <row r="1710" spans="1:5">
      <c r="A1710" t="s">
        <v>5244</v>
      </c>
      <c r="B1710" t="s">
        <v>5770</v>
      </c>
      <c r="C1710" t="s">
        <v>5771</v>
      </c>
      <c r="D1710" t="s">
        <v>5157</v>
      </c>
      <c r="E1710" t="s">
        <v>5157</v>
      </c>
    </row>
    <row r="1711" spans="1:5">
      <c r="A1711" t="s">
        <v>5244</v>
      </c>
      <c r="B1711" t="s">
        <v>2945</v>
      </c>
      <c r="C1711" t="s">
        <v>2946</v>
      </c>
      <c r="D1711" t="s">
        <v>5157</v>
      </c>
      <c r="E1711" t="s">
        <v>5157</v>
      </c>
    </row>
    <row r="1712" spans="1:5">
      <c r="A1712" t="s">
        <v>5488</v>
      </c>
      <c r="B1712" t="s">
        <v>871</v>
      </c>
      <c r="C1712" t="s">
        <v>2947</v>
      </c>
      <c r="D1712" t="s">
        <v>5169</v>
      </c>
      <c r="E1712" t="s">
        <v>5168</v>
      </c>
    </row>
    <row r="1713" spans="1:5">
      <c r="A1713" t="s">
        <v>5244</v>
      </c>
      <c r="B1713" t="s">
        <v>871</v>
      </c>
      <c r="C1713" t="s">
        <v>2947</v>
      </c>
      <c r="D1713" t="s">
        <v>5169</v>
      </c>
      <c r="E1713" t="s">
        <v>5168</v>
      </c>
    </row>
    <row r="1714" spans="1:5">
      <c r="A1714" t="s">
        <v>5488</v>
      </c>
      <c r="B1714" t="s">
        <v>872</v>
      </c>
      <c r="C1714" t="s">
        <v>5772</v>
      </c>
      <c r="D1714" t="s">
        <v>5169</v>
      </c>
      <c r="E1714" t="s">
        <v>5168</v>
      </c>
    </row>
    <row r="1715" spans="1:5">
      <c r="A1715" t="s">
        <v>5244</v>
      </c>
      <c r="B1715" t="s">
        <v>872</v>
      </c>
      <c r="C1715" t="s">
        <v>5772</v>
      </c>
      <c r="D1715" t="s">
        <v>5169</v>
      </c>
      <c r="E1715" t="s">
        <v>5168</v>
      </c>
    </row>
    <row r="1716" spans="1:5">
      <c r="A1716" t="s">
        <v>5244</v>
      </c>
      <c r="B1716" t="s">
        <v>873</v>
      </c>
      <c r="C1716" t="s">
        <v>2948</v>
      </c>
      <c r="D1716" t="s">
        <v>5221</v>
      </c>
      <c r="E1716" t="s">
        <v>5168</v>
      </c>
    </row>
    <row r="1717" spans="1:5">
      <c r="A1717" t="s">
        <v>5244</v>
      </c>
      <c r="B1717" t="s">
        <v>2949</v>
      </c>
      <c r="C1717" t="s">
        <v>2950</v>
      </c>
      <c r="D1717" t="s">
        <v>5174</v>
      </c>
      <c r="E1717" t="s">
        <v>5168</v>
      </c>
    </row>
    <row r="1718" spans="1:5">
      <c r="A1718" t="s">
        <v>5244</v>
      </c>
      <c r="B1718" t="s">
        <v>2951</v>
      </c>
      <c r="C1718" t="s">
        <v>2952</v>
      </c>
      <c r="D1718" t="s">
        <v>5170</v>
      </c>
      <c r="E1718" t="s">
        <v>5168</v>
      </c>
    </row>
    <row r="1719" spans="1:5">
      <c r="A1719" t="s">
        <v>5244</v>
      </c>
      <c r="B1719" t="s">
        <v>2953</v>
      </c>
      <c r="C1719" t="s">
        <v>2954</v>
      </c>
      <c r="D1719" t="s">
        <v>5170</v>
      </c>
      <c r="E1719" t="s">
        <v>5168</v>
      </c>
    </row>
    <row r="1720" spans="1:5">
      <c r="A1720" t="s">
        <v>5244</v>
      </c>
      <c r="B1720" t="s">
        <v>874</v>
      </c>
      <c r="C1720" t="s">
        <v>2955</v>
      </c>
      <c r="D1720" t="s">
        <v>5170</v>
      </c>
      <c r="E1720" t="s">
        <v>5168</v>
      </c>
    </row>
    <row r="1721" spans="1:5">
      <c r="A1721" t="s">
        <v>5244</v>
      </c>
      <c r="B1721" t="s">
        <v>2956</v>
      </c>
      <c r="C1721" t="s">
        <v>2957</v>
      </c>
      <c r="D1721" t="s">
        <v>5157</v>
      </c>
      <c r="E1721" t="s">
        <v>5157</v>
      </c>
    </row>
    <row r="1722" spans="1:5">
      <c r="A1722" t="s">
        <v>5244</v>
      </c>
      <c r="B1722" t="s">
        <v>875</v>
      </c>
      <c r="C1722" t="s">
        <v>2958</v>
      </c>
      <c r="D1722" t="s">
        <v>5221</v>
      </c>
      <c r="E1722" t="s">
        <v>5168</v>
      </c>
    </row>
    <row r="1723" spans="1:5">
      <c r="A1723" t="s">
        <v>5244</v>
      </c>
      <c r="B1723" t="s">
        <v>2959</v>
      </c>
      <c r="C1723" t="s">
        <v>2960</v>
      </c>
      <c r="D1723" t="s">
        <v>5157</v>
      </c>
      <c r="E1723" t="s">
        <v>5157</v>
      </c>
    </row>
    <row r="1724" spans="1:5">
      <c r="A1724" t="s">
        <v>5244</v>
      </c>
      <c r="B1724" t="s">
        <v>876</v>
      </c>
      <c r="C1724" t="s">
        <v>2961</v>
      </c>
      <c r="D1724" t="s">
        <v>5170</v>
      </c>
      <c r="E1724" t="s">
        <v>5168</v>
      </c>
    </row>
    <row r="1725" spans="1:5">
      <c r="A1725" t="s">
        <v>5244</v>
      </c>
      <c r="B1725" t="s">
        <v>877</v>
      </c>
      <c r="C1725" t="s">
        <v>2962</v>
      </c>
      <c r="D1725" t="s">
        <v>5172</v>
      </c>
      <c r="E1725" t="s">
        <v>5168</v>
      </c>
    </row>
    <row r="1726" spans="1:5">
      <c r="A1726" t="s">
        <v>5244</v>
      </c>
      <c r="B1726" t="s">
        <v>878</v>
      </c>
      <c r="C1726" t="s">
        <v>2963</v>
      </c>
      <c r="D1726" t="s">
        <v>5172</v>
      </c>
      <c r="E1726" t="s">
        <v>5168</v>
      </c>
    </row>
    <row r="1727" spans="1:5">
      <c r="A1727" t="s">
        <v>5244</v>
      </c>
      <c r="B1727" t="s">
        <v>879</v>
      </c>
      <c r="C1727" t="s">
        <v>5773</v>
      </c>
      <c r="D1727" t="s">
        <v>5183</v>
      </c>
      <c r="E1727" t="s">
        <v>5168</v>
      </c>
    </row>
    <row r="1728" spans="1:5">
      <c r="A1728" t="s">
        <v>5244</v>
      </c>
      <c r="B1728" t="s">
        <v>2964</v>
      </c>
      <c r="C1728" t="s">
        <v>2965</v>
      </c>
      <c r="D1728" t="s">
        <v>5170</v>
      </c>
      <c r="E1728" t="s">
        <v>5168</v>
      </c>
    </row>
    <row r="1729" spans="1:5">
      <c r="A1729" t="s">
        <v>5244</v>
      </c>
      <c r="B1729" t="s">
        <v>880</v>
      </c>
      <c r="C1729" t="s">
        <v>2966</v>
      </c>
      <c r="D1729" t="s">
        <v>5170</v>
      </c>
      <c r="E1729" t="s">
        <v>5168</v>
      </c>
    </row>
    <row r="1730" spans="1:5">
      <c r="A1730" t="s">
        <v>5244</v>
      </c>
      <c r="B1730" t="s">
        <v>881</v>
      </c>
      <c r="C1730" t="s">
        <v>2967</v>
      </c>
      <c r="D1730" t="s">
        <v>5170</v>
      </c>
      <c r="E1730" t="s">
        <v>5168</v>
      </c>
    </row>
    <row r="1731" spans="1:5">
      <c r="A1731" t="s">
        <v>5244</v>
      </c>
      <c r="B1731" t="s">
        <v>882</v>
      </c>
      <c r="C1731" t="s">
        <v>2968</v>
      </c>
      <c r="D1731" t="s">
        <v>5170</v>
      </c>
      <c r="E1731" t="s">
        <v>5168</v>
      </c>
    </row>
    <row r="1732" spans="1:5">
      <c r="A1732" t="s">
        <v>5244</v>
      </c>
      <c r="B1732" t="s">
        <v>2969</v>
      </c>
      <c r="C1732" t="s">
        <v>2970</v>
      </c>
      <c r="D1732" t="s">
        <v>5222</v>
      </c>
      <c r="E1732" t="s">
        <v>5168</v>
      </c>
    </row>
    <row r="1733" spans="1:5">
      <c r="A1733" t="s">
        <v>5244</v>
      </c>
      <c r="B1733" t="s">
        <v>883</v>
      </c>
      <c r="C1733" t="s">
        <v>5774</v>
      </c>
      <c r="D1733" t="s">
        <v>5170</v>
      </c>
      <c r="E1733" t="s">
        <v>5168</v>
      </c>
    </row>
    <row r="1734" spans="1:5">
      <c r="A1734" t="s">
        <v>5244</v>
      </c>
      <c r="B1734" t="s">
        <v>884</v>
      </c>
      <c r="C1734" t="s">
        <v>2971</v>
      </c>
      <c r="D1734" t="s">
        <v>5170</v>
      </c>
      <c r="E1734" t="s">
        <v>5168</v>
      </c>
    </row>
    <row r="1735" spans="1:5">
      <c r="A1735" t="s">
        <v>5244</v>
      </c>
      <c r="B1735" t="s">
        <v>2972</v>
      </c>
      <c r="C1735" t="s">
        <v>2973</v>
      </c>
      <c r="D1735" t="s">
        <v>5170</v>
      </c>
      <c r="E1735" t="s">
        <v>5168</v>
      </c>
    </row>
    <row r="1736" spans="1:5">
      <c r="A1736" t="s">
        <v>5244</v>
      </c>
      <c r="B1736" t="s">
        <v>2974</v>
      </c>
      <c r="C1736" t="s">
        <v>2975</v>
      </c>
      <c r="D1736" t="s">
        <v>5170</v>
      </c>
      <c r="E1736" t="s">
        <v>5168</v>
      </c>
    </row>
    <row r="1737" spans="1:5">
      <c r="A1737" t="s">
        <v>5244</v>
      </c>
      <c r="B1737" t="s">
        <v>885</v>
      </c>
      <c r="C1737" t="s">
        <v>2976</v>
      </c>
      <c r="D1737" t="s">
        <v>5170</v>
      </c>
      <c r="E1737" t="s">
        <v>5168</v>
      </c>
    </row>
    <row r="1738" spans="1:5">
      <c r="A1738" t="s">
        <v>5244</v>
      </c>
      <c r="B1738" t="s">
        <v>886</v>
      </c>
      <c r="C1738" t="s">
        <v>5775</v>
      </c>
      <c r="D1738" t="s">
        <v>5170</v>
      </c>
      <c r="E1738" t="s">
        <v>5168</v>
      </c>
    </row>
    <row r="1739" spans="1:5">
      <c r="A1739" t="s">
        <v>5244</v>
      </c>
      <c r="B1739" t="s">
        <v>2977</v>
      </c>
      <c r="C1739" t="s">
        <v>2978</v>
      </c>
      <c r="D1739" t="s">
        <v>5157</v>
      </c>
      <c r="E1739" t="s">
        <v>5157</v>
      </c>
    </row>
    <row r="1740" spans="1:5">
      <c r="A1740" t="s">
        <v>5488</v>
      </c>
      <c r="B1740" t="s">
        <v>887</v>
      </c>
      <c r="C1740" t="s">
        <v>2979</v>
      </c>
      <c r="D1740" t="s">
        <v>5169</v>
      </c>
      <c r="E1740" t="s">
        <v>5168</v>
      </c>
    </row>
    <row r="1741" spans="1:5">
      <c r="A1741" t="s">
        <v>5244</v>
      </c>
      <c r="B1741" t="s">
        <v>887</v>
      </c>
      <c r="C1741" t="s">
        <v>2979</v>
      </c>
      <c r="D1741" t="s">
        <v>5169</v>
      </c>
      <c r="E1741" t="s">
        <v>5168</v>
      </c>
    </row>
    <row r="1742" spans="1:5">
      <c r="A1742" t="s">
        <v>5244</v>
      </c>
      <c r="B1742" t="s">
        <v>2980</v>
      </c>
      <c r="C1742" t="s">
        <v>2981</v>
      </c>
      <c r="D1742" t="s">
        <v>5170</v>
      </c>
      <c r="E1742" t="s">
        <v>5168</v>
      </c>
    </row>
    <row r="1743" spans="1:5">
      <c r="A1743" t="s">
        <v>5244</v>
      </c>
      <c r="B1743" t="s">
        <v>2982</v>
      </c>
      <c r="C1743" t="s">
        <v>2983</v>
      </c>
      <c r="D1743" t="s">
        <v>5157</v>
      </c>
      <c r="E1743" t="s">
        <v>5157</v>
      </c>
    </row>
    <row r="1744" spans="1:5">
      <c r="A1744" t="s">
        <v>5488</v>
      </c>
      <c r="B1744" t="s">
        <v>888</v>
      </c>
      <c r="C1744" t="s">
        <v>2984</v>
      </c>
      <c r="D1744" t="s">
        <v>5176</v>
      </c>
      <c r="E1744" t="s">
        <v>5168</v>
      </c>
    </row>
    <row r="1745" spans="1:5">
      <c r="A1745" t="s">
        <v>5244</v>
      </c>
      <c r="B1745" t="s">
        <v>888</v>
      </c>
      <c r="C1745" t="s">
        <v>2984</v>
      </c>
      <c r="D1745" t="s">
        <v>5176</v>
      </c>
      <c r="E1745" t="s">
        <v>5168</v>
      </c>
    </row>
    <row r="1746" spans="1:5">
      <c r="A1746" t="s">
        <v>5244</v>
      </c>
      <c r="B1746" t="s">
        <v>889</v>
      </c>
      <c r="C1746" t="s">
        <v>2985</v>
      </c>
      <c r="D1746" t="s">
        <v>5176</v>
      </c>
      <c r="E1746" t="s">
        <v>5168</v>
      </c>
    </row>
    <row r="1747" spans="1:5">
      <c r="A1747" t="s">
        <v>5244</v>
      </c>
      <c r="B1747" t="s">
        <v>890</v>
      </c>
      <c r="C1747" t="s">
        <v>2986</v>
      </c>
      <c r="D1747" t="s">
        <v>5176</v>
      </c>
      <c r="E1747" t="s">
        <v>5168</v>
      </c>
    </row>
    <row r="1748" spans="1:5">
      <c r="A1748" t="s">
        <v>5488</v>
      </c>
      <c r="B1748" t="s">
        <v>890</v>
      </c>
      <c r="C1748" t="s">
        <v>2986</v>
      </c>
      <c r="D1748" t="s">
        <v>5176</v>
      </c>
      <c r="E1748" t="s">
        <v>5168</v>
      </c>
    </row>
    <row r="1749" spans="1:5">
      <c r="A1749" t="s">
        <v>5244</v>
      </c>
      <c r="B1749" t="s">
        <v>891</v>
      </c>
      <c r="C1749" t="s">
        <v>2987</v>
      </c>
      <c r="D1749" t="s">
        <v>5174</v>
      </c>
      <c r="E1749" t="s">
        <v>5168</v>
      </c>
    </row>
    <row r="1750" spans="1:5">
      <c r="A1750" t="s">
        <v>5244</v>
      </c>
      <c r="B1750" t="s">
        <v>2988</v>
      </c>
      <c r="C1750" t="s">
        <v>2989</v>
      </c>
      <c r="D1750" t="s">
        <v>5157</v>
      </c>
      <c r="E1750" t="s">
        <v>5157</v>
      </c>
    </row>
    <row r="1751" spans="1:5">
      <c r="A1751" t="s">
        <v>5244</v>
      </c>
      <c r="B1751" t="s">
        <v>892</v>
      </c>
      <c r="C1751" t="s">
        <v>2990</v>
      </c>
      <c r="D1751" t="s">
        <v>5174</v>
      </c>
      <c r="E1751" t="s">
        <v>5168</v>
      </c>
    </row>
    <row r="1752" spans="1:5">
      <c r="A1752" t="s">
        <v>5244</v>
      </c>
      <c r="B1752" t="s">
        <v>2991</v>
      </c>
      <c r="C1752" t="s">
        <v>2992</v>
      </c>
      <c r="D1752" t="s">
        <v>5170</v>
      </c>
      <c r="E1752" t="s">
        <v>5168</v>
      </c>
    </row>
    <row r="1753" spans="1:5">
      <c r="A1753" t="s">
        <v>5244</v>
      </c>
      <c r="B1753" t="s">
        <v>2993</v>
      </c>
      <c r="C1753" t="s">
        <v>2994</v>
      </c>
      <c r="D1753" t="s">
        <v>5170</v>
      </c>
      <c r="E1753" t="s">
        <v>5168</v>
      </c>
    </row>
    <row r="1754" spans="1:5">
      <c r="A1754" t="s">
        <v>5244</v>
      </c>
      <c r="B1754" t="s">
        <v>2995</v>
      </c>
      <c r="C1754" t="s">
        <v>2996</v>
      </c>
      <c r="D1754" t="s">
        <v>5170</v>
      </c>
      <c r="E1754" t="s">
        <v>5168</v>
      </c>
    </row>
    <row r="1755" spans="1:5">
      <c r="A1755" t="s">
        <v>5244</v>
      </c>
      <c r="B1755" t="s">
        <v>893</v>
      </c>
      <c r="C1755" t="s">
        <v>2997</v>
      </c>
      <c r="D1755" t="s">
        <v>5174</v>
      </c>
      <c r="E1755" t="s">
        <v>5168</v>
      </c>
    </row>
    <row r="1756" spans="1:5">
      <c r="A1756" t="s">
        <v>5244</v>
      </c>
      <c r="B1756" t="s">
        <v>894</v>
      </c>
      <c r="C1756" t="s">
        <v>2998</v>
      </c>
      <c r="D1756" t="s">
        <v>5174</v>
      </c>
      <c r="E1756" t="s">
        <v>5168</v>
      </c>
    </row>
    <row r="1757" spans="1:5">
      <c r="A1757" t="s">
        <v>5244</v>
      </c>
      <c r="B1757" t="s">
        <v>2999</v>
      </c>
      <c r="C1757" t="s">
        <v>3000</v>
      </c>
      <c r="D1757" t="s">
        <v>5170</v>
      </c>
      <c r="E1757" t="s">
        <v>5168</v>
      </c>
    </row>
    <row r="1758" spans="1:5">
      <c r="A1758" t="s">
        <v>5244</v>
      </c>
      <c r="B1758" t="s">
        <v>3001</v>
      </c>
      <c r="C1758" t="s">
        <v>3002</v>
      </c>
      <c r="D1758" t="s">
        <v>5157</v>
      </c>
      <c r="E1758" t="s">
        <v>5157</v>
      </c>
    </row>
    <row r="1759" spans="1:5">
      <c r="A1759" t="s">
        <v>5244</v>
      </c>
      <c r="B1759" t="s">
        <v>895</v>
      </c>
      <c r="C1759" t="s">
        <v>3003</v>
      </c>
      <c r="D1759" t="s">
        <v>5169</v>
      </c>
      <c r="E1759" t="s">
        <v>5168</v>
      </c>
    </row>
    <row r="1760" spans="1:5">
      <c r="A1760" t="s">
        <v>5488</v>
      </c>
      <c r="B1760" t="s">
        <v>895</v>
      </c>
      <c r="C1760" t="s">
        <v>3003</v>
      </c>
      <c r="D1760" t="s">
        <v>5169</v>
      </c>
      <c r="E1760" t="s">
        <v>5168</v>
      </c>
    </row>
    <row r="1761" spans="1:5">
      <c r="A1761" t="s">
        <v>5244</v>
      </c>
      <c r="B1761" t="s">
        <v>3004</v>
      </c>
      <c r="C1761" t="s">
        <v>3005</v>
      </c>
      <c r="D1761" t="s">
        <v>5174</v>
      </c>
      <c r="E1761" t="s">
        <v>5168</v>
      </c>
    </row>
    <row r="1762" spans="1:5">
      <c r="A1762" t="s">
        <v>5244</v>
      </c>
      <c r="B1762" t="s">
        <v>3006</v>
      </c>
      <c r="C1762" t="s">
        <v>3007</v>
      </c>
      <c r="D1762" t="s">
        <v>5174</v>
      </c>
      <c r="E1762" t="s">
        <v>5168</v>
      </c>
    </row>
    <row r="1763" spans="1:5">
      <c r="A1763" t="s">
        <v>5244</v>
      </c>
      <c r="B1763" t="s">
        <v>3008</v>
      </c>
      <c r="C1763" t="s">
        <v>3009</v>
      </c>
      <c r="D1763" t="s">
        <v>5157</v>
      </c>
      <c r="E1763" t="s">
        <v>5157</v>
      </c>
    </row>
    <row r="1764" spans="1:5">
      <c r="A1764" t="s">
        <v>5244</v>
      </c>
      <c r="B1764" t="s">
        <v>3010</v>
      </c>
      <c r="C1764" t="s">
        <v>3011</v>
      </c>
      <c r="D1764" t="s">
        <v>5157</v>
      </c>
      <c r="E1764" t="s">
        <v>5157</v>
      </c>
    </row>
    <row r="1765" spans="1:5">
      <c r="A1765" t="s">
        <v>5244</v>
      </c>
      <c r="B1765" t="s">
        <v>3012</v>
      </c>
      <c r="C1765" t="s">
        <v>3013</v>
      </c>
      <c r="D1765" t="s">
        <v>5170</v>
      </c>
      <c r="E1765" t="s">
        <v>5168</v>
      </c>
    </row>
    <row r="1766" spans="1:5">
      <c r="A1766" t="s">
        <v>5244</v>
      </c>
      <c r="B1766" t="s">
        <v>3014</v>
      </c>
      <c r="C1766" t="s">
        <v>3015</v>
      </c>
      <c r="D1766" t="s">
        <v>5157</v>
      </c>
      <c r="E1766" t="s">
        <v>5157</v>
      </c>
    </row>
    <row r="1767" spans="1:5">
      <c r="A1767" t="s">
        <v>5244</v>
      </c>
      <c r="B1767" t="s">
        <v>3016</v>
      </c>
      <c r="C1767" t="s">
        <v>3017</v>
      </c>
      <c r="D1767" t="s">
        <v>5157</v>
      </c>
      <c r="E1767" t="s">
        <v>5157</v>
      </c>
    </row>
    <row r="1768" spans="1:5">
      <c r="A1768" t="s">
        <v>5244</v>
      </c>
      <c r="B1768" t="s">
        <v>3018</v>
      </c>
      <c r="C1768" t="s">
        <v>3019</v>
      </c>
      <c r="D1768" t="s">
        <v>5157</v>
      </c>
      <c r="E1768" t="s">
        <v>5157</v>
      </c>
    </row>
    <row r="1769" spans="1:5">
      <c r="A1769" t="s">
        <v>5244</v>
      </c>
      <c r="B1769" t="s">
        <v>3020</v>
      </c>
      <c r="C1769" t="s">
        <v>3021</v>
      </c>
      <c r="D1769" t="s">
        <v>5157</v>
      </c>
      <c r="E1769" t="s">
        <v>5157</v>
      </c>
    </row>
    <row r="1770" spans="1:5">
      <c r="A1770" t="s">
        <v>5244</v>
      </c>
      <c r="B1770" t="s">
        <v>3022</v>
      </c>
      <c r="C1770" t="s">
        <v>3023</v>
      </c>
      <c r="D1770" t="s">
        <v>5157</v>
      </c>
      <c r="E1770" t="s">
        <v>5157</v>
      </c>
    </row>
    <row r="1771" spans="1:5">
      <c r="A1771" t="s">
        <v>5244</v>
      </c>
      <c r="B1771" t="s">
        <v>3024</v>
      </c>
      <c r="C1771" t="s">
        <v>3025</v>
      </c>
      <c r="D1771" t="s">
        <v>5174</v>
      </c>
      <c r="E1771" t="s">
        <v>5168</v>
      </c>
    </row>
    <row r="1772" spans="1:5">
      <c r="A1772" t="s">
        <v>5244</v>
      </c>
      <c r="B1772" t="s">
        <v>3026</v>
      </c>
      <c r="C1772" t="s">
        <v>3027</v>
      </c>
      <c r="D1772" t="s">
        <v>5173</v>
      </c>
      <c r="E1772" t="s">
        <v>5168</v>
      </c>
    </row>
    <row r="1773" spans="1:5">
      <c r="A1773" t="s">
        <v>5244</v>
      </c>
      <c r="B1773" t="s">
        <v>3028</v>
      </c>
      <c r="C1773" t="s">
        <v>3029</v>
      </c>
      <c r="D1773" t="s">
        <v>5157</v>
      </c>
      <c r="E1773" t="s">
        <v>5157</v>
      </c>
    </row>
    <row r="1774" spans="1:5">
      <c r="A1774" t="s">
        <v>5244</v>
      </c>
      <c r="B1774" t="s">
        <v>3030</v>
      </c>
      <c r="C1774" t="s">
        <v>3031</v>
      </c>
      <c r="D1774" t="s">
        <v>5174</v>
      </c>
      <c r="E1774" t="s">
        <v>5168</v>
      </c>
    </row>
    <row r="1775" spans="1:5">
      <c r="A1775" t="s">
        <v>5244</v>
      </c>
      <c r="B1775" t="s">
        <v>3032</v>
      </c>
      <c r="C1775" t="s">
        <v>3033</v>
      </c>
      <c r="D1775" t="s">
        <v>5157</v>
      </c>
      <c r="E1775" t="s">
        <v>5157</v>
      </c>
    </row>
    <row r="1776" spans="1:5">
      <c r="A1776" t="s">
        <v>5244</v>
      </c>
      <c r="B1776" t="s">
        <v>3034</v>
      </c>
      <c r="C1776" t="s">
        <v>3035</v>
      </c>
      <c r="D1776" t="s">
        <v>5157</v>
      </c>
      <c r="E1776" t="s">
        <v>5157</v>
      </c>
    </row>
    <row r="1777" spans="1:5">
      <c r="A1777" t="s">
        <v>5244</v>
      </c>
      <c r="B1777" t="s">
        <v>3036</v>
      </c>
      <c r="C1777" t="s">
        <v>3037</v>
      </c>
      <c r="D1777" t="s">
        <v>5157</v>
      </c>
      <c r="E1777" t="s">
        <v>5157</v>
      </c>
    </row>
    <row r="1778" spans="1:5">
      <c r="A1778" t="s">
        <v>5244</v>
      </c>
      <c r="B1778" t="s">
        <v>896</v>
      </c>
      <c r="C1778" t="s">
        <v>3038</v>
      </c>
      <c r="D1778" t="s">
        <v>5170</v>
      </c>
      <c r="E1778" t="s">
        <v>5168</v>
      </c>
    </row>
    <row r="1779" spans="1:5">
      <c r="A1779" t="s">
        <v>5244</v>
      </c>
      <c r="B1779" t="s">
        <v>3039</v>
      </c>
      <c r="C1779" t="s">
        <v>3040</v>
      </c>
      <c r="D1779" t="s">
        <v>5170</v>
      </c>
      <c r="E1779" t="s">
        <v>5168</v>
      </c>
    </row>
    <row r="1780" spans="1:5">
      <c r="A1780" t="s">
        <v>5244</v>
      </c>
      <c r="B1780" t="s">
        <v>3041</v>
      </c>
      <c r="C1780" t="s">
        <v>3042</v>
      </c>
      <c r="D1780" t="s">
        <v>5222</v>
      </c>
      <c r="E1780" t="s">
        <v>5168</v>
      </c>
    </row>
    <row r="1781" spans="1:5">
      <c r="A1781" t="s">
        <v>5244</v>
      </c>
      <c r="B1781" t="s">
        <v>3043</v>
      </c>
      <c r="C1781" t="s">
        <v>3044</v>
      </c>
      <c r="D1781" t="s">
        <v>5174</v>
      </c>
      <c r="E1781" t="s">
        <v>5168</v>
      </c>
    </row>
    <row r="1782" spans="1:5">
      <c r="A1782" t="s">
        <v>5244</v>
      </c>
      <c r="B1782" t="s">
        <v>3045</v>
      </c>
      <c r="C1782" t="s">
        <v>3046</v>
      </c>
      <c r="D1782" t="s">
        <v>5222</v>
      </c>
      <c r="E1782" t="s">
        <v>5168</v>
      </c>
    </row>
    <row r="1783" spans="1:5">
      <c r="A1783" t="s">
        <v>5244</v>
      </c>
      <c r="B1783" t="s">
        <v>3047</v>
      </c>
      <c r="C1783" t="s">
        <v>3048</v>
      </c>
      <c r="D1783" t="s">
        <v>5157</v>
      </c>
      <c r="E1783" t="s">
        <v>5157</v>
      </c>
    </row>
    <row r="1784" spans="1:5">
      <c r="A1784" t="s">
        <v>5244</v>
      </c>
      <c r="B1784" t="s">
        <v>3049</v>
      </c>
      <c r="C1784" t="s">
        <v>3050</v>
      </c>
      <c r="D1784" t="s">
        <v>5157</v>
      </c>
      <c r="E1784" t="s">
        <v>5157</v>
      </c>
    </row>
    <row r="1785" spans="1:5">
      <c r="A1785" t="s">
        <v>5244</v>
      </c>
      <c r="B1785" t="s">
        <v>3051</v>
      </c>
      <c r="C1785" t="s">
        <v>3052</v>
      </c>
      <c r="D1785" t="s">
        <v>5157</v>
      </c>
      <c r="E1785" t="s">
        <v>5157</v>
      </c>
    </row>
    <row r="1786" spans="1:5">
      <c r="A1786" t="s">
        <v>5244</v>
      </c>
      <c r="B1786" t="s">
        <v>3053</v>
      </c>
      <c r="C1786" t="s">
        <v>3054</v>
      </c>
      <c r="D1786" t="s">
        <v>5157</v>
      </c>
      <c r="E1786" t="s">
        <v>5157</v>
      </c>
    </row>
    <row r="1787" spans="1:5">
      <c r="A1787" t="s">
        <v>5244</v>
      </c>
      <c r="B1787" t="s">
        <v>3055</v>
      </c>
      <c r="C1787" t="s">
        <v>3056</v>
      </c>
      <c r="D1787" t="s">
        <v>5170</v>
      </c>
      <c r="E1787" t="s">
        <v>5168</v>
      </c>
    </row>
    <row r="1788" spans="1:5">
      <c r="A1788" t="s">
        <v>5244</v>
      </c>
      <c r="B1788" t="s">
        <v>3057</v>
      </c>
      <c r="C1788" t="s">
        <v>3058</v>
      </c>
      <c r="D1788" t="s">
        <v>5184</v>
      </c>
      <c r="E1788" t="s">
        <v>5168</v>
      </c>
    </row>
    <row r="1789" spans="1:5">
      <c r="A1789" t="s">
        <v>5244</v>
      </c>
      <c r="B1789" t="s">
        <v>3059</v>
      </c>
      <c r="C1789" t="s">
        <v>3060</v>
      </c>
      <c r="D1789" t="s">
        <v>5157</v>
      </c>
      <c r="E1789" t="s">
        <v>5157</v>
      </c>
    </row>
    <row r="1790" spans="1:5">
      <c r="A1790" t="s">
        <v>5244</v>
      </c>
      <c r="B1790" t="s">
        <v>3061</v>
      </c>
      <c r="C1790" t="s">
        <v>3062</v>
      </c>
      <c r="D1790" t="s">
        <v>5157</v>
      </c>
      <c r="E1790" t="s">
        <v>5157</v>
      </c>
    </row>
    <row r="1791" spans="1:5">
      <c r="A1791" t="s">
        <v>5244</v>
      </c>
      <c r="B1791" t="s">
        <v>3063</v>
      </c>
      <c r="C1791" t="s">
        <v>3064</v>
      </c>
      <c r="D1791" t="s">
        <v>5157</v>
      </c>
      <c r="E1791" t="s">
        <v>5157</v>
      </c>
    </row>
    <row r="1792" spans="1:5">
      <c r="A1792" t="s">
        <v>5244</v>
      </c>
      <c r="B1792" t="s">
        <v>3065</v>
      </c>
      <c r="C1792" t="s">
        <v>3066</v>
      </c>
      <c r="D1792" t="s">
        <v>5157</v>
      </c>
      <c r="E1792" t="s">
        <v>5157</v>
      </c>
    </row>
    <row r="1793" spans="1:5">
      <c r="A1793" t="s">
        <v>5244</v>
      </c>
      <c r="B1793" t="s">
        <v>3067</v>
      </c>
      <c r="C1793" t="s">
        <v>3068</v>
      </c>
      <c r="D1793" t="s">
        <v>5157</v>
      </c>
      <c r="E1793" t="s">
        <v>5157</v>
      </c>
    </row>
    <row r="1794" spans="1:5">
      <c r="A1794" t="s">
        <v>5244</v>
      </c>
      <c r="B1794" t="s">
        <v>3069</v>
      </c>
      <c r="C1794" t="s">
        <v>3070</v>
      </c>
      <c r="D1794" t="s">
        <v>5157</v>
      </c>
      <c r="E1794" t="s">
        <v>5157</v>
      </c>
    </row>
    <row r="1795" spans="1:5">
      <c r="A1795" t="s">
        <v>5244</v>
      </c>
      <c r="B1795" t="s">
        <v>3071</v>
      </c>
      <c r="C1795" t="s">
        <v>3072</v>
      </c>
      <c r="D1795" t="s">
        <v>5157</v>
      </c>
      <c r="E1795" t="s">
        <v>5157</v>
      </c>
    </row>
    <row r="1796" spans="1:5">
      <c r="A1796" t="s">
        <v>5244</v>
      </c>
      <c r="B1796" t="s">
        <v>3073</v>
      </c>
      <c r="C1796" t="s">
        <v>3074</v>
      </c>
      <c r="D1796" t="s">
        <v>5157</v>
      </c>
      <c r="E1796" t="s">
        <v>5157</v>
      </c>
    </row>
    <row r="1797" spans="1:5">
      <c r="A1797" t="s">
        <v>5244</v>
      </c>
      <c r="B1797" t="s">
        <v>3075</v>
      </c>
      <c r="C1797" t="s">
        <v>3076</v>
      </c>
      <c r="D1797" t="s">
        <v>5157</v>
      </c>
      <c r="E1797" t="s">
        <v>5157</v>
      </c>
    </row>
    <row r="1798" spans="1:5">
      <c r="A1798" t="s">
        <v>5244</v>
      </c>
      <c r="B1798" t="s">
        <v>3077</v>
      </c>
      <c r="C1798" t="s">
        <v>3078</v>
      </c>
      <c r="D1798" t="s">
        <v>5157</v>
      </c>
      <c r="E1798" t="s">
        <v>5157</v>
      </c>
    </row>
    <row r="1799" spans="1:5">
      <c r="A1799" t="s">
        <v>5244</v>
      </c>
      <c r="B1799" t="s">
        <v>3079</v>
      </c>
      <c r="C1799" t="s">
        <v>3080</v>
      </c>
      <c r="D1799" t="s">
        <v>5157</v>
      </c>
      <c r="E1799" t="s">
        <v>5157</v>
      </c>
    </row>
    <row r="1800" spans="1:5">
      <c r="A1800" t="s">
        <v>5244</v>
      </c>
      <c r="B1800" t="s">
        <v>3081</v>
      </c>
      <c r="C1800" t="s">
        <v>3082</v>
      </c>
      <c r="D1800" t="s">
        <v>5157</v>
      </c>
      <c r="E1800" t="s">
        <v>5157</v>
      </c>
    </row>
    <row r="1801" spans="1:5">
      <c r="A1801" t="s">
        <v>5244</v>
      </c>
      <c r="B1801" t="s">
        <v>3083</v>
      </c>
      <c r="C1801" t="s">
        <v>3084</v>
      </c>
      <c r="D1801" t="s">
        <v>5157</v>
      </c>
      <c r="E1801" t="s">
        <v>5157</v>
      </c>
    </row>
    <row r="1802" spans="1:5">
      <c r="A1802" t="s">
        <v>5244</v>
      </c>
      <c r="B1802" t="s">
        <v>3085</v>
      </c>
      <c r="C1802" t="s">
        <v>3086</v>
      </c>
      <c r="D1802" t="s">
        <v>5157</v>
      </c>
      <c r="E1802" t="s">
        <v>5157</v>
      </c>
    </row>
    <row r="1803" spans="1:5">
      <c r="A1803" t="s">
        <v>5244</v>
      </c>
      <c r="B1803" t="s">
        <v>3087</v>
      </c>
      <c r="C1803" t="s">
        <v>3088</v>
      </c>
      <c r="D1803" t="s">
        <v>5157</v>
      </c>
      <c r="E1803" t="s">
        <v>5157</v>
      </c>
    </row>
    <row r="1804" spans="1:5">
      <c r="A1804" t="s">
        <v>5244</v>
      </c>
      <c r="B1804" t="s">
        <v>3089</v>
      </c>
      <c r="C1804" t="s">
        <v>3090</v>
      </c>
      <c r="D1804" t="s">
        <v>5157</v>
      </c>
      <c r="E1804" t="s">
        <v>5157</v>
      </c>
    </row>
    <row r="1805" spans="1:5">
      <c r="A1805" t="s">
        <v>5244</v>
      </c>
      <c r="B1805" t="s">
        <v>3091</v>
      </c>
      <c r="C1805" t="s">
        <v>3092</v>
      </c>
      <c r="D1805" t="s">
        <v>5157</v>
      </c>
      <c r="E1805" t="s">
        <v>5157</v>
      </c>
    </row>
    <row r="1806" spans="1:5">
      <c r="A1806" t="s">
        <v>5244</v>
      </c>
      <c r="B1806" t="s">
        <v>3093</v>
      </c>
      <c r="C1806" t="s">
        <v>3094</v>
      </c>
      <c r="D1806" t="s">
        <v>5157</v>
      </c>
      <c r="E1806" t="s">
        <v>5157</v>
      </c>
    </row>
    <row r="1807" spans="1:5">
      <c r="A1807" t="s">
        <v>5244</v>
      </c>
      <c r="B1807" t="s">
        <v>3095</v>
      </c>
      <c r="C1807" t="s">
        <v>3096</v>
      </c>
      <c r="D1807" t="s">
        <v>5157</v>
      </c>
      <c r="E1807" t="s">
        <v>5157</v>
      </c>
    </row>
    <row r="1808" spans="1:5">
      <c r="A1808" t="s">
        <v>5244</v>
      </c>
      <c r="B1808" t="s">
        <v>3097</v>
      </c>
      <c r="C1808" t="s">
        <v>3098</v>
      </c>
      <c r="D1808" t="s">
        <v>5157</v>
      </c>
      <c r="E1808" t="s">
        <v>5157</v>
      </c>
    </row>
    <row r="1809" spans="1:5">
      <c r="A1809" t="s">
        <v>5244</v>
      </c>
      <c r="B1809" t="s">
        <v>3099</v>
      </c>
      <c r="C1809" t="s">
        <v>3100</v>
      </c>
      <c r="D1809" t="s">
        <v>5157</v>
      </c>
      <c r="E1809" t="s">
        <v>5157</v>
      </c>
    </row>
    <row r="1810" spans="1:5">
      <c r="A1810" t="s">
        <v>5244</v>
      </c>
      <c r="B1810" t="s">
        <v>3101</v>
      </c>
      <c r="C1810" t="s">
        <v>3102</v>
      </c>
      <c r="D1810" t="s">
        <v>5157</v>
      </c>
      <c r="E1810" t="s">
        <v>5157</v>
      </c>
    </row>
    <row r="1811" spans="1:5">
      <c r="A1811" t="s">
        <v>5244</v>
      </c>
      <c r="B1811" t="s">
        <v>3103</v>
      </c>
      <c r="C1811" t="s">
        <v>3104</v>
      </c>
      <c r="D1811" t="s">
        <v>5157</v>
      </c>
      <c r="E1811" t="s">
        <v>5157</v>
      </c>
    </row>
    <row r="1812" spans="1:5">
      <c r="A1812" t="s">
        <v>5244</v>
      </c>
      <c r="B1812" t="s">
        <v>3105</v>
      </c>
      <c r="C1812" t="s">
        <v>3106</v>
      </c>
      <c r="D1812" t="s">
        <v>5157</v>
      </c>
      <c r="E1812" t="s">
        <v>5157</v>
      </c>
    </row>
    <row r="1813" spans="1:5">
      <c r="A1813" t="s">
        <v>5244</v>
      </c>
      <c r="B1813" t="s">
        <v>3107</v>
      </c>
      <c r="C1813" t="s">
        <v>3108</v>
      </c>
      <c r="D1813" t="s">
        <v>5157</v>
      </c>
      <c r="E1813" t="s">
        <v>5157</v>
      </c>
    </row>
    <row r="1814" spans="1:5">
      <c r="A1814" t="s">
        <v>5244</v>
      </c>
      <c r="B1814" t="s">
        <v>3109</v>
      </c>
      <c r="C1814" t="s">
        <v>3110</v>
      </c>
      <c r="D1814" t="s">
        <v>5157</v>
      </c>
      <c r="E1814" t="s">
        <v>5157</v>
      </c>
    </row>
    <row r="1815" spans="1:5">
      <c r="A1815" t="s">
        <v>5244</v>
      </c>
      <c r="B1815" t="s">
        <v>3111</v>
      </c>
      <c r="C1815" t="s">
        <v>3112</v>
      </c>
      <c r="D1815" t="s">
        <v>5157</v>
      </c>
      <c r="E1815" t="s">
        <v>5157</v>
      </c>
    </row>
    <row r="1816" spans="1:5">
      <c r="A1816" t="s">
        <v>5244</v>
      </c>
      <c r="B1816" t="s">
        <v>3113</v>
      </c>
      <c r="C1816" t="s">
        <v>3114</v>
      </c>
      <c r="D1816" t="s">
        <v>5157</v>
      </c>
      <c r="E1816" t="s">
        <v>5157</v>
      </c>
    </row>
    <row r="1817" spans="1:5">
      <c r="A1817" t="s">
        <v>5244</v>
      </c>
      <c r="B1817" t="s">
        <v>3115</v>
      </c>
      <c r="C1817" t="s">
        <v>3116</v>
      </c>
      <c r="D1817" t="s">
        <v>5157</v>
      </c>
      <c r="E1817" t="s">
        <v>5157</v>
      </c>
    </row>
    <row r="1818" spans="1:5">
      <c r="A1818" t="s">
        <v>5244</v>
      </c>
      <c r="B1818" t="s">
        <v>3117</v>
      </c>
      <c r="C1818" t="s">
        <v>3118</v>
      </c>
      <c r="D1818" t="s">
        <v>5157</v>
      </c>
      <c r="E1818" t="s">
        <v>5157</v>
      </c>
    </row>
    <row r="1819" spans="1:5">
      <c r="A1819" t="s">
        <v>5244</v>
      </c>
      <c r="B1819" t="s">
        <v>3119</v>
      </c>
      <c r="C1819" t="s">
        <v>3120</v>
      </c>
      <c r="D1819" t="s">
        <v>5157</v>
      </c>
      <c r="E1819" t="s">
        <v>5157</v>
      </c>
    </row>
    <row r="1820" spans="1:5">
      <c r="A1820" t="s">
        <v>5244</v>
      </c>
      <c r="B1820" t="s">
        <v>3121</v>
      </c>
      <c r="C1820" t="s">
        <v>3122</v>
      </c>
      <c r="D1820" t="s">
        <v>5157</v>
      </c>
      <c r="E1820" t="s">
        <v>5157</v>
      </c>
    </row>
    <row r="1821" spans="1:5">
      <c r="A1821" t="s">
        <v>5244</v>
      </c>
      <c r="B1821" t="s">
        <v>3123</v>
      </c>
      <c r="C1821" t="s">
        <v>3124</v>
      </c>
      <c r="D1821" t="s">
        <v>5157</v>
      </c>
      <c r="E1821" t="s">
        <v>5157</v>
      </c>
    </row>
    <row r="1822" spans="1:5">
      <c r="A1822" t="s">
        <v>5244</v>
      </c>
      <c r="B1822" t="s">
        <v>3125</v>
      </c>
      <c r="C1822" t="s">
        <v>3126</v>
      </c>
      <c r="D1822" t="s">
        <v>5157</v>
      </c>
      <c r="E1822" t="s">
        <v>5157</v>
      </c>
    </row>
    <row r="1823" spans="1:5">
      <c r="A1823" t="s">
        <v>5244</v>
      </c>
      <c r="B1823" t="s">
        <v>3127</v>
      </c>
      <c r="C1823" t="s">
        <v>3128</v>
      </c>
      <c r="D1823" t="s">
        <v>5157</v>
      </c>
      <c r="E1823" t="s">
        <v>5157</v>
      </c>
    </row>
    <row r="1824" spans="1:5">
      <c r="A1824" t="s">
        <v>5244</v>
      </c>
      <c r="B1824" t="s">
        <v>3129</v>
      </c>
      <c r="C1824" t="s">
        <v>3130</v>
      </c>
      <c r="D1824" t="s">
        <v>5157</v>
      </c>
      <c r="E1824" t="s">
        <v>5157</v>
      </c>
    </row>
    <row r="1825" spans="1:5">
      <c r="A1825" t="s">
        <v>5244</v>
      </c>
      <c r="B1825" t="s">
        <v>3131</v>
      </c>
      <c r="C1825" t="s">
        <v>3132</v>
      </c>
      <c r="D1825" t="s">
        <v>5157</v>
      </c>
      <c r="E1825" t="s">
        <v>5157</v>
      </c>
    </row>
    <row r="1826" spans="1:5">
      <c r="A1826" t="s">
        <v>5244</v>
      </c>
      <c r="B1826" t="s">
        <v>3133</v>
      </c>
      <c r="C1826" t="s">
        <v>3134</v>
      </c>
      <c r="D1826" t="s">
        <v>5157</v>
      </c>
      <c r="E1826" t="s">
        <v>5157</v>
      </c>
    </row>
    <row r="1827" spans="1:5">
      <c r="A1827" t="s">
        <v>5244</v>
      </c>
      <c r="B1827" t="s">
        <v>3135</v>
      </c>
      <c r="C1827" t="s">
        <v>3136</v>
      </c>
      <c r="D1827" t="s">
        <v>5157</v>
      </c>
      <c r="E1827" t="s">
        <v>5157</v>
      </c>
    </row>
    <row r="1828" spans="1:5">
      <c r="A1828" t="s">
        <v>5244</v>
      </c>
      <c r="B1828" t="s">
        <v>3137</v>
      </c>
      <c r="C1828" t="s">
        <v>3138</v>
      </c>
      <c r="D1828" t="s">
        <v>5157</v>
      </c>
      <c r="E1828" t="s">
        <v>5157</v>
      </c>
    </row>
    <row r="1829" spans="1:5">
      <c r="A1829" t="s">
        <v>5244</v>
      </c>
      <c r="B1829" t="s">
        <v>3139</v>
      </c>
      <c r="C1829" t="s">
        <v>3140</v>
      </c>
      <c r="D1829" t="s">
        <v>5157</v>
      </c>
      <c r="E1829" t="s">
        <v>5157</v>
      </c>
    </row>
    <row r="1830" spans="1:5">
      <c r="A1830" t="s">
        <v>5244</v>
      </c>
      <c r="B1830" t="s">
        <v>3141</v>
      </c>
      <c r="C1830" t="s">
        <v>3142</v>
      </c>
      <c r="D1830" t="s">
        <v>5157</v>
      </c>
      <c r="E1830" t="s">
        <v>5157</v>
      </c>
    </row>
    <row r="1831" spans="1:5">
      <c r="A1831" t="s">
        <v>5244</v>
      </c>
      <c r="B1831" t="s">
        <v>3143</v>
      </c>
      <c r="C1831" t="s">
        <v>3144</v>
      </c>
      <c r="D1831" t="s">
        <v>5157</v>
      </c>
      <c r="E1831" t="s">
        <v>5157</v>
      </c>
    </row>
    <row r="1832" spans="1:5">
      <c r="A1832" t="s">
        <v>5244</v>
      </c>
      <c r="B1832" t="s">
        <v>3145</v>
      </c>
      <c r="C1832" t="s">
        <v>3146</v>
      </c>
      <c r="D1832" t="s">
        <v>5157</v>
      </c>
      <c r="E1832" t="s">
        <v>5157</v>
      </c>
    </row>
    <row r="1833" spans="1:5">
      <c r="A1833" t="s">
        <v>5244</v>
      </c>
      <c r="B1833" t="s">
        <v>3147</v>
      </c>
      <c r="C1833" t="s">
        <v>3148</v>
      </c>
      <c r="D1833" t="s">
        <v>5157</v>
      </c>
      <c r="E1833" t="s">
        <v>5157</v>
      </c>
    </row>
    <row r="1834" spans="1:5">
      <c r="A1834" t="s">
        <v>5244</v>
      </c>
      <c r="B1834" t="s">
        <v>3149</v>
      </c>
      <c r="C1834" t="s">
        <v>3150</v>
      </c>
      <c r="D1834" t="s">
        <v>5157</v>
      </c>
      <c r="E1834" t="s">
        <v>5157</v>
      </c>
    </row>
    <row r="1835" spans="1:5">
      <c r="A1835" t="s">
        <v>5244</v>
      </c>
      <c r="B1835" t="s">
        <v>3151</v>
      </c>
      <c r="C1835" t="s">
        <v>3152</v>
      </c>
      <c r="D1835" t="s">
        <v>5157</v>
      </c>
      <c r="E1835" t="s">
        <v>5157</v>
      </c>
    </row>
    <row r="1836" spans="1:5">
      <c r="A1836" t="s">
        <v>5244</v>
      </c>
      <c r="B1836" t="s">
        <v>3153</v>
      </c>
      <c r="C1836" t="s">
        <v>3154</v>
      </c>
      <c r="D1836" t="s">
        <v>5157</v>
      </c>
      <c r="E1836" t="s">
        <v>5157</v>
      </c>
    </row>
    <row r="1837" spans="1:5">
      <c r="A1837" t="s">
        <v>5244</v>
      </c>
      <c r="B1837" t="s">
        <v>3155</v>
      </c>
      <c r="C1837" t="s">
        <v>3156</v>
      </c>
      <c r="D1837" t="s">
        <v>5157</v>
      </c>
      <c r="E1837" t="s">
        <v>5157</v>
      </c>
    </row>
    <row r="1838" spans="1:5">
      <c r="A1838" t="s">
        <v>5244</v>
      </c>
      <c r="B1838" t="s">
        <v>3157</v>
      </c>
      <c r="C1838" t="s">
        <v>3158</v>
      </c>
      <c r="D1838" t="s">
        <v>5157</v>
      </c>
      <c r="E1838" t="s">
        <v>5157</v>
      </c>
    </row>
    <row r="1839" spans="1:5">
      <c r="A1839" t="s">
        <v>5244</v>
      </c>
      <c r="B1839" t="s">
        <v>3159</v>
      </c>
      <c r="C1839" t="s">
        <v>3160</v>
      </c>
      <c r="D1839" t="s">
        <v>5157</v>
      </c>
      <c r="E1839" t="s">
        <v>5157</v>
      </c>
    </row>
    <row r="1840" spans="1:5">
      <c r="A1840" t="s">
        <v>5244</v>
      </c>
      <c r="B1840" t="s">
        <v>3161</v>
      </c>
      <c r="C1840" t="s">
        <v>3162</v>
      </c>
      <c r="D1840" t="s">
        <v>5157</v>
      </c>
      <c r="E1840" t="s">
        <v>5157</v>
      </c>
    </row>
    <row r="1841" spans="1:5">
      <c r="A1841" t="s">
        <v>5244</v>
      </c>
      <c r="B1841" t="s">
        <v>3163</v>
      </c>
      <c r="C1841" t="s">
        <v>3164</v>
      </c>
      <c r="D1841" t="s">
        <v>5157</v>
      </c>
      <c r="E1841" t="s">
        <v>5157</v>
      </c>
    </row>
    <row r="1842" spans="1:5">
      <c r="A1842" t="s">
        <v>5244</v>
      </c>
      <c r="B1842" t="s">
        <v>5776</v>
      </c>
      <c r="C1842" t="s">
        <v>5777</v>
      </c>
      <c r="D1842" t="s">
        <v>5157</v>
      </c>
      <c r="E1842" t="s">
        <v>5157</v>
      </c>
    </row>
    <row r="1843" spans="1:5">
      <c r="A1843" t="s">
        <v>5244</v>
      </c>
      <c r="B1843" t="s">
        <v>3165</v>
      </c>
      <c r="C1843" t="s">
        <v>3166</v>
      </c>
      <c r="D1843" t="s">
        <v>5157</v>
      </c>
      <c r="E1843" t="s">
        <v>5157</v>
      </c>
    </row>
    <row r="1844" spans="1:5">
      <c r="A1844" t="s">
        <v>5244</v>
      </c>
      <c r="B1844" t="s">
        <v>3167</v>
      </c>
      <c r="C1844" t="s">
        <v>3168</v>
      </c>
      <c r="D1844" t="s">
        <v>5157</v>
      </c>
      <c r="E1844" t="s">
        <v>5157</v>
      </c>
    </row>
    <row r="1845" spans="1:5">
      <c r="A1845" t="s">
        <v>5244</v>
      </c>
      <c r="B1845" t="s">
        <v>3169</v>
      </c>
      <c r="C1845" t="s">
        <v>3170</v>
      </c>
      <c r="D1845" t="s">
        <v>5157</v>
      </c>
      <c r="E1845" t="s">
        <v>5157</v>
      </c>
    </row>
    <row r="1846" spans="1:5">
      <c r="A1846" t="s">
        <v>5244</v>
      </c>
      <c r="B1846" t="s">
        <v>3171</v>
      </c>
      <c r="C1846" t="s">
        <v>3172</v>
      </c>
      <c r="D1846" t="s">
        <v>5157</v>
      </c>
      <c r="E1846" t="s">
        <v>5157</v>
      </c>
    </row>
    <row r="1847" spans="1:5">
      <c r="A1847" t="s">
        <v>5244</v>
      </c>
      <c r="B1847" t="s">
        <v>3173</v>
      </c>
      <c r="C1847" t="s">
        <v>3174</v>
      </c>
      <c r="D1847" t="s">
        <v>5158</v>
      </c>
      <c r="E1847" t="s">
        <v>5159</v>
      </c>
    </row>
    <row r="1848" spans="1:5">
      <c r="A1848" t="s">
        <v>5244</v>
      </c>
      <c r="B1848" t="s">
        <v>3175</v>
      </c>
      <c r="C1848" t="s">
        <v>3176</v>
      </c>
      <c r="D1848" t="s">
        <v>5158</v>
      </c>
      <c r="E1848" t="s">
        <v>5159</v>
      </c>
    </row>
    <row r="1849" spans="1:5">
      <c r="A1849" t="s">
        <v>5244</v>
      </c>
      <c r="B1849" t="s">
        <v>3177</v>
      </c>
      <c r="C1849" t="s">
        <v>3178</v>
      </c>
      <c r="D1849" t="s">
        <v>5157</v>
      </c>
      <c r="E1849" t="s">
        <v>5157</v>
      </c>
    </row>
    <row r="1850" spans="1:5">
      <c r="A1850" t="s">
        <v>5244</v>
      </c>
      <c r="B1850" t="s">
        <v>897</v>
      </c>
      <c r="C1850" t="s">
        <v>3179</v>
      </c>
      <c r="D1850" t="s">
        <v>5223</v>
      </c>
      <c r="E1850" t="s">
        <v>5168</v>
      </c>
    </row>
    <row r="1851" spans="1:5">
      <c r="A1851" t="s">
        <v>5244</v>
      </c>
      <c r="B1851" t="s">
        <v>898</v>
      </c>
      <c r="C1851" t="s">
        <v>3180</v>
      </c>
      <c r="D1851" t="s">
        <v>5167</v>
      </c>
      <c r="E1851" t="s">
        <v>5168</v>
      </c>
    </row>
    <row r="1852" spans="1:5">
      <c r="A1852" t="s">
        <v>5244</v>
      </c>
      <c r="B1852" t="s">
        <v>5778</v>
      </c>
      <c r="C1852" t="s">
        <v>5779</v>
      </c>
      <c r="D1852" t="s">
        <v>5167</v>
      </c>
      <c r="E1852" t="s">
        <v>5168</v>
      </c>
    </row>
    <row r="1853" spans="1:5">
      <c r="A1853" t="s">
        <v>5244</v>
      </c>
      <c r="B1853" t="s">
        <v>899</v>
      </c>
      <c r="C1853" t="s">
        <v>3181</v>
      </c>
      <c r="D1853" t="s">
        <v>5223</v>
      </c>
      <c r="E1853" t="s">
        <v>5168</v>
      </c>
    </row>
    <row r="1854" spans="1:5">
      <c r="A1854" t="s">
        <v>5244</v>
      </c>
      <c r="B1854" t="s">
        <v>5780</v>
      </c>
      <c r="C1854" t="s">
        <v>5781</v>
      </c>
      <c r="D1854" t="s">
        <v>5157</v>
      </c>
      <c r="E1854" t="s">
        <v>5157</v>
      </c>
    </row>
    <row r="1855" spans="1:5">
      <c r="A1855" t="s">
        <v>5244</v>
      </c>
      <c r="B1855" t="s">
        <v>3182</v>
      </c>
      <c r="C1855" t="s">
        <v>3183</v>
      </c>
      <c r="D1855" t="s">
        <v>5157</v>
      </c>
      <c r="E1855" t="s">
        <v>5157</v>
      </c>
    </row>
    <row r="1856" spans="1:5">
      <c r="A1856" t="s">
        <v>5244</v>
      </c>
      <c r="B1856" t="s">
        <v>3184</v>
      </c>
      <c r="C1856" t="s">
        <v>3185</v>
      </c>
      <c r="D1856" t="s">
        <v>5157</v>
      </c>
      <c r="E1856" t="s">
        <v>5157</v>
      </c>
    </row>
    <row r="1857" spans="1:5">
      <c r="A1857" t="s">
        <v>5244</v>
      </c>
      <c r="B1857" t="s">
        <v>3186</v>
      </c>
      <c r="C1857" t="s">
        <v>3187</v>
      </c>
      <c r="D1857" t="s">
        <v>5157</v>
      </c>
      <c r="E1857" t="s">
        <v>5157</v>
      </c>
    </row>
    <row r="1858" spans="1:5">
      <c r="A1858" t="s">
        <v>5244</v>
      </c>
      <c r="B1858" t="s">
        <v>5782</v>
      </c>
      <c r="C1858" t="s">
        <v>5783</v>
      </c>
      <c r="D1858" t="s">
        <v>5157</v>
      </c>
      <c r="E1858" t="s">
        <v>5157</v>
      </c>
    </row>
    <row r="1859" spans="1:5">
      <c r="A1859" t="s">
        <v>5241</v>
      </c>
      <c r="B1859" t="s">
        <v>3188</v>
      </c>
      <c r="C1859" t="s">
        <v>3189</v>
      </c>
      <c r="D1859" t="s">
        <v>5157</v>
      </c>
      <c r="E1859" t="s">
        <v>5157</v>
      </c>
    </row>
    <row r="1860" spans="1:5">
      <c r="A1860" t="s">
        <v>5241</v>
      </c>
      <c r="B1860" t="s">
        <v>3190</v>
      </c>
      <c r="C1860" t="s">
        <v>3191</v>
      </c>
      <c r="D1860" t="s">
        <v>5157</v>
      </c>
      <c r="E1860" t="s">
        <v>5157</v>
      </c>
    </row>
    <row r="1861" spans="1:5">
      <c r="A1861" t="s">
        <v>5241</v>
      </c>
      <c r="B1861" t="s">
        <v>3192</v>
      </c>
      <c r="C1861" t="s">
        <v>3193</v>
      </c>
      <c r="D1861" t="s">
        <v>5157</v>
      </c>
      <c r="E1861" t="s">
        <v>5157</v>
      </c>
    </row>
    <row r="1862" spans="1:5">
      <c r="A1862" t="s">
        <v>5241</v>
      </c>
      <c r="B1862" t="s">
        <v>5784</v>
      </c>
      <c r="C1862" t="s">
        <v>5785</v>
      </c>
      <c r="D1862" t="s">
        <v>5157</v>
      </c>
      <c r="E1862" t="s">
        <v>5157</v>
      </c>
    </row>
    <row r="1863" spans="1:5">
      <c r="A1863" t="s">
        <v>5241</v>
      </c>
      <c r="B1863" t="s">
        <v>5786</v>
      </c>
      <c r="C1863" t="s">
        <v>5787</v>
      </c>
      <c r="D1863" t="s">
        <v>5157</v>
      </c>
      <c r="E1863" t="s">
        <v>5157</v>
      </c>
    </row>
    <row r="1864" spans="1:5">
      <c r="A1864" t="s">
        <v>5241</v>
      </c>
      <c r="B1864" t="s">
        <v>3194</v>
      </c>
      <c r="C1864" t="s">
        <v>3195</v>
      </c>
      <c r="D1864" t="s">
        <v>5157</v>
      </c>
      <c r="E1864" t="s">
        <v>5157</v>
      </c>
    </row>
    <row r="1865" spans="1:5">
      <c r="A1865" t="s">
        <v>5241</v>
      </c>
      <c r="B1865" t="s">
        <v>3196</v>
      </c>
      <c r="C1865" t="s">
        <v>3197</v>
      </c>
      <c r="D1865" t="s">
        <v>5166</v>
      </c>
      <c r="E1865" t="s">
        <v>5163</v>
      </c>
    </row>
    <row r="1866" spans="1:5">
      <c r="A1866" t="s">
        <v>5241</v>
      </c>
      <c r="B1866" t="s">
        <v>3198</v>
      </c>
      <c r="C1866" t="s">
        <v>3199</v>
      </c>
      <c r="D1866" t="s">
        <v>5157</v>
      </c>
      <c r="E1866" t="s">
        <v>5157</v>
      </c>
    </row>
    <row r="1867" spans="1:5">
      <c r="A1867" t="s">
        <v>5241</v>
      </c>
      <c r="B1867" t="s">
        <v>3200</v>
      </c>
      <c r="C1867" t="s">
        <v>3201</v>
      </c>
      <c r="D1867" t="s">
        <v>5157</v>
      </c>
      <c r="E1867" t="s">
        <v>5157</v>
      </c>
    </row>
    <row r="1868" spans="1:5">
      <c r="A1868" t="s">
        <v>5241</v>
      </c>
      <c r="B1868" t="s">
        <v>3202</v>
      </c>
      <c r="C1868" t="s">
        <v>3203</v>
      </c>
      <c r="D1868" t="s">
        <v>5157</v>
      </c>
      <c r="E1868" t="s">
        <v>5157</v>
      </c>
    </row>
    <row r="1869" spans="1:5">
      <c r="A1869" t="s">
        <v>5241</v>
      </c>
      <c r="B1869" t="s">
        <v>5788</v>
      </c>
      <c r="C1869" t="s">
        <v>5789</v>
      </c>
      <c r="D1869" t="s">
        <v>5157</v>
      </c>
      <c r="E1869" t="s">
        <v>5157</v>
      </c>
    </row>
    <row r="1870" spans="1:5">
      <c r="A1870" t="s">
        <v>5241</v>
      </c>
      <c r="B1870" t="s">
        <v>3204</v>
      </c>
      <c r="C1870" t="s">
        <v>3205</v>
      </c>
      <c r="D1870" t="s">
        <v>5157</v>
      </c>
      <c r="E1870" t="s">
        <v>5157</v>
      </c>
    </row>
    <row r="1871" spans="1:5">
      <c r="A1871" t="s">
        <v>5241</v>
      </c>
      <c r="B1871" t="s">
        <v>3206</v>
      </c>
      <c r="C1871" t="s">
        <v>3207</v>
      </c>
      <c r="D1871" t="s">
        <v>5157</v>
      </c>
      <c r="E1871" t="s">
        <v>5157</v>
      </c>
    </row>
    <row r="1872" spans="1:5">
      <c r="A1872" t="s">
        <v>5241</v>
      </c>
      <c r="B1872" t="s">
        <v>3208</v>
      </c>
      <c r="C1872" t="s">
        <v>3209</v>
      </c>
      <c r="D1872" t="s">
        <v>5157</v>
      </c>
      <c r="E1872" t="s">
        <v>5157</v>
      </c>
    </row>
    <row r="1873" spans="1:5">
      <c r="A1873" t="s">
        <v>5241</v>
      </c>
      <c r="B1873" t="s">
        <v>5790</v>
      </c>
      <c r="C1873" t="s">
        <v>5791</v>
      </c>
      <c r="D1873" t="s">
        <v>5157</v>
      </c>
      <c r="E1873" t="s">
        <v>5157</v>
      </c>
    </row>
    <row r="1874" spans="1:5">
      <c r="A1874" t="s">
        <v>5241</v>
      </c>
      <c r="B1874" t="s">
        <v>3210</v>
      </c>
      <c r="C1874" t="s">
        <v>3211</v>
      </c>
      <c r="D1874" t="s">
        <v>5157</v>
      </c>
      <c r="E1874" t="s">
        <v>5157</v>
      </c>
    </row>
    <row r="1875" spans="1:5">
      <c r="A1875" t="s">
        <v>5241</v>
      </c>
      <c r="B1875" t="s">
        <v>5792</v>
      </c>
      <c r="C1875" t="s">
        <v>5793</v>
      </c>
      <c r="D1875" t="s">
        <v>5157</v>
      </c>
      <c r="E1875" t="s">
        <v>5157</v>
      </c>
    </row>
    <row r="1876" spans="1:5">
      <c r="A1876" t="s">
        <v>5241</v>
      </c>
      <c r="B1876" t="s">
        <v>3212</v>
      </c>
      <c r="C1876" t="s">
        <v>3213</v>
      </c>
      <c r="D1876" t="s">
        <v>5157</v>
      </c>
      <c r="E1876" t="s">
        <v>5157</v>
      </c>
    </row>
    <row r="1877" spans="1:5">
      <c r="A1877" t="s">
        <v>5241</v>
      </c>
      <c r="B1877" t="s">
        <v>5794</v>
      </c>
      <c r="C1877" t="s">
        <v>5795</v>
      </c>
      <c r="D1877" t="s">
        <v>5157</v>
      </c>
      <c r="E1877" t="s">
        <v>5157</v>
      </c>
    </row>
    <row r="1878" spans="1:5">
      <c r="A1878" t="s">
        <v>5241</v>
      </c>
      <c r="B1878" t="s">
        <v>5796</v>
      </c>
      <c r="C1878" t="s">
        <v>5797</v>
      </c>
      <c r="D1878" t="s">
        <v>5162</v>
      </c>
      <c r="E1878" t="s">
        <v>5210</v>
      </c>
    </row>
    <row r="1879" spans="1:5">
      <c r="A1879" t="s">
        <v>5241</v>
      </c>
      <c r="B1879" t="s">
        <v>5798</v>
      </c>
      <c r="C1879" t="s">
        <v>5799</v>
      </c>
      <c r="D1879" t="s">
        <v>5162</v>
      </c>
      <c r="E1879" t="s">
        <v>5210</v>
      </c>
    </row>
    <row r="1880" spans="1:5">
      <c r="A1880" t="s">
        <v>5241</v>
      </c>
      <c r="B1880" t="s">
        <v>5800</v>
      </c>
      <c r="C1880" t="s">
        <v>5801</v>
      </c>
      <c r="D1880" t="s">
        <v>5157</v>
      </c>
      <c r="E1880" t="s">
        <v>5157</v>
      </c>
    </row>
    <row r="1881" spans="1:5">
      <c r="A1881" t="s">
        <v>5241</v>
      </c>
      <c r="B1881" t="s">
        <v>3214</v>
      </c>
      <c r="C1881" t="s">
        <v>3215</v>
      </c>
      <c r="D1881" t="s">
        <v>5157</v>
      </c>
      <c r="E1881" t="s">
        <v>5157</v>
      </c>
    </row>
    <row r="1882" spans="1:5">
      <c r="A1882" t="s">
        <v>5241</v>
      </c>
      <c r="B1882" t="s">
        <v>5802</v>
      </c>
      <c r="C1882" t="s">
        <v>5803</v>
      </c>
      <c r="D1882" t="s">
        <v>5157</v>
      </c>
      <c r="E1882" t="s">
        <v>5157</v>
      </c>
    </row>
    <row r="1883" spans="1:5">
      <c r="A1883" t="s">
        <v>5241</v>
      </c>
      <c r="B1883" t="s">
        <v>3216</v>
      </c>
      <c r="C1883" t="s">
        <v>3217</v>
      </c>
      <c r="D1883" t="s">
        <v>5157</v>
      </c>
      <c r="E1883" t="s">
        <v>5157</v>
      </c>
    </row>
    <row r="1884" spans="1:5">
      <c r="A1884" t="s">
        <v>5241</v>
      </c>
      <c r="B1884" t="s">
        <v>3218</v>
      </c>
      <c r="C1884" t="s">
        <v>3219</v>
      </c>
      <c r="D1884" t="s">
        <v>5157</v>
      </c>
      <c r="E1884" t="s">
        <v>5157</v>
      </c>
    </row>
    <row r="1885" spans="1:5">
      <c r="A1885" t="s">
        <v>5241</v>
      </c>
      <c r="B1885" t="s">
        <v>3220</v>
      </c>
      <c r="C1885" t="s">
        <v>3221</v>
      </c>
      <c r="D1885" t="s">
        <v>5162</v>
      </c>
      <c r="E1885" t="s">
        <v>5210</v>
      </c>
    </row>
    <row r="1886" spans="1:5">
      <c r="A1886" t="s">
        <v>5241</v>
      </c>
      <c r="B1886" t="s">
        <v>3222</v>
      </c>
      <c r="C1886" t="s">
        <v>3223</v>
      </c>
      <c r="D1886" t="s">
        <v>5157</v>
      </c>
      <c r="E1886" t="s">
        <v>5157</v>
      </c>
    </row>
    <row r="1887" spans="1:5">
      <c r="A1887" t="s">
        <v>5241</v>
      </c>
      <c r="B1887" t="s">
        <v>3224</v>
      </c>
      <c r="C1887" t="s">
        <v>3225</v>
      </c>
      <c r="D1887" t="s">
        <v>5157</v>
      </c>
      <c r="E1887" t="s">
        <v>5157</v>
      </c>
    </row>
    <row r="1888" spans="1:5">
      <c r="A1888" t="s">
        <v>5241</v>
      </c>
      <c r="B1888" t="s">
        <v>3226</v>
      </c>
      <c r="C1888" t="s">
        <v>3227</v>
      </c>
      <c r="D1888" t="s">
        <v>5157</v>
      </c>
      <c r="E1888" t="s">
        <v>5157</v>
      </c>
    </row>
    <row r="1889" spans="1:5">
      <c r="A1889" t="s">
        <v>5241</v>
      </c>
      <c r="B1889" t="s">
        <v>3228</v>
      </c>
      <c r="C1889" t="s">
        <v>3229</v>
      </c>
      <c r="D1889" t="s">
        <v>5157</v>
      </c>
      <c r="E1889" t="s">
        <v>5157</v>
      </c>
    </row>
    <row r="1890" spans="1:5">
      <c r="A1890" t="s">
        <v>5244</v>
      </c>
      <c r="B1890" t="s">
        <v>3228</v>
      </c>
      <c r="C1890" t="s">
        <v>3229</v>
      </c>
      <c r="D1890" t="s">
        <v>5157</v>
      </c>
      <c r="E1890" t="s">
        <v>5157</v>
      </c>
    </row>
    <row r="1891" spans="1:5">
      <c r="A1891" t="s">
        <v>5241</v>
      </c>
      <c r="B1891" t="s">
        <v>3230</v>
      </c>
      <c r="C1891" t="s">
        <v>3231</v>
      </c>
      <c r="D1891" t="s">
        <v>5157</v>
      </c>
      <c r="E1891" t="s">
        <v>5157</v>
      </c>
    </row>
    <row r="1892" spans="1:5">
      <c r="A1892" t="s">
        <v>5244</v>
      </c>
      <c r="B1892" t="s">
        <v>3230</v>
      </c>
      <c r="C1892" t="s">
        <v>3231</v>
      </c>
      <c r="D1892" t="s">
        <v>5157</v>
      </c>
      <c r="E1892" t="s">
        <v>5157</v>
      </c>
    </row>
    <row r="1893" spans="1:5">
      <c r="A1893" t="s">
        <v>5241</v>
      </c>
      <c r="B1893" t="s">
        <v>3232</v>
      </c>
      <c r="C1893" t="s">
        <v>3233</v>
      </c>
      <c r="D1893" t="s">
        <v>5157</v>
      </c>
      <c r="E1893" t="s">
        <v>5157</v>
      </c>
    </row>
    <row r="1894" spans="1:5">
      <c r="A1894" t="s">
        <v>5241</v>
      </c>
      <c r="B1894" t="s">
        <v>5804</v>
      </c>
      <c r="C1894" t="s">
        <v>5805</v>
      </c>
      <c r="D1894" t="s">
        <v>5157</v>
      </c>
      <c r="E1894" t="s">
        <v>5157</v>
      </c>
    </row>
    <row r="1895" spans="1:5">
      <c r="A1895" t="s">
        <v>5241</v>
      </c>
      <c r="B1895" t="s">
        <v>5806</v>
      </c>
      <c r="C1895" t="s">
        <v>5807</v>
      </c>
      <c r="D1895" t="s">
        <v>5157</v>
      </c>
      <c r="E1895" t="s">
        <v>5157</v>
      </c>
    </row>
    <row r="1896" spans="1:5">
      <c r="A1896" t="s">
        <v>5241</v>
      </c>
      <c r="B1896" t="s">
        <v>3234</v>
      </c>
      <c r="C1896" t="s">
        <v>3235</v>
      </c>
      <c r="D1896" t="s">
        <v>5162</v>
      </c>
      <c r="E1896" t="s">
        <v>5213</v>
      </c>
    </row>
    <row r="1897" spans="1:5">
      <c r="A1897" t="s">
        <v>5244</v>
      </c>
      <c r="B1897" t="s">
        <v>3234</v>
      </c>
      <c r="C1897" t="s">
        <v>3235</v>
      </c>
      <c r="D1897" t="s">
        <v>5162</v>
      </c>
      <c r="E1897" t="s">
        <v>5213</v>
      </c>
    </row>
    <row r="1898" spans="1:5">
      <c r="A1898" t="s">
        <v>5241</v>
      </c>
      <c r="B1898" t="s">
        <v>5808</v>
      </c>
      <c r="C1898" t="s">
        <v>5809</v>
      </c>
      <c r="D1898" t="s">
        <v>5157</v>
      </c>
      <c r="E1898" t="s">
        <v>5157</v>
      </c>
    </row>
    <row r="1899" spans="1:5">
      <c r="A1899" t="s">
        <v>5241</v>
      </c>
      <c r="B1899" t="s">
        <v>3236</v>
      </c>
      <c r="C1899" t="s">
        <v>3237</v>
      </c>
      <c r="D1899" t="s">
        <v>5162</v>
      </c>
      <c r="E1899" t="s">
        <v>5213</v>
      </c>
    </row>
    <row r="1900" spans="1:5">
      <c r="A1900" t="s">
        <v>5241</v>
      </c>
      <c r="B1900" t="s">
        <v>5810</v>
      </c>
      <c r="C1900" t="s">
        <v>5811</v>
      </c>
      <c r="D1900" t="s">
        <v>5157</v>
      </c>
      <c r="E1900" t="s">
        <v>5157</v>
      </c>
    </row>
    <row r="1901" spans="1:5">
      <c r="A1901" t="s">
        <v>5241</v>
      </c>
      <c r="B1901" t="s">
        <v>5812</v>
      </c>
      <c r="C1901" t="s">
        <v>5813</v>
      </c>
      <c r="D1901" t="s">
        <v>5157</v>
      </c>
      <c r="E1901" t="s">
        <v>5157</v>
      </c>
    </row>
    <row r="1902" spans="1:5">
      <c r="A1902" t="s">
        <v>5241</v>
      </c>
      <c r="B1902" t="s">
        <v>3238</v>
      </c>
      <c r="C1902" t="s">
        <v>3239</v>
      </c>
      <c r="D1902" t="s">
        <v>5157</v>
      </c>
      <c r="E1902" t="s">
        <v>5157</v>
      </c>
    </row>
    <row r="1903" spans="1:5">
      <c r="A1903" t="s">
        <v>5241</v>
      </c>
      <c r="B1903" t="s">
        <v>5814</v>
      </c>
      <c r="C1903" t="s">
        <v>5815</v>
      </c>
      <c r="D1903" t="s">
        <v>5157</v>
      </c>
      <c r="E1903" t="s">
        <v>5157</v>
      </c>
    </row>
    <row r="1904" spans="1:5">
      <c r="A1904" t="s">
        <v>5241</v>
      </c>
      <c r="B1904" t="s">
        <v>5816</v>
      </c>
      <c r="C1904" t="s">
        <v>5817</v>
      </c>
      <c r="D1904" t="s">
        <v>5157</v>
      </c>
      <c r="E1904" t="s">
        <v>5157</v>
      </c>
    </row>
    <row r="1905" spans="1:5">
      <c r="A1905" t="s">
        <v>5244</v>
      </c>
      <c r="B1905" t="s">
        <v>3240</v>
      </c>
      <c r="C1905" t="s">
        <v>3241</v>
      </c>
      <c r="D1905" t="s">
        <v>5157</v>
      </c>
      <c r="E1905" t="s">
        <v>5157</v>
      </c>
    </row>
    <row r="1906" spans="1:5">
      <c r="A1906" t="s">
        <v>5241</v>
      </c>
      <c r="B1906" t="s">
        <v>3240</v>
      </c>
      <c r="C1906" t="s">
        <v>3241</v>
      </c>
      <c r="D1906" t="s">
        <v>5157</v>
      </c>
      <c r="E1906" t="s">
        <v>5157</v>
      </c>
    </row>
    <row r="1907" spans="1:5">
      <c r="A1907" t="s">
        <v>5241</v>
      </c>
      <c r="B1907" t="s">
        <v>3242</v>
      </c>
      <c r="C1907" t="s">
        <v>3243</v>
      </c>
      <c r="D1907" t="s">
        <v>5162</v>
      </c>
      <c r="E1907" t="s">
        <v>5213</v>
      </c>
    </row>
    <row r="1908" spans="1:5">
      <c r="A1908" t="s">
        <v>5244</v>
      </c>
      <c r="B1908" t="s">
        <v>3244</v>
      </c>
      <c r="C1908" t="s">
        <v>3245</v>
      </c>
      <c r="D1908" t="s">
        <v>5157</v>
      </c>
      <c r="E1908" t="s">
        <v>5157</v>
      </c>
    </row>
    <row r="1909" spans="1:5">
      <c r="A1909" t="s">
        <v>5241</v>
      </c>
      <c r="B1909" t="s">
        <v>3244</v>
      </c>
      <c r="C1909" t="s">
        <v>3245</v>
      </c>
      <c r="D1909" t="s">
        <v>5157</v>
      </c>
      <c r="E1909" t="s">
        <v>5157</v>
      </c>
    </row>
    <row r="1910" spans="1:5">
      <c r="A1910" t="s">
        <v>5241</v>
      </c>
      <c r="B1910" t="s">
        <v>5818</v>
      </c>
      <c r="C1910" t="s">
        <v>5819</v>
      </c>
      <c r="D1910" t="s">
        <v>5157</v>
      </c>
      <c r="E1910" t="s">
        <v>5157</v>
      </c>
    </row>
    <row r="1911" spans="1:5">
      <c r="A1911" t="s">
        <v>5241</v>
      </c>
      <c r="B1911" t="s">
        <v>5820</v>
      </c>
      <c r="C1911" t="s">
        <v>5821</v>
      </c>
      <c r="D1911" t="s">
        <v>5162</v>
      </c>
      <c r="E1911" t="s">
        <v>5213</v>
      </c>
    </row>
    <row r="1912" spans="1:5">
      <c r="A1912" t="s">
        <v>5241</v>
      </c>
      <c r="B1912" t="s">
        <v>5822</v>
      </c>
      <c r="C1912" t="s">
        <v>5823</v>
      </c>
      <c r="D1912" t="s">
        <v>5157</v>
      </c>
      <c r="E1912" t="s">
        <v>5157</v>
      </c>
    </row>
    <row r="1913" spans="1:5">
      <c r="A1913" t="s">
        <v>5241</v>
      </c>
      <c r="B1913" t="s">
        <v>5824</v>
      </c>
      <c r="C1913" t="s">
        <v>5825</v>
      </c>
      <c r="D1913" t="s">
        <v>5157</v>
      </c>
      <c r="E1913" t="s">
        <v>5157</v>
      </c>
    </row>
    <row r="1914" spans="1:5">
      <c r="A1914" t="s">
        <v>5241</v>
      </c>
      <c r="B1914" t="s">
        <v>5826</v>
      </c>
      <c r="C1914" t="s">
        <v>5827</v>
      </c>
      <c r="D1914" t="s">
        <v>5157</v>
      </c>
      <c r="E1914" t="s">
        <v>5157</v>
      </c>
    </row>
    <row r="1915" spans="1:5">
      <c r="A1915" t="s">
        <v>5241</v>
      </c>
      <c r="B1915" t="s">
        <v>5828</v>
      </c>
      <c r="C1915" t="s">
        <v>5829</v>
      </c>
      <c r="D1915" t="s">
        <v>5157</v>
      </c>
      <c r="E1915" t="s">
        <v>5157</v>
      </c>
    </row>
    <row r="1916" spans="1:5">
      <c r="A1916" t="s">
        <v>5241</v>
      </c>
      <c r="B1916" t="s">
        <v>3246</v>
      </c>
      <c r="C1916" t="s">
        <v>3247</v>
      </c>
      <c r="D1916" t="s">
        <v>5157</v>
      </c>
      <c r="E1916" t="s">
        <v>5157</v>
      </c>
    </row>
    <row r="1917" spans="1:5">
      <c r="A1917" t="s">
        <v>5241</v>
      </c>
      <c r="B1917" t="s">
        <v>3248</v>
      </c>
      <c r="C1917" t="s">
        <v>3249</v>
      </c>
      <c r="D1917" t="s">
        <v>5162</v>
      </c>
      <c r="E1917" t="s">
        <v>5213</v>
      </c>
    </row>
    <row r="1918" spans="1:5">
      <c r="A1918" t="s">
        <v>5241</v>
      </c>
      <c r="B1918" t="s">
        <v>5830</v>
      </c>
      <c r="C1918" t="s">
        <v>5831</v>
      </c>
      <c r="D1918" t="s">
        <v>5157</v>
      </c>
      <c r="E1918" t="s">
        <v>5157</v>
      </c>
    </row>
    <row r="1919" spans="1:5">
      <c r="A1919" t="s">
        <v>5241</v>
      </c>
      <c r="B1919" t="s">
        <v>5832</v>
      </c>
      <c r="C1919" t="s">
        <v>5833</v>
      </c>
      <c r="D1919" t="s">
        <v>5157</v>
      </c>
      <c r="E1919" t="s">
        <v>5157</v>
      </c>
    </row>
    <row r="1920" spans="1:5">
      <c r="A1920" t="s">
        <v>5241</v>
      </c>
      <c r="B1920" t="s">
        <v>5834</v>
      </c>
      <c r="C1920" t="s">
        <v>5835</v>
      </c>
      <c r="D1920" t="s">
        <v>5157</v>
      </c>
      <c r="E1920" t="s">
        <v>5157</v>
      </c>
    </row>
    <row r="1921" spans="1:5">
      <c r="A1921" t="s">
        <v>5241</v>
      </c>
      <c r="B1921" t="s">
        <v>5836</v>
      </c>
      <c r="C1921" t="s">
        <v>5837</v>
      </c>
      <c r="D1921" t="s">
        <v>5157</v>
      </c>
      <c r="E1921" t="s">
        <v>5157</v>
      </c>
    </row>
    <row r="1922" spans="1:5">
      <c r="A1922" t="s">
        <v>5241</v>
      </c>
      <c r="B1922" t="s">
        <v>5838</v>
      </c>
      <c r="C1922" t="s">
        <v>5839</v>
      </c>
      <c r="D1922" t="s">
        <v>5157</v>
      </c>
      <c r="E1922" t="s">
        <v>5157</v>
      </c>
    </row>
    <row r="1923" spans="1:5">
      <c r="A1923" t="s">
        <v>5241</v>
      </c>
      <c r="B1923" t="s">
        <v>5840</v>
      </c>
      <c r="C1923" t="s">
        <v>5841</v>
      </c>
      <c r="D1923" t="s">
        <v>5157</v>
      </c>
      <c r="E1923" t="s">
        <v>5157</v>
      </c>
    </row>
    <row r="1924" spans="1:5">
      <c r="A1924" t="s">
        <v>5241</v>
      </c>
      <c r="B1924" t="s">
        <v>5842</v>
      </c>
      <c r="C1924" t="s">
        <v>5843</v>
      </c>
      <c r="D1924" t="s">
        <v>5157</v>
      </c>
      <c r="E1924" t="s">
        <v>5157</v>
      </c>
    </row>
    <row r="1925" spans="1:5">
      <c r="A1925" t="s">
        <v>5241</v>
      </c>
      <c r="B1925" t="s">
        <v>5844</v>
      </c>
      <c r="C1925" t="s">
        <v>5845</v>
      </c>
      <c r="D1925" t="s">
        <v>5157</v>
      </c>
      <c r="E1925" t="s">
        <v>5157</v>
      </c>
    </row>
    <row r="1926" spans="1:5">
      <c r="A1926" t="s">
        <v>5241</v>
      </c>
      <c r="B1926" t="s">
        <v>5846</v>
      </c>
      <c r="C1926" t="s">
        <v>5847</v>
      </c>
      <c r="D1926" t="s">
        <v>5157</v>
      </c>
      <c r="E1926" t="s">
        <v>5157</v>
      </c>
    </row>
    <row r="1927" spans="1:5">
      <c r="A1927" t="s">
        <v>5241</v>
      </c>
      <c r="B1927" t="s">
        <v>3250</v>
      </c>
      <c r="C1927" t="s">
        <v>3251</v>
      </c>
      <c r="D1927" t="s">
        <v>5157</v>
      </c>
      <c r="E1927" t="s">
        <v>5157</v>
      </c>
    </row>
    <row r="1928" spans="1:5">
      <c r="A1928" t="s">
        <v>5241</v>
      </c>
      <c r="B1928" t="s">
        <v>5848</v>
      </c>
      <c r="C1928" t="s">
        <v>5849</v>
      </c>
      <c r="D1928" t="s">
        <v>5157</v>
      </c>
      <c r="E1928" t="s">
        <v>5157</v>
      </c>
    </row>
    <row r="1929" spans="1:5">
      <c r="A1929" t="s">
        <v>5241</v>
      </c>
      <c r="B1929" t="s">
        <v>3252</v>
      </c>
      <c r="C1929" t="s">
        <v>3253</v>
      </c>
      <c r="D1929" t="s">
        <v>5166</v>
      </c>
      <c r="E1929" t="s">
        <v>5215</v>
      </c>
    </row>
    <row r="1930" spans="1:5">
      <c r="A1930" t="s">
        <v>5241</v>
      </c>
      <c r="B1930" t="s">
        <v>5850</v>
      </c>
      <c r="C1930" t="s">
        <v>5851</v>
      </c>
      <c r="D1930" t="s">
        <v>5157</v>
      </c>
      <c r="E1930" t="s">
        <v>5157</v>
      </c>
    </row>
    <row r="1931" spans="1:5">
      <c r="A1931" t="s">
        <v>5241</v>
      </c>
      <c r="B1931" t="s">
        <v>5852</v>
      </c>
      <c r="C1931" t="s">
        <v>5853</v>
      </c>
      <c r="D1931" t="s">
        <v>5157</v>
      </c>
      <c r="E1931" t="s">
        <v>5157</v>
      </c>
    </row>
    <row r="1932" spans="1:5">
      <c r="A1932" t="s">
        <v>5241</v>
      </c>
      <c r="B1932" t="s">
        <v>3254</v>
      </c>
      <c r="C1932" t="s">
        <v>3255</v>
      </c>
      <c r="D1932" t="s">
        <v>5157</v>
      </c>
      <c r="E1932" t="s">
        <v>5157</v>
      </c>
    </row>
    <row r="1933" spans="1:5">
      <c r="A1933" t="s">
        <v>5244</v>
      </c>
      <c r="B1933" t="s">
        <v>3254</v>
      </c>
      <c r="C1933" t="s">
        <v>3255</v>
      </c>
      <c r="D1933" t="s">
        <v>5157</v>
      </c>
      <c r="E1933" t="s">
        <v>5157</v>
      </c>
    </row>
    <row r="1934" spans="1:5">
      <c r="A1934" t="s">
        <v>5241</v>
      </c>
      <c r="B1934" t="s">
        <v>5854</v>
      </c>
      <c r="C1934" t="s">
        <v>5855</v>
      </c>
      <c r="D1934" t="s">
        <v>5157</v>
      </c>
      <c r="E1934" t="s">
        <v>5157</v>
      </c>
    </row>
    <row r="1935" spans="1:5">
      <c r="A1935" t="s">
        <v>5241</v>
      </c>
      <c r="B1935" t="s">
        <v>5856</v>
      </c>
      <c r="C1935" t="s">
        <v>5857</v>
      </c>
      <c r="D1935" t="s">
        <v>5157</v>
      </c>
      <c r="E1935" t="s">
        <v>5157</v>
      </c>
    </row>
    <row r="1936" spans="1:5">
      <c r="A1936" t="s">
        <v>5241</v>
      </c>
      <c r="B1936" t="s">
        <v>5858</v>
      </c>
      <c r="C1936" t="s">
        <v>5859</v>
      </c>
      <c r="D1936" t="s">
        <v>5157</v>
      </c>
      <c r="E1936" t="s">
        <v>5157</v>
      </c>
    </row>
    <row r="1937" spans="1:5">
      <c r="A1937" t="s">
        <v>5241</v>
      </c>
      <c r="B1937" t="s">
        <v>5860</v>
      </c>
      <c r="C1937" t="s">
        <v>5861</v>
      </c>
      <c r="D1937" t="s">
        <v>5157</v>
      </c>
      <c r="E1937" t="s">
        <v>5157</v>
      </c>
    </row>
    <row r="1938" spans="1:5">
      <c r="A1938" t="s">
        <v>5241</v>
      </c>
      <c r="B1938" t="s">
        <v>5862</v>
      </c>
      <c r="C1938" t="s">
        <v>5863</v>
      </c>
      <c r="D1938" t="s">
        <v>5162</v>
      </c>
      <c r="E1938" t="s">
        <v>5212</v>
      </c>
    </row>
    <row r="1939" spans="1:5">
      <c r="A1939" t="s">
        <v>5241</v>
      </c>
      <c r="B1939" t="s">
        <v>5864</v>
      </c>
      <c r="C1939" t="s">
        <v>5865</v>
      </c>
      <c r="D1939" t="s">
        <v>5157</v>
      </c>
      <c r="E1939" t="s">
        <v>5157</v>
      </c>
    </row>
    <row r="1940" spans="1:5">
      <c r="A1940" t="s">
        <v>5241</v>
      </c>
      <c r="B1940" t="s">
        <v>5866</v>
      </c>
      <c r="C1940" t="s">
        <v>5867</v>
      </c>
      <c r="D1940" t="s">
        <v>5157</v>
      </c>
      <c r="E1940" t="s">
        <v>5157</v>
      </c>
    </row>
    <row r="1941" spans="1:5">
      <c r="A1941" t="s">
        <v>5241</v>
      </c>
      <c r="B1941" t="s">
        <v>3256</v>
      </c>
      <c r="C1941" t="s">
        <v>3257</v>
      </c>
      <c r="D1941" t="s">
        <v>5157</v>
      </c>
      <c r="E1941" t="s">
        <v>5157</v>
      </c>
    </row>
    <row r="1942" spans="1:5">
      <c r="A1942" t="s">
        <v>5244</v>
      </c>
      <c r="B1942" t="s">
        <v>3256</v>
      </c>
      <c r="C1942" t="s">
        <v>3257</v>
      </c>
      <c r="D1942" t="s">
        <v>5157</v>
      </c>
      <c r="E1942" t="s">
        <v>5157</v>
      </c>
    </row>
    <row r="1943" spans="1:5">
      <c r="A1943" t="s">
        <v>5241</v>
      </c>
      <c r="B1943" t="s">
        <v>3258</v>
      </c>
      <c r="C1943" t="s">
        <v>3259</v>
      </c>
      <c r="D1943" t="s">
        <v>5157</v>
      </c>
      <c r="E1943" t="s">
        <v>5157</v>
      </c>
    </row>
    <row r="1944" spans="1:5">
      <c r="A1944" t="s">
        <v>5244</v>
      </c>
      <c r="B1944" t="s">
        <v>3258</v>
      </c>
      <c r="C1944" t="s">
        <v>3259</v>
      </c>
      <c r="D1944" t="s">
        <v>5157</v>
      </c>
      <c r="E1944" t="s">
        <v>5157</v>
      </c>
    </row>
    <row r="1945" spans="1:5">
      <c r="A1945" t="s">
        <v>5241</v>
      </c>
      <c r="B1945" t="s">
        <v>5868</v>
      </c>
      <c r="C1945" t="s">
        <v>5869</v>
      </c>
      <c r="D1945" t="s">
        <v>5157</v>
      </c>
      <c r="E1945" t="s">
        <v>5157</v>
      </c>
    </row>
    <row r="1946" spans="1:5">
      <c r="A1946" t="s">
        <v>5241</v>
      </c>
      <c r="B1946" t="s">
        <v>3260</v>
      </c>
      <c r="C1946" t="s">
        <v>3261</v>
      </c>
      <c r="D1946" t="s">
        <v>5157</v>
      </c>
      <c r="E1946" t="s">
        <v>5157</v>
      </c>
    </row>
    <row r="1947" spans="1:5">
      <c r="A1947" t="s">
        <v>5244</v>
      </c>
      <c r="B1947" t="s">
        <v>3260</v>
      </c>
      <c r="C1947" t="s">
        <v>3261</v>
      </c>
      <c r="D1947" t="s">
        <v>5157</v>
      </c>
      <c r="E1947" t="s">
        <v>5157</v>
      </c>
    </row>
    <row r="1948" spans="1:5">
      <c r="A1948" t="s">
        <v>5241</v>
      </c>
      <c r="B1948" t="s">
        <v>3262</v>
      </c>
      <c r="C1948" t="s">
        <v>3263</v>
      </c>
      <c r="D1948" t="s">
        <v>5162</v>
      </c>
      <c r="E1948" t="s">
        <v>5212</v>
      </c>
    </row>
    <row r="1949" spans="1:5">
      <c r="A1949" t="s">
        <v>5244</v>
      </c>
      <c r="B1949" t="s">
        <v>3262</v>
      </c>
      <c r="C1949" t="s">
        <v>3263</v>
      </c>
      <c r="D1949" t="s">
        <v>5162</v>
      </c>
      <c r="E1949" t="s">
        <v>5212</v>
      </c>
    </row>
    <row r="1950" spans="1:5">
      <c r="A1950" t="s">
        <v>5241</v>
      </c>
      <c r="B1950" t="s">
        <v>5870</v>
      </c>
      <c r="C1950" t="s">
        <v>5871</v>
      </c>
      <c r="D1950" t="s">
        <v>5157</v>
      </c>
      <c r="E1950" t="s">
        <v>5157</v>
      </c>
    </row>
    <row r="1951" spans="1:5">
      <c r="A1951" t="s">
        <v>5241</v>
      </c>
      <c r="B1951" t="s">
        <v>5872</v>
      </c>
      <c r="C1951" t="s">
        <v>5873</v>
      </c>
      <c r="D1951" t="s">
        <v>5162</v>
      </c>
      <c r="E1951" t="s">
        <v>5212</v>
      </c>
    </row>
    <row r="1952" spans="1:5">
      <c r="A1952" t="s">
        <v>5241</v>
      </c>
      <c r="B1952" t="s">
        <v>3264</v>
      </c>
      <c r="C1952" t="s">
        <v>3265</v>
      </c>
      <c r="D1952" t="s">
        <v>5162</v>
      </c>
      <c r="E1952" t="s">
        <v>5212</v>
      </c>
    </row>
    <row r="1953" spans="1:5">
      <c r="A1953" t="s">
        <v>5244</v>
      </c>
      <c r="B1953" t="s">
        <v>3264</v>
      </c>
      <c r="C1953" t="s">
        <v>3265</v>
      </c>
      <c r="D1953" t="s">
        <v>5162</v>
      </c>
      <c r="E1953" t="s">
        <v>5212</v>
      </c>
    </row>
    <row r="1954" spans="1:5">
      <c r="A1954" t="s">
        <v>5241</v>
      </c>
      <c r="B1954" t="s">
        <v>5874</v>
      </c>
      <c r="C1954" t="s">
        <v>5875</v>
      </c>
      <c r="D1954" t="s">
        <v>5157</v>
      </c>
      <c r="E1954" t="s">
        <v>5157</v>
      </c>
    </row>
    <row r="1955" spans="1:5">
      <c r="A1955" t="s">
        <v>5241</v>
      </c>
      <c r="B1955" t="s">
        <v>3266</v>
      </c>
      <c r="C1955" t="s">
        <v>3267</v>
      </c>
      <c r="D1955" t="s">
        <v>5157</v>
      </c>
      <c r="E1955" t="s">
        <v>5157</v>
      </c>
    </row>
    <row r="1956" spans="1:5">
      <c r="A1956" t="s">
        <v>5241</v>
      </c>
      <c r="B1956" t="s">
        <v>3268</v>
      </c>
      <c r="C1956" t="s">
        <v>3269</v>
      </c>
      <c r="D1956" t="s">
        <v>5157</v>
      </c>
      <c r="E1956" t="s">
        <v>5157</v>
      </c>
    </row>
    <row r="1957" spans="1:5">
      <c r="A1957" t="s">
        <v>5241</v>
      </c>
      <c r="B1957" t="s">
        <v>3270</v>
      </c>
      <c r="C1957" t="s">
        <v>3271</v>
      </c>
      <c r="D1957" t="s">
        <v>5157</v>
      </c>
      <c r="E1957" t="s">
        <v>5157</v>
      </c>
    </row>
    <row r="1958" spans="1:5">
      <c r="A1958" t="s">
        <v>5241</v>
      </c>
      <c r="B1958" t="s">
        <v>5876</v>
      </c>
      <c r="C1958" t="s">
        <v>5877</v>
      </c>
      <c r="D1958" t="s">
        <v>5157</v>
      </c>
      <c r="E1958" t="s">
        <v>5157</v>
      </c>
    </row>
    <row r="1959" spans="1:5">
      <c r="A1959" t="s">
        <v>5241</v>
      </c>
      <c r="B1959" t="s">
        <v>3272</v>
      </c>
      <c r="C1959" t="s">
        <v>3273</v>
      </c>
      <c r="D1959" t="s">
        <v>5157</v>
      </c>
      <c r="E1959" t="s">
        <v>5157</v>
      </c>
    </row>
    <row r="1960" spans="1:5">
      <c r="A1960" t="s">
        <v>5241</v>
      </c>
      <c r="B1960" t="s">
        <v>3274</v>
      </c>
      <c r="C1960" t="s">
        <v>3275</v>
      </c>
      <c r="D1960" t="s">
        <v>5157</v>
      </c>
      <c r="E1960" t="s">
        <v>5157</v>
      </c>
    </row>
    <row r="1961" spans="1:5">
      <c r="A1961" t="s">
        <v>5241</v>
      </c>
      <c r="B1961" t="s">
        <v>3276</v>
      </c>
      <c r="C1961" t="s">
        <v>3277</v>
      </c>
      <c r="D1961" t="s">
        <v>5157</v>
      </c>
      <c r="E1961" t="s">
        <v>5157</v>
      </c>
    </row>
    <row r="1962" spans="1:5">
      <c r="A1962" t="s">
        <v>5241</v>
      </c>
      <c r="B1962" t="s">
        <v>5878</v>
      </c>
      <c r="C1962" t="s">
        <v>5879</v>
      </c>
      <c r="D1962" t="s">
        <v>5157</v>
      </c>
      <c r="E1962" t="s">
        <v>5157</v>
      </c>
    </row>
    <row r="1963" spans="1:5">
      <c r="A1963" t="s">
        <v>5241</v>
      </c>
      <c r="B1963" t="s">
        <v>5880</v>
      </c>
      <c r="C1963" t="s">
        <v>5881</v>
      </c>
      <c r="D1963" t="s">
        <v>5157</v>
      </c>
      <c r="E1963" t="s">
        <v>5157</v>
      </c>
    </row>
    <row r="1964" spans="1:5">
      <c r="A1964" t="s">
        <v>5241</v>
      </c>
      <c r="B1964" t="s">
        <v>3278</v>
      </c>
      <c r="C1964" t="s">
        <v>3279</v>
      </c>
      <c r="D1964" t="s">
        <v>5157</v>
      </c>
      <c r="E1964" t="s">
        <v>5157</v>
      </c>
    </row>
    <row r="1965" spans="1:5">
      <c r="A1965" t="s">
        <v>5241</v>
      </c>
      <c r="B1965" t="s">
        <v>5882</v>
      </c>
      <c r="C1965" t="s">
        <v>5883</v>
      </c>
      <c r="D1965" t="s">
        <v>5157</v>
      </c>
      <c r="E1965" t="s">
        <v>5157</v>
      </c>
    </row>
    <row r="1966" spans="1:5">
      <c r="A1966" t="s">
        <v>5241</v>
      </c>
      <c r="B1966" t="s">
        <v>5884</v>
      </c>
      <c r="C1966" t="s">
        <v>5885</v>
      </c>
      <c r="D1966" t="s">
        <v>5157</v>
      </c>
      <c r="E1966" t="s">
        <v>5157</v>
      </c>
    </row>
    <row r="1967" spans="1:5">
      <c r="A1967" t="s">
        <v>5241</v>
      </c>
      <c r="B1967" t="s">
        <v>3280</v>
      </c>
      <c r="C1967" t="s">
        <v>3281</v>
      </c>
      <c r="D1967" t="s">
        <v>5157</v>
      </c>
      <c r="E1967" t="s">
        <v>5157</v>
      </c>
    </row>
    <row r="1968" spans="1:5">
      <c r="A1968" t="s">
        <v>5241</v>
      </c>
      <c r="B1968" t="s">
        <v>5886</v>
      </c>
      <c r="C1968" t="s">
        <v>5887</v>
      </c>
      <c r="D1968" t="s">
        <v>5157</v>
      </c>
      <c r="E1968" t="s">
        <v>5157</v>
      </c>
    </row>
    <row r="1969" spans="1:5">
      <c r="A1969" t="s">
        <v>5241</v>
      </c>
      <c r="B1969" t="s">
        <v>3282</v>
      </c>
      <c r="C1969" t="s">
        <v>3283</v>
      </c>
      <c r="D1969" t="s">
        <v>5157</v>
      </c>
      <c r="E1969" t="s">
        <v>5157</v>
      </c>
    </row>
    <row r="1970" spans="1:5">
      <c r="A1970" t="s">
        <v>5241</v>
      </c>
      <c r="B1970" t="s">
        <v>3284</v>
      </c>
      <c r="C1970" t="s">
        <v>3285</v>
      </c>
      <c r="D1970" t="s">
        <v>5157</v>
      </c>
      <c r="E1970" t="s">
        <v>5157</v>
      </c>
    </row>
    <row r="1971" spans="1:5">
      <c r="A1971" t="s">
        <v>5241</v>
      </c>
      <c r="B1971" t="s">
        <v>3286</v>
      </c>
      <c r="C1971" t="s">
        <v>3287</v>
      </c>
      <c r="D1971" t="s">
        <v>5157</v>
      </c>
      <c r="E1971" t="s">
        <v>5157</v>
      </c>
    </row>
    <row r="1972" spans="1:5">
      <c r="A1972" t="s">
        <v>5241</v>
      </c>
      <c r="B1972" t="s">
        <v>3288</v>
      </c>
      <c r="C1972" t="s">
        <v>3289</v>
      </c>
      <c r="D1972" t="s">
        <v>5157</v>
      </c>
      <c r="E1972" t="s">
        <v>5157</v>
      </c>
    </row>
    <row r="1973" spans="1:5">
      <c r="A1973" t="s">
        <v>5241</v>
      </c>
      <c r="B1973" t="s">
        <v>3290</v>
      </c>
      <c r="C1973" t="s">
        <v>3291</v>
      </c>
      <c r="D1973" t="s">
        <v>5157</v>
      </c>
      <c r="E1973" t="s">
        <v>5157</v>
      </c>
    </row>
    <row r="1974" spans="1:5">
      <c r="A1974" t="s">
        <v>5241</v>
      </c>
      <c r="B1974" t="s">
        <v>5888</v>
      </c>
      <c r="C1974" t="s">
        <v>5889</v>
      </c>
      <c r="D1974" t="s">
        <v>5157</v>
      </c>
      <c r="E1974" t="s">
        <v>5157</v>
      </c>
    </row>
    <row r="1975" spans="1:5">
      <c r="A1975" t="s">
        <v>5241</v>
      </c>
      <c r="B1975" t="s">
        <v>3292</v>
      </c>
      <c r="C1975" t="s">
        <v>3293</v>
      </c>
      <c r="D1975" t="s">
        <v>5157</v>
      </c>
      <c r="E1975" t="s">
        <v>5157</v>
      </c>
    </row>
    <row r="1976" spans="1:5">
      <c r="A1976" t="s">
        <v>5241</v>
      </c>
      <c r="B1976" t="s">
        <v>3294</v>
      </c>
      <c r="C1976" t="s">
        <v>3295</v>
      </c>
      <c r="D1976" t="s">
        <v>5157</v>
      </c>
      <c r="E1976" t="s">
        <v>5157</v>
      </c>
    </row>
    <row r="1977" spans="1:5">
      <c r="A1977" t="s">
        <v>5241</v>
      </c>
      <c r="B1977" t="s">
        <v>3296</v>
      </c>
      <c r="C1977" t="s">
        <v>3297</v>
      </c>
      <c r="D1977" t="s">
        <v>5157</v>
      </c>
      <c r="E1977" t="s">
        <v>5157</v>
      </c>
    </row>
    <row r="1978" spans="1:5">
      <c r="A1978" t="s">
        <v>5241</v>
      </c>
      <c r="B1978" t="s">
        <v>3298</v>
      </c>
      <c r="C1978" t="s">
        <v>3299</v>
      </c>
      <c r="D1978" t="s">
        <v>5157</v>
      </c>
      <c r="E1978" t="s">
        <v>5157</v>
      </c>
    </row>
    <row r="1979" spans="1:5">
      <c r="A1979" t="s">
        <v>5241</v>
      </c>
      <c r="B1979" t="s">
        <v>3300</v>
      </c>
      <c r="C1979" t="s">
        <v>3301</v>
      </c>
      <c r="D1979" t="s">
        <v>5157</v>
      </c>
      <c r="E1979" t="s">
        <v>5157</v>
      </c>
    </row>
    <row r="1980" spans="1:5">
      <c r="A1980" t="s">
        <v>5241</v>
      </c>
      <c r="B1980" t="s">
        <v>3302</v>
      </c>
      <c r="C1980" t="s">
        <v>3303</v>
      </c>
      <c r="D1980" t="s">
        <v>5157</v>
      </c>
      <c r="E1980" t="s">
        <v>5157</v>
      </c>
    </row>
    <row r="1981" spans="1:5">
      <c r="A1981" t="s">
        <v>5241</v>
      </c>
      <c r="B1981" t="s">
        <v>5890</v>
      </c>
      <c r="C1981" t="s">
        <v>5891</v>
      </c>
      <c r="D1981" t="s">
        <v>5157</v>
      </c>
      <c r="E1981" t="s">
        <v>5157</v>
      </c>
    </row>
    <row r="1982" spans="1:5">
      <c r="A1982" t="s">
        <v>5241</v>
      </c>
      <c r="B1982" t="s">
        <v>3304</v>
      </c>
      <c r="C1982" t="s">
        <v>3305</v>
      </c>
      <c r="D1982" t="s">
        <v>5166</v>
      </c>
      <c r="E1982" t="s">
        <v>5163</v>
      </c>
    </row>
    <row r="1983" spans="1:5">
      <c r="A1983" t="s">
        <v>5241</v>
      </c>
      <c r="B1983" t="s">
        <v>3306</v>
      </c>
      <c r="C1983" t="s">
        <v>3307</v>
      </c>
      <c r="D1983" t="s">
        <v>5157</v>
      </c>
      <c r="E1983" t="s">
        <v>5157</v>
      </c>
    </row>
    <row r="1984" spans="1:5">
      <c r="A1984" t="s">
        <v>5241</v>
      </c>
      <c r="B1984" t="s">
        <v>3308</v>
      </c>
      <c r="C1984" t="s">
        <v>3309</v>
      </c>
      <c r="D1984" t="s">
        <v>5157</v>
      </c>
      <c r="E1984" t="s">
        <v>5157</v>
      </c>
    </row>
    <row r="1985" spans="1:5">
      <c r="A1985" t="s">
        <v>5241</v>
      </c>
      <c r="B1985" t="s">
        <v>3310</v>
      </c>
      <c r="C1985" t="s">
        <v>3311</v>
      </c>
      <c r="D1985" t="s">
        <v>5157</v>
      </c>
      <c r="E1985" t="s">
        <v>5157</v>
      </c>
    </row>
    <row r="1986" spans="1:5">
      <c r="A1986" t="s">
        <v>5241</v>
      </c>
      <c r="B1986" t="s">
        <v>5892</v>
      </c>
      <c r="C1986" t="s">
        <v>5893</v>
      </c>
      <c r="D1986" t="s">
        <v>5157</v>
      </c>
      <c r="E1986" t="s">
        <v>5157</v>
      </c>
    </row>
    <row r="1987" spans="1:5">
      <c r="A1987" t="s">
        <v>5241</v>
      </c>
      <c r="B1987" t="s">
        <v>3312</v>
      </c>
      <c r="C1987" t="s">
        <v>3313</v>
      </c>
      <c r="D1987" t="s">
        <v>5157</v>
      </c>
      <c r="E1987" t="s">
        <v>5157</v>
      </c>
    </row>
    <row r="1988" spans="1:5">
      <c r="A1988" t="s">
        <v>5241</v>
      </c>
      <c r="B1988" t="s">
        <v>3314</v>
      </c>
      <c r="C1988" t="s">
        <v>3315</v>
      </c>
      <c r="D1988" t="s">
        <v>5157</v>
      </c>
      <c r="E1988" t="s">
        <v>5157</v>
      </c>
    </row>
    <row r="1989" spans="1:5">
      <c r="A1989" t="s">
        <v>5241</v>
      </c>
      <c r="B1989" t="s">
        <v>3316</v>
      </c>
      <c r="C1989" t="s">
        <v>3317</v>
      </c>
      <c r="D1989" t="s">
        <v>5157</v>
      </c>
      <c r="E1989" t="s">
        <v>5157</v>
      </c>
    </row>
    <row r="1990" spans="1:5">
      <c r="A1990" t="s">
        <v>5241</v>
      </c>
      <c r="B1990" t="s">
        <v>3318</v>
      </c>
      <c r="C1990" t="s">
        <v>3319</v>
      </c>
      <c r="D1990" t="s">
        <v>5166</v>
      </c>
      <c r="E1990" t="s">
        <v>5163</v>
      </c>
    </row>
    <row r="1991" spans="1:5">
      <c r="A1991" t="s">
        <v>5241</v>
      </c>
      <c r="B1991" t="s">
        <v>3320</v>
      </c>
      <c r="C1991" t="s">
        <v>3321</v>
      </c>
      <c r="D1991" t="s">
        <v>5162</v>
      </c>
      <c r="E1991" t="s">
        <v>5210</v>
      </c>
    </row>
    <row r="1992" spans="1:5">
      <c r="A1992" t="s">
        <v>5241</v>
      </c>
      <c r="B1992" t="s">
        <v>3322</v>
      </c>
      <c r="C1992" t="s">
        <v>3323</v>
      </c>
      <c r="D1992" t="s">
        <v>5157</v>
      </c>
      <c r="E1992" t="s">
        <v>5157</v>
      </c>
    </row>
    <row r="1993" spans="1:5">
      <c r="A1993" t="s">
        <v>5241</v>
      </c>
      <c r="B1993" t="s">
        <v>3324</v>
      </c>
      <c r="C1993" t="s">
        <v>3325</v>
      </c>
      <c r="D1993" t="s">
        <v>5157</v>
      </c>
      <c r="E1993" t="s">
        <v>5157</v>
      </c>
    </row>
    <row r="1994" spans="1:5">
      <c r="A1994" t="s">
        <v>5241</v>
      </c>
      <c r="B1994" t="s">
        <v>3326</v>
      </c>
      <c r="C1994" t="s">
        <v>3327</v>
      </c>
      <c r="D1994" t="s">
        <v>5157</v>
      </c>
      <c r="E1994" t="s">
        <v>5157</v>
      </c>
    </row>
    <row r="1995" spans="1:5">
      <c r="A1995" t="s">
        <v>5241</v>
      </c>
      <c r="B1995" t="s">
        <v>3328</v>
      </c>
      <c r="C1995" t="s">
        <v>3329</v>
      </c>
      <c r="D1995" t="s">
        <v>5162</v>
      </c>
      <c r="E1995" t="s">
        <v>5210</v>
      </c>
    </row>
    <row r="1996" spans="1:5">
      <c r="A1996" t="s">
        <v>5241</v>
      </c>
      <c r="B1996" t="s">
        <v>3330</v>
      </c>
      <c r="C1996" t="s">
        <v>3331</v>
      </c>
      <c r="D1996" t="s">
        <v>5162</v>
      </c>
      <c r="E1996" t="s">
        <v>5210</v>
      </c>
    </row>
    <row r="1997" spans="1:5">
      <c r="A1997" t="s">
        <v>5241</v>
      </c>
      <c r="B1997" t="s">
        <v>5894</v>
      </c>
      <c r="C1997" t="s">
        <v>5895</v>
      </c>
      <c r="D1997" t="s">
        <v>5157</v>
      </c>
      <c r="E1997" t="s">
        <v>5157</v>
      </c>
    </row>
    <row r="1998" spans="1:5">
      <c r="A1998" t="s">
        <v>5241</v>
      </c>
      <c r="B1998" t="s">
        <v>3332</v>
      </c>
      <c r="C1998" t="s">
        <v>3333</v>
      </c>
      <c r="D1998" t="s">
        <v>5157</v>
      </c>
      <c r="E1998" t="s">
        <v>5157</v>
      </c>
    </row>
    <row r="1999" spans="1:5">
      <c r="A1999" t="s">
        <v>5241</v>
      </c>
      <c r="B1999" t="s">
        <v>3334</v>
      </c>
      <c r="C1999" t="s">
        <v>3335</v>
      </c>
      <c r="D1999" t="s">
        <v>5157</v>
      </c>
      <c r="E1999" t="s">
        <v>5157</v>
      </c>
    </row>
    <row r="2000" spans="1:5">
      <c r="A2000" t="s">
        <v>5241</v>
      </c>
      <c r="B2000" t="s">
        <v>3336</v>
      </c>
      <c r="C2000" t="s">
        <v>3337</v>
      </c>
      <c r="D2000" t="s">
        <v>5157</v>
      </c>
      <c r="E2000" t="s">
        <v>5157</v>
      </c>
    </row>
    <row r="2001" spans="1:5">
      <c r="A2001" t="s">
        <v>5241</v>
      </c>
      <c r="B2001" t="s">
        <v>3338</v>
      </c>
      <c r="C2001" t="s">
        <v>3339</v>
      </c>
      <c r="D2001" t="s">
        <v>5157</v>
      </c>
      <c r="E2001" t="s">
        <v>5157</v>
      </c>
    </row>
    <row r="2002" spans="1:5">
      <c r="A2002" t="s">
        <v>5241</v>
      </c>
      <c r="B2002" t="s">
        <v>3340</v>
      </c>
      <c r="C2002" t="s">
        <v>3341</v>
      </c>
      <c r="D2002" t="s">
        <v>5157</v>
      </c>
      <c r="E2002" t="s">
        <v>5157</v>
      </c>
    </row>
    <row r="2003" spans="1:5">
      <c r="A2003" t="s">
        <v>5241</v>
      </c>
      <c r="B2003" t="s">
        <v>3342</v>
      </c>
      <c r="C2003" t="s">
        <v>3343</v>
      </c>
      <c r="D2003" t="s">
        <v>5166</v>
      </c>
      <c r="E2003" t="s">
        <v>5163</v>
      </c>
    </row>
    <row r="2004" spans="1:5">
      <c r="A2004" t="s">
        <v>5241</v>
      </c>
      <c r="B2004" t="s">
        <v>3344</v>
      </c>
      <c r="C2004" t="s">
        <v>3345</v>
      </c>
      <c r="D2004" t="s">
        <v>5157</v>
      </c>
      <c r="E2004" t="s">
        <v>5157</v>
      </c>
    </row>
    <row r="2005" spans="1:5">
      <c r="A2005" t="s">
        <v>5241</v>
      </c>
      <c r="B2005" t="s">
        <v>3346</v>
      </c>
      <c r="C2005" t="s">
        <v>3347</v>
      </c>
      <c r="D2005" t="s">
        <v>5166</v>
      </c>
      <c r="E2005" t="s">
        <v>5163</v>
      </c>
    </row>
    <row r="2006" spans="1:5">
      <c r="A2006" t="s">
        <v>5241</v>
      </c>
      <c r="B2006" t="s">
        <v>3348</v>
      </c>
      <c r="C2006" t="s">
        <v>3349</v>
      </c>
      <c r="D2006" t="s">
        <v>5157</v>
      </c>
      <c r="E2006" t="s">
        <v>5157</v>
      </c>
    </row>
    <row r="2007" spans="1:5">
      <c r="A2007" t="s">
        <v>5241</v>
      </c>
      <c r="B2007" t="s">
        <v>3350</v>
      </c>
      <c r="C2007" t="s">
        <v>3351</v>
      </c>
      <c r="D2007" t="s">
        <v>5157</v>
      </c>
      <c r="E2007" t="s">
        <v>5157</v>
      </c>
    </row>
    <row r="2008" spans="1:5">
      <c r="A2008" t="s">
        <v>5241</v>
      </c>
      <c r="B2008" t="s">
        <v>3352</v>
      </c>
      <c r="C2008" t="s">
        <v>3353</v>
      </c>
      <c r="D2008" t="s">
        <v>5157</v>
      </c>
      <c r="E2008" t="s">
        <v>5157</v>
      </c>
    </row>
    <row r="2009" spans="1:5">
      <c r="A2009" t="s">
        <v>5241</v>
      </c>
      <c r="B2009" t="s">
        <v>3354</v>
      </c>
      <c r="C2009" t="s">
        <v>3355</v>
      </c>
      <c r="D2009" t="s">
        <v>5157</v>
      </c>
      <c r="E2009" t="s">
        <v>5157</v>
      </c>
    </row>
    <row r="2010" spans="1:5">
      <c r="A2010" t="s">
        <v>5241</v>
      </c>
      <c r="B2010" t="s">
        <v>5896</v>
      </c>
      <c r="C2010" t="s">
        <v>5897</v>
      </c>
      <c r="D2010" t="s">
        <v>5157</v>
      </c>
      <c r="E2010" t="s">
        <v>5157</v>
      </c>
    </row>
    <row r="2011" spans="1:5">
      <c r="A2011" t="s">
        <v>5241</v>
      </c>
      <c r="B2011" t="s">
        <v>3356</v>
      </c>
      <c r="C2011" t="s">
        <v>3357</v>
      </c>
      <c r="D2011" t="s">
        <v>5157</v>
      </c>
      <c r="E2011" t="s">
        <v>5157</v>
      </c>
    </row>
    <row r="2012" spans="1:5">
      <c r="A2012" t="s">
        <v>5241</v>
      </c>
      <c r="B2012" t="s">
        <v>3358</v>
      </c>
      <c r="C2012" t="s">
        <v>3359</v>
      </c>
      <c r="D2012" t="s">
        <v>5157</v>
      </c>
      <c r="E2012" t="s">
        <v>5157</v>
      </c>
    </row>
    <row r="2013" spans="1:5">
      <c r="A2013" t="s">
        <v>5241</v>
      </c>
      <c r="B2013" t="s">
        <v>5898</v>
      </c>
      <c r="C2013" t="s">
        <v>5899</v>
      </c>
      <c r="D2013" t="s">
        <v>5157</v>
      </c>
      <c r="E2013" t="s">
        <v>5157</v>
      </c>
    </row>
    <row r="2014" spans="1:5">
      <c r="A2014" t="s">
        <v>5241</v>
      </c>
      <c r="B2014" t="s">
        <v>5900</v>
      </c>
      <c r="C2014" t="s">
        <v>5901</v>
      </c>
      <c r="D2014" t="s">
        <v>5157</v>
      </c>
      <c r="E2014" t="s">
        <v>5157</v>
      </c>
    </row>
    <row r="2015" spans="1:5">
      <c r="A2015" t="s">
        <v>5241</v>
      </c>
      <c r="B2015" t="s">
        <v>5902</v>
      </c>
      <c r="C2015" t="s">
        <v>5903</v>
      </c>
      <c r="D2015" t="s">
        <v>5157</v>
      </c>
      <c r="E2015" t="s">
        <v>5157</v>
      </c>
    </row>
    <row r="2016" spans="1:5">
      <c r="A2016" t="s">
        <v>5241</v>
      </c>
      <c r="B2016" t="s">
        <v>3360</v>
      </c>
      <c r="C2016" t="s">
        <v>3361</v>
      </c>
      <c r="D2016" t="s">
        <v>5157</v>
      </c>
      <c r="E2016" t="s">
        <v>5157</v>
      </c>
    </row>
    <row r="2017" spans="1:5">
      <c r="A2017" t="s">
        <v>5241</v>
      </c>
      <c r="B2017" t="s">
        <v>3362</v>
      </c>
      <c r="C2017" t="s">
        <v>3363</v>
      </c>
      <c r="D2017" t="s">
        <v>5157</v>
      </c>
      <c r="E2017" t="s">
        <v>5157</v>
      </c>
    </row>
    <row r="2018" spans="1:5">
      <c r="A2018" t="s">
        <v>5241</v>
      </c>
      <c r="B2018" t="s">
        <v>3364</v>
      </c>
      <c r="C2018" t="s">
        <v>3365</v>
      </c>
      <c r="D2018" t="s">
        <v>5157</v>
      </c>
      <c r="E2018" t="s">
        <v>5157</v>
      </c>
    </row>
    <row r="2019" spans="1:5">
      <c r="A2019" t="s">
        <v>5241</v>
      </c>
      <c r="B2019" t="s">
        <v>3366</v>
      </c>
      <c r="C2019" t="s">
        <v>3367</v>
      </c>
      <c r="D2019" t="s">
        <v>5157</v>
      </c>
      <c r="E2019" t="s">
        <v>5157</v>
      </c>
    </row>
    <row r="2020" spans="1:5">
      <c r="A2020" t="s">
        <v>5241</v>
      </c>
      <c r="B2020" t="s">
        <v>3368</v>
      </c>
      <c r="C2020" t="s">
        <v>3369</v>
      </c>
      <c r="D2020" t="s">
        <v>5157</v>
      </c>
      <c r="E2020" t="s">
        <v>5157</v>
      </c>
    </row>
    <row r="2021" spans="1:5">
      <c r="A2021" t="s">
        <v>5241</v>
      </c>
      <c r="B2021" t="s">
        <v>3370</v>
      </c>
      <c r="C2021" t="s">
        <v>3371</v>
      </c>
      <c r="D2021" t="s">
        <v>5157</v>
      </c>
      <c r="E2021" t="s">
        <v>5157</v>
      </c>
    </row>
    <row r="2022" spans="1:5">
      <c r="A2022" t="s">
        <v>5241</v>
      </c>
      <c r="B2022" t="s">
        <v>3372</v>
      </c>
      <c r="C2022" t="s">
        <v>3373</v>
      </c>
      <c r="D2022" t="s">
        <v>5157</v>
      </c>
      <c r="E2022" t="s">
        <v>5157</v>
      </c>
    </row>
    <row r="2023" spans="1:5">
      <c r="A2023" t="s">
        <v>5241</v>
      </c>
      <c r="B2023" t="s">
        <v>5904</v>
      </c>
      <c r="C2023" t="s">
        <v>5905</v>
      </c>
      <c r="D2023" t="s">
        <v>5157</v>
      </c>
      <c r="E2023" t="s">
        <v>5157</v>
      </c>
    </row>
    <row r="2024" spans="1:5">
      <c r="A2024" t="s">
        <v>5241</v>
      </c>
      <c r="B2024" t="s">
        <v>3374</v>
      </c>
      <c r="C2024" t="s">
        <v>3375</v>
      </c>
      <c r="D2024" t="s">
        <v>5157</v>
      </c>
      <c r="E2024" t="s">
        <v>5157</v>
      </c>
    </row>
    <row r="2025" spans="1:5">
      <c r="A2025" t="s">
        <v>5241</v>
      </c>
      <c r="B2025" t="s">
        <v>3376</v>
      </c>
      <c r="C2025" t="s">
        <v>3377</v>
      </c>
      <c r="D2025" t="s">
        <v>5157</v>
      </c>
      <c r="E2025" t="s">
        <v>5157</v>
      </c>
    </row>
    <row r="2026" spans="1:5">
      <c r="A2026" t="s">
        <v>5241</v>
      </c>
      <c r="B2026" t="s">
        <v>3378</v>
      </c>
      <c r="C2026" t="s">
        <v>3379</v>
      </c>
      <c r="D2026" t="s">
        <v>5157</v>
      </c>
      <c r="E2026" t="s">
        <v>5157</v>
      </c>
    </row>
    <row r="2027" spans="1:5">
      <c r="A2027" t="s">
        <v>5241</v>
      </c>
      <c r="B2027" t="s">
        <v>3380</v>
      </c>
      <c r="C2027" t="s">
        <v>3381</v>
      </c>
      <c r="D2027" t="s">
        <v>5157</v>
      </c>
      <c r="E2027" t="s">
        <v>5157</v>
      </c>
    </row>
    <row r="2028" spans="1:5">
      <c r="A2028" t="s">
        <v>5241</v>
      </c>
      <c r="B2028" t="s">
        <v>3382</v>
      </c>
      <c r="C2028" t="s">
        <v>3383</v>
      </c>
      <c r="D2028" t="s">
        <v>5157</v>
      </c>
      <c r="E2028" t="s">
        <v>5157</v>
      </c>
    </row>
    <row r="2029" spans="1:5">
      <c r="A2029" t="s">
        <v>5241</v>
      </c>
      <c r="B2029" t="s">
        <v>3384</v>
      </c>
      <c r="C2029" t="s">
        <v>3385</v>
      </c>
      <c r="D2029" t="s">
        <v>5157</v>
      </c>
      <c r="E2029" t="s">
        <v>5157</v>
      </c>
    </row>
    <row r="2030" spans="1:5">
      <c r="A2030" t="s">
        <v>5241</v>
      </c>
      <c r="B2030" t="s">
        <v>5906</v>
      </c>
      <c r="C2030" t="s">
        <v>5907</v>
      </c>
      <c r="D2030" t="s">
        <v>5157</v>
      </c>
      <c r="E2030" t="s">
        <v>5157</v>
      </c>
    </row>
    <row r="2031" spans="1:5">
      <c r="A2031" t="s">
        <v>5241</v>
      </c>
      <c r="B2031" t="s">
        <v>5908</v>
      </c>
      <c r="C2031" t="s">
        <v>5909</v>
      </c>
      <c r="D2031" t="s">
        <v>5157</v>
      </c>
      <c r="E2031" t="s">
        <v>5157</v>
      </c>
    </row>
    <row r="2032" spans="1:5">
      <c r="A2032" t="s">
        <v>5241</v>
      </c>
      <c r="B2032" t="s">
        <v>3386</v>
      </c>
      <c r="C2032" t="s">
        <v>3387</v>
      </c>
      <c r="D2032" t="s">
        <v>5157</v>
      </c>
      <c r="E2032" t="s">
        <v>5157</v>
      </c>
    </row>
    <row r="2033" spans="1:5">
      <c r="A2033" t="s">
        <v>5241</v>
      </c>
      <c r="B2033" t="s">
        <v>3388</v>
      </c>
      <c r="C2033" t="s">
        <v>3389</v>
      </c>
      <c r="D2033" t="s">
        <v>5157</v>
      </c>
      <c r="E2033" t="s">
        <v>5157</v>
      </c>
    </row>
    <row r="2034" spans="1:5">
      <c r="A2034" t="s">
        <v>5241</v>
      </c>
      <c r="B2034" t="s">
        <v>5910</v>
      </c>
      <c r="C2034" t="s">
        <v>5911</v>
      </c>
      <c r="D2034" t="s">
        <v>5157</v>
      </c>
      <c r="E2034" t="s">
        <v>5157</v>
      </c>
    </row>
    <row r="2035" spans="1:5">
      <c r="A2035" t="s">
        <v>5241</v>
      </c>
      <c r="B2035" t="s">
        <v>5912</v>
      </c>
      <c r="C2035" t="s">
        <v>5913</v>
      </c>
      <c r="D2035" t="s">
        <v>5157</v>
      </c>
      <c r="E2035" t="s">
        <v>5157</v>
      </c>
    </row>
    <row r="2036" spans="1:5">
      <c r="A2036" t="s">
        <v>5241</v>
      </c>
      <c r="B2036" t="s">
        <v>3390</v>
      </c>
      <c r="C2036" t="s">
        <v>3391</v>
      </c>
      <c r="D2036" t="s">
        <v>5157</v>
      </c>
      <c r="E2036" t="s">
        <v>5157</v>
      </c>
    </row>
    <row r="2037" spans="1:5">
      <c r="A2037" t="s">
        <v>5241</v>
      </c>
      <c r="B2037" t="s">
        <v>5914</v>
      </c>
      <c r="C2037" t="s">
        <v>5915</v>
      </c>
      <c r="D2037" t="s">
        <v>5157</v>
      </c>
      <c r="E2037" t="s">
        <v>5157</v>
      </c>
    </row>
    <row r="2038" spans="1:5">
      <c r="A2038" t="s">
        <v>5241</v>
      </c>
      <c r="B2038" t="s">
        <v>3392</v>
      </c>
      <c r="C2038" t="s">
        <v>3393</v>
      </c>
      <c r="D2038" t="s">
        <v>5157</v>
      </c>
      <c r="E2038" t="s">
        <v>5157</v>
      </c>
    </row>
    <row r="2039" spans="1:5">
      <c r="A2039" t="s">
        <v>5241</v>
      </c>
      <c r="B2039" t="s">
        <v>3394</v>
      </c>
      <c r="C2039" t="s">
        <v>3395</v>
      </c>
      <c r="D2039" t="s">
        <v>5157</v>
      </c>
      <c r="E2039" t="s">
        <v>5157</v>
      </c>
    </row>
    <row r="2040" spans="1:5">
      <c r="A2040" t="s">
        <v>5241</v>
      </c>
      <c r="B2040" t="s">
        <v>5916</v>
      </c>
      <c r="C2040" t="s">
        <v>5917</v>
      </c>
      <c r="D2040" t="s">
        <v>5157</v>
      </c>
      <c r="E2040" t="s">
        <v>5157</v>
      </c>
    </row>
    <row r="2041" spans="1:5">
      <c r="A2041" t="s">
        <v>5241</v>
      </c>
      <c r="B2041" t="s">
        <v>3396</v>
      </c>
      <c r="C2041" t="s">
        <v>3397</v>
      </c>
      <c r="D2041" t="s">
        <v>5157</v>
      </c>
      <c r="E2041" t="s">
        <v>5157</v>
      </c>
    </row>
    <row r="2042" spans="1:5">
      <c r="A2042" t="s">
        <v>5241</v>
      </c>
      <c r="B2042" t="s">
        <v>3398</v>
      </c>
      <c r="C2042" t="s">
        <v>3399</v>
      </c>
      <c r="D2042" t="s">
        <v>5157</v>
      </c>
      <c r="E2042" t="s">
        <v>5157</v>
      </c>
    </row>
    <row r="2043" spans="1:5">
      <c r="A2043" t="s">
        <v>5241</v>
      </c>
      <c r="B2043" t="s">
        <v>3400</v>
      </c>
      <c r="C2043" t="s">
        <v>3401</v>
      </c>
      <c r="D2043" t="s">
        <v>5157</v>
      </c>
      <c r="E2043" t="s">
        <v>5157</v>
      </c>
    </row>
    <row r="2044" spans="1:5">
      <c r="A2044" t="s">
        <v>5241</v>
      </c>
      <c r="B2044" t="s">
        <v>3402</v>
      </c>
      <c r="C2044" t="s">
        <v>3403</v>
      </c>
      <c r="D2044" t="s">
        <v>5157</v>
      </c>
      <c r="E2044" t="s">
        <v>5157</v>
      </c>
    </row>
    <row r="2045" spans="1:5">
      <c r="A2045" t="s">
        <v>5241</v>
      </c>
      <c r="B2045" t="s">
        <v>3404</v>
      </c>
      <c r="C2045" t="s">
        <v>3405</v>
      </c>
      <c r="D2045" t="s">
        <v>5166</v>
      </c>
      <c r="E2045" t="s">
        <v>5163</v>
      </c>
    </row>
    <row r="2046" spans="1:5">
      <c r="A2046" t="s">
        <v>5241</v>
      </c>
      <c r="B2046" t="s">
        <v>3406</v>
      </c>
      <c r="C2046" t="s">
        <v>3407</v>
      </c>
      <c r="D2046" t="s">
        <v>5157</v>
      </c>
      <c r="E2046" t="s">
        <v>5157</v>
      </c>
    </row>
    <row r="2047" spans="1:5">
      <c r="A2047" t="s">
        <v>5241</v>
      </c>
      <c r="B2047" t="s">
        <v>3408</v>
      </c>
      <c r="C2047" t="s">
        <v>3409</v>
      </c>
      <c r="D2047" t="s">
        <v>5157</v>
      </c>
      <c r="E2047" t="s">
        <v>5157</v>
      </c>
    </row>
    <row r="2048" spans="1:5">
      <c r="A2048" t="s">
        <v>5241</v>
      </c>
      <c r="B2048" t="s">
        <v>3410</v>
      </c>
      <c r="C2048" t="s">
        <v>3411</v>
      </c>
      <c r="D2048" t="s">
        <v>5157</v>
      </c>
      <c r="E2048" t="s">
        <v>5157</v>
      </c>
    </row>
    <row r="2049" spans="1:5">
      <c r="A2049" t="s">
        <v>5241</v>
      </c>
      <c r="B2049" t="s">
        <v>3412</v>
      </c>
      <c r="C2049" t="s">
        <v>3413</v>
      </c>
      <c r="D2049" t="s">
        <v>5166</v>
      </c>
      <c r="E2049" t="s">
        <v>5163</v>
      </c>
    </row>
    <row r="2050" spans="1:5">
      <c r="A2050" t="s">
        <v>5241</v>
      </c>
      <c r="B2050" t="s">
        <v>5918</v>
      </c>
      <c r="C2050" t="s">
        <v>5919</v>
      </c>
      <c r="D2050" t="s">
        <v>5157</v>
      </c>
      <c r="E2050" t="s">
        <v>5157</v>
      </c>
    </row>
    <row r="2051" spans="1:5">
      <c r="A2051" t="s">
        <v>5241</v>
      </c>
      <c r="B2051" t="s">
        <v>3414</v>
      </c>
      <c r="C2051" t="s">
        <v>3415</v>
      </c>
      <c r="D2051" t="s">
        <v>5157</v>
      </c>
      <c r="E2051" t="s">
        <v>5157</v>
      </c>
    </row>
    <row r="2052" spans="1:5">
      <c r="A2052" t="s">
        <v>5241</v>
      </c>
      <c r="B2052" t="s">
        <v>5920</v>
      </c>
      <c r="C2052" t="s">
        <v>5921</v>
      </c>
      <c r="D2052" t="s">
        <v>5157</v>
      </c>
      <c r="E2052" t="s">
        <v>5157</v>
      </c>
    </row>
    <row r="2053" spans="1:5">
      <c r="A2053" t="s">
        <v>5241</v>
      </c>
      <c r="B2053" t="s">
        <v>3416</v>
      </c>
      <c r="C2053" t="s">
        <v>3417</v>
      </c>
      <c r="D2053" t="s">
        <v>5162</v>
      </c>
      <c r="E2053" t="s">
        <v>5213</v>
      </c>
    </row>
    <row r="2054" spans="1:5">
      <c r="A2054" t="s">
        <v>5241</v>
      </c>
      <c r="B2054" t="s">
        <v>3418</v>
      </c>
      <c r="C2054" t="s">
        <v>3419</v>
      </c>
      <c r="D2054" t="s">
        <v>5166</v>
      </c>
      <c r="E2054" t="s">
        <v>5163</v>
      </c>
    </row>
    <row r="2055" spans="1:5">
      <c r="A2055" t="s">
        <v>5241</v>
      </c>
      <c r="B2055" t="s">
        <v>3420</v>
      </c>
      <c r="C2055" t="s">
        <v>3421</v>
      </c>
      <c r="D2055" t="s">
        <v>5166</v>
      </c>
      <c r="E2055" t="s">
        <v>5163</v>
      </c>
    </row>
    <row r="2056" spans="1:5">
      <c r="A2056" t="s">
        <v>5241</v>
      </c>
      <c r="B2056" t="s">
        <v>3422</v>
      </c>
      <c r="C2056" t="s">
        <v>3423</v>
      </c>
      <c r="D2056" t="s">
        <v>5166</v>
      </c>
      <c r="E2056" t="s">
        <v>5163</v>
      </c>
    </row>
    <row r="2057" spans="1:5">
      <c r="A2057" t="s">
        <v>5241</v>
      </c>
      <c r="B2057" t="s">
        <v>3424</v>
      </c>
      <c r="C2057" t="s">
        <v>3425</v>
      </c>
      <c r="D2057" t="s">
        <v>5166</v>
      </c>
      <c r="E2057" t="s">
        <v>5163</v>
      </c>
    </row>
    <row r="2058" spans="1:5">
      <c r="A2058" t="s">
        <v>5241</v>
      </c>
      <c r="B2058" t="s">
        <v>3426</v>
      </c>
      <c r="C2058" t="s">
        <v>3427</v>
      </c>
      <c r="D2058" t="s">
        <v>5166</v>
      </c>
      <c r="E2058" t="s">
        <v>5163</v>
      </c>
    </row>
    <row r="2059" spans="1:5">
      <c r="A2059" t="s">
        <v>5241</v>
      </c>
      <c r="B2059" t="s">
        <v>3428</v>
      </c>
      <c r="C2059" t="s">
        <v>3429</v>
      </c>
      <c r="D2059" t="s">
        <v>5166</v>
      </c>
      <c r="E2059" t="s">
        <v>5163</v>
      </c>
    </row>
    <row r="2060" spans="1:5">
      <c r="A2060" t="s">
        <v>5241</v>
      </c>
      <c r="B2060" t="s">
        <v>3430</v>
      </c>
      <c r="C2060" t="s">
        <v>3431</v>
      </c>
      <c r="D2060" t="s">
        <v>5166</v>
      </c>
      <c r="E2060" t="s">
        <v>5163</v>
      </c>
    </row>
    <row r="2061" spans="1:5">
      <c r="A2061" t="s">
        <v>5241</v>
      </c>
      <c r="B2061" t="s">
        <v>3432</v>
      </c>
      <c r="C2061" t="s">
        <v>3433</v>
      </c>
      <c r="D2061" t="s">
        <v>5166</v>
      </c>
      <c r="E2061" t="s">
        <v>5163</v>
      </c>
    </row>
    <row r="2062" spans="1:5">
      <c r="A2062" t="s">
        <v>5241</v>
      </c>
      <c r="B2062" t="s">
        <v>3434</v>
      </c>
      <c r="C2062" t="s">
        <v>3435</v>
      </c>
      <c r="D2062" t="s">
        <v>5166</v>
      </c>
      <c r="E2062" t="s">
        <v>5163</v>
      </c>
    </row>
    <row r="2063" spans="1:5">
      <c r="A2063" t="s">
        <v>5241</v>
      </c>
      <c r="B2063" t="s">
        <v>3436</v>
      </c>
      <c r="C2063" t="s">
        <v>3437</v>
      </c>
      <c r="D2063" t="s">
        <v>5162</v>
      </c>
      <c r="E2063" t="s">
        <v>5212</v>
      </c>
    </row>
    <row r="2064" spans="1:5">
      <c r="A2064" t="s">
        <v>5241</v>
      </c>
      <c r="B2064" t="s">
        <v>3438</v>
      </c>
      <c r="C2064" t="s">
        <v>3439</v>
      </c>
      <c r="D2064" t="s">
        <v>5157</v>
      </c>
      <c r="E2064" t="s">
        <v>5157</v>
      </c>
    </row>
    <row r="2065" spans="1:5">
      <c r="A2065" t="s">
        <v>5241</v>
      </c>
      <c r="B2065" t="s">
        <v>5922</v>
      </c>
      <c r="C2065" t="s">
        <v>5923</v>
      </c>
      <c r="D2065" t="s">
        <v>5157</v>
      </c>
      <c r="E2065" t="s">
        <v>5157</v>
      </c>
    </row>
    <row r="2066" spans="1:5">
      <c r="A2066" t="s">
        <v>5241</v>
      </c>
      <c r="B2066" t="s">
        <v>3440</v>
      </c>
      <c r="C2066" t="s">
        <v>3441</v>
      </c>
      <c r="D2066" t="s">
        <v>5157</v>
      </c>
      <c r="E2066" t="s">
        <v>5157</v>
      </c>
    </row>
    <row r="2067" spans="1:5">
      <c r="A2067" t="s">
        <v>5241</v>
      </c>
      <c r="B2067" t="s">
        <v>3442</v>
      </c>
      <c r="C2067" t="s">
        <v>3443</v>
      </c>
      <c r="D2067" t="s">
        <v>5157</v>
      </c>
      <c r="E2067" t="s">
        <v>5157</v>
      </c>
    </row>
    <row r="2068" spans="1:5">
      <c r="A2068" t="s">
        <v>5241</v>
      </c>
      <c r="B2068" t="s">
        <v>5924</v>
      </c>
      <c r="C2068" t="s">
        <v>5925</v>
      </c>
      <c r="D2068" t="s">
        <v>5157</v>
      </c>
      <c r="E2068" t="s">
        <v>5157</v>
      </c>
    </row>
    <row r="2069" spans="1:5">
      <c r="A2069" t="s">
        <v>5241</v>
      </c>
      <c r="B2069" t="s">
        <v>3444</v>
      </c>
      <c r="C2069" t="s">
        <v>3445</v>
      </c>
      <c r="D2069" t="s">
        <v>5157</v>
      </c>
      <c r="E2069" t="s">
        <v>5157</v>
      </c>
    </row>
    <row r="2070" spans="1:5">
      <c r="A2070" t="s">
        <v>5241</v>
      </c>
      <c r="B2070" t="s">
        <v>3446</v>
      </c>
      <c r="C2070" t="s">
        <v>3447</v>
      </c>
      <c r="D2070" t="s">
        <v>5157</v>
      </c>
      <c r="E2070" t="s">
        <v>5157</v>
      </c>
    </row>
    <row r="2071" spans="1:5">
      <c r="A2071" t="s">
        <v>5241</v>
      </c>
      <c r="B2071" t="s">
        <v>5926</v>
      </c>
      <c r="C2071" t="s">
        <v>5927</v>
      </c>
      <c r="D2071" t="s">
        <v>5157</v>
      </c>
      <c r="E2071" t="s">
        <v>5157</v>
      </c>
    </row>
    <row r="2072" spans="1:5">
      <c r="A2072" t="s">
        <v>5241</v>
      </c>
      <c r="B2072" t="s">
        <v>5928</v>
      </c>
      <c r="C2072" t="s">
        <v>5929</v>
      </c>
      <c r="D2072" t="s">
        <v>5157</v>
      </c>
      <c r="E2072" t="s">
        <v>5157</v>
      </c>
    </row>
    <row r="2073" spans="1:5">
      <c r="A2073" t="s">
        <v>5241</v>
      </c>
      <c r="B2073" t="s">
        <v>5930</v>
      </c>
      <c r="C2073" t="s">
        <v>5931</v>
      </c>
      <c r="D2073" t="s">
        <v>5157</v>
      </c>
      <c r="E2073" t="s">
        <v>5157</v>
      </c>
    </row>
    <row r="2074" spans="1:5">
      <c r="A2074" t="s">
        <v>5241</v>
      </c>
      <c r="B2074" t="s">
        <v>5932</v>
      </c>
      <c r="C2074" t="s">
        <v>5933</v>
      </c>
      <c r="D2074" t="s">
        <v>5157</v>
      </c>
      <c r="E2074" t="s">
        <v>5157</v>
      </c>
    </row>
    <row r="2075" spans="1:5">
      <c r="A2075" t="s">
        <v>5241</v>
      </c>
      <c r="B2075" t="s">
        <v>3448</v>
      </c>
      <c r="C2075" t="s">
        <v>3449</v>
      </c>
      <c r="D2075" t="s">
        <v>5157</v>
      </c>
      <c r="E2075" t="s">
        <v>5157</v>
      </c>
    </row>
    <row r="2076" spans="1:5">
      <c r="A2076" t="s">
        <v>5241</v>
      </c>
      <c r="B2076" t="s">
        <v>3450</v>
      </c>
      <c r="C2076" t="s">
        <v>3451</v>
      </c>
      <c r="D2076" t="s">
        <v>5157</v>
      </c>
      <c r="E2076" t="s">
        <v>5157</v>
      </c>
    </row>
    <row r="2077" spans="1:5">
      <c r="A2077" t="s">
        <v>5241</v>
      </c>
      <c r="B2077" t="s">
        <v>3452</v>
      </c>
      <c r="C2077" t="s">
        <v>3453</v>
      </c>
      <c r="D2077" t="s">
        <v>5157</v>
      </c>
      <c r="E2077" t="s">
        <v>5157</v>
      </c>
    </row>
    <row r="2078" spans="1:5">
      <c r="A2078" t="s">
        <v>5241</v>
      </c>
      <c r="B2078" t="s">
        <v>5934</v>
      </c>
      <c r="C2078" t="s">
        <v>5935</v>
      </c>
      <c r="D2078" t="s">
        <v>5157</v>
      </c>
      <c r="E2078" t="s">
        <v>5157</v>
      </c>
    </row>
    <row r="2079" spans="1:5">
      <c r="A2079" t="s">
        <v>5241</v>
      </c>
      <c r="B2079" t="s">
        <v>5936</v>
      </c>
      <c r="C2079" t="s">
        <v>5937</v>
      </c>
      <c r="D2079" t="s">
        <v>5157</v>
      </c>
      <c r="E2079" t="s">
        <v>5157</v>
      </c>
    </row>
    <row r="2080" spans="1:5">
      <c r="A2080" t="s">
        <v>5241</v>
      </c>
      <c r="B2080" t="s">
        <v>3454</v>
      </c>
      <c r="C2080" t="s">
        <v>3455</v>
      </c>
      <c r="D2080" t="s">
        <v>5157</v>
      </c>
      <c r="E2080" t="s">
        <v>5157</v>
      </c>
    </row>
    <row r="2081" spans="1:5">
      <c r="A2081" t="s">
        <v>5241</v>
      </c>
      <c r="B2081" t="s">
        <v>3456</v>
      </c>
      <c r="C2081" t="s">
        <v>3457</v>
      </c>
      <c r="D2081" t="s">
        <v>5166</v>
      </c>
      <c r="E2081" t="s">
        <v>5163</v>
      </c>
    </row>
    <row r="2082" spans="1:5">
      <c r="A2082" t="s">
        <v>5241</v>
      </c>
      <c r="B2082" t="s">
        <v>3458</v>
      </c>
      <c r="C2082" t="s">
        <v>3459</v>
      </c>
      <c r="D2082" t="s">
        <v>5157</v>
      </c>
      <c r="E2082" t="s">
        <v>5157</v>
      </c>
    </row>
    <row r="2083" spans="1:5">
      <c r="A2083" t="s">
        <v>5241</v>
      </c>
      <c r="B2083" t="s">
        <v>3460</v>
      </c>
      <c r="C2083" t="s">
        <v>3461</v>
      </c>
      <c r="D2083" t="s">
        <v>5157</v>
      </c>
      <c r="E2083" t="s">
        <v>5157</v>
      </c>
    </row>
    <row r="2084" spans="1:5">
      <c r="A2084" t="s">
        <v>5241</v>
      </c>
      <c r="B2084" t="s">
        <v>5938</v>
      </c>
      <c r="C2084" t="s">
        <v>5939</v>
      </c>
      <c r="D2084" t="s">
        <v>5157</v>
      </c>
      <c r="E2084" t="s">
        <v>5157</v>
      </c>
    </row>
    <row r="2085" spans="1:5">
      <c r="A2085" t="s">
        <v>5241</v>
      </c>
      <c r="B2085" t="s">
        <v>3462</v>
      </c>
      <c r="C2085" t="s">
        <v>3463</v>
      </c>
      <c r="D2085" t="s">
        <v>5162</v>
      </c>
      <c r="E2085" t="s">
        <v>5163</v>
      </c>
    </row>
    <row r="2086" spans="1:5">
      <c r="A2086" t="s">
        <v>5241</v>
      </c>
      <c r="B2086" t="s">
        <v>3464</v>
      </c>
      <c r="C2086" t="s">
        <v>3465</v>
      </c>
      <c r="D2086" t="s">
        <v>5157</v>
      </c>
      <c r="E2086" t="s">
        <v>5157</v>
      </c>
    </row>
    <row r="2087" spans="1:5">
      <c r="A2087" t="s">
        <v>5241</v>
      </c>
      <c r="B2087" t="s">
        <v>3466</v>
      </c>
      <c r="C2087" t="s">
        <v>3467</v>
      </c>
      <c r="D2087" t="s">
        <v>5162</v>
      </c>
      <c r="E2087" t="s">
        <v>5163</v>
      </c>
    </row>
    <row r="2088" spans="1:5">
      <c r="A2088" t="s">
        <v>5241</v>
      </c>
      <c r="B2088" t="s">
        <v>3468</v>
      </c>
      <c r="C2088" t="s">
        <v>3469</v>
      </c>
      <c r="D2088" t="s">
        <v>5157</v>
      </c>
      <c r="E2088" t="s">
        <v>5157</v>
      </c>
    </row>
    <row r="2089" spans="1:5">
      <c r="A2089" t="s">
        <v>5241</v>
      </c>
      <c r="B2089" t="s">
        <v>5940</v>
      </c>
      <c r="C2089" t="s">
        <v>5941</v>
      </c>
      <c r="D2089" t="s">
        <v>5157</v>
      </c>
      <c r="E2089" t="s">
        <v>5157</v>
      </c>
    </row>
    <row r="2090" spans="1:5">
      <c r="A2090" t="s">
        <v>5241</v>
      </c>
      <c r="B2090" t="s">
        <v>3470</v>
      </c>
      <c r="C2090" t="s">
        <v>3471</v>
      </c>
      <c r="D2090" t="s">
        <v>5162</v>
      </c>
      <c r="E2090" t="s">
        <v>5163</v>
      </c>
    </row>
    <row r="2091" spans="1:5">
      <c r="A2091" t="s">
        <v>5241</v>
      </c>
      <c r="B2091" t="s">
        <v>3472</v>
      </c>
      <c r="C2091" t="s">
        <v>3473</v>
      </c>
      <c r="D2091" t="s">
        <v>5157</v>
      </c>
      <c r="E2091" t="s">
        <v>5157</v>
      </c>
    </row>
    <row r="2092" spans="1:5">
      <c r="A2092" t="s">
        <v>5241</v>
      </c>
      <c r="B2092" t="s">
        <v>3474</v>
      </c>
      <c r="C2092" t="s">
        <v>3475</v>
      </c>
      <c r="D2092" t="s">
        <v>5162</v>
      </c>
      <c r="E2092" t="s">
        <v>5163</v>
      </c>
    </row>
    <row r="2093" spans="1:5">
      <c r="A2093" t="s">
        <v>5241</v>
      </c>
      <c r="B2093" t="s">
        <v>3476</v>
      </c>
      <c r="C2093" t="s">
        <v>3477</v>
      </c>
      <c r="D2093" t="s">
        <v>5157</v>
      </c>
      <c r="E2093" t="s">
        <v>5157</v>
      </c>
    </row>
    <row r="2094" spans="1:5">
      <c r="A2094" t="s">
        <v>5241</v>
      </c>
      <c r="B2094" t="s">
        <v>3478</v>
      </c>
      <c r="C2094" t="s">
        <v>3479</v>
      </c>
      <c r="D2094" t="s">
        <v>5157</v>
      </c>
      <c r="E2094" t="s">
        <v>5157</v>
      </c>
    </row>
    <row r="2095" spans="1:5">
      <c r="A2095" t="s">
        <v>5241</v>
      </c>
      <c r="B2095" t="s">
        <v>5942</v>
      </c>
      <c r="C2095" t="s">
        <v>5943</v>
      </c>
      <c r="D2095" t="s">
        <v>5157</v>
      </c>
      <c r="E2095" t="s">
        <v>5157</v>
      </c>
    </row>
    <row r="2096" spans="1:5">
      <c r="A2096" t="s">
        <v>5241</v>
      </c>
      <c r="B2096" t="s">
        <v>3480</v>
      </c>
      <c r="C2096" t="s">
        <v>3481</v>
      </c>
      <c r="D2096" t="s">
        <v>5157</v>
      </c>
      <c r="E2096" t="s">
        <v>5157</v>
      </c>
    </row>
    <row r="2097" spans="1:5">
      <c r="A2097" t="s">
        <v>5241</v>
      </c>
      <c r="B2097" t="s">
        <v>3482</v>
      </c>
      <c r="C2097" t="s">
        <v>3483</v>
      </c>
      <c r="D2097" t="s">
        <v>5157</v>
      </c>
      <c r="E2097" t="s">
        <v>5157</v>
      </c>
    </row>
    <row r="2098" spans="1:5">
      <c r="A2098" t="s">
        <v>5241</v>
      </c>
      <c r="B2098" t="s">
        <v>3484</v>
      </c>
      <c r="C2098" t="s">
        <v>3485</v>
      </c>
      <c r="D2098" t="s">
        <v>5157</v>
      </c>
      <c r="E2098" t="s">
        <v>5157</v>
      </c>
    </row>
    <row r="2099" spans="1:5">
      <c r="A2099" t="s">
        <v>5241</v>
      </c>
      <c r="B2099" t="s">
        <v>3486</v>
      </c>
      <c r="C2099" t="s">
        <v>3487</v>
      </c>
      <c r="D2099" t="s">
        <v>5157</v>
      </c>
      <c r="E2099" t="s">
        <v>5157</v>
      </c>
    </row>
    <row r="2100" spans="1:5">
      <c r="A2100" t="s">
        <v>5241</v>
      </c>
      <c r="B2100" t="s">
        <v>5944</v>
      </c>
      <c r="C2100" t="s">
        <v>5945</v>
      </c>
      <c r="D2100" t="s">
        <v>5157</v>
      </c>
      <c r="E2100" t="s">
        <v>5157</v>
      </c>
    </row>
    <row r="2101" spans="1:5">
      <c r="A2101" t="s">
        <v>5241</v>
      </c>
      <c r="B2101" t="s">
        <v>5946</v>
      </c>
      <c r="C2101" t="s">
        <v>5947</v>
      </c>
      <c r="D2101" t="s">
        <v>5157</v>
      </c>
      <c r="E2101" t="s">
        <v>5157</v>
      </c>
    </row>
    <row r="2102" spans="1:5">
      <c r="A2102" t="s">
        <v>5241</v>
      </c>
      <c r="B2102" t="s">
        <v>5948</v>
      </c>
      <c r="C2102" t="s">
        <v>5949</v>
      </c>
      <c r="D2102" t="s">
        <v>5157</v>
      </c>
      <c r="E2102" t="s">
        <v>5157</v>
      </c>
    </row>
    <row r="2103" spans="1:5">
      <c r="A2103" t="s">
        <v>5241</v>
      </c>
      <c r="B2103" t="s">
        <v>3488</v>
      </c>
      <c r="C2103" t="s">
        <v>3489</v>
      </c>
      <c r="D2103" t="s">
        <v>5157</v>
      </c>
      <c r="E2103" t="s">
        <v>5157</v>
      </c>
    </row>
    <row r="2104" spans="1:5">
      <c r="A2104" t="s">
        <v>5241</v>
      </c>
      <c r="B2104" t="s">
        <v>3490</v>
      </c>
      <c r="C2104" t="s">
        <v>3491</v>
      </c>
      <c r="D2104" t="s">
        <v>5157</v>
      </c>
      <c r="E2104" t="s">
        <v>5157</v>
      </c>
    </row>
    <row r="2105" spans="1:5">
      <c r="A2105" t="s">
        <v>5241</v>
      </c>
      <c r="B2105" t="s">
        <v>5950</v>
      </c>
      <c r="C2105" t="s">
        <v>5951</v>
      </c>
      <c r="D2105" t="s">
        <v>5157</v>
      </c>
      <c r="E2105" t="s">
        <v>5157</v>
      </c>
    </row>
    <row r="2106" spans="1:5">
      <c r="A2106" t="s">
        <v>5241</v>
      </c>
      <c r="B2106" t="s">
        <v>3492</v>
      </c>
      <c r="C2106" t="s">
        <v>3493</v>
      </c>
      <c r="D2106" t="s">
        <v>5157</v>
      </c>
      <c r="E2106" t="s">
        <v>5157</v>
      </c>
    </row>
    <row r="2107" spans="1:5">
      <c r="A2107" t="s">
        <v>5241</v>
      </c>
      <c r="B2107" t="s">
        <v>3494</v>
      </c>
      <c r="C2107" t="s">
        <v>3495</v>
      </c>
      <c r="D2107" t="s">
        <v>5157</v>
      </c>
      <c r="E2107" t="s">
        <v>5157</v>
      </c>
    </row>
    <row r="2108" spans="1:5">
      <c r="A2108" t="s">
        <v>5241</v>
      </c>
      <c r="B2108" t="s">
        <v>3496</v>
      </c>
      <c r="C2108" t="s">
        <v>3497</v>
      </c>
      <c r="D2108" t="s">
        <v>5157</v>
      </c>
      <c r="E2108" t="s">
        <v>5157</v>
      </c>
    </row>
    <row r="2109" spans="1:5">
      <c r="A2109" t="s">
        <v>5241</v>
      </c>
      <c r="B2109" t="s">
        <v>3498</v>
      </c>
      <c r="C2109" t="s">
        <v>3499</v>
      </c>
      <c r="D2109" t="s">
        <v>5157</v>
      </c>
      <c r="E2109" t="s">
        <v>5157</v>
      </c>
    </row>
    <row r="2110" spans="1:5">
      <c r="A2110" t="s">
        <v>5241</v>
      </c>
      <c r="B2110" t="s">
        <v>3500</v>
      </c>
      <c r="C2110" t="s">
        <v>3501</v>
      </c>
      <c r="D2110" t="s">
        <v>5157</v>
      </c>
      <c r="E2110" t="s">
        <v>5157</v>
      </c>
    </row>
    <row r="2111" spans="1:5">
      <c r="A2111" t="s">
        <v>5241</v>
      </c>
      <c r="B2111" t="s">
        <v>3502</v>
      </c>
      <c r="C2111" t="s">
        <v>3503</v>
      </c>
      <c r="D2111" t="s">
        <v>5166</v>
      </c>
      <c r="E2111" t="s">
        <v>5163</v>
      </c>
    </row>
    <row r="2112" spans="1:5">
      <c r="A2112" t="s">
        <v>5241</v>
      </c>
      <c r="B2112" t="s">
        <v>5952</v>
      </c>
      <c r="C2112" t="s">
        <v>5953</v>
      </c>
      <c r="D2112" t="s">
        <v>5157</v>
      </c>
      <c r="E2112" t="s">
        <v>5157</v>
      </c>
    </row>
    <row r="2113" spans="1:5">
      <c r="A2113" t="s">
        <v>5241</v>
      </c>
      <c r="B2113" t="s">
        <v>3504</v>
      </c>
      <c r="C2113" t="s">
        <v>3505</v>
      </c>
      <c r="D2113" t="s">
        <v>5157</v>
      </c>
      <c r="E2113" t="s">
        <v>5157</v>
      </c>
    </row>
    <row r="2114" spans="1:5">
      <c r="A2114" t="s">
        <v>5241</v>
      </c>
      <c r="B2114" t="s">
        <v>3506</v>
      </c>
      <c r="C2114" t="s">
        <v>3507</v>
      </c>
      <c r="D2114" t="s">
        <v>5157</v>
      </c>
      <c r="E2114" t="s">
        <v>5157</v>
      </c>
    </row>
    <row r="2115" spans="1:5">
      <c r="A2115" t="s">
        <v>5241</v>
      </c>
      <c r="B2115" t="s">
        <v>5954</v>
      </c>
      <c r="C2115" t="s">
        <v>5955</v>
      </c>
      <c r="D2115" t="s">
        <v>5157</v>
      </c>
      <c r="E2115" t="s">
        <v>5157</v>
      </c>
    </row>
    <row r="2116" spans="1:5">
      <c r="A2116" t="s">
        <v>5241</v>
      </c>
      <c r="B2116" t="s">
        <v>3508</v>
      </c>
      <c r="C2116" t="s">
        <v>3509</v>
      </c>
      <c r="D2116" t="s">
        <v>5166</v>
      </c>
      <c r="E2116" t="s">
        <v>5163</v>
      </c>
    </row>
    <row r="2117" spans="1:5">
      <c r="A2117" t="s">
        <v>5241</v>
      </c>
      <c r="B2117" t="s">
        <v>3510</v>
      </c>
      <c r="C2117" t="s">
        <v>3511</v>
      </c>
      <c r="D2117" t="s">
        <v>5166</v>
      </c>
      <c r="E2117" t="s">
        <v>5163</v>
      </c>
    </row>
    <row r="2118" spans="1:5">
      <c r="A2118" t="s">
        <v>5241</v>
      </c>
      <c r="B2118" t="s">
        <v>3512</v>
      </c>
      <c r="C2118" t="s">
        <v>3513</v>
      </c>
      <c r="D2118" t="s">
        <v>5157</v>
      </c>
      <c r="E2118" t="s">
        <v>5157</v>
      </c>
    </row>
    <row r="2119" spans="1:5">
      <c r="A2119" t="s">
        <v>5241</v>
      </c>
      <c r="B2119" t="s">
        <v>3514</v>
      </c>
      <c r="C2119" t="s">
        <v>3515</v>
      </c>
      <c r="D2119" t="s">
        <v>5166</v>
      </c>
      <c r="E2119" t="s">
        <v>5163</v>
      </c>
    </row>
    <row r="2120" spans="1:5">
      <c r="A2120" t="s">
        <v>5241</v>
      </c>
      <c r="B2120" t="s">
        <v>3516</v>
      </c>
      <c r="C2120" t="s">
        <v>3517</v>
      </c>
      <c r="D2120" t="s">
        <v>5162</v>
      </c>
      <c r="E2120" t="s">
        <v>5210</v>
      </c>
    </row>
    <row r="2121" spans="1:5">
      <c r="A2121" t="s">
        <v>5241</v>
      </c>
      <c r="B2121" t="s">
        <v>3518</v>
      </c>
      <c r="C2121" t="s">
        <v>3519</v>
      </c>
      <c r="D2121" t="s">
        <v>5162</v>
      </c>
      <c r="E2121" t="s">
        <v>5210</v>
      </c>
    </row>
    <row r="2122" spans="1:5">
      <c r="A2122" t="s">
        <v>5241</v>
      </c>
      <c r="B2122" t="s">
        <v>5956</v>
      </c>
      <c r="C2122" t="s">
        <v>5957</v>
      </c>
      <c r="D2122" t="s">
        <v>5157</v>
      </c>
      <c r="E2122" t="s">
        <v>5157</v>
      </c>
    </row>
    <row r="2123" spans="1:5">
      <c r="A2123" t="s">
        <v>5241</v>
      </c>
      <c r="B2123" t="s">
        <v>5958</v>
      </c>
      <c r="C2123" t="s">
        <v>5959</v>
      </c>
      <c r="D2123" t="s">
        <v>5157</v>
      </c>
      <c r="E2123" t="s">
        <v>5157</v>
      </c>
    </row>
    <row r="2124" spans="1:5">
      <c r="A2124" t="s">
        <v>5241</v>
      </c>
      <c r="B2124" t="s">
        <v>3520</v>
      </c>
      <c r="C2124" t="s">
        <v>3521</v>
      </c>
      <c r="D2124" t="s">
        <v>5157</v>
      </c>
      <c r="E2124" t="s">
        <v>5157</v>
      </c>
    </row>
    <row r="2125" spans="1:5">
      <c r="A2125" t="s">
        <v>5244</v>
      </c>
      <c r="B2125" t="s">
        <v>3522</v>
      </c>
      <c r="C2125" t="s">
        <v>3523</v>
      </c>
      <c r="D2125" t="s">
        <v>5162</v>
      </c>
      <c r="E2125" t="s">
        <v>5213</v>
      </c>
    </row>
    <row r="2126" spans="1:5">
      <c r="A2126" t="s">
        <v>5241</v>
      </c>
      <c r="B2126" t="s">
        <v>3522</v>
      </c>
      <c r="C2126" t="s">
        <v>3523</v>
      </c>
      <c r="D2126" t="s">
        <v>5162</v>
      </c>
      <c r="E2126" t="s">
        <v>5213</v>
      </c>
    </row>
    <row r="2127" spans="1:5">
      <c r="A2127" t="s">
        <v>5241</v>
      </c>
      <c r="B2127" t="s">
        <v>3524</v>
      </c>
      <c r="C2127" t="s">
        <v>3525</v>
      </c>
      <c r="D2127" t="s">
        <v>5166</v>
      </c>
      <c r="E2127" t="s">
        <v>5163</v>
      </c>
    </row>
    <row r="2128" spans="1:5">
      <c r="A2128" t="s">
        <v>5241</v>
      </c>
      <c r="B2128" t="s">
        <v>3526</v>
      </c>
      <c r="C2128" t="s">
        <v>3527</v>
      </c>
      <c r="D2128" t="s">
        <v>5166</v>
      </c>
      <c r="E2128" t="s">
        <v>5163</v>
      </c>
    </row>
    <row r="2129" spans="1:5">
      <c r="A2129" t="s">
        <v>5241</v>
      </c>
      <c r="B2129" t="s">
        <v>3528</v>
      </c>
      <c r="C2129" t="s">
        <v>3529</v>
      </c>
      <c r="D2129" t="s">
        <v>5157</v>
      </c>
      <c r="E2129" t="s">
        <v>5157</v>
      </c>
    </row>
    <row r="2130" spans="1:5">
      <c r="A2130" t="s">
        <v>5241</v>
      </c>
      <c r="B2130" t="s">
        <v>3530</v>
      </c>
      <c r="C2130" t="s">
        <v>3531</v>
      </c>
      <c r="D2130" t="s">
        <v>5157</v>
      </c>
      <c r="E2130" t="s">
        <v>5157</v>
      </c>
    </row>
    <row r="2131" spans="1:5">
      <c r="A2131" t="s">
        <v>5241</v>
      </c>
      <c r="B2131" t="s">
        <v>3532</v>
      </c>
      <c r="C2131" t="s">
        <v>3533</v>
      </c>
      <c r="D2131" t="s">
        <v>5157</v>
      </c>
      <c r="E2131" t="s">
        <v>5157</v>
      </c>
    </row>
    <row r="2132" spans="1:5">
      <c r="A2132" t="s">
        <v>5241</v>
      </c>
      <c r="B2132" t="s">
        <v>5960</v>
      </c>
      <c r="C2132" t="s">
        <v>5961</v>
      </c>
      <c r="D2132" t="s">
        <v>5157</v>
      </c>
      <c r="E2132" t="s">
        <v>5157</v>
      </c>
    </row>
    <row r="2133" spans="1:5">
      <c r="A2133" t="s">
        <v>5241</v>
      </c>
      <c r="B2133" t="s">
        <v>3534</v>
      </c>
      <c r="C2133" t="s">
        <v>3535</v>
      </c>
      <c r="D2133" t="s">
        <v>5157</v>
      </c>
      <c r="E2133" t="s">
        <v>5157</v>
      </c>
    </row>
    <row r="2134" spans="1:5">
      <c r="A2134" t="s">
        <v>5241</v>
      </c>
      <c r="B2134" t="s">
        <v>3536</v>
      </c>
      <c r="C2134" t="s">
        <v>3537</v>
      </c>
      <c r="D2134" t="s">
        <v>5157</v>
      </c>
      <c r="E2134" t="s">
        <v>5157</v>
      </c>
    </row>
    <row r="2135" spans="1:5">
      <c r="A2135" t="s">
        <v>5241</v>
      </c>
      <c r="B2135" t="s">
        <v>3538</v>
      </c>
      <c r="C2135" t="s">
        <v>3539</v>
      </c>
      <c r="D2135" t="s">
        <v>5157</v>
      </c>
      <c r="E2135" t="s">
        <v>5157</v>
      </c>
    </row>
    <row r="2136" spans="1:5">
      <c r="A2136" t="s">
        <v>5241</v>
      </c>
      <c r="B2136" t="s">
        <v>3540</v>
      </c>
      <c r="C2136" t="s">
        <v>3541</v>
      </c>
      <c r="D2136" t="s">
        <v>5157</v>
      </c>
      <c r="E2136" t="s">
        <v>5157</v>
      </c>
    </row>
    <row r="2137" spans="1:5">
      <c r="A2137" t="s">
        <v>5241</v>
      </c>
      <c r="B2137" t="s">
        <v>3542</v>
      </c>
      <c r="C2137" t="s">
        <v>3543</v>
      </c>
      <c r="D2137" t="s">
        <v>5157</v>
      </c>
      <c r="E2137" t="s">
        <v>5157</v>
      </c>
    </row>
    <row r="2138" spans="1:5">
      <c r="A2138" t="s">
        <v>5241</v>
      </c>
      <c r="B2138" t="s">
        <v>3544</v>
      </c>
      <c r="C2138" t="s">
        <v>3545</v>
      </c>
      <c r="D2138" t="s">
        <v>5166</v>
      </c>
      <c r="E2138" t="s">
        <v>5163</v>
      </c>
    </row>
    <row r="2139" spans="1:5">
      <c r="A2139" t="s">
        <v>5241</v>
      </c>
      <c r="B2139" t="s">
        <v>3546</v>
      </c>
      <c r="C2139" t="s">
        <v>3547</v>
      </c>
      <c r="D2139" t="s">
        <v>5166</v>
      </c>
      <c r="E2139" t="s">
        <v>5163</v>
      </c>
    </row>
    <row r="2140" spans="1:5">
      <c r="A2140" t="s">
        <v>5241</v>
      </c>
      <c r="B2140" t="s">
        <v>5962</v>
      </c>
      <c r="C2140" t="s">
        <v>5963</v>
      </c>
      <c r="D2140" t="s">
        <v>5157</v>
      </c>
      <c r="E2140" t="s">
        <v>5157</v>
      </c>
    </row>
    <row r="2141" spans="1:5">
      <c r="A2141" t="s">
        <v>5241</v>
      </c>
      <c r="B2141" t="s">
        <v>3548</v>
      </c>
      <c r="C2141" t="s">
        <v>3549</v>
      </c>
      <c r="D2141" t="s">
        <v>5157</v>
      </c>
      <c r="E2141" t="s">
        <v>5157</v>
      </c>
    </row>
    <row r="2142" spans="1:5">
      <c r="A2142" t="s">
        <v>5241</v>
      </c>
      <c r="B2142" t="s">
        <v>3550</v>
      </c>
      <c r="C2142" t="s">
        <v>3551</v>
      </c>
      <c r="D2142" t="s">
        <v>5157</v>
      </c>
      <c r="E2142" t="s">
        <v>5157</v>
      </c>
    </row>
    <row r="2143" spans="1:5">
      <c r="A2143" t="s">
        <v>5241</v>
      </c>
      <c r="B2143" t="s">
        <v>3552</v>
      </c>
      <c r="C2143" t="s">
        <v>3553</v>
      </c>
      <c r="D2143" t="s">
        <v>5157</v>
      </c>
      <c r="E2143" t="s">
        <v>5157</v>
      </c>
    </row>
    <row r="2144" spans="1:5">
      <c r="A2144" t="s">
        <v>5241</v>
      </c>
      <c r="B2144" t="s">
        <v>3554</v>
      </c>
      <c r="C2144" t="s">
        <v>3555</v>
      </c>
      <c r="D2144" t="s">
        <v>5157</v>
      </c>
      <c r="E2144" t="s">
        <v>5157</v>
      </c>
    </row>
    <row r="2145" spans="1:5">
      <c r="A2145" t="s">
        <v>5241</v>
      </c>
      <c r="B2145" t="s">
        <v>3556</v>
      </c>
      <c r="C2145" t="s">
        <v>3557</v>
      </c>
      <c r="D2145" t="s">
        <v>5162</v>
      </c>
      <c r="E2145" t="s">
        <v>5163</v>
      </c>
    </row>
    <row r="2146" spans="1:5">
      <c r="A2146" t="s">
        <v>5244</v>
      </c>
      <c r="B2146" t="s">
        <v>3556</v>
      </c>
      <c r="C2146" t="s">
        <v>3557</v>
      </c>
      <c r="D2146" t="s">
        <v>5162</v>
      </c>
      <c r="E2146" t="s">
        <v>5163</v>
      </c>
    </row>
    <row r="2147" spans="1:5">
      <c r="A2147" t="s">
        <v>5241</v>
      </c>
      <c r="B2147" t="s">
        <v>5964</v>
      </c>
      <c r="C2147" t="s">
        <v>5965</v>
      </c>
      <c r="D2147" t="s">
        <v>5157</v>
      </c>
      <c r="E2147" t="s">
        <v>5157</v>
      </c>
    </row>
    <row r="2148" spans="1:5">
      <c r="A2148" t="s">
        <v>5241</v>
      </c>
      <c r="B2148" t="s">
        <v>3558</v>
      </c>
      <c r="C2148" t="s">
        <v>3559</v>
      </c>
      <c r="D2148" t="s">
        <v>5157</v>
      </c>
      <c r="E2148" t="s">
        <v>5157</v>
      </c>
    </row>
    <row r="2149" spans="1:5">
      <c r="A2149" t="s">
        <v>5241</v>
      </c>
      <c r="B2149" t="s">
        <v>3560</v>
      </c>
      <c r="C2149" t="s">
        <v>3561</v>
      </c>
      <c r="D2149" t="s">
        <v>5157</v>
      </c>
      <c r="E2149" t="s">
        <v>5157</v>
      </c>
    </row>
    <row r="2150" spans="1:5">
      <c r="A2150" t="s">
        <v>5241</v>
      </c>
      <c r="B2150" t="s">
        <v>3562</v>
      </c>
      <c r="C2150" t="s">
        <v>3563</v>
      </c>
      <c r="D2150" t="s">
        <v>5157</v>
      </c>
      <c r="E2150" t="s">
        <v>5157</v>
      </c>
    </row>
    <row r="2151" spans="1:5">
      <c r="A2151" t="s">
        <v>5241</v>
      </c>
      <c r="B2151" t="s">
        <v>3564</v>
      </c>
      <c r="C2151" t="s">
        <v>3565</v>
      </c>
      <c r="D2151" t="s">
        <v>5157</v>
      </c>
      <c r="E2151" t="s">
        <v>5157</v>
      </c>
    </row>
    <row r="2152" spans="1:5">
      <c r="A2152" t="s">
        <v>5241</v>
      </c>
      <c r="B2152" t="s">
        <v>5966</v>
      </c>
      <c r="C2152" t="s">
        <v>5967</v>
      </c>
      <c r="D2152" t="s">
        <v>5157</v>
      </c>
      <c r="E2152" t="s">
        <v>5157</v>
      </c>
    </row>
    <row r="2153" spans="1:5">
      <c r="A2153" t="s">
        <v>5241</v>
      </c>
      <c r="B2153" t="s">
        <v>5968</v>
      </c>
      <c r="C2153" t="s">
        <v>5969</v>
      </c>
      <c r="D2153" t="s">
        <v>5157</v>
      </c>
      <c r="E2153" t="s">
        <v>5157</v>
      </c>
    </row>
    <row r="2154" spans="1:5">
      <c r="A2154" t="s">
        <v>5241</v>
      </c>
      <c r="B2154" t="s">
        <v>5970</v>
      </c>
      <c r="C2154" t="s">
        <v>5971</v>
      </c>
      <c r="D2154" t="s">
        <v>5157</v>
      </c>
      <c r="E2154" t="s">
        <v>5157</v>
      </c>
    </row>
    <row r="2155" spans="1:5">
      <c r="A2155" t="s">
        <v>5241</v>
      </c>
      <c r="B2155" t="s">
        <v>5972</v>
      </c>
      <c r="C2155" t="s">
        <v>5973</v>
      </c>
      <c r="D2155" t="s">
        <v>5157</v>
      </c>
      <c r="E2155" t="s">
        <v>5157</v>
      </c>
    </row>
    <row r="2156" spans="1:5">
      <c r="A2156" t="s">
        <v>5241</v>
      </c>
      <c r="B2156" t="s">
        <v>5974</v>
      </c>
      <c r="C2156" t="s">
        <v>5975</v>
      </c>
      <c r="D2156" t="s">
        <v>5157</v>
      </c>
      <c r="E2156" t="s">
        <v>5157</v>
      </c>
    </row>
    <row r="2157" spans="1:5">
      <c r="A2157" t="s">
        <v>5241</v>
      </c>
      <c r="B2157" t="s">
        <v>5976</v>
      </c>
      <c r="C2157" t="s">
        <v>5977</v>
      </c>
      <c r="D2157" t="s">
        <v>5157</v>
      </c>
      <c r="E2157" t="s">
        <v>5157</v>
      </c>
    </row>
    <row r="2158" spans="1:5">
      <c r="A2158" t="s">
        <v>5241</v>
      </c>
      <c r="B2158" t="s">
        <v>5978</v>
      </c>
      <c r="C2158" t="s">
        <v>5979</v>
      </c>
      <c r="D2158" t="s">
        <v>5157</v>
      </c>
      <c r="E2158" t="s">
        <v>5157</v>
      </c>
    </row>
    <row r="2159" spans="1:5">
      <c r="A2159" t="s">
        <v>5241</v>
      </c>
      <c r="B2159" t="s">
        <v>5980</v>
      </c>
      <c r="C2159" t="s">
        <v>5981</v>
      </c>
      <c r="D2159" t="s">
        <v>5157</v>
      </c>
      <c r="E2159" t="s">
        <v>5157</v>
      </c>
    </row>
    <row r="2160" spans="1:5">
      <c r="A2160" t="s">
        <v>5241</v>
      </c>
      <c r="B2160" t="s">
        <v>3566</v>
      </c>
      <c r="C2160" t="s">
        <v>3567</v>
      </c>
      <c r="D2160" t="s">
        <v>5157</v>
      </c>
      <c r="E2160" t="s">
        <v>5157</v>
      </c>
    </row>
    <row r="2161" spans="1:5">
      <c r="A2161" t="s">
        <v>5241</v>
      </c>
      <c r="B2161" t="s">
        <v>3568</v>
      </c>
      <c r="C2161" t="s">
        <v>3569</v>
      </c>
      <c r="D2161" t="s">
        <v>5157</v>
      </c>
      <c r="E2161" t="s">
        <v>5157</v>
      </c>
    </row>
    <row r="2162" spans="1:5">
      <c r="A2162" t="s">
        <v>5241</v>
      </c>
      <c r="B2162" t="s">
        <v>3570</v>
      </c>
      <c r="C2162" t="s">
        <v>3571</v>
      </c>
      <c r="D2162" t="s">
        <v>5157</v>
      </c>
      <c r="E2162" t="s">
        <v>5157</v>
      </c>
    </row>
    <row r="2163" spans="1:5">
      <c r="A2163" t="s">
        <v>5241</v>
      </c>
      <c r="B2163" t="s">
        <v>3572</v>
      </c>
      <c r="C2163" t="s">
        <v>3573</v>
      </c>
      <c r="D2163" t="s">
        <v>5166</v>
      </c>
      <c r="E2163" t="s">
        <v>5163</v>
      </c>
    </row>
    <row r="2164" spans="1:5">
      <c r="A2164" t="s">
        <v>5241</v>
      </c>
      <c r="B2164" t="s">
        <v>5982</v>
      </c>
      <c r="C2164" t="s">
        <v>5983</v>
      </c>
      <c r="D2164" t="s">
        <v>5157</v>
      </c>
      <c r="E2164" t="s">
        <v>5157</v>
      </c>
    </row>
    <row r="2165" spans="1:5">
      <c r="A2165" t="s">
        <v>5244</v>
      </c>
      <c r="B2165" t="s">
        <v>3574</v>
      </c>
      <c r="C2165" t="s">
        <v>3575</v>
      </c>
      <c r="D2165" t="s">
        <v>5157</v>
      </c>
      <c r="E2165" t="s">
        <v>5157</v>
      </c>
    </row>
    <row r="2166" spans="1:5">
      <c r="A2166" t="s">
        <v>5241</v>
      </c>
      <c r="B2166" t="s">
        <v>3574</v>
      </c>
      <c r="C2166" t="s">
        <v>3575</v>
      </c>
      <c r="D2166" t="s">
        <v>5157</v>
      </c>
      <c r="E2166" t="s">
        <v>5157</v>
      </c>
    </row>
    <row r="2167" spans="1:5">
      <c r="A2167" t="s">
        <v>5241</v>
      </c>
      <c r="B2167" t="s">
        <v>3576</v>
      </c>
      <c r="C2167" t="s">
        <v>3577</v>
      </c>
      <c r="D2167" t="s">
        <v>5157</v>
      </c>
      <c r="E2167" t="s">
        <v>5157</v>
      </c>
    </row>
    <row r="2168" spans="1:5">
      <c r="A2168" t="s">
        <v>5241</v>
      </c>
      <c r="B2168" t="s">
        <v>3578</v>
      </c>
      <c r="C2168" t="s">
        <v>3579</v>
      </c>
      <c r="D2168" t="s">
        <v>5157</v>
      </c>
      <c r="E2168" t="s">
        <v>5157</v>
      </c>
    </row>
    <row r="2169" spans="1:5">
      <c r="A2169" t="s">
        <v>5241</v>
      </c>
      <c r="B2169" t="s">
        <v>3580</v>
      </c>
      <c r="C2169" t="s">
        <v>3581</v>
      </c>
      <c r="D2169" t="s">
        <v>5157</v>
      </c>
      <c r="E2169" t="s">
        <v>5157</v>
      </c>
    </row>
    <row r="2170" spans="1:5">
      <c r="A2170" t="s">
        <v>5241</v>
      </c>
      <c r="B2170" t="s">
        <v>3582</v>
      </c>
      <c r="C2170" t="s">
        <v>3583</v>
      </c>
      <c r="D2170" t="s">
        <v>5157</v>
      </c>
      <c r="E2170" t="s">
        <v>5157</v>
      </c>
    </row>
    <row r="2171" spans="1:5">
      <c r="A2171" t="s">
        <v>5241</v>
      </c>
      <c r="B2171" t="s">
        <v>3584</v>
      </c>
      <c r="C2171" t="s">
        <v>3585</v>
      </c>
      <c r="D2171" t="s">
        <v>5157</v>
      </c>
      <c r="E2171" t="s">
        <v>5157</v>
      </c>
    </row>
    <row r="2172" spans="1:5">
      <c r="A2172" t="s">
        <v>5244</v>
      </c>
      <c r="B2172" t="s">
        <v>3586</v>
      </c>
      <c r="C2172" t="s">
        <v>3587</v>
      </c>
      <c r="D2172" t="s">
        <v>5162</v>
      </c>
      <c r="E2172" t="s">
        <v>5213</v>
      </c>
    </row>
    <row r="2173" spans="1:5">
      <c r="A2173" t="s">
        <v>5241</v>
      </c>
      <c r="B2173" t="s">
        <v>3586</v>
      </c>
      <c r="C2173" t="s">
        <v>3587</v>
      </c>
      <c r="D2173" t="s">
        <v>5162</v>
      </c>
      <c r="E2173" t="s">
        <v>5213</v>
      </c>
    </row>
    <row r="2174" spans="1:5">
      <c r="A2174" t="s">
        <v>5241</v>
      </c>
      <c r="B2174" t="s">
        <v>3588</v>
      </c>
      <c r="C2174" t="s">
        <v>3589</v>
      </c>
      <c r="D2174" t="s">
        <v>5157</v>
      </c>
      <c r="E2174" t="s">
        <v>5157</v>
      </c>
    </row>
    <row r="2175" spans="1:5">
      <c r="A2175" t="s">
        <v>5241</v>
      </c>
      <c r="B2175" t="s">
        <v>3590</v>
      </c>
      <c r="C2175" t="s">
        <v>3591</v>
      </c>
      <c r="D2175" t="s">
        <v>5157</v>
      </c>
      <c r="E2175" t="s">
        <v>5157</v>
      </c>
    </row>
    <row r="2176" spans="1:5">
      <c r="A2176" t="s">
        <v>5241</v>
      </c>
      <c r="B2176" t="s">
        <v>5984</v>
      </c>
      <c r="C2176" t="s">
        <v>5985</v>
      </c>
      <c r="D2176" t="s">
        <v>5157</v>
      </c>
      <c r="E2176" t="s">
        <v>5157</v>
      </c>
    </row>
    <row r="2177" spans="1:5">
      <c r="A2177" t="s">
        <v>5241</v>
      </c>
      <c r="B2177" t="s">
        <v>3592</v>
      </c>
      <c r="C2177" t="s">
        <v>3593</v>
      </c>
      <c r="D2177" t="s">
        <v>5157</v>
      </c>
      <c r="E2177" t="s">
        <v>5157</v>
      </c>
    </row>
    <row r="2178" spans="1:5">
      <c r="A2178" t="s">
        <v>5241</v>
      </c>
      <c r="B2178" t="s">
        <v>3594</v>
      </c>
      <c r="C2178" t="s">
        <v>3595</v>
      </c>
      <c r="D2178" t="s">
        <v>5211</v>
      </c>
      <c r="E2178" t="s">
        <v>5214</v>
      </c>
    </row>
    <row r="2179" spans="1:5">
      <c r="A2179" t="s">
        <v>5244</v>
      </c>
      <c r="B2179" t="s">
        <v>3596</v>
      </c>
      <c r="C2179" t="s">
        <v>3597</v>
      </c>
      <c r="D2179" t="s">
        <v>5162</v>
      </c>
      <c r="E2179" t="s">
        <v>5212</v>
      </c>
    </row>
    <row r="2180" spans="1:5">
      <c r="A2180" t="s">
        <v>5241</v>
      </c>
      <c r="B2180" t="s">
        <v>3596</v>
      </c>
      <c r="C2180" t="s">
        <v>3597</v>
      </c>
      <c r="D2180" t="s">
        <v>5162</v>
      </c>
      <c r="E2180" t="s">
        <v>5212</v>
      </c>
    </row>
    <row r="2181" spans="1:5">
      <c r="A2181" t="s">
        <v>5244</v>
      </c>
      <c r="B2181" t="s">
        <v>3598</v>
      </c>
      <c r="C2181" t="s">
        <v>3599</v>
      </c>
      <c r="D2181" t="s">
        <v>5157</v>
      </c>
      <c r="E2181" t="s">
        <v>5157</v>
      </c>
    </row>
    <row r="2182" spans="1:5">
      <c r="A2182" t="s">
        <v>5241</v>
      </c>
      <c r="B2182" t="s">
        <v>3598</v>
      </c>
      <c r="C2182" t="s">
        <v>3599</v>
      </c>
      <c r="D2182" t="s">
        <v>5157</v>
      </c>
      <c r="E2182" t="s">
        <v>5157</v>
      </c>
    </row>
    <row r="2183" spans="1:5">
      <c r="A2183" t="s">
        <v>5241</v>
      </c>
      <c r="B2183" t="s">
        <v>5986</v>
      </c>
      <c r="C2183" t="s">
        <v>5987</v>
      </c>
      <c r="D2183" t="s">
        <v>5157</v>
      </c>
      <c r="E2183" t="s">
        <v>5157</v>
      </c>
    </row>
    <row r="2184" spans="1:5">
      <c r="A2184" t="s">
        <v>5241</v>
      </c>
      <c r="B2184" t="s">
        <v>5988</v>
      </c>
      <c r="C2184" t="s">
        <v>5989</v>
      </c>
      <c r="D2184" t="s">
        <v>5157</v>
      </c>
      <c r="E2184" t="s">
        <v>5157</v>
      </c>
    </row>
    <row r="2185" spans="1:5">
      <c r="A2185" t="s">
        <v>5241</v>
      </c>
      <c r="B2185" t="s">
        <v>3600</v>
      </c>
      <c r="C2185" t="s">
        <v>3601</v>
      </c>
      <c r="D2185" t="s">
        <v>5157</v>
      </c>
      <c r="E2185" t="s">
        <v>5157</v>
      </c>
    </row>
    <row r="2186" spans="1:5">
      <c r="A2186" t="s">
        <v>5241</v>
      </c>
      <c r="B2186" t="s">
        <v>3602</v>
      </c>
      <c r="C2186" t="s">
        <v>3603</v>
      </c>
      <c r="D2186" t="s">
        <v>5157</v>
      </c>
      <c r="E2186" t="s">
        <v>5157</v>
      </c>
    </row>
    <row r="2187" spans="1:5">
      <c r="A2187" t="s">
        <v>5241</v>
      </c>
      <c r="B2187" t="s">
        <v>3604</v>
      </c>
      <c r="C2187" t="s">
        <v>3605</v>
      </c>
      <c r="D2187" t="s">
        <v>5157</v>
      </c>
      <c r="E2187" t="s">
        <v>5157</v>
      </c>
    </row>
    <row r="2188" spans="1:5">
      <c r="A2188" t="s">
        <v>5241</v>
      </c>
      <c r="B2188" t="s">
        <v>3606</v>
      </c>
      <c r="C2188" t="s">
        <v>3607</v>
      </c>
      <c r="D2188" t="s">
        <v>5157</v>
      </c>
      <c r="E2188" t="s">
        <v>5157</v>
      </c>
    </row>
    <row r="2189" spans="1:5">
      <c r="A2189" t="s">
        <v>5241</v>
      </c>
      <c r="B2189" t="s">
        <v>3608</v>
      </c>
      <c r="C2189" t="s">
        <v>3609</v>
      </c>
      <c r="D2189" t="s">
        <v>5157</v>
      </c>
      <c r="E2189" t="s">
        <v>5157</v>
      </c>
    </row>
    <row r="2190" spans="1:5">
      <c r="A2190" t="s">
        <v>5241</v>
      </c>
      <c r="B2190" t="s">
        <v>3610</v>
      </c>
      <c r="C2190" t="s">
        <v>3611</v>
      </c>
      <c r="D2190" t="s">
        <v>5166</v>
      </c>
      <c r="E2190" t="s">
        <v>5163</v>
      </c>
    </row>
    <row r="2191" spans="1:5">
      <c r="A2191" t="s">
        <v>5241</v>
      </c>
      <c r="B2191" t="s">
        <v>3612</v>
      </c>
      <c r="C2191" t="s">
        <v>3613</v>
      </c>
      <c r="D2191" t="s">
        <v>5157</v>
      </c>
      <c r="E2191" t="s">
        <v>5157</v>
      </c>
    </row>
    <row r="2192" spans="1:5">
      <c r="A2192" t="s">
        <v>5241</v>
      </c>
      <c r="B2192" t="s">
        <v>3614</v>
      </c>
      <c r="C2192" t="s">
        <v>3615</v>
      </c>
      <c r="D2192" t="s">
        <v>5157</v>
      </c>
      <c r="E2192" t="s">
        <v>5157</v>
      </c>
    </row>
    <row r="2193" spans="1:5">
      <c r="A2193" t="s">
        <v>5241</v>
      </c>
      <c r="B2193" t="s">
        <v>3616</v>
      </c>
      <c r="C2193" t="s">
        <v>3617</v>
      </c>
      <c r="D2193" t="s">
        <v>5157</v>
      </c>
      <c r="E2193" t="s">
        <v>5157</v>
      </c>
    </row>
    <row r="2194" spans="1:5">
      <c r="A2194" t="s">
        <v>5241</v>
      </c>
      <c r="B2194" t="s">
        <v>3618</v>
      </c>
      <c r="C2194" t="s">
        <v>3619</v>
      </c>
      <c r="D2194" t="s">
        <v>5157</v>
      </c>
      <c r="E2194" t="s">
        <v>5157</v>
      </c>
    </row>
    <row r="2195" spans="1:5">
      <c r="A2195" t="s">
        <v>5241</v>
      </c>
      <c r="B2195" t="s">
        <v>3620</v>
      </c>
      <c r="C2195" t="s">
        <v>3621</v>
      </c>
      <c r="D2195" t="s">
        <v>5157</v>
      </c>
      <c r="E2195" t="s">
        <v>5157</v>
      </c>
    </row>
    <row r="2196" spans="1:5">
      <c r="A2196" t="s">
        <v>5241</v>
      </c>
      <c r="B2196" t="s">
        <v>5990</v>
      </c>
      <c r="C2196" t="s">
        <v>5991</v>
      </c>
      <c r="D2196" t="s">
        <v>5157</v>
      </c>
      <c r="E2196" t="s">
        <v>5157</v>
      </c>
    </row>
    <row r="2197" spans="1:5">
      <c r="A2197" t="s">
        <v>5241</v>
      </c>
      <c r="B2197" t="s">
        <v>3622</v>
      </c>
      <c r="C2197" t="s">
        <v>3623</v>
      </c>
      <c r="D2197" t="s">
        <v>5162</v>
      </c>
      <c r="E2197" t="s">
        <v>5210</v>
      </c>
    </row>
    <row r="2198" spans="1:5">
      <c r="A2198" t="s">
        <v>5241</v>
      </c>
      <c r="B2198" t="s">
        <v>3624</v>
      </c>
      <c r="C2198" t="s">
        <v>3625</v>
      </c>
      <c r="D2198" t="s">
        <v>5157</v>
      </c>
      <c r="E2198" t="s">
        <v>5157</v>
      </c>
    </row>
    <row r="2199" spans="1:5">
      <c r="A2199" t="s">
        <v>5244</v>
      </c>
      <c r="B2199" t="s">
        <v>3626</v>
      </c>
      <c r="C2199" t="s">
        <v>3627</v>
      </c>
      <c r="D2199" t="s">
        <v>5157</v>
      </c>
      <c r="E2199" t="s">
        <v>5157</v>
      </c>
    </row>
    <row r="2200" spans="1:5">
      <c r="A2200" t="s">
        <v>5241</v>
      </c>
      <c r="B2200" t="s">
        <v>3626</v>
      </c>
      <c r="C2200" t="s">
        <v>3627</v>
      </c>
      <c r="D2200" t="s">
        <v>5157</v>
      </c>
      <c r="E2200" t="s">
        <v>5157</v>
      </c>
    </row>
    <row r="2201" spans="1:5">
      <c r="A2201" t="s">
        <v>5241</v>
      </c>
      <c r="B2201" t="s">
        <v>5992</v>
      </c>
      <c r="C2201" t="s">
        <v>5993</v>
      </c>
      <c r="D2201" t="s">
        <v>5157</v>
      </c>
      <c r="E2201" t="s">
        <v>5157</v>
      </c>
    </row>
    <row r="2202" spans="1:5">
      <c r="A2202" t="s">
        <v>5241</v>
      </c>
      <c r="B2202" t="s">
        <v>3628</v>
      </c>
      <c r="C2202" t="s">
        <v>3629</v>
      </c>
      <c r="D2202" t="s">
        <v>5157</v>
      </c>
      <c r="E2202" t="s">
        <v>5157</v>
      </c>
    </row>
    <row r="2203" spans="1:5">
      <c r="A2203" t="s">
        <v>5241</v>
      </c>
      <c r="B2203" t="s">
        <v>5994</v>
      </c>
      <c r="C2203" t="s">
        <v>5995</v>
      </c>
      <c r="D2203" t="s">
        <v>5157</v>
      </c>
      <c r="E2203" t="s">
        <v>5157</v>
      </c>
    </row>
    <row r="2204" spans="1:5">
      <c r="A2204" t="s">
        <v>5241</v>
      </c>
      <c r="B2204" t="s">
        <v>3630</v>
      </c>
      <c r="C2204" t="s">
        <v>3631</v>
      </c>
      <c r="D2204" t="s">
        <v>5157</v>
      </c>
      <c r="E2204" t="s">
        <v>5157</v>
      </c>
    </row>
    <row r="2205" spans="1:5">
      <c r="A2205" t="s">
        <v>5241</v>
      </c>
      <c r="B2205" t="s">
        <v>5996</v>
      </c>
      <c r="C2205" t="s">
        <v>5997</v>
      </c>
      <c r="D2205" t="s">
        <v>5157</v>
      </c>
      <c r="E2205" t="s">
        <v>5157</v>
      </c>
    </row>
    <row r="2206" spans="1:5">
      <c r="A2206" t="s">
        <v>5241</v>
      </c>
      <c r="B2206" t="s">
        <v>5998</v>
      </c>
      <c r="C2206" t="s">
        <v>5999</v>
      </c>
      <c r="D2206" t="s">
        <v>5157</v>
      </c>
      <c r="E2206" t="s">
        <v>5157</v>
      </c>
    </row>
    <row r="2207" spans="1:5">
      <c r="A2207" t="s">
        <v>5241</v>
      </c>
      <c r="B2207" t="s">
        <v>6000</v>
      </c>
      <c r="C2207" t="s">
        <v>6001</v>
      </c>
      <c r="D2207" t="s">
        <v>5157</v>
      </c>
      <c r="E2207" t="s">
        <v>5157</v>
      </c>
    </row>
    <row r="2208" spans="1:5">
      <c r="A2208" t="s">
        <v>5241</v>
      </c>
      <c r="B2208" t="s">
        <v>3632</v>
      </c>
      <c r="C2208" t="s">
        <v>3633</v>
      </c>
      <c r="D2208" t="s">
        <v>5157</v>
      </c>
      <c r="E2208" t="s">
        <v>5157</v>
      </c>
    </row>
    <row r="2209" spans="1:5">
      <c r="A2209" t="s">
        <v>5241</v>
      </c>
      <c r="B2209" t="s">
        <v>3634</v>
      </c>
      <c r="C2209" t="s">
        <v>3635</v>
      </c>
      <c r="D2209" t="s">
        <v>5157</v>
      </c>
      <c r="E2209" t="s">
        <v>5157</v>
      </c>
    </row>
    <row r="2210" spans="1:5">
      <c r="A2210" t="s">
        <v>5241</v>
      </c>
      <c r="B2210" t="s">
        <v>3636</v>
      </c>
      <c r="C2210" t="s">
        <v>3637</v>
      </c>
      <c r="D2210" t="s">
        <v>5157</v>
      </c>
      <c r="E2210" t="s">
        <v>5157</v>
      </c>
    </row>
    <row r="2211" spans="1:5">
      <c r="A2211" t="s">
        <v>5241</v>
      </c>
      <c r="B2211" t="s">
        <v>3638</v>
      </c>
      <c r="C2211" t="s">
        <v>3639</v>
      </c>
      <c r="D2211" t="s">
        <v>5157</v>
      </c>
      <c r="E2211" t="s">
        <v>5157</v>
      </c>
    </row>
    <row r="2212" spans="1:5">
      <c r="A2212" t="s">
        <v>5241</v>
      </c>
      <c r="B2212" t="s">
        <v>3640</v>
      </c>
      <c r="C2212" t="s">
        <v>3641</v>
      </c>
      <c r="D2212" t="s">
        <v>5157</v>
      </c>
      <c r="E2212" t="s">
        <v>5157</v>
      </c>
    </row>
    <row r="2213" spans="1:5">
      <c r="A2213" t="s">
        <v>5241</v>
      </c>
      <c r="B2213" t="s">
        <v>6002</v>
      </c>
      <c r="C2213" t="s">
        <v>6003</v>
      </c>
      <c r="D2213" t="s">
        <v>5157</v>
      </c>
      <c r="E2213" t="s">
        <v>5157</v>
      </c>
    </row>
    <row r="2214" spans="1:5">
      <c r="A2214" t="s">
        <v>5241</v>
      </c>
      <c r="B2214" t="s">
        <v>3642</v>
      </c>
      <c r="C2214" t="s">
        <v>3643</v>
      </c>
      <c r="D2214" t="s">
        <v>5157</v>
      </c>
      <c r="E2214" t="s">
        <v>5157</v>
      </c>
    </row>
    <row r="2215" spans="1:5">
      <c r="A2215" t="s">
        <v>5241</v>
      </c>
      <c r="B2215" t="s">
        <v>3644</v>
      </c>
      <c r="C2215" t="s">
        <v>3645</v>
      </c>
      <c r="D2215" t="s">
        <v>5162</v>
      </c>
      <c r="E2215" t="s">
        <v>5212</v>
      </c>
    </row>
    <row r="2216" spans="1:5">
      <c r="A2216" t="s">
        <v>5241</v>
      </c>
      <c r="B2216" t="s">
        <v>3646</v>
      </c>
      <c r="C2216" t="s">
        <v>3647</v>
      </c>
      <c r="D2216" t="s">
        <v>5162</v>
      </c>
      <c r="E2216" t="s">
        <v>5213</v>
      </c>
    </row>
    <row r="2217" spans="1:5">
      <c r="A2217" t="s">
        <v>5244</v>
      </c>
      <c r="B2217" t="s">
        <v>3646</v>
      </c>
      <c r="C2217" t="s">
        <v>3647</v>
      </c>
      <c r="D2217" t="s">
        <v>5162</v>
      </c>
      <c r="E2217" t="s">
        <v>5213</v>
      </c>
    </row>
    <row r="2218" spans="1:5">
      <c r="A2218" t="s">
        <v>5241</v>
      </c>
      <c r="B2218" t="s">
        <v>3648</v>
      </c>
      <c r="C2218" t="s">
        <v>3649</v>
      </c>
      <c r="D2218" t="s">
        <v>5157</v>
      </c>
      <c r="E2218" t="s">
        <v>5157</v>
      </c>
    </row>
    <row r="2219" spans="1:5">
      <c r="A2219" t="s">
        <v>5241</v>
      </c>
      <c r="B2219" t="s">
        <v>3650</v>
      </c>
      <c r="C2219" t="s">
        <v>3651</v>
      </c>
      <c r="D2219" t="s">
        <v>5162</v>
      </c>
      <c r="E2219" t="s">
        <v>5214</v>
      </c>
    </row>
    <row r="2220" spans="1:5">
      <c r="A2220" t="s">
        <v>5241</v>
      </c>
      <c r="B2220" t="s">
        <v>3652</v>
      </c>
      <c r="C2220" t="s">
        <v>3653</v>
      </c>
      <c r="D2220" t="s">
        <v>5162</v>
      </c>
      <c r="E2220" t="s">
        <v>5163</v>
      </c>
    </row>
    <row r="2221" spans="1:5">
      <c r="A2221" t="s">
        <v>5241</v>
      </c>
      <c r="B2221" t="s">
        <v>3654</v>
      </c>
      <c r="C2221" t="s">
        <v>3655</v>
      </c>
      <c r="D2221" t="s">
        <v>5162</v>
      </c>
      <c r="E2221" t="s">
        <v>5210</v>
      </c>
    </row>
    <row r="2222" spans="1:5">
      <c r="A2222" t="s">
        <v>5241</v>
      </c>
      <c r="B2222" t="s">
        <v>3656</v>
      </c>
      <c r="C2222" t="s">
        <v>3657</v>
      </c>
      <c r="D2222" t="s">
        <v>5166</v>
      </c>
      <c r="E2222" t="s">
        <v>5163</v>
      </c>
    </row>
    <row r="2223" spans="1:5">
      <c r="A2223" t="s">
        <v>5241</v>
      </c>
      <c r="B2223" t="s">
        <v>3658</v>
      </c>
      <c r="C2223" t="s">
        <v>3659</v>
      </c>
      <c r="D2223" t="s">
        <v>5166</v>
      </c>
      <c r="E2223" t="s">
        <v>5163</v>
      </c>
    </row>
    <row r="2224" spans="1:5">
      <c r="A2224" t="s">
        <v>5241</v>
      </c>
      <c r="B2224" t="s">
        <v>3660</v>
      </c>
      <c r="C2224" t="s">
        <v>3661</v>
      </c>
      <c r="D2224" t="s">
        <v>5166</v>
      </c>
      <c r="E2224" t="s">
        <v>5163</v>
      </c>
    </row>
    <row r="2225" spans="1:5">
      <c r="A2225" t="s">
        <v>5241</v>
      </c>
      <c r="B2225" t="s">
        <v>3662</v>
      </c>
      <c r="C2225" t="s">
        <v>3663</v>
      </c>
      <c r="D2225" t="s">
        <v>5166</v>
      </c>
      <c r="E2225" t="s">
        <v>5163</v>
      </c>
    </row>
    <row r="2226" spans="1:5">
      <c r="A2226" t="s">
        <v>5241</v>
      </c>
      <c r="B2226" t="s">
        <v>3664</v>
      </c>
      <c r="C2226" t="s">
        <v>3665</v>
      </c>
      <c r="D2226" t="s">
        <v>5166</v>
      </c>
      <c r="E2226" t="s">
        <v>5163</v>
      </c>
    </row>
    <row r="2227" spans="1:5">
      <c r="A2227" t="s">
        <v>5241</v>
      </c>
      <c r="B2227" t="s">
        <v>3666</v>
      </c>
      <c r="C2227" t="s">
        <v>3667</v>
      </c>
      <c r="D2227" t="s">
        <v>5166</v>
      </c>
      <c r="E2227" t="s">
        <v>5163</v>
      </c>
    </row>
    <row r="2228" spans="1:5">
      <c r="A2228" t="s">
        <v>5241</v>
      </c>
      <c r="B2228" t="s">
        <v>3668</v>
      </c>
      <c r="C2228" t="s">
        <v>3669</v>
      </c>
      <c r="D2228" t="s">
        <v>5166</v>
      </c>
      <c r="E2228" t="s">
        <v>5163</v>
      </c>
    </row>
    <row r="2229" spans="1:5">
      <c r="A2229" t="s">
        <v>5241</v>
      </c>
      <c r="B2229" t="s">
        <v>3670</v>
      </c>
      <c r="C2229" t="s">
        <v>3671</v>
      </c>
      <c r="D2229" t="s">
        <v>5157</v>
      </c>
      <c r="E2229" t="s">
        <v>5157</v>
      </c>
    </row>
    <row r="2230" spans="1:5">
      <c r="A2230" t="s">
        <v>5241</v>
      </c>
      <c r="B2230" t="s">
        <v>3672</v>
      </c>
      <c r="C2230" t="s">
        <v>3673</v>
      </c>
      <c r="D2230" t="s">
        <v>5166</v>
      </c>
      <c r="E2230" t="s">
        <v>5163</v>
      </c>
    </row>
    <row r="2231" spans="1:5">
      <c r="A2231" t="s">
        <v>5241</v>
      </c>
      <c r="B2231" t="s">
        <v>3674</v>
      </c>
      <c r="C2231" t="s">
        <v>3675</v>
      </c>
      <c r="D2231" t="s">
        <v>5157</v>
      </c>
      <c r="E2231" t="s">
        <v>5157</v>
      </c>
    </row>
    <row r="2232" spans="1:5">
      <c r="A2232" t="s">
        <v>5241</v>
      </c>
      <c r="B2232" t="s">
        <v>3676</v>
      </c>
      <c r="C2232" t="s">
        <v>3677</v>
      </c>
      <c r="D2232" t="s">
        <v>5166</v>
      </c>
      <c r="E2232" t="s">
        <v>5163</v>
      </c>
    </row>
    <row r="2233" spans="1:5">
      <c r="A2233" t="s">
        <v>5241</v>
      </c>
      <c r="B2233" t="s">
        <v>3678</v>
      </c>
      <c r="C2233" t="s">
        <v>3679</v>
      </c>
      <c r="D2233" t="s">
        <v>5166</v>
      </c>
      <c r="E2233" t="s">
        <v>5163</v>
      </c>
    </row>
    <row r="2234" spans="1:5">
      <c r="A2234" t="s">
        <v>5241</v>
      </c>
      <c r="B2234" t="s">
        <v>3680</v>
      </c>
      <c r="C2234" t="s">
        <v>3681</v>
      </c>
      <c r="D2234" t="s">
        <v>5162</v>
      </c>
      <c r="E2234" t="s">
        <v>5163</v>
      </c>
    </row>
    <row r="2235" spans="1:5">
      <c r="A2235" t="s">
        <v>5244</v>
      </c>
      <c r="B2235" t="s">
        <v>3680</v>
      </c>
      <c r="C2235" t="s">
        <v>3681</v>
      </c>
      <c r="D2235" t="s">
        <v>5162</v>
      </c>
      <c r="E2235" t="s">
        <v>5163</v>
      </c>
    </row>
    <row r="2236" spans="1:5">
      <c r="A2236" t="s">
        <v>5241</v>
      </c>
      <c r="B2236" t="s">
        <v>3682</v>
      </c>
      <c r="C2236" t="s">
        <v>3683</v>
      </c>
      <c r="D2236" t="s">
        <v>5166</v>
      </c>
      <c r="E2236" t="s">
        <v>5163</v>
      </c>
    </row>
    <row r="2237" spans="1:5">
      <c r="A2237" t="s">
        <v>5241</v>
      </c>
      <c r="B2237" t="s">
        <v>3684</v>
      </c>
      <c r="C2237" t="s">
        <v>3685</v>
      </c>
      <c r="D2237" t="s">
        <v>5166</v>
      </c>
      <c r="E2237" t="s">
        <v>5163</v>
      </c>
    </row>
    <row r="2238" spans="1:5">
      <c r="A2238" t="s">
        <v>5241</v>
      </c>
      <c r="B2238" t="s">
        <v>3686</v>
      </c>
      <c r="C2238" t="s">
        <v>3687</v>
      </c>
      <c r="D2238" t="s">
        <v>5166</v>
      </c>
      <c r="E2238" t="s">
        <v>5215</v>
      </c>
    </row>
    <row r="2239" spans="1:5">
      <c r="A2239" t="s">
        <v>5241</v>
      </c>
      <c r="B2239" t="s">
        <v>3688</v>
      </c>
      <c r="C2239" t="s">
        <v>3689</v>
      </c>
      <c r="D2239" t="s">
        <v>5162</v>
      </c>
      <c r="E2239" t="s">
        <v>5210</v>
      </c>
    </row>
    <row r="2240" spans="1:5">
      <c r="A2240" t="s">
        <v>5241</v>
      </c>
      <c r="B2240" t="s">
        <v>3690</v>
      </c>
      <c r="C2240" t="s">
        <v>3691</v>
      </c>
      <c r="D2240" t="s">
        <v>5162</v>
      </c>
      <c r="E2240" t="s">
        <v>5210</v>
      </c>
    </row>
    <row r="2241" spans="1:5">
      <c r="A2241" t="s">
        <v>5244</v>
      </c>
      <c r="B2241" t="s">
        <v>3692</v>
      </c>
      <c r="C2241" t="s">
        <v>3693</v>
      </c>
      <c r="D2241" t="s">
        <v>5162</v>
      </c>
      <c r="E2241" t="s">
        <v>5163</v>
      </c>
    </row>
    <row r="2242" spans="1:5">
      <c r="A2242" t="s">
        <v>5241</v>
      </c>
      <c r="B2242" t="s">
        <v>3692</v>
      </c>
      <c r="C2242" t="s">
        <v>3693</v>
      </c>
      <c r="D2242" t="s">
        <v>5162</v>
      </c>
      <c r="E2242" t="s">
        <v>5163</v>
      </c>
    </row>
    <row r="2243" spans="1:5">
      <c r="A2243" t="s">
        <v>5244</v>
      </c>
      <c r="B2243" t="s">
        <v>3694</v>
      </c>
      <c r="C2243" t="s">
        <v>3695</v>
      </c>
      <c r="D2243" t="s">
        <v>5162</v>
      </c>
      <c r="E2243" t="s">
        <v>5163</v>
      </c>
    </row>
    <row r="2244" spans="1:5">
      <c r="A2244" t="s">
        <v>5241</v>
      </c>
      <c r="B2244" t="s">
        <v>3694</v>
      </c>
      <c r="C2244" t="s">
        <v>3695</v>
      </c>
      <c r="D2244" t="s">
        <v>5162</v>
      </c>
      <c r="E2244" t="s">
        <v>5163</v>
      </c>
    </row>
    <row r="2245" spans="1:5">
      <c r="A2245" t="s">
        <v>5244</v>
      </c>
      <c r="B2245" t="s">
        <v>3696</v>
      </c>
      <c r="C2245" t="s">
        <v>3697</v>
      </c>
      <c r="D2245" t="s">
        <v>5162</v>
      </c>
      <c r="E2245" t="s">
        <v>5163</v>
      </c>
    </row>
    <row r="2246" spans="1:5">
      <c r="A2246" t="s">
        <v>5241</v>
      </c>
      <c r="B2246" t="s">
        <v>3696</v>
      </c>
      <c r="C2246" t="s">
        <v>3697</v>
      </c>
      <c r="D2246" t="s">
        <v>5162</v>
      </c>
      <c r="E2246" t="s">
        <v>5163</v>
      </c>
    </row>
    <row r="2247" spans="1:5">
      <c r="A2247" t="s">
        <v>5244</v>
      </c>
      <c r="B2247" t="s">
        <v>3698</v>
      </c>
      <c r="C2247" t="s">
        <v>3699</v>
      </c>
      <c r="D2247" t="s">
        <v>5162</v>
      </c>
      <c r="E2247" t="s">
        <v>5163</v>
      </c>
    </row>
    <row r="2248" spans="1:5">
      <c r="A2248" t="s">
        <v>5241</v>
      </c>
      <c r="B2248" t="s">
        <v>3698</v>
      </c>
      <c r="C2248" t="s">
        <v>3699</v>
      </c>
      <c r="D2248" t="s">
        <v>5162</v>
      </c>
      <c r="E2248" t="s">
        <v>5163</v>
      </c>
    </row>
    <row r="2249" spans="1:5">
      <c r="A2249" t="s">
        <v>5241</v>
      </c>
      <c r="B2249" t="s">
        <v>3700</v>
      </c>
      <c r="C2249" t="s">
        <v>3701</v>
      </c>
      <c r="D2249" t="s">
        <v>5157</v>
      </c>
      <c r="E2249" t="s">
        <v>5157</v>
      </c>
    </row>
    <row r="2250" spans="1:5">
      <c r="A2250" t="s">
        <v>5241</v>
      </c>
      <c r="B2250" t="s">
        <v>3702</v>
      </c>
      <c r="C2250" t="s">
        <v>3703</v>
      </c>
      <c r="D2250" t="s">
        <v>5157</v>
      </c>
      <c r="E2250" t="s">
        <v>5157</v>
      </c>
    </row>
    <row r="2251" spans="1:5">
      <c r="A2251" t="s">
        <v>5241</v>
      </c>
      <c r="B2251" t="s">
        <v>3704</v>
      </c>
      <c r="C2251" t="s">
        <v>3705</v>
      </c>
      <c r="D2251" t="s">
        <v>5157</v>
      </c>
      <c r="E2251" t="s">
        <v>5157</v>
      </c>
    </row>
    <row r="2252" spans="1:5">
      <c r="A2252" t="s">
        <v>5241</v>
      </c>
      <c r="B2252" t="s">
        <v>3706</v>
      </c>
      <c r="C2252" t="s">
        <v>3707</v>
      </c>
      <c r="D2252" t="s">
        <v>5157</v>
      </c>
      <c r="E2252" t="s">
        <v>5157</v>
      </c>
    </row>
    <row r="2253" spans="1:5">
      <c r="A2253" t="s">
        <v>5241</v>
      </c>
      <c r="B2253" t="s">
        <v>3708</v>
      </c>
      <c r="C2253" t="s">
        <v>3709</v>
      </c>
      <c r="D2253" t="s">
        <v>5166</v>
      </c>
      <c r="E2253" t="s">
        <v>5163</v>
      </c>
    </row>
    <row r="2254" spans="1:5">
      <c r="A2254" t="s">
        <v>5244</v>
      </c>
      <c r="B2254" t="s">
        <v>3710</v>
      </c>
      <c r="C2254" t="s">
        <v>3711</v>
      </c>
      <c r="D2254" t="s">
        <v>5162</v>
      </c>
      <c r="E2254" t="s">
        <v>5213</v>
      </c>
    </row>
    <row r="2255" spans="1:5">
      <c r="A2255" t="s">
        <v>5241</v>
      </c>
      <c r="B2255" t="s">
        <v>3710</v>
      </c>
      <c r="C2255" t="s">
        <v>3711</v>
      </c>
      <c r="D2255" t="s">
        <v>5162</v>
      </c>
      <c r="E2255" t="s">
        <v>5213</v>
      </c>
    </row>
    <row r="2256" spans="1:5">
      <c r="A2256" t="s">
        <v>5241</v>
      </c>
      <c r="B2256" t="s">
        <v>3712</v>
      </c>
      <c r="C2256" t="s">
        <v>3713</v>
      </c>
      <c r="D2256" t="s">
        <v>5166</v>
      </c>
      <c r="E2256" t="s">
        <v>5163</v>
      </c>
    </row>
    <row r="2257" spans="1:5">
      <c r="A2257" t="s">
        <v>5241</v>
      </c>
      <c r="B2257" t="s">
        <v>6004</v>
      </c>
      <c r="C2257" t="s">
        <v>6005</v>
      </c>
      <c r="D2257" t="s">
        <v>5157</v>
      </c>
      <c r="E2257" t="s">
        <v>5157</v>
      </c>
    </row>
    <row r="2258" spans="1:5">
      <c r="A2258" t="s">
        <v>5241</v>
      </c>
      <c r="B2258" t="s">
        <v>3714</v>
      </c>
      <c r="C2258" t="s">
        <v>3715</v>
      </c>
      <c r="D2258" t="s">
        <v>5166</v>
      </c>
      <c r="E2258" t="s">
        <v>5163</v>
      </c>
    </row>
    <row r="2259" spans="1:5">
      <c r="A2259" t="s">
        <v>5244</v>
      </c>
      <c r="B2259" t="s">
        <v>3716</v>
      </c>
      <c r="C2259" t="s">
        <v>3717</v>
      </c>
      <c r="D2259" t="s">
        <v>5158</v>
      </c>
      <c r="E2259" t="s">
        <v>5159</v>
      </c>
    </row>
    <row r="2260" spans="1:5">
      <c r="A2260" t="s">
        <v>5244</v>
      </c>
      <c r="B2260" t="s">
        <v>3718</v>
      </c>
      <c r="C2260" t="s">
        <v>3719</v>
      </c>
      <c r="D2260" t="s">
        <v>5157</v>
      </c>
      <c r="E2260" t="s">
        <v>5157</v>
      </c>
    </row>
    <row r="2261" spans="1:5">
      <c r="A2261" t="s">
        <v>5244</v>
      </c>
      <c r="B2261" t="s">
        <v>3720</v>
      </c>
      <c r="C2261" t="s">
        <v>3721</v>
      </c>
      <c r="D2261" t="s">
        <v>5158</v>
      </c>
      <c r="E2261" t="s">
        <v>5159</v>
      </c>
    </row>
    <row r="2262" spans="1:5">
      <c r="A2262" t="s">
        <v>5244</v>
      </c>
      <c r="B2262" t="s">
        <v>3722</v>
      </c>
      <c r="C2262" t="s">
        <v>3723</v>
      </c>
      <c r="D2262" t="s">
        <v>5158</v>
      </c>
      <c r="E2262" t="s">
        <v>5159</v>
      </c>
    </row>
    <row r="2263" spans="1:5">
      <c r="A2263" t="s">
        <v>5244</v>
      </c>
      <c r="B2263" t="s">
        <v>3724</v>
      </c>
      <c r="C2263" t="s">
        <v>3725</v>
      </c>
      <c r="D2263" t="s">
        <v>5158</v>
      </c>
      <c r="E2263" t="s">
        <v>5159</v>
      </c>
    </row>
    <row r="2264" spans="1:5">
      <c r="A2264" t="s">
        <v>5244</v>
      </c>
      <c r="B2264" t="s">
        <v>3726</v>
      </c>
      <c r="C2264" t="s">
        <v>3727</v>
      </c>
      <c r="D2264" t="s">
        <v>5158</v>
      </c>
      <c r="E2264" t="s">
        <v>5159</v>
      </c>
    </row>
    <row r="2265" spans="1:5">
      <c r="A2265" t="s">
        <v>5244</v>
      </c>
      <c r="B2265" t="s">
        <v>3728</v>
      </c>
      <c r="C2265" t="s">
        <v>3729</v>
      </c>
      <c r="D2265" t="s">
        <v>5158</v>
      </c>
      <c r="E2265" t="s">
        <v>5159</v>
      </c>
    </row>
    <row r="2266" spans="1:5">
      <c r="A2266" t="s">
        <v>5244</v>
      </c>
      <c r="B2266" t="s">
        <v>3730</v>
      </c>
      <c r="C2266" t="s">
        <v>3731</v>
      </c>
      <c r="D2266" t="s">
        <v>5157</v>
      </c>
      <c r="E2266" t="s">
        <v>5157</v>
      </c>
    </row>
    <row r="2267" spans="1:5">
      <c r="A2267" t="s">
        <v>5244</v>
      </c>
      <c r="B2267" t="s">
        <v>3732</v>
      </c>
      <c r="C2267" t="s">
        <v>3733</v>
      </c>
      <c r="D2267" t="s">
        <v>5157</v>
      </c>
      <c r="E2267" t="s">
        <v>5157</v>
      </c>
    </row>
    <row r="2268" spans="1:5">
      <c r="A2268" t="s">
        <v>5244</v>
      </c>
      <c r="B2268" t="s">
        <v>3734</v>
      </c>
      <c r="C2268" t="s">
        <v>3735</v>
      </c>
      <c r="D2268" t="s">
        <v>5158</v>
      </c>
      <c r="E2268" t="s">
        <v>5159</v>
      </c>
    </row>
    <row r="2269" spans="1:5">
      <c r="A2269" t="s">
        <v>5244</v>
      </c>
      <c r="B2269" t="s">
        <v>3736</v>
      </c>
      <c r="C2269" t="s">
        <v>3737</v>
      </c>
      <c r="D2269" t="s">
        <v>5161</v>
      </c>
      <c r="E2269" t="s">
        <v>5159</v>
      </c>
    </row>
    <row r="2270" spans="1:5">
      <c r="A2270" t="s">
        <v>5244</v>
      </c>
      <c r="B2270" t="s">
        <v>3738</v>
      </c>
      <c r="C2270" t="s">
        <v>3739</v>
      </c>
      <c r="D2270" t="s">
        <v>5158</v>
      </c>
      <c r="E2270" t="s">
        <v>5159</v>
      </c>
    </row>
    <row r="2271" spans="1:5">
      <c r="A2271" t="s">
        <v>5244</v>
      </c>
      <c r="B2271" t="s">
        <v>3740</v>
      </c>
      <c r="C2271" t="s">
        <v>3741</v>
      </c>
      <c r="D2271" t="s">
        <v>5157</v>
      </c>
      <c r="E2271" t="s">
        <v>5157</v>
      </c>
    </row>
    <row r="2272" spans="1:5">
      <c r="A2272" t="s">
        <v>5244</v>
      </c>
      <c r="B2272" t="s">
        <v>3742</v>
      </c>
      <c r="C2272" t="s">
        <v>3743</v>
      </c>
      <c r="D2272" t="s">
        <v>5157</v>
      </c>
      <c r="E2272" t="s">
        <v>5157</v>
      </c>
    </row>
    <row r="2273" spans="1:5">
      <c r="A2273" t="s">
        <v>5244</v>
      </c>
      <c r="B2273" t="s">
        <v>3744</v>
      </c>
      <c r="C2273" t="s">
        <v>3745</v>
      </c>
      <c r="D2273" t="s">
        <v>5158</v>
      </c>
      <c r="E2273" t="s">
        <v>5159</v>
      </c>
    </row>
    <row r="2274" spans="1:5">
      <c r="A2274" t="s">
        <v>5244</v>
      </c>
      <c r="B2274" t="s">
        <v>3746</v>
      </c>
      <c r="C2274" t="s">
        <v>3747</v>
      </c>
      <c r="D2274" t="s">
        <v>5157</v>
      </c>
      <c r="E2274" t="s">
        <v>5157</v>
      </c>
    </row>
    <row r="2275" spans="1:5">
      <c r="A2275" t="s">
        <v>5241</v>
      </c>
      <c r="B2275" t="s">
        <v>3748</v>
      </c>
      <c r="C2275" t="s">
        <v>3749</v>
      </c>
      <c r="D2275" t="s">
        <v>5157</v>
      </c>
      <c r="E2275" t="s">
        <v>5157</v>
      </c>
    </row>
    <row r="2276" spans="1:5">
      <c r="A2276" t="s">
        <v>5244</v>
      </c>
      <c r="B2276" t="s">
        <v>3750</v>
      </c>
      <c r="C2276" t="s">
        <v>3751</v>
      </c>
      <c r="D2276" t="s">
        <v>5157</v>
      </c>
      <c r="E2276" t="s">
        <v>5157</v>
      </c>
    </row>
    <row r="2277" spans="1:5">
      <c r="A2277" t="s">
        <v>5244</v>
      </c>
      <c r="B2277" t="s">
        <v>3752</v>
      </c>
      <c r="C2277" t="s">
        <v>3753</v>
      </c>
      <c r="D2277" t="s">
        <v>5157</v>
      </c>
      <c r="E2277" t="s">
        <v>5157</v>
      </c>
    </row>
    <row r="2278" spans="1:5">
      <c r="A2278" t="s">
        <v>5244</v>
      </c>
      <c r="B2278" t="s">
        <v>3754</v>
      </c>
      <c r="C2278" t="s">
        <v>3755</v>
      </c>
      <c r="D2278" t="s">
        <v>5157</v>
      </c>
      <c r="E2278" t="s">
        <v>5157</v>
      </c>
    </row>
    <row r="2279" spans="1:5">
      <c r="A2279" t="s">
        <v>5244</v>
      </c>
      <c r="B2279" t="s">
        <v>900</v>
      </c>
      <c r="C2279" t="s">
        <v>3756</v>
      </c>
      <c r="D2279" t="s">
        <v>5195</v>
      </c>
      <c r="E2279" t="s">
        <v>5159</v>
      </c>
    </row>
    <row r="2280" spans="1:5">
      <c r="A2280" t="s">
        <v>5244</v>
      </c>
      <c r="B2280" t="s">
        <v>901</v>
      </c>
      <c r="C2280" t="s">
        <v>3757</v>
      </c>
      <c r="D2280" t="s">
        <v>5158</v>
      </c>
      <c r="E2280" t="s">
        <v>5159</v>
      </c>
    </row>
    <row r="2281" spans="1:5">
      <c r="A2281" t="s">
        <v>5244</v>
      </c>
      <c r="B2281" t="s">
        <v>902</v>
      </c>
      <c r="C2281" t="s">
        <v>3758</v>
      </c>
      <c r="D2281" t="s">
        <v>5195</v>
      </c>
      <c r="E2281" t="s">
        <v>5159</v>
      </c>
    </row>
    <row r="2282" spans="1:5">
      <c r="A2282" t="s">
        <v>5244</v>
      </c>
      <c r="B2282" t="s">
        <v>903</v>
      </c>
      <c r="C2282" t="s">
        <v>3759</v>
      </c>
      <c r="D2282" t="s">
        <v>5157</v>
      </c>
      <c r="E2282" t="s">
        <v>5157</v>
      </c>
    </row>
    <row r="2283" spans="1:5">
      <c r="A2283" t="s">
        <v>5244</v>
      </c>
      <c r="B2283" t="s">
        <v>3760</v>
      </c>
      <c r="C2283" t="s">
        <v>3761</v>
      </c>
      <c r="D2283" t="s">
        <v>5157</v>
      </c>
      <c r="E2283" t="s">
        <v>5157</v>
      </c>
    </row>
    <row r="2284" spans="1:5">
      <c r="A2284" t="s">
        <v>5244</v>
      </c>
      <c r="B2284" t="s">
        <v>6006</v>
      </c>
      <c r="C2284" t="s">
        <v>6007</v>
      </c>
      <c r="D2284" t="s">
        <v>5157</v>
      </c>
      <c r="E2284" t="s">
        <v>5157</v>
      </c>
    </row>
    <row r="2285" spans="1:5">
      <c r="A2285" t="s">
        <v>5244</v>
      </c>
      <c r="B2285" t="s">
        <v>6008</v>
      </c>
      <c r="C2285" t="s">
        <v>6009</v>
      </c>
      <c r="D2285" t="s">
        <v>5157</v>
      </c>
      <c r="E2285" t="s">
        <v>5157</v>
      </c>
    </row>
    <row r="2286" spans="1:5">
      <c r="A2286" t="s">
        <v>5244</v>
      </c>
      <c r="B2286" t="s">
        <v>6010</v>
      </c>
      <c r="C2286" t="s">
        <v>6011</v>
      </c>
      <c r="D2286" t="s">
        <v>5191</v>
      </c>
      <c r="E2286" t="s">
        <v>5192</v>
      </c>
    </row>
    <row r="2287" spans="1:5">
      <c r="A2287" t="s">
        <v>5244</v>
      </c>
      <c r="B2287" t="s">
        <v>3762</v>
      </c>
      <c r="C2287" t="s">
        <v>3763</v>
      </c>
      <c r="D2287" t="s">
        <v>5195</v>
      </c>
      <c r="E2287" t="s">
        <v>5159</v>
      </c>
    </row>
    <row r="2288" spans="1:5">
      <c r="A2288" t="s">
        <v>5244</v>
      </c>
      <c r="B2288" t="s">
        <v>6012</v>
      </c>
      <c r="C2288" t="s">
        <v>6013</v>
      </c>
      <c r="D2288" t="s">
        <v>5157</v>
      </c>
      <c r="E2288" t="s">
        <v>5157</v>
      </c>
    </row>
    <row r="2289" spans="1:5">
      <c r="A2289" t="s">
        <v>5244</v>
      </c>
      <c r="B2289" t="s">
        <v>3764</v>
      </c>
      <c r="C2289" t="s">
        <v>3765</v>
      </c>
      <c r="D2289" t="s">
        <v>5158</v>
      </c>
      <c r="E2289" t="s">
        <v>5159</v>
      </c>
    </row>
    <row r="2290" spans="1:5">
      <c r="A2290" t="s">
        <v>5244</v>
      </c>
      <c r="B2290" t="s">
        <v>6014</v>
      </c>
      <c r="C2290" t="s">
        <v>6015</v>
      </c>
      <c r="D2290" t="s">
        <v>5158</v>
      </c>
      <c r="E2290" t="s">
        <v>5159</v>
      </c>
    </row>
    <row r="2291" spans="1:5">
      <c r="A2291" t="s">
        <v>5244</v>
      </c>
      <c r="B2291" t="s">
        <v>3766</v>
      </c>
      <c r="C2291" t="s">
        <v>3767</v>
      </c>
      <c r="D2291" t="s">
        <v>5188</v>
      </c>
      <c r="E2291" t="s">
        <v>5159</v>
      </c>
    </row>
    <row r="2292" spans="1:5">
      <c r="A2292" t="s">
        <v>5241</v>
      </c>
      <c r="B2292" t="s">
        <v>6016</v>
      </c>
      <c r="C2292" t="s">
        <v>6017</v>
      </c>
      <c r="D2292" t="s">
        <v>5197</v>
      </c>
      <c r="E2292" t="s">
        <v>5159</v>
      </c>
    </row>
    <row r="2293" spans="1:5">
      <c r="A2293" t="s">
        <v>5244</v>
      </c>
      <c r="B2293" t="s">
        <v>6018</v>
      </c>
      <c r="C2293" t="s">
        <v>6019</v>
      </c>
      <c r="D2293" t="s">
        <v>5157</v>
      </c>
      <c r="E2293" t="s">
        <v>5157</v>
      </c>
    </row>
    <row r="2294" spans="1:5">
      <c r="A2294" t="s">
        <v>5244</v>
      </c>
      <c r="B2294" t="s">
        <v>3768</v>
      </c>
      <c r="C2294" t="s">
        <v>3769</v>
      </c>
      <c r="D2294" t="s">
        <v>5157</v>
      </c>
      <c r="E2294" t="s">
        <v>5157</v>
      </c>
    </row>
    <row r="2295" spans="1:5">
      <c r="A2295" t="s">
        <v>5244</v>
      </c>
      <c r="B2295" t="s">
        <v>904</v>
      </c>
      <c r="C2295" t="s">
        <v>3770</v>
      </c>
      <c r="D2295" t="s">
        <v>5158</v>
      </c>
      <c r="E2295" t="s">
        <v>5159</v>
      </c>
    </row>
    <row r="2296" spans="1:5">
      <c r="A2296" t="s">
        <v>5244</v>
      </c>
      <c r="B2296" t="s">
        <v>905</v>
      </c>
      <c r="C2296" t="s">
        <v>3771</v>
      </c>
      <c r="D2296" t="s">
        <v>5158</v>
      </c>
      <c r="E2296" t="s">
        <v>5159</v>
      </c>
    </row>
    <row r="2297" spans="1:5">
      <c r="A2297" t="s">
        <v>5244</v>
      </c>
      <c r="B2297" t="s">
        <v>906</v>
      </c>
      <c r="C2297" t="s">
        <v>6020</v>
      </c>
      <c r="D2297" t="s">
        <v>5158</v>
      </c>
      <c r="E2297" t="s">
        <v>5159</v>
      </c>
    </row>
    <row r="2298" spans="1:5">
      <c r="A2298" t="s">
        <v>5244</v>
      </c>
      <c r="B2298" t="s">
        <v>3772</v>
      </c>
      <c r="C2298" t="s">
        <v>3773</v>
      </c>
      <c r="D2298" t="s">
        <v>5157</v>
      </c>
      <c r="E2298" t="s">
        <v>5157</v>
      </c>
    </row>
    <row r="2299" spans="1:5">
      <c r="A2299" t="s">
        <v>5241</v>
      </c>
      <c r="B2299" t="s">
        <v>6021</v>
      </c>
      <c r="C2299" t="s">
        <v>6022</v>
      </c>
      <c r="D2299" t="s">
        <v>5157</v>
      </c>
      <c r="E2299" t="s">
        <v>5157</v>
      </c>
    </row>
    <row r="2300" spans="1:5">
      <c r="A2300" t="s">
        <v>5241</v>
      </c>
      <c r="B2300" t="s">
        <v>6023</v>
      </c>
      <c r="C2300" t="s">
        <v>6024</v>
      </c>
      <c r="D2300" t="s">
        <v>5157</v>
      </c>
      <c r="E2300" t="s">
        <v>5157</v>
      </c>
    </row>
    <row r="2301" spans="1:5">
      <c r="A2301" t="s">
        <v>5241</v>
      </c>
      <c r="B2301" t="s">
        <v>6025</v>
      </c>
      <c r="C2301" t="s">
        <v>6026</v>
      </c>
      <c r="D2301" t="s">
        <v>5211</v>
      </c>
      <c r="E2301" t="s">
        <v>5214</v>
      </c>
    </row>
    <row r="2302" spans="1:5">
      <c r="A2302" t="s">
        <v>5244</v>
      </c>
      <c r="B2302" t="s">
        <v>3774</v>
      </c>
      <c r="C2302" t="s">
        <v>3775</v>
      </c>
      <c r="D2302" t="s">
        <v>5157</v>
      </c>
      <c r="E2302" t="s">
        <v>5157</v>
      </c>
    </row>
    <row r="2303" spans="1:5">
      <c r="A2303" t="s">
        <v>5244</v>
      </c>
      <c r="B2303" t="s">
        <v>3776</v>
      </c>
      <c r="C2303" t="s">
        <v>3777</v>
      </c>
      <c r="D2303" t="s">
        <v>5157</v>
      </c>
      <c r="E2303" t="s">
        <v>5157</v>
      </c>
    </row>
    <row r="2304" spans="1:5">
      <c r="A2304" t="s">
        <v>5244</v>
      </c>
      <c r="B2304" t="s">
        <v>6027</v>
      </c>
      <c r="C2304" t="s">
        <v>6028</v>
      </c>
      <c r="D2304" t="s">
        <v>5230</v>
      </c>
      <c r="E2304" t="s">
        <v>5168</v>
      </c>
    </row>
    <row r="2305" spans="1:5">
      <c r="A2305" t="s">
        <v>5244</v>
      </c>
      <c r="B2305" t="s">
        <v>3778</v>
      </c>
      <c r="C2305" t="s">
        <v>3779</v>
      </c>
      <c r="D2305" t="s">
        <v>5157</v>
      </c>
      <c r="E2305" t="s">
        <v>5157</v>
      </c>
    </row>
    <row r="2306" spans="1:5">
      <c r="A2306" t="s">
        <v>5244</v>
      </c>
      <c r="B2306" t="s">
        <v>6029</v>
      </c>
      <c r="C2306" t="s">
        <v>6030</v>
      </c>
      <c r="D2306" t="s">
        <v>5157</v>
      </c>
      <c r="E2306" t="s">
        <v>5157</v>
      </c>
    </row>
    <row r="2307" spans="1:5">
      <c r="A2307" t="s">
        <v>5244</v>
      </c>
      <c r="B2307" t="s">
        <v>3780</v>
      </c>
      <c r="C2307" t="s">
        <v>3781</v>
      </c>
      <c r="D2307" t="s">
        <v>5157</v>
      </c>
      <c r="E2307" t="s">
        <v>5157</v>
      </c>
    </row>
    <row r="2308" spans="1:5">
      <c r="A2308" t="s">
        <v>5244</v>
      </c>
      <c r="B2308" t="s">
        <v>3782</v>
      </c>
      <c r="C2308" t="s">
        <v>3783</v>
      </c>
      <c r="D2308" t="s">
        <v>5157</v>
      </c>
      <c r="E2308" t="s">
        <v>5157</v>
      </c>
    </row>
    <row r="2309" spans="1:5">
      <c r="A2309" t="s">
        <v>5244</v>
      </c>
      <c r="B2309" t="s">
        <v>3784</v>
      </c>
      <c r="C2309" t="s">
        <v>3785</v>
      </c>
      <c r="D2309" t="s">
        <v>5157</v>
      </c>
      <c r="E2309" t="s">
        <v>5157</v>
      </c>
    </row>
    <row r="2310" spans="1:5">
      <c r="A2310" t="s">
        <v>5244</v>
      </c>
      <c r="B2310" t="s">
        <v>3786</v>
      </c>
      <c r="C2310" t="s">
        <v>3787</v>
      </c>
      <c r="D2310" t="s">
        <v>5157</v>
      </c>
      <c r="E2310" t="s">
        <v>5157</v>
      </c>
    </row>
    <row r="2311" spans="1:5">
      <c r="A2311" t="s">
        <v>5244</v>
      </c>
      <c r="B2311" t="s">
        <v>3788</v>
      </c>
      <c r="C2311" t="s">
        <v>3789</v>
      </c>
      <c r="D2311" t="s">
        <v>5157</v>
      </c>
      <c r="E2311" t="s">
        <v>5157</v>
      </c>
    </row>
    <row r="2312" spans="1:5">
      <c r="A2312" t="s">
        <v>5244</v>
      </c>
      <c r="B2312" t="s">
        <v>3790</v>
      </c>
      <c r="C2312" t="s">
        <v>3791</v>
      </c>
      <c r="D2312" t="s">
        <v>5157</v>
      </c>
      <c r="E2312" t="s">
        <v>5157</v>
      </c>
    </row>
    <row r="2313" spans="1:5">
      <c r="A2313" t="s">
        <v>5244</v>
      </c>
      <c r="B2313" t="s">
        <v>3792</v>
      </c>
      <c r="C2313" t="s">
        <v>3793</v>
      </c>
      <c r="D2313" t="s">
        <v>5157</v>
      </c>
      <c r="E2313" t="s">
        <v>5157</v>
      </c>
    </row>
    <row r="2314" spans="1:5">
      <c r="A2314" t="s">
        <v>5244</v>
      </c>
      <c r="B2314" t="s">
        <v>3794</v>
      </c>
      <c r="C2314" t="s">
        <v>3795</v>
      </c>
      <c r="D2314" t="s">
        <v>5157</v>
      </c>
      <c r="E2314" t="s">
        <v>5157</v>
      </c>
    </row>
    <row r="2315" spans="1:5">
      <c r="A2315" t="s">
        <v>5244</v>
      </c>
      <c r="B2315" t="s">
        <v>3796</v>
      </c>
      <c r="C2315" t="s">
        <v>3797</v>
      </c>
      <c r="D2315" t="s">
        <v>5157</v>
      </c>
      <c r="E2315" t="s">
        <v>5157</v>
      </c>
    </row>
    <row r="2316" spans="1:5">
      <c r="A2316" t="s">
        <v>5244</v>
      </c>
      <c r="B2316" t="s">
        <v>3798</v>
      </c>
      <c r="C2316" t="s">
        <v>3799</v>
      </c>
      <c r="D2316" t="s">
        <v>5157</v>
      </c>
      <c r="E2316" t="s">
        <v>5157</v>
      </c>
    </row>
    <row r="2317" spans="1:5">
      <c r="A2317" t="s">
        <v>5244</v>
      </c>
      <c r="B2317" t="s">
        <v>3800</v>
      </c>
      <c r="C2317" t="s">
        <v>3801</v>
      </c>
      <c r="D2317" t="s">
        <v>5157</v>
      </c>
      <c r="E2317" t="s">
        <v>5157</v>
      </c>
    </row>
    <row r="2318" spans="1:5">
      <c r="A2318" t="s">
        <v>5244</v>
      </c>
      <c r="B2318" t="s">
        <v>3802</v>
      </c>
      <c r="C2318" t="s">
        <v>3803</v>
      </c>
      <c r="D2318" t="s">
        <v>5157</v>
      </c>
      <c r="E2318" t="s">
        <v>5157</v>
      </c>
    </row>
    <row r="2319" spans="1:5">
      <c r="A2319" t="s">
        <v>5244</v>
      </c>
      <c r="B2319" t="s">
        <v>3804</v>
      </c>
      <c r="C2319" t="s">
        <v>3805</v>
      </c>
      <c r="D2319" t="s">
        <v>5157</v>
      </c>
      <c r="E2319" t="s">
        <v>5157</v>
      </c>
    </row>
    <row r="2320" spans="1:5">
      <c r="A2320" t="s">
        <v>5244</v>
      </c>
      <c r="B2320" t="s">
        <v>3806</v>
      </c>
      <c r="C2320" t="s">
        <v>3807</v>
      </c>
      <c r="D2320" t="s">
        <v>5157</v>
      </c>
      <c r="E2320" t="s">
        <v>5157</v>
      </c>
    </row>
    <row r="2321" spans="1:5">
      <c r="A2321" t="s">
        <v>5244</v>
      </c>
      <c r="B2321" t="s">
        <v>3808</v>
      </c>
      <c r="C2321" t="s">
        <v>3809</v>
      </c>
      <c r="D2321" t="s">
        <v>5157</v>
      </c>
      <c r="E2321" t="s">
        <v>5157</v>
      </c>
    </row>
    <row r="2322" spans="1:5">
      <c r="A2322" t="s">
        <v>5244</v>
      </c>
      <c r="B2322" t="s">
        <v>3810</v>
      </c>
      <c r="C2322" t="s">
        <v>3811</v>
      </c>
      <c r="D2322" t="s">
        <v>5157</v>
      </c>
      <c r="E2322" t="s">
        <v>5157</v>
      </c>
    </row>
    <row r="2323" spans="1:5">
      <c r="A2323" t="s">
        <v>5244</v>
      </c>
      <c r="B2323" t="s">
        <v>3812</v>
      </c>
      <c r="C2323" t="s">
        <v>3813</v>
      </c>
      <c r="D2323" t="s">
        <v>5157</v>
      </c>
      <c r="E2323" t="s">
        <v>5157</v>
      </c>
    </row>
    <row r="2324" spans="1:5">
      <c r="A2324" t="s">
        <v>5244</v>
      </c>
      <c r="B2324" t="s">
        <v>3814</v>
      </c>
      <c r="C2324" t="s">
        <v>3815</v>
      </c>
      <c r="D2324" t="s">
        <v>5157</v>
      </c>
      <c r="E2324" t="s">
        <v>5157</v>
      </c>
    </row>
    <row r="2325" spans="1:5">
      <c r="A2325" t="s">
        <v>5244</v>
      </c>
      <c r="B2325" t="s">
        <v>3816</v>
      </c>
      <c r="C2325" t="s">
        <v>3817</v>
      </c>
      <c r="D2325" t="s">
        <v>5157</v>
      </c>
      <c r="E2325" t="s">
        <v>5157</v>
      </c>
    </row>
    <row r="2326" spans="1:5">
      <c r="A2326" t="s">
        <v>5244</v>
      </c>
      <c r="B2326" t="s">
        <v>3818</v>
      </c>
      <c r="C2326" t="s">
        <v>3819</v>
      </c>
      <c r="D2326" t="s">
        <v>5157</v>
      </c>
      <c r="E2326" t="s">
        <v>5157</v>
      </c>
    </row>
    <row r="2327" spans="1:5">
      <c r="A2327" t="s">
        <v>5244</v>
      </c>
      <c r="B2327" t="s">
        <v>3820</v>
      </c>
      <c r="C2327" t="s">
        <v>3821</v>
      </c>
      <c r="D2327" t="s">
        <v>5157</v>
      </c>
      <c r="E2327" t="s">
        <v>5157</v>
      </c>
    </row>
    <row r="2328" spans="1:5">
      <c r="A2328" t="s">
        <v>5244</v>
      </c>
      <c r="B2328" t="s">
        <v>3822</v>
      </c>
      <c r="C2328" t="s">
        <v>3823</v>
      </c>
      <c r="D2328" t="s">
        <v>5157</v>
      </c>
      <c r="E2328" t="s">
        <v>5157</v>
      </c>
    </row>
    <row r="2329" spans="1:5">
      <c r="A2329" t="s">
        <v>5244</v>
      </c>
      <c r="B2329" t="s">
        <v>3824</v>
      </c>
      <c r="C2329" t="s">
        <v>3825</v>
      </c>
      <c r="D2329" t="s">
        <v>5157</v>
      </c>
      <c r="E2329" t="s">
        <v>5157</v>
      </c>
    </row>
    <row r="2330" spans="1:5">
      <c r="A2330" t="s">
        <v>5244</v>
      </c>
      <c r="B2330" t="s">
        <v>3826</v>
      </c>
      <c r="C2330" t="s">
        <v>3827</v>
      </c>
      <c r="D2330" t="s">
        <v>5157</v>
      </c>
      <c r="E2330" t="s">
        <v>5157</v>
      </c>
    </row>
    <row r="2331" spans="1:5">
      <c r="A2331" t="s">
        <v>5244</v>
      </c>
      <c r="B2331" t="s">
        <v>3828</v>
      </c>
      <c r="C2331" t="s">
        <v>3829</v>
      </c>
      <c r="D2331" t="s">
        <v>5157</v>
      </c>
      <c r="E2331" t="s">
        <v>5157</v>
      </c>
    </row>
    <row r="2332" spans="1:5">
      <c r="A2332" t="s">
        <v>5244</v>
      </c>
      <c r="B2332" t="s">
        <v>3830</v>
      </c>
      <c r="C2332" t="s">
        <v>3831</v>
      </c>
      <c r="D2332" t="s">
        <v>5157</v>
      </c>
      <c r="E2332" t="s">
        <v>5157</v>
      </c>
    </row>
    <row r="2333" spans="1:5">
      <c r="A2333" t="s">
        <v>5244</v>
      </c>
      <c r="B2333" t="s">
        <v>3832</v>
      </c>
      <c r="C2333" t="s">
        <v>3833</v>
      </c>
      <c r="D2333" t="s">
        <v>5157</v>
      </c>
      <c r="E2333" t="s">
        <v>5157</v>
      </c>
    </row>
    <row r="2334" spans="1:5">
      <c r="A2334" t="s">
        <v>5244</v>
      </c>
      <c r="B2334" t="s">
        <v>6031</v>
      </c>
      <c r="C2334" t="s">
        <v>6032</v>
      </c>
      <c r="D2334" t="s">
        <v>5157</v>
      </c>
      <c r="E2334" t="s">
        <v>5157</v>
      </c>
    </row>
    <row r="2335" spans="1:5">
      <c r="A2335" t="s">
        <v>5244</v>
      </c>
      <c r="B2335" t="s">
        <v>3834</v>
      </c>
      <c r="C2335" t="s">
        <v>3835</v>
      </c>
      <c r="D2335" t="s">
        <v>5157</v>
      </c>
      <c r="E2335" t="s">
        <v>5157</v>
      </c>
    </row>
    <row r="2336" spans="1:5">
      <c r="A2336" t="s">
        <v>5244</v>
      </c>
      <c r="B2336" t="s">
        <v>3836</v>
      </c>
      <c r="C2336" t="s">
        <v>3837</v>
      </c>
      <c r="D2336" t="s">
        <v>5157</v>
      </c>
      <c r="E2336" t="s">
        <v>5157</v>
      </c>
    </row>
    <row r="2337" spans="1:5">
      <c r="A2337" t="s">
        <v>5244</v>
      </c>
      <c r="B2337" t="s">
        <v>3838</v>
      </c>
      <c r="C2337" t="s">
        <v>3839</v>
      </c>
      <c r="D2337" t="s">
        <v>5167</v>
      </c>
      <c r="E2337" t="s">
        <v>5168</v>
      </c>
    </row>
    <row r="2338" spans="1:5">
      <c r="A2338" t="s">
        <v>5244</v>
      </c>
      <c r="B2338" t="s">
        <v>3840</v>
      </c>
      <c r="C2338" t="s">
        <v>3841</v>
      </c>
      <c r="D2338" t="s">
        <v>5224</v>
      </c>
      <c r="E2338" t="s">
        <v>5168</v>
      </c>
    </row>
    <row r="2339" spans="1:5">
      <c r="A2339" t="s">
        <v>5244</v>
      </c>
      <c r="B2339" t="s">
        <v>907</v>
      </c>
      <c r="C2339" t="s">
        <v>3842</v>
      </c>
      <c r="D2339" t="s">
        <v>5157</v>
      </c>
      <c r="E2339" t="s">
        <v>5157</v>
      </c>
    </row>
    <row r="2340" spans="1:5">
      <c r="A2340" t="s">
        <v>5244</v>
      </c>
      <c r="B2340" t="s">
        <v>908</v>
      </c>
      <c r="C2340" t="s">
        <v>3843</v>
      </c>
      <c r="D2340" t="s">
        <v>5167</v>
      </c>
      <c r="E2340" t="s">
        <v>5168</v>
      </c>
    </row>
    <row r="2341" spans="1:5">
      <c r="A2341" t="s">
        <v>5244</v>
      </c>
      <c r="B2341" t="s">
        <v>3844</v>
      </c>
      <c r="C2341" t="s">
        <v>3845</v>
      </c>
      <c r="D2341" t="s">
        <v>5167</v>
      </c>
      <c r="E2341" t="s">
        <v>5168</v>
      </c>
    </row>
    <row r="2342" spans="1:5">
      <c r="A2342" t="s">
        <v>5244</v>
      </c>
      <c r="B2342" t="s">
        <v>6033</v>
      </c>
      <c r="C2342" t="s">
        <v>6034</v>
      </c>
      <c r="D2342" t="s">
        <v>6035</v>
      </c>
      <c r="E2342" t="s">
        <v>5168</v>
      </c>
    </row>
    <row r="2343" spans="1:5">
      <c r="A2343" t="s">
        <v>5244</v>
      </c>
      <c r="B2343" t="s">
        <v>3846</v>
      </c>
      <c r="C2343" t="s">
        <v>3847</v>
      </c>
      <c r="D2343" t="s">
        <v>5220</v>
      </c>
      <c r="E2343" t="s">
        <v>5168</v>
      </c>
    </row>
    <row r="2344" spans="1:5">
      <c r="A2344" t="s">
        <v>5244</v>
      </c>
      <c r="B2344" t="s">
        <v>3848</v>
      </c>
      <c r="C2344" t="s">
        <v>3849</v>
      </c>
      <c r="D2344" t="s">
        <v>5157</v>
      </c>
      <c r="E2344" t="s">
        <v>5157</v>
      </c>
    </row>
    <row r="2345" spans="1:5">
      <c r="A2345" t="s">
        <v>5244</v>
      </c>
      <c r="B2345" t="s">
        <v>3850</v>
      </c>
      <c r="C2345" t="s">
        <v>3851</v>
      </c>
      <c r="D2345" t="s">
        <v>5157</v>
      </c>
      <c r="E2345" t="s">
        <v>5157</v>
      </c>
    </row>
    <row r="2346" spans="1:5">
      <c r="A2346" t="s">
        <v>5244</v>
      </c>
      <c r="B2346" t="s">
        <v>3852</v>
      </c>
      <c r="C2346" t="s">
        <v>3853</v>
      </c>
      <c r="D2346" t="s">
        <v>5157</v>
      </c>
      <c r="E2346" t="s">
        <v>5157</v>
      </c>
    </row>
    <row r="2347" spans="1:5">
      <c r="A2347" t="s">
        <v>5244</v>
      </c>
      <c r="B2347" t="s">
        <v>3854</v>
      </c>
      <c r="C2347" t="s">
        <v>3855</v>
      </c>
      <c r="D2347" t="s">
        <v>5157</v>
      </c>
      <c r="E2347" t="s">
        <v>5157</v>
      </c>
    </row>
    <row r="2348" spans="1:5">
      <c r="A2348" t="s">
        <v>5244</v>
      </c>
      <c r="B2348" t="s">
        <v>3856</v>
      </c>
      <c r="C2348" t="s">
        <v>3857</v>
      </c>
      <c r="D2348" t="s">
        <v>5157</v>
      </c>
      <c r="E2348" t="s">
        <v>5157</v>
      </c>
    </row>
    <row r="2349" spans="1:5">
      <c r="A2349" t="s">
        <v>5244</v>
      </c>
      <c r="B2349" t="s">
        <v>3858</v>
      </c>
      <c r="C2349" t="s">
        <v>3859</v>
      </c>
      <c r="D2349" t="s">
        <v>5157</v>
      </c>
      <c r="E2349" t="s">
        <v>5157</v>
      </c>
    </row>
    <row r="2350" spans="1:5">
      <c r="A2350" t="s">
        <v>5244</v>
      </c>
      <c r="B2350" t="s">
        <v>910</v>
      </c>
      <c r="C2350" t="s">
        <v>3860</v>
      </c>
      <c r="D2350" t="s">
        <v>5190</v>
      </c>
      <c r="E2350" t="s">
        <v>5159</v>
      </c>
    </row>
    <row r="2351" spans="1:5">
      <c r="A2351" t="s">
        <v>5244</v>
      </c>
      <c r="B2351" t="s">
        <v>3861</v>
      </c>
      <c r="C2351" t="s">
        <v>3862</v>
      </c>
      <c r="D2351" t="s">
        <v>5157</v>
      </c>
      <c r="E2351" t="s">
        <v>5157</v>
      </c>
    </row>
    <row r="2352" spans="1:5">
      <c r="A2352" t="s">
        <v>5244</v>
      </c>
      <c r="B2352" t="s">
        <v>3863</v>
      </c>
      <c r="C2352" t="s">
        <v>3864</v>
      </c>
      <c r="D2352" t="s">
        <v>5157</v>
      </c>
      <c r="E2352" t="s">
        <v>5157</v>
      </c>
    </row>
    <row r="2353" spans="1:5">
      <c r="A2353" t="s">
        <v>5244</v>
      </c>
      <c r="B2353" t="s">
        <v>3865</v>
      </c>
      <c r="C2353" t="s">
        <v>3866</v>
      </c>
      <c r="D2353" t="s">
        <v>5157</v>
      </c>
      <c r="E2353" t="s">
        <v>5157</v>
      </c>
    </row>
    <row r="2354" spans="1:5">
      <c r="A2354" t="s">
        <v>5244</v>
      </c>
      <c r="B2354" t="s">
        <v>3867</v>
      </c>
      <c r="C2354" t="s">
        <v>3868</v>
      </c>
      <c r="D2354" t="s">
        <v>5157</v>
      </c>
      <c r="E2354" t="s">
        <v>5157</v>
      </c>
    </row>
    <row r="2355" spans="1:5">
      <c r="A2355" t="s">
        <v>5244</v>
      </c>
      <c r="B2355" t="s">
        <v>3869</v>
      </c>
      <c r="C2355" t="s">
        <v>3870</v>
      </c>
      <c r="D2355" t="s">
        <v>5181</v>
      </c>
      <c r="E2355" t="s">
        <v>5168</v>
      </c>
    </row>
    <row r="2356" spans="1:5">
      <c r="A2356" t="s">
        <v>5244</v>
      </c>
      <c r="B2356" t="s">
        <v>3871</v>
      </c>
      <c r="C2356" t="s">
        <v>3872</v>
      </c>
      <c r="D2356" t="s">
        <v>5157</v>
      </c>
      <c r="E2356" t="s">
        <v>5157</v>
      </c>
    </row>
    <row r="2357" spans="1:5">
      <c r="A2357" t="s">
        <v>5244</v>
      </c>
      <c r="B2357" t="s">
        <v>6036</v>
      </c>
      <c r="C2357" t="s">
        <v>6037</v>
      </c>
      <c r="D2357" t="s">
        <v>5157</v>
      </c>
      <c r="E2357" t="s">
        <v>5157</v>
      </c>
    </row>
    <row r="2358" spans="1:5">
      <c r="A2358" t="s">
        <v>5244</v>
      </c>
      <c r="B2358" t="s">
        <v>6038</v>
      </c>
      <c r="C2358" t="s">
        <v>6039</v>
      </c>
      <c r="D2358" t="s">
        <v>5157</v>
      </c>
      <c r="E2358" t="s">
        <v>5157</v>
      </c>
    </row>
    <row r="2359" spans="1:5">
      <c r="A2359" t="s">
        <v>5244</v>
      </c>
      <c r="B2359" t="s">
        <v>3873</v>
      </c>
      <c r="C2359" t="s">
        <v>3874</v>
      </c>
      <c r="D2359" t="s">
        <v>5223</v>
      </c>
      <c r="E2359" t="s">
        <v>5168</v>
      </c>
    </row>
    <row r="2360" spans="1:5">
      <c r="A2360" t="s">
        <v>5244</v>
      </c>
      <c r="B2360" t="s">
        <v>6040</v>
      </c>
      <c r="C2360" t="s">
        <v>6041</v>
      </c>
      <c r="D2360" t="s">
        <v>5157</v>
      </c>
      <c r="E2360" t="s">
        <v>5157</v>
      </c>
    </row>
    <row r="2361" spans="1:5">
      <c r="A2361" t="s">
        <v>5244</v>
      </c>
      <c r="B2361" t="s">
        <v>6042</v>
      </c>
      <c r="C2361" t="s">
        <v>6043</v>
      </c>
      <c r="D2361" t="s">
        <v>5157</v>
      </c>
      <c r="E2361" t="s">
        <v>5157</v>
      </c>
    </row>
    <row r="2362" spans="1:5">
      <c r="A2362" t="s">
        <v>5244</v>
      </c>
      <c r="B2362" t="s">
        <v>911</v>
      </c>
      <c r="C2362" t="s">
        <v>3875</v>
      </c>
      <c r="D2362" t="s">
        <v>5216</v>
      </c>
      <c r="E2362" t="s">
        <v>5168</v>
      </c>
    </row>
    <row r="2363" spans="1:5">
      <c r="A2363" t="s">
        <v>5244</v>
      </c>
      <c r="B2363" t="s">
        <v>6044</v>
      </c>
      <c r="C2363" t="s">
        <v>6045</v>
      </c>
      <c r="D2363" t="s">
        <v>5157</v>
      </c>
      <c r="E2363" t="s">
        <v>5157</v>
      </c>
    </row>
    <row r="2364" spans="1:5">
      <c r="A2364" t="s">
        <v>5244</v>
      </c>
      <c r="B2364" t="s">
        <v>6046</v>
      </c>
      <c r="C2364" t="s">
        <v>6047</v>
      </c>
      <c r="D2364" t="s">
        <v>5157</v>
      </c>
      <c r="E2364" t="s">
        <v>5157</v>
      </c>
    </row>
    <row r="2365" spans="1:5">
      <c r="A2365" t="s">
        <v>5244</v>
      </c>
      <c r="B2365" t="s">
        <v>6048</v>
      </c>
      <c r="C2365" t="s">
        <v>6049</v>
      </c>
      <c r="D2365" t="s">
        <v>5157</v>
      </c>
      <c r="E2365" t="s">
        <v>5157</v>
      </c>
    </row>
    <row r="2366" spans="1:5">
      <c r="A2366" t="s">
        <v>5244</v>
      </c>
      <c r="B2366" t="s">
        <v>6050</v>
      </c>
      <c r="C2366" t="s">
        <v>6051</v>
      </c>
      <c r="D2366" t="s">
        <v>5157</v>
      </c>
      <c r="E2366" t="s">
        <v>5157</v>
      </c>
    </row>
    <row r="2367" spans="1:5">
      <c r="A2367" t="s">
        <v>5244</v>
      </c>
      <c r="B2367" t="s">
        <v>3876</v>
      </c>
      <c r="C2367" t="s">
        <v>3877</v>
      </c>
      <c r="D2367" t="s">
        <v>5157</v>
      </c>
      <c r="E2367" t="s">
        <v>5157</v>
      </c>
    </row>
    <row r="2368" spans="1:5">
      <c r="A2368" t="s">
        <v>5244</v>
      </c>
      <c r="B2368" t="s">
        <v>3878</v>
      </c>
      <c r="C2368" t="s">
        <v>3879</v>
      </c>
      <c r="D2368" t="s">
        <v>5157</v>
      </c>
      <c r="E2368" t="s">
        <v>5157</v>
      </c>
    </row>
    <row r="2369" spans="1:5">
      <c r="A2369" t="s">
        <v>5244</v>
      </c>
      <c r="B2369" t="s">
        <v>3880</v>
      </c>
      <c r="C2369" t="s">
        <v>3881</v>
      </c>
      <c r="D2369" t="s">
        <v>5157</v>
      </c>
      <c r="E2369" t="s">
        <v>5157</v>
      </c>
    </row>
    <row r="2370" spans="1:5">
      <c r="A2370" t="s">
        <v>5241</v>
      </c>
      <c r="B2370" t="s">
        <v>6052</v>
      </c>
      <c r="C2370" t="s">
        <v>6053</v>
      </c>
      <c r="D2370" t="s">
        <v>5157</v>
      </c>
      <c r="E2370" t="s">
        <v>5157</v>
      </c>
    </row>
    <row r="2371" spans="1:5">
      <c r="A2371" t="s">
        <v>5244</v>
      </c>
      <c r="B2371" t="s">
        <v>3882</v>
      </c>
      <c r="C2371" t="s">
        <v>3883</v>
      </c>
      <c r="D2371" t="s">
        <v>5157</v>
      </c>
      <c r="E2371" t="s">
        <v>5157</v>
      </c>
    </row>
    <row r="2372" spans="1:5">
      <c r="A2372" t="s">
        <v>5244</v>
      </c>
      <c r="B2372" t="s">
        <v>912</v>
      </c>
      <c r="C2372" t="s">
        <v>3884</v>
      </c>
      <c r="D2372" t="s">
        <v>5157</v>
      </c>
      <c r="E2372" t="s">
        <v>5157</v>
      </c>
    </row>
    <row r="2373" spans="1:5">
      <c r="A2373" t="s">
        <v>5244</v>
      </c>
      <c r="B2373" t="s">
        <v>913</v>
      </c>
      <c r="C2373" t="s">
        <v>3885</v>
      </c>
      <c r="D2373" t="s">
        <v>5157</v>
      </c>
      <c r="E2373" t="s">
        <v>5157</v>
      </c>
    </row>
    <row r="2374" spans="1:5">
      <c r="A2374" t="s">
        <v>5244</v>
      </c>
      <c r="B2374" t="s">
        <v>3886</v>
      </c>
      <c r="C2374" t="s">
        <v>3887</v>
      </c>
      <c r="D2374" t="s">
        <v>5157</v>
      </c>
      <c r="E2374" t="s">
        <v>5157</v>
      </c>
    </row>
    <row r="2375" spans="1:5">
      <c r="A2375" t="s">
        <v>5244</v>
      </c>
      <c r="B2375" t="s">
        <v>914</v>
      </c>
      <c r="C2375" t="s">
        <v>3888</v>
      </c>
      <c r="D2375" t="s">
        <v>5183</v>
      </c>
      <c r="E2375" t="s">
        <v>5168</v>
      </c>
    </row>
    <row r="2376" spans="1:5">
      <c r="A2376" t="s">
        <v>5244</v>
      </c>
      <c r="B2376" t="s">
        <v>3889</v>
      </c>
      <c r="C2376" t="s">
        <v>3890</v>
      </c>
      <c r="D2376" t="s">
        <v>5225</v>
      </c>
      <c r="E2376" t="s">
        <v>5168</v>
      </c>
    </row>
    <row r="2377" spans="1:5">
      <c r="A2377" t="s">
        <v>5244</v>
      </c>
      <c r="B2377" t="s">
        <v>3891</v>
      </c>
      <c r="C2377" t="s">
        <v>3892</v>
      </c>
      <c r="D2377" t="s">
        <v>5157</v>
      </c>
      <c r="E2377" t="s">
        <v>5157</v>
      </c>
    </row>
    <row r="2378" spans="1:5">
      <c r="A2378" t="s">
        <v>5241</v>
      </c>
      <c r="B2378" t="s">
        <v>6054</v>
      </c>
      <c r="C2378" t="s">
        <v>2683</v>
      </c>
      <c r="D2378" t="s">
        <v>5157</v>
      </c>
      <c r="E2378" t="s">
        <v>5157</v>
      </c>
    </row>
    <row r="2379" spans="1:5">
      <c r="A2379" t="s">
        <v>5244</v>
      </c>
      <c r="B2379" t="s">
        <v>3893</v>
      </c>
      <c r="C2379" t="s">
        <v>3894</v>
      </c>
      <c r="D2379" t="s">
        <v>5157</v>
      </c>
      <c r="E2379" t="s">
        <v>5157</v>
      </c>
    </row>
    <row r="2380" spans="1:5">
      <c r="A2380" t="s">
        <v>5244</v>
      </c>
      <c r="B2380" t="s">
        <v>3895</v>
      </c>
      <c r="C2380" t="s">
        <v>3896</v>
      </c>
      <c r="D2380" t="s">
        <v>5157</v>
      </c>
      <c r="E2380" t="s">
        <v>5157</v>
      </c>
    </row>
    <row r="2381" spans="1:5">
      <c r="A2381" t="s">
        <v>5244</v>
      </c>
      <c r="B2381" t="s">
        <v>3897</v>
      </c>
      <c r="C2381" t="s">
        <v>3898</v>
      </c>
      <c r="D2381" t="s">
        <v>5157</v>
      </c>
      <c r="E2381" t="s">
        <v>5157</v>
      </c>
    </row>
    <row r="2382" spans="1:5">
      <c r="A2382" t="s">
        <v>5244</v>
      </c>
      <c r="B2382" t="s">
        <v>3899</v>
      </c>
      <c r="C2382" t="s">
        <v>3900</v>
      </c>
      <c r="D2382" t="s">
        <v>5157</v>
      </c>
      <c r="E2382" t="s">
        <v>5157</v>
      </c>
    </row>
    <row r="2383" spans="1:5">
      <c r="A2383" t="s">
        <v>5244</v>
      </c>
      <c r="B2383" t="s">
        <v>3901</v>
      </c>
      <c r="C2383" t="s">
        <v>3902</v>
      </c>
      <c r="D2383" t="s">
        <v>5157</v>
      </c>
      <c r="E2383" t="s">
        <v>5157</v>
      </c>
    </row>
    <row r="2384" spans="1:5">
      <c r="A2384" t="s">
        <v>5241</v>
      </c>
      <c r="B2384" t="s">
        <v>6055</v>
      </c>
      <c r="C2384" t="s">
        <v>6056</v>
      </c>
      <c r="D2384" t="s">
        <v>5157</v>
      </c>
      <c r="E2384" t="s">
        <v>5157</v>
      </c>
    </row>
    <row r="2385" spans="1:5">
      <c r="A2385" t="s">
        <v>5244</v>
      </c>
      <c r="B2385" t="s">
        <v>6057</v>
      </c>
      <c r="C2385" t="s">
        <v>6058</v>
      </c>
      <c r="D2385" t="s">
        <v>5157</v>
      </c>
      <c r="E2385" t="s">
        <v>5157</v>
      </c>
    </row>
    <row r="2386" spans="1:5">
      <c r="A2386" t="s">
        <v>5244</v>
      </c>
      <c r="B2386" t="s">
        <v>915</v>
      </c>
      <c r="C2386" t="s">
        <v>3903</v>
      </c>
      <c r="D2386" t="s">
        <v>5157</v>
      </c>
      <c r="E2386" t="s">
        <v>5157</v>
      </c>
    </row>
    <row r="2387" spans="1:5">
      <c r="A2387" t="s">
        <v>5244</v>
      </c>
      <c r="B2387" t="s">
        <v>3904</v>
      </c>
      <c r="C2387" t="s">
        <v>3905</v>
      </c>
      <c r="D2387" t="s">
        <v>5157</v>
      </c>
      <c r="E2387" t="s">
        <v>5157</v>
      </c>
    </row>
    <row r="2388" spans="1:5">
      <c r="A2388" t="s">
        <v>5244</v>
      </c>
      <c r="B2388" t="s">
        <v>3906</v>
      </c>
      <c r="C2388" t="s">
        <v>3907</v>
      </c>
      <c r="D2388" t="s">
        <v>5179</v>
      </c>
      <c r="E2388" t="s">
        <v>5168</v>
      </c>
    </row>
    <row r="2389" spans="1:5">
      <c r="A2389" t="s">
        <v>5244</v>
      </c>
      <c r="B2389" t="s">
        <v>3908</v>
      </c>
      <c r="C2389" t="s">
        <v>3909</v>
      </c>
      <c r="D2389" t="s">
        <v>5157</v>
      </c>
      <c r="E2389" t="s">
        <v>5157</v>
      </c>
    </row>
    <row r="2390" spans="1:5">
      <c r="A2390" t="s">
        <v>5244</v>
      </c>
      <c r="B2390" t="s">
        <v>3910</v>
      </c>
      <c r="C2390" t="s">
        <v>3911</v>
      </c>
      <c r="D2390" t="s">
        <v>5157</v>
      </c>
      <c r="E2390" t="s">
        <v>5157</v>
      </c>
    </row>
    <row r="2391" spans="1:5">
      <c r="A2391" t="s">
        <v>5244</v>
      </c>
      <c r="B2391" t="s">
        <v>3912</v>
      </c>
      <c r="C2391" t="s">
        <v>3913</v>
      </c>
      <c r="D2391" t="s">
        <v>5157</v>
      </c>
      <c r="E2391" t="s">
        <v>5157</v>
      </c>
    </row>
    <row r="2392" spans="1:5">
      <c r="A2392" t="s">
        <v>5244</v>
      </c>
      <c r="B2392" t="s">
        <v>3914</v>
      </c>
      <c r="C2392" t="s">
        <v>3915</v>
      </c>
      <c r="D2392" t="s">
        <v>5157</v>
      </c>
      <c r="E2392" t="s">
        <v>5157</v>
      </c>
    </row>
    <row r="2393" spans="1:5">
      <c r="A2393" t="s">
        <v>5244</v>
      </c>
      <c r="B2393" t="s">
        <v>916</v>
      </c>
      <c r="C2393" t="s">
        <v>3916</v>
      </c>
      <c r="D2393" t="s">
        <v>5157</v>
      </c>
      <c r="E2393" t="s">
        <v>5157</v>
      </c>
    </row>
    <row r="2394" spans="1:5">
      <c r="A2394" t="s">
        <v>5244</v>
      </c>
      <c r="B2394" t="s">
        <v>3917</v>
      </c>
      <c r="C2394" t="s">
        <v>3918</v>
      </c>
      <c r="D2394" t="s">
        <v>5186</v>
      </c>
      <c r="E2394" t="s">
        <v>5159</v>
      </c>
    </row>
    <row r="2395" spans="1:5">
      <c r="A2395" t="s">
        <v>5244</v>
      </c>
      <c r="B2395" t="s">
        <v>3919</v>
      </c>
      <c r="C2395" t="s">
        <v>3920</v>
      </c>
      <c r="D2395" t="s">
        <v>5157</v>
      </c>
      <c r="E2395" t="s">
        <v>5157</v>
      </c>
    </row>
    <row r="2396" spans="1:5">
      <c r="A2396" t="s">
        <v>5244</v>
      </c>
      <c r="B2396" t="s">
        <v>3921</v>
      </c>
      <c r="C2396" t="s">
        <v>3922</v>
      </c>
      <c r="D2396" t="s">
        <v>5157</v>
      </c>
      <c r="E2396" t="s">
        <v>5157</v>
      </c>
    </row>
    <row r="2397" spans="1:5">
      <c r="A2397" t="s">
        <v>5244</v>
      </c>
      <c r="B2397" t="s">
        <v>917</v>
      </c>
      <c r="C2397" t="s">
        <v>3923</v>
      </c>
      <c r="D2397" t="s">
        <v>5157</v>
      </c>
      <c r="E2397" t="s">
        <v>5157</v>
      </c>
    </row>
    <row r="2398" spans="1:5">
      <c r="A2398" t="s">
        <v>5244</v>
      </c>
      <c r="B2398" t="s">
        <v>6059</v>
      </c>
      <c r="C2398" t="s">
        <v>6060</v>
      </c>
      <c r="D2398" t="s">
        <v>5157</v>
      </c>
      <c r="E2398" t="s">
        <v>5157</v>
      </c>
    </row>
    <row r="2399" spans="1:5">
      <c r="A2399" t="s">
        <v>5244</v>
      </c>
      <c r="B2399" t="s">
        <v>3924</v>
      </c>
      <c r="C2399" t="s">
        <v>3925</v>
      </c>
      <c r="D2399" t="s">
        <v>5157</v>
      </c>
      <c r="E2399" t="s">
        <v>5157</v>
      </c>
    </row>
    <row r="2400" spans="1:5">
      <c r="A2400" t="s">
        <v>5244</v>
      </c>
      <c r="B2400" t="s">
        <v>6061</v>
      </c>
      <c r="C2400" t="s">
        <v>6062</v>
      </c>
      <c r="D2400" t="s">
        <v>5191</v>
      </c>
      <c r="E2400" t="s">
        <v>5192</v>
      </c>
    </row>
    <row r="2401" spans="1:5">
      <c r="A2401" t="s">
        <v>5244</v>
      </c>
      <c r="B2401" t="s">
        <v>3926</v>
      </c>
      <c r="C2401" t="s">
        <v>3927</v>
      </c>
      <c r="D2401" t="s">
        <v>5157</v>
      </c>
      <c r="E2401" t="s">
        <v>5157</v>
      </c>
    </row>
    <row r="2402" spans="1:5">
      <c r="A2402" t="s">
        <v>5244</v>
      </c>
      <c r="B2402" t="s">
        <v>3928</v>
      </c>
      <c r="C2402" t="s">
        <v>3929</v>
      </c>
      <c r="D2402" t="s">
        <v>5190</v>
      </c>
      <c r="E2402" t="s">
        <v>5159</v>
      </c>
    </row>
    <row r="2403" spans="1:5">
      <c r="A2403" t="s">
        <v>5241</v>
      </c>
      <c r="B2403" t="s">
        <v>3930</v>
      </c>
      <c r="C2403" t="s">
        <v>3931</v>
      </c>
      <c r="D2403" t="s">
        <v>5209</v>
      </c>
      <c r="E2403" t="s">
        <v>5210</v>
      </c>
    </row>
    <row r="2404" spans="1:5">
      <c r="A2404" t="s">
        <v>5244</v>
      </c>
      <c r="B2404" t="s">
        <v>918</v>
      </c>
      <c r="C2404" t="s">
        <v>3932</v>
      </c>
      <c r="D2404" t="s">
        <v>5190</v>
      </c>
      <c r="E2404" t="s">
        <v>5159</v>
      </c>
    </row>
    <row r="2405" spans="1:5">
      <c r="A2405" t="s">
        <v>5244</v>
      </c>
      <c r="B2405" t="s">
        <v>919</v>
      </c>
      <c r="C2405" t="s">
        <v>3933</v>
      </c>
      <c r="D2405" t="s">
        <v>5167</v>
      </c>
      <c r="E2405" t="s">
        <v>5168</v>
      </c>
    </row>
    <row r="2406" spans="1:5">
      <c r="A2406" t="s">
        <v>5244</v>
      </c>
      <c r="B2406" t="s">
        <v>3934</v>
      </c>
      <c r="C2406" t="s">
        <v>3935</v>
      </c>
      <c r="D2406" t="s">
        <v>5157</v>
      </c>
      <c r="E2406" t="s">
        <v>5157</v>
      </c>
    </row>
    <row r="2407" spans="1:5">
      <c r="A2407" t="s">
        <v>5244</v>
      </c>
      <c r="B2407" t="s">
        <v>3936</v>
      </c>
      <c r="C2407" t="s">
        <v>3937</v>
      </c>
      <c r="D2407" t="s">
        <v>5157</v>
      </c>
      <c r="E2407" t="s">
        <v>5157</v>
      </c>
    </row>
    <row r="2408" spans="1:5">
      <c r="A2408" t="s">
        <v>5244</v>
      </c>
      <c r="B2408" t="s">
        <v>3938</v>
      </c>
      <c r="C2408" t="s">
        <v>3939</v>
      </c>
      <c r="D2408" t="s">
        <v>5157</v>
      </c>
      <c r="E2408" t="s">
        <v>5157</v>
      </c>
    </row>
    <row r="2409" spans="1:5">
      <c r="A2409" t="s">
        <v>5244</v>
      </c>
      <c r="B2409" t="s">
        <v>3940</v>
      </c>
      <c r="C2409" t="s">
        <v>3941</v>
      </c>
      <c r="D2409" t="s">
        <v>5186</v>
      </c>
      <c r="E2409" t="s">
        <v>5159</v>
      </c>
    </row>
    <row r="2410" spans="1:5">
      <c r="A2410" t="s">
        <v>5244</v>
      </c>
      <c r="B2410" t="s">
        <v>3942</v>
      </c>
      <c r="C2410" t="s">
        <v>3943</v>
      </c>
      <c r="D2410" t="s">
        <v>5157</v>
      </c>
      <c r="E2410" t="s">
        <v>5157</v>
      </c>
    </row>
    <row r="2411" spans="1:5">
      <c r="A2411" t="s">
        <v>5244</v>
      </c>
      <c r="B2411" t="s">
        <v>3944</v>
      </c>
      <c r="C2411" t="s">
        <v>3945</v>
      </c>
      <c r="D2411" t="s">
        <v>5157</v>
      </c>
      <c r="E2411" t="s">
        <v>5157</v>
      </c>
    </row>
    <row r="2412" spans="1:5">
      <c r="A2412" t="s">
        <v>5244</v>
      </c>
      <c r="B2412" t="s">
        <v>3946</v>
      </c>
      <c r="C2412" t="s">
        <v>3947</v>
      </c>
      <c r="D2412" t="s">
        <v>5157</v>
      </c>
      <c r="E2412" t="s">
        <v>5157</v>
      </c>
    </row>
    <row r="2413" spans="1:5">
      <c r="A2413" t="s">
        <v>5244</v>
      </c>
      <c r="B2413" t="s">
        <v>3948</v>
      </c>
      <c r="C2413" t="s">
        <v>3949</v>
      </c>
      <c r="D2413" t="s">
        <v>5157</v>
      </c>
      <c r="E2413" t="s">
        <v>5157</v>
      </c>
    </row>
    <row r="2414" spans="1:5">
      <c r="A2414" t="s">
        <v>5244</v>
      </c>
      <c r="B2414" t="s">
        <v>3950</v>
      </c>
      <c r="C2414" t="s">
        <v>3951</v>
      </c>
      <c r="D2414" t="s">
        <v>5157</v>
      </c>
      <c r="E2414" t="s">
        <v>5157</v>
      </c>
    </row>
    <row r="2415" spans="1:5">
      <c r="A2415" t="s">
        <v>5244</v>
      </c>
      <c r="B2415" t="s">
        <v>3952</v>
      </c>
      <c r="C2415" t="s">
        <v>3953</v>
      </c>
      <c r="D2415" t="s">
        <v>5157</v>
      </c>
      <c r="E2415" t="s">
        <v>5157</v>
      </c>
    </row>
    <row r="2416" spans="1:5">
      <c r="A2416" t="s">
        <v>5244</v>
      </c>
      <c r="B2416" t="s">
        <v>3954</v>
      </c>
      <c r="C2416" t="s">
        <v>3955</v>
      </c>
      <c r="D2416" t="s">
        <v>5157</v>
      </c>
      <c r="E2416" t="s">
        <v>5157</v>
      </c>
    </row>
    <row r="2417" spans="1:5">
      <c r="A2417" t="s">
        <v>5244</v>
      </c>
      <c r="B2417" t="s">
        <v>3956</v>
      </c>
      <c r="C2417" t="s">
        <v>3957</v>
      </c>
      <c r="D2417" t="s">
        <v>5157</v>
      </c>
      <c r="E2417" t="s">
        <v>5157</v>
      </c>
    </row>
    <row r="2418" spans="1:5">
      <c r="A2418" t="s">
        <v>5244</v>
      </c>
      <c r="B2418" t="s">
        <v>3958</v>
      </c>
      <c r="C2418" t="s">
        <v>3959</v>
      </c>
      <c r="D2418" t="s">
        <v>5157</v>
      </c>
      <c r="E2418" t="s">
        <v>5157</v>
      </c>
    </row>
    <row r="2419" spans="1:5">
      <c r="A2419" t="s">
        <v>5244</v>
      </c>
      <c r="B2419" t="s">
        <v>6063</v>
      </c>
      <c r="C2419" t="s">
        <v>6064</v>
      </c>
      <c r="D2419" t="s">
        <v>5157</v>
      </c>
      <c r="E2419" t="s">
        <v>5157</v>
      </c>
    </row>
    <row r="2420" spans="1:5">
      <c r="A2420" t="s">
        <v>5244</v>
      </c>
      <c r="B2420" t="s">
        <v>3960</v>
      </c>
      <c r="C2420" t="s">
        <v>3961</v>
      </c>
      <c r="D2420" t="s">
        <v>5157</v>
      </c>
      <c r="E2420" t="s">
        <v>5157</v>
      </c>
    </row>
    <row r="2421" spans="1:5">
      <c r="A2421" t="s">
        <v>5244</v>
      </c>
      <c r="B2421" t="s">
        <v>3962</v>
      </c>
      <c r="C2421" t="s">
        <v>3963</v>
      </c>
      <c r="D2421" t="s">
        <v>5157</v>
      </c>
      <c r="E2421" t="s">
        <v>5157</v>
      </c>
    </row>
    <row r="2422" spans="1:5">
      <c r="A2422" t="s">
        <v>5244</v>
      </c>
      <c r="B2422" t="s">
        <v>3964</v>
      </c>
      <c r="C2422" t="s">
        <v>3965</v>
      </c>
      <c r="D2422" t="s">
        <v>5157</v>
      </c>
      <c r="E2422" t="s">
        <v>5157</v>
      </c>
    </row>
    <row r="2423" spans="1:5">
      <c r="A2423" t="s">
        <v>5244</v>
      </c>
      <c r="B2423" t="s">
        <v>3966</v>
      </c>
      <c r="C2423" t="s">
        <v>3967</v>
      </c>
      <c r="D2423" t="s">
        <v>5157</v>
      </c>
      <c r="E2423" t="s">
        <v>5157</v>
      </c>
    </row>
    <row r="2424" spans="1:5">
      <c r="A2424" t="s">
        <v>5244</v>
      </c>
      <c r="B2424" t="s">
        <v>3968</v>
      </c>
      <c r="C2424" t="s">
        <v>3969</v>
      </c>
      <c r="D2424" t="s">
        <v>5157</v>
      </c>
      <c r="E2424" t="s">
        <v>5157</v>
      </c>
    </row>
    <row r="2425" spans="1:5">
      <c r="A2425" t="s">
        <v>5244</v>
      </c>
      <c r="B2425" t="s">
        <v>5238</v>
      </c>
      <c r="C2425" t="s">
        <v>5239</v>
      </c>
      <c r="D2425" t="s">
        <v>5157</v>
      </c>
      <c r="E2425" t="s">
        <v>5157</v>
      </c>
    </row>
    <row r="2426" spans="1:5">
      <c r="A2426" t="s">
        <v>5244</v>
      </c>
      <c r="B2426" t="s">
        <v>6065</v>
      </c>
      <c r="C2426" t="s">
        <v>6066</v>
      </c>
      <c r="D2426" t="s">
        <v>5157</v>
      </c>
      <c r="E2426" t="s">
        <v>5157</v>
      </c>
    </row>
    <row r="2427" spans="1:5">
      <c r="A2427" t="s">
        <v>5244</v>
      </c>
      <c r="B2427" t="s">
        <v>3970</v>
      </c>
      <c r="C2427" t="s">
        <v>3971</v>
      </c>
      <c r="D2427" t="s">
        <v>5157</v>
      </c>
      <c r="E2427" t="s">
        <v>5157</v>
      </c>
    </row>
    <row r="2428" spans="1:5">
      <c r="A2428" t="s">
        <v>5244</v>
      </c>
      <c r="B2428" t="s">
        <v>3972</v>
      </c>
      <c r="C2428" t="s">
        <v>3973</v>
      </c>
      <c r="D2428" t="s">
        <v>5191</v>
      </c>
      <c r="E2428" t="s">
        <v>5192</v>
      </c>
    </row>
    <row r="2429" spans="1:5">
      <c r="A2429" t="s">
        <v>5244</v>
      </c>
      <c r="B2429" t="s">
        <v>3974</v>
      </c>
      <c r="C2429" t="s">
        <v>3975</v>
      </c>
      <c r="D2429" t="s">
        <v>5157</v>
      </c>
      <c r="E2429" t="s">
        <v>5157</v>
      </c>
    </row>
    <row r="2430" spans="1:5">
      <c r="A2430" t="s">
        <v>5244</v>
      </c>
      <c r="B2430" t="s">
        <v>3976</v>
      </c>
      <c r="C2430" t="s">
        <v>3977</v>
      </c>
      <c r="D2430" t="s">
        <v>5157</v>
      </c>
      <c r="E2430" t="s">
        <v>5157</v>
      </c>
    </row>
    <row r="2431" spans="1:5">
      <c r="A2431" t="s">
        <v>5244</v>
      </c>
      <c r="B2431" t="s">
        <v>3978</v>
      </c>
      <c r="C2431" t="s">
        <v>3979</v>
      </c>
      <c r="D2431" t="s">
        <v>5157</v>
      </c>
      <c r="E2431" t="s">
        <v>5157</v>
      </c>
    </row>
    <row r="2432" spans="1:5">
      <c r="A2432" t="s">
        <v>5244</v>
      </c>
      <c r="B2432" t="s">
        <v>3980</v>
      </c>
      <c r="C2432" t="s">
        <v>3981</v>
      </c>
      <c r="D2432" t="s">
        <v>5157</v>
      </c>
      <c r="E2432" t="s">
        <v>5157</v>
      </c>
    </row>
    <row r="2433" spans="1:5">
      <c r="A2433" t="s">
        <v>5244</v>
      </c>
      <c r="B2433" t="s">
        <v>3982</v>
      </c>
      <c r="C2433" t="s">
        <v>3983</v>
      </c>
      <c r="D2433" t="s">
        <v>5157</v>
      </c>
      <c r="E2433" t="s">
        <v>5157</v>
      </c>
    </row>
    <row r="2434" spans="1:5">
      <c r="A2434" t="s">
        <v>5244</v>
      </c>
      <c r="B2434" t="s">
        <v>3984</v>
      </c>
      <c r="C2434" t="s">
        <v>3985</v>
      </c>
      <c r="D2434" t="s">
        <v>5157</v>
      </c>
      <c r="E2434" t="s">
        <v>5157</v>
      </c>
    </row>
    <row r="2435" spans="1:5">
      <c r="A2435" t="s">
        <v>5244</v>
      </c>
      <c r="B2435" t="s">
        <v>6067</v>
      </c>
      <c r="C2435" t="s">
        <v>6068</v>
      </c>
      <c r="D2435" t="s">
        <v>5157</v>
      </c>
      <c r="E2435" t="s">
        <v>5157</v>
      </c>
    </row>
    <row r="2436" spans="1:5">
      <c r="A2436" t="s">
        <v>5244</v>
      </c>
      <c r="B2436" t="s">
        <v>920</v>
      </c>
      <c r="C2436" t="s">
        <v>3986</v>
      </c>
      <c r="D2436" t="s">
        <v>5157</v>
      </c>
      <c r="E2436" t="s">
        <v>5157</v>
      </c>
    </row>
    <row r="2437" spans="1:5">
      <c r="A2437" t="s">
        <v>5244</v>
      </c>
      <c r="B2437" t="s">
        <v>3987</v>
      </c>
      <c r="C2437" t="s">
        <v>3988</v>
      </c>
      <c r="D2437" t="s">
        <v>5157</v>
      </c>
      <c r="E2437" t="s">
        <v>5157</v>
      </c>
    </row>
    <row r="2438" spans="1:5">
      <c r="A2438" t="s">
        <v>5244</v>
      </c>
      <c r="B2438" t="s">
        <v>3989</v>
      </c>
      <c r="C2438" t="s">
        <v>3990</v>
      </c>
      <c r="D2438" t="s">
        <v>5157</v>
      </c>
      <c r="E2438" t="s">
        <v>5157</v>
      </c>
    </row>
    <row r="2439" spans="1:5">
      <c r="A2439" t="s">
        <v>5244</v>
      </c>
      <c r="B2439" t="s">
        <v>3991</v>
      </c>
      <c r="C2439" t="s">
        <v>3992</v>
      </c>
      <c r="D2439" t="s">
        <v>5157</v>
      </c>
      <c r="E2439" t="s">
        <v>5157</v>
      </c>
    </row>
    <row r="2440" spans="1:5">
      <c r="A2440" t="s">
        <v>5244</v>
      </c>
      <c r="B2440" t="s">
        <v>3993</v>
      </c>
      <c r="C2440" t="s">
        <v>3994</v>
      </c>
      <c r="D2440" t="s">
        <v>5157</v>
      </c>
      <c r="E2440" t="s">
        <v>5157</v>
      </c>
    </row>
    <row r="2441" spans="1:5">
      <c r="A2441" t="s">
        <v>5244</v>
      </c>
      <c r="B2441" t="s">
        <v>921</v>
      </c>
      <c r="C2441" t="s">
        <v>3995</v>
      </c>
      <c r="D2441" t="s">
        <v>5157</v>
      </c>
      <c r="E2441" t="s">
        <v>5157</v>
      </c>
    </row>
    <row r="2442" spans="1:5">
      <c r="A2442" t="s">
        <v>5244</v>
      </c>
      <c r="B2442" t="s">
        <v>3996</v>
      </c>
      <c r="C2442" t="s">
        <v>3997</v>
      </c>
      <c r="D2442" t="s">
        <v>5157</v>
      </c>
      <c r="E2442" t="s">
        <v>5157</v>
      </c>
    </row>
    <row r="2443" spans="1:5">
      <c r="A2443" t="s">
        <v>5244</v>
      </c>
      <c r="B2443" t="s">
        <v>3998</v>
      </c>
      <c r="C2443" t="s">
        <v>3999</v>
      </c>
      <c r="D2443" t="s">
        <v>5157</v>
      </c>
      <c r="E2443" t="s">
        <v>5157</v>
      </c>
    </row>
    <row r="2444" spans="1:5">
      <c r="A2444" t="s">
        <v>5244</v>
      </c>
      <c r="B2444" t="s">
        <v>4000</v>
      </c>
      <c r="C2444" t="s">
        <v>4001</v>
      </c>
      <c r="D2444" t="s">
        <v>5157</v>
      </c>
      <c r="E2444" t="s">
        <v>5157</v>
      </c>
    </row>
    <row r="2445" spans="1:5">
      <c r="A2445" t="s">
        <v>5244</v>
      </c>
      <c r="B2445" t="s">
        <v>4002</v>
      </c>
      <c r="C2445" t="s">
        <v>4003</v>
      </c>
      <c r="D2445" t="s">
        <v>5157</v>
      </c>
      <c r="E2445" t="s">
        <v>5157</v>
      </c>
    </row>
    <row r="2446" spans="1:5">
      <c r="A2446" t="s">
        <v>5244</v>
      </c>
      <c r="B2446" t="s">
        <v>4004</v>
      </c>
      <c r="C2446" t="s">
        <v>4005</v>
      </c>
      <c r="D2446" t="s">
        <v>5157</v>
      </c>
      <c r="E2446" t="s">
        <v>5157</v>
      </c>
    </row>
    <row r="2447" spans="1:5">
      <c r="A2447" t="s">
        <v>5244</v>
      </c>
      <c r="B2447" t="s">
        <v>4006</v>
      </c>
      <c r="C2447" t="s">
        <v>4007</v>
      </c>
      <c r="D2447" t="s">
        <v>5157</v>
      </c>
      <c r="E2447" t="s">
        <v>5157</v>
      </c>
    </row>
    <row r="2448" spans="1:5">
      <c r="A2448" t="s">
        <v>5244</v>
      </c>
      <c r="B2448" t="s">
        <v>4008</v>
      </c>
      <c r="C2448" t="s">
        <v>4009</v>
      </c>
      <c r="D2448" t="s">
        <v>5157</v>
      </c>
      <c r="E2448" t="s">
        <v>5157</v>
      </c>
    </row>
    <row r="2449" spans="1:5">
      <c r="A2449" t="s">
        <v>5244</v>
      </c>
      <c r="B2449" t="s">
        <v>4010</v>
      </c>
      <c r="C2449" t="s">
        <v>4011</v>
      </c>
      <c r="D2449" t="s">
        <v>5157</v>
      </c>
      <c r="E2449" t="s">
        <v>5157</v>
      </c>
    </row>
    <row r="2450" spans="1:5">
      <c r="A2450" t="s">
        <v>5244</v>
      </c>
      <c r="B2450" t="s">
        <v>922</v>
      </c>
      <c r="C2450" t="s">
        <v>4012</v>
      </c>
      <c r="D2450" t="s">
        <v>5157</v>
      </c>
      <c r="E2450" t="s">
        <v>5157</v>
      </c>
    </row>
    <row r="2451" spans="1:5">
      <c r="A2451" t="s">
        <v>5244</v>
      </c>
      <c r="B2451" t="s">
        <v>923</v>
      </c>
      <c r="C2451" t="s">
        <v>6069</v>
      </c>
      <c r="D2451" t="s">
        <v>5177</v>
      </c>
      <c r="E2451" t="s">
        <v>5168</v>
      </c>
    </row>
    <row r="2452" spans="1:5">
      <c r="A2452" t="s">
        <v>5244</v>
      </c>
      <c r="B2452" t="s">
        <v>924</v>
      </c>
      <c r="C2452" t="s">
        <v>4013</v>
      </c>
      <c r="D2452" t="s">
        <v>5226</v>
      </c>
      <c r="E2452" t="s">
        <v>5192</v>
      </c>
    </row>
    <row r="2453" spans="1:5">
      <c r="A2453" t="s">
        <v>5244</v>
      </c>
      <c r="B2453" t="s">
        <v>4014</v>
      </c>
      <c r="C2453" t="s">
        <v>4015</v>
      </c>
      <c r="D2453" t="s">
        <v>5157</v>
      </c>
      <c r="E2453" t="s">
        <v>5157</v>
      </c>
    </row>
    <row r="2454" spans="1:5">
      <c r="A2454" t="s">
        <v>5244</v>
      </c>
      <c r="B2454" t="s">
        <v>4016</v>
      </c>
      <c r="C2454" t="s">
        <v>4017</v>
      </c>
      <c r="D2454" t="s">
        <v>5157</v>
      </c>
      <c r="E2454" t="s">
        <v>5157</v>
      </c>
    </row>
    <row r="2455" spans="1:5">
      <c r="A2455" t="s">
        <v>5244</v>
      </c>
      <c r="B2455" t="s">
        <v>4018</v>
      </c>
      <c r="C2455" t="s">
        <v>4019</v>
      </c>
      <c r="D2455" t="s">
        <v>5157</v>
      </c>
      <c r="E2455" t="s">
        <v>5157</v>
      </c>
    </row>
    <row r="2456" spans="1:5">
      <c r="A2456" t="s">
        <v>5244</v>
      </c>
      <c r="B2456" t="s">
        <v>4020</v>
      </c>
      <c r="C2456" t="s">
        <v>4021</v>
      </c>
      <c r="D2456" t="s">
        <v>5216</v>
      </c>
      <c r="E2456" t="s">
        <v>5168</v>
      </c>
    </row>
    <row r="2457" spans="1:5">
      <c r="A2457" t="s">
        <v>5244</v>
      </c>
      <c r="B2457" t="s">
        <v>4022</v>
      </c>
      <c r="C2457" t="s">
        <v>4023</v>
      </c>
      <c r="D2457" t="s">
        <v>5190</v>
      </c>
      <c r="E2457" t="s">
        <v>5159</v>
      </c>
    </row>
    <row r="2458" spans="1:5">
      <c r="A2458" t="s">
        <v>5244</v>
      </c>
      <c r="B2458" t="s">
        <v>4024</v>
      </c>
      <c r="C2458" t="s">
        <v>4025</v>
      </c>
      <c r="D2458" t="s">
        <v>5167</v>
      </c>
      <c r="E2458" t="s">
        <v>5168</v>
      </c>
    </row>
    <row r="2459" spans="1:5">
      <c r="A2459" t="s">
        <v>5244</v>
      </c>
      <c r="B2459" t="s">
        <v>6070</v>
      </c>
      <c r="C2459" t="s">
        <v>6071</v>
      </c>
      <c r="D2459" t="s">
        <v>5157</v>
      </c>
      <c r="E2459" t="s">
        <v>5157</v>
      </c>
    </row>
    <row r="2460" spans="1:5">
      <c r="A2460" t="s">
        <v>5241</v>
      </c>
      <c r="B2460" t="s">
        <v>4026</v>
      </c>
      <c r="C2460" t="s">
        <v>4027</v>
      </c>
      <c r="D2460" t="s">
        <v>5157</v>
      </c>
      <c r="E2460" t="s">
        <v>5157</v>
      </c>
    </row>
    <row r="2461" spans="1:5">
      <c r="A2461" t="s">
        <v>5241</v>
      </c>
      <c r="B2461" t="s">
        <v>4028</v>
      </c>
      <c r="C2461" t="s">
        <v>4029</v>
      </c>
      <c r="D2461" t="s">
        <v>5162</v>
      </c>
      <c r="E2461" t="s">
        <v>5163</v>
      </c>
    </row>
    <row r="2462" spans="1:5">
      <c r="A2462" t="s">
        <v>5241</v>
      </c>
      <c r="B2462" t="s">
        <v>4030</v>
      </c>
      <c r="C2462" t="s">
        <v>4031</v>
      </c>
      <c r="D2462" t="s">
        <v>5162</v>
      </c>
      <c r="E2462" t="s">
        <v>5163</v>
      </c>
    </row>
    <row r="2463" spans="1:5">
      <c r="A2463" t="s">
        <v>5241</v>
      </c>
      <c r="B2463" t="s">
        <v>4032</v>
      </c>
      <c r="C2463" t="s">
        <v>4033</v>
      </c>
      <c r="D2463" t="s">
        <v>5162</v>
      </c>
      <c r="E2463" t="s">
        <v>5163</v>
      </c>
    </row>
    <row r="2464" spans="1:5">
      <c r="A2464" t="s">
        <v>5241</v>
      </c>
      <c r="B2464" t="s">
        <v>4034</v>
      </c>
      <c r="C2464" t="s">
        <v>4035</v>
      </c>
      <c r="D2464" t="s">
        <v>5162</v>
      </c>
      <c r="E2464" t="s">
        <v>5163</v>
      </c>
    </row>
    <row r="2465" spans="1:5">
      <c r="A2465" t="s">
        <v>5241</v>
      </c>
      <c r="B2465" t="s">
        <v>4036</v>
      </c>
      <c r="C2465" t="s">
        <v>4037</v>
      </c>
      <c r="D2465" t="s">
        <v>5162</v>
      </c>
      <c r="E2465" t="s">
        <v>5163</v>
      </c>
    </row>
    <row r="2466" spans="1:5">
      <c r="A2466" t="s">
        <v>5241</v>
      </c>
      <c r="B2466" t="s">
        <v>4038</v>
      </c>
      <c r="C2466" t="s">
        <v>4039</v>
      </c>
      <c r="D2466" t="s">
        <v>5157</v>
      </c>
      <c r="E2466" t="s">
        <v>5157</v>
      </c>
    </row>
    <row r="2467" spans="1:5">
      <c r="A2467" t="s">
        <v>5241</v>
      </c>
      <c r="B2467" t="s">
        <v>4040</v>
      </c>
      <c r="C2467" t="s">
        <v>4041</v>
      </c>
      <c r="D2467" t="s">
        <v>5157</v>
      </c>
      <c r="E2467" t="s">
        <v>5157</v>
      </c>
    </row>
    <row r="2468" spans="1:5">
      <c r="A2468" t="s">
        <v>5241</v>
      </c>
      <c r="B2468" t="s">
        <v>4042</v>
      </c>
      <c r="C2468" t="s">
        <v>4043</v>
      </c>
      <c r="D2468" t="s">
        <v>5157</v>
      </c>
      <c r="E2468" t="s">
        <v>5157</v>
      </c>
    </row>
    <row r="2469" spans="1:5">
      <c r="A2469" t="s">
        <v>5241</v>
      </c>
      <c r="B2469" t="s">
        <v>4044</v>
      </c>
      <c r="C2469" t="s">
        <v>4045</v>
      </c>
      <c r="D2469" t="s">
        <v>5157</v>
      </c>
      <c r="E2469" t="s">
        <v>5157</v>
      </c>
    </row>
    <row r="2470" spans="1:5">
      <c r="A2470" t="s">
        <v>5241</v>
      </c>
      <c r="B2470" t="s">
        <v>4046</v>
      </c>
      <c r="C2470" t="s">
        <v>4047</v>
      </c>
      <c r="D2470" t="s">
        <v>5162</v>
      </c>
      <c r="E2470" t="s">
        <v>5163</v>
      </c>
    </row>
    <row r="2471" spans="1:5">
      <c r="A2471" t="s">
        <v>5241</v>
      </c>
      <c r="B2471" t="s">
        <v>6072</v>
      </c>
      <c r="C2471" t="s">
        <v>6073</v>
      </c>
      <c r="D2471" t="s">
        <v>5157</v>
      </c>
      <c r="E2471" t="s">
        <v>5157</v>
      </c>
    </row>
    <row r="2472" spans="1:5">
      <c r="A2472" t="s">
        <v>5241</v>
      </c>
      <c r="B2472" t="s">
        <v>4048</v>
      </c>
      <c r="C2472" t="s">
        <v>4049</v>
      </c>
      <c r="D2472" t="s">
        <v>5162</v>
      </c>
      <c r="E2472" t="s">
        <v>5163</v>
      </c>
    </row>
    <row r="2473" spans="1:5">
      <c r="A2473" t="s">
        <v>5241</v>
      </c>
      <c r="B2473" t="s">
        <v>6074</v>
      </c>
      <c r="C2473" t="s">
        <v>6074</v>
      </c>
      <c r="D2473" t="s">
        <v>6075</v>
      </c>
      <c r="E2473" t="s">
        <v>5165</v>
      </c>
    </row>
    <row r="2474" spans="1:5">
      <c r="A2474" t="s">
        <v>5244</v>
      </c>
      <c r="B2474" t="s">
        <v>6074</v>
      </c>
      <c r="C2474" t="s">
        <v>6074</v>
      </c>
      <c r="D2474" t="s">
        <v>6075</v>
      </c>
      <c r="E2474" t="s">
        <v>5165</v>
      </c>
    </row>
    <row r="2475" spans="1:5">
      <c r="A2475" t="s">
        <v>5244</v>
      </c>
      <c r="B2475" t="s">
        <v>925</v>
      </c>
      <c r="C2475" t="s">
        <v>4050</v>
      </c>
      <c r="D2475" t="s">
        <v>5157</v>
      </c>
      <c r="E2475" t="s">
        <v>5157</v>
      </c>
    </row>
    <row r="2476" spans="1:5">
      <c r="A2476" t="s">
        <v>5244</v>
      </c>
      <c r="B2476" t="s">
        <v>926</v>
      </c>
      <c r="C2476" t="s">
        <v>4051</v>
      </c>
      <c r="D2476" t="s">
        <v>5157</v>
      </c>
      <c r="E2476" t="s">
        <v>5157</v>
      </c>
    </row>
    <row r="2477" spans="1:5">
      <c r="A2477" t="s">
        <v>5241</v>
      </c>
      <c r="B2477" t="s">
        <v>4052</v>
      </c>
      <c r="C2477" t="s">
        <v>4053</v>
      </c>
      <c r="D2477" t="s">
        <v>5157</v>
      </c>
      <c r="E2477" t="s">
        <v>5157</v>
      </c>
    </row>
    <row r="2478" spans="1:5">
      <c r="A2478" t="s">
        <v>5241</v>
      </c>
      <c r="B2478" t="s">
        <v>6076</v>
      </c>
      <c r="C2478" t="s">
        <v>6077</v>
      </c>
      <c r="D2478" t="s">
        <v>5157</v>
      </c>
      <c r="E2478" t="s">
        <v>5157</v>
      </c>
    </row>
    <row r="2479" spans="1:5">
      <c r="A2479" t="s">
        <v>5241</v>
      </c>
      <c r="B2479" t="s">
        <v>6078</v>
      </c>
      <c r="C2479" t="s">
        <v>6079</v>
      </c>
      <c r="D2479" t="s">
        <v>5209</v>
      </c>
      <c r="E2479" t="s">
        <v>5212</v>
      </c>
    </row>
    <row r="2480" spans="1:5">
      <c r="A2480" t="s">
        <v>5241</v>
      </c>
      <c r="B2480" t="s">
        <v>6080</v>
      </c>
      <c r="C2480" t="s">
        <v>6081</v>
      </c>
      <c r="D2480" t="s">
        <v>5166</v>
      </c>
      <c r="E2480" t="s">
        <v>5215</v>
      </c>
    </row>
    <row r="2481" spans="1:5">
      <c r="A2481" t="s">
        <v>5241</v>
      </c>
      <c r="B2481" t="s">
        <v>6082</v>
      </c>
      <c r="C2481" t="s">
        <v>6083</v>
      </c>
      <c r="D2481" t="s">
        <v>5157</v>
      </c>
      <c r="E2481" t="s">
        <v>5157</v>
      </c>
    </row>
    <row r="2482" spans="1:5">
      <c r="A2482" t="s">
        <v>5241</v>
      </c>
      <c r="B2482" t="s">
        <v>6084</v>
      </c>
      <c r="C2482" t="s">
        <v>6085</v>
      </c>
      <c r="D2482" t="s">
        <v>5157</v>
      </c>
      <c r="E2482" t="s">
        <v>5157</v>
      </c>
    </row>
    <row r="2483" spans="1:5">
      <c r="A2483" t="s">
        <v>5241</v>
      </c>
      <c r="B2483" t="s">
        <v>6086</v>
      </c>
      <c r="C2483" t="s">
        <v>6087</v>
      </c>
      <c r="D2483" t="s">
        <v>5157</v>
      </c>
      <c r="E2483" t="s">
        <v>5157</v>
      </c>
    </row>
    <row r="2484" spans="1:5">
      <c r="A2484" t="s">
        <v>5241</v>
      </c>
      <c r="B2484" t="s">
        <v>4054</v>
      </c>
      <c r="C2484" t="s">
        <v>4055</v>
      </c>
      <c r="D2484" t="s">
        <v>5157</v>
      </c>
      <c r="E2484" t="s">
        <v>5157</v>
      </c>
    </row>
    <row r="2485" spans="1:5">
      <c r="A2485" t="s">
        <v>5241</v>
      </c>
      <c r="B2485" t="s">
        <v>4056</v>
      </c>
      <c r="C2485" t="s">
        <v>4057</v>
      </c>
      <c r="D2485" t="s">
        <v>5157</v>
      </c>
      <c r="E2485" t="s">
        <v>5157</v>
      </c>
    </row>
    <row r="2486" spans="1:5">
      <c r="A2486" t="s">
        <v>5241</v>
      </c>
      <c r="B2486" t="s">
        <v>4058</v>
      </c>
      <c r="C2486" t="s">
        <v>4059</v>
      </c>
      <c r="D2486" t="s">
        <v>5209</v>
      </c>
      <c r="E2486" t="s">
        <v>5212</v>
      </c>
    </row>
    <row r="2487" spans="1:5">
      <c r="A2487" t="s">
        <v>5241</v>
      </c>
      <c r="B2487" t="s">
        <v>4060</v>
      </c>
      <c r="C2487" t="s">
        <v>4061</v>
      </c>
      <c r="D2487" t="s">
        <v>5209</v>
      </c>
      <c r="E2487" t="s">
        <v>5212</v>
      </c>
    </row>
    <row r="2488" spans="1:5">
      <c r="A2488" t="s">
        <v>5241</v>
      </c>
      <c r="B2488" t="s">
        <v>4062</v>
      </c>
      <c r="C2488" t="s">
        <v>4063</v>
      </c>
      <c r="D2488" t="s">
        <v>5211</v>
      </c>
      <c r="E2488" t="s">
        <v>5213</v>
      </c>
    </row>
    <row r="2489" spans="1:5">
      <c r="A2489" t="s">
        <v>5241</v>
      </c>
      <c r="B2489" t="s">
        <v>4064</v>
      </c>
      <c r="C2489" t="s">
        <v>4065</v>
      </c>
      <c r="D2489" t="s">
        <v>5211</v>
      </c>
      <c r="E2489" t="s">
        <v>5213</v>
      </c>
    </row>
    <row r="2490" spans="1:5">
      <c r="A2490" t="s">
        <v>5241</v>
      </c>
      <c r="B2490" t="s">
        <v>4066</v>
      </c>
      <c r="C2490" t="s">
        <v>4067</v>
      </c>
      <c r="D2490" t="s">
        <v>5209</v>
      </c>
      <c r="E2490" t="s">
        <v>5212</v>
      </c>
    </row>
    <row r="2491" spans="1:5">
      <c r="A2491" t="s">
        <v>5241</v>
      </c>
      <c r="B2491" t="s">
        <v>4068</v>
      </c>
      <c r="C2491" t="s">
        <v>4069</v>
      </c>
      <c r="D2491" t="s">
        <v>5211</v>
      </c>
      <c r="E2491" t="s">
        <v>5213</v>
      </c>
    </row>
    <row r="2492" spans="1:5">
      <c r="A2492" t="s">
        <v>5241</v>
      </c>
      <c r="B2492" t="s">
        <v>4070</v>
      </c>
      <c r="C2492" t="s">
        <v>4071</v>
      </c>
      <c r="D2492" t="s">
        <v>5211</v>
      </c>
      <c r="E2492" t="s">
        <v>5213</v>
      </c>
    </row>
    <row r="2493" spans="1:5">
      <c r="A2493" t="s">
        <v>5241</v>
      </c>
      <c r="B2493" t="s">
        <v>4072</v>
      </c>
      <c r="C2493" t="s">
        <v>4073</v>
      </c>
      <c r="D2493" t="s">
        <v>5209</v>
      </c>
      <c r="E2493" t="s">
        <v>5212</v>
      </c>
    </row>
    <row r="2494" spans="1:5">
      <c r="A2494" t="s">
        <v>5241</v>
      </c>
      <c r="B2494" t="s">
        <v>4074</v>
      </c>
      <c r="C2494" t="s">
        <v>4075</v>
      </c>
      <c r="D2494" t="s">
        <v>5209</v>
      </c>
      <c r="E2494" t="s">
        <v>5212</v>
      </c>
    </row>
    <row r="2495" spans="1:5">
      <c r="A2495" t="s">
        <v>5241</v>
      </c>
      <c r="B2495" t="s">
        <v>4076</v>
      </c>
      <c r="C2495" t="s">
        <v>4077</v>
      </c>
      <c r="D2495" t="s">
        <v>5209</v>
      </c>
      <c r="E2495" t="s">
        <v>5212</v>
      </c>
    </row>
    <row r="2496" spans="1:5">
      <c r="A2496" t="s">
        <v>5241</v>
      </c>
      <c r="B2496" t="s">
        <v>4078</v>
      </c>
      <c r="C2496" t="s">
        <v>4079</v>
      </c>
      <c r="D2496" t="s">
        <v>5209</v>
      </c>
      <c r="E2496" t="s">
        <v>5212</v>
      </c>
    </row>
    <row r="2497" spans="1:5">
      <c r="A2497" t="s">
        <v>5241</v>
      </c>
      <c r="B2497" t="s">
        <v>4080</v>
      </c>
      <c r="C2497" t="s">
        <v>4081</v>
      </c>
      <c r="D2497" t="s">
        <v>5209</v>
      </c>
      <c r="E2497" t="s">
        <v>5212</v>
      </c>
    </row>
    <row r="2498" spans="1:5">
      <c r="A2498" t="s">
        <v>5241</v>
      </c>
      <c r="B2498" t="s">
        <v>4082</v>
      </c>
      <c r="C2498" t="s">
        <v>4083</v>
      </c>
      <c r="D2498" t="s">
        <v>5209</v>
      </c>
      <c r="E2498" t="s">
        <v>5212</v>
      </c>
    </row>
    <row r="2499" spans="1:5">
      <c r="A2499" t="s">
        <v>5241</v>
      </c>
      <c r="B2499" t="s">
        <v>4084</v>
      </c>
      <c r="C2499" t="s">
        <v>4085</v>
      </c>
      <c r="D2499" t="s">
        <v>5209</v>
      </c>
      <c r="E2499" t="s">
        <v>5212</v>
      </c>
    </row>
    <row r="2500" spans="1:5">
      <c r="A2500" t="s">
        <v>5241</v>
      </c>
      <c r="B2500" t="s">
        <v>4086</v>
      </c>
      <c r="C2500" t="s">
        <v>4087</v>
      </c>
      <c r="D2500" t="s">
        <v>5209</v>
      </c>
      <c r="E2500" t="s">
        <v>5212</v>
      </c>
    </row>
    <row r="2501" spans="1:5">
      <c r="A2501" t="s">
        <v>5241</v>
      </c>
      <c r="B2501" t="s">
        <v>4088</v>
      </c>
      <c r="C2501" t="s">
        <v>4089</v>
      </c>
      <c r="D2501" t="s">
        <v>5211</v>
      </c>
      <c r="E2501" t="s">
        <v>5213</v>
      </c>
    </row>
    <row r="2502" spans="1:5">
      <c r="A2502" t="s">
        <v>5241</v>
      </c>
      <c r="B2502" t="s">
        <v>4090</v>
      </c>
      <c r="C2502" t="s">
        <v>4091</v>
      </c>
      <c r="D2502" t="s">
        <v>5211</v>
      </c>
      <c r="E2502" t="s">
        <v>5213</v>
      </c>
    </row>
    <row r="2503" spans="1:5">
      <c r="A2503" t="s">
        <v>5241</v>
      </c>
      <c r="B2503" t="s">
        <v>4092</v>
      </c>
      <c r="C2503" t="s">
        <v>4093</v>
      </c>
      <c r="D2503" t="s">
        <v>5209</v>
      </c>
      <c r="E2503" t="s">
        <v>5212</v>
      </c>
    </row>
    <row r="2504" spans="1:5">
      <c r="A2504" t="s">
        <v>5241</v>
      </c>
      <c r="B2504" t="s">
        <v>4094</v>
      </c>
      <c r="C2504" t="s">
        <v>4095</v>
      </c>
      <c r="D2504" t="s">
        <v>5209</v>
      </c>
      <c r="E2504" t="s">
        <v>5212</v>
      </c>
    </row>
    <row r="2505" spans="1:5">
      <c r="A2505" t="s">
        <v>5241</v>
      </c>
      <c r="B2505" t="s">
        <v>4096</v>
      </c>
      <c r="C2505" t="s">
        <v>4097</v>
      </c>
      <c r="D2505" t="s">
        <v>5209</v>
      </c>
      <c r="E2505" t="s">
        <v>5212</v>
      </c>
    </row>
    <row r="2506" spans="1:5">
      <c r="A2506" t="s">
        <v>5241</v>
      </c>
      <c r="B2506" t="s">
        <v>4098</v>
      </c>
      <c r="C2506" t="s">
        <v>4099</v>
      </c>
      <c r="D2506" t="s">
        <v>5211</v>
      </c>
      <c r="E2506" t="s">
        <v>5213</v>
      </c>
    </row>
    <row r="2507" spans="1:5">
      <c r="A2507" t="s">
        <v>5241</v>
      </c>
      <c r="B2507" t="s">
        <v>4100</v>
      </c>
      <c r="C2507" t="s">
        <v>4101</v>
      </c>
      <c r="D2507" t="s">
        <v>5211</v>
      </c>
      <c r="E2507" t="s">
        <v>5213</v>
      </c>
    </row>
    <row r="2508" spans="1:5">
      <c r="A2508" t="s">
        <v>5241</v>
      </c>
      <c r="B2508" t="s">
        <v>4102</v>
      </c>
      <c r="C2508" t="s">
        <v>4103</v>
      </c>
      <c r="D2508" t="s">
        <v>5209</v>
      </c>
      <c r="E2508" t="s">
        <v>5212</v>
      </c>
    </row>
    <row r="2509" spans="1:5">
      <c r="A2509" t="s">
        <v>5241</v>
      </c>
      <c r="B2509" t="s">
        <v>4104</v>
      </c>
      <c r="C2509" t="s">
        <v>4105</v>
      </c>
      <c r="D2509" t="s">
        <v>5209</v>
      </c>
      <c r="E2509" t="s">
        <v>5212</v>
      </c>
    </row>
    <row r="2510" spans="1:5">
      <c r="A2510" t="s">
        <v>5241</v>
      </c>
      <c r="B2510" t="s">
        <v>6088</v>
      </c>
      <c r="C2510" t="s">
        <v>6089</v>
      </c>
      <c r="D2510" t="s">
        <v>5157</v>
      </c>
      <c r="E2510" t="s">
        <v>5157</v>
      </c>
    </row>
    <row r="2511" spans="1:5">
      <c r="A2511" t="s">
        <v>5244</v>
      </c>
      <c r="B2511" t="s">
        <v>6090</v>
      </c>
      <c r="C2511" t="s">
        <v>6091</v>
      </c>
      <c r="D2511" t="s">
        <v>5157</v>
      </c>
      <c r="E2511" t="s">
        <v>5157</v>
      </c>
    </row>
    <row r="2512" spans="1:5">
      <c r="A2512" t="s">
        <v>5244</v>
      </c>
      <c r="B2512" t="s">
        <v>6092</v>
      </c>
      <c r="C2512" t="s">
        <v>6093</v>
      </c>
      <c r="D2512" t="s">
        <v>5157</v>
      </c>
      <c r="E2512" t="s">
        <v>5157</v>
      </c>
    </row>
    <row r="2513" spans="1:5">
      <c r="A2513" t="s">
        <v>5244</v>
      </c>
      <c r="B2513" t="s">
        <v>6094</v>
      </c>
      <c r="C2513" t="s">
        <v>6095</v>
      </c>
      <c r="D2513" t="s">
        <v>5157</v>
      </c>
      <c r="E2513" t="s">
        <v>5157</v>
      </c>
    </row>
    <row r="2514" spans="1:5">
      <c r="A2514" t="s">
        <v>5244</v>
      </c>
      <c r="B2514" t="s">
        <v>6096</v>
      </c>
      <c r="C2514" t="s">
        <v>6097</v>
      </c>
      <c r="D2514" t="s">
        <v>5157</v>
      </c>
      <c r="E2514" t="s">
        <v>5157</v>
      </c>
    </row>
    <row r="2515" spans="1:5">
      <c r="A2515" t="s">
        <v>5244</v>
      </c>
      <c r="B2515" t="s">
        <v>4106</v>
      </c>
      <c r="C2515" t="s">
        <v>4107</v>
      </c>
      <c r="D2515" t="s">
        <v>5157</v>
      </c>
      <c r="E2515" t="s">
        <v>5157</v>
      </c>
    </row>
    <row r="2516" spans="1:5">
      <c r="A2516" t="s">
        <v>5244</v>
      </c>
      <c r="B2516" t="s">
        <v>4108</v>
      </c>
      <c r="C2516" t="s">
        <v>4109</v>
      </c>
      <c r="D2516" t="s">
        <v>5157</v>
      </c>
      <c r="E2516" t="s">
        <v>5157</v>
      </c>
    </row>
    <row r="2517" spans="1:5">
      <c r="A2517" t="s">
        <v>5244</v>
      </c>
      <c r="B2517" t="s">
        <v>4110</v>
      </c>
      <c r="C2517" t="s">
        <v>4111</v>
      </c>
      <c r="D2517" t="s">
        <v>5158</v>
      </c>
      <c r="E2517" t="s">
        <v>5159</v>
      </c>
    </row>
    <row r="2518" spans="1:5">
      <c r="A2518" t="s">
        <v>5244</v>
      </c>
      <c r="B2518" t="s">
        <v>4112</v>
      </c>
      <c r="C2518" t="s">
        <v>4113</v>
      </c>
      <c r="D2518" t="s">
        <v>5157</v>
      </c>
      <c r="E2518" t="s">
        <v>5157</v>
      </c>
    </row>
    <row r="2519" spans="1:5">
      <c r="A2519" t="s">
        <v>5244</v>
      </c>
      <c r="B2519" t="s">
        <v>4114</v>
      </c>
      <c r="C2519" t="s">
        <v>4115</v>
      </c>
      <c r="D2519" t="s">
        <v>5157</v>
      </c>
      <c r="E2519" t="s">
        <v>5157</v>
      </c>
    </row>
    <row r="2520" spans="1:5">
      <c r="A2520" t="s">
        <v>5244</v>
      </c>
      <c r="B2520" t="s">
        <v>6098</v>
      </c>
      <c r="C2520" t="s">
        <v>6099</v>
      </c>
      <c r="D2520" t="s">
        <v>5158</v>
      </c>
      <c r="E2520" t="s">
        <v>5159</v>
      </c>
    </row>
    <row r="2521" spans="1:5">
      <c r="A2521" t="s">
        <v>5244</v>
      </c>
      <c r="B2521" t="s">
        <v>4116</v>
      </c>
      <c r="C2521" t="s">
        <v>4117</v>
      </c>
      <c r="D2521" t="s">
        <v>5157</v>
      </c>
      <c r="E2521" t="s">
        <v>5157</v>
      </c>
    </row>
    <row r="2522" spans="1:5">
      <c r="A2522" t="s">
        <v>5244</v>
      </c>
      <c r="B2522" t="s">
        <v>4118</v>
      </c>
      <c r="C2522" t="s">
        <v>4119</v>
      </c>
      <c r="D2522" t="s">
        <v>5158</v>
      </c>
      <c r="E2522" t="s">
        <v>5159</v>
      </c>
    </row>
    <row r="2523" spans="1:5">
      <c r="A2523" t="s">
        <v>5244</v>
      </c>
      <c r="B2523" t="s">
        <v>4120</v>
      </c>
      <c r="C2523" t="s">
        <v>4121</v>
      </c>
      <c r="D2523" t="s">
        <v>5157</v>
      </c>
      <c r="E2523" t="s">
        <v>5157</v>
      </c>
    </row>
    <row r="2524" spans="1:5">
      <c r="A2524" t="s">
        <v>5244</v>
      </c>
      <c r="B2524" t="s">
        <v>4122</v>
      </c>
      <c r="C2524" t="s">
        <v>4123</v>
      </c>
      <c r="D2524" t="s">
        <v>5157</v>
      </c>
      <c r="E2524" t="s">
        <v>5157</v>
      </c>
    </row>
    <row r="2525" spans="1:5">
      <c r="A2525" t="s">
        <v>5244</v>
      </c>
      <c r="B2525" t="s">
        <v>4124</v>
      </c>
      <c r="C2525" t="s">
        <v>4125</v>
      </c>
      <c r="D2525" t="s">
        <v>5157</v>
      </c>
      <c r="E2525" t="s">
        <v>5157</v>
      </c>
    </row>
    <row r="2526" spans="1:5">
      <c r="A2526" t="s">
        <v>5244</v>
      </c>
      <c r="B2526" t="s">
        <v>4126</v>
      </c>
      <c r="C2526" t="s">
        <v>4127</v>
      </c>
      <c r="D2526" t="s">
        <v>5157</v>
      </c>
      <c r="E2526" t="s">
        <v>5157</v>
      </c>
    </row>
    <row r="2527" spans="1:5">
      <c r="A2527" t="s">
        <v>5244</v>
      </c>
      <c r="B2527" t="s">
        <v>4128</v>
      </c>
      <c r="C2527" t="s">
        <v>4129</v>
      </c>
      <c r="D2527" t="s">
        <v>5157</v>
      </c>
      <c r="E2527" t="s">
        <v>5157</v>
      </c>
    </row>
    <row r="2528" spans="1:5">
      <c r="A2528" t="s">
        <v>5244</v>
      </c>
      <c r="B2528" t="s">
        <v>927</v>
      </c>
      <c r="C2528" t="s">
        <v>4130</v>
      </c>
      <c r="D2528" t="s">
        <v>5157</v>
      </c>
      <c r="E2528" t="s">
        <v>5157</v>
      </c>
    </row>
    <row r="2529" spans="1:5">
      <c r="A2529" t="s">
        <v>5244</v>
      </c>
      <c r="B2529" t="s">
        <v>6100</v>
      </c>
      <c r="C2529" t="s">
        <v>6101</v>
      </c>
      <c r="D2529" t="s">
        <v>5157</v>
      </c>
      <c r="E2529" t="s">
        <v>5157</v>
      </c>
    </row>
    <row r="2530" spans="1:5">
      <c r="A2530" t="s">
        <v>5241</v>
      </c>
      <c r="B2530" t="s">
        <v>6102</v>
      </c>
      <c r="C2530" t="s">
        <v>6103</v>
      </c>
      <c r="D2530" t="s">
        <v>5157</v>
      </c>
      <c r="E2530" t="s">
        <v>5157</v>
      </c>
    </row>
    <row r="2531" spans="1:5">
      <c r="A2531" t="s">
        <v>5241</v>
      </c>
      <c r="B2531" t="s">
        <v>6104</v>
      </c>
      <c r="C2531" t="s">
        <v>6105</v>
      </c>
      <c r="D2531" t="s">
        <v>5157</v>
      </c>
      <c r="E2531" t="s">
        <v>5157</v>
      </c>
    </row>
    <row r="2532" spans="1:5">
      <c r="A2532" t="s">
        <v>5241</v>
      </c>
      <c r="B2532" t="s">
        <v>6106</v>
      </c>
      <c r="C2532" t="s">
        <v>6107</v>
      </c>
      <c r="D2532" t="s">
        <v>5157</v>
      </c>
      <c r="E2532" t="s">
        <v>5157</v>
      </c>
    </row>
    <row r="2533" spans="1:5">
      <c r="A2533" t="s">
        <v>5241</v>
      </c>
      <c r="B2533" t="s">
        <v>6108</v>
      </c>
      <c r="C2533" t="s">
        <v>6109</v>
      </c>
      <c r="D2533" t="s">
        <v>5157</v>
      </c>
      <c r="E2533" t="s">
        <v>5157</v>
      </c>
    </row>
    <row r="2534" spans="1:5">
      <c r="A2534" t="s">
        <v>5241</v>
      </c>
      <c r="B2534" t="s">
        <v>6110</v>
      </c>
      <c r="C2534" t="s">
        <v>6111</v>
      </c>
      <c r="D2534" t="s">
        <v>5157</v>
      </c>
      <c r="E2534" t="s">
        <v>5157</v>
      </c>
    </row>
    <row r="2535" spans="1:5">
      <c r="A2535" t="s">
        <v>5241</v>
      </c>
      <c r="B2535" t="s">
        <v>6112</v>
      </c>
      <c r="C2535" t="s">
        <v>6113</v>
      </c>
      <c r="D2535" t="s">
        <v>5157</v>
      </c>
      <c r="E2535" t="s">
        <v>5157</v>
      </c>
    </row>
    <row r="2536" spans="1:5">
      <c r="A2536" t="s">
        <v>5244</v>
      </c>
      <c r="B2536" t="s">
        <v>6114</v>
      </c>
      <c r="C2536" t="s">
        <v>6115</v>
      </c>
      <c r="D2536" t="s">
        <v>5157</v>
      </c>
      <c r="E2536" t="s">
        <v>5157</v>
      </c>
    </row>
    <row r="2537" spans="1:5">
      <c r="A2537" t="s">
        <v>5244</v>
      </c>
      <c r="B2537" t="s">
        <v>4131</v>
      </c>
      <c r="C2537" t="s">
        <v>4132</v>
      </c>
      <c r="D2537" t="s">
        <v>5190</v>
      </c>
      <c r="E2537" t="s">
        <v>5159</v>
      </c>
    </row>
    <row r="2538" spans="1:5">
      <c r="A2538" t="s">
        <v>5244</v>
      </c>
      <c r="B2538" t="s">
        <v>4133</v>
      </c>
      <c r="C2538" t="s">
        <v>4134</v>
      </c>
      <c r="D2538" t="s">
        <v>5157</v>
      </c>
      <c r="E2538" t="s">
        <v>5157</v>
      </c>
    </row>
    <row r="2539" spans="1:5">
      <c r="A2539" t="s">
        <v>5244</v>
      </c>
      <c r="B2539" t="s">
        <v>4135</v>
      </c>
      <c r="C2539" t="s">
        <v>4136</v>
      </c>
      <c r="D2539" t="s">
        <v>5157</v>
      </c>
      <c r="E2539" t="s">
        <v>5157</v>
      </c>
    </row>
    <row r="2540" spans="1:5">
      <c r="A2540" t="s">
        <v>5244</v>
      </c>
      <c r="B2540" t="s">
        <v>4137</v>
      </c>
      <c r="C2540" t="s">
        <v>4138</v>
      </c>
      <c r="D2540" t="s">
        <v>5157</v>
      </c>
      <c r="E2540" t="s">
        <v>5157</v>
      </c>
    </row>
    <row r="2541" spans="1:5">
      <c r="A2541" t="s">
        <v>5244</v>
      </c>
      <c r="B2541" t="s">
        <v>6116</v>
      </c>
      <c r="C2541" t="s">
        <v>6117</v>
      </c>
      <c r="D2541" t="s">
        <v>5157</v>
      </c>
      <c r="E2541" t="s">
        <v>5157</v>
      </c>
    </row>
    <row r="2542" spans="1:5">
      <c r="A2542" t="s">
        <v>5244</v>
      </c>
      <c r="B2542" t="s">
        <v>4139</v>
      </c>
      <c r="C2542" t="s">
        <v>4140</v>
      </c>
      <c r="D2542" t="s">
        <v>5157</v>
      </c>
      <c r="E2542" t="s">
        <v>5157</v>
      </c>
    </row>
    <row r="2543" spans="1:5">
      <c r="A2543" t="s">
        <v>5244</v>
      </c>
      <c r="B2543" t="s">
        <v>4141</v>
      </c>
      <c r="C2543" t="s">
        <v>4142</v>
      </c>
      <c r="D2543" t="s">
        <v>5157</v>
      </c>
      <c r="E2543" t="s">
        <v>5157</v>
      </c>
    </row>
    <row r="2544" spans="1:5">
      <c r="A2544" t="s">
        <v>5244</v>
      </c>
      <c r="B2544" t="s">
        <v>4143</v>
      </c>
      <c r="C2544" t="s">
        <v>4144</v>
      </c>
      <c r="D2544" t="s">
        <v>5157</v>
      </c>
      <c r="E2544" t="s">
        <v>5157</v>
      </c>
    </row>
    <row r="2545" spans="1:5">
      <c r="A2545" t="s">
        <v>5244</v>
      </c>
      <c r="B2545" t="s">
        <v>6118</v>
      </c>
      <c r="C2545" t="s">
        <v>6119</v>
      </c>
      <c r="D2545" t="s">
        <v>5157</v>
      </c>
      <c r="E2545" t="s">
        <v>5157</v>
      </c>
    </row>
    <row r="2546" spans="1:5">
      <c r="A2546" t="s">
        <v>5244</v>
      </c>
      <c r="B2546" t="s">
        <v>4145</v>
      </c>
      <c r="C2546" t="s">
        <v>4146</v>
      </c>
      <c r="D2546" t="s">
        <v>5157</v>
      </c>
      <c r="E2546" t="s">
        <v>5157</v>
      </c>
    </row>
    <row r="2547" spans="1:5">
      <c r="A2547" t="s">
        <v>5244</v>
      </c>
      <c r="B2547" t="s">
        <v>4147</v>
      </c>
      <c r="C2547" t="s">
        <v>4148</v>
      </c>
      <c r="D2547" t="s">
        <v>5208</v>
      </c>
      <c r="E2547" t="s">
        <v>5159</v>
      </c>
    </row>
    <row r="2548" spans="1:5">
      <c r="A2548" t="s">
        <v>5244</v>
      </c>
      <c r="B2548" t="s">
        <v>4149</v>
      </c>
      <c r="C2548" t="s">
        <v>4150</v>
      </c>
      <c r="D2548" t="s">
        <v>5157</v>
      </c>
      <c r="E2548" t="s">
        <v>5157</v>
      </c>
    </row>
    <row r="2549" spans="1:5">
      <c r="A2549" t="s">
        <v>5244</v>
      </c>
      <c r="B2549" t="s">
        <v>4151</v>
      </c>
      <c r="C2549" t="s">
        <v>4152</v>
      </c>
      <c r="D2549" t="s">
        <v>5157</v>
      </c>
      <c r="E2549" t="s">
        <v>5157</v>
      </c>
    </row>
    <row r="2550" spans="1:5">
      <c r="A2550" t="s">
        <v>5244</v>
      </c>
      <c r="B2550" t="s">
        <v>4153</v>
      </c>
      <c r="C2550" t="s">
        <v>4154</v>
      </c>
      <c r="D2550" t="s">
        <v>5157</v>
      </c>
      <c r="E2550" t="s">
        <v>5157</v>
      </c>
    </row>
    <row r="2551" spans="1:5">
      <c r="A2551" t="s">
        <v>5244</v>
      </c>
      <c r="B2551" t="s">
        <v>4155</v>
      </c>
      <c r="C2551" t="s">
        <v>4156</v>
      </c>
      <c r="D2551" t="s">
        <v>5157</v>
      </c>
      <c r="E2551" t="s">
        <v>5157</v>
      </c>
    </row>
    <row r="2552" spans="1:5">
      <c r="A2552" t="s">
        <v>5244</v>
      </c>
      <c r="B2552" t="s">
        <v>4157</v>
      </c>
      <c r="C2552" t="s">
        <v>4158</v>
      </c>
      <c r="D2552" t="s">
        <v>5157</v>
      </c>
      <c r="E2552" t="s">
        <v>5157</v>
      </c>
    </row>
    <row r="2553" spans="1:5">
      <c r="A2553" t="s">
        <v>5244</v>
      </c>
      <c r="B2553" t="s">
        <v>4159</v>
      </c>
      <c r="C2553" t="s">
        <v>4160</v>
      </c>
      <c r="D2553" t="s">
        <v>5157</v>
      </c>
      <c r="E2553" t="s">
        <v>5157</v>
      </c>
    </row>
    <row r="2554" spans="1:5">
      <c r="A2554" t="s">
        <v>5244</v>
      </c>
      <c r="B2554" t="s">
        <v>6120</v>
      </c>
      <c r="C2554" t="s">
        <v>6121</v>
      </c>
      <c r="D2554" t="s">
        <v>5158</v>
      </c>
      <c r="E2554" t="s">
        <v>5159</v>
      </c>
    </row>
    <row r="2555" spans="1:5">
      <c r="A2555" t="s">
        <v>5244</v>
      </c>
      <c r="B2555" t="s">
        <v>4161</v>
      </c>
      <c r="C2555" t="s">
        <v>4162</v>
      </c>
      <c r="D2555" t="s">
        <v>5158</v>
      </c>
      <c r="E2555" t="s">
        <v>5159</v>
      </c>
    </row>
    <row r="2556" spans="1:5">
      <c r="A2556" t="s">
        <v>5244</v>
      </c>
      <c r="B2556" t="s">
        <v>4163</v>
      </c>
      <c r="C2556" t="s">
        <v>4164</v>
      </c>
      <c r="D2556" t="s">
        <v>5158</v>
      </c>
      <c r="E2556" t="s">
        <v>5159</v>
      </c>
    </row>
    <row r="2557" spans="1:5">
      <c r="A2557" t="s">
        <v>5244</v>
      </c>
      <c r="B2557" t="s">
        <v>4165</v>
      </c>
      <c r="C2557" t="s">
        <v>4166</v>
      </c>
      <c r="D2557" t="s">
        <v>5158</v>
      </c>
      <c r="E2557" t="s">
        <v>5159</v>
      </c>
    </row>
    <row r="2558" spans="1:5">
      <c r="A2558" t="s">
        <v>5244</v>
      </c>
      <c r="B2558" t="s">
        <v>4167</v>
      </c>
      <c r="C2558" t="s">
        <v>4168</v>
      </c>
      <c r="D2558" t="s">
        <v>5158</v>
      </c>
      <c r="E2558" t="s">
        <v>5159</v>
      </c>
    </row>
    <row r="2559" spans="1:5">
      <c r="A2559" t="s">
        <v>5244</v>
      </c>
      <c r="B2559" t="s">
        <v>928</v>
      </c>
      <c r="C2559" t="s">
        <v>4169</v>
      </c>
      <c r="D2559" t="s">
        <v>5158</v>
      </c>
      <c r="E2559" t="s">
        <v>5159</v>
      </c>
    </row>
    <row r="2560" spans="1:5">
      <c r="A2560" t="s">
        <v>5244</v>
      </c>
      <c r="B2560" t="s">
        <v>4170</v>
      </c>
      <c r="C2560" t="s">
        <v>4171</v>
      </c>
      <c r="D2560" t="s">
        <v>5158</v>
      </c>
      <c r="E2560" t="s">
        <v>5159</v>
      </c>
    </row>
    <row r="2561" spans="1:5">
      <c r="A2561" t="s">
        <v>5244</v>
      </c>
      <c r="B2561" t="s">
        <v>4172</v>
      </c>
      <c r="C2561" t="s">
        <v>4173</v>
      </c>
      <c r="D2561" t="s">
        <v>5158</v>
      </c>
      <c r="E2561" t="s">
        <v>5159</v>
      </c>
    </row>
    <row r="2562" spans="1:5">
      <c r="A2562" t="s">
        <v>5244</v>
      </c>
      <c r="B2562" t="s">
        <v>4174</v>
      </c>
      <c r="C2562" t="s">
        <v>4175</v>
      </c>
      <c r="D2562" t="s">
        <v>5186</v>
      </c>
      <c r="E2562" t="s">
        <v>5159</v>
      </c>
    </row>
    <row r="2563" spans="1:5">
      <c r="A2563" t="s">
        <v>5244</v>
      </c>
      <c r="B2563" t="s">
        <v>4176</v>
      </c>
      <c r="C2563" t="s">
        <v>4177</v>
      </c>
      <c r="D2563" t="s">
        <v>5157</v>
      </c>
      <c r="E2563" t="s">
        <v>5157</v>
      </c>
    </row>
    <row r="2564" spans="1:5">
      <c r="A2564" t="s">
        <v>5244</v>
      </c>
      <c r="B2564" t="s">
        <v>929</v>
      </c>
      <c r="C2564" t="s">
        <v>4178</v>
      </c>
      <c r="D2564" t="s">
        <v>5227</v>
      </c>
      <c r="E2564" t="s">
        <v>5192</v>
      </c>
    </row>
    <row r="2565" spans="1:5">
      <c r="A2565" t="s">
        <v>5244</v>
      </c>
      <c r="B2565" t="s">
        <v>6122</v>
      </c>
      <c r="C2565" t="s">
        <v>6123</v>
      </c>
      <c r="D2565" t="s">
        <v>5157</v>
      </c>
      <c r="E2565" t="s">
        <v>5157</v>
      </c>
    </row>
    <row r="2566" spans="1:5">
      <c r="A2566" t="s">
        <v>5244</v>
      </c>
      <c r="B2566" t="s">
        <v>930</v>
      </c>
      <c r="C2566" t="s">
        <v>4179</v>
      </c>
      <c r="D2566" t="s">
        <v>5158</v>
      </c>
      <c r="E2566" t="s">
        <v>5159</v>
      </c>
    </row>
    <row r="2567" spans="1:5">
      <c r="A2567" t="s">
        <v>5244</v>
      </c>
      <c r="B2567" t="s">
        <v>931</v>
      </c>
      <c r="C2567" t="s">
        <v>4180</v>
      </c>
      <c r="D2567" t="s">
        <v>5158</v>
      </c>
      <c r="E2567" t="s">
        <v>5159</v>
      </c>
    </row>
    <row r="2568" spans="1:5">
      <c r="A2568" t="s">
        <v>5244</v>
      </c>
      <c r="B2568" t="s">
        <v>6124</v>
      </c>
      <c r="C2568" t="s">
        <v>6125</v>
      </c>
      <c r="D2568" t="s">
        <v>5190</v>
      </c>
      <c r="E2568" t="s">
        <v>5159</v>
      </c>
    </row>
    <row r="2569" spans="1:5">
      <c r="A2569" t="s">
        <v>5244</v>
      </c>
      <c r="B2569" t="s">
        <v>6126</v>
      </c>
      <c r="C2569" t="s">
        <v>6127</v>
      </c>
      <c r="D2569" t="s">
        <v>5161</v>
      </c>
      <c r="E2569" t="s">
        <v>5159</v>
      </c>
    </row>
    <row r="2570" spans="1:5">
      <c r="A2570" t="s">
        <v>5244</v>
      </c>
      <c r="B2570" t="s">
        <v>932</v>
      </c>
      <c r="C2570" t="s">
        <v>4181</v>
      </c>
      <c r="D2570" t="s">
        <v>5161</v>
      </c>
      <c r="E2570" t="s">
        <v>5159</v>
      </c>
    </row>
    <row r="2571" spans="1:5">
      <c r="A2571" t="s">
        <v>5244</v>
      </c>
      <c r="B2571" t="s">
        <v>933</v>
      </c>
      <c r="C2571" t="s">
        <v>4182</v>
      </c>
      <c r="D2571" t="s">
        <v>5198</v>
      </c>
      <c r="E2571" t="s">
        <v>5159</v>
      </c>
    </row>
    <row r="2572" spans="1:5">
      <c r="A2572" t="s">
        <v>5244</v>
      </c>
      <c r="B2572" t="s">
        <v>934</v>
      </c>
      <c r="C2572" t="s">
        <v>4183</v>
      </c>
      <c r="D2572" t="s">
        <v>5195</v>
      </c>
      <c r="E2572" t="s">
        <v>5159</v>
      </c>
    </row>
    <row r="2573" spans="1:5">
      <c r="A2573" t="s">
        <v>5241</v>
      </c>
      <c r="B2573" t="s">
        <v>935</v>
      </c>
      <c r="C2573" t="s">
        <v>4184</v>
      </c>
      <c r="D2573" t="s">
        <v>5195</v>
      </c>
      <c r="E2573" t="s">
        <v>5159</v>
      </c>
    </row>
    <row r="2574" spans="1:5">
      <c r="A2574" t="s">
        <v>5244</v>
      </c>
      <c r="B2574" t="s">
        <v>935</v>
      </c>
      <c r="C2574" t="s">
        <v>4184</v>
      </c>
      <c r="D2574" t="s">
        <v>5195</v>
      </c>
      <c r="E2574" t="s">
        <v>5159</v>
      </c>
    </row>
    <row r="2575" spans="1:5">
      <c r="A2575" t="s">
        <v>5244</v>
      </c>
      <c r="B2575" t="s">
        <v>4185</v>
      </c>
      <c r="C2575" t="s">
        <v>4186</v>
      </c>
      <c r="D2575" t="s">
        <v>5158</v>
      </c>
      <c r="E2575" t="s">
        <v>5159</v>
      </c>
    </row>
    <row r="2576" spans="1:5">
      <c r="A2576" t="s">
        <v>5244</v>
      </c>
      <c r="B2576" t="s">
        <v>936</v>
      </c>
      <c r="C2576" t="s">
        <v>4187</v>
      </c>
      <c r="D2576" t="s">
        <v>5185</v>
      </c>
      <c r="E2576" t="s">
        <v>5159</v>
      </c>
    </row>
    <row r="2577" spans="1:5">
      <c r="A2577" t="s">
        <v>5244</v>
      </c>
      <c r="B2577" t="s">
        <v>6128</v>
      </c>
      <c r="C2577" t="s">
        <v>6129</v>
      </c>
      <c r="D2577" t="s">
        <v>5186</v>
      </c>
      <c r="E2577" t="s">
        <v>5159</v>
      </c>
    </row>
    <row r="2578" spans="1:5">
      <c r="A2578" t="s">
        <v>5244</v>
      </c>
      <c r="B2578" t="s">
        <v>4188</v>
      </c>
      <c r="C2578" t="s">
        <v>4189</v>
      </c>
      <c r="D2578" t="s">
        <v>5158</v>
      </c>
      <c r="E2578" t="s">
        <v>5159</v>
      </c>
    </row>
    <row r="2579" spans="1:5">
      <c r="A2579" t="s">
        <v>5244</v>
      </c>
      <c r="B2579" t="s">
        <v>4190</v>
      </c>
      <c r="C2579" t="s">
        <v>4191</v>
      </c>
      <c r="D2579" t="s">
        <v>5158</v>
      </c>
      <c r="E2579" t="s">
        <v>5159</v>
      </c>
    </row>
    <row r="2580" spans="1:5">
      <c r="A2580" t="s">
        <v>5244</v>
      </c>
      <c r="B2580" t="s">
        <v>4192</v>
      </c>
      <c r="C2580" t="s">
        <v>4193</v>
      </c>
      <c r="D2580" t="s">
        <v>5158</v>
      </c>
      <c r="E2580" t="s">
        <v>5159</v>
      </c>
    </row>
    <row r="2581" spans="1:5">
      <c r="A2581" t="s">
        <v>5244</v>
      </c>
      <c r="B2581" t="s">
        <v>4194</v>
      </c>
      <c r="C2581" t="s">
        <v>1497</v>
      </c>
      <c r="D2581" t="s">
        <v>5158</v>
      </c>
      <c r="E2581" t="s">
        <v>5159</v>
      </c>
    </row>
    <row r="2582" spans="1:5">
      <c r="A2582" t="s">
        <v>5244</v>
      </c>
      <c r="B2582" t="s">
        <v>6130</v>
      </c>
      <c r="C2582" t="s">
        <v>6131</v>
      </c>
      <c r="D2582" t="s">
        <v>5158</v>
      </c>
      <c r="E2582" t="s">
        <v>5159</v>
      </c>
    </row>
    <row r="2583" spans="1:5">
      <c r="A2583" t="s">
        <v>5244</v>
      </c>
      <c r="B2583" t="s">
        <v>4195</v>
      </c>
      <c r="C2583" t="s">
        <v>4196</v>
      </c>
      <c r="D2583" t="s">
        <v>5158</v>
      </c>
      <c r="E2583" t="s">
        <v>5159</v>
      </c>
    </row>
    <row r="2584" spans="1:5">
      <c r="A2584" t="s">
        <v>5244</v>
      </c>
      <c r="B2584" t="s">
        <v>6132</v>
      </c>
      <c r="C2584" t="s">
        <v>6133</v>
      </c>
      <c r="D2584" t="s">
        <v>5186</v>
      </c>
      <c r="E2584" t="s">
        <v>5159</v>
      </c>
    </row>
    <row r="2585" spans="1:5">
      <c r="A2585" t="s">
        <v>5244</v>
      </c>
      <c r="B2585" t="s">
        <v>4197</v>
      </c>
      <c r="C2585" t="s">
        <v>4198</v>
      </c>
      <c r="D2585" t="s">
        <v>5194</v>
      </c>
      <c r="E2585" t="s">
        <v>5159</v>
      </c>
    </row>
    <row r="2586" spans="1:5">
      <c r="A2586" t="s">
        <v>5244</v>
      </c>
      <c r="B2586" t="s">
        <v>4199</v>
      </c>
      <c r="C2586" t="s">
        <v>4200</v>
      </c>
      <c r="D2586" t="s">
        <v>5194</v>
      </c>
      <c r="E2586" t="s">
        <v>5159</v>
      </c>
    </row>
    <row r="2587" spans="1:5">
      <c r="A2587" t="s">
        <v>5244</v>
      </c>
      <c r="B2587" t="s">
        <v>4201</v>
      </c>
      <c r="C2587" t="s">
        <v>4202</v>
      </c>
      <c r="D2587" t="s">
        <v>5194</v>
      </c>
      <c r="E2587" t="s">
        <v>5159</v>
      </c>
    </row>
    <row r="2588" spans="1:5">
      <c r="A2588" t="s">
        <v>5244</v>
      </c>
      <c r="B2588" t="s">
        <v>4203</v>
      </c>
      <c r="C2588" t="s">
        <v>4204</v>
      </c>
      <c r="D2588" t="s">
        <v>5194</v>
      </c>
      <c r="E2588" t="s">
        <v>5159</v>
      </c>
    </row>
    <row r="2589" spans="1:5">
      <c r="A2589" t="s">
        <v>5244</v>
      </c>
      <c r="B2589" t="s">
        <v>4205</v>
      </c>
      <c r="C2589" t="s">
        <v>2390</v>
      </c>
      <c r="D2589" t="s">
        <v>5158</v>
      </c>
      <c r="E2589" t="s">
        <v>5159</v>
      </c>
    </row>
    <row r="2590" spans="1:5">
      <c r="A2590" t="s">
        <v>5244</v>
      </c>
      <c r="B2590" t="s">
        <v>4206</v>
      </c>
      <c r="C2590" t="s">
        <v>4207</v>
      </c>
      <c r="D2590" t="s">
        <v>5158</v>
      </c>
      <c r="E2590" t="s">
        <v>5159</v>
      </c>
    </row>
    <row r="2591" spans="1:5">
      <c r="A2591" t="s">
        <v>5244</v>
      </c>
      <c r="B2591" t="s">
        <v>4208</v>
      </c>
      <c r="C2591" t="s">
        <v>4209</v>
      </c>
      <c r="D2591" t="s">
        <v>5158</v>
      </c>
      <c r="E2591" t="s">
        <v>5159</v>
      </c>
    </row>
    <row r="2592" spans="1:5">
      <c r="A2592" t="s">
        <v>5244</v>
      </c>
      <c r="B2592" t="s">
        <v>4210</v>
      </c>
      <c r="C2592" t="s">
        <v>4211</v>
      </c>
      <c r="D2592" t="s">
        <v>5158</v>
      </c>
      <c r="E2592" t="s">
        <v>5159</v>
      </c>
    </row>
    <row r="2593" spans="1:5">
      <c r="A2593" t="s">
        <v>5244</v>
      </c>
      <c r="B2593" t="s">
        <v>4212</v>
      </c>
      <c r="C2593" t="s">
        <v>4213</v>
      </c>
      <c r="D2593" t="s">
        <v>5158</v>
      </c>
      <c r="E2593" t="s">
        <v>5159</v>
      </c>
    </row>
    <row r="2594" spans="1:5">
      <c r="A2594" t="s">
        <v>5244</v>
      </c>
      <c r="B2594" t="s">
        <v>937</v>
      </c>
      <c r="C2594" t="s">
        <v>4214</v>
      </c>
      <c r="D2594" t="s">
        <v>5158</v>
      </c>
      <c r="E2594" t="s">
        <v>5159</v>
      </c>
    </row>
    <row r="2595" spans="1:5">
      <c r="A2595" t="s">
        <v>5244</v>
      </c>
      <c r="B2595" t="s">
        <v>4215</v>
      </c>
      <c r="C2595" t="s">
        <v>4216</v>
      </c>
      <c r="D2595" t="s">
        <v>5158</v>
      </c>
      <c r="E2595" t="s">
        <v>5159</v>
      </c>
    </row>
    <row r="2596" spans="1:5">
      <c r="A2596" t="s">
        <v>5244</v>
      </c>
      <c r="B2596" t="s">
        <v>4217</v>
      </c>
      <c r="C2596" t="s">
        <v>4218</v>
      </c>
      <c r="D2596" t="s">
        <v>5158</v>
      </c>
      <c r="E2596" t="s">
        <v>5159</v>
      </c>
    </row>
    <row r="2597" spans="1:5">
      <c r="A2597" t="s">
        <v>5244</v>
      </c>
      <c r="B2597" t="s">
        <v>4219</v>
      </c>
      <c r="C2597" t="s">
        <v>1480</v>
      </c>
      <c r="D2597" t="s">
        <v>5158</v>
      </c>
      <c r="E2597" t="s">
        <v>5159</v>
      </c>
    </row>
    <row r="2598" spans="1:5">
      <c r="A2598" t="s">
        <v>5244</v>
      </c>
      <c r="B2598" t="s">
        <v>4220</v>
      </c>
      <c r="C2598" t="s">
        <v>4221</v>
      </c>
      <c r="D2598" t="s">
        <v>5158</v>
      </c>
      <c r="E2598" t="s">
        <v>5159</v>
      </c>
    </row>
    <row r="2599" spans="1:5">
      <c r="A2599" t="s">
        <v>5244</v>
      </c>
      <c r="B2599" t="s">
        <v>4222</v>
      </c>
      <c r="C2599" t="s">
        <v>4223</v>
      </c>
      <c r="D2599" t="s">
        <v>5158</v>
      </c>
      <c r="E2599" t="s">
        <v>5159</v>
      </c>
    </row>
    <row r="2600" spans="1:5">
      <c r="A2600" t="s">
        <v>5244</v>
      </c>
      <c r="B2600" t="s">
        <v>4224</v>
      </c>
      <c r="C2600" t="s">
        <v>4225</v>
      </c>
      <c r="D2600" t="s">
        <v>5158</v>
      </c>
      <c r="E2600" t="s">
        <v>5159</v>
      </c>
    </row>
    <row r="2601" spans="1:5">
      <c r="A2601" t="s">
        <v>5244</v>
      </c>
      <c r="B2601" t="s">
        <v>4226</v>
      </c>
      <c r="C2601" t="s">
        <v>4227</v>
      </c>
      <c r="D2601" t="s">
        <v>5158</v>
      </c>
      <c r="E2601" t="s">
        <v>5159</v>
      </c>
    </row>
    <row r="2602" spans="1:5">
      <c r="A2602" t="s">
        <v>5244</v>
      </c>
      <c r="B2602" t="s">
        <v>4228</v>
      </c>
      <c r="C2602" t="s">
        <v>4229</v>
      </c>
      <c r="D2602" t="s">
        <v>5158</v>
      </c>
      <c r="E2602" t="s">
        <v>5159</v>
      </c>
    </row>
    <row r="2603" spans="1:5">
      <c r="A2603" t="s">
        <v>5244</v>
      </c>
      <c r="B2603" t="s">
        <v>4230</v>
      </c>
      <c r="C2603" t="s">
        <v>4231</v>
      </c>
      <c r="D2603" t="s">
        <v>5158</v>
      </c>
      <c r="E2603" t="s">
        <v>5159</v>
      </c>
    </row>
    <row r="2604" spans="1:5">
      <c r="A2604" t="s">
        <v>5244</v>
      </c>
      <c r="B2604" t="s">
        <v>938</v>
      </c>
      <c r="C2604" t="s">
        <v>4232</v>
      </c>
      <c r="D2604" t="s">
        <v>5158</v>
      </c>
      <c r="E2604" t="s">
        <v>5159</v>
      </c>
    </row>
    <row r="2605" spans="1:5">
      <c r="A2605" t="s">
        <v>5244</v>
      </c>
      <c r="B2605" t="s">
        <v>4233</v>
      </c>
      <c r="C2605" t="s">
        <v>4234</v>
      </c>
      <c r="D2605" t="s">
        <v>5158</v>
      </c>
      <c r="E2605" t="s">
        <v>5159</v>
      </c>
    </row>
    <row r="2606" spans="1:5">
      <c r="A2606" t="s">
        <v>5244</v>
      </c>
      <c r="B2606" t="s">
        <v>939</v>
      </c>
      <c r="C2606" t="s">
        <v>4235</v>
      </c>
      <c r="D2606" t="s">
        <v>5158</v>
      </c>
      <c r="E2606" t="s">
        <v>5159</v>
      </c>
    </row>
    <row r="2607" spans="1:5">
      <c r="A2607" t="s">
        <v>5244</v>
      </c>
      <c r="B2607" t="s">
        <v>940</v>
      </c>
      <c r="C2607" t="s">
        <v>4236</v>
      </c>
      <c r="D2607" t="s">
        <v>5190</v>
      </c>
      <c r="E2607" t="s">
        <v>5159</v>
      </c>
    </row>
    <row r="2608" spans="1:5">
      <c r="A2608" t="s">
        <v>5244</v>
      </c>
      <c r="B2608" t="s">
        <v>4237</v>
      </c>
      <c r="C2608" t="s">
        <v>4238</v>
      </c>
      <c r="D2608" t="s">
        <v>5158</v>
      </c>
      <c r="E2608" t="s">
        <v>5159</v>
      </c>
    </row>
    <row r="2609" spans="1:5">
      <c r="A2609" t="s">
        <v>5244</v>
      </c>
      <c r="B2609" t="s">
        <v>4239</v>
      </c>
      <c r="C2609" t="s">
        <v>4240</v>
      </c>
      <c r="D2609" t="s">
        <v>5158</v>
      </c>
      <c r="E2609" t="s">
        <v>5159</v>
      </c>
    </row>
    <row r="2610" spans="1:5">
      <c r="A2610" t="s">
        <v>5244</v>
      </c>
      <c r="B2610" t="s">
        <v>4241</v>
      </c>
      <c r="C2610" t="s">
        <v>4242</v>
      </c>
      <c r="D2610" t="s">
        <v>5158</v>
      </c>
      <c r="E2610" t="s">
        <v>5159</v>
      </c>
    </row>
    <row r="2611" spans="1:5">
      <c r="A2611" t="s">
        <v>5244</v>
      </c>
      <c r="B2611" t="s">
        <v>4243</v>
      </c>
      <c r="C2611" t="s">
        <v>1955</v>
      </c>
      <c r="D2611" t="s">
        <v>5158</v>
      </c>
      <c r="E2611" t="s">
        <v>5159</v>
      </c>
    </row>
    <row r="2612" spans="1:5">
      <c r="A2612" t="s">
        <v>5244</v>
      </c>
      <c r="B2612" t="s">
        <v>4244</v>
      </c>
      <c r="C2612" t="s">
        <v>4245</v>
      </c>
      <c r="D2612" t="s">
        <v>5158</v>
      </c>
      <c r="E2612" t="s">
        <v>5159</v>
      </c>
    </row>
    <row r="2613" spans="1:5">
      <c r="A2613" t="s">
        <v>5244</v>
      </c>
      <c r="B2613" t="s">
        <v>4246</v>
      </c>
      <c r="C2613" t="s">
        <v>2370</v>
      </c>
      <c r="D2613" t="s">
        <v>5158</v>
      </c>
      <c r="E2613" t="s">
        <v>5159</v>
      </c>
    </row>
    <row r="2614" spans="1:5">
      <c r="A2614" t="s">
        <v>5244</v>
      </c>
      <c r="B2614" t="s">
        <v>4247</v>
      </c>
      <c r="C2614" t="s">
        <v>4248</v>
      </c>
      <c r="D2614" t="s">
        <v>5158</v>
      </c>
      <c r="E2614" t="s">
        <v>5159</v>
      </c>
    </row>
    <row r="2615" spans="1:5">
      <c r="A2615" t="s">
        <v>5244</v>
      </c>
      <c r="B2615" t="s">
        <v>4249</v>
      </c>
      <c r="C2615" t="s">
        <v>4250</v>
      </c>
      <c r="D2615" t="s">
        <v>5158</v>
      </c>
      <c r="E2615" t="s">
        <v>5159</v>
      </c>
    </row>
    <row r="2616" spans="1:5">
      <c r="A2616" t="s">
        <v>5244</v>
      </c>
      <c r="B2616" t="s">
        <v>4251</v>
      </c>
      <c r="C2616" t="s">
        <v>4252</v>
      </c>
      <c r="D2616" t="s">
        <v>5158</v>
      </c>
      <c r="E2616" t="s">
        <v>5159</v>
      </c>
    </row>
    <row r="2617" spans="1:5">
      <c r="A2617" t="s">
        <v>5244</v>
      </c>
      <c r="B2617" t="s">
        <v>4253</v>
      </c>
      <c r="C2617" t="s">
        <v>4254</v>
      </c>
      <c r="D2617" t="s">
        <v>5158</v>
      </c>
      <c r="E2617" t="s">
        <v>5159</v>
      </c>
    </row>
    <row r="2618" spans="1:5">
      <c r="A2618" t="s">
        <v>5244</v>
      </c>
      <c r="B2618" t="s">
        <v>4255</v>
      </c>
      <c r="C2618" t="s">
        <v>4256</v>
      </c>
      <c r="D2618" t="s">
        <v>5158</v>
      </c>
      <c r="E2618" t="s">
        <v>5159</v>
      </c>
    </row>
    <row r="2619" spans="1:5">
      <c r="A2619" t="s">
        <v>5244</v>
      </c>
      <c r="B2619" t="s">
        <v>4257</v>
      </c>
      <c r="C2619" t="s">
        <v>4258</v>
      </c>
      <c r="D2619" t="s">
        <v>5158</v>
      </c>
      <c r="E2619" t="s">
        <v>5159</v>
      </c>
    </row>
    <row r="2620" spans="1:5">
      <c r="A2620" t="s">
        <v>5244</v>
      </c>
      <c r="B2620" t="s">
        <v>4259</v>
      </c>
      <c r="C2620" t="s">
        <v>4260</v>
      </c>
      <c r="D2620" t="s">
        <v>5158</v>
      </c>
      <c r="E2620" t="s">
        <v>5159</v>
      </c>
    </row>
    <row r="2621" spans="1:5">
      <c r="A2621" t="s">
        <v>5244</v>
      </c>
      <c r="B2621" t="s">
        <v>941</v>
      </c>
      <c r="C2621" t="s">
        <v>4261</v>
      </c>
      <c r="D2621" t="s">
        <v>5158</v>
      </c>
      <c r="E2621" t="s">
        <v>5159</v>
      </c>
    </row>
    <row r="2622" spans="1:5">
      <c r="A2622" t="s">
        <v>5244</v>
      </c>
      <c r="B2622" t="s">
        <v>942</v>
      </c>
      <c r="C2622" t="s">
        <v>4262</v>
      </c>
      <c r="D2622" t="s">
        <v>5158</v>
      </c>
      <c r="E2622" t="s">
        <v>5159</v>
      </c>
    </row>
    <row r="2623" spans="1:5">
      <c r="A2623" t="s">
        <v>5244</v>
      </c>
      <c r="B2623" t="s">
        <v>943</v>
      </c>
      <c r="C2623" t="s">
        <v>4263</v>
      </c>
      <c r="D2623" t="s">
        <v>5158</v>
      </c>
      <c r="E2623" t="s">
        <v>5159</v>
      </c>
    </row>
    <row r="2624" spans="1:5">
      <c r="A2624" t="s">
        <v>5244</v>
      </c>
      <c r="B2624" t="s">
        <v>944</v>
      </c>
      <c r="C2624" t="s">
        <v>4264</v>
      </c>
      <c r="D2624" t="s">
        <v>5158</v>
      </c>
      <c r="E2624" t="s">
        <v>5159</v>
      </c>
    </row>
    <row r="2625" spans="1:5">
      <c r="A2625" t="s">
        <v>5244</v>
      </c>
      <c r="B2625" t="s">
        <v>6134</v>
      </c>
      <c r="C2625" t="s">
        <v>6135</v>
      </c>
      <c r="D2625" t="s">
        <v>5158</v>
      </c>
      <c r="E2625" t="s">
        <v>5159</v>
      </c>
    </row>
    <row r="2626" spans="1:5">
      <c r="A2626" t="s">
        <v>5244</v>
      </c>
      <c r="B2626" t="s">
        <v>945</v>
      </c>
      <c r="C2626" t="s">
        <v>4265</v>
      </c>
      <c r="D2626" t="s">
        <v>5158</v>
      </c>
      <c r="E2626" t="s">
        <v>5159</v>
      </c>
    </row>
    <row r="2627" spans="1:5">
      <c r="A2627" t="s">
        <v>5244</v>
      </c>
      <c r="B2627" t="s">
        <v>946</v>
      </c>
      <c r="C2627" t="s">
        <v>4266</v>
      </c>
      <c r="D2627" t="s">
        <v>5158</v>
      </c>
      <c r="E2627" t="s">
        <v>5159</v>
      </c>
    </row>
    <row r="2628" spans="1:5">
      <c r="A2628" t="s">
        <v>5244</v>
      </c>
      <c r="B2628" t="s">
        <v>4267</v>
      </c>
      <c r="C2628" t="s">
        <v>4268</v>
      </c>
      <c r="D2628" t="s">
        <v>5158</v>
      </c>
      <c r="E2628" t="s">
        <v>5159</v>
      </c>
    </row>
    <row r="2629" spans="1:5">
      <c r="A2629" t="s">
        <v>5244</v>
      </c>
      <c r="B2629" t="s">
        <v>4269</v>
      </c>
      <c r="C2629" t="s">
        <v>4270</v>
      </c>
      <c r="D2629" t="s">
        <v>5158</v>
      </c>
      <c r="E2629" t="s">
        <v>5159</v>
      </c>
    </row>
    <row r="2630" spans="1:5">
      <c r="A2630" t="s">
        <v>5244</v>
      </c>
      <c r="B2630" t="s">
        <v>4271</v>
      </c>
      <c r="C2630" t="s">
        <v>4272</v>
      </c>
      <c r="D2630" t="s">
        <v>5158</v>
      </c>
      <c r="E2630" t="s">
        <v>5159</v>
      </c>
    </row>
    <row r="2631" spans="1:5">
      <c r="A2631" t="s">
        <v>5244</v>
      </c>
      <c r="B2631" t="s">
        <v>947</v>
      </c>
      <c r="C2631" t="s">
        <v>4273</v>
      </c>
      <c r="D2631" t="s">
        <v>5161</v>
      </c>
      <c r="E2631" t="s">
        <v>5159</v>
      </c>
    </row>
    <row r="2632" spans="1:5">
      <c r="A2632" t="s">
        <v>5244</v>
      </c>
      <c r="B2632" t="s">
        <v>4274</v>
      </c>
      <c r="C2632" t="s">
        <v>4275</v>
      </c>
      <c r="D2632" t="s">
        <v>5158</v>
      </c>
      <c r="E2632" t="s">
        <v>5159</v>
      </c>
    </row>
    <row r="2633" spans="1:5">
      <c r="A2633" t="s">
        <v>5244</v>
      </c>
      <c r="B2633" t="s">
        <v>4276</v>
      </c>
      <c r="C2633" t="s">
        <v>4277</v>
      </c>
      <c r="D2633" t="s">
        <v>5158</v>
      </c>
      <c r="E2633" t="s">
        <v>5159</v>
      </c>
    </row>
    <row r="2634" spans="1:5">
      <c r="A2634" t="s">
        <v>5244</v>
      </c>
      <c r="B2634" t="s">
        <v>4278</v>
      </c>
      <c r="C2634" t="s">
        <v>4279</v>
      </c>
      <c r="D2634" t="s">
        <v>5158</v>
      </c>
      <c r="E2634" t="s">
        <v>5159</v>
      </c>
    </row>
    <row r="2635" spans="1:5">
      <c r="A2635" t="s">
        <v>5244</v>
      </c>
      <c r="B2635" t="s">
        <v>6136</v>
      </c>
      <c r="C2635" t="s">
        <v>6137</v>
      </c>
      <c r="D2635" t="s">
        <v>5158</v>
      </c>
      <c r="E2635" t="s">
        <v>5159</v>
      </c>
    </row>
    <row r="2636" spans="1:5">
      <c r="A2636" t="s">
        <v>5244</v>
      </c>
      <c r="B2636" t="s">
        <v>4280</v>
      </c>
      <c r="C2636" t="s">
        <v>4281</v>
      </c>
      <c r="D2636" t="s">
        <v>5158</v>
      </c>
      <c r="E2636" t="s">
        <v>5159</v>
      </c>
    </row>
    <row r="2637" spans="1:5">
      <c r="A2637" t="s">
        <v>5244</v>
      </c>
      <c r="B2637" t="s">
        <v>4282</v>
      </c>
      <c r="C2637" t="s">
        <v>4283</v>
      </c>
      <c r="D2637" t="s">
        <v>5158</v>
      </c>
      <c r="E2637" t="s">
        <v>5159</v>
      </c>
    </row>
    <row r="2638" spans="1:5">
      <c r="A2638" t="s">
        <v>5244</v>
      </c>
      <c r="B2638" t="s">
        <v>4284</v>
      </c>
      <c r="C2638" t="s">
        <v>4285</v>
      </c>
      <c r="D2638" t="s">
        <v>5158</v>
      </c>
      <c r="E2638" t="s">
        <v>5159</v>
      </c>
    </row>
    <row r="2639" spans="1:5">
      <c r="A2639" t="s">
        <v>5244</v>
      </c>
      <c r="B2639" t="s">
        <v>4286</v>
      </c>
      <c r="C2639" t="s">
        <v>4287</v>
      </c>
      <c r="D2639" t="s">
        <v>5158</v>
      </c>
      <c r="E2639" t="s">
        <v>5159</v>
      </c>
    </row>
    <row r="2640" spans="1:5">
      <c r="A2640" t="s">
        <v>5244</v>
      </c>
      <c r="B2640" t="s">
        <v>4288</v>
      </c>
      <c r="C2640" t="s">
        <v>4289</v>
      </c>
      <c r="D2640" t="s">
        <v>5187</v>
      </c>
      <c r="E2640" t="s">
        <v>5159</v>
      </c>
    </row>
    <row r="2641" spans="1:5">
      <c r="A2641" t="s">
        <v>5244</v>
      </c>
      <c r="B2641" t="s">
        <v>4290</v>
      </c>
      <c r="C2641" t="s">
        <v>4291</v>
      </c>
      <c r="D2641" t="s">
        <v>5161</v>
      </c>
      <c r="E2641" t="s">
        <v>5159</v>
      </c>
    </row>
    <row r="2642" spans="1:5">
      <c r="A2642" t="s">
        <v>5244</v>
      </c>
      <c r="B2642" t="s">
        <v>4292</v>
      </c>
      <c r="C2642" t="s">
        <v>4293</v>
      </c>
      <c r="D2642" t="s">
        <v>5158</v>
      </c>
      <c r="E2642" t="s">
        <v>5159</v>
      </c>
    </row>
    <row r="2643" spans="1:5">
      <c r="A2643" t="s">
        <v>5244</v>
      </c>
      <c r="B2643" t="s">
        <v>4294</v>
      </c>
      <c r="C2643" t="s">
        <v>4295</v>
      </c>
      <c r="D2643" t="s">
        <v>5158</v>
      </c>
      <c r="E2643" t="s">
        <v>5159</v>
      </c>
    </row>
    <row r="2644" spans="1:5">
      <c r="A2644" t="s">
        <v>5244</v>
      </c>
      <c r="B2644" t="s">
        <v>948</v>
      </c>
      <c r="C2644" t="s">
        <v>4296</v>
      </c>
      <c r="D2644" t="s">
        <v>5158</v>
      </c>
      <c r="E2644" t="s">
        <v>5159</v>
      </c>
    </row>
    <row r="2645" spans="1:5">
      <c r="A2645" t="s">
        <v>5244</v>
      </c>
      <c r="B2645" t="s">
        <v>4297</v>
      </c>
      <c r="C2645" t="s">
        <v>4298</v>
      </c>
      <c r="D2645" t="s">
        <v>5158</v>
      </c>
      <c r="E2645" t="s">
        <v>5159</v>
      </c>
    </row>
    <row r="2646" spans="1:5">
      <c r="A2646" t="s">
        <v>5244</v>
      </c>
      <c r="B2646" t="s">
        <v>4299</v>
      </c>
      <c r="C2646" t="s">
        <v>4300</v>
      </c>
      <c r="D2646" t="s">
        <v>5158</v>
      </c>
      <c r="E2646" t="s">
        <v>5159</v>
      </c>
    </row>
    <row r="2647" spans="1:5">
      <c r="A2647" t="s">
        <v>5244</v>
      </c>
      <c r="B2647" t="s">
        <v>4301</v>
      </c>
      <c r="C2647" t="s">
        <v>4302</v>
      </c>
      <c r="D2647" t="s">
        <v>5158</v>
      </c>
      <c r="E2647" t="s">
        <v>5159</v>
      </c>
    </row>
    <row r="2648" spans="1:5">
      <c r="A2648" t="s">
        <v>5244</v>
      </c>
      <c r="B2648" t="s">
        <v>6138</v>
      </c>
      <c r="C2648" t="s">
        <v>6139</v>
      </c>
      <c r="D2648" t="s">
        <v>5158</v>
      </c>
      <c r="E2648" t="s">
        <v>5159</v>
      </c>
    </row>
    <row r="2649" spans="1:5">
      <c r="A2649" t="s">
        <v>5244</v>
      </c>
      <c r="B2649" t="s">
        <v>4303</v>
      </c>
      <c r="C2649" t="s">
        <v>4304</v>
      </c>
      <c r="D2649" t="s">
        <v>5158</v>
      </c>
      <c r="E2649" t="s">
        <v>5159</v>
      </c>
    </row>
    <row r="2650" spans="1:5">
      <c r="A2650" t="s">
        <v>5244</v>
      </c>
      <c r="B2650" t="s">
        <v>4305</v>
      </c>
      <c r="C2650" t="s">
        <v>4306</v>
      </c>
      <c r="D2650" t="s">
        <v>5158</v>
      </c>
      <c r="E2650" t="s">
        <v>5159</v>
      </c>
    </row>
    <row r="2651" spans="1:5">
      <c r="A2651" t="s">
        <v>5244</v>
      </c>
      <c r="B2651" t="s">
        <v>4307</v>
      </c>
      <c r="C2651" t="s">
        <v>4308</v>
      </c>
      <c r="D2651" t="s">
        <v>5158</v>
      </c>
      <c r="E2651" t="s">
        <v>5159</v>
      </c>
    </row>
    <row r="2652" spans="1:5">
      <c r="A2652" t="s">
        <v>5244</v>
      </c>
      <c r="B2652" t="s">
        <v>4309</v>
      </c>
      <c r="C2652" t="s">
        <v>4310</v>
      </c>
      <c r="D2652" t="s">
        <v>5158</v>
      </c>
      <c r="E2652" t="s">
        <v>5159</v>
      </c>
    </row>
    <row r="2653" spans="1:5">
      <c r="A2653" t="s">
        <v>5244</v>
      </c>
      <c r="B2653" t="s">
        <v>4311</v>
      </c>
      <c r="C2653" t="s">
        <v>4312</v>
      </c>
      <c r="D2653" t="s">
        <v>5158</v>
      </c>
      <c r="E2653" t="s">
        <v>5159</v>
      </c>
    </row>
    <row r="2654" spans="1:5">
      <c r="A2654" t="s">
        <v>5244</v>
      </c>
      <c r="B2654" t="s">
        <v>4313</v>
      </c>
      <c r="C2654" t="s">
        <v>4314</v>
      </c>
      <c r="D2654" t="s">
        <v>5158</v>
      </c>
      <c r="E2654" t="s">
        <v>5159</v>
      </c>
    </row>
    <row r="2655" spans="1:5">
      <c r="A2655" t="s">
        <v>5244</v>
      </c>
      <c r="B2655" t="s">
        <v>4315</v>
      </c>
      <c r="C2655" t="s">
        <v>2239</v>
      </c>
      <c r="D2655" t="s">
        <v>5158</v>
      </c>
      <c r="E2655" t="s">
        <v>5159</v>
      </c>
    </row>
    <row r="2656" spans="1:5">
      <c r="A2656" t="s">
        <v>5244</v>
      </c>
      <c r="B2656" t="s">
        <v>6140</v>
      </c>
      <c r="C2656" t="s">
        <v>6141</v>
      </c>
      <c r="D2656" t="s">
        <v>5158</v>
      </c>
      <c r="E2656" t="s">
        <v>5159</v>
      </c>
    </row>
    <row r="2657" spans="1:5">
      <c r="A2657" t="s">
        <v>5244</v>
      </c>
      <c r="B2657" t="s">
        <v>949</v>
      </c>
      <c r="C2657" t="s">
        <v>4316</v>
      </c>
      <c r="D2657" t="s">
        <v>5158</v>
      </c>
      <c r="E2657" t="s">
        <v>5159</v>
      </c>
    </row>
    <row r="2658" spans="1:5">
      <c r="A2658" t="s">
        <v>5244</v>
      </c>
      <c r="B2658" t="s">
        <v>950</v>
      </c>
      <c r="C2658" t="s">
        <v>4317</v>
      </c>
      <c r="D2658" t="s">
        <v>5158</v>
      </c>
      <c r="E2658" t="s">
        <v>5159</v>
      </c>
    </row>
    <row r="2659" spans="1:5">
      <c r="A2659" t="s">
        <v>5244</v>
      </c>
      <c r="B2659" t="s">
        <v>4318</v>
      </c>
      <c r="C2659" t="s">
        <v>4319</v>
      </c>
      <c r="D2659" t="s">
        <v>5158</v>
      </c>
      <c r="E2659" t="s">
        <v>5159</v>
      </c>
    </row>
    <row r="2660" spans="1:5">
      <c r="A2660" t="s">
        <v>5244</v>
      </c>
      <c r="B2660" t="s">
        <v>951</v>
      </c>
      <c r="C2660" t="s">
        <v>4320</v>
      </c>
      <c r="D2660" t="s">
        <v>5158</v>
      </c>
      <c r="E2660" t="s">
        <v>5159</v>
      </c>
    </row>
    <row r="2661" spans="1:5">
      <c r="A2661" t="s">
        <v>5244</v>
      </c>
      <c r="B2661" t="s">
        <v>4321</v>
      </c>
      <c r="C2661" t="s">
        <v>4322</v>
      </c>
      <c r="D2661" t="s">
        <v>5158</v>
      </c>
      <c r="E2661" t="s">
        <v>5159</v>
      </c>
    </row>
    <row r="2662" spans="1:5">
      <c r="A2662" t="s">
        <v>5244</v>
      </c>
      <c r="B2662" t="s">
        <v>952</v>
      </c>
      <c r="C2662" t="s">
        <v>4323</v>
      </c>
      <c r="D2662" t="s">
        <v>5158</v>
      </c>
      <c r="E2662" t="s">
        <v>5159</v>
      </c>
    </row>
    <row r="2663" spans="1:5">
      <c r="A2663" t="s">
        <v>5244</v>
      </c>
      <c r="B2663" t="s">
        <v>4324</v>
      </c>
      <c r="C2663" t="s">
        <v>4325</v>
      </c>
      <c r="D2663" t="s">
        <v>5158</v>
      </c>
      <c r="E2663" t="s">
        <v>5159</v>
      </c>
    </row>
    <row r="2664" spans="1:5">
      <c r="A2664" t="s">
        <v>5244</v>
      </c>
      <c r="B2664" t="s">
        <v>953</v>
      </c>
      <c r="C2664" t="s">
        <v>4326</v>
      </c>
      <c r="D2664" t="s">
        <v>5158</v>
      </c>
      <c r="E2664" t="s">
        <v>5159</v>
      </c>
    </row>
    <row r="2665" spans="1:5">
      <c r="A2665" t="s">
        <v>5244</v>
      </c>
      <c r="B2665" t="s">
        <v>4327</v>
      </c>
      <c r="C2665" t="s">
        <v>4328</v>
      </c>
      <c r="D2665" t="s">
        <v>5158</v>
      </c>
      <c r="E2665" t="s">
        <v>5159</v>
      </c>
    </row>
    <row r="2666" spans="1:5">
      <c r="A2666" t="s">
        <v>5244</v>
      </c>
      <c r="B2666" t="s">
        <v>4329</v>
      </c>
      <c r="C2666" t="s">
        <v>2035</v>
      </c>
      <c r="D2666" t="s">
        <v>5158</v>
      </c>
      <c r="E2666" t="s">
        <v>5159</v>
      </c>
    </row>
    <row r="2667" spans="1:5">
      <c r="A2667" t="s">
        <v>5244</v>
      </c>
      <c r="B2667" t="s">
        <v>4330</v>
      </c>
      <c r="C2667" t="s">
        <v>4331</v>
      </c>
      <c r="D2667" t="s">
        <v>5158</v>
      </c>
      <c r="E2667" t="s">
        <v>5159</v>
      </c>
    </row>
    <row r="2668" spans="1:5">
      <c r="A2668" t="s">
        <v>5244</v>
      </c>
      <c r="B2668" t="s">
        <v>4332</v>
      </c>
      <c r="C2668" t="s">
        <v>4333</v>
      </c>
      <c r="D2668" t="s">
        <v>5158</v>
      </c>
      <c r="E2668" t="s">
        <v>5159</v>
      </c>
    </row>
    <row r="2669" spans="1:5">
      <c r="A2669" t="s">
        <v>5244</v>
      </c>
      <c r="B2669" t="s">
        <v>6142</v>
      </c>
      <c r="C2669" t="s">
        <v>6143</v>
      </c>
      <c r="D2669" t="s">
        <v>5158</v>
      </c>
      <c r="E2669" t="s">
        <v>5159</v>
      </c>
    </row>
    <row r="2670" spans="1:5">
      <c r="A2670" t="s">
        <v>5244</v>
      </c>
      <c r="B2670" t="s">
        <v>4334</v>
      </c>
      <c r="C2670" t="s">
        <v>4335</v>
      </c>
      <c r="D2670" t="s">
        <v>5158</v>
      </c>
      <c r="E2670" t="s">
        <v>5159</v>
      </c>
    </row>
    <row r="2671" spans="1:5">
      <c r="A2671" t="s">
        <v>5244</v>
      </c>
      <c r="B2671" t="s">
        <v>4336</v>
      </c>
      <c r="C2671" t="s">
        <v>4337</v>
      </c>
      <c r="D2671" t="s">
        <v>5158</v>
      </c>
      <c r="E2671" t="s">
        <v>5159</v>
      </c>
    </row>
    <row r="2672" spans="1:5">
      <c r="A2672" t="s">
        <v>5244</v>
      </c>
      <c r="B2672" t="s">
        <v>4338</v>
      </c>
      <c r="C2672" t="s">
        <v>4339</v>
      </c>
      <c r="D2672" t="s">
        <v>5158</v>
      </c>
      <c r="E2672" t="s">
        <v>5159</v>
      </c>
    </row>
    <row r="2673" spans="1:5">
      <c r="A2673" t="s">
        <v>5244</v>
      </c>
      <c r="B2673" t="s">
        <v>4340</v>
      </c>
      <c r="C2673" t="s">
        <v>4341</v>
      </c>
      <c r="D2673" t="s">
        <v>5158</v>
      </c>
      <c r="E2673" t="s">
        <v>5159</v>
      </c>
    </row>
    <row r="2674" spans="1:5">
      <c r="A2674" t="s">
        <v>5244</v>
      </c>
      <c r="B2674" t="s">
        <v>4342</v>
      </c>
      <c r="C2674" t="s">
        <v>4343</v>
      </c>
      <c r="D2674" t="s">
        <v>5158</v>
      </c>
      <c r="E2674" t="s">
        <v>5159</v>
      </c>
    </row>
    <row r="2675" spans="1:5">
      <c r="A2675" t="s">
        <v>5244</v>
      </c>
      <c r="B2675" t="s">
        <v>4344</v>
      </c>
      <c r="C2675" t="s">
        <v>4345</v>
      </c>
      <c r="D2675" t="s">
        <v>5158</v>
      </c>
      <c r="E2675" t="s">
        <v>5159</v>
      </c>
    </row>
    <row r="2676" spans="1:5">
      <c r="A2676" t="s">
        <v>5244</v>
      </c>
      <c r="B2676" t="s">
        <v>954</v>
      </c>
      <c r="C2676" t="s">
        <v>4346</v>
      </c>
      <c r="D2676" t="s">
        <v>5158</v>
      </c>
      <c r="E2676" t="s">
        <v>5159</v>
      </c>
    </row>
    <row r="2677" spans="1:5">
      <c r="A2677" t="s">
        <v>5244</v>
      </c>
      <c r="B2677" t="s">
        <v>4347</v>
      </c>
      <c r="C2677" t="s">
        <v>4348</v>
      </c>
      <c r="D2677" t="s">
        <v>5158</v>
      </c>
      <c r="E2677" t="s">
        <v>5159</v>
      </c>
    </row>
    <row r="2678" spans="1:5">
      <c r="A2678" t="s">
        <v>5244</v>
      </c>
      <c r="B2678" t="s">
        <v>4349</v>
      </c>
      <c r="C2678" t="s">
        <v>4350</v>
      </c>
      <c r="D2678" t="s">
        <v>5158</v>
      </c>
      <c r="E2678" t="s">
        <v>5159</v>
      </c>
    </row>
    <row r="2679" spans="1:5">
      <c r="A2679" t="s">
        <v>5244</v>
      </c>
      <c r="B2679" t="s">
        <v>4351</v>
      </c>
      <c r="C2679" t="s">
        <v>4352</v>
      </c>
      <c r="D2679" t="s">
        <v>5158</v>
      </c>
      <c r="E2679" t="s">
        <v>5159</v>
      </c>
    </row>
    <row r="2680" spans="1:5">
      <c r="A2680" t="s">
        <v>5244</v>
      </c>
      <c r="B2680" t="s">
        <v>4353</v>
      </c>
      <c r="C2680" t="s">
        <v>4354</v>
      </c>
      <c r="D2680" t="s">
        <v>5158</v>
      </c>
      <c r="E2680" t="s">
        <v>5159</v>
      </c>
    </row>
    <row r="2681" spans="1:5">
      <c r="A2681" t="s">
        <v>5244</v>
      </c>
      <c r="B2681" t="s">
        <v>4355</v>
      </c>
      <c r="C2681" t="s">
        <v>4356</v>
      </c>
      <c r="D2681" t="s">
        <v>5158</v>
      </c>
      <c r="E2681" t="s">
        <v>5159</v>
      </c>
    </row>
    <row r="2682" spans="1:5">
      <c r="A2682" t="s">
        <v>5244</v>
      </c>
      <c r="B2682" t="s">
        <v>4357</v>
      </c>
      <c r="C2682" t="s">
        <v>4358</v>
      </c>
      <c r="D2682" t="s">
        <v>5158</v>
      </c>
      <c r="E2682" t="s">
        <v>5159</v>
      </c>
    </row>
    <row r="2683" spans="1:5">
      <c r="A2683" t="s">
        <v>5244</v>
      </c>
      <c r="B2683" t="s">
        <v>955</v>
      </c>
      <c r="C2683" t="s">
        <v>4359</v>
      </c>
      <c r="D2683" t="s">
        <v>5158</v>
      </c>
      <c r="E2683" t="s">
        <v>5159</v>
      </c>
    </row>
    <row r="2684" spans="1:5">
      <c r="A2684" t="s">
        <v>5244</v>
      </c>
      <c r="B2684" t="s">
        <v>4360</v>
      </c>
      <c r="C2684" t="s">
        <v>4361</v>
      </c>
      <c r="D2684" t="s">
        <v>5158</v>
      </c>
      <c r="E2684" t="s">
        <v>5159</v>
      </c>
    </row>
    <row r="2685" spans="1:5">
      <c r="A2685" t="s">
        <v>5244</v>
      </c>
      <c r="B2685" t="s">
        <v>956</v>
      </c>
      <c r="C2685" t="s">
        <v>4362</v>
      </c>
      <c r="D2685" t="s">
        <v>5158</v>
      </c>
      <c r="E2685" t="s">
        <v>5159</v>
      </c>
    </row>
    <row r="2686" spans="1:5">
      <c r="A2686" t="s">
        <v>5244</v>
      </c>
      <c r="B2686" t="s">
        <v>4363</v>
      </c>
      <c r="C2686" t="s">
        <v>4364</v>
      </c>
      <c r="D2686" t="s">
        <v>5158</v>
      </c>
      <c r="E2686" t="s">
        <v>5159</v>
      </c>
    </row>
    <row r="2687" spans="1:5">
      <c r="A2687" t="s">
        <v>5244</v>
      </c>
      <c r="B2687" t="s">
        <v>6144</v>
      </c>
      <c r="C2687" t="s">
        <v>6145</v>
      </c>
      <c r="D2687" t="s">
        <v>5158</v>
      </c>
      <c r="E2687" t="s">
        <v>5159</v>
      </c>
    </row>
    <row r="2688" spans="1:5">
      <c r="A2688" t="s">
        <v>5244</v>
      </c>
      <c r="B2688" t="s">
        <v>4365</v>
      </c>
      <c r="C2688" t="s">
        <v>4366</v>
      </c>
      <c r="D2688" t="s">
        <v>5158</v>
      </c>
      <c r="E2688" t="s">
        <v>5159</v>
      </c>
    </row>
    <row r="2689" spans="1:5">
      <c r="A2689" t="s">
        <v>5244</v>
      </c>
      <c r="B2689" t="s">
        <v>4367</v>
      </c>
      <c r="C2689" t="s">
        <v>4368</v>
      </c>
      <c r="D2689" t="s">
        <v>5161</v>
      </c>
      <c r="E2689" t="s">
        <v>5159</v>
      </c>
    </row>
    <row r="2690" spans="1:5">
      <c r="A2690" t="s">
        <v>5244</v>
      </c>
      <c r="B2690" t="s">
        <v>957</v>
      </c>
      <c r="C2690" t="s">
        <v>4369</v>
      </c>
      <c r="D2690" t="s">
        <v>5158</v>
      </c>
      <c r="E2690" t="s">
        <v>5159</v>
      </c>
    </row>
    <row r="2691" spans="1:5">
      <c r="A2691" t="s">
        <v>5244</v>
      </c>
      <c r="B2691" t="s">
        <v>958</v>
      </c>
      <c r="C2691" t="s">
        <v>4370</v>
      </c>
      <c r="D2691" t="s">
        <v>5158</v>
      </c>
      <c r="E2691" t="s">
        <v>5159</v>
      </c>
    </row>
    <row r="2692" spans="1:5">
      <c r="A2692" t="s">
        <v>5244</v>
      </c>
      <c r="B2692" t="s">
        <v>959</v>
      </c>
      <c r="C2692" t="s">
        <v>4371</v>
      </c>
      <c r="D2692" t="s">
        <v>5158</v>
      </c>
      <c r="E2692" t="s">
        <v>5159</v>
      </c>
    </row>
    <row r="2693" spans="1:5">
      <c r="A2693" t="s">
        <v>5244</v>
      </c>
      <c r="B2693" t="s">
        <v>6146</v>
      </c>
      <c r="C2693" t="s">
        <v>6147</v>
      </c>
      <c r="D2693" t="s">
        <v>5187</v>
      </c>
      <c r="E2693" t="s">
        <v>5159</v>
      </c>
    </row>
    <row r="2694" spans="1:5">
      <c r="A2694" t="s">
        <v>5244</v>
      </c>
      <c r="B2694" t="s">
        <v>4372</v>
      </c>
      <c r="C2694" t="s">
        <v>4373</v>
      </c>
      <c r="D2694" t="s">
        <v>5158</v>
      </c>
      <c r="E2694" t="s">
        <v>5159</v>
      </c>
    </row>
    <row r="2695" spans="1:5">
      <c r="A2695" t="s">
        <v>5244</v>
      </c>
      <c r="B2695" t="s">
        <v>960</v>
      </c>
      <c r="C2695" t="s">
        <v>4374</v>
      </c>
      <c r="D2695" t="s">
        <v>5158</v>
      </c>
      <c r="E2695" t="s">
        <v>5159</v>
      </c>
    </row>
    <row r="2696" spans="1:5">
      <c r="A2696" t="s">
        <v>5244</v>
      </c>
      <c r="B2696" t="s">
        <v>4375</v>
      </c>
      <c r="C2696" t="s">
        <v>4376</v>
      </c>
      <c r="D2696" t="s">
        <v>5158</v>
      </c>
      <c r="E2696" t="s">
        <v>5159</v>
      </c>
    </row>
    <row r="2697" spans="1:5">
      <c r="A2697" t="s">
        <v>5244</v>
      </c>
      <c r="B2697" t="s">
        <v>4377</v>
      </c>
      <c r="C2697" t="s">
        <v>4378</v>
      </c>
      <c r="D2697" t="s">
        <v>5188</v>
      </c>
      <c r="E2697" t="s">
        <v>5159</v>
      </c>
    </row>
    <row r="2698" spans="1:5">
      <c r="A2698" t="s">
        <v>5244</v>
      </c>
      <c r="B2698" t="s">
        <v>6148</v>
      </c>
      <c r="C2698" t="s">
        <v>6149</v>
      </c>
      <c r="D2698" t="s">
        <v>5158</v>
      </c>
      <c r="E2698" t="s">
        <v>5159</v>
      </c>
    </row>
    <row r="2699" spans="1:5">
      <c r="A2699" t="s">
        <v>5244</v>
      </c>
      <c r="B2699" t="s">
        <v>961</v>
      </c>
      <c r="C2699" t="s">
        <v>4379</v>
      </c>
      <c r="D2699" t="s">
        <v>5158</v>
      </c>
      <c r="E2699" t="s">
        <v>5159</v>
      </c>
    </row>
    <row r="2700" spans="1:5">
      <c r="A2700" t="s">
        <v>5244</v>
      </c>
      <c r="B2700" t="s">
        <v>962</v>
      </c>
      <c r="C2700" t="s">
        <v>4380</v>
      </c>
      <c r="D2700" t="s">
        <v>5158</v>
      </c>
      <c r="E2700" t="s">
        <v>5159</v>
      </c>
    </row>
    <row r="2701" spans="1:5">
      <c r="A2701" t="s">
        <v>5244</v>
      </c>
      <c r="B2701" t="s">
        <v>4381</v>
      </c>
      <c r="C2701" t="s">
        <v>4382</v>
      </c>
      <c r="D2701" t="s">
        <v>5158</v>
      </c>
      <c r="E2701" t="s">
        <v>5159</v>
      </c>
    </row>
    <row r="2702" spans="1:5">
      <c r="A2702" t="s">
        <v>5244</v>
      </c>
      <c r="B2702" t="s">
        <v>6150</v>
      </c>
      <c r="C2702" t="s">
        <v>6151</v>
      </c>
      <c r="D2702" t="s">
        <v>5158</v>
      </c>
      <c r="E2702" t="s">
        <v>5159</v>
      </c>
    </row>
    <row r="2703" spans="1:5">
      <c r="A2703" t="s">
        <v>5244</v>
      </c>
      <c r="B2703" t="s">
        <v>4383</v>
      </c>
      <c r="C2703" t="s">
        <v>4384</v>
      </c>
      <c r="D2703" t="s">
        <v>5158</v>
      </c>
      <c r="E2703" t="s">
        <v>5159</v>
      </c>
    </row>
    <row r="2704" spans="1:5">
      <c r="A2704" t="s">
        <v>5244</v>
      </c>
      <c r="B2704" t="s">
        <v>4385</v>
      </c>
      <c r="C2704" t="s">
        <v>4386</v>
      </c>
      <c r="D2704" t="s">
        <v>5190</v>
      </c>
      <c r="E2704" t="s">
        <v>5159</v>
      </c>
    </row>
    <row r="2705" spans="1:5">
      <c r="A2705" t="s">
        <v>5244</v>
      </c>
      <c r="B2705" t="s">
        <v>963</v>
      </c>
      <c r="C2705" t="s">
        <v>4387</v>
      </c>
      <c r="D2705" t="s">
        <v>5190</v>
      </c>
      <c r="E2705" t="s">
        <v>5159</v>
      </c>
    </row>
    <row r="2706" spans="1:5">
      <c r="A2706" t="s">
        <v>5244</v>
      </c>
      <c r="B2706" t="s">
        <v>964</v>
      </c>
      <c r="C2706" t="s">
        <v>6152</v>
      </c>
      <c r="D2706" t="s">
        <v>5158</v>
      </c>
      <c r="E2706" t="s">
        <v>5159</v>
      </c>
    </row>
    <row r="2707" spans="1:5">
      <c r="A2707" t="s">
        <v>5244</v>
      </c>
      <c r="B2707" t="s">
        <v>4388</v>
      </c>
      <c r="C2707" t="s">
        <v>4389</v>
      </c>
      <c r="D2707" t="s">
        <v>5158</v>
      </c>
      <c r="E2707" t="s">
        <v>5159</v>
      </c>
    </row>
    <row r="2708" spans="1:5">
      <c r="A2708" t="s">
        <v>5244</v>
      </c>
      <c r="B2708" t="s">
        <v>4390</v>
      </c>
      <c r="C2708" t="s">
        <v>4391</v>
      </c>
      <c r="D2708" t="s">
        <v>5158</v>
      </c>
      <c r="E2708" t="s">
        <v>5159</v>
      </c>
    </row>
    <row r="2709" spans="1:5">
      <c r="A2709" t="s">
        <v>5244</v>
      </c>
      <c r="B2709" t="s">
        <v>4392</v>
      </c>
      <c r="C2709" t="s">
        <v>2395</v>
      </c>
      <c r="D2709" t="s">
        <v>5158</v>
      </c>
      <c r="E2709" t="s">
        <v>5159</v>
      </c>
    </row>
    <row r="2710" spans="1:5">
      <c r="A2710" t="s">
        <v>5244</v>
      </c>
      <c r="B2710" t="s">
        <v>6153</v>
      </c>
      <c r="C2710" t="s">
        <v>6154</v>
      </c>
      <c r="D2710" t="s">
        <v>5158</v>
      </c>
      <c r="E2710" t="s">
        <v>5159</v>
      </c>
    </row>
    <row r="2711" spans="1:5">
      <c r="A2711" t="s">
        <v>5244</v>
      </c>
      <c r="B2711" t="s">
        <v>4393</v>
      </c>
      <c r="C2711" t="s">
        <v>4394</v>
      </c>
      <c r="D2711" t="s">
        <v>5158</v>
      </c>
      <c r="E2711" t="s">
        <v>5159</v>
      </c>
    </row>
    <row r="2712" spans="1:5">
      <c r="A2712" t="s">
        <v>5244</v>
      </c>
      <c r="B2712" t="s">
        <v>4395</v>
      </c>
      <c r="C2712" t="s">
        <v>4396</v>
      </c>
      <c r="D2712" t="s">
        <v>5158</v>
      </c>
      <c r="E2712" t="s">
        <v>5159</v>
      </c>
    </row>
    <row r="2713" spans="1:5">
      <c r="A2713" t="s">
        <v>5244</v>
      </c>
      <c r="B2713" t="s">
        <v>4397</v>
      </c>
      <c r="C2713" t="s">
        <v>4398</v>
      </c>
      <c r="D2713" t="s">
        <v>5158</v>
      </c>
      <c r="E2713" t="s">
        <v>5159</v>
      </c>
    </row>
    <row r="2714" spans="1:5">
      <c r="A2714" t="s">
        <v>5244</v>
      </c>
      <c r="B2714" t="s">
        <v>4399</v>
      </c>
      <c r="C2714" t="s">
        <v>4400</v>
      </c>
      <c r="D2714" t="s">
        <v>5158</v>
      </c>
      <c r="E2714" t="s">
        <v>5159</v>
      </c>
    </row>
    <row r="2715" spans="1:5">
      <c r="A2715" t="s">
        <v>5244</v>
      </c>
      <c r="B2715" t="s">
        <v>4401</v>
      </c>
      <c r="C2715" t="s">
        <v>4402</v>
      </c>
      <c r="D2715" t="s">
        <v>5158</v>
      </c>
      <c r="E2715" t="s">
        <v>5159</v>
      </c>
    </row>
    <row r="2716" spans="1:5">
      <c r="A2716" t="s">
        <v>5244</v>
      </c>
      <c r="B2716" t="s">
        <v>4403</v>
      </c>
      <c r="C2716" t="s">
        <v>4404</v>
      </c>
      <c r="D2716" t="s">
        <v>5158</v>
      </c>
      <c r="E2716" t="s">
        <v>5159</v>
      </c>
    </row>
    <row r="2717" spans="1:5">
      <c r="A2717" t="s">
        <v>5244</v>
      </c>
      <c r="B2717" t="s">
        <v>4405</v>
      </c>
      <c r="C2717" t="s">
        <v>4406</v>
      </c>
      <c r="D2717" t="s">
        <v>5158</v>
      </c>
      <c r="E2717" t="s">
        <v>5159</v>
      </c>
    </row>
    <row r="2718" spans="1:5">
      <c r="A2718" t="s">
        <v>5244</v>
      </c>
      <c r="B2718" t="s">
        <v>965</v>
      </c>
      <c r="C2718" t="s">
        <v>4407</v>
      </c>
      <c r="D2718" t="s">
        <v>5158</v>
      </c>
      <c r="E2718" t="s">
        <v>5159</v>
      </c>
    </row>
    <row r="2719" spans="1:5">
      <c r="A2719" t="s">
        <v>5244</v>
      </c>
      <c r="B2719" t="s">
        <v>4408</v>
      </c>
      <c r="C2719" t="s">
        <v>4409</v>
      </c>
      <c r="D2719" t="s">
        <v>5158</v>
      </c>
      <c r="E2719" t="s">
        <v>5159</v>
      </c>
    </row>
    <row r="2720" spans="1:5">
      <c r="A2720" t="s">
        <v>5244</v>
      </c>
      <c r="B2720" t="s">
        <v>4410</v>
      </c>
      <c r="C2720" t="s">
        <v>4411</v>
      </c>
      <c r="D2720" t="s">
        <v>5158</v>
      </c>
      <c r="E2720" t="s">
        <v>5159</v>
      </c>
    </row>
    <row r="2721" spans="1:5">
      <c r="A2721" t="s">
        <v>5244</v>
      </c>
      <c r="B2721" t="s">
        <v>4412</v>
      </c>
      <c r="C2721" t="s">
        <v>4413</v>
      </c>
      <c r="D2721" t="s">
        <v>5158</v>
      </c>
      <c r="E2721" t="s">
        <v>5159</v>
      </c>
    </row>
    <row r="2722" spans="1:5">
      <c r="A2722" t="s">
        <v>5244</v>
      </c>
      <c r="B2722" t="s">
        <v>966</v>
      </c>
      <c r="C2722" t="s">
        <v>4414</v>
      </c>
      <c r="D2722" t="s">
        <v>5158</v>
      </c>
      <c r="E2722" t="s">
        <v>5159</v>
      </c>
    </row>
    <row r="2723" spans="1:5">
      <c r="A2723" t="s">
        <v>5244</v>
      </c>
      <c r="B2723" t="s">
        <v>967</v>
      </c>
      <c r="C2723" t="s">
        <v>4415</v>
      </c>
      <c r="D2723" t="s">
        <v>5158</v>
      </c>
      <c r="E2723" t="s">
        <v>5159</v>
      </c>
    </row>
    <row r="2724" spans="1:5">
      <c r="A2724" t="s">
        <v>5244</v>
      </c>
      <c r="B2724" t="s">
        <v>968</v>
      </c>
      <c r="C2724" t="s">
        <v>4416</v>
      </c>
      <c r="D2724" t="s">
        <v>5158</v>
      </c>
      <c r="E2724" t="s">
        <v>5159</v>
      </c>
    </row>
    <row r="2725" spans="1:5">
      <c r="A2725" t="s">
        <v>5244</v>
      </c>
      <c r="B2725" t="s">
        <v>4417</v>
      </c>
      <c r="C2725" t="s">
        <v>4418</v>
      </c>
      <c r="D2725" t="s">
        <v>5158</v>
      </c>
      <c r="E2725" t="s">
        <v>5159</v>
      </c>
    </row>
    <row r="2726" spans="1:5">
      <c r="A2726" t="s">
        <v>5244</v>
      </c>
      <c r="B2726" t="s">
        <v>969</v>
      </c>
      <c r="C2726" t="s">
        <v>4419</v>
      </c>
      <c r="D2726" t="s">
        <v>5158</v>
      </c>
      <c r="E2726" t="s">
        <v>5159</v>
      </c>
    </row>
    <row r="2727" spans="1:5">
      <c r="A2727" t="s">
        <v>5244</v>
      </c>
      <c r="B2727" t="s">
        <v>4421</v>
      </c>
      <c r="C2727" t="s">
        <v>4422</v>
      </c>
      <c r="D2727" t="s">
        <v>5158</v>
      </c>
      <c r="E2727" t="s">
        <v>5159</v>
      </c>
    </row>
    <row r="2728" spans="1:5">
      <c r="A2728" t="s">
        <v>5244</v>
      </c>
      <c r="B2728" t="s">
        <v>970</v>
      </c>
      <c r="C2728" t="s">
        <v>4423</v>
      </c>
      <c r="D2728" t="s">
        <v>5158</v>
      </c>
      <c r="E2728" t="s">
        <v>5159</v>
      </c>
    </row>
    <row r="2729" spans="1:5">
      <c r="A2729" t="s">
        <v>5244</v>
      </c>
      <c r="B2729" t="s">
        <v>971</v>
      </c>
      <c r="C2729" t="s">
        <v>4424</v>
      </c>
      <c r="D2729" t="s">
        <v>5158</v>
      </c>
      <c r="E2729" t="s">
        <v>5159</v>
      </c>
    </row>
    <row r="2730" spans="1:5">
      <c r="A2730" t="s">
        <v>5244</v>
      </c>
      <c r="B2730" t="s">
        <v>4425</v>
      </c>
      <c r="C2730" t="s">
        <v>4426</v>
      </c>
      <c r="D2730" t="s">
        <v>5158</v>
      </c>
      <c r="E2730" t="s">
        <v>5159</v>
      </c>
    </row>
    <row r="2731" spans="1:5">
      <c r="A2731" t="s">
        <v>5244</v>
      </c>
      <c r="B2731" t="s">
        <v>4427</v>
      </c>
      <c r="C2731" t="s">
        <v>4428</v>
      </c>
      <c r="D2731" t="s">
        <v>5158</v>
      </c>
      <c r="E2731" t="s">
        <v>5159</v>
      </c>
    </row>
    <row r="2732" spans="1:5">
      <c r="A2732" t="s">
        <v>5244</v>
      </c>
      <c r="B2732" t="s">
        <v>4429</v>
      </c>
      <c r="C2732" t="s">
        <v>4430</v>
      </c>
      <c r="D2732" t="s">
        <v>5158</v>
      </c>
      <c r="E2732" t="s">
        <v>5159</v>
      </c>
    </row>
    <row r="2733" spans="1:5">
      <c r="A2733" t="s">
        <v>5244</v>
      </c>
      <c r="B2733" t="s">
        <v>4431</v>
      </c>
      <c r="C2733" t="s">
        <v>4432</v>
      </c>
      <c r="D2733" t="s">
        <v>5158</v>
      </c>
      <c r="E2733" t="s">
        <v>5159</v>
      </c>
    </row>
    <row r="2734" spans="1:5">
      <c r="A2734" t="s">
        <v>5244</v>
      </c>
      <c r="B2734" t="s">
        <v>4433</v>
      </c>
      <c r="C2734" t="s">
        <v>4434</v>
      </c>
      <c r="D2734" t="s">
        <v>5158</v>
      </c>
      <c r="E2734" t="s">
        <v>5159</v>
      </c>
    </row>
    <row r="2735" spans="1:5">
      <c r="A2735" t="s">
        <v>5244</v>
      </c>
      <c r="B2735" t="s">
        <v>4435</v>
      </c>
      <c r="C2735" t="s">
        <v>4436</v>
      </c>
      <c r="D2735" t="s">
        <v>5158</v>
      </c>
      <c r="E2735" t="s">
        <v>5159</v>
      </c>
    </row>
    <row r="2736" spans="1:5">
      <c r="A2736" t="s">
        <v>5244</v>
      </c>
      <c r="B2736" t="s">
        <v>4437</v>
      </c>
      <c r="C2736" t="s">
        <v>4438</v>
      </c>
      <c r="D2736" t="s">
        <v>5158</v>
      </c>
      <c r="E2736" t="s">
        <v>5159</v>
      </c>
    </row>
    <row r="2737" spans="1:5">
      <c r="A2737" t="s">
        <v>5244</v>
      </c>
      <c r="B2737" t="s">
        <v>4439</v>
      </c>
      <c r="C2737" t="s">
        <v>4440</v>
      </c>
      <c r="D2737" t="s">
        <v>5158</v>
      </c>
      <c r="E2737" t="s">
        <v>5159</v>
      </c>
    </row>
    <row r="2738" spans="1:5">
      <c r="A2738" t="s">
        <v>5244</v>
      </c>
      <c r="B2738" t="s">
        <v>4441</v>
      </c>
      <c r="C2738" t="s">
        <v>4442</v>
      </c>
      <c r="D2738" t="s">
        <v>5158</v>
      </c>
      <c r="E2738" t="s">
        <v>5159</v>
      </c>
    </row>
    <row r="2739" spans="1:5">
      <c r="A2739" t="s">
        <v>5244</v>
      </c>
      <c r="B2739" t="s">
        <v>6155</v>
      </c>
      <c r="C2739" t="s">
        <v>6156</v>
      </c>
      <c r="D2739" t="s">
        <v>5158</v>
      </c>
      <c r="E2739" t="s">
        <v>5159</v>
      </c>
    </row>
    <row r="2740" spans="1:5">
      <c r="A2740" t="s">
        <v>5244</v>
      </c>
      <c r="B2740" t="s">
        <v>4443</v>
      </c>
      <c r="C2740" t="s">
        <v>4444</v>
      </c>
      <c r="D2740" t="s">
        <v>5158</v>
      </c>
      <c r="E2740" t="s">
        <v>5159</v>
      </c>
    </row>
    <row r="2741" spans="1:5">
      <c r="A2741" t="s">
        <v>5244</v>
      </c>
      <c r="B2741" t="s">
        <v>4445</v>
      </c>
      <c r="C2741" t="s">
        <v>4446</v>
      </c>
      <c r="D2741" t="s">
        <v>5158</v>
      </c>
      <c r="E2741" t="s">
        <v>5159</v>
      </c>
    </row>
    <row r="2742" spans="1:5">
      <c r="A2742" t="s">
        <v>5244</v>
      </c>
      <c r="B2742" t="s">
        <v>4447</v>
      </c>
      <c r="C2742" t="s">
        <v>4448</v>
      </c>
      <c r="D2742" t="s">
        <v>5158</v>
      </c>
      <c r="E2742" t="s">
        <v>5159</v>
      </c>
    </row>
    <row r="2743" spans="1:5">
      <c r="A2743" t="s">
        <v>5244</v>
      </c>
      <c r="B2743" t="s">
        <v>4449</v>
      </c>
      <c r="C2743" t="s">
        <v>4450</v>
      </c>
      <c r="D2743" t="s">
        <v>5158</v>
      </c>
      <c r="E2743" t="s">
        <v>5159</v>
      </c>
    </row>
    <row r="2744" spans="1:5">
      <c r="A2744" t="s">
        <v>5244</v>
      </c>
      <c r="B2744" t="s">
        <v>4451</v>
      </c>
      <c r="C2744" t="s">
        <v>4452</v>
      </c>
      <c r="D2744" t="s">
        <v>5158</v>
      </c>
      <c r="E2744" t="s">
        <v>5159</v>
      </c>
    </row>
    <row r="2745" spans="1:5">
      <c r="A2745" t="s">
        <v>5244</v>
      </c>
      <c r="B2745" t="s">
        <v>972</v>
      </c>
      <c r="C2745" t="s">
        <v>4453</v>
      </c>
      <c r="D2745" t="s">
        <v>5158</v>
      </c>
      <c r="E2745" t="s">
        <v>5159</v>
      </c>
    </row>
    <row r="2746" spans="1:5">
      <c r="A2746" t="s">
        <v>5244</v>
      </c>
      <c r="B2746" t="s">
        <v>6157</v>
      </c>
      <c r="C2746" t="s">
        <v>6158</v>
      </c>
      <c r="D2746" t="s">
        <v>5186</v>
      </c>
      <c r="E2746" t="s">
        <v>5159</v>
      </c>
    </row>
    <row r="2747" spans="1:5">
      <c r="A2747" t="s">
        <v>5244</v>
      </c>
      <c r="B2747" t="s">
        <v>4454</v>
      </c>
      <c r="C2747" t="s">
        <v>4455</v>
      </c>
      <c r="D2747" t="s">
        <v>5186</v>
      </c>
      <c r="E2747" t="s">
        <v>5159</v>
      </c>
    </row>
    <row r="2748" spans="1:5">
      <c r="A2748" t="s">
        <v>5244</v>
      </c>
      <c r="B2748" t="s">
        <v>973</v>
      </c>
      <c r="C2748" t="s">
        <v>4456</v>
      </c>
      <c r="D2748" t="s">
        <v>5158</v>
      </c>
      <c r="E2748" t="s">
        <v>5159</v>
      </c>
    </row>
    <row r="2749" spans="1:5">
      <c r="A2749" t="s">
        <v>5244</v>
      </c>
      <c r="B2749" t="s">
        <v>4457</v>
      </c>
      <c r="C2749" t="s">
        <v>4458</v>
      </c>
      <c r="D2749" t="s">
        <v>5158</v>
      </c>
      <c r="E2749" t="s">
        <v>5159</v>
      </c>
    </row>
    <row r="2750" spans="1:5">
      <c r="A2750" t="s">
        <v>5244</v>
      </c>
      <c r="B2750" t="s">
        <v>6159</v>
      </c>
      <c r="C2750" t="s">
        <v>6160</v>
      </c>
      <c r="D2750" t="s">
        <v>5186</v>
      </c>
      <c r="E2750" t="s">
        <v>5159</v>
      </c>
    </row>
    <row r="2751" spans="1:5">
      <c r="A2751" t="s">
        <v>5244</v>
      </c>
      <c r="B2751" t="s">
        <v>4459</v>
      </c>
      <c r="C2751" t="s">
        <v>4460</v>
      </c>
      <c r="D2751" t="s">
        <v>5186</v>
      </c>
      <c r="E2751" t="s">
        <v>5159</v>
      </c>
    </row>
    <row r="2752" spans="1:5">
      <c r="A2752" t="s">
        <v>5244</v>
      </c>
      <c r="B2752" t="s">
        <v>4461</v>
      </c>
      <c r="C2752" t="s">
        <v>4462</v>
      </c>
      <c r="D2752" t="s">
        <v>5186</v>
      </c>
      <c r="E2752" t="s">
        <v>5159</v>
      </c>
    </row>
    <row r="2753" spans="1:5">
      <c r="A2753" t="s">
        <v>5244</v>
      </c>
      <c r="B2753" t="s">
        <v>974</v>
      </c>
      <c r="C2753" t="s">
        <v>4463</v>
      </c>
      <c r="D2753" t="s">
        <v>5186</v>
      </c>
      <c r="E2753" t="s">
        <v>5159</v>
      </c>
    </row>
    <row r="2754" spans="1:5">
      <c r="A2754" t="s">
        <v>5244</v>
      </c>
      <c r="B2754" t="s">
        <v>4464</v>
      </c>
      <c r="C2754" t="s">
        <v>4465</v>
      </c>
      <c r="D2754" t="s">
        <v>5186</v>
      </c>
      <c r="E2754" t="s">
        <v>5159</v>
      </c>
    </row>
    <row r="2755" spans="1:5">
      <c r="A2755" t="s">
        <v>5244</v>
      </c>
      <c r="B2755" t="s">
        <v>4466</v>
      </c>
      <c r="C2755" t="s">
        <v>4467</v>
      </c>
      <c r="D2755" t="s">
        <v>5186</v>
      </c>
      <c r="E2755" t="s">
        <v>5159</v>
      </c>
    </row>
    <row r="2756" spans="1:5">
      <c r="A2756" t="s">
        <v>5244</v>
      </c>
      <c r="B2756" t="s">
        <v>4468</v>
      </c>
      <c r="C2756" t="s">
        <v>4469</v>
      </c>
      <c r="D2756" t="s">
        <v>5186</v>
      </c>
      <c r="E2756" t="s">
        <v>5159</v>
      </c>
    </row>
    <row r="2757" spans="1:5">
      <c r="A2757" t="s">
        <v>5244</v>
      </c>
      <c r="B2757" t="s">
        <v>975</v>
      </c>
      <c r="C2757" t="s">
        <v>4470</v>
      </c>
      <c r="D2757" t="s">
        <v>5186</v>
      </c>
      <c r="E2757" t="s">
        <v>5159</v>
      </c>
    </row>
    <row r="2758" spans="1:5">
      <c r="A2758" t="s">
        <v>5244</v>
      </c>
      <c r="B2758" t="s">
        <v>4471</v>
      </c>
      <c r="C2758" t="s">
        <v>4472</v>
      </c>
      <c r="D2758" t="s">
        <v>5158</v>
      </c>
      <c r="E2758" t="s">
        <v>5159</v>
      </c>
    </row>
    <row r="2759" spans="1:5">
      <c r="A2759" t="s">
        <v>5244</v>
      </c>
      <c r="B2759" t="s">
        <v>4473</v>
      </c>
      <c r="C2759" t="s">
        <v>4474</v>
      </c>
      <c r="D2759" t="s">
        <v>5186</v>
      </c>
      <c r="E2759" t="s">
        <v>5159</v>
      </c>
    </row>
    <row r="2760" spans="1:5">
      <c r="A2760" t="s">
        <v>5244</v>
      </c>
      <c r="B2760" t="s">
        <v>4475</v>
      </c>
      <c r="C2760" t="s">
        <v>4476</v>
      </c>
      <c r="D2760" t="s">
        <v>5186</v>
      </c>
      <c r="E2760" t="s">
        <v>5159</v>
      </c>
    </row>
    <row r="2761" spans="1:5">
      <c r="A2761" t="s">
        <v>5244</v>
      </c>
      <c r="B2761" t="s">
        <v>4477</v>
      </c>
      <c r="C2761" t="s">
        <v>4478</v>
      </c>
      <c r="D2761" t="s">
        <v>5186</v>
      </c>
      <c r="E2761" t="s">
        <v>5159</v>
      </c>
    </row>
    <row r="2762" spans="1:5">
      <c r="A2762" t="s">
        <v>5244</v>
      </c>
      <c r="B2762" t="s">
        <v>4479</v>
      </c>
      <c r="C2762" t="s">
        <v>4480</v>
      </c>
      <c r="D2762" t="s">
        <v>5186</v>
      </c>
      <c r="E2762" t="s">
        <v>5159</v>
      </c>
    </row>
    <row r="2763" spans="1:5">
      <c r="A2763" t="s">
        <v>5244</v>
      </c>
      <c r="B2763" t="s">
        <v>4481</v>
      </c>
      <c r="C2763" t="s">
        <v>4482</v>
      </c>
      <c r="D2763" t="s">
        <v>5186</v>
      </c>
      <c r="E2763" t="s">
        <v>5159</v>
      </c>
    </row>
    <row r="2764" spans="1:5">
      <c r="A2764" t="s">
        <v>5244</v>
      </c>
      <c r="B2764" t="s">
        <v>976</v>
      </c>
      <c r="C2764" t="s">
        <v>4483</v>
      </c>
      <c r="D2764" t="s">
        <v>5186</v>
      </c>
      <c r="E2764" t="s">
        <v>5159</v>
      </c>
    </row>
    <row r="2765" spans="1:5">
      <c r="A2765" t="s">
        <v>5244</v>
      </c>
      <c r="B2765" t="s">
        <v>977</v>
      </c>
      <c r="C2765" t="s">
        <v>4484</v>
      </c>
      <c r="D2765" t="s">
        <v>5186</v>
      </c>
      <c r="E2765" t="s">
        <v>5159</v>
      </c>
    </row>
    <row r="2766" spans="1:5">
      <c r="A2766" t="s">
        <v>5244</v>
      </c>
      <c r="B2766" t="s">
        <v>978</v>
      </c>
      <c r="C2766" t="s">
        <v>6161</v>
      </c>
      <c r="D2766" t="s">
        <v>5158</v>
      </c>
      <c r="E2766" t="s">
        <v>5159</v>
      </c>
    </row>
    <row r="2767" spans="1:5">
      <c r="A2767" t="s">
        <v>5244</v>
      </c>
      <c r="B2767" t="s">
        <v>979</v>
      </c>
      <c r="C2767" t="s">
        <v>6162</v>
      </c>
      <c r="D2767" t="s">
        <v>5186</v>
      </c>
      <c r="E2767" t="s">
        <v>5159</v>
      </c>
    </row>
    <row r="2768" spans="1:5">
      <c r="A2768" t="s">
        <v>5244</v>
      </c>
      <c r="B2768" t="s">
        <v>980</v>
      </c>
      <c r="C2768" t="s">
        <v>4485</v>
      </c>
      <c r="D2768" t="s">
        <v>5186</v>
      </c>
      <c r="E2768" t="s">
        <v>5159</v>
      </c>
    </row>
    <row r="2769" spans="1:5">
      <c r="A2769" t="s">
        <v>5244</v>
      </c>
      <c r="B2769" t="s">
        <v>981</v>
      </c>
      <c r="C2769" t="s">
        <v>4486</v>
      </c>
      <c r="D2769" t="s">
        <v>5186</v>
      </c>
      <c r="E2769" t="s">
        <v>5159</v>
      </c>
    </row>
    <row r="2770" spans="1:5">
      <c r="A2770" t="s">
        <v>5244</v>
      </c>
      <c r="B2770" t="s">
        <v>982</v>
      </c>
      <c r="C2770" t="s">
        <v>4487</v>
      </c>
      <c r="D2770" t="s">
        <v>5186</v>
      </c>
      <c r="E2770" t="s">
        <v>5159</v>
      </c>
    </row>
    <row r="2771" spans="1:5">
      <c r="A2771" t="s">
        <v>5244</v>
      </c>
      <c r="B2771" t="s">
        <v>983</v>
      </c>
      <c r="C2771" t="s">
        <v>4488</v>
      </c>
      <c r="D2771" t="s">
        <v>5186</v>
      </c>
      <c r="E2771" t="s">
        <v>5159</v>
      </c>
    </row>
    <row r="2772" spans="1:5">
      <c r="A2772" t="s">
        <v>5244</v>
      </c>
      <c r="B2772" t="s">
        <v>4489</v>
      </c>
      <c r="C2772" t="s">
        <v>4490</v>
      </c>
      <c r="D2772" t="s">
        <v>5186</v>
      </c>
      <c r="E2772" t="s">
        <v>5159</v>
      </c>
    </row>
    <row r="2773" spans="1:5">
      <c r="A2773" t="s">
        <v>5244</v>
      </c>
      <c r="B2773" t="s">
        <v>4491</v>
      </c>
      <c r="C2773" t="s">
        <v>4492</v>
      </c>
      <c r="D2773" t="s">
        <v>5186</v>
      </c>
      <c r="E2773" t="s">
        <v>5159</v>
      </c>
    </row>
    <row r="2774" spans="1:5">
      <c r="A2774" t="s">
        <v>5244</v>
      </c>
      <c r="B2774" t="s">
        <v>4493</v>
      </c>
      <c r="C2774" t="s">
        <v>4494</v>
      </c>
      <c r="D2774" t="s">
        <v>5186</v>
      </c>
      <c r="E2774" t="s">
        <v>5159</v>
      </c>
    </row>
    <row r="2775" spans="1:5">
      <c r="A2775" t="s">
        <v>5244</v>
      </c>
      <c r="B2775" t="s">
        <v>4495</v>
      </c>
      <c r="C2775" t="s">
        <v>4496</v>
      </c>
      <c r="D2775" t="s">
        <v>5186</v>
      </c>
      <c r="E2775" t="s">
        <v>5159</v>
      </c>
    </row>
    <row r="2776" spans="1:5">
      <c r="A2776" t="s">
        <v>5244</v>
      </c>
      <c r="B2776" t="s">
        <v>4497</v>
      </c>
      <c r="C2776" t="s">
        <v>4498</v>
      </c>
      <c r="D2776" t="s">
        <v>5186</v>
      </c>
      <c r="E2776" t="s">
        <v>5159</v>
      </c>
    </row>
    <row r="2777" spans="1:5">
      <c r="A2777" t="s">
        <v>5244</v>
      </c>
      <c r="B2777" t="s">
        <v>4499</v>
      </c>
      <c r="C2777" t="s">
        <v>4500</v>
      </c>
      <c r="D2777" t="s">
        <v>5186</v>
      </c>
      <c r="E2777" t="s">
        <v>5159</v>
      </c>
    </row>
    <row r="2778" spans="1:5">
      <c r="A2778" t="s">
        <v>5244</v>
      </c>
      <c r="B2778" t="s">
        <v>4501</v>
      </c>
      <c r="C2778" t="s">
        <v>4502</v>
      </c>
      <c r="D2778" t="s">
        <v>5186</v>
      </c>
      <c r="E2778" t="s">
        <v>5159</v>
      </c>
    </row>
    <row r="2779" spans="1:5">
      <c r="A2779" t="s">
        <v>5244</v>
      </c>
      <c r="B2779" t="s">
        <v>4503</v>
      </c>
      <c r="C2779" t="s">
        <v>4504</v>
      </c>
      <c r="D2779" t="s">
        <v>5186</v>
      </c>
      <c r="E2779" t="s">
        <v>5159</v>
      </c>
    </row>
    <row r="2780" spans="1:5">
      <c r="A2780" t="s">
        <v>5244</v>
      </c>
      <c r="B2780" t="s">
        <v>4505</v>
      </c>
      <c r="C2780" t="s">
        <v>4506</v>
      </c>
      <c r="D2780" t="s">
        <v>5186</v>
      </c>
      <c r="E2780" t="s">
        <v>5159</v>
      </c>
    </row>
    <row r="2781" spans="1:5">
      <c r="A2781" t="s">
        <v>5244</v>
      </c>
      <c r="B2781" t="s">
        <v>984</v>
      </c>
      <c r="C2781" t="s">
        <v>4507</v>
      </c>
      <c r="D2781" t="s">
        <v>5186</v>
      </c>
      <c r="E2781" t="s">
        <v>5159</v>
      </c>
    </row>
    <row r="2782" spans="1:5">
      <c r="A2782" t="s">
        <v>5244</v>
      </c>
      <c r="B2782" t="s">
        <v>4508</v>
      </c>
      <c r="C2782" t="s">
        <v>4509</v>
      </c>
      <c r="D2782" t="s">
        <v>5186</v>
      </c>
      <c r="E2782" t="s">
        <v>5159</v>
      </c>
    </row>
    <row r="2783" spans="1:5">
      <c r="A2783" t="s">
        <v>5244</v>
      </c>
      <c r="B2783" t="s">
        <v>4510</v>
      </c>
      <c r="C2783" t="s">
        <v>4511</v>
      </c>
      <c r="D2783" t="s">
        <v>5186</v>
      </c>
      <c r="E2783" t="s">
        <v>5159</v>
      </c>
    </row>
    <row r="2784" spans="1:5">
      <c r="A2784" t="s">
        <v>5244</v>
      </c>
      <c r="B2784" t="s">
        <v>4512</v>
      </c>
      <c r="C2784" t="s">
        <v>4513</v>
      </c>
      <c r="D2784" t="s">
        <v>5186</v>
      </c>
      <c r="E2784" t="s">
        <v>5159</v>
      </c>
    </row>
    <row r="2785" spans="1:5">
      <c r="A2785" t="s">
        <v>5244</v>
      </c>
      <c r="B2785" t="s">
        <v>4514</v>
      </c>
      <c r="C2785" t="s">
        <v>4515</v>
      </c>
      <c r="D2785" t="s">
        <v>5186</v>
      </c>
      <c r="E2785" t="s">
        <v>5159</v>
      </c>
    </row>
    <row r="2786" spans="1:5">
      <c r="A2786" t="s">
        <v>5244</v>
      </c>
      <c r="B2786" t="s">
        <v>4516</v>
      </c>
      <c r="C2786" t="s">
        <v>4517</v>
      </c>
      <c r="D2786" t="s">
        <v>5186</v>
      </c>
      <c r="E2786" t="s">
        <v>5159</v>
      </c>
    </row>
    <row r="2787" spans="1:5">
      <c r="A2787" t="s">
        <v>5244</v>
      </c>
      <c r="B2787" t="s">
        <v>985</v>
      </c>
      <c r="C2787" t="s">
        <v>4518</v>
      </c>
      <c r="D2787" t="s">
        <v>5186</v>
      </c>
      <c r="E2787" t="s">
        <v>5159</v>
      </c>
    </row>
    <row r="2788" spans="1:5">
      <c r="A2788" t="s">
        <v>5244</v>
      </c>
      <c r="B2788" t="s">
        <v>986</v>
      </c>
      <c r="C2788" t="s">
        <v>4519</v>
      </c>
      <c r="D2788" t="s">
        <v>5186</v>
      </c>
      <c r="E2788" t="s">
        <v>5159</v>
      </c>
    </row>
    <row r="2789" spans="1:5">
      <c r="A2789" t="s">
        <v>5244</v>
      </c>
      <c r="B2789" t="s">
        <v>987</v>
      </c>
      <c r="C2789" t="s">
        <v>4520</v>
      </c>
      <c r="D2789" t="s">
        <v>5186</v>
      </c>
      <c r="E2789" t="s">
        <v>5159</v>
      </c>
    </row>
    <row r="2790" spans="1:5">
      <c r="A2790" t="s">
        <v>5244</v>
      </c>
      <c r="B2790" t="s">
        <v>988</v>
      </c>
      <c r="C2790" t="s">
        <v>4521</v>
      </c>
      <c r="D2790" t="s">
        <v>5186</v>
      </c>
      <c r="E2790" t="s">
        <v>5159</v>
      </c>
    </row>
    <row r="2791" spans="1:5">
      <c r="A2791" t="s">
        <v>5244</v>
      </c>
      <c r="B2791" t="s">
        <v>6163</v>
      </c>
      <c r="C2791" t="s">
        <v>6164</v>
      </c>
      <c r="D2791" t="s">
        <v>5186</v>
      </c>
      <c r="E2791" t="s">
        <v>5159</v>
      </c>
    </row>
    <row r="2792" spans="1:5">
      <c r="A2792" t="s">
        <v>5244</v>
      </c>
      <c r="B2792" t="s">
        <v>4522</v>
      </c>
      <c r="C2792" t="s">
        <v>4523</v>
      </c>
      <c r="D2792" t="s">
        <v>5186</v>
      </c>
      <c r="E2792" t="s">
        <v>5159</v>
      </c>
    </row>
    <row r="2793" spans="1:5">
      <c r="A2793" t="s">
        <v>5244</v>
      </c>
      <c r="B2793" t="s">
        <v>4524</v>
      </c>
      <c r="C2793" t="s">
        <v>4525</v>
      </c>
      <c r="D2793" t="s">
        <v>5202</v>
      </c>
      <c r="E2793" t="s">
        <v>5159</v>
      </c>
    </row>
    <row r="2794" spans="1:5">
      <c r="A2794" t="s">
        <v>5244</v>
      </c>
      <c r="B2794" t="s">
        <v>4526</v>
      </c>
      <c r="C2794" t="s">
        <v>4527</v>
      </c>
      <c r="D2794" t="s">
        <v>5186</v>
      </c>
      <c r="E2794" t="s">
        <v>5159</v>
      </c>
    </row>
    <row r="2795" spans="1:5">
      <c r="A2795" t="s">
        <v>5244</v>
      </c>
      <c r="B2795" t="s">
        <v>989</v>
      </c>
      <c r="C2795" t="s">
        <v>2376</v>
      </c>
      <c r="D2795" t="s">
        <v>5186</v>
      </c>
      <c r="E2795" t="s">
        <v>5159</v>
      </c>
    </row>
    <row r="2796" spans="1:5">
      <c r="A2796" t="s">
        <v>5244</v>
      </c>
      <c r="B2796" t="s">
        <v>4528</v>
      </c>
      <c r="C2796" t="s">
        <v>4529</v>
      </c>
      <c r="D2796" t="s">
        <v>5186</v>
      </c>
      <c r="E2796" t="s">
        <v>5159</v>
      </c>
    </row>
    <row r="2797" spans="1:5">
      <c r="A2797" t="s">
        <v>5244</v>
      </c>
      <c r="B2797" t="s">
        <v>4530</v>
      </c>
      <c r="C2797" t="s">
        <v>4531</v>
      </c>
      <c r="D2797" t="s">
        <v>5186</v>
      </c>
      <c r="E2797" t="s">
        <v>5159</v>
      </c>
    </row>
    <row r="2798" spans="1:5">
      <c r="A2798" t="s">
        <v>5244</v>
      </c>
      <c r="B2798" t="s">
        <v>4533</v>
      </c>
      <c r="C2798" t="s">
        <v>4534</v>
      </c>
      <c r="D2798" t="s">
        <v>5186</v>
      </c>
      <c r="E2798" t="s">
        <v>5159</v>
      </c>
    </row>
    <row r="2799" spans="1:5">
      <c r="A2799" t="s">
        <v>5244</v>
      </c>
      <c r="B2799" t="s">
        <v>990</v>
      </c>
      <c r="C2799" t="s">
        <v>4535</v>
      </c>
      <c r="D2799" t="s">
        <v>5186</v>
      </c>
      <c r="E2799" t="s">
        <v>5159</v>
      </c>
    </row>
    <row r="2800" spans="1:5">
      <c r="A2800" t="s">
        <v>5244</v>
      </c>
      <c r="B2800" t="s">
        <v>991</v>
      </c>
      <c r="C2800" t="s">
        <v>4536</v>
      </c>
      <c r="D2800" t="s">
        <v>5186</v>
      </c>
      <c r="E2800" t="s">
        <v>5159</v>
      </c>
    </row>
    <row r="2801" spans="1:5">
      <c r="A2801" t="s">
        <v>5244</v>
      </c>
      <c r="B2801" t="s">
        <v>992</v>
      </c>
      <c r="C2801" t="s">
        <v>4537</v>
      </c>
      <c r="D2801" t="s">
        <v>5186</v>
      </c>
      <c r="E2801" t="s">
        <v>5159</v>
      </c>
    </row>
    <row r="2802" spans="1:5">
      <c r="A2802" t="s">
        <v>5244</v>
      </c>
      <c r="B2802" t="s">
        <v>993</v>
      </c>
      <c r="C2802" t="s">
        <v>4538</v>
      </c>
      <c r="D2802" t="s">
        <v>5186</v>
      </c>
      <c r="E2802" t="s">
        <v>5159</v>
      </c>
    </row>
    <row r="2803" spans="1:5">
      <c r="A2803" t="s">
        <v>5244</v>
      </c>
      <c r="B2803" t="s">
        <v>994</v>
      </c>
      <c r="C2803" t="s">
        <v>4539</v>
      </c>
      <c r="D2803" t="s">
        <v>5186</v>
      </c>
      <c r="E2803" t="s">
        <v>5159</v>
      </c>
    </row>
    <row r="2804" spans="1:5">
      <c r="A2804" t="s">
        <v>5244</v>
      </c>
      <c r="B2804" t="s">
        <v>995</v>
      </c>
      <c r="C2804" t="s">
        <v>4540</v>
      </c>
      <c r="D2804" t="s">
        <v>5186</v>
      </c>
      <c r="E2804" t="s">
        <v>5159</v>
      </c>
    </row>
    <row r="2805" spans="1:5">
      <c r="A2805" t="s">
        <v>5244</v>
      </c>
      <c r="B2805" t="s">
        <v>996</v>
      </c>
      <c r="C2805" t="s">
        <v>4541</v>
      </c>
      <c r="D2805" t="s">
        <v>5186</v>
      </c>
      <c r="E2805" t="s">
        <v>5159</v>
      </c>
    </row>
    <row r="2806" spans="1:5">
      <c r="A2806" t="s">
        <v>5244</v>
      </c>
      <c r="B2806" t="s">
        <v>4542</v>
      </c>
      <c r="C2806" t="s">
        <v>4543</v>
      </c>
      <c r="D2806" t="s">
        <v>5186</v>
      </c>
      <c r="E2806" t="s">
        <v>5159</v>
      </c>
    </row>
    <row r="2807" spans="1:5">
      <c r="A2807" t="s">
        <v>5244</v>
      </c>
      <c r="B2807" t="s">
        <v>6165</v>
      </c>
      <c r="C2807" t="s">
        <v>6166</v>
      </c>
      <c r="D2807" t="s">
        <v>5186</v>
      </c>
      <c r="E2807" t="s">
        <v>5159</v>
      </c>
    </row>
    <row r="2808" spans="1:5">
      <c r="A2808" t="s">
        <v>5244</v>
      </c>
      <c r="B2808" t="s">
        <v>997</v>
      </c>
      <c r="C2808" t="s">
        <v>4544</v>
      </c>
      <c r="D2808" t="s">
        <v>5186</v>
      </c>
      <c r="E2808" t="s">
        <v>5159</v>
      </c>
    </row>
    <row r="2809" spans="1:5">
      <c r="A2809" t="s">
        <v>5244</v>
      </c>
      <c r="B2809" t="s">
        <v>6167</v>
      </c>
      <c r="C2809" t="s">
        <v>6168</v>
      </c>
      <c r="D2809" t="s">
        <v>5186</v>
      </c>
      <c r="E2809" t="s">
        <v>5159</v>
      </c>
    </row>
    <row r="2810" spans="1:5">
      <c r="A2810" t="s">
        <v>5244</v>
      </c>
      <c r="B2810" t="s">
        <v>4545</v>
      </c>
      <c r="C2810" t="s">
        <v>4546</v>
      </c>
      <c r="D2810" t="s">
        <v>5186</v>
      </c>
      <c r="E2810" t="s">
        <v>5159</v>
      </c>
    </row>
    <row r="2811" spans="1:5">
      <c r="A2811" t="s">
        <v>5244</v>
      </c>
      <c r="B2811" t="s">
        <v>998</v>
      </c>
      <c r="C2811" t="s">
        <v>4547</v>
      </c>
      <c r="D2811" t="s">
        <v>5186</v>
      </c>
      <c r="E2811" t="s">
        <v>5159</v>
      </c>
    </row>
    <row r="2812" spans="1:5">
      <c r="A2812" t="s">
        <v>5244</v>
      </c>
      <c r="B2812" t="s">
        <v>4548</v>
      </c>
      <c r="C2812" t="s">
        <v>4549</v>
      </c>
      <c r="D2812" t="s">
        <v>5186</v>
      </c>
      <c r="E2812" t="s">
        <v>5159</v>
      </c>
    </row>
    <row r="2813" spans="1:5">
      <c r="A2813" t="s">
        <v>5244</v>
      </c>
      <c r="B2813" t="s">
        <v>999</v>
      </c>
      <c r="C2813" t="s">
        <v>4550</v>
      </c>
      <c r="D2813" t="s">
        <v>5186</v>
      </c>
      <c r="E2813" t="s">
        <v>5159</v>
      </c>
    </row>
    <row r="2814" spans="1:5">
      <c r="A2814" t="s">
        <v>5244</v>
      </c>
      <c r="B2814" t="s">
        <v>1000</v>
      </c>
      <c r="C2814" t="s">
        <v>4551</v>
      </c>
      <c r="D2814" t="s">
        <v>5186</v>
      </c>
      <c r="E2814" t="s">
        <v>5159</v>
      </c>
    </row>
    <row r="2815" spans="1:5">
      <c r="A2815" t="s">
        <v>5244</v>
      </c>
      <c r="B2815" t="s">
        <v>6169</v>
      </c>
      <c r="C2815" t="s">
        <v>6170</v>
      </c>
      <c r="D2815" t="s">
        <v>5186</v>
      </c>
      <c r="E2815" t="s">
        <v>5159</v>
      </c>
    </row>
    <row r="2816" spans="1:5">
      <c r="A2816" t="s">
        <v>5244</v>
      </c>
      <c r="B2816" t="s">
        <v>4552</v>
      </c>
      <c r="C2816" t="s">
        <v>2023</v>
      </c>
      <c r="D2816" t="s">
        <v>5186</v>
      </c>
      <c r="E2816" t="s">
        <v>5159</v>
      </c>
    </row>
    <row r="2817" spans="1:5">
      <c r="A2817" t="s">
        <v>5244</v>
      </c>
      <c r="B2817" t="s">
        <v>4553</v>
      </c>
      <c r="C2817" t="s">
        <v>4554</v>
      </c>
      <c r="D2817" t="s">
        <v>5186</v>
      </c>
      <c r="E2817" t="s">
        <v>5159</v>
      </c>
    </row>
    <row r="2818" spans="1:5">
      <c r="A2818" t="s">
        <v>5244</v>
      </c>
      <c r="B2818" t="s">
        <v>4555</v>
      </c>
      <c r="C2818" t="s">
        <v>4556</v>
      </c>
      <c r="D2818" t="s">
        <v>5186</v>
      </c>
      <c r="E2818" t="s">
        <v>5159</v>
      </c>
    </row>
    <row r="2819" spans="1:5">
      <c r="A2819" t="s">
        <v>5244</v>
      </c>
      <c r="B2819" t="s">
        <v>4557</v>
      </c>
      <c r="C2819" t="s">
        <v>4558</v>
      </c>
      <c r="D2819" t="s">
        <v>5186</v>
      </c>
      <c r="E2819" t="s">
        <v>5159</v>
      </c>
    </row>
    <row r="2820" spans="1:5">
      <c r="A2820" t="s">
        <v>5244</v>
      </c>
      <c r="B2820" t="s">
        <v>1001</v>
      </c>
      <c r="C2820" t="s">
        <v>4559</v>
      </c>
      <c r="D2820" t="s">
        <v>5186</v>
      </c>
      <c r="E2820" t="s">
        <v>5159</v>
      </c>
    </row>
    <row r="2821" spans="1:5">
      <c r="A2821" t="s">
        <v>5244</v>
      </c>
      <c r="B2821" t="s">
        <v>1002</v>
      </c>
      <c r="C2821" t="s">
        <v>4560</v>
      </c>
      <c r="D2821" t="s">
        <v>5186</v>
      </c>
      <c r="E2821" t="s">
        <v>5159</v>
      </c>
    </row>
    <row r="2822" spans="1:5">
      <c r="A2822" t="s">
        <v>5244</v>
      </c>
      <c r="B2822" t="s">
        <v>1003</v>
      </c>
      <c r="C2822" t="s">
        <v>4561</v>
      </c>
      <c r="D2822" t="s">
        <v>5186</v>
      </c>
      <c r="E2822" t="s">
        <v>5159</v>
      </c>
    </row>
    <row r="2823" spans="1:5">
      <c r="A2823" t="s">
        <v>5244</v>
      </c>
      <c r="B2823" t="s">
        <v>1004</v>
      </c>
      <c r="C2823" t="s">
        <v>4562</v>
      </c>
      <c r="D2823" t="s">
        <v>5186</v>
      </c>
      <c r="E2823" t="s">
        <v>5159</v>
      </c>
    </row>
    <row r="2824" spans="1:5">
      <c r="A2824" t="s">
        <v>5244</v>
      </c>
      <c r="B2824" t="s">
        <v>4563</v>
      </c>
      <c r="C2824" t="s">
        <v>4564</v>
      </c>
      <c r="D2824" t="s">
        <v>5186</v>
      </c>
      <c r="E2824" t="s">
        <v>5159</v>
      </c>
    </row>
    <row r="2825" spans="1:5">
      <c r="A2825" t="s">
        <v>5244</v>
      </c>
      <c r="B2825" t="s">
        <v>1005</v>
      </c>
      <c r="C2825" t="s">
        <v>4565</v>
      </c>
      <c r="D2825" t="s">
        <v>5186</v>
      </c>
      <c r="E2825" t="s">
        <v>5159</v>
      </c>
    </row>
    <row r="2826" spans="1:5">
      <c r="A2826" t="s">
        <v>5244</v>
      </c>
      <c r="B2826" t="s">
        <v>1006</v>
      </c>
      <c r="C2826" t="s">
        <v>4566</v>
      </c>
      <c r="D2826" t="s">
        <v>5186</v>
      </c>
      <c r="E2826" t="s">
        <v>5159</v>
      </c>
    </row>
    <row r="2827" spans="1:5">
      <c r="A2827" t="s">
        <v>5244</v>
      </c>
      <c r="B2827" t="s">
        <v>1007</v>
      </c>
      <c r="C2827" t="s">
        <v>4567</v>
      </c>
      <c r="D2827" t="s">
        <v>5186</v>
      </c>
      <c r="E2827" t="s">
        <v>5159</v>
      </c>
    </row>
    <row r="2828" spans="1:5">
      <c r="A2828" t="s">
        <v>5244</v>
      </c>
      <c r="B2828" t="s">
        <v>4568</v>
      </c>
      <c r="C2828" t="s">
        <v>4569</v>
      </c>
      <c r="D2828" t="s">
        <v>5186</v>
      </c>
      <c r="E2828" t="s">
        <v>5159</v>
      </c>
    </row>
    <row r="2829" spans="1:5">
      <c r="A2829" t="s">
        <v>5244</v>
      </c>
      <c r="B2829" t="s">
        <v>4570</v>
      </c>
      <c r="C2829" t="s">
        <v>4571</v>
      </c>
      <c r="D2829" t="s">
        <v>5186</v>
      </c>
      <c r="E2829" t="s">
        <v>5159</v>
      </c>
    </row>
    <row r="2830" spans="1:5">
      <c r="A2830" t="s">
        <v>5244</v>
      </c>
      <c r="B2830" t="s">
        <v>1008</v>
      </c>
      <c r="C2830" t="s">
        <v>4572</v>
      </c>
      <c r="D2830" t="s">
        <v>5158</v>
      </c>
      <c r="E2830" t="s">
        <v>5159</v>
      </c>
    </row>
    <row r="2831" spans="1:5">
      <c r="A2831" t="s">
        <v>5244</v>
      </c>
      <c r="B2831" t="s">
        <v>4573</v>
      </c>
      <c r="C2831" t="s">
        <v>1953</v>
      </c>
      <c r="D2831" t="s">
        <v>5158</v>
      </c>
      <c r="E2831" t="s">
        <v>5159</v>
      </c>
    </row>
    <row r="2832" spans="1:5">
      <c r="A2832" t="s">
        <v>5244</v>
      </c>
      <c r="B2832" t="s">
        <v>6171</v>
      </c>
      <c r="C2832" t="s">
        <v>6172</v>
      </c>
      <c r="D2832" t="s">
        <v>5158</v>
      </c>
      <c r="E2832" t="s">
        <v>5159</v>
      </c>
    </row>
    <row r="2833" spans="1:5">
      <c r="A2833" t="s">
        <v>5244</v>
      </c>
      <c r="B2833" t="s">
        <v>1009</v>
      </c>
      <c r="C2833" t="s">
        <v>4574</v>
      </c>
      <c r="D2833" t="s">
        <v>5186</v>
      </c>
      <c r="E2833" t="s">
        <v>5159</v>
      </c>
    </row>
    <row r="2834" spans="1:5">
      <c r="A2834" t="s">
        <v>5244</v>
      </c>
      <c r="B2834" t="s">
        <v>4575</v>
      </c>
      <c r="C2834" t="s">
        <v>4576</v>
      </c>
      <c r="D2834" t="s">
        <v>5158</v>
      </c>
      <c r="E2834" t="s">
        <v>5159</v>
      </c>
    </row>
    <row r="2835" spans="1:5">
      <c r="A2835" t="s">
        <v>5244</v>
      </c>
      <c r="B2835" t="s">
        <v>4577</v>
      </c>
      <c r="C2835" t="s">
        <v>4578</v>
      </c>
      <c r="D2835" t="s">
        <v>5158</v>
      </c>
      <c r="E2835" t="s">
        <v>5159</v>
      </c>
    </row>
    <row r="2836" spans="1:5">
      <c r="A2836" t="s">
        <v>5244</v>
      </c>
      <c r="B2836" t="s">
        <v>4579</v>
      </c>
      <c r="C2836" t="s">
        <v>4580</v>
      </c>
      <c r="D2836" t="s">
        <v>5158</v>
      </c>
      <c r="E2836" t="s">
        <v>5159</v>
      </c>
    </row>
    <row r="2837" spans="1:5">
      <c r="A2837" t="s">
        <v>5244</v>
      </c>
      <c r="B2837" t="s">
        <v>4581</v>
      </c>
      <c r="C2837" t="s">
        <v>4582</v>
      </c>
      <c r="D2837" t="s">
        <v>5158</v>
      </c>
      <c r="E2837" t="s">
        <v>5159</v>
      </c>
    </row>
    <row r="2838" spans="1:5">
      <c r="A2838" t="s">
        <v>5244</v>
      </c>
      <c r="B2838" t="s">
        <v>4583</v>
      </c>
      <c r="C2838" t="s">
        <v>4584</v>
      </c>
      <c r="D2838" t="s">
        <v>5158</v>
      </c>
      <c r="E2838" t="s">
        <v>5159</v>
      </c>
    </row>
    <row r="2839" spans="1:5">
      <c r="A2839" t="s">
        <v>5244</v>
      </c>
      <c r="B2839" t="s">
        <v>4585</v>
      </c>
      <c r="C2839" t="s">
        <v>4586</v>
      </c>
      <c r="D2839" t="s">
        <v>5190</v>
      </c>
      <c r="E2839" t="s">
        <v>5159</v>
      </c>
    </row>
    <row r="2840" spans="1:5">
      <c r="A2840" t="s">
        <v>5244</v>
      </c>
      <c r="B2840" t="s">
        <v>6173</v>
      </c>
      <c r="C2840" t="s">
        <v>6174</v>
      </c>
      <c r="D2840" t="s">
        <v>5158</v>
      </c>
      <c r="E2840" t="s">
        <v>5159</v>
      </c>
    </row>
    <row r="2841" spans="1:5">
      <c r="A2841" t="s">
        <v>5244</v>
      </c>
      <c r="B2841" t="s">
        <v>1010</v>
      </c>
      <c r="C2841" t="s">
        <v>4587</v>
      </c>
      <c r="D2841" t="s">
        <v>5161</v>
      </c>
      <c r="E2841" t="s">
        <v>5159</v>
      </c>
    </row>
    <row r="2842" spans="1:5">
      <c r="A2842" t="s">
        <v>5244</v>
      </c>
      <c r="B2842" t="s">
        <v>4588</v>
      </c>
      <c r="C2842" t="s">
        <v>4589</v>
      </c>
      <c r="D2842" t="s">
        <v>5161</v>
      </c>
      <c r="E2842" t="s">
        <v>5159</v>
      </c>
    </row>
    <row r="2843" spans="1:5">
      <c r="A2843" t="s">
        <v>5244</v>
      </c>
      <c r="B2843" t="s">
        <v>4590</v>
      </c>
      <c r="C2843" t="s">
        <v>4591</v>
      </c>
      <c r="D2843" t="s">
        <v>5188</v>
      </c>
      <c r="E2843" t="s">
        <v>5159</v>
      </c>
    </row>
    <row r="2844" spans="1:5">
      <c r="A2844" t="s">
        <v>5244</v>
      </c>
      <c r="B2844" t="s">
        <v>1011</v>
      </c>
      <c r="C2844" t="s">
        <v>4592</v>
      </c>
      <c r="D2844" t="s">
        <v>5158</v>
      </c>
      <c r="E2844" t="s">
        <v>5159</v>
      </c>
    </row>
    <row r="2845" spans="1:5">
      <c r="A2845" t="s">
        <v>5244</v>
      </c>
      <c r="B2845" t="s">
        <v>4593</v>
      </c>
      <c r="C2845" t="s">
        <v>4594</v>
      </c>
      <c r="D2845" t="s">
        <v>5161</v>
      </c>
      <c r="E2845" t="s">
        <v>5159</v>
      </c>
    </row>
    <row r="2846" spans="1:5">
      <c r="A2846" t="s">
        <v>5244</v>
      </c>
      <c r="B2846" t="s">
        <v>4595</v>
      </c>
      <c r="C2846" t="s">
        <v>4596</v>
      </c>
      <c r="D2846" t="s">
        <v>5161</v>
      </c>
      <c r="E2846" t="s">
        <v>5159</v>
      </c>
    </row>
    <row r="2847" spans="1:5">
      <c r="A2847" t="s">
        <v>5244</v>
      </c>
      <c r="B2847" t="s">
        <v>1012</v>
      </c>
      <c r="C2847" t="s">
        <v>4597</v>
      </c>
      <c r="D2847" t="s">
        <v>5186</v>
      </c>
      <c r="E2847" t="s">
        <v>5159</v>
      </c>
    </row>
    <row r="2848" spans="1:5">
      <c r="A2848" t="s">
        <v>5244</v>
      </c>
      <c r="B2848" t="s">
        <v>4598</v>
      </c>
      <c r="C2848" t="s">
        <v>4599</v>
      </c>
      <c r="D2848" t="s">
        <v>5158</v>
      </c>
      <c r="E2848" t="s">
        <v>5159</v>
      </c>
    </row>
    <row r="2849" spans="1:5">
      <c r="A2849" t="s">
        <v>5244</v>
      </c>
      <c r="B2849" t="s">
        <v>1013</v>
      </c>
      <c r="C2849" t="s">
        <v>4600</v>
      </c>
      <c r="D2849" t="s">
        <v>5195</v>
      </c>
      <c r="E2849" t="s">
        <v>5159</v>
      </c>
    </row>
    <row r="2850" spans="1:5">
      <c r="A2850" t="s">
        <v>5244</v>
      </c>
      <c r="B2850" t="s">
        <v>4601</v>
      </c>
      <c r="C2850" t="s">
        <v>4602</v>
      </c>
      <c r="D2850" t="s">
        <v>5158</v>
      </c>
      <c r="E2850" t="s">
        <v>5159</v>
      </c>
    </row>
    <row r="2851" spans="1:5">
      <c r="A2851" t="s">
        <v>5244</v>
      </c>
      <c r="B2851" t="s">
        <v>1014</v>
      </c>
      <c r="C2851" t="s">
        <v>4603</v>
      </c>
      <c r="D2851" t="s">
        <v>5161</v>
      </c>
      <c r="E2851" t="s">
        <v>5159</v>
      </c>
    </row>
    <row r="2852" spans="1:5">
      <c r="A2852" t="s">
        <v>5244</v>
      </c>
      <c r="B2852" t="s">
        <v>4604</v>
      </c>
      <c r="C2852" t="s">
        <v>4605</v>
      </c>
      <c r="D2852" t="s">
        <v>5161</v>
      </c>
      <c r="E2852" t="s">
        <v>5159</v>
      </c>
    </row>
    <row r="2853" spans="1:5">
      <c r="A2853" t="s">
        <v>5244</v>
      </c>
      <c r="B2853" t="s">
        <v>1015</v>
      </c>
      <c r="C2853" t="s">
        <v>4606</v>
      </c>
      <c r="D2853" t="s">
        <v>5161</v>
      </c>
      <c r="E2853" t="s">
        <v>5159</v>
      </c>
    </row>
    <row r="2854" spans="1:5">
      <c r="A2854" t="s">
        <v>5244</v>
      </c>
      <c r="B2854" t="s">
        <v>4607</v>
      </c>
      <c r="C2854" t="s">
        <v>4608</v>
      </c>
      <c r="D2854" t="s">
        <v>5161</v>
      </c>
      <c r="E2854" t="s">
        <v>5159</v>
      </c>
    </row>
    <row r="2855" spans="1:5">
      <c r="A2855" t="s">
        <v>5244</v>
      </c>
      <c r="B2855" t="s">
        <v>6175</v>
      </c>
      <c r="C2855" t="s">
        <v>6176</v>
      </c>
      <c r="D2855" t="s">
        <v>5195</v>
      </c>
      <c r="E2855" t="s">
        <v>5159</v>
      </c>
    </row>
    <row r="2856" spans="1:5">
      <c r="A2856" t="s">
        <v>5244</v>
      </c>
      <c r="B2856" t="s">
        <v>1016</v>
      </c>
      <c r="C2856" t="s">
        <v>4609</v>
      </c>
      <c r="D2856" t="s">
        <v>5161</v>
      </c>
      <c r="E2856" t="s">
        <v>5159</v>
      </c>
    </row>
    <row r="2857" spans="1:5">
      <c r="A2857" t="s">
        <v>5244</v>
      </c>
      <c r="B2857" t="s">
        <v>1017</v>
      </c>
      <c r="C2857" t="s">
        <v>4610</v>
      </c>
      <c r="D2857" t="s">
        <v>5161</v>
      </c>
      <c r="E2857" t="s">
        <v>5159</v>
      </c>
    </row>
    <row r="2858" spans="1:5">
      <c r="A2858" t="s">
        <v>5244</v>
      </c>
      <c r="B2858" t="s">
        <v>4611</v>
      </c>
      <c r="C2858" t="s">
        <v>4612</v>
      </c>
      <c r="D2858" t="s">
        <v>5161</v>
      </c>
      <c r="E2858" t="s">
        <v>5159</v>
      </c>
    </row>
    <row r="2859" spans="1:5">
      <c r="A2859" t="s">
        <v>5244</v>
      </c>
      <c r="B2859" t="s">
        <v>4613</v>
      </c>
      <c r="C2859" t="s">
        <v>4614</v>
      </c>
      <c r="D2859" t="s">
        <v>5158</v>
      </c>
      <c r="E2859" t="s">
        <v>5159</v>
      </c>
    </row>
    <row r="2860" spans="1:5">
      <c r="A2860" t="s">
        <v>5244</v>
      </c>
      <c r="B2860" t="s">
        <v>1018</v>
      </c>
      <c r="C2860" t="s">
        <v>4615</v>
      </c>
      <c r="D2860" t="s">
        <v>5161</v>
      </c>
      <c r="E2860" t="s">
        <v>5159</v>
      </c>
    </row>
    <row r="2861" spans="1:5">
      <c r="A2861" t="s">
        <v>5244</v>
      </c>
      <c r="B2861" t="s">
        <v>1019</v>
      </c>
      <c r="C2861" t="s">
        <v>4616</v>
      </c>
      <c r="D2861" t="s">
        <v>5161</v>
      </c>
      <c r="E2861" t="s">
        <v>5159</v>
      </c>
    </row>
    <row r="2862" spans="1:5">
      <c r="A2862" t="s">
        <v>5244</v>
      </c>
      <c r="B2862" t="s">
        <v>4617</v>
      </c>
      <c r="C2862" t="s">
        <v>6292</v>
      </c>
      <c r="D2862" t="s">
        <v>5186</v>
      </c>
      <c r="E2862" t="s">
        <v>5159</v>
      </c>
    </row>
    <row r="2863" spans="1:5">
      <c r="A2863" t="s">
        <v>5244</v>
      </c>
      <c r="B2863" t="s">
        <v>4618</v>
      </c>
      <c r="C2863" t="s">
        <v>4619</v>
      </c>
      <c r="D2863" t="s">
        <v>5161</v>
      </c>
      <c r="E2863" t="s">
        <v>5159</v>
      </c>
    </row>
    <row r="2864" spans="1:5">
      <c r="A2864" t="s">
        <v>5244</v>
      </c>
      <c r="B2864" t="s">
        <v>1020</v>
      </c>
      <c r="C2864" t="s">
        <v>4620</v>
      </c>
      <c r="D2864" t="s">
        <v>5158</v>
      </c>
      <c r="E2864" t="s">
        <v>5159</v>
      </c>
    </row>
    <row r="2865" spans="1:5">
      <c r="A2865" t="s">
        <v>5244</v>
      </c>
      <c r="B2865" t="s">
        <v>1021</v>
      </c>
      <c r="C2865" t="s">
        <v>4621</v>
      </c>
      <c r="D2865" t="s">
        <v>5185</v>
      </c>
      <c r="E2865" t="s">
        <v>5159</v>
      </c>
    </row>
    <row r="2866" spans="1:5">
      <c r="A2866" t="s">
        <v>5244</v>
      </c>
      <c r="B2866" t="s">
        <v>1022</v>
      </c>
      <c r="C2866" t="s">
        <v>4622</v>
      </c>
      <c r="D2866" t="s">
        <v>5158</v>
      </c>
      <c r="E2866" t="s">
        <v>5159</v>
      </c>
    </row>
    <row r="2867" spans="1:5">
      <c r="A2867" t="s">
        <v>5244</v>
      </c>
      <c r="B2867" t="s">
        <v>1023</v>
      </c>
      <c r="C2867" t="s">
        <v>4623</v>
      </c>
      <c r="D2867" t="s">
        <v>5185</v>
      </c>
      <c r="E2867" t="s">
        <v>5159</v>
      </c>
    </row>
    <row r="2868" spans="1:5">
      <c r="A2868" t="s">
        <v>5244</v>
      </c>
      <c r="B2868" t="s">
        <v>4624</v>
      </c>
      <c r="C2868" t="s">
        <v>4625</v>
      </c>
      <c r="D2868" t="s">
        <v>5161</v>
      </c>
      <c r="E2868" t="s">
        <v>5159</v>
      </c>
    </row>
    <row r="2869" spans="1:5">
      <c r="A2869" t="s">
        <v>5244</v>
      </c>
      <c r="B2869" t="s">
        <v>1024</v>
      </c>
      <c r="C2869" t="s">
        <v>4626</v>
      </c>
      <c r="D2869" t="s">
        <v>5161</v>
      </c>
      <c r="E2869" t="s">
        <v>5159</v>
      </c>
    </row>
    <row r="2870" spans="1:5">
      <c r="A2870" t="s">
        <v>5244</v>
      </c>
      <c r="B2870" t="s">
        <v>1025</v>
      </c>
      <c r="C2870" t="s">
        <v>4627</v>
      </c>
      <c r="D2870" t="s">
        <v>5161</v>
      </c>
      <c r="E2870" t="s">
        <v>5159</v>
      </c>
    </row>
    <row r="2871" spans="1:5">
      <c r="A2871" t="s">
        <v>5244</v>
      </c>
      <c r="B2871" t="s">
        <v>1026</v>
      </c>
      <c r="C2871" t="s">
        <v>4628</v>
      </c>
      <c r="D2871" t="s">
        <v>5161</v>
      </c>
      <c r="E2871" t="s">
        <v>5159</v>
      </c>
    </row>
    <row r="2872" spans="1:5">
      <c r="A2872" t="s">
        <v>5244</v>
      </c>
      <c r="B2872" t="s">
        <v>4629</v>
      </c>
      <c r="C2872" t="s">
        <v>4630</v>
      </c>
      <c r="D2872" t="s">
        <v>5161</v>
      </c>
      <c r="E2872" t="s">
        <v>5159</v>
      </c>
    </row>
    <row r="2873" spans="1:5">
      <c r="A2873" t="s">
        <v>5244</v>
      </c>
      <c r="B2873" t="s">
        <v>4631</v>
      </c>
      <c r="C2873" t="s">
        <v>4632</v>
      </c>
      <c r="D2873" t="s">
        <v>5161</v>
      </c>
      <c r="E2873" t="s">
        <v>5159</v>
      </c>
    </row>
    <row r="2874" spans="1:5">
      <c r="A2874" t="s">
        <v>5244</v>
      </c>
      <c r="B2874" t="s">
        <v>4633</v>
      </c>
      <c r="C2874" t="s">
        <v>4634</v>
      </c>
      <c r="D2874" t="s">
        <v>5161</v>
      </c>
      <c r="E2874" t="s">
        <v>5159</v>
      </c>
    </row>
    <row r="2875" spans="1:5">
      <c r="A2875" t="s">
        <v>5244</v>
      </c>
      <c r="B2875" t="s">
        <v>1027</v>
      </c>
      <c r="C2875" t="s">
        <v>4635</v>
      </c>
      <c r="D2875" t="s">
        <v>5161</v>
      </c>
      <c r="E2875" t="s">
        <v>5159</v>
      </c>
    </row>
    <row r="2876" spans="1:5">
      <c r="A2876" t="s">
        <v>5244</v>
      </c>
      <c r="B2876" t="s">
        <v>1028</v>
      </c>
      <c r="C2876" t="s">
        <v>4636</v>
      </c>
      <c r="D2876" t="s">
        <v>5161</v>
      </c>
      <c r="E2876" t="s">
        <v>5159</v>
      </c>
    </row>
    <row r="2877" spans="1:5">
      <c r="A2877" t="s">
        <v>5244</v>
      </c>
      <c r="B2877" t="s">
        <v>1029</v>
      </c>
      <c r="C2877" t="s">
        <v>4637</v>
      </c>
      <c r="D2877" t="s">
        <v>5161</v>
      </c>
      <c r="E2877" t="s">
        <v>5159</v>
      </c>
    </row>
    <row r="2878" spans="1:5">
      <c r="A2878" t="s">
        <v>5244</v>
      </c>
      <c r="B2878" t="s">
        <v>1030</v>
      </c>
      <c r="C2878" t="s">
        <v>4638</v>
      </c>
      <c r="D2878" t="s">
        <v>5161</v>
      </c>
      <c r="E2878" t="s">
        <v>5159</v>
      </c>
    </row>
    <row r="2879" spans="1:5">
      <c r="A2879" t="s">
        <v>5244</v>
      </c>
      <c r="B2879" t="s">
        <v>1031</v>
      </c>
      <c r="C2879" t="s">
        <v>4639</v>
      </c>
      <c r="D2879" t="s">
        <v>5161</v>
      </c>
      <c r="E2879" t="s">
        <v>5159</v>
      </c>
    </row>
    <row r="2880" spans="1:5">
      <c r="A2880" t="s">
        <v>5244</v>
      </c>
      <c r="B2880" t="s">
        <v>4640</v>
      </c>
      <c r="C2880" t="s">
        <v>4641</v>
      </c>
      <c r="D2880" t="s">
        <v>5161</v>
      </c>
      <c r="E2880" t="s">
        <v>5159</v>
      </c>
    </row>
    <row r="2881" spans="1:5">
      <c r="A2881" t="s">
        <v>5244</v>
      </c>
      <c r="B2881" t="s">
        <v>4642</v>
      </c>
      <c r="C2881" t="s">
        <v>4643</v>
      </c>
      <c r="D2881" t="s">
        <v>5161</v>
      </c>
      <c r="E2881" t="s">
        <v>5159</v>
      </c>
    </row>
    <row r="2882" spans="1:5">
      <c r="A2882" t="s">
        <v>5244</v>
      </c>
      <c r="B2882" t="s">
        <v>1032</v>
      </c>
      <c r="C2882" t="s">
        <v>4644</v>
      </c>
      <c r="D2882" t="s">
        <v>5161</v>
      </c>
      <c r="E2882" t="s">
        <v>5159</v>
      </c>
    </row>
    <row r="2883" spans="1:5">
      <c r="A2883" t="s">
        <v>5244</v>
      </c>
      <c r="B2883" t="s">
        <v>6177</v>
      </c>
      <c r="C2883" t="s">
        <v>6178</v>
      </c>
      <c r="D2883" t="s">
        <v>5158</v>
      </c>
      <c r="E2883" t="s">
        <v>5159</v>
      </c>
    </row>
    <row r="2884" spans="1:5">
      <c r="A2884" t="s">
        <v>5244</v>
      </c>
      <c r="B2884" t="s">
        <v>4645</v>
      </c>
      <c r="C2884" t="s">
        <v>4646</v>
      </c>
      <c r="D2884" t="s">
        <v>5158</v>
      </c>
      <c r="E2884" t="s">
        <v>5159</v>
      </c>
    </row>
    <row r="2885" spans="1:5">
      <c r="A2885" t="s">
        <v>5244</v>
      </c>
      <c r="B2885" t="s">
        <v>4647</v>
      </c>
      <c r="C2885" t="s">
        <v>4648</v>
      </c>
      <c r="D2885" t="s">
        <v>5202</v>
      </c>
      <c r="E2885" t="s">
        <v>5159</v>
      </c>
    </row>
    <row r="2886" spans="1:5">
      <c r="A2886" t="s">
        <v>5244</v>
      </c>
      <c r="B2886" t="s">
        <v>4649</v>
      </c>
      <c r="C2886" t="s">
        <v>2243</v>
      </c>
      <c r="D2886" t="s">
        <v>5158</v>
      </c>
      <c r="E2886" t="s">
        <v>5159</v>
      </c>
    </row>
    <row r="2887" spans="1:5">
      <c r="A2887" t="s">
        <v>5244</v>
      </c>
      <c r="B2887" t="s">
        <v>1033</v>
      </c>
      <c r="C2887" t="s">
        <v>4650</v>
      </c>
      <c r="D2887" t="s">
        <v>5158</v>
      </c>
      <c r="E2887" t="s">
        <v>5159</v>
      </c>
    </row>
    <row r="2888" spans="1:5">
      <c r="A2888" t="s">
        <v>5244</v>
      </c>
      <c r="B2888" t="s">
        <v>1034</v>
      </c>
      <c r="C2888" t="s">
        <v>4651</v>
      </c>
      <c r="D2888" t="s">
        <v>5158</v>
      </c>
      <c r="E2888" t="s">
        <v>5159</v>
      </c>
    </row>
    <row r="2889" spans="1:5">
      <c r="A2889" t="s">
        <v>5244</v>
      </c>
      <c r="B2889" t="s">
        <v>6179</v>
      </c>
      <c r="C2889" t="s">
        <v>6180</v>
      </c>
      <c r="D2889" t="s">
        <v>5158</v>
      </c>
      <c r="E2889" t="s">
        <v>5159</v>
      </c>
    </row>
    <row r="2890" spans="1:5">
      <c r="A2890" t="s">
        <v>5244</v>
      </c>
      <c r="B2890" t="s">
        <v>4652</v>
      </c>
      <c r="C2890" t="s">
        <v>2244</v>
      </c>
      <c r="D2890" t="s">
        <v>5158</v>
      </c>
      <c r="E2890" t="s">
        <v>5159</v>
      </c>
    </row>
    <row r="2891" spans="1:5">
      <c r="A2891" t="s">
        <v>5244</v>
      </c>
      <c r="B2891" t="s">
        <v>4653</v>
      </c>
      <c r="C2891" t="s">
        <v>4654</v>
      </c>
      <c r="D2891" t="s">
        <v>5158</v>
      </c>
      <c r="E2891" t="s">
        <v>5159</v>
      </c>
    </row>
    <row r="2892" spans="1:5">
      <c r="A2892" t="s">
        <v>5244</v>
      </c>
      <c r="B2892" t="s">
        <v>4655</v>
      </c>
      <c r="C2892" t="s">
        <v>4656</v>
      </c>
      <c r="D2892" t="s">
        <v>5158</v>
      </c>
      <c r="E2892" t="s">
        <v>5159</v>
      </c>
    </row>
    <row r="2893" spans="1:5">
      <c r="A2893" t="s">
        <v>5244</v>
      </c>
      <c r="B2893" t="s">
        <v>1035</v>
      </c>
      <c r="C2893" t="s">
        <v>4657</v>
      </c>
      <c r="D2893" t="s">
        <v>5227</v>
      </c>
      <c r="E2893" t="s">
        <v>5192</v>
      </c>
    </row>
    <row r="2894" spans="1:5">
      <c r="A2894" t="s">
        <v>5244</v>
      </c>
      <c r="B2894" t="s">
        <v>1036</v>
      </c>
      <c r="C2894" t="s">
        <v>4658</v>
      </c>
      <c r="D2894" t="s">
        <v>5158</v>
      </c>
      <c r="E2894" t="s">
        <v>5159</v>
      </c>
    </row>
    <row r="2895" spans="1:5">
      <c r="A2895" t="s">
        <v>5244</v>
      </c>
      <c r="B2895" t="s">
        <v>4659</v>
      </c>
      <c r="C2895" t="s">
        <v>4660</v>
      </c>
      <c r="D2895" t="s">
        <v>5158</v>
      </c>
      <c r="E2895" t="s">
        <v>5159</v>
      </c>
    </row>
    <row r="2896" spans="1:5">
      <c r="A2896" t="s">
        <v>5244</v>
      </c>
      <c r="B2896" t="s">
        <v>4661</v>
      </c>
      <c r="C2896" t="s">
        <v>4662</v>
      </c>
      <c r="D2896" t="s">
        <v>5158</v>
      </c>
      <c r="E2896" t="s">
        <v>5159</v>
      </c>
    </row>
    <row r="2897" spans="1:5">
      <c r="A2897" t="s">
        <v>5244</v>
      </c>
      <c r="B2897" t="s">
        <v>1037</v>
      </c>
      <c r="C2897" t="s">
        <v>4663</v>
      </c>
      <c r="D2897" t="s">
        <v>5158</v>
      </c>
      <c r="E2897" t="s">
        <v>5159</v>
      </c>
    </row>
    <row r="2898" spans="1:5">
      <c r="A2898" t="s">
        <v>5244</v>
      </c>
      <c r="B2898" t="s">
        <v>1038</v>
      </c>
      <c r="C2898" t="s">
        <v>4664</v>
      </c>
      <c r="D2898" t="s">
        <v>5160</v>
      </c>
      <c r="E2898" t="s">
        <v>5159</v>
      </c>
    </row>
    <row r="2899" spans="1:5">
      <c r="A2899" t="s">
        <v>5244</v>
      </c>
      <c r="B2899" t="s">
        <v>1039</v>
      </c>
      <c r="C2899" t="s">
        <v>4665</v>
      </c>
      <c r="D2899" t="s">
        <v>5158</v>
      </c>
      <c r="E2899" t="s">
        <v>5159</v>
      </c>
    </row>
    <row r="2900" spans="1:5">
      <c r="A2900" t="s">
        <v>5244</v>
      </c>
      <c r="B2900" t="s">
        <v>1040</v>
      </c>
      <c r="C2900" t="s">
        <v>4666</v>
      </c>
      <c r="D2900" t="s">
        <v>5158</v>
      </c>
      <c r="E2900" t="s">
        <v>5159</v>
      </c>
    </row>
    <row r="2901" spans="1:5">
      <c r="A2901" t="s">
        <v>5244</v>
      </c>
      <c r="B2901" t="s">
        <v>4667</v>
      </c>
      <c r="C2901" t="s">
        <v>4668</v>
      </c>
      <c r="D2901" t="s">
        <v>5158</v>
      </c>
      <c r="E2901" t="s">
        <v>5159</v>
      </c>
    </row>
    <row r="2902" spans="1:5">
      <c r="A2902" t="s">
        <v>5244</v>
      </c>
      <c r="B2902" t="s">
        <v>4669</v>
      </c>
      <c r="C2902" t="s">
        <v>2071</v>
      </c>
      <c r="D2902" t="s">
        <v>5158</v>
      </c>
      <c r="E2902" t="s">
        <v>5159</v>
      </c>
    </row>
    <row r="2903" spans="1:5">
      <c r="A2903" t="s">
        <v>5244</v>
      </c>
      <c r="B2903" t="s">
        <v>4670</v>
      </c>
      <c r="C2903" t="s">
        <v>4671</v>
      </c>
      <c r="D2903" t="s">
        <v>5158</v>
      </c>
      <c r="E2903" t="s">
        <v>5159</v>
      </c>
    </row>
    <row r="2904" spans="1:5">
      <c r="A2904" t="s">
        <v>5244</v>
      </c>
      <c r="B2904" t="s">
        <v>4672</v>
      </c>
      <c r="C2904" t="s">
        <v>4673</v>
      </c>
      <c r="D2904" t="s">
        <v>5158</v>
      </c>
      <c r="E2904" t="s">
        <v>5159</v>
      </c>
    </row>
    <row r="2905" spans="1:5">
      <c r="A2905" t="s">
        <v>5244</v>
      </c>
      <c r="B2905" t="s">
        <v>4674</v>
      </c>
      <c r="C2905" t="s">
        <v>2042</v>
      </c>
      <c r="D2905" t="s">
        <v>5158</v>
      </c>
      <c r="E2905" t="s">
        <v>5159</v>
      </c>
    </row>
    <row r="2906" spans="1:5">
      <c r="A2906" t="s">
        <v>5244</v>
      </c>
      <c r="B2906" t="s">
        <v>1041</v>
      </c>
      <c r="C2906" t="s">
        <v>4675</v>
      </c>
      <c r="D2906" t="s">
        <v>5186</v>
      </c>
      <c r="E2906" t="s">
        <v>5159</v>
      </c>
    </row>
    <row r="2907" spans="1:5">
      <c r="A2907" t="s">
        <v>5244</v>
      </c>
      <c r="B2907" t="s">
        <v>1042</v>
      </c>
      <c r="C2907" t="s">
        <v>4676</v>
      </c>
      <c r="D2907" t="s">
        <v>5158</v>
      </c>
      <c r="E2907" t="s">
        <v>5159</v>
      </c>
    </row>
    <row r="2908" spans="1:5">
      <c r="A2908" t="s">
        <v>5244</v>
      </c>
      <c r="B2908" t="s">
        <v>4677</v>
      </c>
      <c r="C2908" t="s">
        <v>4678</v>
      </c>
      <c r="D2908" t="s">
        <v>5158</v>
      </c>
      <c r="E2908" t="s">
        <v>5159</v>
      </c>
    </row>
    <row r="2909" spans="1:5">
      <c r="A2909" t="s">
        <v>5244</v>
      </c>
      <c r="B2909" t="s">
        <v>1043</v>
      </c>
      <c r="C2909" t="s">
        <v>4679</v>
      </c>
      <c r="D2909" t="s">
        <v>5158</v>
      </c>
      <c r="E2909" t="s">
        <v>5159</v>
      </c>
    </row>
    <row r="2910" spans="1:5">
      <c r="A2910" t="s">
        <v>5244</v>
      </c>
      <c r="B2910" t="s">
        <v>4680</v>
      </c>
      <c r="C2910" t="s">
        <v>4681</v>
      </c>
      <c r="D2910" t="s">
        <v>5158</v>
      </c>
      <c r="E2910" t="s">
        <v>5159</v>
      </c>
    </row>
    <row r="2911" spans="1:5">
      <c r="A2911" t="s">
        <v>5244</v>
      </c>
      <c r="B2911" t="s">
        <v>4682</v>
      </c>
      <c r="C2911" t="s">
        <v>4683</v>
      </c>
      <c r="D2911" t="s">
        <v>5158</v>
      </c>
      <c r="E2911" t="s">
        <v>5159</v>
      </c>
    </row>
    <row r="2912" spans="1:5">
      <c r="A2912" t="s">
        <v>5244</v>
      </c>
      <c r="B2912" t="s">
        <v>4684</v>
      </c>
      <c r="C2912" t="s">
        <v>4685</v>
      </c>
      <c r="D2912" t="s">
        <v>5158</v>
      </c>
      <c r="E2912" t="s">
        <v>5159</v>
      </c>
    </row>
    <row r="2913" spans="1:5">
      <c r="A2913" t="s">
        <v>5244</v>
      </c>
      <c r="B2913" t="s">
        <v>4686</v>
      </c>
      <c r="C2913" t="s">
        <v>2033</v>
      </c>
      <c r="D2913" t="s">
        <v>5158</v>
      </c>
      <c r="E2913" t="s">
        <v>5159</v>
      </c>
    </row>
    <row r="2914" spans="1:5">
      <c r="A2914" t="s">
        <v>5244</v>
      </c>
      <c r="B2914" t="s">
        <v>6181</v>
      </c>
      <c r="C2914" t="s">
        <v>6182</v>
      </c>
      <c r="D2914" t="s">
        <v>5158</v>
      </c>
      <c r="E2914" t="s">
        <v>5159</v>
      </c>
    </row>
    <row r="2915" spans="1:5">
      <c r="A2915" t="s">
        <v>5244</v>
      </c>
      <c r="B2915" t="s">
        <v>4687</v>
      </c>
      <c r="C2915" t="s">
        <v>4688</v>
      </c>
      <c r="D2915" t="s">
        <v>5158</v>
      </c>
      <c r="E2915" t="s">
        <v>5159</v>
      </c>
    </row>
    <row r="2916" spans="1:5">
      <c r="A2916" t="s">
        <v>5244</v>
      </c>
      <c r="B2916" t="s">
        <v>6183</v>
      </c>
      <c r="C2916" t="s">
        <v>6184</v>
      </c>
      <c r="D2916" t="s">
        <v>5158</v>
      </c>
      <c r="E2916" t="s">
        <v>5159</v>
      </c>
    </row>
    <row r="2917" spans="1:5">
      <c r="A2917" t="s">
        <v>5244</v>
      </c>
      <c r="B2917" t="s">
        <v>4689</v>
      </c>
      <c r="C2917" t="s">
        <v>2058</v>
      </c>
      <c r="D2917" t="s">
        <v>5158</v>
      </c>
      <c r="E2917" t="s">
        <v>5159</v>
      </c>
    </row>
    <row r="2918" spans="1:5">
      <c r="A2918" t="s">
        <v>5244</v>
      </c>
      <c r="B2918" t="s">
        <v>4690</v>
      </c>
      <c r="C2918" t="s">
        <v>4691</v>
      </c>
      <c r="D2918" t="s">
        <v>5158</v>
      </c>
      <c r="E2918" t="s">
        <v>5159</v>
      </c>
    </row>
    <row r="2919" spans="1:5">
      <c r="A2919" t="s">
        <v>5244</v>
      </c>
      <c r="B2919" t="s">
        <v>4692</v>
      </c>
      <c r="C2919" t="s">
        <v>4693</v>
      </c>
      <c r="D2919" t="s">
        <v>5158</v>
      </c>
      <c r="E2919" t="s">
        <v>5159</v>
      </c>
    </row>
    <row r="2920" spans="1:5">
      <c r="A2920" t="s">
        <v>5244</v>
      </c>
      <c r="B2920" t="s">
        <v>1044</v>
      </c>
      <c r="C2920" t="s">
        <v>4694</v>
      </c>
      <c r="D2920" t="s">
        <v>5158</v>
      </c>
      <c r="E2920" t="s">
        <v>5159</v>
      </c>
    </row>
    <row r="2921" spans="1:5">
      <c r="A2921" t="s">
        <v>5244</v>
      </c>
      <c r="B2921" t="s">
        <v>4695</v>
      </c>
      <c r="C2921" t="s">
        <v>4696</v>
      </c>
      <c r="D2921" t="s">
        <v>5158</v>
      </c>
      <c r="E2921" t="s">
        <v>5159</v>
      </c>
    </row>
    <row r="2922" spans="1:5">
      <c r="A2922" t="s">
        <v>5244</v>
      </c>
      <c r="B2922" t="s">
        <v>4697</v>
      </c>
      <c r="C2922" t="s">
        <v>4698</v>
      </c>
      <c r="D2922" t="s">
        <v>5158</v>
      </c>
      <c r="E2922" t="s">
        <v>5159</v>
      </c>
    </row>
    <row r="2923" spans="1:5">
      <c r="A2923" t="s">
        <v>5244</v>
      </c>
      <c r="B2923" t="s">
        <v>4699</v>
      </c>
      <c r="C2923" t="s">
        <v>4700</v>
      </c>
      <c r="D2923" t="s">
        <v>5158</v>
      </c>
      <c r="E2923" t="s">
        <v>5159</v>
      </c>
    </row>
    <row r="2924" spans="1:5">
      <c r="A2924" t="s">
        <v>5244</v>
      </c>
      <c r="B2924" t="s">
        <v>1045</v>
      </c>
      <c r="C2924" t="s">
        <v>4701</v>
      </c>
      <c r="D2924" t="s">
        <v>5158</v>
      </c>
      <c r="E2924" t="s">
        <v>5159</v>
      </c>
    </row>
    <row r="2925" spans="1:5">
      <c r="A2925" t="s">
        <v>5244</v>
      </c>
      <c r="B2925" t="s">
        <v>1046</v>
      </c>
      <c r="C2925" t="s">
        <v>6185</v>
      </c>
      <c r="D2925" t="s">
        <v>5158</v>
      </c>
      <c r="E2925" t="s">
        <v>5159</v>
      </c>
    </row>
    <row r="2926" spans="1:5">
      <c r="A2926" t="s">
        <v>5244</v>
      </c>
      <c r="B2926" t="s">
        <v>1047</v>
      </c>
      <c r="C2926" t="s">
        <v>4702</v>
      </c>
      <c r="D2926" t="s">
        <v>5158</v>
      </c>
      <c r="E2926" t="s">
        <v>5159</v>
      </c>
    </row>
    <row r="2927" spans="1:5">
      <c r="A2927" t="s">
        <v>5244</v>
      </c>
      <c r="B2927" t="s">
        <v>1048</v>
      </c>
      <c r="C2927" t="s">
        <v>4703</v>
      </c>
      <c r="D2927" t="s">
        <v>5158</v>
      </c>
      <c r="E2927" t="s">
        <v>5159</v>
      </c>
    </row>
    <row r="2928" spans="1:5">
      <c r="A2928" t="s">
        <v>5244</v>
      </c>
      <c r="B2928" t="s">
        <v>6186</v>
      </c>
      <c r="C2928" t="s">
        <v>6187</v>
      </c>
      <c r="D2928" t="s">
        <v>5158</v>
      </c>
      <c r="E2928" t="s">
        <v>5159</v>
      </c>
    </row>
    <row r="2929" spans="1:5">
      <c r="A2929" t="s">
        <v>5244</v>
      </c>
      <c r="B2929" t="s">
        <v>4704</v>
      </c>
      <c r="C2929" t="s">
        <v>4705</v>
      </c>
      <c r="D2929" t="s">
        <v>5158</v>
      </c>
      <c r="E2929" t="s">
        <v>5159</v>
      </c>
    </row>
    <row r="2930" spans="1:5">
      <c r="A2930" t="s">
        <v>5244</v>
      </c>
      <c r="B2930" t="s">
        <v>4706</v>
      </c>
      <c r="C2930" t="s">
        <v>4707</v>
      </c>
      <c r="D2930" t="s">
        <v>5158</v>
      </c>
      <c r="E2930" t="s">
        <v>5159</v>
      </c>
    </row>
    <row r="2931" spans="1:5">
      <c r="A2931" t="s">
        <v>5244</v>
      </c>
      <c r="B2931" t="s">
        <v>4708</v>
      </c>
      <c r="C2931" t="s">
        <v>4709</v>
      </c>
      <c r="D2931" t="s">
        <v>5158</v>
      </c>
      <c r="E2931" t="s">
        <v>5159</v>
      </c>
    </row>
    <row r="2932" spans="1:5">
      <c r="A2932" t="s">
        <v>5244</v>
      </c>
      <c r="B2932" t="s">
        <v>1049</v>
      </c>
      <c r="C2932" t="s">
        <v>4710</v>
      </c>
      <c r="D2932" t="s">
        <v>5161</v>
      </c>
      <c r="E2932" t="s">
        <v>5159</v>
      </c>
    </row>
    <row r="2933" spans="1:5">
      <c r="A2933" t="s">
        <v>5244</v>
      </c>
      <c r="B2933" t="s">
        <v>4711</v>
      </c>
      <c r="C2933" t="s">
        <v>4712</v>
      </c>
      <c r="D2933" t="s">
        <v>5158</v>
      </c>
      <c r="E2933" t="s">
        <v>5159</v>
      </c>
    </row>
    <row r="2934" spans="1:5">
      <c r="A2934" t="s">
        <v>5244</v>
      </c>
      <c r="B2934" t="s">
        <v>4714</v>
      </c>
      <c r="C2934" t="s">
        <v>4715</v>
      </c>
      <c r="D2934" t="s">
        <v>5158</v>
      </c>
      <c r="E2934" t="s">
        <v>5159</v>
      </c>
    </row>
    <row r="2935" spans="1:5">
      <c r="A2935" t="s">
        <v>5244</v>
      </c>
      <c r="B2935" t="s">
        <v>1050</v>
      </c>
      <c r="C2935" t="s">
        <v>4716</v>
      </c>
      <c r="D2935" t="s">
        <v>5158</v>
      </c>
      <c r="E2935" t="s">
        <v>5159</v>
      </c>
    </row>
    <row r="2936" spans="1:5">
      <c r="A2936" t="s">
        <v>5244</v>
      </c>
      <c r="B2936" t="s">
        <v>6188</v>
      </c>
      <c r="C2936" t="s">
        <v>6189</v>
      </c>
      <c r="D2936" t="s">
        <v>5158</v>
      </c>
      <c r="E2936" t="s">
        <v>5159</v>
      </c>
    </row>
    <row r="2937" spans="1:5">
      <c r="A2937" t="s">
        <v>5244</v>
      </c>
      <c r="B2937" t="s">
        <v>1051</v>
      </c>
      <c r="C2937" t="s">
        <v>4717</v>
      </c>
      <c r="D2937" t="s">
        <v>5158</v>
      </c>
      <c r="E2937" t="s">
        <v>5159</v>
      </c>
    </row>
    <row r="2938" spans="1:5">
      <c r="A2938" t="s">
        <v>5244</v>
      </c>
      <c r="B2938" t="s">
        <v>6190</v>
      </c>
      <c r="C2938" t="s">
        <v>6191</v>
      </c>
      <c r="D2938" t="s">
        <v>5158</v>
      </c>
      <c r="E2938" t="s">
        <v>5159</v>
      </c>
    </row>
    <row r="2939" spans="1:5">
      <c r="A2939" t="s">
        <v>5244</v>
      </c>
      <c r="B2939" t="s">
        <v>4718</v>
      </c>
      <c r="C2939" t="s">
        <v>4719</v>
      </c>
      <c r="D2939" t="s">
        <v>5158</v>
      </c>
      <c r="E2939" t="s">
        <v>5159</v>
      </c>
    </row>
    <row r="2940" spans="1:5">
      <c r="A2940" t="s">
        <v>5244</v>
      </c>
      <c r="B2940" t="s">
        <v>6192</v>
      </c>
      <c r="C2940" t="s">
        <v>6193</v>
      </c>
      <c r="D2940" t="s">
        <v>5158</v>
      </c>
      <c r="E2940" t="s">
        <v>5159</v>
      </c>
    </row>
    <row r="2941" spans="1:5">
      <c r="A2941" t="s">
        <v>5244</v>
      </c>
      <c r="B2941" t="s">
        <v>4720</v>
      </c>
      <c r="C2941" t="s">
        <v>4721</v>
      </c>
      <c r="D2941" t="s">
        <v>5187</v>
      </c>
      <c r="E2941" t="s">
        <v>5159</v>
      </c>
    </row>
    <row r="2942" spans="1:5">
      <c r="A2942" t="s">
        <v>5244</v>
      </c>
      <c r="B2942" t="s">
        <v>4722</v>
      </c>
      <c r="C2942" t="s">
        <v>4723</v>
      </c>
      <c r="D2942" t="s">
        <v>5202</v>
      </c>
      <c r="E2942" t="s">
        <v>5159</v>
      </c>
    </row>
    <row r="2943" spans="1:5">
      <c r="A2943" t="s">
        <v>5244</v>
      </c>
      <c r="B2943" t="s">
        <v>4724</v>
      </c>
      <c r="C2943" t="s">
        <v>4725</v>
      </c>
      <c r="D2943" t="s">
        <v>5158</v>
      </c>
      <c r="E2943" t="s">
        <v>5159</v>
      </c>
    </row>
    <row r="2944" spans="1:5">
      <c r="A2944" t="s">
        <v>5244</v>
      </c>
      <c r="B2944" t="s">
        <v>4726</v>
      </c>
      <c r="C2944" t="s">
        <v>4727</v>
      </c>
      <c r="D2944" t="s">
        <v>5158</v>
      </c>
      <c r="E2944" t="s">
        <v>5159</v>
      </c>
    </row>
    <row r="2945" spans="1:5">
      <c r="A2945" t="s">
        <v>5244</v>
      </c>
      <c r="B2945" t="s">
        <v>6194</v>
      </c>
      <c r="C2945" t="s">
        <v>6195</v>
      </c>
      <c r="D2945" t="s">
        <v>5158</v>
      </c>
      <c r="E2945" t="s">
        <v>5159</v>
      </c>
    </row>
    <row r="2946" spans="1:5">
      <c r="A2946" t="s">
        <v>5244</v>
      </c>
      <c r="B2946" t="s">
        <v>4728</v>
      </c>
      <c r="C2946" t="s">
        <v>4729</v>
      </c>
      <c r="D2946" t="s">
        <v>5158</v>
      </c>
      <c r="E2946" t="s">
        <v>5159</v>
      </c>
    </row>
    <row r="2947" spans="1:5">
      <c r="A2947" t="s">
        <v>5244</v>
      </c>
      <c r="B2947" t="s">
        <v>6196</v>
      </c>
      <c r="C2947" t="s">
        <v>6197</v>
      </c>
      <c r="D2947" t="s">
        <v>5158</v>
      </c>
      <c r="E2947" t="s">
        <v>5159</v>
      </c>
    </row>
    <row r="2948" spans="1:5">
      <c r="A2948" t="s">
        <v>5244</v>
      </c>
      <c r="B2948" t="s">
        <v>1052</v>
      </c>
      <c r="C2948" t="s">
        <v>4730</v>
      </c>
      <c r="D2948" t="s">
        <v>5190</v>
      </c>
      <c r="E2948" t="s">
        <v>5159</v>
      </c>
    </row>
    <row r="2949" spans="1:5">
      <c r="A2949" t="s">
        <v>5244</v>
      </c>
      <c r="B2949" t="s">
        <v>4731</v>
      </c>
      <c r="C2949" t="s">
        <v>4732</v>
      </c>
      <c r="D2949" t="s">
        <v>5158</v>
      </c>
      <c r="E2949" t="s">
        <v>5159</v>
      </c>
    </row>
    <row r="2950" spans="1:5">
      <c r="A2950" t="s">
        <v>5244</v>
      </c>
      <c r="B2950" t="s">
        <v>4733</v>
      </c>
      <c r="C2950" t="s">
        <v>4734</v>
      </c>
      <c r="D2950" t="s">
        <v>5158</v>
      </c>
      <c r="E2950" t="s">
        <v>5159</v>
      </c>
    </row>
    <row r="2951" spans="1:5">
      <c r="A2951" t="s">
        <v>5244</v>
      </c>
      <c r="B2951" t="s">
        <v>1053</v>
      </c>
      <c r="C2951" t="s">
        <v>4735</v>
      </c>
      <c r="D2951" t="s">
        <v>5158</v>
      </c>
      <c r="E2951" t="s">
        <v>5159</v>
      </c>
    </row>
    <row r="2952" spans="1:5">
      <c r="A2952" t="s">
        <v>5244</v>
      </c>
      <c r="B2952" t="s">
        <v>4736</v>
      </c>
      <c r="C2952" t="s">
        <v>4737</v>
      </c>
      <c r="D2952" t="s">
        <v>5158</v>
      </c>
      <c r="E2952" t="s">
        <v>5159</v>
      </c>
    </row>
    <row r="2953" spans="1:5">
      <c r="A2953" t="s">
        <v>5244</v>
      </c>
      <c r="B2953" t="s">
        <v>4738</v>
      </c>
      <c r="C2953" t="s">
        <v>4739</v>
      </c>
      <c r="D2953" t="s">
        <v>5187</v>
      </c>
      <c r="E2953" t="s">
        <v>5159</v>
      </c>
    </row>
    <row r="2954" spans="1:5">
      <c r="A2954" t="s">
        <v>5244</v>
      </c>
      <c r="B2954" t="s">
        <v>4740</v>
      </c>
      <c r="C2954" t="s">
        <v>4741</v>
      </c>
      <c r="D2954" t="s">
        <v>5161</v>
      </c>
      <c r="E2954" t="s">
        <v>5159</v>
      </c>
    </row>
    <row r="2955" spans="1:5">
      <c r="A2955" t="s">
        <v>5244</v>
      </c>
      <c r="B2955" t="s">
        <v>6198</v>
      </c>
      <c r="C2955" t="s">
        <v>6199</v>
      </c>
      <c r="D2955" t="s">
        <v>5158</v>
      </c>
      <c r="E2955" t="s">
        <v>5159</v>
      </c>
    </row>
    <row r="2956" spans="1:5">
      <c r="A2956" t="s">
        <v>5244</v>
      </c>
      <c r="B2956" t="s">
        <v>4742</v>
      </c>
      <c r="C2956" t="s">
        <v>4743</v>
      </c>
      <c r="D2956" t="s">
        <v>5161</v>
      </c>
      <c r="E2956" t="s">
        <v>5159</v>
      </c>
    </row>
    <row r="2957" spans="1:5">
      <c r="A2957" t="s">
        <v>5244</v>
      </c>
      <c r="B2957" t="s">
        <v>6200</v>
      </c>
      <c r="C2957" t="s">
        <v>1492</v>
      </c>
      <c r="D2957" t="s">
        <v>5161</v>
      </c>
      <c r="E2957" t="s">
        <v>5159</v>
      </c>
    </row>
    <row r="2958" spans="1:5">
      <c r="A2958" t="s">
        <v>5244</v>
      </c>
      <c r="B2958" t="s">
        <v>4744</v>
      </c>
      <c r="C2958" t="s">
        <v>4745</v>
      </c>
      <c r="D2958" t="s">
        <v>5161</v>
      </c>
      <c r="E2958" t="s">
        <v>5159</v>
      </c>
    </row>
    <row r="2959" spans="1:5">
      <c r="A2959" t="s">
        <v>5244</v>
      </c>
      <c r="B2959" t="s">
        <v>1054</v>
      </c>
      <c r="C2959" t="s">
        <v>4746</v>
      </c>
      <c r="D2959" t="s">
        <v>5161</v>
      </c>
      <c r="E2959" t="s">
        <v>5159</v>
      </c>
    </row>
    <row r="2960" spans="1:5">
      <c r="A2960" t="s">
        <v>5244</v>
      </c>
      <c r="B2960" t="s">
        <v>1055</v>
      </c>
      <c r="C2960" t="s">
        <v>4747</v>
      </c>
      <c r="D2960" t="s">
        <v>5186</v>
      </c>
      <c r="E2960" t="s">
        <v>5159</v>
      </c>
    </row>
    <row r="2961" spans="1:5">
      <c r="A2961" t="s">
        <v>5244</v>
      </c>
      <c r="B2961" t="s">
        <v>6201</v>
      </c>
      <c r="C2961" t="s">
        <v>6202</v>
      </c>
      <c r="D2961" t="s">
        <v>5186</v>
      </c>
      <c r="E2961" t="s">
        <v>5159</v>
      </c>
    </row>
    <row r="2962" spans="1:5">
      <c r="A2962" t="s">
        <v>5244</v>
      </c>
      <c r="B2962" t="s">
        <v>6203</v>
      </c>
      <c r="C2962" t="s">
        <v>6204</v>
      </c>
      <c r="D2962" t="s">
        <v>5158</v>
      </c>
      <c r="E2962" t="s">
        <v>5159</v>
      </c>
    </row>
    <row r="2963" spans="1:5">
      <c r="A2963" t="s">
        <v>5244</v>
      </c>
      <c r="B2963" t="s">
        <v>6205</v>
      </c>
      <c r="C2963" t="s">
        <v>6206</v>
      </c>
      <c r="D2963" t="s">
        <v>5158</v>
      </c>
      <c r="E2963" t="s">
        <v>5159</v>
      </c>
    </row>
    <row r="2964" spans="1:5">
      <c r="A2964" t="s">
        <v>5244</v>
      </c>
      <c r="B2964" t="s">
        <v>6207</v>
      </c>
      <c r="C2964" t="s">
        <v>6208</v>
      </c>
      <c r="D2964" t="s">
        <v>5157</v>
      </c>
      <c r="E2964" t="s">
        <v>5157</v>
      </c>
    </row>
    <row r="2965" spans="1:5">
      <c r="A2965" t="s">
        <v>5244</v>
      </c>
      <c r="B2965" t="s">
        <v>4748</v>
      </c>
      <c r="C2965" t="s">
        <v>4749</v>
      </c>
      <c r="D2965" t="s">
        <v>5158</v>
      </c>
      <c r="E2965" t="s">
        <v>5159</v>
      </c>
    </row>
    <row r="2966" spans="1:5">
      <c r="A2966" t="s">
        <v>5244</v>
      </c>
      <c r="B2966" t="s">
        <v>4750</v>
      </c>
      <c r="C2966" t="s">
        <v>4751</v>
      </c>
      <c r="D2966" t="s">
        <v>5158</v>
      </c>
      <c r="E2966" t="s">
        <v>5159</v>
      </c>
    </row>
    <row r="2967" spans="1:5">
      <c r="A2967" t="s">
        <v>5244</v>
      </c>
      <c r="B2967" t="s">
        <v>4752</v>
      </c>
      <c r="C2967" t="s">
        <v>4753</v>
      </c>
      <c r="D2967" t="s">
        <v>5158</v>
      </c>
      <c r="E2967" t="s">
        <v>5159</v>
      </c>
    </row>
    <row r="2968" spans="1:5">
      <c r="A2968" t="s">
        <v>5244</v>
      </c>
      <c r="B2968" t="s">
        <v>6209</v>
      </c>
      <c r="C2968" t="s">
        <v>6210</v>
      </c>
      <c r="D2968" t="s">
        <v>5158</v>
      </c>
      <c r="E2968" t="s">
        <v>5159</v>
      </c>
    </row>
    <row r="2969" spans="1:5">
      <c r="A2969" t="s">
        <v>5244</v>
      </c>
      <c r="B2969" t="s">
        <v>1056</v>
      </c>
      <c r="C2969" t="s">
        <v>4754</v>
      </c>
      <c r="D2969" t="s">
        <v>5158</v>
      </c>
      <c r="E2969" t="s">
        <v>5159</v>
      </c>
    </row>
    <row r="2970" spans="1:5">
      <c r="A2970" t="s">
        <v>5244</v>
      </c>
      <c r="B2970" t="s">
        <v>4755</v>
      </c>
      <c r="C2970" t="s">
        <v>4756</v>
      </c>
      <c r="D2970" t="s">
        <v>5158</v>
      </c>
      <c r="E2970" t="s">
        <v>5159</v>
      </c>
    </row>
    <row r="2971" spans="1:5">
      <c r="A2971" t="s">
        <v>5244</v>
      </c>
      <c r="B2971" t="s">
        <v>6211</v>
      </c>
      <c r="C2971" t="s">
        <v>6212</v>
      </c>
      <c r="D2971" t="s">
        <v>5161</v>
      </c>
      <c r="E2971" t="s">
        <v>5159</v>
      </c>
    </row>
    <row r="2972" spans="1:5">
      <c r="A2972" t="s">
        <v>5244</v>
      </c>
      <c r="B2972" t="s">
        <v>1057</v>
      </c>
      <c r="C2972" t="s">
        <v>6213</v>
      </c>
      <c r="D2972" t="s">
        <v>5161</v>
      </c>
      <c r="E2972" t="s">
        <v>5159</v>
      </c>
    </row>
    <row r="2973" spans="1:5">
      <c r="A2973" t="s">
        <v>5244</v>
      </c>
      <c r="B2973" t="s">
        <v>4757</v>
      </c>
      <c r="C2973" t="s">
        <v>4758</v>
      </c>
      <c r="D2973" t="s">
        <v>5158</v>
      </c>
      <c r="E2973" t="s">
        <v>5159</v>
      </c>
    </row>
    <row r="2974" spans="1:5">
      <c r="A2974" t="s">
        <v>5244</v>
      </c>
      <c r="B2974" t="s">
        <v>6214</v>
      </c>
      <c r="C2974" t="s">
        <v>6215</v>
      </c>
      <c r="D2974" t="s">
        <v>5158</v>
      </c>
      <c r="E2974" t="s">
        <v>5159</v>
      </c>
    </row>
    <row r="2975" spans="1:5">
      <c r="A2975" t="s">
        <v>5244</v>
      </c>
      <c r="B2975" t="s">
        <v>4759</v>
      </c>
      <c r="C2975" t="s">
        <v>2072</v>
      </c>
      <c r="D2975" t="s">
        <v>5158</v>
      </c>
      <c r="E2975" t="s">
        <v>5159</v>
      </c>
    </row>
    <row r="2976" spans="1:5">
      <c r="A2976" t="s">
        <v>5244</v>
      </c>
      <c r="B2976" t="s">
        <v>4760</v>
      </c>
      <c r="C2976" t="s">
        <v>4761</v>
      </c>
      <c r="D2976" t="s">
        <v>5158</v>
      </c>
      <c r="E2976" t="s">
        <v>5159</v>
      </c>
    </row>
    <row r="2977" spans="1:5">
      <c r="A2977" t="s">
        <v>5244</v>
      </c>
      <c r="B2977" t="s">
        <v>6216</v>
      </c>
      <c r="C2977" t="s">
        <v>6217</v>
      </c>
      <c r="D2977" t="s">
        <v>5158</v>
      </c>
      <c r="E2977" t="s">
        <v>5159</v>
      </c>
    </row>
    <row r="2978" spans="1:5">
      <c r="A2978" t="s">
        <v>5244</v>
      </c>
      <c r="B2978" t="s">
        <v>6218</v>
      </c>
      <c r="C2978" t="s">
        <v>6219</v>
      </c>
      <c r="D2978" t="s">
        <v>5158</v>
      </c>
      <c r="E2978" t="s">
        <v>5159</v>
      </c>
    </row>
    <row r="2979" spans="1:5">
      <c r="A2979" t="s">
        <v>5244</v>
      </c>
      <c r="B2979" t="s">
        <v>4762</v>
      </c>
      <c r="C2979" t="s">
        <v>4763</v>
      </c>
      <c r="D2979" t="s">
        <v>5158</v>
      </c>
      <c r="E2979" t="s">
        <v>5159</v>
      </c>
    </row>
    <row r="2980" spans="1:5">
      <c r="A2980" t="s">
        <v>5244</v>
      </c>
      <c r="B2980" t="s">
        <v>4764</v>
      </c>
      <c r="C2980" t="s">
        <v>4765</v>
      </c>
      <c r="D2980" t="s">
        <v>5158</v>
      </c>
      <c r="E2980" t="s">
        <v>5159</v>
      </c>
    </row>
    <row r="2981" spans="1:5">
      <c r="A2981" t="s">
        <v>5244</v>
      </c>
      <c r="B2981" t="s">
        <v>4766</v>
      </c>
      <c r="C2981" t="s">
        <v>4767</v>
      </c>
      <c r="D2981" t="s">
        <v>5158</v>
      </c>
      <c r="E2981" t="s">
        <v>5159</v>
      </c>
    </row>
    <row r="2982" spans="1:5">
      <c r="A2982" t="s">
        <v>5244</v>
      </c>
      <c r="B2982" t="s">
        <v>4768</v>
      </c>
      <c r="C2982" t="s">
        <v>4769</v>
      </c>
      <c r="D2982" t="s">
        <v>5158</v>
      </c>
      <c r="E2982" t="s">
        <v>5159</v>
      </c>
    </row>
    <row r="2983" spans="1:5">
      <c r="A2983" t="s">
        <v>5244</v>
      </c>
      <c r="B2983" t="s">
        <v>4770</v>
      </c>
      <c r="C2983" t="s">
        <v>4771</v>
      </c>
      <c r="D2983" t="s">
        <v>5158</v>
      </c>
      <c r="E2983" t="s">
        <v>5159</v>
      </c>
    </row>
    <row r="2984" spans="1:5">
      <c r="A2984" t="s">
        <v>5244</v>
      </c>
      <c r="B2984" t="s">
        <v>4772</v>
      </c>
      <c r="C2984" t="s">
        <v>4773</v>
      </c>
      <c r="D2984" t="s">
        <v>5194</v>
      </c>
      <c r="E2984" t="s">
        <v>5159</v>
      </c>
    </row>
    <row r="2985" spans="1:5">
      <c r="A2985" t="s">
        <v>5244</v>
      </c>
      <c r="B2985" t="s">
        <v>4774</v>
      </c>
      <c r="C2985" t="s">
        <v>4775</v>
      </c>
      <c r="D2985" t="s">
        <v>5158</v>
      </c>
      <c r="E2985" t="s">
        <v>5159</v>
      </c>
    </row>
    <row r="2986" spans="1:5">
      <c r="A2986" t="s">
        <v>5244</v>
      </c>
      <c r="B2986" t="s">
        <v>4776</v>
      </c>
      <c r="C2986" t="s">
        <v>4777</v>
      </c>
      <c r="D2986" t="s">
        <v>5187</v>
      </c>
      <c r="E2986" t="s">
        <v>5159</v>
      </c>
    </row>
    <row r="2987" spans="1:5">
      <c r="A2987" t="s">
        <v>5244</v>
      </c>
      <c r="B2987" t="s">
        <v>6220</v>
      </c>
      <c r="C2987" t="s">
        <v>6221</v>
      </c>
      <c r="D2987" t="s">
        <v>5158</v>
      </c>
      <c r="E2987" t="s">
        <v>5159</v>
      </c>
    </row>
    <row r="2988" spans="1:5">
      <c r="A2988" t="s">
        <v>5244</v>
      </c>
      <c r="B2988" t="s">
        <v>4778</v>
      </c>
      <c r="C2988" t="s">
        <v>4779</v>
      </c>
      <c r="D2988" t="s">
        <v>5158</v>
      </c>
      <c r="E2988" t="s">
        <v>5159</v>
      </c>
    </row>
    <row r="2989" spans="1:5">
      <c r="A2989" t="s">
        <v>5244</v>
      </c>
      <c r="B2989" t="s">
        <v>4780</v>
      </c>
      <c r="C2989" t="s">
        <v>4781</v>
      </c>
      <c r="D2989" t="s">
        <v>5158</v>
      </c>
      <c r="E2989" t="s">
        <v>5159</v>
      </c>
    </row>
    <row r="2990" spans="1:5">
      <c r="A2990" t="s">
        <v>5244</v>
      </c>
      <c r="B2990" t="s">
        <v>4782</v>
      </c>
      <c r="C2990" t="s">
        <v>4783</v>
      </c>
      <c r="D2990" t="s">
        <v>5158</v>
      </c>
      <c r="E2990" t="s">
        <v>5159</v>
      </c>
    </row>
    <row r="2991" spans="1:5">
      <c r="A2991" t="s">
        <v>5244</v>
      </c>
      <c r="B2991" t="s">
        <v>4784</v>
      </c>
      <c r="C2991" t="s">
        <v>4785</v>
      </c>
      <c r="D2991" t="s">
        <v>5158</v>
      </c>
      <c r="E2991" t="s">
        <v>5159</v>
      </c>
    </row>
    <row r="2992" spans="1:5">
      <c r="A2992" t="s">
        <v>5244</v>
      </c>
      <c r="B2992" t="s">
        <v>6222</v>
      </c>
      <c r="C2992" t="s">
        <v>6223</v>
      </c>
      <c r="D2992" t="s">
        <v>5158</v>
      </c>
      <c r="E2992" t="s">
        <v>5159</v>
      </c>
    </row>
    <row r="2993" spans="1:5">
      <c r="A2993" t="s">
        <v>5244</v>
      </c>
      <c r="B2993" t="s">
        <v>4786</v>
      </c>
      <c r="C2993" t="s">
        <v>4787</v>
      </c>
      <c r="D2993" t="s">
        <v>5158</v>
      </c>
      <c r="E2993" t="s">
        <v>5159</v>
      </c>
    </row>
    <row r="2994" spans="1:5">
      <c r="A2994" t="s">
        <v>5244</v>
      </c>
      <c r="B2994" t="s">
        <v>4788</v>
      </c>
      <c r="C2994" t="s">
        <v>4789</v>
      </c>
      <c r="D2994" t="s">
        <v>5158</v>
      </c>
      <c r="E2994" t="s">
        <v>5159</v>
      </c>
    </row>
    <row r="2995" spans="1:5">
      <c r="A2995" t="s">
        <v>5244</v>
      </c>
      <c r="B2995" t="s">
        <v>4790</v>
      </c>
      <c r="C2995" t="s">
        <v>4791</v>
      </c>
      <c r="D2995" t="s">
        <v>5158</v>
      </c>
      <c r="E2995" t="s">
        <v>5159</v>
      </c>
    </row>
    <row r="2996" spans="1:5">
      <c r="A2996" t="s">
        <v>5244</v>
      </c>
      <c r="B2996" t="s">
        <v>1058</v>
      </c>
      <c r="C2996" t="s">
        <v>4792</v>
      </c>
      <c r="D2996" t="s">
        <v>5158</v>
      </c>
      <c r="E2996" t="s">
        <v>5159</v>
      </c>
    </row>
    <row r="2997" spans="1:5">
      <c r="A2997" t="s">
        <v>5244</v>
      </c>
      <c r="B2997" t="s">
        <v>1059</v>
      </c>
      <c r="C2997" t="s">
        <v>4793</v>
      </c>
      <c r="D2997" t="s">
        <v>5158</v>
      </c>
      <c r="E2997" t="s">
        <v>5159</v>
      </c>
    </row>
    <row r="2998" spans="1:5">
      <c r="A2998" t="s">
        <v>5244</v>
      </c>
      <c r="B2998" t="s">
        <v>4794</v>
      </c>
      <c r="C2998" t="s">
        <v>4795</v>
      </c>
      <c r="D2998" t="s">
        <v>5158</v>
      </c>
      <c r="E2998" t="s">
        <v>5159</v>
      </c>
    </row>
    <row r="2999" spans="1:5">
      <c r="A2999" t="s">
        <v>5244</v>
      </c>
      <c r="B2999" t="s">
        <v>4796</v>
      </c>
      <c r="C2999" t="s">
        <v>4797</v>
      </c>
      <c r="D2999" t="s">
        <v>5158</v>
      </c>
      <c r="E2999" t="s">
        <v>5159</v>
      </c>
    </row>
    <row r="3000" spans="1:5">
      <c r="A3000" t="s">
        <v>5244</v>
      </c>
      <c r="B3000" t="s">
        <v>6224</v>
      </c>
      <c r="C3000" t="s">
        <v>2012</v>
      </c>
      <c r="D3000" t="s">
        <v>5158</v>
      </c>
      <c r="E3000" t="s">
        <v>5159</v>
      </c>
    </row>
    <row r="3001" spans="1:5">
      <c r="A3001" t="s">
        <v>5244</v>
      </c>
      <c r="B3001" t="s">
        <v>1060</v>
      </c>
      <c r="C3001" t="s">
        <v>4798</v>
      </c>
      <c r="D3001" t="s">
        <v>5158</v>
      </c>
      <c r="E3001" t="s">
        <v>5159</v>
      </c>
    </row>
    <row r="3002" spans="1:5">
      <c r="A3002" t="s">
        <v>5244</v>
      </c>
      <c r="B3002" t="s">
        <v>4799</v>
      </c>
      <c r="C3002" t="s">
        <v>4800</v>
      </c>
      <c r="D3002" t="s">
        <v>5158</v>
      </c>
      <c r="E3002" t="s">
        <v>5159</v>
      </c>
    </row>
    <row r="3003" spans="1:5">
      <c r="A3003" t="s">
        <v>5244</v>
      </c>
      <c r="B3003" t="s">
        <v>6225</v>
      </c>
      <c r="C3003" t="s">
        <v>1934</v>
      </c>
      <c r="D3003" t="s">
        <v>5158</v>
      </c>
      <c r="E3003" t="s">
        <v>5159</v>
      </c>
    </row>
    <row r="3004" spans="1:5">
      <c r="A3004" t="s">
        <v>5244</v>
      </c>
      <c r="B3004" t="s">
        <v>4801</v>
      </c>
      <c r="C3004" t="s">
        <v>4802</v>
      </c>
      <c r="D3004" t="s">
        <v>5158</v>
      </c>
      <c r="E3004" t="s">
        <v>5159</v>
      </c>
    </row>
    <row r="3005" spans="1:5">
      <c r="A3005" t="s">
        <v>5244</v>
      </c>
      <c r="B3005" t="s">
        <v>4803</v>
      </c>
      <c r="C3005" t="s">
        <v>4804</v>
      </c>
      <c r="D3005" t="s">
        <v>5158</v>
      </c>
      <c r="E3005" t="s">
        <v>5159</v>
      </c>
    </row>
    <row r="3006" spans="1:5">
      <c r="A3006" t="s">
        <v>5244</v>
      </c>
      <c r="B3006" t="s">
        <v>4805</v>
      </c>
      <c r="C3006" t="s">
        <v>4806</v>
      </c>
      <c r="D3006" t="s">
        <v>5158</v>
      </c>
      <c r="E3006" t="s">
        <v>5159</v>
      </c>
    </row>
    <row r="3007" spans="1:5">
      <c r="A3007" t="s">
        <v>5244</v>
      </c>
      <c r="B3007" t="s">
        <v>6226</v>
      </c>
      <c r="C3007" t="s">
        <v>6227</v>
      </c>
      <c r="D3007" t="s">
        <v>5158</v>
      </c>
      <c r="E3007" t="s">
        <v>5159</v>
      </c>
    </row>
    <row r="3008" spans="1:5">
      <c r="A3008" t="s">
        <v>5244</v>
      </c>
      <c r="B3008" t="s">
        <v>1061</v>
      </c>
      <c r="C3008" t="s">
        <v>4807</v>
      </c>
      <c r="D3008" t="s">
        <v>5158</v>
      </c>
      <c r="E3008" t="s">
        <v>5159</v>
      </c>
    </row>
    <row r="3009" spans="1:5">
      <c r="A3009" t="s">
        <v>5244</v>
      </c>
      <c r="B3009" t="s">
        <v>4808</v>
      </c>
      <c r="C3009" t="s">
        <v>4809</v>
      </c>
      <c r="D3009" t="s">
        <v>5161</v>
      </c>
      <c r="E3009" t="s">
        <v>5159</v>
      </c>
    </row>
    <row r="3010" spans="1:5">
      <c r="A3010" t="s">
        <v>5244</v>
      </c>
      <c r="B3010" t="s">
        <v>1062</v>
      </c>
      <c r="C3010" t="s">
        <v>4810</v>
      </c>
      <c r="D3010" t="s">
        <v>5194</v>
      </c>
      <c r="E3010" t="s">
        <v>5159</v>
      </c>
    </row>
    <row r="3011" spans="1:5">
      <c r="A3011" t="s">
        <v>5244</v>
      </c>
      <c r="B3011" t="s">
        <v>4811</v>
      </c>
      <c r="C3011" t="s">
        <v>4812</v>
      </c>
      <c r="D3011" t="s">
        <v>5194</v>
      </c>
      <c r="E3011" t="s">
        <v>5159</v>
      </c>
    </row>
    <row r="3012" spans="1:5">
      <c r="A3012" t="s">
        <v>5244</v>
      </c>
      <c r="B3012" t="s">
        <v>4813</v>
      </c>
      <c r="C3012" t="s">
        <v>4814</v>
      </c>
      <c r="D3012" t="s">
        <v>5190</v>
      </c>
      <c r="E3012" t="s">
        <v>5159</v>
      </c>
    </row>
    <row r="3013" spans="1:5">
      <c r="A3013" t="s">
        <v>5244</v>
      </c>
      <c r="B3013" t="s">
        <v>4815</v>
      </c>
      <c r="C3013" t="s">
        <v>4816</v>
      </c>
      <c r="D3013" t="s">
        <v>5158</v>
      </c>
      <c r="E3013" t="s">
        <v>5159</v>
      </c>
    </row>
    <row r="3014" spans="1:5">
      <c r="A3014" t="s">
        <v>5244</v>
      </c>
      <c r="B3014" t="s">
        <v>1063</v>
      </c>
      <c r="C3014" t="s">
        <v>4817</v>
      </c>
      <c r="D3014" t="s">
        <v>5158</v>
      </c>
      <c r="E3014" t="s">
        <v>5159</v>
      </c>
    </row>
    <row r="3015" spans="1:5">
      <c r="A3015" t="s">
        <v>5244</v>
      </c>
      <c r="B3015" t="s">
        <v>1064</v>
      </c>
      <c r="C3015" t="s">
        <v>4818</v>
      </c>
      <c r="D3015" t="s">
        <v>5158</v>
      </c>
      <c r="E3015" t="s">
        <v>5159</v>
      </c>
    </row>
    <row r="3016" spans="1:5">
      <c r="A3016" t="s">
        <v>5244</v>
      </c>
      <c r="B3016" t="s">
        <v>1065</v>
      </c>
      <c r="C3016" t="s">
        <v>4819</v>
      </c>
      <c r="D3016" t="s">
        <v>5158</v>
      </c>
      <c r="E3016" t="s">
        <v>5159</v>
      </c>
    </row>
    <row r="3017" spans="1:5">
      <c r="A3017" t="s">
        <v>5244</v>
      </c>
      <c r="B3017" t="s">
        <v>1066</v>
      </c>
      <c r="C3017" t="s">
        <v>4820</v>
      </c>
      <c r="D3017" t="s">
        <v>5158</v>
      </c>
      <c r="E3017" t="s">
        <v>5159</v>
      </c>
    </row>
    <row r="3018" spans="1:5">
      <c r="A3018" t="s">
        <v>5244</v>
      </c>
      <c r="B3018" t="s">
        <v>1067</v>
      </c>
      <c r="C3018" t="s">
        <v>4821</v>
      </c>
      <c r="D3018" t="s">
        <v>5158</v>
      </c>
      <c r="E3018" t="s">
        <v>5159</v>
      </c>
    </row>
    <row r="3019" spans="1:5">
      <c r="A3019" t="s">
        <v>5244</v>
      </c>
      <c r="B3019" t="s">
        <v>6228</v>
      </c>
      <c r="C3019" t="s">
        <v>6229</v>
      </c>
      <c r="D3019" t="s">
        <v>5158</v>
      </c>
      <c r="E3019" t="s">
        <v>5159</v>
      </c>
    </row>
    <row r="3020" spans="1:5">
      <c r="A3020" t="s">
        <v>5244</v>
      </c>
      <c r="B3020" t="s">
        <v>4822</v>
      </c>
      <c r="C3020" t="s">
        <v>4823</v>
      </c>
      <c r="D3020" t="s">
        <v>5158</v>
      </c>
      <c r="E3020" t="s">
        <v>5159</v>
      </c>
    </row>
    <row r="3021" spans="1:5">
      <c r="A3021" t="s">
        <v>5244</v>
      </c>
      <c r="B3021" t="s">
        <v>4824</v>
      </c>
      <c r="C3021" t="s">
        <v>4825</v>
      </c>
      <c r="D3021" t="s">
        <v>5158</v>
      </c>
      <c r="E3021" t="s">
        <v>5159</v>
      </c>
    </row>
    <row r="3022" spans="1:5">
      <c r="A3022" t="s">
        <v>5244</v>
      </c>
      <c r="B3022" t="s">
        <v>4826</v>
      </c>
      <c r="C3022" t="s">
        <v>4827</v>
      </c>
      <c r="D3022" t="s">
        <v>5158</v>
      </c>
      <c r="E3022" t="s">
        <v>5159</v>
      </c>
    </row>
    <row r="3023" spans="1:5">
      <c r="A3023" t="s">
        <v>5244</v>
      </c>
      <c r="B3023" t="s">
        <v>4828</v>
      </c>
      <c r="C3023" t="s">
        <v>4829</v>
      </c>
      <c r="D3023" t="s">
        <v>5158</v>
      </c>
      <c r="E3023" t="s">
        <v>5159</v>
      </c>
    </row>
    <row r="3024" spans="1:5">
      <c r="A3024" t="s">
        <v>5244</v>
      </c>
      <c r="B3024" t="s">
        <v>1068</v>
      </c>
      <c r="C3024" t="s">
        <v>4830</v>
      </c>
      <c r="D3024" t="s">
        <v>5158</v>
      </c>
      <c r="E3024" t="s">
        <v>5159</v>
      </c>
    </row>
    <row r="3025" spans="1:5">
      <c r="A3025" t="s">
        <v>5244</v>
      </c>
      <c r="B3025" t="s">
        <v>4831</v>
      </c>
      <c r="C3025" t="s">
        <v>4832</v>
      </c>
      <c r="D3025" t="s">
        <v>5190</v>
      </c>
      <c r="E3025" t="s">
        <v>5159</v>
      </c>
    </row>
    <row r="3026" spans="1:5">
      <c r="A3026" t="s">
        <v>5244</v>
      </c>
      <c r="B3026" t="s">
        <v>4833</v>
      </c>
      <c r="C3026" t="s">
        <v>4834</v>
      </c>
      <c r="D3026" t="s">
        <v>5186</v>
      </c>
      <c r="E3026" t="s">
        <v>5159</v>
      </c>
    </row>
    <row r="3027" spans="1:5">
      <c r="A3027" t="s">
        <v>5244</v>
      </c>
      <c r="B3027" t="s">
        <v>4835</v>
      </c>
      <c r="C3027" t="s">
        <v>4836</v>
      </c>
      <c r="D3027" t="s">
        <v>5186</v>
      </c>
      <c r="E3027" t="s">
        <v>5159</v>
      </c>
    </row>
    <row r="3028" spans="1:5">
      <c r="A3028" t="s">
        <v>5244</v>
      </c>
      <c r="B3028" t="s">
        <v>1069</v>
      </c>
      <c r="C3028" t="s">
        <v>4837</v>
      </c>
      <c r="D3028" t="s">
        <v>5186</v>
      </c>
      <c r="E3028" t="s">
        <v>5159</v>
      </c>
    </row>
    <row r="3029" spans="1:5">
      <c r="A3029" t="s">
        <v>5244</v>
      </c>
      <c r="B3029" t="s">
        <v>4838</v>
      </c>
      <c r="C3029" t="s">
        <v>2376</v>
      </c>
      <c r="D3029" t="s">
        <v>5186</v>
      </c>
      <c r="E3029" t="s">
        <v>5159</v>
      </c>
    </row>
    <row r="3030" spans="1:5">
      <c r="A3030" t="s">
        <v>5244</v>
      </c>
      <c r="B3030" t="s">
        <v>1070</v>
      </c>
      <c r="C3030" t="s">
        <v>4839</v>
      </c>
      <c r="D3030" t="s">
        <v>5186</v>
      </c>
      <c r="E3030" t="s">
        <v>5159</v>
      </c>
    </row>
    <row r="3031" spans="1:5">
      <c r="A3031" t="s">
        <v>5244</v>
      </c>
      <c r="B3031" t="s">
        <v>4842</v>
      </c>
      <c r="C3031" t="s">
        <v>4843</v>
      </c>
      <c r="D3031" t="s">
        <v>5186</v>
      </c>
      <c r="E3031" t="s">
        <v>5159</v>
      </c>
    </row>
    <row r="3032" spans="1:5">
      <c r="A3032" t="s">
        <v>5244</v>
      </c>
      <c r="B3032" t="s">
        <v>1071</v>
      </c>
      <c r="C3032" t="s">
        <v>6230</v>
      </c>
      <c r="D3032" t="s">
        <v>5158</v>
      </c>
      <c r="E3032" t="s">
        <v>5159</v>
      </c>
    </row>
    <row r="3033" spans="1:5">
      <c r="A3033" t="s">
        <v>5244</v>
      </c>
      <c r="B3033" t="s">
        <v>4844</v>
      </c>
      <c r="C3033" t="s">
        <v>4845</v>
      </c>
      <c r="D3033" t="s">
        <v>5158</v>
      </c>
      <c r="E3033" t="s">
        <v>5159</v>
      </c>
    </row>
    <row r="3034" spans="1:5">
      <c r="A3034" t="s">
        <v>5244</v>
      </c>
      <c r="B3034" t="s">
        <v>4846</v>
      </c>
      <c r="C3034" t="s">
        <v>4847</v>
      </c>
      <c r="D3034" t="s">
        <v>5158</v>
      </c>
      <c r="E3034" t="s">
        <v>5159</v>
      </c>
    </row>
    <row r="3035" spans="1:5">
      <c r="A3035" t="s">
        <v>5244</v>
      </c>
      <c r="B3035" t="s">
        <v>4848</v>
      </c>
      <c r="C3035" t="s">
        <v>4849</v>
      </c>
      <c r="D3035" t="s">
        <v>5158</v>
      </c>
      <c r="E3035" t="s">
        <v>5159</v>
      </c>
    </row>
    <row r="3036" spans="1:5">
      <c r="A3036" t="s">
        <v>5244</v>
      </c>
      <c r="B3036" t="s">
        <v>1072</v>
      </c>
      <c r="C3036" t="s">
        <v>4850</v>
      </c>
      <c r="D3036" t="s">
        <v>5158</v>
      </c>
      <c r="E3036" t="s">
        <v>5159</v>
      </c>
    </row>
    <row r="3037" spans="1:5">
      <c r="A3037" t="s">
        <v>5244</v>
      </c>
      <c r="B3037" t="s">
        <v>1073</v>
      </c>
      <c r="C3037" t="s">
        <v>4851</v>
      </c>
      <c r="D3037" t="s">
        <v>5158</v>
      </c>
      <c r="E3037" t="s">
        <v>5159</v>
      </c>
    </row>
    <row r="3038" spans="1:5">
      <c r="A3038" t="s">
        <v>5244</v>
      </c>
      <c r="B3038" t="s">
        <v>4852</v>
      </c>
      <c r="C3038" t="s">
        <v>4853</v>
      </c>
      <c r="D3038" t="s">
        <v>5158</v>
      </c>
      <c r="E3038" t="s">
        <v>5159</v>
      </c>
    </row>
    <row r="3039" spans="1:5">
      <c r="A3039" t="s">
        <v>5244</v>
      </c>
      <c r="B3039" t="s">
        <v>4854</v>
      </c>
      <c r="C3039" t="s">
        <v>4855</v>
      </c>
      <c r="D3039" t="s">
        <v>5158</v>
      </c>
      <c r="E3039" t="s">
        <v>5159</v>
      </c>
    </row>
    <row r="3040" spans="1:5">
      <c r="A3040" t="s">
        <v>5244</v>
      </c>
      <c r="B3040" t="s">
        <v>4856</v>
      </c>
      <c r="C3040" t="s">
        <v>4857</v>
      </c>
      <c r="D3040" t="s">
        <v>5158</v>
      </c>
      <c r="E3040" t="s">
        <v>5159</v>
      </c>
    </row>
    <row r="3041" spans="1:5">
      <c r="A3041" t="s">
        <v>5244</v>
      </c>
      <c r="B3041" t="s">
        <v>4859</v>
      </c>
      <c r="C3041" t="s">
        <v>4860</v>
      </c>
      <c r="D3041" t="s">
        <v>5158</v>
      </c>
      <c r="E3041" t="s">
        <v>5159</v>
      </c>
    </row>
    <row r="3042" spans="1:5">
      <c r="A3042" t="s">
        <v>5244</v>
      </c>
      <c r="B3042" t="s">
        <v>1074</v>
      </c>
      <c r="C3042" t="s">
        <v>4861</v>
      </c>
      <c r="D3042" t="s">
        <v>5158</v>
      </c>
      <c r="E3042" t="s">
        <v>5159</v>
      </c>
    </row>
    <row r="3043" spans="1:5">
      <c r="A3043" t="s">
        <v>5244</v>
      </c>
      <c r="B3043" t="s">
        <v>1075</v>
      </c>
      <c r="C3043" t="s">
        <v>4862</v>
      </c>
      <c r="D3043" t="s">
        <v>5158</v>
      </c>
      <c r="E3043" t="s">
        <v>5159</v>
      </c>
    </row>
    <row r="3044" spans="1:5">
      <c r="A3044" t="s">
        <v>5244</v>
      </c>
      <c r="B3044" t="s">
        <v>6231</v>
      </c>
      <c r="C3044" t="s">
        <v>6232</v>
      </c>
      <c r="D3044" t="s">
        <v>5158</v>
      </c>
      <c r="E3044" t="s">
        <v>5159</v>
      </c>
    </row>
    <row r="3045" spans="1:5">
      <c r="A3045" t="s">
        <v>5244</v>
      </c>
      <c r="B3045" t="s">
        <v>1076</v>
      </c>
      <c r="C3045" t="s">
        <v>6233</v>
      </c>
      <c r="D3045" t="s">
        <v>5158</v>
      </c>
      <c r="E3045" t="s">
        <v>5159</v>
      </c>
    </row>
    <row r="3046" spans="1:5">
      <c r="A3046" t="s">
        <v>5244</v>
      </c>
      <c r="B3046" t="s">
        <v>6234</v>
      </c>
      <c r="C3046" t="s">
        <v>5273</v>
      </c>
      <c r="D3046" t="s">
        <v>5158</v>
      </c>
      <c r="E3046" t="s">
        <v>5159</v>
      </c>
    </row>
    <row r="3047" spans="1:5">
      <c r="A3047" t="s">
        <v>5244</v>
      </c>
      <c r="B3047" t="s">
        <v>6235</v>
      </c>
      <c r="C3047" t="s">
        <v>6236</v>
      </c>
      <c r="D3047" t="s">
        <v>5158</v>
      </c>
      <c r="E3047" t="s">
        <v>5159</v>
      </c>
    </row>
    <row r="3048" spans="1:5">
      <c r="A3048" t="s">
        <v>5244</v>
      </c>
      <c r="B3048" t="s">
        <v>6237</v>
      </c>
      <c r="C3048" t="s">
        <v>6238</v>
      </c>
      <c r="D3048" t="s">
        <v>5158</v>
      </c>
      <c r="E3048" t="s">
        <v>5159</v>
      </c>
    </row>
    <row r="3049" spans="1:5">
      <c r="A3049" t="s">
        <v>5244</v>
      </c>
      <c r="B3049" t="s">
        <v>4863</v>
      </c>
      <c r="C3049" t="s">
        <v>4864</v>
      </c>
      <c r="D3049" t="s">
        <v>5158</v>
      </c>
      <c r="E3049" t="s">
        <v>5159</v>
      </c>
    </row>
    <row r="3050" spans="1:5">
      <c r="A3050" t="s">
        <v>5244</v>
      </c>
      <c r="B3050" t="s">
        <v>1077</v>
      </c>
      <c r="C3050" t="s">
        <v>4865</v>
      </c>
      <c r="D3050" t="s">
        <v>5158</v>
      </c>
      <c r="E3050" t="s">
        <v>5159</v>
      </c>
    </row>
    <row r="3051" spans="1:5">
      <c r="A3051" t="s">
        <v>5244</v>
      </c>
      <c r="B3051" t="s">
        <v>1078</v>
      </c>
      <c r="C3051" t="s">
        <v>4866</v>
      </c>
      <c r="D3051" t="s">
        <v>5158</v>
      </c>
      <c r="E3051" t="s">
        <v>5159</v>
      </c>
    </row>
    <row r="3052" spans="1:5">
      <c r="A3052" t="s">
        <v>5244</v>
      </c>
      <c r="B3052" t="s">
        <v>4867</v>
      </c>
      <c r="C3052" t="s">
        <v>4868</v>
      </c>
      <c r="D3052" t="s">
        <v>5158</v>
      </c>
      <c r="E3052" t="s">
        <v>5159</v>
      </c>
    </row>
    <row r="3053" spans="1:5">
      <c r="A3053" t="s">
        <v>5244</v>
      </c>
      <c r="B3053" t="s">
        <v>1079</v>
      </c>
      <c r="C3053" t="s">
        <v>4869</v>
      </c>
      <c r="D3053" t="s">
        <v>5158</v>
      </c>
      <c r="E3053" t="s">
        <v>5159</v>
      </c>
    </row>
    <row r="3054" spans="1:5">
      <c r="A3054" t="s">
        <v>5244</v>
      </c>
      <c r="B3054" t="s">
        <v>4870</v>
      </c>
      <c r="C3054" t="s">
        <v>4871</v>
      </c>
      <c r="D3054" t="s">
        <v>5158</v>
      </c>
      <c r="E3054" t="s">
        <v>5159</v>
      </c>
    </row>
    <row r="3055" spans="1:5">
      <c r="A3055" t="s">
        <v>5244</v>
      </c>
      <c r="B3055" t="s">
        <v>4872</v>
      </c>
      <c r="C3055" t="s">
        <v>4873</v>
      </c>
      <c r="D3055" t="s">
        <v>5158</v>
      </c>
      <c r="E3055" t="s">
        <v>5159</v>
      </c>
    </row>
    <row r="3056" spans="1:5">
      <c r="A3056" t="s">
        <v>5244</v>
      </c>
      <c r="B3056" t="s">
        <v>6239</v>
      </c>
      <c r="C3056" t="s">
        <v>6240</v>
      </c>
      <c r="D3056" t="s">
        <v>5158</v>
      </c>
      <c r="E3056" t="s">
        <v>5159</v>
      </c>
    </row>
    <row r="3057" spans="1:5">
      <c r="A3057" t="s">
        <v>5244</v>
      </c>
      <c r="B3057" t="s">
        <v>4874</v>
      </c>
      <c r="C3057" t="s">
        <v>4875</v>
      </c>
      <c r="D3057" t="s">
        <v>5201</v>
      </c>
      <c r="E3057" t="s">
        <v>5159</v>
      </c>
    </row>
    <row r="3058" spans="1:5">
      <c r="A3058" t="s">
        <v>5244</v>
      </c>
      <c r="B3058" t="s">
        <v>4876</v>
      </c>
      <c r="C3058" t="s">
        <v>4877</v>
      </c>
      <c r="D3058" t="s">
        <v>5201</v>
      </c>
      <c r="E3058" t="s">
        <v>5159</v>
      </c>
    </row>
    <row r="3059" spans="1:5">
      <c r="A3059" t="s">
        <v>5244</v>
      </c>
      <c r="B3059" t="s">
        <v>4878</v>
      </c>
      <c r="C3059" t="s">
        <v>4879</v>
      </c>
      <c r="D3059" t="s">
        <v>5195</v>
      </c>
      <c r="E3059" t="s">
        <v>5159</v>
      </c>
    </row>
    <row r="3060" spans="1:5">
      <c r="A3060" t="s">
        <v>5244</v>
      </c>
      <c r="B3060" t="s">
        <v>4880</v>
      </c>
      <c r="C3060" t="s">
        <v>4881</v>
      </c>
      <c r="D3060" t="s">
        <v>5195</v>
      </c>
      <c r="E3060" t="s">
        <v>5159</v>
      </c>
    </row>
    <row r="3061" spans="1:5">
      <c r="A3061" t="s">
        <v>5241</v>
      </c>
      <c r="B3061" t="s">
        <v>1080</v>
      </c>
      <c r="C3061" t="s">
        <v>4882</v>
      </c>
      <c r="D3061" t="s">
        <v>5195</v>
      </c>
      <c r="E3061" t="s">
        <v>5159</v>
      </c>
    </row>
    <row r="3062" spans="1:5">
      <c r="A3062" t="s">
        <v>5244</v>
      </c>
      <c r="B3062" t="s">
        <v>1080</v>
      </c>
      <c r="C3062" t="s">
        <v>4882</v>
      </c>
      <c r="D3062" t="s">
        <v>5195</v>
      </c>
      <c r="E3062" t="s">
        <v>5159</v>
      </c>
    </row>
    <row r="3063" spans="1:5">
      <c r="A3063" t="s">
        <v>5241</v>
      </c>
      <c r="B3063" t="s">
        <v>4883</v>
      </c>
      <c r="C3063" t="s">
        <v>4884</v>
      </c>
      <c r="D3063" t="s">
        <v>5190</v>
      </c>
      <c r="E3063" t="s">
        <v>5159</v>
      </c>
    </row>
    <row r="3064" spans="1:5">
      <c r="A3064" t="s">
        <v>5244</v>
      </c>
      <c r="B3064" t="s">
        <v>4883</v>
      </c>
      <c r="C3064" t="s">
        <v>4884</v>
      </c>
      <c r="D3064" t="s">
        <v>5190</v>
      </c>
      <c r="E3064" t="s">
        <v>5159</v>
      </c>
    </row>
    <row r="3065" spans="1:5">
      <c r="A3065" t="s">
        <v>5244</v>
      </c>
      <c r="B3065" t="s">
        <v>1081</v>
      </c>
      <c r="C3065" t="s">
        <v>4885</v>
      </c>
      <c r="D3065" t="s">
        <v>5186</v>
      </c>
      <c r="E3065" t="s">
        <v>5159</v>
      </c>
    </row>
    <row r="3066" spans="1:5">
      <c r="A3066" t="s">
        <v>5244</v>
      </c>
      <c r="B3066" t="s">
        <v>1082</v>
      </c>
      <c r="C3066" t="s">
        <v>4886</v>
      </c>
      <c r="D3066" t="s">
        <v>5161</v>
      </c>
      <c r="E3066" t="s">
        <v>5159</v>
      </c>
    </row>
    <row r="3067" spans="1:5">
      <c r="A3067" t="s">
        <v>5244</v>
      </c>
      <c r="B3067" t="s">
        <v>1083</v>
      </c>
      <c r="C3067" t="s">
        <v>4887</v>
      </c>
      <c r="D3067" t="s">
        <v>5158</v>
      </c>
      <c r="E3067" t="s">
        <v>5159</v>
      </c>
    </row>
    <row r="3068" spans="1:5">
      <c r="A3068" t="s">
        <v>5244</v>
      </c>
      <c r="B3068" t="s">
        <v>4888</v>
      </c>
      <c r="C3068" t="s">
        <v>4889</v>
      </c>
      <c r="D3068" t="s">
        <v>5158</v>
      </c>
      <c r="E3068" t="s">
        <v>5159</v>
      </c>
    </row>
    <row r="3069" spans="1:5">
      <c r="A3069" t="s">
        <v>5244</v>
      </c>
      <c r="B3069" t="s">
        <v>1084</v>
      </c>
      <c r="C3069" t="s">
        <v>4890</v>
      </c>
      <c r="D3069" t="s">
        <v>5161</v>
      </c>
      <c r="E3069" t="s">
        <v>5159</v>
      </c>
    </row>
    <row r="3070" spans="1:5">
      <c r="A3070" t="s">
        <v>5244</v>
      </c>
      <c r="B3070" t="s">
        <v>4891</v>
      </c>
      <c r="C3070" t="s">
        <v>4892</v>
      </c>
      <c r="D3070" t="s">
        <v>5158</v>
      </c>
      <c r="E3070" t="s">
        <v>5159</v>
      </c>
    </row>
    <row r="3071" spans="1:5">
      <c r="A3071" t="s">
        <v>5244</v>
      </c>
      <c r="B3071" t="s">
        <v>1085</v>
      </c>
      <c r="C3071" t="s">
        <v>4893</v>
      </c>
      <c r="D3071" t="s">
        <v>5158</v>
      </c>
      <c r="E3071" t="s">
        <v>5159</v>
      </c>
    </row>
    <row r="3072" spans="1:5">
      <c r="A3072" t="s">
        <v>5244</v>
      </c>
      <c r="B3072" t="s">
        <v>1086</v>
      </c>
      <c r="C3072" t="s">
        <v>6241</v>
      </c>
      <c r="D3072" t="s">
        <v>5161</v>
      </c>
      <c r="E3072" t="s">
        <v>5159</v>
      </c>
    </row>
    <row r="3073" spans="1:5">
      <c r="A3073" t="s">
        <v>5244</v>
      </c>
      <c r="B3073" t="s">
        <v>1087</v>
      </c>
      <c r="C3073" t="s">
        <v>4894</v>
      </c>
      <c r="D3073" t="s">
        <v>5161</v>
      </c>
      <c r="E3073" t="s">
        <v>5159</v>
      </c>
    </row>
    <row r="3074" spans="1:5">
      <c r="A3074" t="s">
        <v>5244</v>
      </c>
      <c r="B3074" t="s">
        <v>1088</v>
      </c>
      <c r="C3074" t="s">
        <v>4895</v>
      </c>
      <c r="D3074" t="s">
        <v>5161</v>
      </c>
      <c r="E3074" t="s">
        <v>5159</v>
      </c>
    </row>
    <row r="3075" spans="1:5">
      <c r="A3075" t="s">
        <v>5244</v>
      </c>
      <c r="B3075" t="s">
        <v>1089</v>
      </c>
      <c r="C3075" t="s">
        <v>4896</v>
      </c>
      <c r="D3075" t="s">
        <v>5161</v>
      </c>
      <c r="E3075" t="s">
        <v>5159</v>
      </c>
    </row>
    <row r="3076" spans="1:5">
      <c r="A3076" t="s">
        <v>5244</v>
      </c>
      <c r="B3076" t="s">
        <v>1090</v>
      </c>
      <c r="C3076" t="s">
        <v>6242</v>
      </c>
      <c r="D3076" t="s">
        <v>5190</v>
      </c>
      <c r="E3076" t="s">
        <v>5159</v>
      </c>
    </row>
    <row r="3077" spans="1:5">
      <c r="A3077" t="s">
        <v>5244</v>
      </c>
      <c r="B3077" t="s">
        <v>4897</v>
      </c>
      <c r="C3077" t="s">
        <v>4898</v>
      </c>
      <c r="D3077" t="s">
        <v>5227</v>
      </c>
      <c r="E3077" t="s">
        <v>5192</v>
      </c>
    </row>
    <row r="3078" spans="1:5">
      <c r="A3078" t="s">
        <v>5244</v>
      </c>
      <c r="B3078" t="s">
        <v>1091</v>
      </c>
      <c r="C3078" t="s">
        <v>4899</v>
      </c>
      <c r="D3078" t="s">
        <v>5190</v>
      </c>
      <c r="E3078" t="s">
        <v>5159</v>
      </c>
    </row>
    <row r="3079" spans="1:5">
      <c r="A3079" t="s">
        <v>5244</v>
      </c>
      <c r="B3079" t="s">
        <v>1092</v>
      </c>
      <c r="C3079" t="s">
        <v>4900</v>
      </c>
      <c r="D3079" t="s">
        <v>5158</v>
      </c>
      <c r="E3079" t="s">
        <v>5159</v>
      </c>
    </row>
    <row r="3080" spans="1:5">
      <c r="A3080" t="s">
        <v>5244</v>
      </c>
      <c r="B3080" t="s">
        <v>1093</v>
      </c>
      <c r="C3080" t="s">
        <v>4901</v>
      </c>
      <c r="D3080" t="s">
        <v>5190</v>
      </c>
      <c r="E3080" t="s">
        <v>5159</v>
      </c>
    </row>
    <row r="3081" spans="1:5">
      <c r="A3081" t="s">
        <v>5244</v>
      </c>
      <c r="B3081" t="s">
        <v>4902</v>
      </c>
      <c r="C3081" t="s">
        <v>4903</v>
      </c>
      <c r="D3081" t="s">
        <v>5190</v>
      </c>
      <c r="E3081" t="s">
        <v>5159</v>
      </c>
    </row>
    <row r="3082" spans="1:5">
      <c r="A3082" t="s">
        <v>5244</v>
      </c>
      <c r="B3082" t="s">
        <v>1094</v>
      </c>
      <c r="C3082" t="s">
        <v>4904</v>
      </c>
      <c r="D3082" t="s">
        <v>5190</v>
      </c>
      <c r="E3082" t="s">
        <v>5159</v>
      </c>
    </row>
    <row r="3083" spans="1:5">
      <c r="A3083" t="s">
        <v>5244</v>
      </c>
      <c r="B3083" t="s">
        <v>1095</v>
      </c>
      <c r="C3083" t="s">
        <v>4905</v>
      </c>
      <c r="D3083" t="s">
        <v>5186</v>
      </c>
      <c r="E3083" t="s">
        <v>5159</v>
      </c>
    </row>
    <row r="3084" spans="1:5">
      <c r="A3084" t="s">
        <v>5244</v>
      </c>
      <c r="B3084" t="s">
        <v>1096</v>
      </c>
      <c r="C3084" t="s">
        <v>4906</v>
      </c>
      <c r="D3084" t="s">
        <v>5186</v>
      </c>
      <c r="E3084" t="s">
        <v>5159</v>
      </c>
    </row>
    <row r="3085" spans="1:5">
      <c r="A3085" t="s">
        <v>5244</v>
      </c>
      <c r="B3085" t="s">
        <v>1097</v>
      </c>
      <c r="C3085" t="s">
        <v>4907</v>
      </c>
      <c r="D3085" t="s">
        <v>5158</v>
      </c>
      <c r="E3085" t="s">
        <v>5159</v>
      </c>
    </row>
    <row r="3086" spans="1:5">
      <c r="A3086" t="s">
        <v>5244</v>
      </c>
      <c r="B3086" t="s">
        <v>4908</v>
      </c>
      <c r="C3086" t="s">
        <v>4909</v>
      </c>
      <c r="D3086" t="s">
        <v>5190</v>
      </c>
      <c r="E3086" t="s">
        <v>5159</v>
      </c>
    </row>
    <row r="3087" spans="1:5">
      <c r="A3087" t="s">
        <v>5244</v>
      </c>
      <c r="B3087" t="s">
        <v>1098</v>
      </c>
      <c r="C3087" t="s">
        <v>4910</v>
      </c>
      <c r="D3087" t="s">
        <v>5190</v>
      </c>
      <c r="E3087" t="s">
        <v>5159</v>
      </c>
    </row>
    <row r="3088" spans="1:5">
      <c r="A3088" t="s">
        <v>5244</v>
      </c>
      <c r="B3088" t="s">
        <v>4911</v>
      </c>
      <c r="C3088" t="s">
        <v>4912</v>
      </c>
      <c r="D3088" t="s">
        <v>5190</v>
      </c>
      <c r="E3088" t="s">
        <v>5159</v>
      </c>
    </row>
    <row r="3089" spans="1:5">
      <c r="A3089" t="s">
        <v>5244</v>
      </c>
      <c r="B3089" t="s">
        <v>1099</v>
      </c>
      <c r="C3089" t="s">
        <v>4913</v>
      </c>
      <c r="D3089" t="s">
        <v>5190</v>
      </c>
      <c r="E3089" t="s">
        <v>5159</v>
      </c>
    </row>
    <row r="3090" spans="1:5">
      <c r="A3090" t="s">
        <v>5488</v>
      </c>
      <c r="B3090" t="s">
        <v>1099</v>
      </c>
      <c r="C3090" t="s">
        <v>4913</v>
      </c>
      <c r="D3090" t="s">
        <v>5190</v>
      </c>
      <c r="E3090" t="s">
        <v>5159</v>
      </c>
    </row>
    <row r="3091" spans="1:5">
      <c r="A3091" t="s">
        <v>5244</v>
      </c>
      <c r="B3091" t="s">
        <v>4914</v>
      </c>
      <c r="C3091" t="s">
        <v>4915</v>
      </c>
      <c r="D3091" t="s">
        <v>5158</v>
      </c>
      <c r="E3091" t="s">
        <v>5159</v>
      </c>
    </row>
    <row r="3092" spans="1:5">
      <c r="A3092" t="s">
        <v>5244</v>
      </c>
      <c r="B3092" t="s">
        <v>4916</v>
      </c>
      <c r="C3092" t="s">
        <v>4917</v>
      </c>
      <c r="D3092" t="s">
        <v>5161</v>
      </c>
      <c r="E3092" t="s">
        <v>5159</v>
      </c>
    </row>
    <row r="3093" spans="1:5">
      <c r="A3093" t="s">
        <v>5244</v>
      </c>
      <c r="B3093" t="s">
        <v>1100</v>
      </c>
      <c r="C3093" t="s">
        <v>4918</v>
      </c>
      <c r="D3093" t="s">
        <v>5190</v>
      </c>
      <c r="E3093" t="s">
        <v>5159</v>
      </c>
    </row>
    <row r="3094" spans="1:5">
      <c r="A3094" t="s">
        <v>5244</v>
      </c>
      <c r="B3094" t="s">
        <v>4919</v>
      </c>
      <c r="C3094" t="s">
        <v>4920</v>
      </c>
      <c r="D3094" t="s">
        <v>5185</v>
      </c>
      <c r="E3094" t="s">
        <v>5159</v>
      </c>
    </row>
    <row r="3095" spans="1:5">
      <c r="A3095" t="s">
        <v>5244</v>
      </c>
      <c r="B3095" t="s">
        <v>4921</v>
      </c>
      <c r="C3095" t="s">
        <v>4922</v>
      </c>
      <c r="D3095" t="s">
        <v>5185</v>
      </c>
      <c r="E3095" t="s">
        <v>5159</v>
      </c>
    </row>
    <row r="3096" spans="1:5">
      <c r="A3096" t="s">
        <v>5244</v>
      </c>
      <c r="B3096" t="s">
        <v>4923</v>
      </c>
      <c r="C3096" t="s">
        <v>4924</v>
      </c>
      <c r="D3096" t="s">
        <v>5185</v>
      </c>
      <c r="E3096" t="s">
        <v>5159</v>
      </c>
    </row>
    <row r="3097" spans="1:5">
      <c r="A3097" t="s">
        <v>5244</v>
      </c>
      <c r="B3097" t="s">
        <v>4925</v>
      </c>
      <c r="C3097" t="s">
        <v>4926</v>
      </c>
      <c r="D3097" t="s">
        <v>5185</v>
      </c>
      <c r="E3097" t="s">
        <v>5159</v>
      </c>
    </row>
    <row r="3098" spans="1:5">
      <c r="A3098" t="s">
        <v>5244</v>
      </c>
      <c r="B3098" t="s">
        <v>1101</v>
      </c>
      <c r="C3098" t="s">
        <v>4927</v>
      </c>
      <c r="D3098" t="s">
        <v>5161</v>
      </c>
      <c r="E3098" t="s">
        <v>5159</v>
      </c>
    </row>
    <row r="3099" spans="1:5">
      <c r="A3099" t="s">
        <v>5244</v>
      </c>
      <c r="B3099" t="s">
        <v>1102</v>
      </c>
      <c r="C3099" t="s">
        <v>4928</v>
      </c>
      <c r="D3099" t="s">
        <v>5161</v>
      </c>
      <c r="E3099" t="s">
        <v>5159</v>
      </c>
    </row>
    <row r="3100" spans="1:5">
      <c r="A3100" t="s">
        <v>5244</v>
      </c>
      <c r="B3100" t="s">
        <v>1103</v>
      </c>
      <c r="C3100" t="s">
        <v>4929</v>
      </c>
      <c r="D3100" t="s">
        <v>5185</v>
      </c>
      <c r="E3100" t="s">
        <v>5159</v>
      </c>
    </row>
    <row r="3101" spans="1:5">
      <c r="A3101" t="s">
        <v>5244</v>
      </c>
      <c r="B3101" t="s">
        <v>1104</v>
      </c>
      <c r="C3101" t="s">
        <v>4930</v>
      </c>
      <c r="D3101" t="s">
        <v>5161</v>
      </c>
      <c r="E3101" t="s">
        <v>5159</v>
      </c>
    </row>
    <row r="3102" spans="1:5">
      <c r="A3102" t="s">
        <v>5244</v>
      </c>
      <c r="B3102" t="s">
        <v>4931</v>
      </c>
      <c r="C3102" t="s">
        <v>4932</v>
      </c>
      <c r="D3102" t="s">
        <v>5157</v>
      </c>
      <c r="E3102" t="s">
        <v>5157</v>
      </c>
    </row>
    <row r="3103" spans="1:5">
      <c r="A3103" t="s">
        <v>5244</v>
      </c>
      <c r="B3103" t="s">
        <v>1105</v>
      </c>
      <c r="C3103" t="s">
        <v>4933</v>
      </c>
      <c r="D3103" t="s">
        <v>5190</v>
      </c>
      <c r="E3103" t="s">
        <v>5159</v>
      </c>
    </row>
    <row r="3104" spans="1:5">
      <c r="A3104" t="s">
        <v>5244</v>
      </c>
      <c r="B3104" t="s">
        <v>4934</v>
      </c>
      <c r="C3104" t="s">
        <v>4935</v>
      </c>
      <c r="D3104" t="s">
        <v>5190</v>
      </c>
      <c r="E3104" t="s">
        <v>5159</v>
      </c>
    </row>
    <row r="3105" spans="1:5">
      <c r="A3105" t="s">
        <v>5244</v>
      </c>
      <c r="B3105" t="s">
        <v>4936</v>
      </c>
      <c r="C3105" t="s">
        <v>4937</v>
      </c>
      <c r="D3105" t="s">
        <v>5195</v>
      </c>
      <c r="E3105" t="s">
        <v>5159</v>
      </c>
    </row>
    <row r="3106" spans="1:5">
      <c r="A3106" t="s">
        <v>5244</v>
      </c>
      <c r="B3106" t="s">
        <v>1106</v>
      </c>
      <c r="C3106" t="s">
        <v>4938</v>
      </c>
      <c r="D3106" t="s">
        <v>5158</v>
      </c>
      <c r="E3106" t="s">
        <v>5159</v>
      </c>
    </row>
    <row r="3107" spans="1:5">
      <c r="A3107" t="s">
        <v>5244</v>
      </c>
      <c r="B3107" t="s">
        <v>4939</v>
      </c>
      <c r="C3107" t="s">
        <v>4940</v>
      </c>
      <c r="D3107" t="s">
        <v>5195</v>
      </c>
      <c r="E3107" t="s">
        <v>5159</v>
      </c>
    </row>
    <row r="3108" spans="1:5">
      <c r="A3108" t="s">
        <v>5244</v>
      </c>
      <c r="B3108" t="s">
        <v>4941</v>
      </c>
      <c r="C3108" t="s">
        <v>4942</v>
      </c>
      <c r="D3108" t="s">
        <v>5195</v>
      </c>
      <c r="E3108" t="s">
        <v>5159</v>
      </c>
    </row>
    <row r="3109" spans="1:5">
      <c r="A3109" t="s">
        <v>5244</v>
      </c>
      <c r="B3109" t="s">
        <v>4943</v>
      </c>
      <c r="C3109" t="s">
        <v>4171</v>
      </c>
      <c r="D3109" t="s">
        <v>5158</v>
      </c>
      <c r="E3109" t="s">
        <v>5159</v>
      </c>
    </row>
    <row r="3110" spans="1:5">
      <c r="A3110" t="s">
        <v>5244</v>
      </c>
      <c r="B3110" t="s">
        <v>4944</v>
      </c>
      <c r="C3110" t="s">
        <v>4945</v>
      </c>
      <c r="D3110" t="s">
        <v>5161</v>
      </c>
      <c r="E3110" t="s">
        <v>5159</v>
      </c>
    </row>
    <row r="3111" spans="1:5">
      <c r="A3111" t="s">
        <v>5244</v>
      </c>
      <c r="B3111" t="s">
        <v>1107</v>
      </c>
      <c r="C3111" t="s">
        <v>4946</v>
      </c>
      <c r="D3111" t="s">
        <v>5158</v>
      </c>
      <c r="E3111" t="s">
        <v>5159</v>
      </c>
    </row>
    <row r="3112" spans="1:5">
      <c r="A3112" t="s">
        <v>5244</v>
      </c>
      <c r="B3112" t="s">
        <v>1108</v>
      </c>
      <c r="C3112" t="s">
        <v>4947</v>
      </c>
      <c r="D3112" t="s">
        <v>5161</v>
      </c>
      <c r="E3112" t="s">
        <v>5159</v>
      </c>
    </row>
    <row r="3113" spans="1:5">
      <c r="A3113" t="s">
        <v>5244</v>
      </c>
      <c r="B3113" t="s">
        <v>1109</v>
      </c>
      <c r="C3113" t="s">
        <v>4948</v>
      </c>
      <c r="D3113" t="s">
        <v>5161</v>
      </c>
      <c r="E3113" t="s">
        <v>5159</v>
      </c>
    </row>
    <row r="3114" spans="1:5">
      <c r="A3114" t="s">
        <v>5244</v>
      </c>
      <c r="B3114" t="s">
        <v>1110</v>
      </c>
      <c r="C3114" t="s">
        <v>4949</v>
      </c>
      <c r="D3114" t="s">
        <v>5158</v>
      </c>
      <c r="E3114" t="s">
        <v>5159</v>
      </c>
    </row>
    <row r="3115" spans="1:5">
      <c r="A3115" t="s">
        <v>5244</v>
      </c>
      <c r="B3115" t="s">
        <v>1111</v>
      </c>
      <c r="C3115" t="s">
        <v>4950</v>
      </c>
      <c r="D3115" t="s">
        <v>5186</v>
      </c>
      <c r="E3115" t="s">
        <v>5159</v>
      </c>
    </row>
    <row r="3116" spans="1:5">
      <c r="A3116" t="s">
        <v>5244</v>
      </c>
      <c r="B3116" t="s">
        <v>1112</v>
      </c>
      <c r="C3116" t="s">
        <v>4951</v>
      </c>
      <c r="D3116" t="s">
        <v>5158</v>
      </c>
      <c r="E3116" t="s">
        <v>5159</v>
      </c>
    </row>
    <row r="3117" spans="1:5">
      <c r="A3117" t="s">
        <v>5244</v>
      </c>
      <c r="B3117" t="s">
        <v>1113</v>
      </c>
      <c r="C3117" t="s">
        <v>4952</v>
      </c>
      <c r="D3117" t="s">
        <v>5158</v>
      </c>
      <c r="E3117" t="s">
        <v>5159</v>
      </c>
    </row>
    <row r="3118" spans="1:5">
      <c r="A3118" t="s">
        <v>5244</v>
      </c>
      <c r="B3118" t="s">
        <v>1114</v>
      </c>
      <c r="C3118" t="s">
        <v>4953</v>
      </c>
      <c r="D3118" t="s">
        <v>5158</v>
      </c>
      <c r="E3118" t="s">
        <v>5159</v>
      </c>
    </row>
    <row r="3119" spans="1:5">
      <c r="A3119" t="s">
        <v>5244</v>
      </c>
      <c r="B3119" t="s">
        <v>1115</v>
      </c>
      <c r="C3119" t="s">
        <v>4954</v>
      </c>
      <c r="D3119" t="s">
        <v>5158</v>
      </c>
      <c r="E3119" t="s">
        <v>5159</v>
      </c>
    </row>
    <row r="3120" spans="1:5">
      <c r="A3120" t="s">
        <v>5244</v>
      </c>
      <c r="B3120" t="s">
        <v>1116</v>
      </c>
      <c r="C3120" t="s">
        <v>4955</v>
      </c>
      <c r="D3120" t="s">
        <v>5158</v>
      </c>
      <c r="E3120" t="s">
        <v>5159</v>
      </c>
    </row>
    <row r="3121" spans="1:5">
      <c r="A3121" t="s">
        <v>5244</v>
      </c>
      <c r="B3121" t="s">
        <v>1117</v>
      </c>
      <c r="C3121" t="s">
        <v>4956</v>
      </c>
      <c r="D3121" t="s">
        <v>5158</v>
      </c>
      <c r="E3121" t="s">
        <v>5159</v>
      </c>
    </row>
    <row r="3122" spans="1:5">
      <c r="A3122" t="s">
        <v>5244</v>
      </c>
      <c r="B3122" t="s">
        <v>1118</v>
      </c>
      <c r="C3122" t="s">
        <v>4957</v>
      </c>
      <c r="D3122" t="s">
        <v>5158</v>
      </c>
      <c r="E3122" t="s">
        <v>5159</v>
      </c>
    </row>
    <row r="3123" spans="1:5">
      <c r="A3123" t="s">
        <v>5244</v>
      </c>
      <c r="B3123" t="s">
        <v>1119</v>
      </c>
      <c r="C3123" t="s">
        <v>4958</v>
      </c>
      <c r="D3123" t="s">
        <v>5158</v>
      </c>
      <c r="E3123" t="s">
        <v>5159</v>
      </c>
    </row>
    <row r="3124" spans="1:5">
      <c r="A3124" t="s">
        <v>5244</v>
      </c>
      <c r="B3124" t="s">
        <v>1120</v>
      </c>
      <c r="C3124" t="s">
        <v>4959</v>
      </c>
      <c r="D3124" t="s">
        <v>5158</v>
      </c>
      <c r="E3124" t="s">
        <v>5159</v>
      </c>
    </row>
    <row r="3125" spans="1:5">
      <c r="A3125" t="s">
        <v>5244</v>
      </c>
      <c r="B3125" t="s">
        <v>1121</v>
      </c>
      <c r="C3125" t="s">
        <v>4960</v>
      </c>
      <c r="D3125" t="s">
        <v>5191</v>
      </c>
      <c r="E3125" t="s">
        <v>5192</v>
      </c>
    </row>
    <row r="3126" spans="1:5">
      <c r="A3126" t="s">
        <v>5244</v>
      </c>
      <c r="B3126" t="s">
        <v>1122</v>
      </c>
      <c r="C3126" t="s">
        <v>4961</v>
      </c>
      <c r="D3126" t="s">
        <v>5190</v>
      </c>
      <c r="E3126" t="s">
        <v>5159</v>
      </c>
    </row>
    <row r="3127" spans="1:5">
      <c r="A3127" t="s">
        <v>5241</v>
      </c>
      <c r="B3127" t="s">
        <v>1122</v>
      </c>
      <c r="C3127" t="s">
        <v>4961</v>
      </c>
      <c r="D3127" t="s">
        <v>5190</v>
      </c>
      <c r="E3127" t="s">
        <v>5159</v>
      </c>
    </row>
    <row r="3128" spans="1:5">
      <c r="A3128" t="s">
        <v>5244</v>
      </c>
      <c r="B3128" t="s">
        <v>1123</v>
      </c>
      <c r="C3128" t="s">
        <v>4962</v>
      </c>
      <c r="D3128" t="s">
        <v>5158</v>
      </c>
      <c r="E3128" t="s">
        <v>5159</v>
      </c>
    </row>
    <row r="3129" spans="1:5">
      <c r="A3129" t="s">
        <v>5244</v>
      </c>
      <c r="B3129" t="s">
        <v>1135</v>
      </c>
      <c r="C3129" t="s">
        <v>4963</v>
      </c>
      <c r="D3129" t="s">
        <v>5205</v>
      </c>
      <c r="E3129" t="s">
        <v>5159</v>
      </c>
    </row>
    <row r="3130" spans="1:5">
      <c r="A3130" t="s">
        <v>5488</v>
      </c>
      <c r="B3130" t="s">
        <v>1135</v>
      </c>
      <c r="C3130" t="s">
        <v>4963</v>
      </c>
      <c r="D3130" t="s">
        <v>5205</v>
      </c>
      <c r="E3130" t="s">
        <v>5159</v>
      </c>
    </row>
    <row r="3131" spans="1:5">
      <c r="A3131" t="s">
        <v>5244</v>
      </c>
      <c r="B3131" t="s">
        <v>6243</v>
      </c>
      <c r="C3131" t="s">
        <v>6244</v>
      </c>
      <c r="D3131" t="s">
        <v>5208</v>
      </c>
      <c r="E3131" t="s">
        <v>5159</v>
      </c>
    </row>
    <row r="3132" spans="1:5">
      <c r="A3132" t="s">
        <v>5488</v>
      </c>
      <c r="B3132" t="s">
        <v>4964</v>
      </c>
      <c r="C3132" t="s">
        <v>4965</v>
      </c>
      <c r="D3132" t="s">
        <v>5208</v>
      </c>
      <c r="E3132" t="s">
        <v>5159</v>
      </c>
    </row>
    <row r="3133" spans="1:5">
      <c r="A3133" t="s">
        <v>5244</v>
      </c>
      <c r="B3133" t="s">
        <v>4964</v>
      </c>
      <c r="C3133" t="s">
        <v>4965</v>
      </c>
      <c r="D3133" t="s">
        <v>5208</v>
      </c>
      <c r="E3133" t="s">
        <v>5159</v>
      </c>
    </row>
    <row r="3134" spans="1:5">
      <c r="A3134" t="s">
        <v>5244</v>
      </c>
      <c r="B3134" t="s">
        <v>4966</v>
      </c>
      <c r="C3134" t="s">
        <v>4967</v>
      </c>
      <c r="D3134" t="s">
        <v>5160</v>
      </c>
      <c r="E3134" t="s">
        <v>5159</v>
      </c>
    </row>
    <row r="3135" spans="1:5">
      <c r="A3135" t="s">
        <v>5244</v>
      </c>
      <c r="B3135" t="s">
        <v>1136</v>
      </c>
      <c r="C3135" t="s">
        <v>4968</v>
      </c>
      <c r="D3135" t="s">
        <v>5190</v>
      </c>
      <c r="E3135" t="s">
        <v>5159</v>
      </c>
    </row>
    <row r="3136" spans="1:5">
      <c r="A3136" t="s">
        <v>5244</v>
      </c>
      <c r="B3136" t="s">
        <v>4969</v>
      </c>
      <c r="C3136" t="s">
        <v>4970</v>
      </c>
      <c r="D3136" t="s">
        <v>5190</v>
      </c>
      <c r="E3136" t="s">
        <v>5159</v>
      </c>
    </row>
    <row r="3137" spans="1:5">
      <c r="A3137" t="s">
        <v>5244</v>
      </c>
      <c r="B3137" t="s">
        <v>6245</v>
      </c>
      <c r="C3137" t="s">
        <v>6246</v>
      </c>
      <c r="D3137" t="s">
        <v>5160</v>
      </c>
      <c r="E3137" t="s">
        <v>5159</v>
      </c>
    </row>
    <row r="3138" spans="1:5">
      <c r="A3138" t="s">
        <v>5244</v>
      </c>
      <c r="B3138" t="s">
        <v>6247</v>
      </c>
      <c r="C3138" t="s">
        <v>6248</v>
      </c>
      <c r="D3138" t="s">
        <v>5160</v>
      </c>
      <c r="E3138" t="s">
        <v>5159</v>
      </c>
    </row>
    <row r="3139" spans="1:5">
      <c r="A3139" t="s">
        <v>5488</v>
      </c>
      <c r="B3139" t="s">
        <v>1124</v>
      </c>
      <c r="C3139" t="s">
        <v>6249</v>
      </c>
      <c r="D3139" t="s">
        <v>5160</v>
      </c>
      <c r="E3139" t="s">
        <v>5159</v>
      </c>
    </row>
    <row r="3140" spans="1:5">
      <c r="A3140" t="s">
        <v>5244</v>
      </c>
      <c r="B3140" t="s">
        <v>1124</v>
      </c>
      <c r="C3140" t="s">
        <v>6249</v>
      </c>
      <c r="D3140" t="s">
        <v>5160</v>
      </c>
      <c r="E3140" t="s">
        <v>5159</v>
      </c>
    </row>
    <row r="3141" spans="1:5">
      <c r="A3141" t="s">
        <v>5241</v>
      </c>
      <c r="B3141" t="s">
        <v>1125</v>
      </c>
      <c r="C3141" t="s">
        <v>4971</v>
      </c>
      <c r="D3141" t="s">
        <v>5196</v>
      </c>
      <c r="E3141" t="s">
        <v>5159</v>
      </c>
    </row>
    <row r="3142" spans="1:5">
      <c r="A3142" t="s">
        <v>5244</v>
      </c>
      <c r="B3142" t="s">
        <v>1125</v>
      </c>
      <c r="C3142" t="s">
        <v>4971</v>
      </c>
      <c r="D3142" t="s">
        <v>5196</v>
      </c>
      <c r="E3142" t="s">
        <v>5159</v>
      </c>
    </row>
    <row r="3143" spans="1:5">
      <c r="A3143" t="s">
        <v>5244</v>
      </c>
      <c r="B3143" t="s">
        <v>4972</v>
      </c>
      <c r="C3143" t="s">
        <v>4973</v>
      </c>
      <c r="D3143" t="s">
        <v>5157</v>
      </c>
      <c r="E3143" t="s">
        <v>5157</v>
      </c>
    </row>
    <row r="3144" spans="1:5">
      <c r="A3144" t="s">
        <v>5244</v>
      </c>
      <c r="B3144" t="s">
        <v>4974</v>
      </c>
      <c r="C3144" t="s">
        <v>4975</v>
      </c>
      <c r="D3144" t="s">
        <v>5190</v>
      </c>
      <c r="E3144" t="s">
        <v>5159</v>
      </c>
    </row>
    <row r="3145" spans="1:5">
      <c r="A3145" t="s">
        <v>5244</v>
      </c>
      <c r="B3145" t="s">
        <v>4976</v>
      </c>
      <c r="C3145" t="s">
        <v>4977</v>
      </c>
      <c r="D3145" t="s">
        <v>5190</v>
      </c>
      <c r="E3145" t="s">
        <v>5159</v>
      </c>
    </row>
    <row r="3146" spans="1:5">
      <c r="A3146" t="s">
        <v>5244</v>
      </c>
      <c r="B3146" t="s">
        <v>1126</v>
      </c>
      <c r="C3146" t="s">
        <v>4978</v>
      </c>
      <c r="D3146" t="s">
        <v>5158</v>
      </c>
      <c r="E3146" t="s">
        <v>5159</v>
      </c>
    </row>
    <row r="3147" spans="1:5">
      <c r="A3147" t="s">
        <v>5244</v>
      </c>
      <c r="B3147" t="s">
        <v>1127</v>
      </c>
      <c r="C3147" t="s">
        <v>4979</v>
      </c>
      <c r="D3147" t="s">
        <v>5190</v>
      </c>
      <c r="E3147" t="s">
        <v>5159</v>
      </c>
    </row>
    <row r="3148" spans="1:5">
      <c r="A3148" t="s">
        <v>5241</v>
      </c>
      <c r="B3148" t="s">
        <v>1127</v>
      </c>
      <c r="C3148" t="s">
        <v>4979</v>
      </c>
      <c r="D3148" t="s">
        <v>5190</v>
      </c>
      <c r="E3148" t="s">
        <v>5159</v>
      </c>
    </row>
    <row r="3149" spans="1:5">
      <c r="A3149" t="s">
        <v>5244</v>
      </c>
      <c r="B3149" t="s">
        <v>6250</v>
      </c>
      <c r="C3149" t="s">
        <v>6251</v>
      </c>
      <c r="D3149" t="s">
        <v>5190</v>
      </c>
      <c r="E3149" t="s">
        <v>5159</v>
      </c>
    </row>
    <row r="3150" spans="1:5">
      <c r="A3150" t="s">
        <v>5244</v>
      </c>
      <c r="B3150" t="s">
        <v>1128</v>
      </c>
      <c r="C3150" t="s">
        <v>4980</v>
      </c>
      <c r="D3150" t="s">
        <v>5190</v>
      </c>
      <c r="E3150" t="s">
        <v>5159</v>
      </c>
    </row>
    <row r="3151" spans="1:5">
      <c r="A3151" t="s">
        <v>5488</v>
      </c>
      <c r="B3151" t="s">
        <v>1128</v>
      </c>
      <c r="C3151" t="s">
        <v>4980</v>
      </c>
      <c r="D3151" t="s">
        <v>5190</v>
      </c>
      <c r="E3151" t="s">
        <v>5159</v>
      </c>
    </row>
    <row r="3152" spans="1:5">
      <c r="A3152" t="s">
        <v>5241</v>
      </c>
      <c r="B3152" t="s">
        <v>1129</v>
      </c>
      <c r="C3152" t="s">
        <v>4981</v>
      </c>
      <c r="D3152" t="s">
        <v>5190</v>
      </c>
      <c r="E3152" t="s">
        <v>5159</v>
      </c>
    </row>
    <row r="3153" spans="1:5">
      <c r="A3153" t="s">
        <v>5244</v>
      </c>
      <c r="B3153" t="s">
        <v>1129</v>
      </c>
      <c r="C3153" t="s">
        <v>4981</v>
      </c>
      <c r="D3153" t="s">
        <v>5190</v>
      </c>
      <c r="E3153" t="s">
        <v>5159</v>
      </c>
    </row>
    <row r="3154" spans="1:5">
      <c r="A3154" t="s">
        <v>5244</v>
      </c>
      <c r="B3154" t="s">
        <v>1130</v>
      </c>
      <c r="C3154" t="s">
        <v>4982</v>
      </c>
      <c r="D3154" t="s">
        <v>5190</v>
      </c>
      <c r="E3154" t="s">
        <v>5159</v>
      </c>
    </row>
    <row r="3155" spans="1:5">
      <c r="A3155" t="s">
        <v>5488</v>
      </c>
      <c r="B3155" t="s">
        <v>1130</v>
      </c>
      <c r="C3155" t="s">
        <v>4982</v>
      </c>
      <c r="D3155" t="s">
        <v>5190</v>
      </c>
      <c r="E3155" t="s">
        <v>5159</v>
      </c>
    </row>
    <row r="3156" spans="1:5">
      <c r="A3156" t="s">
        <v>5241</v>
      </c>
      <c r="B3156" t="s">
        <v>1131</v>
      </c>
      <c r="C3156" t="s">
        <v>4983</v>
      </c>
      <c r="D3156" t="s">
        <v>5190</v>
      </c>
      <c r="E3156" t="s">
        <v>5159</v>
      </c>
    </row>
    <row r="3157" spans="1:5">
      <c r="A3157" t="s">
        <v>5244</v>
      </c>
      <c r="B3157" t="s">
        <v>1131</v>
      </c>
      <c r="C3157" t="s">
        <v>4983</v>
      </c>
      <c r="D3157" t="s">
        <v>5190</v>
      </c>
      <c r="E3157" t="s">
        <v>5159</v>
      </c>
    </row>
    <row r="3158" spans="1:5">
      <c r="A3158" t="s">
        <v>5244</v>
      </c>
      <c r="B3158" t="s">
        <v>4984</v>
      </c>
      <c r="C3158" t="s">
        <v>4985</v>
      </c>
      <c r="D3158" t="s">
        <v>5158</v>
      </c>
      <c r="E3158" t="s">
        <v>5159</v>
      </c>
    </row>
    <row r="3159" spans="1:5">
      <c r="A3159" t="s">
        <v>5244</v>
      </c>
      <c r="B3159" t="s">
        <v>1132</v>
      </c>
      <c r="C3159" t="s">
        <v>4986</v>
      </c>
      <c r="D3159" t="s">
        <v>5158</v>
      </c>
      <c r="E3159" t="s">
        <v>5159</v>
      </c>
    </row>
    <row r="3160" spans="1:5">
      <c r="A3160" t="s">
        <v>5244</v>
      </c>
      <c r="B3160" t="s">
        <v>4987</v>
      </c>
      <c r="C3160" t="s">
        <v>4988</v>
      </c>
      <c r="D3160" t="s">
        <v>5190</v>
      </c>
      <c r="E3160" t="s">
        <v>5159</v>
      </c>
    </row>
    <row r="3161" spans="1:5">
      <c r="A3161" t="s">
        <v>5244</v>
      </c>
      <c r="B3161" t="s">
        <v>1133</v>
      </c>
      <c r="C3161" t="s">
        <v>4989</v>
      </c>
      <c r="D3161" t="s">
        <v>5190</v>
      </c>
      <c r="E3161" t="s">
        <v>5159</v>
      </c>
    </row>
    <row r="3162" spans="1:5">
      <c r="A3162" t="s">
        <v>5241</v>
      </c>
      <c r="B3162" t="s">
        <v>1133</v>
      </c>
      <c r="C3162" t="s">
        <v>4989</v>
      </c>
      <c r="D3162" t="s">
        <v>5190</v>
      </c>
      <c r="E3162" t="s">
        <v>5159</v>
      </c>
    </row>
    <row r="3163" spans="1:5">
      <c r="A3163" t="s">
        <v>5244</v>
      </c>
      <c r="B3163" t="s">
        <v>1134</v>
      </c>
      <c r="C3163" t="s">
        <v>4990</v>
      </c>
      <c r="D3163" t="s">
        <v>5226</v>
      </c>
      <c r="E3163" t="s">
        <v>5192</v>
      </c>
    </row>
    <row r="3164" spans="1:5">
      <c r="A3164" t="s">
        <v>5244</v>
      </c>
      <c r="B3164" t="s">
        <v>6252</v>
      </c>
      <c r="C3164" t="s">
        <v>6253</v>
      </c>
      <c r="D3164" t="s">
        <v>5157</v>
      </c>
      <c r="E3164" t="s">
        <v>5157</v>
      </c>
    </row>
    <row r="3165" spans="1:5">
      <c r="A3165" t="s">
        <v>5244</v>
      </c>
      <c r="B3165" t="s">
        <v>4991</v>
      </c>
      <c r="C3165" t="s">
        <v>4992</v>
      </c>
      <c r="D3165" t="s">
        <v>5158</v>
      </c>
      <c r="E3165" t="s">
        <v>5159</v>
      </c>
    </row>
    <row r="3166" spans="1:5">
      <c r="A3166" t="s">
        <v>5244</v>
      </c>
      <c r="B3166" t="s">
        <v>6254</v>
      </c>
      <c r="C3166" t="s">
        <v>6255</v>
      </c>
      <c r="D3166" t="s">
        <v>5157</v>
      </c>
      <c r="E3166" t="s">
        <v>5157</v>
      </c>
    </row>
    <row r="3167" spans="1:5">
      <c r="A3167" t="s">
        <v>5244</v>
      </c>
      <c r="B3167" t="s">
        <v>6256</v>
      </c>
      <c r="C3167" t="s">
        <v>6257</v>
      </c>
      <c r="D3167" t="s">
        <v>5157</v>
      </c>
      <c r="E3167" t="s">
        <v>5157</v>
      </c>
    </row>
    <row r="3168" spans="1:5">
      <c r="A3168" t="s">
        <v>5244</v>
      </c>
      <c r="B3168" t="s">
        <v>4993</v>
      </c>
      <c r="C3168" t="s">
        <v>4994</v>
      </c>
      <c r="D3168" t="s">
        <v>5158</v>
      </c>
      <c r="E3168" t="s">
        <v>5159</v>
      </c>
    </row>
    <row r="3169" spans="1:5">
      <c r="A3169" t="s">
        <v>5244</v>
      </c>
      <c r="B3169" t="s">
        <v>6258</v>
      </c>
      <c r="C3169" t="s">
        <v>6259</v>
      </c>
      <c r="D3169" t="s">
        <v>5157</v>
      </c>
      <c r="E3169" t="s">
        <v>5157</v>
      </c>
    </row>
    <row r="3170" spans="1:5">
      <c r="A3170" t="s">
        <v>5244</v>
      </c>
      <c r="B3170" t="s">
        <v>4995</v>
      </c>
      <c r="C3170" t="s">
        <v>4996</v>
      </c>
      <c r="D3170" t="s">
        <v>5157</v>
      </c>
      <c r="E3170" t="s">
        <v>5157</v>
      </c>
    </row>
    <row r="3171" spans="1:5">
      <c r="A3171" t="s">
        <v>5244</v>
      </c>
      <c r="B3171" t="s">
        <v>6260</v>
      </c>
      <c r="C3171" t="s">
        <v>6261</v>
      </c>
      <c r="D3171" t="s">
        <v>5157</v>
      </c>
      <c r="E3171" t="s">
        <v>5157</v>
      </c>
    </row>
    <row r="3172" spans="1:5">
      <c r="A3172" t="s">
        <v>5244</v>
      </c>
      <c r="B3172" t="s">
        <v>6262</v>
      </c>
      <c r="C3172" t="s">
        <v>6263</v>
      </c>
      <c r="D3172" t="s">
        <v>5157</v>
      </c>
      <c r="E3172" t="s">
        <v>5157</v>
      </c>
    </row>
    <row r="3173" spans="1:5">
      <c r="A3173" t="s">
        <v>5244</v>
      </c>
      <c r="B3173" t="s">
        <v>4997</v>
      </c>
      <c r="C3173" t="s">
        <v>4998</v>
      </c>
      <c r="D3173" t="s">
        <v>5157</v>
      </c>
      <c r="E3173" t="s">
        <v>5157</v>
      </c>
    </row>
    <row r="3174" spans="1:5">
      <c r="A3174" t="s">
        <v>5244</v>
      </c>
      <c r="B3174" t="s">
        <v>4999</v>
      </c>
      <c r="C3174" t="s">
        <v>5000</v>
      </c>
      <c r="D3174" t="s">
        <v>5157</v>
      </c>
      <c r="E3174" t="s">
        <v>5157</v>
      </c>
    </row>
    <row r="3175" spans="1:5">
      <c r="A3175" t="s">
        <v>5244</v>
      </c>
      <c r="B3175" t="s">
        <v>5001</v>
      </c>
      <c r="C3175" t="s">
        <v>5002</v>
      </c>
      <c r="D3175" t="s">
        <v>5157</v>
      </c>
      <c r="E3175" t="s">
        <v>5157</v>
      </c>
    </row>
    <row r="3176" spans="1:5">
      <c r="A3176" t="s">
        <v>5244</v>
      </c>
      <c r="B3176" t="s">
        <v>5003</v>
      </c>
      <c r="C3176" t="s">
        <v>5004</v>
      </c>
      <c r="D3176" t="s">
        <v>5157</v>
      </c>
      <c r="E3176" t="s">
        <v>5157</v>
      </c>
    </row>
    <row r="3177" spans="1:5">
      <c r="A3177" t="s">
        <v>5244</v>
      </c>
      <c r="B3177" t="s">
        <v>5005</v>
      </c>
      <c r="C3177" t="s">
        <v>5006</v>
      </c>
      <c r="D3177" t="s">
        <v>5157</v>
      </c>
      <c r="E3177" t="s">
        <v>5157</v>
      </c>
    </row>
    <row r="3178" spans="1:5">
      <c r="A3178" t="s">
        <v>5244</v>
      </c>
      <c r="B3178" t="s">
        <v>5007</v>
      </c>
      <c r="C3178" t="s">
        <v>5008</v>
      </c>
      <c r="D3178" t="s">
        <v>5157</v>
      </c>
      <c r="E3178" t="s">
        <v>5157</v>
      </c>
    </row>
    <row r="3179" spans="1:5">
      <c r="A3179" t="s">
        <v>5244</v>
      </c>
      <c r="B3179" t="s">
        <v>5009</v>
      </c>
      <c r="C3179" t="s">
        <v>5010</v>
      </c>
      <c r="D3179" t="s">
        <v>5157</v>
      </c>
      <c r="E3179" t="s">
        <v>5157</v>
      </c>
    </row>
    <row r="3180" spans="1:5">
      <c r="A3180" t="s">
        <v>5488</v>
      </c>
      <c r="B3180" t="s">
        <v>6264</v>
      </c>
      <c r="C3180" t="s">
        <v>6265</v>
      </c>
      <c r="D3180" t="s">
        <v>5157</v>
      </c>
      <c r="E3180" t="s">
        <v>5157</v>
      </c>
    </row>
    <row r="3181" spans="1:5">
      <c r="A3181" t="s">
        <v>5244</v>
      </c>
      <c r="B3181" t="s">
        <v>6264</v>
      </c>
      <c r="C3181" t="s">
        <v>6265</v>
      </c>
      <c r="D3181" t="s">
        <v>5157</v>
      </c>
      <c r="E3181" t="s">
        <v>5157</v>
      </c>
    </row>
    <row r="3182" spans="1:5">
      <c r="A3182" t="s">
        <v>5244</v>
      </c>
      <c r="B3182" t="s">
        <v>6266</v>
      </c>
      <c r="C3182" t="s">
        <v>6267</v>
      </c>
      <c r="D3182" t="s">
        <v>5157</v>
      </c>
      <c r="E3182" t="s">
        <v>5157</v>
      </c>
    </row>
    <row r="3183" spans="1:5">
      <c r="A3183" t="s">
        <v>5244</v>
      </c>
      <c r="B3183" t="s">
        <v>6268</v>
      </c>
      <c r="C3183" t="s">
        <v>6269</v>
      </c>
      <c r="D3183" t="s">
        <v>5157</v>
      </c>
      <c r="E3183" t="s">
        <v>5157</v>
      </c>
    </row>
    <row r="3184" spans="1:5">
      <c r="A3184" t="s">
        <v>5244</v>
      </c>
      <c r="B3184" t="s">
        <v>6270</v>
      </c>
      <c r="C3184" t="s">
        <v>6271</v>
      </c>
      <c r="D3184" t="s">
        <v>5157</v>
      </c>
      <c r="E3184" t="s">
        <v>5157</v>
      </c>
    </row>
    <row r="3185" spans="1:5">
      <c r="A3185" t="s">
        <v>5244</v>
      </c>
      <c r="B3185" t="s">
        <v>5011</v>
      </c>
      <c r="C3185" t="s">
        <v>5012</v>
      </c>
      <c r="D3185" t="s">
        <v>5157</v>
      </c>
      <c r="E3185" t="s">
        <v>5157</v>
      </c>
    </row>
    <row r="3186" spans="1:5">
      <c r="A3186" t="s">
        <v>5244</v>
      </c>
      <c r="B3186" t="s">
        <v>5013</v>
      </c>
      <c r="C3186" t="s">
        <v>5014</v>
      </c>
      <c r="D3186" t="s">
        <v>5157</v>
      </c>
      <c r="E3186" t="s">
        <v>5157</v>
      </c>
    </row>
    <row r="3187" spans="1:5">
      <c r="A3187" t="s">
        <v>5244</v>
      </c>
      <c r="B3187" t="s">
        <v>5015</v>
      </c>
      <c r="C3187" t="s">
        <v>5016</v>
      </c>
      <c r="D3187" t="s">
        <v>5222</v>
      </c>
      <c r="E3187" t="s">
        <v>5168</v>
      </c>
    </row>
    <row r="3188" spans="1:5">
      <c r="A3188" t="s">
        <v>5244</v>
      </c>
      <c r="B3188" t="s">
        <v>5017</v>
      </c>
      <c r="C3188" t="s">
        <v>5018</v>
      </c>
      <c r="D3188" t="s">
        <v>5157</v>
      </c>
      <c r="E3188" t="s">
        <v>5157</v>
      </c>
    </row>
    <row r="3189" spans="1:5">
      <c r="A3189" t="s">
        <v>5244</v>
      </c>
      <c r="B3189" t="s">
        <v>5019</v>
      </c>
      <c r="C3189" t="s">
        <v>5020</v>
      </c>
      <c r="D3189" t="s">
        <v>5222</v>
      </c>
      <c r="E3189" t="s">
        <v>5168</v>
      </c>
    </row>
    <row r="3190" spans="1:5">
      <c r="A3190" t="s">
        <v>5244</v>
      </c>
      <c r="B3190" t="s">
        <v>5021</v>
      </c>
      <c r="C3190" t="s">
        <v>5022</v>
      </c>
      <c r="D3190" t="s">
        <v>5222</v>
      </c>
      <c r="E3190" t="s">
        <v>5168</v>
      </c>
    </row>
    <row r="3191" spans="1:5">
      <c r="A3191" t="s">
        <v>5244</v>
      </c>
      <c r="B3191" t="s">
        <v>5023</v>
      </c>
      <c r="C3191" t="s">
        <v>5024</v>
      </c>
      <c r="D3191" t="s">
        <v>5222</v>
      </c>
      <c r="E3191" t="s">
        <v>5168</v>
      </c>
    </row>
    <row r="3192" spans="1:5">
      <c r="A3192" t="s">
        <v>5244</v>
      </c>
      <c r="B3192" t="s">
        <v>5025</v>
      </c>
      <c r="C3192" t="s">
        <v>5026</v>
      </c>
      <c r="D3192" t="s">
        <v>5157</v>
      </c>
      <c r="E3192" t="s">
        <v>5157</v>
      </c>
    </row>
    <row r="3193" spans="1:5">
      <c r="A3193" t="s">
        <v>5244</v>
      </c>
      <c r="B3193" t="s">
        <v>5027</v>
      </c>
      <c r="C3193" t="s">
        <v>5028</v>
      </c>
      <c r="D3193" t="s">
        <v>5157</v>
      </c>
      <c r="E3193" t="s">
        <v>5157</v>
      </c>
    </row>
    <row r="3194" spans="1:5">
      <c r="A3194" t="s">
        <v>5244</v>
      </c>
      <c r="B3194" t="s">
        <v>5029</v>
      </c>
      <c r="C3194" t="s">
        <v>5030</v>
      </c>
      <c r="D3194" t="s">
        <v>5228</v>
      </c>
      <c r="E3194" t="s">
        <v>5168</v>
      </c>
    </row>
    <row r="3195" spans="1:5">
      <c r="A3195" t="s">
        <v>5244</v>
      </c>
      <c r="B3195" t="s">
        <v>5031</v>
      </c>
      <c r="C3195" t="s">
        <v>5032</v>
      </c>
      <c r="D3195" t="s">
        <v>5222</v>
      </c>
      <c r="E3195" t="s">
        <v>5168</v>
      </c>
    </row>
    <row r="3196" spans="1:5">
      <c r="A3196" t="s">
        <v>5244</v>
      </c>
      <c r="B3196" t="s">
        <v>5033</v>
      </c>
      <c r="C3196" t="s">
        <v>5034</v>
      </c>
      <c r="D3196" t="s">
        <v>5157</v>
      </c>
      <c r="E3196" t="s">
        <v>5157</v>
      </c>
    </row>
    <row r="3197" spans="1:5">
      <c r="A3197" t="s">
        <v>5244</v>
      </c>
      <c r="B3197" t="s">
        <v>5035</v>
      </c>
      <c r="C3197" t="s">
        <v>5036</v>
      </c>
      <c r="D3197" t="s">
        <v>5222</v>
      </c>
      <c r="E3197" t="s">
        <v>5168</v>
      </c>
    </row>
    <row r="3198" spans="1:5">
      <c r="A3198" t="s">
        <v>5244</v>
      </c>
      <c r="B3198" t="s">
        <v>5037</v>
      </c>
      <c r="C3198" t="s">
        <v>5038</v>
      </c>
      <c r="D3198" t="s">
        <v>5157</v>
      </c>
      <c r="E3198" t="s">
        <v>5157</v>
      </c>
    </row>
    <row r="3199" spans="1:5">
      <c r="A3199" t="s">
        <v>5244</v>
      </c>
      <c r="B3199" t="s">
        <v>5039</v>
      </c>
      <c r="C3199" t="s">
        <v>5040</v>
      </c>
      <c r="D3199" t="s">
        <v>5229</v>
      </c>
      <c r="E3199" t="s">
        <v>5192</v>
      </c>
    </row>
    <row r="3200" spans="1:5">
      <c r="A3200" t="s">
        <v>5244</v>
      </c>
      <c r="B3200" t="s">
        <v>5041</v>
      </c>
      <c r="C3200" t="s">
        <v>5042</v>
      </c>
      <c r="D3200" t="s">
        <v>5157</v>
      </c>
      <c r="E3200" t="s">
        <v>5157</v>
      </c>
    </row>
    <row r="3201" spans="1:5">
      <c r="A3201" t="s">
        <v>5244</v>
      </c>
      <c r="B3201" t="s">
        <v>5043</v>
      </c>
      <c r="C3201" t="s">
        <v>5044</v>
      </c>
      <c r="D3201" t="s">
        <v>5158</v>
      </c>
      <c r="E3201" t="s">
        <v>5159</v>
      </c>
    </row>
    <row r="3202" spans="1:5">
      <c r="A3202" t="s">
        <v>5244</v>
      </c>
      <c r="B3202" t="s">
        <v>6272</v>
      </c>
      <c r="C3202" t="s">
        <v>6273</v>
      </c>
      <c r="D3202" t="s">
        <v>5157</v>
      </c>
      <c r="E3202" t="s">
        <v>5157</v>
      </c>
    </row>
    <row r="3203" spans="1:5">
      <c r="A3203" t="s">
        <v>5244</v>
      </c>
      <c r="B3203" t="s">
        <v>6274</v>
      </c>
      <c r="C3203" t="s">
        <v>6275</v>
      </c>
      <c r="D3203" t="s">
        <v>5186</v>
      </c>
      <c r="E3203" t="s">
        <v>5159</v>
      </c>
    </row>
    <row r="3204" spans="1:5">
      <c r="A3204" t="s">
        <v>5244</v>
      </c>
      <c r="B3204" t="s">
        <v>1137</v>
      </c>
      <c r="C3204" t="s">
        <v>6276</v>
      </c>
      <c r="D3204" t="s">
        <v>5230</v>
      </c>
      <c r="E3204" t="s">
        <v>5168</v>
      </c>
    </row>
    <row r="3205" spans="1:5">
      <c r="A3205" t="s">
        <v>5244</v>
      </c>
      <c r="B3205" t="s">
        <v>5045</v>
      </c>
      <c r="C3205" t="s">
        <v>5046</v>
      </c>
      <c r="D3205" t="s">
        <v>5230</v>
      </c>
      <c r="E3205" t="s">
        <v>5168</v>
      </c>
    </row>
    <row r="3206" spans="1:5">
      <c r="A3206" t="s">
        <v>5244</v>
      </c>
      <c r="B3206" t="s">
        <v>5047</v>
      </c>
      <c r="C3206" t="s">
        <v>5048</v>
      </c>
      <c r="D3206" t="s">
        <v>5230</v>
      </c>
      <c r="E3206" t="s">
        <v>5168</v>
      </c>
    </row>
    <row r="3207" spans="1:5">
      <c r="A3207" t="s">
        <v>5244</v>
      </c>
      <c r="B3207" t="s">
        <v>5049</v>
      </c>
      <c r="C3207" t="s">
        <v>5050</v>
      </c>
      <c r="D3207" t="s">
        <v>5231</v>
      </c>
      <c r="E3207" t="s">
        <v>5168</v>
      </c>
    </row>
    <row r="3208" spans="1:5">
      <c r="A3208" t="s">
        <v>5244</v>
      </c>
      <c r="B3208" t="s">
        <v>6277</v>
      </c>
      <c r="C3208" t="s">
        <v>6278</v>
      </c>
      <c r="D3208" t="s">
        <v>5157</v>
      </c>
      <c r="E3208" t="s">
        <v>5157</v>
      </c>
    </row>
    <row r="3209" spans="1:5">
      <c r="A3209" t="s">
        <v>5244</v>
      </c>
      <c r="B3209" t="s">
        <v>5051</v>
      </c>
      <c r="C3209" t="s">
        <v>5052</v>
      </c>
      <c r="D3209" t="s">
        <v>5157</v>
      </c>
      <c r="E3209" t="s">
        <v>5157</v>
      </c>
    </row>
    <row r="3210" spans="1:5">
      <c r="A3210" t="s">
        <v>5244</v>
      </c>
      <c r="B3210" t="s">
        <v>5053</v>
      </c>
      <c r="C3210" t="s">
        <v>5054</v>
      </c>
      <c r="D3210" t="s">
        <v>5157</v>
      </c>
      <c r="E3210" t="s">
        <v>5157</v>
      </c>
    </row>
    <row r="3211" spans="1:5">
      <c r="A3211" t="s">
        <v>5244</v>
      </c>
      <c r="B3211" t="s">
        <v>5055</v>
      </c>
      <c r="C3211" t="s">
        <v>5056</v>
      </c>
      <c r="D3211" t="s">
        <v>5157</v>
      </c>
      <c r="E3211" t="s">
        <v>5157</v>
      </c>
    </row>
    <row r="3212" spans="1:5">
      <c r="A3212" t="s">
        <v>5244</v>
      </c>
      <c r="B3212" t="s">
        <v>5057</v>
      </c>
      <c r="C3212" t="s">
        <v>5058</v>
      </c>
      <c r="D3212" t="s">
        <v>5157</v>
      </c>
      <c r="E3212" t="s">
        <v>5157</v>
      </c>
    </row>
    <row r="3213" spans="1:5">
      <c r="A3213" t="s">
        <v>5244</v>
      </c>
      <c r="B3213" t="s">
        <v>5059</v>
      </c>
      <c r="C3213" t="s">
        <v>5060</v>
      </c>
      <c r="D3213" t="s">
        <v>5157</v>
      </c>
      <c r="E3213" t="s">
        <v>5157</v>
      </c>
    </row>
    <row r="3214" spans="1:5">
      <c r="A3214" t="s">
        <v>5244</v>
      </c>
      <c r="B3214" t="s">
        <v>5061</v>
      </c>
      <c r="C3214" t="s">
        <v>5062</v>
      </c>
      <c r="D3214" t="s">
        <v>5157</v>
      </c>
      <c r="E3214" t="s">
        <v>5157</v>
      </c>
    </row>
    <row r="3215" spans="1:5">
      <c r="A3215" t="s">
        <v>5244</v>
      </c>
      <c r="B3215" t="s">
        <v>5063</v>
      </c>
      <c r="C3215" t="s">
        <v>5064</v>
      </c>
      <c r="D3215" t="s">
        <v>5157</v>
      </c>
      <c r="E3215" t="s">
        <v>5157</v>
      </c>
    </row>
    <row r="3216" spans="1:5">
      <c r="A3216" t="s">
        <v>5244</v>
      </c>
      <c r="B3216" t="s">
        <v>5065</v>
      </c>
      <c r="C3216" t="s">
        <v>5066</v>
      </c>
      <c r="D3216" t="s">
        <v>5157</v>
      </c>
      <c r="E3216" t="s">
        <v>5157</v>
      </c>
    </row>
    <row r="3217" spans="1:5">
      <c r="A3217" t="s">
        <v>5244</v>
      </c>
      <c r="B3217" t="s">
        <v>5067</v>
      </c>
      <c r="C3217" t="s">
        <v>5068</v>
      </c>
      <c r="D3217" t="s">
        <v>5157</v>
      </c>
      <c r="E3217" t="s">
        <v>5157</v>
      </c>
    </row>
    <row r="3218" spans="1:5">
      <c r="A3218" t="s">
        <v>5244</v>
      </c>
      <c r="B3218" t="s">
        <v>5069</v>
      </c>
      <c r="C3218" t="s">
        <v>5070</v>
      </c>
      <c r="D3218" t="s">
        <v>5157</v>
      </c>
      <c r="E3218" t="s">
        <v>5157</v>
      </c>
    </row>
    <row r="3219" spans="1:5">
      <c r="A3219" t="s">
        <v>5244</v>
      </c>
      <c r="B3219" t="s">
        <v>5071</v>
      </c>
      <c r="C3219" t="s">
        <v>5072</v>
      </c>
      <c r="D3219" t="s">
        <v>5157</v>
      </c>
      <c r="E3219" t="s">
        <v>5157</v>
      </c>
    </row>
    <row r="3220" spans="1:5">
      <c r="A3220" t="s">
        <v>5244</v>
      </c>
      <c r="B3220" t="s">
        <v>5073</v>
      </c>
      <c r="C3220" t="s">
        <v>5074</v>
      </c>
      <c r="D3220" t="s">
        <v>5157</v>
      </c>
      <c r="E3220" t="s">
        <v>5157</v>
      </c>
    </row>
    <row r="3221" spans="1:5">
      <c r="A3221" t="s">
        <v>5244</v>
      </c>
      <c r="B3221" t="s">
        <v>5075</v>
      </c>
      <c r="C3221" t="s">
        <v>5076</v>
      </c>
      <c r="D3221" t="s">
        <v>5157</v>
      </c>
      <c r="E3221" t="s">
        <v>5157</v>
      </c>
    </row>
    <row r="3222" spans="1:5">
      <c r="A3222" t="s">
        <v>5244</v>
      </c>
      <c r="B3222" t="s">
        <v>5077</v>
      </c>
      <c r="C3222" t="s">
        <v>5078</v>
      </c>
      <c r="D3222" t="s">
        <v>5157</v>
      </c>
      <c r="E3222" t="s">
        <v>5157</v>
      </c>
    </row>
    <row r="3223" spans="1:5">
      <c r="A3223" t="s">
        <v>5244</v>
      </c>
      <c r="B3223" t="s">
        <v>5079</v>
      </c>
      <c r="C3223" t="s">
        <v>5080</v>
      </c>
      <c r="D3223" t="s">
        <v>5157</v>
      </c>
      <c r="E3223" t="s">
        <v>5157</v>
      </c>
    </row>
    <row r="3224" spans="1:5">
      <c r="A3224" t="s">
        <v>5244</v>
      </c>
      <c r="B3224" t="s">
        <v>5081</v>
      </c>
      <c r="C3224" t="s">
        <v>5082</v>
      </c>
      <c r="D3224" t="s">
        <v>5157</v>
      </c>
      <c r="E3224" t="s">
        <v>5157</v>
      </c>
    </row>
    <row r="3225" spans="1:5">
      <c r="A3225" t="s">
        <v>5244</v>
      </c>
      <c r="B3225" t="s">
        <v>5083</v>
      </c>
      <c r="C3225" t="s">
        <v>5084</v>
      </c>
      <c r="D3225" t="s">
        <v>5157</v>
      </c>
      <c r="E3225" t="s">
        <v>5157</v>
      </c>
    </row>
    <row r="3226" spans="1:5">
      <c r="A3226" t="s">
        <v>5244</v>
      </c>
      <c r="B3226" t="s">
        <v>5085</v>
      </c>
      <c r="C3226" t="s">
        <v>5086</v>
      </c>
      <c r="D3226" t="s">
        <v>5157</v>
      </c>
      <c r="E3226" t="s">
        <v>5157</v>
      </c>
    </row>
    <row r="3227" spans="1:5">
      <c r="A3227" t="s">
        <v>5244</v>
      </c>
      <c r="B3227" t="s">
        <v>5087</v>
      </c>
      <c r="C3227" t="s">
        <v>5088</v>
      </c>
      <c r="D3227" t="s">
        <v>5157</v>
      </c>
      <c r="E3227" t="s">
        <v>5157</v>
      </c>
    </row>
    <row r="3228" spans="1:5">
      <c r="A3228" t="s">
        <v>5244</v>
      </c>
      <c r="B3228" t="s">
        <v>1138</v>
      </c>
      <c r="C3228" t="s">
        <v>5089</v>
      </c>
      <c r="D3228" t="s">
        <v>5230</v>
      </c>
      <c r="E3228" t="s">
        <v>5168</v>
      </c>
    </row>
    <row r="3229" spans="1:5">
      <c r="A3229" t="s">
        <v>5244</v>
      </c>
      <c r="B3229" t="s">
        <v>1139</v>
      </c>
      <c r="C3229" t="s">
        <v>5090</v>
      </c>
      <c r="D3229" t="s">
        <v>5232</v>
      </c>
      <c r="E3229" t="s">
        <v>5168</v>
      </c>
    </row>
    <row r="3230" spans="1:5">
      <c r="A3230" t="s">
        <v>5244</v>
      </c>
      <c r="B3230" t="s">
        <v>6279</v>
      </c>
      <c r="C3230" t="s">
        <v>6280</v>
      </c>
      <c r="D3230" t="s">
        <v>5232</v>
      </c>
      <c r="E3230" t="s">
        <v>5168</v>
      </c>
    </row>
    <row r="3231" spans="1:5">
      <c r="A3231" t="s">
        <v>5244</v>
      </c>
      <c r="B3231" t="s">
        <v>5091</v>
      </c>
      <c r="C3231" t="s">
        <v>5092</v>
      </c>
      <c r="D3231" t="s">
        <v>5232</v>
      </c>
      <c r="E3231" t="s">
        <v>5168</v>
      </c>
    </row>
    <row r="3232" spans="1:5">
      <c r="A3232" t="s">
        <v>5244</v>
      </c>
      <c r="B3232" t="s">
        <v>6281</v>
      </c>
      <c r="C3232" t="s">
        <v>6282</v>
      </c>
      <c r="D3232" t="s">
        <v>6283</v>
      </c>
      <c r="E3232" t="s">
        <v>5159</v>
      </c>
    </row>
    <row r="3233" spans="1:5">
      <c r="A3233" t="s">
        <v>5244</v>
      </c>
      <c r="B3233" t="s">
        <v>5093</v>
      </c>
      <c r="C3233" t="s">
        <v>5094</v>
      </c>
      <c r="D3233" t="s">
        <v>5232</v>
      </c>
      <c r="E3233" t="s">
        <v>5168</v>
      </c>
    </row>
    <row r="3234" spans="1:5">
      <c r="A3234" t="s">
        <v>5244</v>
      </c>
      <c r="B3234" t="s">
        <v>5095</v>
      </c>
      <c r="C3234" t="s">
        <v>5096</v>
      </c>
      <c r="D3234" t="s">
        <v>5232</v>
      </c>
      <c r="E3234" t="s">
        <v>5168</v>
      </c>
    </row>
    <row r="3235" spans="1:5">
      <c r="A3235" t="s">
        <v>5244</v>
      </c>
      <c r="B3235" t="s">
        <v>5097</v>
      </c>
      <c r="C3235" t="s">
        <v>5098</v>
      </c>
      <c r="D3235" t="s">
        <v>5232</v>
      </c>
      <c r="E3235" t="s">
        <v>5168</v>
      </c>
    </row>
    <row r="3236" spans="1:5">
      <c r="A3236" t="s">
        <v>5244</v>
      </c>
      <c r="B3236" t="s">
        <v>5099</v>
      </c>
      <c r="C3236" t="s">
        <v>5100</v>
      </c>
      <c r="D3236" t="s">
        <v>5232</v>
      </c>
      <c r="E3236" t="s">
        <v>5168</v>
      </c>
    </row>
    <row r="3237" spans="1:5">
      <c r="A3237" t="s">
        <v>5244</v>
      </c>
      <c r="B3237" t="s">
        <v>5101</v>
      </c>
      <c r="C3237" t="s">
        <v>5102</v>
      </c>
      <c r="D3237" t="s">
        <v>5157</v>
      </c>
      <c r="E3237" t="s">
        <v>5157</v>
      </c>
    </row>
    <row r="3238" spans="1:5">
      <c r="A3238" t="s">
        <v>5244</v>
      </c>
      <c r="B3238" t="s">
        <v>1140</v>
      </c>
      <c r="C3238" t="s">
        <v>5103</v>
      </c>
      <c r="D3238" t="s">
        <v>5232</v>
      </c>
      <c r="E3238" t="s">
        <v>5168</v>
      </c>
    </row>
    <row r="3239" spans="1:5">
      <c r="A3239" t="s">
        <v>5244</v>
      </c>
      <c r="B3239" t="s">
        <v>5104</v>
      </c>
      <c r="C3239" t="s">
        <v>5105</v>
      </c>
      <c r="D3239" t="s">
        <v>5232</v>
      </c>
      <c r="E3239" t="s">
        <v>5168</v>
      </c>
    </row>
    <row r="3240" spans="1:5">
      <c r="A3240" t="s">
        <v>5244</v>
      </c>
      <c r="B3240" t="s">
        <v>5106</v>
      </c>
      <c r="C3240" t="s">
        <v>5107</v>
      </c>
      <c r="D3240" t="s">
        <v>5157</v>
      </c>
      <c r="E3240" t="s">
        <v>5157</v>
      </c>
    </row>
    <row r="3241" spans="1:5">
      <c r="A3241" t="s">
        <v>5244</v>
      </c>
      <c r="B3241" t="s">
        <v>1141</v>
      </c>
      <c r="C3241" t="s">
        <v>5108</v>
      </c>
      <c r="D3241" t="s">
        <v>5232</v>
      </c>
      <c r="E3241" t="s">
        <v>5168</v>
      </c>
    </row>
    <row r="3242" spans="1:5">
      <c r="A3242" t="s">
        <v>5244</v>
      </c>
      <c r="B3242" t="s">
        <v>1142</v>
      </c>
      <c r="C3242" t="s">
        <v>5109</v>
      </c>
      <c r="D3242" t="s">
        <v>5232</v>
      </c>
      <c r="E3242" t="s">
        <v>5168</v>
      </c>
    </row>
    <row r="3243" spans="1:5">
      <c r="A3243" t="s">
        <v>5244</v>
      </c>
      <c r="B3243" t="s">
        <v>5110</v>
      </c>
      <c r="C3243" t="s">
        <v>5111</v>
      </c>
      <c r="D3243" t="s">
        <v>5157</v>
      </c>
      <c r="E3243" t="s">
        <v>5157</v>
      </c>
    </row>
    <row r="3244" spans="1:5">
      <c r="A3244" t="s">
        <v>5244</v>
      </c>
      <c r="B3244" t="s">
        <v>5112</v>
      </c>
      <c r="C3244" t="s">
        <v>5113</v>
      </c>
      <c r="D3244" t="s">
        <v>5157</v>
      </c>
      <c r="E3244" t="s">
        <v>5157</v>
      </c>
    </row>
    <row r="3245" spans="1:5">
      <c r="A3245" t="s">
        <v>5244</v>
      </c>
      <c r="B3245" t="s">
        <v>5114</v>
      </c>
      <c r="C3245" t="s">
        <v>5115</v>
      </c>
      <c r="D3245" t="s">
        <v>5232</v>
      </c>
      <c r="E3245" t="s">
        <v>5168</v>
      </c>
    </row>
    <row r="3246" spans="1:5">
      <c r="A3246" t="s">
        <v>5244</v>
      </c>
      <c r="B3246" t="s">
        <v>5116</v>
      </c>
      <c r="C3246" t="s">
        <v>5117</v>
      </c>
      <c r="D3246" t="s">
        <v>5157</v>
      </c>
      <c r="E3246" t="s">
        <v>5157</v>
      </c>
    </row>
    <row r="3247" spans="1:5">
      <c r="A3247" t="s">
        <v>5244</v>
      </c>
      <c r="B3247" t="s">
        <v>5118</v>
      </c>
      <c r="C3247" t="s">
        <v>5119</v>
      </c>
      <c r="D3247" t="s">
        <v>5157</v>
      </c>
      <c r="E3247" t="s">
        <v>5157</v>
      </c>
    </row>
    <row r="3248" spans="1:5">
      <c r="A3248" t="s">
        <v>5244</v>
      </c>
      <c r="B3248" t="s">
        <v>5120</v>
      </c>
      <c r="C3248" t="s">
        <v>5121</v>
      </c>
      <c r="D3248" t="s">
        <v>5157</v>
      </c>
      <c r="E3248" t="s">
        <v>5157</v>
      </c>
    </row>
    <row r="3249" spans="1:5">
      <c r="A3249" t="s">
        <v>5244</v>
      </c>
      <c r="B3249" t="s">
        <v>5122</v>
      </c>
      <c r="C3249" t="s">
        <v>5123</v>
      </c>
      <c r="D3249" t="s">
        <v>5231</v>
      </c>
      <c r="E3249" t="s">
        <v>5168</v>
      </c>
    </row>
    <row r="3250" spans="1:5">
      <c r="A3250" t="s">
        <v>5244</v>
      </c>
      <c r="B3250" t="s">
        <v>5124</v>
      </c>
      <c r="C3250" t="s">
        <v>5125</v>
      </c>
      <c r="D3250" t="s">
        <v>5233</v>
      </c>
      <c r="E3250" t="s">
        <v>5168</v>
      </c>
    </row>
    <row r="3251" spans="1:5">
      <c r="A3251" t="s">
        <v>5244</v>
      </c>
      <c r="B3251" t="s">
        <v>5126</v>
      </c>
      <c r="C3251" t="s">
        <v>5127</v>
      </c>
      <c r="D3251" t="s">
        <v>5157</v>
      </c>
      <c r="E3251" t="s">
        <v>5157</v>
      </c>
    </row>
    <row r="3252" spans="1:5">
      <c r="A3252" t="s">
        <v>5244</v>
      </c>
      <c r="B3252" t="s">
        <v>5128</v>
      </c>
      <c r="C3252" t="s">
        <v>5129</v>
      </c>
      <c r="D3252" t="s">
        <v>5157</v>
      </c>
      <c r="E3252" t="s">
        <v>5157</v>
      </c>
    </row>
    <row r="3253" spans="1:5">
      <c r="A3253" t="s">
        <v>5244</v>
      </c>
      <c r="B3253" t="s">
        <v>5130</v>
      </c>
      <c r="C3253" t="s">
        <v>5131</v>
      </c>
      <c r="D3253" t="s">
        <v>5157</v>
      </c>
      <c r="E3253" t="s">
        <v>5157</v>
      </c>
    </row>
    <row r="3254" spans="1:5">
      <c r="A3254" t="s">
        <v>5244</v>
      </c>
      <c r="B3254" t="s">
        <v>6284</v>
      </c>
      <c r="C3254" t="s">
        <v>6285</v>
      </c>
      <c r="D3254" t="s">
        <v>6286</v>
      </c>
      <c r="E3254" t="s">
        <v>5159</v>
      </c>
    </row>
    <row r="3255" spans="1:5">
      <c r="A3255" t="s">
        <v>5244</v>
      </c>
      <c r="B3255" t="s">
        <v>5132</v>
      </c>
      <c r="C3255" t="s">
        <v>5133</v>
      </c>
      <c r="D3255" t="s">
        <v>5231</v>
      </c>
      <c r="E3255" t="s">
        <v>5168</v>
      </c>
    </row>
    <row r="3256" spans="1:5">
      <c r="A3256" t="s">
        <v>5244</v>
      </c>
      <c r="B3256" t="s">
        <v>5134</v>
      </c>
      <c r="C3256" t="s">
        <v>5135</v>
      </c>
      <c r="D3256" t="s">
        <v>5231</v>
      </c>
      <c r="E3256" t="s">
        <v>5168</v>
      </c>
    </row>
    <row r="3257" spans="1:5">
      <c r="A3257" t="s">
        <v>5244</v>
      </c>
      <c r="B3257" t="s">
        <v>5136</v>
      </c>
      <c r="C3257" t="s">
        <v>5137</v>
      </c>
      <c r="D3257" t="s">
        <v>5157</v>
      </c>
      <c r="E3257" t="s">
        <v>5157</v>
      </c>
    </row>
    <row r="3258" spans="1:5">
      <c r="A3258" t="s">
        <v>5244</v>
      </c>
      <c r="B3258" t="s">
        <v>5138</v>
      </c>
      <c r="C3258" t="s">
        <v>5139</v>
      </c>
      <c r="D3258" t="s">
        <v>5157</v>
      </c>
      <c r="E3258" t="s">
        <v>5157</v>
      </c>
    </row>
    <row r="3259" spans="1:5">
      <c r="A3259" t="s">
        <v>5244</v>
      </c>
      <c r="B3259" t="s">
        <v>5140</v>
      </c>
      <c r="C3259" t="s">
        <v>5141</v>
      </c>
      <c r="D3259" t="s">
        <v>5157</v>
      </c>
      <c r="E3259" t="s">
        <v>5157</v>
      </c>
    </row>
    <row r="3260" spans="1:5">
      <c r="A3260" t="s">
        <v>5244</v>
      </c>
      <c r="B3260" t="s">
        <v>5142</v>
      </c>
      <c r="C3260" t="s">
        <v>5143</v>
      </c>
      <c r="D3260" t="s">
        <v>5157</v>
      </c>
      <c r="E3260" t="s">
        <v>5157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1"/>
  <dimension ref="A1:I3488"/>
  <sheetViews>
    <sheetView showGridLines="0" tabSelected="1" zoomScale="85" zoomScaleNormal="85" workbookViewId="0">
      <selection activeCell="B11" sqref="B11"/>
    </sheetView>
  </sheetViews>
  <sheetFormatPr baseColWidth="10" defaultRowHeight="15"/>
  <cols>
    <col min="1" max="1" width="21.7109375" bestFit="1" customWidth="1"/>
    <col min="2" max="2" width="27.5703125" bestFit="1" customWidth="1"/>
    <col min="3" max="3" width="81.140625" bestFit="1" customWidth="1"/>
    <col min="4" max="4" width="59.28515625" bestFit="1" customWidth="1"/>
    <col min="5" max="5" width="15.28515625" bestFit="1" customWidth="1"/>
    <col min="6" max="6" width="10.7109375" bestFit="1" customWidth="1"/>
    <col min="7" max="7" width="13.5703125" bestFit="1" customWidth="1"/>
    <col min="8" max="8" width="15.42578125" bestFit="1" customWidth="1"/>
    <col min="9" max="9" width="10" bestFit="1" customWidth="1"/>
    <col min="10" max="10" width="9.28515625" bestFit="1" customWidth="1"/>
    <col min="11" max="11" width="2.140625" bestFit="1" customWidth="1"/>
    <col min="12" max="12" width="18" bestFit="1" customWidth="1"/>
    <col min="13" max="13" width="19.85546875" bestFit="1" customWidth="1"/>
    <col min="14" max="14" width="22.7109375" bestFit="1" customWidth="1"/>
    <col min="15" max="16" width="19.140625" bestFit="1" customWidth="1"/>
  </cols>
  <sheetData>
    <row r="1" spans="1:9">
      <c r="A1" t="s">
        <v>5240</v>
      </c>
      <c r="B1" t="s">
        <v>2</v>
      </c>
      <c r="C1" t="s">
        <v>3</v>
      </c>
      <c r="D1" t="s">
        <v>5234</v>
      </c>
      <c r="E1" t="s">
        <v>5235</v>
      </c>
      <c r="F1" t="s">
        <v>4</v>
      </c>
      <c r="G1" t="s">
        <v>5</v>
      </c>
      <c r="H1" t="s">
        <v>6293</v>
      </c>
      <c r="I1" t="s">
        <v>6</v>
      </c>
    </row>
    <row r="2" spans="1:9">
      <c r="A2" s="2" t="s">
        <v>6759</v>
      </c>
      <c r="B2" s="2" t="s">
        <v>1143</v>
      </c>
      <c r="C2" s="2" t="s">
        <v>1144</v>
      </c>
      <c r="D2" s="2" t="s">
        <v>5211</v>
      </c>
      <c r="E2" s="2" t="s">
        <v>5213</v>
      </c>
      <c r="F2" s="2">
        <v>6.9470000000000001</v>
      </c>
      <c r="G2" s="2">
        <v>10</v>
      </c>
      <c r="H2" s="2">
        <f>Tabla_Items_Con_Existencia[[#This Row],[COSTO]]*Tabla_Items_Con_Existencia[[#This Row],[EXISTENCIA]]</f>
        <v>69.47</v>
      </c>
      <c r="I2" s="1">
        <f>IF(ISERROR(MATCH(Tabla_Items_Con_Existencia[[#This Row],[CODIGO]],Tabla_Items_Activos[CODIGO],0)),0,1)</f>
        <v>0</v>
      </c>
    </row>
    <row r="3" spans="1:9">
      <c r="A3" s="2" t="s">
        <v>6760</v>
      </c>
      <c r="B3" s="2" t="s">
        <v>1145</v>
      </c>
      <c r="C3" s="2" t="s">
        <v>1146</v>
      </c>
      <c r="D3" s="2" t="s">
        <v>5157</v>
      </c>
      <c r="E3" s="2" t="s">
        <v>5192</v>
      </c>
      <c r="F3" s="2">
        <v>0.6</v>
      </c>
      <c r="G3" s="2">
        <v>5</v>
      </c>
      <c r="H3" s="2">
        <f>Tabla_Items_Con_Existencia[[#This Row],[COSTO]]*Tabla_Items_Con_Existencia[[#This Row],[EXISTENCIA]]</f>
        <v>3</v>
      </c>
      <c r="I3" s="1">
        <f>IF(ISERROR(MATCH(Tabla_Items_Con_Existencia[[#This Row],[CODIGO]],Tabla_Items_Activos[CODIGO],0)),0,1)</f>
        <v>0</v>
      </c>
    </row>
    <row r="4" spans="1:9">
      <c r="A4" s="2" t="s">
        <v>6760</v>
      </c>
      <c r="B4" s="2" t="s">
        <v>1147</v>
      </c>
      <c r="C4" s="2" t="s">
        <v>1148</v>
      </c>
      <c r="D4" s="2" t="s">
        <v>5157</v>
      </c>
      <c r="E4" s="2" t="s">
        <v>5192</v>
      </c>
      <c r="F4" s="2">
        <v>4.92</v>
      </c>
      <c r="G4" s="2">
        <v>1</v>
      </c>
      <c r="H4" s="2">
        <f>Tabla_Items_Con_Existencia[[#This Row],[COSTO]]*Tabla_Items_Con_Existencia[[#This Row],[EXISTENCIA]]</f>
        <v>4.92</v>
      </c>
      <c r="I4" s="1">
        <f>IF(ISERROR(MATCH(Tabla_Items_Con_Existencia[[#This Row],[CODIGO]],Tabla_Items_Activos[CODIGO],0)),0,1)</f>
        <v>0</v>
      </c>
    </row>
    <row r="5" spans="1:9">
      <c r="A5" s="2" t="s">
        <v>6760</v>
      </c>
      <c r="B5" s="2" t="s">
        <v>1149</v>
      </c>
      <c r="C5" s="2" t="s">
        <v>1150</v>
      </c>
      <c r="D5" s="2" t="s">
        <v>5157</v>
      </c>
      <c r="E5" s="2" t="s">
        <v>5192</v>
      </c>
      <c r="F5" s="2">
        <v>0.72</v>
      </c>
      <c r="G5" s="2">
        <v>2</v>
      </c>
      <c r="H5" s="2">
        <f>Tabla_Items_Con_Existencia[[#This Row],[COSTO]]*Tabla_Items_Con_Existencia[[#This Row],[EXISTENCIA]]</f>
        <v>1.44</v>
      </c>
      <c r="I5" s="1">
        <f>IF(ISERROR(MATCH(Tabla_Items_Con_Existencia[[#This Row],[CODIGO]],Tabla_Items_Activos[CODIGO],0)),0,1)</f>
        <v>0</v>
      </c>
    </row>
    <row r="6" spans="1:9">
      <c r="A6" s="2" t="s">
        <v>6760</v>
      </c>
      <c r="B6" s="2" t="s">
        <v>1151</v>
      </c>
      <c r="C6" s="2" t="s">
        <v>1152</v>
      </c>
      <c r="D6" s="2" t="s">
        <v>5157</v>
      </c>
      <c r="E6" s="2" t="s">
        <v>5192</v>
      </c>
      <c r="F6" s="2">
        <v>0.39</v>
      </c>
      <c r="G6" s="2">
        <v>4</v>
      </c>
      <c r="H6" s="2">
        <f>Tabla_Items_Con_Existencia[[#This Row],[COSTO]]*Tabla_Items_Con_Existencia[[#This Row],[EXISTENCIA]]</f>
        <v>1.56</v>
      </c>
      <c r="I6" s="1">
        <f>IF(ISERROR(MATCH(Tabla_Items_Con_Existencia[[#This Row],[CODIGO]],Tabla_Items_Activos[CODIGO],0)),0,1)</f>
        <v>0</v>
      </c>
    </row>
    <row r="7" spans="1:9">
      <c r="A7" s="2" t="s">
        <v>6760</v>
      </c>
      <c r="B7" s="2" t="s">
        <v>1153</v>
      </c>
      <c r="C7" s="2" t="s">
        <v>1154</v>
      </c>
      <c r="D7" s="2" t="s">
        <v>5157</v>
      </c>
      <c r="E7" s="2" t="s">
        <v>5192</v>
      </c>
      <c r="F7" s="2">
        <v>1.65</v>
      </c>
      <c r="G7" s="2">
        <v>2</v>
      </c>
      <c r="H7" s="2">
        <f>Tabla_Items_Con_Existencia[[#This Row],[COSTO]]*Tabla_Items_Con_Existencia[[#This Row],[EXISTENCIA]]</f>
        <v>3.3</v>
      </c>
      <c r="I7" s="1">
        <f>IF(ISERROR(MATCH(Tabla_Items_Con_Existencia[[#This Row],[CODIGO]],Tabla_Items_Activos[CODIGO],0)),0,1)</f>
        <v>0</v>
      </c>
    </row>
    <row r="8" spans="1:9">
      <c r="A8" s="2" t="s">
        <v>6760</v>
      </c>
      <c r="B8" s="2" t="s">
        <v>1155</v>
      </c>
      <c r="C8" s="2" t="s">
        <v>1156</v>
      </c>
      <c r="D8" s="2" t="s">
        <v>5157</v>
      </c>
      <c r="E8" s="2" t="s">
        <v>5192</v>
      </c>
      <c r="F8" s="2">
        <v>26.587</v>
      </c>
      <c r="G8" s="2">
        <v>2</v>
      </c>
      <c r="H8" s="2">
        <f>Tabla_Items_Con_Existencia[[#This Row],[COSTO]]*Tabla_Items_Con_Existencia[[#This Row],[EXISTENCIA]]</f>
        <v>53.173999999999999</v>
      </c>
      <c r="I8" s="1">
        <f>IF(ISERROR(MATCH(Tabla_Items_Con_Existencia[[#This Row],[CODIGO]],Tabla_Items_Activos[CODIGO],0)),0,1)</f>
        <v>0</v>
      </c>
    </row>
    <row r="9" spans="1:9">
      <c r="A9" s="2" t="s">
        <v>6760</v>
      </c>
      <c r="B9" s="2" t="s">
        <v>1157</v>
      </c>
      <c r="C9" s="2" t="s">
        <v>1158</v>
      </c>
      <c r="D9" s="2" t="s">
        <v>5157</v>
      </c>
      <c r="E9" s="2" t="s">
        <v>5192</v>
      </c>
      <c r="F9" s="2">
        <v>673.23</v>
      </c>
      <c r="G9" s="2">
        <v>1</v>
      </c>
      <c r="H9" s="2">
        <f>Tabla_Items_Con_Existencia[[#This Row],[COSTO]]*Tabla_Items_Con_Existencia[[#This Row],[EXISTENCIA]]</f>
        <v>673.23</v>
      </c>
      <c r="I9" s="1">
        <f>IF(ISERROR(MATCH(Tabla_Items_Con_Existencia[[#This Row],[CODIGO]],Tabla_Items_Activos[CODIGO],0)),0,1)</f>
        <v>0</v>
      </c>
    </row>
    <row r="10" spans="1:9">
      <c r="A10" s="2" t="s">
        <v>6760</v>
      </c>
      <c r="B10" s="2" t="s">
        <v>1159</v>
      </c>
      <c r="C10" s="2" t="s">
        <v>1160</v>
      </c>
      <c r="D10" s="2" t="s">
        <v>5157</v>
      </c>
      <c r="E10" s="2" t="s">
        <v>5192</v>
      </c>
      <c r="F10" s="2">
        <v>250</v>
      </c>
      <c r="G10" s="2">
        <v>1</v>
      </c>
      <c r="H10" s="2">
        <f>Tabla_Items_Con_Existencia[[#This Row],[COSTO]]*Tabla_Items_Con_Existencia[[#This Row],[EXISTENCIA]]</f>
        <v>250</v>
      </c>
      <c r="I10" s="1">
        <f>IF(ISERROR(MATCH(Tabla_Items_Con_Existencia[[#This Row],[CODIGO]],Tabla_Items_Activos[CODIGO],0)),0,1)</f>
        <v>0</v>
      </c>
    </row>
    <row r="11" spans="1:9">
      <c r="A11" s="2" t="s">
        <v>6760</v>
      </c>
      <c r="B11" s="2" t="s">
        <v>1161</v>
      </c>
      <c r="C11" s="2" t="s">
        <v>1162</v>
      </c>
      <c r="D11" s="2" t="s">
        <v>5157</v>
      </c>
      <c r="E11" s="2" t="s">
        <v>5192</v>
      </c>
      <c r="F11" s="2">
        <v>150</v>
      </c>
      <c r="G11" s="2">
        <v>1</v>
      </c>
      <c r="H11" s="2">
        <f>Tabla_Items_Con_Existencia[[#This Row],[COSTO]]*Tabla_Items_Con_Existencia[[#This Row],[EXISTENCIA]]</f>
        <v>150</v>
      </c>
      <c r="I11" s="1">
        <f>IF(ISERROR(MATCH(Tabla_Items_Con_Existencia[[#This Row],[CODIGO]],Tabla_Items_Activos[CODIGO],0)),0,1)</f>
        <v>0</v>
      </c>
    </row>
    <row r="12" spans="1:9">
      <c r="A12" s="2" t="s">
        <v>6760</v>
      </c>
      <c r="B12" s="2" t="s">
        <v>1163</v>
      </c>
      <c r="C12" s="2" t="s">
        <v>1164</v>
      </c>
      <c r="D12" s="2" t="s">
        <v>5157</v>
      </c>
      <c r="E12" s="2" t="s">
        <v>5192</v>
      </c>
      <c r="F12" s="2">
        <v>150</v>
      </c>
      <c r="G12" s="2">
        <v>1</v>
      </c>
      <c r="H12" s="2">
        <f>Tabla_Items_Con_Existencia[[#This Row],[COSTO]]*Tabla_Items_Con_Existencia[[#This Row],[EXISTENCIA]]</f>
        <v>150</v>
      </c>
      <c r="I12" s="1">
        <f>IF(ISERROR(MATCH(Tabla_Items_Con_Existencia[[#This Row],[CODIGO]],Tabla_Items_Activos[CODIGO],0)),0,1)</f>
        <v>0</v>
      </c>
    </row>
    <row r="13" spans="1:9">
      <c r="A13" s="2" t="s">
        <v>6760</v>
      </c>
      <c r="B13" s="2" t="s">
        <v>1165</v>
      </c>
      <c r="C13" s="2" t="s">
        <v>1166</v>
      </c>
      <c r="D13" s="2" t="s">
        <v>5157</v>
      </c>
      <c r="E13" s="2" t="s">
        <v>5192</v>
      </c>
      <c r="F13" s="2">
        <v>30</v>
      </c>
      <c r="G13" s="2">
        <v>1</v>
      </c>
      <c r="H13" s="2">
        <f>Tabla_Items_Con_Existencia[[#This Row],[COSTO]]*Tabla_Items_Con_Existencia[[#This Row],[EXISTENCIA]]</f>
        <v>30</v>
      </c>
      <c r="I13" s="1">
        <f>IF(ISERROR(MATCH(Tabla_Items_Con_Existencia[[#This Row],[CODIGO]],Tabla_Items_Activos[CODIGO],0)),0,1)</f>
        <v>0</v>
      </c>
    </row>
    <row r="14" spans="1:9">
      <c r="A14" s="2" t="s">
        <v>6761</v>
      </c>
      <c r="B14" s="2" t="s">
        <v>6762</v>
      </c>
      <c r="C14" s="2" t="s">
        <v>6763</v>
      </c>
      <c r="D14" s="2" t="s">
        <v>5226</v>
      </c>
      <c r="E14" s="2" t="s">
        <v>5192</v>
      </c>
      <c r="F14" s="2">
        <v>93.86</v>
      </c>
      <c r="G14" s="2">
        <v>3</v>
      </c>
      <c r="H14" s="2">
        <f>Tabla_Items_Con_Existencia[[#This Row],[COSTO]]*Tabla_Items_Con_Existencia[[#This Row],[EXISTENCIA]]</f>
        <v>281.58</v>
      </c>
      <c r="I14" s="1">
        <f>IF(ISERROR(MATCH(Tabla_Items_Con_Existencia[[#This Row],[CODIGO]],Tabla_Items_Activos[CODIGO],0)),0,1)</f>
        <v>0</v>
      </c>
    </row>
    <row r="15" spans="1:9">
      <c r="A15" s="2" t="s">
        <v>6760</v>
      </c>
      <c r="B15" s="2" t="s">
        <v>1167</v>
      </c>
      <c r="C15" s="2" t="s">
        <v>1168</v>
      </c>
      <c r="D15" s="2" t="s">
        <v>5157</v>
      </c>
      <c r="E15" s="2" t="s">
        <v>5192</v>
      </c>
      <c r="F15" s="2">
        <v>0.89</v>
      </c>
      <c r="G15" s="2">
        <v>11</v>
      </c>
      <c r="H15" s="2">
        <f>Tabla_Items_Con_Existencia[[#This Row],[COSTO]]*Tabla_Items_Con_Existencia[[#This Row],[EXISTENCIA]]</f>
        <v>9.7900000000000009</v>
      </c>
      <c r="I15" s="1">
        <f>IF(ISERROR(MATCH(Tabla_Items_Con_Existencia[[#This Row],[CODIGO]],Tabla_Items_Activos[CODIGO],0)),0,1)</f>
        <v>0</v>
      </c>
    </row>
    <row r="16" spans="1:9">
      <c r="A16" s="2" t="s">
        <v>6760</v>
      </c>
      <c r="B16" s="2" t="s">
        <v>1169</v>
      </c>
      <c r="C16" s="2" t="s">
        <v>1170</v>
      </c>
      <c r="D16" s="2" t="s">
        <v>5157</v>
      </c>
      <c r="E16" s="2" t="s">
        <v>5192</v>
      </c>
      <c r="F16" s="2">
        <v>1.2090000000000001</v>
      </c>
      <c r="G16" s="2">
        <v>18</v>
      </c>
      <c r="H16" s="2">
        <f>Tabla_Items_Con_Existencia[[#This Row],[COSTO]]*Tabla_Items_Con_Existencia[[#This Row],[EXISTENCIA]]</f>
        <v>21.762</v>
      </c>
      <c r="I16" s="1">
        <f>IF(ISERROR(MATCH(Tabla_Items_Con_Existencia[[#This Row],[CODIGO]],Tabla_Items_Activos[CODIGO],0)),0,1)</f>
        <v>0</v>
      </c>
    </row>
    <row r="17" spans="1:9">
      <c r="A17" s="2" t="s">
        <v>6760</v>
      </c>
      <c r="B17" s="2" t="s">
        <v>1171</v>
      </c>
      <c r="C17" s="2" t="s">
        <v>1172</v>
      </c>
      <c r="D17" s="2" t="s">
        <v>5157</v>
      </c>
      <c r="E17" s="2" t="s">
        <v>5192</v>
      </c>
      <c r="F17" s="2">
        <v>0.34</v>
      </c>
      <c r="G17" s="2">
        <v>28</v>
      </c>
      <c r="H17" s="2">
        <f>Tabla_Items_Con_Existencia[[#This Row],[COSTO]]*Tabla_Items_Con_Existencia[[#This Row],[EXISTENCIA]]</f>
        <v>9.5200000000000014</v>
      </c>
      <c r="I17" s="1">
        <f>IF(ISERROR(MATCH(Tabla_Items_Con_Existencia[[#This Row],[CODIGO]],Tabla_Items_Activos[CODIGO],0)),0,1)</f>
        <v>0</v>
      </c>
    </row>
    <row r="18" spans="1:9">
      <c r="A18" s="2" t="s">
        <v>6760</v>
      </c>
      <c r="B18" s="2" t="s">
        <v>1173</v>
      </c>
      <c r="C18" s="2" t="s">
        <v>1174</v>
      </c>
      <c r="D18" s="2" t="s">
        <v>5157</v>
      </c>
      <c r="E18" s="2" t="s">
        <v>5192</v>
      </c>
      <c r="F18" s="2">
        <v>0.44600000000000001</v>
      </c>
      <c r="G18" s="2">
        <v>28</v>
      </c>
      <c r="H18" s="2">
        <f>Tabla_Items_Con_Existencia[[#This Row],[COSTO]]*Tabla_Items_Con_Existencia[[#This Row],[EXISTENCIA]]</f>
        <v>12.488</v>
      </c>
      <c r="I18" s="1">
        <f>IF(ISERROR(MATCH(Tabla_Items_Con_Existencia[[#This Row],[CODIGO]],Tabla_Items_Activos[CODIGO],0)),0,1)</f>
        <v>0</v>
      </c>
    </row>
    <row r="19" spans="1:9">
      <c r="A19" s="2" t="s">
        <v>6760</v>
      </c>
      <c r="B19" s="2" t="s">
        <v>1175</v>
      </c>
      <c r="C19" s="2" t="s">
        <v>1176</v>
      </c>
      <c r="D19" s="2" t="s">
        <v>5157</v>
      </c>
      <c r="E19" s="2" t="s">
        <v>5192</v>
      </c>
      <c r="F19" s="2">
        <v>1.208</v>
      </c>
      <c r="G19" s="2">
        <v>22</v>
      </c>
      <c r="H19" s="2">
        <f>Tabla_Items_Con_Existencia[[#This Row],[COSTO]]*Tabla_Items_Con_Existencia[[#This Row],[EXISTENCIA]]</f>
        <v>26.576000000000001</v>
      </c>
      <c r="I19" s="1">
        <f>IF(ISERROR(MATCH(Tabla_Items_Con_Existencia[[#This Row],[CODIGO]],Tabla_Items_Activos[CODIGO],0)),0,1)</f>
        <v>0</v>
      </c>
    </row>
    <row r="20" spans="1:9">
      <c r="A20" s="2" t="s">
        <v>6760</v>
      </c>
      <c r="B20" s="2" t="s">
        <v>1177</v>
      </c>
      <c r="C20" s="2" t="s">
        <v>1178</v>
      </c>
      <c r="D20" s="2" t="s">
        <v>5157</v>
      </c>
      <c r="E20" s="2" t="s">
        <v>5192</v>
      </c>
      <c r="F20" s="2">
        <v>0.59699999999999998</v>
      </c>
      <c r="G20" s="2">
        <v>402</v>
      </c>
      <c r="H20" s="2">
        <f>Tabla_Items_Con_Existencia[[#This Row],[COSTO]]*Tabla_Items_Con_Existencia[[#This Row],[EXISTENCIA]]</f>
        <v>239.994</v>
      </c>
      <c r="I20" s="1">
        <f>IF(ISERROR(MATCH(Tabla_Items_Con_Existencia[[#This Row],[CODIGO]],Tabla_Items_Activos[CODIGO],0)),0,1)</f>
        <v>0</v>
      </c>
    </row>
    <row r="21" spans="1:9">
      <c r="A21" s="2" t="s">
        <v>6760</v>
      </c>
      <c r="B21" s="2" t="s">
        <v>1179</v>
      </c>
      <c r="C21" s="2" t="s">
        <v>1180</v>
      </c>
      <c r="D21" s="2" t="s">
        <v>5157</v>
      </c>
      <c r="E21" s="2" t="s">
        <v>5192</v>
      </c>
      <c r="F21" s="2">
        <v>0.72</v>
      </c>
      <c r="G21" s="2">
        <v>3</v>
      </c>
      <c r="H21" s="2">
        <f>Tabla_Items_Con_Existencia[[#This Row],[COSTO]]*Tabla_Items_Con_Existencia[[#This Row],[EXISTENCIA]]</f>
        <v>2.16</v>
      </c>
      <c r="I21" s="1">
        <f>IF(ISERROR(MATCH(Tabla_Items_Con_Existencia[[#This Row],[CODIGO]],Tabla_Items_Activos[CODIGO],0)),0,1)</f>
        <v>0</v>
      </c>
    </row>
    <row r="22" spans="1:9">
      <c r="A22" s="2" t="s">
        <v>6760</v>
      </c>
      <c r="B22" s="2" t="s">
        <v>1181</v>
      </c>
      <c r="C22" s="2" t="s">
        <v>1182</v>
      </c>
      <c r="D22" s="2" t="s">
        <v>5157</v>
      </c>
      <c r="E22" s="2" t="s">
        <v>5192</v>
      </c>
      <c r="F22" s="2">
        <v>0.5</v>
      </c>
      <c r="G22" s="2">
        <v>2</v>
      </c>
      <c r="H22" s="2">
        <f>Tabla_Items_Con_Existencia[[#This Row],[COSTO]]*Tabla_Items_Con_Existencia[[#This Row],[EXISTENCIA]]</f>
        <v>1</v>
      </c>
      <c r="I22" s="1">
        <f>IF(ISERROR(MATCH(Tabla_Items_Con_Existencia[[#This Row],[CODIGO]],Tabla_Items_Activos[CODIGO],0)),0,1)</f>
        <v>0</v>
      </c>
    </row>
    <row r="23" spans="1:9">
      <c r="A23" s="2" t="s">
        <v>6760</v>
      </c>
      <c r="B23" s="2" t="s">
        <v>1183</v>
      </c>
      <c r="C23" s="2" t="s">
        <v>1184</v>
      </c>
      <c r="D23" s="2" t="s">
        <v>5157</v>
      </c>
      <c r="E23" s="2" t="s">
        <v>5192</v>
      </c>
      <c r="F23" s="2">
        <v>9.7240000000000002</v>
      </c>
      <c r="G23" s="2">
        <v>5</v>
      </c>
      <c r="H23" s="2">
        <f>Tabla_Items_Con_Existencia[[#This Row],[COSTO]]*Tabla_Items_Con_Existencia[[#This Row],[EXISTENCIA]]</f>
        <v>48.620000000000005</v>
      </c>
      <c r="I23" s="1">
        <f>IF(ISERROR(MATCH(Tabla_Items_Con_Existencia[[#This Row],[CODIGO]],Tabla_Items_Activos[CODIGO],0)),0,1)</f>
        <v>0</v>
      </c>
    </row>
    <row r="24" spans="1:9">
      <c r="A24" s="2" t="s">
        <v>6760</v>
      </c>
      <c r="B24" s="2" t="s">
        <v>1185</v>
      </c>
      <c r="C24" s="2" t="s">
        <v>1186</v>
      </c>
      <c r="D24" s="2" t="s">
        <v>5157</v>
      </c>
      <c r="E24" s="2" t="s">
        <v>5192</v>
      </c>
      <c r="F24" s="2">
        <v>51.39</v>
      </c>
      <c r="G24" s="2">
        <v>1</v>
      </c>
      <c r="H24" s="2">
        <f>Tabla_Items_Con_Existencia[[#This Row],[COSTO]]*Tabla_Items_Con_Existencia[[#This Row],[EXISTENCIA]]</f>
        <v>51.39</v>
      </c>
      <c r="I24" s="1">
        <f>IF(ISERROR(MATCH(Tabla_Items_Con_Existencia[[#This Row],[CODIGO]],Tabla_Items_Activos[CODIGO],0)),0,1)</f>
        <v>0</v>
      </c>
    </row>
    <row r="25" spans="1:9">
      <c r="A25" s="2" t="s">
        <v>6760</v>
      </c>
      <c r="B25" s="2" t="s">
        <v>1187</v>
      </c>
      <c r="C25" s="2" t="s">
        <v>1188</v>
      </c>
      <c r="D25" s="2" t="s">
        <v>5157</v>
      </c>
      <c r="E25" s="2" t="s">
        <v>5192</v>
      </c>
      <c r="F25" s="2">
        <v>30.7</v>
      </c>
      <c r="G25" s="2">
        <v>8</v>
      </c>
      <c r="H25" s="2">
        <f>Tabla_Items_Con_Existencia[[#This Row],[COSTO]]*Tabla_Items_Con_Existencia[[#This Row],[EXISTENCIA]]</f>
        <v>245.6</v>
      </c>
      <c r="I25" s="1">
        <f>IF(ISERROR(MATCH(Tabla_Items_Con_Existencia[[#This Row],[CODIGO]],Tabla_Items_Activos[CODIGO],0)),0,1)</f>
        <v>0</v>
      </c>
    </row>
    <row r="26" spans="1:9">
      <c r="A26" s="2" t="s">
        <v>6760</v>
      </c>
      <c r="B26" s="2" t="s">
        <v>1189</v>
      </c>
      <c r="C26" s="2" t="s">
        <v>1190</v>
      </c>
      <c r="D26" s="2" t="s">
        <v>5157</v>
      </c>
      <c r="E26" s="2" t="s">
        <v>5192</v>
      </c>
      <c r="F26" s="2">
        <v>0.36499999999999999</v>
      </c>
      <c r="G26" s="2">
        <v>22</v>
      </c>
      <c r="H26" s="2">
        <f>Tabla_Items_Con_Existencia[[#This Row],[COSTO]]*Tabla_Items_Con_Existencia[[#This Row],[EXISTENCIA]]</f>
        <v>8.0299999999999994</v>
      </c>
      <c r="I26" s="1">
        <f>IF(ISERROR(MATCH(Tabla_Items_Con_Existencia[[#This Row],[CODIGO]],Tabla_Items_Activos[CODIGO],0)),0,1)</f>
        <v>0</v>
      </c>
    </row>
    <row r="27" spans="1:9">
      <c r="A27" s="2" t="s">
        <v>6760</v>
      </c>
      <c r="B27" s="2" t="s">
        <v>1191</v>
      </c>
      <c r="C27" s="2" t="s">
        <v>1192</v>
      </c>
      <c r="D27" s="2" t="s">
        <v>5157</v>
      </c>
      <c r="E27" s="2" t="s">
        <v>5192</v>
      </c>
      <c r="F27" s="2">
        <v>0.75</v>
      </c>
      <c r="G27" s="2">
        <v>24</v>
      </c>
      <c r="H27" s="2">
        <f>Tabla_Items_Con_Existencia[[#This Row],[COSTO]]*Tabla_Items_Con_Existencia[[#This Row],[EXISTENCIA]]</f>
        <v>18</v>
      </c>
      <c r="I27" s="1">
        <f>IF(ISERROR(MATCH(Tabla_Items_Con_Existencia[[#This Row],[CODIGO]],Tabla_Items_Activos[CODIGO],0)),0,1)</f>
        <v>0</v>
      </c>
    </row>
    <row r="28" spans="1:9">
      <c r="A28" s="2" t="s">
        <v>6760</v>
      </c>
      <c r="B28" s="2" t="s">
        <v>1193</v>
      </c>
      <c r="C28" s="2" t="s">
        <v>1194</v>
      </c>
      <c r="D28" s="2" t="s">
        <v>5157</v>
      </c>
      <c r="E28" s="2" t="s">
        <v>5192</v>
      </c>
      <c r="F28" s="2">
        <v>0.05</v>
      </c>
      <c r="G28" s="2">
        <v>6</v>
      </c>
      <c r="H28" s="2">
        <f>Tabla_Items_Con_Existencia[[#This Row],[COSTO]]*Tabla_Items_Con_Existencia[[#This Row],[EXISTENCIA]]</f>
        <v>0.30000000000000004</v>
      </c>
      <c r="I28" s="1">
        <f>IF(ISERROR(MATCH(Tabla_Items_Con_Existencia[[#This Row],[CODIGO]],Tabla_Items_Activos[CODIGO],0)),0,1)</f>
        <v>0</v>
      </c>
    </row>
    <row r="29" spans="1:9">
      <c r="A29" s="2" t="s">
        <v>6760</v>
      </c>
      <c r="B29" s="2" t="s">
        <v>1195</v>
      </c>
      <c r="C29" s="2" t="s">
        <v>1196</v>
      </c>
      <c r="D29" s="2" t="s">
        <v>5157</v>
      </c>
      <c r="E29" s="2" t="s">
        <v>5192</v>
      </c>
      <c r="F29" s="2">
        <v>2.5000000000000001E-2</v>
      </c>
      <c r="G29" s="2">
        <v>6</v>
      </c>
      <c r="H29" s="2">
        <f>Tabla_Items_Con_Existencia[[#This Row],[COSTO]]*Tabla_Items_Con_Existencia[[#This Row],[EXISTENCIA]]</f>
        <v>0.15000000000000002</v>
      </c>
      <c r="I29" s="1">
        <f>IF(ISERROR(MATCH(Tabla_Items_Con_Existencia[[#This Row],[CODIGO]],Tabla_Items_Activos[CODIGO],0)),0,1)</f>
        <v>0</v>
      </c>
    </row>
    <row r="30" spans="1:9">
      <c r="A30" s="2" t="s">
        <v>6760</v>
      </c>
      <c r="B30" s="2" t="s">
        <v>1197</v>
      </c>
      <c r="C30" s="2" t="s">
        <v>6764</v>
      </c>
      <c r="D30" s="2" t="s">
        <v>5158</v>
      </c>
      <c r="E30" s="2" t="s">
        <v>5159</v>
      </c>
      <c r="F30" s="2">
        <v>2.3769999999999998</v>
      </c>
      <c r="G30" s="2">
        <v>35</v>
      </c>
      <c r="H30" s="2">
        <f>Tabla_Items_Con_Existencia[[#This Row],[COSTO]]*Tabla_Items_Con_Existencia[[#This Row],[EXISTENCIA]]</f>
        <v>83.194999999999993</v>
      </c>
      <c r="I30" s="1">
        <f>IF(ISERROR(MATCH(Tabla_Items_Con_Existencia[[#This Row],[CODIGO]],Tabla_Items_Activos[CODIGO],0)),0,1)</f>
        <v>0</v>
      </c>
    </row>
    <row r="31" spans="1:9">
      <c r="A31" s="2" t="s">
        <v>6761</v>
      </c>
      <c r="B31" s="2" t="s">
        <v>6765</v>
      </c>
      <c r="C31" s="2" t="s">
        <v>6766</v>
      </c>
      <c r="D31" s="2" t="s">
        <v>5226</v>
      </c>
      <c r="E31" s="2" t="s">
        <v>5192</v>
      </c>
      <c r="F31" s="2">
        <v>146.35</v>
      </c>
      <c r="G31" s="2">
        <v>2</v>
      </c>
      <c r="H31" s="2">
        <f>Tabla_Items_Con_Existencia[[#This Row],[COSTO]]*Tabla_Items_Con_Existencia[[#This Row],[EXISTENCIA]]</f>
        <v>292.7</v>
      </c>
      <c r="I31" s="1">
        <f>IF(ISERROR(MATCH(Tabla_Items_Con_Existencia[[#This Row],[CODIGO]],Tabla_Items_Activos[CODIGO],0)),0,1)</f>
        <v>0</v>
      </c>
    </row>
    <row r="32" spans="1:9">
      <c r="A32" s="2" t="s">
        <v>6760</v>
      </c>
      <c r="B32" s="2" t="s">
        <v>8</v>
      </c>
      <c r="C32" s="2" t="s">
        <v>1199</v>
      </c>
      <c r="D32" s="2" t="s">
        <v>5158</v>
      </c>
      <c r="E32" s="2" t="s">
        <v>5159</v>
      </c>
      <c r="F32" s="2">
        <v>3.5999999999999997E-2</v>
      </c>
      <c r="G32" s="2">
        <v>9</v>
      </c>
      <c r="H32" s="2">
        <f>Tabla_Items_Con_Existencia[[#This Row],[COSTO]]*Tabla_Items_Con_Existencia[[#This Row],[EXISTENCIA]]</f>
        <v>0.32399999999999995</v>
      </c>
      <c r="I32" s="1">
        <f>IF(ISERROR(MATCH(Tabla_Items_Con_Existencia[[#This Row],[CODIGO]],Tabla_Items_Activos[CODIGO],0)),0,1)</f>
        <v>0</v>
      </c>
    </row>
    <row r="33" spans="1:9">
      <c r="A33" s="2" t="s">
        <v>6760</v>
      </c>
      <c r="B33" s="2" t="s">
        <v>9</v>
      </c>
      <c r="C33" s="2" t="s">
        <v>1200</v>
      </c>
      <c r="D33" s="2" t="s">
        <v>5157</v>
      </c>
      <c r="E33" s="2" t="s">
        <v>5192</v>
      </c>
      <c r="F33" s="2">
        <v>2.3E-2</v>
      </c>
      <c r="G33" s="2">
        <v>46</v>
      </c>
      <c r="H33" s="2">
        <f>Tabla_Items_Con_Existencia[[#This Row],[COSTO]]*Tabla_Items_Con_Existencia[[#This Row],[EXISTENCIA]]</f>
        <v>1.0580000000000001</v>
      </c>
      <c r="I33" s="1">
        <f>IF(ISERROR(MATCH(Tabla_Items_Con_Existencia[[#This Row],[CODIGO]],Tabla_Items_Activos[CODIGO],0)),0,1)</f>
        <v>0</v>
      </c>
    </row>
    <row r="34" spans="1:9">
      <c r="A34" s="2" t="s">
        <v>6760</v>
      </c>
      <c r="B34" s="2" t="s">
        <v>10</v>
      </c>
      <c r="C34" s="2" t="s">
        <v>1201</v>
      </c>
      <c r="D34" s="2" t="s">
        <v>5158</v>
      </c>
      <c r="E34" s="2" t="s">
        <v>5159</v>
      </c>
      <c r="F34" s="2">
        <v>5.1999999999999998E-2</v>
      </c>
      <c r="G34" s="2">
        <v>12</v>
      </c>
      <c r="H34" s="2">
        <f>Tabla_Items_Con_Existencia[[#This Row],[COSTO]]*Tabla_Items_Con_Existencia[[#This Row],[EXISTENCIA]]</f>
        <v>0.624</v>
      </c>
      <c r="I34" s="1">
        <f>IF(ISERROR(MATCH(Tabla_Items_Con_Existencia[[#This Row],[CODIGO]],Tabla_Items_Activos[CODIGO],0)),0,1)</f>
        <v>0</v>
      </c>
    </row>
    <row r="35" spans="1:9">
      <c r="A35" s="2" t="s">
        <v>6760</v>
      </c>
      <c r="B35" s="2" t="s">
        <v>11</v>
      </c>
      <c r="C35" s="2" t="s">
        <v>1202</v>
      </c>
      <c r="D35" s="2" t="s">
        <v>5157</v>
      </c>
      <c r="E35" s="2" t="s">
        <v>5192</v>
      </c>
      <c r="F35" s="2">
        <v>3.2000000000000001E-2</v>
      </c>
      <c r="G35" s="2">
        <v>181</v>
      </c>
      <c r="H35" s="2">
        <f>Tabla_Items_Con_Existencia[[#This Row],[COSTO]]*Tabla_Items_Con_Existencia[[#This Row],[EXISTENCIA]]</f>
        <v>5.7919999999999998</v>
      </c>
      <c r="I35" s="1">
        <f>IF(ISERROR(MATCH(Tabla_Items_Con_Existencia[[#This Row],[CODIGO]],Tabla_Items_Activos[CODIGO],0)),0,1)</f>
        <v>0</v>
      </c>
    </row>
    <row r="36" spans="1:9">
      <c r="A36" s="2" t="s">
        <v>6760</v>
      </c>
      <c r="B36" s="2" t="s">
        <v>12</v>
      </c>
      <c r="C36" s="2" t="s">
        <v>1203</v>
      </c>
      <c r="D36" s="2" t="s">
        <v>5157</v>
      </c>
      <c r="E36" s="2" t="s">
        <v>5192</v>
      </c>
      <c r="F36" s="2">
        <v>6.4000000000000001E-2</v>
      </c>
      <c r="G36" s="2">
        <v>79</v>
      </c>
      <c r="H36" s="2">
        <f>Tabla_Items_Con_Existencia[[#This Row],[COSTO]]*Tabla_Items_Con_Existencia[[#This Row],[EXISTENCIA]]</f>
        <v>5.056</v>
      </c>
      <c r="I36" s="1">
        <f>IF(ISERROR(MATCH(Tabla_Items_Con_Existencia[[#This Row],[CODIGO]],Tabla_Items_Activos[CODIGO],0)),0,1)</f>
        <v>0</v>
      </c>
    </row>
    <row r="37" spans="1:9">
      <c r="A37" s="2" t="s">
        <v>6761</v>
      </c>
      <c r="B37" s="2" t="s">
        <v>6767</v>
      </c>
      <c r="C37" s="2" t="s">
        <v>6768</v>
      </c>
      <c r="D37" s="2" t="s">
        <v>5221</v>
      </c>
      <c r="E37" s="2" t="s">
        <v>5168</v>
      </c>
      <c r="F37" s="2">
        <v>230</v>
      </c>
      <c r="G37" s="2">
        <v>1</v>
      </c>
      <c r="H37" s="2">
        <f>Tabla_Items_Con_Existencia[[#This Row],[COSTO]]*Tabla_Items_Con_Existencia[[#This Row],[EXISTENCIA]]</f>
        <v>230</v>
      </c>
      <c r="I37" s="1">
        <f>IF(ISERROR(MATCH(Tabla_Items_Con_Existencia[[#This Row],[CODIGO]],Tabla_Items_Activos[CODIGO],0)),0,1)</f>
        <v>0</v>
      </c>
    </row>
    <row r="38" spans="1:9">
      <c r="A38" s="2" t="s">
        <v>6761</v>
      </c>
      <c r="B38" s="2" t="s">
        <v>7154</v>
      </c>
      <c r="C38" s="2" t="s">
        <v>7155</v>
      </c>
      <c r="D38" s="2" t="s">
        <v>5230</v>
      </c>
      <c r="E38" s="2" t="s">
        <v>5168</v>
      </c>
      <c r="F38" s="2">
        <v>0</v>
      </c>
      <c r="G38" s="2">
        <v>1</v>
      </c>
      <c r="H38" s="2">
        <f>Tabla_Items_Con_Existencia[[#This Row],[COSTO]]*Tabla_Items_Con_Existencia[[#This Row],[EXISTENCIA]]</f>
        <v>0</v>
      </c>
      <c r="I38" s="1">
        <f>IF(ISERROR(MATCH(Tabla_Items_Con_Existencia[[#This Row],[CODIGO]],Tabla_Items_Activos[CODIGO],0)),0,1)</f>
        <v>0</v>
      </c>
    </row>
    <row r="39" spans="1:9">
      <c r="A39" s="2" t="s">
        <v>6760</v>
      </c>
      <c r="B39" s="2" t="s">
        <v>1206</v>
      </c>
      <c r="C39" s="2" t="s">
        <v>1207</v>
      </c>
      <c r="D39" s="2" t="s">
        <v>5160</v>
      </c>
      <c r="E39" s="2" t="s">
        <v>5159</v>
      </c>
      <c r="F39" s="2">
        <v>132.91</v>
      </c>
      <c r="G39" s="2">
        <v>3</v>
      </c>
      <c r="H39" s="2">
        <f>Tabla_Items_Con_Existencia[[#This Row],[COSTO]]*Tabla_Items_Con_Existencia[[#This Row],[EXISTENCIA]]</f>
        <v>398.73</v>
      </c>
      <c r="I39" s="1">
        <f>IF(ISERROR(MATCH(Tabla_Items_Con_Existencia[[#This Row],[CODIGO]],Tabla_Items_Activos[CODIGO],0)),0,1)</f>
        <v>0</v>
      </c>
    </row>
    <row r="40" spans="1:9">
      <c r="A40" s="2" t="s">
        <v>6760</v>
      </c>
      <c r="B40" s="2" t="s">
        <v>1208</v>
      </c>
      <c r="C40" s="2" t="s">
        <v>1209</v>
      </c>
      <c r="D40" s="2" t="s">
        <v>5160</v>
      </c>
      <c r="E40" s="2" t="s">
        <v>5159</v>
      </c>
      <c r="F40" s="2">
        <v>132.91</v>
      </c>
      <c r="G40" s="2">
        <v>1</v>
      </c>
      <c r="H40" s="2">
        <f>Tabla_Items_Con_Existencia[[#This Row],[COSTO]]*Tabla_Items_Con_Existencia[[#This Row],[EXISTENCIA]]</f>
        <v>132.91</v>
      </c>
      <c r="I40" s="1">
        <f>IF(ISERROR(MATCH(Tabla_Items_Con_Existencia[[#This Row],[CODIGO]],Tabla_Items_Activos[CODIGO],0)),0,1)</f>
        <v>0</v>
      </c>
    </row>
    <row r="41" spans="1:9">
      <c r="A41" s="2" t="s">
        <v>6760</v>
      </c>
      <c r="B41" s="2" t="s">
        <v>1210</v>
      </c>
      <c r="C41" s="2" t="s">
        <v>1211</v>
      </c>
      <c r="D41" s="2" t="s">
        <v>5157</v>
      </c>
      <c r="E41" s="2" t="s">
        <v>5192</v>
      </c>
      <c r="F41" s="2">
        <v>136.5</v>
      </c>
      <c r="G41" s="2">
        <v>2</v>
      </c>
      <c r="H41" s="2">
        <f>Tabla_Items_Con_Existencia[[#This Row],[COSTO]]*Tabla_Items_Con_Existencia[[#This Row],[EXISTENCIA]]</f>
        <v>273</v>
      </c>
      <c r="I41" s="1">
        <f>IF(ISERROR(MATCH(Tabla_Items_Con_Existencia[[#This Row],[CODIGO]],Tabla_Items_Activos[CODIGO],0)),0,1)</f>
        <v>0</v>
      </c>
    </row>
    <row r="42" spans="1:9">
      <c r="A42" s="2" t="s">
        <v>6760</v>
      </c>
      <c r="B42" s="2" t="s">
        <v>1212</v>
      </c>
      <c r="C42" s="2" t="s">
        <v>1213</v>
      </c>
      <c r="D42" s="2" t="s">
        <v>5157</v>
      </c>
      <c r="E42" s="2" t="s">
        <v>5192</v>
      </c>
      <c r="F42" s="2">
        <v>373.37</v>
      </c>
      <c r="G42" s="2">
        <v>1</v>
      </c>
      <c r="H42" s="2">
        <f>Tabla_Items_Con_Existencia[[#This Row],[COSTO]]*Tabla_Items_Con_Existencia[[#This Row],[EXISTENCIA]]</f>
        <v>373.37</v>
      </c>
      <c r="I42" s="1">
        <f>IF(ISERROR(MATCH(Tabla_Items_Con_Existencia[[#This Row],[CODIGO]],Tabla_Items_Activos[CODIGO],0)),0,1)</f>
        <v>0</v>
      </c>
    </row>
    <row r="43" spans="1:9">
      <c r="A43" s="2" t="s">
        <v>6760</v>
      </c>
      <c r="B43" s="2" t="s">
        <v>1214</v>
      </c>
      <c r="C43" s="2" t="s">
        <v>1215</v>
      </c>
      <c r="D43" s="2" t="s">
        <v>6362</v>
      </c>
      <c r="E43" s="2" t="s">
        <v>5192</v>
      </c>
      <c r="F43" s="2">
        <v>57.79</v>
      </c>
      <c r="G43" s="2">
        <v>2</v>
      </c>
      <c r="H43" s="2">
        <f>Tabla_Items_Con_Existencia[[#This Row],[COSTO]]*Tabla_Items_Con_Existencia[[#This Row],[EXISTENCIA]]</f>
        <v>115.58</v>
      </c>
      <c r="I43" s="1">
        <f>IF(ISERROR(MATCH(Tabla_Items_Con_Existencia[[#This Row],[CODIGO]],Tabla_Items_Activos[CODIGO],0)),0,1)</f>
        <v>0</v>
      </c>
    </row>
    <row r="44" spans="1:9">
      <c r="A44" s="2" t="s">
        <v>6760</v>
      </c>
      <c r="B44" s="2" t="s">
        <v>7156</v>
      </c>
      <c r="C44" s="2" t="s">
        <v>7157</v>
      </c>
      <c r="D44" s="2" t="s">
        <v>7294</v>
      </c>
      <c r="E44" s="2" t="s">
        <v>5159</v>
      </c>
      <c r="F44" s="2">
        <v>0</v>
      </c>
      <c r="G44" s="2">
        <v>1</v>
      </c>
      <c r="H44" s="2">
        <f>Tabla_Items_Con_Existencia[[#This Row],[COSTO]]*Tabla_Items_Con_Existencia[[#This Row],[EXISTENCIA]]</f>
        <v>0</v>
      </c>
      <c r="I44" s="1">
        <f>IF(ISERROR(MATCH(Tabla_Items_Con_Existencia[[#This Row],[CODIGO]],Tabla_Items_Activos[CODIGO],0)),0,1)</f>
        <v>0</v>
      </c>
    </row>
    <row r="45" spans="1:9">
      <c r="A45" s="2" t="s">
        <v>6760</v>
      </c>
      <c r="B45" s="2" t="s">
        <v>7159</v>
      </c>
      <c r="C45" s="2" t="s">
        <v>7160</v>
      </c>
      <c r="D45" s="2" t="s">
        <v>7158</v>
      </c>
      <c r="E45" s="2" t="s">
        <v>5159</v>
      </c>
      <c r="F45" s="2">
        <v>0</v>
      </c>
      <c r="G45" s="2">
        <v>4</v>
      </c>
      <c r="H45" s="2">
        <f>Tabla_Items_Con_Existencia[[#This Row],[COSTO]]*Tabla_Items_Con_Existencia[[#This Row],[EXISTENCIA]]</f>
        <v>0</v>
      </c>
      <c r="I45" s="1">
        <f>IF(ISERROR(MATCH(Tabla_Items_Con_Existencia[[#This Row],[CODIGO]],Tabla_Items_Activos[CODIGO],0)),0,1)</f>
        <v>0</v>
      </c>
    </row>
    <row r="46" spans="1:9">
      <c r="A46" s="2" t="s">
        <v>6760</v>
      </c>
      <c r="B46" s="2" t="s">
        <v>7161</v>
      </c>
      <c r="C46" s="2" t="s">
        <v>7162</v>
      </c>
      <c r="D46" s="2" t="s">
        <v>7158</v>
      </c>
      <c r="E46" s="2" t="s">
        <v>5159</v>
      </c>
      <c r="F46" s="2">
        <v>0</v>
      </c>
      <c r="G46" s="2">
        <v>6</v>
      </c>
      <c r="H46" s="2">
        <f>Tabla_Items_Con_Existencia[[#This Row],[COSTO]]*Tabla_Items_Con_Existencia[[#This Row],[EXISTENCIA]]</f>
        <v>0</v>
      </c>
      <c r="I46" s="1">
        <f>IF(ISERROR(MATCH(Tabla_Items_Con_Existencia[[#This Row],[CODIGO]],Tabla_Items_Activos[CODIGO],0)),0,1)</f>
        <v>0</v>
      </c>
    </row>
    <row r="47" spans="1:9">
      <c r="A47" s="2" t="s">
        <v>6760</v>
      </c>
      <c r="B47" s="2" t="s">
        <v>7163</v>
      </c>
      <c r="C47" s="2" t="s">
        <v>7164</v>
      </c>
      <c r="D47" s="2" t="s">
        <v>7158</v>
      </c>
      <c r="E47" s="2" t="s">
        <v>5159</v>
      </c>
      <c r="F47" s="2">
        <v>0</v>
      </c>
      <c r="G47" s="2">
        <v>4</v>
      </c>
      <c r="H47" s="2">
        <f>Tabla_Items_Con_Existencia[[#This Row],[COSTO]]*Tabla_Items_Con_Existencia[[#This Row],[EXISTENCIA]]</f>
        <v>0</v>
      </c>
      <c r="I47" s="1">
        <f>IF(ISERROR(MATCH(Tabla_Items_Con_Existencia[[#This Row],[CODIGO]],Tabla_Items_Activos[CODIGO],0)),0,1)</f>
        <v>0</v>
      </c>
    </row>
    <row r="48" spans="1:9">
      <c r="A48" s="2" t="s">
        <v>6760</v>
      </c>
      <c r="B48" s="2" t="s">
        <v>7165</v>
      </c>
      <c r="C48" s="2" t="s">
        <v>7295</v>
      </c>
      <c r="D48" s="2" t="s">
        <v>7158</v>
      </c>
      <c r="E48" s="2" t="s">
        <v>5159</v>
      </c>
      <c r="F48" s="2">
        <v>0</v>
      </c>
      <c r="G48" s="2">
        <v>1</v>
      </c>
      <c r="H48" s="2">
        <f>Tabla_Items_Con_Existencia[[#This Row],[COSTO]]*Tabla_Items_Con_Existencia[[#This Row],[EXISTENCIA]]</f>
        <v>0</v>
      </c>
      <c r="I48" s="1">
        <f>IF(ISERROR(MATCH(Tabla_Items_Con_Existencia[[#This Row],[CODIGO]],Tabla_Items_Activos[CODIGO],0)),0,1)</f>
        <v>0</v>
      </c>
    </row>
    <row r="49" spans="1:9">
      <c r="A49" s="2" t="s">
        <v>6760</v>
      </c>
      <c r="B49" s="2" t="s">
        <v>7166</v>
      </c>
      <c r="C49" s="2" t="s">
        <v>7167</v>
      </c>
      <c r="D49" s="2" t="s">
        <v>7294</v>
      </c>
      <c r="E49" s="2" t="s">
        <v>5159</v>
      </c>
      <c r="F49" s="2">
        <v>0</v>
      </c>
      <c r="G49" s="2">
        <v>1</v>
      </c>
      <c r="H49" s="2">
        <f>Tabla_Items_Con_Existencia[[#This Row],[COSTO]]*Tabla_Items_Con_Existencia[[#This Row],[EXISTENCIA]]</f>
        <v>0</v>
      </c>
      <c r="I49" s="1">
        <f>IF(ISERROR(MATCH(Tabla_Items_Con_Existencia[[#This Row],[CODIGO]],Tabla_Items_Activos[CODIGO],0)),0,1)</f>
        <v>0</v>
      </c>
    </row>
    <row r="50" spans="1:9">
      <c r="A50" s="2" t="s">
        <v>6760</v>
      </c>
      <c r="B50" s="2" t="s">
        <v>6769</v>
      </c>
      <c r="C50" s="2" t="s">
        <v>6770</v>
      </c>
      <c r="D50" s="2" t="s">
        <v>5158</v>
      </c>
      <c r="E50" s="2" t="s">
        <v>5159</v>
      </c>
      <c r="F50" s="2">
        <v>0</v>
      </c>
      <c r="G50" s="2">
        <v>1</v>
      </c>
      <c r="H50" s="2">
        <f>Tabla_Items_Con_Existencia[[#This Row],[COSTO]]*Tabla_Items_Con_Existencia[[#This Row],[EXISTENCIA]]</f>
        <v>0</v>
      </c>
      <c r="I50" s="1">
        <f>IF(ISERROR(MATCH(Tabla_Items_Con_Existencia[[#This Row],[CODIGO]],Tabla_Items_Activos[CODIGO],0)),0,1)</f>
        <v>0</v>
      </c>
    </row>
    <row r="51" spans="1:9">
      <c r="A51" s="2" t="s">
        <v>6760</v>
      </c>
      <c r="B51" s="2" t="s">
        <v>6771</v>
      </c>
      <c r="C51" s="2" t="s">
        <v>6772</v>
      </c>
      <c r="D51" s="2" t="s">
        <v>5158</v>
      </c>
      <c r="E51" s="2" t="s">
        <v>5159</v>
      </c>
      <c r="F51" s="2">
        <v>0</v>
      </c>
      <c r="G51" s="2">
        <v>1</v>
      </c>
      <c r="H51" s="2">
        <f>Tabla_Items_Con_Existencia[[#This Row],[COSTO]]*Tabla_Items_Con_Existencia[[#This Row],[EXISTENCIA]]</f>
        <v>0</v>
      </c>
      <c r="I51" s="1">
        <f>IF(ISERROR(MATCH(Tabla_Items_Con_Existencia[[#This Row],[CODIGO]],Tabla_Items_Activos[CODIGO],0)),0,1)</f>
        <v>0</v>
      </c>
    </row>
    <row r="52" spans="1:9">
      <c r="A52" s="2" t="s">
        <v>6760</v>
      </c>
      <c r="B52" s="2" t="s">
        <v>6773</v>
      </c>
      <c r="C52" s="2" t="s">
        <v>6774</v>
      </c>
      <c r="D52" s="2" t="s">
        <v>5158</v>
      </c>
      <c r="E52" s="2" t="s">
        <v>5159</v>
      </c>
      <c r="F52" s="2">
        <v>0</v>
      </c>
      <c r="G52" s="2">
        <v>1</v>
      </c>
      <c r="H52" s="2">
        <f>Tabla_Items_Con_Existencia[[#This Row],[COSTO]]*Tabla_Items_Con_Existencia[[#This Row],[EXISTENCIA]]</f>
        <v>0</v>
      </c>
      <c r="I52" s="1">
        <f>IF(ISERROR(MATCH(Tabla_Items_Con_Existencia[[#This Row],[CODIGO]],Tabla_Items_Activos[CODIGO],0)),0,1)</f>
        <v>0</v>
      </c>
    </row>
    <row r="53" spans="1:9">
      <c r="A53" s="2" t="s">
        <v>6760</v>
      </c>
      <c r="B53" s="2" t="s">
        <v>6775</v>
      </c>
      <c r="C53" s="2" t="s">
        <v>6776</v>
      </c>
      <c r="D53" s="2" t="s">
        <v>5157</v>
      </c>
      <c r="E53" s="2" t="s">
        <v>5157</v>
      </c>
      <c r="F53" s="2">
        <v>0</v>
      </c>
      <c r="G53" s="2">
        <v>1</v>
      </c>
      <c r="H53" s="2">
        <f>Tabla_Items_Con_Existencia[[#This Row],[COSTO]]*Tabla_Items_Con_Existencia[[#This Row],[EXISTENCIA]]</f>
        <v>0</v>
      </c>
      <c r="I53" s="1">
        <f>IF(ISERROR(MATCH(Tabla_Items_Con_Existencia[[#This Row],[CODIGO]],Tabla_Items_Activos[CODIGO],0)),0,1)</f>
        <v>0</v>
      </c>
    </row>
    <row r="54" spans="1:9">
      <c r="A54" s="2" t="s">
        <v>6760</v>
      </c>
      <c r="B54" s="2" t="s">
        <v>6777</v>
      </c>
      <c r="C54" s="2" t="s">
        <v>6778</v>
      </c>
      <c r="D54" s="2" t="s">
        <v>7158</v>
      </c>
      <c r="E54" s="2" t="s">
        <v>5159</v>
      </c>
      <c r="F54" s="2">
        <v>0</v>
      </c>
      <c r="G54" s="2">
        <v>1</v>
      </c>
      <c r="H54" s="2">
        <f>Tabla_Items_Con_Existencia[[#This Row],[COSTO]]*Tabla_Items_Con_Existencia[[#This Row],[EXISTENCIA]]</f>
        <v>0</v>
      </c>
      <c r="I54" s="1">
        <f>IF(ISERROR(MATCH(Tabla_Items_Con_Existencia[[#This Row],[CODIGO]],Tabla_Items_Activos[CODIGO],0)),0,1)</f>
        <v>0</v>
      </c>
    </row>
    <row r="55" spans="1:9">
      <c r="A55" s="2" t="s">
        <v>6760</v>
      </c>
      <c r="B55" s="2" t="s">
        <v>6779</v>
      </c>
      <c r="C55" s="2" t="s">
        <v>7168</v>
      </c>
      <c r="D55" s="2" t="s">
        <v>7158</v>
      </c>
      <c r="E55" s="2" t="s">
        <v>5159</v>
      </c>
      <c r="F55" s="2">
        <v>0</v>
      </c>
      <c r="G55" s="2">
        <v>5</v>
      </c>
      <c r="H55" s="2">
        <f>Tabla_Items_Con_Existencia[[#This Row],[COSTO]]*Tabla_Items_Con_Existencia[[#This Row],[EXISTENCIA]]</f>
        <v>0</v>
      </c>
      <c r="I55" s="1">
        <f>IF(ISERROR(MATCH(Tabla_Items_Con_Existencia[[#This Row],[CODIGO]],Tabla_Items_Activos[CODIGO],0)),0,1)</f>
        <v>0</v>
      </c>
    </row>
    <row r="56" spans="1:9">
      <c r="A56" s="2" t="s">
        <v>6760</v>
      </c>
      <c r="B56" s="2" t="s">
        <v>7169</v>
      </c>
      <c r="C56" s="2" t="s">
        <v>7170</v>
      </c>
      <c r="D56" s="2" t="s">
        <v>7158</v>
      </c>
      <c r="E56" s="2" t="s">
        <v>5159</v>
      </c>
      <c r="F56" s="2">
        <v>0</v>
      </c>
      <c r="G56" s="2">
        <v>1</v>
      </c>
      <c r="H56" s="2">
        <f>Tabla_Items_Con_Existencia[[#This Row],[COSTO]]*Tabla_Items_Con_Existencia[[#This Row],[EXISTENCIA]]</f>
        <v>0</v>
      </c>
      <c r="I56" s="1">
        <f>IF(ISERROR(MATCH(Tabla_Items_Con_Existencia[[#This Row],[CODIGO]],Tabla_Items_Activos[CODIGO],0)),0,1)</f>
        <v>0</v>
      </c>
    </row>
    <row r="57" spans="1:9">
      <c r="A57" s="2" t="s">
        <v>6760</v>
      </c>
      <c r="B57" s="2" t="s">
        <v>7171</v>
      </c>
      <c r="C57" s="2" t="s">
        <v>7172</v>
      </c>
      <c r="D57" s="2" t="s">
        <v>7158</v>
      </c>
      <c r="E57" s="2" t="s">
        <v>5159</v>
      </c>
      <c r="F57" s="2">
        <v>0</v>
      </c>
      <c r="G57" s="2">
        <v>1</v>
      </c>
      <c r="H57" s="2">
        <f>Tabla_Items_Con_Existencia[[#This Row],[COSTO]]*Tabla_Items_Con_Existencia[[#This Row],[EXISTENCIA]]</f>
        <v>0</v>
      </c>
      <c r="I57" s="1">
        <f>IF(ISERROR(MATCH(Tabla_Items_Con_Existencia[[#This Row],[CODIGO]],Tabla_Items_Activos[CODIGO],0)),0,1)</f>
        <v>0</v>
      </c>
    </row>
    <row r="58" spans="1:9">
      <c r="A58" s="2" t="s">
        <v>6760</v>
      </c>
      <c r="B58" s="2" t="s">
        <v>7173</v>
      </c>
      <c r="C58" s="2" t="s">
        <v>7174</v>
      </c>
      <c r="D58" s="2" t="s">
        <v>7158</v>
      </c>
      <c r="E58" s="2" t="s">
        <v>5159</v>
      </c>
      <c r="F58" s="2">
        <v>0</v>
      </c>
      <c r="G58" s="2">
        <v>1</v>
      </c>
      <c r="H58" s="2">
        <f>Tabla_Items_Con_Existencia[[#This Row],[COSTO]]*Tabla_Items_Con_Existencia[[#This Row],[EXISTENCIA]]</f>
        <v>0</v>
      </c>
      <c r="I58" s="1">
        <f>IF(ISERROR(MATCH(Tabla_Items_Con_Existencia[[#This Row],[CODIGO]],Tabla_Items_Activos[CODIGO],0)),0,1)</f>
        <v>0</v>
      </c>
    </row>
    <row r="59" spans="1:9">
      <c r="A59" s="2" t="s">
        <v>6760</v>
      </c>
      <c r="B59" s="2" t="s">
        <v>7175</v>
      </c>
      <c r="C59" s="2" t="s">
        <v>7176</v>
      </c>
      <c r="D59" s="2" t="s">
        <v>7177</v>
      </c>
      <c r="E59" s="2" t="s">
        <v>5159</v>
      </c>
      <c r="F59" s="2">
        <v>0</v>
      </c>
      <c r="G59" s="2">
        <v>1</v>
      </c>
      <c r="H59" s="2">
        <f>Tabla_Items_Con_Existencia[[#This Row],[COSTO]]*Tabla_Items_Con_Existencia[[#This Row],[EXISTENCIA]]</f>
        <v>0</v>
      </c>
      <c r="I59" s="1">
        <f>IF(ISERROR(MATCH(Tabla_Items_Con_Existencia[[#This Row],[CODIGO]],Tabla_Items_Activos[CODIGO],0)),0,1)</f>
        <v>0</v>
      </c>
    </row>
    <row r="60" spans="1:9">
      <c r="A60" s="2" t="s">
        <v>6760</v>
      </c>
      <c r="B60" s="2" t="s">
        <v>7178</v>
      </c>
      <c r="C60" s="2" t="s">
        <v>7179</v>
      </c>
      <c r="D60" s="2" t="s">
        <v>7177</v>
      </c>
      <c r="E60" s="2" t="s">
        <v>5159</v>
      </c>
      <c r="F60" s="2">
        <v>0</v>
      </c>
      <c r="G60" s="2">
        <v>3</v>
      </c>
      <c r="H60" s="2">
        <f>Tabla_Items_Con_Existencia[[#This Row],[COSTO]]*Tabla_Items_Con_Existencia[[#This Row],[EXISTENCIA]]</f>
        <v>0</v>
      </c>
      <c r="I60" s="1">
        <f>IF(ISERROR(MATCH(Tabla_Items_Con_Existencia[[#This Row],[CODIGO]],Tabla_Items_Activos[CODIGO],0)),0,1)</f>
        <v>0</v>
      </c>
    </row>
    <row r="61" spans="1:9">
      <c r="A61" s="2" t="s">
        <v>6760</v>
      </c>
      <c r="B61" s="2" t="s">
        <v>7180</v>
      </c>
      <c r="C61" s="2" t="s">
        <v>7181</v>
      </c>
      <c r="D61" s="2" t="s">
        <v>7177</v>
      </c>
      <c r="E61" s="2" t="s">
        <v>5159</v>
      </c>
      <c r="F61" s="2">
        <v>279.70526316000002</v>
      </c>
      <c r="G61" s="2">
        <v>7</v>
      </c>
      <c r="H61" s="2">
        <f>Tabla_Items_Con_Existencia[[#This Row],[COSTO]]*Tabla_Items_Con_Existencia[[#This Row],[EXISTENCIA]]</f>
        <v>1957.9368421200002</v>
      </c>
      <c r="I61" s="1">
        <f>IF(ISERROR(MATCH(Tabla_Items_Con_Existencia[[#This Row],[CODIGO]],Tabla_Items_Activos[CODIGO],0)),0,1)</f>
        <v>0</v>
      </c>
    </row>
    <row r="62" spans="1:9">
      <c r="A62" s="2" t="s">
        <v>6761</v>
      </c>
      <c r="B62" s="2" t="s">
        <v>7180</v>
      </c>
      <c r="C62" s="2" t="s">
        <v>7181</v>
      </c>
      <c r="D62" s="2" t="s">
        <v>7177</v>
      </c>
      <c r="E62" s="2" t="s">
        <v>5159</v>
      </c>
      <c r="F62" s="2">
        <v>279.70526316000002</v>
      </c>
      <c r="G62" s="2">
        <v>7</v>
      </c>
      <c r="H62" s="2">
        <f>Tabla_Items_Con_Existencia[[#This Row],[COSTO]]*Tabla_Items_Con_Existencia[[#This Row],[EXISTENCIA]]</f>
        <v>1957.9368421200002</v>
      </c>
      <c r="I62" s="1">
        <f>IF(ISERROR(MATCH(Tabla_Items_Con_Existencia[[#This Row],[CODIGO]],Tabla_Items_Activos[CODIGO],0)),0,1)</f>
        <v>0</v>
      </c>
    </row>
    <row r="63" spans="1:9">
      <c r="A63" s="2" t="s">
        <v>6760</v>
      </c>
      <c r="B63" s="2" t="s">
        <v>7182</v>
      </c>
      <c r="C63" s="2" t="s">
        <v>7183</v>
      </c>
      <c r="D63" s="2" t="s">
        <v>7177</v>
      </c>
      <c r="E63" s="2" t="s">
        <v>5159</v>
      </c>
      <c r="F63" s="2">
        <v>0</v>
      </c>
      <c r="G63" s="2">
        <v>6</v>
      </c>
      <c r="H63" s="2">
        <f>Tabla_Items_Con_Existencia[[#This Row],[COSTO]]*Tabla_Items_Con_Existencia[[#This Row],[EXISTENCIA]]</f>
        <v>0</v>
      </c>
      <c r="I63" s="1">
        <f>IF(ISERROR(MATCH(Tabla_Items_Con_Existencia[[#This Row],[CODIGO]],Tabla_Items_Activos[CODIGO],0)),0,1)</f>
        <v>0</v>
      </c>
    </row>
    <row r="64" spans="1:9">
      <c r="A64" s="2" t="s">
        <v>6760</v>
      </c>
      <c r="B64" s="2" t="s">
        <v>7296</v>
      </c>
      <c r="C64" s="2" t="s">
        <v>6780</v>
      </c>
      <c r="D64" s="2" t="s">
        <v>5160</v>
      </c>
      <c r="E64" s="2" t="s">
        <v>5159</v>
      </c>
      <c r="F64" s="2">
        <v>15.853</v>
      </c>
      <c r="G64" s="2">
        <v>5</v>
      </c>
      <c r="H64" s="2">
        <f>Tabla_Items_Con_Existencia[[#This Row],[COSTO]]*Tabla_Items_Con_Existencia[[#This Row],[EXISTENCIA]]</f>
        <v>79.265000000000001</v>
      </c>
      <c r="I64" s="1">
        <f>IF(ISERROR(MATCH(Tabla_Items_Con_Existencia[[#This Row],[CODIGO]],Tabla_Items_Activos[CODIGO],0)),0,1)</f>
        <v>0</v>
      </c>
    </row>
    <row r="65" spans="1:9">
      <c r="A65" s="2" t="s">
        <v>6759</v>
      </c>
      <c r="B65" s="2" t="s">
        <v>6301</v>
      </c>
      <c r="C65" s="2" t="s">
        <v>6302</v>
      </c>
      <c r="D65" s="2" t="s">
        <v>6303</v>
      </c>
      <c r="E65" s="2" t="s">
        <v>5165</v>
      </c>
      <c r="F65" s="2">
        <v>3152.5</v>
      </c>
      <c r="G65" s="2">
        <v>1</v>
      </c>
      <c r="H65" s="2">
        <f>Tabla_Items_Con_Existencia[[#This Row],[COSTO]]*Tabla_Items_Con_Existencia[[#This Row],[EXISTENCIA]]</f>
        <v>3152.5</v>
      </c>
      <c r="I65" s="1">
        <f>IF(ISERROR(MATCH(Tabla_Items_Con_Existencia[[#This Row],[CODIGO]],Tabla_Items_Activos[CODIGO],0)),0,1)</f>
        <v>0</v>
      </c>
    </row>
    <row r="66" spans="1:9">
      <c r="A66" s="2" t="s">
        <v>6759</v>
      </c>
      <c r="B66" s="2" t="s">
        <v>1216</v>
      </c>
      <c r="C66" s="2" t="s">
        <v>1217</v>
      </c>
      <c r="D66" s="2" t="s">
        <v>5162</v>
      </c>
      <c r="E66" s="2" t="s">
        <v>5163</v>
      </c>
      <c r="F66" s="2">
        <v>0.80869999999999997</v>
      </c>
      <c r="G66" s="2">
        <v>2425</v>
      </c>
      <c r="H66" s="2">
        <f>Tabla_Items_Con_Existencia[[#This Row],[COSTO]]*Tabla_Items_Con_Existencia[[#This Row],[EXISTENCIA]]</f>
        <v>1961.0974999999999</v>
      </c>
      <c r="I66" s="1">
        <f>IF(ISERROR(MATCH(Tabla_Items_Con_Existencia[[#This Row],[CODIGO]],Tabla_Items_Activos[CODIGO],0)),0,1)</f>
        <v>0</v>
      </c>
    </row>
    <row r="67" spans="1:9">
      <c r="A67" s="2" t="s">
        <v>6759</v>
      </c>
      <c r="B67" s="2" t="s">
        <v>1218</v>
      </c>
      <c r="C67" s="2" t="s">
        <v>1219</v>
      </c>
      <c r="D67" s="2" t="s">
        <v>5162</v>
      </c>
      <c r="E67" s="2" t="s">
        <v>5163</v>
      </c>
      <c r="F67" s="2">
        <v>0.35</v>
      </c>
      <c r="G67" s="2">
        <v>733</v>
      </c>
      <c r="H67" s="2">
        <f>Tabla_Items_Con_Existencia[[#This Row],[COSTO]]*Tabla_Items_Con_Existencia[[#This Row],[EXISTENCIA]]</f>
        <v>256.55</v>
      </c>
      <c r="I67" s="1">
        <f>IF(ISERROR(MATCH(Tabla_Items_Con_Existencia[[#This Row],[CODIGO]],Tabla_Items_Activos[CODIGO],0)),0,1)</f>
        <v>0</v>
      </c>
    </row>
    <row r="68" spans="1:9">
      <c r="A68" s="2" t="s">
        <v>6759</v>
      </c>
      <c r="B68" s="2" t="s">
        <v>1220</v>
      </c>
      <c r="C68" s="2" t="s">
        <v>1221</v>
      </c>
      <c r="D68" s="2" t="s">
        <v>5162</v>
      </c>
      <c r="E68" s="2" t="s">
        <v>5163</v>
      </c>
      <c r="F68" s="2">
        <v>0.81320000000000003</v>
      </c>
      <c r="G68" s="2">
        <v>862</v>
      </c>
      <c r="H68" s="2">
        <f>Tabla_Items_Con_Existencia[[#This Row],[COSTO]]*Tabla_Items_Con_Existencia[[#This Row],[EXISTENCIA]]</f>
        <v>700.97840000000008</v>
      </c>
      <c r="I68" s="1">
        <f>IF(ISERROR(MATCH(Tabla_Items_Con_Existencia[[#This Row],[CODIGO]],Tabla_Items_Activos[CODIGO],0)),0,1)</f>
        <v>0</v>
      </c>
    </row>
    <row r="69" spans="1:9">
      <c r="A69" s="2" t="s">
        <v>6759</v>
      </c>
      <c r="B69" s="2" t="s">
        <v>1222</v>
      </c>
      <c r="C69" s="2" t="s">
        <v>1223</v>
      </c>
      <c r="D69" s="2" t="s">
        <v>5162</v>
      </c>
      <c r="E69" s="2" t="s">
        <v>5163</v>
      </c>
      <c r="F69" s="2">
        <v>0.496</v>
      </c>
      <c r="G69" s="2">
        <v>1392</v>
      </c>
      <c r="H69" s="2">
        <f>Tabla_Items_Con_Existencia[[#This Row],[COSTO]]*Tabla_Items_Con_Existencia[[#This Row],[EXISTENCIA]]</f>
        <v>690.43200000000002</v>
      </c>
      <c r="I69" s="1">
        <f>IF(ISERROR(MATCH(Tabla_Items_Con_Existencia[[#This Row],[CODIGO]],Tabla_Items_Activos[CODIGO],0)),0,1)</f>
        <v>0</v>
      </c>
    </row>
    <row r="70" spans="1:9">
      <c r="A70" s="2" t="s">
        <v>6760</v>
      </c>
      <c r="B70" s="2" t="s">
        <v>1224</v>
      </c>
      <c r="C70" s="2" t="s">
        <v>1225</v>
      </c>
      <c r="D70" s="2" t="s">
        <v>5164</v>
      </c>
      <c r="E70" s="2" t="s">
        <v>5165</v>
      </c>
      <c r="F70" s="2">
        <v>16870.98</v>
      </c>
      <c r="G70" s="2">
        <v>1</v>
      </c>
      <c r="H70" s="2">
        <f>Tabla_Items_Con_Existencia[[#This Row],[COSTO]]*Tabla_Items_Con_Existencia[[#This Row],[EXISTENCIA]]</f>
        <v>16870.98</v>
      </c>
      <c r="I70" s="1">
        <f>IF(ISERROR(MATCH(Tabla_Items_Con_Existencia[[#This Row],[CODIGO]],Tabla_Items_Activos[CODIGO],0)),0,1)</f>
        <v>0</v>
      </c>
    </row>
    <row r="71" spans="1:9">
      <c r="A71" s="2" t="s">
        <v>6761</v>
      </c>
      <c r="B71" s="2" t="s">
        <v>1226</v>
      </c>
      <c r="C71" s="2" t="s">
        <v>1227</v>
      </c>
      <c r="D71" s="2" t="s">
        <v>5166</v>
      </c>
      <c r="E71" s="2" t="s">
        <v>5163</v>
      </c>
      <c r="F71" s="2">
        <v>2.6239999999999999E-2</v>
      </c>
      <c r="G71" s="2">
        <v>2538</v>
      </c>
      <c r="H71" s="2">
        <f>Tabla_Items_Con_Existencia[[#This Row],[COSTO]]*Tabla_Items_Con_Existencia[[#This Row],[EXISTENCIA]]</f>
        <v>66.597120000000004</v>
      </c>
      <c r="I71" s="1">
        <f>IF(ISERROR(MATCH(Tabla_Items_Con_Existencia[[#This Row],[CODIGO]],Tabla_Items_Activos[CODIGO],0)),0,1)</f>
        <v>0</v>
      </c>
    </row>
    <row r="72" spans="1:9">
      <c r="A72" s="2" t="s">
        <v>6759</v>
      </c>
      <c r="B72" s="2" t="s">
        <v>1226</v>
      </c>
      <c r="C72" s="2" t="s">
        <v>1227</v>
      </c>
      <c r="D72" s="2" t="s">
        <v>5166</v>
      </c>
      <c r="E72" s="2" t="s">
        <v>5163</v>
      </c>
      <c r="F72" s="2">
        <v>2.6239999999999999E-2</v>
      </c>
      <c r="G72" s="2">
        <v>2538</v>
      </c>
      <c r="H72" s="2">
        <f>Tabla_Items_Con_Existencia[[#This Row],[COSTO]]*Tabla_Items_Con_Existencia[[#This Row],[EXISTENCIA]]</f>
        <v>66.597120000000004</v>
      </c>
      <c r="I72" s="1">
        <f>IF(ISERROR(MATCH(Tabla_Items_Con_Existencia[[#This Row],[CODIGO]],Tabla_Items_Activos[CODIGO],0)),0,1)</f>
        <v>0</v>
      </c>
    </row>
    <row r="73" spans="1:9">
      <c r="A73" s="2" t="s">
        <v>6759</v>
      </c>
      <c r="B73" s="2" t="s">
        <v>1228</v>
      </c>
      <c r="C73" s="2" t="s">
        <v>1229</v>
      </c>
      <c r="D73" s="2" t="s">
        <v>5166</v>
      </c>
      <c r="E73" s="2" t="s">
        <v>5163</v>
      </c>
      <c r="F73" s="2">
        <v>4.8899999999999999E-2</v>
      </c>
      <c r="G73" s="2">
        <v>2934</v>
      </c>
      <c r="H73" s="2">
        <f>Tabla_Items_Con_Existencia[[#This Row],[COSTO]]*Tabla_Items_Con_Existencia[[#This Row],[EXISTENCIA]]</f>
        <v>143.4726</v>
      </c>
      <c r="I73" s="1">
        <f>IF(ISERROR(MATCH(Tabla_Items_Con_Existencia[[#This Row],[CODIGO]],Tabla_Items_Activos[CODIGO],0)),0,1)</f>
        <v>0</v>
      </c>
    </row>
    <row r="74" spans="1:9">
      <c r="A74" s="2" t="s">
        <v>6759</v>
      </c>
      <c r="B74" s="2" t="s">
        <v>1230</v>
      </c>
      <c r="C74" s="2" t="s">
        <v>1231</v>
      </c>
      <c r="D74" s="2" t="s">
        <v>5166</v>
      </c>
      <c r="E74" s="2" t="s">
        <v>5163</v>
      </c>
      <c r="F74" s="2">
        <v>4.7100000000000003E-2</v>
      </c>
      <c r="G74" s="2">
        <v>3182</v>
      </c>
      <c r="H74" s="2">
        <f>Tabla_Items_Con_Existencia[[#This Row],[COSTO]]*Tabla_Items_Con_Existencia[[#This Row],[EXISTENCIA]]</f>
        <v>149.87220000000002</v>
      </c>
      <c r="I74" s="1">
        <f>IF(ISERROR(MATCH(Tabla_Items_Con_Existencia[[#This Row],[CODIGO]],Tabla_Items_Activos[CODIGO],0)),0,1)</f>
        <v>0</v>
      </c>
    </row>
    <row r="75" spans="1:9">
      <c r="A75" s="2" t="s">
        <v>6761</v>
      </c>
      <c r="B75" s="2" t="s">
        <v>7184</v>
      </c>
      <c r="C75" s="2" t="s">
        <v>7185</v>
      </c>
      <c r="D75" s="2" t="s">
        <v>5211</v>
      </c>
      <c r="E75" s="2" t="s">
        <v>5213</v>
      </c>
      <c r="F75" s="2">
        <v>9.69</v>
      </c>
      <c r="G75" s="2">
        <v>14</v>
      </c>
      <c r="H75" s="2">
        <f>Tabla_Items_Con_Existencia[[#This Row],[COSTO]]*Tabla_Items_Con_Existencia[[#This Row],[EXISTENCIA]]</f>
        <v>135.66</v>
      </c>
      <c r="I75" s="1">
        <f>IF(ISERROR(MATCH(Tabla_Items_Con_Existencia[[#This Row],[CODIGO]],Tabla_Items_Activos[CODIGO],0)),0,1)</f>
        <v>0</v>
      </c>
    </row>
    <row r="76" spans="1:9">
      <c r="A76" s="2" t="s">
        <v>6761</v>
      </c>
      <c r="B76" s="2" t="s">
        <v>7186</v>
      </c>
      <c r="C76" s="2" t="s">
        <v>7187</v>
      </c>
      <c r="D76" s="2" t="s">
        <v>5211</v>
      </c>
      <c r="E76" s="2" t="s">
        <v>5213</v>
      </c>
      <c r="F76" s="2">
        <v>10.66</v>
      </c>
      <c r="G76" s="2">
        <v>10</v>
      </c>
      <c r="H76" s="2">
        <f>Tabla_Items_Con_Existencia[[#This Row],[COSTO]]*Tabla_Items_Con_Existencia[[#This Row],[EXISTENCIA]]</f>
        <v>106.6</v>
      </c>
      <c r="I76" s="1">
        <f>IF(ISERROR(MATCH(Tabla_Items_Con_Existencia[[#This Row],[CODIGO]],Tabla_Items_Activos[CODIGO],0)),0,1)</f>
        <v>0</v>
      </c>
    </row>
    <row r="77" spans="1:9">
      <c r="A77" s="2" t="s">
        <v>6761</v>
      </c>
      <c r="B77" s="2" t="s">
        <v>7188</v>
      </c>
      <c r="C77" s="2" t="s">
        <v>7189</v>
      </c>
      <c r="D77" s="2" t="s">
        <v>5211</v>
      </c>
      <c r="E77" s="2" t="s">
        <v>5213</v>
      </c>
      <c r="F77" s="2">
        <v>11.32</v>
      </c>
      <c r="G77" s="2">
        <v>9</v>
      </c>
      <c r="H77" s="2">
        <f>Tabla_Items_Con_Existencia[[#This Row],[COSTO]]*Tabla_Items_Con_Existencia[[#This Row],[EXISTENCIA]]</f>
        <v>101.88</v>
      </c>
      <c r="I77" s="1">
        <f>IF(ISERROR(MATCH(Tabla_Items_Con_Existencia[[#This Row],[CODIGO]],Tabla_Items_Activos[CODIGO],0)),0,1)</f>
        <v>0</v>
      </c>
    </row>
    <row r="78" spans="1:9">
      <c r="A78" s="2" t="s">
        <v>6761</v>
      </c>
      <c r="B78" s="2" t="s">
        <v>7190</v>
      </c>
      <c r="C78" s="2" t="s">
        <v>7191</v>
      </c>
      <c r="D78" s="2" t="s">
        <v>5211</v>
      </c>
      <c r="E78" s="2" t="s">
        <v>5213</v>
      </c>
      <c r="F78" s="2">
        <v>0</v>
      </c>
      <c r="G78" s="2">
        <v>1</v>
      </c>
      <c r="H78" s="2">
        <f>Tabla_Items_Con_Existencia[[#This Row],[COSTO]]*Tabla_Items_Con_Existencia[[#This Row],[EXISTENCIA]]</f>
        <v>0</v>
      </c>
      <c r="I78" s="1">
        <f>IF(ISERROR(MATCH(Tabla_Items_Con_Existencia[[#This Row],[CODIGO]],Tabla_Items_Activos[CODIGO],0)),0,1)</f>
        <v>0</v>
      </c>
    </row>
    <row r="79" spans="1:9">
      <c r="A79" s="2" t="s">
        <v>6761</v>
      </c>
      <c r="B79" s="2" t="s">
        <v>7192</v>
      </c>
      <c r="C79" s="2" t="s">
        <v>7193</v>
      </c>
      <c r="D79" s="2" t="s">
        <v>5211</v>
      </c>
      <c r="E79" s="2" t="s">
        <v>5213</v>
      </c>
      <c r="F79" s="2">
        <v>0</v>
      </c>
      <c r="G79" s="2">
        <v>1</v>
      </c>
      <c r="H79" s="2">
        <f>Tabla_Items_Con_Existencia[[#This Row],[COSTO]]*Tabla_Items_Con_Existencia[[#This Row],[EXISTENCIA]]</f>
        <v>0</v>
      </c>
      <c r="I79" s="1">
        <f>IF(ISERROR(MATCH(Tabla_Items_Con_Existencia[[#This Row],[CODIGO]],Tabla_Items_Activos[CODIGO],0)),0,1)</f>
        <v>0</v>
      </c>
    </row>
    <row r="80" spans="1:9">
      <c r="A80" s="2" t="s">
        <v>6760</v>
      </c>
      <c r="B80" s="2" t="s">
        <v>13</v>
      </c>
      <c r="C80" s="2" t="s">
        <v>1232</v>
      </c>
      <c r="D80" s="2" t="s">
        <v>6035</v>
      </c>
      <c r="E80" s="2" t="s">
        <v>5168</v>
      </c>
      <c r="F80" s="2">
        <v>142.62717895</v>
      </c>
      <c r="G80" s="2">
        <v>8</v>
      </c>
      <c r="H80" s="2">
        <f>Tabla_Items_Con_Existencia[[#This Row],[COSTO]]*Tabla_Items_Con_Existencia[[#This Row],[EXISTENCIA]]</f>
        <v>1141.0174316</v>
      </c>
      <c r="I80" s="1">
        <f>IF(ISERROR(MATCH(Tabla_Items_Con_Existencia[[#This Row],[CODIGO]],Tabla_Items_Activos[CODIGO],0)),0,1)</f>
        <v>0</v>
      </c>
    </row>
    <row r="81" spans="1:9">
      <c r="A81" s="2" t="s">
        <v>6761</v>
      </c>
      <c r="B81" s="2" t="s">
        <v>13</v>
      </c>
      <c r="C81" s="2" t="s">
        <v>1232</v>
      </c>
      <c r="D81" s="2" t="s">
        <v>6035</v>
      </c>
      <c r="E81" s="2" t="s">
        <v>5168</v>
      </c>
      <c r="F81" s="2">
        <v>142.62717895</v>
      </c>
      <c r="G81" s="2">
        <v>8</v>
      </c>
      <c r="H81" s="2">
        <f>Tabla_Items_Con_Existencia[[#This Row],[COSTO]]*Tabla_Items_Con_Existencia[[#This Row],[EXISTENCIA]]</f>
        <v>1141.0174316</v>
      </c>
      <c r="I81" s="1">
        <f>IF(ISERROR(MATCH(Tabla_Items_Con_Existencia[[#This Row],[CODIGO]],Tabla_Items_Activos[CODIGO],0)),0,1)</f>
        <v>0</v>
      </c>
    </row>
    <row r="82" spans="1:9">
      <c r="A82" s="2" t="s">
        <v>6760</v>
      </c>
      <c r="B82" s="2" t="s">
        <v>1233</v>
      </c>
      <c r="C82" s="2" t="s">
        <v>1234</v>
      </c>
      <c r="D82" s="2" t="s">
        <v>6035</v>
      </c>
      <c r="E82" s="2" t="s">
        <v>5168</v>
      </c>
      <c r="F82" s="2">
        <v>56.992421049999997</v>
      </c>
      <c r="G82" s="2">
        <v>1</v>
      </c>
      <c r="H82" s="2">
        <f>Tabla_Items_Con_Existencia[[#This Row],[COSTO]]*Tabla_Items_Con_Existencia[[#This Row],[EXISTENCIA]]</f>
        <v>56.992421049999997</v>
      </c>
      <c r="I82" s="1">
        <f>IF(ISERROR(MATCH(Tabla_Items_Con_Existencia[[#This Row],[CODIGO]],Tabla_Items_Activos[CODIGO],0)),0,1)</f>
        <v>0</v>
      </c>
    </row>
    <row r="83" spans="1:9">
      <c r="A83" s="2" t="s">
        <v>6761</v>
      </c>
      <c r="B83" s="2" t="s">
        <v>1233</v>
      </c>
      <c r="C83" s="2" t="s">
        <v>1234</v>
      </c>
      <c r="D83" s="2" t="s">
        <v>6035</v>
      </c>
      <c r="E83" s="2" t="s">
        <v>5168</v>
      </c>
      <c r="F83" s="2">
        <v>56.992421049999997</v>
      </c>
      <c r="G83" s="2">
        <v>1</v>
      </c>
      <c r="H83" s="2">
        <f>Tabla_Items_Con_Existencia[[#This Row],[COSTO]]*Tabla_Items_Con_Existencia[[#This Row],[EXISTENCIA]]</f>
        <v>56.992421049999997</v>
      </c>
      <c r="I83" s="1">
        <f>IF(ISERROR(MATCH(Tabla_Items_Con_Existencia[[#This Row],[CODIGO]],Tabla_Items_Activos[CODIGO],0)),0,1)</f>
        <v>0</v>
      </c>
    </row>
    <row r="84" spans="1:9">
      <c r="A84" s="2" t="s">
        <v>6761</v>
      </c>
      <c r="B84" s="2" t="s">
        <v>1236</v>
      </c>
      <c r="C84" s="2" t="s">
        <v>1237</v>
      </c>
      <c r="D84" s="2" t="s">
        <v>5167</v>
      </c>
      <c r="E84" s="2" t="s">
        <v>5168</v>
      </c>
      <c r="F84" s="2">
        <v>198.49894737</v>
      </c>
      <c r="G84" s="2">
        <v>1</v>
      </c>
      <c r="H84" s="2">
        <f>Tabla_Items_Con_Existencia[[#This Row],[COSTO]]*Tabla_Items_Con_Existencia[[#This Row],[EXISTENCIA]]</f>
        <v>198.49894737</v>
      </c>
      <c r="I84" s="1">
        <f>IF(ISERROR(MATCH(Tabla_Items_Con_Existencia[[#This Row],[CODIGO]],Tabla_Items_Activos[CODIGO],0)),0,1)</f>
        <v>0</v>
      </c>
    </row>
    <row r="85" spans="1:9">
      <c r="A85" s="2" t="s">
        <v>6760</v>
      </c>
      <c r="B85" s="2" t="s">
        <v>1236</v>
      </c>
      <c r="C85" s="2" t="s">
        <v>1237</v>
      </c>
      <c r="D85" s="2" t="s">
        <v>5167</v>
      </c>
      <c r="E85" s="2" t="s">
        <v>5168</v>
      </c>
      <c r="F85" s="2">
        <v>198.49894737</v>
      </c>
      <c r="G85" s="2">
        <v>1</v>
      </c>
      <c r="H85" s="2">
        <f>Tabla_Items_Con_Existencia[[#This Row],[COSTO]]*Tabla_Items_Con_Existencia[[#This Row],[EXISTENCIA]]</f>
        <v>198.49894737</v>
      </c>
      <c r="I85" s="1">
        <f>IF(ISERROR(MATCH(Tabla_Items_Con_Existencia[[#This Row],[CODIGO]],Tabla_Items_Activos[CODIGO],0)),0,1)</f>
        <v>0</v>
      </c>
    </row>
    <row r="86" spans="1:9">
      <c r="A86" s="2" t="s">
        <v>6760</v>
      </c>
      <c r="B86" s="2" t="s">
        <v>1238</v>
      </c>
      <c r="C86" s="2" t="s">
        <v>1239</v>
      </c>
      <c r="D86" s="2" t="s">
        <v>5170</v>
      </c>
      <c r="E86" s="2" t="s">
        <v>5168</v>
      </c>
      <c r="F86" s="2">
        <v>12.65</v>
      </c>
      <c r="G86" s="2">
        <v>1</v>
      </c>
      <c r="H86" s="2">
        <f>Tabla_Items_Con_Existencia[[#This Row],[COSTO]]*Tabla_Items_Con_Existencia[[#This Row],[EXISTENCIA]]</f>
        <v>12.65</v>
      </c>
      <c r="I86" s="1">
        <f>IF(ISERROR(MATCH(Tabla_Items_Con_Existencia[[#This Row],[CODIGO]],Tabla_Items_Activos[CODIGO],0)),0,1)</f>
        <v>0</v>
      </c>
    </row>
    <row r="87" spans="1:9">
      <c r="A87" s="2" t="s">
        <v>6760</v>
      </c>
      <c r="B87" s="2" t="s">
        <v>1240</v>
      </c>
      <c r="C87" s="2" t="s">
        <v>1241</v>
      </c>
      <c r="D87" s="2" t="s">
        <v>5171</v>
      </c>
      <c r="E87" s="2" t="s">
        <v>5168</v>
      </c>
      <c r="F87" s="2">
        <v>36.46</v>
      </c>
      <c r="G87" s="2">
        <v>1</v>
      </c>
      <c r="H87" s="2">
        <f>Tabla_Items_Con_Existencia[[#This Row],[COSTO]]*Tabla_Items_Con_Existencia[[#This Row],[EXISTENCIA]]</f>
        <v>36.46</v>
      </c>
      <c r="I87" s="1">
        <f>IF(ISERROR(MATCH(Tabla_Items_Con_Existencia[[#This Row],[CODIGO]],Tabla_Items_Activos[CODIGO],0)),0,1)</f>
        <v>0</v>
      </c>
    </row>
    <row r="88" spans="1:9">
      <c r="A88" s="2" t="s">
        <v>6760</v>
      </c>
      <c r="B88" s="2" t="s">
        <v>16</v>
      </c>
      <c r="C88" s="2" t="s">
        <v>1242</v>
      </c>
      <c r="D88" s="2" t="s">
        <v>5170</v>
      </c>
      <c r="E88" s="2" t="s">
        <v>5168</v>
      </c>
      <c r="F88" s="2">
        <v>13.71984211</v>
      </c>
      <c r="G88" s="2">
        <v>8</v>
      </c>
      <c r="H88" s="2">
        <f>Tabla_Items_Con_Existencia[[#This Row],[COSTO]]*Tabla_Items_Con_Existencia[[#This Row],[EXISTENCIA]]</f>
        <v>109.75873688</v>
      </c>
      <c r="I88" s="1">
        <f>IF(ISERROR(MATCH(Tabla_Items_Con_Existencia[[#This Row],[CODIGO]],Tabla_Items_Activos[CODIGO],0)),0,1)</f>
        <v>0</v>
      </c>
    </row>
    <row r="89" spans="1:9">
      <c r="A89" s="2" t="s">
        <v>6761</v>
      </c>
      <c r="B89" s="2" t="s">
        <v>16</v>
      </c>
      <c r="C89" s="2" t="s">
        <v>1242</v>
      </c>
      <c r="D89" s="2" t="s">
        <v>5170</v>
      </c>
      <c r="E89" s="2" t="s">
        <v>5168</v>
      </c>
      <c r="F89" s="2">
        <v>13.71984211</v>
      </c>
      <c r="G89" s="2">
        <v>8</v>
      </c>
      <c r="H89" s="2">
        <f>Tabla_Items_Con_Existencia[[#This Row],[COSTO]]*Tabla_Items_Con_Existencia[[#This Row],[EXISTENCIA]]</f>
        <v>109.75873688</v>
      </c>
      <c r="I89" s="1">
        <f>IF(ISERROR(MATCH(Tabla_Items_Con_Existencia[[#This Row],[CODIGO]],Tabla_Items_Activos[CODIGO],0)),0,1)</f>
        <v>0</v>
      </c>
    </row>
    <row r="90" spans="1:9">
      <c r="A90" s="2" t="s">
        <v>6760</v>
      </c>
      <c r="B90" s="2" t="s">
        <v>17</v>
      </c>
      <c r="C90" s="2" t="s">
        <v>1243</v>
      </c>
      <c r="D90" s="2" t="s">
        <v>5170</v>
      </c>
      <c r="E90" s="2" t="s">
        <v>5168</v>
      </c>
      <c r="F90" s="2">
        <v>21.723684209999998</v>
      </c>
      <c r="G90" s="2">
        <v>1</v>
      </c>
      <c r="H90" s="2">
        <f>Tabla_Items_Con_Existencia[[#This Row],[COSTO]]*Tabla_Items_Con_Existencia[[#This Row],[EXISTENCIA]]</f>
        <v>21.723684209999998</v>
      </c>
      <c r="I90" s="1">
        <f>IF(ISERROR(MATCH(Tabla_Items_Con_Existencia[[#This Row],[CODIGO]],Tabla_Items_Activos[CODIGO],0)),0,1)</f>
        <v>0</v>
      </c>
    </row>
    <row r="91" spans="1:9">
      <c r="A91" s="2" t="s">
        <v>6761</v>
      </c>
      <c r="B91" s="2" t="s">
        <v>17</v>
      </c>
      <c r="C91" s="2" t="s">
        <v>1243</v>
      </c>
      <c r="D91" s="2" t="s">
        <v>5170</v>
      </c>
      <c r="E91" s="2" t="s">
        <v>5168</v>
      </c>
      <c r="F91" s="2">
        <v>21.723684209999998</v>
      </c>
      <c r="G91" s="2">
        <v>1</v>
      </c>
      <c r="H91" s="2">
        <f>Tabla_Items_Con_Existencia[[#This Row],[COSTO]]*Tabla_Items_Con_Existencia[[#This Row],[EXISTENCIA]]</f>
        <v>21.723684209999998</v>
      </c>
      <c r="I91" s="1">
        <f>IF(ISERROR(MATCH(Tabla_Items_Con_Existencia[[#This Row],[CODIGO]],Tabla_Items_Activos[CODIGO],0)),0,1)</f>
        <v>0</v>
      </c>
    </row>
    <row r="92" spans="1:9">
      <c r="A92" s="2" t="s">
        <v>6760</v>
      </c>
      <c r="B92" s="2" t="s">
        <v>18</v>
      </c>
      <c r="C92" s="2" t="s">
        <v>1244</v>
      </c>
      <c r="D92" s="2" t="s">
        <v>5170</v>
      </c>
      <c r="E92" s="2" t="s">
        <v>5168</v>
      </c>
      <c r="F92" s="2">
        <v>5.6021052600000001</v>
      </c>
      <c r="G92" s="2">
        <v>1</v>
      </c>
      <c r="H92" s="2">
        <f>Tabla_Items_Con_Existencia[[#This Row],[COSTO]]*Tabla_Items_Con_Existencia[[#This Row],[EXISTENCIA]]</f>
        <v>5.6021052600000001</v>
      </c>
      <c r="I92" s="1">
        <f>IF(ISERROR(MATCH(Tabla_Items_Con_Existencia[[#This Row],[CODIGO]],Tabla_Items_Activos[CODIGO],0)),0,1)</f>
        <v>0</v>
      </c>
    </row>
    <row r="93" spans="1:9">
      <c r="A93" s="2" t="s">
        <v>6761</v>
      </c>
      <c r="B93" s="2" t="s">
        <v>18</v>
      </c>
      <c r="C93" s="2" t="s">
        <v>1244</v>
      </c>
      <c r="D93" s="2" t="s">
        <v>5170</v>
      </c>
      <c r="E93" s="2" t="s">
        <v>5168</v>
      </c>
      <c r="F93" s="2">
        <v>5.6021052600000001</v>
      </c>
      <c r="G93" s="2">
        <v>1</v>
      </c>
      <c r="H93" s="2">
        <f>Tabla_Items_Con_Existencia[[#This Row],[COSTO]]*Tabla_Items_Con_Existencia[[#This Row],[EXISTENCIA]]</f>
        <v>5.6021052600000001</v>
      </c>
      <c r="I93" s="1">
        <f>IF(ISERROR(MATCH(Tabla_Items_Con_Existencia[[#This Row],[CODIGO]],Tabla_Items_Activos[CODIGO],0)),0,1)</f>
        <v>0</v>
      </c>
    </row>
    <row r="94" spans="1:9">
      <c r="A94" s="2" t="s">
        <v>6760</v>
      </c>
      <c r="B94" s="2" t="s">
        <v>19</v>
      </c>
      <c r="C94" s="2" t="s">
        <v>1245</v>
      </c>
      <c r="D94" s="2" t="s">
        <v>5170</v>
      </c>
      <c r="E94" s="2" t="s">
        <v>5168</v>
      </c>
      <c r="F94" s="2">
        <v>5.1239999999999997</v>
      </c>
      <c r="G94" s="2">
        <v>6</v>
      </c>
      <c r="H94" s="2">
        <f>Tabla_Items_Con_Existencia[[#This Row],[COSTO]]*Tabla_Items_Con_Existencia[[#This Row],[EXISTENCIA]]</f>
        <v>30.744</v>
      </c>
      <c r="I94" s="1">
        <f>IF(ISERROR(MATCH(Tabla_Items_Con_Existencia[[#This Row],[CODIGO]],Tabla_Items_Activos[CODIGO],0)),0,1)</f>
        <v>0</v>
      </c>
    </row>
    <row r="95" spans="1:9">
      <c r="A95" s="2" t="s">
        <v>6761</v>
      </c>
      <c r="B95" s="2" t="s">
        <v>19</v>
      </c>
      <c r="C95" s="2" t="s">
        <v>1245</v>
      </c>
      <c r="D95" s="2" t="s">
        <v>5170</v>
      </c>
      <c r="E95" s="2" t="s">
        <v>5168</v>
      </c>
      <c r="F95" s="2">
        <v>5.1239999999999997</v>
      </c>
      <c r="G95" s="2">
        <v>6</v>
      </c>
      <c r="H95" s="2">
        <f>Tabla_Items_Con_Existencia[[#This Row],[COSTO]]*Tabla_Items_Con_Existencia[[#This Row],[EXISTENCIA]]</f>
        <v>30.744</v>
      </c>
      <c r="I95" s="1">
        <f>IF(ISERROR(MATCH(Tabla_Items_Con_Existencia[[#This Row],[CODIGO]],Tabla_Items_Activos[CODIGO],0)),0,1)</f>
        <v>0</v>
      </c>
    </row>
    <row r="96" spans="1:9">
      <c r="A96" s="2" t="s">
        <v>6760</v>
      </c>
      <c r="B96" s="2" t="s">
        <v>20</v>
      </c>
      <c r="C96" s="2" t="s">
        <v>1246</v>
      </c>
      <c r="D96" s="2" t="s">
        <v>5170</v>
      </c>
      <c r="E96" s="2" t="s">
        <v>5168</v>
      </c>
      <c r="F96" s="2">
        <v>20.67</v>
      </c>
      <c r="G96" s="2">
        <v>4</v>
      </c>
      <c r="H96" s="2">
        <f>Tabla_Items_Con_Existencia[[#This Row],[COSTO]]*Tabla_Items_Con_Existencia[[#This Row],[EXISTENCIA]]</f>
        <v>82.68</v>
      </c>
      <c r="I96" s="1">
        <f>IF(ISERROR(MATCH(Tabla_Items_Con_Existencia[[#This Row],[CODIGO]],Tabla_Items_Activos[CODIGO],0)),0,1)</f>
        <v>0</v>
      </c>
    </row>
    <row r="97" spans="1:9">
      <c r="A97" s="2" t="s">
        <v>6760</v>
      </c>
      <c r="B97" s="2" t="s">
        <v>21</v>
      </c>
      <c r="C97" s="2" t="s">
        <v>1247</v>
      </c>
      <c r="D97" s="2" t="s">
        <v>5170</v>
      </c>
      <c r="E97" s="2" t="s">
        <v>5168</v>
      </c>
      <c r="F97" s="2">
        <v>9.6679999999999993</v>
      </c>
      <c r="G97" s="2">
        <v>4</v>
      </c>
      <c r="H97" s="2">
        <f>Tabla_Items_Con_Existencia[[#This Row],[COSTO]]*Tabla_Items_Con_Existencia[[#This Row],[EXISTENCIA]]</f>
        <v>38.671999999999997</v>
      </c>
      <c r="I97" s="1">
        <f>IF(ISERROR(MATCH(Tabla_Items_Con_Existencia[[#This Row],[CODIGO]],Tabla_Items_Activos[CODIGO],0)),0,1)</f>
        <v>0</v>
      </c>
    </row>
    <row r="98" spans="1:9">
      <c r="A98" s="2" t="s">
        <v>6760</v>
      </c>
      <c r="B98" s="2" t="s">
        <v>23</v>
      </c>
      <c r="C98" s="2" t="s">
        <v>1249</v>
      </c>
      <c r="D98" s="2" t="s">
        <v>5170</v>
      </c>
      <c r="E98" s="2" t="s">
        <v>5168</v>
      </c>
      <c r="F98" s="2">
        <v>40.728000000000002</v>
      </c>
      <c r="G98" s="2">
        <v>1</v>
      </c>
      <c r="H98" s="2">
        <f>Tabla_Items_Con_Existencia[[#This Row],[COSTO]]*Tabla_Items_Con_Existencia[[#This Row],[EXISTENCIA]]</f>
        <v>40.728000000000002</v>
      </c>
      <c r="I98" s="1">
        <f>IF(ISERROR(MATCH(Tabla_Items_Con_Existencia[[#This Row],[CODIGO]],Tabla_Items_Activos[CODIGO],0)),0,1)</f>
        <v>0</v>
      </c>
    </row>
    <row r="99" spans="1:9">
      <c r="A99" s="2" t="s">
        <v>6760</v>
      </c>
      <c r="B99" s="2" t="s">
        <v>1250</v>
      </c>
      <c r="C99" s="2" t="s">
        <v>1251</v>
      </c>
      <c r="D99" s="2" t="s">
        <v>5171</v>
      </c>
      <c r="E99" s="2" t="s">
        <v>5168</v>
      </c>
      <c r="F99" s="2">
        <v>139.18</v>
      </c>
      <c r="G99" s="2">
        <v>2</v>
      </c>
      <c r="H99" s="2">
        <f>Tabla_Items_Con_Existencia[[#This Row],[COSTO]]*Tabla_Items_Con_Existencia[[#This Row],[EXISTENCIA]]</f>
        <v>278.36</v>
      </c>
      <c r="I99" s="1">
        <f>IF(ISERROR(MATCH(Tabla_Items_Con_Existencia[[#This Row],[CODIGO]],Tabla_Items_Activos[CODIGO],0)),0,1)</f>
        <v>0</v>
      </c>
    </row>
    <row r="100" spans="1:9">
      <c r="A100" s="2" t="s">
        <v>6760</v>
      </c>
      <c r="B100" s="2" t="s">
        <v>1252</v>
      </c>
      <c r="C100" s="2" t="s">
        <v>1253</v>
      </c>
      <c r="D100" s="2" t="s">
        <v>5173</v>
      </c>
      <c r="E100" s="2" t="s">
        <v>5168</v>
      </c>
      <c r="F100" s="2">
        <v>321.99</v>
      </c>
      <c r="G100" s="2">
        <v>1</v>
      </c>
      <c r="H100" s="2">
        <f>Tabla_Items_Con_Existencia[[#This Row],[COSTO]]*Tabla_Items_Con_Existencia[[#This Row],[EXISTENCIA]]</f>
        <v>321.99</v>
      </c>
      <c r="I100" s="1">
        <f>IF(ISERROR(MATCH(Tabla_Items_Con_Existencia[[#This Row],[CODIGO]],Tabla_Items_Activos[CODIGO],0)),0,1)</f>
        <v>0</v>
      </c>
    </row>
    <row r="101" spans="1:9">
      <c r="A101" s="2" t="s">
        <v>6760</v>
      </c>
      <c r="B101" s="2" t="s">
        <v>1254</v>
      </c>
      <c r="C101" s="2" t="s">
        <v>1255</v>
      </c>
      <c r="D101" s="2" t="s">
        <v>5170</v>
      </c>
      <c r="E101" s="2" t="s">
        <v>5168</v>
      </c>
      <c r="F101" s="2">
        <v>7.44</v>
      </c>
      <c r="G101" s="2">
        <v>1</v>
      </c>
      <c r="H101" s="2">
        <f>Tabla_Items_Con_Existencia[[#This Row],[COSTO]]*Tabla_Items_Con_Existencia[[#This Row],[EXISTENCIA]]</f>
        <v>7.44</v>
      </c>
      <c r="I101" s="1">
        <f>IF(ISERROR(MATCH(Tabla_Items_Con_Existencia[[#This Row],[CODIGO]],Tabla_Items_Activos[CODIGO],0)),0,1)</f>
        <v>0</v>
      </c>
    </row>
    <row r="102" spans="1:9">
      <c r="A102" s="2" t="s">
        <v>6760</v>
      </c>
      <c r="B102" s="2" t="s">
        <v>1256</v>
      </c>
      <c r="C102" s="2" t="s">
        <v>1257</v>
      </c>
      <c r="D102" s="2" t="s">
        <v>5174</v>
      </c>
      <c r="E102" s="2" t="s">
        <v>5168</v>
      </c>
      <c r="F102" s="2">
        <v>1.46</v>
      </c>
      <c r="G102" s="2">
        <v>1</v>
      </c>
      <c r="H102" s="2">
        <f>Tabla_Items_Con_Existencia[[#This Row],[COSTO]]*Tabla_Items_Con_Existencia[[#This Row],[EXISTENCIA]]</f>
        <v>1.46</v>
      </c>
      <c r="I102" s="1">
        <f>IF(ISERROR(MATCH(Tabla_Items_Con_Existencia[[#This Row],[CODIGO]],Tabla_Items_Activos[CODIGO],0)),0,1)</f>
        <v>0</v>
      </c>
    </row>
    <row r="103" spans="1:9">
      <c r="A103" s="2" t="s">
        <v>6760</v>
      </c>
      <c r="B103" s="2" t="s">
        <v>1258</v>
      </c>
      <c r="C103" s="2" t="s">
        <v>1259</v>
      </c>
      <c r="D103" s="2" t="s">
        <v>5174</v>
      </c>
      <c r="E103" s="2" t="s">
        <v>5168</v>
      </c>
      <c r="F103" s="2">
        <v>38.883684209999998</v>
      </c>
      <c r="G103" s="2">
        <v>2</v>
      </c>
      <c r="H103" s="2">
        <f>Tabla_Items_Con_Existencia[[#This Row],[COSTO]]*Tabla_Items_Con_Existencia[[#This Row],[EXISTENCIA]]</f>
        <v>77.767368419999997</v>
      </c>
      <c r="I103" s="1">
        <f>IF(ISERROR(MATCH(Tabla_Items_Con_Existencia[[#This Row],[CODIGO]],Tabla_Items_Activos[CODIGO],0)),0,1)</f>
        <v>0</v>
      </c>
    </row>
    <row r="104" spans="1:9">
      <c r="A104" s="2" t="s">
        <v>6761</v>
      </c>
      <c r="B104" s="2" t="s">
        <v>1258</v>
      </c>
      <c r="C104" s="2" t="s">
        <v>1259</v>
      </c>
      <c r="D104" s="2" t="s">
        <v>5174</v>
      </c>
      <c r="E104" s="2" t="s">
        <v>5168</v>
      </c>
      <c r="F104" s="2">
        <v>38.883684209999998</v>
      </c>
      <c r="G104" s="2">
        <v>2</v>
      </c>
      <c r="H104" s="2">
        <f>Tabla_Items_Con_Existencia[[#This Row],[COSTO]]*Tabla_Items_Con_Existencia[[#This Row],[EXISTENCIA]]</f>
        <v>77.767368419999997</v>
      </c>
      <c r="I104" s="1">
        <f>IF(ISERROR(MATCH(Tabla_Items_Con_Existencia[[#This Row],[CODIGO]],Tabla_Items_Activos[CODIGO],0)),0,1)</f>
        <v>0</v>
      </c>
    </row>
    <row r="105" spans="1:9">
      <c r="A105" s="2" t="s">
        <v>6760</v>
      </c>
      <c r="B105" s="2" t="s">
        <v>25</v>
      </c>
      <c r="C105" s="2" t="s">
        <v>1260</v>
      </c>
      <c r="D105" s="2" t="s">
        <v>5174</v>
      </c>
      <c r="E105" s="2" t="s">
        <v>5168</v>
      </c>
      <c r="F105" s="2">
        <v>53.76</v>
      </c>
      <c r="G105" s="2">
        <v>1</v>
      </c>
      <c r="H105" s="2">
        <f>Tabla_Items_Con_Existencia[[#This Row],[COSTO]]*Tabla_Items_Con_Existencia[[#This Row],[EXISTENCIA]]</f>
        <v>53.76</v>
      </c>
      <c r="I105" s="1">
        <f>IF(ISERROR(MATCH(Tabla_Items_Con_Existencia[[#This Row],[CODIGO]],Tabla_Items_Activos[CODIGO],0)),0,1)</f>
        <v>0</v>
      </c>
    </row>
    <row r="106" spans="1:9">
      <c r="A106" s="2" t="s">
        <v>6760</v>
      </c>
      <c r="B106" s="2" t="s">
        <v>26</v>
      </c>
      <c r="C106" s="2" t="s">
        <v>1261</v>
      </c>
      <c r="D106" s="2" t="s">
        <v>5171</v>
      </c>
      <c r="E106" s="2" t="s">
        <v>5168</v>
      </c>
      <c r="F106" s="2">
        <v>41.18</v>
      </c>
      <c r="G106" s="2">
        <v>1</v>
      </c>
      <c r="H106" s="2">
        <f>Tabla_Items_Con_Existencia[[#This Row],[COSTO]]*Tabla_Items_Con_Existencia[[#This Row],[EXISTENCIA]]</f>
        <v>41.18</v>
      </c>
      <c r="I106" s="1">
        <f>IF(ISERROR(MATCH(Tabla_Items_Con_Existencia[[#This Row],[CODIGO]],Tabla_Items_Activos[CODIGO],0)),0,1)</f>
        <v>0</v>
      </c>
    </row>
    <row r="107" spans="1:9">
      <c r="A107" s="2" t="s">
        <v>6760</v>
      </c>
      <c r="B107" s="2" t="s">
        <v>1262</v>
      </c>
      <c r="C107" s="2" t="s">
        <v>1263</v>
      </c>
      <c r="D107" s="2" t="s">
        <v>5175</v>
      </c>
      <c r="E107" s="2" t="s">
        <v>5168</v>
      </c>
      <c r="F107" s="2">
        <v>599.89434736999999</v>
      </c>
      <c r="G107" s="2">
        <v>1</v>
      </c>
      <c r="H107" s="2">
        <f>Tabla_Items_Con_Existencia[[#This Row],[COSTO]]*Tabla_Items_Con_Existencia[[#This Row],[EXISTENCIA]]</f>
        <v>599.89434736999999</v>
      </c>
      <c r="I107" s="1">
        <f>IF(ISERROR(MATCH(Tabla_Items_Con_Existencia[[#This Row],[CODIGO]],Tabla_Items_Activos[CODIGO],0)),0,1)</f>
        <v>0</v>
      </c>
    </row>
    <row r="108" spans="1:9">
      <c r="A108" s="2" t="s">
        <v>6761</v>
      </c>
      <c r="B108" s="2" t="s">
        <v>1262</v>
      </c>
      <c r="C108" s="2" t="s">
        <v>1263</v>
      </c>
      <c r="D108" s="2" t="s">
        <v>5175</v>
      </c>
      <c r="E108" s="2" t="s">
        <v>5168</v>
      </c>
      <c r="F108" s="2">
        <v>599.89434736999999</v>
      </c>
      <c r="G108" s="2">
        <v>1</v>
      </c>
      <c r="H108" s="2">
        <f>Tabla_Items_Con_Existencia[[#This Row],[COSTO]]*Tabla_Items_Con_Existencia[[#This Row],[EXISTENCIA]]</f>
        <v>599.89434736999999</v>
      </c>
      <c r="I108" s="1">
        <f>IF(ISERROR(MATCH(Tabla_Items_Con_Existencia[[#This Row],[CODIGO]],Tabla_Items_Activos[CODIGO],0)),0,1)</f>
        <v>0</v>
      </c>
    </row>
    <row r="109" spans="1:9">
      <c r="A109" s="2" t="s">
        <v>6760</v>
      </c>
      <c r="B109" s="2" t="s">
        <v>1264</v>
      </c>
      <c r="C109" s="2" t="s">
        <v>1265</v>
      </c>
      <c r="D109" s="2" t="s">
        <v>5174</v>
      </c>
      <c r="E109" s="2" t="s">
        <v>5168</v>
      </c>
      <c r="F109" s="2">
        <v>112.05</v>
      </c>
      <c r="G109" s="2">
        <v>1</v>
      </c>
      <c r="H109" s="2">
        <f>Tabla_Items_Con_Existencia[[#This Row],[COSTO]]*Tabla_Items_Con_Existencia[[#This Row],[EXISTENCIA]]</f>
        <v>112.05</v>
      </c>
      <c r="I109" s="1">
        <f>IF(ISERROR(MATCH(Tabla_Items_Con_Existencia[[#This Row],[CODIGO]],Tabla_Items_Activos[CODIGO],0)),0,1)</f>
        <v>0</v>
      </c>
    </row>
    <row r="110" spans="1:9">
      <c r="A110" s="2" t="s">
        <v>6760</v>
      </c>
      <c r="B110" s="2" t="s">
        <v>1266</v>
      </c>
      <c r="C110" s="2" t="s">
        <v>1267</v>
      </c>
      <c r="D110" s="2" t="s">
        <v>5174</v>
      </c>
      <c r="E110" s="2" t="s">
        <v>5168</v>
      </c>
      <c r="F110" s="2">
        <v>102.61</v>
      </c>
      <c r="G110" s="2">
        <v>1</v>
      </c>
      <c r="H110" s="2">
        <f>Tabla_Items_Con_Existencia[[#This Row],[COSTO]]*Tabla_Items_Con_Existencia[[#This Row],[EXISTENCIA]]</f>
        <v>102.61</v>
      </c>
      <c r="I110" s="1">
        <f>IF(ISERROR(MATCH(Tabla_Items_Con_Existencia[[#This Row],[CODIGO]],Tabla_Items_Activos[CODIGO],0)),0,1)</f>
        <v>0</v>
      </c>
    </row>
    <row r="111" spans="1:9">
      <c r="A111" s="2" t="s">
        <v>6760</v>
      </c>
      <c r="B111" s="2" t="s">
        <v>27</v>
      </c>
      <c r="C111" s="2" t="s">
        <v>1268</v>
      </c>
      <c r="D111" s="2" t="s">
        <v>5169</v>
      </c>
      <c r="E111" s="2" t="s">
        <v>5168</v>
      </c>
      <c r="F111" s="2">
        <v>816.45006316000001</v>
      </c>
      <c r="G111" s="2">
        <v>5</v>
      </c>
      <c r="H111" s="2">
        <f>Tabla_Items_Con_Existencia[[#This Row],[COSTO]]*Tabla_Items_Con_Existencia[[#This Row],[EXISTENCIA]]</f>
        <v>4082.2503158</v>
      </c>
      <c r="I111" s="1">
        <f>IF(ISERROR(MATCH(Tabla_Items_Con_Existencia[[#This Row],[CODIGO]],Tabla_Items_Activos[CODIGO],0)),0,1)</f>
        <v>0</v>
      </c>
    </row>
    <row r="112" spans="1:9">
      <c r="A112" s="2" t="s">
        <v>6761</v>
      </c>
      <c r="B112" s="2" t="s">
        <v>27</v>
      </c>
      <c r="C112" s="2" t="s">
        <v>1268</v>
      </c>
      <c r="D112" s="2" t="s">
        <v>5169</v>
      </c>
      <c r="E112" s="2" t="s">
        <v>5168</v>
      </c>
      <c r="F112" s="2">
        <v>816.45006316000001</v>
      </c>
      <c r="G112" s="2">
        <v>5</v>
      </c>
      <c r="H112" s="2">
        <f>Tabla_Items_Con_Existencia[[#This Row],[COSTO]]*Tabla_Items_Con_Existencia[[#This Row],[EXISTENCIA]]</f>
        <v>4082.2503158</v>
      </c>
      <c r="I112" s="1">
        <f>IF(ISERROR(MATCH(Tabla_Items_Con_Existencia[[#This Row],[CODIGO]],Tabla_Items_Activos[CODIGO],0)),0,1)</f>
        <v>0</v>
      </c>
    </row>
    <row r="113" spans="1:9">
      <c r="A113" s="2" t="s">
        <v>6760</v>
      </c>
      <c r="B113" s="2" t="s">
        <v>1269</v>
      </c>
      <c r="C113" s="2" t="s">
        <v>1270</v>
      </c>
      <c r="D113" s="2" t="s">
        <v>5157</v>
      </c>
      <c r="E113" s="2" t="s">
        <v>5168</v>
      </c>
      <c r="F113" s="2">
        <v>159.12530000000001</v>
      </c>
      <c r="G113" s="2">
        <v>1</v>
      </c>
      <c r="H113" s="2">
        <f>Tabla_Items_Con_Existencia[[#This Row],[COSTO]]*Tabla_Items_Con_Existencia[[#This Row],[EXISTENCIA]]</f>
        <v>159.12530000000001</v>
      </c>
      <c r="I113" s="1">
        <f>IF(ISERROR(MATCH(Tabla_Items_Con_Existencia[[#This Row],[CODIGO]],Tabla_Items_Activos[CODIGO],0)),0,1)</f>
        <v>0</v>
      </c>
    </row>
    <row r="114" spans="1:9">
      <c r="A114" s="2" t="s">
        <v>6760</v>
      </c>
      <c r="B114" s="2" t="s">
        <v>28</v>
      </c>
      <c r="C114" s="2" t="s">
        <v>1271</v>
      </c>
      <c r="D114" s="2" t="s">
        <v>6035</v>
      </c>
      <c r="E114" s="2" t="s">
        <v>5168</v>
      </c>
      <c r="F114" s="2">
        <v>352.65730525999999</v>
      </c>
      <c r="G114" s="2">
        <v>3</v>
      </c>
      <c r="H114" s="2">
        <f>Tabla_Items_Con_Existencia[[#This Row],[COSTO]]*Tabla_Items_Con_Existencia[[#This Row],[EXISTENCIA]]</f>
        <v>1057.97191578</v>
      </c>
      <c r="I114" s="1">
        <f>IF(ISERROR(MATCH(Tabla_Items_Con_Existencia[[#This Row],[CODIGO]],Tabla_Items_Activos[CODIGO],0)),0,1)</f>
        <v>0</v>
      </c>
    </row>
    <row r="115" spans="1:9">
      <c r="A115" s="2" t="s">
        <v>6761</v>
      </c>
      <c r="B115" s="2" t="s">
        <v>28</v>
      </c>
      <c r="C115" s="2" t="s">
        <v>1271</v>
      </c>
      <c r="D115" s="2" t="s">
        <v>6035</v>
      </c>
      <c r="E115" s="2" t="s">
        <v>5168</v>
      </c>
      <c r="F115" s="2">
        <v>352.65730525999999</v>
      </c>
      <c r="G115" s="2">
        <v>3</v>
      </c>
      <c r="H115" s="2">
        <f>Tabla_Items_Con_Existencia[[#This Row],[COSTO]]*Tabla_Items_Con_Existencia[[#This Row],[EXISTENCIA]]</f>
        <v>1057.97191578</v>
      </c>
      <c r="I115" s="1">
        <f>IF(ISERROR(MATCH(Tabla_Items_Con_Existencia[[#This Row],[CODIGO]],Tabla_Items_Activos[CODIGO],0)),0,1)</f>
        <v>0</v>
      </c>
    </row>
    <row r="116" spans="1:9">
      <c r="A116" s="2" t="s">
        <v>6761</v>
      </c>
      <c r="B116" s="2" t="s">
        <v>29</v>
      </c>
      <c r="C116" s="2" t="s">
        <v>1272</v>
      </c>
      <c r="D116" s="2" t="s">
        <v>5176</v>
      </c>
      <c r="E116" s="2" t="s">
        <v>5168</v>
      </c>
      <c r="F116" s="2">
        <v>404.41505789000001</v>
      </c>
      <c r="G116" s="2">
        <v>3</v>
      </c>
      <c r="H116" s="2">
        <f>Tabla_Items_Con_Existencia[[#This Row],[COSTO]]*Tabla_Items_Con_Existencia[[#This Row],[EXISTENCIA]]</f>
        <v>1213.24517367</v>
      </c>
      <c r="I116" s="1">
        <f>IF(ISERROR(MATCH(Tabla_Items_Con_Existencia[[#This Row],[CODIGO]],Tabla_Items_Activos[CODIGO],0)),0,1)</f>
        <v>0</v>
      </c>
    </row>
    <row r="117" spans="1:9">
      <c r="A117" s="2" t="s">
        <v>6760</v>
      </c>
      <c r="B117" s="2" t="s">
        <v>29</v>
      </c>
      <c r="C117" s="2" t="s">
        <v>1272</v>
      </c>
      <c r="D117" s="2" t="s">
        <v>5176</v>
      </c>
      <c r="E117" s="2" t="s">
        <v>5168</v>
      </c>
      <c r="F117" s="2">
        <v>404.41505789000001</v>
      </c>
      <c r="G117" s="2">
        <v>3</v>
      </c>
      <c r="H117" s="2">
        <f>Tabla_Items_Con_Existencia[[#This Row],[COSTO]]*Tabla_Items_Con_Existencia[[#This Row],[EXISTENCIA]]</f>
        <v>1213.24517367</v>
      </c>
      <c r="I117" s="1">
        <f>IF(ISERROR(MATCH(Tabla_Items_Con_Existencia[[#This Row],[CODIGO]],Tabla_Items_Activos[CODIGO],0)),0,1)</f>
        <v>0</v>
      </c>
    </row>
    <row r="118" spans="1:9">
      <c r="A118" s="2" t="s">
        <v>6760</v>
      </c>
      <c r="B118" s="2" t="s">
        <v>1275</v>
      </c>
      <c r="C118" s="2" t="s">
        <v>1276</v>
      </c>
      <c r="D118" s="2" t="s">
        <v>5170</v>
      </c>
      <c r="E118" s="2" t="s">
        <v>5168</v>
      </c>
      <c r="F118" s="2">
        <v>6.92</v>
      </c>
      <c r="G118" s="2">
        <v>18</v>
      </c>
      <c r="H118" s="2">
        <f>Tabla_Items_Con_Existencia[[#This Row],[COSTO]]*Tabla_Items_Con_Existencia[[#This Row],[EXISTENCIA]]</f>
        <v>124.56</v>
      </c>
      <c r="I118" s="1">
        <f>IF(ISERROR(MATCH(Tabla_Items_Con_Existencia[[#This Row],[CODIGO]],Tabla_Items_Activos[CODIGO],0)),0,1)</f>
        <v>0</v>
      </c>
    </row>
    <row r="119" spans="1:9">
      <c r="A119" s="2" t="s">
        <v>6760</v>
      </c>
      <c r="B119" s="2" t="s">
        <v>1277</v>
      </c>
      <c r="C119" s="2" t="s">
        <v>1278</v>
      </c>
      <c r="D119" s="2" t="s">
        <v>5170</v>
      </c>
      <c r="E119" s="2" t="s">
        <v>5168</v>
      </c>
      <c r="F119" s="2">
        <v>8.9610526299999993</v>
      </c>
      <c r="G119" s="2">
        <v>16</v>
      </c>
      <c r="H119" s="2">
        <f>Tabla_Items_Con_Existencia[[#This Row],[COSTO]]*Tabla_Items_Con_Existencia[[#This Row],[EXISTENCIA]]</f>
        <v>143.37684207999999</v>
      </c>
      <c r="I119" s="1">
        <f>IF(ISERROR(MATCH(Tabla_Items_Con_Existencia[[#This Row],[CODIGO]],Tabla_Items_Activos[CODIGO],0)),0,1)</f>
        <v>0</v>
      </c>
    </row>
    <row r="120" spans="1:9">
      <c r="A120" s="2" t="s">
        <v>6761</v>
      </c>
      <c r="B120" s="2" t="s">
        <v>1277</v>
      </c>
      <c r="C120" s="2" t="s">
        <v>1278</v>
      </c>
      <c r="D120" s="2" t="s">
        <v>5170</v>
      </c>
      <c r="E120" s="2" t="s">
        <v>5168</v>
      </c>
      <c r="F120" s="2">
        <v>8.9610526299999993</v>
      </c>
      <c r="G120" s="2">
        <v>16</v>
      </c>
      <c r="H120" s="2">
        <f>Tabla_Items_Con_Existencia[[#This Row],[COSTO]]*Tabla_Items_Con_Existencia[[#This Row],[EXISTENCIA]]</f>
        <v>143.37684207999999</v>
      </c>
      <c r="I120" s="1">
        <f>IF(ISERROR(MATCH(Tabla_Items_Con_Existencia[[#This Row],[CODIGO]],Tabla_Items_Activos[CODIGO],0)),0,1)</f>
        <v>0</v>
      </c>
    </row>
    <row r="121" spans="1:9">
      <c r="A121" s="2" t="s">
        <v>6760</v>
      </c>
      <c r="B121" s="2" t="s">
        <v>1279</v>
      </c>
      <c r="C121" s="2" t="s">
        <v>1280</v>
      </c>
      <c r="D121" s="2" t="s">
        <v>5177</v>
      </c>
      <c r="E121" s="2" t="s">
        <v>5168</v>
      </c>
      <c r="F121" s="2">
        <v>11.96</v>
      </c>
      <c r="G121" s="2">
        <v>17</v>
      </c>
      <c r="H121" s="2">
        <f>Tabla_Items_Con_Existencia[[#This Row],[COSTO]]*Tabla_Items_Con_Existencia[[#This Row],[EXISTENCIA]]</f>
        <v>203.32000000000002</v>
      </c>
      <c r="I121" s="1">
        <f>IF(ISERROR(MATCH(Tabla_Items_Con_Existencia[[#This Row],[CODIGO]],Tabla_Items_Activos[CODIGO],0)),0,1)</f>
        <v>0</v>
      </c>
    </row>
    <row r="122" spans="1:9">
      <c r="A122" s="2" t="s">
        <v>6760</v>
      </c>
      <c r="B122" s="2" t="s">
        <v>1281</v>
      </c>
      <c r="C122" s="2" t="s">
        <v>1282</v>
      </c>
      <c r="D122" s="2" t="s">
        <v>5177</v>
      </c>
      <c r="E122" s="2" t="s">
        <v>5168</v>
      </c>
      <c r="F122" s="2">
        <v>12.56</v>
      </c>
      <c r="G122" s="2">
        <v>1</v>
      </c>
      <c r="H122" s="2">
        <f>Tabla_Items_Con_Existencia[[#This Row],[COSTO]]*Tabla_Items_Con_Existencia[[#This Row],[EXISTENCIA]]</f>
        <v>12.56</v>
      </c>
      <c r="I122" s="1">
        <f>IF(ISERROR(MATCH(Tabla_Items_Con_Existencia[[#This Row],[CODIGO]],Tabla_Items_Activos[CODIGO],0)),0,1)</f>
        <v>0</v>
      </c>
    </row>
    <row r="123" spans="1:9">
      <c r="A123" s="2" t="s">
        <v>6760</v>
      </c>
      <c r="B123" s="2" t="s">
        <v>1283</v>
      </c>
      <c r="C123" s="2" t="s">
        <v>1284</v>
      </c>
      <c r="D123" s="2" t="s">
        <v>5170</v>
      </c>
      <c r="E123" s="2" t="s">
        <v>5168</v>
      </c>
      <c r="F123" s="2">
        <v>5.9630000000000001</v>
      </c>
      <c r="G123" s="2">
        <v>6</v>
      </c>
      <c r="H123" s="2">
        <f>Tabla_Items_Con_Existencia[[#This Row],[COSTO]]*Tabla_Items_Con_Existencia[[#This Row],[EXISTENCIA]]</f>
        <v>35.777999999999999</v>
      </c>
      <c r="I123" s="1">
        <f>IF(ISERROR(MATCH(Tabla_Items_Con_Existencia[[#This Row],[CODIGO]],Tabla_Items_Activos[CODIGO],0)),0,1)</f>
        <v>0</v>
      </c>
    </row>
    <row r="124" spans="1:9">
      <c r="A124" s="2" t="s">
        <v>6760</v>
      </c>
      <c r="B124" s="2" t="s">
        <v>1285</v>
      </c>
      <c r="C124" s="2" t="s">
        <v>1286</v>
      </c>
      <c r="D124" s="2" t="s">
        <v>5170</v>
      </c>
      <c r="E124" s="2" t="s">
        <v>5168</v>
      </c>
      <c r="F124" s="2">
        <v>5.79</v>
      </c>
      <c r="G124" s="2">
        <v>6</v>
      </c>
      <c r="H124" s="2">
        <f>Tabla_Items_Con_Existencia[[#This Row],[COSTO]]*Tabla_Items_Con_Existencia[[#This Row],[EXISTENCIA]]</f>
        <v>34.74</v>
      </c>
      <c r="I124" s="1">
        <f>IF(ISERROR(MATCH(Tabla_Items_Con_Existencia[[#This Row],[CODIGO]],Tabla_Items_Activos[CODIGO],0)),0,1)</f>
        <v>0</v>
      </c>
    </row>
    <row r="125" spans="1:9">
      <c r="A125" s="2" t="s">
        <v>6760</v>
      </c>
      <c r="B125" s="2" t="s">
        <v>1287</v>
      </c>
      <c r="C125" s="2" t="s">
        <v>1288</v>
      </c>
      <c r="D125" s="2" t="s">
        <v>5170</v>
      </c>
      <c r="E125" s="2" t="s">
        <v>5168</v>
      </c>
      <c r="F125" s="2">
        <v>5.79</v>
      </c>
      <c r="G125" s="2">
        <v>4</v>
      </c>
      <c r="H125" s="2">
        <f>Tabla_Items_Con_Existencia[[#This Row],[COSTO]]*Tabla_Items_Con_Existencia[[#This Row],[EXISTENCIA]]</f>
        <v>23.16</v>
      </c>
      <c r="I125" s="1">
        <f>IF(ISERROR(MATCH(Tabla_Items_Con_Existencia[[#This Row],[CODIGO]],Tabla_Items_Activos[CODIGO],0)),0,1)</f>
        <v>0</v>
      </c>
    </row>
    <row r="126" spans="1:9">
      <c r="A126" s="2" t="s">
        <v>6760</v>
      </c>
      <c r="B126" s="2" t="s">
        <v>1289</v>
      </c>
      <c r="C126" s="2" t="s">
        <v>1290</v>
      </c>
      <c r="D126" s="2" t="s">
        <v>5170</v>
      </c>
      <c r="E126" s="2" t="s">
        <v>5168</v>
      </c>
      <c r="F126" s="2">
        <v>5.79</v>
      </c>
      <c r="G126" s="2">
        <v>9</v>
      </c>
      <c r="H126" s="2">
        <f>Tabla_Items_Con_Existencia[[#This Row],[COSTO]]*Tabla_Items_Con_Existencia[[#This Row],[EXISTENCIA]]</f>
        <v>52.11</v>
      </c>
      <c r="I126" s="1">
        <f>IF(ISERROR(MATCH(Tabla_Items_Con_Existencia[[#This Row],[CODIGO]],Tabla_Items_Activos[CODIGO],0)),0,1)</f>
        <v>0</v>
      </c>
    </row>
    <row r="127" spans="1:9">
      <c r="A127" s="2" t="s">
        <v>6760</v>
      </c>
      <c r="B127" s="2" t="s">
        <v>1291</v>
      </c>
      <c r="C127" s="2" t="s">
        <v>1292</v>
      </c>
      <c r="D127" s="2" t="s">
        <v>5170</v>
      </c>
      <c r="E127" s="2" t="s">
        <v>5168</v>
      </c>
      <c r="F127" s="2">
        <v>6.36</v>
      </c>
      <c r="G127" s="2">
        <v>5</v>
      </c>
      <c r="H127" s="2">
        <f>Tabla_Items_Con_Existencia[[#This Row],[COSTO]]*Tabla_Items_Con_Existencia[[#This Row],[EXISTENCIA]]</f>
        <v>31.8</v>
      </c>
      <c r="I127" s="1">
        <f>IF(ISERROR(MATCH(Tabla_Items_Con_Existencia[[#This Row],[CODIGO]],Tabla_Items_Activos[CODIGO],0)),0,1)</f>
        <v>0</v>
      </c>
    </row>
    <row r="128" spans="1:9">
      <c r="A128" s="2" t="s">
        <v>6761</v>
      </c>
      <c r="B128" s="2" t="s">
        <v>30</v>
      </c>
      <c r="C128" s="2" t="s">
        <v>1293</v>
      </c>
      <c r="D128" s="2" t="s">
        <v>5170</v>
      </c>
      <c r="E128" s="2" t="s">
        <v>5168</v>
      </c>
      <c r="F128" s="2">
        <v>8.5138947399999996</v>
      </c>
      <c r="G128" s="2">
        <v>6</v>
      </c>
      <c r="H128" s="2">
        <f>Tabla_Items_Con_Existencia[[#This Row],[COSTO]]*Tabla_Items_Con_Existencia[[#This Row],[EXISTENCIA]]</f>
        <v>51.083368440000001</v>
      </c>
      <c r="I128" s="1">
        <f>IF(ISERROR(MATCH(Tabla_Items_Con_Existencia[[#This Row],[CODIGO]],Tabla_Items_Activos[CODIGO],0)),0,1)</f>
        <v>0</v>
      </c>
    </row>
    <row r="129" spans="1:9">
      <c r="A129" s="2" t="s">
        <v>6760</v>
      </c>
      <c r="B129" s="2" t="s">
        <v>30</v>
      </c>
      <c r="C129" s="2" t="s">
        <v>1293</v>
      </c>
      <c r="D129" s="2" t="s">
        <v>5170</v>
      </c>
      <c r="E129" s="2" t="s">
        <v>5168</v>
      </c>
      <c r="F129" s="2">
        <v>8.5138947399999996</v>
      </c>
      <c r="G129" s="2">
        <v>6</v>
      </c>
      <c r="H129" s="2">
        <f>Tabla_Items_Con_Existencia[[#This Row],[COSTO]]*Tabla_Items_Con_Existencia[[#This Row],[EXISTENCIA]]</f>
        <v>51.083368440000001</v>
      </c>
      <c r="I129" s="1">
        <f>IF(ISERROR(MATCH(Tabla_Items_Con_Existencia[[#This Row],[CODIGO]],Tabla_Items_Activos[CODIGO],0)),0,1)</f>
        <v>0</v>
      </c>
    </row>
    <row r="130" spans="1:9">
      <c r="A130" s="2" t="s">
        <v>6760</v>
      </c>
      <c r="B130" s="2" t="s">
        <v>31</v>
      </c>
      <c r="C130" s="2" t="s">
        <v>1294</v>
      </c>
      <c r="D130" s="2" t="s">
        <v>5170</v>
      </c>
      <c r="E130" s="2" t="s">
        <v>5168</v>
      </c>
      <c r="F130" s="2">
        <v>9.2961052599999991</v>
      </c>
      <c r="G130" s="2">
        <v>4</v>
      </c>
      <c r="H130" s="2">
        <f>Tabla_Items_Con_Existencia[[#This Row],[COSTO]]*Tabla_Items_Con_Existencia[[#This Row],[EXISTENCIA]]</f>
        <v>37.184421039999997</v>
      </c>
      <c r="I130" s="1">
        <f>IF(ISERROR(MATCH(Tabla_Items_Con_Existencia[[#This Row],[CODIGO]],Tabla_Items_Activos[CODIGO],0)),0,1)</f>
        <v>0</v>
      </c>
    </row>
    <row r="131" spans="1:9">
      <c r="A131" s="2" t="s">
        <v>6761</v>
      </c>
      <c r="B131" s="2" t="s">
        <v>31</v>
      </c>
      <c r="C131" s="2" t="s">
        <v>1294</v>
      </c>
      <c r="D131" s="2" t="s">
        <v>5170</v>
      </c>
      <c r="E131" s="2" t="s">
        <v>5168</v>
      </c>
      <c r="F131" s="2">
        <v>9.2961052599999991</v>
      </c>
      <c r="G131" s="2">
        <v>4</v>
      </c>
      <c r="H131" s="2">
        <f>Tabla_Items_Con_Existencia[[#This Row],[COSTO]]*Tabla_Items_Con_Existencia[[#This Row],[EXISTENCIA]]</f>
        <v>37.184421039999997</v>
      </c>
      <c r="I131" s="1">
        <f>IF(ISERROR(MATCH(Tabla_Items_Con_Existencia[[#This Row],[CODIGO]],Tabla_Items_Activos[CODIGO],0)),0,1)</f>
        <v>0</v>
      </c>
    </row>
    <row r="132" spans="1:9">
      <c r="A132" s="2" t="s">
        <v>6760</v>
      </c>
      <c r="B132" s="2" t="s">
        <v>32</v>
      </c>
      <c r="C132" s="2" t="s">
        <v>1295</v>
      </c>
      <c r="D132" s="2" t="s">
        <v>5170</v>
      </c>
      <c r="E132" s="2" t="s">
        <v>5168</v>
      </c>
      <c r="F132" s="2">
        <v>5.2973684199999997</v>
      </c>
      <c r="G132" s="2">
        <v>8</v>
      </c>
      <c r="H132" s="2">
        <f>Tabla_Items_Con_Existencia[[#This Row],[COSTO]]*Tabla_Items_Con_Existencia[[#This Row],[EXISTENCIA]]</f>
        <v>42.378947359999998</v>
      </c>
      <c r="I132" s="1">
        <f>IF(ISERROR(MATCH(Tabla_Items_Con_Existencia[[#This Row],[CODIGO]],Tabla_Items_Activos[CODIGO],0)),0,1)</f>
        <v>0</v>
      </c>
    </row>
    <row r="133" spans="1:9">
      <c r="A133" s="2" t="s">
        <v>6761</v>
      </c>
      <c r="B133" s="2" t="s">
        <v>32</v>
      </c>
      <c r="C133" s="2" t="s">
        <v>1295</v>
      </c>
      <c r="D133" s="2" t="s">
        <v>5170</v>
      </c>
      <c r="E133" s="2" t="s">
        <v>5168</v>
      </c>
      <c r="F133" s="2">
        <v>5.2973684199999997</v>
      </c>
      <c r="G133" s="2">
        <v>8</v>
      </c>
      <c r="H133" s="2">
        <f>Tabla_Items_Con_Existencia[[#This Row],[COSTO]]*Tabla_Items_Con_Existencia[[#This Row],[EXISTENCIA]]</f>
        <v>42.378947359999998</v>
      </c>
      <c r="I133" s="1">
        <f>IF(ISERROR(MATCH(Tabla_Items_Con_Existencia[[#This Row],[CODIGO]],Tabla_Items_Activos[CODIGO],0)),0,1)</f>
        <v>0</v>
      </c>
    </row>
    <row r="134" spans="1:9">
      <c r="A134" s="2" t="s">
        <v>6760</v>
      </c>
      <c r="B134" s="2" t="s">
        <v>33</v>
      </c>
      <c r="C134" s="2" t="s">
        <v>1296</v>
      </c>
      <c r="D134" s="2" t="s">
        <v>5170</v>
      </c>
      <c r="E134" s="2" t="s">
        <v>5168</v>
      </c>
      <c r="F134" s="2">
        <v>15.57568421</v>
      </c>
      <c r="G134" s="2">
        <v>6</v>
      </c>
      <c r="H134" s="2">
        <f>Tabla_Items_Con_Existencia[[#This Row],[COSTO]]*Tabla_Items_Con_Existencia[[#This Row],[EXISTENCIA]]</f>
        <v>93.454105260000006</v>
      </c>
      <c r="I134" s="1">
        <f>IF(ISERROR(MATCH(Tabla_Items_Con_Existencia[[#This Row],[CODIGO]],Tabla_Items_Activos[CODIGO],0)),0,1)</f>
        <v>0</v>
      </c>
    </row>
    <row r="135" spans="1:9">
      <c r="A135" s="2" t="s">
        <v>6761</v>
      </c>
      <c r="B135" s="2" t="s">
        <v>33</v>
      </c>
      <c r="C135" s="2" t="s">
        <v>1296</v>
      </c>
      <c r="D135" s="2" t="s">
        <v>5170</v>
      </c>
      <c r="E135" s="2" t="s">
        <v>5168</v>
      </c>
      <c r="F135" s="2">
        <v>15.57568421</v>
      </c>
      <c r="G135" s="2">
        <v>6</v>
      </c>
      <c r="H135" s="2">
        <f>Tabla_Items_Con_Existencia[[#This Row],[COSTO]]*Tabla_Items_Con_Existencia[[#This Row],[EXISTENCIA]]</f>
        <v>93.454105260000006</v>
      </c>
      <c r="I135" s="1">
        <f>IF(ISERROR(MATCH(Tabla_Items_Con_Existencia[[#This Row],[CODIGO]],Tabla_Items_Activos[CODIGO],0)),0,1)</f>
        <v>0</v>
      </c>
    </row>
    <row r="136" spans="1:9">
      <c r="A136" s="2" t="s">
        <v>6761</v>
      </c>
      <c r="B136" s="2" t="s">
        <v>1297</v>
      </c>
      <c r="C136" s="2" t="s">
        <v>1298</v>
      </c>
      <c r="D136" s="2" t="s">
        <v>6035</v>
      </c>
      <c r="E136" s="2" t="s">
        <v>5168</v>
      </c>
      <c r="F136" s="2">
        <v>54.101052629999998</v>
      </c>
      <c r="G136" s="2">
        <v>1</v>
      </c>
      <c r="H136" s="2">
        <f>Tabla_Items_Con_Existencia[[#This Row],[COSTO]]*Tabla_Items_Con_Existencia[[#This Row],[EXISTENCIA]]</f>
        <v>54.101052629999998</v>
      </c>
      <c r="I136" s="1">
        <f>IF(ISERROR(MATCH(Tabla_Items_Con_Existencia[[#This Row],[CODIGO]],Tabla_Items_Activos[CODIGO],0)),0,1)</f>
        <v>0</v>
      </c>
    </row>
    <row r="137" spans="1:9">
      <c r="A137" s="2" t="s">
        <v>6760</v>
      </c>
      <c r="B137" s="2" t="s">
        <v>1297</v>
      </c>
      <c r="C137" s="2" t="s">
        <v>1298</v>
      </c>
      <c r="D137" s="2" t="s">
        <v>6035</v>
      </c>
      <c r="E137" s="2" t="s">
        <v>5168</v>
      </c>
      <c r="F137" s="2">
        <v>54.101052629999998</v>
      </c>
      <c r="G137" s="2">
        <v>1</v>
      </c>
      <c r="H137" s="2">
        <f>Tabla_Items_Con_Existencia[[#This Row],[COSTO]]*Tabla_Items_Con_Existencia[[#This Row],[EXISTENCIA]]</f>
        <v>54.101052629999998</v>
      </c>
      <c r="I137" s="1">
        <f>IF(ISERROR(MATCH(Tabla_Items_Con_Existencia[[#This Row],[CODIGO]],Tabla_Items_Activos[CODIGO],0)),0,1)</f>
        <v>0</v>
      </c>
    </row>
    <row r="138" spans="1:9">
      <c r="A138" s="2" t="s">
        <v>6760</v>
      </c>
      <c r="B138" s="2" t="s">
        <v>1299</v>
      </c>
      <c r="C138" s="2" t="s">
        <v>1300</v>
      </c>
      <c r="D138" s="2" t="s">
        <v>6035</v>
      </c>
      <c r="E138" s="2" t="s">
        <v>5168</v>
      </c>
      <c r="F138" s="2">
        <v>77.523157889999993</v>
      </c>
      <c r="G138" s="2">
        <v>1</v>
      </c>
      <c r="H138" s="2">
        <f>Tabla_Items_Con_Existencia[[#This Row],[COSTO]]*Tabla_Items_Con_Existencia[[#This Row],[EXISTENCIA]]</f>
        <v>77.523157889999993</v>
      </c>
      <c r="I138" s="1">
        <f>IF(ISERROR(MATCH(Tabla_Items_Con_Existencia[[#This Row],[CODIGO]],Tabla_Items_Activos[CODIGO],0)),0,1)</f>
        <v>0</v>
      </c>
    </row>
    <row r="139" spans="1:9">
      <c r="A139" s="2" t="s">
        <v>6761</v>
      </c>
      <c r="B139" s="2" t="s">
        <v>1299</v>
      </c>
      <c r="C139" s="2" t="s">
        <v>1300</v>
      </c>
      <c r="D139" s="2" t="s">
        <v>6035</v>
      </c>
      <c r="E139" s="2" t="s">
        <v>5168</v>
      </c>
      <c r="F139" s="2">
        <v>77.523157889999993</v>
      </c>
      <c r="G139" s="2">
        <v>1</v>
      </c>
      <c r="H139" s="2">
        <f>Tabla_Items_Con_Existencia[[#This Row],[COSTO]]*Tabla_Items_Con_Existencia[[#This Row],[EXISTENCIA]]</f>
        <v>77.523157889999993</v>
      </c>
      <c r="I139" s="1">
        <f>IF(ISERROR(MATCH(Tabla_Items_Con_Existencia[[#This Row],[CODIGO]],Tabla_Items_Activos[CODIGO],0)),0,1)</f>
        <v>0</v>
      </c>
    </row>
    <row r="140" spans="1:9">
      <c r="A140" s="2" t="s">
        <v>6761</v>
      </c>
      <c r="B140" s="2" t="s">
        <v>34</v>
      </c>
      <c r="C140" s="2" t="s">
        <v>1301</v>
      </c>
      <c r="D140" s="2" t="s">
        <v>5170</v>
      </c>
      <c r="E140" s="2" t="s">
        <v>5168</v>
      </c>
      <c r="F140" s="2">
        <v>2.9242105299999999</v>
      </c>
      <c r="G140" s="2">
        <v>5</v>
      </c>
      <c r="H140" s="2">
        <f>Tabla_Items_Con_Existencia[[#This Row],[COSTO]]*Tabla_Items_Con_Existencia[[#This Row],[EXISTENCIA]]</f>
        <v>14.621052649999999</v>
      </c>
      <c r="I140" s="1">
        <f>IF(ISERROR(MATCH(Tabla_Items_Con_Existencia[[#This Row],[CODIGO]],Tabla_Items_Activos[CODIGO],0)),0,1)</f>
        <v>0</v>
      </c>
    </row>
    <row r="141" spans="1:9">
      <c r="A141" s="2" t="s">
        <v>6760</v>
      </c>
      <c r="B141" s="2" t="s">
        <v>34</v>
      </c>
      <c r="C141" s="2" t="s">
        <v>1301</v>
      </c>
      <c r="D141" s="2" t="s">
        <v>5170</v>
      </c>
      <c r="E141" s="2" t="s">
        <v>5168</v>
      </c>
      <c r="F141" s="2">
        <v>2.9242105299999999</v>
      </c>
      <c r="G141" s="2">
        <v>5</v>
      </c>
      <c r="H141" s="2">
        <f>Tabla_Items_Con_Existencia[[#This Row],[COSTO]]*Tabla_Items_Con_Existencia[[#This Row],[EXISTENCIA]]</f>
        <v>14.621052649999999</v>
      </c>
      <c r="I141" s="1">
        <f>IF(ISERROR(MATCH(Tabla_Items_Con_Existencia[[#This Row],[CODIGO]],Tabla_Items_Activos[CODIGO],0)),0,1)</f>
        <v>0</v>
      </c>
    </row>
    <row r="142" spans="1:9">
      <c r="A142" s="2" t="s">
        <v>6760</v>
      </c>
      <c r="B142" s="2" t="s">
        <v>35</v>
      </c>
      <c r="C142" s="2" t="s">
        <v>1302</v>
      </c>
      <c r="D142" s="2" t="s">
        <v>5170</v>
      </c>
      <c r="E142" s="2" t="s">
        <v>5168</v>
      </c>
      <c r="F142" s="2">
        <v>2.9242105299999999</v>
      </c>
      <c r="G142" s="2">
        <v>2</v>
      </c>
      <c r="H142" s="2">
        <f>Tabla_Items_Con_Existencia[[#This Row],[COSTO]]*Tabla_Items_Con_Existencia[[#This Row],[EXISTENCIA]]</f>
        <v>5.8484210599999997</v>
      </c>
      <c r="I142" s="1">
        <f>IF(ISERROR(MATCH(Tabla_Items_Con_Existencia[[#This Row],[CODIGO]],Tabla_Items_Activos[CODIGO],0)),0,1)</f>
        <v>0</v>
      </c>
    </row>
    <row r="143" spans="1:9">
      <c r="A143" s="2" t="s">
        <v>6761</v>
      </c>
      <c r="B143" s="2" t="s">
        <v>35</v>
      </c>
      <c r="C143" s="2" t="s">
        <v>1302</v>
      </c>
      <c r="D143" s="2" t="s">
        <v>5170</v>
      </c>
      <c r="E143" s="2" t="s">
        <v>5168</v>
      </c>
      <c r="F143" s="2">
        <v>2.9242105299999999</v>
      </c>
      <c r="G143" s="2">
        <v>2</v>
      </c>
      <c r="H143" s="2">
        <f>Tabla_Items_Con_Existencia[[#This Row],[COSTO]]*Tabla_Items_Con_Existencia[[#This Row],[EXISTENCIA]]</f>
        <v>5.8484210599999997</v>
      </c>
      <c r="I143" s="1">
        <f>IF(ISERROR(MATCH(Tabla_Items_Con_Existencia[[#This Row],[CODIGO]],Tabla_Items_Activos[CODIGO],0)),0,1)</f>
        <v>0</v>
      </c>
    </row>
    <row r="144" spans="1:9">
      <c r="A144" s="2" t="s">
        <v>6760</v>
      </c>
      <c r="B144" s="2" t="s">
        <v>1304</v>
      </c>
      <c r="C144" s="2" t="s">
        <v>1305</v>
      </c>
      <c r="D144" s="2" t="s">
        <v>5171</v>
      </c>
      <c r="E144" s="2" t="s">
        <v>5168</v>
      </c>
      <c r="F144" s="2">
        <v>9.4</v>
      </c>
      <c r="G144" s="2">
        <v>1</v>
      </c>
      <c r="H144" s="2">
        <f>Tabla_Items_Con_Existencia[[#This Row],[COSTO]]*Tabla_Items_Con_Existencia[[#This Row],[EXISTENCIA]]</f>
        <v>9.4</v>
      </c>
      <c r="I144" s="1">
        <f>IF(ISERROR(MATCH(Tabla_Items_Con_Existencia[[#This Row],[CODIGO]],Tabla_Items_Activos[CODIGO],0)),0,1)</f>
        <v>0</v>
      </c>
    </row>
    <row r="145" spans="1:9">
      <c r="A145" s="2" t="s">
        <v>6760</v>
      </c>
      <c r="B145" s="2" t="s">
        <v>37</v>
      </c>
      <c r="C145" s="2" t="s">
        <v>1306</v>
      </c>
      <c r="D145" s="2" t="s">
        <v>5171</v>
      </c>
      <c r="E145" s="2" t="s">
        <v>5168</v>
      </c>
      <c r="F145" s="2">
        <v>22.774999999999999</v>
      </c>
      <c r="G145" s="2">
        <v>2</v>
      </c>
      <c r="H145" s="2">
        <f>Tabla_Items_Con_Existencia[[#This Row],[COSTO]]*Tabla_Items_Con_Existencia[[#This Row],[EXISTENCIA]]</f>
        <v>45.55</v>
      </c>
      <c r="I145" s="1">
        <f>IF(ISERROR(MATCH(Tabla_Items_Con_Existencia[[#This Row],[CODIGO]],Tabla_Items_Activos[CODIGO],0)),0,1)</f>
        <v>0</v>
      </c>
    </row>
    <row r="146" spans="1:9">
      <c r="A146" s="2" t="s">
        <v>6760</v>
      </c>
      <c r="B146" s="2" t="s">
        <v>38</v>
      </c>
      <c r="C146" s="2" t="s">
        <v>1307</v>
      </c>
      <c r="D146" s="2" t="s">
        <v>5171</v>
      </c>
      <c r="E146" s="2" t="s">
        <v>5168</v>
      </c>
      <c r="F146" s="2">
        <v>9.2870000000000008</v>
      </c>
      <c r="G146" s="2">
        <v>9</v>
      </c>
      <c r="H146" s="2">
        <f>Tabla_Items_Con_Existencia[[#This Row],[COSTO]]*Tabla_Items_Con_Existencia[[#This Row],[EXISTENCIA]]</f>
        <v>83.583000000000013</v>
      </c>
      <c r="I146" s="1">
        <f>IF(ISERROR(MATCH(Tabla_Items_Con_Existencia[[#This Row],[CODIGO]],Tabla_Items_Activos[CODIGO],0)),0,1)</f>
        <v>0</v>
      </c>
    </row>
    <row r="147" spans="1:9">
      <c r="A147" s="2" t="s">
        <v>6760</v>
      </c>
      <c r="B147" s="2" t="s">
        <v>1308</v>
      </c>
      <c r="C147" s="2" t="s">
        <v>1309</v>
      </c>
      <c r="D147" s="2" t="s">
        <v>5171</v>
      </c>
      <c r="E147" s="2" t="s">
        <v>5168</v>
      </c>
      <c r="F147" s="2">
        <v>11.57</v>
      </c>
      <c r="G147" s="2">
        <v>1</v>
      </c>
      <c r="H147" s="2">
        <f>Tabla_Items_Con_Existencia[[#This Row],[COSTO]]*Tabla_Items_Con_Existencia[[#This Row],[EXISTENCIA]]</f>
        <v>11.57</v>
      </c>
      <c r="I147" s="1">
        <f>IF(ISERROR(MATCH(Tabla_Items_Con_Existencia[[#This Row],[CODIGO]],Tabla_Items_Activos[CODIGO],0)),0,1)</f>
        <v>0</v>
      </c>
    </row>
    <row r="148" spans="1:9">
      <c r="A148" s="2" t="s">
        <v>6760</v>
      </c>
      <c r="B148" s="2" t="s">
        <v>1310</v>
      </c>
      <c r="C148" s="2" t="s">
        <v>1311</v>
      </c>
      <c r="D148" s="2" t="s">
        <v>5171</v>
      </c>
      <c r="E148" s="2" t="s">
        <v>5168</v>
      </c>
      <c r="F148" s="2">
        <v>21.31</v>
      </c>
      <c r="G148" s="2">
        <v>1</v>
      </c>
      <c r="H148" s="2">
        <f>Tabla_Items_Con_Existencia[[#This Row],[COSTO]]*Tabla_Items_Con_Existencia[[#This Row],[EXISTENCIA]]</f>
        <v>21.31</v>
      </c>
      <c r="I148" s="1">
        <f>IF(ISERROR(MATCH(Tabla_Items_Con_Existencia[[#This Row],[CODIGO]],Tabla_Items_Activos[CODIGO],0)),0,1)</f>
        <v>0</v>
      </c>
    </row>
    <row r="149" spans="1:9">
      <c r="A149" s="2" t="s">
        <v>6760</v>
      </c>
      <c r="B149" s="2" t="s">
        <v>1312</v>
      </c>
      <c r="C149" s="2" t="s">
        <v>1313</v>
      </c>
      <c r="D149" s="2" t="s">
        <v>5171</v>
      </c>
      <c r="E149" s="2" t="s">
        <v>5168</v>
      </c>
      <c r="F149" s="2">
        <v>18.059999999999999</v>
      </c>
      <c r="G149" s="2">
        <v>1</v>
      </c>
      <c r="H149" s="2">
        <f>Tabla_Items_Con_Existencia[[#This Row],[COSTO]]*Tabla_Items_Con_Existencia[[#This Row],[EXISTENCIA]]</f>
        <v>18.059999999999999</v>
      </c>
      <c r="I149" s="1">
        <f>IF(ISERROR(MATCH(Tabla_Items_Con_Existencia[[#This Row],[CODIGO]],Tabla_Items_Activos[CODIGO],0)),0,1)</f>
        <v>0</v>
      </c>
    </row>
    <row r="150" spans="1:9">
      <c r="A150" s="2" t="s">
        <v>6760</v>
      </c>
      <c r="B150" s="2" t="s">
        <v>39</v>
      </c>
      <c r="C150" s="2" t="s">
        <v>1314</v>
      </c>
      <c r="D150" s="2" t="s">
        <v>5171</v>
      </c>
      <c r="E150" s="2" t="s">
        <v>5168</v>
      </c>
      <c r="F150" s="2">
        <v>255.96700000000001</v>
      </c>
      <c r="G150" s="2">
        <v>3</v>
      </c>
      <c r="H150" s="2">
        <f>Tabla_Items_Con_Existencia[[#This Row],[COSTO]]*Tabla_Items_Con_Existencia[[#This Row],[EXISTENCIA]]</f>
        <v>767.90100000000007</v>
      </c>
      <c r="I150" s="1">
        <f>IF(ISERROR(MATCH(Tabla_Items_Con_Existencia[[#This Row],[CODIGO]],Tabla_Items_Activos[CODIGO],0)),0,1)</f>
        <v>0</v>
      </c>
    </row>
    <row r="151" spans="1:9">
      <c r="A151" s="2" t="s">
        <v>6761</v>
      </c>
      <c r="B151" s="2" t="s">
        <v>40</v>
      </c>
      <c r="C151" s="2" t="s">
        <v>1315</v>
      </c>
      <c r="D151" s="2" t="s">
        <v>5170</v>
      </c>
      <c r="E151" s="2" t="s">
        <v>5168</v>
      </c>
      <c r="F151" s="2">
        <v>2.9242105299999999</v>
      </c>
      <c r="G151" s="2">
        <v>5</v>
      </c>
      <c r="H151" s="2">
        <f>Tabla_Items_Con_Existencia[[#This Row],[COSTO]]*Tabla_Items_Con_Existencia[[#This Row],[EXISTENCIA]]</f>
        <v>14.621052649999999</v>
      </c>
      <c r="I151" s="1">
        <f>IF(ISERROR(MATCH(Tabla_Items_Con_Existencia[[#This Row],[CODIGO]],Tabla_Items_Activos[CODIGO],0)),0,1)</f>
        <v>0</v>
      </c>
    </row>
    <row r="152" spans="1:9">
      <c r="A152" s="2" t="s">
        <v>6760</v>
      </c>
      <c r="B152" s="2" t="s">
        <v>40</v>
      </c>
      <c r="C152" s="2" t="s">
        <v>1315</v>
      </c>
      <c r="D152" s="2" t="s">
        <v>5170</v>
      </c>
      <c r="E152" s="2" t="s">
        <v>5168</v>
      </c>
      <c r="F152" s="2">
        <v>2.9242105299999999</v>
      </c>
      <c r="G152" s="2">
        <v>5</v>
      </c>
      <c r="H152" s="2">
        <f>Tabla_Items_Con_Existencia[[#This Row],[COSTO]]*Tabla_Items_Con_Existencia[[#This Row],[EXISTENCIA]]</f>
        <v>14.621052649999999</v>
      </c>
      <c r="I152" s="1">
        <f>IF(ISERROR(MATCH(Tabla_Items_Con_Existencia[[#This Row],[CODIGO]],Tabla_Items_Activos[CODIGO],0)),0,1)</f>
        <v>0</v>
      </c>
    </row>
    <row r="153" spans="1:9">
      <c r="A153" s="2" t="s">
        <v>6760</v>
      </c>
      <c r="B153" s="2" t="s">
        <v>41</v>
      </c>
      <c r="C153" s="2" t="s">
        <v>1316</v>
      </c>
      <c r="D153" s="2" t="s">
        <v>5171</v>
      </c>
      <c r="E153" s="2" t="s">
        <v>5168</v>
      </c>
      <c r="F153" s="2">
        <v>9.2870000000000008</v>
      </c>
      <c r="G153" s="2">
        <v>9</v>
      </c>
      <c r="H153" s="2">
        <f>Tabla_Items_Con_Existencia[[#This Row],[COSTO]]*Tabla_Items_Con_Existencia[[#This Row],[EXISTENCIA]]</f>
        <v>83.583000000000013</v>
      </c>
      <c r="I153" s="1">
        <f>IF(ISERROR(MATCH(Tabla_Items_Con_Existencia[[#This Row],[CODIGO]],Tabla_Items_Activos[CODIGO],0)),0,1)</f>
        <v>0</v>
      </c>
    </row>
    <row r="154" spans="1:9">
      <c r="A154" s="2" t="s">
        <v>6760</v>
      </c>
      <c r="B154" s="2" t="s">
        <v>43</v>
      </c>
      <c r="C154" s="2" t="s">
        <v>1317</v>
      </c>
      <c r="D154" s="2" t="s">
        <v>5174</v>
      </c>
      <c r="E154" s="2" t="s">
        <v>5168</v>
      </c>
      <c r="F154" s="2">
        <v>10.73042105</v>
      </c>
      <c r="G154" s="2">
        <v>1</v>
      </c>
      <c r="H154" s="2">
        <f>Tabla_Items_Con_Existencia[[#This Row],[COSTO]]*Tabla_Items_Con_Existencia[[#This Row],[EXISTENCIA]]</f>
        <v>10.73042105</v>
      </c>
      <c r="I154" s="1">
        <f>IF(ISERROR(MATCH(Tabla_Items_Con_Existencia[[#This Row],[CODIGO]],Tabla_Items_Activos[CODIGO],0)),0,1)</f>
        <v>0</v>
      </c>
    </row>
    <row r="155" spans="1:9">
      <c r="A155" s="2" t="s">
        <v>6761</v>
      </c>
      <c r="B155" s="2" t="s">
        <v>43</v>
      </c>
      <c r="C155" s="2" t="s">
        <v>1317</v>
      </c>
      <c r="D155" s="2" t="s">
        <v>5174</v>
      </c>
      <c r="E155" s="2" t="s">
        <v>5168</v>
      </c>
      <c r="F155" s="2">
        <v>10.73042105</v>
      </c>
      <c r="G155" s="2">
        <v>1</v>
      </c>
      <c r="H155" s="2">
        <f>Tabla_Items_Con_Existencia[[#This Row],[COSTO]]*Tabla_Items_Con_Existencia[[#This Row],[EXISTENCIA]]</f>
        <v>10.73042105</v>
      </c>
      <c r="I155" s="1">
        <f>IF(ISERROR(MATCH(Tabla_Items_Con_Existencia[[#This Row],[CODIGO]],Tabla_Items_Activos[CODIGO],0)),0,1)</f>
        <v>0</v>
      </c>
    </row>
    <row r="156" spans="1:9">
      <c r="A156" s="2" t="s">
        <v>6760</v>
      </c>
      <c r="B156" s="2" t="s">
        <v>1318</v>
      </c>
      <c r="C156" s="2" t="s">
        <v>1319</v>
      </c>
      <c r="D156" s="2" t="s">
        <v>5180</v>
      </c>
      <c r="E156" s="2" t="s">
        <v>5168</v>
      </c>
      <c r="F156" s="2">
        <v>70.819000000000003</v>
      </c>
      <c r="G156" s="2">
        <v>5</v>
      </c>
      <c r="H156" s="2">
        <f>Tabla_Items_Con_Existencia[[#This Row],[COSTO]]*Tabla_Items_Con_Existencia[[#This Row],[EXISTENCIA]]</f>
        <v>354.09500000000003</v>
      </c>
      <c r="I156" s="1">
        <f>IF(ISERROR(MATCH(Tabla_Items_Con_Existencia[[#This Row],[CODIGO]],Tabla_Items_Activos[CODIGO],0)),0,1)</f>
        <v>0</v>
      </c>
    </row>
    <row r="157" spans="1:9">
      <c r="A157" s="2" t="s">
        <v>6760</v>
      </c>
      <c r="B157" s="2" t="s">
        <v>1320</v>
      </c>
      <c r="C157" s="2" t="s">
        <v>1321</v>
      </c>
      <c r="D157" s="2" t="s">
        <v>5224</v>
      </c>
      <c r="E157" s="2" t="s">
        <v>5168</v>
      </c>
      <c r="F157" s="2">
        <v>124.46204736999999</v>
      </c>
      <c r="G157" s="2">
        <v>8</v>
      </c>
      <c r="H157" s="2">
        <f>Tabla_Items_Con_Existencia[[#This Row],[COSTO]]*Tabla_Items_Con_Existencia[[#This Row],[EXISTENCIA]]</f>
        <v>995.69637895999995</v>
      </c>
      <c r="I157" s="1">
        <f>IF(ISERROR(MATCH(Tabla_Items_Con_Existencia[[#This Row],[CODIGO]],Tabla_Items_Activos[CODIGO],0)),0,1)</f>
        <v>0</v>
      </c>
    </row>
    <row r="158" spans="1:9">
      <c r="A158" s="2" t="s">
        <v>6761</v>
      </c>
      <c r="B158" s="2" t="s">
        <v>1320</v>
      </c>
      <c r="C158" s="2" t="s">
        <v>1321</v>
      </c>
      <c r="D158" s="2" t="s">
        <v>5224</v>
      </c>
      <c r="E158" s="2" t="s">
        <v>5168</v>
      </c>
      <c r="F158" s="2">
        <v>124.46204736999999</v>
      </c>
      <c r="G158" s="2">
        <v>8</v>
      </c>
      <c r="H158" s="2">
        <f>Tabla_Items_Con_Existencia[[#This Row],[COSTO]]*Tabla_Items_Con_Existencia[[#This Row],[EXISTENCIA]]</f>
        <v>995.69637895999995</v>
      </c>
      <c r="I158" s="1">
        <f>IF(ISERROR(MATCH(Tabla_Items_Con_Existencia[[#This Row],[CODIGO]],Tabla_Items_Activos[CODIGO],0)),0,1)</f>
        <v>0</v>
      </c>
    </row>
    <row r="159" spans="1:9">
      <c r="A159" s="2" t="s">
        <v>6760</v>
      </c>
      <c r="B159" s="2" t="s">
        <v>45</v>
      </c>
      <c r="C159" s="2" t="s">
        <v>1322</v>
      </c>
      <c r="D159" s="2" t="s">
        <v>5181</v>
      </c>
      <c r="E159" s="2" t="s">
        <v>5168</v>
      </c>
      <c r="F159" s="2">
        <v>670.42105262999996</v>
      </c>
      <c r="G159" s="2">
        <v>1</v>
      </c>
      <c r="H159" s="2">
        <f>Tabla_Items_Con_Existencia[[#This Row],[COSTO]]*Tabla_Items_Con_Existencia[[#This Row],[EXISTENCIA]]</f>
        <v>670.42105262999996</v>
      </c>
      <c r="I159" s="1">
        <f>IF(ISERROR(MATCH(Tabla_Items_Con_Existencia[[#This Row],[CODIGO]],Tabla_Items_Activos[CODIGO],0)),0,1)</f>
        <v>0</v>
      </c>
    </row>
    <row r="160" spans="1:9">
      <c r="A160" s="2" t="s">
        <v>6761</v>
      </c>
      <c r="B160" s="2" t="s">
        <v>45</v>
      </c>
      <c r="C160" s="2" t="s">
        <v>1322</v>
      </c>
      <c r="D160" s="2" t="s">
        <v>5181</v>
      </c>
      <c r="E160" s="2" t="s">
        <v>5168</v>
      </c>
      <c r="F160" s="2">
        <v>670.42105262999996</v>
      </c>
      <c r="G160" s="2">
        <v>1</v>
      </c>
      <c r="H160" s="2">
        <f>Tabla_Items_Con_Existencia[[#This Row],[COSTO]]*Tabla_Items_Con_Existencia[[#This Row],[EXISTENCIA]]</f>
        <v>670.42105262999996</v>
      </c>
      <c r="I160" s="1">
        <f>IF(ISERROR(MATCH(Tabla_Items_Con_Existencia[[#This Row],[CODIGO]],Tabla_Items_Activos[CODIGO],0)),0,1)</f>
        <v>0</v>
      </c>
    </row>
    <row r="161" spans="1:9">
      <c r="A161" s="2" t="s">
        <v>6760</v>
      </c>
      <c r="B161" s="2" t="s">
        <v>48</v>
      </c>
      <c r="C161" s="2" t="s">
        <v>1324</v>
      </c>
      <c r="D161" s="2" t="s">
        <v>5174</v>
      </c>
      <c r="E161" s="2" t="s">
        <v>5168</v>
      </c>
      <c r="F161" s="2">
        <v>44.420999999999999</v>
      </c>
      <c r="G161" s="2">
        <v>8</v>
      </c>
      <c r="H161" s="2">
        <f>Tabla_Items_Con_Existencia[[#This Row],[COSTO]]*Tabla_Items_Con_Existencia[[#This Row],[EXISTENCIA]]</f>
        <v>355.36799999999999</v>
      </c>
      <c r="I161" s="1">
        <f>IF(ISERROR(MATCH(Tabla_Items_Con_Existencia[[#This Row],[CODIGO]],Tabla_Items_Activos[CODIGO],0)),0,1)</f>
        <v>0</v>
      </c>
    </row>
    <row r="162" spans="1:9">
      <c r="A162" s="2" t="s">
        <v>6760</v>
      </c>
      <c r="B162" s="2" t="s">
        <v>1325</v>
      </c>
      <c r="C162" s="2" t="s">
        <v>1326</v>
      </c>
      <c r="D162" s="2" t="s">
        <v>5174</v>
      </c>
      <c r="E162" s="2" t="s">
        <v>5168</v>
      </c>
      <c r="F162" s="2">
        <v>32.228000000000002</v>
      </c>
      <c r="G162" s="2">
        <v>5</v>
      </c>
      <c r="H162" s="2">
        <f>Tabla_Items_Con_Existencia[[#This Row],[COSTO]]*Tabla_Items_Con_Existencia[[#This Row],[EXISTENCIA]]</f>
        <v>161.14000000000001</v>
      </c>
      <c r="I162" s="1">
        <f>IF(ISERROR(MATCH(Tabla_Items_Con_Existencia[[#This Row],[CODIGO]],Tabla_Items_Activos[CODIGO],0)),0,1)</f>
        <v>0</v>
      </c>
    </row>
    <row r="163" spans="1:9">
      <c r="A163" s="2" t="s">
        <v>6760</v>
      </c>
      <c r="B163" s="2" t="s">
        <v>49</v>
      </c>
      <c r="C163" s="2" t="s">
        <v>1327</v>
      </c>
      <c r="D163" s="2" t="s">
        <v>5157</v>
      </c>
      <c r="E163" s="2" t="s">
        <v>5168</v>
      </c>
      <c r="F163" s="2">
        <v>32.228000000000002</v>
      </c>
      <c r="G163" s="2">
        <v>5</v>
      </c>
      <c r="H163" s="2">
        <f>Tabla_Items_Con_Existencia[[#This Row],[COSTO]]*Tabla_Items_Con_Existencia[[#This Row],[EXISTENCIA]]</f>
        <v>161.14000000000001</v>
      </c>
      <c r="I163" s="1">
        <f>IF(ISERROR(MATCH(Tabla_Items_Con_Existencia[[#This Row],[CODIGO]],Tabla_Items_Activos[CODIGO],0)),0,1)</f>
        <v>0</v>
      </c>
    </row>
    <row r="164" spans="1:9">
      <c r="A164" s="2" t="s">
        <v>6760</v>
      </c>
      <c r="B164" s="2" t="s">
        <v>50</v>
      </c>
      <c r="C164" s="2" t="s">
        <v>1328</v>
      </c>
      <c r="D164" s="2" t="s">
        <v>5174</v>
      </c>
      <c r="E164" s="2" t="s">
        <v>5168</v>
      </c>
      <c r="F164" s="2">
        <v>65.608000000000004</v>
      </c>
      <c r="G164" s="2">
        <v>2</v>
      </c>
      <c r="H164" s="2">
        <f>Tabla_Items_Con_Existencia[[#This Row],[COSTO]]*Tabla_Items_Con_Existencia[[#This Row],[EXISTENCIA]]</f>
        <v>131.21600000000001</v>
      </c>
      <c r="I164" s="1">
        <f>IF(ISERROR(MATCH(Tabla_Items_Con_Existencia[[#This Row],[CODIGO]],Tabla_Items_Activos[CODIGO],0)),0,1)</f>
        <v>0</v>
      </c>
    </row>
    <row r="165" spans="1:9">
      <c r="A165" s="2" t="s">
        <v>6760</v>
      </c>
      <c r="B165" s="2" t="s">
        <v>51</v>
      </c>
      <c r="C165" s="2" t="s">
        <v>1329</v>
      </c>
      <c r="D165" s="2" t="s">
        <v>5174</v>
      </c>
      <c r="E165" s="2" t="s">
        <v>5168</v>
      </c>
      <c r="F165" s="2">
        <v>2.1704736800000002</v>
      </c>
      <c r="G165" s="2">
        <v>15</v>
      </c>
      <c r="H165" s="2">
        <f>Tabla_Items_Con_Existencia[[#This Row],[COSTO]]*Tabla_Items_Con_Existencia[[#This Row],[EXISTENCIA]]</f>
        <v>32.557105200000002</v>
      </c>
      <c r="I165" s="1">
        <f>IF(ISERROR(MATCH(Tabla_Items_Con_Existencia[[#This Row],[CODIGO]],Tabla_Items_Activos[CODIGO],0)),0,1)</f>
        <v>0</v>
      </c>
    </row>
    <row r="166" spans="1:9">
      <c r="A166" s="2" t="s">
        <v>6761</v>
      </c>
      <c r="B166" s="2" t="s">
        <v>51</v>
      </c>
      <c r="C166" s="2" t="s">
        <v>1329</v>
      </c>
      <c r="D166" s="2" t="s">
        <v>5174</v>
      </c>
      <c r="E166" s="2" t="s">
        <v>5168</v>
      </c>
      <c r="F166" s="2">
        <v>2.1704736800000002</v>
      </c>
      <c r="G166" s="2">
        <v>15</v>
      </c>
      <c r="H166" s="2">
        <f>Tabla_Items_Con_Existencia[[#This Row],[COSTO]]*Tabla_Items_Con_Existencia[[#This Row],[EXISTENCIA]]</f>
        <v>32.557105200000002</v>
      </c>
      <c r="I166" s="1">
        <f>IF(ISERROR(MATCH(Tabla_Items_Con_Existencia[[#This Row],[CODIGO]],Tabla_Items_Activos[CODIGO],0)),0,1)</f>
        <v>0</v>
      </c>
    </row>
    <row r="167" spans="1:9">
      <c r="A167" s="2" t="s">
        <v>6760</v>
      </c>
      <c r="B167" s="2" t="s">
        <v>52</v>
      </c>
      <c r="C167" s="2" t="s">
        <v>1330</v>
      </c>
      <c r="D167" s="2" t="s">
        <v>6035</v>
      </c>
      <c r="E167" s="2" t="s">
        <v>5168</v>
      </c>
      <c r="F167" s="2">
        <v>129.22736842</v>
      </c>
      <c r="G167" s="2">
        <v>1</v>
      </c>
      <c r="H167" s="2">
        <f>Tabla_Items_Con_Existencia[[#This Row],[COSTO]]*Tabla_Items_Con_Existencia[[#This Row],[EXISTENCIA]]</f>
        <v>129.22736842</v>
      </c>
      <c r="I167" s="1">
        <f>IF(ISERROR(MATCH(Tabla_Items_Con_Existencia[[#This Row],[CODIGO]],Tabla_Items_Activos[CODIGO],0)),0,1)</f>
        <v>0</v>
      </c>
    </row>
    <row r="168" spans="1:9">
      <c r="A168" s="2" t="s">
        <v>6761</v>
      </c>
      <c r="B168" s="2" t="s">
        <v>52</v>
      </c>
      <c r="C168" s="2" t="s">
        <v>1330</v>
      </c>
      <c r="D168" s="2" t="s">
        <v>6035</v>
      </c>
      <c r="E168" s="2" t="s">
        <v>5168</v>
      </c>
      <c r="F168" s="2">
        <v>129.22736842</v>
      </c>
      <c r="G168" s="2">
        <v>1</v>
      </c>
      <c r="H168" s="2">
        <f>Tabla_Items_Con_Existencia[[#This Row],[COSTO]]*Tabla_Items_Con_Existencia[[#This Row],[EXISTENCIA]]</f>
        <v>129.22736842</v>
      </c>
      <c r="I168" s="1">
        <f>IF(ISERROR(MATCH(Tabla_Items_Con_Existencia[[#This Row],[CODIGO]],Tabla_Items_Activos[CODIGO],0)),0,1)</f>
        <v>0</v>
      </c>
    </row>
    <row r="169" spans="1:9">
      <c r="A169" s="2" t="s">
        <v>6760</v>
      </c>
      <c r="B169" s="2" t="s">
        <v>1331</v>
      </c>
      <c r="C169" s="2" t="s">
        <v>1332</v>
      </c>
      <c r="D169" s="2" t="s">
        <v>5157</v>
      </c>
      <c r="E169" s="2" t="s">
        <v>5192</v>
      </c>
      <c r="F169" s="2">
        <v>19.809999999999999</v>
      </c>
      <c r="G169" s="2">
        <v>1</v>
      </c>
      <c r="H169" s="2">
        <f>Tabla_Items_Con_Existencia[[#This Row],[COSTO]]*Tabla_Items_Con_Existencia[[#This Row],[EXISTENCIA]]</f>
        <v>19.809999999999999</v>
      </c>
      <c r="I169" s="1">
        <f>IF(ISERROR(MATCH(Tabla_Items_Con_Existencia[[#This Row],[CODIGO]],Tabla_Items_Activos[CODIGO],0)),0,1)</f>
        <v>0</v>
      </c>
    </row>
    <row r="170" spans="1:9">
      <c r="A170" s="2" t="s">
        <v>6760</v>
      </c>
      <c r="B170" s="2" t="s">
        <v>6363</v>
      </c>
      <c r="C170" s="2" t="s">
        <v>5012</v>
      </c>
      <c r="D170" s="2" t="s">
        <v>5170</v>
      </c>
      <c r="E170" s="2" t="s">
        <v>5168</v>
      </c>
      <c r="F170" s="2">
        <v>5.5359999999999996</v>
      </c>
      <c r="G170" s="2">
        <v>30</v>
      </c>
      <c r="H170" s="2">
        <f>Tabla_Items_Con_Existencia[[#This Row],[COSTO]]*Tabla_Items_Con_Existencia[[#This Row],[EXISTENCIA]]</f>
        <v>166.07999999999998</v>
      </c>
      <c r="I170" s="1">
        <f>IF(ISERROR(MATCH(Tabla_Items_Con_Existencia[[#This Row],[CODIGO]],Tabla_Items_Activos[CODIGO],0)),0,1)</f>
        <v>0</v>
      </c>
    </row>
    <row r="171" spans="1:9">
      <c r="A171" s="2" t="s">
        <v>6760</v>
      </c>
      <c r="B171" s="2" t="s">
        <v>1333</v>
      </c>
      <c r="C171" s="2" t="s">
        <v>1334</v>
      </c>
      <c r="D171" s="2" t="s">
        <v>5174</v>
      </c>
      <c r="E171" s="2" t="s">
        <v>5168</v>
      </c>
      <c r="F171" s="2">
        <v>119.12</v>
      </c>
      <c r="G171" s="2">
        <v>1</v>
      </c>
      <c r="H171" s="2">
        <f>Tabla_Items_Con_Existencia[[#This Row],[COSTO]]*Tabla_Items_Con_Existencia[[#This Row],[EXISTENCIA]]</f>
        <v>119.12</v>
      </c>
      <c r="I171" s="1">
        <f>IF(ISERROR(MATCH(Tabla_Items_Con_Existencia[[#This Row],[CODIGO]],Tabla_Items_Activos[CODIGO],0)),0,1)</f>
        <v>0</v>
      </c>
    </row>
    <row r="172" spans="1:9">
      <c r="A172" s="2" t="s">
        <v>6760</v>
      </c>
      <c r="B172" s="2" t="s">
        <v>1335</v>
      </c>
      <c r="C172" s="2" t="s">
        <v>1336</v>
      </c>
      <c r="D172" s="2" t="s">
        <v>5174</v>
      </c>
      <c r="E172" s="2" t="s">
        <v>5168</v>
      </c>
      <c r="F172" s="2">
        <v>109.69</v>
      </c>
      <c r="G172" s="2">
        <v>1</v>
      </c>
      <c r="H172" s="2">
        <f>Tabla_Items_Con_Existencia[[#This Row],[COSTO]]*Tabla_Items_Con_Existencia[[#This Row],[EXISTENCIA]]</f>
        <v>109.69</v>
      </c>
      <c r="I172" s="1">
        <f>IF(ISERROR(MATCH(Tabla_Items_Con_Existencia[[#This Row],[CODIGO]],Tabla_Items_Activos[CODIGO],0)),0,1)</f>
        <v>0</v>
      </c>
    </row>
    <row r="173" spans="1:9">
      <c r="A173" s="2" t="s">
        <v>6760</v>
      </c>
      <c r="B173" s="2" t="s">
        <v>1337</v>
      </c>
      <c r="C173" s="2" t="s">
        <v>1338</v>
      </c>
      <c r="D173" s="2" t="s">
        <v>5170</v>
      </c>
      <c r="E173" s="2" t="s">
        <v>5168</v>
      </c>
      <c r="F173" s="2">
        <v>25.95</v>
      </c>
      <c r="G173" s="2">
        <v>1</v>
      </c>
      <c r="H173" s="2">
        <f>Tabla_Items_Con_Existencia[[#This Row],[COSTO]]*Tabla_Items_Con_Existencia[[#This Row],[EXISTENCIA]]</f>
        <v>25.95</v>
      </c>
      <c r="I173" s="1">
        <f>IF(ISERROR(MATCH(Tabla_Items_Con_Existencia[[#This Row],[CODIGO]],Tabla_Items_Activos[CODIGO],0)),0,1)</f>
        <v>0</v>
      </c>
    </row>
    <row r="174" spans="1:9">
      <c r="A174" s="2" t="s">
        <v>6760</v>
      </c>
      <c r="B174" s="2" t="s">
        <v>53</v>
      </c>
      <c r="C174" s="2" t="s">
        <v>1339</v>
      </c>
      <c r="D174" s="2" t="s">
        <v>5769</v>
      </c>
      <c r="E174" s="2" t="s">
        <v>5168</v>
      </c>
      <c r="F174" s="2">
        <v>27.610947370000002</v>
      </c>
      <c r="G174" s="2">
        <v>1</v>
      </c>
      <c r="H174" s="2">
        <f>Tabla_Items_Con_Existencia[[#This Row],[COSTO]]*Tabla_Items_Con_Existencia[[#This Row],[EXISTENCIA]]</f>
        <v>27.610947370000002</v>
      </c>
      <c r="I174" s="1">
        <f>IF(ISERROR(MATCH(Tabla_Items_Con_Existencia[[#This Row],[CODIGO]],Tabla_Items_Activos[CODIGO],0)),0,1)</f>
        <v>0</v>
      </c>
    </row>
    <row r="175" spans="1:9">
      <c r="A175" s="2" t="s">
        <v>6761</v>
      </c>
      <c r="B175" s="2" t="s">
        <v>53</v>
      </c>
      <c r="C175" s="2" t="s">
        <v>1339</v>
      </c>
      <c r="D175" s="2" t="s">
        <v>5769</v>
      </c>
      <c r="E175" s="2" t="s">
        <v>5168</v>
      </c>
      <c r="F175" s="2">
        <v>27.610947370000002</v>
      </c>
      <c r="G175" s="2">
        <v>1</v>
      </c>
      <c r="H175" s="2">
        <f>Tabla_Items_Con_Existencia[[#This Row],[COSTO]]*Tabla_Items_Con_Existencia[[#This Row],[EXISTENCIA]]</f>
        <v>27.610947370000002</v>
      </c>
      <c r="I175" s="1">
        <f>IF(ISERROR(MATCH(Tabla_Items_Con_Existencia[[#This Row],[CODIGO]],Tabla_Items_Activos[CODIGO],0)),0,1)</f>
        <v>0</v>
      </c>
    </row>
    <row r="176" spans="1:9">
      <c r="A176" s="2" t="s">
        <v>6760</v>
      </c>
      <c r="B176" s="2" t="s">
        <v>55</v>
      </c>
      <c r="C176" s="2" t="s">
        <v>1340</v>
      </c>
      <c r="D176" s="2" t="s">
        <v>5174</v>
      </c>
      <c r="E176" s="2" t="s">
        <v>5168</v>
      </c>
      <c r="F176" s="2">
        <v>215.84</v>
      </c>
      <c r="G176" s="2">
        <v>2</v>
      </c>
      <c r="H176" s="2">
        <f>Tabla_Items_Con_Existencia[[#This Row],[COSTO]]*Tabla_Items_Con_Existencia[[#This Row],[EXISTENCIA]]</f>
        <v>431.68</v>
      </c>
      <c r="I176" s="1">
        <f>IF(ISERROR(MATCH(Tabla_Items_Con_Existencia[[#This Row],[CODIGO]],Tabla_Items_Activos[CODIGO],0)),0,1)</f>
        <v>0</v>
      </c>
    </row>
    <row r="177" spans="1:9">
      <c r="A177" s="2" t="s">
        <v>6760</v>
      </c>
      <c r="B177" s="2" t="s">
        <v>56</v>
      </c>
      <c r="C177" s="2" t="s">
        <v>1343</v>
      </c>
      <c r="D177" s="2" t="s">
        <v>5171</v>
      </c>
      <c r="E177" s="2" t="s">
        <v>5168</v>
      </c>
      <c r="F177" s="2">
        <v>207.02</v>
      </c>
      <c r="G177" s="2">
        <v>1</v>
      </c>
      <c r="H177" s="2">
        <f>Tabla_Items_Con_Existencia[[#This Row],[COSTO]]*Tabla_Items_Con_Existencia[[#This Row],[EXISTENCIA]]</f>
        <v>207.02</v>
      </c>
      <c r="I177" s="1">
        <f>IF(ISERROR(MATCH(Tabla_Items_Con_Existencia[[#This Row],[CODIGO]],Tabla_Items_Activos[CODIGO],0)),0,1)</f>
        <v>0</v>
      </c>
    </row>
    <row r="178" spans="1:9">
      <c r="A178" s="2" t="s">
        <v>6760</v>
      </c>
      <c r="B178" s="2" t="s">
        <v>1345</v>
      </c>
      <c r="C178" s="2" t="s">
        <v>1346</v>
      </c>
      <c r="D178" s="2" t="s">
        <v>5176</v>
      </c>
      <c r="E178" s="2" t="s">
        <v>5168</v>
      </c>
      <c r="F178" s="2">
        <v>653.46842104999996</v>
      </c>
      <c r="G178" s="2">
        <v>1</v>
      </c>
      <c r="H178" s="2">
        <f>Tabla_Items_Con_Existencia[[#This Row],[COSTO]]*Tabla_Items_Con_Existencia[[#This Row],[EXISTENCIA]]</f>
        <v>653.46842104999996</v>
      </c>
      <c r="I178" s="1">
        <f>IF(ISERROR(MATCH(Tabla_Items_Con_Existencia[[#This Row],[CODIGO]],Tabla_Items_Activos[CODIGO],0)),0,1)</f>
        <v>0</v>
      </c>
    </row>
    <row r="179" spans="1:9">
      <c r="A179" s="2" t="s">
        <v>6761</v>
      </c>
      <c r="B179" s="2" t="s">
        <v>1345</v>
      </c>
      <c r="C179" s="2" t="s">
        <v>1346</v>
      </c>
      <c r="D179" s="2" t="s">
        <v>5176</v>
      </c>
      <c r="E179" s="2" t="s">
        <v>5168</v>
      </c>
      <c r="F179" s="2">
        <v>653.46842104999996</v>
      </c>
      <c r="G179" s="2">
        <v>1</v>
      </c>
      <c r="H179" s="2">
        <f>Tabla_Items_Con_Existencia[[#This Row],[COSTO]]*Tabla_Items_Con_Existencia[[#This Row],[EXISTENCIA]]</f>
        <v>653.46842104999996</v>
      </c>
      <c r="I179" s="1">
        <f>IF(ISERROR(MATCH(Tabla_Items_Con_Existencia[[#This Row],[CODIGO]],Tabla_Items_Activos[CODIGO],0)),0,1)</f>
        <v>0</v>
      </c>
    </row>
    <row r="180" spans="1:9">
      <c r="A180" s="2" t="s">
        <v>6760</v>
      </c>
      <c r="B180" s="2" t="s">
        <v>58</v>
      </c>
      <c r="C180" s="2" t="s">
        <v>1347</v>
      </c>
      <c r="D180" s="2" t="s">
        <v>5176</v>
      </c>
      <c r="E180" s="2" t="s">
        <v>5168</v>
      </c>
      <c r="F180" s="2">
        <v>905.41894736999996</v>
      </c>
      <c r="G180" s="2">
        <v>1</v>
      </c>
      <c r="H180" s="2">
        <f>Tabla_Items_Con_Existencia[[#This Row],[COSTO]]*Tabla_Items_Con_Existencia[[#This Row],[EXISTENCIA]]</f>
        <v>905.41894736999996</v>
      </c>
      <c r="I180" s="1">
        <f>IF(ISERROR(MATCH(Tabla_Items_Con_Existencia[[#This Row],[CODIGO]],Tabla_Items_Activos[CODIGO],0)),0,1)</f>
        <v>0</v>
      </c>
    </row>
    <row r="181" spans="1:9">
      <c r="A181" s="2" t="s">
        <v>6761</v>
      </c>
      <c r="B181" s="2" t="s">
        <v>58</v>
      </c>
      <c r="C181" s="2" t="s">
        <v>1347</v>
      </c>
      <c r="D181" s="2" t="s">
        <v>5176</v>
      </c>
      <c r="E181" s="2" t="s">
        <v>5168</v>
      </c>
      <c r="F181" s="2">
        <v>905.41894736999996</v>
      </c>
      <c r="G181" s="2">
        <v>1</v>
      </c>
      <c r="H181" s="2">
        <f>Tabla_Items_Con_Existencia[[#This Row],[COSTO]]*Tabla_Items_Con_Existencia[[#This Row],[EXISTENCIA]]</f>
        <v>905.41894736999996</v>
      </c>
      <c r="I181" s="1">
        <f>IF(ISERROR(MATCH(Tabla_Items_Con_Existencia[[#This Row],[CODIGO]],Tabla_Items_Activos[CODIGO],0)),0,1)</f>
        <v>0</v>
      </c>
    </row>
    <row r="182" spans="1:9">
      <c r="A182" s="2" t="s">
        <v>6760</v>
      </c>
      <c r="B182" s="2" t="s">
        <v>59</v>
      </c>
      <c r="C182" s="2" t="s">
        <v>1348</v>
      </c>
      <c r="D182" s="2" t="s">
        <v>5176</v>
      </c>
      <c r="E182" s="2" t="s">
        <v>5168</v>
      </c>
      <c r="F182" s="2">
        <v>435.05416842</v>
      </c>
      <c r="G182" s="2">
        <v>3</v>
      </c>
      <c r="H182" s="2">
        <f>Tabla_Items_Con_Existencia[[#This Row],[COSTO]]*Tabla_Items_Con_Existencia[[#This Row],[EXISTENCIA]]</f>
        <v>1305.16250526</v>
      </c>
      <c r="I182" s="1">
        <f>IF(ISERROR(MATCH(Tabla_Items_Con_Existencia[[#This Row],[CODIGO]],Tabla_Items_Activos[CODIGO],0)),0,1)</f>
        <v>0</v>
      </c>
    </row>
    <row r="183" spans="1:9">
      <c r="A183" s="2" t="s">
        <v>6761</v>
      </c>
      <c r="B183" s="2" t="s">
        <v>59</v>
      </c>
      <c r="C183" s="2" t="s">
        <v>1348</v>
      </c>
      <c r="D183" s="2" t="s">
        <v>5176</v>
      </c>
      <c r="E183" s="2" t="s">
        <v>5168</v>
      </c>
      <c r="F183" s="2">
        <v>435.05416842</v>
      </c>
      <c r="G183" s="2">
        <v>3</v>
      </c>
      <c r="H183" s="2">
        <f>Tabla_Items_Con_Existencia[[#This Row],[COSTO]]*Tabla_Items_Con_Existencia[[#This Row],[EXISTENCIA]]</f>
        <v>1305.16250526</v>
      </c>
      <c r="I183" s="1">
        <f>IF(ISERROR(MATCH(Tabla_Items_Con_Existencia[[#This Row],[CODIGO]],Tabla_Items_Activos[CODIGO],0)),0,1)</f>
        <v>0</v>
      </c>
    </row>
    <row r="184" spans="1:9">
      <c r="A184" s="2" t="s">
        <v>6760</v>
      </c>
      <c r="B184" s="2" t="s">
        <v>60</v>
      </c>
      <c r="C184" s="2" t="s">
        <v>1349</v>
      </c>
      <c r="D184" s="2" t="s">
        <v>5176</v>
      </c>
      <c r="E184" s="2" t="s">
        <v>5168</v>
      </c>
      <c r="F184" s="2">
        <v>687.08157894999999</v>
      </c>
      <c r="G184" s="2">
        <v>3</v>
      </c>
      <c r="H184" s="2">
        <f>Tabla_Items_Con_Existencia[[#This Row],[COSTO]]*Tabla_Items_Con_Existencia[[#This Row],[EXISTENCIA]]</f>
        <v>2061.2447368499998</v>
      </c>
      <c r="I184" s="1">
        <f>IF(ISERROR(MATCH(Tabla_Items_Con_Existencia[[#This Row],[CODIGO]],Tabla_Items_Activos[CODIGO],0)),0,1)</f>
        <v>0</v>
      </c>
    </row>
    <row r="185" spans="1:9">
      <c r="A185" s="2" t="s">
        <v>6761</v>
      </c>
      <c r="B185" s="2" t="s">
        <v>60</v>
      </c>
      <c r="C185" s="2" t="s">
        <v>1349</v>
      </c>
      <c r="D185" s="2" t="s">
        <v>5176</v>
      </c>
      <c r="E185" s="2" t="s">
        <v>5168</v>
      </c>
      <c r="F185" s="2">
        <v>687.08157894999999</v>
      </c>
      <c r="G185" s="2">
        <v>3</v>
      </c>
      <c r="H185" s="2">
        <f>Tabla_Items_Con_Existencia[[#This Row],[COSTO]]*Tabla_Items_Con_Existencia[[#This Row],[EXISTENCIA]]</f>
        <v>2061.2447368499998</v>
      </c>
      <c r="I185" s="1">
        <f>IF(ISERROR(MATCH(Tabla_Items_Con_Existencia[[#This Row],[CODIGO]],Tabla_Items_Activos[CODIGO],0)),0,1)</f>
        <v>0</v>
      </c>
    </row>
    <row r="186" spans="1:9">
      <c r="A186" s="2" t="s">
        <v>6760</v>
      </c>
      <c r="B186" s="2" t="s">
        <v>61</v>
      </c>
      <c r="C186" s="2" t="s">
        <v>1352</v>
      </c>
      <c r="D186" s="2" t="s">
        <v>5172</v>
      </c>
      <c r="E186" s="2" t="s">
        <v>5168</v>
      </c>
      <c r="F186" s="2">
        <v>33.512999999999998</v>
      </c>
      <c r="G186" s="2">
        <v>3</v>
      </c>
      <c r="H186" s="2">
        <f>Tabla_Items_Con_Existencia[[#This Row],[COSTO]]*Tabla_Items_Con_Existencia[[#This Row],[EXISTENCIA]]</f>
        <v>100.53899999999999</v>
      </c>
      <c r="I186" s="1">
        <f>IF(ISERROR(MATCH(Tabla_Items_Con_Existencia[[#This Row],[CODIGO]],Tabla_Items_Activos[CODIGO],0)),0,1)</f>
        <v>0</v>
      </c>
    </row>
    <row r="187" spans="1:9">
      <c r="A187" s="2" t="s">
        <v>6760</v>
      </c>
      <c r="B187" s="2" t="s">
        <v>62</v>
      </c>
      <c r="C187" s="2" t="s">
        <v>1353</v>
      </c>
      <c r="D187" s="2" t="s">
        <v>5170</v>
      </c>
      <c r="E187" s="2" t="s">
        <v>5168</v>
      </c>
      <c r="F187" s="2">
        <v>5.0827368399999999</v>
      </c>
      <c r="G187" s="2">
        <v>20</v>
      </c>
      <c r="H187" s="2">
        <f>Tabla_Items_Con_Existencia[[#This Row],[COSTO]]*Tabla_Items_Con_Existencia[[#This Row],[EXISTENCIA]]</f>
        <v>101.65473679999999</v>
      </c>
      <c r="I187" s="1">
        <f>IF(ISERROR(MATCH(Tabla_Items_Con_Existencia[[#This Row],[CODIGO]],Tabla_Items_Activos[CODIGO],0)),0,1)</f>
        <v>0</v>
      </c>
    </row>
    <row r="188" spans="1:9">
      <c r="A188" s="2" t="s">
        <v>6761</v>
      </c>
      <c r="B188" s="2" t="s">
        <v>62</v>
      </c>
      <c r="C188" s="2" t="s">
        <v>1353</v>
      </c>
      <c r="D188" s="2" t="s">
        <v>5170</v>
      </c>
      <c r="E188" s="2" t="s">
        <v>5168</v>
      </c>
      <c r="F188" s="2">
        <v>5.0827368399999999</v>
      </c>
      <c r="G188" s="2">
        <v>20</v>
      </c>
      <c r="H188" s="2">
        <f>Tabla_Items_Con_Existencia[[#This Row],[COSTO]]*Tabla_Items_Con_Existencia[[#This Row],[EXISTENCIA]]</f>
        <v>101.65473679999999</v>
      </c>
      <c r="I188" s="1">
        <f>IF(ISERROR(MATCH(Tabla_Items_Con_Existencia[[#This Row],[CODIGO]],Tabla_Items_Activos[CODIGO],0)),0,1)</f>
        <v>0</v>
      </c>
    </row>
    <row r="189" spans="1:9">
      <c r="A189" s="2" t="s">
        <v>6760</v>
      </c>
      <c r="B189" s="2" t="s">
        <v>65</v>
      </c>
      <c r="C189" s="2" t="s">
        <v>1355</v>
      </c>
      <c r="D189" s="2" t="s">
        <v>5174</v>
      </c>
      <c r="E189" s="2" t="s">
        <v>5168</v>
      </c>
      <c r="F189" s="2">
        <v>70.755368419999996</v>
      </c>
      <c r="G189" s="2">
        <v>1</v>
      </c>
      <c r="H189" s="2">
        <f>Tabla_Items_Con_Existencia[[#This Row],[COSTO]]*Tabla_Items_Con_Existencia[[#This Row],[EXISTENCIA]]</f>
        <v>70.755368419999996</v>
      </c>
      <c r="I189" s="1">
        <f>IF(ISERROR(MATCH(Tabla_Items_Con_Existencia[[#This Row],[CODIGO]],Tabla_Items_Activos[CODIGO],0)),0,1)</f>
        <v>0</v>
      </c>
    </row>
    <row r="190" spans="1:9">
      <c r="A190" s="2" t="s">
        <v>6761</v>
      </c>
      <c r="B190" s="2" t="s">
        <v>65</v>
      </c>
      <c r="C190" s="2" t="s">
        <v>1355</v>
      </c>
      <c r="D190" s="2" t="s">
        <v>5174</v>
      </c>
      <c r="E190" s="2" t="s">
        <v>5168</v>
      </c>
      <c r="F190" s="2">
        <v>70.755368419999996</v>
      </c>
      <c r="G190" s="2">
        <v>1</v>
      </c>
      <c r="H190" s="2">
        <f>Tabla_Items_Con_Existencia[[#This Row],[COSTO]]*Tabla_Items_Con_Existencia[[#This Row],[EXISTENCIA]]</f>
        <v>70.755368419999996</v>
      </c>
      <c r="I190" s="1">
        <f>IF(ISERROR(MATCH(Tabla_Items_Con_Existencia[[#This Row],[CODIGO]],Tabla_Items_Activos[CODIGO],0)),0,1)</f>
        <v>0</v>
      </c>
    </row>
    <row r="191" spans="1:9">
      <c r="A191" s="2" t="s">
        <v>6760</v>
      </c>
      <c r="B191" s="2" t="s">
        <v>66</v>
      </c>
      <c r="C191" s="2" t="s">
        <v>1356</v>
      </c>
      <c r="D191" s="2" t="s">
        <v>5170</v>
      </c>
      <c r="E191" s="2" t="s">
        <v>5168</v>
      </c>
      <c r="F191" s="2">
        <v>24.469736839999999</v>
      </c>
      <c r="G191" s="2">
        <v>1</v>
      </c>
      <c r="H191" s="2">
        <f>Tabla_Items_Con_Existencia[[#This Row],[COSTO]]*Tabla_Items_Con_Existencia[[#This Row],[EXISTENCIA]]</f>
        <v>24.469736839999999</v>
      </c>
      <c r="I191" s="1">
        <f>IF(ISERROR(MATCH(Tabla_Items_Con_Existencia[[#This Row],[CODIGO]],Tabla_Items_Activos[CODIGO],0)),0,1)</f>
        <v>0</v>
      </c>
    </row>
    <row r="192" spans="1:9">
      <c r="A192" s="2" t="s">
        <v>6761</v>
      </c>
      <c r="B192" s="2" t="s">
        <v>66</v>
      </c>
      <c r="C192" s="2" t="s">
        <v>1356</v>
      </c>
      <c r="D192" s="2" t="s">
        <v>5170</v>
      </c>
      <c r="E192" s="2" t="s">
        <v>5168</v>
      </c>
      <c r="F192" s="2">
        <v>24.469736839999999</v>
      </c>
      <c r="G192" s="2">
        <v>1</v>
      </c>
      <c r="H192" s="2">
        <f>Tabla_Items_Con_Existencia[[#This Row],[COSTO]]*Tabla_Items_Con_Existencia[[#This Row],[EXISTENCIA]]</f>
        <v>24.469736839999999</v>
      </c>
      <c r="I192" s="1">
        <f>IF(ISERROR(MATCH(Tabla_Items_Con_Existencia[[#This Row],[CODIGO]],Tabla_Items_Activos[CODIGO],0)),0,1)</f>
        <v>0</v>
      </c>
    </row>
    <row r="193" spans="1:9">
      <c r="A193" s="2" t="s">
        <v>6760</v>
      </c>
      <c r="B193" s="2" t="s">
        <v>67</v>
      </c>
      <c r="C193" s="2" t="s">
        <v>1357</v>
      </c>
      <c r="D193" s="2" t="s">
        <v>5180</v>
      </c>
      <c r="E193" s="2" t="s">
        <v>5168</v>
      </c>
      <c r="F193" s="2">
        <v>22.716000000000001</v>
      </c>
      <c r="G193" s="2">
        <v>5</v>
      </c>
      <c r="H193" s="2">
        <f>Tabla_Items_Con_Existencia[[#This Row],[COSTO]]*Tabla_Items_Con_Existencia[[#This Row],[EXISTENCIA]]</f>
        <v>113.58000000000001</v>
      </c>
      <c r="I193" s="1">
        <f>IF(ISERROR(MATCH(Tabla_Items_Con_Existencia[[#This Row],[CODIGO]],Tabla_Items_Activos[CODIGO],0)),0,1)</f>
        <v>0</v>
      </c>
    </row>
    <row r="194" spans="1:9">
      <c r="A194" s="2" t="s">
        <v>6760</v>
      </c>
      <c r="B194" s="2" t="s">
        <v>1358</v>
      </c>
      <c r="C194" s="2" t="s">
        <v>1359</v>
      </c>
      <c r="D194" s="2" t="s">
        <v>5180</v>
      </c>
      <c r="E194" s="2" t="s">
        <v>5168</v>
      </c>
      <c r="F194" s="2">
        <v>102.005</v>
      </c>
      <c r="G194" s="2">
        <v>1</v>
      </c>
      <c r="H194" s="2">
        <f>Tabla_Items_Con_Existencia[[#This Row],[COSTO]]*Tabla_Items_Con_Existencia[[#This Row],[EXISTENCIA]]</f>
        <v>102.005</v>
      </c>
      <c r="I194" s="1">
        <f>IF(ISERROR(MATCH(Tabla_Items_Con_Existencia[[#This Row],[CODIGO]],Tabla_Items_Activos[CODIGO],0)),0,1)</f>
        <v>0</v>
      </c>
    </row>
    <row r="195" spans="1:9">
      <c r="A195" s="2" t="s">
        <v>6760</v>
      </c>
      <c r="B195" s="2" t="s">
        <v>1360</v>
      </c>
      <c r="C195" s="2" t="s">
        <v>1361</v>
      </c>
      <c r="D195" s="2" t="s">
        <v>5174</v>
      </c>
      <c r="E195" s="2" t="s">
        <v>5168</v>
      </c>
      <c r="F195" s="2">
        <v>43.72</v>
      </c>
      <c r="G195" s="2">
        <v>1</v>
      </c>
      <c r="H195" s="2">
        <f>Tabla_Items_Con_Existencia[[#This Row],[COSTO]]*Tabla_Items_Con_Existencia[[#This Row],[EXISTENCIA]]</f>
        <v>43.72</v>
      </c>
      <c r="I195" s="1">
        <f>IF(ISERROR(MATCH(Tabla_Items_Con_Existencia[[#This Row],[CODIGO]],Tabla_Items_Activos[CODIGO],0)),0,1)</f>
        <v>0</v>
      </c>
    </row>
    <row r="196" spans="1:9">
      <c r="A196" s="2" t="s">
        <v>6760</v>
      </c>
      <c r="B196" s="2" t="s">
        <v>1362</v>
      </c>
      <c r="C196" s="2" t="s">
        <v>1363</v>
      </c>
      <c r="D196" s="2" t="s">
        <v>5174</v>
      </c>
      <c r="E196" s="2" t="s">
        <v>5168</v>
      </c>
      <c r="F196" s="2">
        <v>56.466999999999999</v>
      </c>
      <c r="G196" s="2">
        <v>2</v>
      </c>
      <c r="H196" s="2">
        <f>Tabla_Items_Con_Existencia[[#This Row],[COSTO]]*Tabla_Items_Con_Existencia[[#This Row],[EXISTENCIA]]</f>
        <v>112.934</v>
      </c>
      <c r="I196" s="1">
        <f>IF(ISERROR(MATCH(Tabla_Items_Con_Existencia[[#This Row],[CODIGO]],Tabla_Items_Activos[CODIGO],0)),0,1)</f>
        <v>0</v>
      </c>
    </row>
    <row r="197" spans="1:9">
      <c r="A197" s="2" t="s">
        <v>6760</v>
      </c>
      <c r="B197" s="2" t="s">
        <v>68</v>
      </c>
      <c r="C197" s="2" t="s">
        <v>1364</v>
      </c>
      <c r="D197" s="2" t="s">
        <v>5170</v>
      </c>
      <c r="E197" s="2" t="s">
        <v>5168</v>
      </c>
      <c r="F197" s="2">
        <v>20.78</v>
      </c>
      <c r="G197" s="2">
        <v>6</v>
      </c>
      <c r="H197" s="2">
        <f>Tabla_Items_Con_Existencia[[#This Row],[COSTO]]*Tabla_Items_Con_Existencia[[#This Row],[EXISTENCIA]]</f>
        <v>124.68</v>
      </c>
      <c r="I197" s="1">
        <f>IF(ISERROR(MATCH(Tabla_Items_Con_Existencia[[#This Row],[CODIGO]],Tabla_Items_Activos[CODIGO],0)),0,1)</f>
        <v>0</v>
      </c>
    </row>
    <row r="198" spans="1:9">
      <c r="A198" s="2" t="s">
        <v>6761</v>
      </c>
      <c r="B198" s="2" t="s">
        <v>69</v>
      </c>
      <c r="C198" s="2" t="s">
        <v>1365</v>
      </c>
      <c r="D198" s="2" t="s">
        <v>5174</v>
      </c>
      <c r="E198" s="2" t="s">
        <v>5168</v>
      </c>
      <c r="F198" s="2">
        <v>9.2250526300000004</v>
      </c>
      <c r="G198" s="2">
        <v>5</v>
      </c>
      <c r="H198" s="2">
        <f>Tabla_Items_Con_Existencia[[#This Row],[COSTO]]*Tabla_Items_Con_Existencia[[#This Row],[EXISTENCIA]]</f>
        <v>46.125263150000002</v>
      </c>
      <c r="I198" s="1">
        <f>IF(ISERROR(MATCH(Tabla_Items_Con_Existencia[[#This Row],[CODIGO]],Tabla_Items_Activos[CODIGO],0)),0,1)</f>
        <v>0</v>
      </c>
    </row>
    <row r="199" spans="1:9">
      <c r="A199" s="2" t="s">
        <v>6760</v>
      </c>
      <c r="B199" s="2" t="s">
        <v>69</v>
      </c>
      <c r="C199" s="2" t="s">
        <v>1365</v>
      </c>
      <c r="D199" s="2" t="s">
        <v>5174</v>
      </c>
      <c r="E199" s="2" t="s">
        <v>5168</v>
      </c>
      <c r="F199" s="2">
        <v>9.2250526300000004</v>
      </c>
      <c r="G199" s="2">
        <v>5</v>
      </c>
      <c r="H199" s="2">
        <f>Tabla_Items_Con_Existencia[[#This Row],[COSTO]]*Tabla_Items_Con_Existencia[[#This Row],[EXISTENCIA]]</f>
        <v>46.125263150000002</v>
      </c>
      <c r="I199" s="1">
        <f>IF(ISERROR(MATCH(Tabla_Items_Con_Existencia[[#This Row],[CODIGO]],Tabla_Items_Activos[CODIGO],0)),0,1)</f>
        <v>0</v>
      </c>
    </row>
    <row r="200" spans="1:9">
      <c r="A200" s="2" t="s">
        <v>6760</v>
      </c>
      <c r="B200" s="2" t="s">
        <v>70</v>
      </c>
      <c r="C200" s="2" t="s">
        <v>1366</v>
      </c>
      <c r="D200" s="2" t="s">
        <v>5177</v>
      </c>
      <c r="E200" s="2" t="s">
        <v>5168</v>
      </c>
      <c r="F200" s="2">
        <v>103.648</v>
      </c>
      <c r="G200" s="2">
        <v>1</v>
      </c>
      <c r="H200" s="2">
        <f>Tabla_Items_Con_Existencia[[#This Row],[COSTO]]*Tabla_Items_Con_Existencia[[#This Row],[EXISTENCIA]]</f>
        <v>103.648</v>
      </c>
      <c r="I200" s="1">
        <f>IF(ISERROR(MATCH(Tabla_Items_Con_Existencia[[#This Row],[CODIGO]],Tabla_Items_Activos[CODIGO],0)),0,1)</f>
        <v>0</v>
      </c>
    </row>
    <row r="201" spans="1:9">
      <c r="A201" s="2" t="s">
        <v>6760</v>
      </c>
      <c r="B201" s="2" t="s">
        <v>1367</v>
      </c>
      <c r="C201" s="2" t="s">
        <v>1368</v>
      </c>
      <c r="D201" s="2" t="s">
        <v>5157</v>
      </c>
      <c r="E201" s="2" t="s">
        <v>5168</v>
      </c>
      <c r="F201" s="2">
        <v>20.587</v>
      </c>
      <c r="G201" s="2">
        <v>4</v>
      </c>
      <c r="H201" s="2">
        <f>Tabla_Items_Con_Existencia[[#This Row],[COSTO]]*Tabla_Items_Con_Existencia[[#This Row],[EXISTENCIA]]</f>
        <v>82.347999999999999</v>
      </c>
      <c r="I201" s="1">
        <f>IF(ISERROR(MATCH(Tabla_Items_Con_Existencia[[#This Row],[CODIGO]],Tabla_Items_Activos[CODIGO],0)),0,1)</f>
        <v>0</v>
      </c>
    </row>
    <row r="202" spans="1:9">
      <c r="A202" s="2" t="s">
        <v>6760</v>
      </c>
      <c r="B202" s="2" t="s">
        <v>1369</v>
      </c>
      <c r="C202" s="2" t="s">
        <v>1370</v>
      </c>
      <c r="D202" s="2" t="s">
        <v>5157</v>
      </c>
      <c r="E202" s="2" t="s">
        <v>5168</v>
      </c>
      <c r="F202" s="2">
        <v>4.5950947400000004</v>
      </c>
      <c r="G202" s="2">
        <v>18</v>
      </c>
      <c r="H202" s="2">
        <f>Tabla_Items_Con_Existencia[[#This Row],[COSTO]]*Tabla_Items_Con_Existencia[[#This Row],[EXISTENCIA]]</f>
        <v>82.711705320000007</v>
      </c>
      <c r="I202" s="1">
        <f>IF(ISERROR(MATCH(Tabla_Items_Con_Existencia[[#This Row],[CODIGO]],Tabla_Items_Activos[CODIGO],0)),0,1)</f>
        <v>0</v>
      </c>
    </row>
    <row r="203" spans="1:9">
      <c r="A203" s="2" t="s">
        <v>6761</v>
      </c>
      <c r="B203" s="2" t="s">
        <v>1369</v>
      </c>
      <c r="C203" s="2" t="s">
        <v>1370</v>
      </c>
      <c r="D203" s="2" t="s">
        <v>5157</v>
      </c>
      <c r="E203" s="2" t="s">
        <v>5168</v>
      </c>
      <c r="F203" s="2">
        <v>4.5950947400000004</v>
      </c>
      <c r="G203" s="2">
        <v>18</v>
      </c>
      <c r="H203" s="2">
        <f>Tabla_Items_Con_Existencia[[#This Row],[COSTO]]*Tabla_Items_Con_Existencia[[#This Row],[EXISTENCIA]]</f>
        <v>82.711705320000007</v>
      </c>
      <c r="I203" s="1">
        <f>IF(ISERROR(MATCH(Tabla_Items_Con_Existencia[[#This Row],[CODIGO]],Tabla_Items_Activos[CODIGO],0)),0,1)</f>
        <v>0</v>
      </c>
    </row>
    <row r="204" spans="1:9">
      <c r="A204" s="2" t="s">
        <v>6760</v>
      </c>
      <c r="B204" s="2" t="s">
        <v>71</v>
      </c>
      <c r="C204" s="2" t="s">
        <v>1371</v>
      </c>
      <c r="D204" s="2" t="s">
        <v>5184</v>
      </c>
      <c r="E204" s="2" t="s">
        <v>5168</v>
      </c>
      <c r="F204" s="2">
        <v>28.870736839999999</v>
      </c>
      <c r="G204" s="2">
        <v>6</v>
      </c>
      <c r="H204" s="2">
        <f>Tabla_Items_Con_Existencia[[#This Row],[COSTO]]*Tabla_Items_Con_Existencia[[#This Row],[EXISTENCIA]]</f>
        <v>173.22442103999998</v>
      </c>
      <c r="I204" s="1">
        <f>IF(ISERROR(MATCH(Tabla_Items_Con_Existencia[[#This Row],[CODIGO]],Tabla_Items_Activos[CODIGO],0)),0,1)</f>
        <v>0</v>
      </c>
    </row>
    <row r="205" spans="1:9">
      <c r="A205" s="2" t="s">
        <v>6761</v>
      </c>
      <c r="B205" s="2" t="s">
        <v>71</v>
      </c>
      <c r="C205" s="2" t="s">
        <v>1371</v>
      </c>
      <c r="D205" s="2" t="s">
        <v>5184</v>
      </c>
      <c r="E205" s="2" t="s">
        <v>5168</v>
      </c>
      <c r="F205" s="2">
        <v>28.870736839999999</v>
      </c>
      <c r="G205" s="2">
        <v>6</v>
      </c>
      <c r="H205" s="2">
        <f>Tabla_Items_Con_Existencia[[#This Row],[COSTO]]*Tabla_Items_Con_Existencia[[#This Row],[EXISTENCIA]]</f>
        <v>173.22442103999998</v>
      </c>
      <c r="I205" s="1">
        <f>IF(ISERROR(MATCH(Tabla_Items_Con_Existencia[[#This Row],[CODIGO]],Tabla_Items_Activos[CODIGO],0)),0,1)</f>
        <v>0</v>
      </c>
    </row>
    <row r="206" spans="1:9">
      <c r="A206" s="2" t="s">
        <v>6761</v>
      </c>
      <c r="B206" s="2" t="s">
        <v>72</v>
      </c>
      <c r="C206" s="2" t="s">
        <v>1372</v>
      </c>
      <c r="D206" s="2" t="s">
        <v>5184</v>
      </c>
      <c r="E206" s="2" t="s">
        <v>5168</v>
      </c>
      <c r="F206" s="2">
        <v>5.26105263</v>
      </c>
      <c r="G206" s="2">
        <v>3</v>
      </c>
      <c r="H206" s="2">
        <f>Tabla_Items_Con_Existencia[[#This Row],[COSTO]]*Tabla_Items_Con_Existencia[[#This Row],[EXISTENCIA]]</f>
        <v>15.78315789</v>
      </c>
      <c r="I206" s="1">
        <f>IF(ISERROR(MATCH(Tabla_Items_Con_Existencia[[#This Row],[CODIGO]],Tabla_Items_Activos[CODIGO],0)),0,1)</f>
        <v>0</v>
      </c>
    </row>
    <row r="207" spans="1:9">
      <c r="A207" s="2" t="s">
        <v>6760</v>
      </c>
      <c r="B207" s="2" t="s">
        <v>72</v>
      </c>
      <c r="C207" s="2" t="s">
        <v>1372</v>
      </c>
      <c r="D207" s="2" t="s">
        <v>5184</v>
      </c>
      <c r="E207" s="2" t="s">
        <v>5168</v>
      </c>
      <c r="F207" s="2">
        <v>5.26105263</v>
      </c>
      <c r="G207" s="2">
        <v>3</v>
      </c>
      <c r="H207" s="2">
        <f>Tabla_Items_Con_Existencia[[#This Row],[COSTO]]*Tabla_Items_Con_Existencia[[#This Row],[EXISTENCIA]]</f>
        <v>15.78315789</v>
      </c>
      <c r="I207" s="1">
        <f>IF(ISERROR(MATCH(Tabla_Items_Con_Existencia[[#This Row],[CODIGO]],Tabla_Items_Activos[CODIGO],0)),0,1)</f>
        <v>0</v>
      </c>
    </row>
    <row r="208" spans="1:9">
      <c r="A208" s="2" t="s">
        <v>6760</v>
      </c>
      <c r="B208" s="2" t="s">
        <v>73</v>
      </c>
      <c r="C208" s="2" t="s">
        <v>1373</v>
      </c>
      <c r="D208" s="2" t="s">
        <v>5180</v>
      </c>
      <c r="E208" s="2" t="s">
        <v>5168</v>
      </c>
      <c r="F208" s="2">
        <v>42.837000000000003</v>
      </c>
      <c r="G208" s="2">
        <v>3</v>
      </c>
      <c r="H208" s="2">
        <f>Tabla_Items_Con_Existencia[[#This Row],[COSTO]]*Tabla_Items_Con_Existencia[[#This Row],[EXISTENCIA]]</f>
        <v>128.51100000000002</v>
      </c>
      <c r="I208" s="1">
        <f>IF(ISERROR(MATCH(Tabla_Items_Con_Existencia[[#This Row],[CODIGO]],Tabla_Items_Activos[CODIGO],0)),0,1)</f>
        <v>0</v>
      </c>
    </row>
    <row r="209" spans="1:9">
      <c r="A209" s="2" t="s">
        <v>6760</v>
      </c>
      <c r="B209" s="2" t="s">
        <v>1374</v>
      </c>
      <c r="C209" s="2" t="s">
        <v>1375</v>
      </c>
      <c r="D209" s="2" t="s">
        <v>5174</v>
      </c>
      <c r="E209" s="2" t="s">
        <v>5168</v>
      </c>
      <c r="F209" s="2">
        <v>5.1130000000000004</v>
      </c>
      <c r="G209" s="2">
        <v>1</v>
      </c>
      <c r="H209" s="2">
        <f>Tabla_Items_Con_Existencia[[#This Row],[COSTO]]*Tabla_Items_Con_Existencia[[#This Row],[EXISTENCIA]]</f>
        <v>5.1130000000000004</v>
      </c>
      <c r="I209" s="1">
        <f>IF(ISERROR(MATCH(Tabla_Items_Con_Existencia[[#This Row],[CODIGO]],Tabla_Items_Activos[CODIGO],0)),0,1)</f>
        <v>0</v>
      </c>
    </row>
    <row r="210" spans="1:9">
      <c r="A210" s="2" t="s">
        <v>6760</v>
      </c>
      <c r="B210" s="2" t="s">
        <v>7297</v>
      </c>
      <c r="C210" s="2" t="s">
        <v>7298</v>
      </c>
      <c r="D210" s="2" t="s">
        <v>7286</v>
      </c>
      <c r="E210" s="2" t="s">
        <v>5192</v>
      </c>
      <c r="F210" s="2">
        <v>770.02</v>
      </c>
      <c r="G210" s="2">
        <v>1</v>
      </c>
      <c r="H210" s="2">
        <f>Tabla_Items_Con_Existencia[[#This Row],[COSTO]]*Tabla_Items_Con_Existencia[[#This Row],[EXISTENCIA]]</f>
        <v>770.02</v>
      </c>
      <c r="I210" s="1">
        <f>IF(ISERROR(MATCH(Tabla_Items_Con_Existencia[[#This Row],[CODIGO]],Tabla_Items_Activos[CODIGO],0)),0,1)</f>
        <v>0</v>
      </c>
    </row>
    <row r="211" spans="1:9">
      <c r="A211" s="2" t="s">
        <v>6761</v>
      </c>
      <c r="B211" s="2" t="s">
        <v>7195</v>
      </c>
      <c r="C211" s="2" t="s">
        <v>7196</v>
      </c>
      <c r="D211" s="2" t="s">
        <v>5160</v>
      </c>
      <c r="E211" s="2" t="s">
        <v>5159</v>
      </c>
      <c r="F211" s="2">
        <v>318.25</v>
      </c>
      <c r="G211" s="2">
        <v>2</v>
      </c>
      <c r="H211" s="2">
        <f>Tabla_Items_Con_Existencia[[#This Row],[COSTO]]*Tabla_Items_Con_Existencia[[#This Row],[EXISTENCIA]]</f>
        <v>636.5</v>
      </c>
      <c r="I211" s="1">
        <f>IF(ISERROR(MATCH(Tabla_Items_Con_Existencia[[#This Row],[CODIGO]],Tabla_Items_Activos[CODIGO],0)),0,1)</f>
        <v>0</v>
      </c>
    </row>
    <row r="212" spans="1:9">
      <c r="A212" s="2" t="s">
        <v>6761</v>
      </c>
      <c r="B212" s="2" t="s">
        <v>7197</v>
      </c>
      <c r="C212" s="2" t="s">
        <v>7198</v>
      </c>
      <c r="D212" s="2" t="s">
        <v>5160</v>
      </c>
      <c r="E212" s="2" t="s">
        <v>5159</v>
      </c>
      <c r="F212" s="2">
        <v>302.39999999999998</v>
      </c>
      <c r="G212" s="2">
        <v>2</v>
      </c>
      <c r="H212" s="2">
        <f>Tabla_Items_Con_Existencia[[#This Row],[COSTO]]*Tabla_Items_Con_Existencia[[#This Row],[EXISTENCIA]]</f>
        <v>604.79999999999995</v>
      </c>
      <c r="I212" s="1">
        <f>IF(ISERROR(MATCH(Tabla_Items_Con_Existencia[[#This Row],[CODIGO]],Tabla_Items_Activos[CODIGO],0)),0,1)</f>
        <v>0</v>
      </c>
    </row>
    <row r="213" spans="1:9">
      <c r="A213" s="2" t="s">
        <v>6761</v>
      </c>
      <c r="B213" s="2" t="s">
        <v>7199</v>
      </c>
      <c r="C213" s="2" t="s">
        <v>7200</v>
      </c>
      <c r="D213" s="2" t="s">
        <v>5160</v>
      </c>
      <c r="E213" s="2" t="s">
        <v>5159</v>
      </c>
      <c r="F213" s="2">
        <v>470.9</v>
      </c>
      <c r="G213" s="2">
        <v>2</v>
      </c>
      <c r="H213" s="2">
        <f>Tabla_Items_Con_Existencia[[#This Row],[COSTO]]*Tabla_Items_Con_Existencia[[#This Row],[EXISTENCIA]]</f>
        <v>941.8</v>
      </c>
      <c r="I213" s="1">
        <f>IF(ISERROR(MATCH(Tabla_Items_Con_Existencia[[#This Row],[CODIGO]],Tabla_Items_Activos[CODIGO],0)),0,1)</f>
        <v>0</v>
      </c>
    </row>
    <row r="214" spans="1:9">
      <c r="A214" s="2" t="s">
        <v>6761</v>
      </c>
      <c r="B214" s="2" t="s">
        <v>7201</v>
      </c>
      <c r="C214" s="2" t="s">
        <v>7202</v>
      </c>
      <c r="D214" s="2" t="s">
        <v>5160</v>
      </c>
      <c r="E214" s="2" t="s">
        <v>5159</v>
      </c>
      <c r="F214" s="2">
        <v>588</v>
      </c>
      <c r="G214" s="2">
        <v>2</v>
      </c>
      <c r="H214" s="2">
        <f>Tabla_Items_Con_Existencia[[#This Row],[COSTO]]*Tabla_Items_Con_Existencia[[#This Row],[EXISTENCIA]]</f>
        <v>1176</v>
      </c>
      <c r="I214" s="1">
        <f>IF(ISERROR(MATCH(Tabla_Items_Con_Existencia[[#This Row],[CODIGO]],Tabla_Items_Activos[CODIGO],0)),0,1)</f>
        <v>0</v>
      </c>
    </row>
    <row r="215" spans="1:9">
      <c r="A215" s="2" t="s">
        <v>6761</v>
      </c>
      <c r="B215" s="2" t="s">
        <v>7203</v>
      </c>
      <c r="C215" s="2" t="s">
        <v>7204</v>
      </c>
      <c r="D215" s="2" t="s">
        <v>5211</v>
      </c>
      <c r="E215" s="2" t="s">
        <v>5213</v>
      </c>
      <c r="F215" s="2">
        <v>3.34</v>
      </c>
      <c r="G215" s="2">
        <v>17</v>
      </c>
      <c r="H215" s="2">
        <f>Tabla_Items_Con_Existencia[[#This Row],[COSTO]]*Tabla_Items_Con_Existencia[[#This Row],[EXISTENCIA]]</f>
        <v>56.78</v>
      </c>
      <c r="I215" s="1">
        <f>IF(ISERROR(MATCH(Tabla_Items_Con_Existencia[[#This Row],[CODIGO]],Tabla_Items_Activos[CODIGO],0)),0,1)</f>
        <v>0</v>
      </c>
    </row>
    <row r="216" spans="1:9">
      <c r="A216" s="2" t="s">
        <v>6759</v>
      </c>
      <c r="B216" s="2" t="s">
        <v>6781</v>
      </c>
      <c r="C216" s="2" t="s">
        <v>6782</v>
      </c>
      <c r="D216" s="2" t="s">
        <v>6783</v>
      </c>
      <c r="E216" s="2" t="s">
        <v>5165</v>
      </c>
      <c r="F216" s="2">
        <v>168.88888889</v>
      </c>
      <c r="G216" s="2">
        <v>2</v>
      </c>
      <c r="H216" s="2">
        <f>Tabla_Items_Con_Existencia[[#This Row],[COSTO]]*Tabla_Items_Con_Existencia[[#This Row],[EXISTENCIA]]</f>
        <v>337.77777778000001</v>
      </c>
      <c r="I216" s="1">
        <f>IF(ISERROR(MATCH(Tabla_Items_Con_Existencia[[#This Row],[CODIGO]],Tabla_Items_Activos[CODIGO],0)),0,1)</f>
        <v>0</v>
      </c>
    </row>
    <row r="217" spans="1:9">
      <c r="A217" s="2" t="s">
        <v>6760</v>
      </c>
      <c r="B217" s="2" t="s">
        <v>6781</v>
      </c>
      <c r="C217" s="2" t="s">
        <v>6782</v>
      </c>
      <c r="D217" s="2" t="s">
        <v>6783</v>
      </c>
      <c r="E217" s="2" t="s">
        <v>5165</v>
      </c>
      <c r="F217" s="2">
        <v>168.88888889</v>
      </c>
      <c r="G217" s="2">
        <v>2</v>
      </c>
      <c r="H217" s="2">
        <f>Tabla_Items_Con_Existencia[[#This Row],[COSTO]]*Tabla_Items_Con_Existencia[[#This Row],[EXISTENCIA]]</f>
        <v>337.77777778000001</v>
      </c>
      <c r="I217" s="1">
        <f>IF(ISERROR(MATCH(Tabla_Items_Con_Existencia[[#This Row],[CODIGO]],Tabla_Items_Activos[CODIGO],0)),0,1)</f>
        <v>0</v>
      </c>
    </row>
    <row r="218" spans="1:9">
      <c r="A218" s="2" t="s">
        <v>6761</v>
      </c>
      <c r="B218" s="2" t="s">
        <v>6781</v>
      </c>
      <c r="C218" s="2" t="s">
        <v>6782</v>
      </c>
      <c r="D218" s="2" t="s">
        <v>6783</v>
      </c>
      <c r="E218" s="2" t="s">
        <v>5165</v>
      </c>
      <c r="F218" s="2">
        <v>168.88888889</v>
      </c>
      <c r="G218" s="2">
        <v>2</v>
      </c>
      <c r="H218" s="2">
        <f>Tabla_Items_Con_Existencia[[#This Row],[COSTO]]*Tabla_Items_Con_Existencia[[#This Row],[EXISTENCIA]]</f>
        <v>337.77777778000001</v>
      </c>
      <c r="I218" s="1">
        <f>IF(ISERROR(MATCH(Tabla_Items_Con_Existencia[[#This Row],[CODIGO]],Tabla_Items_Activos[CODIGO],0)),0,1)</f>
        <v>0</v>
      </c>
    </row>
    <row r="219" spans="1:9">
      <c r="A219" s="2" t="s">
        <v>6760</v>
      </c>
      <c r="B219" s="2" t="s">
        <v>6784</v>
      </c>
      <c r="C219" s="2" t="s">
        <v>6785</v>
      </c>
      <c r="D219" s="2" t="s">
        <v>6783</v>
      </c>
      <c r="E219" s="2" t="s">
        <v>5165</v>
      </c>
      <c r="F219" s="2">
        <v>68.703703700000005</v>
      </c>
      <c r="G219" s="2">
        <v>1</v>
      </c>
      <c r="H219" s="2">
        <f>Tabla_Items_Con_Existencia[[#This Row],[COSTO]]*Tabla_Items_Con_Existencia[[#This Row],[EXISTENCIA]]</f>
        <v>68.703703700000005</v>
      </c>
      <c r="I219" s="1">
        <f>IF(ISERROR(MATCH(Tabla_Items_Con_Existencia[[#This Row],[CODIGO]],Tabla_Items_Activos[CODIGO],0)),0,1)</f>
        <v>0</v>
      </c>
    </row>
    <row r="220" spans="1:9">
      <c r="A220" s="2" t="s">
        <v>6761</v>
      </c>
      <c r="B220" s="2" t="s">
        <v>6784</v>
      </c>
      <c r="C220" s="2" t="s">
        <v>6785</v>
      </c>
      <c r="D220" s="2" t="s">
        <v>6783</v>
      </c>
      <c r="E220" s="2" t="s">
        <v>5165</v>
      </c>
      <c r="F220" s="2">
        <v>68.703703700000005</v>
      </c>
      <c r="G220" s="2">
        <v>1</v>
      </c>
      <c r="H220" s="2">
        <f>Tabla_Items_Con_Existencia[[#This Row],[COSTO]]*Tabla_Items_Con_Existencia[[#This Row],[EXISTENCIA]]</f>
        <v>68.703703700000005</v>
      </c>
      <c r="I220" s="1">
        <f>IF(ISERROR(MATCH(Tabla_Items_Con_Existencia[[#This Row],[CODIGO]],Tabla_Items_Activos[CODIGO],0)),0,1)</f>
        <v>0</v>
      </c>
    </row>
    <row r="221" spans="1:9">
      <c r="A221" s="2" t="s">
        <v>6759</v>
      </c>
      <c r="B221" s="2" t="s">
        <v>6784</v>
      </c>
      <c r="C221" s="2" t="s">
        <v>6785</v>
      </c>
      <c r="D221" s="2" t="s">
        <v>6783</v>
      </c>
      <c r="E221" s="2" t="s">
        <v>5165</v>
      </c>
      <c r="F221" s="2">
        <v>68.703703700000005</v>
      </c>
      <c r="G221" s="2">
        <v>1</v>
      </c>
      <c r="H221" s="2">
        <f>Tabla_Items_Con_Existencia[[#This Row],[COSTO]]*Tabla_Items_Con_Existencia[[#This Row],[EXISTENCIA]]</f>
        <v>68.703703700000005</v>
      </c>
      <c r="I221" s="1">
        <f>IF(ISERROR(MATCH(Tabla_Items_Con_Existencia[[#This Row],[CODIGO]],Tabla_Items_Activos[CODIGO],0)),0,1)</f>
        <v>0</v>
      </c>
    </row>
    <row r="222" spans="1:9">
      <c r="A222" s="2" t="s">
        <v>6759</v>
      </c>
      <c r="B222" s="2" t="s">
        <v>78</v>
      </c>
      <c r="C222" s="2" t="s">
        <v>1376</v>
      </c>
      <c r="D222" s="2" t="s">
        <v>5185</v>
      </c>
      <c r="E222" s="2" t="s">
        <v>5159</v>
      </c>
      <c r="F222" s="2">
        <v>1.7936555599999999</v>
      </c>
      <c r="G222" s="2">
        <v>78</v>
      </c>
      <c r="H222" s="2">
        <f>Tabla_Items_Con_Existencia[[#This Row],[COSTO]]*Tabla_Items_Con_Existencia[[#This Row],[EXISTENCIA]]</f>
        <v>139.90513368000001</v>
      </c>
      <c r="I222" s="1">
        <f>IF(ISERROR(MATCH(Tabla_Items_Con_Existencia[[#This Row],[CODIGO]],Tabla_Items_Activos[CODIGO],0)),0,1)</f>
        <v>0</v>
      </c>
    </row>
    <row r="223" spans="1:9">
      <c r="A223" s="2" t="s">
        <v>6760</v>
      </c>
      <c r="B223" s="2" t="s">
        <v>78</v>
      </c>
      <c r="C223" s="2" t="s">
        <v>1376</v>
      </c>
      <c r="D223" s="2" t="s">
        <v>5185</v>
      </c>
      <c r="E223" s="2" t="s">
        <v>5159</v>
      </c>
      <c r="F223" s="2">
        <v>1.7936555599999999</v>
      </c>
      <c r="G223" s="2">
        <v>78</v>
      </c>
      <c r="H223" s="2">
        <f>Tabla_Items_Con_Existencia[[#This Row],[COSTO]]*Tabla_Items_Con_Existencia[[#This Row],[EXISTENCIA]]</f>
        <v>139.90513368000001</v>
      </c>
      <c r="I223" s="1">
        <f>IF(ISERROR(MATCH(Tabla_Items_Con_Existencia[[#This Row],[CODIGO]],Tabla_Items_Activos[CODIGO],0)),0,1)</f>
        <v>0</v>
      </c>
    </row>
    <row r="224" spans="1:9">
      <c r="A224" s="2" t="s">
        <v>6761</v>
      </c>
      <c r="B224" s="2" t="s">
        <v>78</v>
      </c>
      <c r="C224" s="2" t="s">
        <v>1376</v>
      </c>
      <c r="D224" s="2" t="s">
        <v>5185</v>
      </c>
      <c r="E224" s="2" t="s">
        <v>5159</v>
      </c>
      <c r="F224" s="2">
        <v>1.7936555599999999</v>
      </c>
      <c r="G224" s="2">
        <v>78</v>
      </c>
      <c r="H224" s="2">
        <f>Tabla_Items_Con_Existencia[[#This Row],[COSTO]]*Tabla_Items_Con_Existencia[[#This Row],[EXISTENCIA]]</f>
        <v>139.90513368000001</v>
      </c>
      <c r="I224" s="1">
        <f>IF(ISERROR(MATCH(Tabla_Items_Con_Existencia[[#This Row],[CODIGO]],Tabla_Items_Activos[CODIGO],0)),0,1)</f>
        <v>0</v>
      </c>
    </row>
    <row r="225" spans="1:9">
      <c r="A225" s="2" t="s">
        <v>6760</v>
      </c>
      <c r="B225" s="2" t="s">
        <v>7299</v>
      </c>
      <c r="C225" s="2" t="s">
        <v>4980</v>
      </c>
      <c r="D225" s="2" t="s">
        <v>5190</v>
      </c>
      <c r="E225" s="2" t="s">
        <v>5159</v>
      </c>
      <c r="F225" s="2">
        <v>46.560373679999998</v>
      </c>
      <c r="G225" s="2">
        <v>14</v>
      </c>
      <c r="H225" s="2">
        <f>Tabla_Items_Con_Existencia[[#This Row],[COSTO]]*Tabla_Items_Con_Existencia[[#This Row],[EXISTENCIA]]</f>
        <v>651.84523151999997</v>
      </c>
      <c r="I225" s="1">
        <f>IF(ISERROR(MATCH(Tabla_Items_Con_Existencia[[#This Row],[CODIGO]],Tabla_Items_Activos[CODIGO],0)),0,1)</f>
        <v>0</v>
      </c>
    </row>
    <row r="226" spans="1:9">
      <c r="A226" s="2" t="s">
        <v>6761</v>
      </c>
      <c r="B226" s="2" t="s">
        <v>7299</v>
      </c>
      <c r="C226" s="2" t="s">
        <v>4980</v>
      </c>
      <c r="D226" s="2" t="s">
        <v>5190</v>
      </c>
      <c r="E226" s="2" t="s">
        <v>5159</v>
      </c>
      <c r="F226" s="2">
        <v>46.560373679999998</v>
      </c>
      <c r="G226" s="2">
        <v>14</v>
      </c>
      <c r="H226" s="2">
        <f>Tabla_Items_Con_Existencia[[#This Row],[COSTO]]*Tabla_Items_Con_Existencia[[#This Row],[EXISTENCIA]]</f>
        <v>651.84523151999997</v>
      </c>
      <c r="I226" s="1">
        <f>IF(ISERROR(MATCH(Tabla_Items_Con_Existencia[[#This Row],[CODIGO]],Tabla_Items_Activos[CODIGO],0)),0,1)</f>
        <v>0</v>
      </c>
    </row>
    <row r="227" spans="1:9">
      <c r="A227" s="2" t="s">
        <v>6760</v>
      </c>
      <c r="B227" s="2" t="s">
        <v>79</v>
      </c>
      <c r="C227" s="2" t="s">
        <v>1377</v>
      </c>
      <c r="D227" s="2" t="s">
        <v>5186</v>
      </c>
      <c r="E227" s="2" t="s">
        <v>5159</v>
      </c>
      <c r="F227" s="2">
        <v>21.29</v>
      </c>
      <c r="G227" s="2">
        <v>5</v>
      </c>
      <c r="H227" s="2">
        <f>Tabla_Items_Con_Existencia[[#This Row],[COSTO]]*Tabla_Items_Con_Existencia[[#This Row],[EXISTENCIA]]</f>
        <v>106.44999999999999</v>
      </c>
      <c r="I227" s="1">
        <f>IF(ISERROR(MATCH(Tabla_Items_Con_Existencia[[#This Row],[CODIGO]],Tabla_Items_Activos[CODIGO],0)),0,1)</f>
        <v>0</v>
      </c>
    </row>
    <row r="228" spans="1:9">
      <c r="A228" s="2" t="s">
        <v>6760</v>
      </c>
      <c r="B228" s="2" t="s">
        <v>80</v>
      </c>
      <c r="C228" s="2" t="s">
        <v>6364</v>
      </c>
      <c r="D228" s="2" t="s">
        <v>5187</v>
      </c>
      <c r="E228" s="2" t="s">
        <v>5159</v>
      </c>
      <c r="F228" s="2">
        <v>20.83</v>
      </c>
      <c r="G228" s="2">
        <v>5</v>
      </c>
      <c r="H228" s="2">
        <f>Tabla_Items_Con_Existencia[[#This Row],[COSTO]]*Tabla_Items_Con_Existencia[[#This Row],[EXISTENCIA]]</f>
        <v>104.14999999999999</v>
      </c>
      <c r="I228" s="1">
        <f>IF(ISERROR(MATCH(Tabla_Items_Con_Existencia[[#This Row],[CODIGO]],Tabla_Items_Activos[CODIGO],0)),0,1)</f>
        <v>0</v>
      </c>
    </row>
    <row r="229" spans="1:9">
      <c r="A229" s="2" t="s">
        <v>6760</v>
      </c>
      <c r="B229" s="2" t="s">
        <v>1379</v>
      </c>
      <c r="C229" s="2" t="s">
        <v>1380</v>
      </c>
      <c r="D229" s="2" t="s">
        <v>5186</v>
      </c>
      <c r="E229" s="2" t="s">
        <v>5159</v>
      </c>
      <c r="F229" s="2">
        <v>39.49</v>
      </c>
      <c r="G229" s="2">
        <v>3</v>
      </c>
      <c r="H229" s="2">
        <f>Tabla_Items_Con_Existencia[[#This Row],[COSTO]]*Tabla_Items_Con_Existencia[[#This Row],[EXISTENCIA]]</f>
        <v>118.47</v>
      </c>
      <c r="I229" s="1">
        <f>IF(ISERROR(MATCH(Tabla_Items_Con_Existencia[[#This Row],[CODIGO]],Tabla_Items_Activos[CODIGO],0)),0,1)</f>
        <v>0</v>
      </c>
    </row>
    <row r="230" spans="1:9">
      <c r="A230" s="2" t="s">
        <v>6760</v>
      </c>
      <c r="B230" s="2" t="s">
        <v>81</v>
      </c>
      <c r="C230" s="2" t="s">
        <v>1381</v>
      </c>
      <c r="D230" s="2" t="s">
        <v>5186</v>
      </c>
      <c r="E230" s="2" t="s">
        <v>5159</v>
      </c>
      <c r="F230" s="2">
        <v>28.908999999999999</v>
      </c>
      <c r="G230" s="2">
        <v>8</v>
      </c>
      <c r="H230" s="2">
        <f>Tabla_Items_Con_Existencia[[#This Row],[COSTO]]*Tabla_Items_Con_Existencia[[#This Row],[EXISTENCIA]]</f>
        <v>231.27199999999999</v>
      </c>
      <c r="I230" s="1">
        <f>IF(ISERROR(MATCH(Tabla_Items_Con_Existencia[[#This Row],[CODIGO]],Tabla_Items_Activos[CODIGO],0)),0,1)</f>
        <v>0</v>
      </c>
    </row>
    <row r="231" spans="1:9">
      <c r="A231" s="2" t="s">
        <v>6760</v>
      </c>
      <c r="B231" s="2" t="s">
        <v>82</v>
      </c>
      <c r="C231" s="2" t="s">
        <v>1382</v>
      </c>
      <c r="D231" s="2" t="s">
        <v>5186</v>
      </c>
      <c r="E231" s="2" t="s">
        <v>5159</v>
      </c>
      <c r="F231" s="2">
        <v>2.7695789500000001</v>
      </c>
      <c r="G231" s="2">
        <v>21</v>
      </c>
      <c r="H231" s="2">
        <f>Tabla_Items_Con_Existencia[[#This Row],[COSTO]]*Tabla_Items_Con_Existencia[[#This Row],[EXISTENCIA]]</f>
        <v>58.161157950000003</v>
      </c>
      <c r="I231" s="1">
        <f>IF(ISERROR(MATCH(Tabla_Items_Con_Existencia[[#This Row],[CODIGO]],Tabla_Items_Activos[CODIGO],0)),0,1)</f>
        <v>0</v>
      </c>
    </row>
    <row r="232" spans="1:9">
      <c r="A232" s="2" t="s">
        <v>6761</v>
      </c>
      <c r="B232" s="2" t="s">
        <v>82</v>
      </c>
      <c r="C232" s="2" t="s">
        <v>1382</v>
      </c>
      <c r="D232" s="2" t="s">
        <v>5186</v>
      </c>
      <c r="E232" s="2" t="s">
        <v>5159</v>
      </c>
      <c r="F232" s="2">
        <v>2.7695789500000001</v>
      </c>
      <c r="G232" s="2">
        <v>21</v>
      </c>
      <c r="H232" s="2">
        <f>Tabla_Items_Con_Existencia[[#This Row],[COSTO]]*Tabla_Items_Con_Existencia[[#This Row],[EXISTENCIA]]</f>
        <v>58.161157950000003</v>
      </c>
      <c r="I232" s="1">
        <f>IF(ISERROR(MATCH(Tabla_Items_Con_Existencia[[#This Row],[CODIGO]],Tabla_Items_Activos[CODIGO],0)),0,1)</f>
        <v>0</v>
      </c>
    </row>
    <row r="233" spans="1:9">
      <c r="A233" s="2" t="s">
        <v>6760</v>
      </c>
      <c r="B233" s="2" t="s">
        <v>1383</v>
      </c>
      <c r="C233" s="2" t="s">
        <v>6786</v>
      </c>
      <c r="D233" s="2" t="s">
        <v>5161</v>
      </c>
      <c r="E233" s="2" t="s">
        <v>5159</v>
      </c>
      <c r="F233" s="2">
        <v>3.08</v>
      </c>
      <c r="G233" s="2">
        <v>2</v>
      </c>
      <c r="H233" s="2">
        <f>Tabla_Items_Con_Existencia[[#This Row],[COSTO]]*Tabla_Items_Con_Existencia[[#This Row],[EXISTENCIA]]</f>
        <v>6.16</v>
      </c>
      <c r="I233" s="1">
        <f>IF(ISERROR(MATCH(Tabla_Items_Con_Existencia[[#This Row],[CODIGO]],Tabla_Items_Activos[CODIGO],0)),0,1)</f>
        <v>0</v>
      </c>
    </row>
    <row r="234" spans="1:9">
      <c r="A234" s="2" t="s">
        <v>6760</v>
      </c>
      <c r="B234" s="2" t="s">
        <v>83</v>
      </c>
      <c r="C234" s="2" t="s">
        <v>6310</v>
      </c>
      <c r="D234" s="2" t="s">
        <v>5188</v>
      </c>
      <c r="E234" s="2" t="s">
        <v>5159</v>
      </c>
      <c r="F234" s="2">
        <v>3.2212000000000001</v>
      </c>
      <c r="G234" s="2">
        <v>21</v>
      </c>
      <c r="H234" s="2">
        <f>Tabla_Items_Con_Existencia[[#This Row],[COSTO]]*Tabla_Items_Con_Existencia[[#This Row],[EXISTENCIA]]</f>
        <v>67.645200000000003</v>
      </c>
      <c r="I234" s="1">
        <f>IF(ISERROR(MATCH(Tabla_Items_Con_Existencia[[#This Row],[CODIGO]],Tabla_Items_Activos[CODIGO],0)),0,1)</f>
        <v>0</v>
      </c>
    </row>
    <row r="235" spans="1:9">
      <c r="A235" s="2" t="s">
        <v>6760</v>
      </c>
      <c r="B235" s="2" t="s">
        <v>84</v>
      </c>
      <c r="C235" s="2" t="s">
        <v>6304</v>
      </c>
      <c r="D235" s="2" t="s">
        <v>5158</v>
      </c>
      <c r="E235" s="2" t="s">
        <v>5159</v>
      </c>
      <c r="F235" s="2">
        <v>2.8837000000000002</v>
      </c>
      <c r="G235" s="2">
        <v>70</v>
      </c>
      <c r="H235" s="2">
        <f>Tabla_Items_Con_Existencia[[#This Row],[COSTO]]*Tabla_Items_Con_Existencia[[#This Row],[EXISTENCIA]]</f>
        <v>201.85900000000001</v>
      </c>
      <c r="I235" s="1">
        <f>IF(ISERROR(MATCH(Tabla_Items_Con_Existencia[[#This Row],[CODIGO]],Tabla_Items_Activos[CODIGO],0)),0,1)</f>
        <v>0</v>
      </c>
    </row>
    <row r="236" spans="1:9">
      <c r="A236" s="2" t="s">
        <v>6760</v>
      </c>
      <c r="B236" s="2" t="s">
        <v>85</v>
      </c>
      <c r="C236" s="2" t="s">
        <v>1387</v>
      </c>
      <c r="D236" s="2" t="s">
        <v>5186</v>
      </c>
      <c r="E236" s="2" t="s">
        <v>5159</v>
      </c>
      <c r="F236" s="2">
        <v>3.4</v>
      </c>
      <c r="G236" s="2">
        <v>10</v>
      </c>
      <c r="H236" s="2">
        <f>Tabla_Items_Con_Existencia[[#This Row],[COSTO]]*Tabla_Items_Con_Existencia[[#This Row],[EXISTENCIA]]</f>
        <v>34</v>
      </c>
      <c r="I236" s="1">
        <f>IF(ISERROR(MATCH(Tabla_Items_Con_Existencia[[#This Row],[CODIGO]],Tabla_Items_Activos[CODIGO],0)),0,1)</f>
        <v>0</v>
      </c>
    </row>
    <row r="237" spans="1:9">
      <c r="A237" s="2" t="s">
        <v>6760</v>
      </c>
      <c r="B237" s="2" t="s">
        <v>86</v>
      </c>
      <c r="C237" s="2" t="s">
        <v>1388</v>
      </c>
      <c r="D237" s="2" t="s">
        <v>5187</v>
      </c>
      <c r="E237" s="2" t="s">
        <v>5159</v>
      </c>
      <c r="F237" s="2">
        <v>2.84</v>
      </c>
      <c r="G237" s="2">
        <v>10</v>
      </c>
      <c r="H237" s="2">
        <f>Tabla_Items_Con_Existencia[[#This Row],[COSTO]]*Tabla_Items_Con_Existencia[[#This Row],[EXISTENCIA]]</f>
        <v>28.4</v>
      </c>
      <c r="I237" s="1">
        <f>IF(ISERROR(MATCH(Tabla_Items_Con_Existencia[[#This Row],[CODIGO]],Tabla_Items_Activos[CODIGO],0)),0,1)</f>
        <v>0</v>
      </c>
    </row>
    <row r="238" spans="1:9">
      <c r="A238" s="2" t="s">
        <v>6760</v>
      </c>
      <c r="B238" s="2" t="s">
        <v>87</v>
      </c>
      <c r="C238" s="2" t="s">
        <v>6311</v>
      </c>
      <c r="D238" s="2" t="s">
        <v>5186</v>
      </c>
      <c r="E238" s="2" t="s">
        <v>5159</v>
      </c>
      <c r="F238" s="2">
        <v>3.74314211</v>
      </c>
      <c r="G238" s="2">
        <v>30</v>
      </c>
      <c r="H238" s="2">
        <f>Tabla_Items_Con_Existencia[[#This Row],[COSTO]]*Tabla_Items_Con_Existencia[[#This Row],[EXISTENCIA]]</f>
        <v>112.2942633</v>
      </c>
      <c r="I238" s="1">
        <f>IF(ISERROR(MATCH(Tabla_Items_Con_Existencia[[#This Row],[CODIGO]],Tabla_Items_Activos[CODIGO],0)),0,1)</f>
        <v>0</v>
      </c>
    </row>
    <row r="239" spans="1:9">
      <c r="A239" s="2" t="s">
        <v>6761</v>
      </c>
      <c r="B239" s="2" t="s">
        <v>87</v>
      </c>
      <c r="C239" s="2" t="s">
        <v>6311</v>
      </c>
      <c r="D239" s="2" t="s">
        <v>5186</v>
      </c>
      <c r="E239" s="2" t="s">
        <v>5159</v>
      </c>
      <c r="F239" s="2">
        <v>3.74314211</v>
      </c>
      <c r="G239" s="2">
        <v>30</v>
      </c>
      <c r="H239" s="2">
        <f>Tabla_Items_Con_Existencia[[#This Row],[COSTO]]*Tabla_Items_Con_Existencia[[#This Row],[EXISTENCIA]]</f>
        <v>112.2942633</v>
      </c>
      <c r="I239" s="1">
        <f>IF(ISERROR(MATCH(Tabla_Items_Con_Existencia[[#This Row],[CODIGO]],Tabla_Items_Activos[CODIGO],0)),0,1)</f>
        <v>0</v>
      </c>
    </row>
    <row r="240" spans="1:9">
      <c r="A240" s="2" t="s">
        <v>6760</v>
      </c>
      <c r="B240" s="2" t="s">
        <v>88</v>
      </c>
      <c r="C240" s="2" t="s">
        <v>6305</v>
      </c>
      <c r="D240" s="2" t="s">
        <v>5186</v>
      </c>
      <c r="E240" s="2" t="s">
        <v>5159</v>
      </c>
      <c r="F240" s="2">
        <v>4.0423999999999998</v>
      </c>
      <c r="G240" s="2">
        <v>30</v>
      </c>
      <c r="H240" s="2">
        <f>Tabla_Items_Con_Existencia[[#This Row],[COSTO]]*Tabla_Items_Con_Existencia[[#This Row],[EXISTENCIA]]</f>
        <v>121.27199999999999</v>
      </c>
      <c r="I240" s="1">
        <f>IF(ISERROR(MATCH(Tabla_Items_Con_Existencia[[#This Row],[CODIGO]],Tabla_Items_Activos[CODIGO],0)),0,1)</f>
        <v>0</v>
      </c>
    </row>
    <row r="241" spans="1:9">
      <c r="A241" s="2" t="s">
        <v>6760</v>
      </c>
      <c r="B241" s="2" t="s">
        <v>89</v>
      </c>
      <c r="C241" s="2" t="s">
        <v>6312</v>
      </c>
      <c r="D241" s="2" t="s">
        <v>5186</v>
      </c>
      <c r="E241" s="2" t="s">
        <v>5159</v>
      </c>
      <c r="F241" s="2">
        <v>3.738</v>
      </c>
      <c r="G241" s="2">
        <v>5</v>
      </c>
      <c r="H241" s="2">
        <f>Tabla_Items_Con_Existencia[[#This Row],[COSTO]]*Tabla_Items_Con_Existencia[[#This Row],[EXISTENCIA]]</f>
        <v>18.690000000000001</v>
      </c>
      <c r="I241" s="1">
        <f>IF(ISERROR(MATCH(Tabla_Items_Con_Existencia[[#This Row],[CODIGO]],Tabla_Items_Activos[CODIGO],0)),0,1)</f>
        <v>0</v>
      </c>
    </row>
    <row r="242" spans="1:9">
      <c r="A242" s="2" t="s">
        <v>6760</v>
      </c>
      <c r="B242" s="2" t="s">
        <v>90</v>
      </c>
      <c r="C242" s="2" t="s">
        <v>1392</v>
      </c>
      <c r="D242" s="2" t="s">
        <v>5158</v>
      </c>
      <c r="E242" s="2" t="s">
        <v>5159</v>
      </c>
      <c r="F242" s="2">
        <v>1.3424</v>
      </c>
      <c r="G242" s="2">
        <v>61</v>
      </c>
      <c r="H242" s="2">
        <f>Tabla_Items_Con_Existencia[[#This Row],[COSTO]]*Tabla_Items_Con_Existencia[[#This Row],[EXISTENCIA]]</f>
        <v>81.886400000000009</v>
      </c>
      <c r="I242" s="1">
        <f>IF(ISERROR(MATCH(Tabla_Items_Con_Existencia[[#This Row],[CODIGO]],Tabla_Items_Activos[CODIGO],0)),0,1)</f>
        <v>0</v>
      </c>
    </row>
    <row r="243" spans="1:9">
      <c r="A243" s="2" t="s">
        <v>6760</v>
      </c>
      <c r="B243" s="2" t="s">
        <v>91</v>
      </c>
      <c r="C243" s="2" t="s">
        <v>6787</v>
      </c>
      <c r="D243" s="2" t="s">
        <v>5158</v>
      </c>
      <c r="E243" s="2" t="s">
        <v>5159</v>
      </c>
      <c r="F243" s="2">
        <v>0.89910000000000001</v>
      </c>
      <c r="G243" s="2">
        <v>115</v>
      </c>
      <c r="H243" s="2">
        <f>Tabla_Items_Con_Existencia[[#This Row],[COSTO]]*Tabla_Items_Con_Existencia[[#This Row],[EXISTENCIA]]</f>
        <v>103.3965</v>
      </c>
      <c r="I243" s="1">
        <f>IF(ISERROR(MATCH(Tabla_Items_Con_Existencia[[#This Row],[CODIGO]],Tabla_Items_Activos[CODIGO],0)),0,1)</f>
        <v>0</v>
      </c>
    </row>
    <row r="244" spans="1:9">
      <c r="A244" s="2" t="s">
        <v>6760</v>
      </c>
      <c r="B244" s="2" t="s">
        <v>92</v>
      </c>
      <c r="C244" s="2" t="s">
        <v>6313</v>
      </c>
      <c r="D244" s="2" t="s">
        <v>5186</v>
      </c>
      <c r="E244" s="2" t="s">
        <v>5159</v>
      </c>
      <c r="F244" s="2">
        <v>4.1820000000000004</v>
      </c>
      <c r="G244" s="2">
        <v>8</v>
      </c>
      <c r="H244" s="2">
        <f>Tabla_Items_Con_Existencia[[#This Row],[COSTO]]*Tabla_Items_Con_Existencia[[#This Row],[EXISTENCIA]]</f>
        <v>33.456000000000003</v>
      </c>
      <c r="I244" s="1">
        <f>IF(ISERROR(MATCH(Tabla_Items_Con_Existencia[[#This Row],[CODIGO]],Tabla_Items_Activos[CODIGO],0)),0,1)</f>
        <v>0</v>
      </c>
    </row>
    <row r="245" spans="1:9">
      <c r="A245" s="2" t="s">
        <v>6760</v>
      </c>
      <c r="B245" s="2" t="s">
        <v>7205</v>
      </c>
      <c r="C245" s="2" t="s">
        <v>7206</v>
      </c>
      <c r="D245" s="2" t="s">
        <v>5186</v>
      </c>
      <c r="E245" s="2" t="s">
        <v>5159</v>
      </c>
      <c r="F245" s="2">
        <v>0.1</v>
      </c>
      <c r="G245" s="2">
        <v>5</v>
      </c>
      <c r="H245" s="2">
        <f>Tabla_Items_Con_Existencia[[#This Row],[COSTO]]*Tabla_Items_Con_Existencia[[#This Row],[EXISTENCIA]]</f>
        <v>0.5</v>
      </c>
      <c r="I245" s="1">
        <f>IF(ISERROR(MATCH(Tabla_Items_Con_Existencia[[#This Row],[CODIGO]],Tabla_Items_Activos[CODIGO],0)),0,1)</f>
        <v>0</v>
      </c>
    </row>
    <row r="246" spans="1:9">
      <c r="A246" s="2" t="s">
        <v>6760</v>
      </c>
      <c r="B246" s="2" t="s">
        <v>1395</v>
      </c>
      <c r="C246" s="2" t="s">
        <v>1396</v>
      </c>
      <c r="D246" s="2" t="s">
        <v>5188</v>
      </c>
      <c r="E246" s="2" t="s">
        <v>5159</v>
      </c>
      <c r="F246" s="2">
        <v>44.99</v>
      </c>
      <c r="G246" s="2">
        <v>1</v>
      </c>
      <c r="H246" s="2">
        <f>Tabla_Items_Con_Existencia[[#This Row],[COSTO]]*Tabla_Items_Con_Existencia[[#This Row],[EXISTENCIA]]</f>
        <v>44.99</v>
      </c>
      <c r="I246" s="1">
        <f>IF(ISERROR(MATCH(Tabla_Items_Con_Existencia[[#This Row],[CODIGO]],Tabla_Items_Activos[CODIGO],0)),0,1)</f>
        <v>0</v>
      </c>
    </row>
    <row r="247" spans="1:9">
      <c r="A247" s="2" t="s">
        <v>6760</v>
      </c>
      <c r="B247" s="2" t="s">
        <v>93</v>
      </c>
      <c r="C247" s="2" t="s">
        <v>1397</v>
      </c>
      <c r="D247" s="2" t="s">
        <v>5186</v>
      </c>
      <c r="E247" s="2" t="s">
        <v>5159</v>
      </c>
      <c r="F247" s="2">
        <v>64.968231579999994</v>
      </c>
      <c r="G247" s="2">
        <v>3</v>
      </c>
      <c r="H247" s="2">
        <f>Tabla_Items_Con_Existencia[[#This Row],[COSTO]]*Tabla_Items_Con_Existencia[[#This Row],[EXISTENCIA]]</f>
        <v>194.90469473999997</v>
      </c>
      <c r="I247" s="1">
        <f>IF(ISERROR(MATCH(Tabla_Items_Con_Existencia[[#This Row],[CODIGO]],Tabla_Items_Activos[CODIGO],0)),0,1)</f>
        <v>0</v>
      </c>
    </row>
    <row r="248" spans="1:9">
      <c r="A248" s="2" t="s">
        <v>6761</v>
      </c>
      <c r="B248" s="2" t="s">
        <v>93</v>
      </c>
      <c r="C248" s="2" t="s">
        <v>1397</v>
      </c>
      <c r="D248" s="2" t="s">
        <v>5186</v>
      </c>
      <c r="E248" s="2" t="s">
        <v>5159</v>
      </c>
      <c r="F248" s="2">
        <v>64.968231579999994</v>
      </c>
      <c r="G248" s="2">
        <v>3</v>
      </c>
      <c r="H248" s="2">
        <f>Tabla_Items_Con_Existencia[[#This Row],[COSTO]]*Tabla_Items_Con_Existencia[[#This Row],[EXISTENCIA]]</f>
        <v>194.90469473999997</v>
      </c>
      <c r="I248" s="1">
        <f>IF(ISERROR(MATCH(Tabla_Items_Con_Existencia[[#This Row],[CODIGO]],Tabla_Items_Activos[CODIGO],0)),0,1)</f>
        <v>0</v>
      </c>
    </row>
    <row r="249" spans="1:9">
      <c r="A249" s="2" t="s">
        <v>6760</v>
      </c>
      <c r="B249" s="2" t="s">
        <v>94</v>
      </c>
      <c r="C249" s="2" t="s">
        <v>1398</v>
      </c>
      <c r="D249" s="2" t="s">
        <v>5158</v>
      </c>
      <c r="E249" s="2" t="s">
        <v>5159</v>
      </c>
      <c r="F249" s="2">
        <v>64.734999999999999</v>
      </c>
      <c r="G249" s="2">
        <v>2</v>
      </c>
      <c r="H249" s="2">
        <f>Tabla_Items_Con_Existencia[[#This Row],[COSTO]]*Tabla_Items_Con_Existencia[[#This Row],[EXISTENCIA]]</f>
        <v>129.47</v>
      </c>
      <c r="I249" s="1">
        <f>IF(ISERROR(MATCH(Tabla_Items_Con_Existencia[[#This Row],[CODIGO]],Tabla_Items_Activos[CODIGO],0)),0,1)</f>
        <v>0</v>
      </c>
    </row>
    <row r="250" spans="1:9">
      <c r="A250" s="2" t="s">
        <v>6760</v>
      </c>
      <c r="B250" s="2" t="s">
        <v>95</v>
      </c>
      <c r="C250" s="2" t="s">
        <v>1399</v>
      </c>
      <c r="D250" s="2" t="s">
        <v>5158</v>
      </c>
      <c r="E250" s="2" t="s">
        <v>5159</v>
      </c>
      <c r="F250" s="2">
        <v>77.747</v>
      </c>
      <c r="G250" s="2">
        <v>3</v>
      </c>
      <c r="H250" s="2">
        <f>Tabla_Items_Con_Existencia[[#This Row],[COSTO]]*Tabla_Items_Con_Existencia[[#This Row],[EXISTENCIA]]</f>
        <v>233.24099999999999</v>
      </c>
      <c r="I250" s="1">
        <f>IF(ISERROR(MATCH(Tabla_Items_Con_Existencia[[#This Row],[CODIGO]],Tabla_Items_Activos[CODIGO],0)),0,1)</f>
        <v>0</v>
      </c>
    </row>
    <row r="251" spans="1:9">
      <c r="A251" s="2" t="s">
        <v>6760</v>
      </c>
      <c r="B251" s="2" t="s">
        <v>1400</v>
      </c>
      <c r="C251" s="2" t="s">
        <v>1401</v>
      </c>
      <c r="D251" s="2" t="s">
        <v>5161</v>
      </c>
      <c r="E251" s="2" t="s">
        <v>5159</v>
      </c>
      <c r="F251" s="2">
        <v>61.25</v>
      </c>
      <c r="G251" s="2">
        <v>4</v>
      </c>
      <c r="H251" s="2">
        <f>Tabla_Items_Con_Existencia[[#This Row],[COSTO]]*Tabla_Items_Con_Existencia[[#This Row],[EXISTENCIA]]</f>
        <v>245</v>
      </c>
      <c r="I251" s="1">
        <f>IF(ISERROR(MATCH(Tabla_Items_Con_Existencia[[#This Row],[CODIGO]],Tabla_Items_Activos[CODIGO],0)),0,1)</f>
        <v>0</v>
      </c>
    </row>
    <row r="252" spans="1:9">
      <c r="A252" s="2" t="s">
        <v>6760</v>
      </c>
      <c r="B252" s="2" t="s">
        <v>96</v>
      </c>
      <c r="C252" s="2" t="s">
        <v>1402</v>
      </c>
      <c r="D252" s="2" t="s">
        <v>5186</v>
      </c>
      <c r="E252" s="2" t="s">
        <v>5159</v>
      </c>
      <c r="F252" s="2">
        <v>72.88</v>
      </c>
      <c r="G252" s="2">
        <v>1</v>
      </c>
      <c r="H252" s="2">
        <f>Tabla_Items_Con_Existencia[[#This Row],[COSTO]]*Tabla_Items_Con_Existencia[[#This Row],[EXISTENCIA]]</f>
        <v>72.88</v>
      </c>
      <c r="I252" s="1">
        <f>IF(ISERROR(MATCH(Tabla_Items_Con_Existencia[[#This Row],[CODIGO]],Tabla_Items_Activos[CODIGO],0)),0,1)</f>
        <v>0</v>
      </c>
    </row>
    <row r="253" spans="1:9">
      <c r="A253" s="2" t="s">
        <v>6760</v>
      </c>
      <c r="B253" s="2" t="s">
        <v>97</v>
      </c>
      <c r="C253" s="2" t="s">
        <v>1403</v>
      </c>
      <c r="D253" s="2" t="s">
        <v>5186</v>
      </c>
      <c r="E253" s="2" t="s">
        <v>5159</v>
      </c>
      <c r="F253" s="2">
        <v>63.685000000000002</v>
      </c>
      <c r="G253" s="2">
        <v>2</v>
      </c>
      <c r="H253" s="2">
        <f>Tabla_Items_Con_Existencia[[#This Row],[COSTO]]*Tabla_Items_Con_Existencia[[#This Row],[EXISTENCIA]]</f>
        <v>127.37</v>
      </c>
      <c r="I253" s="1">
        <f>IF(ISERROR(MATCH(Tabla_Items_Con_Existencia[[#This Row],[CODIGO]],Tabla_Items_Activos[CODIGO],0)),0,1)</f>
        <v>0</v>
      </c>
    </row>
    <row r="254" spans="1:9">
      <c r="A254" s="2" t="s">
        <v>6760</v>
      </c>
      <c r="B254" s="2" t="s">
        <v>6754</v>
      </c>
      <c r="C254" s="2" t="s">
        <v>4181</v>
      </c>
      <c r="D254" s="2" t="s">
        <v>5161</v>
      </c>
      <c r="E254" s="2" t="s">
        <v>5159</v>
      </c>
      <c r="F254" s="2">
        <v>61.226700000000001</v>
      </c>
      <c r="G254" s="2">
        <v>3</v>
      </c>
      <c r="H254" s="2">
        <f>Tabla_Items_Con_Existencia[[#This Row],[COSTO]]*Tabla_Items_Con_Existencia[[#This Row],[EXISTENCIA]]</f>
        <v>183.68010000000001</v>
      </c>
      <c r="I254" s="1">
        <f>IF(ISERROR(MATCH(Tabla_Items_Con_Existencia[[#This Row],[CODIGO]],Tabla_Items_Activos[CODIGO],0)),0,1)</f>
        <v>0</v>
      </c>
    </row>
    <row r="255" spans="1:9">
      <c r="A255" s="2" t="s">
        <v>6760</v>
      </c>
      <c r="B255" s="2" t="s">
        <v>98</v>
      </c>
      <c r="C255" s="2" t="s">
        <v>1404</v>
      </c>
      <c r="D255" s="2" t="s">
        <v>5158</v>
      </c>
      <c r="E255" s="2" t="s">
        <v>5159</v>
      </c>
      <c r="F255" s="2">
        <v>0.436</v>
      </c>
      <c r="G255" s="2">
        <v>9</v>
      </c>
      <c r="H255" s="2">
        <f>Tabla_Items_Con_Existencia[[#This Row],[COSTO]]*Tabla_Items_Con_Existencia[[#This Row],[EXISTENCIA]]</f>
        <v>3.9239999999999999</v>
      </c>
      <c r="I255" s="1">
        <f>IF(ISERROR(MATCH(Tabla_Items_Con_Existencia[[#This Row],[CODIGO]],Tabla_Items_Activos[CODIGO],0)),0,1)</f>
        <v>0</v>
      </c>
    </row>
    <row r="256" spans="1:9">
      <c r="A256" s="2" t="s">
        <v>6760</v>
      </c>
      <c r="B256" s="2" t="s">
        <v>99</v>
      </c>
      <c r="C256" s="2" t="s">
        <v>1405</v>
      </c>
      <c r="D256" s="2" t="s">
        <v>5186</v>
      </c>
      <c r="E256" s="2" t="s">
        <v>5159</v>
      </c>
      <c r="F256" s="2">
        <v>157.29</v>
      </c>
      <c r="G256" s="2">
        <v>1</v>
      </c>
      <c r="H256" s="2">
        <f>Tabla_Items_Con_Existencia[[#This Row],[COSTO]]*Tabla_Items_Con_Existencia[[#This Row],[EXISTENCIA]]</f>
        <v>157.29</v>
      </c>
      <c r="I256" s="1">
        <f>IF(ISERROR(MATCH(Tabla_Items_Con_Existencia[[#This Row],[CODIGO]],Tabla_Items_Activos[CODIGO],0)),0,1)</f>
        <v>0</v>
      </c>
    </row>
    <row r="257" spans="1:9">
      <c r="A257" s="2" t="s">
        <v>6760</v>
      </c>
      <c r="B257" s="2" t="s">
        <v>100</v>
      </c>
      <c r="C257" s="2" t="s">
        <v>6314</v>
      </c>
      <c r="D257" s="2" t="s">
        <v>5158</v>
      </c>
      <c r="E257" s="2" t="s">
        <v>5159</v>
      </c>
      <c r="F257" s="2">
        <v>129.80500000000001</v>
      </c>
      <c r="G257" s="2">
        <v>3</v>
      </c>
      <c r="H257" s="2">
        <f>Tabla_Items_Con_Existencia[[#This Row],[COSTO]]*Tabla_Items_Con_Existencia[[#This Row],[EXISTENCIA]]</f>
        <v>389.41500000000002</v>
      </c>
      <c r="I257" s="1">
        <f>IF(ISERROR(MATCH(Tabla_Items_Con_Existencia[[#This Row],[CODIGO]],Tabla_Items_Activos[CODIGO],0)),0,1)</f>
        <v>0</v>
      </c>
    </row>
    <row r="258" spans="1:9">
      <c r="A258" s="2" t="s">
        <v>6760</v>
      </c>
      <c r="B258" s="2" t="s">
        <v>101</v>
      </c>
      <c r="C258" s="2" t="s">
        <v>6315</v>
      </c>
      <c r="D258" s="2" t="s">
        <v>5189</v>
      </c>
      <c r="E258" s="2" t="s">
        <v>5159</v>
      </c>
      <c r="F258" s="2">
        <v>41.71</v>
      </c>
      <c r="G258" s="2">
        <v>1</v>
      </c>
      <c r="H258" s="2">
        <f>Tabla_Items_Con_Existencia[[#This Row],[COSTO]]*Tabla_Items_Con_Existencia[[#This Row],[EXISTENCIA]]</f>
        <v>41.71</v>
      </c>
      <c r="I258" s="1">
        <f>IF(ISERROR(MATCH(Tabla_Items_Con_Existencia[[#This Row],[CODIGO]],Tabla_Items_Activos[CODIGO],0)),0,1)</f>
        <v>0</v>
      </c>
    </row>
    <row r="259" spans="1:9">
      <c r="A259" s="2" t="s">
        <v>6760</v>
      </c>
      <c r="B259" s="2" t="s">
        <v>102</v>
      </c>
      <c r="C259" s="2" t="s">
        <v>6316</v>
      </c>
      <c r="D259" s="2" t="s">
        <v>5158</v>
      </c>
      <c r="E259" s="2" t="s">
        <v>5159</v>
      </c>
      <c r="F259" s="2">
        <v>109.913</v>
      </c>
      <c r="G259" s="2">
        <v>3</v>
      </c>
      <c r="H259" s="2">
        <f>Tabla_Items_Con_Existencia[[#This Row],[COSTO]]*Tabla_Items_Con_Existencia[[#This Row],[EXISTENCIA]]</f>
        <v>329.73899999999998</v>
      </c>
      <c r="I259" s="1">
        <f>IF(ISERROR(MATCH(Tabla_Items_Con_Existencia[[#This Row],[CODIGO]],Tabla_Items_Activos[CODIGO],0)),0,1)</f>
        <v>0</v>
      </c>
    </row>
    <row r="260" spans="1:9">
      <c r="A260" s="2" t="s">
        <v>6760</v>
      </c>
      <c r="B260" s="2" t="s">
        <v>103</v>
      </c>
      <c r="C260" s="2" t="s">
        <v>6317</v>
      </c>
      <c r="D260" s="2" t="s">
        <v>5158</v>
      </c>
      <c r="E260" s="2" t="s">
        <v>5159</v>
      </c>
      <c r="F260" s="2">
        <v>45.77</v>
      </c>
      <c r="G260" s="2">
        <v>3</v>
      </c>
      <c r="H260" s="2">
        <f>Tabla_Items_Con_Existencia[[#This Row],[COSTO]]*Tabla_Items_Con_Existencia[[#This Row],[EXISTENCIA]]</f>
        <v>137.31</v>
      </c>
      <c r="I260" s="1">
        <f>IF(ISERROR(MATCH(Tabla_Items_Con_Existencia[[#This Row],[CODIGO]],Tabla_Items_Activos[CODIGO],0)),0,1)</f>
        <v>0</v>
      </c>
    </row>
    <row r="261" spans="1:9">
      <c r="A261" s="2" t="s">
        <v>6760</v>
      </c>
      <c r="B261" s="2" t="s">
        <v>6788</v>
      </c>
      <c r="C261" s="2" t="s">
        <v>6789</v>
      </c>
      <c r="D261" s="2" t="s">
        <v>5195</v>
      </c>
      <c r="E261" s="2" t="s">
        <v>5159</v>
      </c>
      <c r="F261" s="2">
        <v>2.1936842099999998</v>
      </c>
      <c r="G261" s="2">
        <v>26</v>
      </c>
      <c r="H261" s="2">
        <f>Tabla_Items_Con_Existencia[[#This Row],[COSTO]]*Tabla_Items_Con_Existencia[[#This Row],[EXISTENCIA]]</f>
        <v>57.035789459999997</v>
      </c>
      <c r="I261" s="1">
        <f>IF(ISERROR(MATCH(Tabla_Items_Con_Existencia[[#This Row],[CODIGO]],Tabla_Items_Activos[CODIGO],0)),0,1)</f>
        <v>0</v>
      </c>
    </row>
    <row r="262" spans="1:9">
      <c r="A262" s="2" t="s">
        <v>6761</v>
      </c>
      <c r="B262" s="2" t="s">
        <v>6788</v>
      </c>
      <c r="C262" s="2" t="s">
        <v>6789</v>
      </c>
      <c r="D262" s="2" t="s">
        <v>5195</v>
      </c>
      <c r="E262" s="2" t="s">
        <v>5159</v>
      </c>
      <c r="F262" s="2">
        <v>2.1936842099999998</v>
      </c>
      <c r="G262" s="2">
        <v>26</v>
      </c>
      <c r="H262" s="2">
        <f>Tabla_Items_Con_Existencia[[#This Row],[COSTO]]*Tabla_Items_Con_Existencia[[#This Row],[EXISTENCIA]]</f>
        <v>57.035789459999997</v>
      </c>
      <c r="I262" s="1">
        <f>IF(ISERROR(MATCH(Tabla_Items_Con_Existencia[[#This Row],[CODIGO]],Tabla_Items_Activos[CODIGO],0)),0,1)</f>
        <v>0</v>
      </c>
    </row>
    <row r="263" spans="1:9">
      <c r="A263" s="2" t="s">
        <v>6760</v>
      </c>
      <c r="B263" s="2" t="s">
        <v>104</v>
      </c>
      <c r="C263" s="2" t="s">
        <v>1410</v>
      </c>
      <c r="D263" s="2" t="s">
        <v>5158</v>
      </c>
      <c r="E263" s="2" t="s">
        <v>5159</v>
      </c>
      <c r="F263" s="2">
        <v>0.59499999999999997</v>
      </c>
      <c r="G263" s="2">
        <v>21</v>
      </c>
      <c r="H263" s="2">
        <f>Tabla_Items_Con_Existencia[[#This Row],[COSTO]]*Tabla_Items_Con_Existencia[[#This Row],[EXISTENCIA]]</f>
        <v>12.494999999999999</v>
      </c>
      <c r="I263" s="1">
        <f>IF(ISERROR(MATCH(Tabla_Items_Con_Existencia[[#This Row],[CODIGO]],Tabla_Items_Activos[CODIGO],0)),0,1)</f>
        <v>0</v>
      </c>
    </row>
    <row r="264" spans="1:9">
      <c r="A264" s="2" t="s">
        <v>6760</v>
      </c>
      <c r="B264" s="2" t="s">
        <v>6790</v>
      </c>
      <c r="C264" s="2" t="s">
        <v>6791</v>
      </c>
      <c r="D264" s="2" t="s">
        <v>5186</v>
      </c>
      <c r="E264" s="2" t="s">
        <v>5159</v>
      </c>
      <c r="F264" s="2">
        <v>0</v>
      </c>
      <c r="G264" s="2">
        <v>20</v>
      </c>
      <c r="H264" s="2">
        <f>Tabla_Items_Con_Existencia[[#This Row],[COSTO]]*Tabla_Items_Con_Existencia[[#This Row],[EXISTENCIA]]</f>
        <v>0</v>
      </c>
      <c r="I264" s="1">
        <f>IF(ISERROR(MATCH(Tabla_Items_Con_Existencia[[#This Row],[CODIGO]],Tabla_Items_Activos[CODIGO],0)),0,1)</f>
        <v>0</v>
      </c>
    </row>
    <row r="265" spans="1:9">
      <c r="A265" s="2" t="s">
        <v>6760</v>
      </c>
      <c r="B265" s="2" t="s">
        <v>105</v>
      </c>
      <c r="C265" s="2" t="s">
        <v>1411</v>
      </c>
      <c r="D265" s="2" t="s">
        <v>5158</v>
      </c>
      <c r="E265" s="2" t="s">
        <v>5159</v>
      </c>
      <c r="F265" s="2">
        <v>1.4666999999999999</v>
      </c>
      <c r="G265" s="2">
        <v>47</v>
      </c>
      <c r="H265" s="2">
        <f>Tabla_Items_Con_Existencia[[#This Row],[COSTO]]*Tabla_Items_Con_Existencia[[#This Row],[EXISTENCIA]]</f>
        <v>68.934899999999999</v>
      </c>
      <c r="I265" s="1">
        <f>IF(ISERROR(MATCH(Tabla_Items_Con_Existencia[[#This Row],[CODIGO]],Tabla_Items_Activos[CODIGO],0)),0,1)</f>
        <v>0</v>
      </c>
    </row>
    <row r="266" spans="1:9">
      <c r="A266" s="2" t="s">
        <v>6760</v>
      </c>
      <c r="B266" s="2" t="s">
        <v>106</v>
      </c>
      <c r="C266" s="2" t="s">
        <v>1410</v>
      </c>
      <c r="D266" s="2" t="s">
        <v>5158</v>
      </c>
      <c r="E266" s="2" t="s">
        <v>5159</v>
      </c>
      <c r="F266" s="2">
        <v>0.77500000000000002</v>
      </c>
      <c r="G266" s="2">
        <v>20</v>
      </c>
      <c r="H266" s="2">
        <f>Tabla_Items_Con_Existencia[[#This Row],[COSTO]]*Tabla_Items_Con_Existencia[[#This Row],[EXISTENCIA]]</f>
        <v>15.5</v>
      </c>
      <c r="I266" s="1">
        <f>IF(ISERROR(MATCH(Tabla_Items_Con_Existencia[[#This Row],[CODIGO]],Tabla_Items_Activos[CODIGO],0)),0,1)</f>
        <v>0</v>
      </c>
    </row>
    <row r="267" spans="1:9">
      <c r="A267" s="2" t="s">
        <v>6760</v>
      </c>
      <c r="B267" s="2" t="s">
        <v>107</v>
      </c>
      <c r="C267" s="2" t="s">
        <v>6792</v>
      </c>
      <c r="D267" s="2" t="s">
        <v>5158</v>
      </c>
      <c r="E267" s="2" t="s">
        <v>5159</v>
      </c>
      <c r="F267" s="2">
        <v>1.0972</v>
      </c>
      <c r="G267" s="2">
        <v>55</v>
      </c>
      <c r="H267" s="2">
        <f>Tabla_Items_Con_Existencia[[#This Row],[COSTO]]*Tabla_Items_Con_Existencia[[#This Row],[EXISTENCIA]]</f>
        <v>60.345999999999997</v>
      </c>
      <c r="I267" s="1">
        <f>IF(ISERROR(MATCH(Tabla_Items_Con_Existencia[[#This Row],[CODIGO]],Tabla_Items_Activos[CODIGO],0)),0,1)</f>
        <v>0</v>
      </c>
    </row>
    <row r="268" spans="1:9">
      <c r="A268" s="2" t="s">
        <v>6760</v>
      </c>
      <c r="B268" s="2" t="s">
        <v>6793</v>
      </c>
      <c r="C268" s="2" t="s">
        <v>6794</v>
      </c>
      <c r="D268" s="2" t="s">
        <v>5186</v>
      </c>
      <c r="E268" s="2" t="s">
        <v>5159</v>
      </c>
      <c r="F268" s="2">
        <v>3.1205263200000002</v>
      </c>
      <c r="G268" s="2">
        <v>20</v>
      </c>
      <c r="H268" s="2">
        <f>Tabla_Items_Con_Existencia[[#This Row],[COSTO]]*Tabla_Items_Con_Existencia[[#This Row],[EXISTENCIA]]</f>
        <v>62.410526400000002</v>
      </c>
      <c r="I268" s="1">
        <f>IF(ISERROR(MATCH(Tabla_Items_Con_Existencia[[#This Row],[CODIGO]],Tabla_Items_Activos[CODIGO],0)),0,1)</f>
        <v>0</v>
      </c>
    </row>
    <row r="269" spans="1:9">
      <c r="A269" s="2" t="s">
        <v>6761</v>
      </c>
      <c r="B269" s="2" t="s">
        <v>6793</v>
      </c>
      <c r="C269" s="2" t="s">
        <v>6794</v>
      </c>
      <c r="D269" s="2" t="s">
        <v>5186</v>
      </c>
      <c r="E269" s="2" t="s">
        <v>5159</v>
      </c>
      <c r="F269" s="2">
        <v>3.1205263200000002</v>
      </c>
      <c r="G269" s="2">
        <v>20</v>
      </c>
      <c r="H269" s="2">
        <f>Tabla_Items_Con_Existencia[[#This Row],[COSTO]]*Tabla_Items_Con_Existencia[[#This Row],[EXISTENCIA]]</f>
        <v>62.410526400000002</v>
      </c>
      <c r="I269" s="1">
        <f>IF(ISERROR(MATCH(Tabla_Items_Con_Existencia[[#This Row],[CODIGO]],Tabla_Items_Activos[CODIGO],0)),0,1)</f>
        <v>0</v>
      </c>
    </row>
    <row r="270" spans="1:9">
      <c r="A270" s="2" t="s">
        <v>6760</v>
      </c>
      <c r="B270" s="2" t="s">
        <v>108</v>
      </c>
      <c r="C270" s="2" t="s">
        <v>1413</v>
      </c>
      <c r="D270" s="2" t="s">
        <v>5186</v>
      </c>
      <c r="E270" s="2" t="s">
        <v>5159</v>
      </c>
      <c r="F270" s="2">
        <v>2.1673684199999999</v>
      </c>
      <c r="G270" s="2">
        <v>9</v>
      </c>
      <c r="H270" s="2">
        <f>Tabla_Items_Con_Existencia[[#This Row],[COSTO]]*Tabla_Items_Con_Existencia[[#This Row],[EXISTENCIA]]</f>
        <v>19.506315779999998</v>
      </c>
      <c r="I270" s="1">
        <f>IF(ISERROR(MATCH(Tabla_Items_Con_Existencia[[#This Row],[CODIGO]],Tabla_Items_Activos[CODIGO],0)),0,1)</f>
        <v>0</v>
      </c>
    </row>
    <row r="271" spans="1:9">
      <c r="A271" s="2" t="s">
        <v>6761</v>
      </c>
      <c r="B271" s="2" t="s">
        <v>108</v>
      </c>
      <c r="C271" s="2" t="s">
        <v>1413</v>
      </c>
      <c r="D271" s="2" t="s">
        <v>5186</v>
      </c>
      <c r="E271" s="2" t="s">
        <v>5159</v>
      </c>
      <c r="F271" s="2">
        <v>2.1673684199999999</v>
      </c>
      <c r="G271" s="2">
        <v>9</v>
      </c>
      <c r="H271" s="2">
        <f>Tabla_Items_Con_Existencia[[#This Row],[COSTO]]*Tabla_Items_Con_Existencia[[#This Row],[EXISTENCIA]]</f>
        <v>19.506315779999998</v>
      </c>
      <c r="I271" s="1">
        <f>IF(ISERROR(MATCH(Tabla_Items_Con_Existencia[[#This Row],[CODIGO]],Tabla_Items_Activos[CODIGO],0)),0,1)</f>
        <v>0</v>
      </c>
    </row>
    <row r="272" spans="1:9">
      <c r="A272" s="2" t="s">
        <v>6760</v>
      </c>
      <c r="B272" s="2" t="s">
        <v>109</v>
      </c>
      <c r="C272" s="2" t="s">
        <v>1414</v>
      </c>
      <c r="D272" s="2" t="s">
        <v>5186</v>
      </c>
      <c r="E272" s="2" t="s">
        <v>5159</v>
      </c>
      <c r="F272" s="2">
        <v>1.67</v>
      </c>
      <c r="G272" s="2">
        <v>5</v>
      </c>
      <c r="H272" s="2">
        <f>Tabla_Items_Con_Existencia[[#This Row],[COSTO]]*Tabla_Items_Con_Existencia[[#This Row],[EXISTENCIA]]</f>
        <v>8.35</v>
      </c>
      <c r="I272" s="1">
        <f>IF(ISERROR(MATCH(Tabla_Items_Con_Existencia[[#This Row],[CODIGO]],Tabla_Items_Activos[CODIGO],0)),0,1)</f>
        <v>0</v>
      </c>
    </row>
    <row r="273" spans="1:9">
      <c r="A273" s="2" t="s">
        <v>6760</v>
      </c>
      <c r="B273" s="2" t="s">
        <v>110</v>
      </c>
      <c r="C273" s="2" t="s">
        <v>1415</v>
      </c>
      <c r="D273" s="2" t="s">
        <v>5187</v>
      </c>
      <c r="E273" s="2" t="s">
        <v>5159</v>
      </c>
      <c r="F273" s="2">
        <v>0.38</v>
      </c>
      <c r="G273" s="2">
        <v>5</v>
      </c>
      <c r="H273" s="2">
        <f>Tabla_Items_Con_Existencia[[#This Row],[COSTO]]*Tabla_Items_Con_Existencia[[#This Row],[EXISTENCIA]]</f>
        <v>1.9</v>
      </c>
      <c r="I273" s="1">
        <f>IF(ISERROR(MATCH(Tabla_Items_Con_Existencia[[#This Row],[CODIGO]],Tabla_Items_Activos[CODIGO],0)),0,1)</f>
        <v>0</v>
      </c>
    </row>
    <row r="274" spans="1:9">
      <c r="A274" s="2" t="s">
        <v>6760</v>
      </c>
      <c r="B274" s="2" t="s">
        <v>111</v>
      </c>
      <c r="C274" s="2" t="s">
        <v>1416</v>
      </c>
      <c r="D274" s="2" t="s">
        <v>5158</v>
      </c>
      <c r="E274" s="2" t="s">
        <v>5159</v>
      </c>
      <c r="F274" s="2">
        <v>0.436</v>
      </c>
      <c r="G274" s="2">
        <v>15</v>
      </c>
      <c r="H274" s="2">
        <f>Tabla_Items_Con_Existencia[[#This Row],[COSTO]]*Tabla_Items_Con_Existencia[[#This Row],[EXISTENCIA]]</f>
        <v>6.54</v>
      </c>
      <c r="I274" s="1">
        <f>IF(ISERROR(MATCH(Tabla_Items_Con_Existencia[[#This Row],[CODIGO]],Tabla_Items_Activos[CODIGO],0)),0,1)</f>
        <v>0</v>
      </c>
    </row>
    <row r="275" spans="1:9">
      <c r="A275" s="2" t="s">
        <v>6760</v>
      </c>
      <c r="B275" s="2" t="s">
        <v>112</v>
      </c>
      <c r="C275" s="2" t="s">
        <v>1417</v>
      </c>
      <c r="D275" s="2" t="s">
        <v>5158</v>
      </c>
      <c r="E275" s="2" t="s">
        <v>5159</v>
      </c>
      <c r="F275" s="2">
        <v>1.196</v>
      </c>
      <c r="G275" s="2">
        <v>12</v>
      </c>
      <c r="H275" s="2">
        <f>Tabla_Items_Con_Existencia[[#This Row],[COSTO]]*Tabla_Items_Con_Existencia[[#This Row],[EXISTENCIA]]</f>
        <v>14.352</v>
      </c>
      <c r="I275" s="1">
        <f>IF(ISERROR(MATCH(Tabla_Items_Con_Existencia[[#This Row],[CODIGO]],Tabla_Items_Activos[CODIGO],0)),0,1)</f>
        <v>0</v>
      </c>
    </row>
    <row r="276" spans="1:9">
      <c r="A276" s="2" t="s">
        <v>6760</v>
      </c>
      <c r="B276" s="2" t="s">
        <v>113</v>
      </c>
      <c r="C276" s="2" t="s">
        <v>1418</v>
      </c>
      <c r="D276" s="2" t="s">
        <v>5186</v>
      </c>
      <c r="E276" s="2" t="s">
        <v>5159</v>
      </c>
      <c r="F276" s="2">
        <v>3.35</v>
      </c>
      <c r="G276" s="2">
        <v>10</v>
      </c>
      <c r="H276" s="2">
        <f>Tabla_Items_Con_Existencia[[#This Row],[COSTO]]*Tabla_Items_Con_Existencia[[#This Row],[EXISTENCIA]]</f>
        <v>33.5</v>
      </c>
      <c r="I276" s="1">
        <f>IF(ISERROR(MATCH(Tabla_Items_Con_Existencia[[#This Row],[CODIGO]],Tabla_Items_Activos[CODIGO],0)),0,1)</f>
        <v>0</v>
      </c>
    </row>
    <row r="277" spans="1:9">
      <c r="A277" s="2" t="s">
        <v>6760</v>
      </c>
      <c r="B277" s="2" t="s">
        <v>114</v>
      </c>
      <c r="C277" s="2" t="s">
        <v>1419</v>
      </c>
      <c r="D277" s="2" t="s">
        <v>5186</v>
      </c>
      <c r="E277" s="2" t="s">
        <v>5159</v>
      </c>
      <c r="F277" s="2">
        <v>2.95</v>
      </c>
      <c r="G277" s="2">
        <v>6</v>
      </c>
      <c r="H277" s="2">
        <f>Tabla_Items_Con_Existencia[[#This Row],[COSTO]]*Tabla_Items_Con_Existencia[[#This Row],[EXISTENCIA]]</f>
        <v>17.700000000000003</v>
      </c>
      <c r="I277" s="1">
        <f>IF(ISERROR(MATCH(Tabla_Items_Con_Existencia[[#This Row],[CODIGO]],Tabla_Items_Activos[CODIGO],0)),0,1)</f>
        <v>0</v>
      </c>
    </row>
    <row r="278" spans="1:9">
      <c r="A278" s="2" t="s">
        <v>6760</v>
      </c>
      <c r="B278" s="2" t="s">
        <v>115</v>
      </c>
      <c r="C278" s="2" t="s">
        <v>1420</v>
      </c>
      <c r="D278" s="2" t="s">
        <v>5186</v>
      </c>
      <c r="E278" s="2" t="s">
        <v>5159</v>
      </c>
      <c r="F278" s="2">
        <v>1.23</v>
      </c>
      <c r="G278" s="2">
        <v>10</v>
      </c>
      <c r="H278" s="2">
        <f>Tabla_Items_Con_Existencia[[#This Row],[COSTO]]*Tabla_Items_Con_Existencia[[#This Row],[EXISTENCIA]]</f>
        <v>12.3</v>
      </c>
      <c r="I278" s="1">
        <f>IF(ISERROR(MATCH(Tabla_Items_Con_Existencia[[#This Row],[CODIGO]],Tabla_Items_Activos[CODIGO],0)),0,1)</f>
        <v>0</v>
      </c>
    </row>
    <row r="279" spans="1:9">
      <c r="A279" s="2" t="s">
        <v>6760</v>
      </c>
      <c r="B279" s="2" t="s">
        <v>116</v>
      </c>
      <c r="C279" s="2" t="s">
        <v>1421</v>
      </c>
      <c r="D279" s="2" t="s">
        <v>5186</v>
      </c>
      <c r="E279" s="2" t="s">
        <v>5159</v>
      </c>
      <c r="F279" s="2">
        <v>1.01</v>
      </c>
      <c r="G279" s="2">
        <v>10</v>
      </c>
      <c r="H279" s="2">
        <f>Tabla_Items_Con_Existencia[[#This Row],[COSTO]]*Tabla_Items_Con_Existencia[[#This Row],[EXISTENCIA]]</f>
        <v>10.1</v>
      </c>
      <c r="I279" s="1">
        <f>IF(ISERROR(MATCH(Tabla_Items_Con_Existencia[[#This Row],[CODIGO]],Tabla_Items_Activos[CODIGO],0)),0,1)</f>
        <v>0</v>
      </c>
    </row>
    <row r="280" spans="1:9">
      <c r="A280" s="2" t="s">
        <v>6760</v>
      </c>
      <c r="B280" s="2" t="s">
        <v>117</v>
      </c>
      <c r="C280" s="2" t="s">
        <v>1422</v>
      </c>
      <c r="D280" s="2" t="s">
        <v>5186</v>
      </c>
      <c r="E280" s="2" t="s">
        <v>5159</v>
      </c>
      <c r="F280" s="2">
        <v>4.21</v>
      </c>
      <c r="G280" s="2">
        <v>4</v>
      </c>
      <c r="H280" s="2">
        <f>Tabla_Items_Con_Existencia[[#This Row],[COSTO]]*Tabla_Items_Con_Existencia[[#This Row],[EXISTENCIA]]</f>
        <v>16.84</v>
      </c>
      <c r="I280" s="1">
        <f>IF(ISERROR(MATCH(Tabla_Items_Con_Existencia[[#This Row],[CODIGO]],Tabla_Items_Activos[CODIGO],0)),0,1)</f>
        <v>0</v>
      </c>
    </row>
    <row r="281" spans="1:9">
      <c r="A281" s="2" t="s">
        <v>6760</v>
      </c>
      <c r="B281" s="2" t="s">
        <v>118</v>
      </c>
      <c r="C281" s="2" t="s">
        <v>1423</v>
      </c>
      <c r="D281" s="2" t="s">
        <v>5186</v>
      </c>
      <c r="E281" s="2" t="s">
        <v>5159</v>
      </c>
      <c r="F281" s="2">
        <v>6.53</v>
      </c>
      <c r="G281" s="2">
        <v>3</v>
      </c>
      <c r="H281" s="2">
        <f>Tabla_Items_Con_Existencia[[#This Row],[COSTO]]*Tabla_Items_Con_Existencia[[#This Row],[EXISTENCIA]]</f>
        <v>19.59</v>
      </c>
      <c r="I281" s="1">
        <f>IF(ISERROR(MATCH(Tabla_Items_Con_Existencia[[#This Row],[CODIGO]],Tabla_Items_Activos[CODIGO],0)),0,1)</f>
        <v>0</v>
      </c>
    </row>
    <row r="282" spans="1:9">
      <c r="A282" s="2" t="s">
        <v>6760</v>
      </c>
      <c r="B282" s="2" t="s">
        <v>119</v>
      </c>
      <c r="C282" s="2" t="s">
        <v>1424</v>
      </c>
      <c r="D282" s="2" t="s">
        <v>5186</v>
      </c>
      <c r="E282" s="2" t="s">
        <v>5159</v>
      </c>
      <c r="F282" s="2">
        <v>5.2539999999999996</v>
      </c>
      <c r="G282" s="2">
        <v>10</v>
      </c>
      <c r="H282" s="2">
        <f>Tabla_Items_Con_Existencia[[#This Row],[COSTO]]*Tabla_Items_Con_Existencia[[#This Row],[EXISTENCIA]]</f>
        <v>52.539999999999992</v>
      </c>
      <c r="I282" s="1">
        <f>IF(ISERROR(MATCH(Tabla_Items_Con_Existencia[[#This Row],[CODIGO]],Tabla_Items_Activos[CODIGO],0)),0,1)</f>
        <v>0</v>
      </c>
    </row>
    <row r="283" spans="1:9">
      <c r="A283" s="2" t="s">
        <v>6760</v>
      </c>
      <c r="B283" s="2" t="s">
        <v>120</v>
      </c>
      <c r="C283" s="2" t="s">
        <v>1425</v>
      </c>
      <c r="D283" s="2" t="s">
        <v>5186</v>
      </c>
      <c r="E283" s="2" t="s">
        <v>5159</v>
      </c>
      <c r="F283" s="2">
        <v>2.95</v>
      </c>
      <c r="G283" s="2">
        <v>3</v>
      </c>
      <c r="H283" s="2">
        <f>Tabla_Items_Con_Existencia[[#This Row],[COSTO]]*Tabla_Items_Con_Existencia[[#This Row],[EXISTENCIA]]</f>
        <v>8.8500000000000014</v>
      </c>
      <c r="I283" s="1">
        <f>IF(ISERROR(MATCH(Tabla_Items_Con_Existencia[[#This Row],[CODIGO]],Tabla_Items_Activos[CODIGO],0)),0,1)</f>
        <v>0</v>
      </c>
    </row>
    <row r="284" spans="1:9">
      <c r="A284" s="2" t="s">
        <v>6760</v>
      </c>
      <c r="B284" s="2" t="s">
        <v>121</v>
      </c>
      <c r="C284" s="2" t="s">
        <v>1426</v>
      </c>
      <c r="D284" s="2" t="s">
        <v>5188</v>
      </c>
      <c r="E284" s="2" t="s">
        <v>5159</v>
      </c>
      <c r="F284" s="2">
        <v>0.55600000000000005</v>
      </c>
      <c r="G284" s="2">
        <v>20</v>
      </c>
      <c r="H284" s="2">
        <f>Tabla_Items_Con_Existencia[[#This Row],[COSTO]]*Tabla_Items_Con_Existencia[[#This Row],[EXISTENCIA]]</f>
        <v>11.120000000000001</v>
      </c>
      <c r="I284" s="1">
        <f>IF(ISERROR(MATCH(Tabla_Items_Con_Existencia[[#This Row],[CODIGO]],Tabla_Items_Activos[CODIGO],0)),0,1)</f>
        <v>0</v>
      </c>
    </row>
    <row r="285" spans="1:9">
      <c r="A285" s="2" t="s">
        <v>6760</v>
      </c>
      <c r="B285" s="2" t="s">
        <v>122</v>
      </c>
      <c r="C285" s="2" t="s">
        <v>1427</v>
      </c>
      <c r="D285" s="2" t="s">
        <v>5186</v>
      </c>
      <c r="E285" s="2" t="s">
        <v>5159</v>
      </c>
      <c r="F285" s="2">
        <v>1.65</v>
      </c>
      <c r="G285" s="2">
        <v>6</v>
      </c>
      <c r="H285" s="2">
        <f>Tabla_Items_Con_Existencia[[#This Row],[COSTO]]*Tabla_Items_Con_Existencia[[#This Row],[EXISTENCIA]]</f>
        <v>9.8999999999999986</v>
      </c>
      <c r="I285" s="1">
        <f>IF(ISERROR(MATCH(Tabla_Items_Con_Existencia[[#This Row],[CODIGO]],Tabla_Items_Activos[CODIGO],0)),0,1)</f>
        <v>0</v>
      </c>
    </row>
    <row r="286" spans="1:9">
      <c r="A286" s="2" t="s">
        <v>6760</v>
      </c>
      <c r="B286" s="2" t="s">
        <v>123</v>
      </c>
      <c r="C286" s="2" t="s">
        <v>6318</v>
      </c>
      <c r="D286" s="2" t="s">
        <v>5186</v>
      </c>
      <c r="E286" s="2" t="s">
        <v>5159</v>
      </c>
      <c r="F286" s="2">
        <v>0.71319999999999995</v>
      </c>
      <c r="G286" s="2">
        <v>25</v>
      </c>
      <c r="H286" s="2">
        <f>Tabla_Items_Con_Existencia[[#This Row],[COSTO]]*Tabla_Items_Con_Existencia[[#This Row],[EXISTENCIA]]</f>
        <v>17.829999999999998</v>
      </c>
      <c r="I286" s="1">
        <f>IF(ISERROR(MATCH(Tabla_Items_Con_Existencia[[#This Row],[CODIGO]],Tabla_Items_Activos[CODIGO],0)),0,1)</f>
        <v>0</v>
      </c>
    </row>
    <row r="287" spans="1:9">
      <c r="A287" s="2" t="s">
        <v>6760</v>
      </c>
      <c r="B287" s="2" t="s">
        <v>124</v>
      </c>
      <c r="C287" s="2" t="s">
        <v>1429</v>
      </c>
      <c r="D287" s="2" t="s">
        <v>5186</v>
      </c>
      <c r="E287" s="2" t="s">
        <v>5159</v>
      </c>
      <c r="F287" s="2">
        <v>0.66390000000000005</v>
      </c>
      <c r="G287" s="2">
        <v>25</v>
      </c>
      <c r="H287" s="2">
        <f>Tabla_Items_Con_Existencia[[#This Row],[COSTO]]*Tabla_Items_Con_Existencia[[#This Row],[EXISTENCIA]]</f>
        <v>16.5975</v>
      </c>
      <c r="I287" s="1">
        <f>IF(ISERROR(MATCH(Tabla_Items_Con_Existencia[[#This Row],[CODIGO]],Tabla_Items_Activos[CODIGO],0)),0,1)</f>
        <v>0</v>
      </c>
    </row>
    <row r="288" spans="1:9">
      <c r="A288" s="2" t="s">
        <v>6760</v>
      </c>
      <c r="B288" s="2" t="s">
        <v>125</v>
      </c>
      <c r="C288" s="2" t="s">
        <v>1430</v>
      </c>
      <c r="D288" s="2" t="s">
        <v>5158</v>
      </c>
      <c r="E288" s="2" t="s">
        <v>5159</v>
      </c>
      <c r="F288" s="2">
        <v>0.25850000000000001</v>
      </c>
      <c r="G288" s="2">
        <v>69</v>
      </c>
      <c r="H288" s="2">
        <f>Tabla_Items_Con_Existencia[[#This Row],[COSTO]]*Tabla_Items_Con_Existencia[[#This Row],[EXISTENCIA]]</f>
        <v>17.836500000000001</v>
      </c>
      <c r="I288" s="1">
        <f>IF(ISERROR(MATCH(Tabla_Items_Con_Existencia[[#This Row],[CODIGO]],Tabla_Items_Activos[CODIGO],0)),0,1)</f>
        <v>0</v>
      </c>
    </row>
    <row r="289" spans="1:9">
      <c r="A289" s="2" t="s">
        <v>6760</v>
      </c>
      <c r="B289" s="2" t="s">
        <v>126</v>
      </c>
      <c r="C289" s="2" t="s">
        <v>1431</v>
      </c>
      <c r="D289" s="2" t="s">
        <v>5187</v>
      </c>
      <c r="E289" s="2" t="s">
        <v>5159</v>
      </c>
      <c r="F289" s="2">
        <v>0.81</v>
      </c>
      <c r="G289" s="2">
        <v>20</v>
      </c>
      <c r="H289" s="2">
        <f>Tabla_Items_Con_Existencia[[#This Row],[COSTO]]*Tabla_Items_Con_Existencia[[#This Row],[EXISTENCIA]]</f>
        <v>16.200000000000003</v>
      </c>
      <c r="I289" s="1">
        <f>IF(ISERROR(MATCH(Tabla_Items_Con_Existencia[[#This Row],[CODIGO]],Tabla_Items_Activos[CODIGO],0)),0,1)</f>
        <v>0</v>
      </c>
    </row>
    <row r="290" spans="1:9">
      <c r="A290" s="2" t="s">
        <v>6760</v>
      </c>
      <c r="B290" s="2" t="s">
        <v>127</v>
      </c>
      <c r="C290" s="2" t="s">
        <v>1432</v>
      </c>
      <c r="D290" s="2" t="s">
        <v>5158</v>
      </c>
      <c r="E290" s="2" t="s">
        <v>5159</v>
      </c>
      <c r="F290" s="2">
        <v>0.83889999999999998</v>
      </c>
      <c r="G290" s="2">
        <v>18</v>
      </c>
      <c r="H290" s="2">
        <f>Tabla_Items_Con_Existencia[[#This Row],[COSTO]]*Tabla_Items_Con_Existencia[[#This Row],[EXISTENCIA]]</f>
        <v>15.100199999999999</v>
      </c>
      <c r="I290" s="1">
        <f>IF(ISERROR(MATCH(Tabla_Items_Con_Existencia[[#This Row],[CODIGO]],Tabla_Items_Activos[CODIGO],0)),0,1)</f>
        <v>0</v>
      </c>
    </row>
    <row r="291" spans="1:9">
      <c r="A291" s="2" t="s">
        <v>6760</v>
      </c>
      <c r="B291" s="2" t="s">
        <v>6795</v>
      </c>
      <c r="C291" s="2" t="s">
        <v>7110</v>
      </c>
      <c r="D291" s="2" t="s">
        <v>5158</v>
      </c>
      <c r="E291" s="2" t="s">
        <v>5159</v>
      </c>
      <c r="F291" s="2">
        <v>1.34</v>
      </c>
      <c r="G291" s="2">
        <v>10</v>
      </c>
      <c r="H291" s="2">
        <f>Tabla_Items_Con_Existencia[[#This Row],[COSTO]]*Tabla_Items_Con_Existencia[[#This Row],[EXISTENCIA]]</f>
        <v>13.4</v>
      </c>
      <c r="I291" s="1">
        <f>IF(ISERROR(MATCH(Tabla_Items_Con_Existencia[[#This Row],[CODIGO]],Tabla_Items_Activos[CODIGO],0)),0,1)</f>
        <v>0</v>
      </c>
    </row>
    <row r="292" spans="1:9">
      <c r="A292" s="2" t="s">
        <v>6760</v>
      </c>
      <c r="B292" s="2" t="s">
        <v>128</v>
      </c>
      <c r="C292" s="2" t="s">
        <v>1433</v>
      </c>
      <c r="D292" s="2" t="s">
        <v>5158</v>
      </c>
      <c r="E292" s="2" t="s">
        <v>5159</v>
      </c>
      <c r="F292" s="2">
        <v>1.2270000000000001</v>
      </c>
      <c r="G292" s="2">
        <v>20</v>
      </c>
      <c r="H292" s="2">
        <f>Tabla_Items_Con_Existencia[[#This Row],[COSTO]]*Tabla_Items_Con_Existencia[[#This Row],[EXISTENCIA]]</f>
        <v>24.540000000000003</v>
      </c>
      <c r="I292" s="1">
        <f>IF(ISERROR(MATCH(Tabla_Items_Con_Existencia[[#This Row],[CODIGO]],Tabla_Items_Activos[CODIGO],0)),0,1)</f>
        <v>0</v>
      </c>
    </row>
    <row r="293" spans="1:9">
      <c r="A293" s="2" t="s">
        <v>6760</v>
      </c>
      <c r="B293" s="2" t="s">
        <v>129</v>
      </c>
      <c r="C293" s="2" t="s">
        <v>1434</v>
      </c>
      <c r="D293" s="2" t="s">
        <v>5187</v>
      </c>
      <c r="E293" s="2" t="s">
        <v>5159</v>
      </c>
      <c r="F293" s="2">
        <v>32.9</v>
      </c>
      <c r="G293" s="2">
        <v>4</v>
      </c>
      <c r="H293" s="2">
        <f>Tabla_Items_Con_Existencia[[#This Row],[COSTO]]*Tabla_Items_Con_Existencia[[#This Row],[EXISTENCIA]]</f>
        <v>131.6</v>
      </c>
      <c r="I293" s="1">
        <f>IF(ISERROR(MATCH(Tabla_Items_Con_Existencia[[#This Row],[CODIGO]],Tabla_Items_Activos[CODIGO],0)),0,1)</f>
        <v>0</v>
      </c>
    </row>
    <row r="294" spans="1:9">
      <c r="A294" s="2" t="s">
        <v>6760</v>
      </c>
      <c r="B294" s="2" t="s">
        <v>130</v>
      </c>
      <c r="C294" s="2" t="s">
        <v>1435</v>
      </c>
      <c r="D294" s="2" t="s">
        <v>5158</v>
      </c>
      <c r="E294" s="2" t="s">
        <v>5159</v>
      </c>
      <c r="F294" s="2">
        <v>28.9602</v>
      </c>
      <c r="G294" s="2">
        <v>6</v>
      </c>
      <c r="H294" s="2">
        <f>Tabla_Items_Con_Existencia[[#This Row],[COSTO]]*Tabla_Items_Con_Existencia[[#This Row],[EXISTENCIA]]</f>
        <v>173.7612</v>
      </c>
      <c r="I294" s="1">
        <f>IF(ISERROR(MATCH(Tabla_Items_Con_Existencia[[#This Row],[CODIGO]],Tabla_Items_Activos[CODIGO],0)),0,1)</f>
        <v>0</v>
      </c>
    </row>
    <row r="295" spans="1:9">
      <c r="A295" s="2" t="s">
        <v>6760</v>
      </c>
      <c r="B295" s="2" t="s">
        <v>131</v>
      </c>
      <c r="C295" s="2" t="s">
        <v>1436</v>
      </c>
      <c r="D295" s="2" t="s">
        <v>5186</v>
      </c>
      <c r="E295" s="2" t="s">
        <v>5159</v>
      </c>
      <c r="F295" s="2">
        <v>119.48</v>
      </c>
      <c r="G295" s="2">
        <v>1</v>
      </c>
      <c r="H295" s="2">
        <f>Tabla_Items_Con_Existencia[[#This Row],[COSTO]]*Tabla_Items_Con_Existencia[[#This Row],[EXISTENCIA]]</f>
        <v>119.48</v>
      </c>
      <c r="I295" s="1">
        <f>IF(ISERROR(MATCH(Tabla_Items_Con_Existencia[[#This Row],[CODIGO]],Tabla_Items_Activos[CODIGO],0)),0,1)</f>
        <v>0</v>
      </c>
    </row>
    <row r="296" spans="1:9">
      <c r="A296" s="2" t="s">
        <v>6760</v>
      </c>
      <c r="B296" s="2" t="s">
        <v>132</v>
      </c>
      <c r="C296" s="2" t="s">
        <v>1437</v>
      </c>
      <c r="D296" s="2" t="s">
        <v>5161</v>
      </c>
      <c r="E296" s="2" t="s">
        <v>5159</v>
      </c>
      <c r="F296" s="2">
        <v>44.93</v>
      </c>
      <c r="G296" s="2">
        <v>4</v>
      </c>
      <c r="H296" s="2">
        <f>Tabla_Items_Con_Existencia[[#This Row],[COSTO]]*Tabla_Items_Con_Existencia[[#This Row],[EXISTENCIA]]</f>
        <v>179.72</v>
      </c>
      <c r="I296" s="1">
        <f>IF(ISERROR(MATCH(Tabla_Items_Con_Existencia[[#This Row],[CODIGO]],Tabla_Items_Activos[CODIGO],0)),0,1)</f>
        <v>0</v>
      </c>
    </row>
    <row r="297" spans="1:9">
      <c r="A297" s="2" t="s">
        <v>6760</v>
      </c>
      <c r="B297" s="2" t="s">
        <v>133</v>
      </c>
      <c r="C297" s="2" t="s">
        <v>1438</v>
      </c>
      <c r="D297" s="2" t="s">
        <v>5158</v>
      </c>
      <c r="E297" s="2" t="s">
        <v>5159</v>
      </c>
      <c r="F297" s="2">
        <v>46.802999999999997</v>
      </c>
      <c r="G297" s="2">
        <v>4</v>
      </c>
      <c r="H297" s="2">
        <f>Tabla_Items_Con_Existencia[[#This Row],[COSTO]]*Tabla_Items_Con_Existencia[[#This Row],[EXISTENCIA]]</f>
        <v>187.21199999999999</v>
      </c>
      <c r="I297" s="1">
        <f>IF(ISERROR(MATCH(Tabla_Items_Con_Existencia[[#This Row],[CODIGO]],Tabla_Items_Activos[CODIGO],0)),0,1)</f>
        <v>0</v>
      </c>
    </row>
    <row r="298" spans="1:9">
      <c r="A298" s="2" t="s">
        <v>6761</v>
      </c>
      <c r="B298" s="2" t="s">
        <v>134</v>
      </c>
      <c r="C298" s="2" t="s">
        <v>1439</v>
      </c>
      <c r="D298" s="2" t="s">
        <v>6365</v>
      </c>
      <c r="E298" s="2" t="s">
        <v>5159</v>
      </c>
      <c r="F298" s="2">
        <v>2.1415157900000001</v>
      </c>
      <c r="G298" s="2">
        <v>63</v>
      </c>
      <c r="H298" s="2">
        <f>Tabla_Items_Con_Existencia[[#This Row],[COSTO]]*Tabla_Items_Con_Existencia[[#This Row],[EXISTENCIA]]</f>
        <v>134.91549477000001</v>
      </c>
      <c r="I298" s="1">
        <f>IF(ISERROR(MATCH(Tabla_Items_Con_Existencia[[#This Row],[CODIGO]],Tabla_Items_Activos[CODIGO],0)),0,1)</f>
        <v>0</v>
      </c>
    </row>
    <row r="299" spans="1:9">
      <c r="A299" s="2" t="s">
        <v>6760</v>
      </c>
      <c r="B299" s="2" t="s">
        <v>134</v>
      </c>
      <c r="C299" s="2" t="s">
        <v>1439</v>
      </c>
      <c r="D299" s="2" t="s">
        <v>6365</v>
      </c>
      <c r="E299" s="2" t="s">
        <v>5159</v>
      </c>
      <c r="F299" s="2">
        <v>2.1415157900000001</v>
      </c>
      <c r="G299" s="2">
        <v>63</v>
      </c>
      <c r="H299" s="2">
        <f>Tabla_Items_Con_Existencia[[#This Row],[COSTO]]*Tabla_Items_Con_Existencia[[#This Row],[EXISTENCIA]]</f>
        <v>134.91549477000001</v>
      </c>
      <c r="I299" s="1">
        <f>IF(ISERROR(MATCH(Tabla_Items_Con_Existencia[[#This Row],[CODIGO]],Tabla_Items_Activos[CODIGO],0)),0,1)</f>
        <v>0</v>
      </c>
    </row>
    <row r="300" spans="1:9">
      <c r="A300" s="2" t="s">
        <v>6760</v>
      </c>
      <c r="B300" s="2" t="s">
        <v>135</v>
      </c>
      <c r="C300" s="2" t="s">
        <v>1440</v>
      </c>
      <c r="D300" s="2" t="s">
        <v>5187</v>
      </c>
      <c r="E300" s="2" t="s">
        <v>5159</v>
      </c>
      <c r="F300" s="2">
        <v>2.14</v>
      </c>
      <c r="G300" s="2">
        <v>2</v>
      </c>
      <c r="H300" s="2">
        <f>Tabla_Items_Con_Existencia[[#This Row],[COSTO]]*Tabla_Items_Con_Existencia[[#This Row],[EXISTENCIA]]</f>
        <v>4.28</v>
      </c>
      <c r="I300" s="1">
        <f>IF(ISERROR(MATCH(Tabla_Items_Con_Existencia[[#This Row],[CODIGO]],Tabla_Items_Activos[CODIGO],0)),0,1)</f>
        <v>0</v>
      </c>
    </row>
    <row r="301" spans="1:9">
      <c r="A301" s="2" t="s">
        <v>6760</v>
      </c>
      <c r="B301" s="2" t="s">
        <v>1441</v>
      </c>
      <c r="C301" s="2" t="s">
        <v>1442</v>
      </c>
      <c r="D301" s="2" t="s">
        <v>5190</v>
      </c>
      <c r="E301" s="2" t="s">
        <v>5159</v>
      </c>
      <c r="F301" s="2">
        <v>16.968947369999999</v>
      </c>
      <c r="G301" s="2">
        <v>21</v>
      </c>
      <c r="H301" s="2">
        <f>Tabla_Items_Con_Existencia[[#This Row],[COSTO]]*Tabla_Items_Con_Existencia[[#This Row],[EXISTENCIA]]</f>
        <v>356.34789476999998</v>
      </c>
      <c r="I301" s="1">
        <f>IF(ISERROR(MATCH(Tabla_Items_Con_Existencia[[#This Row],[CODIGO]],Tabla_Items_Activos[CODIGO],0)),0,1)</f>
        <v>0</v>
      </c>
    </row>
    <row r="302" spans="1:9">
      <c r="A302" s="2" t="s">
        <v>6761</v>
      </c>
      <c r="B302" s="2" t="s">
        <v>1441</v>
      </c>
      <c r="C302" s="2" t="s">
        <v>1442</v>
      </c>
      <c r="D302" s="2" t="s">
        <v>5190</v>
      </c>
      <c r="E302" s="2" t="s">
        <v>5159</v>
      </c>
      <c r="F302" s="2">
        <v>16.968947369999999</v>
      </c>
      <c r="G302" s="2">
        <v>21</v>
      </c>
      <c r="H302" s="2">
        <f>Tabla_Items_Con_Existencia[[#This Row],[COSTO]]*Tabla_Items_Con_Existencia[[#This Row],[EXISTENCIA]]</f>
        <v>356.34789476999998</v>
      </c>
      <c r="I302" s="1">
        <f>IF(ISERROR(MATCH(Tabla_Items_Con_Existencia[[#This Row],[CODIGO]],Tabla_Items_Activos[CODIGO],0)),0,1)</f>
        <v>0</v>
      </c>
    </row>
    <row r="303" spans="1:9">
      <c r="A303" s="2" t="s">
        <v>6760</v>
      </c>
      <c r="B303" s="2" t="s">
        <v>1443</v>
      </c>
      <c r="C303" s="2" t="s">
        <v>1444</v>
      </c>
      <c r="D303" s="2" t="s">
        <v>5190</v>
      </c>
      <c r="E303" s="2" t="s">
        <v>5159</v>
      </c>
      <c r="F303" s="2">
        <v>26.801052630000001</v>
      </c>
      <c r="G303" s="2">
        <v>24</v>
      </c>
      <c r="H303" s="2">
        <f>Tabla_Items_Con_Existencia[[#This Row],[COSTO]]*Tabla_Items_Con_Existencia[[#This Row],[EXISTENCIA]]</f>
        <v>643.22526312000002</v>
      </c>
      <c r="I303" s="1">
        <f>IF(ISERROR(MATCH(Tabla_Items_Con_Existencia[[#This Row],[CODIGO]],Tabla_Items_Activos[CODIGO],0)),0,1)</f>
        <v>0</v>
      </c>
    </row>
    <row r="304" spans="1:9">
      <c r="A304" s="2" t="s">
        <v>6761</v>
      </c>
      <c r="B304" s="2" t="s">
        <v>1443</v>
      </c>
      <c r="C304" s="2" t="s">
        <v>1444</v>
      </c>
      <c r="D304" s="2" t="s">
        <v>5190</v>
      </c>
      <c r="E304" s="2" t="s">
        <v>5159</v>
      </c>
      <c r="F304" s="2">
        <v>26.801052630000001</v>
      </c>
      <c r="G304" s="2">
        <v>24</v>
      </c>
      <c r="H304" s="2">
        <f>Tabla_Items_Con_Existencia[[#This Row],[COSTO]]*Tabla_Items_Con_Existencia[[#This Row],[EXISTENCIA]]</f>
        <v>643.22526312000002</v>
      </c>
      <c r="I304" s="1">
        <f>IF(ISERROR(MATCH(Tabla_Items_Con_Existencia[[#This Row],[CODIGO]],Tabla_Items_Activos[CODIGO],0)),0,1)</f>
        <v>0</v>
      </c>
    </row>
    <row r="305" spans="1:9">
      <c r="A305" s="2" t="s">
        <v>6760</v>
      </c>
      <c r="B305" s="2" t="s">
        <v>6796</v>
      </c>
      <c r="C305" s="2" t="s">
        <v>4981</v>
      </c>
      <c r="D305" s="2" t="s">
        <v>5190</v>
      </c>
      <c r="E305" s="2" t="s">
        <v>5159</v>
      </c>
      <c r="F305" s="2">
        <v>53.32691852</v>
      </c>
      <c r="G305" s="2">
        <v>4</v>
      </c>
      <c r="H305" s="2">
        <f>Tabla_Items_Con_Existencia[[#This Row],[COSTO]]*Tabla_Items_Con_Existencia[[#This Row],[EXISTENCIA]]</f>
        <v>213.30767408</v>
      </c>
      <c r="I305" s="1">
        <f>IF(ISERROR(MATCH(Tabla_Items_Con_Existencia[[#This Row],[CODIGO]],Tabla_Items_Activos[CODIGO],0)),0,1)</f>
        <v>0</v>
      </c>
    </row>
    <row r="306" spans="1:9">
      <c r="A306" s="2" t="s">
        <v>6761</v>
      </c>
      <c r="B306" s="2" t="s">
        <v>6796</v>
      </c>
      <c r="C306" s="2" t="s">
        <v>4981</v>
      </c>
      <c r="D306" s="2" t="s">
        <v>5190</v>
      </c>
      <c r="E306" s="2" t="s">
        <v>5159</v>
      </c>
      <c r="F306" s="2">
        <v>53.32691852</v>
      </c>
      <c r="G306" s="2">
        <v>4</v>
      </c>
      <c r="H306" s="2">
        <f>Tabla_Items_Con_Existencia[[#This Row],[COSTO]]*Tabla_Items_Con_Existencia[[#This Row],[EXISTENCIA]]</f>
        <v>213.30767408</v>
      </c>
      <c r="I306" s="1">
        <f>IF(ISERROR(MATCH(Tabla_Items_Con_Existencia[[#This Row],[CODIGO]],Tabla_Items_Activos[CODIGO],0)),0,1)</f>
        <v>0</v>
      </c>
    </row>
    <row r="307" spans="1:9">
      <c r="A307" s="2" t="s">
        <v>6759</v>
      </c>
      <c r="B307" s="2" t="s">
        <v>6796</v>
      </c>
      <c r="C307" s="2" t="s">
        <v>4981</v>
      </c>
      <c r="D307" s="2" t="s">
        <v>5190</v>
      </c>
      <c r="E307" s="2" t="s">
        <v>5159</v>
      </c>
      <c r="F307" s="2">
        <v>53.32691852</v>
      </c>
      <c r="G307" s="2">
        <v>4</v>
      </c>
      <c r="H307" s="2">
        <f>Tabla_Items_Con_Existencia[[#This Row],[COSTO]]*Tabla_Items_Con_Existencia[[#This Row],[EXISTENCIA]]</f>
        <v>213.30767408</v>
      </c>
      <c r="I307" s="1">
        <f>IF(ISERROR(MATCH(Tabla_Items_Con_Existencia[[#This Row],[CODIGO]],Tabla_Items_Activos[CODIGO],0)),0,1)</f>
        <v>0</v>
      </c>
    </row>
    <row r="308" spans="1:9">
      <c r="A308" s="2" t="s">
        <v>6760</v>
      </c>
      <c r="B308" s="2" t="s">
        <v>136</v>
      </c>
      <c r="C308" s="2" t="s">
        <v>1445</v>
      </c>
      <c r="D308" s="2" t="s">
        <v>5186</v>
      </c>
      <c r="E308" s="2" t="s">
        <v>5159</v>
      </c>
      <c r="F308" s="2">
        <v>111.27</v>
      </c>
      <c r="G308" s="2">
        <v>2</v>
      </c>
      <c r="H308" s="2">
        <f>Tabla_Items_Con_Existencia[[#This Row],[COSTO]]*Tabla_Items_Con_Existencia[[#This Row],[EXISTENCIA]]</f>
        <v>222.54</v>
      </c>
      <c r="I308" s="1">
        <f>IF(ISERROR(MATCH(Tabla_Items_Con_Existencia[[#This Row],[CODIGO]],Tabla_Items_Activos[CODIGO],0)),0,1)</f>
        <v>0</v>
      </c>
    </row>
    <row r="309" spans="1:9">
      <c r="A309" s="2" t="s">
        <v>6760</v>
      </c>
      <c r="B309" s="2" t="s">
        <v>137</v>
      </c>
      <c r="C309" s="2" t="s">
        <v>1446</v>
      </c>
      <c r="D309" s="2" t="s">
        <v>5186</v>
      </c>
      <c r="E309" s="2" t="s">
        <v>5159</v>
      </c>
      <c r="F309" s="2">
        <v>2.52</v>
      </c>
      <c r="G309" s="2">
        <v>5</v>
      </c>
      <c r="H309" s="2">
        <f>Tabla_Items_Con_Existencia[[#This Row],[COSTO]]*Tabla_Items_Con_Existencia[[#This Row],[EXISTENCIA]]</f>
        <v>12.6</v>
      </c>
      <c r="I309" s="1">
        <f>IF(ISERROR(MATCH(Tabla_Items_Con_Existencia[[#This Row],[CODIGO]],Tabla_Items_Activos[CODIGO],0)),0,1)</f>
        <v>0</v>
      </c>
    </row>
    <row r="310" spans="1:9">
      <c r="A310" s="2" t="s">
        <v>6760</v>
      </c>
      <c r="B310" s="2" t="s">
        <v>138</v>
      </c>
      <c r="C310" s="2" t="s">
        <v>1447</v>
      </c>
      <c r="D310" s="2" t="s">
        <v>5186</v>
      </c>
      <c r="E310" s="2" t="s">
        <v>5159</v>
      </c>
      <c r="F310" s="2">
        <v>1.1200000000000001</v>
      </c>
      <c r="G310" s="2">
        <v>5</v>
      </c>
      <c r="H310" s="2">
        <f>Tabla_Items_Con_Existencia[[#This Row],[COSTO]]*Tabla_Items_Con_Existencia[[#This Row],[EXISTENCIA]]</f>
        <v>5.6000000000000005</v>
      </c>
      <c r="I310" s="1">
        <f>IF(ISERROR(MATCH(Tabla_Items_Con_Existencia[[#This Row],[CODIGO]],Tabla_Items_Activos[CODIGO],0)),0,1)</f>
        <v>0</v>
      </c>
    </row>
    <row r="311" spans="1:9">
      <c r="A311" s="2" t="s">
        <v>6760</v>
      </c>
      <c r="B311" s="2" t="s">
        <v>139</v>
      </c>
      <c r="C311" s="2" t="s">
        <v>1448</v>
      </c>
      <c r="D311" s="2" t="s">
        <v>5186</v>
      </c>
      <c r="E311" s="2" t="s">
        <v>5159</v>
      </c>
      <c r="F311" s="2">
        <v>1.28</v>
      </c>
      <c r="G311" s="2">
        <v>5</v>
      </c>
      <c r="H311" s="2">
        <f>Tabla_Items_Con_Existencia[[#This Row],[COSTO]]*Tabla_Items_Con_Existencia[[#This Row],[EXISTENCIA]]</f>
        <v>6.4</v>
      </c>
      <c r="I311" s="1">
        <f>IF(ISERROR(MATCH(Tabla_Items_Con_Existencia[[#This Row],[CODIGO]],Tabla_Items_Activos[CODIGO],0)),0,1)</f>
        <v>0</v>
      </c>
    </row>
    <row r="312" spans="1:9">
      <c r="A312" s="2" t="s">
        <v>6760</v>
      </c>
      <c r="B312" s="2" t="s">
        <v>140</v>
      </c>
      <c r="C312" s="2" t="s">
        <v>1449</v>
      </c>
      <c r="D312" s="2" t="s">
        <v>5186</v>
      </c>
      <c r="E312" s="2" t="s">
        <v>5159</v>
      </c>
      <c r="F312" s="2">
        <v>6.48</v>
      </c>
      <c r="G312" s="2">
        <v>5</v>
      </c>
      <c r="H312" s="2">
        <f>Tabla_Items_Con_Existencia[[#This Row],[COSTO]]*Tabla_Items_Con_Existencia[[#This Row],[EXISTENCIA]]</f>
        <v>32.400000000000006</v>
      </c>
      <c r="I312" s="1">
        <f>IF(ISERROR(MATCH(Tabla_Items_Con_Existencia[[#This Row],[CODIGO]],Tabla_Items_Activos[CODIGO],0)),0,1)</f>
        <v>0</v>
      </c>
    </row>
    <row r="313" spans="1:9">
      <c r="A313" s="2" t="s">
        <v>6760</v>
      </c>
      <c r="B313" s="2" t="s">
        <v>141</v>
      </c>
      <c r="C313" s="2" t="s">
        <v>1450</v>
      </c>
      <c r="D313" s="2" t="s">
        <v>5186</v>
      </c>
      <c r="E313" s="2" t="s">
        <v>5159</v>
      </c>
      <c r="F313" s="2">
        <v>1.1200000000000001</v>
      </c>
      <c r="G313" s="2">
        <v>5</v>
      </c>
      <c r="H313" s="2">
        <f>Tabla_Items_Con_Existencia[[#This Row],[COSTO]]*Tabla_Items_Con_Existencia[[#This Row],[EXISTENCIA]]</f>
        <v>5.6000000000000005</v>
      </c>
      <c r="I313" s="1">
        <f>IF(ISERROR(MATCH(Tabla_Items_Con_Existencia[[#This Row],[CODIGO]],Tabla_Items_Activos[CODIGO],0)),0,1)</f>
        <v>0</v>
      </c>
    </row>
    <row r="314" spans="1:9">
      <c r="A314" s="2" t="s">
        <v>6760</v>
      </c>
      <c r="B314" s="2" t="s">
        <v>142</v>
      </c>
      <c r="C314" s="2" t="s">
        <v>1451</v>
      </c>
      <c r="D314" s="2" t="s">
        <v>5186</v>
      </c>
      <c r="E314" s="2" t="s">
        <v>5159</v>
      </c>
      <c r="F314" s="2">
        <v>9.52</v>
      </c>
      <c r="G314" s="2">
        <v>5</v>
      </c>
      <c r="H314" s="2">
        <f>Tabla_Items_Con_Existencia[[#This Row],[COSTO]]*Tabla_Items_Con_Existencia[[#This Row],[EXISTENCIA]]</f>
        <v>47.599999999999994</v>
      </c>
      <c r="I314" s="1">
        <f>IF(ISERROR(MATCH(Tabla_Items_Con_Existencia[[#This Row],[CODIGO]],Tabla_Items_Activos[CODIGO],0)),0,1)</f>
        <v>0</v>
      </c>
    </row>
    <row r="315" spans="1:9">
      <c r="A315" s="2" t="s">
        <v>6760</v>
      </c>
      <c r="B315" s="2" t="s">
        <v>143</v>
      </c>
      <c r="C315" s="2" t="s">
        <v>1452</v>
      </c>
      <c r="D315" s="2" t="s">
        <v>5186</v>
      </c>
      <c r="E315" s="2" t="s">
        <v>5159</v>
      </c>
      <c r="F315" s="2">
        <v>53.430199999999999</v>
      </c>
      <c r="G315" s="2">
        <v>4</v>
      </c>
      <c r="H315" s="2">
        <f>Tabla_Items_Con_Existencia[[#This Row],[COSTO]]*Tabla_Items_Con_Existencia[[#This Row],[EXISTENCIA]]</f>
        <v>213.7208</v>
      </c>
      <c r="I315" s="1">
        <f>IF(ISERROR(MATCH(Tabla_Items_Con_Existencia[[#This Row],[CODIGO]],Tabla_Items_Activos[CODIGO],0)),0,1)</f>
        <v>0</v>
      </c>
    </row>
    <row r="316" spans="1:9">
      <c r="A316" s="2" t="s">
        <v>6760</v>
      </c>
      <c r="B316" s="2" t="s">
        <v>144</v>
      </c>
      <c r="C316" s="2" t="s">
        <v>1453</v>
      </c>
      <c r="D316" s="2" t="s">
        <v>5158</v>
      </c>
      <c r="E316" s="2" t="s">
        <v>5159</v>
      </c>
      <c r="F316" s="2">
        <v>32.294863159999998</v>
      </c>
      <c r="G316" s="2">
        <v>9</v>
      </c>
      <c r="H316" s="2">
        <f>Tabla_Items_Con_Existencia[[#This Row],[COSTO]]*Tabla_Items_Con_Existencia[[#This Row],[EXISTENCIA]]</f>
        <v>290.65376843999996</v>
      </c>
      <c r="I316" s="1">
        <f>IF(ISERROR(MATCH(Tabla_Items_Con_Existencia[[#This Row],[CODIGO]],Tabla_Items_Activos[CODIGO],0)),0,1)</f>
        <v>0</v>
      </c>
    </row>
    <row r="317" spans="1:9">
      <c r="A317" s="2" t="s">
        <v>6761</v>
      </c>
      <c r="B317" s="2" t="s">
        <v>144</v>
      </c>
      <c r="C317" s="2" t="s">
        <v>1453</v>
      </c>
      <c r="D317" s="2" t="s">
        <v>5158</v>
      </c>
      <c r="E317" s="2" t="s">
        <v>5159</v>
      </c>
      <c r="F317" s="2">
        <v>32.294863159999998</v>
      </c>
      <c r="G317" s="2">
        <v>9</v>
      </c>
      <c r="H317" s="2">
        <f>Tabla_Items_Con_Existencia[[#This Row],[COSTO]]*Tabla_Items_Con_Existencia[[#This Row],[EXISTENCIA]]</f>
        <v>290.65376843999996</v>
      </c>
      <c r="I317" s="1">
        <f>IF(ISERROR(MATCH(Tabla_Items_Con_Existencia[[#This Row],[CODIGO]],Tabla_Items_Activos[CODIGO],0)),0,1)</f>
        <v>0</v>
      </c>
    </row>
    <row r="318" spans="1:9">
      <c r="A318" s="2" t="s">
        <v>6760</v>
      </c>
      <c r="B318" s="2" t="s">
        <v>145</v>
      </c>
      <c r="C318" s="2" t="s">
        <v>1454</v>
      </c>
      <c r="D318" s="2" t="s">
        <v>5187</v>
      </c>
      <c r="E318" s="2" t="s">
        <v>5159</v>
      </c>
      <c r="F318" s="2">
        <v>26.18</v>
      </c>
      <c r="G318" s="2">
        <v>2</v>
      </c>
      <c r="H318" s="2">
        <f>Tabla_Items_Con_Existencia[[#This Row],[COSTO]]*Tabla_Items_Con_Existencia[[#This Row],[EXISTENCIA]]</f>
        <v>52.36</v>
      </c>
      <c r="I318" s="1">
        <f>IF(ISERROR(MATCH(Tabla_Items_Con_Existencia[[#This Row],[CODIGO]],Tabla_Items_Activos[CODIGO],0)),0,1)</f>
        <v>0</v>
      </c>
    </row>
    <row r="319" spans="1:9">
      <c r="A319" s="2" t="s">
        <v>6760</v>
      </c>
      <c r="B319" s="2" t="s">
        <v>146</v>
      </c>
      <c r="C319" s="2" t="s">
        <v>1455</v>
      </c>
      <c r="D319" s="2" t="s">
        <v>5158</v>
      </c>
      <c r="E319" s="2" t="s">
        <v>5159</v>
      </c>
      <c r="F319" s="2">
        <v>29.754999999999999</v>
      </c>
      <c r="G319" s="2">
        <v>8</v>
      </c>
      <c r="H319" s="2">
        <f>Tabla_Items_Con_Existencia[[#This Row],[COSTO]]*Tabla_Items_Con_Existencia[[#This Row],[EXISTENCIA]]</f>
        <v>238.04</v>
      </c>
      <c r="I319" s="1">
        <f>IF(ISERROR(MATCH(Tabla_Items_Con_Existencia[[#This Row],[CODIGO]],Tabla_Items_Activos[CODIGO],0)),0,1)</f>
        <v>0</v>
      </c>
    </row>
    <row r="320" spans="1:9">
      <c r="A320" s="2" t="s">
        <v>6760</v>
      </c>
      <c r="B320" s="2" t="s">
        <v>147</v>
      </c>
      <c r="C320" s="2" t="s">
        <v>1456</v>
      </c>
      <c r="D320" s="2" t="s">
        <v>5158</v>
      </c>
      <c r="E320" s="2" t="s">
        <v>5159</v>
      </c>
      <c r="F320" s="2">
        <v>29.276</v>
      </c>
      <c r="G320" s="2">
        <v>7</v>
      </c>
      <c r="H320" s="2">
        <f>Tabla_Items_Con_Existencia[[#This Row],[COSTO]]*Tabla_Items_Con_Existencia[[#This Row],[EXISTENCIA]]</f>
        <v>204.93199999999999</v>
      </c>
      <c r="I320" s="1">
        <f>IF(ISERROR(MATCH(Tabla_Items_Con_Existencia[[#This Row],[CODIGO]],Tabla_Items_Activos[CODIGO],0)),0,1)</f>
        <v>0</v>
      </c>
    </row>
    <row r="321" spans="1:9">
      <c r="A321" s="2" t="s">
        <v>6760</v>
      </c>
      <c r="B321" s="2" t="s">
        <v>148</v>
      </c>
      <c r="C321" s="2" t="s">
        <v>1457</v>
      </c>
      <c r="D321" s="2" t="s">
        <v>5186</v>
      </c>
      <c r="E321" s="2" t="s">
        <v>5159</v>
      </c>
      <c r="F321" s="2">
        <v>32.01</v>
      </c>
      <c r="G321" s="2">
        <v>3</v>
      </c>
      <c r="H321" s="2">
        <f>Tabla_Items_Con_Existencia[[#This Row],[COSTO]]*Tabla_Items_Con_Existencia[[#This Row],[EXISTENCIA]]</f>
        <v>96.03</v>
      </c>
      <c r="I321" s="1">
        <f>IF(ISERROR(MATCH(Tabla_Items_Con_Existencia[[#This Row],[CODIGO]],Tabla_Items_Activos[CODIGO],0)),0,1)</f>
        <v>0</v>
      </c>
    </row>
    <row r="322" spans="1:9">
      <c r="A322" s="2" t="s">
        <v>6760</v>
      </c>
      <c r="B322" s="2" t="s">
        <v>149</v>
      </c>
      <c r="C322" s="2" t="s">
        <v>1458</v>
      </c>
      <c r="D322" s="2" t="s">
        <v>5186</v>
      </c>
      <c r="E322" s="2" t="s">
        <v>5159</v>
      </c>
      <c r="F322" s="2">
        <v>49.57</v>
      </c>
      <c r="G322" s="2">
        <v>4</v>
      </c>
      <c r="H322" s="2">
        <f>Tabla_Items_Con_Existencia[[#This Row],[COSTO]]*Tabla_Items_Con_Existencia[[#This Row],[EXISTENCIA]]</f>
        <v>198.28</v>
      </c>
      <c r="I322" s="1">
        <f>IF(ISERROR(MATCH(Tabla_Items_Con_Existencia[[#This Row],[CODIGO]],Tabla_Items_Activos[CODIGO],0)),0,1)</f>
        <v>0</v>
      </c>
    </row>
    <row r="323" spans="1:9">
      <c r="A323" s="2" t="s">
        <v>6760</v>
      </c>
      <c r="B323" s="2" t="s">
        <v>150</v>
      </c>
      <c r="C323" s="2" t="s">
        <v>1459</v>
      </c>
      <c r="D323" s="2" t="s">
        <v>5187</v>
      </c>
      <c r="E323" s="2" t="s">
        <v>5159</v>
      </c>
      <c r="F323" s="2">
        <v>9.5399999999999991</v>
      </c>
      <c r="G323" s="2">
        <v>3</v>
      </c>
      <c r="H323" s="2">
        <f>Tabla_Items_Con_Existencia[[#This Row],[COSTO]]*Tabla_Items_Con_Existencia[[#This Row],[EXISTENCIA]]</f>
        <v>28.619999999999997</v>
      </c>
      <c r="I323" s="1">
        <f>IF(ISERROR(MATCH(Tabla_Items_Con_Existencia[[#This Row],[CODIGO]],Tabla_Items_Activos[CODIGO],0)),0,1)</f>
        <v>0</v>
      </c>
    </row>
    <row r="324" spans="1:9">
      <c r="A324" s="2" t="s">
        <v>6760</v>
      </c>
      <c r="B324" s="2" t="s">
        <v>151</v>
      </c>
      <c r="C324" s="2" t="s">
        <v>1460</v>
      </c>
      <c r="D324" s="2" t="s">
        <v>5186</v>
      </c>
      <c r="E324" s="2" t="s">
        <v>5159</v>
      </c>
      <c r="F324" s="2">
        <v>2.7407789500000002</v>
      </c>
      <c r="G324" s="2">
        <v>23</v>
      </c>
      <c r="H324" s="2">
        <f>Tabla_Items_Con_Existencia[[#This Row],[COSTO]]*Tabla_Items_Con_Existencia[[#This Row],[EXISTENCIA]]</f>
        <v>63.037915850000005</v>
      </c>
      <c r="I324" s="1">
        <f>IF(ISERROR(MATCH(Tabla_Items_Con_Existencia[[#This Row],[CODIGO]],Tabla_Items_Activos[CODIGO],0)),0,1)</f>
        <v>0</v>
      </c>
    </row>
    <row r="325" spans="1:9">
      <c r="A325" s="2" t="s">
        <v>6761</v>
      </c>
      <c r="B325" s="2" t="s">
        <v>151</v>
      </c>
      <c r="C325" s="2" t="s">
        <v>1460</v>
      </c>
      <c r="D325" s="2" t="s">
        <v>5186</v>
      </c>
      <c r="E325" s="2" t="s">
        <v>5159</v>
      </c>
      <c r="F325" s="2">
        <v>2.7407789500000002</v>
      </c>
      <c r="G325" s="2">
        <v>23</v>
      </c>
      <c r="H325" s="2">
        <f>Tabla_Items_Con_Existencia[[#This Row],[COSTO]]*Tabla_Items_Con_Existencia[[#This Row],[EXISTENCIA]]</f>
        <v>63.037915850000005</v>
      </c>
      <c r="I325" s="1">
        <f>IF(ISERROR(MATCH(Tabla_Items_Con_Existencia[[#This Row],[CODIGO]],Tabla_Items_Activos[CODIGO],0)),0,1)</f>
        <v>0</v>
      </c>
    </row>
    <row r="326" spans="1:9">
      <c r="A326" s="2" t="s">
        <v>6760</v>
      </c>
      <c r="B326" s="2" t="s">
        <v>152</v>
      </c>
      <c r="C326" s="2" t="s">
        <v>1461</v>
      </c>
      <c r="D326" s="2" t="s">
        <v>5187</v>
      </c>
      <c r="E326" s="2" t="s">
        <v>5159</v>
      </c>
      <c r="F326" s="2">
        <v>9.3970000000000002</v>
      </c>
      <c r="G326" s="2">
        <v>2</v>
      </c>
      <c r="H326" s="2">
        <f>Tabla_Items_Con_Existencia[[#This Row],[COSTO]]*Tabla_Items_Con_Existencia[[#This Row],[EXISTENCIA]]</f>
        <v>18.794</v>
      </c>
      <c r="I326" s="1">
        <f>IF(ISERROR(MATCH(Tabla_Items_Con_Existencia[[#This Row],[CODIGO]],Tabla_Items_Activos[CODIGO],0)),0,1)</f>
        <v>0</v>
      </c>
    </row>
    <row r="327" spans="1:9">
      <c r="A327" s="2" t="s">
        <v>6760</v>
      </c>
      <c r="B327" s="2" t="s">
        <v>153</v>
      </c>
      <c r="C327" s="2" t="s">
        <v>1462</v>
      </c>
      <c r="D327" s="2" t="s">
        <v>5158</v>
      </c>
      <c r="E327" s="2" t="s">
        <v>5159</v>
      </c>
      <c r="F327" s="2">
        <v>1.4630000000000001</v>
      </c>
      <c r="G327" s="2">
        <v>10</v>
      </c>
      <c r="H327" s="2">
        <f>Tabla_Items_Con_Existencia[[#This Row],[COSTO]]*Tabla_Items_Con_Existencia[[#This Row],[EXISTENCIA]]</f>
        <v>14.63</v>
      </c>
      <c r="I327" s="1">
        <f>IF(ISERROR(MATCH(Tabla_Items_Con_Existencia[[#This Row],[CODIGO]],Tabla_Items_Activos[CODIGO],0)),0,1)</f>
        <v>0</v>
      </c>
    </row>
    <row r="328" spans="1:9">
      <c r="A328" s="2" t="s">
        <v>6760</v>
      </c>
      <c r="B328" s="2" t="s">
        <v>154</v>
      </c>
      <c r="C328" s="2" t="s">
        <v>1463</v>
      </c>
      <c r="D328" s="2" t="s">
        <v>5158</v>
      </c>
      <c r="E328" s="2" t="s">
        <v>5159</v>
      </c>
      <c r="F328" s="2">
        <v>1.5409999999999999</v>
      </c>
      <c r="G328" s="2">
        <v>11</v>
      </c>
      <c r="H328" s="2">
        <f>Tabla_Items_Con_Existencia[[#This Row],[COSTO]]*Tabla_Items_Con_Existencia[[#This Row],[EXISTENCIA]]</f>
        <v>16.951000000000001</v>
      </c>
      <c r="I328" s="1">
        <f>IF(ISERROR(MATCH(Tabla_Items_Con_Existencia[[#This Row],[CODIGO]],Tabla_Items_Activos[CODIGO],0)),0,1)</f>
        <v>0</v>
      </c>
    </row>
    <row r="329" spans="1:9">
      <c r="A329" s="2" t="s">
        <v>6760</v>
      </c>
      <c r="B329" s="2" t="s">
        <v>6797</v>
      </c>
      <c r="C329" s="2" t="s">
        <v>6798</v>
      </c>
      <c r="D329" s="2" t="s">
        <v>5161</v>
      </c>
      <c r="E329" s="2" t="s">
        <v>5159</v>
      </c>
      <c r="F329" s="2">
        <v>2.3526315800000002</v>
      </c>
      <c r="G329" s="2">
        <v>2</v>
      </c>
      <c r="H329" s="2">
        <f>Tabla_Items_Con_Existencia[[#This Row],[COSTO]]*Tabla_Items_Con_Existencia[[#This Row],[EXISTENCIA]]</f>
        <v>4.7052631600000003</v>
      </c>
      <c r="I329" s="1">
        <f>IF(ISERROR(MATCH(Tabla_Items_Con_Existencia[[#This Row],[CODIGO]],Tabla_Items_Activos[CODIGO],0)),0,1)</f>
        <v>0</v>
      </c>
    </row>
    <row r="330" spans="1:9">
      <c r="A330" s="2" t="s">
        <v>6761</v>
      </c>
      <c r="B330" s="2" t="s">
        <v>6797</v>
      </c>
      <c r="C330" s="2" t="s">
        <v>6798</v>
      </c>
      <c r="D330" s="2" t="s">
        <v>5161</v>
      </c>
      <c r="E330" s="2" t="s">
        <v>5159</v>
      </c>
      <c r="F330" s="2">
        <v>2.3526315800000002</v>
      </c>
      <c r="G330" s="2">
        <v>2</v>
      </c>
      <c r="H330" s="2">
        <f>Tabla_Items_Con_Existencia[[#This Row],[COSTO]]*Tabla_Items_Con_Existencia[[#This Row],[EXISTENCIA]]</f>
        <v>4.7052631600000003</v>
      </c>
      <c r="I330" s="1">
        <f>IF(ISERROR(MATCH(Tabla_Items_Con_Existencia[[#This Row],[CODIGO]],Tabla_Items_Activos[CODIGO],0)),0,1)</f>
        <v>0</v>
      </c>
    </row>
    <row r="331" spans="1:9">
      <c r="A331" s="2" t="s">
        <v>6760</v>
      </c>
      <c r="B331" s="2" t="s">
        <v>155</v>
      </c>
      <c r="C331" s="2" t="s">
        <v>1464</v>
      </c>
      <c r="D331" s="2" t="s">
        <v>5158</v>
      </c>
      <c r="E331" s="2" t="s">
        <v>5159</v>
      </c>
      <c r="F331" s="2">
        <v>0.49299999999999999</v>
      </c>
      <c r="G331" s="2">
        <v>28</v>
      </c>
      <c r="H331" s="2">
        <f>Tabla_Items_Con_Existencia[[#This Row],[COSTO]]*Tabla_Items_Con_Existencia[[#This Row],[EXISTENCIA]]</f>
        <v>13.804</v>
      </c>
      <c r="I331" s="1">
        <f>IF(ISERROR(MATCH(Tabla_Items_Con_Existencia[[#This Row],[CODIGO]],Tabla_Items_Activos[CODIGO],0)),0,1)</f>
        <v>0</v>
      </c>
    </row>
    <row r="332" spans="1:9">
      <c r="A332" s="2" t="s">
        <v>6760</v>
      </c>
      <c r="B332" s="2" t="s">
        <v>156</v>
      </c>
      <c r="C332" s="2" t="s">
        <v>6799</v>
      </c>
      <c r="D332" s="2" t="s">
        <v>5186</v>
      </c>
      <c r="E332" s="2" t="s">
        <v>5159</v>
      </c>
      <c r="F332" s="2">
        <v>1.0169999999999999</v>
      </c>
      <c r="G332" s="2">
        <v>10</v>
      </c>
      <c r="H332" s="2">
        <f>Tabla_Items_Con_Existencia[[#This Row],[COSTO]]*Tabla_Items_Con_Existencia[[#This Row],[EXISTENCIA]]</f>
        <v>10.169999999999998</v>
      </c>
      <c r="I332" s="1">
        <f>IF(ISERROR(MATCH(Tabla_Items_Con_Existencia[[#This Row],[CODIGO]],Tabla_Items_Activos[CODIGO],0)),0,1)</f>
        <v>0</v>
      </c>
    </row>
    <row r="333" spans="1:9">
      <c r="A333" s="2" t="s">
        <v>6760</v>
      </c>
      <c r="B333" s="2" t="s">
        <v>157</v>
      </c>
      <c r="C333" s="2" t="s">
        <v>1466</v>
      </c>
      <c r="D333" s="2" t="s">
        <v>5186</v>
      </c>
      <c r="E333" s="2" t="s">
        <v>5159</v>
      </c>
      <c r="F333" s="2">
        <v>1.6226</v>
      </c>
      <c r="G333" s="2">
        <v>22</v>
      </c>
      <c r="H333" s="2">
        <f>Tabla_Items_Con_Existencia[[#This Row],[COSTO]]*Tabla_Items_Con_Existencia[[#This Row],[EXISTENCIA]]</f>
        <v>35.697200000000002</v>
      </c>
      <c r="I333" s="1">
        <f>IF(ISERROR(MATCH(Tabla_Items_Con_Existencia[[#This Row],[CODIGO]],Tabla_Items_Activos[CODIGO],0)),0,1)</f>
        <v>0</v>
      </c>
    </row>
    <row r="334" spans="1:9">
      <c r="A334" s="2" t="s">
        <v>6761</v>
      </c>
      <c r="B334" s="2" t="s">
        <v>158</v>
      </c>
      <c r="C334" s="2" t="s">
        <v>6366</v>
      </c>
      <c r="D334" s="2" t="s">
        <v>5158</v>
      </c>
      <c r="E334" s="2" t="s">
        <v>5159</v>
      </c>
      <c r="F334" s="2">
        <v>2.4287894699999999</v>
      </c>
      <c r="G334" s="2">
        <v>33</v>
      </c>
      <c r="H334" s="2">
        <f>Tabla_Items_Con_Existencia[[#This Row],[COSTO]]*Tabla_Items_Con_Existencia[[#This Row],[EXISTENCIA]]</f>
        <v>80.150052509999995</v>
      </c>
      <c r="I334" s="1">
        <f>IF(ISERROR(MATCH(Tabla_Items_Con_Existencia[[#This Row],[CODIGO]],Tabla_Items_Activos[CODIGO],0)),0,1)</f>
        <v>0</v>
      </c>
    </row>
    <row r="335" spans="1:9">
      <c r="A335" s="2" t="s">
        <v>6760</v>
      </c>
      <c r="B335" s="2" t="s">
        <v>158</v>
      </c>
      <c r="C335" s="2" t="s">
        <v>6366</v>
      </c>
      <c r="D335" s="2" t="s">
        <v>5158</v>
      </c>
      <c r="E335" s="2" t="s">
        <v>5159</v>
      </c>
      <c r="F335" s="2">
        <v>2.4287894699999999</v>
      </c>
      <c r="G335" s="2">
        <v>33</v>
      </c>
      <c r="H335" s="2">
        <f>Tabla_Items_Con_Existencia[[#This Row],[COSTO]]*Tabla_Items_Con_Existencia[[#This Row],[EXISTENCIA]]</f>
        <v>80.150052509999995</v>
      </c>
      <c r="I335" s="1">
        <f>IF(ISERROR(MATCH(Tabla_Items_Con_Existencia[[#This Row],[CODIGO]],Tabla_Items_Activos[CODIGO],0)),0,1)</f>
        <v>0</v>
      </c>
    </row>
    <row r="336" spans="1:9">
      <c r="A336" s="2" t="s">
        <v>6760</v>
      </c>
      <c r="B336" s="2" t="s">
        <v>159</v>
      </c>
      <c r="C336" s="2" t="s">
        <v>1468</v>
      </c>
      <c r="D336" s="2" t="s">
        <v>5158</v>
      </c>
      <c r="E336" s="2" t="s">
        <v>5159</v>
      </c>
      <c r="F336" s="2">
        <v>1.1448</v>
      </c>
      <c r="G336" s="2">
        <v>24</v>
      </c>
      <c r="H336" s="2">
        <f>Tabla_Items_Con_Existencia[[#This Row],[COSTO]]*Tabla_Items_Con_Existencia[[#This Row],[EXISTENCIA]]</f>
        <v>27.475200000000001</v>
      </c>
      <c r="I336" s="1">
        <f>IF(ISERROR(MATCH(Tabla_Items_Con_Existencia[[#This Row],[CODIGO]],Tabla_Items_Activos[CODIGO],0)),0,1)</f>
        <v>0</v>
      </c>
    </row>
    <row r="337" spans="1:9">
      <c r="A337" s="2" t="s">
        <v>6760</v>
      </c>
      <c r="B337" s="2" t="s">
        <v>160</v>
      </c>
      <c r="C337" s="2" t="s">
        <v>1469</v>
      </c>
      <c r="D337" s="2" t="s">
        <v>5186</v>
      </c>
      <c r="E337" s="2" t="s">
        <v>5159</v>
      </c>
      <c r="F337" s="2">
        <v>1.20865263</v>
      </c>
      <c r="G337" s="2">
        <v>22</v>
      </c>
      <c r="H337" s="2">
        <f>Tabla_Items_Con_Existencia[[#This Row],[COSTO]]*Tabla_Items_Con_Existencia[[#This Row],[EXISTENCIA]]</f>
        <v>26.590357860000001</v>
      </c>
      <c r="I337" s="1">
        <f>IF(ISERROR(MATCH(Tabla_Items_Con_Existencia[[#This Row],[CODIGO]],Tabla_Items_Activos[CODIGO],0)),0,1)</f>
        <v>0</v>
      </c>
    </row>
    <row r="338" spans="1:9">
      <c r="A338" s="2" t="s">
        <v>6761</v>
      </c>
      <c r="B338" s="2" t="s">
        <v>160</v>
      </c>
      <c r="C338" s="2" t="s">
        <v>1469</v>
      </c>
      <c r="D338" s="2" t="s">
        <v>5186</v>
      </c>
      <c r="E338" s="2" t="s">
        <v>5159</v>
      </c>
      <c r="F338" s="2">
        <v>1.20865263</v>
      </c>
      <c r="G338" s="2">
        <v>22</v>
      </c>
      <c r="H338" s="2">
        <f>Tabla_Items_Con_Existencia[[#This Row],[COSTO]]*Tabla_Items_Con_Existencia[[#This Row],[EXISTENCIA]]</f>
        <v>26.590357860000001</v>
      </c>
      <c r="I338" s="1">
        <f>IF(ISERROR(MATCH(Tabla_Items_Con_Existencia[[#This Row],[CODIGO]],Tabla_Items_Activos[CODIGO],0)),0,1)</f>
        <v>0</v>
      </c>
    </row>
    <row r="339" spans="1:9">
      <c r="A339" s="2" t="s">
        <v>6760</v>
      </c>
      <c r="B339" s="2" t="s">
        <v>161</v>
      </c>
      <c r="C339" s="2" t="s">
        <v>1470</v>
      </c>
      <c r="D339" s="2" t="s">
        <v>5158</v>
      </c>
      <c r="E339" s="2" t="s">
        <v>5159</v>
      </c>
      <c r="F339" s="2">
        <v>1.462</v>
      </c>
      <c r="G339" s="2">
        <v>15</v>
      </c>
      <c r="H339" s="2">
        <f>Tabla_Items_Con_Existencia[[#This Row],[COSTO]]*Tabla_Items_Con_Existencia[[#This Row],[EXISTENCIA]]</f>
        <v>21.93</v>
      </c>
      <c r="I339" s="1">
        <f>IF(ISERROR(MATCH(Tabla_Items_Con_Existencia[[#This Row],[CODIGO]],Tabla_Items_Activos[CODIGO],0)),0,1)</f>
        <v>0</v>
      </c>
    </row>
    <row r="340" spans="1:9">
      <c r="A340" s="2" t="s">
        <v>6760</v>
      </c>
      <c r="B340" s="2" t="s">
        <v>1471</v>
      </c>
      <c r="C340" s="2" t="s">
        <v>1472</v>
      </c>
      <c r="D340" s="2" t="s">
        <v>5188</v>
      </c>
      <c r="E340" s="2" t="s">
        <v>5159</v>
      </c>
      <c r="F340" s="2">
        <v>1.7024999999999999</v>
      </c>
      <c r="G340" s="2">
        <v>1</v>
      </c>
      <c r="H340" s="2">
        <f>Tabla_Items_Con_Existencia[[#This Row],[COSTO]]*Tabla_Items_Con_Existencia[[#This Row],[EXISTENCIA]]</f>
        <v>1.7024999999999999</v>
      </c>
      <c r="I340" s="1">
        <f>IF(ISERROR(MATCH(Tabla_Items_Con_Existencia[[#This Row],[CODIGO]],Tabla_Items_Activos[CODIGO],0)),0,1)</f>
        <v>0</v>
      </c>
    </row>
    <row r="341" spans="1:9">
      <c r="A341" s="2" t="s">
        <v>6761</v>
      </c>
      <c r="B341" s="2" t="s">
        <v>1471</v>
      </c>
      <c r="C341" s="2" t="s">
        <v>1472</v>
      </c>
      <c r="D341" s="2" t="s">
        <v>5188</v>
      </c>
      <c r="E341" s="2" t="s">
        <v>5159</v>
      </c>
      <c r="F341" s="2">
        <v>1.7024999999999999</v>
      </c>
      <c r="G341" s="2">
        <v>1</v>
      </c>
      <c r="H341" s="2">
        <f>Tabla_Items_Con_Existencia[[#This Row],[COSTO]]*Tabla_Items_Con_Existencia[[#This Row],[EXISTENCIA]]</f>
        <v>1.7024999999999999</v>
      </c>
      <c r="I341" s="1">
        <f>IF(ISERROR(MATCH(Tabla_Items_Con_Existencia[[#This Row],[CODIGO]],Tabla_Items_Activos[CODIGO],0)),0,1)</f>
        <v>0</v>
      </c>
    </row>
    <row r="342" spans="1:9">
      <c r="A342" s="2" t="s">
        <v>6760</v>
      </c>
      <c r="B342" s="2" t="s">
        <v>7300</v>
      </c>
      <c r="C342" s="2" t="s">
        <v>7301</v>
      </c>
      <c r="D342" s="2" t="s">
        <v>5157</v>
      </c>
      <c r="E342" s="2" t="s">
        <v>5157</v>
      </c>
      <c r="F342" s="2">
        <v>0</v>
      </c>
      <c r="G342" s="2">
        <v>10</v>
      </c>
      <c r="H342" s="2">
        <f>Tabla_Items_Con_Existencia[[#This Row],[COSTO]]*Tabla_Items_Con_Existencia[[#This Row],[EXISTENCIA]]</f>
        <v>0</v>
      </c>
      <c r="I342" s="1">
        <f>IF(ISERROR(MATCH(Tabla_Items_Con_Existencia[[#This Row],[CODIGO]],Tabla_Items_Activos[CODIGO],0)),0,1)</f>
        <v>0</v>
      </c>
    </row>
    <row r="343" spans="1:9">
      <c r="A343" s="2" t="s">
        <v>6760</v>
      </c>
      <c r="B343" s="2" t="s">
        <v>162</v>
      </c>
      <c r="C343" s="2" t="s">
        <v>1473</v>
      </c>
      <c r="D343" s="2" t="s">
        <v>5186</v>
      </c>
      <c r="E343" s="2" t="s">
        <v>5159</v>
      </c>
      <c r="F343" s="2">
        <v>0.93</v>
      </c>
      <c r="G343" s="2">
        <v>4</v>
      </c>
      <c r="H343" s="2">
        <f>Tabla_Items_Con_Existencia[[#This Row],[COSTO]]*Tabla_Items_Con_Existencia[[#This Row],[EXISTENCIA]]</f>
        <v>3.72</v>
      </c>
      <c r="I343" s="1">
        <f>IF(ISERROR(MATCH(Tabla_Items_Con_Existencia[[#This Row],[CODIGO]],Tabla_Items_Activos[CODIGO],0)),0,1)</f>
        <v>0</v>
      </c>
    </row>
    <row r="344" spans="1:9">
      <c r="A344" s="2" t="s">
        <v>6760</v>
      </c>
      <c r="B344" s="2" t="s">
        <v>163</v>
      </c>
      <c r="C344" s="2" t="s">
        <v>1474</v>
      </c>
      <c r="D344" s="2" t="s">
        <v>5186</v>
      </c>
      <c r="E344" s="2" t="s">
        <v>5159</v>
      </c>
      <c r="F344" s="2">
        <v>0.68</v>
      </c>
      <c r="G344" s="2">
        <v>10</v>
      </c>
      <c r="H344" s="2">
        <f>Tabla_Items_Con_Existencia[[#This Row],[COSTO]]*Tabla_Items_Con_Existencia[[#This Row],[EXISTENCIA]]</f>
        <v>6.8000000000000007</v>
      </c>
      <c r="I344" s="1">
        <f>IF(ISERROR(MATCH(Tabla_Items_Con_Existencia[[#This Row],[CODIGO]],Tabla_Items_Activos[CODIGO],0)),0,1)</f>
        <v>0</v>
      </c>
    </row>
    <row r="345" spans="1:9">
      <c r="A345" s="2" t="s">
        <v>6760</v>
      </c>
      <c r="B345" s="2" t="s">
        <v>164</v>
      </c>
      <c r="C345" s="2" t="s">
        <v>1475</v>
      </c>
      <c r="D345" s="2" t="s">
        <v>5158</v>
      </c>
      <c r="E345" s="2" t="s">
        <v>5159</v>
      </c>
      <c r="F345" s="2">
        <v>4.7637</v>
      </c>
      <c r="G345" s="2">
        <v>12</v>
      </c>
      <c r="H345" s="2">
        <f>Tabla_Items_Con_Existencia[[#This Row],[COSTO]]*Tabla_Items_Con_Existencia[[#This Row],[EXISTENCIA]]</f>
        <v>57.164400000000001</v>
      </c>
      <c r="I345" s="1">
        <f>IF(ISERROR(MATCH(Tabla_Items_Con_Existencia[[#This Row],[CODIGO]],Tabla_Items_Activos[CODIGO],0)),0,1)</f>
        <v>0</v>
      </c>
    </row>
    <row r="346" spans="1:9">
      <c r="A346" s="2" t="s">
        <v>6760</v>
      </c>
      <c r="B346" s="2" t="s">
        <v>165</v>
      </c>
      <c r="C346" s="2" t="s">
        <v>1476</v>
      </c>
      <c r="D346" s="2" t="s">
        <v>5186</v>
      </c>
      <c r="E346" s="2" t="s">
        <v>5159</v>
      </c>
      <c r="F346" s="2">
        <v>5.3045</v>
      </c>
      <c r="G346" s="2">
        <v>21</v>
      </c>
      <c r="H346" s="2">
        <f>Tabla_Items_Con_Existencia[[#This Row],[COSTO]]*Tabla_Items_Con_Existencia[[#This Row],[EXISTENCIA]]</f>
        <v>111.39449999999999</v>
      </c>
      <c r="I346" s="1">
        <f>IF(ISERROR(MATCH(Tabla_Items_Con_Existencia[[#This Row],[CODIGO]],Tabla_Items_Activos[CODIGO],0)),0,1)</f>
        <v>0</v>
      </c>
    </row>
    <row r="347" spans="1:9">
      <c r="A347" s="2" t="s">
        <v>6760</v>
      </c>
      <c r="B347" s="2" t="s">
        <v>166</v>
      </c>
      <c r="C347" s="2" t="s">
        <v>1477</v>
      </c>
      <c r="D347" s="2" t="s">
        <v>5186</v>
      </c>
      <c r="E347" s="2" t="s">
        <v>5159</v>
      </c>
      <c r="F347" s="2">
        <v>2.536</v>
      </c>
      <c r="G347" s="2">
        <v>11</v>
      </c>
      <c r="H347" s="2">
        <f>Tabla_Items_Con_Existencia[[#This Row],[COSTO]]*Tabla_Items_Con_Existencia[[#This Row],[EXISTENCIA]]</f>
        <v>27.896000000000001</v>
      </c>
      <c r="I347" s="1">
        <f>IF(ISERROR(MATCH(Tabla_Items_Con_Existencia[[#This Row],[CODIGO]],Tabla_Items_Activos[CODIGO],0)),0,1)</f>
        <v>0</v>
      </c>
    </row>
    <row r="348" spans="1:9">
      <c r="A348" s="2" t="s">
        <v>6760</v>
      </c>
      <c r="B348" s="2" t="s">
        <v>167</v>
      </c>
      <c r="C348" s="2" t="s">
        <v>6367</v>
      </c>
      <c r="D348" s="2" t="s">
        <v>5161</v>
      </c>
      <c r="E348" s="2" t="s">
        <v>5159</v>
      </c>
      <c r="F348" s="2">
        <v>1.8859999999999999</v>
      </c>
      <c r="G348" s="2">
        <v>26</v>
      </c>
      <c r="H348" s="2">
        <f>Tabla_Items_Con_Existencia[[#This Row],[COSTO]]*Tabla_Items_Con_Existencia[[#This Row],[EXISTENCIA]]</f>
        <v>49.035999999999994</v>
      </c>
      <c r="I348" s="1">
        <f>IF(ISERROR(MATCH(Tabla_Items_Con_Existencia[[#This Row],[CODIGO]],Tabla_Items_Activos[CODIGO],0)),0,1)</f>
        <v>0</v>
      </c>
    </row>
    <row r="349" spans="1:9">
      <c r="A349" s="2" t="s">
        <v>6760</v>
      </c>
      <c r="B349" s="2" t="s">
        <v>6368</v>
      </c>
      <c r="C349" s="2" t="s">
        <v>4710</v>
      </c>
      <c r="D349" s="2" t="s">
        <v>5161</v>
      </c>
      <c r="E349" s="2" t="s">
        <v>5159</v>
      </c>
      <c r="F349" s="2">
        <v>5.4509999999999996</v>
      </c>
      <c r="G349" s="2">
        <v>14</v>
      </c>
      <c r="H349" s="2">
        <f>Tabla_Items_Con_Existencia[[#This Row],[COSTO]]*Tabla_Items_Con_Existencia[[#This Row],[EXISTENCIA]]</f>
        <v>76.313999999999993</v>
      </c>
      <c r="I349" s="1">
        <f>IF(ISERROR(MATCH(Tabla_Items_Con_Existencia[[#This Row],[CODIGO]],Tabla_Items_Activos[CODIGO],0)),0,1)</f>
        <v>0</v>
      </c>
    </row>
    <row r="350" spans="1:9">
      <c r="A350" s="2" t="s">
        <v>6760</v>
      </c>
      <c r="B350" s="2" t="s">
        <v>168</v>
      </c>
      <c r="C350" s="2" t="s">
        <v>1479</v>
      </c>
      <c r="D350" s="2" t="s">
        <v>5161</v>
      </c>
      <c r="E350" s="2" t="s">
        <v>5159</v>
      </c>
      <c r="F350" s="2">
        <v>0.47799999999999998</v>
      </c>
      <c r="G350" s="2">
        <v>22</v>
      </c>
      <c r="H350" s="2">
        <f>Tabla_Items_Con_Existencia[[#This Row],[COSTO]]*Tabla_Items_Con_Existencia[[#This Row],[EXISTENCIA]]</f>
        <v>10.516</v>
      </c>
      <c r="I350" s="1">
        <f>IF(ISERROR(MATCH(Tabla_Items_Con_Existencia[[#This Row],[CODIGO]],Tabla_Items_Activos[CODIGO],0)),0,1)</f>
        <v>0</v>
      </c>
    </row>
    <row r="351" spans="1:9">
      <c r="A351" s="2" t="s">
        <v>6760</v>
      </c>
      <c r="B351" s="2" t="s">
        <v>169</v>
      </c>
      <c r="C351" s="2" t="s">
        <v>4191</v>
      </c>
      <c r="D351" s="2" t="s">
        <v>5158</v>
      </c>
      <c r="E351" s="2" t="s">
        <v>5159</v>
      </c>
      <c r="F351" s="2">
        <v>0.57940000000000003</v>
      </c>
      <c r="G351" s="2">
        <v>14</v>
      </c>
      <c r="H351" s="2">
        <f>Tabla_Items_Con_Existencia[[#This Row],[COSTO]]*Tabla_Items_Con_Existencia[[#This Row],[EXISTENCIA]]</f>
        <v>8.111600000000001</v>
      </c>
      <c r="I351" s="1">
        <f>IF(ISERROR(MATCH(Tabla_Items_Con_Existencia[[#This Row],[CODIGO]],Tabla_Items_Activos[CODIGO],0)),0,1)</f>
        <v>0</v>
      </c>
    </row>
    <row r="352" spans="1:9">
      <c r="A352" s="2" t="s">
        <v>6760</v>
      </c>
      <c r="B352" s="2" t="s">
        <v>170</v>
      </c>
      <c r="C352" s="2" t="s">
        <v>1480</v>
      </c>
      <c r="D352" s="2" t="s">
        <v>5161</v>
      </c>
      <c r="E352" s="2" t="s">
        <v>5159</v>
      </c>
      <c r="F352" s="2">
        <v>0.41789999999999999</v>
      </c>
      <c r="G352" s="2">
        <v>10</v>
      </c>
      <c r="H352" s="2">
        <f>Tabla_Items_Con_Existencia[[#This Row],[COSTO]]*Tabla_Items_Con_Existencia[[#This Row],[EXISTENCIA]]</f>
        <v>4.1790000000000003</v>
      </c>
      <c r="I352" s="1">
        <f>IF(ISERROR(MATCH(Tabla_Items_Con_Existencia[[#This Row],[CODIGO]],Tabla_Items_Activos[CODIGO],0)),0,1)</f>
        <v>0</v>
      </c>
    </row>
    <row r="353" spans="1:9">
      <c r="A353" s="2" t="s">
        <v>6760</v>
      </c>
      <c r="B353" s="2" t="s">
        <v>171</v>
      </c>
      <c r="C353" s="2" t="s">
        <v>1481</v>
      </c>
      <c r="D353" s="2" t="s">
        <v>5158</v>
      </c>
      <c r="E353" s="2" t="s">
        <v>5159</v>
      </c>
      <c r="F353" s="2">
        <v>0.47</v>
      </c>
      <c r="G353" s="2">
        <v>20</v>
      </c>
      <c r="H353" s="2">
        <f>Tabla_Items_Con_Existencia[[#This Row],[COSTO]]*Tabla_Items_Con_Existencia[[#This Row],[EXISTENCIA]]</f>
        <v>9.3999999999999986</v>
      </c>
      <c r="I353" s="1">
        <f>IF(ISERROR(MATCH(Tabla_Items_Con_Existencia[[#This Row],[CODIGO]],Tabla_Items_Activos[CODIGO],0)),0,1)</f>
        <v>0</v>
      </c>
    </row>
    <row r="354" spans="1:9">
      <c r="A354" s="2" t="s">
        <v>6760</v>
      </c>
      <c r="B354" s="2" t="s">
        <v>172</v>
      </c>
      <c r="C354" s="2" t="s">
        <v>6800</v>
      </c>
      <c r="D354" s="2" t="s">
        <v>5161</v>
      </c>
      <c r="E354" s="2" t="s">
        <v>5159</v>
      </c>
      <c r="F354" s="2">
        <v>0.20100000000000001</v>
      </c>
      <c r="G354" s="2">
        <v>12</v>
      </c>
      <c r="H354" s="2">
        <f>Tabla_Items_Con_Existencia[[#This Row],[COSTO]]*Tabla_Items_Con_Existencia[[#This Row],[EXISTENCIA]]</f>
        <v>2.4119999999999999</v>
      </c>
      <c r="I354" s="1">
        <f>IF(ISERROR(MATCH(Tabla_Items_Con_Existencia[[#This Row],[CODIGO]],Tabla_Items_Activos[CODIGO],0)),0,1)</f>
        <v>0</v>
      </c>
    </row>
    <row r="355" spans="1:9">
      <c r="A355" s="2" t="s">
        <v>6760</v>
      </c>
      <c r="B355" s="2" t="s">
        <v>173</v>
      </c>
      <c r="C355" s="2" t="s">
        <v>1483</v>
      </c>
      <c r="D355" s="2" t="s">
        <v>5161</v>
      </c>
      <c r="E355" s="2" t="s">
        <v>5159</v>
      </c>
      <c r="F355" s="2">
        <v>2.3719999999999999</v>
      </c>
      <c r="G355" s="2">
        <v>10</v>
      </c>
      <c r="H355" s="2">
        <f>Tabla_Items_Con_Existencia[[#This Row],[COSTO]]*Tabla_Items_Con_Existencia[[#This Row],[EXISTENCIA]]</f>
        <v>23.72</v>
      </c>
      <c r="I355" s="1">
        <f>IF(ISERROR(MATCH(Tabla_Items_Con_Existencia[[#This Row],[CODIGO]],Tabla_Items_Activos[CODIGO],0)),0,1)</f>
        <v>0</v>
      </c>
    </row>
    <row r="356" spans="1:9">
      <c r="A356" s="2" t="s">
        <v>6760</v>
      </c>
      <c r="B356" s="2" t="s">
        <v>174</v>
      </c>
      <c r="C356" s="2" t="s">
        <v>6801</v>
      </c>
      <c r="D356" s="2" t="s">
        <v>5158</v>
      </c>
      <c r="E356" s="2" t="s">
        <v>5159</v>
      </c>
      <c r="F356" s="2">
        <v>0.61160000000000003</v>
      </c>
      <c r="G356" s="2">
        <v>18</v>
      </c>
      <c r="H356" s="2">
        <f>Tabla_Items_Con_Existencia[[#This Row],[COSTO]]*Tabla_Items_Con_Existencia[[#This Row],[EXISTENCIA]]</f>
        <v>11.008800000000001</v>
      </c>
      <c r="I356" s="1">
        <f>IF(ISERROR(MATCH(Tabla_Items_Con_Existencia[[#This Row],[CODIGO]],Tabla_Items_Activos[CODIGO],0)),0,1)</f>
        <v>0</v>
      </c>
    </row>
    <row r="357" spans="1:9">
      <c r="A357" s="2" t="s">
        <v>6760</v>
      </c>
      <c r="B357" s="2" t="s">
        <v>6369</v>
      </c>
      <c r="C357" s="2" t="s">
        <v>4869</v>
      </c>
      <c r="D357" s="2" t="s">
        <v>5158</v>
      </c>
      <c r="E357" s="2" t="s">
        <v>5159</v>
      </c>
      <c r="F357" s="2">
        <v>0.62</v>
      </c>
      <c r="G357" s="2">
        <v>10</v>
      </c>
      <c r="H357" s="2">
        <f>Tabla_Items_Con_Existencia[[#This Row],[COSTO]]*Tabla_Items_Con_Existencia[[#This Row],[EXISTENCIA]]</f>
        <v>6.2</v>
      </c>
      <c r="I357" s="1">
        <f>IF(ISERROR(MATCH(Tabla_Items_Con_Existencia[[#This Row],[CODIGO]],Tabla_Items_Activos[CODIGO],0)),0,1)</f>
        <v>0</v>
      </c>
    </row>
    <row r="358" spans="1:9">
      <c r="A358" s="2" t="s">
        <v>6760</v>
      </c>
      <c r="B358" s="2" t="s">
        <v>175</v>
      </c>
      <c r="C358" s="2" t="s">
        <v>1484</v>
      </c>
      <c r="D358" s="2" t="s">
        <v>5161</v>
      </c>
      <c r="E358" s="2" t="s">
        <v>5159</v>
      </c>
      <c r="F358" s="2">
        <v>45.685000000000002</v>
      </c>
      <c r="G358" s="2">
        <v>6</v>
      </c>
      <c r="H358" s="2">
        <f>Tabla_Items_Con_Existencia[[#This Row],[COSTO]]*Tabla_Items_Con_Existencia[[#This Row],[EXISTENCIA]]</f>
        <v>274.11</v>
      </c>
      <c r="I358" s="1">
        <f>IF(ISERROR(MATCH(Tabla_Items_Con_Existencia[[#This Row],[CODIGO]],Tabla_Items_Activos[CODIGO],0)),0,1)</f>
        <v>0</v>
      </c>
    </row>
    <row r="359" spans="1:9">
      <c r="A359" s="2" t="s">
        <v>6760</v>
      </c>
      <c r="B359" s="2" t="s">
        <v>176</v>
      </c>
      <c r="C359" s="2" t="s">
        <v>1485</v>
      </c>
      <c r="D359" s="2" t="s">
        <v>5161</v>
      </c>
      <c r="E359" s="2" t="s">
        <v>5159</v>
      </c>
      <c r="F359" s="2">
        <v>2.4439000000000002</v>
      </c>
      <c r="G359" s="2">
        <v>18</v>
      </c>
      <c r="H359" s="2">
        <f>Tabla_Items_Con_Existencia[[#This Row],[COSTO]]*Tabla_Items_Con_Existencia[[#This Row],[EXISTENCIA]]</f>
        <v>43.990200000000002</v>
      </c>
      <c r="I359" s="1">
        <f>IF(ISERROR(MATCH(Tabla_Items_Con_Existencia[[#This Row],[CODIGO]],Tabla_Items_Activos[CODIGO],0)),0,1)</f>
        <v>0</v>
      </c>
    </row>
    <row r="360" spans="1:9">
      <c r="A360" s="2" t="s">
        <v>6760</v>
      </c>
      <c r="B360" s="2" t="s">
        <v>6370</v>
      </c>
      <c r="C360" s="2" t="s">
        <v>6802</v>
      </c>
      <c r="D360" s="2" t="s">
        <v>5158</v>
      </c>
      <c r="E360" s="2" t="s">
        <v>5159</v>
      </c>
      <c r="F360" s="2">
        <v>0.626</v>
      </c>
      <c r="G360" s="2">
        <v>22</v>
      </c>
      <c r="H360" s="2">
        <f>Tabla_Items_Con_Existencia[[#This Row],[COSTO]]*Tabla_Items_Con_Existencia[[#This Row],[EXISTENCIA]]</f>
        <v>13.772</v>
      </c>
      <c r="I360" s="1">
        <f>IF(ISERROR(MATCH(Tabla_Items_Con_Existencia[[#This Row],[CODIGO]],Tabla_Items_Activos[CODIGO],0)),0,1)</f>
        <v>0</v>
      </c>
    </row>
    <row r="361" spans="1:9">
      <c r="A361" s="2" t="s">
        <v>6761</v>
      </c>
      <c r="B361" s="2" t="s">
        <v>6370</v>
      </c>
      <c r="C361" s="2" t="s">
        <v>6802</v>
      </c>
      <c r="D361" s="2" t="s">
        <v>5158</v>
      </c>
      <c r="E361" s="2" t="s">
        <v>5159</v>
      </c>
      <c r="F361" s="2">
        <v>0.626</v>
      </c>
      <c r="G361" s="2">
        <v>22</v>
      </c>
      <c r="H361" s="2">
        <f>Tabla_Items_Con_Existencia[[#This Row],[COSTO]]*Tabla_Items_Con_Existencia[[#This Row],[EXISTENCIA]]</f>
        <v>13.772</v>
      </c>
      <c r="I361" s="1">
        <f>IF(ISERROR(MATCH(Tabla_Items_Con_Existencia[[#This Row],[CODIGO]],Tabla_Items_Activos[CODIGO],0)),0,1)</f>
        <v>0</v>
      </c>
    </row>
    <row r="362" spans="1:9">
      <c r="A362" s="2" t="s">
        <v>6760</v>
      </c>
      <c r="B362" s="2" t="s">
        <v>6371</v>
      </c>
      <c r="C362" s="2" t="s">
        <v>4362</v>
      </c>
      <c r="D362" s="2" t="s">
        <v>5158</v>
      </c>
      <c r="E362" s="2" t="s">
        <v>5159</v>
      </c>
      <c r="F362" s="2">
        <v>5.6050526300000003</v>
      </c>
      <c r="G362" s="2">
        <v>22</v>
      </c>
      <c r="H362" s="2">
        <f>Tabla_Items_Con_Existencia[[#This Row],[COSTO]]*Tabla_Items_Con_Existencia[[#This Row],[EXISTENCIA]]</f>
        <v>123.31115786000001</v>
      </c>
      <c r="I362" s="1">
        <f>IF(ISERROR(MATCH(Tabla_Items_Con_Existencia[[#This Row],[CODIGO]],Tabla_Items_Activos[CODIGO],0)),0,1)</f>
        <v>0</v>
      </c>
    </row>
    <row r="363" spans="1:9">
      <c r="A363" s="2" t="s">
        <v>6761</v>
      </c>
      <c r="B363" s="2" t="s">
        <v>6371</v>
      </c>
      <c r="C363" s="2" t="s">
        <v>4362</v>
      </c>
      <c r="D363" s="2" t="s">
        <v>5158</v>
      </c>
      <c r="E363" s="2" t="s">
        <v>5159</v>
      </c>
      <c r="F363" s="2">
        <v>5.6050526300000003</v>
      </c>
      <c r="G363" s="2">
        <v>22</v>
      </c>
      <c r="H363" s="2">
        <f>Tabla_Items_Con_Existencia[[#This Row],[COSTO]]*Tabla_Items_Con_Existencia[[#This Row],[EXISTENCIA]]</f>
        <v>123.31115786000001</v>
      </c>
      <c r="I363" s="1">
        <f>IF(ISERROR(MATCH(Tabla_Items_Con_Existencia[[#This Row],[CODIGO]],Tabla_Items_Activos[CODIGO],0)),0,1)</f>
        <v>0</v>
      </c>
    </row>
    <row r="364" spans="1:9">
      <c r="A364" s="2" t="s">
        <v>6760</v>
      </c>
      <c r="B364" s="2" t="s">
        <v>6372</v>
      </c>
      <c r="C364" s="2" t="s">
        <v>4266</v>
      </c>
      <c r="D364" s="2" t="s">
        <v>5158</v>
      </c>
      <c r="E364" s="2" t="s">
        <v>5159</v>
      </c>
      <c r="F364" s="2">
        <v>0.51700000000000002</v>
      </c>
      <c r="G364" s="2">
        <v>21</v>
      </c>
      <c r="H364" s="2">
        <f>Tabla_Items_Con_Existencia[[#This Row],[COSTO]]*Tabla_Items_Con_Existencia[[#This Row],[EXISTENCIA]]</f>
        <v>10.857000000000001</v>
      </c>
      <c r="I364" s="1">
        <f>IF(ISERROR(MATCH(Tabla_Items_Con_Existencia[[#This Row],[CODIGO]],Tabla_Items_Activos[CODIGO],0)),0,1)</f>
        <v>0</v>
      </c>
    </row>
    <row r="365" spans="1:9">
      <c r="A365" s="2" t="s">
        <v>6760</v>
      </c>
      <c r="B365" s="2" t="s">
        <v>177</v>
      </c>
      <c r="C365" s="2" t="s">
        <v>6373</v>
      </c>
      <c r="D365" s="2" t="s">
        <v>5161</v>
      </c>
      <c r="E365" s="2" t="s">
        <v>5159</v>
      </c>
      <c r="F365" s="2">
        <v>0.47899999999999998</v>
      </c>
      <c r="G365" s="2">
        <v>1</v>
      </c>
      <c r="H365" s="2">
        <f>Tabla_Items_Con_Existencia[[#This Row],[COSTO]]*Tabla_Items_Con_Existencia[[#This Row],[EXISTENCIA]]</f>
        <v>0.47899999999999998</v>
      </c>
      <c r="I365" s="1">
        <f>IF(ISERROR(MATCH(Tabla_Items_Con_Existencia[[#This Row],[CODIGO]],Tabla_Items_Activos[CODIGO],0)),0,1)</f>
        <v>0</v>
      </c>
    </row>
    <row r="366" spans="1:9">
      <c r="A366" s="2" t="s">
        <v>6760</v>
      </c>
      <c r="B366" s="2" t="s">
        <v>178</v>
      </c>
      <c r="C366" s="2" t="s">
        <v>5390</v>
      </c>
      <c r="D366" s="2" t="s">
        <v>5161</v>
      </c>
      <c r="E366" s="2" t="s">
        <v>5159</v>
      </c>
      <c r="F366" s="2">
        <v>1</v>
      </c>
      <c r="G366" s="2">
        <v>13</v>
      </c>
      <c r="H366" s="2">
        <f>Tabla_Items_Con_Existencia[[#This Row],[COSTO]]*Tabla_Items_Con_Existencia[[#This Row],[EXISTENCIA]]</f>
        <v>13</v>
      </c>
      <c r="I366" s="1">
        <f>IF(ISERROR(MATCH(Tabla_Items_Con_Existencia[[#This Row],[CODIGO]],Tabla_Items_Activos[CODIGO],0)),0,1)</f>
        <v>0</v>
      </c>
    </row>
    <row r="367" spans="1:9">
      <c r="A367" s="2" t="s">
        <v>6760</v>
      </c>
      <c r="B367" s="2" t="s">
        <v>179</v>
      </c>
      <c r="C367" s="2" t="s">
        <v>1487</v>
      </c>
      <c r="D367" s="2" t="s">
        <v>5161</v>
      </c>
      <c r="E367" s="2" t="s">
        <v>5159</v>
      </c>
      <c r="F367" s="2">
        <v>5.0350000000000001</v>
      </c>
      <c r="G367" s="2">
        <v>13</v>
      </c>
      <c r="H367" s="2">
        <f>Tabla_Items_Con_Existencia[[#This Row],[COSTO]]*Tabla_Items_Con_Existencia[[#This Row],[EXISTENCIA]]</f>
        <v>65.454999999999998</v>
      </c>
      <c r="I367" s="1">
        <f>IF(ISERROR(MATCH(Tabla_Items_Con_Existencia[[#This Row],[CODIGO]],Tabla_Items_Activos[CODIGO],0)),0,1)</f>
        <v>0</v>
      </c>
    </row>
    <row r="368" spans="1:9">
      <c r="A368" s="2" t="s">
        <v>6760</v>
      </c>
      <c r="B368" s="2" t="s">
        <v>180</v>
      </c>
      <c r="C368" s="2" t="s">
        <v>1488</v>
      </c>
      <c r="D368" s="2" t="s">
        <v>5161</v>
      </c>
      <c r="E368" s="2" t="s">
        <v>5159</v>
      </c>
      <c r="F368" s="2">
        <v>1.8520000000000001</v>
      </c>
      <c r="G368" s="2">
        <v>18</v>
      </c>
      <c r="H368" s="2">
        <f>Tabla_Items_Con_Existencia[[#This Row],[COSTO]]*Tabla_Items_Con_Existencia[[#This Row],[EXISTENCIA]]</f>
        <v>33.335999999999999</v>
      </c>
      <c r="I368" s="1">
        <f>IF(ISERROR(MATCH(Tabla_Items_Con_Existencia[[#This Row],[CODIGO]],Tabla_Items_Activos[CODIGO],0)),0,1)</f>
        <v>0</v>
      </c>
    </row>
    <row r="369" spans="1:9">
      <c r="A369" s="2" t="s">
        <v>6760</v>
      </c>
      <c r="B369" s="2" t="s">
        <v>181</v>
      </c>
      <c r="C369" s="2" t="s">
        <v>5391</v>
      </c>
      <c r="D369" s="2" t="s">
        <v>5161</v>
      </c>
      <c r="E369" s="2" t="s">
        <v>5159</v>
      </c>
      <c r="F369" s="2">
        <v>4.2300000000000004</v>
      </c>
      <c r="G369" s="2">
        <v>13</v>
      </c>
      <c r="H369" s="2">
        <f>Tabla_Items_Con_Existencia[[#This Row],[COSTO]]*Tabla_Items_Con_Existencia[[#This Row],[EXISTENCIA]]</f>
        <v>54.990000000000009</v>
      </c>
      <c r="I369" s="1">
        <f>IF(ISERROR(MATCH(Tabla_Items_Con_Existencia[[#This Row],[CODIGO]],Tabla_Items_Activos[CODIGO],0)),0,1)</f>
        <v>0</v>
      </c>
    </row>
    <row r="370" spans="1:9">
      <c r="A370" s="2" t="s">
        <v>6760</v>
      </c>
      <c r="B370" s="2" t="s">
        <v>182</v>
      </c>
      <c r="C370" s="2" t="s">
        <v>1489</v>
      </c>
      <c r="D370" s="2" t="s">
        <v>5158</v>
      </c>
      <c r="E370" s="2" t="s">
        <v>5159</v>
      </c>
      <c r="F370" s="2">
        <v>0.48199999999999998</v>
      </c>
      <c r="G370" s="2">
        <v>28</v>
      </c>
      <c r="H370" s="2">
        <f>Tabla_Items_Con_Existencia[[#This Row],[COSTO]]*Tabla_Items_Con_Existencia[[#This Row],[EXISTENCIA]]</f>
        <v>13.495999999999999</v>
      </c>
      <c r="I370" s="1">
        <f>IF(ISERROR(MATCH(Tabla_Items_Con_Existencia[[#This Row],[CODIGO]],Tabla_Items_Activos[CODIGO],0)),0,1)</f>
        <v>0</v>
      </c>
    </row>
    <row r="371" spans="1:9">
      <c r="A371" s="2" t="s">
        <v>6760</v>
      </c>
      <c r="B371" s="2" t="s">
        <v>6374</v>
      </c>
      <c r="C371" s="2" t="s">
        <v>6375</v>
      </c>
      <c r="D371" s="2" t="s">
        <v>5158</v>
      </c>
      <c r="E371" s="2" t="s">
        <v>5159</v>
      </c>
      <c r="F371" s="2">
        <v>0.6</v>
      </c>
      <c r="G371" s="2">
        <v>13</v>
      </c>
      <c r="H371" s="2">
        <f>Tabla_Items_Con_Existencia[[#This Row],[COSTO]]*Tabla_Items_Con_Existencia[[#This Row],[EXISTENCIA]]</f>
        <v>7.8</v>
      </c>
      <c r="I371" s="1">
        <f>IF(ISERROR(MATCH(Tabla_Items_Con_Existencia[[#This Row],[CODIGO]],Tabla_Items_Activos[CODIGO],0)),0,1)</f>
        <v>0</v>
      </c>
    </row>
    <row r="372" spans="1:9">
      <c r="A372" s="2" t="s">
        <v>6760</v>
      </c>
      <c r="B372" s="2" t="s">
        <v>183</v>
      </c>
      <c r="C372" s="2" t="s">
        <v>6376</v>
      </c>
      <c r="D372" s="2" t="s">
        <v>5158</v>
      </c>
      <c r="E372" s="2" t="s">
        <v>5159</v>
      </c>
      <c r="F372" s="2">
        <v>5.1137052599999997</v>
      </c>
      <c r="G372" s="2">
        <v>27</v>
      </c>
      <c r="H372" s="2">
        <f>Tabla_Items_Con_Existencia[[#This Row],[COSTO]]*Tabla_Items_Con_Existencia[[#This Row],[EXISTENCIA]]</f>
        <v>138.07004201999999</v>
      </c>
      <c r="I372" s="1">
        <f>IF(ISERROR(MATCH(Tabla_Items_Con_Existencia[[#This Row],[CODIGO]],Tabla_Items_Activos[CODIGO],0)),0,1)</f>
        <v>0</v>
      </c>
    </row>
    <row r="373" spans="1:9">
      <c r="A373" s="2" t="s">
        <v>6761</v>
      </c>
      <c r="B373" s="2" t="s">
        <v>183</v>
      </c>
      <c r="C373" s="2" t="s">
        <v>6376</v>
      </c>
      <c r="D373" s="2" t="s">
        <v>5158</v>
      </c>
      <c r="E373" s="2" t="s">
        <v>5159</v>
      </c>
      <c r="F373" s="2">
        <v>5.1137052599999997</v>
      </c>
      <c r="G373" s="2">
        <v>27</v>
      </c>
      <c r="H373" s="2">
        <f>Tabla_Items_Con_Existencia[[#This Row],[COSTO]]*Tabla_Items_Con_Existencia[[#This Row],[EXISTENCIA]]</f>
        <v>138.07004201999999</v>
      </c>
      <c r="I373" s="1">
        <f>IF(ISERROR(MATCH(Tabla_Items_Con_Existencia[[#This Row],[CODIGO]],Tabla_Items_Activos[CODIGO],0)),0,1)</f>
        <v>0</v>
      </c>
    </row>
    <row r="374" spans="1:9">
      <c r="A374" s="2" t="s">
        <v>6760</v>
      </c>
      <c r="B374" s="2" t="s">
        <v>184</v>
      </c>
      <c r="C374" s="2" t="s">
        <v>6377</v>
      </c>
      <c r="D374" s="2" t="s">
        <v>5158</v>
      </c>
      <c r="E374" s="2" t="s">
        <v>5159</v>
      </c>
      <c r="F374" s="2">
        <v>2.1086999999999998</v>
      </c>
      <c r="G374" s="2">
        <v>19</v>
      </c>
      <c r="H374" s="2">
        <f>Tabla_Items_Con_Existencia[[#This Row],[COSTO]]*Tabla_Items_Con_Existencia[[#This Row],[EXISTENCIA]]</f>
        <v>40.065299999999993</v>
      </c>
      <c r="I374" s="1">
        <f>IF(ISERROR(MATCH(Tabla_Items_Con_Existencia[[#This Row],[CODIGO]],Tabla_Items_Activos[CODIGO],0)),0,1)</f>
        <v>0</v>
      </c>
    </row>
    <row r="375" spans="1:9">
      <c r="A375" s="2" t="s">
        <v>6760</v>
      </c>
      <c r="B375" s="2" t="s">
        <v>185</v>
      </c>
      <c r="C375" s="2" t="s">
        <v>1492</v>
      </c>
      <c r="D375" s="2" t="s">
        <v>5161</v>
      </c>
      <c r="E375" s="2" t="s">
        <v>5159</v>
      </c>
      <c r="F375" s="2">
        <v>2.6419999999999999</v>
      </c>
      <c r="G375" s="2">
        <v>64</v>
      </c>
      <c r="H375" s="2">
        <f>Tabla_Items_Con_Existencia[[#This Row],[COSTO]]*Tabla_Items_Con_Existencia[[#This Row],[EXISTENCIA]]</f>
        <v>169.08799999999999</v>
      </c>
      <c r="I375" s="1">
        <f>IF(ISERROR(MATCH(Tabla_Items_Con_Existencia[[#This Row],[CODIGO]],Tabla_Items_Activos[CODIGO],0)),0,1)</f>
        <v>0</v>
      </c>
    </row>
    <row r="376" spans="1:9">
      <c r="A376" s="2" t="s">
        <v>6760</v>
      </c>
      <c r="B376" s="2" t="s">
        <v>186</v>
      </c>
      <c r="C376" s="2" t="s">
        <v>6378</v>
      </c>
      <c r="D376" s="2" t="s">
        <v>5158</v>
      </c>
      <c r="E376" s="2" t="s">
        <v>5159</v>
      </c>
      <c r="F376" s="2">
        <v>1.6497999999999999</v>
      </c>
      <c r="G376" s="2">
        <v>17</v>
      </c>
      <c r="H376" s="2">
        <f>Tabla_Items_Con_Existencia[[#This Row],[COSTO]]*Tabla_Items_Con_Existencia[[#This Row],[EXISTENCIA]]</f>
        <v>28.046599999999998</v>
      </c>
      <c r="I376" s="1">
        <f>IF(ISERROR(MATCH(Tabla_Items_Con_Existencia[[#This Row],[CODIGO]],Tabla_Items_Activos[CODIGO],0)),0,1)</f>
        <v>0</v>
      </c>
    </row>
    <row r="377" spans="1:9">
      <c r="A377" s="2" t="s">
        <v>6760</v>
      </c>
      <c r="B377" s="2" t="s">
        <v>187</v>
      </c>
      <c r="C377" s="2" t="s">
        <v>7111</v>
      </c>
      <c r="D377" s="2" t="s">
        <v>5158</v>
      </c>
      <c r="E377" s="2" t="s">
        <v>5159</v>
      </c>
      <c r="F377" s="2">
        <v>0.9536</v>
      </c>
      <c r="G377" s="2">
        <v>7</v>
      </c>
      <c r="H377" s="2">
        <f>Tabla_Items_Con_Existencia[[#This Row],[COSTO]]*Tabla_Items_Con_Existencia[[#This Row],[EXISTENCIA]]</f>
        <v>6.6752000000000002</v>
      </c>
      <c r="I377" s="1">
        <f>IF(ISERROR(MATCH(Tabla_Items_Con_Existencia[[#This Row],[CODIGO]],Tabla_Items_Activos[CODIGO],0)),0,1)</f>
        <v>0</v>
      </c>
    </row>
    <row r="378" spans="1:9">
      <c r="A378" s="2" t="s">
        <v>6761</v>
      </c>
      <c r="B378" s="2" t="s">
        <v>188</v>
      </c>
      <c r="C378" s="2" t="s">
        <v>1494</v>
      </c>
      <c r="D378" s="2" t="s">
        <v>5158</v>
      </c>
      <c r="E378" s="2" t="s">
        <v>5159</v>
      </c>
      <c r="F378" s="2">
        <v>5.5382736799999996</v>
      </c>
      <c r="G378" s="2">
        <v>8</v>
      </c>
      <c r="H378" s="2">
        <f>Tabla_Items_Con_Existencia[[#This Row],[COSTO]]*Tabla_Items_Con_Existencia[[#This Row],[EXISTENCIA]]</f>
        <v>44.306189439999997</v>
      </c>
      <c r="I378" s="1">
        <f>IF(ISERROR(MATCH(Tabla_Items_Con_Existencia[[#This Row],[CODIGO]],Tabla_Items_Activos[CODIGO],0)),0,1)</f>
        <v>0</v>
      </c>
    </row>
    <row r="379" spans="1:9">
      <c r="A379" s="2" t="s">
        <v>6760</v>
      </c>
      <c r="B379" s="2" t="s">
        <v>188</v>
      </c>
      <c r="C379" s="2" t="s">
        <v>1494</v>
      </c>
      <c r="D379" s="2" t="s">
        <v>5158</v>
      </c>
      <c r="E379" s="2" t="s">
        <v>5159</v>
      </c>
      <c r="F379" s="2">
        <v>5.5382736799999996</v>
      </c>
      <c r="G379" s="2">
        <v>8</v>
      </c>
      <c r="H379" s="2">
        <f>Tabla_Items_Con_Existencia[[#This Row],[COSTO]]*Tabla_Items_Con_Existencia[[#This Row],[EXISTENCIA]]</f>
        <v>44.306189439999997</v>
      </c>
      <c r="I379" s="1">
        <f>IF(ISERROR(MATCH(Tabla_Items_Con_Existencia[[#This Row],[CODIGO]],Tabla_Items_Activos[CODIGO],0)),0,1)</f>
        <v>0</v>
      </c>
    </row>
    <row r="380" spans="1:9">
      <c r="A380" s="2" t="s">
        <v>6760</v>
      </c>
      <c r="B380" s="2" t="s">
        <v>189</v>
      </c>
      <c r="C380" s="2" t="s">
        <v>1495</v>
      </c>
      <c r="D380" s="2" t="s">
        <v>5158</v>
      </c>
      <c r="E380" s="2" t="s">
        <v>5159</v>
      </c>
      <c r="F380" s="2">
        <v>5.2450000000000001</v>
      </c>
      <c r="G380" s="2">
        <v>15</v>
      </c>
      <c r="H380" s="2">
        <f>Tabla_Items_Con_Existencia[[#This Row],[COSTO]]*Tabla_Items_Con_Existencia[[#This Row],[EXISTENCIA]]</f>
        <v>78.674999999999997</v>
      </c>
      <c r="I380" s="1">
        <f>IF(ISERROR(MATCH(Tabla_Items_Con_Existencia[[#This Row],[CODIGO]],Tabla_Items_Activos[CODIGO],0)),0,1)</f>
        <v>0</v>
      </c>
    </row>
    <row r="381" spans="1:9">
      <c r="A381" s="2" t="s">
        <v>6760</v>
      </c>
      <c r="B381" s="2" t="s">
        <v>1496</v>
      </c>
      <c r="C381" s="2" t="s">
        <v>1497</v>
      </c>
      <c r="D381" s="2" t="s">
        <v>5158</v>
      </c>
      <c r="E381" s="2" t="s">
        <v>5159</v>
      </c>
      <c r="F381" s="2">
        <v>1.49</v>
      </c>
      <c r="G381" s="2">
        <v>18</v>
      </c>
      <c r="H381" s="2">
        <f>Tabla_Items_Con_Existencia[[#This Row],[COSTO]]*Tabla_Items_Con_Existencia[[#This Row],[EXISTENCIA]]</f>
        <v>26.82</v>
      </c>
      <c r="I381" s="1">
        <f>IF(ISERROR(MATCH(Tabla_Items_Con_Existencia[[#This Row],[CODIGO]],Tabla_Items_Activos[CODIGO],0)),0,1)</f>
        <v>0</v>
      </c>
    </row>
    <row r="382" spans="1:9">
      <c r="A382" s="2" t="s">
        <v>6760</v>
      </c>
      <c r="B382" s="2" t="s">
        <v>190</v>
      </c>
      <c r="C382" s="2" t="s">
        <v>1498</v>
      </c>
      <c r="D382" s="2" t="s">
        <v>5158</v>
      </c>
      <c r="E382" s="2" t="s">
        <v>5159</v>
      </c>
      <c r="F382" s="2">
        <v>2.4319999999999999</v>
      </c>
      <c r="G382" s="2">
        <v>17</v>
      </c>
      <c r="H382" s="2">
        <f>Tabla_Items_Con_Existencia[[#This Row],[COSTO]]*Tabla_Items_Con_Existencia[[#This Row],[EXISTENCIA]]</f>
        <v>41.344000000000001</v>
      </c>
      <c r="I382" s="1">
        <f>IF(ISERROR(MATCH(Tabla_Items_Con_Existencia[[#This Row],[CODIGO]],Tabla_Items_Activos[CODIGO],0)),0,1)</f>
        <v>0</v>
      </c>
    </row>
    <row r="383" spans="1:9">
      <c r="A383" s="2" t="s">
        <v>6761</v>
      </c>
      <c r="B383" s="2" t="s">
        <v>191</v>
      </c>
      <c r="C383" s="2" t="s">
        <v>1499</v>
      </c>
      <c r="D383" s="2" t="s">
        <v>5198</v>
      </c>
      <c r="E383" s="2" t="s">
        <v>5159</v>
      </c>
      <c r="F383" s="2">
        <v>15.628884210000001</v>
      </c>
      <c r="G383" s="2">
        <v>30</v>
      </c>
      <c r="H383" s="2">
        <f>Tabla_Items_Con_Existencia[[#This Row],[COSTO]]*Tabla_Items_Con_Existencia[[#This Row],[EXISTENCIA]]</f>
        <v>468.86652630000003</v>
      </c>
      <c r="I383" s="1">
        <f>IF(ISERROR(MATCH(Tabla_Items_Con_Existencia[[#This Row],[CODIGO]],Tabla_Items_Activos[CODIGO],0)),0,1)</f>
        <v>0</v>
      </c>
    </row>
    <row r="384" spans="1:9">
      <c r="A384" s="2" t="s">
        <v>6760</v>
      </c>
      <c r="B384" s="2" t="s">
        <v>191</v>
      </c>
      <c r="C384" s="2" t="s">
        <v>1499</v>
      </c>
      <c r="D384" s="2" t="s">
        <v>5198</v>
      </c>
      <c r="E384" s="2" t="s">
        <v>5159</v>
      </c>
      <c r="F384" s="2">
        <v>15.628884210000001</v>
      </c>
      <c r="G384" s="2">
        <v>30</v>
      </c>
      <c r="H384" s="2">
        <f>Tabla_Items_Con_Existencia[[#This Row],[COSTO]]*Tabla_Items_Con_Existencia[[#This Row],[EXISTENCIA]]</f>
        <v>468.86652630000003</v>
      </c>
      <c r="I384" s="1">
        <f>IF(ISERROR(MATCH(Tabla_Items_Con_Existencia[[#This Row],[CODIGO]],Tabla_Items_Activos[CODIGO],0)),0,1)</f>
        <v>0</v>
      </c>
    </row>
    <row r="385" spans="1:9">
      <c r="A385" s="2" t="s">
        <v>6760</v>
      </c>
      <c r="B385" s="2" t="s">
        <v>235</v>
      </c>
      <c r="C385" s="2" t="s">
        <v>1500</v>
      </c>
      <c r="D385" s="2" t="s">
        <v>6379</v>
      </c>
      <c r="E385" s="2" t="s">
        <v>5159</v>
      </c>
      <c r="F385" s="2">
        <v>5.2460052599999996</v>
      </c>
      <c r="G385" s="2">
        <v>126</v>
      </c>
      <c r="H385" s="2">
        <f>Tabla_Items_Con_Existencia[[#This Row],[COSTO]]*Tabla_Items_Con_Existencia[[#This Row],[EXISTENCIA]]</f>
        <v>660.99666275999994</v>
      </c>
      <c r="I385" s="1">
        <f>IF(ISERROR(MATCH(Tabla_Items_Con_Existencia[[#This Row],[CODIGO]],Tabla_Items_Activos[CODIGO],0)),0,1)</f>
        <v>0</v>
      </c>
    </row>
    <row r="386" spans="1:9">
      <c r="A386" s="2" t="s">
        <v>6761</v>
      </c>
      <c r="B386" s="2" t="s">
        <v>235</v>
      </c>
      <c r="C386" s="2" t="s">
        <v>1500</v>
      </c>
      <c r="D386" s="2" t="s">
        <v>6379</v>
      </c>
      <c r="E386" s="2" t="s">
        <v>5159</v>
      </c>
      <c r="F386" s="2">
        <v>5.2460052599999996</v>
      </c>
      <c r="G386" s="2">
        <v>126</v>
      </c>
      <c r="H386" s="2">
        <f>Tabla_Items_Con_Existencia[[#This Row],[COSTO]]*Tabla_Items_Con_Existencia[[#This Row],[EXISTENCIA]]</f>
        <v>660.99666275999994</v>
      </c>
      <c r="I386" s="1">
        <f>IF(ISERROR(MATCH(Tabla_Items_Con_Existencia[[#This Row],[CODIGO]],Tabla_Items_Activos[CODIGO],0)),0,1)</f>
        <v>0</v>
      </c>
    </row>
    <row r="387" spans="1:9">
      <c r="A387" s="2" t="s">
        <v>6760</v>
      </c>
      <c r="B387" s="2" t="s">
        <v>192</v>
      </c>
      <c r="C387" s="2" t="s">
        <v>1501</v>
      </c>
      <c r="D387" s="2" t="s">
        <v>5186</v>
      </c>
      <c r="E387" s="2" t="s">
        <v>5159</v>
      </c>
      <c r="F387" s="2">
        <v>6.5129999999999999</v>
      </c>
      <c r="G387" s="2">
        <v>4</v>
      </c>
      <c r="H387" s="2">
        <f>Tabla_Items_Con_Existencia[[#This Row],[COSTO]]*Tabla_Items_Con_Existencia[[#This Row],[EXISTENCIA]]</f>
        <v>26.052</v>
      </c>
      <c r="I387" s="1">
        <f>IF(ISERROR(MATCH(Tabla_Items_Con_Existencia[[#This Row],[CODIGO]],Tabla_Items_Activos[CODIGO],0)),0,1)</f>
        <v>0</v>
      </c>
    </row>
    <row r="388" spans="1:9">
      <c r="A388" s="2" t="s">
        <v>6760</v>
      </c>
      <c r="B388" s="2" t="s">
        <v>1502</v>
      </c>
      <c r="C388" s="2" t="s">
        <v>1503</v>
      </c>
      <c r="D388" s="2" t="s">
        <v>5186</v>
      </c>
      <c r="E388" s="2" t="s">
        <v>5159</v>
      </c>
      <c r="F388" s="2">
        <v>4.5250000000000004</v>
      </c>
      <c r="G388" s="2">
        <v>2</v>
      </c>
      <c r="H388" s="2">
        <f>Tabla_Items_Con_Existencia[[#This Row],[COSTO]]*Tabla_Items_Con_Existencia[[#This Row],[EXISTENCIA]]</f>
        <v>9.0500000000000007</v>
      </c>
      <c r="I388" s="1">
        <f>IF(ISERROR(MATCH(Tabla_Items_Con_Existencia[[#This Row],[CODIGO]],Tabla_Items_Activos[CODIGO],0)),0,1)</f>
        <v>0</v>
      </c>
    </row>
    <row r="389" spans="1:9">
      <c r="A389" s="2" t="s">
        <v>6760</v>
      </c>
      <c r="B389" s="2" t="s">
        <v>193</v>
      </c>
      <c r="C389" s="2" t="s">
        <v>1504</v>
      </c>
      <c r="D389" s="2" t="s">
        <v>5186</v>
      </c>
      <c r="E389" s="2" t="s">
        <v>5159</v>
      </c>
      <c r="F389" s="2">
        <v>3.36</v>
      </c>
      <c r="G389" s="2">
        <v>8</v>
      </c>
      <c r="H389" s="2">
        <f>Tabla_Items_Con_Existencia[[#This Row],[COSTO]]*Tabla_Items_Con_Existencia[[#This Row],[EXISTENCIA]]</f>
        <v>26.88</v>
      </c>
      <c r="I389" s="1">
        <f>IF(ISERROR(MATCH(Tabla_Items_Con_Existencia[[#This Row],[CODIGO]],Tabla_Items_Activos[CODIGO],0)),0,1)</f>
        <v>0</v>
      </c>
    </row>
    <row r="390" spans="1:9">
      <c r="A390" s="2" t="s">
        <v>6760</v>
      </c>
      <c r="B390" s="2" t="s">
        <v>194</v>
      </c>
      <c r="C390" s="2" t="s">
        <v>6306</v>
      </c>
      <c r="D390" s="2" t="s">
        <v>5187</v>
      </c>
      <c r="E390" s="2" t="s">
        <v>5159</v>
      </c>
      <c r="F390" s="2">
        <v>0.47</v>
      </c>
      <c r="G390" s="2">
        <v>2</v>
      </c>
      <c r="H390" s="2">
        <f>Tabla_Items_Con_Existencia[[#This Row],[COSTO]]*Tabla_Items_Con_Existencia[[#This Row],[EXISTENCIA]]</f>
        <v>0.94</v>
      </c>
      <c r="I390" s="1">
        <f>IF(ISERROR(MATCH(Tabla_Items_Con_Existencia[[#This Row],[CODIGO]],Tabla_Items_Activos[CODIGO],0)),0,1)</f>
        <v>0</v>
      </c>
    </row>
    <row r="391" spans="1:9">
      <c r="A391" s="2" t="s">
        <v>6760</v>
      </c>
      <c r="B391" s="2" t="s">
        <v>195</v>
      </c>
      <c r="C391" s="2" t="s">
        <v>6307</v>
      </c>
      <c r="D391" s="2" t="s">
        <v>5186</v>
      </c>
      <c r="E391" s="2" t="s">
        <v>5159</v>
      </c>
      <c r="F391" s="2">
        <v>0.432</v>
      </c>
      <c r="G391" s="2">
        <v>5</v>
      </c>
      <c r="H391" s="2">
        <f>Tabla_Items_Con_Existencia[[#This Row],[COSTO]]*Tabla_Items_Con_Existencia[[#This Row],[EXISTENCIA]]</f>
        <v>2.16</v>
      </c>
      <c r="I391" s="1">
        <f>IF(ISERROR(MATCH(Tabla_Items_Con_Existencia[[#This Row],[CODIGO]],Tabla_Items_Activos[CODIGO],0)),0,1)</f>
        <v>0</v>
      </c>
    </row>
    <row r="392" spans="1:9">
      <c r="A392" s="2" t="s">
        <v>6760</v>
      </c>
      <c r="B392" s="2" t="s">
        <v>196</v>
      </c>
      <c r="C392" s="2" t="s">
        <v>1507</v>
      </c>
      <c r="D392" s="2" t="s">
        <v>5186</v>
      </c>
      <c r="E392" s="2" t="s">
        <v>5159</v>
      </c>
      <c r="F392" s="2">
        <v>3.66</v>
      </c>
      <c r="G392" s="2">
        <v>2</v>
      </c>
      <c r="H392" s="2">
        <f>Tabla_Items_Con_Existencia[[#This Row],[COSTO]]*Tabla_Items_Con_Existencia[[#This Row],[EXISTENCIA]]</f>
        <v>7.32</v>
      </c>
      <c r="I392" s="1">
        <f>IF(ISERROR(MATCH(Tabla_Items_Con_Existencia[[#This Row],[CODIGO]],Tabla_Items_Activos[CODIGO],0)),0,1)</f>
        <v>0</v>
      </c>
    </row>
    <row r="393" spans="1:9">
      <c r="A393" s="2" t="s">
        <v>6760</v>
      </c>
      <c r="B393" s="2" t="s">
        <v>197</v>
      </c>
      <c r="C393" s="2" t="s">
        <v>1508</v>
      </c>
      <c r="D393" s="2" t="s">
        <v>5158</v>
      </c>
      <c r="E393" s="2" t="s">
        <v>5159</v>
      </c>
      <c r="F393" s="2">
        <v>0.22</v>
      </c>
      <c r="G393" s="2">
        <v>13</v>
      </c>
      <c r="H393" s="2">
        <f>Tabla_Items_Con_Existencia[[#This Row],[COSTO]]*Tabla_Items_Con_Existencia[[#This Row],[EXISTENCIA]]</f>
        <v>2.86</v>
      </c>
      <c r="I393" s="1">
        <f>IF(ISERROR(MATCH(Tabla_Items_Con_Existencia[[#This Row],[CODIGO]],Tabla_Items_Activos[CODIGO],0)),0,1)</f>
        <v>0</v>
      </c>
    </row>
    <row r="394" spans="1:9">
      <c r="A394" s="2" t="s">
        <v>6760</v>
      </c>
      <c r="B394" s="2" t="s">
        <v>198</v>
      </c>
      <c r="C394" s="2" t="s">
        <v>5393</v>
      </c>
      <c r="D394" s="2" t="s">
        <v>5161</v>
      </c>
      <c r="E394" s="2" t="s">
        <v>5159</v>
      </c>
      <c r="F394" s="2">
        <v>0.3</v>
      </c>
      <c r="G394" s="2">
        <v>21</v>
      </c>
      <c r="H394" s="2">
        <f>Tabla_Items_Con_Existencia[[#This Row],[COSTO]]*Tabla_Items_Con_Existencia[[#This Row],[EXISTENCIA]]</f>
        <v>6.3</v>
      </c>
      <c r="I394" s="1">
        <f>IF(ISERROR(MATCH(Tabla_Items_Con_Existencia[[#This Row],[CODIGO]],Tabla_Items_Activos[CODIGO],0)),0,1)</f>
        <v>0</v>
      </c>
    </row>
    <row r="395" spans="1:9">
      <c r="A395" s="2" t="s">
        <v>6760</v>
      </c>
      <c r="B395" s="2" t="s">
        <v>199</v>
      </c>
      <c r="C395" s="2" t="s">
        <v>1509</v>
      </c>
      <c r="D395" s="2" t="s">
        <v>5187</v>
      </c>
      <c r="E395" s="2" t="s">
        <v>5159</v>
      </c>
      <c r="F395" s="2">
        <v>2.79</v>
      </c>
      <c r="G395" s="2">
        <v>2</v>
      </c>
      <c r="H395" s="2">
        <f>Tabla_Items_Con_Existencia[[#This Row],[COSTO]]*Tabla_Items_Con_Existencia[[#This Row],[EXISTENCIA]]</f>
        <v>5.58</v>
      </c>
      <c r="I395" s="1">
        <f>IF(ISERROR(MATCH(Tabla_Items_Con_Existencia[[#This Row],[CODIGO]],Tabla_Items_Activos[CODIGO],0)),0,1)</f>
        <v>0</v>
      </c>
    </row>
    <row r="396" spans="1:9">
      <c r="A396" s="2" t="s">
        <v>6760</v>
      </c>
      <c r="B396" s="2" t="s">
        <v>200</v>
      </c>
      <c r="C396" s="2" t="s">
        <v>1510</v>
      </c>
      <c r="D396" s="2" t="s">
        <v>5158</v>
      </c>
      <c r="E396" s="2" t="s">
        <v>5159</v>
      </c>
      <c r="F396" s="2">
        <v>1.651</v>
      </c>
      <c r="G396" s="2">
        <v>5</v>
      </c>
      <c r="H396" s="2">
        <f>Tabla_Items_Con_Existencia[[#This Row],[COSTO]]*Tabla_Items_Con_Existencia[[#This Row],[EXISTENCIA]]</f>
        <v>8.2550000000000008</v>
      </c>
      <c r="I396" s="1">
        <f>IF(ISERROR(MATCH(Tabla_Items_Con_Existencia[[#This Row],[CODIGO]],Tabla_Items_Activos[CODIGO],0)),0,1)</f>
        <v>0</v>
      </c>
    </row>
    <row r="397" spans="1:9">
      <c r="A397" s="2" t="s">
        <v>6760</v>
      </c>
      <c r="B397" s="2" t="s">
        <v>201</v>
      </c>
      <c r="C397" s="2" t="s">
        <v>1511</v>
      </c>
      <c r="D397" s="2" t="s">
        <v>5158</v>
      </c>
      <c r="E397" s="2" t="s">
        <v>5159</v>
      </c>
      <c r="F397" s="2">
        <v>4.5780000000000003</v>
      </c>
      <c r="G397" s="2">
        <v>7</v>
      </c>
      <c r="H397" s="2">
        <f>Tabla_Items_Con_Existencia[[#This Row],[COSTO]]*Tabla_Items_Con_Existencia[[#This Row],[EXISTENCIA]]</f>
        <v>32.045999999999999</v>
      </c>
      <c r="I397" s="1">
        <f>IF(ISERROR(MATCH(Tabla_Items_Con_Existencia[[#This Row],[CODIGO]],Tabla_Items_Activos[CODIGO],0)),0,1)</f>
        <v>0</v>
      </c>
    </row>
    <row r="398" spans="1:9">
      <c r="A398" s="2" t="s">
        <v>6760</v>
      </c>
      <c r="B398" s="2" t="s">
        <v>202</v>
      </c>
      <c r="C398" s="2" t="s">
        <v>1512</v>
      </c>
      <c r="D398" s="2" t="s">
        <v>5158</v>
      </c>
      <c r="E398" s="2" t="s">
        <v>5159</v>
      </c>
      <c r="F398" s="2">
        <v>3.9969999999999999</v>
      </c>
      <c r="G398" s="2">
        <v>8</v>
      </c>
      <c r="H398" s="2">
        <f>Tabla_Items_Con_Existencia[[#This Row],[COSTO]]*Tabla_Items_Con_Existencia[[#This Row],[EXISTENCIA]]</f>
        <v>31.975999999999999</v>
      </c>
      <c r="I398" s="1">
        <f>IF(ISERROR(MATCH(Tabla_Items_Con_Existencia[[#This Row],[CODIGO]],Tabla_Items_Activos[CODIGO],0)),0,1)</f>
        <v>0</v>
      </c>
    </row>
    <row r="399" spans="1:9">
      <c r="A399" s="2" t="s">
        <v>6760</v>
      </c>
      <c r="B399" s="2" t="s">
        <v>203</v>
      </c>
      <c r="C399" s="2" t="s">
        <v>1513</v>
      </c>
      <c r="D399" s="2" t="s">
        <v>5158</v>
      </c>
      <c r="E399" s="2" t="s">
        <v>5159</v>
      </c>
      <c r="F399" s="2">
        <v>4.9889999999999999</v>
      </c>
      <c r="G399" s="2">
        <v>7</v>
      </c>
      <c r="H399" s="2">
        <f>Tabla_Items_Con_Existencia[[#This Row],[COSTO]]*Tabla_Items_Con_Existencia[[#This Row],[EXISTENCIA]]</f>
        <v>34.923000000000002</v>
      </c>
      <c r="I399" s="1">
        <f>IF(ISERROR(MATCH(Tabla_Items_Con_Existencia[[#This Row],[CODIGO]],Tabla_Items_Activos[CODIGO],0)),0,1)</f>
        <v>0</v>
      </c>
    </row>
    <row r="400" spans="1:9">
      <c r="A400" s="2" t="s">
        <v>6761</v>
      </c>
      <c r="B400" s="2" t="s">
        <v>1514</v>
      </c>
      <c r="C400" s="2" t="s">
        <v>4982</v>
      </c>
      <c r="D400" s="2" t="s">
        <v>5190</v>
      </c>
      <c r="E400" s="2" t="s">
        <v>5159</v>
      </c>
      <c r="F400" s="2">
        <v>52.164240739999997</v>
      </c>
      <c r="G400" s="2">
        <v>33</v>
      </c>
      <c r="H400" s="2">
        <f>Tabla_Items_Con_Existencia[[#This Row],[COSTO]]*Tabla_Items_Con_Existencia[[#This Row],[EXISTENCIA]]</f>
        <v>1721.4199444199999</v>
      </c>
      <c r="I400" s="1">
        <f>IF(ISERROR(MATCH(Tabla_Items_Con_Existencia[[#This Row],[CODIGO]],Tabla_Items_Activos[CODIGO],0)),0,1)</f>
        <v>0</v>
      </c>
    </row>
    <row r="401" spans="1:9">
      <c r="A401" s="2" t="s">
        <v>6759</v>
      </c>
      <c r="B401" s="2" t="s">
        <v>1514</v>
      </c>
      <c r="C401" s="2" t="s">
        <v>4982</v>
      </c>
      <c r="D401" s="2" t="s">
        <v>5190</v>
      </c>
      <c r="E401" s="2" t="s">
        <v>5159</v>
      </c>
      <c r="F401" s="2">
        <v>52.164240739999997</v>
      </c>
      <c r="G401" s="2">
        <v>33</v>
      </c>
      <c r="H401" s="2">
        <f>Tabla_Items_Con_Existencia[[#This Row],[COSTO]]*Tabla_Items_Con_Existencia[[#This Row],[EXISTENCIA]]</f>
        <v>1721.4199444199999</v>
      </c>
      <c r="I401" s="1">
        <f>IF(ISERROR(MATCH(Tabla_Items_Con_Existencia[[#This Row],[CODIGO]],Tabla_Items_Activos[CODIGO],0)),0,1)</f>
        <v>0</v>
      </c>
    </row>
    <row r="402" spans="1:9">
      <c r="A402" s="2" t="s">
        <v>6760</v>
      </c>
      <c r="B402" s="2" t="s">
        <v>1514</v>
      </c>
      <c r="C402" s="2" t="s">
        <v>4982</v>
      </c>
      <c r="D402" s="2" t="s">
        <v>5190</v>
      </c>
      <c r="E402" s="2" t="s">
        <v>5159</v>
      </c>
      <c r="F402" s="2">
        <v>52.164240739999997</v>
      </c>
      <c r="G402" s="2">
        <v>33</v>
      </c>
      <c r="H402" s="2">
        <f>Tabla_Items_Con_Existencia[[#This Row],[COSTO]]*Tabla_Items_Con_Existencia[[#This Row],[EXISTENCIA]]</f>
        <v>1721.4199444199999</v>
      </c>
      <c r="I402" s="1">
        <f>IF(ISERROR(MATCH(Tabla_Items_Con_Existencia[[#This Row],[CODIGO]],Tabla_Items_Activos[CODIGO],0)),0,1)</f>
        <v>0</v>
      </c>
    </row>
    <row r="403" spans="1:9">
      <c r="A403" s="2" t="s">
        <v>6760</v>
      </c>
      <c r="B403" s="2" t="s">
        <v>204</v>
      </c>
      <c r="C403" s="2" t="s">
        <v>1516</v>
      </c>
      <c r="D403" s="2" t="s">
        <v>5161</v>
      </c>
      <c r="E403" s="2" t="s">
        <v>5159</v>
      </c>
      <c r="F403" s="2">
        <v>7.984</v>
      </c>
      <c r="G403" s="2">
        <v>11</v>
      </c>
      <c r="H403" s="2">
        <f>Tabla_Items_Con_Existencia[[#This Row],[COSTO]]*Tabla_Items_Con_Existencia[[#This Row],[EXISTENCIA]]</f>
        <v>87.823999999999998</v>
      </c>
      <c r="I403" s="1">
        <f>IF(ISERROR(MATCH(Tabla_Items_Con_Existencia[[#This Row],[CODIGO]],Tabla_Items_Activos[CODIGO],0)),0,1)</f>
        <v>0</v>
      </c>
    </row>
    <row r="404" spans="1:9">
      <c r="A404" s="2" t="s">
        <v>6760</v>
      </c>
      <c r="B404" s="2" t="s">
        <v>205</v>
      </c>
      <c r="C404" s="2" t="s">
        <v>1517</v>
      </c>
      <c r="D404" s="2" t="s">
        <v>5186</v>
      </c>
      <c r="E404" s="2" t="s">
        <v>5159</v>
      </c>
      <c r="F404" s="2">
        <v>7.2279999999999998</v>
      </c>
      <c r="G404" s="2">
        <v>16</v>
      </c>
      <c r="H404" s="2">
        <f>Tabla_Items_Con_Existencia[[#This Row],[COSTO]]*Tabla_Items_Con_Existencia[[#This Row],[EXISTENCIA]]</f>
        <v>115.648</v>
      </c>
      <c r="I404" s="1">
        <f>IF(ISERROR(MATCH(Tabla_Items_Con_Existencia[[#This Row],[CODIGO]],Tabla_Items_Activos[CODIGO],0)),0,1)</f>
        <v>0</v>
      </c>
    </row>
    <row r="405" spans="1:9">
      <c r="A405" s="2" t="s">
        <v>6760</v>
      </c>
      <c r="B405" s="2" t="s">
        <v>206</v>
      </c>
      <c r="C405" s="2" t="s">
        <v>6803</v>
      </c>
      <c r="D405" s="2" t="s">
        <v>5158</v>
      </c>
      <c r="E405" s="2" t="s">
        <v>5159</v>
      </c>
      <c r="F405" s="2">
        <v>4.5030000000000001</v>
      </c>
      <c r="G405" s="2">
        <v>4</v>
      </c>
      <c r="H405" s="2">
        <f>Tabla_Items_Con_Existencia[[#This Row],[COSTO]]*Tabla_Items_Con_Existencia[[#This Row],[EXISTENCIA]]</f>
        <v>18.012</v>
      </c>
      <c r="I405" s="1">
        <f>IF(ISERROR(MATCH(Tabla_Items_Con_Existencia[[#This Row],[CODIGO]],Tabla_Items_Activos[CODIGO],0)),0,1)</f>
        <v>0</v>
      </c>
    </row>
    <row r="406" spans="1:9">
      <c r="A406" s="2" t="s">
        <v>6760</v>
      </c>
      <c r="B406" s="2" t="s">
        <v>207</v>
      </c>
      <c r="C406" s="2" t="s">
        <v>1519</v>
      </c>
      <c r="D406" s="2" t="s">
        <v>5186</v>
      </c>
      <c r="E406" s="2" t="s">
        <v>5159</v>
      </c>
      <c r="F406" s="2">
        <v>8.08</v>
      </c>
      <c r="G406" s="2">
        <v>5</v>
      </c>
      <c r="H406" s="2">
        <f>Tabla_Items_Con_Existencia[[#This Row],[COSTO]]*Tabla_Items_Con_Existencia[[#This Row],[EXISTENCIA]]</f>
        <v>40.4</v>
      </c>
      <c r="I406" s="1">
        <f>IF(ISERROR(MATCH(Tabla_Items_Con_Existencia[[#This Row],[CODIGO]],Tabla_Items_Activos[CODIGO],0)),0,1)</f>
        <v>0</v>
      </c>
    </row>
    <row r="407" spans="1:9">
      <c r="A407" s="2" t="s">
        <v>6760</v>
      </c>
      <c r="B407" s="2" t="s">
        <v>208</v>
      </c>
      <c r="C407" s="2" t="s">
        <v>1520</v>
      </c>
      <c r="D407" s="2" t="s">
        <v>5186</v>
      </c>
      <c r="E407" s="2" t="s">
        <v>5159</v>
      </c>
      <c r="F407" s="2">
        <v>6.44</v>
      </c>
      <c r="G407" s="2">
        <v>5</v>
      </c>
      <c r="H407" s="2">
        <f>Tabla_Items_Con_Existencia[[#This Row],[COSTO]]*Tabla_Items_Con_Existencia[[#This Row],[EXISTENCIA]]</f>
        <v>32.200000000000003</v>
      </c>
      <c r="I407" s="1">
        <f>IF(ISERROR(MATCH(Tabla_Items_Con_Existencia[[#This Row],[CODIGO]],Tabla_Items_Activos[CODIGO],0)),0,1)</f>
        <v>0</v>
      </c>
    </row>
    <row r="408" spans="1:9">
      <c r="A408" s="2" t="s">
        <v>6760</v>
      </c>
      <c r="B408" s="2" t="s">
        <v>209</v>
      </c>
      <c r="C408" s="2" t="s">
        <v>5394</v>
      </c>
      <c r="D408" s="2" t="s">
        <v>5158</v>
      </c>
      <c r="E408" s="2" t="s">
        <v>5159</v>
      </c>
      <c r="F408" s="2">
        <v>8.2468000000000004</v>
      </c>
      <c r="G408" s="2">
        <v>5</v>
      </c>
      <c r="H408" s="2">
        <f>Tabla_Items_Con_Existencia[[#This Row],[COSTO]]*Tabla_Items_Con_Existencia[[#This Row],[EXISTENCIA]]</f>
        <v>41.234000000000002</v>
      </c>
      <c r="I408" s="1">
        <f>IF(ISERROR(MATCH(Tabla_Items_Con_Existencia[[#This Row],[CODIGO]],Tabla_Items_Activos[CODIGO],0)),0,1)</f>
        <v>0</v>
      </c>
    </row>
    <row r="409" spans="1:9">
      <c r="A409" s="2" t="s">
        <v>6760</v>
      </c>
      <c r="B409" s="2" t="s">
        <v>210</v>
      </c>
      <c r="C409" s="2" t="s">
        <v>1521</v>
      </c>
      <c r="D409" s="2" t="s">
        <v>5188</v>
      </c>
      <c r="E409" s="2" t="s">
        <v>5159</v>
      </c>
      <c r="F409" s="2">
        <v>1.752</v>
      </c>
      <c r="G409" s="2">
        <v>37</v>
      </c>
      <c r="H409" s="2">
        <f>Tabla_Items_Con_Existencia[[#This Row],[COSTO]]*Tabla_Items_Con_Existencia[[#This Row],[EXISTENCIA]]</f>
        <v>64.823999999999998</v>
      </c>
      <c r="I409" s="1">
        <f>IF(ISERROR(MATCH(Tabla_Items_Con_Existencia[[#This Row],[CODIGO]],Tabla_Items_Activos[CODIGO],0)),0,1)</f>
        <v>0</v>
      </c>
    </row>
    <row r="410" spans="1:9">
      <c r="A410" s="2" t="s">
        <v>6761</v>
      </c>
      <c r="B410" s="2" t="s">
        <v>210</v>
      </c>
      <c r="C410" s="2" t="s">
        <v>1521</v>
      </c>
      <c r="D410" s="2" t="s">
        <v>5188</v>
      </c>
      <c r="E410" s="2" t="s">
        <v>5159</v>
      </c>
      <c r="F410" s="2">
        <v>1.752</v>
      </c>
      <c r="G410" s="2">
        <v>37</v>
      </c>
      <c r="H410" s="2">
        <f>Tabla_Items_Con_Existencia[[#This Row],[COSTO]]*Tabla_Items_Con_Existencia[[#This Row],[EXISTENCIA]]</f>
        <v>64.823999999999998</v>
      </c>
      <c r="I410" s="1">
        <f>IF(ISERROR(MATCH(Tabla_Items_Con_Existencia[[#This Row],[CODIGO]],Tabla_Items_Activos[CODIGO],0)),0,1)</f>
        <v>0</v>
      </c>
    </row>
    <row r="411" spans="1:9">
      <c r="A411" s="2" t="s">
        <v>6760</v>
      </c>
      <c r="B411" s="2" t="s">
        <v>212</v>
      </c>
      <c r="C411" s="2" t="s">
        <v>1523</v>
      </c>
      <c r="D411" s="2" t="s">
        <v>5161</v>
      </c>
      <c r="E411" s="2" t="s">
        <v>5159</v>
      </c>
      <c r="F411" s="2">
        <v>1.4430000000000001</v>
      </c>
      <c r="G411" s="2">
        <v>10</v>
      </c>
      <c r="H411" s="2">
        <f>Tabla_Items_Con_Existencia[[#This Row],[COSTO]]*Tabla_Items_Con_Existencia[[#This Row],[EXISTENCIA]]</f>
        <v>14.43</v>
      </c>
      <c r="I411" s="1">
        <f>IF(ISERROR(MATCH(Tabla_Items_Con_Existencia[[#This Row],[CODIGO]],Tabla_Items_Activos[CODIGO],0)),0,1)</f>
        <v>0</v>
      </c>
    </row>
    <row r="412" spans="1:9">
      <c r="A412" s="2" t="s">
        <v>6760</v>
      </c>
      <c r="B412" s="2" t="s">
        <v>213</v>
      </c>
      <c r="C412" s="2" t="s">
        <v>1524</v>
      </c>
      <c r="D412" s="2" t="s">
        <v>5158</v>
      </c>
      <c r="E412" s="2" t="s">
        <v>5159</v>
      </c>
      <c r="F412" s="2">
        <v>1.0944</v>
      </c>
      <c r="G412" s="2">
        <v>18</v>
      </c>
      <c r="H412" s="2">
        <f>Tabla_Items_Con_Existencia[[#This Row],[COSTO]]*Tabla_Items_Con_Existencia[[#This Row],[EXISTENCIA]]</f>
        <v>19.699200000000001</v>
      </c>
      <c r="I412" s="1">
        <f>IF(ISERROR(MATCH(Tabla_Items_Con_Existencia[[#This Row],[CODIGO]],Tabla_Items_Activos[CODIGO],0)),0,1)</f>
        <v>0</v>
      </c>
    </row>
    <row r="413" spans="1:9">
      <c r="A413" s="2" t="s">
        <v>6760</v>
      </c>
      <c r="B413" s="2" t="s">
        <v>214</v>
      </c>
      <c r="C413" s="2" t="s">
        <v>1525</v>
      </c>
      <c r="D413" s="2" t="s">
        <v>5158</v>
      </c>
      <c r="E413" s="2" t="s">
        <v>5159</v>
      </c>
      <c r="F413" s="2">
        <v>2.63</v>
      </c>
      <c r="G413" s="2">
        <v>10</v>
      </c>
      <c r="H413" s="2">
        <f>Tabla_Items_Con_Existencia[[#This Row],[COSTO]]*Tabla_Items_Con_Existencia[[#This Row],[EXISTENCIA]]</f>
        <v>26.299999999999997</v>
      </c>
      <c r="I413" s="1">
        <f>IF(ISERROR(MATCH(Tabla_Items_Con_Existencia[[#This Row],[CODIGO]],Tabla_Items_Activos[CODIGO],0)),0,1)</f>
        <v>0</v>
      </c>
    </row>
    <row r="414" spans="1:9">
      <c r="A414" s="2" t="s">
        <v>6760</v>
      </c>
      <c r="B414" s="2" t="s">
        <v>215</v>
      </c>
      <c r="C414" s="2" t="s">
        <v>1526</v>
      </c>
      <c r="D414" s="2" t="s">
        <v>5158</v>
      </c>
      <c r="E414" s="2" t="s">
        <v>5159</v>
      </c>
      <c r="F414" s="2">
        <v>1.8009999999999999</v>
      </c>
      <c r="G414" s="2">
        <v>6</v>
      </c>
      <c r="H414" s="2">
        <f>Tabla_Items_Con_Existencia[[#This Row],[COSTO]]*Tabla_Items_Con_Existencia[[#This Row],[EXISTENCIA]]</f>
        <v>10.805999999999999</v>
      </c>
      <c r="I414" s="1">
        <f>IF(ISERROR(MATCH(Tabla_Items_Con_Existencia[[#This Row],[CODIGO]],Tabla_Items_Activos[CODIGO],0)),0,1)</f>
        <v>0</v>
      </c>
    </row>
    <row r="415" spans="1:9">
      <c r="A415" s="2" t="s">
        <v>6760</v>
      </c>
      <c r="B415" s="2" t="s">
        <v>6380</v>
      </c>
      <c r="C415" s="2" t="s">
        <v>6804</v>
      </c>
      <c r="D415" s="2" t="s">
        <v>5158</v>
      </c>
      <c r="E415" s="2" t="s">
        <v>5159</v>
      </c>
      <c r="F415" s="2">
        <v>1.0980000000000001</v>
      </c>
      <c r="G415" s="2">
        <v>5</v>
      </c>
      <c r="H415" s="2">
        <f>Tabla_Items_Con_Existencia[[#This Row],[COSTO]]*Tabla_Items_Con_Existencia[[#This Row],[EXISTENCIA]]</f>
        <v>5.49</v>
      </c>
      <c r="I415" s="1">
        <f>IF(ISERROR(MATCH(Tabla_Items_Con_Existencia[[#This Row],[CODIGO]],Tabla_Items_Activos[CODIGO],0)),0,1)</f>
        <v>0</v>
      </c>
    </row>
    <row r="416" spans="1:9">
      <c r="A416" s="2" t="s">
        <v>6760</v>
      </c>
      <c r="B416" s="2" t="s">
        <v>216</v>
      </c>
      <c r="C416" s="2" t="s">
        <v>1527</v>
      </c>
      <c r="D416" s="2" t="s">
        <v>5158</v>
      </c>
      <c r="E416" s="2" t="s">
        <v>5159</v>
      </c>
      <c r="F416" s="2">
        <v>2.9820000000000002</v>
      </c>
      <c r="G416" s="2">
        <v>5</v>
      </c>
      <c r="H416" s="2">
        <f>Tabla_Items_Con_Existencia[[#This Row],[COSTO]]*Tabla_Items_Con_Existencia[[#This Row],[EXISTENCIA]]</f>
        <v>14.91</v>
      </c>
      <c r="I416" s="1">
        <f>IF(ISERROR(MATCH(Tabla_Items_Con_Existencia[[#This Row],[CODIGO]],Tabla_Items_Activos[CODIGO],0)),0,1)</f>
        <v>0</v>
      </c>
    </row>
    <row r="417" spans="1:9">
      <c r="A417" s="2" t="s">
        <v>6760</v>
      </c>
      <c r="B417" s="2" t="s">
        <v>217</v>
      </c>
      <c r="C417" s="2" t="s">
        <v>1528</v>
      </c>
      <c r="D417" s="2" t="s">
        <v>5158</v>
      </c>
      <c r="E417" s="2" t="s">
        <v>5159</v>
      </c>
      <c r="F417" s="2">
        <v>4.0401999999999996</v>
      </c>
      <c r="G417" s="2">
        <v>3</v>
      </c>
      <c r="H417" s="2">
        <f>Tabla_Items_Con_Existencia[[#This Row],[COSTO]]*Tabla_Items_Con_Existencia[[#This Row],[EXISTENCIA]]</f>
        <v>12.1206</v>
      </c>
      <c r="I417" s="1">
        <f>IF(ISERROR(MATCH(Tabla_Items_Con_Existencia[[#This Row],[CODIGO]],Tabla_Items_Activos[CODIGO],0)),0,1)</f>
        <v>0</v>
      </c>
    </row>
    <row r="418" spans="1:9">
      <c r="A418" s="2" t="s">
        <v>6760</v>
      </c>
      <c r="B418" s="2" t="s">
        <v>218</v>
      </c>
      <c r="C418" s="2" t="s">
        <v>1529</v>
      </c>
      <c r="D418" s="2" t="s">
        <v>5158</v>
      </c>
      <c r="E418" s="2" t="s">
        <v>5159</v>
      </c>
      <c r="F418" s="2">
        <v>1.6639999999999999</v>
      </c>
      <c r="G418" s="2">
        <v>7</v>
      </c>
      <c r="H418" s="2">
        <f>Tabla_Items_Con_Existencia[[#This Row],[COSTO]]*Tabla_Items_Con_Existencia[[#This Row],[EXISTENCIA]]</f>
        <v>11.648</v>
      </c>
      <c r="I418" s="1">
        <f>IF(ISERROR(MATCH(Tabla_Items_Con_Existencia[[#This Row],[CODIGO]],Tabla_Items_Activos[CODIGO],0)),0,1)</f>
        <v>0</v>
      </c>
    </row>
    <row r="419" spans="1:9">
      <c r="A419" s="2" t="s">
        <v>6760</v>
      </c>
      <c r="B419" s="2" t="s">
        <v>219</v>
      </c>
      <c r="C419" s="2" t="s">
        <v>1530</v>
      </c>
      <c r="D419" s="2" t="s">
        <v>5186</v>
      </c>
      <c r="E419" s="2" t="s">
        <v>5159</v>
      </c>
      <c r="F419" s="2">
        <v>6.89</v>
      </c>
      <c r="G419" s="2">
        <v>3</v>
      </c>
      <c r="H419" s="2">
        <f>Tabla_Items_Con_Existencia[[#This Row],[COSTO]]*Tabla_Items_Con_Existencia[[#This Row],[EXISTENCIA]]</f>
        <v>20.669999999999998</v>
      </c>
      <c r="I419" s="1">
        <f>IF(ISERROR(MATCH(Tabla_Items_Con_Existencia[[#This Row],[CODIGO]],Tabla_Items_Activos[CODIGO],0)),0,1)</f>
        <v>0</v>
      </c>
    </row>
    <row r="420" spans="1:9">
      <c r="A420" s="2" t="s">
        <v>6760</v>
      </c>
      <c r="B420" s="2" t="s">
        <v>220</v>
      </c>
      <c r="C420" s="2" t="s">
        <v>1531</v>
      </c>
      <c r="D420" s="2" t="s">
        <v>5161</v>
      </c>
      <c r="E420" s="2" t="s">
        <v>5159</v>
      </c>
      <c r="F420" s="2">
        <v>3.0148999999999999</v>
      </c>
      <c r="G420" s="2">
        <v>12</v>
      </c>
      <c r="H420" s="2">
        <f>Tabla_Items_Con_Existencia[[#This Row],[COSTO]]*Tabla_Items_Con_Existencia[[#This Row],[EXISTENCIA]]</f>
        <v>36.178799999999995</v>
      </c>
      <c r="I420" s="1">
        <f>IF(ISERROR(MATCH(Tabla_Items_Con_Existencia[[#This Row],[CODIGO]],Tabla_Items_Activos[CODIGO],0)),0,1)</f>
        <v>0</v>
      </c>
    </row>
    <row r="421" spans="1:9">
      <c r="A421" s="2" t="s">
        <v>6760</v>
      </c>
      <c r="B421" s="2" t="s">
        <v>221</v>
      </c>
      <c r="C421" s="2" t="s">
        <v>1532</v>
      </c>
      <c r="D421" s="2" t="s">
        <v>5186</v>
      </c>
      <c r="E421" s="2" t="s">
        <v>5159</v>
      </c>
      <c r="F421" s="2">
        <v>7.9809999999999999</v>
      </c>
      <c r="G421" s="2">
        <v>8</v>
      </c>
      <c r="H421" s="2">
        <f>Tabla_Items_Con_Existencia[[#This Row],[COSTO]]*Tabla_Items_Con_Existencia[[#This Row],[EXISTENCIA]]</f>
        <v>63.847999999999999</v>
      </c>
      <c r="I421" s="1">
        <f>IF(ISERROR(MATCH(Tabla_Items_Con_Existencia[[#This Row],[CODIGO]],Tabla_Items_Activos[CODIGO],0)),0,1)</f>
        <v>0</v>
      </c>
    </row>
    <row r="422" spans="1:9">
      <c r="A422" s="2" t="s">
        <v>6760</v>
      </c>
      <c r="B422" s="2" t="s">
        <v>222</v>
      </c>
      <c r="C422" s="2" t="s">
        <v>1533</v>
      </c>
      <c r="D422" s="2" t="s">
        <v>5186</v>
      </c>
      <c r="E422" s="2" t="s">
        <v>5159</v>
      </c>
      <c r="F422" s="2">
        <v>3.96</v>
      </c>
      <c r="G422" s="2">
        <v>2</v>
      </c>
      <c r="H422" s="2">
        <f>Tabla_Items_Con_Existencia[[#This Row],[COSTO]]*Tabla_Items_Con_Existencia[[#This Row],[EXISTENCIA]]</f>
        <v>7.92</v>
      </c>
      <c r="I422" s="1">
        <f>IF(ISERROR(MATCH(Tabla_Items_Con_Existencia[[#This Row],[CODIGO]],Tabla_Items_Activos[CODIGO],0)),0,1)</f>
        <v>0</v>
      </c>
    </row>
    <row r="423" spans="1:9">
      <c r="A423" s="2" t="s">
        <v>6760</v>
      </c>
      <c r="B423" s="2" t="s">
        <v>223</v>
      </c>
      <c r="C423" s="2" t="s">
        <v>1534</v>
      </c>
      <c r="D423" s="2" t="s">
        <v>5186</v>
      </c>
      <c r="E423" s="2" t="s">
        <v>5159</v>
      </c>
      <c r="F423" s="2">
        <v>0.53</v>
      </c>
      <c r="G423" s="2">
        <v>5</v>
      </c>
      <c r="H423" s="2">
        <f>Tabla_Items_Con_Existencia[[#This Row],[COSTO]]*Tabla_Items_Con_Existencia[[#This Row],[EXISTENCIA]]</f>
        <v>2.6500000000000004</v>
      </c>
      <c r="I423" s="1">
        <f>IF(ISERROR(MATCH(Tabla_Items_Con_Existencia[[#This Row],[CODIGO]],Tabla_Items_Activos[CODIGO],0)),0,1)</f>
        <v>0</v>
      </c>
    </row>
    <row r="424" spans="1:9">
      <c r="A424" s="2" t="s">
        <v>6760</v>
      </c>
      <c r="B424" s="2" t="s">
        <v>224</v>
      </c>
      <c r="C424" s="2" t="s">
        <v>1535</v>
      </c>
      <c r="D424" s="2" t="s">
        <v>5158</v>
      </c>
      <c r="E424" s="2" t="s">
        <v>5159</v>
      </c>
      <c r="F424" s="2">
        <v>1.6365000000000001</v>
      </c>
      <c r="G424" s="2">
        <v>5</v>
      </c>
      <c r="H424" s="2">
        <f>Tabla_Items_Con_Existencia[[#This Row],[COSTO]]*Tabla_Items_Con_Existencia[[#This Row],[EXISTENCIA]]</f>
        <v>8.182500000000001</v>
      </c>
      <c r="I424" s="1">
        <f>IF(ISERROR(MATCH(Tabla_Items_Con_Existencia[[#This Row],[CODIGO]],Tabla_Items_Activos[CODIGO],0)),0,1)</f>
        <v>0</v>
      </c>
    </row>
    <row r="425" spans="1:9">
      <c r="A425" s="2" t="s">
        <v>6760</v>
      </c>
      <c r="B425" s="2" t="s">
        <v>225</v>
      </c>
      <c r="C425" s="2" t="s">
        <v>1536</v>
      </c>
      <c r="D425" s="2" t="s">
        <v>5187</v>
      </c>
      <c r="E425" s="2" t="s">
        <v>5159</v>
      </c>
      <c r="F425" s="2">
        <v>4.51</v>
      </c>
      <c r="G425" s="2">
        <v>1</v>
      </c>
      <c r="H425" s="2">
        <f>Tabla_Items_Con_Existencia[[#This Row],[COSTO]]*Tabla_Items_Con_Existencia[[#This Row],[EXISTENCIA]]</f>
        <v>4.51</v>
      </c>
      <c r="I425" s="1">
        <f>IF(ISERROR(MATCH(Tabla_Items_Con_Existencia[[#This Row],[CODIGO]],Tabla_Items_Activos[CODIGO],0)),0,1)</f>
        <v>0</v>
      </c>
    </row>
    <row r="426" spans="1:9">
      <c r="A426" s="2" t="s">
        <v>6760</v>
      </c>
      <c r="B426" s="2" t="s">
        <v>226</v>
      </c>
      <c r="C426" s="2" t="s">
        <v>1537</v>
      </c>
      <c r="D426" s="2" t="s">
        <v>5158</v>
      </c>
      <c r="E426" s="2" t="s">
        <v>5159</v>
      </c>
      <c r="F426" s="2">
        <v>11.42</v>
      </c>
      <c r="G426" s="2">
        <v>3</v>
      </c>
      <c r="H426" s="2">
        <f>Tabla_Items_Con_Existencia[[#This Row],[COSTO]]*Tabla_Items_Con_Existencia[[#This Row],[EXISTENCIA]]</f>
        <v>34.26</v>
      </c>
      <c r="I426" s="1">
        <f>IF(ISERROR(MATCH(Tabla_Items_Con_Existencia[[#This Row],[CODIGO]],Tabla_Items_Activos[CODIGO],0)),0,1)</f>
        <v>0</v>
      </c>
    </row>
    <row r="427" spans="1:9">
      <c r="A427" s="2" t="s">
        <v>6761</v>
      </c>
      <c r="B427" s="2" t="s">
        <v>227</v>
      </c>
      <c r="C427" s="2" t="s">
        <v>1538</v>
      </c>
      <c r="D427" s="2" t="s">
        <v>5187</v>
      </c>
      <c r="E427" s="2" t="s">
        <v>5159</v>
      </c>
      <c r="F427" s="2">
        <v>1.97368421</v>
      </c>
      <c r="G427" s="2">
        <v>14</v>
      </c>
      <c r="H427" s="2">
        <f>Tabla_Items_Con_Existencia[[#This Row],[COSTO]]*Tabla_Items_Con_Existencia[[#This Row],[EXISTENCIA]]</f>
        <v>27.631578940000001</v>
      </c>
      <c r="I427" s="1">
        <f>IF(ISERROR(MATCH(Tabla_Items_Con_Existencia[[#This Row],[CODIGO]],Tabla_Items_Activos[CODIGO],0)),0,1)</f>
        <v>0</v>
      </c>
    </row>
    <row r="428" spans="1:9">
      <c r="A428" s="2" t="s">
        <v>6760</v>
      </c>
      <c r="B428" s="2" t="s">
        <v>227</v>
      </c>
      <c r="C428" s="2" t="s">
        <v>1538</v>
      </c>
      <c r="D428" s="2" t="s">
        <v>5187</v>
      </c>
      <c r="E428" s="2" t="s">
        <v>5159</v>
      </c>
      <c r="F428" s="2">
        <v>1.97368421</v>
      </c>
      <c r="G428" s="2">
        <v>14</v>
      </c>
      <c r="H428" s="2">
        <f>Tabla_Items_Con_Existencia[[#This Row],[COSTO]]*Tabla_Items_Con_Existencia[[#This Row],[EXISTENCIA]]</f>
        <v>27.631578940000001</v>
      </c>
      <c r="I428" s="1">
        <f>IF(ISERROR(MATCH(Tabla_Items_Con_Existencia[[#This Row],[CODIGO]],Tabla_Items_Activos[CODIGO],0)),0,1)</f>
        <v>0</v>
      </c>
    </row>
    <row r="429" spans="1:9">
      <c r="A429" s="2" t="s">
        <v>6760</v>
      </c>
      <c r="B429" s="2" t="s">
        <v>228</v>
      </c>
      <c r="C429" s="2" t="s">
        <v>7302</v>
      </c>
      <c r="D429" s="2" t="s">
        <v>5158</v>
      </c>
      <c r="E429" s="2" t="s">
        <v>5159</v>
      </c>
      <c r="F429" s="2">
        <v>1.4359</v>
      </c>
      <c r="G429" s="2">
        <v>12</v>
      </c>
      <c r="H429" s="2">
        <f>Tabla_Items_Con_Existencia[[#This Row],[COSTO]]*Tabla_Items_Con_Existencia[[#This Row],[EXISTENCIA]]</f>
        <v>17.230799999999999</v>
      </c>
      <c r="I429" s="1">
        <f>IF(ISERROR(MATCH(Tabla_Items_Con_Existencia[[#This Row],[CODIGO]],Tabla_Items_Activos[CODIGO],0)),0,1)</f>
        <v>0</v>
      </c>
    </row>
    <row r="430" spans="1:9">
      <c r="A430" s="2" t="s">
        <v>6760</v>
      </c>
      <c r="B430" s="2" t="s">
        <v>229</v>
      </c>
      <c r="C430" s="2" t="s">
        <v>1540</v>
      </c>
      <c r="D430" s="2" t="s">
        <v>5158</v>
      </c>
      <c r="E430" s="2" t="s">
        <v>5159</v>
      </c>
      <c r="F430" s="2">
        <v>2.94</v>
      </c>
      <c r="G430" s="2">
        <v>5</v>
      </c>
      <c r="H430" s="2">
        <f>Tabla_Items_Con_Existencia[[#This Row],[COSTO]]*Tabla_Items_Con_Existencia[[#This Row],[EXISTENCIA]]</f>
        <v>14.7</v>
      </c>
      <c r="I430" s="1">
        <f>IF(ISERROR(MATCH(Tabla_Items_Con_Existencia[[#This Row],[CODIGO]],Tabla_Items_Activos[CODIGO],0)),0,1)</f>
        <v>0</v>
      </c>
    </row>
    <row r="431" spans="1:9">
      <c r="A431" s="2" t="s">
        <v>6760</v>
      </c>
      <c r="B431" s="2" t="s">
        <v>230</v>
      </c>
      <c r="C431" s="2" t="s">
        <v>1541</v>
      </c>
      <c r="D431" s="2" t="s">
        <v>5158</v>
      </c>
      <c r="E431" s="2" t="s">
        <v>5159</v>
      </c>
      <c r="F431" s="2">
        <v>0.83599999999999997</v>
      </c>
      <c r="G431" s="2">
        <v>41</v>
      </c>
      <c r="H431" s="2">
        <f>Tabla_Items_Con_Existencia[[#This Row],[COSTO]]*Tabla_Items_Con_Existencia[[#This Row],[EXISTENCIA]]</f>
        <v>34.275999999999996</v>
      </c>
      <c r="I431" s="1">
        <f>IF(ISERROR(MATCH(Tabla_Items_Con_Existencia[[#This Row],[CODIGO]],Tabla_Items_Activos[CODIGO],0)),0,1)</f>
        <v>0</v>
      </c>
    </row>
    <row r="432" spans="1:9">
      <c r="A432" s="2" t="s">
        <v>6760</v>
      </c>
      <c r="B432" s="2" t="s">
        <v>6805</v>
      </c>
      <c r="C432" s="2" t="s">
        <v>6806</v>
      </c>
      <c r="D432" s="2" t="s">
        <v>5158</v>
      </c>
      <c r="E432" s="2" t="s">
        <v>5159</v>
      </c>
      <c r="F432" s="2">
        <v>0.38</v>
      </c>
      <c r="G432" s="2">
        <v>20</v>
      </c>
      <c r="H432" s="2">
        <f>Tabla_Items_Con_Existencia[[#This Row],[COSTO]]*Tabla_Items_Con_Existencia[[#This Row],[EXISTENCIA]]</f>
        <v>7.6</v>
      </c>
      <c r="I432" s="1">
        <f>IF(ISERROR(MATCH(Tabla_Items_Con_Existencia[[#This Row],[CODIGO]],Tabla_Items_Activos[CODIGO],0)),0,1)</f>
        <v>0</v>
      </c>
    </row>
    <row r="433" spans="1:9">
      <c r="A433" s="2" t="s">
        <v>6760</v>
      </c>
      <c r="B433" s="2" t="s">
        <v>231</v>
      </c>
      <c r="C433" s="2" t="s">
        <v>5395</v>
      </c>
      <c r="D433" s="2" t="s">
        <v>5158</v>
      </c>
      <c r="E433" s="2" t="s">
        <v>5159</v>
      </c>
      <c r="F433" s="2">
        <v>1.17</v>
      </c>
      <c r="G433" s="2">
        <v>5</v>
      </c>
      <c r="H433" s="2">
        <f>Tabla_Items_Con_Existencia[[#This Row],[COSTO]]*Tabla_Items_Con_Existencia[[#This Row],[EXISTENCIA]]</f>
        <v>5.85</v>
      </c>
      <c r="I433" s="1">
        <f>IF(ISERROR(MATCH(Tabla_Items_Con_Existencia[[#This Row],[CODIGO]],Tabla_Items_Activos[CODIGO],0)),0,1)</f>
        <v>0</v>
      </c>
    </row>
    <row r="434" spans="1:9">
      <c r="A434" s="2" t="s">
        <v>6760</v>
      </c>
      <c r="B434" s="2" t="s">
        <v>232</v>
      </c>
      <c r="C434" s="2" t="s">
        <v>1542</v>
      </c>
      <c r="D434" s="2" t="s">
        <v>5158</v>
      </c>
      <c r="E434" s="2" t="s">
        <v>5159</v>
      </c>
      <c r="F434" s="2">
        <v>2.4</v>
      </c>
      <c r="G434" s="2">
        <v>7</v>
      </c>
      <c r="H434" s="2">
        <f>Tabla_Items_Con_Existencia[[#This Row],[COSTO]]*Tabla_Items_Con_Existencia[[#This Row],[EXISTENCIA]]</f>
        <v>16.8</v>
      </c>
      <c r="I434" s="1">
        <f>IF(ISERROR(MATCH(Tabla_Items_Con_Existencia[[#This Row],[CODIGO]],Tabla_Items_Activos[CODIGO],0)),0,1)</f>
        <v>0</v>
      </c>
    </row>
    <row r="435" spans="1:9">
      <c r="A435" s="2" t="s">
        <v>6760</v>
      </c>
      <c r="B435" s="2" t="s">
        <v>6807</v>
      </c>
      <c r="C435" s="2" t="s">
        <v>6808</v>
      </c>
      <c r="D435" s="2" t="s">
        <v>5158</v>
      </c>
      <c r="E435" s="2" t="s">
        <v>5159</v>
      </c>
      <c r="F435" s="2">
        <v>2.68</v>
      </c>
      <c r="G435" s="2">
        <v>4</v>
      </c>
      <c r="H435" s="2">
        <f>Tabla_Items_Con_Existencia[[#This Row],[COSTO]]*Tabla_Items_Con_Existencia[[#This Row],[EXISTENCIA]]</f>
        <v>10.72</v>
      </c>
      <c r="I435" s="1">
        <f>IF(ISERROR(MATCH(Tabla_Items_Con_Existencia[[#This Row],[CODIGO]],Tabla_Items_Activos[CODIGO],0)),0,1)</f>
        <v>0</v>
      </c>
    </row>
    <row r="436" spans="1:9">
      <c r="A436" s="2" t="s">
        <v>6760</v>
      </c>
      <c r="B436" s="2" t="s">
        <v>6809</v>
      </c>
      <c r="C436" s="2" t="s">
        <v>6810</v>
      </c>
      <c r="D436" s="2" t="s">
        <v>5186</v>
      </c>
      <c r="E436" s="2" t="s">
        <v>5159</v>
      </c>
      <c r="F436" s="2">
        <v>1.05</v>
      </c>
      <c r="G436" s="2">
        <v>6</v>
      </c>
      <c r="H436" s="2">
        <f>Tabla_Items_Con_Existencia[[#This Row],[COSTO]]*Tabla_Items_Con_Existencia[[#This Row],[EXISTENCIA]]</f>
        <v>6.3000000000000007</v>
      </c>
      <c r="I436" s="1">
        <f>IF(ISERROR(MATCH(Tabla_Items_Con_Existencia[[#This Row],[CODIGO]],Tabla_Items_Activos[CODIGO],0)),0,1)</f>
        <v>0</v>
      </c>
    </row>
    <row r="437" spans="1:9">
      <c r="A437" s="2" t="s">
        <v>6760</v>
      </c>
      <c r="B437" s="2" t="s">
        <v>233</v>
      </c>
      <c r="C437" s="2" t="s">
        <v>1543</v>
      </c>
      <c r="D437" s="2" t="s">
        <v>5161</v>
      </c>
      <c r="E437" s="2" t="s">
        <v>5159</v>
      </c>
      <c r="F437" s="2">
        <v>0.46</v>
      </c>
      <c r="G437" s="2">
        <v>5</v>
      </c>
      <c r="H437" s="2">
        <f>Tabla_Items_Con_Existencia[[#This Row],[COSTO]]*Tabla_Items_Con_Existencia[[#This Row],[EXISTENCIA]]</f>
        <v>2.3000000000000003</v>
      </c>
      <c r="I437" s="1">
        <f>IF(ISERROR(MATCH(Tabla_Items_Con_Existencia[[#This Row],[CODIGO]],Tabla_Items_Activos[CODIGO],0)),0,1)</f>
        <v>0</v>
      </c>
    </row>
    <row r="438" spans="1:9">
      <c r="A438" s="2" t="s">
        <v>6760</v>
      </c>
      <c r="B438" s="2" t="s">
        <v>234</v>
      </c>
      <c r="C438" s="2" t="s">
        <v>1544</v>
      </c>
      <c r="D438" s="2" t="s">
        <v>5158</v>
      </c>
      <c r="E438" s="2" t="s">
        <v>5159</v>
      </c>
      <c r="F438" s="2">
        <v>0.67600000000000005</v>
      </c>
      <c r="G438" s="2">
        <v>6</v>
      </c>
      <c r="H438" s="2">
        <f>Tabla_Items_Con_Existencia[[#This Row],[COSTO]]*Tabla_Items_Con_Existencia[[#This Row],[EXISTENCIA]]</f>
        <v>4.056</v>
      </c>
      <c r="I438" s="1">
        <f>IF(ISERROR(MATCH(Tabla_Items_Con_Existencia[[#This Row],[CODIGO]],Tabla_Items_Activos[CODIGO],0)),0,1)</f>
        <v>0</v>
      </c>
    </row>
    <row r="439" spans="1:9">
      <c r="A439" s="2" t="s">
        <v>6760</v>
      </c>
      <c r="B439" s="2" t="s">
        <v>5396</v>
      </c>
      <c r="C439" s="2" t="s">
        <v>5397</v>
      </c>
      <c r="D439" s="2" t="s">
        <v>5161</v>
      </c>
      <c r="E439" s="2" t="s">
        <v>5159</v>
      </c>
      <c r="F439" s="2">
        <v>0.84</v>
      </c>
      <c r="G439" s="2">
        <v>4</v>
      </c>
      <c r="H439" s="2">
        <f>Tabla_Items_Con_Existencia[[#This Row],[COSTO]]*Tabla_Items_Con_Existencia[[#This Row],[EXISTENCIA]]</f>
        <v>3.36</v>
      </c>
      <c r="I439" s="1">
        <f>IF(ISERROR(MATCH(Tabla_Items_Con_Existencia[[#This Row],[CODIGO]],Tabla_Items_Activos[CODIGO],0)),0,1)</f>
        <v>0</v>
      </c>
    </row>
    <row r="440" spans="1:9">
      <c r="A440" s="2" t="s">
        <v>6760</v>
      </c>
      <c r="B440" s="2" t="s">
        <v>236</v>
      </c>
      <c r="C440" s="2" t="s">
        <v>1545</v>
      </c>
      <c r="D440" s="2" t="s">
        <v>5186</v>
      </c>
      <c r="E440" s="2" t="s">
        <v>5159</v>
      </c>
      <c r="F440" s="2">
        <v>0.81</v>
      </c>
      <c r="G440" s="2">
        <v>5</v>
      </c>
      <c r="H440" s="2">
        <f>Tabla_Items_Con_Existencia[[#This Row],[COSTO]]*Tabla_Items_Con_Existencia[[#This Row],[EXISTENCIA]]</f>
        <v>4.0500000000000007</v>
      </c>
      <c r="I440" s="1">
        <f>IF(ISERROR(MATCH(Tabla_Items_Con_Existencia[[#This Row],[CODIGO]],Tabla_Items_Activos[CODIGO],0)),0,1)</f>
        <v>0</v>
      </c>
    </row>
    <row r="441" spans="1:9">
      <c r="A441" s="2" t="s">
        <v>6760</v>
      </c>
      <c r="B441" s="2" t="s">
        <v>237</v>
      </c>
      <c r="C441" s="2" t="s">
        <v>1546</v>
      </c>
      <c r="D441" s="2" t="s">
        <v>5161</v>
      </c>
      <c r="E441" s="2" t="s">
        <v>5159</v>
      </c>
      <c r="F441" s="2">
        <v>3.6669999999999998</v>
      </c>
      <c r="G441" s="2">
        <v>7</v>
      </c>
      <c r="H441" s="2">
        <f>Tabla_Items_Con_Existencia[[#This Row],[COSTO]]*Tabla_Items_Con_Existencia[[#This Row],[EXISTENCIA]]</f>
        <v>25.668999999999997</v>
      </c>
      <c r="I441" s="1">
        <f>IF(ISERROR(MATCH(Tabla_Items_Con_Existencia[[#This Row],[CODIGO]],Tabla_Items_Activos[CODIGO],0)),0,1)</f>
        <v>0</v>
      </c>
    </row>
    <row r="442" spans="1:9">
      <c r="A442" s="2" t="s">
        <v>6760</v>
      </c>
      <c r="B442" s="2" t="s">
        <v>6811</v>
      </c>
      <c r="C442" s="2" t="s">
        <v>6812</v>
      </c>
      <c r="D442" s="2" t="s">
        <v>5161</v>
      </c>
      <c r="E442" s="2" t="s">
        <v>5159</v>
      </c>
      <c r="F442" s="2">
        <v>1.86</v>
      </c>
      <c r="G442" s="2">
        <v>5</v>
      </c>
      <c r="H442" s="2">
        <f>Tabla_Items_Con_Existencia[[#This Row],[COSTO]]*Tabla_Items_Con_Existencia[[#This Row],[EXISTENCIA]]</f>
        <v>9.3000000000000007</v>
      </c>
      <c r="I442" s="1">
        <f>IF(ISERROR(MATCH(Tabla_Items_Con_Existencia[[#This Row],[CODIGO]],Tabla_Items_Activos[CODIGO],0)),0,1)</f>
        <v>0</v>
      </c>
    </row>
    <row r="443" spans="1:9">
      <c r="A443" s="2" t="s">
        <v>6760</v>
      </c>
      <c r="B443" s="2" t="s">
        <v>6813</v>
      </c>
      <c r="C443" s="2" t="s">
        <v>6814</v>
      </c>
      <c r="D443" s="2" t="s">
        <v>5186</v>
      </c>
      <c r="E443" s="2" t="s">
        <v>5159</v>
      </c>
      <c r="F443" s="2">
        <v>1.44</v>
      </c>
      <c r="G443" s="2">
        <v>4</v>
      </c>
      <c r="H443" s="2">
        <f>Tabla_Items_Con_Existencia[[#This Row],[COSTO]]*Tabla_Items_Con_Existencia[[#This Row],[EXISTENCIA]]</f>
        <v>5.76</v>
      </c>
      <c r="I443" s="1">
        <f>IF(ISERROR(MATCH(Tabla_Items_Con_Existencia[[#This Row],[CODIGO]],Tabla_Items_Activos[CODIGO],0)),0,1)</f>
        <v>0</v>
      </c>
    </row>
    <row r="444" spans="1:9">
      <c r="A444" s="2" t="s">
        <v>6760</v>
      </c>
      <c r="B444" s="2" t="s">
        <v>238</v>
      </c>
      <c r="C444" s="2" t="s">
        <v>1547</v>
      </c>
      <c r="D444" s="2" t="s">
        <v>5158</v>
      </c>
      <c r="E444" s="2" t="s">
        <v>5159</v>
      </c>
      <c r="F444" s="2">
        <v>45.029000000000003</v>
      </c>
      <c r="G444" s="2">
        <v>7</v>
      </c>
      <c r="H444" s="2">
        <f>Tabla_Items_Con_Existencia[[#This Row],[COSTO]]*Tabla_Items_Con_Existencia[[#This Row],[EXISTENCIA]]</f>
        <v>315.20300000000003</v>
      </c>
      <c r="I444" s="1">
        <f>IF(ISERROR(MATCH(Tabla_Items_Con_Existencia[[#This Row],[CODIGO]],Tabla_Items_Activos[CODIGO],0)),0,1)</f>
        <v>0</v>
      </c>
    </row>
    <row r="445" spans="1:9">
      <c r="A445" s="2" t="s">
        <v>6760</v>
      </c>
      <c r="B445" s="2" t="s">
        <v>239</v>
      </c>
      <c r="C445" s="2" t="s">
        <v>1548</v>
      </c>
      <c r="D445" s="2" t="s">
        <v>5161</v>
      </c>
      <c r="E445" s="2" t="s">
        <v>5159</v>
      </c>
      <c r="F445" s="2">
        <v>26.635999999999999</v>
      </c>
      <c r="G445" s="2">
        <v>6</v>
      </c>
      <c r="H445" s="2">
        <f>Tabla_Items_Con_Existencia[[#This Row],[COSTO]]*Tabla_Items_Con_Existencia[[#This Row],[EXISTENCIA]]</f>
        <v>159.816</v>
      </c>
      <c r="I445" s="1">
        <f>IF(ISERROR(MATCH(Tabla_Items_Con_Existencia[[#This Row],[CODIGO]],Tabla_Items_Activos[CODIGO],0)),0,1)</f>
        <v>0</v>
      </c>
    </row>
    <row r="446" spans="1:9">
      <c r="A446" s="2" t="s">
        <v>6760</v>
      </c>
      <c r="B446" s="2" t="s">
        <v>240</v>
      </c>
      <c r="C446" s="2" t="s">
        <v>1549</v>
      </c>
      <c r="D446" s="2" t="s">
        <v>5158</v>
      </c>
      <c r="E446" s="2" t="s">
        <v>5159</v>
      </c>
      <c r="F446" s="2">
        <v>32.438000000000002</v>
      </c>
      <c r="G446" s="2">
        <v>5</v>
      </c>
      <c r="H446" s="2">
        <f>Tabla_Items_Con_Existencia[[#This Row],[COSTO]]*Tabla_Items_Con_Existencia[[#This Row],[EXISTENCIA]]</f>
        <v>162.19</v>
      </c>
      <c r="I446" s="1">
        <f>IF(ISERROR(MATCH(Tabla_Items_Con_Existencia[[#This Row],[CODIGO]],Tabla_Items_Activos[CODIGO],0)),0,1)</f>
        <v>0</v>
      </c>
    </row>
    <row r="447" spans="1:9">
      <c r="A447" s="2" t="s">
        <v>6760</v>
      </c>
      <c r="B447" s="2" t="s">
        <v>241</v>
      </c>
      <c r="C447" s="2" t="s">
        <v>6319</v>
      </c>
      <c r="D447" s="2" t="s">
        <v>5186</v>
      </c>
      <c r="E447" s="2" t="s">
        <v>5159</v>
      </c>
      <c r="F447" s="2">
        <v>30.4</v>
      </c>
      <c r="G447" s="2">
        <v>2</v>
      </c>
      <c r="H447" s="2">
        <f>Tabla_Items_Con_Existencia[[#This Row],[COSTO]]*Tabla_Items_Con_Existencia[[#This Row],[EXISTENCIA]]</f>
        <v>60.8</v>
      </c>
      <c r="I447" s="1">
        <f>IF(ISERROR(MATCH(Tabla_Items_Con_Existencia[[#This Row],[CODIGO]],Tabla_Items_Activos[CODIGO],0)),0,1)</f>
        <v>0</v>
      </c>
    </row>
    <row r="448" spans="1:9">
      <c r="A448" s="2" t="s">
        <v>6760</v>
      </c>
      <c r="B448" s="2" t="s">
        <v>242</v>
      </c>
      <c r="C448" s="2" t="s">
        <v>1551</v>
      </c>
      <c r="D448" s="2" t="s">
        <v>5188</v>
      </c>
      <c r="E448" s="2" t="s">
        <v>5159</v>
      </c>
      <c r="F448" s="2">
        <v>48.274999999999999</v>
      </c>
      <c r="G448" s="2">
        <v>4</v>
      </c>
      <c r="H448" s="2">
        <f>Tabla_Items_Con_Existencia[[#This Row],[COSTO]]*Tabla_Items_Con_Existencia[[#This Row],[EXISTENCIA]]</f>
        <v>193.1</v>
      </c>
      <c r="I448" s="1">
        <f>IF(ISERROR(MATCH(Tabla_Items_Con_Existencia[[#This Row],[CODIGO]],Tabla_Items_Activos[CODIGO],0)),0,1)</f>
        <v>0</v>
      </c>
    </row>
    <row r="449" spans="1:9">
      <c r="A449" s="2" t="s">
        <v>6760</v>
      </c>
      <c r="B449" s="2" t="s">
        <v>243</v>
      </c>
      <c r="C449" s="2" t="s">
        <v>1552</v>
      </c>
      <c r="D449" s="2" t="s">
        <v>5158</v>
      </c>
      <c r="E449" s="2" t="s">
        <v>5159</v>
      </c>
      <c r="F449" s="2">
        <v>23.2075</v>
      </c>
      <c r="G449" s="2">
        <v>4</v>
      </c>
      <c r="H449" s="2">
        <f>Tabla_Items_Con_Existencia[[#This Row],[COSTO]]*Tabla_Items_Con_Existencia[[#This Row],[EXISTENCIA]]</f>
        <v>92.83</v>
      </c>
      <c r="I449" s="1">
        <f>IF(ISERROR(MATCH(Tabla_Items_Con_Existencia[[#This Row],[CODIGO]],Tabla_Items_Activos[CODIGO],0)),0,1)</f>
        <v>0</v>
      </c>
    </row>
    <row r="450" spans="1:9">
      <c r="A450" s="2" t="s">
        <v>6760</v>
      </c>
      <c r="B450" s="2" t="s">
        <v>244</v>
      </c>
      <c r="C450" s="2" t="s">
        <v>1553</v>
      </c>
      <c r="D450" s="2" t="s">
        <v>5186</v>
      </c>
      <c r="E450" s="2" t="s">
        <v>5159</v>
      </c>
      <c r="F450" s="2">
        <v>41.911073680000001</v>
      </c>
      <c r="G450" s="2">
        <v>2</v>
      </c>
      <c r="H450" s="2">
        <f>Tabla_Items_Con_Existencia[[#This Row],[COSTO]]*Tabla_Items_Con_Existencia[[#This Row],[EXISTENCIA]]</f>
        <v>83.822147360000002</v>
      </c>
      <c r="I450" s="1">
        <f>IF(ISERROR(MATCH(Tabla_Items_Con_Existencia[[#This Row],[CODIGO]],Tabla_Items_Activos[CODIGO],0)),0,1)</f>
        <v>0</v>
      </c>
    </row>
    <row r="451" spans="1:9">
      <c r="A451" s="2" t="s">
        <v>6761</v>
      </c>
      <c r="B451" s="2" t="s">
        <v>244</v>
      </c>
      <c r="C451" s="2" t="s">
        <v>1553</v>
      </c>
      <c r="D451" s="2" t="s">
        <v>5186</v>
      </c>
      <c r="E451" s="2" t="s">
        <v>5159</v>
      </c>
      <c r="F451" s="2">
        <v>41.911073680000001</v>
      </c>
      <c r="G451" s="2">
        <v>2</v>
      </c>
      <c r="H451" s="2">
        <f>Tabla_Items_Con_Existencia[[#This Row],[COSTO]]*Tabla_Items_Con_Existencia[[#This Row],[EXISTENCIA]]</f>
        <v>83.822147360000002</v>
      </c>
      <c r="I451" s="1">
        <f>IF(ISERROR(MATCH(Tabla_Items_Con_Existencia[[#This Row],[CODIGO]],Tabla_Items_Activos[CODIGO],0)),0,1)</f>
        <v>0</v>
      </c>
    </row>
    <row r="452" spans="1:9">
      <c r="A452" s="2" t="s">
        <v>6760</v>
      </c>
      <c r="B452" s="2" t="s">
        <v>245</v>
      </c>
      <c r="C452" s="2" t="s">
        <v>6815</v>
      </c>
      <c r="D452" s="2" t="s">
        <v>5186</v>
      </c>
      <c r="E452" s="2" t="s">
        <v>5159</v>
      </c>
      <c r="F452" s="2">
        <v>31.977399999999999</v>
      </c>
      <c r="G452" s="2">
        <v>5</v>
      </c>
      <c r="H452" s="2">
        <f>Tabla_Items_Con_Existencia[[#This Row],[COSTO]]*Tabla_Items_Con_Existencia[[#This Row],[EXISTENCIA]]</f>
        <v>159.887</v>
      </c>
      <c r="I452" s="1">
        <f>IF(ISERROR(MATCH(Tabla_Items_Con_Existencia[[#This Row],[CODIGO]],Tabla_Items_Activos[CODIGO],0)),0,1)</f>
        <v>0</v>
      </c>
    </row>
    <row r="453" spans="1:9">
      <c r="A453" s="2" t="s">
        <v>6760</v>
      </c>
      <c r="B453" s="2" t="s">
        <v>246</v>
      </c>
      <c r="C453" s="2" t="s">
        <v>1555</v>
      </c>
      <c r="D453" s="2" t="s">
        <v>5186</v>
      </c>
      <c r="E453" s="2" t="s">
        <v>5159</v>
      </c>
      <c r="F453" s="2">
        <v>28.54</v>
      </c>
      <c r="G453" s="2">
        <v>4</v>
      </c>
      <c r="H453" s="2">
        <f>Tabla_Items_Con_Existencia[[#This Row],[COSTO]]*Tabla_Items_Con_Existencia[[#This Row],[EXISTENCIA]]</f>
        <v>114.16</v>
      </c>
      <c r="I453" s="1">
        <f>IF(ISERROR(MATCH(Tabla_Items_Con_Existencia[[#This Row],[CODIGO]],Tabla_Items_Activos[CODIGO],0)),0,1)</f>
        <v>0</v>
      </c>
    </row>
    <row r="454" spans="1:9">
      <c r="A454" s="2" t="s">
        <v>6760</v>
      </c>
      <c r="B454" s="2" t="s">
        <v>247</v>
      </c>
      <c r="C454" s="2" t="s">
        <v>6320</v>
      </c>
      <c r="D454" s="2" t="s">
        <v>5187</v>
      </c>
      <c r="E454" s="2" t="s">
        <v>5159</v>
      </c>
      <c r="F454" s="2">
        <v>30.78</v>
      </c>
      <c r="G454" s="2">
        <v>2</v>
      </c>
      <c r="H454" s="2">
        <f>Tabla_Items_Con_Existencia[[#This Row],[COSTO]]*Tabla_Items_Con_Existencia[[#This Row],[EXISTENCIA]]</f>
        <v>61.56</v>
      </c>
      <c r="I454" s="1">
        <f>IF(ISERROR(MATCH(Tabla_Items_Con_Existencia[[#This Row],[CODIGO]],Tabla_Items_Activos[CODIGO],0)),0,1)</f>
        <v>0</v>
      </c>
    </row>
    <row r="455" spans="1:9">
      <c r="A455" s="2" t="s">
        <v>6760</v>
      </c>
      <c r="B455" s="2" t="s">
        <v>248</v>
      </c>
      <c r="C455" s="2" t="s">
        <v>1557</v>
      </c>
      <c r="D455" s="2" t="s">
        <v>5186</v>
      </c>
      <c r="E455" s="2" t="s">
        <v>5159</v>
      </c>
      <c r="F455" s="2">
        <v>27.847999999999999</v>
      </c>
      <c r="G455" s="2">
        <v>6</v>
      </c>
      <c r="H455" s="2">
        <f>Tabla_Items_Con_Existencia[[#This Row],[COSTO]]*Tabla_Items_Con_Existencia[[#This Row],[EXISTENCIA]]</f>
        <v>167.08799999999999</v>
      </c>
      <c r="I455" s="1">
        <f>IF(ISERROR(MATCH(Tabla_Items_Con_Existencia[[#This Row],[CODIGO]],Tabla_Items_Activos[CODIGO],0)),0,1)</f>
        <v>0</v>
      </c>
    </row>
    <row r="456" spans="1:9">
      <c r="A456" s="2" t="s">
        <v>6760</v>
      </c>
      <c r="B456" s="2" t="s">
        <v>249</v>
      </c>
      <c r="C456" s="2" t="s">
        <v>6321</v>
      </c>
      <c r="D456" s="2" t="s">
        <v>5158</v>
      </c>
      <c r="E456" s="2" t="s">
        <v>5159</v>
      </c>
      <c r="F456" s="2">
        <v>28.984999999999999</v>
      </c>
      <c r="G456" s="2">
        <v>2</v>
      </c>
      <c r="H456" s="2">
        <f>Tabla_Items_Con_Existencia[[#This Row],[COSTO]]*Tabla_Items_Con_Existencia[[#This Row],[EXISTENCIA]]</f>
        <v>57.97</v>
      </c>
      <c r="I456" s="1">
        <f>IF(ISERROR(MATCH(Tabla_Items_Con_Existencia[[#This Row],[CODIGO]],Tabla_Items_Activos[CODIGO],0)),0,1)</f>
        <v>0</v>
      </c>
    </row>
    <row r="457" spans="1:9">
      <c r="A457" s="2" t="s">
        <v>6760</v>
      </c>
      <c r="B457" s="2" t="s">
        <v>6816</v>
      </c>
      <c r="C457" s="2" t="s">
        <v>6817</v>
      </c>
      <c r="D457" s="2" t="s">
        <v>5158</v>
      </c>
      <c r="E457" s="2" t="s">
        <v>5159</v>
      </c>
      <c r="F457" s="2">
        <v>0.37</v>
      </c>
      <c r="G457" s="2">
        <v>20</v>
      </c>
      <c r="H457" s="2">
        <f>Tabla_Items_Con_Existencia[[#This Row],[COSTO]]*Tabla_Items_Con_Existencia[[#This Row],[EXISTENCIA]]</f>
        <v>7.4</v>
      </c>
      <c r="I457" s="1">
        <f>IF(ISERROR(MATCH(Tabla_Items_Con_Existencia[[#This Row],[CODIGO]],Tabla_Items_Activos[CODIGO],0)),0,1)</f>
        <v>0</v>
      </c>
    </row>
    <row r="458" spans="1:9">
      <c r="A458" s="2" t="s">
        <v>6760</v>
      </c>
      <c r="B458" s="2" t="s">
        <v>250</v>
      </c>
      <c r="C458" s="2" t="s">
        <v>1559</v>
      </c>
      <c r="D458" s="2" t="s">
        <v>5186</v>
      </c>
      <c r="E458" s="2" t="s">
        <v>5159</v>
      </c>
      <c r="F458" s="2">
        <v>3.54</v>
      </c>
      <c r="G458" s="2">
        <v>4</v>
      </c>
      <c r="H458" s="2">
        <f>Tabla_Items_Con_Existencia[[#This Row],[COSTO]]*Tabla_Items_Con_Existencia[[#This Row],[EXISTENCIA]]</f>
        <v>14.16</v>
      </c>
      <c r="I458" s="1">
        <f>IF(ISERROR(MATCH(Tabla_Items_Con_Existencia[[#This Row],[CODIGO]],Tabla_Items_Activos[CODIGO],0)),0,1)</f>
        <v>0</v>
      </c>
    </row>
    <row r="459" spans="1:9">
      <c r="A459" s="2" t="s">
        <v>6760</v>
      </c>
      <c r="B459" s="2" t="s">
        <v>251</v>
      </c>
      <c r="C459" s="2" t="s">
        <v>1560</v>
      </c>
      <c r="D459" s="2" t="s">
        <v>5186</v>
      </c>
      <c r="E459" s="2" t="s">
        <v>5159</v>
      </c>
      <c r="F459" s="2">
        <v>34.761200000000002</v>
      </c>
      <c r="G459" s="2">
        <v>2</v>
      </c>
      <c r="H459" s="2">
        <f>Tabla_Items_Con_Existencia[[#This Row],[COSTO]]*Tabla_Items_Con_Existencia[[#This Row],[EXISTENCIA]]</f>
        <v>69.522400000000005</v>
      </c>
      <c r="I459" s="1">
        <f>IF(ISERROR(MATCH(Tabla_Items_Con_Existencia[[#This Row],[CODIGO]],Tabla_Items_Activos[CODIGO],0)),0,1)</f>
        <v>0</v>
      </c>
    </row>
    <row r="460" spans="1:9">
      <c r="A460" s="2" t="s">
        <v>6760</v>
      </c>
      <c r="B460" s="2" t="s">
        <v>252</v>
      </c>
      <c r="C460" s="2" t="s">
        <v>6818</v>
      </c>
      <c r="D460" s="2" t="s">
        <v>5187</v>
      </c>
      <c r="E460" s="2" t="s">
        <v>5159</v>
      </c>
      <c r="F460" s="2">
        <v>7.4420000000000002</v>
      </c>
      <c r="G460" s="2">
        <v>4</v>
      </c>
      <c r="H460" s="2">
        <f>Tabla_Items_Con_Existencia[[#This Row],[COSTO]]*Tabla_Items_Con_Existencia[[#This Row],[EXISTENCIA]]</f>
        <v>29.768000000000001</v>
      </c>
      <c r="I460" s="1">
        <f>IF(ISERROR(MATCH(Tabla_Items_Con_Existencia[[#This Row],[CODIGO]],Tabla_Items_Activos[CODIGO],0)),0,1)</f>
        <v>0</v>
      </c>
    </row>
    <row r="461" spans="1:9">
      <c r="A461" s="2" t="s">
        <v>6760</v>
      </c>
      <c r="B461" s="2" t="s">
        <v>1562</v>
      </c>
      <c r="C461" s="2" t="s">
        <v>1563</v>
      </c>
      <c r="D461" s="2" t="s">
        <v>5186</v>
      </c>
      <c r="E461" s="2" t="s">
        <v>5159</v>
      </c>
      <c r="F461" s="2">
        <v>8.5869999999999997</v>
      </c>
      <c r="G461" s="2">
        <v>6</v>
      </c>
      <c r="H461" s="2">
        <f>Tabla_Items_Con_Existencia[[#This Row],[COSTO]]*Tabla_Items_Con_Existencia[[#This Row],[EXISTENCIA]]</f>
        <v>51.521999999999998</v>
      </c>
      <c r="I461" s="1">
        <f>IF(ISERROR(MATCH(Tabla_Items_Con_Existencia[[#This Row],[CODIGO]],Tabla_Items_Activos[CODIGO],0)),0,1)</f>
        <v>0</v>
      </c>
    </row>
    <row r="462" spans="1:9">
      <c r="A462" s="2" t="s">
        <v>6760</v>
      </c>
      <c r="B462" s="2" t="s">
        <v>253</v>
      </c>
      <c r="C462" s="2" t="s">
        <v>1564</v>
      </c>
      <c r="D462" s="2" t="s">
        <v>5187</v>
      </c>
      <c r="E462" s="2" t="s">
        <v>5159</v>
      </c>
      <c r="F462" s="2">
        <v>12.46</v>
      </c>
      <c r="G462" s="2">
        <v>3</v>
      </c>
      <c r="H462" s="2">
        <f>Tabla_Items_Con_Existencia[[#This Row],[COSTO]]*Tabla_Items_Con_Existencia[[#This Row],[EXISTENCIA]]</f>
        <v>37.380000000000003</v>
      </c>
      <c r="I462" s="1">
        <f>IF(ISERROR(MATCH(Tabla_Items_Con_Existencia[[#This Row],[CODIGO]],Tabla_Items_Activos[CODIGO],0)),0,1)</f>
        <v>0</v>
      </c>
    </row>
    <row r="463" spans="1:9">
      <c r="A463" s="2" t="s">
        <v>6760</v>
      </c>
      <c r="B463" s="2" t="s">
        <v>254</v>
      </c>
      <c r="C463" s="2" t="s">
        <v>1565</v>
      </c>
      <c r="D463" s="2" t="s">
        <v>5158</v>
      </c>
      <c r="E463" s="2" t="s">
        <v>5159</v>
      </c>
      <c r="F463" s="2">
        <v>11.226699999999999</v>
      </c>
      <c r="G463" s="2">
        <v>31</v>
      </c>
      <c r="H463" s="2">
        <f>Tabla_Items_Con_Existencia[[#This Row],[COSTO]]*Tabla_Items_Con_Existencia[[#This Row],[EXISTENCIA]]</f>
        <v>348.02769999999998</v>
      </c>
      <c r="I463" s="1">
        <f>IF(ISERROR(MATCH(Tabla_Items_Con_Existencia[[#This Row],[CODIGO]],Tabla_Items_Activos[CODIGO],0)),0,1)</f>
        <v>0</v>
      </c>
    </row>
    <row r="464" spans="1:9">
      <c r="A464" s="2" t="s">
        <v>6760</v>
      </c>
      <c r="B464" s="2" t="s">
        <v>6819</v>
      </c>
      <c r="C464" s="2" t="s">
        <v>6820</v>
      </c>
      <c r="D464" s="2" t="s">
        <v>5158</v>
      </c>
      <c r="E464" s="2" t="s">
        <v>5159</v>
      </c>
      <c r="F464" s="2">
        <v>13.66</v>
      </c>
      <c r="G464" s="2">
        <v>2</v>
      </c>
      <c r="H464" s="2">
        <f>Tabla_Items_Con_Existencia[[#This Row],[COSTO]]*Tabla_Items_Con_Existencia[[#This Row],[EXISTENCIA]]</f>
        <v>27.32</v>
      </c>
      <c r="I464" s="1">
        <f>IF(ISERROR(MATCH(Tabla_Items_Con_Existencia[[#This Row],[CODIGO]],Tabla_Items_Activos[CODIGO],0)),0,1)</f>
        <v>0</v>
      </c>
    </row>
    <row r="465" spans="1:9">
      <c r="A465" s="2" t="s">
        <v>6760</v>
      </c>
      <c r="B465" s="2" t="s">
        <v>255</v>
      </c>
      <c r="C465" s="2" t="s">
        <v>1566</v>
      </c>
      <c r="D465" s="2" t="s">
        <v>5158</v>
      </c>
      <c r="E465" s="2" t="s">
        <v>5159</v>
      </c>
      <c r="F465" s="2">
        <v>15.912000000000001</v>
      </c>
      <c r="G465" s="2">
        <v>29</v>
      </c>
      <c r="H465" s="2">
        <f>Tabla_Items_Con_Existencia[[#This Row],[COSTO]]*Tabla_Items_Con_Existencia[[#This Row],[EXISTENCIA]]</f>
        <v>461.44800000000004</v>
      </c>
      <c r="I465" s="1">
        <f>IF(ISERROR(MATCH(Tabla_Items_Con_Existencia[[#This Row],[CODIGO]],Tabla_Items_Activos[CODIGO],0)),0,1)</f>
        <v>0</v>
      </c>
    </row>
    <row r="466" spans="1:9">
      <c r="A466" s="2" t="s">
        <v>6760</v>
      </c>
      <c r="B466" s="2" t="s">
        <v>256</v>
      </c>
      <c r="C466" s="2" t="s">
        <v>1567</v>
      </c>
      <c r="D466" s="2" t="s">
        <v>5158</v>
      </c>
      <c r="E466" s="2" t="s">
        <v>5159</v>
      </c>
      <c r="F466" s="2">
        <v>15.795999999999999</v>
      </c>
      <c r="G466" s="2">
        <v>17</v>
      </c>
      <c r="H466" s="2">
        <f>Tabla_Items_Con_Existencia[[#This Row],[COSTO]]*Tabla_Items_Con_Existencia[[#This Row],[EXISTENCIA]]</f>
        <v>268.53199999999998</v>
      </c>
      <c r="I466" s="1">
        <f>IF(ISERROR(MATCH(Tabla_Items_Con_Existencia[[#This Row],[CODIGO]],Tabla_Items_Activos[CODIGO],0)),0,1)</f>
        <v>0</v>
      </c>
    </row>
    <row r="467" spans="1:9">
      <c r="A467" s="2" t="s">
        <v>6760</v>
      </c>
      <c r="B467" s="2" t="s">
        <v>257</v>
      </c>
      <c r="C467" s="2" t="s">
        <v>1568</v>
      </c>
      <c r="D467" s="2" t="s">
        <v>5186</v>
      </c>
      <c r="E467" s="2" t="s">
        <v>5159</v>
      </c>
      <c r="F467" s="2">
        <v>43.43</v>
      </c>
      <c r="G467" s="2">
        <v>1</v>
      </c>
      <c r="H467" s="2">
        <f>Tabla_Items_Con_Existencia[[#This Row],[COSTO]]*Tabla_Items_Con_Existencia[[#This Row],[EXISTENCIA]]</f>
        <v>43.43</v>
      </c>
      <c r="I467" s="1">
        <f>IF(ISERROR(MATCH(Tabla_Items_Con_Existencia[[#This Row],[CODIGO]],Tabla_Items_Activos[CODIGO],0)),0,1)</f>
        <v>0</v>
      </c>
    </row>
    <row r="468" spans="1:9">
      <c r="A468" s="2" t="s">
        <v>6760</v>
      </c>
      <c r="B468" s="2" t="s">
        <v>1569</v>
      </c>
      <c r="C468" s="2" t="s">
        <v>1570</v>
      </c>
      <c r="D468" s="2" t="s">
        <v>5194</v>
      </c>
      <c r="E468" s="2" t="s">
        <v>5159</v>
      </c>
      <c r="F468" s="2">
        <v>5.63</v>
      </c>
      <c r="G468" s="2">
        <v>2</v>
      </c>
      <c r="H468" s="2">
        <f>Tabla_Items_Con_Existencia[[#This Row],[COSTO]]*Tabla_Items_Con_Existencia[[#This Row],[EXISTENCIA]]</f>
        <v>11.26</v>
      </c>
      <c r="I468" s="1">
        <f>IF(ISERROR(MATCH(Tabla_Items_Con_Existencia[[#This Row],[CODIGO]],Tabla_Items_Activos[CODIGO],0)),0,1)</f>
        <v>0</v>
      </c>
    </row>
    <row r="469" spans="1:9">
      <c r="A469" s="2" t="s">
        <v>6760</v>
      </c>
      <c r="B469" s="2" t="s">
        <v>258</v>
      </c>
      <c r="C469" s="2" t="s">
        <v>1571</v>
      </c>
      <c r="D469" s="2" t="s">
        <v>5158</v>
      </c>
      <c r="E469" s="2" t="s">
        <v>5159</v>
      </c>
      <c r="F469" s="2">
        <v>4.0529000000000002</v>
      </c>
      <c r="G469" s="2">
        <v>17</v>
      </c>
      <c r="H469" s="2">
        <f>Tabla_Items_Con_Existencia[[#This Row],[COSTO]]*Tabla_Items_Con_Existencia[[#This Row],[EXISTENCIA]]</f>
        <v>68.899299999999997</v>
      </c>
      <c r="I469" s="1">
        <f>IF(ISERROR(MATCH(Tabla_Items_Con_Existencia[[#This Row],[CODIGO]],Tabla_Items_Activos[CODIGO],0)),0,1)</f>
        <v>0</v>
      </c>
    </row>
    <row r="470" spans="1:9">
      <c r="A470" s="2" t="s">
        <v>6760</v>
      </c>
      <c r="B470" s="2" t="s">
        <v>259</v>
      </c>
      <c r="C470" s="2" t="s">
        <v>1572</v>
      </c>
      <c r="D470" s="2" t="s">
        <v>5158</v>
      </c>
      <c r="E470" s="2" t="s">
        <v>5159</v>
      </c>
      <c r="F470" s="2">
        <v>6.0575000000000001</v>
      </c>
      <c r="G470" s="2">
        <v>21</v>
      </c>
      <c r="H470" s="2">
        <f>Tabla_Items_Con_Existencia[[#This Row],[COSTO]]*Tabla_Items_Con_Existencia[[#This Row],[EXISTENCIA]]</f>
        <v>127.2075</v>
      </c>
      <c r="I470" s="1">
        <f>IF(ISERROR(MATCH(Tabla_Items_Con_Existencia[[#This Row],[CODIGO]],Tabla_Items_Activos[CODIGO],0)),0,1)</f>
        <v>0</v>
      </c>
    </row>
    <row r="471" spans="1:9">
      <c r="A471" s="2" t="s">
        <v>6760</v>
      </c>
      <c r="B471" s="2" t="s">
        <v>6821</v>
      </c>
      <c r="C471" s="2" t="s">
        <v>6822</v>
      </c>
      <c r="D471" s="2" t="s">
        <v>5158</v>
      </c>
      <c r="E471" s="2" t="s">
        <v>5159</v>
      </c>
      <c r="F471" s="2">
        <v>4.6900000000000004</v>
      </c>
      <c r="G471" s="2">
        <v>15</v>
      </c>
      <c r="H471" s="2">
        <f>Tabla_Items_Con_Existencia[[#This Row],[COSTO]]*Tabla_Items_Con_Existencia[[#This Row],[EXISTENCIA]]</f>
        <v>70.350000000000009</v>
      </c>
      <c r="I471" s="1">
        <f>IF(ISERROR(MATCH(Tabla_Items_Con_Existencia[[#This Row],[CODIGO]],Tabla_Items_Activos[CODIGO],0)),0,1)</f>
        <v>0</v>
      </c>
    </row>
    <row r="472" spans="1:9">
      <c r="A472" s="2" t="s">
        <v>6760</v>
      </c>
      <c r="B472" s="2" t="s">
        <v>6823</v>
      </c>
      <c r="C472" s="2" t="s">
        <v>6824</v>
      </c>
      <c r="D472" s="2" t="s">
        <v>5158</v>
      </c>
      <c r="E472" s="2" t="s">
        <v>5159</v>
      </c>
      <c r="F472" s="2">
        <v>4.62</v>
      </c>
      <c r="G472" s="2">
        <v>5</v>
      </c>
      <c r="H472" s="2">
        <f>Tabla_Items_Con_Existencia[[#This Row],[COSTO]]*Tabla_Items_Con_Existencia[[#This Row],[EXISTENCIA]]</f>
        <v>23.1</v>
      </c>
      <c r="I472" s="1">
        <f>IF(ISERROR(MATCH(Tabla_Items_Con_Existencia[[#This Row],[CODIGO]],Tabla_Items_Activos[CODIGO],0)),0,1)</f>
        <v>0</v>
      </c>
    </row>
    <row r="473" spans="1:9">
      <c r="A473" s="2" t="s">
        <v>6760</v>
      </c>
      <c r="B473" s="2" t="s">
        <v>260</v>
      </c>
      <c r="C473" s="2" t="s">
        <v>1573</v>
      </c>
      <c r="D473" s="2" t="s">
        <v>5158</v>
      </c>
      <c r="E473" s="2" t="s">
        <v>5159</v>
      </c>
      <c r="F473" s="2">
        <v>0.59399999999999997</v>
      </c>
      <c r="G473" s="2">
        <v>12</v>
      </c>
      <c r="H473" s="2">
        <f>Tabla_Items_Con_Existencia[[#This Row],[COSTO]]*Tabla_Items_Con_Existencia[[#This Row],[EXISTENCIA]]</f>
        <v>7.1280000000000001</v>
      </c>
      <c r="I473" s="1">
        <f>IF(ISERROR(MATCH(Tabla_Items_Con_Existencia[[#This Row],[CODIGO]],Tabla_Items_Activos[CODIGO],0)),0,1)</f>
        <v>0</v>
      </c>
    </row>
    <row r="474" spans="1:9">
      <c r="A474" s="2" t="s">
        <v>6760</v>
      </c>
      <c r="B474" s="2" t="s">
        <v>7207</v>
      </c>
      <c r="C474" s="2" t="s">
        <v>7208</v>
      </c>
      <c r="D474" s="2" t="s">
        <v>5186</v>
      </c>
      <c r="E474" s="2" t="s">
        <v>5159</v>
      </c>
      <c r="F474" s="2">
        <v>0</v>
      </c>
      <c r="G474" s="2">
        <v>5</v>
      </c>
      <c r="H474" s="2">
        <f>Tabla_Items_Con_Existencia[[#This Row],[COSTO]]*Tabla_Items_Con_Existencia[[#This Row],[EXISTENCIA]]</f>
        <v>0</v>
      </c>
      <c r="I474" s="1">
        <f>IF(ISERROR(MATCH(Tabla_Items_Con_Existencia[[#This Row],[CODIGO]],Tabla_Items_Activos[CODIGO],0)),0,1)</f>
        <v>0</v>
      </c>
    </row>
    <row r="475" spans="1:9">
      <c r="A475" s="2" t="s">
        <v>6760</v>
      </c>
      <c r="B475" s="2" t="s">
        <v>261</v>
      </c>
      <c r="C475" s="2" t="s">
        <v>1574</v>
      </c>
      <c r="D475" s="2" t="s">
        <v>5158</v>
      </c>
      <c r="E475" s="2" t="s">
        <v>5159</v>
      </c>
      <c r="F475" s="2">
        <v>0.63270000000000004</v>
      </c>
      <c r="G475" s="2">
        <v>143</v>
      </c>
      <c r="H475" s="2">
        <f>Tabla_Items_Con_Existencia[[#This Row],[COSTO]]*Tabla_Items_Con_Existencia[[#This Row],[EXISTENCIA]]</f>
        <v>90.476100000000002</v>
      </c>
      <c r="I475" s="1">
        <f>IF(ISERROR(MATCH(Tabla_Items_Con_Existencia[[#This Row],[CODIGO]],Tabla_Items_Activos[CODIGO],0)),0,1)</f>
        <v>0</v>
      </c>
    </row>
    <row r="476" spans="1:9">
      <c r="A476" s="2" t="s">
        <v>6760</v>
      </c>
      <c r="B476" s="2" t="s">
        <v>262</v>
      </c>
      <c r="C476" s="2" t="s">
        <v>1575</v>
      </c>
      <c r="D476" s="2" t="s">
        <v>5158</v>
      </c>
      <c r="E476" s="2" t="s">
        <v>5159</v>
      </c>
      <c r="F476" s="2">
        <v>0.98599999999999999</v>
      </c>
      <c r="G476" s="2">
        <v>22</v>
      </c>
      <c r="H476" s="2">
        <f>Tabla_Items_Con_Existencia[[#This Row],[COSTO]]*Tabla_Items_Con_Existencia[[#This Row],[EXISTENCIA]]</f>
        <v>21.692</v>
      </c>
      <c r="I476" s="1">
        <f>IF(ISERROR(MATCH(Tabla_Items_Con_Existencia[[#This Row],[CODIGO]],Tabla_Items_Activos[CODIGO],0)),0,1)</f>
        <v>0</v>
      </c>
    </row>
    <row r="477" spans="1:9">
      <c r="A477" s="2" t="s">
        <v>6760</v>
      </c>
      <c r="B477" s="2" t="s">
        <v>6381</v>
      </c>
      <c r="C477" s="2" t="s">
        <v>6825</v>
      </c>
      <c r="D477" s="2" t="s">
        <v>5186</v>
      </c>
      <c r="E477" s="2" t="s">
        <v>5159</v>
      </c>
      <c r="F477" s="2">
        <v>6.2966315799999997</v>
      </c>
      <c r="G477" s="2">
        <v>3</v>
      </c>
      <c r="H477" s="2">
        <f>Tabla_Items_Con_Existencia[[#This Row],[COSTO]]*Tabla_Items_Con_Existencia[[#This Row],[EXISTENCIA]]</f>
        <v>18.889894739999999</v>
      </c>
      <c r="I477" s="1">
        <f>IF(ISERROR(MATCH(Tabla_Items_Con_Existencia[[#This Row],[CODIGO]],Tabla_Items_Activos[CODIGO],0)),0,1)</f>
        <v>0</v>
      </c>
    </row>
    <row r="478" spans="1:9">
      <c r="A478" s="2" t="s">
        <v>6761</v>
      </c>
      <c r="B478" s="2" t="s">
        <v>6381</v>
      </c>
      <c r="C478" s="2" t="s">
        <v>6825</v>
      </c>
      <c r="D478" s="2" t="s">
        <v>5186</v>
      </c>
      <c r="E478" s="2" t="s">
        <v>5159</v>
      </c>
      <c r="F478" s="2">
        <v>6.2966315799999997</v>
      </c>
      <c r="G478" s="2">
        <v>3</v>
      </c>
      <c r="H478" s="2">
        <f>Tabla_Items_Con_Existencia[[#This Row],[COSTO]]*Tabla_Items_Con_Existencia[[#This Row],[EXISTENCIA]]</f>
        <v>18.889894739999999</v>
      </c>
      <c r="I478" s="1">
        <f>IF(ISERROR(MATCH(Tabla_Items_Con_Existencia[[#This Row],[CODIGO]],Tabla_Items_Activos[CODIGO],0)),0,1)</f>
        <v>0</v>
      </c>
    </row>
    <row r="479" spans="1:9">
      <c r="A479" s="2" t="s">
        <v>6760</v>
      </c>
      <c r="B479" s="2" t="s">
        <v>263</v>
      </c>
      <c r="C479" s="2" t="s">
        <v>1576</v>
      </c>
      <c r="D479" s="2" t="s">
        <v>5158</v>
      </c>
      <c r="E479" s="2" t="s">
        <v>5159</v>
      </c>
      <c r="F479" s="2">
        <v>3.0179999999999998</v>
      </c>
      <c r="G479" s="2">
        <v>19</v>
      </c>
      <c r="H479" s="2">
        <f>Tabla_Items_Con_Existencia[[#This Row],[COSTO]]*Tabla_Items_Con_Existencia[[#This Row],[EXISTENCIA]]</f>
        <v>57.341999999999999</v>
      </c>
      <c r="I479" s="1">
        <f>IF(ISERROR(MATCH(Tabla_Items_Con_Existencia[[#This Row],[CODIGO]],Tabla_Items_Activos[CODIGO],0)),0,1)</f>
        <v>0</v>
      </c>
    </row>
    <row r="480" spans="1:9">
      <c r="A480" s="2" t="s">
        <v>6760</v>
      </c>
      <c r="B480" s="2" t="s">
        <v>264</v>
      </c>
      <c r="C480" s="2" t="s">
        <v>1577</v>
      </c>
      <c r="D480" s="2" t="s">
        <v>5158</v>
      </c>
      <c r="E480" s="2" t="s">
        <v>5159</v>
      </c>
      <c r="F480" s="2">
        <v>0.91200000000000003</v>
      </c>
      <c r="G480" s="2">
        <v>12</v>
      </c>
      <c r="H480" s="2">
        <f>Tabla_Items_Con_Existencia[[#This Row],[COSTO]]*Tabla_Items_Con_Existencia[[#This Row],[EXISTENCIA]]</f>
        <v>10.944000000000001</v>
      </c>
      <c r="I480" s="1">
        <f>IF(ISERROR(MATCH(Tabla_Items_Con_Existencia[[#This Row],[CODIGO]],Tabla_Items_Activos[CODIGO],0)),0,1)</f>
        <v>0</v>
      </c>
    </row>
    <row r="481" spans="1:9">
      <c r="A481" s="2" t="s">
        <v>6760</v>
      </c>
      <c r="B481" s="2" t="s">
        <v>265</v>
      </c>
      <c r="C481" s="2" t="s">
        <v>1578</v>
      </c>
      <c r="D481" s="2" t="s">
        <v>5161</v>
      </c>
      <c r="E481" s="2" t="s">
        <v>5159</v>
      </c>
      <c r="F481" s="2">
        <v>1.431</v>
      </c>
      <c r="G481" s="2">
        <v>12</v>
      </c>
      <c r="H481" s="2">
        <f>Tabla_Items_Con_Existencia[[#This Row],[COSTO]]*Tabla_Items_Con_Existencia[[#This Row],[EXISTENCIA]]</f>
        <v>17.172000000000001</v>
      </c>
      <c r="I481" s="1">
        <f>IF(ISERROR(MATCH(Tabla_Items_Con_Existencia[[#This Row],[CODIGO]],Tabla_Items_Activos[CODIGO],0)),0,1)</f>
        <v>0</v>
      </c>
    </row>
    <row r="482" spans="1:9">
      <c r="A482" s="2" t="s">
        <v>6760</v>
      </c>
      <c r="B482" s="2" t="s">
        <v>266</v>
      </c>
      <c r="C482" s="2" t="s">
        <v>1579</v>
      </c>
      <c r="D482" s="2" t="s">
        <v>5158</v>
      </c>
      <c r="E482" s="2" t="s">
        <v>5159</v>
      </c>
      <c r="F482" s="2">
        <v>0.42430000000000001</v>
      </c>
      <c r="G482" s="2">
        <v>15</v>
      </c>
      <c r="H482" s="2">
        <f>Tabla_Items_Con_Existencia[[#This Row],[COSTO]]*Tabla_Items_Con_Existencia[[#This Row],[EXISTENCIA]]</f>
        <v>6.3645000000000005</v>
      </c>
      <c r="I482" s="1">
        <f>IF(ISERROR(MATCH(Tabla_Items_Con_Existencia[[#This Row],[CODIGO]],Tabla_Items_Activos[CODIGO],0)),0,1)</f>
        <v>0</v>
      </c>
    </row>
    <row r="483" spans="1:9">
      <c r="A483" s="2" t="s">
        <v>6760</v>
      </c>
      <c r="B483" s="2" t="s">
        <v>267</v>
      </c>
      <c r="C483" s="2" t="s">
        <v>1580</v>
      </c>
      <c r="D483" s="2" t="s">
        <v>5158</v>
      </c>
      <c r="E483" s="2" t="s">
        <v>5159</v>
      </c>
      <c r="F483" s="2">
        <v>0.50800000000000001</v>
      </c>
      <c r="G483" s="2">
        <v>13</v>
      </c>
      <c r="H483" s="2">
        <f>Tabla_Items_Con_Existencia[[#This Row],[COSTO]]*Tabla_Items_Con_Existencia[[#This Row],[EXISTENCIA]]</f>
        <v>6.6040000000000001</v>
      </c>
      <c r="I483" s="1">
        <f>IF(ISERROR(MATCH(Tabla_Items_Con_Existencia[[#This Row],[CODIGO]],Tabla_Items_Activos[CODIGO],0)),0,1)</f>
        <v>0</v>
      </c>
    </row>
    <row r="484" spans="1:9">
      <c r="A484" s="2" t="s">
        <v>6760</v>
      </c>
      <c r="B484" s="2" t="s">
        <v>268</v>
      </c>
      <c r="C484" s="2" t="s">
        <v>1581</v>
      </c>
      <c r="D484" s="2" t="s">
        <v>5158</v>
      </c>
      <c r="E484" s="2" t="s">
        <v>5159</v>
      </c>
      <c r="F484" s="2">
        <v>0.46500000000000002</v>
      </c>
      <c r="G484" s="2">
        <v>20</v>
      </c>
      <c r="H484" s="2">
        <f>Tabla_Items_Con_Existencia[[#This Row],[COSTO]]*Tabla_Items_Con_Existencia[[#This Row],[EXISTENCIA]]</f>
        <v>9.3000000000000007</v>
      </c>
      <c r="I484" s="1">
        <f>IF(ISERROR(MATCH(Tabla_Items_Con_Existencia[[#This Row],[CODIGO]],Tabla_Items_Activos[CODIGO],0)),0,1)</f>
        <v>0</v>
      </c>
    </row>
    <row r="485" spans="1:9">
      <c r="A485" s="2" t="s">
        <v>6761</v>
      </c>
      <c r="B485" s="2" t="s">
        <v>269</v>
      </c>
      <c r="C485" s="2" t="s">
        <v>1582</v>
      </c>
      <c r="D485" s="2" t="s">
        <v>5186</v>
      </c>
      <c r="E485" s="2" t="s">
        <v>5159</v>
      </c>
      <c r="F485" s="2">
        <v>14.206063159999999</v>
      </c>
      <c r="G485" s="2">
        <v>10</v>
      </c>
      <c r="H485" s="2">
        <f>Tabla_Items_Con_Existencia[[#This Row],[COSTO]]*Tabla_Items_Con_Existencia[[#This Row],[EXISTENCIA]]</f>
        <v>142.06063159999999</v>
      </c>
      <c r="I485" s="1">
        <f>IF(ISERROR(MATCH(Tabla_Items_Con_Existencia[[#This Row],[CODIGO]],Tabla_Items_Activos[CODIGO],0)),0,1)</f>
        <v>0</v>
      </c>
    </row>
    <row r="486" spans="1:9">
      <c r="A486" s="2" t="s">
        <v>6760</v>
      </c>
      <c r="B486" s="2" t="s">
        <v>269</v>
      </c>
      <c r="C486" s="2" t="s">
        <v>1582</v>
      </c>
      <c r="D486" s="2" t="s">
        <v>5186</v>
      </c>
      <c r="E486" s="2" t="s">
        <v>5159</v>
      </c>
      <c r="F486" s="2">
        <v>14.206063159999999</v>
      </c>
      <c r="G486" s="2">
        <v>10</v>
      </c>
      <c r="H486" s="2">
        <f>Tabla_Items_Con_Existencia[[#This Row],[COSTO]]*Tabla_Items_Con_Existencia[[#This Row],[EXISTENCIA]]</f>
        <v>142.06063159999999</v>
      </c>
      <c r="I486" s="1">
        <f>IF(ISERROR(MATCH(Tabla_Items_Con_Existencia[[#This Row],[CODIGO]],Tabla_Items_Activos[CODIGO],0)),0,1)</f>
        <v>0</v>
      </c>
    </row>
    <row r="487" spans="1:9">
      <c r="A487" s="2" t="s">
        <v>6760</v>
      </c>
      <c r="B487" s="2" t="s">
        <v>270</v>
      </c>
      <c r="C487" s="2" t="s">
        <v>1583</v>
      </c>
      <c r="D487" s="2" t="s">
        <v>5186</v>
      </c>
      <c r="E487" s="2" t="s">
        <v>5159</v>
      </c>
      <c r="F487" s="2">
        <v>12.6945</v>
      </c>
      <c r="G487" s="2">
        <v>9</v>
      </c>
      <c r="H487" s="2">
        <f>Tabla_Items_Con_Existencia[[#This Row],[COSTO]]*Tabla_Items_Con_Existencia[[#This Row],[EXISTENCIA]]</f>
        <v>114.2505</v>
      </c>
      <c r="I487" s="1">
        <f>IF(ISERROR(MATCH(Tabla_Items_Con_Existencia[[#This Row],[CODIGO]],Tabla_Items_Activos[CODIGO],0)),0,1)</f>
        <v>0</v>
      </c>
    </row>
    <row r="488" spans="1:9">
      <c r="A488" s="2" t="s">
        <v>6760</v>
      </c>
      <c r="B488" s="2" t="s">
        <v>6826</v>
      </c>
      <c r="C488" s="2" t="s">
        <v>6827</v>
      </c>
      <c r="D488" s="2" t="s">
        <v>5158</v>
      </c>
      <c r="E488" s="2" t="s">
        <v>5159</v>
      </c>
      <c r="F488" s="2">
        <v>0.54</v>
      </c>
      <c r="G488" s="2">
        <v>3</v>
      </c>
      <c r="H488" s="2">
        <f>Tabla_Items_Con_Existencia[[#This Row],[COSTO]]*Tabla_Items_Con_Existencia[[#This Row],[EXISTENCIA]]</f>
        <v>1.62</v>
      </c>
      <c r="I488" s="1">
        <f>IF(ISERROR(MATCH(Tabla_Items_Con_Existencia[[#This Row],[CODIGO]],Tabla_Items_Activos[CODIGO],0)),0,1)</f>
        <v>0</v>
      </c>
    </row>
    <row r="489" spans="1:9">
      <c r="A489" s="2" t="s">
        <v>6760</v>
      </c>
      <c r="B489" s="2" t="s">
        <v>271</v>
      </c>
      <c r="C489" s="2" t="s">
        <v>1584</v>
      </c>
      <c r="D489" s="2" t="s">
        <v>5188</v>
      </c>
      <c r="E489" s="2" t="s">
        <v>5159</v>
      </c>
      <c r="F489" s="2">
        <v>27.007999999999999</v>
      </c>
      <c r="G489" s="2">
        <v>4</v>
      </c>
      <c r="H489" s="2">
        <f>Tabla_Items_Con_Existencia[[#This Row],[COSTO]]*Tabla_Items_Con_Existencia[[#This Row],[EXISTENCIA]]</f>
        <v>108.032</v>
      </c>
      <c r="I489" s="1">
        <f>IF(ISERROR(MATCH(Tabla_Items_Con_Existencia[[#This Row],[CODIGO]],Tabla_Items_Activos[CODIGO],0)),0,1)</f>
        <v>0</v>
      </c>
    </row>
    <row r="490" spans="1:9">
      <c r="A490" s="2" t="s">
        <v>6760</v>
      </c>
      <c r="B490" s="2" t="s">
        <v>272</v>
      </c>
      <c r="C490" s="2" t="s">
        <v>1585</v>
      </c>
      <c r="D490" s="2" t="s">
        <v>5186</v>
      </c>
      <c r="E490" s="2" t="s">
        <v>5159</v>
      </c>
      <c r="F490" s="2">
        <v>57.62</v>
      </c>
      <c r="G490" s="2">
        <v>1</v>
      </c>
      <c r="H490" s="2">
        <f>Tabla_Items_Con_Existencia[[#This Row],[COSTO]]*Tabla_Items_Con_Existencia[[#This Row],[EXISTENCIA]]</f>
        <v>57.62</v>
      </c>
      <c r="I490" s="1">
        <f>IF(ISERROR(MATCH(Tabla_Items_Con_Existencia[[#This Row],[CODIGO]],Tabla_Items_Activos[CODIGO],0)),0,1)</f>
        <v>0</v>
      </c>
    </row>
    <row r="491" spans="1:9">
      <c r="A491" s="2" t="s">
        <v>6760</v>
      </c>
      <c r="B491" s="2" t="s">
        <v>273</v>
      </c>
      <c r="C491" s="2" t="s">
        <v>1586</v>
      </c>
      <c r="D491" s="2" t="s">
        <v>5186</v>
      </c>
      <c r="E491" s="2" t="s">
        <v>5159</v>
      </c>
      <c r="F491" s="2">
        <v>43.23</v>
      </c>
      <c r="G491" s="2">
        <v>1</v>
      </c>
      <c r="H491" s="2">
        <f>Tabla_Items_Con_Existencia[[#This Row],[COSTO]]*Tabla_Items_Con_Existencia[[#This Row],[EXISTENCIA]]</f>
        <v>43.23</v>
      </c>
      <c r="I491" s="1">
        <f>IF(ISERROR(MATCH(Tabla_Items_Con_Existencia[[#This Row],[CODIGO]],Tabla_Items_Activos[CODIGO],0)),0,1)</f>
        <v>0</v>
      </c>
    </row>
    <row r="492" spans="1:9">
      <c r="A492" s="2" t="s">
        <v>6760</v>
      </c>
      <c r="B492" s="2" t="s">
        <v>274</v>
      </c>
      <c r="C492" s="2" t="s">
        <v>1587</v>
      </c>
      <c r="D492" s="2" t="s">
        <v>5187</v>
      </c>
      <c r="E492" s="2" t="s">
        <v>5159</v>
      </c>
      <c r="F492" s="2">
        <v>16.52</v>
      </c>
      <c r="G492" s="2">
        <v>2</v>
      </c>
      <c r="H492" s="2">
        <f>Tabla_Items_Con_Existencia[[#This Row],[COSTO]]*Tabla_Items_Con_Existencia[[#This Row],[EXISTENCIA]]</f>
        <v>33.04</v>
      </c>
      <c r="I492" s="1">
        <f>IF(ISERROR(MATCH(Tabla_Items_Con_Existencia[[#This Row],[CODIGO]],Tabla_Items_Activos[CODIGO],0)),0,1)</f>
        <v>0</v>
      </c>
    </row>
    <row r="493" spans="1:9">
      <c r="A493" s="2" t="s">
        <v>6760</v>
      </c>
      <c r="B493" s="2" t="s">
        <v>275</v>
      </c>
      <c r="C493" s="2" t="s">
        <v>1588</v>
      </c>
      <c r="D493" s="2" t="s">
        <v>5158</v>
      </c>
      <c r="E493" s="2" t="s">
        <v>5159</v>
      </c>
      <c r="F493" s="2">
        <v>29.588999999999999</v>
      </c>
      <c r="G493" s="2">
        <v>8</v>
      </c>
      <c r="H493" s="2">
        <f>Tabla_Items_Con_Existencia[[#This Row],[COSTO]]*Tabla_Items_Con_Existencia[[#This Row],[EXISTENCIA]]</f>
        <v>236.71199999999999</v>
      </c>
      <c r="I493" s="1">
        <f>IF(ISERROR(MATCH(Tabla_Items_Con_Existencia[[#This Row],[CODIGO]],Tabla_Items_Activos[CODIGO],0)),0,1)</f>
        <v>0</v>
      </c>
    </row>
    <row r="494" spans="1:9">
      <c r="A494" s="2" t="s">
        <v>6760</v>
      </c>
      <c r="B494" s="2" t="s">
        <v>276</v>
      </c>
      <c r="C494" s="2" t="s">
        <v>1589</v>
      </c>
      <c r="D494" s="2" t="s">
        <v>5158</v>
      </c>
      <c r="E494" s="2" t="s">
        <v>5159</v>
      </c>
      <c r="F494" s="2">
        <v>12.37</v>
      </c>
      <c r="G494" s="2">
        <v>8</v>
      </c>
      <c r="H494" s="2">
        <f>Tabla_Items_Con_Existencia[[#This Row],[COSTO]]*Tabla_Items_Con_Existencia[[#This Row],[EXISTENCIA]]</f>
        <v>98.96</v>
      </c>
      <c r="I494" s="1">
        <f>IF(ISERROR(MATCH(Tabla_Items_Con_Existencia[[#This Row],[CODIGO]],Tabla_Items_Activos[CODIGO],0)),0,1)</f>
        <v>0</v>
      </c>
    </row>
    <row r="495" spans="1:9">
      <c r="A495" s="2" t="s">
        <v>6760</v>
      </c>
      <c r="B495" s="2" t="s">
        <v>1590</v>
      </c>
      <c r="C495" s="2" t="s">
        <v>1591</v>
      </c>
      <c r="D495" s="2" t="s">
        <v>5188</v>
      </c>
      <c r="E495" s="2" t="s">
        <v>5159</v>
      </c>
      <c r="F495" s="2">
        <v>4.18</v>
      </c>
      <c r="G495" s="2">
        <v>2</v>
      </c>
      <c r="H495" s="2">
        <f>Tabla_Items_Con_Existencia[[#This Row],[COSTO]]*Tabla_Items_Con_Existencia[[#This Row],[EXISTENCIA]]</f>
        <v>8.36</v>
      </c>
      <c r="I495" s="1">
        <f>IF(ISERROR(MATCH(Tabla_Items_Con_Existencia[[#This Row],[CODIGO]],Tabla_Items_Activos[CODIGO],0)),0,1)</f>
        <v>0</v>
      </c>
    </row>
    <row r="496" spans="1:9">
      <c r="A496" s="2" t="s">
        <v>6760</v>
      </c>
      <c r="B496" s="2" t="s">
        <v>277</v>
      </c>
      <c r="C496" s="2" t="s">
        <v>1592</v>
      </c>
      <c r="D496" s="2" t="s">
        <v>5187</v>
      </c>
      <c r="E496" s="2" t="s">
        <v>5159</v>
      </c>
      <c r="F496" s="2">
        <v>4.93</v>
      </c>
      <c r="G496" s="2">
        <v>2</v>
      </c>
      <c r="H496" s="2">
        <f>Tabla_Items_Con_Existencia[[#This Row],[COSTO]]*Tabla_Items_Con_Existencia[[#This Row],[EXISTENCIA]]</f>
        <v>9.86</v>
      </c>
      <c r="I496" s="1">
        <f>IF(ISERROR(MATCH(Tabla_Items_Con_Existencia[[#This Row],[CODIGO]],Tabla_Items_Activos[CODIGO],0)),0,1)</f>
        <v>0</v>
      </c>
    </row>
    <row r="497" spans="1:9">
      <c r="A497" s="2" t="s">
        <v>6760</v>
      </c>
      <c r="B497" s="2" t="s">
        <v>278</v>
      </c>
      <c r="C497" s="2" t="s">
        <v>1593</v>
      </c>
      <c r="D497" s="2" t="s">
        <v>5158</v>
      </c>
      <c r="E497" s="2" t="s">
        <v>5159</v>
      </c>
      <c r="F497" s="2">
        <v>2.8068</v>
      </c>
      <c r="G497" s="2">
        <v>13</v>
      </c>
      <c r="H497" s="2">
        <f>Tabla_Items_Con_Existencia[[#This Row],[COSTO]]*Tabla_Items_Con_Existencia[[#This Row],[EXISTENCIA]]</f>
        <v>36.488399999999999</v>
      </c>
      <c r="I497" s="1">
        <f>IF(ISERROR(MATCH(Tabla_Items_Con_Existencia[[#This Row],[CODIGO]],Tabla_Items_Activos[CODIGO],0)),0,1)</f>
        <v>0</v>
      </c>
    </row>
    <row r="498" spans="1:9">
      <c r="A498" s="2" t="s">
        <v>6760</v>
      </c>
      <c r="B498" s="2" t="s">
        <v>279</v>
      </c>
      <c r="C498" s="2" t="s">
        <v>1594</v>
      </c>
      <c r="D498" s="2" t="s">
        <v>5186</v>
      </c>
      <c r="E498" s="2" t="s">
        <v>5159</v>
      </c>
      <c r="F498" s="2">
        <v>6.7720000000000002</v>
      </c>
      <c r="G498" s="2">
        <v>7</v>
      </c>
      <c r="H498" s="2">
        <f>Tabla_Items_Con_Existencia[[#This Row],[COSTO]]*Tabla_Items_Con_Existencia[[#This Row],[EXISTENCIA]]</f>
        <v>47.404000000000003</v>
      </c>
      <c r="I498" s="1">
        <f>IF(ISERROR(MATCH(Tabla_Items_Con_Existencia[[#This Row],[CODIGO]],Tabla_Items_Activos[CODIGO],0)),0,1)</f>
        <v>0</v>
      </c>
    </row>
    <row r="499" spans="1:9">
      <c r="A499" s="2" t="s">
        <v>6761</v>
      </c>
      <c r="B499" s="2" t="s">
        <v>279</v>
      </c>
      <c r="C499" s="2" t="s">
        <v>1594</v>
      </c>
      <c r="D499" s="2" t="s">
        <v>5186</v>
      </c>
      <c r="E499" s="2" t="s">
        <v>5159</v>
      </c>
      <c r="F499" s="2">
        <v>6.7720000000000002</v>
      </c>
      <c r="G499" s="2">
        <v>7</v>
      </c>
      <c r="H499" s="2">
        <f>Tabla_Items_Con_Existencia[[#This Row],[COSTO]]*Tabla_Items_Con_Existencia[[#This Row],[EXISTENCIA]]</f>
        <v>47.404000000000003</v>
      </c>
      <c r="I499" s="1">
        <f>IF(ISERROR(MATCH(Tabla_Items_Con_Existencia[[#This Row],[CODIGO]],Tabla_Items_Activos[CODIGO],0)),0,1)</f>
        <v>0</v>
      </c>
    </row>
    <row r="500" spans="1:9">
      <c r="A500" s="2" t="s">
        <v>6760</v>
      </c>
      <c r="B500" s="2" t="s">
        <v>280</v>
      </c>
      <c r="C500" s="2" t="s">
        <v>1595</v>
      </c>
      <c r="D500" s="2" t="s">
        <v>5186</v>
      </c>
      <c r="E500" s="2" t="s">
        <v>5159</v>
      </c>
      <c r="F500" s="2">
        <v>7.46</v>
      </c>
      <c r="G500" s="2">
        <v>4</v>
      </c>
      <c r="H500" s="2">
        <f>Tabla_Items_Con_Existencia[[#This Row],[COSTO]]*Tabla_Items_Con_Existencia[[#This Row],[EXISTENCIA]]</f>
        <v>29.84</v>
      </c>
      <c r="I500" s="1">
        <f>IF(ISERROR(MATCH(Tabla_Items_Con_Existencia[[#This Row],[CODIGO]],Tabla_Items_Activos[CODIGO],0)),0,1)</f>
        <v>0</v>
      </c>
    </row>
    <row r="501" spans="1:9">
      <c r="A501" s="2" t="s">
        <v>6760</v>
      </c>
      <c r="B501" s="2" t="s">
        <v>1596</v>
      </c>
      <c r="C501" s="2" t="s">
        <v>1597</v>
      </c>
      <c r="D501" s="2" t="s">
        <v>5186</v>
      </c>
      <c r="E501" s="2" t="s">
        <v>5159</v>
      </c>
      <c r="F501" s="2">
        <v>5.42</v>
      </c>
      <c r="G501" s="2">
        <v>3</v>
      </c>
      <c r="H501" s="2">
        <f>Tabla_Items_Con_Existencia[[#This Row],[COSTO]]*Tabla_Items_Con_Existencia[[#This Row],[EXISTENCIA]]</f>
        <v>16.259999999999998</v>
      </c>
      <c r="I501" s="1">
        <f>IF(ISERROR(MATCH(Tabla_Items_Con_Existencia[[#This Row],[CODIGO]],Tabla_Items_Activos[CODIGO],0)),0,1)</f>
        <v>0</v>
      </c>
    </row>
    <row r="502" spans="1:9">
      <c r="A502" s="2" t="s">
        <v>6760</v>
      </c>
      <c r="B502" s="2" t="s">
        <v>281</v>
      </c>
      <c r="C502" s="2" t="s">
        <v>1598</v>
      </c>
      <c r="D502" s="2" t="s">
        <v>5186</v>
      </c>
      <c r="E502" s="2" t="s">
        <v>5159</v>
      </c>
      <c r="F502" s="2">
        <v>3.2513000000000001</v>
      </c>
      <c r="G502" s="2">
        <v>13</v>
      </c>
      <c r="H502" s="2">
        <f>Tabla_Items_Con_Existencia[[#This Row],[COSTO]]*Tabla_Items_Con_Existencia[[#This Row],[EXISTENCIA]]</f>
        <v>42.2669</v>
      </c>
      <c r="I502" s="1">
        <f>IF(ISERROR(MATCH(Tabla_Items_Con_Existencia[[#This Row],[CODIGO]],Tabla_Items_Activos[CODIGO],0)),0,1)</f>
        <v>0</v>
      </c>
    </row>
    <row r="503" spans="1:9">
      <c r="A503" s="2" t="s">
        <v>6760</v>
      </c>
      <c r="B503" s="2" t="s">
        <v>282</v>
      </c>
      <c r="C503" s="2" t="s">
        <v>1599</v>
      </c>
      <c r="D503" s="2" t="s">
        <v>5186</v>
      </c>
      <c r="E503" s="2" t="s">
        <v>5159</v>
      </c>
      <c r="F503" s="2">
        <v>2.1579999999999999</v>
      </c>
      <c r="G503" s="2">
        <v>5</v>
      </c>
      <c r="H503" s="2">
        <f>Tabla_Items_Con_Existencia[[#This Row],[COSTO]]*Tabla_Items_Con_Existencia[[#This Row],[EXISTENCIA]]</f>
        <v>10.79</v>
      </c>
      <c r="I503" s="1">
        <f>IF(ISERROR(MATCH(Tabla_Items_Con_Existencia[[#This Row],[CODIGO]],Tabla_Items_Activos[CODIGO],0)),0,1)</f>
        <v>0</v>
      </c>
    </row>
    <row r="504" spans="1:9">
      <c r="A504" s="2" t="s">
        <v>6760</v>
      </c>
      <c r="B504" s="2" t="s">
        <v>283</v>
      </c>
      <c r="C504" s="2" t="s">
        <v>1600</v>
      </c>
      <c r="D504" s="2" t="s">
        <v>5188</v>
      </c>
      <c r="E504" s="2" t="s">
        <v>5159</v>
      </c>
      <c r="F504" s="2">
        <v>2.7602000000000002</v>
      </c>
      <c r="G504" s="2">
        <v>3</v>
      </c>
      <c r="H504" s="2">
        <f>Tabla_Items_Con_Existencia[[#This Row],[COSTO]]*Tabla_Items_Con_Existencia[[#This Row],[EXISTENCIA]]</f>
        <v>8.2805999999999997</v>
      </c>
      <c r="I504" s="1">
        <f>IF(ISERROR(MATCH(Tabla_Items_Con_Existencia[[#This Row],[CODIGO]],Tabla_Items_Activos[CODIGO],0)),0,1)</f>
        <v>0</v>
      </c>
    </row>
    <row r="505" spans="1:9">
      <c r="A505" s="2" t="s">
        <v>6760</v>
      </c>
      <c r="B505" s="2" t="s">
        <v>284</v>
      </c>
      <c r="C505" s="2" t="s">
        <v>1601</v>
      </c>
      <c r="D505" s="2" t="s">
        <v>5161</v>
      </c>
      <c r="E505" s="2" t="s">
        <v>5159</v>
      </c>
      <c r="F505" s="2">
        <v>3.3264</v>
      </c>
      <c r="G505" s="2">
        <v>13</v>
      </c>
      <c r="H505" s="2">
        <f>Tabla_Items_Con_Existencia[[#This Row],[COSTO]]*Tabla_Items_Con_Existencia[[#This Row],[EXISTENCIA]]</f>
        <v>43.243200000000002</v>
      </c>
      <c r="I505" s="1">
        <f>IF(ISERROR(MATCH(Tabla_Items_Con_Existencia[[#This Row],[CODIGO]],Tabla_Items_Activos[CODIGO],0)),0,1)</f>
        <v>0</v>
      </c>
    </row>
    <row r="506" spans="1:9">
      <c r="A506" s="2" t="s">
        <v>6760</v>
      </c>
      <c r="B506" s="2" t="s">
        <v>285</v>
      </c>
      <c r="C506" s="2" t="s">
        <v>7303</v>
      </c>
      <c r="D506" s="2" t="s">
        <v>5158</v>
      </c>
      <c r="E506" s="2" t="s">
        <v>5159</v>
      </c>
      <c r="F506" s="2">
        <v>3.6830526300000002</v>
      </c>
      <c r="G506" s="2">
        <v>63</v>
      </c>
      <c r="H506" s="2">
        <f>Tabla_Items_Con_Existencia[[#This Row],[COSTO]]*Tabla_Items_Con_Existencia[[#This Row],[EXISTENCIA]]</f>
        <v>232.03231569000002</v>
      </c>
      <c r="I506" s="1">
        <f>IF(ISERROR(MATCH(Tabla_Items_Con_Existencia[[#This Row],[CODIGO]],Tabla_Items_Activos[CODIGO],0)),0,1)</f>
        <v>0</v>
      </c>
    </row>
    <row r="507" spans="1:9">
      <c r="A507" s="2" t="s">
        <v>6761</v>
      </c>
      <c r="B507" s="2" t="s">
        <v>285</v>
      </c>
      <c r="C507" s="2" t="s">
        <v>7303</v>
      </c>
      <c r="D507" s="2" t="s">
        <v>5158</v>
      </c>
      <c r="E507" s="2" t="s">
        <v>5159</v>
      </c>
      <c r="F507" s="2">
        <v>3.6830526300000002</v>
      </c>
      <c r="G507" s="2">
        <v>63</v>
      </c>
      <c r="H507" s="2">
        <f>Tabla_Items_Con_Existencia[[#This Row],[COSTO]]*Tabla_Items_Con_Existencia[[#This Row],[EXISTENCIA]]</f>
        <v>232.03231569000002</v>
      </c>
      <c r="I507" s="1">
        <f>IF(ISERROR(MATCH(Tabla_Items_Con_Existencia[[#This Row],[CODIGO]],Tabla_Items_Activos[CODIGO],0)),0,1)</f>
        <v>0</v>
      </c>
    </row>
    <row r="508" spans="1:9">
      <c r="A508" s="2" t="s">
        <v>6760</v>
      </c>
      <c r="B508" s="2" t="s">
        <v>286</v>
      </c>
      <c r="C508" s="2" t="s">
        <v>6382</v>
      </c>
      <c r="D508" s="2" t="s">
        <v>5194</v>
      </c>
      <c r="E508" s="2" t="s">
        <v>5159</v>
      </c>
      <c r="F508" s="2">
        <v>2.1010526299999999</v>
      </c>
      <c r="G508" s="2">
        <v>10</v>
      </c>
      <c r="H508" s="2">
        <f>Tabla_Items_Con_Existencia[[#This Row],[COSTO]]*Tabla_Items_Con_Existencia[[#This Row],[EXISTENCIA]]</f>
        <v>21.010526299999999</v>
      </c>
      <c r="I508" s="1">
        <f>IF(ISERROR(MATCH(Tabla_Items_Con_Existencia[[#This Row],[CODIGO]],Tabla_Items_Activos[CODIGO],0)),0,1)</f>
        <v>0</v>
      </c>
    </row>
    <row r="509" spans="1:9">
      <c r="A509" s="2" t="s">
        <v>6761</v>
      </c>
      <c r="B509" s="2" t="s">
        <v>286</v>
      </c>
      <c r="C509" s="2" t="s">
        <v>6382</v>
      </c>
      <c r="D509" s="2" t="s">
        <v>5194</v>
      </c>
      <c r="E509" s="2" t="s">
        <v>5159</v>
      </c>
      <c r="F509" s="2">
        <v>2.1010526299999999</v>
      </c>
      <c r="G509" s="2">
        <v>10</v>
      </c>
      <c r="H509" s="2">
        <f>Tabla_Items_Con_Existencia[[#This Row],[COSTO]]*Tabla_Items_Con_Existencia[[#This Row],[EXISTENCIA]]</f>
        <v>21.010526299999999</v>
      </c>
      <c r="I509" s="1">
        <f>IF(ISERROR(MATCH(Tabla_Items_Con_Existencia[[#This Row],[CODIGO]],Tabla_Items_Activos[CODIGO],0)),0,1)</f>
        <v>0</v>
      </c>
    </row>
    <row r="510" spans="1:9">
      <c r="A510" s="2" t="s">
        <v>6760</v>
      </c>
      <c r="B510" s="2" t="s">
        <v>287</v>
      </c>
      <c r="C510" s="2" t="s">
        <v>1604</v>
      </c>
      <c r="D510" s="2" t="s">
        <v>5186</v>
      </c>
      <c r="E510" s="2" t="s">
        <v>5159</v>
      </c>
      <c r="F510" s="2">
        <v>4.133</v>
      </c>
      <c r="G510" s="2">
        <v>7</v>
      </c>
      <c r="H510" s="2">
        <f>Tabla_Items_Con_Existencia[[#This Row],[COSTO]]*Tabla_Items_Con_Existencia[[#This Row],[EXISTENCIA]]</f>
        <v>28.931000000000001</v>
      </c>
      <c r="I510" s="1">
        <f>IF(ISERROR(MATCH(Tabla_Items_Con_Existencia[[#This Row],[CODIGO]],Tabla_Items_Activos[CODIGO],0)),0,1)</f>
        <v>0</v>
      </c>
    </row>
    <row r="511" spans="1:9">
      <c r="A511" s="2" t="s">
        <v>6760</v>
      </c>
      <c r="B511" s="2" t="s">
        <v>288</v>
      </c>
      <c r="C511" s="2" t="s">
        <v>1605</v>
      </c>
      <c r="D511" s="2" t="s">
        <v>5186</v>
      </c>
      <c r="E511" s="2" t="s">
        <v>5159</v>
      </c>
      <c r="F511" s="2">
        <v>1.7460421100000001</v>
      </c>
      <c r="G511" s="2">
        <v>8</v>
      </c>
      <c r="H511" s="2">
        <f>Tabla_Items_Con_Existencia[[#This Row],[COSTO]]*Tabla_Items_Con_Existencia[[#This Row],[EXISTENCIA]]</f>
        <v>13.968336880000001</v>
      </c>
      <c r="I511" s="1">
        <f>IF(ISERROR(MATCH(Tabla_Items_Con_Existencia[[#This Row],[CODIGO]],Tabla_Items_Activos[CODIGO],0)),0,1)</f>
        <v>0</v>
      </c>
    </row>
    <row r="512" spans="1:9">
      <c r="A512" s="2" t="s">
        <v>6761</v>
      </c>
      <c r="B512" s="2" t="s">
        <v>288</v>
      </c>
      <c r="C512" s="2" t="s">
        <v>1605</v>
      </c>
      <c r="D512" s="2" t="s">
        <v>5186</v>
      </c>
      <c r="E512" s="2" t="s">
        <v>5159</v>
      </c>
      <c r="F512" s="2">
        <v>1.7460421100000001</v>
      </c>
      <c r="G512" s="2">
        <v>8</v>
      </c>
      <c r="H512" s="2">
        <f>Tabla_Items_Con_Existencia[[#This Row],[COSTO]]*Tabla_Items_Con_Existencia[[#This Row],[EXISTENCIA]]</f>
        <v>13.968336880000001</v>
      </c>
      <c r="I512" s="1">
        <f>IF(ISERROR(MATCH(Tabla_Items_Con_Existencia[[#This Row],[CODIGO]],Tabla_Items_Activos[CODIGO],0)),0,1)</f>
        <v>0</v>
      </c>
    </row>
    <row r="513" spans="1:9">
      <c r="A513" s="2" t="s">
        <v>6760</v>
      </c>
      <c r="B513" s="2" t="s">
        <v>289</v>
      </c>
      <c r="C513" s="2" t="s">
        <v>1606</v>
      </c>
      <c r="D513" s="2" t="s">
        <v>5186</v>
      </c>
      <c r="E513" s="2" t="s">
        <v>5159</v>
      </c>
      <c r="F513" s="2">
        <v>1.5</v>
      </c>
      <c r="G513" s="2">
        <v>6</v>
      </c>
      <c r="H513" s="2">
        <f>Tabla_Items_Con_Existencia[[#This Row],[COSTO]]*Tabla_Items_Con_Existencia[[#This Row],[EXISTENCIA]]</f>
        <v>9</v>
      </c>
      <c r="I513" s="1">
        <f>IF(ISERROR(MATCH(Tabla_Items_Con_Existencia[[#This Row],[CODIGO]],Tabla_Items_Activos[CODIGO],0)),0,1)</f>
        <v>0</v>
      </c>
    </row>
    <row r="514" spans="1:9">
      <c r="A514" s="2" t="s">
        <v>6760</v>
      </c>
      <c r="B514" s="2" t="s">
        <v>290</v>
      </c>
      <c r="C514" s="2" t="s">
        <v>1609</v>
      </c>
      <c r="D514" s="2" t="s">
        <v>5187</v>
      </c>
      <c r="E514" s="2" t="s">
        <v>5159</v>
      </c>
      <c r="F514" s="2">
        <v>0.63</v>
      </c>
      <c r="G514" s="2">
        <v>5</v>
      </c>
      <c r="H514" s="2">
        <f>Tabla_Items_Con_Existencia[[#This Row],[COSTO]]*Tabla_Items_Con_Existencia[[#This Row],[EXISTENCIA]]</f>
        <v>3.15</v>
      </c>
      <c r="I514" s="1">
        <f>IF(ISERROR(MATCH(Tabla_Items_Con_Existencia[[#This Row],[CODIGO]],Tabla_Items_Activos[CODIGO],0)),0,1)</f>
        <v>0</v>
      </c>
    </row>
    <row r="515" spans="1:9">
      <c r="A515" s="2" t="s">
        <v>6760</v>
      </c>
      <c r="B515" s="2" t="s">
        <v>291</v>
      </c>
      <c r="C515" s="2" t="s">
        <v>1610</v>
      </c>
      <c r="D515" s="2" t="s">
        <v>5186</v>
      </c>
      <c r="E515" s="2" t="s">
        <v>5159</v>
      </c>
      <c r="F515" s="2">
        <v>6.7491789500000001</v>
      </c>
      <c r="G515" s="2">
        <v>18</v>
      </c>
      <c r="H515" s="2">
        <f>Tabla_Items_Con_Existencia[[#This Row],[COSTO]]*Tabla_Items_Con_Existencia[[#This Row],[EXISTENCIA]]</f>
        <v>121.4852211</v>
      </c>
      <c r="I515" s="1">
        <f>IF(ISERROR(MATCH(Tabla_Items_Con_Existencia[[#This Row],[CODIGO]],Tabla_Items_Activos[CODIGO],0)),0,1)</f>
        <v>0</v>
      </c>
    </row>
    <row r="516" spans="1:9">
      <c r="A516" s="2" t="s">
        <v>6761</v>
      </c>
      <c r="B516" s="2" t="s">
        <v>291</v>
      </c>
      <c r="C516" s="2" t="s">
        <v>1610</v>
      </c>
      <c r="D516" s="2" t="s">
        <v>5186</v>
      </c>
      <c r="E516" s="2" t="s">
        <v>5159</v>
      </c>
      <c r="F516" s="2">
        <v>6.7491789500000001</v>
      </c>
      <c r="G516" s="2">
        <v>18</v>
      </c>
      <c r="H516" s="2">
        <f>Tabla_Items_Con_Existencia[[#This Row],[COSTO]]*Tabla_Items_Con_Existencia[[#This Row],[EXISTENCIA]]</f>
        <v>121.4852211</v>
      </c>
      <c r="I516" s="1">
        <f>IF(ISERROR(MATCH(Tabla_Items_Con_Existencia[[#This Row],[CODIGO]],Tabla_Items_Activos[CODIGO],0)),0,1)</f>
        <v>0</v>
      </c>
    </row>
    <row r="517" spans="1:9">
      <c r="A517" s="2" t="s">
        <v>6760</v>
      </c>
      <c r="B517" s="2" t="s">
        <v>292</v>
      </c>
      <c r="C517" s="2" t="s">
        <v>6383</v>
      </c>
      <c r="D517" s="2" t="s">
        <v>5158</v>
      </c>
      <c r="E517" s="2" t="s">
        <v>5159</v>
      </c>
      <c r="F517" s="2">
        <v>4.1496000000000004</v>
      </c>
      <c r="G517" s="2">
        <v>66</v>
      </c>
      <c r="H517" s="2">
        <f>Tabla_Items_Con_Existencia[[#This Row],[COSTO]]*Tabla_Items_Con_Existencia[[#This Row],[EXISTENCIA]]</f>
        <v>273.87360000000001</v>
      </c>
      <c r="I517" s="1">
        <f>IF(ISERROR(MATCH(Tabla_Items_Con_Existencia[[#This Row],[CODIGO]],Tabla_Items_Activos[CODIGO],0)),0,1)</f>
        <v>0</v>
      </c>
    </row>
    <row r="518" spans="1:9">
      <c r="A518" s="2" t="s">
        <v>6760</v>
      </c>
      <c r="B518" s="2" t="s">
        <v>293</v>
      </c>
      <c r="C518" s="2" t="s">
        <v>1612</v>
      </c>
      <c r="D518" s="2" t="s">
        <v>5186</v>
      </c>
      <c r="E518" s="2" t="s">
        <v>5159</v>
      </c>
      <c r="F518" s="2">
        <v>4.5999999999999996</v>
      </c>
      <c r="G518" s="2">
        <v>3</v>
      </c>
      <c r="H518" s="2">
        <f>Tabla_Items_Con_Existencia[[#This Row],[COSTO]]*Tabla_Items_Con_Existencia[[#This Row],[EXISTENCIA]]</f>
        <v>13.799999999999999</v>
      </c>
      <c r="I518" s="1">
        <f>IF(ISERROR(MATCH(Tabla_Items_Con_Existencia[[#This Row],[CODIGO]],Tabla_Items_Activos[CODIGO],0)),0,1)</f>
        <v>0</v>
      </c>
    </row>
    <row r="519" spans="1:9">
      <c r="A519" s="2" t="s">
        <v>6760</v>
      </c>
      <c r="B519" s="2" t="s">
        <v>294</v>
      </c>
      <c r="C519" s="2" t="s">
        <v>1613</v>
      </c>
      <c r="D519" s="2" t="s">
        <v>5186</v>
      </c>
      <c r="E519" s="2" t="s">
        <v>5159</v>
      </c>
      <c r="F519" s="2">
        <v>2.5299999999999998</v>
      </c>
      <c r="G519" s="2">
        <v>2</v>
      </c>
      <c r="H519" s="2">
        <f>Tabla_Items_Con_Existencia[[#This Row],[COSTO]]*Tabla_Items_Con_Existencia[[#This Row],[EXISTENCIA]]</f>
        <v>5.0599999999999996</v>
      </c>
      <c r="I519" s="1">
        <f>IF(ISERROR(MATCH(Tabla_Items_Con_Existencia[[#This Row],[CODIGO]],Tabla_Items_Activos[CODIGO],0)),0,1)</f>
        <v>0</v>
      </c>
    </row>
    <row r="520" spans="1:9">
      <c r="A520" s="2" t="s">
        <v>6761</v>
      </c>
      <c r="B520" s="2" t="s">
        <v>295</v>
      </c>
      <c r="C520" s="2" t="s">
        <v>6384</v>
      </c>
      <c r="D520" s="2" t="s">
        <v>5161</v>
      </c>
      <c r="E520" s="2" t="s">
        <v>5159</v>
      </c>
      <c r="F520" s="2">
        <v>3.8133894700000002</v>
      </c>
      <c r="G520" s="2">
        <v>138</v>
      </c>
      <c r="H520" s="2">
        <f>Tabla_Items_Con_Existencia[[#This Row],[COSTO]]*Tabla_Items_Con_Existencia[[#This Row],[EXISTENCIA]]</f>
        <v>526.24774686000001</v>
      </c>
      <c r="I520" s="1">
        <f>IF(ISERROR(MATCH(Tabla_Items_Con_Existencia[[#This Row],[CODIGO]],Tabla_Items_Activos[CODIGO],0)),0,1)</f>
        <v>0</v>
      </c>
    </row>
    <row r="521" spans="1:9">
      <c r="A521" s="2" t="s">
        <v>6760</v>
      </c>
      <c r="B521" s="2" t="s">
        <v>295</v>
      </c>
      <c r="C521" s="2" t="s">
        <v>6384</v>
      </c>
      <c r="D521" s="2" t="s">
        <v>5161</v>
      </c>
      <c r="E521" s="2" t="s">
        <v>5159</v>
      </c>
      <c r="F521" s="2">
        <v>3.8133894700000002</v>
      </c>
      <c r="G521" s="2">
        <v>138</v>
      </c>
      <c r="H521" s="2">
        <f>Tabla_Items_Con_Existencia[[#This Row],[COSTO]]*Tabla_Items_Con_Existencia[[#This Row],[EXISTENCIA]]</f>
        <v>526.24774686000001</v>
      </c>
      <c r="I521" s="1">
        <f>IF(ISERROR(MATCH(Tabla_Items_Con_Existencia[[#This Row],[CODIGO]],Tabla_Items_Activos[CODIGO],0)),0,1)</f>
        <v>0</v>
      </c>
    </row>
    <row r="522" spans="1:9">
      <c r="A522" s="2" t="s">
        <v>6760</v>
      </c>
      <c r="B522" s="2" t="s">
        <v>297</v>
      </c>
      <c r="C522" s="2" t="s">
        <v>1616</v>
      </c>
      <c r="D522" s="2" t="s">
        <v>5186</v>
      </c>
      <c r="E522" s="2" t="s">
        <v>5159</v>
      </c>
      <c r="F522" s="2">
        <v>3.1</v>
      </c>
      <c r="G522" s="2">
        <v>2</v>
      </c>
      <c r="H522" s="2">
        <f>Tabla_Items_Con_Existencia[[#This Row],[COSTO]]*Tabla_Items_Con_Existencia[[#This Row],[EXISTENCIA]]</f>
        <v>6.2</v>
      </c>
      <c r="I522" s="1">
        <f>IF(ISERROR(MATCH(Tabla_Items_Con_Existencia[[#This Row],[CODIGO]],Tabla_Items_Activos[CODIGO],0)),0,1)</f>
        <v>0</v>
      </c>
    </row>
    <row r="523" spans="1:9">
      <c r="A523" s="2" t="s">
        <v>6760</v>
      </c>
      <c r="B523" s="2" t="s">
        <v>298</v>
      </c>
      <c r="C523" s="2" t="s">
        <v>6828</v>
      </c>
      <c r="D523" s="2" t="s">
        <v>5186</v>
      </c>
      <c r="E523" s="2" t="s">
        <v>5159</v>
      </c>
      <c r="F523" s="2">
        <v>0.98299999999999998</v>
      </c>
      <c r="G523" s="2">
        <v>3</v>
      </c>
      <c r="H523" s="2">
        <f>Tabla_Items_Con_Existencia[[#This Row],[COSTO]]*Tabla_Items_Con_Existencia[[#This Row],[EXISTENCIA]]</f>
        <v>2.9489999999999998</v>
      </c>
      <c r="I523" s="1">
        <f>IF(ISERROR(MATCH(Tabla_Items_Con_Existencia[[#This Row],[CODIGO]],Tabla_Items_Activos[CODIGO],0)),0,1)</f>
        <v>0</v>
      </c>
    </row>
    <row r="524" spans="1:9">
      <c r="A524" s="2" t="s">
        <v>6760</v>
      </c>
      <c r="B524" s="2" t="s">
        <v>299</v>
      </c>
      <c r="C524" s="2" t="s">
        <v>1618</v>
      </c>
      <c r="D524" s="2" t="s">
        <v>5186</v>
      </c>
      <c r="E524" s="2" t="s">
        <v>5159</v>
      </c>
      <c r="F524" s="2">
        <v>0.88300000000000001</v>
      </c>
      <c r="G524" s="2">
        <v>3</v>
      </c>
      <c r="H524" s="2">
        <f>Tabla_Items_Con_Existencia[[#This Row],[COSTO]]*Tabla_Items_Con_Existencia[[#This Row],[EXISTENCIA]]</f>
        <v>2.649</v>
      </c>
      <c r="I524" s="1">
        <f>IF(ISERROR(MATCH(Tabla_Items_Con_Existencia[[#This Row],[CODIGO]],Tabla_Items_Activos[CODIGO],0)),0,1)</f>
        <v>0</v>
      </c>
    </row>
    <row r="525" spans="1:9">
      <c r="A525" s="2" t="s">
        <v>6760</v>
      </c>
      <c r="B525" s="2" t="s">
        <v>1619</v>
      </c>
      <c r="C525" s="2" t="s">
        <v>1620</v>
      </c>
      <c r="D525" s="2" t="s">
        <v>5186</v>
      </c>
      <c r="E525" s="2" t="s">
        <v>5159</v>
      </c>
      <c r="F525" s="2">
        <v>1.56</v>
      </c>
      <c r="G525" s="2">
        <v>31</v>
      </c>
      <c r="H525" s="2">
        <f>Tabla_Items_Con_Existencia[[#This Row],[COSTO]]*Tabla_Items_Con_Existencia[[#This Row],[EXISTENCIA]]</f>
        <v>48.36</v>
      </c>
      <c r="I525" s="1">
        <f>IF(ISERROR(MATCH(Tabla_Items_Con_Existencia[[#This Row],[CODIGO]],Tabla_Items_Activos[CODIGO],0)),0,1)</f>
        <v>0</v>
      </c>
    </row>
    <row r="526" spans="1:9">
      <c r="A526" s="2" t="s">
        <v>6760</v>
      </c>
      <c r="B526" s="2" t="s">
        <v>1621</v>
      </c>
      <c r="C526" s="2" t="s">
        <v>1622</v>
      </c>
      <c r="D526" s="2" t="s">
        <v>5194</v>
      </c>
      <c r="E526" s="2" t="s">
        <v>5159</v>
      </c>
      <c r="F526" s="2">
        <v>2.0289999999999999</v>
      </c>
      <c r="G526" s="2">
        <v>20</v>
      </c>
      <c r="H526" s="2">
        <f>Tabla_Items_Con_Existencia[[#This Row],[COSTO]]*Tabla_Items_Con_Existencia[[#This Row],[EXISTENCIA]]</f>
        <v>40.58</v>
      </c>
      <c r="I526" s="1">
        <f>IF(ISERROR(MATCH(Tabla_Items_Con_Existencia[[#This Row],[CODIGO]],Tabla_Items_Activos[CODIGO],0)),0,1)</f>
        <v>0</v>
      </c>
    </row>
    <row r="527" spans="1:9">
      <c r="A527" s="2" t="s">
        <v>6760</v>
      </c>
      <c r="B527" s="2" t="s">
        <v>300</v>
      </c>
      <c r="C527" s="2" t="s">
        <v>1623</v>
      </c>
      <c r="D527" s="2" t="s">
        <v>5158</v>
      </c>
      <c r="E527" s="2" t="s">
        <v>5159</v>
      </c>
      <c r="F527" s="2">
        <v>1.9359999999999999</v>
      </c>
      <c r="G527" s="2">
        <v>10</v>
      </c>
      <c r="H527" s="2">
        <f>Tabla_Items_Con_Existencia[[#This Row],[COSTO]]*Tabla_Items_Con_Existencia[[#This Row],[EXISTENCIA]]</f>
        <v>19.36</v>
      </c>
      <c r="I527" s="1">
        <f>IF(ISERROR(MATCH(Tabla_Items_Con_Existencia[[#This Row],[CODIGO]],Tabla_Items_Activos[CODIGO],0)),0,1)</f>
        <v>0</v>
      </c>
    </row>
    <row r="528" spans="1:9">
      <c r="A528" s="2" t="s">
        <v>6760</v>
      </c>
      <c r="B528" s="2" t="s">
        <v>301</v>
      </c>
      <c r="C528" s="2" t="s">
        <v>6829</v>
      </c>
      <c r="D528" s="2" t="s">
        <v>5161</v>
      </c>
      <c r="E528" s="2" t="s">
        <v>5159</v>
      </c>
      <c r="F528" s="2">
        <v>1.41263158</v>
      </c>
      <c r="G528" s="2">
        <v>9</v>
      </c>
      <c r="H528" s="2">
        <f>Tabla_Items_Con_Existencia[[#This Row],[COSTO]]*Tabla_Items_Con_Existencia[[#This Row],[EXISTENCIA]]</f>
        <v>12.713684219999999</v>
      </c>
      <c r="I528" s="1">
        <f>IF(ISERROR(MATCH(Tabla_Items_Con_Existencia[[#This Row],[CODIGO]],Tabla_Items_Activos[CODIGO],0)),0,1)</f>
        <v>0</v>
      </c>
    </row>
    <row r="529" spans="1:9">
      <c r="A529" s="2" t="s">
        <v>6761</v>
      </c>
      <c r="B529" s="2" t="s">
        <v>301</v>
      </c>
      <c r="C529" s="2" t="s">
        <v>6829</v>
      </c>
      <c r="D529" s="2" t="s">
        <v>5161</v>
      </c>
      <c r="E529" s="2" t="s">
        <v>5159</v>
      </c>
      <c r="F529" s="2">
        <v>1.41263158</v>
      </c>
      <c r="G529" s="2">
        <v>9</v>
      </c>
      <c r="H529" s="2">
        <f>Tabla_Items_Con_Existencia[[#This Row],[COSTO]]*Tabla_Items_Con_Existencia[[#This Row],[EXISTENCIA]]</f>
        <v>12.713684219999999</v>
      </c>
      <c r="I529" s="1">
        <f>IF(ISERROR(MATCH(Tabla_Items_Con_Existencia[[#This Row],[CODIGO]],Tabla_Items_Activos[CODIGO],0)),0,1)</f>
        <v>0</v>
      </c>
    </row>
    <row r="530" spans="1:9">
      <c r="A530" s="2" t="s">
        <v>6760</v>
      </c>
      <c r="B530" s="2" t="s">
        <v>302</v>
      </c>
      <c r="C530" s="2" t="s">
        <v>1625</v>
      </c>
      <c r="D530" s="2" t="s">
        <v>5186</v>
      </c>
      <c r="E530" s="2" t="s">
        <v>5159</v>
      </c>
      <c r="F530" s="2">
        <v>0.89</v>
      </c>
      <c r="G530" s="2">
        <v>6</v>
      </c>
      <c r="H530" s="2">
        <f>Tabla_Items_Con_Existencia[[#This Row],[COSTO]]*Tabla_Items_Con_Existencia[[#This Row],[EXISTENCIA]]</f>
        <v>5.34</v>
      </c>
      <c r="I530" s="1">
        <f>IF(ISERROR(MATCH(Tabla_Items_Con_Existencia[[#This Row],[CODIGO]],Tabla_Items_Activos[CODIGO],0)),0,1)</f>
        <v>0</v>
      </c>
    </row>
    <row r="531" spans="1:9">
      <c r="A531" s="2" t="s">
        <v>6760</v>
      </c>
      <c r="B531" s="2" t="s">
        <v>303</v>
      </c>
      <c r="C531" s="2" t="s">
        <v>1626</v>
      </c>
      <c r="D531" s="2" t="s">
        <v>5186</v>
      </c>
      <c r="E531" s="2" t="s">
        <v>5159</v>
      </c>
      <c r="F531" s="2">
        <v>0.56999999999999995</v>
      </c>
      <c r="G531" s="2">
        <v>6</v>
      </c>
      <c r="H531" s="2">
        <f>Tabla_Items_Con_Existencia[[#This Row],[COSTO]]*Tabla_Items_Con_Existencia[[#This Row],[EXISTENCIA]]</f>
        <v>3.42</v>
      </c>
      <c r="I531" s="1">
        <f>IF(ISERROR(MATCH(Tabla_Items_Con_Existencia[[#This Row],[CODIGO]],Tabla_Items_Activos[CODIGO],0)),0,1)</f>
        <v>0</v>
      </c>
    </row>
    <row r="532" spans="1:9">
      <c r="A532" s="2" t="s">
        <v>6760</v>
      </c>
      <c r="B532" s="2" t="s">
        <v>304</v>
      </c>
      <c r="C532" s="2" t="s">
        <v>1627</v>
      </c>
      <c r="D532" s="2" t="s">
        <v>5158</v>
      </c>
      <c r="E532" s="2" t="s">
        <v>5159</v>
      </c>
      <c r="F532" s="2">
        <v>0.58960000000000001</v>
      </c>
      <c r="G532" s="2">
        <v>14</v>
      </c>
      <c r="H532" s="2">
        <f>Tabla_Items_Con_Existencia[[#This Row],[COSTO]]*Tabla_Items_Con_Existencia[[#This Row],[EXISTENCIA]]</f>
        <v>8.2544000000000004</v>
      </c>
      <c r="I532" s="1">
        <f>IF(ISERROR(MATCH(Tabla_Items_Con_Existencia[[#This Row],[CODIGO]],Tabla_Items_Activos[CODIGO],0)),0,1)</f>
        <v>0</v>
      </c>
    </row>
    <row r="533" spans="1:9">
      <c r="A533" s="2" t="s">
        <v>6760</v>
      </c>
      <c r="B533" s="2" t="s">
        <v>305</v>
      </c>
      <c r="C533" s="2" t="s">
        <v>1628</v>
      </c>
      <c r="D533" s="2" t="s">
        <v>5186</v>
      </c>
      <c r="E533" s="2" t="s">
        <v>5159</v>
      </c>
      <c r="F533" s="2">
        <v>1.7</v>
      </c>
      <c r="G533" s="2">
        <v>3</v>
      </c>
      <c r="H533" s="2">
        <f>Tabla_Items_Con_Existencia[[#This Row],[COSTO]]*Tabla_Items_Con_Existencia[[#This Row],[EXISTENCIA]]</f>
        <v>5.0999999999999996</v>
      </c>
      <c r="I533" s="1">
        <f>IF(ISERROR(MATCH(Tabla_Items_Con_Existencia[[#This Row],[CODIGO]],Tabla_Items_Activos[CODIGO],0)),0,1)</f>
        <v>0</v>
      </c>
    </row>
    <row r="534" spans="1:9">
      <c r="A534" s="2" t="s">
        <v>6760</v>
      </c>
      <c r="B534" s="2" t="s">
        <v>306</v>
      </c>
      <c r="C534" s="2" t="s">
        <v>1629</v>
      </c>
      <c r="D534" s="2" t="s">
        <v>5186</v>
      </c>
      <c r="E534" s="2" t="s">
        <v>5159</v>
      </c>
      <c r="F534" s="2">
        <v>2.0299999999999998</v>
      </c>
      <c r="G534" s="2">
        <v>4</v>
      </c>
      <c r="H534" s="2">
        <f>Tabla_Items_Con_Existencia[[#This Row],[COSTO]]*Tabla_Items_Con_Existencia[[#This Row],[EXISTENCIA]]</f>
        <v>8.1199999999999992</v>
      </c>
      <c r="I534" s="1">
        <f>IF(ISERROR(MATCH(Tabla_Items_Con_Existencia[[#This Row],[CODIGO]],Tabla_Items_Activos[CODIGO],0)),0,1)</f>
        <v>0</v>
      </c>
    </row>
    <row r="535" spans="1:9">
      <c r="A535" s="2" t="s">
        <v>6760</v>
      </c>
      <c r="B535" s="2" t="s">
        <v>307</v>
      </c>
      <c r="C535" s="2" t="s">
        <v>6385</v>
      </c>
      <c r="D535" s="2" t="s">
        <v>5158</v>
      </c>
      <c r="E535" s="2" t="s">
        <v>5159</v>
      </c>
      <c r="F535" s="2">
        <v>3.1991000000000001</v>
      </c>
      <c r="G535" s="2">
        <v>41</v>
      </c>
      <c r="H535" s="2">
        <f>Tabla_Items_Con_Existencia[[#This Row],[COSTO]]*Tabla_Items_Con_Existencia[[#This Row],[EXISTENCIA]]</f>
        <v>131.16310000000001</v>
      </c>
      <c r="I535" s="1">
        <f>IF(ISERROR(MATCH(Tabla_Items_Con_Existencia[[#This Row],[CODIGO]],Tabla_Items_Activos[CODIGO],0)),0,1)</f>
        <v>0</v>
      </c>
    </row>
    <row r="536" spans="1:9">
      <c r="A536" s="2" t="s">
        <v>6760</v>
      </c>
      <c r="B536" s="2" t="s">
        <v>308</v>
      </c>
      <c r="C536" s="2" t="s">
        <v>6830</v>
      </c>
      <c r="D536" s="2" t="s">
        <v>5186</v>
      </c>
      <c r="E536" s="2" t="s">
        <v>5159</v>
      </c>
      <c r="F536" s="2">
        <v>2.7795000000000001</v>
      </c>
      <c r="G536" s="2">
        <v>8</v>
      </c>
      <c r="H536" s="2">
        <f>Tabla_Items_Con_Existencia[[#This Row],[COSTO]]*Tabla_Items_Con_Existencia[[#This Row],[EXISTENCIA]]</f>
        <v>22.236000000000001</v>
      </c>
      <c r="I536" s="1">
        <f>IF(ISERROR(MATCH(Tabla_Items_Con_Existencia[[#This Row],[CODIGO]],Tabla_Items_Activos[CODIGO],0)),0,1)</f>
        <v>0</v>
      </c>
    </row>
    <row r="537" spans="1:9">
      <c r="A537" s="2" t="s">
        <v>6760</v>
      </c>
      <c r="B537" s="2" t="s">
        <v>309</v>
      </c>
      <c r="C537" s="2" t="s">
        <v>1632</v>
      </c>
      <c r="D537" s="2" t="s">
        <v>5187</v>
      </c>
      <c r="E537" s="2" t="s">
        <v>5159</v>
      </c>
      <c r="F537" s="2">
        <v>5.1100000000000003</v>
      </c>
      <c r="G537" s="2">
        <v>4</v>
      </c>
      <c r="H537" s="2">
        <f>Tabla_Items_Con_Existencia[[#This Row],[COSTO]]*Tabla_Items_Con_Existencia[[#This Row],[EXISTENCIA]]</f>
        <v>20.440000000000001</v>
      </c>
      <c r="I537" s="1">
        <f>IF(ISERROR(MATCH(Tabla_Items_Con_Existencia[[#This Row],[CODIGO]],Tabla_Items_Activos[CODIGO],0)),0,1)</f>
        <v>0</v>
      </c>
    </row>
    <row r="538" spans="1:9">
      <c r="A538" s="2" t="s">
        <v>6760</v>
      </c>
      <c r="B538" s="2" t="s">
        <v>310</v>
      </c>
      <c r="C538" s="2" t="s">
        <v>1633</v>
      </c>
      <c r="D538" s="2" t="s">
        <v>5158</v>
      </c>
      <c r="E538" s="2" t="s">
        <v>5159</v>
      </c>
      <c r="F538" s="2">
        <v>3.0960000000000001</v>
      </c>
      <c r="G538" s="2">
        <v>9</v>
      </c>
      <c r="H538" s="2">
        <f>Tabla_Items_Con_Existencia[[#This Row],[COSTO]]*Tabla_Items_Con_Existencia[[#This Row],[EXISTENCIA]]</f>
        <v>27.864000000000001</v>
      </c>
      <c r="I538" s="1">
        <f>IF(ISERROR(MATCH(Tabla_Items_Con_Existencia[[#This Row],[CODIGO]],Tabla_Items_Activos[CODIGO],0)),0,1)</f>
        <v>0</v>
      </c>
    </row>
    <row r="539" spans="1:9">
      <c r="A539" s="2" t="s">
        <v>6760</v>
      </c>
      <c r="B539" s="2" t="s">
        <v>6831</v>
      </c>
      <c r="C539" s="2" t="s">
        <v>6832</v>
      </c>
      <c r="D539" s="2" t="s">
        <v>5158</v>
      </c>
      <c r="E539" s="2" t="s">
        <v>5159</v>
      </c>
      <c r="F539" s="2">
        <v>1.38</v>
      </c>
      <c r="G539" s="2">
        <v>10</v>
      </c>
      <c r="H539" s="2">
        <f>Tabla_Items_Con_Existencia[[#This Row],[COSTO]]*Tabla_Items_Con_Existencia[[#This Row],[EXISTENCIA]]</f>
        <v>13.799999999999999</v>
      </c>
      <c r="I539" s="1">
        <f>IF(ISERROR(MATCH(Tabla_Items_Con_Existencia[[#This Row],[CODIGO]],Tabla_Items_Activos[CODIGO],0)),0,1)</f>
        <v>0</v>
      </c>
    </row>
    <row r="540" spans="1:9">
      <c r="A540" s="2" t="s">
        <v>6760</v>
      </c>
      <c r="B540" s="2" t="s">
        <v>311</v>
      </c>
      <c r="C540" s="2" t="s">
        <v>1634</v>
      </c>
      <c r="D540" s="2" t="s">
        <v>5187</v>
      </c>
      <c r="E540" s="2" t="s">
        <v>5159</v>
      </c>
      <c r="F540" s="2">
        <v>1.03</v>
      </c>
      <c r="G540" s="2">
        <v>2</v>
      </c>
      <c r="H540" s="2">
        <f>Tabla_Items_Con_Existencia[[#This Row],[COSTO]]*Tabla_Items_Con_Existencia[[#This Row],[EXISTENCIA]]</f>
        <v>2.06</v>
      </c>
      <c r="I540" s="1">
        <f>IF(ISERROR(MATCH(Tabla_Items_Con_Existencia[[#This Row],[CODIGO]],Tabla_Items_Activos[CODIGO],0)),0,1)</f>
        <v>0</v>
      </c>
    </row>
    <row r="541" spans="1:9">
      <c r="A541" s="2" t="s">
        <v>6760</v>
      </c>
      <c r="B541" s="2" t="s">
        <v>6833</v>
      </c>
      <c r="C541" s="2" t="s">
        <v>6834</v>
      </c>
      <c r="D541" s="2" t="s">
        <v>5158</v>
      </c>
      <c r="E541" s="2" t="s">
        <v>5159</v>
      </c>
      <c r="F541" s="2">
        <v>1.44</v>
      </c>
      <c r="G541" s="2">
        <v>10</v>
      </c>
      <c r="H541" s="2">
        <f>Tabla_Items_Con_Existencia[[#This Row],[COSTO]]*Tabla_Items_Con_Existencia[[#This Row],[EXISTENCIA]]</f>
        <v>14.399999999999999</v>
      </c>
      <c r="I541" s="1">
        <f>IF(ISERROR(MATCH(Tabla_Items_Con_Existencia[[#This Row],[CODIGO]],Tabla_Items_Activos[CODIGO],0)),0,1)</f>
        <v>0</v>
      </c>
    </row>
    <row r="542" spans="1:9">
      <c r="A542" s="2" t="s">
        <v>6760</v>
      </c>
      <c r="B542" s="2" t="s">
        <v>6835</v>
      </c>
      <c r="C542" s="2" t="s">
        <v>6836</v>
      </c>
      <c r="D542" s="2" t="s">
        <v>5158</v>
      </c>
      <c r="E542" s="2" t="s">
        <v>5159</v>
      </c>
      <c r="F542" s="2">
        <v>0.56999999999999995</v>
      </c>
      <c r="G542" s="2">
        <v>10</v>
      </c>
      <c r="H542" s="2">
        <f>Tabla_Items_Con_Existencia[[#This Row],[COSTO]]*Tabla_Items_Con_Existencia[[#This Row],[EXISTENCIA]]</f>
        <v>5.6999999999999993</v>
      </c>
      <c r="I542" s="1">
        <f>IF(ISERROR(MATCH(Tabla_Items_Con_Existencia[[#This Row],[CODIGO]],Tabla_Items_Activos[CODIGO],0)),0,1)</f>
        <v>0</v>
      </c>
    </row>
    <row r="543" spans="1:9">
      <c r="A543" s="2" t="s">
        <v>6760</v>
      </c>
      <c r="B543" s="2" t="s">
        <v>312</v>
      </c>
      <c r="C543" s="2" t="s">
        <v>1635</v>
      </c>
      <c r="D543" s="2" t="s">
        <v>5187</v>
      </c>
      <c r="E543" s="2" t="s">
        <v>5159</v>
      </c>
      <c r="F543" s="2">
        <v>1.4</v>
      </c>
      <c r="G543" s="2">
        <v>2</v>
      </c>
      <c r="H543" s="2">
        <f>Tabla_Items_Con_Existencia[[#This Row],[COSTO]]*Tabla_Items_Con_Existencia[[#This Row],[EXISTENCIA]]</f>
        <v>2.8</v>
      </c>
      <c r="I543" s="1">
        <f>IF(ISERROR(MATCH(Tabla_Items_Con_Existencia[[#This Row],[CODIGO]],Tabla_Items_Activos[CODIGO],0)),0,1)</f>
        <v>0</v>
      </c>
    </row>
    <row r="544" spans="1:9">
      <c r="A544" s="2" t="s">
        <v>6760</v>
      </c>
      <c r="B544" s="2" t="s">
        <v>313</v>
      </c>
      <c r="C544" s="2" t="s">
        <v>1636</v>
      </c>
      <c r="D544" s="2" t="s">
        <v>5186</v>
      </c>
      <c r="E544" s="2" t="s">
        <v>5159</v>
      </c>
      <c r="F544" s="2">
        <v>1.4</v>
      </c>
      <c r="G544" s="2">
        <v>5</v>
      </c>
      <c r="H544" s="2">
        <f>Tabla_Items_Con_Existencia[[#This Row],[COSTO]]*Tabla_Items_Con_Existencia[[#This Row],[EXISTENCIA]]</f>
        <v>7</v>
      </c>
      <c r="I544" s="1">
        <f>IF(ISERROR(MATCH(Tabla_Items_Con_Existencia[[#This Row],[CODIGO]],Tabla_Items_Activos[CODIGO],0)),0,1)</f>
        <v>0</v>
      </c>
    </row>
    <row r="545" spans="1:9">
      <c r="A545" s="2" t="s">
        <v>6760</v>
      </c>
      <c r="B545" s="2" t="s">
        <v>314</v>
      </c>
      <c r="C545" s="2" t="s">
        <v>1637</v>
      </c>
      <c r="D545" s="2" t="s">
        <v>5158</v>
      </c>
      <c r="E545" s="2" t="s">
        <v>5159</v>
      </c>
      <c r="F545" s="2">
        <v>1.413</v>
      </c>
      <c r="G545" s="2">
        <v>11</v>
      </c>
      <c r="H545" s="2">
        <f>Tabla_Items_Con_Existencia[[#This Row],[COSTO]]*Tabla_Items_Con_Existencia[[#This Row],[EXISTENCIA]]</f>
        <v>15.543000000000001</v>
      </c>
      <c r="I545" s="1">
        <f>IF(ISERROR(MATCH(Tabla_Items_Con_Existencia[[#This Row],[CODIGO]],Tabla_Items_Activos[CODIGO],0)),0,1)</f>
        <v>0</v>
      </c>
    </row>
    <row r="546" spans="1:9">
      <c r="A546" s="2" t="s">
        <v>6760</v>
      </c>
      <c r="B546" s="2" t="s">
        <v>7304</v>
      </c>
      <c r="C546" s="2" t="s">
        <v>7305</v>
      </c>
      <c r="D546" s="2" t="s">
        <v>5195</v>
      </c>
      <c r="E546" s="2" t="s">
        <v>5159</v>
      </c>
      <c r="F546" s="2">
        <v>26.824999999999999</v>
      </c>
      <c r="G546" s="2">
        <v>2</v>
      </c>
      <c r="H546" s="2">
        <f>Tabla_Items_Con_Existencia[[#This Row],[COSTO]]*Tabla_Items_Con_Existencia[[#This Row],[EXISTENCIA]]</f>
        <v>53.65</v>
      </c>
      <c r="I546" s="1">
        <f>IF(ISERROR(MATCH(Tabla_Items_Con_Existencia[[#This Row],[CODIGO]],Tabla_Items_Activos[CODIGO],0)),0,1)</f>
        <v>0</v>
      </c>
    </row>
    <row r="547" spans="1:9">
      <c r="A547" s="2" t="s">
        <v>6760</v>
      </c>
      <c r="B547" s="2" t="s">
        <v>6386</v>
      </c>
      <c r="C547" s="2" t="s">
        <v>6837</v>
      </c>
      <c r="D547" s="2" t="s">
        <v>5158</v>
      </c>
      <c r="E547" s="2" t="s">
        <v>5159</v>
      </c>
      <c r="F547" s="2">
        <v>0.3</v>
      </c>
      <c r="G547" s="2">
        <v>10</v>
      </c>
      <c r="H547" s="2">
        <f>Tabla_Items_Con_Existencia[[#This Row],[COSTO]]*Tabla_Items_Con_Existencia[[#This Row],[EXISTENCIA]]</f>
        <v>3</v>
      </c>
      <c r="I547" s="1">
        <f>IF(ISERROR(MATCH(Tabla_Items_Con_Existencia[[#This Row],[CODIGO]],Tabla_Items_Activos[CODIGO],0)),0,1)</f>
        <v>0</v>
      </c>
    </row>
    <row r="548" spans="1:9">
      <c r="A548" s="2" t="s">
        <v>6760</v>
      </c>
      <c r="B548" s="2" t="s">
        <v>5398</v>
      </c>
      <c r="C548" s="2" t="s">
        <v>5399</v>
      </c>
      <c r="D548" s="2" t="s">
        <v>5195</v>
      </c>
      <c r="E548" s="2" t="s">
        <v>5159</v>
      </c>
      <c r="F548" s="2">
        <v>32.6</v>
      </c>
      <c r="G548" s="2">
        <v>3</v>
      </c>
      <c r="H548" s="2">
        <f>Tabla_Items_Con_Existencia[[#This Row],[COSTO]]*Tabla_Items_Con_Existencia[[#This Row],[EXISTENCIA]]</f>
        <v>97.800000000000011</v>
      </c>
      <c r="I548" s="1">
        <f>IF(ISERROR(MATCH(Tabla_Items_Con_Existencia[[#This Row],[CODIGO]],Tabla_Items_Activos[CODIGO],0)),0,1)</f>
        <v>0</v>
      </c>
    </row>
    <row r="549" spans="1:9">
      <c r="A549" s="2" t="s">
        <v>6760</v>
      </c>
      <c r="B549" s="2" t="s">
        <v>7209</v>
      </c>
      <c r="C549" s="2" t="s">
        <v>7210</v>
      </c>
      <c r="D549" s="2" t="s">
        <v>5188</v>
      </c>
      <c r="E549" s="2" t="s">
        <v>5159</v>
      </c>
      <c r="F549" s="2">
        <v>9.39</v>
      </c>
      <c r="G549" s="2">
        <v>4</v>
      </c>
      <c r="H549" s="2">
        <f>Tabla_Items_Con_Existencia[[#This Row],[COSTO]]*Tabla_Items_Con_Existencia[[#This Row],[EXISTENCIA]]</f>
        <v>37.56</v>
      </c>
      <c r="I549" s="1">
        <f>IF(ISERROR(MATCH(Tabla_Items_Con_Existencia[[#This Row],[CODIGO]],Tabla_Items_Activos[CODIGO],0)),0,1)</f>
        <v>0</v>
      </c>
    </row>
    <row r="550" spans="1:9">
      <c r="A550" s="2" t="s">
        <v>6760</v>
      </c>
      <c r="B550" s="2" t="s">
        <v>7306</v>
      </c>
      <c r="C550" s="2" t="s">
        <v>7307</v>
      </c>
      <c r="D550" s="2" t="s">
        <v>5157</v>
      </c>
      <c r="E550" s="2" t="s">
        <v>5157</v>
      </c>
      <c r="F550" s="2">
        <v>0</v>
      </c>
      <c r="G550" s="2">
        <v>1</v>
      </c>
      <c r="H550" s="2">
        <f>Tabla_Items_Con_Existencia[[#This Row],[COSTO]]*Tabla_Items_Con_Existencia[[#This Row],[EXISTENCIA]]</f>
        <v>0</v>
      </c>
      <c r="I550" s="1">
        <f>IF(ISERROR(MATCH(Tabla_Items_Con_Existencia[[#This Row],[CODIGO]],Tabla_Items_Activos[CODIGO],0)),0,1)</f>
        <v>0</v>
      </c>
    </row>
    <row r="551" spans="1:9">
      <c r="A551" s="2" t="s">
        <v>6760</v>
      </c>
      <c r="B551" s="2" t="s">
        <v>7308</v>
      </c>
      <c r="C551" s="2" t="s">
        <v>7309</v>
      </c>
      <c r="D551" s="2" t="s">
        <v>5190</v>
      </c>
      <c r="E551" s="2" t="s">
        <v>5159</v>
      </c>
      <c r="F551" s="2">
        <v>0</v>
      </c>
      <c r="G551" s="2">
        <v>12</v>
      </c>
      <c r="H551" s="2">
        <f>Tabla_Items_Con_Existencia[[#This Row],[COSTO]]*Tabla_Items_Con_Existencia[[#This Row],[EXISTENCIA]]</f>
        <v>0</v>
      </c>
      <c r="I551" s="1">
        <f>IF(ISERROR(MATCH(Tabla_Items_Con_Existencia[[#This Row],[CODIGO]],Tabla_Items_Activos[CODIGO],0)),0,1)</f>
        <v>0</v>
      </c>
    </row>
    <row r="552" spans="1:9">
      <c r="A552" s="2" t="s">
        <v>6760</v>
      </c>
      <c r="B552" s="2" t="s">
        <v>6838</v>
      </c>
      <c r="C552" s="2" t="s">
        <v>6839</v>
      </c>
      <c r="D552" s="2" t="s">
        <v>6459</v>
      </c>
      <c r="E552" s="2" t="s">
        <v>5159</v>
      </c>
      <c r="F552" s="2">
        <v>38.07</v>
      </c>
      <c r="G552" s="2">
        <v>2</v>
      </c>
      <c r="H552" s="2">
        <f>Tabla_Items_Con_Existencia[[#This Row],[COSTO]]*Tabla_Items_Con_Existencia[[#This Row],[EXISTENCIA]]</f>
        <v>76.14</v>
      </c>
      <c r="I552" s="1">
        <f>IF(ISERROR(MATCH(Tabla_Items_Con_Existencia[[#This Row],[CODIGO]],Tabla_Items_Activos[CODIGO],0)),0,1)</f>
        <v>0</v>
      </c>
    </row>
    <row r="553" spans="1:9">
      <c r="A553" s="2" t="s">
        <v>6760</v>
      </c>
      <c r="B553" s="2" t="s">
        <v>1642</v>
      </c>
      <c r="C553" s="2" t="s">
        <v>1643</v>
      </c>
      <c r="D553" s="2" t="s">
        <v>5161</v>
      </c>
      <c r="E553" s="2" t="s">
        <v>5159</v>
      </c>
      <c r="F553" s="2">
        <v>0.56999999999999995</v>
      </c>
      <c r="G553" s="2">
        <v>9</v>
      </c>
      <c r="H553" s="2">
        <f>Tabla_Items_Con_Existencia[[#This Row],[COSTO]]*Tabla_Items_Con_Existencia[[#This Row],[EXISTENCIA]]</f>
        <v>5.13</v>
      </c>
      <c r="I553" s="1">
        <f>IF(ISERROR(MATCH(Tabla_Items_Con_Existencia[[#This Row],[CODIGO]],Tabla_Items_Activos[CODIGO],0)),0,1)</f>
        <v>0</v>
      </c>
    </row>
    <row r="554" spans="1:9">
      <c r="A554" s="2" t="s">
        <v>6760</v>
      </c>
      <c r="B554" s="2" t="s">
        <v>5410</v>
      </c>
      <c r="C554" s="2" t="s">
        <v>5411</v>
      </c>
      <c r="D554" s="2" t="s">
        <v>5195</v>
      </c>
      <c r="E554" s="2" t="s">
        <v>5159</v>
      </c>
      <c r="F554" s="2">
        <v>37.119999999999997</v>
      </c>
      <c r="G554" s="2">
        <v>4</v>
      </c>
      <c r="H554" s="2">
        <f>Tabla_Items_Con_Existencia[[#This Row],[COSTO]]*Tabla_Items_Con_Existencia[[#This Row],[EXISTENCIA]]</f>
        <v>148.47999999999999</v>
      </c>
      <c r="I554" s="1">
        <f>IF(ISERROR(MATCH(Tabla_Items_Con_Existencia[[#This Row],[CODIGO]],Tabla_Items_Activos[CODIGO],0)),0,1)</f>
        <v>0</v>
      </c>
    </row>
    <row r="555" spans="1:9">
      <c r="A555" s="2" t="s">
        <v>6760</v>
      </c>
      <c r="B555" s="2" t="s">
        <v>1645</v>
      </c>
      <c r="C555" s="2" t="s">
        <v>1646</v>
      </c>
      <c r="D555" s="2" t="s">
        <v>5188</v>
      </c>
      <c r="E555" s="2" t="s">
        <v>5159</v>
      </c>
      <c r="F555" s="2">
        <v>3.21</v>
      </c>
      <c r="G555" s="2">
        <v>3</v>
      </c>
      <c r="H555" s="2">
        <f>Tabla_Items_Con_Existencia[[#This Row],[COSTO]]*Tabla_Items_Con_Existencia[[#This Row],[EXISTENCIA]]</f>
        <v>9.629999999999999</v>
      </c>
      <c r="I555" s="1">
        <f>IF(ISERROR(MATCH(Tabla_Items_Con_Existencia[[#This Row],[CODIGO]],Tabla_Items_Activos[CODIGO],0)),0,1)</f>
        <v>0</v>
      </c>
    </row>
    <row r="556" spans="1:9">
      <c r="A556" s="2" t="s">
        <v>6760</v>
      </c>
      <c r="B556" s="2" t="s">
        <v>7211</v>
      </c>
      <c r="C556" s="2" t="s">
        <v>1648</v>
      </c>
      <c r="D556" s="2" t="s">
        <v>5188</v>
      </c>
      <c r="E556" s="2" t="s">
        <v>5159</v>
      </c>
      <c r="F556" s="2">
        <v>49.6</v>
      </c>
      <c r="G556" s="2">
        <v>2</v>
      </c>
      <c r="H556" s="2">
        <f>Tabla_Items_Con_Existencia[[#This Row],[COSTO]]*Tabla_Items_Con_Existencia[[#This Row],[EXISTENCIA]]</f>
        <v>99.2</v>
      </c>
      <c r="I556" s="1">
        <f>IF(ISERROR(MATCH(Tabla_Items_Con_Existencia[[#This Row],[CODIGO]],Tabla_Items_Activos[CODIGO],0)),0,1)</f>
        <v>0</v>
      </c>
    </row>
    <row r="557" spans="1:9">
      <c r="A557" s="2" t="s">
        <v>6760</v>
      </c>
      <c r="B557" s="2" t="s">
        <v>316</v>
      </c>
      <c r="C557" s="2" t="s">
        <v>1649</v>
      </c>
      <c r="D557" s="2" t="s">
        <v>5161</v>
      </c>
      <c r="E557" s="2" t="s">
        <v>5159</v>
      </c>
      <c r="F557" s="2">
        <v>0.92100000000000004</v>
      </c>
      <c r="G557" s="2">
        <v>5</v>
      </c>
      <c r="H557" s="2">
        <f>Tabla_Items_Con_Existencia[[#This Row],[COSTO]]*Tabla_Items_Con_Existencia[[#This Row],[EXISTENCIA]]</f>
        <v>4.6050000000000004</v>
      </c>
      <c r="I557" s="1">
        <f>IF(ISERROR(MATCH(Tabla_Items_Con_Existencia[[#This Row],[CODIGO]],Tabla_Items_Activos[CODIGO],0)),0,1)</f>
        <v>0</v>
      </c>
    </row>
    <row r="558" spans="1:9">
      <c r="A558" s="2" t="s">
        <v>6760</v>
      </c>
      <c r="B558" s="2" t="s">
        <v>5412</v>
      </c>
      <c r="C558" s="2" t="s">
        <v>7310</v>
      </c>
      <c r="D558" s="2" t="s">
        <v>5195</v>
      </c>
      <c r="E558" s="2" t="s">
        <v>5159</v>
      </c>
      <c r="F558" s="2">
        <v>48.115263159999998</v>
      </c>
      <c r="G558" s="2">
        <v>5</v>
      </c>
      <c r="H558" s="2">
        <f>Tabla_Items_Con_Existencia[[#This Row],[COSTO]]*Tabla_Items_Con_Existencia[[#This Row],[EXISTENCIA]]</f>
        <v>240.57631579999997</v>
      </c>
      <c r="I558" s="1">
        <f>IF(ISERROR(MATCH(Tabla_Items_Con_Existencia[[#This Row],[CODIGO]],Tabla_Items_Activos[CODIGO],0)),0,1)</f>
        <v>0</v>
      </c>
    </row>
    <row r="559" spans="1:9">
      <c r="A559" s="2" t="s">
        <v>6761</v>
      </c>
      <c r="B559" s="2" t="s">
        <v>5412</v>
      </c>
      <c r="C559" s="2" t="s">
        <v>7310</v>
      </c>
      <c r="D559" s="2" t="s">
        <v>5195</v>
      </c>
      <c r="E559" s="2" t="s">
        <v>5159</v>
      </c>
      <c r="F559" s="2">
        <v>48.115263159999998</v>
      </c>
      <c r="G559" s="2">
        <v>5</v>
      </c>
      <c r="H559" s="2">
        <f>Tabla_Items_Con_Existencia[[#This Row],[COSTO]]*Tabla_Items_Con_Existencia[[#This Row],[EXISTENCIA]]</f>
        <v>240.57631579999997</v>
      </c>
      <c r="I559" s="1">
        <f>IF(ISERROR(MATCH(Tabla_Items_Con_Existencia[[#This Row],[CODIGO]],Tabla_Items_Activos[CODIGO],0)),0,1)</f>
        <v>0</v>
      </c>
    </row>
    <row r="560" spans="1:9">
      <c r="A560" s="2" t="s">
        <v>6760</v>
      </c>
      <c r="B560" s="2" t="s">
        <v>317</v>
      </c>
      <c r="C560" s="2" t="s">
        <v>1650</v>
      </c>
      <c r="D560" s="2" t="s">
        <v>5158</v>
      </c>
      <c r="E560" s="2" t="s">
        <v>5159</v>
      </c>
      <c r="F560" s="2">
        <v>50.678800000000003</v>
      </c>
      <c r="G560" s="2">
        <v>5</v>
      </c>
      <c r="H560" s="2">
        <f>Tabla_Items_Con_Existencia[[#This Row],[COSTO]]*Tabla_Items_Con_Existencia[[#This Row],[EXISTENCIA]]</f>
        <v>253.39400000000001</v>
      </c>
      <c r="I560" s="1">
        <f>IF(ISERROR(MATCH(Tabla_Items_Con_Existencia[[#This Row],[CODIGO]],Tabla_Items_Activos[CODIGO],0)),0,1)</f>
        <v>0</v>
      </c>
    </row>
    <row r="561" spans="1:9">
      <c r="A561" s="2" t="s">
        <v>6759</v>
      </c>
      <c r="B561" s="2" t="s">
        <v>317</v>
      </c>
      <c r="C561" s="2" t="s">
        <v>1650</v>
      </c>
      <c r="D561" s="2" t="s">
        <v>5158</v>
      </c>
      <c r="E561" s="2" t="s">
        <v>5159</v>
      </c>
      <c r="F561" s="2">
        <v>50.678800000000003</v>
      </c>
      <c r="G561" s="2">
        <v>5</v>
      </c>
      <c r="H561" s="2">
        <f>Tabla_Items_Con_Existencia[[#This Row],[COSTO]]*Tabla_Items_Con_Existencia[[#This Row],[EXISTENCIA]]</f>
        <v>253.39400000000001</v>
      </c>
      <c r="I561" s="1">
        <f>IF(ISERROR(MATCH(Tabla_Items_Con_Existencia[[#This Row],[CODIGO]],Tabla_Items_Activos[CODIGO],0)),0,1)</f>
        <v>0</v>
      </c>
    </row>
    <row r="562" spans="1:9">
      <c r="A562" s="2" t="s">
        <v>6760</v>
      </c>
      <c r="B562" s="2" t="s">
        <v>318</v>
      </c>
      <c r="C562" s="2" t="s">
        <v>1651</v>
      </c>
      <c r="D562" s="2" t="s">
        <v>5187</v>
      </c>
      <c r="E562" s="2" t="s">
        <v>5159</v>
      </c>
      <c r="F562" s="2">
        <v>3.74</v>
      </c>
      <c r="G562" s="2">
        <v>3</v>
      </c>
      <c r="H562" s="2">
        <f>Tabla_Items_Con_Existencia[[#This Row],[COSTO]]*Tabla_Items_Con_Existencia[[#This Row],[EXISTENCIA]]</f>
        <v>11.22</v>
      </c>
      <c r="I562" s="1">
        <f>IF(ISERROR(MATCH(Tabla_Items_Con_Existencia[[#This Row],[CODIGO]],Tabla_Items_Activos[CODIGO],0)),0,1)</f>
        <v>0</v>
      </c>
    </row>
    <row r="563" spans="1:9">
      <c r="A563" s="2" t="s">
        <v>6760</v>
      </c>
      <c r="B563" s="2" t="s">
        <v>319</v>
      </c>
      <c r="C563" s="2" t="s">
        <v>1652</v>
      </c>
      <c r="D563" s="2" t="s">
        <v>5158</v>
      </c>
      <c r="E563" s="2" t="s">
        <v>5159</v>
      </c>
      <c r="F563" s="2">
        <v>9.4290000000000003</v>
      </c>
      <c r="G563" s="2">
        <v>7</v>
      </c>
      <c r="H563" s="2">
        <f>Tabla_Items_Con_Existencia[[#This Row],[COSTO]]*Tabla_Items_Con_Existencia[[#This Row],[EXISTENCIA]]</f>
        <v>66.003</v>
      </c>
      <c r="I563" s="1">
        <f>IF(ISERROR(MATCH(Tabla_Items_Con_Existencia[[#This Row],[CODIGO]],Tabla_Items_Activos[CODIGO],0)),0,1)</f>
        <v>0</v>
      </c>
    </row>
    <row r="564" spans="1:9">
      <c r="A564" s="2" t="s">
        <v>6761</v>
      </c>
      <c r="B564" s="2" t="s">
        <v>1653</v>
      </c>
      <c r="C564" s="2" t="s">
        <v>1654</v>
      </c>
      <c r="D564" s="2" t="s">
        <v>5190</v>
      </c>
      <c r="E564" s="2" t="s">
        <v>5159</v>
      </c>
      <c r="F564" s="2">
        <v>16.26657895</v>
      </c>
      <c r="G564" s="2">
        <v>23</v>
      </c>
      <c r="H564" s="2">
        <f>Tabla_Items_Con_Existencia[[#This Row],[COSTO]]*Tabla_Items_Con_Existencia[[#This Row],[EXISTENCIA]]</f>
        <v>374.13131584999996</v>
      </c>
      <c r="I564" s="1">
        <f>IF(ISERROR(MATCH(Tabla_Items_Con_Existencia[[#This Row],[CODIGO]],Tabla_Items_Activos[CODIGO],0)),0,1)</f>
        <v>0</v>
      </c>
    </row>
    <row r="565" spans="1:9">
      <c r="A565" s="2" t="s">
        <v>6760</v>
      </c>
      <c r="B565" s="2" t="s">
        <v>1653</v>
      </c>
      <c r="C565" s="2" t="s">
        <v>1654</v>
      </c>
      <c r="D565" s="2" t="s">
        <v>5190</v>
      </c>
      <c r="E565" s="2" t="s">
        <v>5159</v>
      </c>
      <c r="F565" s="2">
        <v>16.26657895</v>
      </c>
      <c r="G565" s="2">
        <v>23</v>
      </c>
      <c r="H565" s="2">
        <f>Tabla_Items_Con_Existencia[[#This Row],[COSTO]]*Tabla_Items_Con_Existencia[[#This Row],[EXISTENCIA]]</f>
        <v>374.13131584999996</v>
      </c>
      <c r="I565" s="1">
        <f>IF(ISERROR(MATCH(Tabla_Items_Con_Existencia[[#This Row],[CODIGO]],Tabla_Items_Activos[CODIGO],0)),0,1)</f>
        <v>0</v>
      </c>
    </row>
    <row r="566" spans="1:9">
      <c r="A566" s="2" t="s">
        <v>6760</v>
      </c>
      <c r="B566" s="2" t="s">
        <v>1655</v>
      </c>
      <c r="C566" s="2" t="s">
        <v>6387</v>
      </c>
      <c r="D566" s="2" t="s">
        <v>5190</v>
      </c>
      <c r="E566" s="2" t="s">
        <v>5159</v>
      </c>
      <c r="F566" s="2">
        <v>26.092631579999999</v>
      </c>
      <c r="G566" s="2">
        <v>32</v>
      </c>
      <c r="H566" s="2">
        <f>Tabla_Items_Con_Existencia[[#This Row],[COSTO]]*Tabla_Items_Con_Existencia[[#This Row],[EXISTENCIA]]</f>
        <v>834.96421055999997</v>
      </c>
      <c r="I566" s="1">
        <f>IF(ISERROR(MATCH(Tabla_Items_Con_Existencia[[#This Row],[CODIGO]],Tabla_Items_Activos[CODIGO],0)),0,1)</f>
        <v>0</v>
      </c>
    </row>
    <row r="567" spans="1:9">
      <c r="A567" s="2" t="s">
        <v>6761</v>
      </c>
      <c r="B567" s="2" t="s">
        <v>1655</v>
      </c>
      <c r="C567" s="2" t="s">
        <v>6387</v>
      </c>
      <c r="D567" s="2" t="s">
        <v>5190</v>
      </c>
      <c r="E567" s="2" t="s">
        <v>5159</v>
      </c>
      <c r="F567" s="2">
        <v>26.092631579999999</v>
      </c>
      <c r="G567" s="2">
        <v>32</v>
      </c>
      <c r="H567" s="2">
        <f>Tabla_Items_Con_Existencia[[#This Row],[COSTO]]*Tabla_Items_Con_Existencia[[#This Row],[EXISTENCIA]]</f>
        <v>834.96421055999997</v>
      </c>
      <c r="I567" s="1">
        <f>IF(ISERROR(MATCH(Tabla_Items_Con_Existencia[[#This Row],[CODIGO]],Tabla_Items_Activos[CODIGO],0)),0,1)</f>
        <v>0</v>
      </c>
    </row>
    <row r="568" spans="1:9">
      <c r="A568" s="2" t="s">
        <v>6760</v>
      </c>
      <c r="B568" s="2" t="s">
        <v>6840</v>
      </c>
      <c r="C568" s="2" t="s">
        <v>6841</v>
      </c>
      <c r="D568" s="2" t="s">
        <v>5195</v>
      </c>
      <c r="E568" s="2" t="s">
        <v>5159</v>
      </c>
      <c r="F568" s="2">
        <v>47.47</v>
      </c>
      <c r="G568" s="2">
        <v>3</v>
      </c>
      <c r="H568" s="2">
        <f>Tabla_Items_Con_Existencia[[#This Row],[COSTO]]*Tabla_Items_Con_Existencia[[#This Row],[EXISTENCIA]]</f>
        <v>142.41</v>
      </c>
      <c r="I568" s="1">
        <f>IF(ISERROR(MATCH(Tabla_Items_Con_Existencia[[#This Row],[CODIGO]],Tabla_Items_Activos[CODIGO],0)),0,1)</f>
        <v>0</v>
      </c>
    </row>
    <row r="569" spans="1:9">
      <c r="A569" s="2" t="s">
        <v>6760</v>
      </c>
      <c r="B569" s="2" t="s">
        <v>6842</v>
      </c>
      <c r="C569" s="2" t="s">
        <v>4597</v>
      </c>
      <c r="D569" s="2" t="s">
        <v>5195</v>
      </c>
      <c r="E569" s="2" t="s">
        <v>5159</v>
      </c>
      <c r="F569" s="2">
        <v>9.8819052599999999</v>
      </c>
      <c r="G569" s="2">
        <v>30</v>
      </c>
      <c r="H569" s="2">
        <f>Tabla_Items_Con_Existencia[[#This Row],[COSTO]]*Tabla_Items_Con_Existencia[[#This Row],[EXISTENCIA]]</f>
        <v>296.4571578</v>
      </c>
      <c r="I569" s="1">
        <f>IF(ISERROR(MATCH(Tabla_Items_Con_Existencia[[#This Row],[CODIGO]],Tabla_Items_Activos[CODIGO],0)),0,1)</f>
        <v>0</v>
      </c>
    </row>
    <row r="570" spans="1:9">
      <c r="A570" s="2" t="s">
        <v>6761</v>
      </c>
      <c r="B570" s="2" t="s">
        <v>6842</v>
      </c>
      <c r="C570" s="2" t="s">
        <v>4597</v>
      </c>
      <c r="D570" s="2" t="s">
        <v>5195</v>
      </c>
      <c r="E570" s="2" t="s">
        <v>5159</v>
      </c>
      <c r="F570" s="2">
        <v>9.8819052599999999</v>
      </c>
      <c r="G570" s="2">
        <v>30</v>
      </c>
      <c r="H570" s="2">
        <f>Tabla_Items_Con_Existencia[[#This Row],[COSTO]]*Tabla_Items_Con_Existencia[[#This Row],[EXISTENCIA]]</f>
        <v>296.4571578</v>
      </c>
      <c r="I570" s="1">
        <f>IF(ISERROR(MATCH(Tabla_Items_Con_Existencia[[#This Row],[CODIGO]],Tabla_Items_Activos[CODIGO],0)),0,1)</f>
        <v>0</v>
      </c>
    </row>
    <row r="571" spans="1:9">
      <c r="A571" s="2" t="s">
        <v>6760</v>
      </c>
      <c r="B571" s="2" t="s">
        <v>320</v>
      </c>
      <c r="C571" s="2" t="s">
        <v>1657</v>
      </c>
      <c r="D571" s="2" t="s">
        <v>5158</v>
      </c>
      <c r="E571" s="2" t="s">
        <v>5159</v>
      </c>
      <c r="F571" s="2">
        <v>14.2921</v>
      </c>
      <c r="G571" s="2">
        <v>6</v>
      </c>
      <c r="H571" s="2">
        <f>Tabla_Items_Con_Existencia[[#This Row],[COSTO]]*Tabla_Items_Con_Existencia[[#This Row],[EXISTENCIA]]</f>
        <v>85.752600000000001</v>
      </c>
      <c r="I571" s="1">
        <f>IF(ISERROR(MATCH(Tabla_Items_Con_Existencia[[#This Row],[CODIGO]],Tabla_Items_Activos[CODIGO],0)),0,1)</f>
        <v>0</v>
      </c>
    </row>
    <row r="572" spans="1:9">
      <c r="A572" s="2" t="s">
        <v>6760</v>
      </c>
      <c r="B572" s="2" t="s">
        <v>321</v>
      </c>
      <c r="C572" s="2" t="s">
        <v>1658</v>
      </c>
      <c r="D572" s="2" t="s">
        <v>5187</v>
      </c>
      <c r="E572" s="2" t="s">
        <v>5159</v>
      </c>
      <c r="F572" s="2">
        <v>13.88</v>
      </c>
      <c r="G572" s="2">
        <v>2</v>
      </c>
      <c r="H572" s="2">
        <f>Tabla_Items_Con_Existencia[[#This Row],[COSTO]]*Tabla_Items_Con_Existencia[[#This Row],[EXISTENCIA]]</f>
        <v>27.76</v>
      </c>
      <c r="I572" s="1">
        <f>IF(ISERROR(MATCH(Tabla_Items_Con_Existencia[[#This Row],[CODIGO]],Tabla_Items_Activos[CODIGO],0)),0,1)</f>
        <v>0</v>
      </c>
    </row>
    <row r="573" spans="1:9">
      <c r="A573" s="2" t="s">
        <v>6760</v>
      </c>
      <c r="B573" s="2" t="s">
        <v>322</v>
      </c>
      <c r="C573" s="2" t="s">
        <v>1659</v>
      </c>
      <c r="D573" s="2" t="s">
        <v>5158</v>
      </c>
      <c r="E573" s="2" t="s">
        <v>5159</v>
      </c>
      <c r="F573" s="2">
        <v>9.6037999999999997</v>
      </c>
      <c r="G573" s="2">
        <v>15</v>
      </c>
      <c r="H573" s="2">
        <f>Tabla_Items_Con_Existencia[[#This Row],[COSTO]]*Tabla_Items_Con_Existencia[[#This Row],[EXISTENCIA]]</f>
        <v>144.05699999999999</v>
      </c>
      <c r="I573" s="1">
        <f>IF(ISERROR(MATCH(Tabla_Items_Con_Existencia[[#This Row],[CODIGO]],Tabla_Items_Activos[CODIGO],0)),0,1)</f>
        <v>0</v>
      </c>
    </row>
    <row r="574" spans="1:9">
      <c r="A574" s="2" t="s">
        <v>6760</v>
      </c>
      <c r="B574" s="2" t="s">
        <v>324</v>
      </c>
      <c r="C574" s="2" t="s">
        <v>1661</v>
      </c>
      <c r="D574" s="2" t="s">
        <v>5158</v>
      </c>
      <c r="E574" s="2" t="s">
        <v>5159</v>
      </c>
      <c r="F574" s="2">
        <v>1.583</v>
      </c>
      <c r="G574" s="2">
        <v>5</v>
      </c>
      <c r="H574" s="2">
        <f>Tabla_Items_Con_Existencia[[#This Row],[COSTO]]*Tabla_Items_Con_Existencia[[#This Row],[EXISTENCIA]]</f>
        <v>7.915</v>
      </c>
      <c r="I574" s="1">
        <f>IF(ISERROR(MATCH(Tabla_Items_Con_Existencia[[#This Row],[CODIGO]],Tabla_Items_Activos[CODIGO],0)),0,1)</f>
        <v>0</v>
      </c>
    </row>
    <row r="575" spans="1:9">
      <c r="A575" s="2" t="s">
        <v>6760</v>
      </c>
      <c r="B575" s="2" t="s">
        <v>5414</v>
      </c>
      <c r="C575" s="2" t="s">
        <v>5415</v>
      </c>
      <c r="D575" s="2" t="s">
        <v>5188</v>
      </c>
      <c r="E575" s="2" t="s">
        <v>5159</v>
      </c>
      <c r="F575" s="2">
        <v>0.5</v>
      </c>
      <c r="G575" s="2">
        <v>5</v>
      </c>
      <c r="H575" s="2">
        <f>Tabla_Items_Con_Existencia[[#This Row],[COSTO]]*Tabla_Items_Con_Existencia[[#This Row],[EXISTENCIA]]</f>
        <v>2.5</v>
      </c>
      <c r="I575" s="1">
        <f>IF(ISERROR(MATCH(Tabla_Items_Con_Existencia[[#This Row],[CODIGO]],Tabla_Items_Activos[CODIGO],0)),0,1)</f>
        <v>0</v>
      </c>
    </row>
    <row r="576" spans="1:9">
      <c r="A576" s="2" t="s">
        <v>6760</v>
      </c>
      <c r="B576" s="2" t="s">
        <v>6843</v>
      </c>
      <c r="C576" s="2" t="s">
        <v>5417</v>
      </c>
      <c r="D576" s="2" t="s">
        <v>5188</v>
      </c>
      <c r="E576" s="2" t="s">
        <v>5159</v>
      </c>
      <c r="F576" s="2">
        <v>3.28</v>
      </c>
      <c r="G576" s="2">
        <v>5</v>
      </c>
      <c r="H576" s="2">
        <f>Tabla_Items_Con_Existencia[[#This Row],[COSTO]]*Tabla_Items_Con_Existencia[[#This Row],[EXISTENCIA]]</f>
        <v>16.399999999999999</v>
      </c>
      <c r="I576" s="1">
        <f>IF(ISERROR(MATCH(Tabla_Items_Con_Existencia[[#This Row],[CODIGO]],Tabla_Items_Activos[CODIGO],0)),0,1)</f>
        <v>0</v>
      </c>
    </row>
    <row r="577" spans="1:9">
      <c r="A577" s="2" t="s">
        <v>6760</v>
      </c>
      <c r="B577" s="2" t="s">
        <v>325</v>
      </c>
      <c r="C577" s="2" t="s">
        <v>1662</v>
      </c>
      <c r="D577" s="2" t="s">
        <v>5161</v>
      </c>
      <c r="E577" s="2" t="s">
        <v>5159</v>
      </c>
      <c r="F577" s="2">
        <v>0.51439999999999997</v>
      </c>
      <c r="G577" s="2">
        <v>66</v>
      </c>
      <c r="H577" s="2">
        <f>Tabla_Items_Con_Existencia[[#This Row],[COSTO]]*Tabla_Items_Con_Existencia[[#This Row],[EXISTENCIA]]</f>
        <v>33.950399999999995</v>
      </c>
      <c r="I577" s="1">
        <f>IF(ISERROR(MATCH(Tabla_Items_Con_Existencia[[#This Row],[CODIGO]],Tabla_Items_Activos[CODIGO],0)),0,1)</f>
        <v>0</v>
      </c>
    </row>
    <row r="578" spans="1:9">
      <c r="A578" s="2" t="s">
        <v>6760</v>
      </c>
      <c r="B578" s="2" t="s">
        <v>6388</v>
      </c>
      <c r="C578" s="2" t="s">
        <v>4609</v>
      </c>
      <c r="D578" s="2" t="s">
        <v>5161</v>
      </c>
      <c r="E578" s="2" t="s">
        <v>5159</v>
      </c>
      <c r="F578" s="2">
        <v>19.02732632</v>
      </c>
      <c r="G578" s="2">
        <v>7</v>
      </c>
      <c r="H578" s="2">
        <f>Tabla_Items_Con_Existencia[[#This Row],[COSTO]]*Tabla_Items_Con_Existencia[[#This Row],[EXISTENCIA]]</f>
        <v>133.19128424000002</v>
      </c>
      <c r="I578" s="1">
        <f>IF(ISERROR(MATCH(Tabla_Items_Con_Existencia[[#This Row],[CODIGO]],Tabla_Items_Activos[CODIGO],0)),0,1)</f>
        <v>0</v>
      </c>
    </row>
    <row r="579" spans="1:9">
      <c r="A579" s="2" t="s">
        <v>6761</v>
      </c>
      <c r="B579" s="2" t="s">
        <v>6388</v>
      </c>
      <c r="C579" s="2" t="s">
        <v>4609</v>
      </c>
      <c r="D579" s="2" t="s">
        <v>5161</v>
      </c>
      <c r="E579" s="2" t="s">
        <v>5159</v>
      </c>
      <c r="F579" s="2">
        <v>19.02732632</v>
      </c>
      <c r="G579" s="2">
        <v>7</v>
      </c>
      <c r="H579" s="2">
        <f>Tabla_Items_Con_Existencia[[#This Row],[COSTO]]*Tabla_Items_Con_Existencia[[#This Row],[EXISTENCIA]]</f>
        <v>133.19128424000002</v>
      </c>
      <c r="I579" s="1">
        <f>IF(ISERROR(MATCH(Tabla_Items_Con_Existencia[[#This Row],[CODIGO]],Tabla_Items_Activos[CODIGO],0)),0,1)</f>
        <v>0</v>
      </c>
    </row>
    <row r="580" spans="1:9">
      <c r="A580" s="2" t="s">
        <v>6760</v>
      </c>
      <c r="B580" s="2" t="s">
        <v>6389</v>
      </c>
      <c r="C580" s="2" t="s">
        <v>6390</v>
      </c>
      <c r="D580" s="2" t="s">
        <v>5161</v>
      </c>
      <c r="E580" s="2" t="s">
        <v>5159</v>
      </c>
      <c r="F580" s="2">
        <v>14.2</v>
      </c>
      <c r="G580" s="2">
        <v>2</v>
      </c>
      <c r="H580" s="2">
        <f>Tabla_Items_Con_Existencia[[#This Row],[COSTO]]*Tabla_Items_Con_Existencia[[#This Row],[EXISTENCIA]]</f>
        <v>28.4</v>
      </c>
      <c r="I580" s="1">
        <f>IF(ISERROR(MATCH(Tabla_Items_Con_Existencia[[#This Row],[CODIGO]],Tabla_Items_Activos[CODIGO],0)),0,1)</f>
        <v>0</v>
      </c>
    </row>
    <row r="581" spans="1:9">
      <c r="A581" s="2" t="s">
        <v>6760</v>
      </c>
      <c r="B581" s="2" t="s">
        <v>6391</v>
      </c>
      <c r="C581" s="2" t="s">
        <v>6392</v>
      </c>
      <c r="D581" s="2" t="s">
        <v>5158</v>
      </c>
      <c r="E581" s="2" t="s">
        <v>5159</v>
      </c>
      <c r="F581" s="2">
        <v>9.3954736800000003</v>
      </c>
      <c r="G581" s="2">
        <v>5</v>
      </c>
      <c r="H581" s="2">
        <f>Tabla_Items_Con_Existencia[[#This Row],[COSTO]]*Tabla_Items_Con_Existencia[[#This Row],[EXISTENCIA]]</f>
        <v>46.977368400000003</v>
      </c>
      <c r="I581" s="1">
        <f>IF(ISERROR(MATCH(Tabla_Items_Con_Existencia[[#This Row],[CODIGO]],Tabla_Items_Activos[CODIGO],0)),0,1)</f>
        <v>0</v>
      </c>
    </row>
    <row r="582" spans="1:9">
      <c r="A582" s="2" t="s">
        <v>6761</v>
      </c>
      <c r="B582" s="2" t="s">
        <v>6391</v>
      </c>
      <c r="C582" s="2" t="s">
        <v>6392</v>
      </c>
      <c r="D582" s="2" t="s">
        <v>5158</v>
      </c>
      <c r="E582" s="2" t="s">
        <v>5159</v>
      </c>
      <c r="F582" s="2">
        <v>9.3954736800000003</v>
      </c>
      <c r="G582" s="2">
        <v>5</v>
      </c>
      <c r="H582" s="2">
        <f>Tabla_Items_Con_Existencia[[#This Row],[COSTO]]*Tabla_Items_Con_Existencia[[#This Row],[EXISTENCIA]]</f>
        <v>46.977368400000003</v>
      </c>
      <c r="I582" s="1">
        <f>IF(ISERROR(MATCH(Tabla_Items_Con_Existencia[[#This Row],[CODIGO]],Tabla_Items_Activos[CODIGO],0)),0,1)</f>
        <v>0</v>
      </c>
    </row>
    <row r="583" spans="1:9">
      <c r="A583" s="2" t="s">
        <v>6760</v>
      </c>
      <c r="B583" s="2" t="s">
        <v>6393</v>
      </c>
      <c r="C583" s="2" t="s">
        <v>6392</v>
      </c>
      <c r="D583" s="2" t="s">
        <v>5161</v>
      </c>
      <c r="E583" s="2" t="s">
        <v>5159</v>
      </c>
      <c r="F583" s="2">
        <v>10.196</v>
      </c>
      <c r="G583" s="2">
        <v>8</v>
      </c>
      <c r="H583" s="2">
        <f>Tabla_Items_Con_Existencia[[#This Row],[COSTO]]*Tabla_Items_Con_Existencia[[#This Row],[EXISTENCIA]]</f>
        <v>81.567999999999998</v>
      </c>
      <c r="I583" s="1">
        <f>IF(ISERROR(MATCH(Tabla_Items_Con_Existencia[[#This Row],[CODIGO]],Tabla_Items_Activos[CODIGO],0)),0,1)</f>
        <v>0</v>
      </c>
    </row>
    <row r="584" spans="1:9">
      <c r="A584" s="2" t="s">
        <v>6761</v>
      </c>
      <c r="B584" s="2" t="s">
        <v>6394</v>
      </c>
      <c r="C584" s="2" t="s">
        <v>6395</v>
      </c>
      <c r="D584" s="2" t="s">
        <v>5161</v>
      </c>
      <c r="E584" s="2" t="s">
        <v>5159</v>
      </c>
      <c r="F584" s="2">
        <v>1.4432631600000001</v>
      </c>
      <c r="G584" s="2">
        <v>12</v>
      </c>
      <c r="H584" s="2">
        <f>Tabla_Items_Con_Existencia[[#This Row],[COSTO]]*Tabla_Items_Con_Existencia[[#This Row],[EXISTENCIA]]</f>
        <v>17.319157920000002</v>
      </c>
      <c r="I584" s="1">
        <f>IF(ISERROR(MATCH(Tabla_Items_Con_Existencia[[#This Row],[CODIGO]],Tabla_Items_Activos[CODIGO],0)),0,1)</f>
        <v>0</v>
      </c>
    </row>
    <row r="585" spans="1:9">
      <c r="A585" s="2" t="s">
        <v>6760</v>
      </c>
      <c r="B585" s="2" t="s">
        <v>6394</v>
      </c>
      <c r="C585" s="2" t="s">
        <v>6395</v>
      </c>
      <c r="D585" s="2" t="s">
        <v>5161</v>
      </c>
      <c r="E585" s="2" t="s">
        <v>5159</v>
      </c>
      <c r="F585" s="2">
        <v>1.4432631600000001</v>
      </c>
      <c r="G585" s="2">
        <v>12</v>
      </c>
      <c r="H585" s="2">
        <f>Tabla_Items_Con_Existencia[[#This Row],[COSTO]]*Tabla_Items_Con_Existencia[[#This Row],[EXISTENCIA]]</f>
        <v>17.319157920000002</v>
      </c>
      <c r="I585" s="1">
        <f>IF(ISERROR(MATCH(Tabla_Items_Con_Existencia[[#This Row],[CODIGO]],Tabla_Items_Activos[CODIGO],0)),0,1)</f>
        <v>0</v>
      </c>
    </row>
    <row r="586" spans="1:9">
      <c r="A586" s="2" t="s">
        <v>6760</v>
      </c>
      <c r="B586" s="2" t="s">
        <v>1663</v>
      </c>
      <c r="C586" s="2" t="s">
        <v>1664</v>
      </c>
      <c r="D586" s="2" t="s">
        <v>5195</v>
      </c>
      <c r="E586" s="2" t="s">
        <v>5159</v>
      </c>
      <c r="F586" s="2">
        <v>20.987368419999999</v>
      </c>
      <c r="G586" s="2">
        <v>13</v>
      </c>
      <c r="H586" s="2">
        <f>Tabla_Items_Con_Existencia[[#This Row],[COSTO]]*Tabla_Items_Con_Existencia[[#This Row],[EXISTENCIA]]</f>
        <v>272.83578946</v>
      </c>
      <c r="I586" s="1">
        <f>IF(ISERROR(MATCH(Tabla_Items_Con_Existencia[[#This Row],[CODIGO]],Tabla_Items_Activos[CODIGO],0)),0,1)</f>
        <v>0</v>
      </c>
    </row>
    <row r="587" spans="1:9">
      <c r="A587" s="2" t="s">
        <v>6761</v>
      </c>
      <c r="B587" s="2" t="s">
        <v>1663</v>
      </c>
      <c r="C587" s="2" t="s">
        <v>1664</v>
      </c>
      <c r="D587" s="2" t="s">
        <v>5195</v>
      </c>
      <c r="E587" s="2" t="s">
        <v>5159</v>
      </c>
      <c r="F587" s="2">
        <v>20.987368419999999</v>
      </c>
      <c r="G587" s="2">
        <v>13</v>
      </c>
      <c r="H587" s="2">
        <f>Tabla_Items_Con_Existencia[[#This Row],[COSTO]]*Tabla_Items_Con_Existencia[[#This Row],[EXISTENCIA]]</f>
        <v>272.83578946</v>
      </c>
      <c r="I587" s="1">
        <f>IF(ISERROR(MATCH(Tabla_Items_Con_Existencia[[#This Row],[CODIGO]],Tabla_Items_Activos[CODIGO],0)),0,1)</f>
        <v>0</v>
      </c>
    </row>
    <row r="588" spans="1:9">
      <c r="A588" s="2" t="s">
        <v>6760</v>
      </c>
      <c r="B588" s="2" t="s">
        <v>326</v>
      </c>
      <c r="C588" s="2" t="s">
        <v>1665</v>
      </c>
      <c r="D588" s="2" t="s">
        <v>5195</v>
      </c>
      <c r="E588" s="2" t="s">
        <v>5159</v>
      </c>
      <c r="F588" s="2">
        <v>40.005526320000001</v>
      </c>
      <c r="G588" s="2">
        <v>33</v>
      </c>
      <c r="H588" s="2">
        <f>Tabla_Items_Con_Existencia[[#This Row],[COSTO]]*Tabla_Items_Con_Existencia[[#This Row],[EXISTENCIA]]</f>
        <v>1320.18236856</v>
      </c>
      <c r="I588" s="1">
        <f>IF(ISERROR(MATCH(Tabla_Items_Con_Existencia[[#This Row],[CODIGO]],Tabla_Items_Activos[CODIGO],0)),0,1)</f>
        <v>0</v>
      </c>
    </row>
    <row r="589" spans="1:9">
      <c r="A589" s="2" t="s">
        <v>6761</v>
      </c>
      <c r="B589" s="2" t="s">
        <v>326</v>
      </c>
      <c r="C589" s="2" t="s">
        <v>1665</v>
      </c>
      <c r="D589" s="2" t="s">
        <v>5195</v>
      </c>
      <c r="E589" s="2" t="s">
        <v>5159</v>
      </c>
      <c r="F589" s="2">
        <v>40.005526320000001</v>
      </c>
      <c r="G589" s="2">
        <v>33</v>
      </c>
      <c r="H589" s="2">
        <f>Tabla_Items_Con_Existencia[[#This Row],[COSTO]]*Tabla_Items_Con_Existencia[[#This Row],[EXISTENCIA]]</f>
        <v>1320.18236856</v>
      </c>
      <c r="I589" s="1">
        <f>IF(ISERROR(MATCH(Tabla_Items_Con_Existencia[[#This Row],[CODIGO]],Tabla_Items_Activos[CODIGO],0)),0,1)</f>
        <v>0</v>
      </c>
    </row>
    <row r="590" spans="1:9">
      <c r="A590" s="2" t="s">
        <v>6760</v>
      </c>
      <c r="B590" s="2" t="s">
        <v>327</v>
      </c>
      <c r="C590" s="2" t="s">
        <v>7311</v>
      </c>
      <c r="D590" s="2" t="s">
        <v>5195</v>
      </c>
      <c r="E590" s="2" t="s">
        <v>5159</v>
      </c>
      <c r="F590" s="2">
        <v>84.997894740000007</v>
      </c>
      <c r="G590" s="2">
        <v>3</v>
      </c>
      <c r="H590" s="2">
        <f>Tabla_Items_Con_Existencia[[#This Row],[COSTO]]*Tabla_Items_Con_Existencia[[#This Row],[EXISTENCIA]]</f>
        <v>254.99368422000003</v>
      </c>
      <c r="I590" s="1">
        <f>IF(ISERROR(MATCH(Tabla_Items_Con_Existencia[[#This Row],[CODIGO]],Tabla_Items_Activos[CODIGO],0)),0,1)</f>
        <v>0</v>
      </c>
    </row>
    <row r="591" spans="1:9">
      <c r="A591" s="2" t="s">
        <v>6761</v>
      </c>
      <c r="B591" s="2" t="s">
        <v>327</v>
      </c>
      <c r="C591" s="2" t="s">
        <v>7311</v>
      </c>
      <c r="D591" s="2" t="s">
        <v>5195</v>
      </c>
      <c r="E591" s="2" t="s">
        <v>5159</v>
      </c>
      <c r="F591" s="2">
        <v>84.997894740000007</v>
      </c>
      <c r="G591" s="2">
        <v>3</v>
      </c>
      <c r="H591" s="2">
        <f>Tabla_Items_Con_Existencia[[#This Row],[COSTO]]*Tabla_Items_Con_Existencia[[#This Row],[EXISTENCIA]]</f>
        <v>254.99368422000003</v>
      </c>
      <c r="I591" s="1">
        <f>IF(ISERROR(MATCH(Tabla_Items_Con_Existencia[[#This Row],[CODIGO]],Tabla_Items_Activos[CODIGO],0)),0,1)</f>
        <v>0</v>
      </c>
    </row>
    <row r="592" spans="1:9">
      <c r="A592" s="2" t="s">
        <v>6761</v>
      </c>
      <c r="B592" s="2" t="s">
        <v>328</v>
      </c>
      <c r="C592" s="2" t="s">
        <v>7312</v>
      </c>
      <c r="D592" s="2" t="s">
        <v>5195</v>
      </c>
      <c r="E592" s="2" t="s">
        <v>5159</v>
      </c>
      <c r="F592" s="2">
        <v>79.515894739999993</v>
      </c>
      <c r="G592" s="2">
        <v>3</v>
      </c>
      <c r="H592" s="2">
        <f>Tabla_Items_Con_Existencia[[#This Row],[COSTO]]*Tabla_Items_Con_Existencia[[#This Row],[EXISTENCIA]]</f>
        <v>238.54768421999998</v>
      </c>
      <c r="I592" s="1">
        <f>IF(ISERROR(MATCH(Tabla_Items_Con_Existencia[[#This Row],[CODIGO]],Tabla_Items_Activos[CODIGO],0)),0,1)</f>
        <v>0</v>
      </c>
    </row>
    <row r="593" spans="1:9">
      <c r="A593" s="2" t="s">
        <v>6760</v>
      </c>
      <c r="B593" s="2" t="s">
        <v>328</v>
      </c>
      <c r="C593" s="2" t="s">
        <v>7312</v>
      </c>
      <c r="D593" s="2" t="s">
        <v>5195</v>
      </c>
      <c r="E593" s="2" t="s">
        <v>5159</v>
      </c>
      <c r="F593" s="2">
        <v>79.515894739999993</v>
      </c>
      <c r="G593" s="2">
        <v>3</v>
      </c>
      <c r="H593" s="2">
        <f>Tabla_Items_Con_Existencia[[#This Row],[COSTO]]*Tabla_Items_Con_Existencia[[#This Row],[EXISTENCIA]]</f>
        <v>238.54768421999998</v>
      </c>
      <c r="I593" s="1">
        <f>IF(ISERROR(MATCH(Tabla_Items_Con_Existencia[[#This Row],[CODIGO]],Tabla_Items_Activos[CODIGO],0)),0,1)</f>
        <v>0</v>
      </c>
    </row>
    <row r="594" spans="1:9">
      <c r="A594" s="2" t="s">
        <v>6761</v>
      </c>
      <c r="B594" s="2" t="s">
        <v>7212</v>
      </c>
      <c r="C594" s="2" t="s">
        <v>7213</v>
      </c>
      <c r="D594" s="2" t="s">
        <v>5195</v>
      </c>
      <c r="E594" s="2" t="s">
        <v>5159</v>
      </c>
      <c r="F594" s="2">
        <v>0</v>
      </c>
      <c r="G594" s="2">
        <v>1</v>
      </c>
      <c r="H594" s="2">
        <f>Tabla_Items_Con_Existencia[[#This Row],[COSTO]]*Tabla_Items_Con_Existencia[[#This Row],[EXISTENCIA]]</f>
        <v>0</v>
      </c>
      <c r="I594" s="1">
        <f>IF(ISERROR(MATCH(Tabla_Items_Con_Existencia[[#This Row],[CODIGO]],Tabla_Items_Activos[CODIGO],0)),0,1)</f>
        <v>0</v>
      </c>
    </row>
    <row r="595" spans="1:9">
      <c r="A595" s="2" t="s">
        <v>6760</v>
      </c>
      <c r="B595" s="2" t="s">
        <v>329</v>
      </c>
      <c r="C595" s="2" t="s">
        <v>1668</v>
      </c>
      <c r="D595" s="2" t="s">
        <v>5195</v>
      </c>
      <c r="E595" s="2" t="s">
        <v>5159</v>
      </c>
      <c r="F595" s="2">
        <v>0</v>
      </c>
      <c r="G595" s="2">
        <v>5</v>
      </c>
      <c r="H595" s="2">
        <f>Tabla_Items_Con_Existencia[[#This Row],[COSTO]]*Tabla_Items_Con_Existencia[[#This Row],[EXISTENCIA]]</f>
        <v>0</v>
      </c>
      <c r="I595" s="1">
        <f>IF(ISERROR(MATCH(Tabla_Items_Con_Existencia[[#This Row],[CODIGO]],Tabla_Items_Activos[CODIGO],0)),0,1)</f>
        <v>0</v>
      </c>
    </row>
    <row r="596" spans="1:9">
      <c r="A596" s="2" t="s">
        <v>6761</v>
      </c>
      <c r="B596" s="2" t="s">
        <v>329</v>
      </c>
      <c r="C596" s="2" t="s">
        <v>1668</v>
      </c>
      <c r="D596" s="2" t="s">
        <v>5195</v>
      </c>
      <c r="E596" s="2" t="s">
        <v>5159</v>
      </c>
      <c r="F596" s="2">
        <v>0</v>
      </c>
      <c r="G596" s="2">
        <v>5</v>
      </c>
      <c r="H596" s="2">
        <f>Tabla_Items_Con_Existencia[[#This Row],[COSTO]]*Tabla_Items_Con_Existencia[[#This Row],[EXISTENCIA]]</f>
        <v>0</v>
      </c>
      <c r="I596" s="1">
        <f>IF(ISERROR(MATCH(Tabla_Items_Con_Existencia[[#This Row],[CODIGO]],Tabla_Items_Activos[CODIGO],0)),0,1)</f>
        <v>0</v>
      </c>
    </row>
    <row r="597" spans="1:9">
      <c r="A597" s="2" t="s">
        <v>6760</v>
      </c>
      <c r="B597" s="2" t="s">
        <v>330</v>
      </c>
      <c r="C597" s="2" t="s">
        <v>1671</v>
      </c>
      <c r="D597" s="2" t="s">
        <v>5195</v>
      </c>
      <c r="E597" s="2" t="s">
        <v>5159</v>
      </c>
      <c r="F597" s="2">
        <v>34.529536839999999</v>
      </c>
      <c r="G597" s="2">
        <v>15</v>
      </c>
      <c r="H597" s="2">
        <f>Tabla_Items_Con_Existencia[[#This Row],[COSTO]]*Tabla_Items_Con_Existencia[[#This Row],[EXISTENCIA]]</f>
        <v>517.94305259999999</v>
      </c>
      <c r="I597" s="1">
        <f>IF(ISERROR(MATCH(Tabla_Items_Con_Existencia[[#This Row],[CODIGO]],Tabla_Items_Activos[CODIGO],0)),0,1)</f>
        <v>0</v>
      </c>
    </row>
    <row r="598" spans="1:9">
      <c r="A598" s="2" t="s">
        <v>6761</v>
      </c>
      <c r="B598" s="2" t="s">
        <v>330</v>
      </c>
      <c r="C598" s="2" t="s">
        <v>1671</v>
      </c>
      <c r="D598" s="2" t="s">
        <v>5195</v>
      </c>
      <c r="E598" s="2" t="s">
        <v>5159</v>
      </c>
      <c r="F598" s="2">
        <v>34.529536839999999</v>
      </c>
      <c r="G598" s="2">
        <v>15</v>
      </c>
      <c r="H598" s="2">
        <f>Tabla_Items_Con_Existencia[[#This Row],[COSTO]]*Tabla_Items_Con_Existencia[[#This Row],[EXISTENCIA]]</f>
        <v>517.94305259999999</v>
      </c>
      <c r="I598" s="1">
        <f>IF(ISERROR(MATCH(Tabla_Items_Con_Existencia[[#This Row],[CODIGO]],Tabla_Items_Activos[CODIGO],0)),0,1)</f>
        <v>0</v>
      </c>
    </row>
    <row r="599" spans="1:9">
      <c r="A599" s="2" t="s">
        <v>6760</v>
      </c>
      <c r="B599" s="2" t="s">
        <v>331</v>
      </c>
      <c r="C599" s="2" t="s">
        <v>1672</v>
      </c>
      <c r="D599" s="2" t="s">
        <v>5195</v>
      </c>
      <c r="E599" s="2" t="s">
        <v>5159</v>
      </c>
      <c r="F599" s="2">
        <v>17.704615789999998</v>
      </c>
      <c r="G599" s="2">
        <v>18</v>
      </c>
      <c r="H599" s="2">
        <f>Tabla_Items_Con_Existencia[[#This Row],[COSTO]]*Tabla_Items_Con_Existencia[[#This Row],[EXISTENCIA]]</f>
        <v>318.68308421999996</v>
      </c>
      <c r="I599" s="1">
        <f>IF(ISERROR(MATCH(Tabla_Items_Con_Existencia[[#This Row],[CODIGO]],Tabla_Items_Activos[CODIGO],0)),0,1)</f>
        <v>0</v>
      </c>
    </row>
    <row r="600" spans="1:9">
      <c r="A600" s="2" t="s">
        <v>6761</v>
      </c>
      <c r="B600" s="2" t="s">
        <v>331</v>
      </c>
      <c r="C600" s="2" t="s">
        <v>1672</v>
      </c>
      <c r="D600" s="2" t="s">
        <v>5195</v>
      </c>
      <c r="E600" s="2" t="s">
        <v>5159</v>
      </c>
      <c r="F600" s="2">
        <v>17.704615789999998</v>
      </c>
      <c r="G600" s="2">
        <v>18</v>
      </c>
      <c r="H600" s="2">
        <f>Tabla_Items_Con_Existencia[[#This Row],[COSTO]]*Tabla_Items_Con_Existencia[[#This Row],[EXISTENCIA]]</f>
        <v>318.68308421999996</v>
      </c>
      <c r="I600" s="1">
        <f>IF(ISERROR(MATCH(Tabla_Items_Con_Existencia[[#This Row],[CODIGO]],Tabla_Items_Activos[CODIGO],0)),0,1)</f>
        <v>0</v>
      </c>
    </row>
    <row r="601" spans="1:9">
      <c r="A601" s="2" t="s">
        <v>6760</v>
      </c>
      <c r="B601" s="2" t="s">
        <v>333</v>
      </c>
      <c r="C601" s="2" t="s">
        <v>1674</v>
      </c>
      <c r="D601" s="2" t="s">
        <v>5195</v>
      </c>
      <c r="E601" s="2" t="s">
        <v>5159</v>
      </c>
      <c r="F601" s="2">
        <v>36.409999999999997</v>
      </c>
      <c r="G601" s="2">
        <v>4</v>
      </c>
      <c r="H601" s="2">
        <f>Tabla_Items_Con_Existencia[[#This Row],[COSTO]]*Tabla_Items_Con_Existencia[[#This Row],[EXISTENCIA]]</f>
        <v>145.63999999999999</v>
      </c>
      <c r="I601" s="1">
        <f>IF(ISERROR(MATCH(Tabla_Items_Con_Existencia[[#This Row],[CODIGO]],Tabla_Items_Activos[CODIGO],0)),0,1)</f>
        <v>0</v>
      </c>
    </row>
    <row r="602" spans="1:9">
      <c r="A602" s="2" t="s">
        <v>6760</v>
      </c>
      <c r="B602" s="2" t="s">
        <v>334</v>
      </c>
      <c r="C602" s="2" t="s">
        <v>1675</v>
      </c>
      <c r="D602" s="2" t="s">
        <v>5195</v>
      </c>
      <c r="E602" s="2" t="s">
        <v>5159</v>
      </c>
      <c r="F602" s="2">
        <v>18.490842109999999</v>
      </c>
      <c r="G602" s="2">
        <v>8</v>
      </c>
      <c r="H602" s="2">
        <f>Tabla_Items_Con_Existencia[[#This Row],[COSTO]]*Tabla_Items_Con_Existencia[[#This Row],[EXISTENCIA]]</f>
        <v>147.92673687999999</v>
      </c>
      <c r="I602" s="1">
        <f>IF(ISERROR(MATCH(Tabla_Items_Con_Existencia[[#This Row],[CODIGO]],Tabla_Items_Activos[CODIGO],0)),0,1)</f>
        <v>0</v>
      </c>
    </row>
    <row r="603" spans="1:9">
      <c r="A603" s="2" t="s">
        <v>6761</v>
      </c>
      <c r="B603" s="2" t="s">
        <v>334</v>
      </c>
      <c r="C603" s="2" t="s">
        <v>1675</v>
      </c>
      <c r="D603" s="2" t="s">
        <v>5195</v>
      </c>
      <c r="E603" s="2" t="s">
        <v>5159</v>
      </c>
      <c r="F603" s="2">
        <v>18.490842109999999</v>
      </c>
      <c r="G603" s="2">
        <v>8</v>
      </c>
      <c r="H603" s="2">
        <f>Tabla_Items_Con_Existencia[[#This Row],[COSTO]]*Tabla_Items_Con_Existencia[[#This Row],[EXISTENCIA]]</f>
        <v>147.92673687999999</v>
      </c>
      <c r="I603" s="1">
        <f>IF(ISERROR(MATCH(Tabla_Items_Con_Existencia[[#This Row],[CODIGO]],Tabla_Items_Activos[CODIGO],0)),0,1)</f>
        <v>0</v>
      </c>
    </row>
    <row r="604" spans="1:9">
      <c r="A604" s="2" t="s">
        <v>6760</v>
      </c>
      <c r="B604" s="2" t="s">
        <v>335</v>
      </c>
      <c r="C604" s="2" t="s">
        <v>1676</v>
      </c>
      <c r="D604" s="2" t="s">
        <v>5186</v>
      </c>
      <c r="E604" s="2" t="s">
        <v>5159</v>
      </c>
      <c r="F604" s="2">
        <v>0.76</v>
      </c>
      <c r="G604" s="2">
        <v>10</v>
      </c>
      <c r="H604" s="2">
        <f>Tabla_Items_Con_Existencia[[#This Row],[COSTO]]*Tabla_Items_Con_Existencia[[#This Row],[EXISTENCIA]]</f>
        <v>7.6</v>
      </c>
      <c r="I604" s="1">
        <f>IF(ISERROR(MATCH(Tabla_Items_Con_Existencia[[#This Row],[CODIGO]],Tabla_Items_Activos[CODIGO],0)),0,1)</f>
        <v>0</v>
      </c>
    </row>
    <row r="605" spans="1:9">
      <c r="A605" s="2" t="s">
        <v>6760</v>
      </c>
      <c r="B605" s="2" t="s">
        <v>1677</v>
      </c>
      <c r="C605" s="2" t="s">
        <v>1678</v>
      </c>
      <c r="D605" s="2" t="s">
        <v>5186</v>
      </c>
      <c r="E605" s="2" t="s">
        <v>5159</v>
      </c>
      <c r="F605" s="2">
        <v>0.76900000000000002</v>
      </c>
      <c r="G605" s="2">
        <v>32</v>
      </c>
      <c r="H605" s="2">
        <f>Tabla_Items_Con_Existencia[[#This Row],[COSTO]]*Tabla_Items_Con_Existencia[[#This Row],[EXISTENCIA]]</f>
        <v>24.608000000000001</v>
      </c>
      <c r="I605" s="1">
        <f>IF(ISERROR(MATCH(Tabla_Items_Con_Existencia[[#This Row],[CODIGO]],Tabla_Items_Activos[CODIGO],0)),0,1)</f>
        <v>0</v>
      </c>
    </row>
    <row r="606" spans="1:9">
      <c r="A606" s="2" t="s">
        <v>6760</v>
      </c>
      <c r="B606" s="2" t="s">
        <v>336</v>
      </c>
      <c r="C606" s="2" t="s">
        <v>1679</v>
      </c>
      <c r="D606" s="2" t="s">
        <v>5186</v>
      </c>
      <c r="E606" s="2" t="s">
        <v>5159</v>
      </c>
      <c r="F606" s="2">
        <v>2.6</v>
      </c>
      <c r="G606" s="2">
        <v>5</v>
      </c>
      <c r="H606" s="2">
        <f>Tabla_Items_Con_Existencia[[#This Row],[COSTO]]*Tabla_Items_Con_Existencia[[#This Row],[EXISTENCIA]]</f>
        <v>13</v>
      </c>
      <c r="I606" s="1">
        <f>IF(ISERROR(MATCH(Tabla_Items_Con_Existencia[[#This Row],[CODIGO]],Tabla_Items_Activos[CODIGO],0)),0,1)</f>
        <v>0</v>
      </c>
    </row>
    <row r="607" spans="1:9">
      <c r="A607" s="2" t="s">
        <v>6760</v>
      </c>
      <c r="B607" s="2" t="s">
        <v>7214</v>
      </c>
      <c r="C607" s="2" t="s">
        <v>7215</v>
      </c>
      <c r="D607" s="2" t="s">
        <v>5186</v>
      </c>
      <c r="E607" s="2" t="s">
        <v>5159</v>
      </c>
      <c r="F607" s="2">
        <v>0</v>
      </c>
      <c r="G607" s="2">
        <v>10</v>
      </c>
      <c r="H607" s="2">
        <f>Tabla_Items_Con_Existencia[[#This Row],[COSTO]]*Tabla_Items_Con_Existencia[[#This Row],[EXISTENCIA]]</f>
        <v>0</v>
      </c>
      <c r="I607" s="1">
        <f>IF(ISERROR(MATCH(Tabla_Items_Con_Existencia[[#This Row],[CODIGO]],Tabla_Items_Activos[CODIGO],0)),0,1)</f>
        <v>0</v>
      </c>
    </row>
    <row r="608" spans="1:9">
      <c r="A608" s="2" t="s">
        <v>6760</v>
      </c>
      <c r="B608" s="2" t="s">
        <v>337</v>
      </c>
      <c r="C608" s="2" t="s">
        <v>1680</v>
      </c>
      <c r="D608" s="2" t="s">
        <v>5186</v>
      </c>
      <c r="E608" s="2" t="s">
        <v>5159</v>
      </c>
      <c r="F608" s="2">
        <v>2.74</v>
      </c>
      <c r="G608" s="2">
        <v>5</v>
      </c>
      <c r="H608" s="2">
        <f>Tabla_Items_Con_Existencia[[#This Row],[COSTO]]*Tabla_Items_Con_Existencia[[#This Row],[EXISTENCIA]]</f>
        <v>13.700000000000001</v>
      </c>
      <c r="I608" s="1">
        <f>IF(ISERROR(MATCH(Tabla_Items_Con_Existencia[[#This Row],[CODIGO]],Tabla_Items_Activos[CODIGO],0)),0,1)</f>
        <v>0</v>
      </c>
    </row>
    <row r="609" spans="1:9">
      <c r="A609" s="2" t="s">
        <v>6760</v>
      </c>
      <c r="B609" s="2" t="s">
        <v>7216</v>
      </c>
      <c r="C609" s="2" t="s">
        <v>7217</v>
      </c>
      <c r="D609" s="2" t="s">
        <v>5186</v>
      </c>
      <c r="E609" s="2" t="s">
        <v>5159</v>
      </c>
      <c r="F609" s="2">
        <v>0</v>
      </c>
      <c r="G609" s="2">
        <v>10</v>
      </c>
      <c r="H609" s="2">
        <f>Tabla_Items_Con_Existencia[[#This Row],[COSTO]]*Tabla_Items_Con_Existencia[[#This Row],[EXISTENCIA]]</f>
        <v>0</v>
      </c>
      <c r="I609" s="1">
        <f>IF(ISERROR(MATCH(Tabla_Items_Con_Existencia[[#This Row],[CODIGO]],Tabla_Items_Activos[CODIGO],0)),0,1)</f>
        <v>0</v>
      </c>
    </row>
    <row r="610" spans="1:9">
      <c r="A610" s="2" t="s">
        <v>6760</v>
      </c>
      <c r="B610" s="2" t="s">
        <v>338</v>
      </c>
      <c r="C610" s="2" t="s">
        <v>1681</v>
      </c>
      <c r="D610" s="2" t="s">
        <v>5186</v>
      </c>
      <c r="E610" s="2" t="s">
        <v>5159</v>
      </c>
      <c r="F610" s="2">
        <v>2.1</v>
      </c>
      <c r="G610" s="2">
        <v>5</v>
      </c>
      <c r="H610" s="2">
        <f>Tabla_Items_Con_Existencia[[#This Row],[COSTO]]*Tabla_Items_Con_Existencia[[#This Row],[EXISTENCIA]]</f>
        <v>10.5</v>
      </c>
      <c r="I610" s="1">
        <f>IF(ISERROR(MATCH(Tabla_Items_Con_Existencia[[#This Row],[CODIGO]],Tabla_Items_Activos[CODIGO],0)),0,1)</f>
        <v>0</v>
      </c>
    </row>
    <row r="611" spans="1:9">
      <c r="A611" s="2" t="s">
        <v>6760</v>
      </c>
      <c r="B611" s="2" t="s">
        <v>1682</v>
      </c>
      <c r="C611" s="2" t="s">
        <v>1683</v>
      </c>
      <c r="D611" s="2" t="s">
        <v>5186</v>
      </c>
      <c r="E611" s="2" t="s">
        <v>5159</v>
      </c>
      <c r="F611" s="2">
        <v>0.30199999999999999</v>
      </c>
      <c r="G611" s="2">
        <v>4</v>
      </c>
      <c r="H611" s="2">
        <f>Tabla_Items_Con_Existencia[[#This Row],[COSTO]]*Tabla_Items_Con_Existencia[[#This Row],[EXISTENCIA]]</f>
        <v>1.208</v>
      </c>
      <c r="I611" s="1">
        <f>IF(ISERROR(MATCH(Tabla_Items_Con_Existencia[[#This Row],[CODIGO]],Tabla_Items_Activos[CODIGO],0)),0,1)</f>
        <v>0</v>
      </c>
    </row>
    <row r="612" spans="1:9">
      <c r="A612" s="2" t="s">
        <v>6760</v>
      </c>
      <c r="B612" s="2" t="s">
        <v>339</v>
      </c>
      <c r="C612" s="2" t="s">
        <v>1684</v>
      </c>
      <c r="D612" s="2" t="s">
        <v>5186</v>
      </c>
      <c r="E612" s="2" t="s">
        <v>5159</v>
      </c>
      <c r="F612" s="2">
        <v>0.64</v>
      </c>
      <c r="G612" s="2">
        <v>10</v>
      </c>
      <c r="H612" s="2">
        <f>Tabla_Items_Con_Existencia[[#This Row],[COSTO]]*Tabla_Items_Con_Existencia[[#This Row],[EXISTENCIA]]</f>
        <v>6.4</v>
      </c>
      <c r="I612" s="1">
        <f>IF(ISERROR(MATCH(Tabla_Items_Con_Existencia[[#This Row],[CODIGO]],Tabla_Items_Activos[CODIGO],0)),0,1)</f>
        <v>0</v>
      </c>
    </row>
    <row r="613" spans="1:9">
      <c r="A613" s="2" t="s">
        <v>6760</v>
      </c>
      <c r="B613" s="2" t="s">
        <v>5418</v>
      </c>
      <c r="C613" s="2" t="s">
        <v>5419</v>
      </c>
      <c r="D613" s="2" t="s">
        <v>5186</v>
      </c>
      <c r="E613" s="2" t="s">
        <v>5159</v>
      </c>
      <c r="F613" s="2">
        <v>0.3584</v>
      </c>
      <c r="G613" s="2">
        <v>49</v>
      </c>
      <c r="H613" s="2">
        <f>Tabla_Items_Con_Existencia[[#This Row],[COSTO]]*Tabla_Items_Con_Existencia[[#This Row],[EXISTENCIA]]</f>
        <v>17.561599999999999</v>
      </c>
      <c r="I613" s="1">
        <f>IF(ISERROR(MATCH(Tabla_Items_Con_Existencia[[#This Row],[CODIGO]],Tabla_Items_Activos[CODIGO],0)),0,1)</f>
        <v>0</v>
      </c>
    </row>
    <row r="614" spans="1:9">
      <c r="A614" s="2" t="s">
        <v>6760</v>
      </c>
      <c r="B614" s="2" t="s">
        <v>340</v>
      </c>
      <c r="C614" s="2" t="s">
        <v>1685</v>
      </c>
      <c r="D614" s="2" t="s">
        <v>5186</v>
      </c>
      <c r="E614" s="2" t="s">
        <v>5159</v>
      </c>
      <c r="F614" s="2">
        <v>21.28</v>
      </c>
      <c r="G614" s="2">
        <v>1</v>
      </c>
      <c r="H614" s="2">
        <f>Tabla_Items_Con_Existencia[[#This Row],[COSTO]]*Tabla_Items_Con_Existencia[[#This Row],[EXISTENCIA]]</f>
        <v>21.28</v>
      </c>
      <c r="I614" s="1">
        <f>IF(ISERROR(MATCH(Tabla_Items_Con_Existencia[[#This Row],[CODIGO]],Tabla_Items_Activos[CODIGO],0)),0,1)</f>
        <v>0</v>
      </c>
    </row>
    <row r="615" spans="1:9">
      <c r="A615" s="2" t="s">
        <v>6760</v>
      </c>
      <c r="B615" s="2" t="s">
        <v>7218</v>
      </c>
      <c r="C615" s="2" t="s">
        <v>7219</v>
      </c>
      <c r="D615" s="2" t="s">
        <v>5186</v>
      </c>
      <c r="E615" s="2" t="s">
        <v>5159</v>
      </c>
      <c r="F615" s="2">
        <v>0</v>
      </c>
      <c r="G615" s="2">
        <v>10</v>
      </c>
      <c r="H615" s="2">
        <f>Tabla_Items_Con_Existencia[[#This Row],[COSTO]]*Tabla_Items_Con_Existencia[[#This Row],[EXISTENCIA]]</f>
        <v>0</v>
      </c>
      <c r="I615" s="1">
        <f>IF(ISERROR(MATCH(Tabla_Items_Con_Existencia[[#This Row],[CODIGO]],Tabla_Items_Activos[CODIGO],0)),0,1)</f>
        <v>0</v>
      </c>
    </row>
    <row r="616" spans="1:9">
      <c r="A616" s="2" t="s">
        <v>6760</v>
      </c>
      <c r="B616" s="2" t="s">
        <v>6844</v>
      </c>
      <c r="C616" s="2" t="s">
        <v>6845</v>
      </c>
      <c r="D616" s="2" t="s">
        <v>5186</v>
      </c>
      <c r="E616" s="2" t="s">
        <v>5159</v>
      </c>
      <c r="F616" s="2">
        <v>0.1</v>
      </c>
      <c r="G616" s="2">
        <v>2</v>
      </c>
      <c r="H616" s="2">
        <f>Tabla_Items_Con_Existencia[[#This Row],[COSTO]]*Tabla_Items_Con_Existencia[[#This Row],[EXISTENCIA]]</f>
        <v>0.2</v>
      </c>
      <c r="I616" s="1">
        <f>IF(ISERROR(MATCH(Tabla_Items_Con_Existencia[[#This Row],[CODIGO]],Tabla_Items_Activos[CODIGO],0)),0,1)</f>
        <v>0</v>
      </c>
    </row>
    <row r="617" spans="1:9">
      <c r="A617" s="2" t="s">
        <v>6760</v>
      </c>
      <c r="B617" s="2" t="s">
        <v>341</v>
      </c>
      <c r="C617" s="2" t="s">
        <v>1686</v>
      </c>
      <c r="D617" s="2" t="s">
        <v>5186</v>
      </c>
      <c r="E617" s="2" t="s">
        <v>5159</v>
      </c>
      <c r="F617" s="2">
        <v>14.083299999999999</v>
      </c>
      <c r="G617" s="2">
        <v>5</v>
      </c>
      <c r="H617" s="2">
        <f>Tabla_Items_Con_Existencia[[#This Row],[COSTO]]*Tabla_Items_Con_Existencia[[#This Row],[EXISTENCIA]]</f>
        <v>70.416499999999999</v>
      </c>
      <c r="I617" s="1">
        <f>IF(ISERROR(MATCH(Tabla_Items_Con_Existencia[[#This Row],[CODIGO]],Tabla_Items_Activos[CODIGO],0)),0,1)</f>
        <v>0</v>
      </c>
    </row>
    <row r="618" spans="1:9">
      <c r="A618" s="2" t="s">
        <v>6760</v>
      </c>
      <c r="B618" s="2" t="s">
        <v>6846</v>
      </c>
      <c r="C618" s="2" t="s">
        <v>6847</v>
      </c>
      <c r="D618" s="2" t="s">
        <v>5158</v>
      </c>
      <c r="E618" s="2" t="s">
        <v>5159</v>
      </c>
      <c r="F618" s="2">
        <v>7.45</v>
      </c>
      <c r="G618" s="2">
        <v>2</v>
      </c>
      <c r="H618" s="2">
        <f>Tabla_Items_Con_Existencia[[#This Row],[COSTO]]*Tabla_Items_Con_Existencia[[#This Row],[EXISTENCIA]]</f>
        <v>14.9</v>
      </c>
      <c r="I618" s="1">
        <f>IF(ISERROR(MATCH(Tabla_Items_Con_Existencia[[#This Row],[CODIGO]],Tabla_Items_Activos[CODIGO],0)),0,1)</f>
        <v>0</v>
      </c>
    </row>
    <row r="619" spans="1:9">
      <c r="A619" s="2" t="s">
        <v>6760</v>
      </c>
      <c r="B619" s="2" t="s">
        <v>6848</v>
      </c>
      <c r="C619" s="2" t="s">
        <v>6849</v>
      </c>
      <c r="D619" s="2" t="s">
        <v>5158</v>
      </c>
      <c r="E619" s="2" t="s">
        <v>5159</v>
      </c>
      <c r="F619" s="2">
        <v>4.6614000000000004</v>
      </c>
      <c r="G619" s="2">
        <v>7</v>
      </c>
      <c r="H619" s="2">
        <f>Tabla_Items_Con_Existencia[[#This Row],[COSTO]]*Tabla_Items_Con_Existencia[[#This Row],[EXISTENCIA]]</f>
        <v>32.629800000000003</v>
      </c>
      <c r="I619" s="1">
        <f>IF(ISERROR(MATCH(Tabla_Items_Con_Existencia[[#This Row],[CODIGO]],Tabla_Items_Activos[CODIGO],0)),0,1)</f>
        <v>0</v>
      </c>
    </row>
    <row r="620" spans="1:9">
      <c r="A620" s="2" t="s">
        <v>6760</v>
      </c>
      <c r="B620" s="2" t="s">
        <v>342</v>
      </c>
      <c r="C620" s="2" t="s">
        <v>1687</v>
      </c>
      <c r="D620" s="2" t="s">
        <v>5186</v>
      </c>
      <c r="E620" s="2" t="s">
        <v>5159</v>
      </c>
      <c r="F620" s="2">
        <v>15.56</v>
      </c>
      <c r="G620" s="2">
        <v>1</v>
      </c>
      <c r="H620" s="2">
        <f>Tabla_Items_Con_Existencia[[#This Row],[COSTO]]*Tabla_Items_Con_Existencia[[#This Row],[EXISTENCIA]]</f>
        <v>15.56</v>
      </c>
      <c r="I620" s="1">
        <f>IF(ISERROR(MATCH(Tabla_Items_Con_Existencia[[#This Row],[CODIGO]],Tabla_Items_Activos[CODIGO],0)),0,1)</f>
        <v>0</v>
      </c>
    </row>
    <row r="621" spans="1:9">
      <c r="A621" s="2" t="s">
        <v>6760</v>
      </c>
      <c r="B621" s="2" t="s">
        <v>343</v>
      </c>
      <c r="C621" s="2" t="s">
        <v>1688</v>
      </c>
      <c r="D621" s="2" t="s">
        <v>5186</v>
      </c>
      <c r="E621" s="2" t="s">
        <v>5159</v>
      </c>
      <c r="F621" s="2">
        <v>7.3542105299999996</v>
      </c>
      <c r="G621" s="2">
        <v>3</v>
      </c>
      <c r="H621" s="2">
        <f>Tabla_Items_Con_Existencia[[#This Row],[COSTO]]*Tabla_Items_Con_Existencia[[#This Row],[EXISTENCIA]]</f>
        <v>22.062631589999999</v>
      </c>
      <c r="I621" s="1">
        <f>IF(ISERROR(MATCH(Tabla_Items_Con_Existencia[[#This Row],[CODIGO]],Tabla_Items_Activos[CODIGO],0)),0,1)</f>
        <v>0</v>
      </c>
    </row>
    <row r="622" spans="1:9">
      <c r="A622" s="2" t="s">
        <v>6761</v>
      </c>
      <c r="B622" s="2" t="s">
        <v>343</v>
      </c>
      <c r="C622" s="2" t="s">
        <v>1688</v>
      </c>
      <c r="D622" s="2" t="s">
        <v>5186</v>
      </c>
      <c r="E622" s="2" t="s">
        <v>5159</v>
      </c>
      <c r="F622" s="2">
        <v>7.3542105299999996</v>
      </c>
      <c r="G622" s="2">
        <v>3</v>
      </c>
      <c r="H622" s="2">
        <f>Tabla_Items_Con_Existencia[[#This Row],[COSTO]]*Tabla_Items_Con_Existencia[[#This Row],[EXISTENCIA]]</f>
        <v>22.062631589999999</v>
      </c>
      <c r="I622" s="1">
        <f>IF(ISERROR(MATCH(Tabla_Items_Con_Existencia[[#This Row],[CODIGO]],Tabla_Items_Activos[CODIGO],0)),0,1)</f>
        <v>0</v>
      </c>
    </row>
    <row r="623" spans="1:9">
      <c r="A623" s="2" t="s">
        <v>6760</v>
      </c>
      <c r="B623" s="2" t="s">
        <v>1689</v>
      </c>
      <c r="C623" s="2" t="s">
        <v>7313</v>
      </c>
      <c r="D623" s="2" t="s">
        <v>5186</v>
      </c>
      <c r="E623" s="2" t="s">
        <v>5159</v>
      </c>
      <c r="F623" s="2">
        <v>7.84</v>
      </c>
      <c r="G623" s="2">
        <v>1</v>
      </c>
      <c r="H623" s="2">
        <f>Tabla_Items_Con_Existencia[[#This Row],[COSTO]]*Tabla_Items_Con_Existencia[[#This Row],[EXISTENCIA]]</f>
        <v>7.84</v>
      </c>
      <c r="I623" s="1">
        <f>IF(ISERROR(MATCH(Tabla_Items_Con_Existencia[[#This Row],[CODIGO]],Tabla_Items_Activos[CODIGO],0)),0,1)</f>
        <v>0</v>
      </c>
    </row>
    <row r="624" spans="1:9">
      <c r="A624" s="2" t="s">
        <v>6760</v>
      </c>
      <c r="B624" s="2" t="s">
        <v>344</v>
      </c>
      <c r="C624" s="2" t="s">
        <v>1691</v>
      </c>
      <c r="D624" s="2" t="s">
        <v>5161</v>
      </c>
      <c r="E624" s="2" t="s">
        <v>5159</v>
      </c>
      <c r="F624" s="2">
        <v>0.7</v>
      </c>
      <c r="G624" s="2">
        <v>10</v>
      </c>
      <c r="H624" s="2">
        <f>Tabla_Items_Con_Existencia[[#This Row],[COSTO]]*Tabla_Items_Con_Existencia[[#This Row],[EXISTENCIA]]</f>
        <v>7</v>
      </c>
      <c r="I624" s="1">
        <f>IF(ISERROR(MATCH(Tabla_Items_Con_Existencia[[#This Row],[CODIGO]],Tabla_Items_Activos[CODIGO],0)),0,1)</f>
        <v>0</v>
      </c>
    </row>
    <row r="625" spans="1:9">
      <c r="A625" s="2" t="s">
        <v>6760</v>
      </c>
      <c r="B625" s="2" t="s">
        <v>1692</v>
      </c>
      <c r="C625" s="2" t="s">
        <v>1693</v>
      </c>
      <c r="D625" s="2" t="s">
        <v>5161</v>
      </c>
      <c r="E625" s="2" t="s">
        <v>5159</v>
      </c>
      <c r="F625" s="2">
        <v>3.26</v>
      </c>
      <c r="G625" s="2">
        <v>4</v>
      </c>
      <c r="H625" s="2">
        <f>Tabla_Items_Con_Existencia[[#This Row],[COSTO]]*Tabla_Items_Con_Existencia[[#This Row],[EXISTENCIA]]</f>
        <v>13.04</v>
      </c>
      <c r="I625" s="1">
        <f>IF(ISERROR(MATCH(Tabla_Items_Con_Existencia[[#This Row],[CODIGO]],Tabla_Items_Activos[CODIGO],0)),0,1)</f>
        <v>0</v>
      </c>
    </row>
    <row r="626" spans="1:9">
      <c r="A626" s="2" t="s">
        <v>6761</v>
      </c>
      <c r="B626" s="2" t="s">
        <v>345</v>
      </c>
      <c r="C626" s="2" t="s">
        <v>1694</v>
      </c>
      <c r="D626" s="2" t="s">
        <v>5161</v>
      </c>
      <c r="E626" s="2" t="s">
        <v>5159</v>
      </c>
      <c r="F626" s="2">
        <v>9.7029210500000005</v>
      </c>
      <c r="G626" s="2">
        <v>13</v>
      </c>
      <c r="H626" s="2">
        <f>Tabla_Items_Con_Existencia[[#This Row],[COSTO]]*Tabla_Items_Con_Existencia[[#This Row],[EXISTENCIA]]</f>
        <v>126.13797365000001</v>
      </c>
      <c r="I626" s="1">
        <f>IF(ISERROR(MATCH(Tabla_Items_Con_Existencia[[#This Row],[CODIGO]],Tabla_Items_Activos[CODIGO],0)),0,1)</f>
        <v>0</v>
      </c>
    </row>
    <row r="627" spans="1:9">
      <c r="A627" s="2" t="s">
        <v>6760</v>
      </c>
      <c r="B627" s="2" t="s">
        <v>345</v>
      </c>
      <c r="C627" s="2" t="s">
        <v>1694</v>
      </c>
      <c r="D627" s="2" t="s">
        <v>5161</v>
      </c>
      <c r="E627" s="2" t="s">
        <v>5159</v>
      </c>
      <c r="F627" s="2">
        <v>9.7029210500000005</v>
      </c>
      <c r="G627" s="2">
        <v>13</v>
      </c>
      <c r="H627" s="2">
        <f>Tabla_Items_Con_Existencia[[#This Row],[COSTO]]*Tabla_Items_Con_Existencia[[#This Row],[EXISTENCIA]]</f>
        <v>126.13797365000001</v>
      </c>
      <c r="I627" s="1">
        <f>IF(ISERROR(MATCH(Tabla_Items_Con_Existencia[[#This Row],[CODIGO]],Tabla_Items_Activos[CODIGO],0)),0,1)</f>
        <v>0</v>
      </c>
    </row>
    <row r="628" spans="1:9">
      <c r="A628" s="2" t="s">
        <v>6760</v>
      </c>
      <c r="B628" s="2" t="s">
        <v>6396</v>
      </c>
      <c r="C628" s="2" t="s">
        <v>6397</v>
      </c>
      <c r="D628" s="2" t="s">
        <v>5161</v>
      </c>
      <c r="E628" s="2" t="s">
        <v>5159</v>
      </c>
      <c r="F628" s="2">
        <v>8.5120000000000005</v>
      </c>
      <c r="G628" s="2">
        <v>15</v>
      </c>
      <c r="H628" s="2">
        <f>Tabla_Items_Con_Existencia[[#This Row],[COSTO]]*Tabla_Items_Con_Existencia[[#This Row],[EXISTENCIA]]</f>
        <v>127.68</v>
      </c>
      <c r="I628" s="1">
        <f>IF(ISERROR(MATCH(Tabla_Items_Con_Existencia[[#This Row],[CODIGO]],Tabla_Items_Activos[CODIGO],0)),0,1)</f>
        <v>0</v>
      </c>
    </row>
    <row r="629" spans="1:9">
      <c r="A629" s="2" t="s">
        <v>6760</v>
      </c>
      <c r="B629" s="2" t="s">
        <v>6398</v>
      </c>
      <c r="C629" s="2" t="s">
        <v>6399</v>
      </c>
      <c r="D629" s="2" t="s">
        <v>5158</v>
      </c>
      <c r="E629" s="2" t="s">
        <v>5159</v>
      </c>
      <c r="F629" s="2">
        <v>6.1419157899999997</v>
      </c>
      <c r="G629" s="2">
        <v>4</v>
      </c>
      <c r="H629" s="2">
        <f>Tabla_Items_Con_Existencia[[#This Row],[COSTO]]*Tabla_Items_Con_Existencia[[#This Row],[EXISTENCIA]]</f>
        <v>24.567663159999999</v>
      </c>
      <c r="I629" s="1">
        <f>IF(ISERROR(MATCH(Tabla_Items_Con_Existencia[[#This Row],[CODIGO]],Tabla_Items_Activos[CODIGO],0)),0,1)</f>
        <v>0</v>
      </c>
    </row>
    <row r="630" spans="1:9">
      <c r="A630" s="2" t="s">
        <v>6761</v>
      </c>
      <c r="B630" s="2" t="s">
        <v>6398</v>
      </c>
      <c r="C630" s="2" t="s">
        <v>6399</v>
      </c>
      <c r="D630" s="2" t="s">
        <v>5158</v>
      </c>
      <c r="E630" s="2" t="s">
        <v>5159</v>
      </c>
      <c r="F630" s="2">
        <v>6.1419157899999997</v>
      </c>
      <c r="G630" s="2">
        <v>4</v>
      </c>
      <c r="H630" s="2">
        <f>Tabla_Items_Con_Existencia[[#This Row],[COSTO]]*Tabla_Items_Con_Existencia[[#This Row],[EXISTENCIA]]</f>
        <v>24.567663159999999</v>
      </c>
      <c r="I630" s="1">
        <f>IF(ISERROR(MATCH(Tabla_Items_Con_Existencia[[#This Row],[CODIGO]],Tabla_Items_Activos[CODIGO],0)),0,1)</f>
        <v>0</v>
      </c>
    </row>
    <row r="631" spans="1:9">
      <c r="A631" s="2" t="s">
        <v>6760</v>
      </c>
      <c r="B631" s="2" t="s">
        <v>6850</v>
      </c>
      <c r="C631" s="2" t="s">
        <v>4632</v>
      </c>
      <c r="D631" s="2" t="s">
        <v>5161</v>
      </c>
      <c r="E631" s="2" t="s">
        <v>5159</v>
      </c>
      <c r="F631" s="2">
        <v>38.993299999999998</v>
      </c>
      <c r="G631" s="2">
        <v>2</v>
      </c>
      <c r="H631" s="2">
        <f>Tabla_Items_Con_Existencia[[#This Row],[COSTO]]*Tabla_Items_Con_Existencia[[#This Row],[EXISTENCIA]]</f>
        <v>77.986599999999996</v>
      </c>
      <c r="I631" s="1">
        <f>IF(ISERROR(MATCH(Tabla_Items_Con_Existencia[[#This Row],[CODIGO]],Tabla_Items_Activos[CODIGO],0)),0,1)</f>
        <v>0</v>
      </c>
    </row>
    <row r="632" spans="1:9">
      <c r="A632" s="2" t="s">
        <v>6760</v>
      </c>
      <c r="B632" s="2" t="s">
        <v>6400</v>
      </c>
      <c r="C632" s="2" t="s">
        <v>6401</v>
      </c>
      <c r="D632" s="2" t="s">
        <v>5185</v>
      </c>
      <c r="E632" s="2" t="s">
        <v>5159</v>
      </c>
      <c r="F632" s="2">
        <v>12.247052630000001</v>
      </c>
      <c r="G632" s="2">
        <v>8</v>
      </c>
      <c r="H632" s="2">
        <f>Tabla_Items_Con_Existencia[[#This Row],[COSTO]]*Tabla_Items_Con_Existencia[[#This Row],[EXISTENCIA]]</f>
        <v>97.976421040000005</v>
      </c>
      <c r="I632" s="1">
        <f>IF(ISERROR(MATCH(Tabla_Items_Con_Existencia[[#This Row],[CODIGO]],Tabla_Items_Activos[CODIGO],0)),0,1)</f>
        <v>0</v>
      </c>
    </row>
    <row r="633" spans="1:9">
      <c r="A633" s="2" t="s">
        <v>6761</v>
      </c>
      <c r="B633" s="2" t="s">
        <v>6400</v>
      </c>
      <c r="C633" s="2" t="s">
        <v>6401</v>
      </c>
      <c r="D633" s="2" t="s">
        <v>5185</v>
      </c>
      <c r="E633" s="2" t="s">
        <v>5159</v>
      </c>
      <c r="F633" s="2">
        <v>12.247052630000001</v>
      </c>
      <c r="G633" s="2">
        <v>8</v>
      </c>
      <c r="H633" s="2">
        <f>Tabla_Items_Con_Existencia[[#This Row],[COSTO]]*Tabla_Items_Con_Existencia[[#This Row],[EXISTENCIA]]</f>
        <v>97.976421040000005</v>
      </c>
      <c r="I633" s="1">
        <f>IF(ISERROR(MATCH(Tabla_Items_Con_Existencia[[#This Row],[CODIGO]],Tabla_Items_Activos[CODIGO],0)),0,1)</f>
        <v>0</v>
      </c>
    </row>
    <row r="634" spans="1:9">
      <c r="A634" s="2" t="s">
        <v>6760</v>
      </c>
      <c r="B634" s="2" t="s">
        <v>6402</v>
      </c>
      <c r="C634" s="2" t="s">
        <v>6403</v>
      </c>
      <c r="D634" s="2" t="s">
        <v>5185</v>
      </c>
      <c r="E634" s="2" t="s">
        <v>5159</v>
      </c>
      <c r="F634" s="2">
        <v>13.358842109999999</v>
      </c>
      <c r="G634" s="2">
        <v>6</v>
      </c>
      <c r="H634" s="2">
        <f>Tabla_Items_Con_Existencia[[#This Row],[COSTO]]*Tabla_Items_Con_Existencia[[#This Row],[EXISTENCIA]]</f>
        <v>80.15305266</v>
      </c>
      <c r="I634" s="1">
        <f>IF(ISERROR(MATCH(Tabla_Items_Con_Existencia[[#This Row],[CODIGO]],Tabla_Items_Activos[CODIGO],0)),0,1)</f>
        <v>0</v>
      </c>
    </row>
    <row r="635" spans="1:9">
      <c r="A635" s="2" t="s">
        <v>6761</v>
      </c>
      <c r="B635" s="2" t="s">
        <v>6402</v>
      </c>
      <c r="C635" s="2" t="s">
        <v>6403</v>
      </c>
      <c r="D635" s="2" t="s">
        <v>5185</v>
      </c>
      <c r="E635" s="2" t="s">
        <v>5159</v>
      </c>
      <c r="F635" s="2">
        <v>13.358842109999999</v>
      </c>
      <c r="G635" s="2">
        <v>6</v>
      </c>
      <c r="H635" s="2">
        <f>Tabla_Items_Con_Existencia[[#This Row],[COSTO]]*Tabla_Items_Con_Existencia[[#This Row],[EXISTENCIA]]</f>
        <v>80.15305266</v>
      </c>
      <c r="I635" s="1">
        <f>IF(ISERROR(MATCH(Tabla_Items_Con_Existencia[[#This Row],[CODIGO]],Tabla_Items_Activos[CODIGO],0)),0,1)</f>
        <v>0</v>
      </c>
    </row>
    <row r="636" spans="1:9">
      <c r="A636" s="2" t="s">
        <v>6760</v>
      </c>
      <c r="B636" s="2" t="s">
        <v>7314</v>
      </c>
      <c r="C636" s="2" t="s">
        <v>4623</v>
      </c>
      <c r="D636" s="2" t="s">
        <v>5185</v>
      </c>
      <c r="E636" s="2" t="s">
        <v>5159</v>
      </c>
      <c r="F636" s="2">
        <v>20.116</v>
      </c>
      <c r="G636" s="2">
        <v>2</v>
      </c>
      <c r="H636" s="2">
        <f>Tabla_Items_Con_Existencia[[#This Row],[COSTO]]*Tabla_Items_Con_Existencia[[#This Row],[EXISTENCIA]]</f>
        <v>40.231999999999999</v>
      </c>
      <c r="I636" s="1">
        <f>IF(ISERROR(MATCH(Tabla_Items_Con_Existencia[[#This Row],[CODIGO]],Tabla_Items_Activos[CODIGO],0)),0,1)</f>
        <v>0</v>
      </c>
    </row>
    <row r="637" spans="1:9">
      <c r="A637" s="2" t="s">
        <v>6760</v>
      </c>
      <c r="B637" s="2" t="s">
        <v>6404</v>
      </c>
      <c r="C637" s="2" t="s">
        <v>6405</v>
      </c>
      <c r="D637" s="2" t="s">
        <v>5161</v>
      </c>
      <c r="E637" s="2" t="s">
        <v>5159</v>
      </c>
      <c r="F637" s="2">
        <v>6.65052632</v>
      </c>
      <c r="G637" s="2">
        <v>8</v>
      </c>
      <c r="H637" s="2">
        <f>Tabla_Items_Con_Existencia[[#This Row],[COSTO]]*Tabla_Items_Con_Existencia[[#This Row],[EXISTENCIA]]</f>
        <v>53.20421056</v>
      </c>
      <c r="I637" s="1">
        <f>IF(ISERROR(MATCH(Tabla_Items_Con_Existencia[[#This Row],[CODIGO]],Tabla_Items_Activos[CODIGO],0)),0,1)</f>
        <v>0</v>
      </c>
    </row>
    <row r="638" spans="1:9">
      <c r="A638" s="2" t="s">
        <v>6761</v>
      </c>
      <c r="B638" s="2" t="s">
        <v>6404</v>
      </c>
      <c r="C638" s="2" t="s">
        <v>6405</v>
      </c>
      <c r="D638" s="2" t="s">
        <v>5161</v>
      </c>
      <c r="E638" s="2" t="s">
        <v>5159</v>
      </c>
      <c r="F638" s="2">
        <v>6.65052632</v>
      </c>
      <c r="G638" s="2">
        <v>8</v>
      </c>
      <c r="H638" s="2">
        <f>Tabla_Items_Con_Existencia[[#This Row],[COSTO]]*Tabla_Items_Con_Existencia[[#This Row],[EXISTENCIA]]</f>
        <v>53.20421056</v>
      </c>
      <c r="I638" s="1">
        <f>IF(ISERROR(MATCH(Tabla_Items_Con_Existencia[[#This Row],[CODIGO]],Tabla_Items_Activos[CODIGO],0)),0,1)</f>
        <v>0</v>
      </c>
    </row>
    <row r="639" spans="1:9">
      <c r="A639" s="2" t="s">
        <v>6760</v>
      </c>
      <c r="B639" s="2" t="s">
        <v>6406</v>
      </c>
      <c r="C639" s="2" t="s">
        <v>6407</v>
      </c>
      <c r="D639" s="2" t="s">
        <v>5161</v>
      </c>
      <c r="E639" s="2" t="s">
        <v>5159</v>
      </c>
      <c r="F639" s="2">
        <v>11.09510526</v>
      </c>
      <c r="G639" s="2">
        <v>13</v>
      </c>
      <c r="H639" s="2">
        <f>Tabla_Items_Con_Existencia[[#This Row],[COSTO]]*Tabla_Items_Con_Existencia[[#This Row],[EXISTENCIA]]</f>
        <v>144.23636838000002</v>
      </c>
      <c r="I639" s="1">
        <f>IF(ISERROR(MATCH(Tabla_Items_Con_Existencia[[#This Row],[CODIGO]],Tabla_Items_Activos[CODIGO],0)),0,1)</f>
        <v>0</v>
      </c>
    </row>
    <row r="640" spans="1:9">
      <c r="A640" s="2" t="s">
        <v>6761</v>
      </c>
      <c r="B640" s="2" t="s">
        <v>6406</v>
      </c>
      <c r="C640" s="2" t="s">
        <v>6407</v>
      </c>
      <c r="D640" s="2" t="s">
        <v>5161</v>
      </c>
      <c r="E640" s="2" t="s">
        <v>5159</v>
      </c>
      <c r="F640" s="2">
        <v>11.09510526</v>
      </c>
      <c r="G640" s="2">
        <v>13</v>
      </c>
      <c r="H640" s="2">
        <f>Tabla_Items_Con_Existencia[[#This Row],[COSTO]]*Tabla_Items_Con_Existencia[[#This Row],[EXISTENCIA]]</f>
        <v>144.23636838000002</v>
      </c>
      <c r="I640" s="1">
        <f>IF(ISERROR(MATCH(Tabla_Items_Con_Existencia[[#This Row],[CODIGO]],Tabla_Items_Activos[CODIGO],0)),0,1)</f>
        <v>0</v>
      </c>
    </row>
    <row r="641" spans="1:9">
      <c r="A641" s="2" t="s">
        <v>6761</v>
      </c>
      <c r="B641" s="2" t="s">
        <v>346</v>
      </c>
      <c r="C641" s="2" t="s">
        <v>1695</v>
      </c>
      <c r="D641" s="2" t="s">
        <v>5161</v>
      </c>
      <c r="E641" s="2" t="s">
        <v>5159</v>
      </c>
      <c r="F641" s="2">
        <v>4.4017526299999998</v>
      </c>
      <c r="G641" s="2">
        <v>39</v>
      </c>
      <c r="H641" s="2">
        <f>Tabla_Items_Con_Existencia[[#This Row],[COSTO]]*Tabla_Items_Con_Existencia[[#This Row],[EXISTENCIA]]</f>
        <v>171.66835257</v>
      </c>
      <c r="I641" s="1">
        <f>IF(ISERROR(MATCH(Tabla_Items_Con_Existencia[[#This Row],[CODIGO]],Tabla_Items_Activos[CODIGO],0)),0,1)</f>
        <v>0</v>
      </c>
    </row>
    <row r="642" spans="1:9">
      <c r="A642" s="2" t="s">
        <v>6760</v>
      </c>
      <c r="B642" s="2" t="s">
        <v>346</v>
      </c>
      <c r="C642" s="2" t="s">
        <v>1695</v>
      </c>
      <c r="D642" s="2" t="s">
        <v>5161</v>
      </c>
      <c r="E642" s="2" t="s">
        <v>5159</v>
      </c>
      <c r="F642" s="2">
        <v>4.4017526299999998</v>
      </c>
      <c r="G642" s="2">
        <v>39</v>
      </c>
      <c r="H642" s="2">
        <f>Tabla_Items_Con_Existencia[[#This Row],[COSTO]]*Tabla_Items_Con_Existencia[[#This Row],[EXISTENCIA]]</f>
        <v>171.66835257</v>
      </c>
      <c r="I642" s="1">
        <f>IF(ISERROR(MATCH(Tabla_Items_Con_Existencia[[#This Row],[CODIGO]],Tabla_Items_Activos[CODIGO],0)),0,1)</f>
        <v>0</v>
      </c>
    </row>
    <row r="643" spans="1:9">
      <c r="A643" s="2" t="s">
        <v>6760</v>
      </c>
      <c r="B643" s="2" t="s">
        <v>6408</v>
      </c>
      <c r="C643" s="2" t="s">
        <v>6409</v>
      </c>
      <c r="D643" s="2" t="s">
        <v>5161</v>
      </c>
      <c r="E643" s="2" t="s">
        <v>5159</v>
      </c>
      <c r="F643" s="2">
        <v>7.6612842099999998</v>
      </c>
      <c r="G643" s="2">
        <v>5</v>
      </c>
      <c r="H643" s="2">
        <f>Tabla_Items_Con_Existencia[[#This Row],[COSTO]]*Tabla_Items_Con_Existencia[[#This Row],[EXISTENCIA]]</f>
        <v>38.306421049999997</v>
      </c>
      <c r="I643" s="1">
        <f>IF(ISERROR(MATCH(Tabla_Items_Con_Existencia[[#This Row],[CODIGO]],Tabla_Items_Activos[CODIGO],0)),0,1)</f>
        <v>0</v>
      </c>
    </row>
    <row r="644" spans="1:9">
      <c r="A644" s="2" t="s">
        <v>6761</v>
      </c>
      <c r="B644" s="2" t="s">
        <v>6408</v>
      </c>
      <c r="C644" s="2" t="s">
        <v>6409</v>
      </c>
      <c r="D644" s="2" t="s">
        <v>5161</v>
      </c>
      <c r="E644" s="2" t="s">
        <v>5159</v>
      </c>
      <c r="F644" s="2">
        <v>7.6612842099999998</v>
      </c>
      <c r="G644" s="2">
        <v>5</v>
      </c>
      <c r="H644" s="2">
        <f>Tabla_Items_Con_Existencia[[#This Row],[COSTO]]*Tabla_Items_Con_Existencia[[#This Row],[EXISTENCIA]]</f>
        <v>38.306421049999997</v>
      </c>
      <c r="I644" s="1">
        <f>IF(ISERROR(MATCH(Tabla_Items_Con_Existencia[[#This Row],[CODIGO]],Tabla_Items_Activos[CODIGO],0)),0,1)</f>
        <v>0</v>
      </c>
    </row>
    <row r="645" spans="1:9">
      <c r="A645" s="2" t="s">
        <v>6760</v>
      </c>
      <c r="B645" s="2" t="s">
        <v>6410</v>
      </c>
      <c r="C645" s="2" t="s">
        <v>4628</v>
      </c>
      <c r="D645" s="2" t="s">
        <v>5161</v>
      </c>
      <c r="E645" s="2" t="s">
        <v>5159</v>
      </c>
      <c r="F645" s="2">
        <v>17.981578949999999</v>
      </c>
      <c r="G645" s="2">
        <v>2</v>
      </c>
      <c r="H645" s="2">
        <f>Tabla_Items_Con_Existencia[[#This Row],[COSTO]]*Tabla_Items_Con_Existencia[[#This Row],[EXISTENCIA]]</f>
        <v>35.963157899999999</v>
      </c>
      <c r="I645" s="1">
        <f>IF(ISERROR(MATCH(Tabla_Items_Con_Existencia[[#This Row],[CODIGO]],Tabla_Items_Activos[CODIGO],0)),0,1)</f>
        <v>0</v>
      </c>
    </row>
    <row r="646" spans="1:9">
      <c r="A646" s="2" t="s">
        <v>6761</v>
      </c>
      <c r="B646" s="2" t="s">
        <v>6410</v>
      </c>
      <c r="C646" s="2" t="s">
        <v>4628</v>
      </c>
      <c r="D646" s="2" t="s">
        <v>5161</v>
      </c>
      <c r="E646" s="2" t="s">
        <v>5159</v>
      </c>
      <c r="F646" s="2">
        <v>17.981578949999999</v>
      </c>
      <c r="G646" s="2">
        <v>2</v>
      </c>
      <c r="H646" s="2">
        <f>Tabla_Items_Con_Existencia[[#This Row],[COSTO]]*Tabla_Items_Con_Existencia[[#This Row],[EXISTENCIA]]</f>
        <v>35.963157899999999</v>
      </c>
      <c r="I646" s="1">
        <f>IF(ISERROR(MATCH(Tabla_Items_Con_Existencia[[#This Row],[CODIGO]],Tabla_Items_Activos[CODIGO],0)),0,1)</f>
        <v>0</v>
      </c>
    </row>
    <row r="647" spans="1:9">
      <c r="A647" s="2" t="s">
        <v>6760</v>
      </c>
      <c r="B647" s="2" t="s">
        <v>6411</v>
      </c>
      <c r="C647" s="2" t="s">
        <v>6412</v>
      </c>
      <c r="D647" s="2" t="s">
        <v>5161</v>
      </c>
      <c r="E647" s="2" t="s">
        <v>5159</v>
      </c>
      <c r="F647" s="2">
        <v>0</v>
      </c>
      <c r="G647" s="2">
        <v>1</v>
      </c>
      <c r="H647" s="2">
        <f>Tabla_Items_Con_Existencia[[#This Row],[COSTO]]*Tabla_Items_Con_Existencia[[#This Row],[EXISTENCIA]]</f>
        <v>0</v>
      </c>
      <c r="I647" s="1">
        <f>IF(ISERROR(MATCH(Tabla_Items_Con_Existencia[[#This Row],[CODIGO]],Tabla_Items_Activos[CODIGO],0)),0,1)</f>
        <v>0</v>
      </c>
    </row>
    <row r="648" spans="1:9">
      <c r="A648" s="2" t="s">
        <v>6760</v>
      </c>
      <c r="B648" s="2" t="s">
        <v>6413</v>
      </c>
      <c r="C648" s="2" t="s">
        <v>6414</v>
      </c>
      <c r="D648" s="2" t="s">
        <v>5161</v>
      </c>
      <c r="E648" s="2" t="s">
        <v>5159</v>
      </c>
      <c r="F648" s="2">
        <v>0</v>
      </c>
      <c r="G648" s="2">
        <v>1</v>
      </c>
      <c r="H648" s="2">
        <f>Tabla_Items_Con_Existencia[[#This Row],[COSTO]]*Tabla_Items_Con_Existencia[[#This Row],[EXISTENCIA]]</f>
        <v>0</v>
      </c>
      <c r="I648" s="1">
        <f>IF(ISERROR(MATCH(Tabla_Items_Con_Existencia[[#This Row],[CODIGO]],Tabla_Items_Activos[CODIGO],0)),0,1)</f>
        <v>0</v>
      </c>
    </row>
    <row r="649" spans="1:9">
      <c r="A649" s="2" t="s">
        <v>6760</v>
      </c>
      <c r="B649" s="2" t="s">
        <v>6415</v>
      </c>
      <c r="C649" s="2" t="s">
        <v>4635</v>
      </c>
      <c r="D649" s="2" t="s">
        <v>5161</v>
      </c>
      <c r="E649" s="2" t="s">
        <v>5159</v>
      </c>
      <c r="F649" s="2">
        <v>30.545999999999999</v>
      </c>
      <c r="G649" s="2">
        <v>7</v>
      </c>
      <c r="H649" s="2">
        <f>Tabla_Items_Con_Existencia[[#This Row],[COSTO]]*Tabla_Items_Con_Existencia[[#This Row],[EXISTENCIA]]</f>
        <v>213.822</v>
      </c>
      <c r="I649" s="1">
        <f>IF(ISERROR(MATCH(Tabla_Items_Con_Existencia[[#This Row],[CODIGO]],Tabla_Items_Activos[CODIGO],0)),0,1)</f>
        <v>0</v>
      </c>
    </row>
    <row r="650" spans="1:9">
      <c r="A650" s="2" t="s">
        <v>6760</v>
      </c>
      <c r="B650" s="2" t="s">
        <v>6416</v>
      </c>
      <c r="C650" s="2" t="s">
        <v>6392</v>
      </c>
      <c r="D650" s="2" t="s">
        <v>5161</v>
      </c>
      <c r="E650" s="2" t="s">
        <v>5159</v>
      </c>
      <c r="F650" s="2">
        <v>9.9381052600000004</v>
      </c>
      <c r="G650" s="2">
        <v>14</v>
      </c>
      <c r="H650" s="2">
        <f>Tabla_Items_Con_Existencia[[#This Row],[COSTO]]*Tabla_Items_Con_Existencia[[#This Row],[EXISTENCIA]]</f>
        <v>139.13347364000001</v>
      </c>
      <c r="I650" s="1">
        <f>IF(ISERROR(MATCH(Tabla_Items_Con_Existencia[[#This Row],[CODIGO]],Tabla_Items_Activos[CODIGO],0)),0,1)</f>
        <v>0</v>
      </c>
    </row>
    <row r="651" spans="1:9">
      <c r="A651" s="2" t="s">
        <v>6761</v>
      </c>
      <c r="B651" s="2" t="s">
        <v>6416</v>
      </c>
      <c r="C651" s="2" t="s">
        <v>6392</v>
      </c>
      <c r="D651" s="2" t="s">
        <v>5161</v>
      </c>
      <c r="E651" s="2" t="s">
        <v>5159</v>
      </c>
      <c r="F651" s="2">
        <v>9.9381052600000004</v>
      </c>
      <c r="G651" s="2">
        <v>14</v>
      </c>
      <c r="H651" s="2">
        <f>Tabla_Items_Con_Existencia[[#This Row],[COSTO]]*Tabla_Items_Con_Existencia[[#This Row],[EXISTENCIA]]</f>
        <v>139.13347364000001</v>
      </c>
      <c r="I651" s="1">
        <f>IF(ISERROR(MATCH(Tabla_Items_Con_Existencia[[#This Row],[CODIGO]],Tabla_Items_Activos[CODIGO],0)),0,1)</f>
        <v>0</v>
      </c>
    </row>
    <row r="652" spans="1:9">
      <c r="A652" s="2" t="s">
        <v>6760</v>
      </c>
      <c r="B652" s="2" t="s">
        <v>6417</v>
      </c>
      <c r="C652" s="2" t="s">
        <v>6418</v>
      </c>
      <c r="D652" s="2" t="s">
        <v>5161</v>
      </c>
      <c r="E652" s="2" t="s">
        <v>5159</v>
      </c>
      <c r="F652" s="2">
        <v>5.6044842099999999</v>
      </c>
      <c r="G652" s="2">
        <v>11</v>
      </c>
      <c r="H652" s="2">
        <f>Tabla_Items_Con_Existencia[[#This Row],[COSTO]]*Tabla_Items_Con_Existencia[[#This Row],[EXISTENCIA]]</f>
        <v>61.649326309999999</v>
      </c>
      <c r="I652" s="1">
        <f>IF(ISERROR(MATCH(Tabla_Items_Con_Existencia[[#This Row],[CODIGO]],Tabla_Items_Activos[CODIGO],0)),0,1)</f>
        <v>0</v>
      </c>
    </row>
    <row r="653" spans="1:9">
      <c r="A653" s="2" t="s">
        <v>6761</v>
      </c>
      <c r="B653" s="2" t="s">
        <v>6417</v>
      </c>
      <c r="C653" s="2" t="s">
        <v>6418</v>
      </c>
      <c r="D653" s="2" t="s">
        <v>5161</v>
      </c>
      <c r="E653" s="2" t="s">
        <v>5159</v>
      </c>
      <c r="F653" s="2">
        <v>5.6044842099999999</v>
      </c>
      <c r="G653" s="2">
        <v>11</v>
      </c>
      <c r="H653" s="2">
        <f>Tabla_Items_Con_Existencia[[#This Row],[COSTO]]*Tabla_Items_Con_Existencia[[#This Row],[EXISTENCIA]]</f>
        <v>61.649326309999999</v>
      </c>
      <c r="I653" s="1">
        <f>IF(ISERROR(MATCH(Tabla_Items_Con_Existencia[[#This Row],[CODIGO]],Tabla_Items_Activos[CODIGO],0)),0,1)</f>
        <v>0</v>
      </c>
    </row>
    <row r="654" spans="1:9">
      <c r="A654" s="2" t="s">
        <v>6760</v>
      </c>
      <c r="B654" s="2" t="s">
        <v>6419</v>
      </c>
      <c r="C654" s="2" t="s">
        <v>6418</v>
      </c>
      <c r="D654" s="2" t="s">
        <v>5161</v>
      </c>
      <c r="E654" s="2" t="s">
        <v>5159</v>
      </c>
      <c r="F654" s="2">
        <v>8.2509999999999994</v>
      </c>
      <c r="G654" s="2">
        <v>5</v>
      </c>
      <c r="H654" s="2">
        <f>Tabla_Items_Con_Existencia[[#This Row],[COSTO]]*Tabla_Items_Con_Existencia[[#This Row],[EXISTENCIA]]</f>
        <v>41.254999999999995</v>
      </c>
      <c r="I654" s="1">
        <f>IF(ISERROR(MATCH(Tabla_Items_Con_Existencia[[#This Row],[CODIGO]],Tabla_Items_Activos[CODIGO],0)),0,1)</f>
        <v>0</v>
      </c>
    </row>
    <row r="655" spans="1:9">
      <c r="A655" s="2" t="s">
        <v>6760</v>
      </c>
      <c r="B655" s="2" t="s">
        <v>6420</v>
      </c>
      <c r="C655" s="2" t="s">
        <v>4639</v>
      </c>
      <c r="D655" s="2" t="s">
        <v>5161</v>
      </c>
      <c r="E655" s="2" t="s">
        <v>5159</v>
      </c>
      <c r="F655" s="2">
        <v>1.6306</v>
      </c>
      <c r="G655" s="2">
        <v>4</v>
      </c>
      <c r="H655" s="2">
        <f>Tabla_Items_Con_Existencia[[#This Row],[COSTO]]*Tabla_Items_Con_Existencia[[#This Row],[EXISTENCIA]]</f>
        <v>6.5224000000000002</v>
      </c>
      <c r="I655" s="1">
        <f>IF(ISERROR(MATCH(Tabla_Items_Con_Existencia[[#This Row],[CODIGO]],Tabla_Items_Activos[CODIGO],0)),0,1)</f>
        <v>0</v>
      </c>
    </row>
    <row r="656" spans="1:9">
      <c r="A656" s="2" t="s">
        <v>6760</v>
      </c>
      <c r="B656" s="2" t="s">
        <v>347</v>
      </c>
      <c r="C656" s="2" t="s">
        <v>1696</v>
      </c>
      <c r="D656" s="2" t="s">
        <v>5161</v>
      </c>
      <c r="E656" s="2" t="s">
        <v>5159</v>
      </c>
      <c r="F656" s="2">
        <v>7.718</v>
      </c>
      <c r="G656" s="2">
        <v>5</v>
      </c>
      <c r="H656" s="2">
        <f>Tabla_Items_Con_Existencia[[#This Row],[COSTO]]*Tabla_Items_Con_Existencia[[#This Row],[EXISTENCIA]]</f>
        <v>38.590000000000003</v>
      </c>
      <c r="I656" s="1">
        <f>IF(ISERROR(MATCH(Tabla_Items_Con_Existencia[[#This Row],[CODIGO]],Tabla_Items_Activos[CODIGO],0)),0,1)</f>
        <v>0</v>
      </c>
    </row>
    <row r="657" spans="1:9">
      <c r="A657" s="2" t="s">
        <v>6760</v>
      </c>
      <c r="B657" s="2" t="s">
        <v>6421</v>
      </c>
      <c r="C657" s="2" t="s">
        <v>4643</v>
      </c>
      <c r="D657" s="2" t="s">
        <v>5161</v>
      </c>
      <c r="E657" s="2" t="s">
        <v>5159</v>
      </c>
      <c r="F657" s="2">
        <v>13.555</v>
      </c>
      <c r="G657" s="2">
        <v>2</v>
      </c>
      <c r="H657" s="2">
        <f>Tabla_Items_Con_Existencia[[#This Row],[COSTO]]*Tabla_Items_Con_Existencia[[#This Row],[EXISTENCIA]]</f>
        <v>27.11</v>
      </c>
      <c r="I657" s="1">
        <f>IF(ISERROR(MATCH(Tabla_Items_Con_Existencia[[#This Row],[CODIGO]],Tabla_Items_Activos[CODIGO],0)),0,1)</f>
        <v>0</v>
      </c>
    </row>
    <row r="658" spans="1:9">
      <c r="A658" s="2" t="s">
        <v>6760</v>
      </c>
      <c r="B658" s="2" t="s">
        <v>6422</v>
      </c>
      <c r="C658" s="2" t="s">
        <v>6423</v>
      </c>
      <c r="D658" s="2" t="s">
        <v>5161</v>
      </c>
      <c r="E658" s="2" t="s">
        <v>5159</v>
      </c>
      <c r="F658" s="2">
        <v>50.094999999999999</v>
      </c>
      <c r="G658" s="2">
        <v>3</v>
      </c>
      <c r="H658" s="2">
        <f>Tabla_Items_Con_Existencia[[#This Row],[COSTO]]*Tabla_Items_Con_Existencia[[#This Row],[EXISTENCIA]]</f>
        <v>150.285</v>
      </c>
      <c r="I658" s="1">
        <f>IF(ISERROR(MATCH(Tabla_Items_Con_Existencia[[#This Row],[CODIGO]],Tabla_Items_Activos[CODIGO],0)),0,1)</f>
        <v>0</v>
      </c>
    </row>
    <row r="659" spans="1:9">
      <c r="A659" s="2" t="s">
        <v>6760</v>
      </c>
      <c r="B659" s="2" t="s">
        <v>348</v>
      </c>
      <c r="C659" s="2" t="s">
        <v>7220</v>
      </c>
      <c r="D659" s="2" t="s">
        <v>5196</v>
      </c>
      <c r="E659" s="2" t="s">
        <v>5159</v>
      </c>
      <c r="F659" s="2">
        <v>253.95686316000001</v>
      </c>
      <c r="G659" s="2">
        <v>3</v>
      </c>
      <c r="H659" s="2">
        <f>Tabla_Items_Con_Existencia[[#This Row],[COSTO]]*Tabla_Items_Con_Existencia[[#This Row],[EXISTENCIA]]</f>
        <v>761.87058948000004</v>
      </c>
      <c r="I659" s="1">
        <f>IF(ISERROR(MATCH(Tabla_Items_Con_Existencia[[#This Row],[CODIGO]],Tabla_Items_Activos[CODIGO],0)),0,1)</f>
        <v>0</v>
      </c>
    </row>
    <row r="660" spans="1:9">
      <c r="A660" s="2" t="s">
        <v>6761</v>
      </c>
      <c r="B660" s="2" t="s">
        <v>348</v>
      </c>
      <c r="C660" s="2" t="s">
        <v>7220</v>
      </c>
      <c r="D660" s="2" t="s">
        <v>5196</v>
      </c>
      <c r="E660" s="2" t="s">
        <v>5159</v>
      </c>
      <c r="F660" s="2">
        <v>253.95686316000001</v>
      </c>
      <c r="G660" s="2">
        <v>3</v>
      </c>
      <c r="H660" s="2">
        <f>Tabla_Items_Con_Existencia[[#This Row],[COSTO]]*Tabla_Items_Con_Existencia[[#This Row],[EXISTENCIA]]</f>
        <v>761.87058948000004</v>
      </c>
      <c r="I660" s="1">
        <f>IF(ISERROR(MATCH(Tabla_Items_Con_Existencia[[#This Row],[CODIGO]],Tabla_Items_Activos[CODIGO],0)),0,1)</f>
        <v>0</v>
      </c>
    </row>
    <row r="661" spans="1:9">
      <c r="A661" s="2" t="s">
        <v>6760</v>
      </c>
      <c r="B661" s="2" t="s">
        <v>1698</v>
      </c>
      <c r="C661" s="2" t="s">
        <v>1699</v>
      </c>
      <c r="D661" s="2" t="s">
        <v>5196</v>
      </c>
      <c r="E661" s="2" t="s">
        <v>5159</v>
      </c>
      <c r="F661" s="2">
        <v>291.92314211000001</v>
      </c>
      <c r="G661" s="2">
        <v>7</v>
      </c>
      <c r="H661" s="2">
        <f>Tabla_Items_Con_Existencia[[#This Row],[COSTO]]*Tabla_Items_Con_Existencia[[#This Row],[EXISTENCIA]]</f>
        <v>2043.46199477</v>
      </c>
      <c r="I661" s="1">
        <f>IF(ISERROR(MATCH(Tabla_Items_Con_Existencia[[#This Row],[CODIGO]],Tabla_Items_Activos[CODIGO],0)),0,1)</f>
        <v>0</v>
      </c>
    </row>
    <row r="662" spans="1:9">
      <c r="A662" s="2" t="s">
        <v>6761</v>
      </c>
      <c r="B662" s="2" t="s">
        <v>1698</v>
      </c>
      <c r="C662" s="2" t="s">
        <v>1699</v>
      </c>
      <c r="D662" s="2" t="s">
        <v>5196</v>
      </c>
      <c r="E662" s="2" t="s">
        <v>5159</v>
      </c>
      <c r="F662" s="2">
        <v>291.92314211000001</v>
      </c>
      <c r="G662" s="2">
        <v>7</v>
      </c>
      <c r="H662" s="2">
        <f>Tabla_Items_Con_Existencia[[#This Row],[COSTO]]*Tabla_Items_Con_Existencia[[#This Row],[EXISTENCIA]]</f>
        <v>2043.46199477</v>
      </c>
      <c r="I662" s="1">
        <f>IF(ISERROR(MATCH(Tabla_Items_Con_Existencia[[#This Row],[CODIGO]],Tabla_Items_Activos[CODIGO],0)),0,1)</f>
        <v>0</v>
      </c>
    </row>
    <row r="663" spans="1:9">
      <c r="A663" s="2" t="s">
        <v>6760</v>
      </c>
      <c r="B663" s="2" t="s">
        <v>1700</v>
      </c>
      <c r="C663" s="2" t="s">
        <v>1701</v>
      </c>
      <c r="D663" s="2" t="s">
        <v>5161</v>
      </c>
      <c r="E663" s="2" t="s">
        <v>5159</v>
      </c>
      <c r="F663" s="2">
        <v>5.96</v>
      </c>
      <c r="G663" s="2">
        <v>5</v>
      </c>
      <c r="H663" s="2">
        <f>Tabla_Items_Con_Existencia[[#This Row],[COSTO]]*Tabla_Items_Con_Existencia[[#This Row],[EXISTENCIA]]</f>
        <v>29.8</v>
      </c>
      <c r="I663" s="1">
        <f>IF(ISERROR(MATCH(Tabla_Items_Con_Existencia[[#This Row],[CODIGO]],Tabla_Items_Activos[CODIGO],0)),0,1)</f>
        <v>0</v>
      </c>
    </row>
    <row r="664" spans="1:9">
      <c r="A664" s="2" t="s">
        <v>6760</v>
      </c>
      <c r="B664" s="2" t="s">
        <v>1702</v>
      </c>
      <c r="C664" s="2" t="s">
        <v>1703</v>
      </c>
      <c r="D664" s="2" t="s">
        <v>5161</v>
      </c>
      <c r="E664" s="2" t="s">
        <v>5159</v>
      </c>
      <c r="F664" s="2">
        <v>5.83</v>
      </c>
      <c r="G664" s="2">
        <v>5</v>
      </c>
      <c r="H664" s="2">
        <f>Tabla_Items_Con_Existencia[[#This Row],[COSTO]]*Tabla_Items_Con_Existencia[[#This Row],[EXISTENCIA]]</f>
        <v>29.15</v>
      </c>
      <c r="I664" s="1">
        <f>IF(ISERROR(MATCH(Tabla_Items_Con_Existencia[[#This Row],[CODIGO]],Tabla_Items_Activos[CODIGO],0)),0,1)</f>
        <v>0</v>
      </c>
    </row>
    <row r="665" spans="1:9">
      <c r="A665" s="2" t="s">
        <v>6760</v>
      </c>
      <c r="B665" s="2" t="s">
        <v>1704</v>
      </c>
      <c r="C665" s="2" t="s">
        <v>1705</v>
      </c>
      <c r="D665" s="2" t="s">
        <v>5161</v>
      </c>
      <c r="E665" s="2" t="s">
        <v>5159</v>
      </c>
      <c r="F665" s="2">
        <v>2.98</v>
      </c>
      <c r="G665" s="2">
        <v>5</v>
      </c>
      <c r="H665" s="2">
        <f>Tabla_Items_Con_Existencia[[#This Row],[COSTO]]*Tabla_Items_Con_Existencia[[#This Row],[EXISTENCIA]]</f>
        <v>14.9</v>
      </c>
      <c r="I665" s="1">
        <f>IF(ISERROR(MATCH(Tabla_Items_Con_Existencia[[#This Row],[CODIGO]],Tabla_Items_Activos[CODIGO],0)),0,1)</f>
        <v>0</v>
      </c>
    </row>
    <row r="666" spans="1:9">
      <c r="A666" s="2" t="s">
        <v>6760</v>
      </c>
      <c r="B666" s="2" t="s">
        <v>1706</v>
      </c>
      <c r="C666" s="2" t="s">
        <v>1707</v>
      </c>
      <c r="D666" s="2" t="s">
        <v>5161</v>
      </c>
      <c r="E666" s="2" t="s">
        <v>5159</v>
      </c>
      <c r="F666" s="2">
        <v>6.1</v>
      </c>
      <c r="G666" s="2">
        <v>4</v>
      </c>
      <c r="H666" s="2">
        <f>Tabla_Items_Con_Existencia[[#This Row],[COSTO]]*Tabla_Items_Con_Existencia[[#This Row],[EXISTENCIA]]</f>
        <v>24.4</v>
      </c>
      <c r="I666" s="1">
        <f>IF(ISERROR(MATCH(Tabla_Items_Con_Existencia[[#This Row],[CODIGO]],Tabla_Items_Activos[CODIGO],0)),0,1)</f>
        <v>0</v>
      </c>
    </row>
    <row r="667" spans="1:9">
      <c r="A667" s="2" t="s">
        <v>6760</v>
      </c>
      <c r="B667" s="2" t="s">
        <v>1708</v>
      </c>
      <c r="C667" s="2" t="s">
        <v>1709</v>
      </c>
      <c r="D667" s="2" t="s">
        <v>5161</v>
      </c>
      <c r="E667" s="2" t="s">
        <v>5159</v>
      </c>
      <c r="F667" s="2">
        <v>8.1</v>
      </c>
      <c r="G667" s="2">
        <v>2</v>
      </c>
      <c r="H667" s="2">
        <f>Tabla_Items_Con_Existencia[[#This Row],[COSTO]]*Tabla_Items_Con_Existencia[[#This Row],[EXISTENCIA]]</f>
        <v>16.2</v>
      </c>
      <c r="I667" s="1">
        <f>IF(ISERROR(MATCH(Tabla_Items_Con_Existencia[[#This Row],[CODIGO]],Tabla_Items_Activos[CODIGO],0)),0,1)</f>
        <v>0</v>
      </c>
    </row>
    <row r="668" spans="1:9">
      <c r="A668" s="2" t="s">
        <v>6760</v>
      </c>
      <c r="B668" s="2" t="s">
        <v>1710</v>
      </c>
      <c r="C668" s="2" t="s">
        <v>1711</v>
      </c>
      <c r="D668" s="2" t="s">
        <v>5161</v>
      </c>
      <c r="E668" s="2" t="s">
        <v>5159</v>
      </c>
      <c r="F668" s="2">
        <v>14.06</v>
      </c>
      <c r="G668" s="2">
        <v>2</v>
      </c>
      <c r="H668" s="2">
        <f>Tabla_Items_Con_Existencia[[#This Row],[COSTO]]*Tabla_Items_Con_Existencia[[#This Row],[EXISTENCIA]]</f>
        <v>28.12</v>
      </c>
      <c r="I668" s="1">
        <f>IF(ISERROR(MATCH(Tabla_Items_Con_Existencia[[#This Row],[CODIGO]],Tabla_Items_Activos[CODIGO],0)),0,1)</f>
        <v>0</v>
      </c>
    </row>
    <row r="669" spans="1:9">
      <c r="A669" s="2" t="s">
        <v>6760</v>
      </c>
      <c r="B669" s="2" t="s">
        <v>350</v>
      </c>
      <c r="C669" s="2" t="s">
        <v>1713</v>
      </c>
      <c r="D669" s="2" t="s">
        <v>5189</v>
      </c>
      <c r="E669" s="2" t="s">
        <v>5159</v>
      </c>
      <c r="F669" s="2">
        <v>40.54</v>
      </c>
      <c r="G669" s="2">
        <v>4</v>
      </c>
      <c r="H669" s="2">
        <f>Tabla_Items_Con_Existencia[[#This Row],[COSTO]]*Tabla_Items_Con_Existencia[[#This Row],[EXISTENCIA]]</f>
        <v>162.16</v>
      </c>
      <c r="I669" s="1">
        <f>IF(ISERROR(MATCH(Tabla_Items_Con_Existencia[[#This Row],[CODIGO]],Tabla_Items_Activos[CODIGO],0)),0,1)</f>
        <v>0</v>
      </c>
    </row>
    <row r="670" spans="1:9">
      <c r="A670" s="2" t="s">
        <v>6760</v>
      </c>
      <c r="B670" s="2" t="s">
        <v>6424</v>
      </c>
      <c r="C670" s="2" t="s">
        <v>6425</v>
      </c>
      <c r="D670" s="2" t="s">
        <v>5227</v>
      </c>
      <c r="E670" s="2" t="s">
        <v>5192</v>
      </c>
      <c r="F670" s="2">
        <v>9.8140000000000001</v>
      </c>
      <c r="G670" s="2">
        <v>8</v>
      </c>
      <c r="H670" s="2">
        <f>Tabla_Items_Con_Existencia[[#This Row],[COSTO]]*Tabla_Items_Con_Existencia[[#This Row],[EXISTENCIA]]</f>
        <v>78.512</v>
      </c>
      <c r="I670" s="1">
        <f>IF(ISERROR(MATCH(Tabla_Items_Con_Existencia[[#This Row],[CODIGO]],Tabla_Items_Activos[CODIGO],0)),0,1)</f>
        <v>0</v>
      </c>
    </row>
    <row r="671" spans="1:9">
      <c r="A671" s="2" t="s">
        <v>6760</v>
      </c>
      <c r="B671" s="2" t="s">
        <v>351</v>
      </c>
      <c r="C671" s="2" t="s">
        <v>1714</v>
      </c>
      <c r="D671" s="2" t="s">
        <v>5158</v>
      </c>
      <c r="E671" s="2" t="s">
        <v>5159</v>
      </c>
      <c r="F671" s="2">
        <v>7.3685999999999998</v>
      </c>
      <c r="G671" s="2">
        <v>23</v>
      </c>
      <c r="H671" s="2">
        <f>Tabla_Items_Con_Existencia[[#This Row],[COSTO]]*Tabla_Items_Con_Existencia[[#This Row],[EXISTENCIA]]</f>
        <v>169.4778</v>
      </c>
      <c r="I671" s="1">
        <f>IF(ISERROR(MATCH(Tabla_Items_Con_Existencia[[#This Row],[CODIGO]],Tabla_Items_Activos[CODIGO],0)),0,1)</f>
        <v>0</v>
      </c>
    </row>
    <row r="672" spans="1:9">
      <c r="A672" s="2" t="s">
        <v>6760</v>
      </c>
      <c r="B672" s="2" t="s">
        <v>352</v>
      </c>
      <c r="C672" s="2" t="s">
        <v>1715</v>
      </c>
      <c r="D672" s="2" t="s">
        <v>5187</v>
      </c>
      <c r="E672" s="2" t="s">
        <v>5159</v>
      </c>
      <c r="F672" s="2">
        <v>13.66</v>
      </c>
      <c r="G672" s="2">
        <v>2</v>
      </c>
      <c r="H672" s="2">
        <f>Tabla_Items_Con_Existencia[[#This Row],[COSTO]]*Tabla_Items_Con_Existencia[[#This Row],[EXISTENCIA]]</f>
        <v>27.32</v>
      </c>
      <c r="I672" s="1">
        <f>IF(ISERROR(MATCH(Tabla_Items_Con_Existencia[[#This Row],[CODIGO]],Tabla_Items_Activos[CODIGO],0)),0,1)</f>
        <v>0</v>
      </c>
    </row>
    <row r="673" spans="1:9">
      <c r="A673" s="2" t="s">
        <v>6760</v>
      </c>
      <c r="B673" s="2" t="s">
        <v>353</v>
      </c>
      <c r="C673" s="2" t="s">
        <v>1716</v>
      </c>
      <c r="D673" s="2" t="s">
        <v>5187</v>
      </c>
      <c r="E673" s="2" t="s">
        <v>5159</v>
      </c>
      <c r="F673" s="2">
        <v>28.41</v>
      </c>
      <c r="G673" s="2">
        <v>2</v>
      </c>
      <c r="H673" s="2">
        <f>Tabla_Items_Con_Existencia[[#This Row],[COSTO]]*Tabla_Items_Con_Existencia[[#This Row],[EXISTENCIA]]</f>
        <v>56.82</v>
      </c>
      <c r="I673" s="1">
        <f>IF(ISERROR(MATCH(Tabla_Items_Con_Existencia[[#This Row],[CODIGO]],Tabla_Items_Activos[CODIGO],0)),0,1)</f>
        <v>0</v>
      </c>
    </row>
    <row r="674" spans="1:9">
      <c r="A674" s="2" t="s">
        <v>6760</v>
      </c>
      <c r="B674" s="2" t="s">
        <v>354</v>
      </c>
      <c r="C674" s="2" t="s">
        <v>1717</v>
      </c>
      <c r="D674" s="2" t="s">
        <v>5158</v>
      </c>
      <c r="E674" s="2" t="s">
        <v>5159</v>
      </c>
      <c r="F674" s="2">
        <v>12.879</v>
      </c>
      <c r="G674" s="2">
        <v>9</v>
      </c>
      <c r="H674" s="2">
        <f>Tabla_Items_Con_Existencia[[#This Row],[COSTO]]*Tabla_Items_Con_Existencia[[#This Row],[EXISTENCIA]]</f>
        <v>115.911</v>
      </c>
      <c r="I674" s="1">
        <f>IF(ISERROR(MATCH(Tabla_Items_Con_Existencia[[#This Row],[CODIGO]],Tabla_Items_Activos[CODIGO],0)),0,1)</f>
        <v>0</v>
      </c>
    </row>
    <row r="675" spans="1:9">
      <c r="A675" s="2" t="s">
        <v>6760</v>
      </c>
      <c r="B675" s="2" t="s">
        <v>355</v>
      </c>
      <c r="C675" s="2" t="s">
        <v>1718</v>
      </c>
      <c r="D675" s="2" t="s">
        <v>5187</v>
      </c>
      <c r="E675" s="2" t="s">
        <v>5159</v>
      </c>
      <c r="F675" s="2">
        <v>8.81</v>
      </c>
      <c r="G675" s="2">
        <v>1</v>
      </c>
      <c r="H675" s="2">
        <f>Tabla_Items_Con_Existencia[[#This Row],[COSTO]]*Tabla_Items_Con_Existencia[[#This Row],[EXISTENCIA]]</f>
        <v>8.81</v>
      </c>
      <c r="I675" s="1">
        <f>IF(ISERROR(MATCH(Tabla_Items_Con_Existencia[[#This Row],[CODIGO]],Tabla_Items_Activos[CODIGO],0)),0,1)</f>
        <v>0</v>
      </c>
    </row>
    <row r="676" spans="1:9">
      <c r="A676" s="2" t="s">
        <v>6760</v>
      </c>
      <c r="B676" s="2" t="s">
        <v>356</v>
      </c>
      <c r="C676" s="2" t="s">
        <v>1719</v>
      </c>
      <c r="D676" s="2" t="s">
        <v>5187</v>
      </c>
      <c r="E676" s="2" t="s">
        <v>5159</v>
      </c>
      <c r="F676" s="2">
        <v>10.4</v>
      </c>
      <c r="G676" s="2">
        <v>2</v>
      </c>
      <c r="H676" s="2">
        <f>Tabla_Items_Con_Existencia[[#This Row],[COSTO]]*Tabla_Items_Con_Existencia[[#This Row],[EXISTENCIA]]</f>
        <v>20.8</v>
      </c>
      <c r="I676" s="1">
        <f>IF(ISERROR(MATCH(Tabla_Items_Con_Existencia[[#This Row],[CODIGO]],Tabla_Items_Activos[CODIGO],0)),0,1)</f>
        <v>0</v>
      </c>
    </row>
    <row r="677" spans="1:9">
      <c r="A677" s="2" t="s">
        <v>6760</v>
      </c>
      <c r="B677" s="2" t="s">
        <v>357</v>
      </c>
      <c r="C677" s="2" t="s">
        <v>5426</v>
      </c>
      <c r="D677" s="2" t="s">
        <v>5158</v>
      </c>
      <c r="E677" s="2" t="s">
        <v>5159</v>
      </c>
      <c r="F677" s="2">
        <v>11.47</v>
      </c>
      <c r="G677" s="2">
        <v>9</v>
      </c>
      <c r="H677" s="2">
        <f>Tabla_Items_Con_Existencia[[#This Row],[COSTO]]*Tabla_Items_Con_Existencia[[#This Row],[EXISTENCIA]]</f>
        <v>103.23</v>
      </c>
      <c r="I677" s="1">
        <f>IF(ISERROR(MATCH(Tabla_Items_Con_Existencia[[#This Row],[CODIGO]],Tabla_Items_Activos[CODIGO],0)),0,1)</f>
        <v>0</v>
      </c>
    </row>
    <row r="678" spans="1:9">
      <c r="A678" s="2" t="s">
        <v>6760</v>
      </c>
      <c r="B678" s="2" t="s">
        <v>358</v>
      </c>
      <c r="C678" s="2" t="s">
        <v>1720</v>
      </c>
      <c r="D678" s="2" t="s">
        <v>5158</v>
      </c>
      <c r="E678" s="2" t="s">
        <v>5159</v>
      </c>
      <c r="F678" s="2">
        <v>37.082999999999998</v>
      </c>
      <c r="G678" s="2">
        <v>6</v>
      </c>
      <c r="H678" s="2">
        <f>Tabla_Items_Con_Existencia[[#This Row],[COSTO]]*Tabla_Items_Con_Existencia[[#This Row],[EXISTENCIA]]</f>
        <v>222.49799999999999</v>
      </c>
      <c r="I678" s="1">
        <f>IF(ISERROR(MATCH(Tabla_Items_Con_Existencia[[#This Row],[CODIGO]],Tabla_Items_Activos[CODIGO],0)),0,1)</f>
        <v>0</v>
      </c>
    </row>
    <row r="679" spans="1:9">
      <c r="A679" s="2" t="s">
        <v>6760</v>
      </c>
      <c r="B679" s="2" t="s">
        <v>359</v>
      </c>
      <c r="C679" s="2" t="s">
        <v>1721</v>
      </c>
      <c r="D679" s="2" t="s">
        <v>5158</v>
      </c>
      <c r="E679" s="2" t="s">
        <v>5159</v>
      </c>
      <c r="F679" s="2">
        <v>29.117000000000001</v>
      </c>
      <c r="G679" s="2">
        <v>4</v>
      </c>
      <c r="H679" s="2">
        <f>Tabla_Items_Con_Existencia[[#This Row],[COSTO]]*Tabla_Items_Con_Existencia[[#This Row],[EXISTENCIA]]</f>
        <v>116.468</v>
      </c>
      <c r="I679" s="1">
        <f>IF(ISERROR(MATCH(Tabla_Items_Con_Existencia[[#This Row],[CODIGO]],Tabla_Items_Activos[CODIGO],0)),0,1)</f>
        <v>0</v>
      </c>
    </row>
    <row r="680" spans="1:9">
      <c r="A680" s="2" t="s">
        <v>6760</v>
      </c>
      <c r="B680" s="2" t="s">
        <v>360</v>
      </c>
      <c r="C680" s="2" t="s">
        <v>1722</v>
      </c>
      <c r="D680" s="2" t="s">
        <v>5158</v>
      </c>
      <c r="E680" s="2" t="s">
        <v>5159</v>
      </c>
      <c r="F680" s="2">
        <v>62.703000000000003</v>
      </c>
      <c r="G680" s="2">
        <v>4</v>
      </c>
      <c r="H680" s="2">
        <f>Tabla_Items_Con_Existencia[[#This Row],[COSTO]]*Tabla_Items_Con_Existencia[[#This Row],[EXISTENCIA]]</f>
        <v>250.81200000000001</v>
      </c>
      <c r="I680" s="1">
        <f>IF(ISERROR(MATCH(Tabla_Items_Con_Existencia[[#This Row],[CODIGO]],Tabla_Items_Activos[CODIGO],0)),0,1)</f>
        <v>0</v>
      </c>
    </row>
    <row r="681" spans="1:9">
      <c r="A681" s="2" t="s">
        <v>6760</v>
      </c>
      <c r="B681" s="2" t="s">
        <v>361</v>
      </c>
      <c r="C681" s="2" t="s">
        <v>1723</v>
      </c>
      <c r="D681" s="2" t="s">
        <v>5187</v>
      </c>
      <c r="E681" s="2" t="s">
        <v>5159</v>
      </c>
      <c r="F681" s="2">
        <v>25.04</v>
      </c>
      <c r="G681" s="2">
        <v>2</v>
      </c>
      <c r="H681" s="2">
        <f>Tabla_Items_Con_Existencia[[#This Row],[COSTO]]*Tabla_Items_Con_Existencia[[#This Row],[EXISTENCIA]]</f>
        <v>50.08</v>
      </c>
      <c r="I681" s="1">
        <f>IF(ISERROR(MATCH(Tabla_Items_Con_Existencia[[#This Row],[CODIGO]],Tabla_Items_Activos[CODIGO],0)),0,1)</f>
        <v>0</v>
      </c>
    </row>
    <row r="682" spans="1:9">
      <c r="A682" s="2" t="s">
        <v>6760</v>
      </c>
      <c r="B682" s="2" t="s">
        <v>362</v>
      </c>
      <c r="C682" s="2" t="s">
        <v>1724</v>
      </c>
      <c r="D682" s="2" t="s">
        <v>5187</v>
      </c>
      <c r="E682" s="2" t="s">
        <v>5159</v>
      </c>
      <c r="F682" s="2">
        <v>34.71</v>
      </c>
      <c r="G682" s="2">
        <v>2</v>
      </c>
      <c r="H682" s="2">
        <f>Tabla_Items_Con_Existencia[[#This Row],[COSTO]]*Tabla_Items_Con_Existencia[[#This Row],[EXISTENCIA]]</f>
        <v>69.42</v>
      </c>
      <c r="I682" s="1">
        <f>IF(ISERROR(MATCH(Tabla_Items_Con_Existencia[[#This Row],[CODIGO]],Tabla_Items_Activos[CODIGO],0)),0,1)</f>
        <v>0</v>
      </c>
    </row>
    <row r="683" spans="1:9">
      <c r="A683" s="2" t="s">
        <v>6760</v>
      </c>
      <c r="B683" s="2" t="s">
        <v>363</v>
      </c>
      <c r="C683" s="2" t="s">
        <v>5427</v>
      </c>
      <c r="D683" s="2" t="s">
        <v>5158</v>
      </c>
      <c r="E683" s="2" t="s">
        <v>5159</v>
      </c>
      <c r="F683" s="2">
        <v>0.22</v>
      </c>
      <c r="G683" s="2">
        <v>50</v>
      </c>
      <c r="H683" s="2">
        <f>Tabla_Items_Con_Existencia[[#This Row],[COSTO]]*Tabla_Items_Con_Existencia[[#This Row],[EXISTENCIA]]</f>
        <v>11</v>
      </c>
      <c r="I683" s="1">
        <f>IF(ISERROR(MATCH(Tabla_Items_Con_Existencia[[#This Row],[CODIGO]],Tabla_Items_Activos[CODIGO],0)),0,1)</f>
        <v>0</v>
      </c>
    </row>
    <row r="684" spans="1:9">
      <c r="A684" s="2" t="s">
        <v>6760</v>
      </c>
      <c r="B684" s="2" t="s">
        <v>364</v>
      </c>
      <c r="C684" s="2" t="s">
        <v>6851</v>
      </c>
      <c r="D684" s="2" t="s">
        <v>5187</v>
      </c>
      <c r="E684" s="2" t="s">
        <v>5159</v>
      </c>
      <c r="F684" s="2">
        <v>3.07</v>
      </c>
      <c r="G684" s="2">
        <v>2</v>
      </c>
      <c r="H684" s="2">
        <f>Tabla_Items_Con_Existencia[[#This Row],[COSTO]]*Tabla_Items_Con_Existencia[[#This Row],[EXISTENCIA]]</f>
        <v>6.14</v>
      </c>
      <c r="I684" s="1">
        <f>IF(ISERROR(MATCH(Tabla_Items_Con_Existencia[[#This Row],[CODIGO]],Tabla_Items_Activos[CODIGO],0)),0,1)</f>
        <v>0</v>
      </c>
    </row>
    <row r="685" spans="1:9">
      <c r="A685" s="2" t="s">
        <v>6760</v>
      </c>
      <c r="B685" s="2" t="s">
        <v>365</v>
      </c>
      <c r="C685" s="2" t="s">
        <v>1726</v>
      </c>
      <c r="D685" s="2" t="s">
        <v>5187</v>
      </c>
      <c r="E685" s="2" t="s">
        <v>5159</v>
      </c>
      <c r="F685" s="2">
        <v>4.91</v>
      </c>
      <c r="G685" s="2">
        <v>2</v>
      </c>
      <c r="H685" s="2">
        <f>Tabla_Items_Con_Existencia[[#This Row],[COSTO]]*Tabla_Items_Con_Existencia[[#This Row],[EXISTENCIA]]</f>
        <v>9.82</v>
      </c>
      <c r="I685" s="1">
        <f>IF(ISERROR(MATCH(Tabla_Items_Con_Existencia[[#This Row],[CODIGO]],Tabla_Items_Activos[CODIGO],0)),0,1)</f>
        <v>0</v>
      </c>
    </row>
    <row r="686" spans="1:9">
      <c r="A686" s="2" t="s">
        <v>6760</v>
      </c>
      <c r="B686" s="2" t="s">
        <v>366</v>
      </c>
      <c r="C686" s="2" t="s">
        <v>1727</v>
      </c>
      <c r="D686" s="2" t="s">
        <v>5187</v>
      </c>
      <c r="E686" s="2" t="s">
        <v>5159</v>
      </c>
      <c r="F686" s="2">
        <v>1.2</v>
      </c>
      <c r="G686" s="2">
        <v>10</v>
      </c>
      <c r="H686" s="2">
        <f>Tabla_Items_Con_Existencia[[#This Row],[COSTO]]*Tabla_Items_Con_Existencia[[#This Row],[EXISTENCIA]]</f>
        <v>12</v>
      </c>
      <c r="I686" s="1">
        <f>IF(ISERROR(MATCH(Tabla_Items_Con_Existencia[[#This Row],[CODIGO]],Tabla_Items_Activos[CODIGO],0)),0,1)</f>
        <v>0</v>
      </c>
    </row>
    <row r="687" spans="1:9">
      <c r="A687" s="2" t="s">
        <v>6760</v>
      </c>
      <c r="B687" s="2" t="s">
        <v>1728</v>
      </c>
      <c r="C687" s="2" t="s">
        <v>1729</v>
      </c>
      <c r="D687" s="2" t="s">
        <v>5158</v>
      </c>
      <c r="E687" s="2" t="s">
        <v>5159</v>
      </c>
      <c r="F687" s="2">
        <v>16.667000000000002</v>
      </c>
      <c r="G687" s="2">
        <v>4</v>
      </c>
      <c r="H687" s="2">
        <f>Tabla_Items_Con_Existencia[[#This Row],[COSTO]]*Tabla_Items_Con_Existencia[[#This Row],[EXISTENCIA]]</f>
        <v>66.668000000000006</v>
      </c>
      <c r="I687" s="1">
        <f>IF(ISERROR(MATCH(Tabla_Items_Con_Existencia[[#This Row],[CODIGO]],Tabla_Items_Activos[CODIGO],0)),0,1)</f>
        <v>0</v>
      </c>
    </row>
    <row r="688" spans="1:9">
      <c r="A688" s="2" t="s">
        <v>6760</v>
      </c>
      <c r="B688" s="2" t="s">
        <v>367</v>
      </c>
      <c r="C688" s="2" t="s">
        <v>1730</v>
      </c>
      <c r="D688" s="2" t="s">
        <v>5158</v>
      </c>
      <c r="E688" s="2" t="s">
        <v>5159</v>
      </c>
      <c r="F688" s="2">
        <v>10.521800000000001</v>
      </c>
      <c r="G688" s="2">
        <v>10</v>
      </c>
      <c r="H688" s="2">
        <f>Tabla_Items_Con_Existencia[[#This Row],[COSTO]]*Tabla_Items_Con_Existencia[[#This Row],[EXISTENCIA]]</f>
        <v>105.218</v>
      </c>
      <c r="I688" s="1">
        <f>IF(ISERROR(MATCH(Tabla_Items_Con_Existencia[[#This Row],[CODIGO]],Tabla_Items_Activos[CODIGO],0)),0,1)</f>
        <v>0</v>
      </c>
    </row>
    <row r="689" spans="1:9">
      <c r="A689" s="2" t="s">
        <v>6761</v>
      </c>
      <c r="B689" s="2" t="s">
        <v>6755</v>
      </c>
      <c r="C689" s="2" t="s">
        <v>6852</v>
      </c>
      <c r="D689" s="2" t="s">
        <v>5158</v>
      </c>
      <c r="E689" s="2" t="s">
        <v>5159</v>
      </c>
      <c r="F689" s="2">
        <v>6.8849684199999999</v>
      </c>
      <c r="G689" s="2">
        <v>5</v>
      </c>
      <c r="H689" s="2">
        <f>Tabla_Items_Con_Existencia[[#This Row],[COSTO]]*Tabla_Items_Con_Existencia[[#This Row],[EXISTENCIA]]</f>
        <v>34.424842099999999</v>
      </c>
      <c r="I689" s="1">
        <f>IF(ISERROR(MATCH(Tabla_Items_Con_Existencia[[#This Row],[CODIGO]],Tabla_Items_Activos[CODIGO],0)),0,1)</f>
        <v>0</v>
      </c>
    </row>
    <row r="690" spans="1:9">
      <c r="A690" s="2" t="s">
        <v>6760</v>
      </c>
      <c r="B690" s="2" t="s">
        <v>6755</v>
      </c>
      <c r="C690" s="2" t="s">
        <v>6852</v>
      </c>
      <c r="D690" s="2" t="s">
        <v>5158</v>
      </c>
      <c r="E690" s="2" t="s">
        <v>5159</v>
      </c>
      <c r="F690" s="2">
        <v>6.8849684199999999</v>
      </c>
      <c r="G690" s="2">
        <v>5</v>
      </c>
      <c r="H690" s="2">
        <f>Tabla_Items_Con_Existencia[[#This Row],[COSTO]]*Tabla_Items_Con_Existencia[[#This Row],[EXISTENCIA]]</f>
        <v>34.424842099999999</v>
      </c>
      <c r="I690" s="1">
        <f>IF(ISERROR(MATCH(Tabla_Items_Con_Existencia[[#This Row],[CODIGO]],Tabla_Items_Activos[CODIGO],0)),0,1)</f>
        <v>0</v>
      </c>
    </row>
    <row r="691" spans="1:9">
      <c r="A691" s="2" t="s">
        <v>6760</v>
      </c>
      <c r="B691" s="2" t="s">
        <v>368</v>
      </c>
      <c r="C691" s="2" t="s">
        <v>6853</v>
      </c>
      <c r="D691" s="2" t="s">
        <v>5158</v>
      </c>
      <c r="E691" s="2" t="s">
        <v>5159</v>
      </c>
      <c r="F691" s="2">
        <v>18.7254</v>
      </c>
      <c r="G691" s="2">
        <v>18</v>
      </c>
      <c r="H691" s="2">
        <f>Tabla_Items_Con_Existencia[[#This Row],[COSTO]]*Tabla_Items_Con_Existencia[[#This Row],[EXISTENCIA]]</f>
        <v>337.05720000000002</v>
      </c>
      <c r="I691" s="1">
        <f>IF(ISERROR(MATCH(Tabla_Items_Con_Existencia[[#This Row],[CODIGO]],Tabla_Items_Activos[CODIGO],0)),0,1)</f>
        <v>0</v>
      </c>
    </row>
    <row r="692" spans="1:9">
      <c r="A692" s="2" t="s">
        <v>6760</v>
      </c>
      <c r="B692" s="2" t="s">
        <v>369</v>
      </c>
      <c r="C692" s="2" t="s">
        <v>1732</v>
      </c>
      <c r="D692" s="2" t="s">
        <v>5158</v>
      </c>
      <c r="E692" s="2" t="s">
        <v>5159</v>
      </c>
      <c r="F692" s="2">
        <v>5.5354999999999999</v>
      </c>
      <c r="G692" s="2">
        <v>19</v>
      </c>
      <c r="H692" s="2">
        <f>Tabla_Items_Con_Existencia[[#This Row],[COSTO]]*Tabla_Items_Con_Existencia[[#This Row],[EXISTENCIA]]</f>
        <v>105.17449999999999</v>
      </c>
      <c r="I692" s="1">
        <f>IF(ISERROR(MATCH(Tabla_Items_Con_Existencia[[#This Row],[CODIGO]],Tabla_Items_Activos[CODIGO],0)),0,1)</f>
        <v>0</v>
      </c>
    </row>
    <row r="693" spans="1:9">
      <c r="A693" s="2" t="s">
        <v>6760</v>
      </c>
      <c r="B693" s="2" t="s">
        <v>370</v>
      </c>
      <c r="C693" s="2" t="s">
        <v>6854</v>
      </c>
      <c r="D693" s="2" t="s">
        <v>5158</v>
      </c>
      <c r="E693" s="2" t="s">
        <v>5159</v>
      </c>
      <c r="F693" s="2">
        <v>3.8340999999999998</v>
      </c>
      <c r="G693" s="2">
        <v>39</v>
      </c>
      <c r="H693" s="2">
        <f>Tabla_Items_Con_Existencia[[#This Row],[COSTO]]*Tabla_Items_Con_Existencia[[#This Row],[EXISTENCIA]]</f>
        <v>149.5299</v>
      </c>
      <c r="I693" s="1">
        <f>IF(ISERROR(MATCH(Tabla_Items_Con_Existencia[[#This Row],[CODIGO]],Tabla_Items_Activos[CODIGO],0)),0,1)</f>
        <v>0</v>
      </c>
    </row>
    <row r="694" spans="1:9">
      <c r="A694" s="2" t="s">
        <v>6760</v>
      </c>
      <c r="B694" s="2" t="s">
        <v>1734</v>
      </c>
      <c r="C694" s="2" t="s">
        <v>7221</v>
      </c>
      <c r="D694" s="2" t="s">
        <v>5158</v>
      </c>
      <c r="E694" s="2" t="s">
        <v>5159</v>
      </c>
      <c r="F694" s="2">
        <v>4.3357000000000001</v>
      </c>
      <c r="G694" s="2">
        <v>9</v>
      </c>
      <c r="H694" s="2">
        <f>Tabla_Items_Con_Existencia[[#This Row],[COSTO]]*Tabla_Items_Con_Existencia[[#This Row],[EXISTENCIA]]</f>
        <v>39.021300000000004</v>
      </c>
      <c r="I694" s="1">
        <f>IF(ISERROR(MATCH(Tabla_Items_Con_Existencia[[#This Row],[CODIGO]],Tabla_Items_Activos[CODIGO],0)),0,1)</f>
        <v>0</v>
      </c>
    </row>
    <row r="695" spans="1:9">
      <c r="A695" s="2" t="s">
        <v>6760</v>
      </c>
      <c r="B695" s="2" t="s">
        <v>371</v>
      </c>
      <c r="C695" s="2" t="s">
        <v>1736</v>
      </c>
      <c r="D695" s="2" t="s">
        <v>5158</v>
      </c>
      <c r="E695" s="2" t="s">
        <v>5159</v>
      </c>
      <c r="F695" s="2">
        <v>0.93</v>
      </c>
      <c r="G695" s="2">
        <v>12</v>
      </c>
      <c r="H695" s="2">
        <f>Tabla_Items_Con_Existencia[[#This Row],[COSTO]]*Tabla_Items_Con_Existencia[[#This Row],[EXISTENCIA]]</f>
        <v>11.16</v>
      </c>
      <c r="I695" s="1">
        <f>IF(ISERROR(MATCH(Tabla_Items_Con_Existencia[[#This Row],[CODIGO]],Tabla_Items_Activos[CODIGO],0)),0,1)</f>
        <v>0</v>
      </c>
    </row>
    <row r="696" spans="1:9">
      <c r="A696" s="2" t="s">
        <v>6760</v>
      </c>
      <c r="B696" s="2" t="s">
        <v>372</v>
      </c>
      <c r="C696" s="2" t="s">
        <v>1737</v>
      </c>
      <c r="D696" s="2" t="s">
        <v>5158</v>
      </c>
      <c r="E696" s="2" t="s">
        <v>5159</v>
      </c>
      <c r="F696" s="2">
        <v>0.56293683999999999</v>
      </c>
      <c r="G696" s="2">
        <v>194</v>
      </c>
      <c r="H696" s="2">
        <f>Tabla_Items_Con_Existencia[[#This Row],[COSTO]]*Tabla_Items_Con_Existencia[[#This Row],[EXISTENCIA]]</f>
        <v>109.20974696</v>
      </c>
      <c r="I696" s="1">
        <f>IF(ISERROR(MATCH(Tabla_Items_Con_Existencia[[#This Row],[CODIGO]],Tabla_Items_Activos[CODIGO],0)),0,1)</f>
        <v>0</v>
      </c>
    </row>
    <row r="697" spans="1:9">
      <c r="A697" s="2" t="s">
        <v>6761</v>
      </c>
      <c r="B697" s="2" t="s">
        <v>372</v>
      </c>
      <c r="C697" s="2" t="s">
        <v>1737</v>
      </c>
      <c r="D697" s="2" t="s">
        <v>5158</v>
      </c>
      <c r="E697" s="2" t="s">
        <v>5159</v>
      </c>
      <c r="F697" s="2">
        <v>0.56293683999999999</v>
      </c>
      <c r="G697" s="2">
        <v>194</v>
      </c>
      <c r="H697" s="2">
        <f>Tabla_Items_Con_Existencia[[#This Row],[COSTO]]*Tabla_Items_Con_Existencia[[#This Row],[EXISTENCIA]]</f>
        <v>109.20974696</v>
      </c>
      <c r="I697" s="1">
        <f>IF(ISERROR(MATCH(Tabla_Items_Con_Existencia[[#This Row],[CODIGO]],Tabla_Items_Activos[CODIGO],0)),0,1)</f>
        <v>0</v>
      </c>
    </row>
    <row r="698" spans="1:9">
      <c r="A698" s="2" t="s">
        <v>6760</v>
      </c>
      <c r="B698" s="2" t="s">
        <v>373</v>
      </c>
      <c r="C698" s="2" t="s">
        <v>1738</v>
      </c>
      <c r="D698" s="2" t="s">
        <v>5158</v>
      </c>
      <c r="E698" s="2" t="s">
        <v>5159</v>
      </c>
      <c r="F698" s="2">
        <v>0.28160000000000002</v>
      </c>
      <c r="G698" s="2">
        <v>106</v>
      </c>
      <c r="H698" s="2">
        <f>Tabla_Items_Con_Existencia[[#This Row],[COSTO]]*Tabla_Items_Con_Existencia[[#This Row],[EXISTENCIA]]</f>
        <v>29.849600000000002</v>
      </c>
      <c r="I698" s="1">
        <f>IF(ISERROR(MATCH(Tabla_Items_Con_Existencia[[#This Row],[CODIGO]],Tabla_Items_Activos[CODIGO],0)),0,1)</f>
        <v>0</v>
      </c>
    </row>
    <row r="699" spans="1:9">
      <c r="A699" s="2" t="s">
        <v>6760</v>
      </c>
      <c r="B699" s="2" t="s">
        <v>374</v>
      </c>
      <c r="C699" s="2" t="s">
        <v>1739</v>
      </c>
      <c r="D699" s="2" t="s">
        <v>5158</v>
      </c>
      <c r="E699" s="2" t="s">
        <v>5159</v>
      </c>
      <c r="F699" s="2">
        <v>1.4636</v>
      </c>
      <c r="G699" s="2">
        <v>35</v>
      </c>
      <c r="H699" s="2">
        <f>Tabla_Items_Con_Existencia[[#This Row],[COSTO]]*Tabla_Items_Con_Existencia[[#This Row],[EXISTENCIA]]</f>
        <v>51.225999999999999</v>
      </c>
      <c r="I699" s="1">
        <f>IF(ISERROR(MATCH(Tabla_Items_Con_Existencia[[#This Row],[CODIGO]],Tabla_Items_Activos[CODIGO],0)),0,1)</f>
        <v>0</v>
      </c>
    </row>
    <row r="700" spans="1:9">
      <c r="A700" s="2" t="s">
        <v>6760</v>
      </c>
      <c r="B700" s="2" t="s">
        <v>375</v>
      </c>
      <c r="C700" s="2" t="s">
        <v>6855</v>
      </c>
      <c r="D700" s="2" t="s">
        <v>5158</v>
      </c>
      <c r="E700" s="2" t="s">
        <v>5159</v>
      </c>
      <c r="F700" s="2">
        <v>0.29449999999999998</v>
      </c>
      <c r="G700" s="2">
        <v>244</v>
      </c>
      <c r="H700" s="2">
        <f>Tabla_Items_Con_Existencia[[#This Row],[COSTO]]*Tabla_Items_Con_Existencia[[#This Row],[EXISTENCIA]]</f>
        <v>71.85799999999999</v>
      </c>
      <c r="I700" s="1">
        <f>IF(ISERROR(MATCH(Tabla_Items_Con_Existencia[[#This Row],[CODIGO]],Tabla_Items_Activos[CODIGO],0)),0,1)</f>
        <v>0</v>
      </c>
    </row>
    <row r="701" spans="1:9">
      <c r="A701" s="2" t="s">
        <v>6760</v>
      </c>
      <c r="B701" s="2" t="s">
        <v>376</v>
      </c>
      <c r="C701" s="2" t="s">
        <v>1741</v>
      </c>
      <c r="D701" s="2" t="s">
        <v>5158</v>
      </c>
      <c r="E701" s="2" t="s">
        <v>5159</v>
      </c>
      <c r="F701" s="2">
        <v>1.2172000000000001</v>
      </c>
      <c r="G701" s="2">
        <v>46</v>
      </c>
      <c r="H701" s="2">
        <f>Tabla_Items_Con_Existencia[[#This Row],[COSTO]]*Tabla_Items_Con_Existencia[[#This Row],[EXISTENCIA]]</f>
        <v>55.991200000000006</v>
      </c>
      <c r="I701" s="1">
        <f>IF(ISERROR(MATCH(Tabla_Items_Con_Existencia[[#This Row],[CODIGO]],Tabla_Items_Activos[CODIGO],0)),0,1)</f>
        <v>0</v>
      </c>
    </row>
    <row r="702" spans="1:9">
      <c r="A702" s="2" t="s">
        <v>6760</v>
      </c>
      <c r="B702" s="2" t="s">
        <v>1743</v>
      </c>
      <c r="C702" s="2" t="s">
        <v>1744</v>
      </c>
      <c r="D702" s="2" t="s">
        <v>5190</v>
      </c>
      <c r="E702" s="2" t="s">
        <v>5159</v>
      </c>
      <c r="F702" s="2">
        <v>0.7</v>
      </c>
      <c r="G702" s="2">
        <v>24</v>
      </c>
      <c r="H702" s="2">
        <f>Tabla_Items_Con_Existencia[[#This Row],[COSTO]]*Tabla_Items_Con_Existencia[[#This Row],[EXISTENCIA]]</f>
        <v>16.799999999999997</v>
      </c>
      <c r="I702" s="1">
        <f>IF(ISERROR(MATCH(Tabla_Items_Con_Existencia[[#This Row],[CODIGO]],Tabla_Items_Activos[CODIGO],0)),0,1)</f>
        <v>0</v>
      </c>
    </row>
    <row r="703" spans="1:9">
      <c r="A703" s="2" t="s">
        <v>6760</v>
      </c>
      <c r="B703" s="2" t="s">
        <v>1745</v>
      </c>
      <c r="C703" s="2" t="s">
        <v>1746</v>
      </c>
      <c r="D703" s="2" t="s">
        <v>6426</v>
      </c>
      <c r="E703" s="2" t="s">
        <v>5159</v>
      </c>
      <c r="F703" s="2">
        <v>4.0029684200000002</v>
      </c>
      <c r="G703" s="2">
        <v>94</v>
      </c>
      <c r="H703" s="2">
        <f>Tabla_Items_Con_Existencia[[#This Row],[COSTO]]*Tabla_Items_Con_Existencia[[#This Row],[EXISTENCIA]]</f>
        <v>376.27903148000001</v>
      </c>
      <c r="I703" s="1">
        <f>IF(ISERROR(MATCH(Tabla_Items_Con_Existencia[[#This Row],[CODIGO]],Tabla_Items_Activos[CODIGO],0)),0,1)</f>
        <v>0</v>
      </c>
    </row>
    <row r="704" spans="1:9">
      <c r="A704" s="2" t="s">
        <v>6761</v>
      </c>
      <c r="B704" s="2" t="s">
        <v>1745</v>
      </c>
      <c r="C704" s="2" t="s">
        <v>1746</v>
      </c>
      <c r="D704" s="2" t="s">
        <v>6426</v>
      </c>
      <c r="E704" s="2" t="s">
        <v>5159</v>
      </c>
      <c r="F704" s="2">
        <v>4.0029684200000002</v>
      </c>
      <c r="G704" s="2">
        <v>94</v>
      </c>
      <c r="H704" s="2">
        <f>Tabla_Items_Con_Existencia[[#This Row],[COSTO]]*Tabla_Items_Con_Existencia[[#This Row],[EXISTENCIA]]</f>
        <v>376.27903148000001</v>
      </c>
      <c r="I704" s="1">
        <f>IF(ISERROR(MATCH(Tabla_Items_Con_Existencia[[#This Row],[CODIGO]],Tabla_Items_Activos[CODIGO],0)),0,1)</f>
        <v>0</v>
      </c>
    </row>
    <row r="705" spans="1:9">
      <c r="A705" s="2" t="s">
        <v>6760</v>
      </c>
      <c r="B705" s="2" t="s">
        <v>1747</v>
      </c>
      <c r="C705" s="2" t="s">
        <v>1748</v>
      </c>
      <c r="D705" s="2" t="s">
        <v>5190</v>
      </c>
      <c r="E705" s="2" t="s">
        <v>5159</v>
      </c>
      <c r="F705" s="2">
        <v>36.978715790000003</v>
      </c>
      <c r="G705" s="2">
        <v>5</v>
      </c>
      <c r="H705" s="2">
        <f>Tabla_Items_Con_Existencia[[#This Row],[COSTO]]*Tabla_Items_Con_Existencia[[#This Row],[EXISTENCIA]]</f>
        <v>184.89357895000001</v>
      </c>
      <c r="I705" s="1">
        <f>IF(ISERROR(MATCH(Tabla_Items_Con_Existencia[[#This Row],[CODIGO]],Tabla_Items_Activos[CODIGO],0)),0,1)</f>
        <v>0</v>
      </c>
    </row>
    <row r="706" spans="1:9">
      <c r="A706" s="2" t="s">
        <v>6761</v>
      </c>
      <c r="B706" s="2" t="s">
        <v>1747</v>
      </c>
      <c r="C706" s="2" t="s">
        <v>1748</v>
      </c>
      <c r="D706" s="2" t="s">
        <v>5190</v>
      </c>
      <c r="E706" s="2" t="s">
        <v>5159</v>
      </c>
      <c r="F706" s="2">
        <v>36.978715790000003</v>
      </c>
      <c r="G706" s="2">
        <v>5</v>
      </c>
      <c r="H706" s="2">
        <f>Tabla_Items_Con_Existencia[[#This Row],[COSTO]]*Tabla_Items_Con_Existencia[[#This Row],[EXISTENCIA]]</f>
        <v>184.89357895000001</v>
      </c>
      <c r="I706" s="1">
        <f>IF(ISERROR(MATCH(Tabla_Items_Con_Existencia[[#This Row],[CODIGO]],Tabla_Items_Activos[CODIGO],0)),0,1)</f>
        <v>0</v>
      </c>
    </row>
    <row r="707" spans="1:9">
      <c r="A707" s="2" t="s">
        <v>6760</v>
      </c>
      <c r="B707" s="2" t="s">
        <v>1749</v>
      </c>
      <c r="C707" s="2" t="s">
        <v>1750</v>
      </c>
      <c r="D707" s="2" t="s">
        <v>5190</v>
      </c>
      <c r="E707" s="2" t="s">
        <v>5159</v>
      </c>
      <c r="F707" s="2">
        <v>139.29669999999999</v>
      </c>
      <c r="G707" s="2">
        <v>4</v>
      </c>
      <c r="H707" s="2">
        <f>Tabla_Items_Con_Existencia[[#This Row],[COSTO]]*Tabla_Items_Con_Existencia[[#This Row],[EXISTENCIA]]</f>
        <v>557.18679999999995</v>
      </c>
      <c r="I707" s="1">
        <f>IF(ISERROR(MATCH(Tabla_Items_Con_Existencia[[#This Row],[CODIGO]],Tabla_Items_Activos[CODIGO],0)),0,1)</f>
        <v>0</v>
      </c>
    </row>
    <row r="708" spans="1:9">
      <c r="A708" s="2" t="s">
        <v>6760</v>
      </c>
      <c r="B708" s="2" t="s">
        <v>1751</v>
      </c>
      <c r="C708" s="2" t="s">
        <v>1752</v>
      </c>
      <c r="D708" s="2" t="s">
        <v>5190</v>
      </c>
      <c r="E708" s="2" t="s">
        <v>5159</v>
      </c>
      <c r="F708" s="2">
        <v>179.3486</v>
      </c>
      <c r="G708" s="2">
        <v>2</v>
      </c>
      <c r="H708" s="2">
        <f>Tabla_Items_Con_Existencia[[#This Row],[COSTO]]*Tabla_Items_Con_Existencia[[#This Row],[EXISTENCIA]]</f>
        <v>358.69720000000001</v>
      </c>
      <c r="I708" s="1">
        <f>IF(ISERROR(MATCH(Tabla_Items_Con_Existencia[[#This Row],[CODIGO]],Tabla_Items_Activos[CODIGO],0)),0,1)</f>
        <v>0</v>
      </c>
    </row>
    <row r="709" spans="1:9">
      <c r="A709" s="2" t="s">
        <v>6760</v>
      </c>
      <c r="B709" s="2" t="s">
        <v>378</v>
      </c>
      <c r="C709" s="2" t="s">
        <v>1753</v>
      </c>
      <c r="D709" s="2" t="s">
        <v>5186</v>
      </c>
      <c r="E709" s="2" t="s">
        <v>5159</v>
      </c>
      <c r="F709" s="2">
        <v>4.37</v>
      </c>
      <c r="G709" s="2">
        <v>6</v>
      </c>
      <c r="H709" s="2">
        <f>Tabla_Items_Con_Existencia[[#This Row],[COSTO]]*Tabla_Items_Con_Existencia[[#This Row],[EXISTENCIA]]</f>
        <v>26.22</v>
      </c>
      <c r="I709" s="1">
        <f>IF(ISERROR(MATCH(Tabla_Items_Con_Existencia[[#This Row],[CODIGO]],Tabla_Items_Activos[CODIGO],0)),0,1)</f>
        <v>0</v>
      </c>
    </row>
    <row r="710" spans="1:9">
      <c r="A710" s="2" t="s">
        <v>6760</v>
      </c>
      <c r="B710" s="2" t="s">
        <v>379</v>
      </c>
      <c r="C710" s="2" t="s">
        <v>1754</v>
      </c>
      <c r="D710" s="2" t="s">
        <v>5158</v>
      </c>
      <c r="E710" s="2" t="s">
        <v>5159</v>
      </c>
      <c r="F710" s="2">
        <v>4.1748421100000002</v>
      </c>
      <c r="G710" s="2">
        <v>14</v>
      </c>
      <c r="H710" s="2">
        <f>Tabla_Items_Con_Existencia[[#This Row],[COSTO]]*Tabla_Items_Con_Existencia[[#This Row],[EXISTENCIA]]</f>
        <v>58.447789540000002</v>
      </c>
      <c r="I710" s="1">
        <f>IF(ISERROR(MATCH(Tabla_Items_Con_Existencia[[#This Row],[CODIGO]],Tabla_Items_Activos[CODIGO],0)),0,1)</f>
        <v>0</v>
      </c>
    </row>
    <row r="711" spans="1:9">
      <c r="A711" s="2" t="s">
        <v>6761</v>
      </c>
      <c r="B711" s="2" t="s">
        <v>379</v>
      </c>
      <c r="C711" s="2" t="s">
        <v>1754</v>
      </c>
      <c r="D711" s="2" t="s">
        <v>5158</v>
      </c>
      <c r="E711" s="2" t="s">
        <v>5159</v>
      </c>
      <c r="F711" s="2">
        <v>4.1748421100000002</v>
      </c>
      <c r="G711" s="2">
        <v>14</v>
      </c>
      <c r="H711" s="2">
        <f>Tabla_Items_Con_Existencia[[#This Row],[COSTO]]*Tabla_Items_Con_Existencia[[#This Row],[EXISTENCIA]]</f>
        <v>58.447789540000002</v>
      </c>
      <c r="I711" s="1">
        <f>IF(ISERROR(MATCH(Tabla_Items_Con_Existencia[[#This Row],[CODIGO]],Tabla_Items_Activos[CODIGO],0)),0,1)</f>
        <v>0</v>
      </c>
    </row>
    <row r="712" spans="1:9">
      <c r="A712" s="2" t="s">
        <v>6760</v>
      </c>
      <c r="B712" s="2" t="s">
        <v>1755</v>
      </c>
      <c r="C712" s="2" t="s">
        <v>1756</v>
      </c>
      <c r="D712" s="2" t="s">
        <v>5188</v>
      </c>
      <c r="E712" s="2" t="s">
        <v>5159</v>
      </c>
      <c r="F712" s="2">
        <v>1.044</v>
      </c>
      <c r="G712" s="2">
        <v>5</v>
      </c>
      <c r="H712" s="2">
        <f>Tabla_Items_Con_Existencia[[#This Row],[COSTO]]*Tabla_Items_Con_Existencia[[#This Row],[EXISTENCIA]]</f>
        <v>5.2200000000000006</v>
      </c>
      <c r="I712" s="1">
        <f>IF(ISERROR(MATCH(Tabla_Items_Con_Existencia[[#This Row],[CODIGO]],Tabla_Items_Activos[CODIGO],0)),0,1)</f>
        <v>0</v>
      </c>
    </row>
    <row r="713" spans="1:9">
      <c r="A713" s="2" t="s">
        <v>6760</v>
      </c>
      <c r="B713" s="2" t="s">
        <v>380</v>
      </c>
      <c r="C713" s="2" t="s">
        <v>5428</v>
      </c>
      <c r="D713" s="2" t="s">
        <v>5161</v>
      </c>
      <c r="E713" s="2" t="s">
        <v>5159</v>
      </c>
      <c r="F713" s="2">
        <v>1.05</v>
      </c>
      <c r="G713" s="2">
        <v>5</v>
      </c>
      <c r="H713" s="2">
        <f>Tabla_Items_Con_Existencia[[#This Row],[COSTO]]*Tabla_Items_Con_Existencia[[#This Row],[EXISTENCIA]]</f>
        <v>5.25</v>
      </c>
      <c r="I713" s="1">
        <f>IF(ISERROR(MATCH(Tabla_Items_Con_Existencia[[#This Row],[CODIGO]],Tabla_Items_Activos[CODIGO],0)),0,1)</f>
        <v>0</v>
      </c>
    </row>
    <row r="714" spans="1:9">
      <c r="A714" s="2" t="s">
        <v>6760</v>
      </c>
      <c r="B714" s="2" t="s">
        <v>1757</v>
      </c>
      <c r="C714" s="2" t="s">
        <v>7315</v>
      </c>
      <c r="D714" s="2" t="s">
        <v>5161</v>
      </c>
      <c r="E714" s="2" t="s">
        <v>5159</v>
      </c>
      <c r="F714" s="2">
        <v>0.79</v>
      </c>
      <c r="G714" s="2">
        <v>3</v>
      </c>
      <c r="H714" s="2">
        <f>Tabla_Items_Con_Existencia[[#This Row],[COSTO]]*Tabla_Items_Con_Existencia[[#This Row],[EXISTENCIA]]</f>
        <v>2.37</v>
      </c>
      <c r="I714" s="1">
        <f>IF(ISERROR(MATCH(Tabla_Items_Con_Existencia[[#This Row],[CODIGO]],Tabla_Items_Activos[CODIGO],0)),0,1)</f>
        <v>0</v>
      </c>
    </row>
    <row r="715" spans="1:9">
      <c r="A715" s="2" t="s">
        <v>6760</v>
      </c>
      <c r="B715" s="2" t="s">
        <v>5429</v>
      </c>
      <c r="C715" s="2" t="s">
        <v>5430</v>
      </c>
      <c r="D715" s="2" t="s">
        <v>5161</v>
      </c>
      <c r="E715" s="2" t="s">
        <v>5159</v>
      </c>
      <c r="F715" s="2">
        <v>9.2799999999999994</v>
      </c>
      <c r="G715" s="2">
        <v>15</v>
      </c>
      <c r="H715" s="2">
        <f>Tabla_Items_Con_Existencia[[#This Row],[COSTO]]*Tabla_Items_Con_Existencia[[#This Row],[EXISTENCIA]]</f>
        <v>139.19999999999999</v>
      </c>
      <c r="I715" s="1">
        <f>IF(ISERROR(MATCH(Tabla_Items_Con_Existencia[[#This Row],[CODIGO]],Tabla_Items_Activos[CODIGO],0)),0,1)</f>
        <v>0</v>
      </c>
    </row>
    <row r="716" spans="1:9">
      <c r="A716" s="2" t="s">
        <v>6760</v>
      </c>
      <c r="B716" s="2" t="s">
        <v>5431</v>
      </c>
      <c r="C716" s="2" t="s">
        <v>5432</v>
      </c>
      <c r="D716" s="2" t="s">
        <v>5161</v>
      </c>
      <c r="E716" s="2" t="s">
        <v>5159</v>
      </c>
      <c r="F716" s="2">
        <v>2.1761052599999999</v>
      </c>
      <c r="G716" s="2">
        <v>7</v>
      </c>
      <c r="H716" s="2">
        <f>Tabla_Items_Con_Existencia[[#This Row],[COSTO]]*Tabla_Items_Con_Existencia[[#This Row],[EXISTENCIA]]</f>
        <v>15.23273682</v>
      </c>
      <c r="I716" s="1">
        <f>IF(ISERROR(MATCH(Tabla_Items_Con_Existencia[[#This Row],[CODIGO]],Tabla_Items_Activos[CODIGO],0)),0,1)</f>
        <v>0</v>
      </c>
    </row>
    <row r="717" spans="1:9">
      <c r="A717" s="2" t="s">
        <v>6761</v>
      </c>
      <c r="B717" s="2" t="s">
        <v>5431</v>
      </c>
      <c r="C717" s="2" t="s">
        <v>5432</v>
      </c>
      <c r="D717" s="2" t="s">
        <v>5161</v>
      </c>
      <c r="E717" s="2" t="s">
        <v>5159</v>
      </c>
      <c r="F717" s="2">
        <v>2.1761052599999999</v>
      </c>
      <c r="G717" s="2">
        <v>7</v>
      </c>
      <c r="H717" s="2">
        <f>Tabla_Items_Con_Existencia[[#This Row],[COSTO]]*Tabla_Items_Con_Existencia[[#This Row],[EXISTENCIA]]</f>
        <v>15.23273682</v>
      </c>
      <c r="I717" s="1">
        <f>IF(ISERROR(MATCH(Tabla_Items_Con_Existencia[[#This Row],[CODIGO]],Tabla_Items_Activos[CODIGO],0)),0,1)</f>
        <v>0</v>
      </c>
    </row>
    <row r="718" spans="1:9">
      <c r="A718" s="2" t="s">
        <v>6760</v>
      </c>
      <c r="B718" s="2" t="s">
        <v>381</v>
      </c>
      <c r="C718" s="2" t="s">
        <v>1759</v>
      </c>
      <c r="D718" s="2" t="s">
        <v>5161</v>
      </c>
      <c r="E718" s="2" t="s">
        <v>5159</v>
      </c>
      <c r="F718" s="2">
        <v>6.1205999999999996</v>
      </c>
      <c r="G718" s="2">
        <v>10</v>
      </c>
      <c r="H718" s="2">
        <f>Tabla_Items_Con_Existencia[[#This Row],[COSTO]]*Tabla_Items_Con_Existencia[[#This Row],[EXISTENCIA]]</f>
        <v>61.205999999999996</v>
      </c>
      <c r="I718" s="1">
        <f>IF(ISERROR(MATCH(Tabla_Items_Con_Existencia[[#This Row],[CODIGO]],Tabla_Items_Activos[CODIGO],0)),0,1)</f>
        <v>0</v>
      </c>
    </row>
    <row r="719" spans="1:9">
      <c r="A719" s="2" t="s">
        <v>6760</v>
      </c>
      <c r="B719" s="2" t="s">
        <v>5433</v>
      </c>
      <c r="C719" s="2" t="s">
        <v>5434</v>
      </c>
      <c r="D719" s="2" t="s">
        <v>5161</v>
      </c>
      <c r="E719" s="2" t="s">
        <v>5159</v>
      </c>
      <c r="F719" s="2">
        <v>2.0099999999999998</v>
      </c>
      <c r="G719" s="2">
        <v>5</v>
      </c>
      <c r="H719" s="2">
        <f>Tabla_Items_Con_Existencia[[#This Row],[COSTO]]*Tabla_Items_Con_Existencia[[#This Row],[EXISTENCIA]]</f>
        <v>10.049999999999999</v>
      </c>
      <c r="I719" s="1">
        <f>IF(ISERROR(MATCH(Tabla_Items_Con_Existencia[[#This Row],[CODIGO]],Tabla_Items_Activos[CODIGO],0)),0,1)</f>
        <v>0</v>
      </c>
    </row>
    <row r="720" spans="1:9">
      <c r="A720" s="2" t="s">
        <v>6760</v>
      </c>
      <c r="B720" s="2" t="s">
        <v>382</v>
      </c>
      <c r="C720" s="2" t="s">
        <v>6427</v>
      </c>
      <c r="D720" s="2" t="s">
        <v>5161</v>
      </c>
      <c r="E720" s="2" t="s">
        <v>5159</v>
      </c>
      <c r="F720" s="2">
        <v>16.02</v>
      </c>
      <c r="G720" s="2">
        <v>3</v>
      </c>
      <c r="H720" s="2">
        <f>Tabla_Items_Con_Existencia[[#This Row],[COSTO]]*Tabla_Items_Con_Existencia[[#This Row],[EXISTENCIA]]</f>
        <v>48.06</v>
      </c>
      <c r="I720" s="1">
        <f>IF(ISERROR(MATCH(Tabla_Items_Con_Existencia[[#This Row],[CODIGO]],Tabla_Items_Activos[CODIGO],0)),0,1)</f>
        <v>0</v>
      </c>
    </row>
    <row r="721" spans="1:9">
      <c r="A721" s="2" t="s">
        <v>6760</v>
      </c>
      <c r="B721" s="2" t="s">
        <v>1760</v>
      </c>
      <c r="C721" s="2" t="s">
        <v>1761</v>
      </c>
      <c r="D721" s="2" t="s">
        <v>5161</v>
      </c>
      <c r="E721" s="2" t="s">
        <v>5159</v>
      </c>
      <c r="F721" s="2">
        <v>1.0179</v>
      </c>
      <c r="G721" s="2">
        <v>14</v>
      </c>
      <c r="H721" s="2">
        <f>Tabla_Items_Con_Existencia[[#This Row],[COSTO]]*Tabla_Items_Con_Existencia[[#This Row],[EXISTENCIA]]</f>
        <v>14.2506</v>
      </c>
      <c r="I721" s="1">
        <f>IF(ISERROR(MATCH(Tabla_Items_Con_Existencia[[#This Row],[CODIGO]],Tabla_Items_Activos[CODIGO],0)),0,1)</f>
        <v>0</v>
      </c>
    </row>
    <row r="722" spans="1:9">
      <c r="A722" s="2" t="s">
        <v>6760</v>
      </c>
      <c r="B722" s="2" t="s">
        <v>1762</v>
      </c>
      <c r="C722" s="2" t="s">
        <v>6856</v>
      </c>
      <c r="D722" s="2" t="s">
        <v>5161</v>
      </c>
      <c r="E722" s="2" t="s">
        <v>5159</v>
      </c>
      <c r="F722" s="2">
        <v>2.0376210499999998</v>
      </c>
      <c r="G722" s="2">
        <v>14</v>
      </c>
      <c r="H722" s="2">
        <f>Tabla_Items_Con_Existencia[[#This Row],[COSTO]]*Tabla_Items_Con_Existencia[[#This Row],[EXISTENCIA]]</f>
        <v>28.526694699999997</v>
      </c>
      <c r="I722" s="1">
        <f>IF(ISERROR(MATCH(Tabla_Items_Con_Existencia[[#This Row],[CODIGO]],Tabla_Items_Activos[CODIGO],0)),0,1)</f>
        <v>0</v>
      </c>
    </row>
    <row r="723" spans="1:9">
      <c r="A723" s="2" t="s">
        <v>6761</v>
      </c>
      <c r="B723" s="2" t="s">
        <v>1762</v>
      </c>
      <c r="C723" s="2" t="s">
        <v>6856</v>
      </c>
      <c r="D723" s="2" t="s">
        <v>5161</v>
      </c>
      <c r="E723" s="2" t="s">
        <v>5159</v>
      </c>
      <c r="F723" s="2">
        <v>2.0376210499999998</v>
      </c>
      <c r="G723" s="2">
        <v>14</v>
      </c>
      <c r="H723" s="2">
        <f>Tabla_Items_Con_Existencia[[#This Row],[COSTO]]*Tabla_Items_Con_Existencia[[#This Row],[EXISTENCIA]]</f>
        <v>28.526694699999997</v>
      </c>
      <c r="I723" s="1">
        <f>IF(ISERROR(MATCH(Tabla_Items_Con_Existencia[[#This Row],[CODIGO]],Tabla_Items_Activos[CODIGO],0)),0,1)</f>
        <v>0</v>
      </c>
    </row>
    <row r="724" spans="1:9">
      <c r="A724" s="2" t="s">
        <v>6760</v>
      </c>
      <c r="B724" s="2" t="s">
        <v>383</v>
      </c>
      <c r="C724" s="2" t="s">
        <v>5436</v>
      </c>
      <c r="D724" s="2" t="s">
        <v>5161</v>
      </c>
      <c r="E724" s="2" t="s">
        <v>5159</v>
      </c>
      <c r="F724" s="2">
        <v>5.7894736800000004</v>
      </c>
      <c r="G724" s="2">
        <v>2</v>
      </c>
      <c r="H724" s="2">
        <f>Tabla_Items_Con_Existencia[[#This Row],[COSTO]]*Tabla_Items_Con_Existencia[[#This Row],[EXISTENCIA]]</f>
        <v>11.578947360000001</v>
      </c>
      <c r="I724" s="1">
        <f>IF(ISERROR(MATCH(Tabla_Items_Con_Existencia[[#This Row],[CODIGO]],Tabla_Items_Activos[CODIGO],0)),0,1)</f>
        <v>0</v>
      </c>
    </row>
    <row r="725" spans="1:9">
      <c r="A725" s="2" t="s">
        <v>6761</v>
      </c>
      <c r="B725" s="2" t="s">
        <v>383</v>
      </c>
      <c r="C725" s="2" t="s">
        <v>5436</v>
      </c>
      <c r="D725" s="2" t="s">
        <v>5161</v>
      </c>
      <c r="E725" s="2" t="s">
        <v>5159</v>
      </c>
      <c r="F725" s="2">
        <v>5.7894736800000004</v>
      </c>
      <c r="G725" s="2">
        <v>2</v>
      </c>
      <c r="H725" s="2">
        <f>Tabla_Items_Con_Existencia[[#This Row],[COSTO]]*Tabla_Items_Con_Existencia[[#This Row],[EXISTENCIA]]</f>
        <v>11.578947360000001</v>
      </c>
      <c r="I725" s="1">
        <f>IF(ISERROR(MATCH(Tabla_Items_Con_Existencia[[#This Row],[CODIGO]],Tabla_Items_Activos[CODIGO],0)),0,1)</f>
        <v>0</v>
      </c>
    </row>
    <row r="726" spans="1:9">
      <c r="A726" s="2" t="s">
        <v>6760</v>
      </c>
      <c r="B726" s="2" t="s">
        <v>384</v>
      </c>
      <c r="C726" s="2" t="s">
        <v>1764</v>
      </c>
      <c r="D726" s="2" t="s">
        <v>5161</v>
      </c>
      <c r="E726" s="2" t="s">
        <v>5159</v>
      </c>
      <c r="F726" s="2">
        <v>8.5626999999999995</v>
      </c>
      <c r="G726" s="2">
        <v>7</v>
      </c>
      <c r="H726" s="2">
        <f>Tabla_Items_Con_Existencia[[#This Row],[COSTO]]*Tabla_Items_Con_Existencia[[#This Row],[EXISTENCIA]]</f>
        <v>59.938899999999997</v>
      </c>
      <c r="I726" s="1">
        <f>IF(ISERROR(MATCH(Tabla_Items_Con_Existencia[[#This Row],[CODIGO]],Tabla_Items_Activos[CODIGO],0)),0,1)</f>
        <v>0</v>
      </c>
    </row>
    <row r="727" spans="1:9">
      <c r="A727" s="2" t="s">
        <v>6760</v>
      </c>
      <c r="B727" s="2" t="s">
        <v>385</v>
      </c>
      <c r="C727" s="2" t="s">
        <v>1765</v>
      </c>
      <c r="D727" s="2" t="s">
        <v>5161</v>
      </c>
      <c r="E727" s="2" t="s">
        <v>5159</v>
      </c>
      <c r="F727" s="2">
        <v>0.94</v>
      </c>
      <c r="G727" s="2">
        <v>3</v>
      </c>
      <c r="H727" s="2">
        <f>Tabla_Items_Con_Existencia[[#This Row],[COSTO]]*Tabla_Items_Con_Existencia[[#This Row],[EXISTENCIA]]</f>
        <v>2.82</v>
      </c>
      <c r="I727" s="1">
        <f>IF(ISERROR(MATCH(Tabla_Items_Con_Existencia[[#This Row],[CODIGO]],Tabla_Items_Activos[CODIGO],0)),0,1)</f>
        <v>0</v>
      </c>
    </row>
    <row r="728" spans="1:9">
      <c r="A728" s="2" t="s">
        <v>6760</v>
      </c>
      <c r="B728" s="2" t="s">
        <v>7222</v>
      </c>
      <c r="C728" s="2" t="s">
        <v>7223</v>
      </c>
      <c r="D728" s="2" t="s">
        <v>5161</v>
      </c>
      <c r="E728" s="2" t="s">
        <v>5159</v>
      </c>
      <c r="F728" s="2">
        <v>0</v>
      </c>
      <c r="G728" s="2">
        <v>5</v>
      </c>
      <c r="H728" s="2">
        <f>Tabla_Items_Con_Existencia[[#This Row],[COSTO]]*Tabla_Items_Con_Existencia[[#This Row],[EXISTENCIA]]</f>
        <v>0</v>
      </c>
      <c r="I728" s="1">
        <f>IF(ISERROR(MATCH(Tabla_Items_Con_Existencia[[#This Row],[CODIGO]],Tabla_Items_Activos[CODIGO],0)),0,1)</f>
        <v>0</v>
      </c>
    </row>
    <row r="729" spans="1:9">
      <c r="A729" s="2" t="s">
        <v>6760</v>
      </c>
      <c r="B729" s="2" t="s">
        <v>386</v>
      </c>
      <c r="C729" s="2" t="s">
        <v>1766</v>
      </c>
      <c r="D729" s="2" t="s">
        <v>5161</v>
      </c>
      <c r="E729" s="2" t="s">
        <v>5159</v>
      </c>
      <c r="F729" s="2">
        <v>6.3252631600000004</v>
      </c>
      <c r="G729" s="2">
        <v>12</v>
      </c>
      <c r="H729" s="2">
        <f>Tabla_Items_Con_Existencia[[#This Row],[COSTO]]*Tabla_Items_Con_Existencia[[#This Row],[EXISTENCIA]]</f>
        <v>75.903157920000012</v>
      </c>
      <c r="I729" s="1">
        <f>IF(ISERROR(MATCH(Tabla_Items_Con_Existencia[[#This Row],[CODIGO]],Tabla_Items_Activos[CODIGO],0)),0,1)</f>
        <v>0</v>
      </c>
    </row>
    <row r="730" spans="1:9">
      <c r="A730" s="2" t="s">
        <v>6761</v>
      </c>
      <c r="B730" s="2" t="s">
        <v>386</v>
      </c>
      <c r="C730" s="2" t="s">
        <v>1766</v>
      </c>
      <c r="D730" s="2" t="s">
        <v>5161</v>
      </c>
      <c r="E730" s="2" t="s">
        <v>5159</v>
      </c>
      <c r="F730" s="2">
        <v>6.3252631600000004</v>
      </c>
      <c r="G730" s="2">
        <v>12</v>
      </c>
      <c r="H730" s="2">
        <f>Tabla_Items_Con_Existencia[[#This Row],[COSTO]]*Tabla_Items_Con_Existencia[[#This Row],[EXISTENCIA]]</f>
        <v>75.903157920000012</v>
      </c>
      <c r="I730" s="1">
        <f>IF(ISERROR(MATCH(Tabla_Items_Con_Existencia[[#This Row],[CODIGO]],Tabla_Items_Activos[CODIGO],0)),0,1)</f>
        <v>0</v>
      </c>
    </row>
    <row r="731" spans="1:9">
      <c r="A731" s="2" t="s">
        <v>6760</v>
      </c>
      <c r="B731" s="2" t="s">
        <v>7224</v>
      </c>
      <c r="C731" s="2" t="s">
        <v>7225</v>
      </c>
      <c r="D731" s="2" t="s">
        <v>5161</v>
      </c>
      <c r="E731" s="2" t="s">
        <v>5159</v>
      </c>
      <c r="F731" s="2">
        <v>0</v>
      </c>
      <c r="G731" s="2">
        <v>5</v>
      </c>
      <c r="H731" s="2">
        <f>Tabla_Items_Con_Existencia[[#This Row],[COSTO]]*Tabla_Items_Con_Existencia[[#This Row],[EXISTENCIA]]</f>
        <v>0</v>
      </c>
      <c r="I731" s="1">
        <f>IF(ISERROR(MATCH(Tabla_Items_Con_Existencia[[#This Row],[CODIGO]],Tabla_Items_Activos[CODIGO],0)),0,1)</f>
        <v>0</v>
      </c>
    </row>
    <row r="732" spans="1:9">
      <c r="A732" s="2" t="s">
        <v>6760</v>
      </c>
      <c r="B732" s="2" t="s">
        <v>387</v>
      </c>
      <c r="C732" s="2" t="s">
        <v>1767</v>
      </c>
      <c r="D732" s="2" t="s">
        <v>5161</v>
      </c>
      <c r="E732" s="2" t="s">
        <v>5159</v>
      </c>
      <c r="F732" s="2">
        <v>2.7669999999999999</v>
      </c>
      <c r="G732" s="2">
        <v>10</v>
      </c>
      <c r="H732" s="2">
        <f>Tabla_Items_Con_Existencia[[#This Row],[COSTO]]*Tabla_Items_Con_Existencia[[#This Row],[EXISTENCIA]]</f>
        <v>27.669999999999998</v>
      </c>
      <c r="I732" s="1">
        <f>IF(ISERROR(MATCH(Tabla_Items_Con_Existencia[[#This Row],[CODIGO]],Tabla_Items_Activos[CODIGO],0)),0,1)</f>
        <v>0</v>
      </c>
    </row>
    <row r="733" spans="1:9">
      <c r="A733" s="2" t="s">
        <v>6760</v>
      </c>
      <c r="B733" s="2" t="s">
        <v>388</v>
      </c>
      <c r="C733" s="2" t="s">
        <v>1768</v>
      </c>
      <c r="D733" s="2" t="s">
        <v>5161</v>
      </c>
      <c r="E733" s="2" t="s">
        <v>5159</v>
      </c>
      <c r="F733" s="2">
        <v>1.363</v>
      </c>
      <c r="G733" s="2">
        <v>10</v>
      </c>
      <c r="H733" s="2">
        <f>Tabla_Items_Con_Existencia[[#This Row],[COSTO]]*Tabla_Items_Con_Existencia[[#This Row],[EXISTENCIA]]</f>
        <v>13.629999999999999</v>
      </c>
      <c r="I733" s="1">
        <f>IF(ISERROR(MATCH(Tabla_Items_Con_Existencia[[#This Row],[CODIGO]],Tabla_Items_Activos[CODIGO],0)),0,1)</f>
        <v>0</v>
      </c>
    </row>
    <row r="734" spans="1:9">
      <c r="A734" s="2" t="s">
        <v>6760</v>
      </c>
      <c r="B734" s="2" t="s">
        <v>389</v>
      </c>
      <c r="C734" s="2" t="s">
        <v>6857</v>
      </c>
      <c r="D734" s="2" t="s">
        <v>5161</v>
      </c>
      <c r="E734" s="2" t="s">
        <v>5159</v>
      </c>
      <c r="F734" s="2">
        <v>23.974673679999999</v>
      </c>
      <c r="G734" s="2">
        <v>10</v>
      </c>
      <c r="H734" s="2">
        <f>Tabla_Items_Con_Existencia[[#This Row],[COSTO]]*Tabla_Items_Con_Existencia[[#This Row],[EXISTENCIA]]</f>
        <v>239.74673679999998</v>
      </c>
      <c r="I734" s="1">
        <f>IF(ISERROR(MATCH(Tabla_Items_Con_Existencia[[#This Row],[CODIGO]],Tabla_Items_Activos[CODIGO],0)),0,1)</f>
        <v>0</v>
      </c>
    </row>
    <row r="735" spans="1:9">
      <c r="A735" s="2" t="s">
        <v>6761</v>
      </c>
      <c r="B735" s="2" t="s">
        <v>389</v>
      </c>
      <c r="C735" s="2" t="s">
        <v>6857</v>
      </c>
      <c r="D735" s="2" t="s">
        <v>5161</v>
      </c>
      <c r="E735" s="2" t="s">
        <v>5159</v>
      </c>
      <c r="F735" s="2">
        <v>23.974673679999999</v>
      </c>
      <c r="G735" s="2">
        <v>10</v>
      </c>
      <c r="H735" s="2">
        <f>Tabla_Items_Con_Existencia[[#This Row],[COSTO]]*Tabla_Items_Con_Existencia[[#This Row],[EXISTENCIA]]</f>
        <v>239.74673679999998</v>
      </c>
      <c r="I735" s="1">
        <f>IF(ISERROR(MATCH(Tabla_Items_Con_Existencia[[#This Row],[CODIGO]],Tabla_Items_Activos[CODIGO],0)),0,1)</f>
        <v>0</v>
      </c>
    </row>
    <row r="736" spans="1:9">
      <c r="A736" s="2" t="s">
        <v>6760</v>
      </c>
      <c r="B736" s="2" t="s">
        <v>390</v>
      </c>
      <c r="C736" s="2" t="s">
        <v>1770</v>
      </c>
      <c r="D736" s="2" t="s">
        <v>5161</v>
      </c>
      <c r="E736" s="2" t="s">
        <v>5159</v>
      </c>
      <c r="F736" s="2">
        <v>0.35799999999999998</v>
      </c>
      <c r="G736" s="2">
        <v>10</v>
      </c>
      <c r="H736" s="2">
        <f>Tabla_Items_Con_Existencia[[#This Row],[COSTO]]*Tabla_Items_Con_Existencia[[#This Row],[EXISTENCIA]]</f>
        <v>3.58</v>
      </c>
      <c r="I736" s="1">
        <f>IF(ISERROR(MATCH(Tabla_Items_Con_Existencia[[#This Row],[CODIGO]],Tabla_Items_Activos[CODIGO],0)),0,1)</f>
        <v>0</v>
      </c>
    </row>
    <row r="737" spans="1:9">
      <c r="A737" s="2" t="s">
        <v>6760</v>
      </c>
      <c r="B737" s="2" t="s">
        <v>391</v>
      </c>
      <c r="C737" s="2" t="s">
        <v>1771</v>
      </c>
      <c r="D737" s="2" t="s">
        <v>5161</v>
      </c>
      <c r="E737" s="2" t="s">
        <v>5159</v>
      </c>
      <c r="F737" s="2">
        <v>6.7830000000000004</v>
      </c>
      <c r="G737" s="2">
        <v>3</v>
      </c>
      <c r="H737" s="2">
        <f>Tabla_Items_Con_Existencia[[#This Row],[COSTO]]*Tabla_Items_Con_Existencia[[#This Row],[EXISTENCIA]]</f>
        <v>20.349</v>
      </c>
      <c r="I737" s="1">
        <f>IF(ISERROR(MATCH(Tabla_Items_Con_Existencia[[#This Row],[CODIGO]],Tabla_Items_Activos[CODIGO],0)),0,1)</f>
        <v>0</v>
      </c>
    </row>
    <row r="738" spans="1:9">
      <c r="A738" s="2" t="s">
        <v>6761</v>
      </c>
      <c r="B738" s="2" t="s">
        <v>5437</v>
      </c>
      <c r="C738" s="2" t="s">
        <v>5438</v>
      </c>
      <c r="D738" s="2" t="s">
        <v>5161</v>
      </c>
      <c r="E738" s="2" t="s">
        <v>5159</v>
      </c>
      <c r="F738" s="2">
        <v>5.71263158</v>
      </c>
      <c r="G738" s="2">
        <v>4</v>
      </c>
      <c r="H738" s="2">
        <f>Tabla_Items_Con_Existencia[[#This Row],[COSTO]]*Tabla_Items_Con_Existencia[[#This Row],[EXISTENCIA]]</f>
        <v>22.85052632</v>
      </c>
      <c r="I738" s="1">
        <f>IF(ISERROR(MATCH(Tabla_Items_Con_Existencia[[#This Row],[CODIGO]],Tabla_Items_Activos[CODIGO],0)),0,1)</f>
        <v>0</v>
      </c>
    </row>
    <row r="739" spans="1:9">
      <c r="A739" s="2" t="s">
        <v>6760</v>
      </c>
      <c r="B739" s="2" t="s">
        <v>5437</v>
      </c>
      <c r="C739" s="2" t="s">
        <v>5438</v>
      </c>
      <c r="D739" s="2" t="s">
        <v>5161</v>
      </c>
      <c r="E739" s="2" t="s">
        <v>5159</v>
      </c>
      <c r="F739" s="2">
        <v>5.71263158</v>
      </c>
      <c r="G739" s="2">
        <v>4</v>
      </c>
      <c r="H739" s="2">
        <f>Tabla_Items_Con_Existencia[[#This Row],[COSTO]]*Tabla_Items_Con_Existencia[[#This Row],[EXISTENCIA]]</f>
        <v>22.85052632</v>
      </c>
      <c r="I739" s="1">
        <f>IF(ISERROR(MATCH(Tabla_Items_Con_Existencia[[#This Row],[CODIGO]],Tabla_Items_Activos[CODIGO],0)),0,1)</f>
        <v>0</v>
      </c>
    </row>
    <row r="740" spans="1:9">
      <c r="A740" s="2" t="s">
        <v>6760</v>
      </c>
      <c r="B740" s="2" t="s">
        <v>392</v>
      </c>
      <c r="C740" s="2" t="s">
        <v>1772</v>
      </c>
      <c r="D740" s="2" t="s">
        <v>5161</v>
      </c>
      <c r="E740" s="2" t="s">
        <v>5159</v>
      </c>
      <c r="F740" s="2">
        <v>14.241199999999999</v>
      </c>
      <c r="G740" s="2">
        <v>4</v>
      </c>
      <c r="H740" s="2">
        <f>Tabla_Items_Con_Existencia[[#This Row],[COSTO]]*Tabla_Items_Con_Existencia[[#This Row],[EXISTENCIA]]</f>
        <v>56.964799999999997</v>
      </c>
      <c r="I740" s="1">
        <f>IF(ISERROR(MATCH(Tabla_Items_Con_Existencia[[#This Row],[CODIGO]],Tabla_Items_Activos[CODIGO],0)),0,1)</f>
        <v>0</v>
      </c>
    </row>
    <row r="741" spans="1:9">
      <c r="A741" s="2" t="s">
        <v>6761</v>
      </c>
      <c r="B741" s="2" t="s">
        <v>1773</v>
      </c>
      <c r="C741" s="2" t="s">
        <v>1774</v>
      </c>
      <c r="D741" s="2" t="s">
        <v>5161</v>
      </c>
      <c r="E741" s="2" t="s">
        <v>5159</v>
      </c>
      <c r="F741" s="2">
        <v>4.52821053</v>
      </c>
      <c r="G741" s="2">
        <v>7</v>
      </c>
      <c r="H741" s="2">
        <f>Tabla_Items_Con_Existencia[[#This Row],[COSTO]]*Tabla_Items_Con_Existencia[[#This Row],[EXISTENCIA]]</f>
        <v>31.697473710000001</v>
      </c>
      <c r="I741" s="1">
        <f>IF(ISERROR(MATCH(Tabla_Items_Con_Existencia[[#This Row],[CODIGO]],Tabla_Items_Activos[CODIGO],0)),0,1)</f>
        <v>0</v>
      </c>
    </row>
    <row r="742" spans="1:9">
      <c r="A742" s="2" t="s">
        <v>6760</v>
      </c>
      <c r="B742" s="2" t="s">
        <v>1773</v>
      </c>
      <c r="C742" s="2" t="s">
        <v>1774</v>
      </c>
      <c r="D742" s="2" t="s">
        <v>5161</v>
      </c>
      <c r="E742" s="2" t="s">
        <v>5159</v>
      </c>
      <c r="F742" s="2">
        <v>4.52821053</v>
      </c>
      <c r="G742" s="2">
        <v>7</v>
      </c>
      <c r="H742" s="2">
        <f>Tabla_Items_Con_Existencia[[#This Row],[COSTO]]*Tabla_Items_Con_Existencia[[#This Row],[EXISTENCIA]]</f>
        <v>31.697473710000001</v>
      </c>
      <c r="I742" s="1">
        <f>IF(ISERROR(MATCH(Tabla_Items_Con_Existencia[[#This Row],[CODIGO]],Tabla_Items_Activos[CODIGO],0)),0,1)</f>
        <v>0</v>
      </c>
    </row>
    <row r="743" spans="1:9">
      <c r="A743" s="2" t="s">
        <v>6760</v>
      </c>
      <c r="B743" s="2" t="s">
        <v>1775</v>
      </c>
      <c r="C743" s="2" t="s">
        <v>6858</v>
      </c>
      <c r="D743" s="2" t="s">
        <v>5158</v>
      </c>
      <c r="E743" s="2" t="s">
        <v>5159</v>
      </c>
      <c r="F743" s="2">
        <v>3.88526316</v>
      </c>
      <c r="G743" s="2">
        <v>7</v>
      </c>
      <c r="H743" s="2">
        <f>Tabla_Items_Con_Existencia[[#This Row],[COSTO]]*Tabla_Items_Con_Existencia[[#This Row],[EXISTENCIA]]</f>
        <v>27.196842119999999</v>
      </c>
      <c r="I743" s="1">
        <f>IF(ISERROR(MATCH(Tabla_Items_Con_Existencia[[#This Row],[CODIGO]],Tabla_Items_Activos[CODIGO],0)),0,1)</f>
        <v>0</v>
      </c>
    </row>
    <row r="744" spans="1:9">
      <c r="A744" s="2" t="s">
        <v>6761</v>
      </c>
      <c r="B744" s="2" t="s">
        <v>1775</v>
      </c>
      <c r="C744" s="2" t="s">
        <v>6858</v>
      </c>
      <c r="D744" s="2" t="s">
        <v>5158</v>
      </c>
      <c r="E744" s="2" t="s">
        <v>5159</v>
      </c>
      <c r="F744" s="2">
        <v>3.88526316</v>
      </c>
      <c r="G744" s="2">
        <v>7</v>
      </c>
      <c r="H744" s="2">
        <f>Tabla_Items_Con_Existencia[[#This Row],[COSTO]]*Tabla_Items_Con_Existencia[[#This Row],[EXISTENCIA]]</f>
        <v>27.196842119999999</v>
      </c>
      <c r="I744" s="1">
        <f>IF(ISERROR(MATCH(Tabla_Items_Con_Existencia[[#This Row],[CODIGO]],Tabla_Items_Activos[CODIGO],0)),0,1)</f>
        <v>0</v>
      </c>
    </row>
    <row r="745" spans="1:9">
      <c r="A745" s="2" t="s">
        <v>6760</v>
      </c>
      <c r="B745" s="2" t="s">
        <v>1777</v>
      </c>
      <c r="C745" s="2" t="s">
        <v>1778</v>
      </c>
      <c r="D745" s="2" t="s">
        <v>5161</v>
      </c>
      <c r="E745" s="2" t="s">
        <v>5159</v>
      </c>
      <c r="F745" s="2">
        <v>1.8842105300000001</v>
      </c>
      <c r="G745" s="2">
        <v>8</v>
      </c>
      <c r="H745" s="2">
        <f>Tabla_Items_Con_Existencia[[#This Row],[COSTO]]*Tabla_Items_Con_Existencia[[#This Row],[EXISTENCIA]]</f>
        <v>15.07368424</v>
      </c>
      <c r="I745" s="1">
        <f>IF(ISERROR(MATCH(Tabla_Items_Con_Existencia[[#This Row],[CODIGO]],Tabla_Items_Activos[CODIGO],0)),0,1)</f>
        <v>0</v>
      </c>
    </row>
    <row r="746" spans="1:9">
      <c r="A746" s="2" t="s">
        <v>6761</v>
      </c>
      <c r="B746" s="2" t="s">
        <v>1777</v>
      </c>
      <c r="C746" s="2" t="s">
        <v>1778</v>
      </c>
      <c r="D746" s="2" t="s">
        <v>5161</v>
      </c>
      <c r="E746" s="2" t="s">
        <v>5159</v>
      </c>
      <c r="F746" s="2">
        <v>1.8842105300000001</v>
      </c>
      <c r="G746" s="2">
        <v>8</v>
      </c>
      <c r="H746" s="2">
        <f>Tabla_Items_Con_Existencia[[#This Row],[COSTO]]*Tabla_Items_Con_Existencia[[#This Row],[EXISTENCIA]]</f>
        <v>15.07368424</v>
      </c>
      <c r="I746" s="1">
        <f>IF(ISERROR(MATCH(Tabla_Items_Con_Existencia[[#This Row],[CODIGO]],Tabla_Items_Activos[CODIGO],0)),0,1)</f>
        <v>0</v>
      </c>
    </row>
    <row r="747" spans="1:9">
      <c r="A747" s="2" t="s">
        <v>6760</v>
      </c>
      <c r="B747" s="2" t="s">
        <v>393</v>
      </c>
      <c r="C747" s="2" t="s">
        <v>1779</v>
      </c>
      <c r="D747" s="2" t="s">
        <v>5161</v>
      </c>
      <c r="E747" s="2" t="s">
        <v>5159</v>
      </c>
      <c r="F747" s="2">
        <v>5.1749999999999998</v>
      </c>
      <c r="G747" s="2">
        <v>5</v>
      </c>
      <c r="H747" s="2">
        <f>Tabla_Items_Con_Existencia[[#This Row],[COSTO]]*Tabla_Items_Con_Existencia[[#This Row],[EXISTENCIA]]</f>
        <v>25.875</v>
      </c>
      <c r="I747" s="1">
        <f>IF(ISERROR(MATCH(Tabla_Items_Con_Existencia[[#This Row],[CODIGO]],Tabla_Items_Activos[CODIGO],0)),0,1)</f>
        <v>0</v>
      </c>
    </row>
    <row r="748" spans="1:9">
      <c r="A748" s="2" t="s">
        <v>6760</v>
      </c>
      <c r="B748" s="2" t="s">
        <v>394</v>
      </c>
      <c r="C748" s="2" t="s">
        <v>1780</v>
      </c>
      <c r="D748" s="2" t="s">
        <v>5161</v>
      </c>
      <c r="E748" s="2" t="s">
        <v>5159</v>
      </c>
      <c r="F748" s="2">
        <v>4.3360000000000003</v>
      </c>
      <c r="G748" s="2">
        <v>10</v>
      </c>
      <c r="H748" s="2">
        <f>Tabla_Items_Con_Existencia[[#This Row],[COSTO]]*Tabla_Items_Con_Existencia[[#This Row],[EXISTENCIA]]</f>
        <v>43.36</v>
      </c>
      <c r="I748" s="1">
        <f>IF(ISERROR(MATCH(Tabla_Items_Con_Existencia[[#This Row],[CODIGO]],Tabla_Items_Activos[CODIGO],0)),0,1)</f>
        <v>0</v>
      </c>
    </row>
    <row r="749" spans="1:9">
      <c r="A749" s="2" t="s">
        <v>6760</v>
      </c>
      <c r="B749" s="2" t="s">
        <v>395</v>
      </c>
      <c r="C749" s="2" t="s">
        <v>1781</v>
      </c>
      <c r="D749" s="2" t="s">
        <v>5161</v>
      </c>
      <c r="E749" s="2" t="s">
        <v>5159</v>
      </c>
      <c r="F749" s="2">
        <v>9.9242526299999998</v>
      </c>
      <c r="G749" s="2">
        <v>6</v>
      </c>
      <c r="H749" s="2">
        <f>Tabla_Items_Con_Existencia[[#This Row],[COSTO]]*Tabla_Items_Con_Existencia[[#This Row],[EXISTENCIA]]</f>
        <v>59.545515780000002</v>
      </c>
      <c r="I749" s="1">
        <f>IF(ISERROR(MATCH(Tabla_Items_Con_Existencia[[#This Row],[CODIGO]],Tabla_Items_Activos[CODIGO],0)),0,1)</f>
        <v>0</v>
      </c>
    </row>
    <row r="750" spans="1:9">
      <c r="A750" s="2" t="s">
        <v>6761</v>
      </c>
      <c r="B750" s="2" t="s">
        <v>395</v>
      </c>
      <c r="C750" s="2" t="s">
        <v>1781</v>
      </c>
      <c r="D750" s="2" t="s">
        <v>5161</v>
      </c>
      <c r="E750" s="2" t="s">
        <v>5159</v>
      </c>
      <c r="F750" s="2">
        <v>9.9242526299999998</v>
      </c>
      <c r="G750" s="2">
        <v>6</v>
      </c>
      <c r="H750" s="2">
        <f>Tabla_Items_Con_Existencia[[#This Row],[COSTO]]*Tabla_Items_Con_Existencia[[#This Row],[EXISTENCIA]]</f>
        <v>59.545515780000002</v>
      </c>
      <c r="I750" s="1">
        <f>IF(ISERROR(MATCH(Tabla_Items_Con_Existencia[[#This Row],[CODIGO]],Tabla_Items_Activos[CODIGO],0)),0,1)</f>
        <v>0</v>
      </c>
    </row>
    <row r="751" spans="1:9">
      <c r="A751" s="2" t="s">
        <v>6760</v>
      </c>
      <c r="B751" s="2" t="s">
        <v>6859</v>
      </c>
      <c r="C751" s="2" t="s">
        <v>6860</v>
      </c>
      <c r="D751" s="2" t="s">
        <v>5161</v>
      </c>
      <c r="E751" s="2" t="s">
        <v>5159</v>
      </c>
      <c r="F751" s="2">
        <v>4.05</v>
      </c>
      <c r="G751" s="2">
        <v>5</v>
      </c>
      <c r="H751" s="2">
        <f>Tabla_Items_Con_Existencia[[#This Row],[COSTO]]*Tabla_Items_Con_Existencia[[#This Row],[EXISTENCIA]]</f>
        <v>20.25</v>
      </c>
      <c r="I751" s="1">
        <f>IF(ISERROR(MATCH(Tabla_Items_Con_Existencia[[#This Row],[CODIGO]],Tabla_Items_Activos[CODIGO],0)),0,1)</f>
        <v>0</v>
      </c>
    </row>
    <row r="752" spans="1:9">
      <c r="A752" s="2" t="s">
        <v>6760</v>
      </c>
      <c r="B752" s="2" t="s">
        <v>6352</v>
      </c>
      <c r="C752" s="2" t="s">
        <v>6428</v>
      </c>
      <c r="D752" s="2" t="s">
        <v>5161</v>
      </c>
      <c r="E752" s="2" t="s">
        <v>5159</v>
      </c>
      <c r="F752" s="2">
        <v>4.6950000000000003</v>
      </c>
      <c r="G752" s="2">
        <v>15</v>
      </c>
      <c r="H752" s="2">
        <f>Tabla_Items_Con_Existencia[[#This Row],[COSTO]]*Tabla_Items_Con_Existencia[[#This Row],[EXISTENCIA]]</f>
        <v>70.425000000000011</v>
      </c>
      <c r="I752" s="1">
        <f>IF(ISERROR(MATCH(Tabla_Items_Con_Existencia[[#This Row],[CODIGO]],Tabla_Items_Activos[CODIGO],0)),0,1)</f>
        <v>0</v>
      </c>
    </row>
    <row r="753" spans="1:9">
      <c r="A753" s="2" t="s">
        <v>6760</v>
      </c>
      <c r="B753" s="2" t="s">
        <v>396</v>
      </c>
      <c r="C753" s="2" t="s">
        <v>1782</v>
      </c>
      <c r="D753" s="2" t="s">
        <v>5161</v>
      </c>
      <c r="E753" s="2" t="s">
        <v>5159</v>
      </c>
      <c r="F753" s="2">
        <v>3.28</v>
      </c>
      <c r="G753" s="2">
        <v>6</v>
      </c>
      <c r="H753" s="2">
        <f>Tabla_Items_Con_Existencia[[#This Row],[COSTO]]*Tabla_Items_Con_Existencia[[#This Row],[EXISTENCIA]]</f>
        <v>19.68</v>
      </c>
      <c r="I753" s="1">
        <f>IF(ISERROR(MATCH(Tabla_Items_Con_Existencia[[#This Row],[CODIGO]],Tabla_Items_Activos[CODIGO],0)),0,1)</f>
        <v>0</v>
      </c>
    </row>
    <row r="754" spans="1:9">
      <c r="A754" s="2" t="s">
        <v>6760</v>
      </c>
      <c r="B754" s="2" t="s">
        <v>1783</v>
      </c>
      <c r="C754" s="2" t="s">
        <v>1784</v>
      </c>
      <c r="D754" s="2" t="s">
        <v>5161</v>
      </c>
      <c r="E754" s="2" t="s">
        <v>5159</v>
      </c>
      <c r="F754" s="2">
        <v>2.02</v>
      </c>
      <c r="G754" s="2">
        <v>3</v>
      </c>
      <c r="H754" s="2">
        <f>Tabla_Items_Con_Existencia[[#This Row],[COSTO]]*Tabla_Items_Con_Existencia[[#This Row],[EXISTENCIA]]</f>
        <v>6.0600000000000005</v>
      </c>
      <c r="I754" s="1">
        <f>IF(ISERROR(MATCH(Tabla_Items_Con_Existencia[[#This Row],[CODIGO]],Tabla_Items_Activos[CODIGO],0)),0,1)</f>
        <v>0</v>
      </c>
    </row>
    <row r="755" spans="1:9">
      <c r="A755" s="2" t="s">
        <v>6760</v>
      </c>
      <c r="B755" s="2" t="s">
        <v>397</v>
      </c>
      <c r="C755" s="2" t="s">
        <v>1785</v>
      </c>
      <c r="D755" s="2" t="s">
        <v>5161</v>
      </c>
      <c r="E755" s="2" t="s">
        <v>5159</v>
      </c>
      <c r="F755" s="2">
        <v>15.083</v>
      </c>
      <c r="G755" s="2">
        <v>4</v>
      </c>
      <c r="H755" s="2">
        <f>Tabla_Items_Con_Existencia[[#This Row],[COSTO]]*Tabla_Items_Con_Existencia[[#This Row],[EXISTENCIA]]</f>
        <v>60.332000000000001</v>
      </c>
      <c r="I755" s="1">
        <f>IF(ISERROR(MATCH(Tabla_Items_Con_Existencia[[#This Row],[CODIGO]],Tabla_Items_Activos[CODIGO],0)),0,1)</f>
        <v>0</v>
      </c>
    </row>
    <row r="756" spans="1:9">
      <c r="A756" s="2" t="s">
        <v>6760</v>
      </c>
      <c r="B756" s="2" t="s">
        <v>1786</v>
      </c>
      <c r="C756" s="2" t="s">
        <v>1787</v>
      </c>
      <c r="D756" s="2" t="s">
        <v>5161</v>
      </c>
      <c r="E756" s="2" t="s">
        <v>5159</v>
      </c>
      <c r="F756" s="2">
        <v>1.52</v>
      </c>
      <c r="G756" s="2">
        <v>10</v>
      </c>
      <c r="H756" s="2">
        <f>Tabla_Items_Con_Existencia[[#This Row],[COSTO]]*Tabla_Items_Con_Existencia[[#This Row],[EXISTENCIA]]</f>
        <v>15.2</v>
      </c>
      <c r="I756" s="1">
        <f>IF(ISERROR(MATCH(Tabla_Items_Con_Existencia[[#This Row],[CODIGO]],Tabla_Items_Activos[CODIGO],0)),0,1)</f>
        <v>0</v>
      </c>
    </row>
    <row r="757" spans="1:9">
      <c r="A757" s="2" t="s">
        <v>6760</v>
      </c>
      <c r="B757" s="2" t="s">
        <v>398</v>
      </c>
      <c r="C757" s="2" t="s">
        <v>1788</v>
      </c>
      <c r="D757" s="2" t="s">
        <v>5161</v>
      </c>
      <c r="E757" s="2" t="s">
        <v>5159</v>
      </c>
      <c r="F757" s="2">
        <v>4.6429999999999998</v>
      </c>
      <c r="G757" s="2">
        <v>14</v>
      </c>
      <c r="H757" s="2">
        <f>Tabla_Items_Con_Existencia[[#This Row],[COSTO]]*Tabla_Items_Con_Existencia[[#This Row],[EXISTENCIA]]</f>
        <v>65.001999999999995</v>
      </c>
      <c r="I757" s="1">
        <f>IF(ISERROR(MATCH(Tabla_Items_Con_Existencia[[#This Row],[CODIGO]],Tabla_Items_Activos[CODIGO],0)),0,1)</f>
        <v>0</v>
      </c>
    </row>
    <row r="758" spans="1:9">
      <c r="A758" s="2" t="s">
        <v>6760</v>
      </c>
      <c r="B758" s="2" t="s">
        <v>1791</v>
      </c>
      <c r="C758" s="2" t="s">
        <v>1792</v>
      </c>
      <c r="D758" s="2" t="s">
        <v>5161</v>
      </c>
      <c r="E758" s="2" t="s">
        <v>5159</v>
      </c>
      <c r="F758" s="2">
        <v>6.3170526300000001</v>
      </c>
      <c r="G758" s="2">
        <v>5</v>
      </c>
      <c r="H758" s="2">
        <f>Tabla_Items_Con_Existencia[[#This Row],[COSTO]]*Tabla_Items_Con_Existencia[[#This Row],[EXISTENCIA]]</f>
        <v>31.585263149999999</v>
      </c>
      <c r="I758" s="1">
        <f>IF(ISERROR(MATCH(Tabla_Items_Con_Existencia[[#This Row],[CODIGO]],Tabla_Items_Activos[CODIGO],0)),0,1)</f>
        <v>0</v>
      </c>
    </row>
    <row r="759" spans="1:9">
      <c r="A759" s="2" t="s">
        <v>6761</v>
      </c>
      <c r="B759" s="2" t="s">
        <v>1791</v>
      </c>
      <c r="C759" s="2" t="s">
        <v>1792</v>
      </c>
      <c r="D759" s="2" t="s">
        <v>5161</v>
      </c>
      <c r="E759" s="2" t="s">
        <v>5159</v>
      </c>
      <c r="F759" s="2">
        <v>6.3170526300000001</v>
      </c>
      <c r="G759" s="2">
        <v>5</v>
      </c>
      <c r="H759" s="2">
        <f>Tabla_Items_Con_Existencia[[#This Row],[COSTO]]*Tabla_Items_Con_Existencia[[#This Row],[EXISTENCIA]]</f>
        <v>31.585263149999999</v>
      </c>
      <c r="I759" s="1">
        <f>IF(ISERROR(MATCH(Tabla_Items_Con_Existencia[[#This Row],[CODIGO]],Tabla_Items_Activos[CODIGO],0)),0,1)</f>
        <v>0</v>
      </c>
    </row>
    <row r="760" spans="1:9">
      <c r="A760" s="2" t="s">
        <v>6760</v>
      </c>
      <c r="B760" s="2" t="s">
        <v>399</v>
      </c>
      <c r="C760" s="2" t="s">
        <v>1793</v>
      </c>
      <c r="D760" s="2" t="s">
        <v>5161</v>
      </c>
      <c r="E760" s="2" t="s">
        <v>5159</v>
      </c>
      <c r="F760" s="2">
        <v>7.3390000000000004</v>
      </c>
      <c r="G760" s="2">
        <v>10</v>
      </c>
      <c r="H760" s="2">
        <f>Tabla_Items_Con_Existencia[[#This Row],[COSTO]]*Tabla_Items_Con_Existencia[[#This Row],[EXISTENCIA]]</f>
        <v>73.39</v>
      </c>
      <c r="I760" s="1">
        <f>IF(ISERROR(MATCH(Tabla_Items_Con_Existencia[[#This Row],[CODIGO]],Tabla_Items_Activos[CODIGO],0)),0,1)</f>
        <v>0</v>
      </c>
    </row>
    <row r="761" spans="1:9">
      <c r="A761" s="2" t="s">
        <v>6760</v>
      </c>
      <c r="B761" s="2" t="s">
        <v>7152</v>
      </c>
      <c r="C761" s="2" t="s">
        <v>7226</v>
      </c>
      <c r="D761" s="2" t="s">
        <v>5161</v>
      </c>
      <c r="E761" s="2" t="s">
        <v>5159</v>
      </c>
      <c r="F761" s="2">
        <v>0.57999999999999996</v>
      </c>
      <c r="G761" s="2">
        <v>16</v>
      </c>
      <c r="H761" s="2">
        <f>Tabla_Items_Con_Existencia[[#This Row],[COSTO]]*Tabla_Items_Con_Existencia[[#This Row],[EXISTENCIA]]</f>
        <v>9.2799999999999994</v>
      </c>
      <c r="I761" s="1">
        <f>IF(ISERROR(MATCH(Tabla_Items_Con_Existencia[[#This Row],[CODIGO]],Tabla_Items_Activos[CODIGO],0)),0,1)</f>
        <v>0</v>
      </c>
    </row>
    <row r="762" spans="1:9">
      <c r="A762" s="2" t="s">
        <v>6760</v>
      </c>
      <c r="B762" s="2" t="s">
        <v>6353</v>
      </c>
      <c r="C762" s="2" t="s">
        <v>6429</v>
      </c>
      <c r="D762" s="2" t="s">
        <v>5161</v>
      </c>
      <c r="E762" s="2" t="s">
        <v>5159</v>
      </c>
      <c r="F762" s="2">
        <v>2.19</v>
      </c>
      <c r="G762" s="2">
        <v>17</v>
      </c>
      <c r="H762" s="2">
        <f>Tabla_Items_Con_Existencia[[#This Row],[COSTO]]*Tabla_Items_Con_Existencia[[#This Row],[EXISTENCIA]]</f>
        <v>37.229999999999997</v>
      </c>
      <c r="I762" s="1">
        <f>IF(ISERROR(MATCH(Tabla_Items_Con_Existencia[[#This Row],[CODIGO]],Tabla_Items_Activos[CODIGO],0)),0,1)</f>
        <v>0</v>
      </c>
    </row>
    <row r="763" spans="1:9">
      <c r="A763" s="2" t="s">
        <v>6760</v>
      </c>
      <c r="B763" s="2" t="s">
        <v>6354</v>
      </c>
      <c r="C763" s="2" t="s">
        <v>6430</v>
      </c>
      <c r="D763" s="2" t="s">
        <v>5161</v>
      </c>
      <c r="E763" s="2" t="s">
        <v>5159</v>
      </c>
      <c r="F763" s="2">
        <v>2.1844000000000001</v>
      </c>
      <c r="G763" s="2">
        <v>32</v>
      </c>
      <c r="H763" s="2">
        <f>Tabla_Items_Con_Existencia[[#This Row],[COSTO]]*Tabla_Items_Con_Existencia[[#This Row],[EXISTENCIA]]</f>
        <v>69.900800000000004</v>
      </c>
      <c r="I763" s="1">
        <f>IF(ISERROR(MATCH(Tabla_Items_Con_Existencia[[#This Row],[CODIGO]],Tabla_Items_Activos[CODIGO],0)),0,1)</f>
        <v>0</v>
      </c>
    </row>
    <row r="764" spans="1:9">
      <c r="A764" s="2" t="s">
        <v>6760</v>
      </c>
      <c r="B764" s="2" t="s">
        <v>6355</v>
      </c>
      <c r="C764" s="2" t="s">
        <v>6431</v>
      </c>
      <c r="D764" s="2" t="s">
        <v>5161</v>
      </c>
      <c r="E764" s="2" t="s">
        <v>5159</v>
      </c>
      <c r="F764" s="2">
        <v>0.4</v>
      </c>
      <c r="G764" s="2">
        <v>17</v>
      </c>
      <c r="H764" s="2">
        <f>Tabla_Items_Con_Existencia[[#This Row],[COSTO]]*Tabla_Items_Con_Existencia[[#This Row],[EXISTENCIA]]</f>
        <v>6.8000000000000007</v>
      </c>
      <c r="I764" s="1">
        <f>IF(ISERROR(MATCH(Tabla_Items_Con_Existencia[[#This Row],[CODIGO]],Tabla_Items_Activos[CODIGO],0)),0,1)</f>
        <v>0</v>
      </c>
    </row>
    <row r="765" spans="1:9">
      <c r="A765" s="2" t="s">
        <v>6760</v>
      </c>
      <c r="B765" s="2" t="s">
        <v>1794</v>
      </c>
      <c r="C765" s="2" t="s">
        <v>1795</v>
      </c>
      <c r="D765" s="2" t="s">
        <v>5161</v>
      </c>
      <c r="E765" s="2" t="s">
        <v>5159</v>
      </c>
      <c r="F765" s="2">
        <v>8.2469999999999999</v>
      </c>
      <c r="G765" s="2">
        <v>1</v>
      </c>
      <c r="H765" s="2">
        <f>Tabla_Items_Con_Existencia[[#This Row],[COSTO]]*Tabla_Items_Con_Existencia[[#This Row],[EXISTENCIA]]</f>
        <v>8.2469999999999999</v>
      </c>
      <c r="I765" s="1">
        <f>IF(ISERROR(MATCH(Tabla_Items_Con_Existencia[[#This Row],[CODIGO]],Tabla_Items_Activos[CODIGO],0)),0,1)</f>
        <v>0</v>
      </c>
    </row>
    <row r="766" spans="1:9">
      <c r="A766" s="2" t="s">
        <v>6760</v>
      </c>
      <c r="B766" s="2" t="s">
        <v>1796</v>
      </c>
      <c r="C766" s="2" t="s">
        <v>1797</v>
      </c>
      <c r="D766" s="2" t="s">
        <v>5195</v>
      </c>
      <c r="E766" s="2" t="s">
        <v>5159</v>
      </c>
      <c r="F766" s="2">
        <v>9.32</v>
      </c>
      <c r="G766" s="2">
        <v>15</v>
      </c>
      <c r="H766" s="2">
        <f>Tabla_Items_Con_Existencia[[#This Row],[COSTO]]*Tabla_Items_Con_Existencia[[#This Row],[EXISTENCIA]]</f>
        <v>139.80000000000001</v>
      </c>
      <c r="I766" s="1">
        <f>IF(ISERROR(MATCH(Tabla_Items_Con_Existencia[[#This Row],[CODIGO]],Tabla_Items_Activos[CODIGO],0)),0,1)</f>
        <v>0</v>
      </c>
    </row>
    <row r="767" spans="1:9">
      <c r="A767" s="2" t="s">
        <v>6760</v>
      </c>
      <c r="B767" s="2" t="s">
        <v>1798</v>
      </c>
      <c r="C767" s="2" t="s">
        <v>1799</v>
      </c>
      <c r="D767" s="2" t="s">
        <v>5195</v>
      </c>
      <c r="E767" s="2" t="s">
        <v>5159</v>
      </c>
      <c r="F767" s="2">
        <v>19.450873680000001</v>
      </c>
      <c r="G767" s="2">
        <v>33</v>
      </c>
      <c r="H767" s="2">
        <f>Tabla_Items_Con_Existencia[[#This Row],[COSTO]]*Tabla_Items_Con_Existencia[[#This Row],[EXISTENCIA]]</f>
        <v>641.87883144</v>
      </c>
      <c r="I767" s="1">
        <f>IF(ISERROR(MATCH(Tabla_Items_Con_Existencia[[#This Row],[CODIGO]],Tabla_Items_Activos[CODIGO],0)),0,1)</f>
        <v>0</v>
      </c>
    </row>
    <row r="768" spans="1:9">
      <c r="A768" s="2" t="s">
        <v>6761</v>
      </c>
      <c r="B768" s="2" t="s">
        <v>1798</v>
      </c>
      <c r="C768" s="2" t="s">
        <v>1799</v>
      </c>
      <c r="D768" s="2" t="s">
        <v>5195</v>
      </c>
      <c r="E768" s="2" t="s">
        <v>5159</v>
      </c>
      <c r="F768" s="2">
        <v>19.450873680000001</v>
      </c>
      <c r="G768" s="2">
        <v>33</v>
      </c>
      <c r="H768" s="2">
        <f>Tabla_Items_Con_Existencia[[#This Row],[COSTO]]*Tabla_Items_Con_Existencia[[#This Row],[EXISTENCIA]]</f>
        <v>641.87883144</v>
      </c>
      <c r="I768" s="1">
        <f>IF(ISERROR(MATCH(Tabla_Items_Con_Existencia[[#This Row],[CODIGO]],Tabla_Items_Activos[CODIGO],0)),0,1)</f>
        <v>0</v>
      </c>
    </row>
    <row r="769" spans="1:9">
      <c r="A769" s="2" t="s">
        <v>6760</v>
      </c>
      <c r="B769" s="2" t="s">
        <v>1800</v>
      </c>
      <c r="C769" s="2" t="s">
        <v>1801</v>
      </c>
      <c r="D769" s="2" t="s">
        <v>5195</v>
      </c>
      <c r="E769" s="2" t="s">
        <v>5159</v>
      </c>
      <c r="F769" s="2">
        <v>14.84422105</v>
      </c>
      <c r="G769" s="2">
        <v>44</v>
      </c>
      <c r="H769" s="2">
        <f>Tabla_Items_Con_Existencia[[#This Row],[COSTO]]*Tabla_Items_Con_Existencia[[#This Row],[EXISTENCIA]]</f>
        <v>653.14572620000001</v>
      </c>
      <c r="I769" s="1">
        <f>IF(ISERROR(MATCH(Tabla_Items_Con_Existencia[[#This Row],[CODIGO]],Tabla_Items_Activos[CODIGO],0)),0,1)</f>
        <v>0</v>
      </c>
    </row>
    <row r="770" spans="1:9">
      <c r="A770" s="2" t="s">
        <v>6761</v>
      </c>
      <c r="B770" s="2" t="s">
        <v>1800</v>
      </c>
      <c r="C770" s="2" t="s">
        <v>1801</v>
      </c>
      <c r="D770" s="2" t="s">
        <v>5195</v>
      </c>
      <c r="E770" s="2" t="s">
        <v>5159</v>
      </c>
      <c r="F770" s="2">
        <v>14.84422105</v>
      </c>
      <c r="G770" s="2">
        <v>44</v>
      </c>
      <c r="H770" s="2">
        <f>Tabla_Items_Con_Existencia[[#This Row],[COSTO]]*Tabla_Items_Con_Existencia[[#This Row],[EXISTENCIA]]</f>
        <v>653.14572620000001</v>
      </c>
      <c r="I770" s="1">
        <f>IF(ISERROR(MATCH(Tabla_Items_Con_Existencia[[#This Row],[CODIGO]],Tabla_Items_Activos[CODIGO],0)),0,1)</f>
        <v>0</v>
      </c>
    </row>
    <row r="771" spans="1:9">
      <c r="A771" s="2" t="s">
        <v>6760</v>
      </c>
      <c r="B771" s="2" t="s">
        <v>6432</v>
      </c>
      <c r="C771" s="2" t="s">
        <v>6433</v>
      </c>
      <c r="D771" s="2" t="s">
        <v>5195</v>
      </c>
      <c r="E771" s="2" t="s">
        <v>5159</v>
      </c>
      <c r="F771" s="2">
        <v>22.330500000000001</v>
      </c>
      <c r="G771" s="2">
        <v>30</v>
      </c>
      <c r="H771" s="2">
        <f>Tabla_Items_Con_Existencia[[#This Row],[COSTO]]*Tabla_Items_Con_Existencia[[#This Row],[EXISTENCIA]]</f>
        <v>669.91499999999996</v>
      </c>
      <c r="I771" s="1">
        <f>IF(ISERROR(MATCH(Tabla_Items_Con_Existencia[[#This Row],[CODIGO]],Tabla_Items_Activos[CODIGO],0)),0,1)</f>
        <v>0</v>
      </c>
    </row>
    <row r="772" spans="1:9">
      <c r="A772" s="2" t="s">
        <v>6761</v>
      </c>
      <c r="B772" s="2" t="s">
        <v>6432</v>
      </c>
      <c r="C772" s="2" t="s">
        <v>6433</v>
      </c>
      <c r="D772" s="2" t="s">
        <v>5195</v>
      </c>
      <c r="E772" s="2" t="s">
        <v>5159</v>
      </c>
      <c r="F772" s="2">
        <v>22.330500000000001</v>
      </c>
      <c r="G772" s="2">
        <v>30</v>
      </c>
      <c r="H772" s="2">
        <f>Tabla_Items_Con_Existencia[[#This Row],[COSTO]]*Tabla_Items_Con_Existencia[[#This Row],[EXISTENCIA]]</f>
        <v>669.91499999999996</v>
      </c>
      <c r="I772" s="1">
        <f>IF(ISERROR(MATCH(Tabla_Items_Con_Existencia[[#This Row],[CODIGO]],Tabla_Items_Activos[CODIGO],0)),0,1)</f>
        <v>0</v>
      </c>
    </row>
    <row r="773" spans="1:9">
      <c r="A773" s="2" t="s">
        <v>6761</v>
      </c>
      <c r="B773" s="2" t="s">
        <v>7227</v>
      </c>
      <c r="C773" s="2" t="s">
        <v>7228</v>
      </c>
      <c r="D773" s="2" t="s">
        <v>5195</v>
      </c>
      <c r="E773" s="2" t="s">
        <v>5159</v>
      </c>
      <c r="F773" s="2">
        <v>0</v>
      </c>
      <c r="G773" s="2">
        <v>1</v>
      </c>
      <c r="H773" s="2">
        <f>Tabla_Items_Con_Existencia[[#This Row],[COSTO]]*Tabla_Items_Con_Existencia[[#This Row],[EXISTENCIA]]</f>
        <v>0</v>
      </c>
      <c r="I773" s="1">
        <f>IF(ISERROR(MATCH(Tabla_Items_Con_Existencia[[#This Row],[CODIGO]],Tabla_Items_Activos[CODIGO],0)),0,1)</f>
        <v>0</v>
      </c>
    </row>
    <row r="774" spans="1:9">
      <c r="A774" s="2" t="s">
        <v>6760</v>
      </c>
      <c r="B774" s="2" t="s">
        <v>400</v>
      </c>
      <c r="C774" s="2" t="s">
        <v>5439</v>
      </c>
      <c r="D774" s="2" t="s">
        <v>5196</v>
      </c>
      <c r="E774" s="2" t="s">
        <v>5159</v>
      </c>
      <c r="F774" s="2">
        <v>394.28</v>
      </c>
      <c r="G774" s="2">
        <v>1</v>
      </c>
      <c r="H774" s="2">
        <f>Tabla_Items_Con_Existencia[[#This Row],[COSTO]]*Tabla_Items_Con_Existencia[[#This Row],[EXISTENCIA]]</f>
        <v>394.28</v>
      </c>
      <c r="I774" s="1">
        <f>IF(ISERROR(MATCH(Tabla_Items_Con_Existencia[[#This Row],[CODIGO]],Tabla_Items_Activos[CODIGO],0)),0,1)</f>
        <v>0</v>
      </c>
    </row>
    <row r="775" spans="1:9">
      <c r="A775" s="2" t="s">
        <v>6760</v>
      </c>
      <c r="B775" s="2" t="s">
        <v>7125</v>
      </c>
      <c r="C775" s="2" t="s">
        <v>4971</v>
      </c>
      <c r="D775" s="2" t="s">
        <v>5196</v>
      </c>
      <c r="E775" s="2" t="s">
        <v>5159</v>
      </c>
      <c r="F775" s="2">
        <v>412.47331480999998</v>
      </c>
      <c r="G775" s="2">
        <v>37</v>
      </c>
      <c r="H775" s="2">
        <f>Tabla_Items_Con_Existencia[[#This Row],[COSTO]]*Tabla_Items_Con_Existencia[[#This Row],[EXISTENCIA]]</f>
        <v>15261.512647969999</v>
      </c>
      <c r="I775" s="1">
        <f>IF(ISERROR(MATCH(Tabla_Items_Con_Existencia[[#This Row],[CODIGO]],Tabla_Items_Activos[CODIGO],0)),0,1)</f>
        <v>0</v>
      </c>
    </row>
    <row r="776" spans="1:9">
      <c r="A776" s="2" t="s">
        <v>6761</v>
      </c>
      <c r="B776" s="2" t="s">
        <v>7125</v>
      </c>
      <c r="C776" s="2" t="s">
        <v>4971</v>
      </c>
      <c r="D776" s="2" t="s">
        <v>5196</v>
      </c>
      <c r="E776" s="2" t="s">
        <v>5159</v>
      </c>
      <c r="F776" s="2">
        <v>412.47331480999998</v>
      </c>
      <c r="G776" s="2">
        <v>37</v>
      </c>
      <c r="H776" s="2">
        <f>Tabla_Items_Con_Existencia[[#This Row],[COSTO]]*Tabla_Items_Con_Existencia[[#This Row],[EXISTENCIA]]</f>
        <v>15261.512647969999</v>
      </c>
      <c r="I776" s="1">
        <f>IF(ISERROR(MATCH(Tabla_Items_Con_Existencia[[#This Row],[CODIGO]],Tabla_Items_Activos[CODIGO],0)),0,1)</f>
        <v>0</v>
      </c>
    </row>
    <row r="777" spans="1:9">
      <c r="A777" s="2" t="s">
        <v>6759</v>
      </c>
      <c r="B777" s="2" t="s">
        <v>7125</v>
      </c>
      <c r="C777" s="2" t="s">
        <v>4971</v>
      </c>
      <c r="D777" s="2" t="s">
        <v>5196</v>
      </c>
      <c r="E777" s="2" t="s">
        <v>5159</v>
      </c>
      <c r="F777" s="2">
        <v>412.47331480999998</v>
      </c>
      <c r="G777" s="2">
        <v>37</v>
      </c>
      <c r="H777" s="2">
        <f>Tabla_Items_Con_Existencia[[#This Row],[COSTO]]*Tabla_Items_Con_Existencia[[#This Row],[EXISTENCIA]]</f>
        <v>15261.512647969999</v>
      </c>
      <c r="I777" s="1">
        <f>IF(ISERROR(MATCH(Tabla_Items_Con_Existencia[[#This Row],[CODIGO]],Tabla_Items_Activos[CODIGO],0)),0,1)</f>
        <v>0</v>
      </c>
    </row>
    <row r="778" spans="1:9">
      <c r="A778" s="2" t="s">
        <v>6760</v>
      </c>
      <c r="B778" s="2" t="s">
        <v>6861</v>
      </c>
      <c r="C778" s="2" t="s">
        <v>6862</v>
      </c>
      <c r="D778" s="2" t="s">
        <v>5190</v>
      </c>
      <c r="E778" s="2" t="s">
        <v>5159</v>
      </c>
      <c r="F778" s="2">
        <v>15.92</v>
      </c>
      <c r="G778" s="2">
        <v>6</v>
      </c>
      <c r="H778" s="2">
        <f>Tabla_Items_Con_Existencia[[#This Row],[COSTO]]*Tabla_Items_Con_Existencia[[#This Row],[EXISTENCIA]]</f>
        <v>95.52</v>
      </c>
      <c r="I778" s="1">
        <f>IF(ISERROR(MATCH(Tabla_Items_Con_Existencia[[#This Row],[CODIGO]],Tabla_Items_Activos[CODIGO],0)),0,1)</f>
        <v>0</v>
      </c>
    </row>
    <row r="779" spans="1:9">
      <c r="A779" s="2" t="s">
        <v>6760</v>
      </c>
      <c r="B779" s="2" t="s">
        <v>6434</v>
      </c>
      <c r="C779" s="2" t="s">
        <v>6863</v>
      </c>
      <c r="D779" s="2" t="s">
        <v>5161</v>
      </c>
      <c r="E779" s="2" t="s">
        <v>5159</v>
      </c>
      <c r="F779" s="2">
        <v>0.17699999999999999</v>
      </c>
      <c r="G779" s="2">
        <v>10</v>
      </c>
      <c r="H779" s="2">
        <f>Tabla_Items_Con_Existencia[[#This Row],[COSTO]]*Tabla_Items_Con_Existencia[[#This Row],[EXISTENCIA]]</f>
        <v>1.77</v>
      </c>
      <c r="I779" s="1">
        <f>IF(ISERROR(MATCH(Tabla_Items_Con_Existencia[[#This Row],[CODIGO]],Tabla_Items_Activos[CODIGO],0)),0,1)</f>
        <v>0</v>
      </c>
    </row>
    <row r="780" spans="1:9">
      <c r="A780" s="2" t="s">
        <v>6760</v>
      </c>
      <c r="B780" s="2" t="s">
        <v>6435</v>
      </c>
      <c r="C780" s="2" t="s">
        <v>6436</v>
      </c>
      <c r="D780" s="2" t="s">
        <v>5158</v>
      </c>
      <c r="E780" s="2" t="s">
        <v>5159</v>
      </c>
      <c r="F780" s="2">
        <v>29.542000000000002</v>
      </c>
      <c r="G780" s="2">
        <v>14</v>
      </c>
      <c r="H780" s="2">
        <f>Tabla_Items_Con_Existencia[[#This Row],[COSTO]]*Tabla_Items_Con_Existencia[[#This Row],[EXISTENCIA]]</f>
        <v>413.58800000000002</v>
      </c>
      <c r="I780" s="1">
        <f>IF(ISERROR(MATCH(Tabla_Items_Con_Existencia[[#This Row],[CODIGO]],Tabla_Items_Activos[CODIGO],0)),0,1)</f>
        <v>0</v>
      </c>
    </row>
    <row r="781" spans="1:9">
      <c r="A781" s="2" t="s">
        <v>6760</v>
      </c>
      <c r="B781" s="2" t="s">
        <v>6437</v>
      </c>
      <c r="C781" s="2" t="s">
        <v>6864</v>
      </c>
      <c r="D781" s="2" t="s">
        <v>5158</v>
      </c>
      <c r="E781" s="2" t="s">
        <v>5159</v>
      </c>
      <c r="F781" s="2">
        <v>38.293999999999997</v>
      </c>
      <c r="G781" s="2">
        <v>4</v>
      </c>
      <c r="H781" s="2">
        <f>Tabla_Items_Con_Existencia[[#This Row],[COSTO]]*Tabla_Items_Con_Existencia[[#This Row],[EXISTENCIA]]</f>
        <v>153.17599999999999</v>
      </c>
      <c r="I781" s="1">
        <f>IF(ISERROR(MATCH(Tabla_Items_Con_Existencia[[#This Row],[CODIGO]],Tabla_Items_Activos[CODIGO],0)),0,1)</f>
        <v>0</v>
      </c>
    </row>
    <row r="782" spans="1:9">
      <c r="A782" s="2" t="s">
        <v>6760</v>
      </c>
      <c r="B782" s="2" t="s">
        <v>401</v>
      </c>
      <c r="C782" s="2" t="s">
        <v>1802</v>
      </c>
      <c r="D782" s="2" t="s">
        <v>5161</v>
      </c>
      <c r="E782" s="2" t="s">
        <v>5159</v>
      </c>
      <c r="F782" s="2">
        <v>4.3157052599999997</v>
      </c>
      <c r="G782" s="2">
        <v>12</v>
      </c>
      <c r="H782" s="2">
        <f>Tabla_Items_Con_Existencia[[#This Row],[COSTO]]*Tabla_Items_Con_Existencia[[#This Row],[EXISTENCIA]]</f>
        <v>51.788463119999996</v>
      </c>
      <c r="I782" s="1">
        <f>IF(ISERROR(MATCH(Tabla_Items_Con_Existencia[[#This Row],[CODIGO]],Tabla_Items_Activos[CODIGO],0)),0,1)</f>
        <v>0</v>
      </c>
    </row>
    <row r="783" spans="1:9">
      <c r="A783" s="2" t="s">
        <v>6761</v>
      </c>
      <c r="B783" s="2" t="s">
        <v>401</v>
      </c>
      <c r="C783" s="2" t="s">
        <v>1802</v>
      </c>
      <c r="D783" s="2" t="s">
        <v>5161</v>
      </c>
      <c r="E783" s="2" t="s">
        <v>5159</v>
      </c>
      <c r="F783" s="2">
        <v>4.3157052599999997</v>
      </c>
      <c r="G783" s="2">
        <v>12</v>
      </c>
      <c r="H783" s="2">
        <f>Tabla_Items_Con_Existencia[[#This Row],[COSTO]]*Tabla_Items_Con_Existencia[[#This Row],[EXISTENCIA]]</f>
        <v>51.788463119999996</v>
      </c>
      <c r="I783" s="1">
        <f>IF(ISERROR(MATCH(Tabla_Items_Con_Existencia[[#This Row],[CODIGO]],Tabla_Items_Activos[CODIGO],0)),0,1)</f>
        <v>0</v>
      </c>
    </row>
    <row r="784" spans="1:9">
      <c r="A784" s="2" t="s">
        <v>6760</v>
      </c>
      <c r="B784" s="2" t="s">
        <v>6438</v>
      </c>
      <c r="C784" s="2" t="s">
        <v>6439</v>
      </c>
      <c r="D784" s="2" t="s">
        <v>5158</v>
      </c>
      <c r="E784" s="2" t="s">
        <v>5159</v>
      </c>
      <c r="F784" s="2">
        <v>32.561999999999998</v>
      </c>
      <c r="G784" s="2">
        <v>10</v>
      </c>
      <c r="H784" s="2">
        <f>Tabla_Items_Con_Existencia[[#This Row],[COSTO]]*Tabla_Items_Con_Existencia[[#This Row],[EXISTENCIA]]</f>
        <v>325.62</v>
      </c>
      <c r="I784" s="1">
        <f>IF(ISERROR(MATCH(Tabla_Items_Con_Existencia[[#This Row],[CODIGO]],Tabla_Items_Activos[CODIGO],0)),0,1)</f>
        <v>0</v>
      </c>
    </row>
    <row r="785" spans="1:9">
      <c r="A785" s="2" t="s">
        <v>6760</v>
      </c>
      <c r="B785" s="2" t="s">
        <v>1803</v>
      </c>
      <c r="C785" s="2" t="s">
        <v>1804</v>
      </c>
      <c r="D785" s="2" t="s">
        <v>5158</v>
      </c>
      <c r="E785" s="2" t="s">
        <v>5159</v>
      </c>
      <c r="F785" s="2">
        <v>21.626000000000001</v>
      </c>
      <c r="G785" s="2">
        <v>10</v>
      </c>
      <c r="H785" s="2">
        <f>Tabla_Items_Con_Existencia[[#This Row],[COSTO]]*Tabla_Items_Con_Existencia[[#This Row],[EXISTENCIA]]</f>
        <v>216.26000000000002</v>
      </c>
      <c r="I785" s="1">
        <f>IF(ISERROR(MATCH(Tabla_Items_Con_Existencia[[#This Row],[CODIGO]],Tabla_Items_Activos[CODIGO],0)),0,1)</f>
        <v>0</v>
      </c>
    </row>
    <row r="786" spans="1:9">
      <c r="A786" s="2" t="s">
        <v>6760</v>
      </c>
      <c r="B786" s="2" t="s">
        <v>6440</v>
      </c>
      <c r="C786" s="2" t="s">
        <v>6441</v>
      </c>
      <c r="D786" s="2" t="s">
        <v>5158</v>
      </c>
      <c r="E786" s="2" t="s">
        <v>5159</v>
      </c>
      <c r="F786" s="2">
        <v>23.706</v>
      </c>
      <c r="G786" s="2">
        <v>6</v>
      </c>
      <c r="H786" s="2">
        <f>Tabla_Items_Con_Existencia[[#This Row],[COSTO]]*Tabla_Items_Con_Existencia[[#This Row],[EXISTENCIA]]</f>
        <v>142.23599999999999</v>
      </c>
      <c r="I786" s="1">
        <f>IF(ISERROR(MATCH(Tabla_Items_Con_Existencia[[#This Row],[CODIGO]],Tabla_Items_Activos[CODIGO],0)),0,1)</f>
        <v>0</v>
      </c>
    </row>
    <row r="787" spans="1:9">
      <c r="A787" s="2" t="s">
        <v>6760</v>
      </c>
      <c r="B787" s="2" t="s">
        <v>402</v>
      </c>
      <c r="C787" s="2" t="s">
        <v>1805</v>
      </c>
      <c r="D787" s="2" t="s">
        <v>5161</v>
      </c>
      <c r="E787" s="2" t="s">
        <v>5159</v>
      </c>
      <c r="F787" s="2">
        <v>11.64898947</v>
      </c>
      <c r="G787" s="2">
        <v>9</v>
      </c>
      <c r="H787" s="2">
        <f>Tabla_Items_Con_Existencia[[#This Row],[COSTO]]*Tabla_Items_Con_Existencia[[#This Row],[EXISTENCIA]]</f>
        <v>104.84090523</v>
      </c>
      <c r="I787" s="1">
        <f>IF(ISERROR(MATCH(Tabla_Items_Con_Existencia[[#This Row],[CODIGO]],Tabla_Items_Activos[CODIGO],0)),0,1)</f>
        <v>0</v>
      </c>
    </row>
    <row r="788" spans="1:9">
      <c r="A788" s="2" t="s">
        <v>6761</v>
      </c>
      <c r="B788" s="2" t="s">
        <v>402</v>
      </c>
      <c r="C788" s="2" t="s">
        <v>1805</v>
      </c>
      <c r="D788" s="2" t="s">
        <v>5161</v>
      </c>
      <c r="E788" s="2" t="s">
        <v>5159</v>
      </c>
      <c r="F788" s="2">
        <v>11.64898947</v>
      </c>
      <c r="G788" s="2">
        <v>9</v>
      </c>
      <c r="H788" s="2">
        <f>Tabla_Items_Con_Existencia[[#This Row],[COSTO]]*Tabla_Items_Con_Existencia[[#This Row],[EXISTENCIA]]</f>
        <v>104.84090523</v>
      </c>
      <c r="I788" s="1">
        <f>IF(ISERROR(MATCH(Tabla_Items_Con_Existencia[[#This Row],[CODIGO]],Tabla_Items_Activos[CODIGO],0)),0,1)</f>
        <v>0</v>
      </c>
    </row>
    <row r="789" spans="1:9">
      <c r="A789" s="2" t="s">
        <v>6760</v>
      </c>
      <c r="B789" s="2" t="s">
        <v>1806</v>
      </c>
      <c r="C789" s="2" t="s">
        <v>1807</v>
      </c>
      <c r="D789" s="2" t="s">
        <v>5161</v>
      </c>
      <c r="E789" s="2" t="s">
        <v>5159</v>
      </c>
      <c r="F789" s="2">
        <v>35.698500000000003</v>
      </c>
      <c r="G789" s="2">
        <v>15</v>
      </c>
      <c r="H789" s="2">
        <f>Tabla_Items_Con_Existencia[[#This Row],[COSTO]]*Tabla_Items_Con_Existencia[[#This Row],[EXISTENCIA]]</f>
        <v>535.47750000000008</v>
      </c>
      <c r="I789" s="1">
        <f>IF(ISERROR(MATCH(Tabla_Items_Con_Existencia[[#This Row],[CODIGO]],Tabla_Items_Activos[CODIGO],0)),0,1)</f>
        <v>0</v>
      </c>
    </row>
    <row r="790" spans="1:9">
      <c r="A790" s="2" t="s">
        <v>6760</v>
      </c>
      <c r="B790" s="2" t="s">
        <v>6442</v>
      </c>
      <c r="C790" s="2" t="s">
        <v>6443</v>
      </c>
      <c r="D790" s="2" t="s">
        <v>5161</v>
      </c>
      <c r="E790" s="2" t="s">
        <v>5159</v>
      </c>
      <c r="F790" s="2">
        <v>14.84282105</v>
      </c>
      <c r="G790" s="2">
        <v>17</v>
      </c>
      <c r="H790" s="2">
        <f>Tabla_Items_Con_Existencia[[#This Row],[COSTO]]*Tabla_Items_Con_Existencia[[#This Row],[EXISTENCIA]]</f>
        <v>252.32795784999999</v>
      </c>
      <c r="I790" s="1">
        <f>IF(ISERROR(MATCH(Tabla_Items_Con_Existencia[[#This Row],[CODIGO]],Tabla_Items_Activos[CODIGO],0)),0,1)</f>
        <v>0</v>
      </c>
    </row>
    <row r="791" spans="1:9">
      <c r="A791" s="2" t="s">
        <v>6761</v>
      </c>
      <c r="B791" s="2" t="s">
        <v>6442</v>
      </c>
      <c r="C791" s="2" t="s">
        <v>6443</v>
      </c>
      <c r="D791" s="2" t="s">
        <v>5161</v>
      </c>
      <c r="E791" s="2" t="s">
        <v>5159</v>
      </c>
      <c r="F791" s="2">
        <v>14.84282105</v>
      </c>
      <c r="G791" s="2">
        <v>17</v>
      </c>
      <c r="H791" s="2">
        <f>Tabla_Items_Con_Existencia[[#This Row],[COSTO]]*Tabla_Items_Con_Existencia[[#This Row],[EXISTENCIA]]</f>
        <v>252.32795784999999</v>
      </c>
      <c r="I791" s="1">
        <f>IF(ISERROR(MATCH(Tabla_Items_Con_Existencia[[#This Row],[CODIGO]],Tabla_Items_Activos[CODIGO],0)),0,1)</f>
        <v>0</v>
      </c>
    </row>
    <row r="792" spans="1:9">
      <c r="A792" s="2" t="s">
        <v>6760</v>
      </c>
      <c r="B792" s="2" t="s">
        <v>1808</v>
      </c>
      <c r="C792" s="2" t="s">
        <v>1809</v>
      </c>
      <c r="D792" s="2" t="s">
        <v>5161</v>
      </c>
      <c r="E792" s="2" t="s">
        <v>5159</v>
      </c>
      <c r="F792" s="2">
        <v>6.1059999999999999</v>
      </c>
      <c r="G792" s="2">
        <v>10</v>
      </c>
      <c r="H792" s="2">
        <f>Tabla_Items_Con_Existencia[[#This Row],[COSTO]]*Tabla_Items_Con_Existencia[[#This Row],[EXISTENCIA]]</f>
        <v>61.06</v>
      </c>
      <c r="I792" s="1">
        <f>IF(ISERROR(MATCH(Tabla_Items_Con_Existencia[[#This Row],[CODIGO]],Tabla_Items_Activos[CODIGO],0)),0,1)</f>
        <v>0</v>
      </c>
    </row>
    <row r="793" spans="1:9">
      <c r="A793" s="2" t="s">
        <v>6760</v>
      </c>
      <c r="B793" s="2" t="s">
        <v>6444</v>
      </c>
      <c r="C793" s="2" t="s">
        <v>6865</v>
      </c>
      <c r="D793" s="2" t="s">
        <v>5158</v>
      </c>
      <c r="E793" s="2" t="s">
        <v>5159</v>
      </c>
      <c r="F793" s="2">
        <v>4.298</v>
      </c>
      <c r="G793" s="2">
        <v>4</v>
      </c>
      <c r="H793" s="2">
        <f>Tabla_Items_Con_Existencia[[#This Row],[COSTO]]*Tabla_Items_Con_Existencia[[#This Row],[EXISTENCIA]]</f>
        <v>17.192</v>
      </c>
      <c r="I793" s="1">
        <f>IF(ISERROR(MATCH(Tabla_Items_Con_Existencia[[#This Row],[CODIGO]],Tabla_Items_Activos[CODIGO],0)),0,1)</f>
        <v>0</v>
      </c>
    </row>
    <row r="794" spans="1:9">
      <c r="A794" s="2" t="s">
        <v>6760</v>
      </c>
      <c r="B794" s="2" t="s">
        <v>6445</v>
      </c>
      <c r="C794" s="2" t="s">
        <v>7316</v>
      </c>
      <c r="D794" s="2" t="s">
        <v>5190</v>
      </c>
      <c r="E794" s="2" t="s">
        <v>5159</v>
      </c>
      <c r="F794" s="2">
        <v>10.994</v>
      </c>
      <c r="G794" s="2">
        <v>1</v>
      </c>
      <c r="H794" s="2">
        <f>Tabla_Items_Con_Existencia[[#This Row],[COSTO]]*Tabla_Items_Con_Existencia[[#This Row],[EXISTENCIA]]</f>
        <v>10.994</v>
      </c>
      <c r="I794" s="1">
        <f>IF(ISERROR(MATCH(Tabla_Items_Con_Existencia[[#This Row],[CODIGO]],Tabla_Items_Activos[CODIGO],0)),0,1)</f>
        <v>0</v>
      </c>
    </row>
    <row r="795" spans="1:9">
      <c r="A795" s="2" t="s">
        <v>6760</v>
      </c>
      <c r="B795" s="2" t="s">
        <v>6446</v>
      </c>
      <c r="C795" s="2" t="s">
        <v>7317</v>
      </c>
      <c r="D795" s="2" t="s">
        <v>5190</v>
      </c>
      <c r="E795" s="2" t="s">
        <v>5159</v>
      </c>
      <c r="F795" s="2">
        <v>12.493473679999999</v>
      </c>
      <c r="G795" s="2">
        <v>14</v>
      </c>
      <c r="H795" s="2">
        <f>Tabla_Items_Con_Existencia[[#This Row],[COSTO]]*Tabla_Items_Con_Existencia[[#This Row],[EXISTENCIA]]</f>
        <v>174.90863152</v>
      </c>
      <c r="I795" s="1">
        <f>IF(ISERROR(MATCH(Tabla_Items_Con_Existencia[[#This Row],[CODIGO]],Tabla_Items_Activos[CODIGO],0)),0,1)</f>
        <v>0</v>
      </c>
    </row>
    <row r="796" spans="1:9">
      <c r="A796" s="2" t="s">
        <v>6761</v>
      </c>
      <c r="B796" s="2" t="s">
        <v>6446</v>
      </c>
      <c r="C796" s="2" t="s">
        <v>7317</v>
      </c>
      <c r="D796" s="2" t="s">
        <v>5190</v>
      </c>
      <c r="E796" s="2" t="s">
        <v>5159</v>
      </c>
      <c r="F796" s="2">
        <v>12.493473679999999</v>
      </c>
      <c r="G796" s="2">
        <v>14</v>
      </c>
      <c r="H796" s="2">
        <f>Tabla_Items_Con_Existencia[[#This Row],[COSTO]]*Tabla_Items_Con_Existencia[[#This Row],[EXISTENCIA]]</f>
        <v>174.90863152</v>
      </c>
      <c r="I796" s="1">
        <f>IF(ISERROR(MATCH(Tabla_Items_Con_Existencia[[#This Row],[CODIGO]],Tabla_Items_Activos[CODIGO],0)),0,1)</f>
        <v>0</v>
      </c>
    </row>
    <row r="797" spans="1:9">
      <c r="A797" s="2" t="s">
        <v>6761</v>
      </c>
      <c r="B797" s="2" t="s">
        <v>6447</v>
      </c>
      <c r="C797" s="2" t="s">
        <v>6448</v>
      </c>
      <c r="D797" s="2" t="s">
        <v>5186</v>
      </c>
      <c r="E797" s="2" t="s">
        <v>5159</v>
      </c>
      <c r="F797" s="2">
        <v>7.6614210500000004</v>
      </c>
      <c r="G797" s="2">
        <v>12</v>
      </c>
      <c r="H797" s="2">
        <f>Tabla_Items_Con_Existencia[[#This Row],[COSTO]]*Tabla_Items_Con_Existencia[[#This Row],[EXISTENCIA]]</f>
        <v>91.937052600000001</v>
      </c>
      <c r="I797" s="1">
        <f>IF(ISERROR(MATCH(Tabla_Items_Con_Existencia[[#This Row],[CODIGO]],Tabla_Items_Activos[CODIGO],0)),0,1)</f>
        <v>0</v>
      </c>
    </row>
    <row r="798" spans="1:9">
      <c r="A798" s="2" t="s">
        <v>6760</v>
      </c>
      <c r="B798" s="2" t="s">
        <v>6447</v>
      </c>
      <c r="C798" s="2" t="s">
        <v>6448</v>
      </c>
      <c r="D798" s="2" t="s">
        <v>5186</v>
      </c>
      <c r="E798" s="2" t="s">
        <v>5159</v>
      </c>
      <c r="F798" s="2">
        <v>7.6614210500000004</v>
      </c>
      <c r="G798" s="2">
        <v>12</v>
      </c>
      <c r="H798" s="2">
        <f>Tabla_Items_Con_Existencia[[#This Row],[COSTO]]*Tabla_Items_Con_Existencia[[#This Row],[EXISTENCIA]]</f>
        <v>91.937052600000001</v>
      </c>
      <c r="I798" s="1">
        <f>IF(ISERROR(MATCH(Tabla_Items_Con_Existencia[[#This Row],[CODIGO]],Tabla_Items_Activos[CODIGO],0)),0,1)</f>
        <v>0</v>
      </c>
    </row>
    <row r="799" spans="1:9">
      <c r="A799" s="2" t="s">
        <v>6760</v>
      </c>
      <c r="B799" s="2" t="s">
        <v>6449</v>
      </c>
      <c r="C799" s="2" t="s">
        <v>6450</v>
      </c>
      <c r="D799" s="2" t="s">
        <v>5186</v>
      </c>
      <c r="E799" s="2" t="s">
        <v>5159</v>
      </c>
      <c r="F799" s="2">
        <v>15.923</v>
      </c>
      <c r="G799" s="2">
        <v>3</v>
      </c>
      <c r="H799" s="2">
        <f>Tabla_Items_Con_Existencia[[#This Row],[COSTO]]*Tabla_Items_Con_Existencia[[#This Row],[EXISTENCIA]]</f>
        <v>47.768999999999998</v>
      </c>
      <c r="I799" s="1">
        <f>IF(ISERROR(MATCH(Tabla_Items_Con_Existencia[[#This Row],[CODIGO]],Tabla_Items_Activos[CODIGO],0)),0,1)</f>
        <v>0</v>
      </c>
    </row>
    <row r="800" spans="1:9">
      <c r="A800" s="2" t="s">
        <v>6760</v>
      </c>
      <c r="B800" s="2" t="s">
        <v>6451</v>
      </c>
      <c r="C800" s="2" t="s">
        <v>6452</v>
      </c>
      <c r="D800" s="2" t="s">
        <v>5158</v>
      </c>
      <c r="E800" s="2" t="s">
        <v>5159</v>
      </c>
      <c r="F800" s="2">
        <v>0.30577778</v>
      </c>
      <c r="G800" s="2">
        <v>157</v>
      </c>
      <c r="H800" s="2">
        <f>Tabla_Items_Con_Existencia[[#This Row],[COSTO]]*Tabla_Items_Con_Existencia[[#This Row],[EXISTENCIA]]</f>
        <v>48.007111459999997</v>
      </c>
      <c r="I800" s="1">
        <f>IF(ISERROR(MATCH(Tabla_Items_Con_Existencia[[#This Row],[CODIGO]],Tabla_Items_Activos[CODIGO],0)),0,1)</f>
        <v>0</v>
      </c>
    </row>
    <row r="801" spans="1:9">
      <c r="A801" s="2" t="s">
        <v>6761</v>
      </c>
      <c r="B801" s="2" t="s">
        <v>6451</v>
      </c>
      <c r="C801" s="2" t="s">
        <v>6452</v>
      </c>
      <c r="D801" s="2" t="s">
        <v>5158</v>
      </c>
      <c r="E801" s="2" t="s">
        <v>5159</v>
      </c>
      <c r="F801" s="2">
        <v>0.30577778</v>
      </c>
      <c r="G801" s="2">
        <v>157</v>
      </c>
      <c r="H801" s="2">
        <f>Tabla_Items_Con_Existencia[[#This Row],[COSTO]]*Tabla_Items_Con_Existencia[[#This Row],[EXISTENCIA]]</f>
        <v>48.007111459999997</v>
      </c>
      <c r="I801" s="1">
        <f>IF(ISERROR(MATCH(Tabla_Items_Con_Existencia[[#This Row],[CODIGO]],Tabla_Items_Activos[CODIGO],0)),0,1)</f>
        <v>0</v>
      </c>
    </row>
    <row r="802" spans="1:9">
      <c r="A802" s="2" t="s">
        <v>6759</v>
      </c>
      <c r="B802" s="2" t="s">
        <v>6451</v>
      </c>
      <c r="C802" s="2" t="s">
        <v>6452</v>
      </c>
      <c r="D802" s="2" t="s">
        <v>5158</v>
      </c>
      <c r="E802" s="2" t="s">
        <v>5159</v>
      </c>
      <c r="F802" s="2">
        <v>0.30577778</v>
      </c>
      <c r="G802" s="2">
        <v>157</v>
      </c>
      <c r="H802" s="2">
        <f>Tabla_Items_Con_Existencia[[#This Row],[COSTO]]*Tabla_Items_Con_Existencia[[#This Row],[EXISTENCIA]]</f>
        <v>48.007111459999997</v>
      </c>
      <c r="I802" s="1">
        <f>IF(ISERROR(MATCH(Tabla_Items_Con_Existencia[[#This Row],[CODIGO]],Tabla_Items_Activos[CODIGO],0)),0,1)</f>
        <v>0</v>
      </c>
    </row>
    <row r="803" spans="1:9">
      <c r="A803" s="2" t="s">
        <v>6761</v>
      </c>
      <c r="B803" s="2" t="s">
        <v>1810</v>
      </c>
      <c r="C803" s="2" t="s">
        <v>1811</v>
      </c>
      <c r="D803" s="2" t="s">
        <v>5158</v>
      </c>
      <c r="E803" s="2" t="s">
        <v>5159</v>
      </c>
      <c r="F803" s="2">
        <v>0.79858947000000002</v>
      </c>
      <c r="G803" s="2">
        <v>42</v>
      </c>
      <c r="H803" s="2">
        <f>Tabla_Items_Con_Existencia[[#This Row],[COSTO]]*Tabla_Items_Con_Existencia[[#This Row],[EXISTENCIA]]</f>
        <v>33.540757740000004</v>
      </c>
      <c r="I803" s="1">
        <f>IF(ISERROR(MATCH(Tabla_Items_Con_Existencia[[#This Row],[CODIGO]],Tabla_Items_Activos[CODIGO],0)),0,1)</f>
        <v>0</v>
      </c>
    </row>
    <row r="804" spans="1:9">
      <c r="A804" s="2" t="s">
        <v>6760</v>
      </c>
      <c r="B804" s="2" t="s">
        <v>1810</v>
      </c>
      <c r="C804" s="2" t="s">
        <v>1811</v>
      </c>
      <c r="D804" s="2" t="s">
        <v>5158</v>
      </c>
      <c r="E804" s="2" t="s">
        <v>5159</v>
      </c>
      <c r="F804" s="2">
        <v>0.79858947000000002</v>
      </c>
      <c r="G804" s="2">
        <v>42</v>
      </c>
      <c r="H804" s="2">
        <f>Tabla_Items_Con_Existencia[[#This Row],[COSTO]]*Tabla_Items_Con_Existencia[[#This Row],[EXISTENCIA]]</f>
        <v>33.540757740000004</v>
      </c>
      <c r="I804" s="1">
        <f>IF(ISERROR(MATCH(Tabla_Items_Con_Existencia[[#This Row],[CODIGO]],Tabla_Items_Activos[CODIGO],0)),0,1)</f>
        <v>0</v>
      </c>
    </row>
    <row r="805" spans="1:9">
      <c r="A805" s="2" t="s">
        <v>6761</v>
      </c>
      <c r="B805" s="2" t="s">
        <v>1812</v>
      </c>
      <c r="C805" s="2" t="s">
        <v>7263</v>
      </c>
      <c r="D805" s="2" t="s">
        <v>5190</v>
      </c>
      <c r="E805" s="2" t="s">
        <v>5159</v>
      </c>
      <c r="F805" s="2">
        <v>0.41154815</v>
      </c>
      <c r="G805" s="2">
        <v>615</v>
      </c>
      <c r="H805" s="2">
        <f>Tabla_Items_Con_Existencia[[#This Row],[COSTO]]*Tabla_Items_Con_Existencia[[#This Row],[EXISTENCIA]]</f>
        <v>253.10211225</v>
      </c>
      <c r="I805" s="1">
        <f>IF(ISERROR(MATCH(Tabla_Items_Con_Existencia[[#This Row],[CODIGO]],Tabla_Items_Activos[CODIGO],0)),0,1)</f>
        <v>0</v>
      </c>
    </row>
    <row r="806" spans="1:9">
      <c r="A806" s="2" t="s">
        <v>6759</v>
      </c>
      <c r="B806" s="2" t="s">
        <v>1812</v>
      </c>
      <c r="C806" s="2" t="s">
        <v>7263</v>
      </c>
      <c r="D806" s="2" t="s">
        <v>5190</v>
      </c>
      <c r="E806" s="2" t="s">
        <v>5159</v>
      </c>
      <c r="F806" s="2">
        <v>0.41154815</v>
      </c>
      <c r="G806" s="2">
        <v>615</v>
      </c>
      <c r="H806" s="2">
        <f>Tabla_Items_Con_Existencia[[#This Row],[COSTO]]*Tabla_Items_Con_Existencia[[#This Row],[EXISTENCIA]]</f>
        <v>253.10211225</v>
      </c>
      <c r="I806" s="1">
        <f>IF(ISERROR(MATCH(Tabla_Items_Con_Existencia[[#This Row],[CODIGO]],Tabla_Items_Activos[CODIGO],0)),0,1)</f>
        <v>0</v>
      </c>
    </row>
    <row r="807" spans="1:9">
      <c r="A807" s="2" t="s">
        <v>6760</v>
      </c>
      <c r="B807" s="2" t="s">
        <v>1812</v>
      </c>
      <c r="C807" s="2" t="s">
        <v>7263</v>
      </c>
      <c r="D807" s="2" t="s">
        <v>5190</v>
      </c>
      <c r="E807" s="2" t="s">
        <v>5159</v>
      </c>
      <c r="F807" s="2">
        <v>0.41154815</v>
      </c>
      <c r="G807" s="2">
        <v>615</v>
      </c>
      <c r="H807" s="2">
        <f>Tabla_Items_Con_Existencia[[#This Row],[COSTO]]*Tabla_Items_Con_Existencia[[#This Row],[EXISTENCIA]]</f>
        <v>253.10211225</v>
      </c>
      <c r="I807" s="1">
        <f>IF(ISERROR(MATCH(Tabla_Items_Con_Existencia[[#This Row],[CODIGO]],Tabla_Items_Activos[CODIGO],0)),0,1)</f>
        <v>0</v>
      </c>
    </row>
    <row r="808" spans="1:9">
      <c r="A808" s="2" t="s">
        <v>6761</v>
      </c>
      <c r="B808" s="2" t="s">
        <v>403</v>
      </c>
      <c r="C808" s="2" t="s">
        <v>1814</v>
      </c>
      <c r="D808" s="2" t="s">
        <v>5190</v>
      </c>
      <c r="E808" s="2" t="s">
        <v>5159</v>
      </c>
      <c r="F808" s="2">
        <v>5.6537629599999999</v>
      </c>
      <c r="G808" s="2">
        <v>320</v>
      </c>
      <c r="H808" s="2">
        <f>Tabla_Items_Con_Existencia[[#This Row],[COSTO]]*Tabla_Items_Con_Existencia[[#This Row],[EXISTENCIA]]</f>
        <v>1809.2041472000001</v>
      </c>
      <c r="I808" s="1">
        <f>IF(ISERROR(MATCH(Tabla_Items_Con_Existencia[[#This Row],[CODIGO]],Tabla_Items_Activos[CODIGO],0)),0,1)</f>
        <v>0</v>
      </c>
    </row>
    <row r="809" spans="1:9">
      <c r="A809" s="2" t="s">
        <v>6759</v>
      </c>
      <c r="B809" s="2" t="s">
        <v>403</v>
      </c>
      <c r="C809" s="2" t="s">
        <v>1814</v>
      </c>
      <c r="D809" s="2" t="s">
        <v>5190</v>
      </c>
      <c r="E809" s="2" t="s">
        <v>5159</v>
      </c>
      <c r="F809" s="2">
        <v>5.6537629599999999</v>
      </c>
      <c r="G809" s="2">
        <v>320</v>
      </c>
      <c r="H809" s="2">
        <f>Tabla_Items_Con_Existencia[[#This Row],[COSTO]]*Tabla_Items_Con_Existencia[[#This Row],[EXISTENCIA]]</f>
        <v>1809.2041472000001</v>
      </c>
      <c r="I809" s="1">
        <f>IF(ISERROR(MATCH(Tabla_Items_Con_Existencia[[#This Row],[CODIGO]],Tabla_Items_Activos[CODIGO],0)),0,1)</f>
        <v>0</v>
      </c>
    </row>
    <row r="810" spans="1:9">
      <c r="A810" s="2" t="s">
        <v>6760</v>
      </c>
      <c r="B810" s="2" t="s">
        <v>403</v>
      </c>
      <c r="C810" s="2" t="s">
        <v>1814</v>
      </c>
      <c r="D810" s="2" t="s">
        <v>5190</v>
      </c>
      <c r="E810" s="2" t="s">
        <v>5159</v>
      </c>
      <c r="F810" s="2">
        <v>5.6537629599999999</v>
      </c>
      <c r="G810" s="2">
        <v>320</v>
      </c>
      <c r="H810" s="2">
        <f>Tabla_Items_Con_Existencia[[#This Row],[COSTO]]*Tabla_Items_Con_Existencia[[#This Row],[EXISTENCIA]]</f>
        <v>1809.2041472000001</v>
      </c>
      <c r="I810" s="1">
        <f>IF(ISERROR(MATCH(Tabla_Items_Con_Existencia[[#This Row],[CODIGO]],Tabla_Items_Activos[CODIGO],0)),0,1)</f>
        <v>0</v>
      </c>
    </row>
    <row r="811" spans="1:9">
      <c r="A811" s="2" t="s">
        <v>6760</v>
      </c>
      <c r="B811" s="2" t="s">
        <v>404</v>
      </c>
      <c r="C811" s="2" t="s">
        <v>1815</v>
      </c>
      <c r="D811" s="2" t="s">
        <v>5190</v>
      </c>
      <c r="E811" s="2" t="s">
        <v>5159</v>
      </c>
      <c r="F811" s="2">
        <v>6.5757777800000001</v>
      </c>
      <c r="G811" s="2">
        <v>74</v>
      </c>
      <c r="H811" s="2">
        <f>Tabla_Items_Con_Existencia[[#This Row],[COSTO]]*Tabla_Items_Con_Existencia[[#This Row],[EXISTENCIA]]</f>
        <v>486.60755571999999</v>
      </c>
      <c r="I811" s="1">
        <f>IF(ISERROR(MATCH(Tabla_Items_Con_Existencia[[#This Row],[CODIGO]],Tabla_Items_Activos[CODIGO],0)),0,1)</f>
        <v>0</v>
      </c>
    </row>
    <row r="812" spans="1:9">
      <c r="A812" s="2" t="s">
        <v>6761</v>
      </c>
      <c r="B812" s="2" t="s">
        <v>404</v>
      </c>
      <c r="C812" s="2" t="s">
        <v>1815</v>
      </c>
      <c r="D812" s="2" t="s">
        <v>5190</v>
      </c>
      <c r="E812" s="2" t="s">
        <v>5159</v>
      </c>
      <c r="F812" s="2">
        <v>6.5757777800000001</v>
      </c>
      <c r="G812" s="2">
        <v>74</v>
      </c>
      <c r="H812" s="2">
        <f>Tabla_Items_Con_Existencia[[#This Row],[COSTO]]*Tabla_Items_Con_Existencia[[#This Row],[EXISTENCIA]]</f>
        <v>486.60755571999999</v>
      </c>
      <c r="I812" s="1">
        <f>IF(ISERROR(MATCH(Tabla_Items_Con_Existencia[[#This Row],[CODIGO]],Tabla_Items_Activos[CODIGO],0)),0,1)</f>
        <v>0</v>
      </c>
    </row>
    <row r="813" spans="1:9">
      <c r="A813" s="2" t="s">
        <v>6759</v>
      </c>
      <c r="B813" s="2" t="s">
        <v>404</v>
      </c>
      <c r="C813" s="2" t="s">
        <v>1815</v>
      </c>
      <c r="D813" s="2" t="s">
        <v>5190</v>
      </c>
      <c r="E813" s="2" t="s">
        <v>5159</v>
      </c>
      <c r="F813" s="2">
        <v>6.5757777800000001</v>
      </c>
      <c r="G813" s="2">
        <v>74</v>
      </c>
      <c r="H813" s="2">
        <f>Tabla_Items_Con_Existencia[[#This Row],[COSTO]]*Tabla_Items_Con_Existencia[[#This Row],[EXISTENCIA]]</f>
        <v>486.60755571999999</v>
      </c>
      <c r="I813" s="1">
        <f>IF(ISERROR(MATCH(Tabla_Items_Con_Existencia[[#This Row],[CODIGO]],Tabla_Items_Activos[CODIGO],0)),0,1)</f>
        <v>0</v>
      </c>
    </row>
    <row r="814" spans="1:9">
      <c r="A814" s="2" t="s">
        <v>6760</v>
      </c>
      <c r="B814" s="2" t="s">
        <v>6453</v>
      </c>
      <c r="C814" s="2" t="s">
        <v>4915</v>
      </c>
      <c r="D814" s="2" t="s">
        <v>5158</v>
      </c>
      <c r="E814" s="2" t="s">
        <v>5159</v>
      </c>
      <c r="F814" s="2">
        <v>2.5670000000000002</v>
      </c>
      <c r="G814" s="2">
        <v>7</v>
      </c>
      <c r="H814" s="2">
        <f>Tabla_Items_Con_Existencia[[#This Row],[COSTO]]*Tabla_Items_Con_Existencia[[#This Row],[EXISTENCIA]]</f>
        <v>17.969000000000001</v>
      </c>
      <c r="I814" s="1">
        <f>IF(ISERROR(MATCH(Tabla_Items_Con_Existencia[[#This Row],[CODIGO]],Tabla_Items_Activos[CODIGO],0)),0,1)</f>
        <v>0</v>
      </c>
    </row>
    <row r="815" spans="1:9">
      <c r="A815" s="2" t="s">
        <v>6760</v>
      </c>
      <c r="B815" s="2" t="s">
        <v>405</v>
      </c>
      <c r="C815" s="2" t="s">
        <v>1816</v>
      </c>
      <c r="D815" s="2" t="s">
        <v>5161</v>
      </c>
      <c r="E815" s="2" t="s">
        <v>5159</v>
      </c>
      <c r="F815" s="2">
        <v>26.9739</v>
      </c>
      <c r="G815" s="2">
        <v>6</v>
      </c>
      <c r="H815" s="2">
        <f>Tabla_Items_Con_Existencia[[#This Row],[COSTO]]*Tabla_Items_Con_Existencia[[#This Row],[EXISTENCIA]]</f>
        <v>161.8434</v>
      </c>
      <c r="I815" s="1">
        <f>IF(ISERROR(MATCH(Tabla_Items_Con_Existencia[[#This Row],[CODIGO]],Tabla_Items_Activos[CODIGO],0)),0,1)</f>
        <v>0</v>
      </c>
    </row>
    <row r="816" spans="1:9">
      <c r="A816" s="2" t="s">
        <v>6760</v>
      </c>
      <c r="B816" s="2" t="s">
        <v>1817</v>
      </c>
      <c r="C816" s="2" t="s">
        <v>1818</v>
      </c>
      <c r="D816" s="2" t="s">
        <v>5190</v>
      </c>
      <c r="E816" s="2" t="s">
        <v>5159</v>
      </c>
      <c r="F816" s="2">
        <v>9.5455842099999995</v>
      </c>
      <c r="G816" s="2">
        <v>273</v>
      </c>
      <c r="H816" s="2">
        <f>Tabla_Items_Con_Existencia[[#This Row],[COSTO]]*Tabla_Items_Con_Existencia[[#This Row],[EXISTENCIA]]</f>
        <v>2605.9444893299997</v>
      </c>
      <c r="I816" s="1">
        <f>IF(ISERROR(MATCH(Tabla_Items_Con_Existencia[[#This Row],[CODIGO]],Tabla_Items_Activos[CODIGO],0)),0,1)</f>
        <v>0</v>
      </c>
    </row>
    <row r="817" spans="1:9">
      <c r="A817" s="2" t="s">
        <v>6761</v>
      </c>
      <c r="B817" s="2" t="s">
        <v>1817</v>
      </c>
      <c r="C817" s="2" t="s">
        <v>1818</v>
      </c>
      <c r="D817" s="2" t="s">
        <v>5190</v>
      </c>
      <c r="E817" s="2" t="s">
        <v>5159</v>
      </c>
      <c r="F817" s="2">
        <v>9.5455842099999995</v>
      </c>
      <c r="G817" s="2">
        <v>273</v>
      </c>
      <c r="H817" s="2">
        <f>Tabla_Items_Con_Existencia[[#This Row],[COSTO]]*Tabla_Items_Con_Existencia[[#This Row],[EXISTENCIA]]</f>
        <v>2605.9444893299997</v>
      </c>
      <c r="I817" s="1">
        <f>IF(ISERROR(MATCH(Tabla_Items_Con_Existencia[[#This Row],[CODIGO]],Tabla_Items_Activos[CODIGO],0)),0,1)</f>
        <v>0</v>
      </c>
    </row>
    <row r="818" spans="1:9">
      <c r="A818" s="2" t="s">
        <v>6760</v>
      </c>
      <c r="B818" s="2" t="s">
        <v>1819</v>
      </c>
      <c r="C818" s="2" t="s">
        <v>1820</v>
      </c>
      <c r="D818" s="2" t="s">
        <v>5190</v>
      </c>
      <c r="E818" s="2" t="s">
        <v>5159</v>
      </c>
      <c r="F818" s="2">
        <v>8.5181894699999994</v>
      </c>
      <c r="G818" s="2">
        <v>30</v>
      </c>
      <c r="H818" s="2">
        <f>Tabla_Items_Con_Existencia[[#This Row],[COSTO]]*Tabla_Items_Con_Existencia[[#This Row],[EXISTENCIA]]</f>
        <v>255.54568409999999</v>
      </c>
      <c r="I818" s="1">
        <f>IF(ISERROR(MATCH(Tabla_Items_Con_Existencia[[#This Row],[CODIGO]],Tabla_Items_Activos[CODIGO],0)),0,1)</f>
        <v>0</v>
      </c>
    </row>
    <row r="819" spans="1:9">
      <c r="A819" s="2" t="s">
        <v>6761</v>
      </c>
      <c r="B819" s="2" t="s">
        <v>1819</v>
      </c>
      <c r="C819" s="2" t="s">
        <v>1820</v>
      </c>
      <c r="D819" s="2" t="s">
        <v>5190</v>
      </c>
      <c r="E819" s="2" t="s">
        <v>5159</v>
      </c>
      <c r="F819" s="2">
        <v>8.5181894699999994</v>
      </c>
      <c r="G819" s="2">
        <v>30</v>
      </c>
      <c r="H819" s="2">
        <f>Tabla_Items_Con_Existencia[[#This Row],[COSTO]]*Tabla_Items_Con_Existencia[[#This Row],[EXISTENCIA]]</f>
        <v>255.54568409999999</v>
      </c>
      <c r="I819" s="1">
        <f>IF(ISERROR(MATCH(Tabla_Items_Con_Existencia[[#This Row],[CODIGO]],Tabla_Items_Activos[CODIGO],0)),0,1)</f>
        <v>0</v>
      </c>
    </row>
    <row r="820" spans="1:9">
      <c r="A820" s="2" t="s">
        <v>6759</v>
      </c>
      <c r="B820" s="2" t="s">
        <v>1821</v>
      </c>
      <c r="C820" s="2" t="s">
        <v>6454</v>
      </c>
      <c r="D820" s="2" t="s">
        <v>5190</v>
      </c>
      <c r="E820" s="2" t="s">
        <v>5159</v>
      </c>
      <c r="F820" s="2">
        <v>3.8701814799999998</v>
      </c>
      <c r="G820" s="2">
        <v>229</v>
      </c>
      <c r="H820" s="2">
        <f>Tabla_Items_Con_Existencia[[#This Row],[COSTO]]*Tabla_Items_Con_Existencia[[#This Row],[EXISTENCIA]]</f>
        <v>886.27155891999996</v>
      </c>
      <c r="I820" s="1">
        <f>IF(ISERROR(MATCH(Tabla_Items_Con_Existencia[[#This Row],[CODIGO]],Tabla_Items_Activos[CODIGO],0)),0,1)</f>
        <v>0</v>
      </c>
    </row>
    <row r="821" spans="1:9">
      <c r="A821" s="2" t="s">
        <v>6760</v>
      </c>
      <c r="B821" s="2" t="s">
        <v>1821</v>
      </c>
      <c r="C821" s="2" t="s">
        <v>6454</v>
      </c>
      <c r="D821" s="2" t="s">
        <v>5190</v>
      </c>
      <c r="E821" s="2" t="s">
        <v>5159</v>
      </c>
      <c r="F821" s="2">
        <v>3.8701814799999998</v>
      </c>
      <c r="G821" s="2">
        <v>229</v>
      </c>
      <c r="H821" s="2">
        <f>Tabla_Items_Con_Existencia[[#This Row],[COSTO]]*Tabla_Items_Con_Existencia[[#This Row],[EXISTENCIA]]</f>
        <v>886.27155891999996</v>
      </c>
      <c r="I821" s="1">
        <f>IF(ISERROR(MATCH(Tabla_Items_Con_Existencia[[#This Row],[CODIGO]],Tabla_Items_Activos[CODIGO],0)),0,1)</f>
        <v>0</v>
      </c>
    </row>
    <row r="822" spans="1:9">
      <c r="A822" s="2" t="s">
        <v>6761</v>
      </c>
      <c r="B822" s="2" t="s">
        <v>1821</v>
      </c>
      <c r="C822" s="2" t="s">
        <v>6454</v>
      </c>
      <c r="D822" s="2" t="s">
        <v>5190</v>
      </c>
      <c r="E822" s="2" t="s">
        <v>5159</v>
      </c>
      <c r="F822" s="2">
        <v>3.8701814799999998</v>
      </c>
      <c r="G822" s="2">
        <v>229</v>
      </c>
      <c r="H822" s="2">
        <f>Tabla_Items_Con_Existencia[[#This Row],[COSTO]]*Tabla_Items_Con_Existencia[[#This Row],[EXISTENCIA]]</f>
        <v>886.27155891999996</v>
      </c>
      <c r="I822" s="1">
        <f>IF(ISERROR(MATCH(Tabla_Items_Con_Existencia[[#This Row],[CODIGO]],Tabla_Items_Activos[CODIGO],0)),0,1)</f>
        <v>0</v>
      </c>
    </row>
    <row r="823" spans="1:9">
      <c r="A823" s="2" t="s">
        <v>6760</v>
      </c>
      <c r="B823" s="2" t="s">
        <v>6455</v>
      </c>
      <c r="C823" s="2" t="s">
        <v>4927</v>
      </c>
      <c r="D823" s="2" t="s">
        <v>5185</v>
      </c>
      <c r="E823" s="2" t="s">
        <v>5159</v>
      </c>
      <c r="F823" s="2">
        <v>11.591936840000001</v>
      </c>
      <c r="G823" s="2">
        <v>21</v>
      </c>
      <c r="H823" s="2">
        <f>Tabla_Items_Con_Existencia[[#This Row],[COSTO]]*Tabla_Items_Con_Existencia[[#This Row],[EXISTENCIA]]</f>
        <v>243.43067364000001</v>
      </c>
      <c r="I823" s="1">
        <f>IF(ISERROR(MATCH(Tabla_Items_Con_Existencia[[#This Row],[CODIGO]],Tabla_Items_Activos[CODIGO],0)),0,1)</f>
        <v>0</v>
      </c>
    </row>
    <row r="824" spans="1:9">
      <c r="A824" s="2" t="s">
        <v>6761</v>
      </c>
      <c r="B824" s="2" t="s">
        <v>6455</v>
      </c>
      <c r="C824" s="2" t="s">
        <v>4927</v>
      </c>
      <c r="D824" s="2" t="s">
        <v>5185</v>
      </c>
      <c r="E824" s="2" t="s">
        <v>5159</v>
      </c>
      <c r="F824" s="2">
        <v>11.591936840000001</v>
      </c>
      <c r="G824" s="2">
        <v>21</v>
      </c>
      <c r="H824" s="2">
        <f>Tabla_Items_Con_Existencia[[#This Row],[COSTO]]*Tabla_Items_Con_Existencia[[#This Row],[EXISTENCIA]]</f>
        <v>243.43067364000001</v>
      </c>
      <c r="I824" s="1">
        <f>IF(ISERROR(MATCH(Tabla_Items_Con_Existencia[[#This Row],[CODIGO]],Tabla_Items_Activos[CODIGO],0)),0,1)</f>
        <v>0</v>
      </c>
    </row>
    <row r="825" spans="1:9">
      <c r="A825" s="2" t="s">
        <v>6760</v>
      </c>
      <c r="B825" s="2" t="s">
        <v>6456</v>
      </c>
      <c r="C825" s="2" t="s">
        <v>6457</v>
      </c>
      <c r="D825" s="2" t="s">
        <v>5161</v>
      </c>
      <c r="E825" s="2" t="s">
        <v>5159</v>
      </c>
      <c r="F825" s="2">
        <v>3.6189578899999999</v>
      </c>
      <c r="G825" s="2">
        <v>32</v>
      </c>
      <c r="H825" s="2">
        <f>Tabla_Items_Con_Existencia[[#This Row],[COSTO]]*Tabla_Items_Con_Existencia[[#This Row],[EXISTENCIA]]</f>
        <v>115.80665248</v>
      </c>
      <c r="I825" s="1">
        <f>IF(ISERROR(MATCH(Tabla_Items_Con_Existencia[[#This Row],[CODIGO]],Tabla_Items_Activos[CODIGO],0)),0,1)</f>
        <v>0</v>
      </c>
    </row>
    <row r="826" spans="1:9">
      <c r="A826" s="2" t="s">
        <v>6761</v>
      </c>
      <c r="B826" s="2" t="s">
        <v>6456</v>
      </c>
      <c r="C826" s="2" t="s">
        <v>6457</v>
      </c>
      <c r="D826" s="2" t="s">
        <v>5161</v>
      </c>
      <c r="E826" s="2" t="s">
        <v>5159</v>
      </c>
      <c r="F826" s="2">
        <v>3.6189578899999999</v>
      </c>
      <c r="G826" s="2">
        <v>32</v>
      </c>
      <c r="H826" s="2">
        <f>Tabla_Items_Con_Existencia[[#This Row],[COSTO]]*Tabla_Items_Con_Existencia[[#This Row],[EXISTENCIA]]</f>
        <v>115.80665248</v>
      </c>
      <c r="I826" s="1">
        <f>IF(ISERROR(MATCH(Tabla_Items_Con_Existencia[[#This Row],[CODIGO]],Tabla_Items_Activos[CODIGO],0)),0,1)</f>
        <v>0</v>
      </c>
    </row>
    <row r="827" spans="1:9">
      <c r="A827" s="2" t="s">
        <v>6760</v>
      </c>
      <c r="B827" s="2" t="s">
        <v>1825</v>
      </c>
      <c r="C827" s="2" t="s">
        <v>1826</v>
      </c>
      <c r="D827" s="2" t="s">
        <v>5161</v>
      </c>
      <c r="E827" s="2" t="s">
        <v>5159</v>
      </c>
      <c r="F827" s="2">
        <v>5.5639000000000003</v>
      </c>
      <c r="G827" s="2">
        <v>10</v>
      </c>
      <c r="H827" s="2">
        <f>Tabla_Items_Con_Existencia[[#This Row],[COSTO]]*Tabla_Items_Con_Existencia[[#This Row],[EXISTENCIA]]</f>
        <v>55.639000000000003</v>
      </c>
      <c r="I827" s="1">
        <f>IF(ISERROR(MATCH(Tabla_Items_Con_Existencia[[#This Row],[CODIGO]],Tabla_Items_Activos[CODIGO],0)),0,1)</f>
        <v>0</v>
      </c>
    </row>
    <row r="828" spans="1:9">
      <c r="A828" s="2" t="s">
        <v>6760</v>
      </c>
      <c r="B828" s="2" t="s">
        <v>1827</v>
      </c>
      <c r="C828" s="2" t="s">
        <v>1828</v>
      </c>
      <c r="D828" s="2" t="s">
        <v>5161</v>
      </c>
      <c r="E828" s="2" t="s">
        <v>5159</v>
      </c>
      <c r="F828" s="2">
        <v>5.4370000000000003</v>
      </c>
      <c r="G828" s="2">
        <v>5</v>
      </c>
      <c r="H828" s="2">
        <f>Tabla_Items_Con_Existencia[[#This Row],[COSTO]]*Tabla_Items_Con_Existencia[[#This Row],[EXISTENCIA]]</f>
        <v>27.185000000000002</v>
      </c>
      <c r="I828" s="1">
        <f>IF(ISERROR(MATCH(Tabla_Items_Con_Existencia[[#This Row],[CODIGO]],Tabla_Items_Activos[CODIGO],0)),0,1)</f>
        <v>0</v>
      </c>
    </row>
    <row r="829" spans="1:9">
      <c r="A829" s="2" t="s">
        <v>6760</v>
      </c>
      <c r="B829" s="2" t="s">
        <v>406</v>
      </c>
      <c r="C829" s="2" t="s">
        <v>1829</v>
      </c>
      <c r="D829" s="2" t="s">
        <v>5189</v>
      </c>
      <c r="E829" s="2" t="s">
        <v>5159</v>
      </c>
      <c r="F829" s="2">
        <v>6.9</v>
      </c>
      <c r="G829" s="2">
        <v>2</v>
      </c>
      <c r="H829" s="2">
        <f>Tabla_Items_Con_Existencia[[#This Row],[COSTO]]*Tabla_Items_Con_Existencia[[#This Row],[EXISTENCIA]]</f>
        <v>13.8</v>
      </c>
      <c r="I829" s="1">
        <f>IF(ISERROR(MATCH(Tabla_Items_Con_Existencia[[#This Row],[CODIGO]],Tabla_Items_Activos[CODIGO],0)),0,1)</f>
        <v>0</v>
      </c>
    </row>
    <row r="830" spans="1:9">
      <c r="A830" s="2" t="s">
        <v>6760</v>
      </c>
      <c r="B830" s="2" t="s">
        <v>6866</v>
      </c>
      <c r="C830" s="2" t="s">
        <v>6839</v>
      </c>
      <c r="D830" s="2" t="s">
        <v>6459</v>
      </c>
      <c r="E830" s="2" t="s">
        <v>5159</v>
      </c>
      <c r="F830" s="2">
        <v>19.09</v>
      </c>
      <c r="G830" s="2">
        <v>4</v>
      </c>
      <c r="H830" s="2">
        <f>Tabla_Items_Con_Existencia[[#This Row],[COSTO]]*Tabla_Items_Con_Existencia[[#This Row],[EXISTENCIA]]</f>
        <v>76.36</v>
      </c>
      <c r="I830" s="1">
        <f>IF(ISERROR(MATCH(Tabla_Items_Con_Existencia[[#This Row],[CODIGO]],Tabla_Items_Activos[CODIGO],0)),0,1)</f>
        <v>0</v>
      </c>
    </row>
    <row r="831" spans="1:9">
      <c r="A831" s="2" t="s">
        <v>6760</v>
      </c>
      <c r="B831" s="2" t="s">
        <v>1830</v>
      </c>
      <c r="C831" s="2" t="s">
        <v>1831</v>
      </c>
      <c r="D831" s="2" t="s">
        <v>5158</v>
      </c>
      <c r="E831" s="2" t="s">
        <v>5159</v>
      </c>
      <c r="F831" s="2">
        <v>1.7562105299999999</v>
      </c>
      <c r="G831" s="2">
        <v>53</v>
      </c>
      <c r="H831" s="2">
        <f>Tabla_Items_Con_Existencia[[#This Row],[COSTO]]*Tabla_Items_Con_Existencia[[#This Row],[EXISTENCIA]]</f>
        <v>93.079158089999993</v>
      </c>
      <c r="I831" s="1">
        <f>IF(ISERROR(MATCH(Tabla_Items_Con_Existencia[[#This Row],[CODIGO]],Tabla_Items_Activos[CODIGO],0)),0,1)</f>
        <v>0</v>
      </c>
    </row>
    <row r="832" spans="1:9">
      <c r="A832" s="2" t="s">
        <v>6761</v>
      </c>
      <c r="B832" s="2" t="s">
        <v>1830</v>
      </c>
      <c r="C832" s="2" t="s">
        <v>1831</v>
      </c>
      <c r="D832" s="2" t="s">
        <v>5158</v>
      </c>
      <c r="E832" s="2" t="s">
        <v>5159</v>
      </c>
      <c r="F832" s="2">
        <v>1.7562105299999999</v>
      </c>
      <c r="G832" s="2">
        <v>53</v>
      </c>
      <c r="H832" s="2">
        <f>Tabla_Items_Con_Existencia[[#This Row],[COSTO]]*Tabla_Items_Con_Existencia[[#This Row],[EXISTENCIA]]</f>
        <v>93.079158089999993</v>
      </c>
      <c r="I832" s="1">
        <f>IF(ISERROR(MATCH(Tabla_Items_Con_Existencia[[#This Row],[CODIGO]],Tabla_Items_Activos[CODIGO],0)),0,1)</f>
        <v>0</v>
      </c>
    </row>
    <row r="833" spans="1:9">
      <c r="A833" s="2" t="s">
        <v>6760</v>
      </c>
      <c r="B833" s="2" t="s">
        <v>407</v>
      </c>
      <c r="C833" s="2" t="s">
        <v>1832</v>
      </c>
      <c r="D833" s="2" t="s">
        <v>5186</v>
      </c>
      <c r="E833" s="2" t="s">
        <v>5159</v>
      </c>
      <c r="F833" s="2">
        <v>0.34</v>
      </c>
      <c r="G833" s="2">
        <v>10</v>
      </c>
      <c r="H833" s="2">
        <f>Tabla_Items_Con_Existencia[[#This Row],[COSTO]]*Tabla_Items_Con_Existencia[[#This Row],[EXISTENCIA]]</f>
        <v>3.4000000000000004</v>
      </c>
      <c r="I833" s="1">
        <f>IF(ISERROR(MATCH(Tabla_Items_Con_Existencia[[#This Row],[CODIGO]],Tabla_Items_Activos[CODIGO],0)),0,1)</f>
        <v>0</v>
      </c>
    </row>
    <row r="834" spans="1:9">
      <c r="A834" s="2" t="s">
        <v>6760</v>
      </c>
      <c r="B834" s="2" t="s">
        <v>408</v>
      </c>
      <c r="C834" s="2" t="s">
        <v>5440</v>
      </c>
      <c r="D834" s="2" t="s">
        <v>5158</v>
      </c>
      <c r="E834" s="2" t="s">
        <v>5159</v>
      </c>
      <c r="F834" s="2">
        <v>0.14000000000000001</v>
      </c>
      <c r="G834" s="2">
        <v>30</v>
      </c>
      <c r="H834" s="2">
        <f>Tabla_Items_Con_Existencia[[#This Row],[COSTO]]*Tabla_Items_Con_Existencia[[#This Row],[EXISTENCIA]]</f>
        <v>4.2</v>
      </c>
      <c r="I834" s="1">
        <f>IF(ISERROR(MATCH(Tabla_Items_Con_Existencia[[#This Row],[CODIGO]],Tabla_Items_Activos[CODIGO],0)),0,1)</f>
        <v>0</v>
      </c>
    </row>
    <row r="835" spans="1:9">
      <c r="A835" s="2" t="s">
        <v>6760</v>
      </c>
      <c r="B835" s="2" t="s">
        <v>409</v>
      </c>
      <c r="C835" s="2" t="s">
        <v>1833</v>
      </c>
      <c r="D835" s="2" t="s">
        <v>5186</v>
      </c>
      <c r="E835" s="2" t="s">
        <v>5159</v>
      </c>
      <c r="F835" s="2">
        <v>0.60599999999999998</v>
      </c>
      <c r="G835" s="2">
        <v>10</v>
      </c>
      <c r="H835" s="2">
        <f>Tabla_Items_Con_Existencia[[#This Row],[COSTO]]*Tabla_Items_Con_Existencia[[#This Row],[EXISTENCIA]]</f>
        <v>6.06</v>
      </c>
      <c r="I835" s="1">
        <f>IF(ISERROR(MATCH(Tabla_Items_Con_Existencia[[#This Row],[CODIGO]],Tabla_Items_Activos[CODIGO],0)),0,1)</f>
        <v>0</v>
      </c>
    </row>
    <row r="836" spans="1:9">
      <c r="A836" s="2" t="s">
        <v>6760</v>
      </c>
      <c r="B836" s="2" t="s">
        <v>410</v>
      </c>
      <c r="C836" s="2" t="s">
        <v>1834</v>
      </c>
      <c r="D836" s="2" t="s">
        <v>5158</v>
      </c>
      <c r="E836" s="2" t="s">
        <v>5159</v>
      </c>
      <c r="F836" s="2">
        <v>0.5</v>
      </c>
      <c r="G836" s="2">
        <v>7</v>
      </c>
      <c r="H836" s="2">
        <f>Tabla_Items_Con_Existencia[[#This Row],[COSTO]]*Tabla_Items_Con_Existencia[[#This Row],[EXISTENCIA]]</f>
        <v>3.5</v>
      </c>
      <c r="I836" s="1">
        <f>IF(ISERROR(MATCH(Tabla_Items_Con_Existencia[[#This Row],[CODIGO]],Tabla_Items_Activos[CODIGO],0)),0,1)</f>
        <v>0</v>
      </c>
    </row>
    <row r="837" spans="1:9">
      <c r="A837" s="2" t="s">
        <v>6760</v>
      </c>
      <c r="B837" s="2" t="s">
        <v>1835</v>
      </c>
      <c r="C837" s="2" t="s">
        <v>1836</v>
      </c>
      <c r="D837" s="2" t="s">
        <v>5158</v>
      </c>
      <c r="E837" s="2" t="s">
        <v>5159</v>
      </c>
      <c r="F837" s="2">
        <v>0.14000000000000001</v>
      </c>
      <c r="G837" s="2">
        <v>1</v>
      </c>
      <c r="H837" s="2">
        <f>Tabla_Items_Con_Existencia[[#This Row],[COSTO]]*Tabla_Items_Con_Existencia[[#This Row],[EXISTENCIA]]</f>
        <v>0.14000000000000001</v>
      </c>
      <c r="I837" s="1">
        <f>IF(ISERROR(MATCH(Tabla_Items_Con_Existencia[[#This Row],[CODIGO]],Tabla_Items_Activos[CODIGO],0)),0,1)</f>
        <v>0</v>
      </c>
    </row>
    <row r="838" spans="1:9">
      <c r="A838" s="2" t="s">
        <v>6760</v>
      </c>
      <c r="B838" s="2" t="s">
        <v>411</v>
      </c>
      <c r="C838" s="2" t="s">
        <v>5441</v>
      </c>
      <c r="D838" s="2" t="s">
        <v>5158</v>
      </c>
      <c r="E838" s="2" t="s">
        <v>5159</v>
      </c>
      <c r="F838" s="2">
        <v>0.22</v>
      </c>
      <c r="G838" s="2">
        <v>30</v>
      </c>
      <c r="H838" s="2">
        <f>Tabla_Items_Con_Existencia[[#This Row],[COSTO]]*Tabla_Items_Con_Existencia[[#This Row],[EXISTENCIA]]</f>
        <v>6.6</v>
      </c>
      <c r="I838" s="1">
        <f>IF(ISERROR(MATCH(Tabla_Items_Con_Existencia[[#This Row],[CODIGO]],Tabla_Items_Activos[CODIGO],0)),0,1)</f>
        <v>0</v>
      </c>
    </row>
    <row r="839" spans="1:9">
      <c r="A839" s="2" t="s">
        <v>6760</v>
      </c>
      <c r="B839" s="2" t="s">
        <v>6458</v>
      </c>
      <c r="C839" s="2" t="s">
        <v>6867</v>
      </c>
      <c r="D839" s="2" t="s">
        <v>6459</v>
      </c>
      <c r="E839" s="2" t="s">
        <v>5159</v>
      </c>
      <c r="F839" s="2">
        <v>11.657</v>
      </c>
      <c r="G839" s="2">
        <v>2</v>
      </c>
      <c r="H839" s="2">
        <f>Tabla_Items_Con_Existencia[[#This Row],[COSTO]]*Tabla_Items_Con_Existencia[[#This Row],[EXISTENCIA]]</f>
        <v>23.314</v>
      </c>
      <c r="I839" s="1">
        <f>IF(ISERROR(MATCH(Tabla_Items_Con_Existencia[[#This Row],[CODIGO]],Tabla_Items_Activos[CODIGO],0)),0,1)</f>
        <v>0</v>
      </c>
    </row>
    <row r="840" spans="1:9">
      <c r="A840" s="2" t="s">
        <v>6760</v>
      </c>
      <c r="B840" s="2" t="s">
        <v>412</v>
      </c>
      <c r="C840" s="2" t="s">
        <v>5442</v>
      </c>
      <c r="D840" s="2" t="s">
        <v>5158</v>
      </c>
      <c r="E840" s="2" t="s">
        <v>5159</v>
      </c>
      <c r="F840" s="2">
        <v>0.14000000000000001</v>
      </c>
      <c r="G840" s="2">
        <v>30</v>
      </c>
      <c r="H840" s="2">
        <f>Tabla_Items_Con_Existencia[[#This Row],[COSTO]]*Tabla_Items_Con_Existencia[[#This Row],[EXISTENCIA]]</f>
        <v>4.2</v>
      </c>
      <c r="I840" s="1">
        <f>IF(ISERROR(MATCH(Tabla_Items_Con_Existencia[[#This Row],[CODIGO]],Tabla_Items_Activos[CODIGO],0)),0,1)</f>
        <v>0</v>
      </c>
    </row>
    <row r="841" spans="1:9">
      <c r="A841" s="2" t="s">
        <v>6760</v>
      </c>
      <c r="B841" s="2" t="s">
        <v>413</v>
      </c>
      <c r="C841" s="2" t="s">
        <v>1837</v>
      </c>
      <c r="D841" s="2" t="s">
        <v>5158</v>
      </c>
      <c r="E841" s="2" t="s">
        <v>5159</v>
      </c>
      <c r="F841" s="2">
        <v>0.16</v>
      </c>
      <c r="G841" s="2">
        <v>10</v>
      </c>
      <c r="H841" s="2">
        <f>Tabla_Items_Con_Existencia[[#This Row],[COSTO]]*Tabla_Items_Con_Existencia[[#This Row],[EXISTENCIA]]</f>
        <v>1.6</v>
      </c>
      <c r="I841" s="1">
        <f>IF(ISERROR(MATCH(Tabla_Items_Con_Existencia[[#This Row],[CODIGO]],Tabla_Items_Activos[CODIGO],0)),0,1)</f>
        <v>0</v>
      </c>
    </row>
    <row r="842" spans="1:9">
      <c r="A842" s="2" t="s">
        <v>6760</v>
      </c>
      <c r="B842" s="2" t="s">
        <v>6460</v>
      </c>
      <c r="C842" s="2" t="s">
        <v>6461</v>
      </c>
      <c r="D842" s="2" t="s">
        <v>5158</v>
      </c>
      <c r="E842" s="2" t="s">
        <v>5159</v>
      </c>
      <c r="F842" s="2">
        <v>0.09</v>
      </c>
      <c r="G842" s="2">
        <v>2</v>
      </c>
      <c r="H842" s="2">
        <f>Tabla_Items_Con_Existencia[[#This Row],[COSTO]]*Tabla_Items_Con_Existencia[[#This Row],[EXISTENCIA]]</f>
        <v>0.18</v>
      </c>
      <c r="I842" s="1">
        <f>IF(ISERROR(MATCH(Tabla_Items_Con_Existencia[[#This Row],[CODIGO]],Tabla_Items_Activos[CODIGO],0)),0,1)</f>
        <v>0</v>
      </c>
    </row>
    <row r="843" spans="1:9">
      <c r="A843" s="2" t="s">
        <v>6760</v>
      </c>
      <c r="B843" s="2" t="s">
        <v>414</v>
      </c>
      <c r="C843" s="2" t="s">
        <v>5445</v>
      </c>
      <c r="D843" s="2" t="s">
        <v>5158</v>
      </c>
      <c r="E843" s="2" t="s">
        <v>5159</v>
      </c>
      <c r="F843" s="2">
        <v>0.38</v>
      </c>
      <c r="G843" s="2">
        <v>50</v>
      </c>
      <c r="H843" s="2">
        <f>Tabla_Items_Con_Existencia[[#This Row],[COSTO]]*Tabla_Items_Con_Existencia[[#This Row],[EXISTENCIA]]</f>
        <v>19</v>
      </c>
      <c r="I843" s="1">
        <f>IF(ISERROR(MATCH(Tabla_Items_Con_Existencia[[#This Row],[CODIGO]],Tabla_Items_Activos[CODIGO],0)),0,1)</f>
        <v>0</v>
      </c>
    </row>
    <row r="844" spans="1:9">
      <c r="A844" s="2" t="s">
        <v>6760</v>
      </c>
      <c r="B844" s="2" t="s">
        <v>415</v>
      </c>
      <c r="C844" s="2" t="s">
        <v>1838</v>
      </c>
      <c r="D844" s="2" t="s">
        <v>5158</v>
      </c>
      <c r="E844" s="2" t="s">
        <v>5159</v>
      </c>
      <c r="F844" s="2">
        <v>0.378</v>
      </c>
      <c r="G844" s="2">
        <v>5</v>
      </c>
      <c r="H844" s="2">
        <f>Tabla_Items_Con_Existencia[[#This Row],[COSTO]]*Tabla_Items_Con_Existencia[[#This Row],[EXISTENCIA]]</f>
        <v>1.8900000000000001</v>
      </c>
      <c r="I844" s="1">
        <f>IF(ISERROR(MATCH(Tabla_Items_Con_Existencia[[#This Row],[CODIGO]],Tabla_Items_Activos[CODIGO],0)),0,1)</f>
        <v>0</v>
      </c>
    </row>
    <row r="845" spans="1:9">
      <c r="A845" s="2" t="s">
        <v>6760</v>
      </c>
      <c r="B845" s="2" t="s">
        <v>6868</v>
      </c>
      <c r="C845" s="2" t="s">
        <v>6869</v>
      </c>
      <c r="D845" s="2" t="s">
        <v>5158</v>
      </c>
      <c r="E845" s="2" t="s">
        <v>5159</v>
      </c>
      <c r="F845" s="2">
        <v>2.2799999999999998</v>
      </c>
      <c r="G845" s="2">
        <v>2</v>
      </c>
      <c r="H845" s="2">
        <f>Tabla_Items_Con_Existencia[[#This Row],[COSTO]]*Tabla_Items_Con_Existencia[[#This Row],[EXISTENCIA]]</f>
        <v>4.5599999999999996</v>
      </c>
      <c r="I845" s="1">
        <f>IF(ISERROR(MATCH(Tabla_Items_Con_Existencia[[#This Row],[CODIGO]],Tabla_Items_Activos[CODIGO],0)),0,1)</f>
        <v>0</v>
      </c>
    </row>
    <row r="846" spans="1:9">
      <c r="A846" s="2" t="s">
        <v>6761</v>
      </c>
      <c r="B846" s="2" t="s">
        <v>6868</v>
      </c>
      <c r="C846" s="2" t="s">
        <v>6869</v>
      </c>
      <c r="D846" s="2" t="s">
        <v>5158</v>
      </c>
      <c r="E846" s="2" t="s">
        <v>5159</v>
      </c>
      <c r="F846" s="2">
        <v>2.2799999999999998</v>
      </c>
      <c r="G846" s="2">
        <v>2</v>
      </c>
      <c r="H846" s="2">
        <f>Tabla_Items_Con_Existencia[[#This Row],[COSTO]]*Tabla_Items_Con_Existencia[[#This Row],[EXISTENCIA]]</f>
        <v>4.5599999999999996</v>
      </c>
      <c r="I846" s="1">
        <f>IF(ISERROR(MATCH(Tabla_Items_Con_Existencia[[#This Row],[CODIGO]],Tabla_Items_Activos[CODIGO],0)),0,1)</f>
        <v>0</v>
      </c>
    </row>
    <row r="847" spans="1:9">
      <c r="A847" s="2" t="s">
        <v>6760</v>
      </c>
      <c r="B847" s="2" t="s">
        <v>6462</v>
      </c>
      <c r="C847" s="2" t="s">
        <v>6463</v>
      </c>
      <c r="D847" s="2" t="s">
        <v>5158</v>
      </c>
      <c r="E847" s="2" t="s">
        <v>5159</v>
      </c>
      <c r="F847" s="2">
        <v>3.6139999999999999</v>
      </c>
      <c r="G847" s="2">
        <v>1</v>
      </c>
      <c r="H847" s="2">
        <f>Tabla_Items_Con_Existencia[[#This Row],[COSTO]]*Tabla_Items_Con_Existencia[[#This Row],[EXISTENCIA]]</f>
        <v>3.6139999999999999</v>
      </c>
      <c r="I847" s="1">
        <f>IF(ISERROR(MATCH(Tabla_Items_Con_Existencia[[#This Row],[CODIGO]],Tabla_Items_Activos[CODIGO],0)),0,1)</f>
        <v>0</v>
      </c>
    </row>
    <row r="848" spans="1:9">
      <c r="A848" s="2" t="s">
        <v>6760</v>
      </c>
      <c r="B848" s="2" t="s">
        <v>6870</v>
      </c>
      <c r="C848" s="2" t="s">
        <v>6871</v>
      </c>
      <c r="D848" s="2" t="s">
        <v>5158</v>
      </c>
      <c r="E848" s="2" t="s">
        <v>5159</v>
      </c>
      <c r="F848" s="2">
        <v>3.9694736800000001</v>
      </c>
      <c r="G848" s="2">
        <v>25</v>
      </c>
      <c r="H848" s="2">
        <f>Tabla_Items_Con_Existencia[[#This Row],[COSTO]]*Tabla_Items_Con_Existencia[[#This Row],[EXISTENCIA]]</f>
        <v>99.236841999999996</v>
      </c>
      <c r="I848" s="1">
        <f>IF(ISERROR(MATCH(Tabla_Items_Con_Existencia[[#This Row],[CODIGO]],Tabla_Items_Activos[CODIGO],0)),0,1)</f>
        <v>0</v>
      </c>
    </row>
    <row r="849" spans="1:9">
      <c r="A849" s="2" t="s">
        <v>6761</v>
      </c>
      <c r="B849" s="2" t="s">
        <v>6870</v>
      </c>
      <c r="C849" s="2" t="s">
        <v>6871</v>
      </c>
      <c r="D849" s="2" t="s">
        <v>5158</v>
      </c>
      <c r="E849" s="2" t="s">
        <v>5159</v>
      </c>
      <c r="F849" s="2">
        <v>3.9694736800000001</v>
      </c>
      <c r="G849" s="2">
        <v>25</v>
      </c>
      <c r="H849" s="2">
        <f>Tabla_Items_Con_Existencia[[#This Row],[COSTO]]*Tabla_Items_Con_Existencia[[#This Row],[EXISTENCIA]]</f>
        <v>99.236841999999996</v>
      </c>
      <c r="I849" s="1">
        <f>IF(ISERROR(MATCH(Tabla_Items_Con_Existencia[[#This Row],[CODIGO]],Tabla_Items_Activos[CODIGO],0)),0,1)</f>
        <v>0</v>
      </c>
    </row>
    <row r="850" spans="1:9">
      <c r="A850" s="2" t="s">
        <v>6760</v>
      </c>
      <c r="B850" s="2" t="s">
        <v>6872</v>
      </c>
      <c r="C850" s="2" t="s">
        <v>6873</v>
      </c>
      <c r="D850" s="2" t="s">
        <v>5158</v>
      </c>
      <c r="E850" s="2" t="s">
        <v>5159</v>
      </c>
      <c r="F850" s="2">
        <v>2.57</v>
      </c>
      <c r="G850" s="2">
        <v>46</v>
      </c>
      <c r="H850" s="2">
        <f>Tabla_Items_Con_Existencia[[#This Row],[COSTO]]*Tabla_Items_Con_Existencia[[#This Row],[EXISTENCIA]]</f>
        <v>118.22</v>
      </c>
      <c r="I850" s="1">
        <f>IF(ISERROR(MATCH(Tabla_Items_Con_Existencia[[#This Row],[CODIGO]],Tabla_Items_Activos[CODIGO],0)),0,1)</f>
        <v>0</v>
      </c>
    </row>
    <row r="851" spans="1:9">
      <c r="A851" s="2" t="s">
        <v>6760</v>
      </c>
      <c r="B851" s="2" t="s">
        <v>6464</v>
      </c>
      <c r="C851" s="2" t="s">
        <v>7318</v>
      </c>
      <c r="D851" s="2" t="s">
        <v>5190</v>
      </c>
      <c r="E851" s="2" t="s">
        <v>5159</v>
      </c>
      <c r="F851" s="2">
        <v>2.14</v>
      </c>
      <c r="G851" s="2">
        <v>17</v>
      </c>
      <c r="H851" s="2">
        <f>Tabla_Items_Con_Existencia[[#This Row],[COSTO]]*Tabla_Items_Con_Existencia[[#This Row],[EXISTENCIA]]</f>
        <v>36.380000000000003</v>
      </c>
      <c r="I851" s="1">
        <f>IF(ISERROR(MATCH(Tabla_Items_Con_Existencia[[#This Row],[CODIGO]],Tabla_Items_Activos[CODIGO],0)),0,1)</f>
        <v>0</v>
      </c>
    </row>
    <row r="852" spans="1:9">
      <c r="A852" s="2" t="s">
        <v>6761</v>
      </c>
      <c r="B852" s="2" t="s">
        <v>416</v>
      </c>
      <c r="C852" s="2" t="s">
        <v>6874</v>
      </c>
      <c r="D852" s="2" t="s">
        <v>5198</v>
      </c>
      <c r="E852" s="2" t="s">
        <v>5159</v>
      </c>
      <c r="F852" s="2">
        <v>5.79803684</v>
      </c>
      <c r="G852" s="2">
        <v>13</v>
      </c>
      <c r="H852" s="2">
        <f>Tabla_Items_Con_Existencia[[#This Row],[COSTO]]*Tabla_Items_Con_Existencia[[#This Row],[EXISTENCIA]]</f>
        <v>75.374478920000001</v>
      </c>
      <c r="I852" s="1">
        <f>IF(ISERROR(MATCH(Tabla_Items_Con_Existencia[[#This Row],[CODIGO]],Tabla_Items_Activos[CODIGO],0)),0,1)</f>
        <v>0</v>
      </c>
    </row>
    <row r="853" spans="1:9">
      <c r="A853" s="2" t="s">
        <v>6760</v>
      </c>
      <c r="B853" s="2" t="s">
        <v>416</v>
      </c>
      <c r="C853" s="2" t="s">
        <v>6874</v>
      </c>
      <c r="D853" s="2" t="s">
        <v>5198</v>
      </c>
      <c r="E853" s="2" t="s">
        <v>5159</v>
      </c>
      <c r="F853" s="2">
        <v>5.79803684</v>
      </c>
      <c r="G853" s="2">
        <v>13</v>
      </c>
      <c r="H853" s="2">
        <f>Tabla_Items_Con_Existencia[[#This Row],[COSTO]]*Tabla_Items_Con_Existencia[[#This Row],[EXISTENCIA]]</f>
        <v>75.374478920000001</v>
      </c>
      <c r="I853" s="1">
        <f>IF(ISERROR(MATCH(Tabla_Items_Con_Existencia[[#This Row],[CODIGO]],Tabla_Items_Activos[CODIGO],0)),0,1)</f>
        <v>0</v>
      </c>
    </row>
    <row r="854" spans="1:9">
      <c r="A854" s="2" t="s">
        <v>6760</v>
      </c>
      <c r="B854" s="2" t="s">
        <v>417</v>
      </c>
      <c r="C854" s="2" t="s">
        <v>6121</v>
      </c>
      <c r="D854" s="2" t="s">
        <v>5158</v>
      </c>
      <c r="E854" s="2" t="s">
        <v>5159</v>
      </c>
      <c r="F854" s="2">
        <v>0.30671578999999999</v>
      </c>
      <c r="G854" s="2">
        <v>29</v>
      </c>
      <c r="H854" s="2">
        <f>Tabla_Items_Con_Existencia[[#This Row],[COSTO]]*Tabla_Items_Con_Existencia[[#This Row],[EXISTENCIA]]</f>
        <v>8.8947579099999992</v>
      </c>
      <c r="I854" s="1">
        <f>IF(ISERROR(MATCH(Tabla_Items_Con_Existencia[[#This Row],[CODIGO]],Tabla_Items_Activos[CODIGO],0)),0,1)</f>
        <v>0</v>
      </c>
    </row>
    <row r="855" spans="1:9">
      <c r="A855" s="2" t="s">
        <v>6761</v>
      </c>
      <c r="B855" s="2" t="s">
        <v>417</v>
      </c>
      <c r="C855" s="2" t="s">
        <v>6121</v>
      </c>
      <c r="D855" s="2" t="s">
        <v>5158</v>
      </c>
      <c r="E855" s="2" t="s">
        <v>5159</v>
      </c>
      <c r="F855" s="2">
        <v>0.30671578999999999</v>
      </c>
      <c r="G855" s="2">
        <v>29</v>
      </c>
      <c r="H855" s="2">
        <f>Tabla_Items_Con_Existencia[[#This Row],[COSTO]]*Tabla_Items_Con_Existencia[[#This Row],[EXISTENCIA]]</f>
        <v>8.8947579099999992</v>
      </c>
      <c r="I855" s="1">
        <f>IF(ISERROR(MATCH(Tabla_Items_Con_Existencia[[#This Row],[CODIGO]],Tabla_Items_Activos[CODIGO],0)),0,1)</f>
        <v>0</v>
      </c>
    </row>
    <row r="856" spans="1:9">
      <c r="A856" s="2" t="s">
        <v>6760</v>
      </c>
      <c r="B856" s="2" t="s">
        <v>6465</v>
      </c>
      <c r="C856" s="2" t="s">
        <v>6466</v>
      </c>
      <c r="D856" s="2" t="s">
        <v>6459</v>
      </c>
      <c r="E856" s="2" t="s">
        <v>5159</v>
      </c>
      <c r="F856" s="2">
        <v>71.703299999999999</v>
      </c>
      <c r="G856" s="2">
        <v>3</v>
      </c>
      <c r="H856" s="2">
        <f>Tabla_Items_Con_Existencia[[#This Row],[COSTO]]*Tabla_Items_Con_Existencia[[#This Row],[EXISTENCIA]]</f>
        <v>215.10989999999998</v>
      </c>
      <c r="I856" s="1">
        <f>IF(ISERROR(MATCH(Tabla_Items_Con_Existencia[[#This Row],[CODIGO]],Tabla_Items_Activos[CODIGO],0)),0,1)</f>
        <v>0</v>
      </c>
    </row>
    <row r="857" spans="1:9">
      <c r="A857" s="2" t="s">
        <v>6760</v>
      </c>
      <c r="B857" s="2" t="s">
        <v>1843</v>
      </c>
      <c r="C857" s="2" t="s">
        <v>1844</v>
      </c>
      <c r="D857" s="2" t="s">
        <v>6459</v>
      </c>
      <c r="E857" s="2" t="s">
        <v>5159</v>
      </c>
      <c r="F857" s="2">
        <v>332.82119999999998</v>
      </c>
      <c r="G857" s="2">
        <v>2</v>
      </c>
      <c r="H857" s="2">
        <f>Tabla_Items_Con_Existencia[[#This Row],[COSTO]]*Tabla_Items_Con_Existencia[[#This Row],[EXISTENCIA]]</f>
        <v>665.64239999999995</v>
      </c>
      <c r="I857" s="1">
        <f>IF(ISERROR(MATCH(Tabla_Items_Con_Existencia[[#This Row],[CODIGO]],Tabla_Items_Activos[CODIGO],0)),0,1)</f>
        <v>0</v>
      </c>
    </row>
    <row r="858" spans="1:9">
      <c r="A858" s="2" t="s">
        <v>6760</v>
      </c>
      <c r="B858" s="2" t="s">
        <v>418</v>
      </c>
      <c r="C858" s="2" t="s">
        <v>1845</v>
      </c>
      <c r="D858" s="2" t="s">
        <v>5198</v>
      </c>
      <c r="E858" s="2" t="s">
        <v>5159</v>
      </c>
      <c r="F858" s="2">
        <v>9.1296421100000007</v>
      </c>
      <c r="G858" s="2">
        <v>94</v>
      </c>
      <c r="H858" s="2">
        <f>Tabla_Items_Con_Existencia[[#This Row],[COSTO]]*Tabla_Items_Con_Existencia[[#This Row],[EXISTENCIA]]</f>
        <v>858.18635834000008</v>
      </c>
      <c r="I858" s="1">
        <f>IF(ISERROR(MATCH(Tabla_Items_Con_Existencia[[#This Row],[CODIGO]],Tabla_Items_Activos[CODIGO],0)),0,1)</f>
        <v>0</v>
      </c>
    </row>
    <row r="859" spans="1:9">
      <c r="A859" s="2" t="s">
        <v>6761</v>
      </c>
      <c r="B859" s="2" t="s">
        <v>418</v>
      </c>
      <c r="C859" s="2" t="s">
        <v>1845</v>
      </c>
      <c r="D859" s="2" t="s">
        <v>5198</v>
      </c>
      <c r="E859" s="2" t="s">
        <v>5159</v>
      </c>
      <c r="F859" s="2">
        <v>9.1296421100000007</v>
      </c>
      <c r="G859" s="2">
        <v>94</v>
      </c>
      <c r="H859" s="2">
        <f>Tabla_Items_Con_Existencia[[#This Row],[COSTO]]*Tabla_Items_Con_Existencia[[#This Row],[EXISTENCIA]]</f>
        <v>858.18635834000008</v>
      </c>
      <c r="I859" s="1">
        <f>IF(ISERROR(MATCH(Tabla_Items_Con_Existencia[[#This Row],[CODIGO]],Tabla_Items_Activos[CODIGO],0)),0,1)</f>
        <v>0</v>
      </c>
    </row>
    <row r="860" spans="1:9">
      <c r="A860" s="2" t="s">
        <v>6760</v>
      </c>
      <c r="B860" s="2" t="s">
        <v>5446</v>
      </c>
      <c r="C860" s="2" t="s">
        <v>5447</v>
      </c>
      <c r="D860" s="2" t="s">
        <v>5195</v>
      </c>
      <c r="E860" s="2" t="s">
        <v>5159</v>
      </c>
      <c r="F860" s="2">
        <v>8.8126315799999997</v>
      </c>
      <c r="G860" s="2">
        <v>12</v>
      </c>
      <c r="H860" s="2">
        <f>Tabla_Items_Con_Existencia[[#This Row],[COSTO]]*Tabla_Items_Con_Existencia[[#This Row],[EXISTENCIA]]</f>
        <v>105.75157895999999</v>
      </c>
      <c r="I860" s="1">
        <f>IF(ISERROR(MATCH(Tabla_Items_Con_Existencia[[#This Row],[CODIGO]],Tabla_Items_Activos[CODIGO],0)),0,1)</f>
        <v>0</v>
      </c>
    </row>
    <row r="861" spans="1:9">
      <c r="A861" s="2" t="s">
        <v>6761</v>
      </c>
      <c r="B861" s="2" t="s">
        <v>5446</v>
      </c>
      <c r="C861" s="2" t="s">
        <v>5447</v>
      </c>
      <c r="D861" s="2" t="s">
        <v>5195</v>
      </c>
      <c r="E861" s="2" t="s">
        <v>5159</v>
      </c>
      <c r="F861" s="2">
        <v>8.8126315799999997</v>
      </c>
      <c r="G861" s="2">
        <v>12</v>
      </c>
      <c r="H861" s="2">
        <f>Tabla_Items_Con_Existencia[[#This Row],[COSTO]]*Tabla_Items_Con_Existencia[[#This Row],[EXISTENCIA]]</f>
        <v>105.75157895999999</v>
      </c>
      <c r="I861" s="1">
        <f>IF(ISERROR(MATCH(Tabla_Items_Con_Existencia[[#This Row],[CODIGO]],Tabla_Items_Activos[CODIGO],0)),0,1)</f>
        <v>0</v>
      </c>
    </row>
    <row r="862" spans="1:9">
      <c r="A862" s="2" t="s">
        <v>6760</v>
      </c>
      <c r="B862" s="2" t="s">
        <v>6467</v>
      </c>
      <c r="C862" s="2" t="s">
        <v>6468</v>
      </c>
      <c r="D862" s="2" t="s">
        <v>5158</v>
      </c>
      <c r="E862" s="2" t="s">
        <v>5159</v>
      </c>
      <c r="F862" s="2">
        <v>0.30299999999999999</v>
      </c>
      <c r="G862" s="2">
        <v>10</v>
      </c>
      <c r="H862" s="2">
        <f>Tabla_Items_Con_Existencia[[#This Row],[COSTO]]*Tabla_Items_Con_Existencia[[#This Row],[EXISTENCIA]]</f>
        <v>3.03</v>
      </c>
      <c r="I862" s="1">
        <f>IF(ISERROR(MATCH(Tabla_Items_Con_Existencia[[#This Row],[CODIGO]],Tabla_Items_Activos[CODIGO],0)),0,1)</f>
        <v>0</v>
      </c>
    </row>
    <row r="863" spans="1:9">
      <c r="A863" s="2" t="s">
        <v>6760</v>
      </c>
      <c r="B863" s="2" t="s">
        <v>6469</v>
      </c>
      <c r="C863" s="2" t="s">
        <v>6470</v>
      </c>
      <c r="D863" s="2" t="s">
        <v>5158</v>
      </c>
      <c r="E863" s="2" t="s">
        <v>5159</v>
      </c>
      <c r="F863" s="2">
        <v>0.30299999999999999</v>
      </c>
      <c r="G863" s="2">
        <v>7</v>
      </c>
      <c r="H863" s="2">
        <f>Tabla_Items_Con_Existencia[[#This Row],[COSTO]]*Tabla_Items_Con_Existencia[[#This Row],[EXISTENCIA]]</f>
        <v>2.121</v>
      </c>
      <c r="I863" s="1">
        <f>IF(ISERROR(MATCH(Tabla_Items_Con_Existencia[[#This Row],[CODIGO]],Tabla_Items_Activos[CODIGO],0)),0,1)</f>
        <v>0</v>
      </c>
    </row>
    <row r="864" spans="1:9">
      <c r="A864" s="2" t="s">
        <v>6760</v>
      </c>
      <c r="B864" s="2" t="s">
        <v>6471</v>
      </c>
      <c r="C864" s="2" t="s">
        <v>4169</v>
      </c>
      <c r="D864" s="2" t="s">
        <v>5158</v>
      </c>
      <c r="E864" s="2" t="s">
        <v>5159</v>
      </c>
      <c r="F864" s="2">
        <v>0.30199999999999999</v>
      </c>
      <c r="G864" s="2">
        <v>4</v>
      </c>
      <c r="H864" s="2">
        <f>Tabla_Items_Con_Existencia[[#This Row],[COSTO]]*Tabla_Items_Con_Existencia[[#This Row],[EXISTENCIA]]</f>
        <v>1.208</v>
      </c>
      <c r="I864" s="1">
        <f>IF(ISERROR(MATCH(Tabla_Items_Con_Existencia[[#This Row],[CODIGO]],Tabla_Items_Activos[CODIGO],0)),0,1)</f>
        <v>0</v>
      </c>
    </row>
    <row r="865" spans="1:9">
      <c r="A865" s="2" t="s">
        <v>6760</v>
      </c>
      <c r="B865" s="2" t="s">
        <v>5448</v>
      </c>
      <c r="C865" s="2" t="s">
        <v>4171</v>
      </c>
      <c r="D865" s="2" t="s">
        <v>5158</v>
      </c>
      <c r="E865" s="2" t="s">
        <v>5159</v>
      </c>
      <c r="F865" s="2">
        <v>0.24</v>
      </c>
      <c r="G865" s="2">
        <v>10</v>
      </c>
      <c r="H865" s="2">
        <f>Tabla_Items_Con_Existencia[[#This Row],[COSTO]]*Tabla_Items_Con_Existencia[[#This Row],[EXISTENCIA]]</f>
        <v>2.4</v>
      </c>
      <c r="I865" s="1">
        <f>IF(ISERROR(MATCH(Tabla_Items_Con_Existencia[[#This Row],[CODIGO]],Tabla_Items_Activos[CODIGO],0)),0,1)</f>
        <v>0</v>
      </c>
    </row>
    <row r="866" spans="1:9">
      <c r="A866" s="2" t="s">
        <v>6760</v>
      </c>
      <c r="B866" s="2" t="s">
        <v>419</v>
      </c>
      <c r="C866" s="2" t="s">
        <v>5450</v>
      </c>
      <c r="D866" s="2" t="s">
        <v>5158</v>
      </c>
      <c r="E866" s="2" t="s">
        <v>5159</v>
      </c>
      <c r="F866" s="2">
        <v>0.44</v>
      </c>
      <c r="G866" s="2">
        <v>10</v>
      </c>
      <c r="H866" s="2">
        <f>Tabla_Items_Con_Existencia[[#This Row],[COSTO]]*Tabla_Items_Con_Existencia[[#This Row],[EXISTENCIA]]</f>
        <v>4.4000000000000004</v>
      </c>
      <c r="I866" s="1">
        <f>IF(ISERROR(MATCH(Tabla_Items_Con_Existencia[[#This Row],[CODIGO]],Tabla_Items_Activos[CODIGO],0)),0,1)</f>
        <v>0</v>
      </c>
    </row>
    <row r="867" spans="1:9">
      <c r="A867" s="2" t="s">
        <v>6760</v>
      </c>
      <c r="B867" s="2" t="s">
        <v>6472</v>
      </c>
      <c r="C867" s="2" t="s">
        <v>6473</v>
      </c>
      <c r="D867" s="2" t="s">
        <v>5186</v>
      </c>
      <c r="E867" s="2" t="s">
        <v>5159</v>
      </c>
      <c r="F867" s="2">
        <v>0.27</v>
      </c>
      <c r="G867" s="2">
        <v>2</v>
      </c>
      <c r="H867" s="2">
        <f>Tabla_Items_Con_Existencia[[#This Row],[COSTO]]*Tabla_Items_Con_Existencia[[#This Row],[EXISTENCIA]]</f>
        <v>0.54</v>
      </c>
      <c r="I867" s="1">
        <f>IF(ISERROR(MATCH(Tabla_Items_Con_Existencia[[#This Row],[CODIGO]],Tabla_Items_Activos[CODIGO],0)),0,1)</f>
        <v>0</v>
      </c>
    </row>
    <row r="868" spans="1:9">
      <c r="A868" s="2" t="s">
        <v>6760</v>
      </c>
      <c r="B868" s="2" t="s">
        <v>6356</v>
      </c>
      <c r="C868" s="2" t="s">
        <v>6474</v>
      </c>
      <c r="D868" s="2" t="s">
        <v>5158</v>
      </c>
      <c r="E868" s="2" t="s">
        <v>5159</v>
      </c>
      <c r="F868" s="2">
        <v>0.28000000000000003</v>
      </c>
      <c r="G868" s="2">
        <v>10</v>
      </c>
      <c r="H868" s="2">
        <f>Tabla_Items_Con_Existencia[[#This Row],[COSTO]]*Tabla_Items_Con_Existencia[[#This Row],[EXISTENCIA]]</f>
        <v>2.8000000000000003</v>
      </c>
      <c r="I868" s="1">
        <f>IF(ISERROR(MATCH(Tabla_Items_Con_Existencia[[#This Row],[CODIGO]],Tabla_Items_Activos[CODIGO],0)),0,1)</f>
        <v>0</v>
      </c>
    </row>
    <row r="869" spans="1:9">
      <c r="A869" s="2" t="s">
        <v>6760</v>
      </c>
      <c r="B869" s="2" t="s">
        <v>6475</v>
      </c>
      <c r="C869" s="2" t="s">
        <v>6875</v>
      </c>
      <c r="D869" s="2" t="s">
        <v>5161</v>
      </c>
      <c r="E869" s="2" t="s">
        <v>5159</v>
      </c>
      <c r="F869" s="2">
        <v>0.28000000000000003</v>
      </c>
      <c r="G869" s="2">
        <v>4</v>
      </c>
      <c r="H869" s="2">
        <f>Tabla_Items_Con_Existencia[[#This Row],[COSTO]]*Tabla_Items_Con_Existencia[[#This Row],[EXISTENCIA]]</f>
        <v>1.1200000000000001</v>
      </c>
      <c r="I869" s="1">
        <f>IF(ISERROR(MATCH(Tabla_Items_Con_Existencia[[#This Row],[CODIGO]],Tabla_Items_Activos[CODIGO],0)),0,1)</f>
        <v>0</v>
      </c>
    </row>
    <row r="870" spans="1:9">
      <c r="A870" s="2" t="s">
        <v>6760</v>
      </c>
      <c r="B870" s="2" t="s">
        <v>6476</v>
      </c>
      <c r="C870" s="2" t="s">
        <v>6477</v>
      </c>
      <c r="D870" s="2" t="s">
        <v>5158</v>
      </c>
      <c r="E870" s="2" t="s">
        <v>5159</v>
      </c>
      <c r="F870" s="2">
        <v>0.505</v>
      </c>
      <c r="G870" s="2">
        <v>7</v>
      </c>
      <c r="H870" s="2">
        <f>Tabla_Items_Con_Existencia[[#This Row],[COSTO]]*Tabla_Items_Con_Existencia[[#This Row],[EXISTENCIA]]</f>
        <v>3.5350000000000001</v>
      </c>
      <c r="I870" s="1">
        <f>IF(ISERROR(MATCH(Tabla_Items_Con_Existencia[[#This Row],[CODIGO]],Tabla_Items_Activos[CODIGO],0)),0,1)</f>
        <v>0</v>
      </c>
    </row>
    <row r="871" spans="1:9">
      <c r="A871" s="2" t="s">
        <v>6760</v>
      </c>
      <c r="B871" s="2" t="s">
        <v>6478</v>
      </c>
      <c r="C871" s="2" t="s">
        <v>6479</v>
      </c>
      <c r="D871" s="2" t="s">
        <v>5161</v>
      </c>
      <c r="E871" s="2" t="s">
        <v>5159</v>
      </c>
      <c r="F871" s="2">
        <v>1.0089999999999999</v>
      </c>
      <c r="G871" s="2">
        <v>10</v>
      </c>
      <c r="H871" s="2">
        <f>Tabla_Items_Con_Existencia[[#This Row],[COSTO]]*Tabla_Items_Con_Existencia[[#This Row],[EXISTENCIA]]</f>
        <v>10.09</v>
      </c>
      <c r="I871" s="1">
        <f>IF(ISERROR(MATCH(Tabla_Items_Con_Existencia[[#This Row],[CODIGO]],Tabla_Items_Activos[CODIGO],0)),0,1)</f>
        <v>0</v>
      </c>
    </row>
    <row r="872" spans="1:9">
      <c r="A872" s="2" t="s">
        <v>6760</v>
      </c>
      <c r="B872" s="2" t="s">
        <v>6480</v>
      </c>
      <c r="C872" s="2" t="s">
        <v>6479</v>
      </c>
      <c r="D872" s="2" t="s">
        <v>5161</v>
      </c>
      <c r="E872" s="2" t="s">
        <v>5159</v>
      </c>
      <c r="F872" s="2">
        <v>0.80700000000000005</v>
      </c>
      <c r="G872" s="2">
        <v>10</v>
      </c>
      <c r="H872" s="2">
        <f>Tabla_Items_Con_Existencia[[#This Row],[COSTO]]*Tabla_Items_Con_Existencia[[#This Row],[EXISTENCIA]]</f>
        <v>8.07</v>
      </c>
      <c r="I872" s="1">
        <f>IF(ISERROR(MATCH(Tabla_Items_Con_Existencia[[#This Row],[CODIGO]],Tabla_Items_Activos[CODIGO],0)),0,1)</f>
        <v>0</v>
      </c>
    </row>
    <row r="873" spans="1:9">
      <c r="A873" s="2" t="s">
        <v>6760</v>
      </c>
      <c r="B873" s="2" t="s">
        <v>6481</v>
      </c>
      <c r="C873" s="2" t="s">
        <v>4950</v>
      </c>
      <c r="D873" s="2" t="s">
        <v>5186</v>
      </c>
      <c r="E873" s="2" t="s">
        <v>5159</v>
      </c>
      <c r="F873" s="2">
        <v>2.3159999999999998</v>
      </c>
      <c r="G873" s="2">
        <v>8</v>
      </c>
      <c r="H873" s="2">
        <f>Tabla_Items_Con_Existencia[[#This Row],[COSTO]]*Tabla_Items_Con_Existencia[[#This Row],[EXISTENCIA]]</f>
        <v>18.527999999999999</v>
      </c>
      <c r="I873" s="1">
        <f>IF(ISERROR(MATCH(Tabla_Items_Con_Existencia[[#This Row],[CODIGO]],Tabla_Items_Activos[CODIGO],0)),0,1)</f>
        <v>0</v>
      </c>
    </row>
    <row r="874" spans="1:9">
      <c r="A874" s="2" t="s">
        <v>6761</v>
      </c>
      <c r="B874" s="2" t="s">
        <v>6482</v>
      </c>
      <c r="C874" s="2" t="s">
        <v>6483</v>
      </c>
      <c r="D874" s="2" t="s">
        <v>5158</v>
      </c>
      <c r="E874" s="2" t="s">
        <v>5159</v>
      </c>
      <c r="F874" s="2">
        <v>5.9996473699999999</v>
      </c>
      <c r="G874" s="2">
        <v>11</v>
      </c>
      <c r="H874" s="2">
        <f>Tabla_Items_Con_Existencia[[#This Row],[COSTO]]*Tabla_Items_Con_Existencia[[#This Row],[EXISTENCIA]]</f>
        <v>65.996121070000001</v>
      </c>
      <c r="I874" s="1">
        <f>IF(ISERROR(MATCH(Tabla_Items_Con_Existencia[[#This Row],[CODIGO]],Tabla_Items_Activos[CODIGO],0)),0,1)</f>
        <v>0</v>
      </c>
    </row>
    <row r="875" spans="1:9">
      <c r="A875" s="2" t="s">
        <v>6760</v>
      </c>
      <c r="B875" s="2" t="s">
        <v>6482</v>
      </c>
      <c r="C875" s="2" t="s">
        <v>6483</v>
      </c>
      <c r="D875" s="2" t="s">
        <v>5158</v>
      </c>
      <c r="E875" s="2" t="s">
        <v>5159</v>
      </c>
      <c r="F875" s="2">
        <v>5.9996473699999999</v>
      </c>
      <c r="G875" s="2">
        <v>11</v>
      </c>
      <c r="H875" s="2">
        <f>Tabla_Items_Con_Existencia[[#This Row],[COSTO]]*Tabla_Items_Con_Existencia[[#This Row],[EXISTENCIA]]</f>
        <v>65.996121070000001</v>
      </c>
      <c r="I875" s="1">
        <f>IF(ISERROR(MATCH(Tabla_Items_Con_Existencia[[#This Row],[CODIGO]],Tabla_Items_Activos[CODIGO],0)),0,1)</f>
        <v>0</v>
      </c>
    </row>
    <row r="876" spans="1:9">
      <c r="A876" s="2" t="s">
        <v>6760</v>
      </c>
      <c r="B876" s="2" t="s">
        <v>6484</v>
      </c>
      <c r="C876" s="2" t="s">
        <v>4952</v>
      </c>
      <c r="D876" s="2" t="s">
        <v>5158</v>
      </c>
      <c r="E876" s="2" t="s">
        <v>5159</v>
      </c>
      <c r="F876" s="2">
        <v>2.2829999999999999</v>
      </c>
      <c r="G876" s="2">
        <v>5</v>
      </c>
      <c r="H876" s="2">
        <f>Tabla_Items_Con_Existencia[[#This Row],[COSTO]]*Tabla_Items_Con_Existencia[[#This Row],[EXISTENCIA]]</f>
        <v>11.414999999999999</v>
      </c>
      <c r="I876" s="1">
        <f>IF(ISERROR(MATCH(Tabla_Items_Con_Existencia[[#This Row],[CODIGO]],Tabla_Items_Activos[CODIGO],0)),0,1)</f>
        <v>0</v>
      </c>
    </row>
    <row r="877" spans="1:9">
      <c r="A877" s="2" t="s">
        <v>6760</v>
      </c>
      <c r="B877" s="2" t="s">
        <v>6485</v>
      </c>
      <c r="C877" s="2" t="s">
        <v>6486</v>
      </c>
      <c r="D877" s="2" t="s">
        <v>5158</v>
      </c>
      <c r="E877" s="2" t="s">
        <v>5159</v>
      </c>
      <c r="F877" s="2">
        <v>1.22</v>
      </c>
      <c r="G877" s="2">
        <v>2</v>
      </c>
      <c r="H877" s="2">
        <f>Tabla_Items_Con_Existencia[[#This Row],[COSTO]]*Tabla_Items_Con_Existencia[[#This Row],[EXISTENCIA]]</f>
        <v>2.44</v>
      </c>
      <c r="I877" s="1">
        <f>IF(ISERROR(MATCH(Tabla_Items_Con_Existencia[[#This Row],[CODIGO]],Tabla_Items_Activos[CODIGO],0)),0,1)</f>
        <v>0</v>
      </c>
    </row>
    <row r="878" spans="1:9">
      <c r="A878" s="2" t="s">
        <v>6760</v>
      </c>
      <c r="B878" s="2" t="s">
        <v>6487</v>
      </c>
      <c r="C878" s="2" t="s">
        <v>6876</v>
      </c>
      <c r="D878" s="2" t="s">
        <v>5158</v>
      </c>
      <c r="E878" s="2" t="s">
        <v>5159</v>
      </c>
      <c r="F878" s="2">
        <v>14.2796</v>
      </c>
      <c r="G878" s="2">
        <v>4</v>
      </c>
      <c r="H878" s="2">
        <f>Tabla_Items_Con_Existencia[[#This Row],[COSTO]]*Tabla_Items_Con_Existencia[[#This Row],[EXISTENCIA]]</f>
        <v>57.118400000000001</v>
      </c>
      <c r="I878" s="1">
        <f>IF(ISERROR(MATCH(Tabla_Items_Con_Existencia[[#This Row],[CODIGO]],Tabla_Items_Activos[CODIGO],0)),0,1)</f>
        <v>0</v>
      </c>
    </row>
    <row r="879" spans="1:9">
      <c r="A879" s="2" t="s">
        <v>6760</v>
      </c>
      <c r="B879" s="2" t="s">
        <v>6488</v>
      </c>
      <c r="C879" s="2" t="s">
        <v>6489</v>
      </c>
      <c r="D879" s="2" t="s">
        <v>5158</v>
      </c>
      <c r="E879" s="2" t="s">
        <v>5159</v>
      </c>
      <c r="F879" s="2">
        <v>10.016</v>
      </c>
      <c r="G879" s="2">
        <v>5</v>
      </c>
      <c r="H879" s="2">
        <f>Tabla_Items_Con_Existencia[[#This Row],[COSTO]]*Tabla_Items_Con_Existencia[[#This Row],[EXISTENCIA]]</f>
        <v>50.08</v>
      </c>
      <c r="I879" s="1">
        <f>IF(ISERROR(MATCH(Tabla_Items_Con_Existencia[[#This Row],[CODIGO]],Tabla_Items_Activos[CODIGO],0)),0,1)</f>
        <v>0</v>
      </c>
    </row>
    <row r="880" spans="1:9">
      <c r="A880" s="2" t="s">
        <v>6760</v>
      </c>
      <c r="B880" s="2" t="s">
        <v>6490</v>
      </c>
      <c r="C880" s="2" t="s">
        <v>6491</v>
      </c>
      <c r="D880" s="2" t="s">
        <v>5158</v>
      </c>
      <c r="E880" s="2" t="s">
        <v>5159</v>
      </c>
      <c r="F880" s="2">
        <v>12.548999999999999</v>
      </c>
      <c r="G880" s="2">
        <v>5</v>
      </c>
      <c r="H880" s="2">
        <f>Tabla_Items_Con_Existencia[[#This Row],[COSTO]]*Tabla_Items_Con_Existencia[[#This Row],[EXISTENCIA]]</f>
        <v>62.744999999999997</v>
      </c>
      <c r="I880" s="1">
        <f>IF(ISERROR(MATCH(Tabla_Items_Con_Existencia[[#This Row],[CODIGO]],Tabla_Items_Activos[CODIGO],0)),0,1)</f>
        <v>0</v>
      </c>
    </row>
    <row r="881" spans="1:9">
      <c r="A881" s="2" t="s">
        <v>6760</v>
      </c>
      <c r="B881" s="2" t="s">
        <v>6492</v>
      </c>
      <c r="C881" s="2" t="s">
        <v>4957</v>
      </c>
      <c r="D881" s="2" t="s">
        <v>5158</v>
      </c>
      <c r="E881" s="2" t="s">
        <v>5159</v>
      </c>
      <c r="F881" s="2">
        <v>21.949410530000002</v>
      </c>
      <c r="G881" s="2">
        <v>74</v>
      </c>
      <c r="H881" s="2">
        <f>Tabla_Items_Con_Existencia[[#This Row],[COSTO]]*Tabla_Items_Con_Existencia[[#This Row],[EXISTENCIA]]</f>
        <v>1624.2563792200001</v>
      </c>
      <c r="I881" s="1">
        <f>IF(ISERROR(MATCH(Tabla_Items_Con_Existencia[[#This Row],[CODIGO]],Tabla_Items_Activos[CODIGO],0)),0,1)</f>
        <v>0</v>
      </c>
    </row>
    <row r="882" spans="1:9">
      <c r="A882" s="2" t="s">
        <v>6761</v>
      </c>
      <c r="B882" s="2" t="s">
        <v>6492</v>
      </c>
      <c r="C882" s="2" t="s">
        <v>4957</v>
      </c>
      <c r="D882" s="2" t="s">
        <v>5158</v>
      </c>
      <c r="E882" s="2" t="s">
        <v>5159</v>
      </c>
      <c r="F882" s="2">
        <v>21.949410530000002</v>
      </c>
      <c r="G882" s="2">
        <v>74</v>
      </c>
      <c r="H882" s="2">
        <f>Tabla_Items_Con_Existencia[[#This Row],[COSTO]]*Tabla_Items_Con_Existencia[[#This Row],[EXISTENCIA]]</f>
        <v>1624.2563792200001</v>
      </c>
      <c r="I882" s="1">
        <f>IF(ISERROR(MATCH(Tabla_Items_Con_Existencia[[#This Row],[CODIGO]],Tabla_Items_Activos[CODIGO],0)),0,1)</f>
        <v>0</v>
      </c>
    </row>
    <row r="883" spans="1:9">
      <c r="A883" s="2" t="s">
        <v>6760</v>
      </c>
      <c r="B883" s="2" t="s">
        <v>6493</v>
      </c>
      <c r="C883" s="2" t="s">
        <v>4958</v>
      </c>
      <c r="D883" s="2" t="s">
        <v>5158</v>
      </c>
      <c r="E883" s="2" t="s">
        <v>5159</v>
      </c>
      <c r="F883" s="2">
        <v>19.596389469999998</v>
      </c>
      <c r="G883" s="2">
        <v>76</v>
      </c>
      <c r="H883" s="2">
        <f>Tabla_Items_Con_Existencia[[#This Row],[COSTO]]*Tabla_Items_Con_Existencia[[#This Row],[EXISTENCIA]]</f>
        <v>1489.3255997199999</v>
      </c>
      <c r="I883" s="1">
        <f>IF(ISERROR(MATCH(Tabla_Items_Con_Existencia[[#This Row],[CODIGO]],Tabla_Items_Activos[CODIGO],0)),0,1)</f>
        <v>0</v>
      </c>
    </row>
    <row r="884" spans="1:9">
      <c r="A884" s="2" t="s">
        <v>6761</v>
      </c>
      <c r="B884" s="2" t="s">
        <v>6493</v>
      </c>
      <c r="C884" s="2" t="s">
        <v>4958</v>
      </c>
      <c r="D884" s="2" t="s">
        <v>5158</v>
      </c>
      <c r="E884" s="2" t="s">
        <v>5159</v>
      </c>
      <c r="F884" s="2">
        <v>19.596389469999998</v>
      </c>
      <c r="G884" s="2">
        <v>76</v>
      </c>
      <c r="H884" s="2">
        <f>Tabla_Items_Con_Existencia[[#This Row],[COSTO]]*Tabla_Items_Con_Existencia[[#This Row],[EXISTENCIA]]</f>
        <v>1489.3255997199999</v>
      </c>
      <c r="I884" s="1">
        <f>IF(ISERROR(MATCH(Tabla_Items_Con_Existencia[[#This Row],[CODIGO]],Tabla_Items_Activos[CODIGO],0)),0,1)</f>
        <v>0</v>
      </c>
    </row>
    <row r="885" spans="1:9">
      <c r="A885" s="2" t="s">
        <v>6760</v>
      </c>
      <c r="B885" s="2" t="s">
        <v>6494</v>
      </c>
      <c r="C885" s="2" t="s">
        <v>6495</v>
      </c>
      <c r="D885" s="2" t="s">
        <v>5158</v>
      </c>
      <c r="E885" s="2" t="s">
        <v>5159</v>
      </c>
      <c r="F885" s="2">
        <v>8.1122999999999994</v>
      </c>
      <c r="G885" s="2">
        <v>18</v>
      </c>
      <c r="H885" s="2">
        <f>Tabla_Items_Con_Existencia[[#This Row],[COSTO]]*Tabla_Items_Con_Existencia[[#This Row],[EXISTENCIA]]</f>
        <v>146.0214</v>
      </c>
      <c r="I885" s="1">
        <f>IF(ISERROR(MATCH(Tabla_Items_Con_Existencia[[#This Row],[CODIGO]],Tabla_Items_Activos[CODIGO],0)),0,1)</f>
        <v>0</v>
      </c>
    </row>
    <row r="886" spans="1:9">
      <c r="A886" s="2" t="s">
        <v>6760</v>
      </c>
      <c r="B886" s="2" t="s">
        <v>6877</v>
      </c>
      <c r="C886" s="2" t="s">
        <v>6878</v>
      </c>
      <c r="D886" s="2" t="s">
        <v>6426</v>
      </c>
      <c r="E886" s="2" t="s">
        <v>5159</v>
      </c>
      <c r="F886" s="2">
        <v>0.76338421000000001</v>
      </c>
      <c r="G886" s="2">
        <v>485</v>
      </c>
      <c r="H886" s="2">
        <f>Tabla_Items_Con_Existencia[[#This Row],[COSTO]]*Tabla_Items_Con_Existencia[[#This Row],[EXISTENCIA]]</f>
        <v>370.24134185000003</v>
      </c>
      <c r="I886" s="1">
        <f>IF(ISERROR(MATCH(Tabla_Items_Con_Existencia[[#This Row],[CODIGO]],Tabla_Items_Activos[CODIGO],0)),0,1)</f>
        <v>0</v>
      </c>
    </row>
    <row r="887" spans="1:9">
      <c r="A887" s="2" t="s">
        <v>6761</v>
      </c>
      <c r="B887" s="2" t="s">
        <v>6877</v>
      </c>
      <c r="C887" s="2" t="s">
        <v>6878</v>
      </c>
      <c r="D887" s="2" t="s">
        <v>6426</v>
      </c>
      <c r="E887" s="2" t="s">
        <v>5159</v>
      </c>
      <c r="F887" s="2">
        <v>0.76338421000000001</v>
      </c>
      <c r="G887" s="2">
        <v>485</v>
      </c>
      <c r="H887" s="2">
        <f>Tabla_Items_Con_Existencia[[#This Row],[COSTO]]*Tabla_Items_Con_Existencia[[#This Row],[EXISTENCIA]]</f>
        <v>370.24134185000003</v>
      </c>
      <c r="I887" s="1">
        <f>IF(ISERROR(MATCH(Tabla_Items_Con_Existencia[[#This Row],[CODIGO]],Tabla_Items_Activos[CODIGO],0)),0,1)</f>
        <v>0</v>
      </c>
    </row>
    <row r="888" spans="1:9">
      <c r="A888" s="2" t="s">
        <v>6760</v>
      </c>
      <c r="B888" s="2" t="s">
        <v>1846</v>
      </c>
      <c r="C888" s="2" t="s">
        <v>6287</v>
      </c>
      <c r="D888" s="2" t="s">
        <v>5161</v>
      </c>
      <c r="E888" s="2" t="s">
        <v>5159</v>
      </c>
      <c r="F888" s="2">
        <v>8.5299999999999994</v>
      </c>
      <c r="G888" s="2">
        <v>10</v>
      </c>
      <c r="H888" s="2">
        <f>Tabla_Items_Con_Existencia[[#This Row],[COSTO]]*Tabla_Items_Con_Existencia[[#This Row],[EXISTENCIA]]</f>
        <v>85.3</v>
      </c>
      <c r="I888" s="1">
        <f>IF(ISERROR(MATCH(Tabla_Items_Con_Existencia[[#This Row],[CODIGO]],Tabla_Items_Activos[CODIGO],0)),0,1)</f>
        <v>0</v>
      </c>
    </row>
    <row r="889" spans="1:9">
      <c r="A889" s="2" t="s">
        <v>6760</v>
      </c>
      <c r="B889" s="2" t="s">
        <v>1847</v>
      </c>
      <c r="C889" s="2" t="s">
        <v>1848</v>
      </c>
      <c r="D889" s="2" t="s">
        <v>5161</v>
      </c>
      <c r="E889" s="2" t="s">
        <v>5159</v>
      </c>
      <c r="F889" s="2">
        <v>5.22</v>
      </c>
      <c r="G889" s="2">
        <v>3</v>
      </c>
      <c r="H889" s="2">
        <f>Tabla_Items_Con_Existencia[[#This Row],[COSTO]]*Tabla_Items_Con_Existencia[[#This Row],[EXISTENCIA]]</f>
        <v>15.66</v>
      </c>
      <c r="I889" s="1">
        <f>IF(ISERROR(MATCH(Tabla_Items_Con_Existencia[[#This Row],[CODIGO]],Tabla_Items_Activos[CODIGO],0)),0,1)</f>
        <v>0</v>
      </c>
    </row>
    <row r="890" spans="1:9">
      <c r="A890" s="2" t="s">
        <v>6760</v>
      </c>
      <c r="B890" s="2" t="s">
        <v>1849</v>
      </c>
      <c r="C890" s="2" t="s">
        <v>1850</v>
      </c>
      <c r="D890" s="2" t="s">
        <v>5161</v>
      </c>
      <c r="E890" s="2" t="s">
        <v>5159</v>
      </c>
      <c r="F890" s="2">
        <v>13.13</v>
      </c>
      <c r="G890" s="2">
        <v>3</v>
      </c>
      <c r="H890" s="2">
        <f>Tabla_Items_Con_Existencia[[#This Row],[COSTO]]*Tabla_Items_Con_Existencia[[#This Row],[EXISTENCIA]]</f>
        <v>39.39</v>
      </c>
      <c r="I890" s="1">
        <f>IF(ISERROR(MATCH(Tabla_Items_Con_Existencia[[#This Row],[CODIGO]],Tabla_Items_Activos[CODIGO],0)),0,1)</f>
        <v>0</v>
      </c>
    </row>
    <row r="891" spans="1:9">
      <c r="A891" s="2" t="s">
        <v>6760</v>
      </c>
      <c r="B891" s="2" t="s">
        <v>1851</v>
      </c>
      <c r="C891" s="2" t="s">
        <v>1852</v>
      </c>
      <c r="D891" s="2" t="s">
        <v>5161</v>
      </c>
      <c r="E891" s="2" t="s">
        <v>5159</v>
      </c>
      <c r="F891" s="2">
        <v>3.52</v>
      </c>
      <c r="G891" s="2">
        <v>5</v>
      </c>
      <c r="H891" s="2">
        <f>Tabla_Items_Con_Existencia[[#This Row],[COSTO]]*Tabla_Items_Con_Existencia[[#This Row],[EXISTENCIA]]</f>
        <v>17.600000000000001</v>
      </c>
      <c r="I891" s="1">
        <f>IF(ISERROR(MATCH(Tabla_Items_Con_Existencia[[#This Row],[CODIGO]],Tabla_Items_Activos[CODIGO],0)),0,1)</f>
        <v>0</v>
      </c>
    </row>
    <row r="892" spans="1:9">
      <c r="A892" s="2" t="s">
        <v>6760</v>
      </c>
      <c r="B892" s="2" t="s">
        <v>1853</v>
      </c>
      <c r="C892" s="2" t="s">
        <v>1854</v>
      </c>
      <c r="D892" s="2" t="s">
        <v>5161</v>
      </c>
      <c r="E892" s="2" t="s">
        <v>5159</v>
      </c>
      <c r="F892" s="2">
        <v>10.26</v>
      </c>
      <c r="G892" s="2">
        <v>4</v>
      </c>
      <c r="H892" s="2">
        <f>Tabla_Items_Con_Existencia[[#This Row],[COSTO]]*Tabla_Items_Con_Existencia[[#This Row],[EXISTENCIA]]</f>
        <v>41.04</v>
      </c>
      <c r="I892" s="1">
        <f>IF(ISERROR(MATCH(Tabla_Items_Con_Existencia[[#This Row],[CODIGO]],Tabla_Items_Activos[CODIGO],0)),0,1)</f>
        <v>0</v>
      </c>
    </row>
    <row r="893" spans="1:9">
      <c r="A893" s="2" t="s">
        <v>6760</v>
      </c>
      <c r="B893" s="2" t="s">
        <v>1855</v>
      </c>
      <c r="C893" s="2" t="s">
        <v>1856</v>
      </c>
      <c r="D893" s="2" t="s">
        <v>5161</v>
      </c>
      <c r="E893" s="2" t="s">
        <v>5159</v>
      </c>
      <c r="F893" s="2">
        <v>3.76</v>
      </c>
      <c r="G893" s="2">
        <v>5</v>
      </c>
      <c r="H893" s="2">
        <f>Tabla_Items_Con_Existencia[[#This Row],[COSTO]]*Tabla_Items_Con_Existencia[[#This Row],[EXISTENCIA]]</f>
        <v>18.799999999999997</v>
      </c>
      <c r="I893" s="1">
        <f>IF(ISERROR(MATCH(Tabla_Items_Con_Existencia[[#This Row],[CODIGO]],Tabla_Items_Activos[CODIGO],0)),0,1)</f>
        <v>0</v>
      </c>
    </row>
    <row r="894" spans="1:9">
      <c r="A894" s="2" t="s">
        <v>6760</v>
      </c>
      <c r="B894" s="2" t="s">
        <v>1857</v>
      </c>
      <c r="C894" s="2" t="s">
        <v>1858</v>
      </c>
      <c r="D894" s="2" t="s">
        <v>5161</v>
      </c>
      <c r="E894" s="2" t="s">
        <v>5159</v>
      </c>
      <c r="F894" s="2">
        <v>4.54</v>
      </c>
      <c r="G894" s="2">
        <v>5</v>
      </c>
      <c r="H894" s="2">
        <f>Tabla_Items_Con_Existencia[[#This Row],[COSTO]]*Tabla_Items_Con_Existencia[[#This Row],[EXISTENCIA]]</f>
        <v>22.7</v>
      </c>
      <c r="I894" s="1">
        <f>IF(ISERROR(MATCH(Tabla_Items_Con_Existencia[[#This Row],[CODIGO]],Tabla_Items_Activos[CODIGO],0)),0,1)</f>
        <v>0</v>
      </c>
    </row>
    <row r="895" spans="1:9">
      <c r="A895" s="2" t="s">
        <v>6760</v>
      </c>
      <c r="B895" s="2" t="s">
        <v>1859</v>
      </c>
      <c r="C895" s="2" t="s">
        <v>1860</v>
      </c>
      <c r="D895" s="2" t="s">
        <v>5161</v>
      </c>
      <c r="E895" s="2" t="s">
        <v>5159</v>
      </c>
      <c r="F895" s="2">
        <v>2.71</v>
      </c>
      <c r="G895" s="2">
        <v>5</v>
      </c>
      <c r="H895" s="2">
        <f>Tabla_Items_Con_Existencia[[#This Row],[COSTO]]*Tabla_Items_Con_Existencia[[#This Row],[EXISTENCIA]]</f>
        <v>13.55</v>
      </c>
      <c r="I895" s="1">
        <f>IF(ISERROR(MATCH(Tabla_Items_Con_Existencia[[#This Row],[CODIGO]],Tabla_Items_Activos[CODIGO],0)),0,1)</f>
        <v>0</v>
      </c>
    </row>
    <row r="896" spans="1:9">
      <c r="A896" s="2" t="s">
        <v>6760</v>
      </c>
      <c r="B896" s="2" t="s">
        <v>1861</v>
      </c>
      <c r="C896" s="2" t="s">
        <v>1862</v>
      </c>
      <c r="D896" s="2" t="s">
        <v>5161</v>
      </c>
      <c r="E896" s="2" t="s">
        <v>5159</v>
      </c>
      <c r="F896" s="2">
        <v>5.39</v>
      </c>
      <c r="G896" s="2">
        <v>5</v>
      </c>
      <c r="H896" s="2">
        <f>Tabla_Items_Con_Existencia[[#This Row],[COSTO]]*Tabla_Items_Con_Existencia[[#This Row],[EXISTENCIA]]</f>
        <v>26.95</v>
      </c>
      <c r="I896" s="1">
        <f>IF(ISERROR(MATCH(Tabla_Items_Con_Existencia[[#This Row],[CODIGO]],Tabla_Items_Activos[CODIGO],0)),0,1)</f>
        <v>0</v>
      </c>
    </row>
    <row r="897" spans="1:9">
      <c r="A897" s="2" t="s">
        <v>6760</v>
      </c>
      <c r="B897" s="2" t="s">
        <v>1863</v>
      </c>
      <c r="C897" s="2" t="s">
        <v>1864</v>
      </c>
      <c r="D897" s="2" t="s">
        <v>5161</v>
      </c>
      <c r="E897" s="2" t="s">
        <v>5159</v>
      </c>
      <c r="F897" s="2">
        <v>2.08</v>
      </c>
      <c r="G897" s="2">
        <v>5</v>
      </c>
      <c r="H897" s="2">
        <f>Tabla_Items_Con_Existencia[[#This Row],[COSTO]]*Tabla_Items_Con_Existencia[[#This Row],[EXISTENCIA]]</f>
        <v>10.4</v>
      </c>
      <c r="I897" s="1">
        <f>IF(ISERROR(MATCH(Tabla_Items_Con_Existencia[[#This Row],[CODIGO]],Tabla_Items_Activos[CODIGO],0)),0,1)</f>
        <v>0</v>
      </c>
    </row>
    <row r="898" spans="1:9">
      <c r="A898" s="2" t="s">
        <v>6760</v>
      </c>
      <c r="B898" s="2" t="s">
        <v>1865</v>
      </c>
      <c r="C898" s="2" t="s">
        <v>6879</v>
      </c>
      <c r="D898" s="2" t="s">
        <v>5190</v>
      </c>
      <c r="E898" s="2" t="s">
        <v>5159</v>
      </c>
      <c r="F898" s="2">
        <v>13.67</v>
      </c>
      <c r="G898" s="2">
        <v>6</v>
      </c>
      <c r="H898" s="2">
        <f>Tabla_Items_Con_Existencia[[#This Row],[COSTO]]*Tabla_Items_Con_Existencia[[#This Row],[EXISTENCIA]]</f>
        <v>82.02</v>
      </c>
      <c r="I898" s="1">
        <f>IF(ISERROR(MATCH(Tabla_Items_Con_Existencia[[#This Row],[CODIGO]],Tabla_Items_Activos[CODIGO],0)),0,1)</f>
        <v>0</v>
      </c>
    </row>
    <row r="899" spans="1:9">
      <c r="A899" s="2" t="s">
        <v>6760</v>
      </c>
      <c r="B899" s="2" t="s">
        <v>1867</v>
      </c>
      <c r="C899" s="2" t="s">
        <v>7319</v>
      </c>
      <c r="D899" s="2" t="s">
        <v>5200</v>
      </c>
      <c r="E899" s="2" t="s">
        <v>5159</v>
      </c>
      <c r="F899" s="2">
        <v>45.908421050000001</v>
      </c>
      <c r="G899" s="2">
        <v>3</v>
      </c>
      <c r="H899" s="2">
        <f>Tabla_Items_Con_Existencia[[#This Row],[COSTO]]*Tabla_Items_Con_Existencia[[#This Row],[EXISTENCIA]]</f>
        <v>137.72526314999999</v>
      </c>
      <c r="I899" s="1">
        <f>IF(ISERROR(MATCH(Tabla_Items_Con_Existencia[[#This Row],[CODIGO]],Tabla_Items_Activos[CODIGO],0)),0,1)</f>
        <v>0</v>
      </c>
    </row>
    <row r="900" spans="1:9">
      <c r="A900" s="2" t="s">
        <v>6761</v>
      </c>
      <c r="B900" s="2" t="s">
        <v>1867</v>
      </c>
      <c r="C900" s="2" t="s">
        <v>7319</v>
      </c>
      <c r="D900" s="2" t="s">
        <v>5200</v>
      </c>
      <c r="E900" s="2" t="s">
        <v>5159</v>
      </c>
      <c r="F900" s="2">
        <v>45.908421050000001</v>
      </c>
      <c r="G900" s="2">
        <v>3</v>
      </c>
      <c r="H900" s="2">
        <f>Tabla_Items_Con_Existencia[[#This Row],[COSTO]]*Tabla_Items_Con_Existencia[[#This Row],[EXISTENCIA]]</f>
        <v>137.72526314999999</v>
      </c>
      <c r="I900" s="1">
        <f>IF(ISERROR(MATCH(Tabla_Items_Con_Existencia[[#This Row],[CODIGO]],Tabla_Items_Activos[CODIGO],0)),0,1)</f>
        <v>0</v>
      </c>
    </row>
    <row r="901" spans="1:9">
      <c r="A901" s="2" t="s">
        <v>6760</v>
      </c>
      <c r="B901" s="2" t="s">
        <v>7320</v>
      </c>
      <c r="C901" s="2" t="s">
        <v>7321</v>
      </c>
      <c r="D901" s="2" t="s">
        <v>5157</v>
      </c>
      <c r="E901" s="2" t="s">
        <v>5157</v>
      </c>
      <c r="F901" s="2">
        <v>0</v>
      </c>
      <c r="G901" s="2">
        <v>1</v>
      </c>
      <c r="H901" s="2">
        <f>Tabla_Items_Con_Existencia[[#This Row],[COSTO]]*Tabla_Items_Con_Existencia[[#This Row],[EXISTENCIA]]</f>
        <v>0</v>
      </c>
      <c r="I901" s="1">
        <f>IF(ISERROR(MATCH(Tabla_Items_Con_Existencia[[#This Row],[CODIGO]],Tabla_Items_Activos[CODIGO],0)),0,1)</f>
        <v>0</v>
      </c>
    </row>
    <row r="902" spans="1:9">
      <c r="A902" s="2" t="s">
        <v>6760</v>
      </c>
      <c r="B902" s="2" t="s">
        <v>7322</v>
      </c>
      <c r="C902" s="2" t="s">
        <v>7323</v>
      </c>
      <c r="D902" s="2" t="s">
        <v>5157</v>
      </c>
      <c r="E902" s="2" t="s">
        <v>5157</v>
      </c>
      <c r="F902" s="2">
        <v>0</v>
      </c>
      <c r="G902" s="2">
        <v>1</v>
      </c>
      <c r="H902" s="2">
        <f>Tabla_Items_Con_Existencia[[#This Row],[COSTO]]*Tabla_Items_Con_Existencia[[#This Row],[EXISTENCIA]]</f>
        <v>0</v>
      </c>
      <c r="I902" s="1">
        <f>IF(ISERROR(MATCH(Tabla_Items_Con_Existencia[[#This Row],[CODIGO]],Tabla_Items_Activos[CODIGO],0)),0,1)</f>
        <v>0</v>
      </c>
    </row>
    <row r="903" spans="1:9">
      <c r="A903" s="2" t="s">
        <v>6760</v>
      </c>
      <c r="B903" s="2" t="s">
        <v>7324</v>
      </c>
      <c r="C903" s="2" t="s">
        <v>7325</v>
      </c>
      <c r="D903" s="2" t="s">
        <v>5157</v>
      </c>
      <c r="E903" s="2" t="s">
        <v>5157</v>
      </c>
      <c r="F903" s="2">
        <v>0</v>
      </c>
      <c r="G903" s="2">
        <v>1</v>
      </c>
      <c r="H903" s="2">
        <f>Tabla_Items_Con_Existencia[[#This Row],[COSTO]]*Tabla_Items_Con_Existencia[[#This Row],[EXISTENCIA]]</f>
        <v>0</v>
      </c>
      <c r="I903" s="1">
        <f>IF(ISERROR(MATCH(Tabla_Items_Con_Existencia[[#This Row],[CODIGO]],Tabla_Items_Activos[CODIGO],0)),0,1)</f>
        <v>0</v>
      </c>
    </row>
    <row r="904" spans="1:9">
      <c r="A904" s="2" t="s">
        <v>6760</v>
      </c>
      <c r="B904" s="2" t="s">
        <v>1869</v>
      </c>
      <c r="C904" s="2" t="s">
        <v>1870</v>
      </c>
      <c r="D904" s="2" t="s">
        <v>5198</v>
      </c>
      <c r="E904" s="2" t="s">
        <v>5159</v>
      </c>
      <c r="F904" s="2">
        <v>66.650000000000006</v>
      </c>
      <c r="G904" s="2">
        <v>1</v>
      </c>
      <c r="H904" s="2">
        <f>Tabla_Items_Con_Existencia[[#This Row],[COSTO]]*Tabla_Items_Con_Existencia[[#This Row],[EXISTENCIA]]</f>
        <v>66.650000000000006</v>
      </c>
      <c r="I904" s="1">
        <f>IF(ISERROR(MATCH(Tabla_Items_Con_Existencia[[#This Row],[CODIGO]],Tabla_Items_Activos[CODIGO],0)),0,1)</f>
        <v>0</v>
      </c>
    </row>
    <row r="905" spans="1:9">
      <c r="A905" s="2" t="s">
        <v>6760</v>
      </c>
      <c r="B905" s="2" t="s">
        <v>421</v>
      </c>
      <c r="C905" s="2" t="s">
        <v>1871</v>
      </c>
      <c r="D905" s="2" t="s">
        <v>5187</v>
      </c>
      <c r="E905" s="2" t="s">
        <v>5159</v>
      </c>
      <c r="F905" s="2">
        <v>45.94</v>
      </c>
      <c r="G905" s="2">
        <v>1</v>
      </c>
      <c r="H905" s="2">
        <f>Tabla_Items_Con_Existencia[[#This Row],[COSTO]]*Tabla_Items_Con_Existencia[[#This Row],[EXISTENCIA]]</f>
        <v>45.94</v>
      </c>
      <c r="I905" s="1">
        <f>IF(ISERROR(MATCH(Tabla_Items_Con_Existencia[[#This Row],[CODIGO]],Tabla_Items_Activos[CODIGO],0)),0,1)</f>
        <v>0</v>
      </c>
    </row>
    <row r="906" spans="1:9">
      <c r="A906" s="2" t="s">
        <v>6760</v>
      </c>
      <c r="B906" s="2" t="s">
        <v>422</v>
      </c>
      <c r="C906" s="2" t="s">
        <v>1872</v>
      </c>
      <c r="D906" s="2" t="s">
        <v>5158</v>
      </c>
      <c r="E906" s="2" t="s">
        <v>5159</v>
      </c>
      <c r="F906" s="2">
        <v>66.817999999999998</v>
      </c>
      <c r="G906" s="2">
        <v>5</v>
      </c>
      <c r="H906" s="2">
        <f>Tabla_Items_Con_Existencia[[#This Row],[COSTO]]*Tabla_Items_Con_Existencia[[#This Row],[EXISTENCIA]]</f>
        <v>334.09</v>
      </c>
      <c r="I906" s="1">
        <f>IF(ISERROR(MATCH(Tabla_Items_Con_Existencia[[#This Row],[CODIGO]],Tabla_Items_Activos[CODIGO],0)),0,1)</f>
        <v>0</v>
      </c>
    </row>
    <row r="907" spans="1:9">
      <c r="A907" s="2" t="s">
        <v>6760</v>
      </c>
      <c r="B907" s="2" t="s">
        <v>423</v>
      </c>
      <c r="C907" s="2" t="s">
        <v>1873</v>
      </c>
      <c r="D907" s="2" t="s">
        <v>5186</v>
      </c>
      <c r="E907" s="2" t="s">
        <v>5159</v>
      </c>
      <c r="F907" s="2">
        <v>57.145000000000003</v>
      </c>
      <c r="G907" s="2">
        <v>3</v>
      </c>
      <c r="H907" s="2">
        <f>Tabla_Items_Con_Existencia[[#This Row],[COSTO]]*Tabla_Items_Con_Existencia[[#This Row],[EXISTENCIA]]</f>
        <v>171.435</v>
      </c>
      <c r="I907" s="1">
        <f>IF(ISERROR(MATCH(Tabla_Items_Con_Existencia[[#This Row],[CODIGO]],Tabla_Items_Activos[CODIGO],0)),0,1)</f>
        <v>0</v>
      </c>
    </row>
    <row r="908" spans="1:9">
      <c r="A908" s="2" t="s">
        <v>6760</v>
      </c>
      <c r="B908" s="2" t="s">
        <v>424</v>
      </c>
      <c r="C908" s="2" t="s">
        <v>1874</v>
      </c>
      <c r="D908" s="2" t="s">
        <v>5186</v>
      </c>
      <c r="E908" s="2" t="s">
        <v>5159</v>
      </c>
      <c r="F908" s="2">
        <v>94.52</v>
      </c>
      <c r="G908" s="2">
        <v>1</v>
      </c>
      <c r="H908" s="2">
        <f>Tabla_Items_Con_Existencia[[#This Row],[COSTO]]*Tabla_Items_Con_Existencia[[#This Row],[EXISTENCIA]]</f>
        <v>94.52</v>
      </c>
      <c r="I908" s="1">
        <f>IF(ISERROR(MATCH(Tabla_Items_Con_Existencia[[#This Row],[CODIGO]],Tabla_Items_Activos[CODIGO],0)),0,1)</f>
        <v>0</v>
      </c>
    </row>
    <row r="909" spans="1:9">
      <c r="A909" s="2" t="s">
        <v>6760</v>
      </c>
      <c r="B909" s="2" t="s">
        <v>5144</v>
      </c>
      <c r="C909" s="2" t="s">
        <v>6496</v>
      </c>
      <c r="D909" s="2" t="s">
        <v>5158</v>
      </c>
      <c r="E909" s="2" t="s">
        <v>5159</v>
      </c>
      <c r="F909" s="2">
        <v>27.945</v>
      </c>
      <c r="G909" s="2">
        <v>3</v>
      </c>
      <c r="H909" s="2">
        <f>Tabla_Items_Con_Existencia[[#This Row],[COSTO]]*Tabla_Items_Con_Existencia[[#This Row],[EXISTENCIA]]</f>
        <v>83.835000000000008</v>
      </c>
      <c r="I909" s="1">
        <f>IF(ISERROR(MATCH(Tabla_Items_Con_Existencia[[#This Row],[CODIGO]],Tabla_Items_Activos[CODIGO],0)),0,1)</f>
        <v>0</v>
      </c>
    </row>
    <row r="910" spans="1:9">
      <c r="A910" s="2" t="s">
        <v>6760</v>
      </c>
      <c r="B910" s="2" t="s">
        <v>6497</v>
      </c>
      <c r="C910" s="2" t="s">
        <v>6498</v>
      </c>
      <c r="D910" s="2" t="s">
        <v>5158</v>
      </c>
      <c r="E910" s="2" t="s">
        <v>5159</v>
      </c>
      <c r="F910" s="2">
        <v>24.36</v>
      </c>
      <c r="G910" s="2">
        <v>1</v>
      </c>
      <c r="H910" s="2">
        <f>Tabla_Items_Con_Existencia[[#This Row],[COSTO]]*Tabla_Items_Con_Existencia[[#This Row],[EXISTENCIA]]</f>
        <v>24.36</v>
      </c>
      <c r="I910" s="1">
        <f>IF(ISERROR(MATCH(Tabla_Items_Con_Existencia[[#This Row],[CODIGO]],Tabla_Items_Activos[CODIGO],0)),0,1)</f>
        <v>0</v>
      </c>
    </row>
    <row r="911" spans="1:9">
      <c r="A911" s="2" t="s">
        <v>6760</v>
      </c>
      <c r="B911" s="2" t="s">
        <v>425</v>
      </c>
      <c r="C911" s="2" t="s">
        <v>1875</v>
      </c>
      <c r="D911" s="2" t="s">
        <v>5158</v>
      </c>
      <c r="E911" s="2" t="s">
        <v>5159</v>
      </c>
      <c r="F911" s="2">
        <v>25.766999999999999</v>
      </c>
      <c r="G911" s="2">
        <v>3</v>
      </c>
      <c r="H911" s="2">
        <f>Tabla_Items_Con_Existencia[[#This Row],[COSTO]]*Tabla_Items_Con_Existencia[[#This Row],[EXISTENCIA]]</f>
        <v>77.301000000000002</v>
      </c>
      <c r="I911" s="1">
        <f>IF(ISERROR(MATCH(Tabla_Items_Con_Existencia[[#This Row],[CODIGO]],Tabla_Items_Activos[CODIGO],0)),0,1)</f>
        <v>0</v>
      </c>
    </row>
    <row r="912" spans="1:9">
      <c r="A912" s="2" t="s">
        <v>6760</v>
      </c>
      <c r="B912" s="2" t="s">
        <v>5146</v>
      </c>
      <c r="C912" s="2" t="s">
        <v>5147</v>
      </c>
      <c r="D912" s="2" t="s">
        <v>5158</v>
      </c>
      <c r="E912" s="2" t="s">
        <v>5159</v>
      </c>
      <c r="F912" s="2">
        <v>31.9741</v>
      </c>
      <c r="G912" s="2">
        <v>5</v>
      </c>
      <c r="H912" s="2">
        <f>Tabla_Items_Con_Existencia[[#This Row],[COSTO]]*Tabla_Items_Con_Existencia[[#This Row],[EXISTENCIA]]</f>
        <v>159.87049999999999</v>
      </c>
      <c r="I912" s="1">
        <f>IF(ISERROR(MATCH(Tabla_Items_Con_Existencia[[#This Row],[CODIGO]],Tabla_Items_Activos[CODIGO],0)),0,1)</f>
        <v>0</v>
      </c>
    </row>
    <row r="913" spans="1:9">
      <c r="A913" s="2" t="s">
        <v>6760</v>
      </c>
      <c r="B913" s="2" t="s">
        <v>426</v>
      </c>
      <c r="C913" s="2" t="s">
        <v>1876</v>
      </c>
      <c r="D913" s="2" t="s">
        <v>5158</v>
      </c>
      <c r="E913" s="2" t="s">
        <v>5159</v>
      </c>
      <c r="F913" s="2">
        <v>48.805999999999997</v>
      </c>
      <c r="G913" s="2">
        <v>4</v>
      </c>
      <c r="H913" s="2">
        <f>Tabla_Items_Con_Existencia[[#This Row],[COSTO]]*Tabla_Items_Con_Existencia[[#This Row],[EXISTENCIA]]</f>
        <v>195.22399999999999</v>
      </c>
      <c r="I913" s="1">
        <f>IF(ISERROR(MATCH(Tabla_Items_Con_Existencia[[#This Row],[CODIGO]],Tabla_Items_Activos[CODIGO],0)),0,1)</f>
        <v>0</v>
      </c>
    </row>
    <row r="914" spans="1:9">
      <c r="A914" s="2" t="s">
        <v>6760</v>
      </c>
      <c r="B914" s="2" t="s">
        <v>1877</v>
      </c>
      <c r="C914" s="2" t="s">
        <v>1878</v>
      </c>
      <c r="D914" s="2" t="s">
        <v>5158</v>
      </c>
      <c r="E914" s="2" t="s">
        <v>5159</v>
      </c>
      <c r="F914" s="2">
        <v>31.655799999999999</v>
      </c>
      <c r="G914" s="2">
        <v>5</v>
      </c>
      <c r="H914" s="2">
        <f>Tabla_Items_Con_Existencia[[#This Row],[COSTO]]*Tabla_Items_Con_Existencia[[#This Row],[EXISTENCIA]]</f>
        <v>158.279</v>
      </c>
      <c r="I914" s="1">
        <f>IF(ISERROR(MATCH(Tabla_Items_Con_Existencia[[#This Row],[CODIGO]],Tabla_Items_Activos[CODIGO],0)),0,1)</f>
        <v>0</v>
      </c>
    </row>
    <row r="915" spans="1:9">
      <c r="A915" s="2" t="s">
        <v>6760</v>
      </c>
      <c r="B915" s="2" t="s">
        <v>6499</v>
      </c>
      <c r="C915" s="2" t="s">
        <v>4500</v>
      </c>
      <c r="D915" s="2" t="s">
        <v>5186</v>
      </c>
      <c r="E915" s="2" t="s">
        <v>5159</v>
      </c>
      <c r="F915" s="2">
        <v>27.93</v>
      </c>
      <c r="G915" s="2">
        <v>1</v>
      </c>
      <c r="H915" s="2">
        <f>Tabla_Items_Con_Existencia[[#This Row],[COSTO]]*Tabla_Items_Con_Existencia[[#This Row],[EXISTENCIA]]</f>
        <v>27.93</v>
      </c>
      <c r="I915" s="1">
        <f>IF(ISERROR(MATCH(Tabla_Items_Con_Existencia[[#This Row],[CODIGO]],Tabla_Items_Activos[CODIGO],0)),0,1)</f>
        <v>0</v>
      </c>
    </row>
    <row r="916" spans="1:9">
      <c r="A916" s="2" t="s">
        <v>6760</v>
      </c>
      <c r="B916" s="2" t="s">
        <v>6880</v>
      </c>
      <c r="C916" s="2" t="s">
        <v>6160</v>
      </c>
      <c r="D916" s="2" t="s">
        <v>5186</v>
      </c>
      <c r="E916" s="2" t="s">
        <v>5159</v>
      </c>
      <c r="F916" s="2">
        <v>33.28</v>
      </c>
      <c r="G916" s="2">
        <v>1</v>
      </c>
      <c r="H916" s="2">
        <f>Tabla_Items_Con_Existencia[[#This Row],[COSTO]]*Tabla_Items_Con_Existencia[[#This Row],[EXISTENCIA]]</f>
        <v>33.28</v>
      </c>
      <c r="I916" s="1">
        <f>IF(ISERROR(MATCH(Tabla_Items_Con_Existencia[[#This Row],[CODIGO]],Tabla_Items_Activos[CODIGO],0)),0,1)</f>
        <v>0</v>
      </c>
    </row>
    <row r="917" spans="1:9">
      <c r="A917" s="2" t="s">
        <v>6760</v>
      </c>
      <c r="B917" s="2" t="s">
        <v>5148</v>
      </c>
      <c r="C917" s="2" t="s">
        <v>4532</v>
      </c>
      <c r="D917" s="2" t="s">
        <v>5186</v>
      </c>
      <c r="E917" s="2" t="s">
        <v>5159</v>
      </c>
      <c r="F917" s="2">
        <v>63.686500000000002</v>
      </c>
      <c r="G917" s="2">
        <v>3</v>
      </c>
      <c r="H917" s="2">
        <f>Tabla_Items_Con_Existencia[[#This Row],[COSTO]]*Tabla_Items_Con_Existencia[[#This Row],[EXISTENCIA]]</f>
        <v>191.05950000000001</v>
      </c>
      <c r="I917" s="1">
        <f>IF(ISERROR(MATCH(Tabla_Items_Con_Existencia[[#This Row],[CODIGO]],Tabla_Items_Activos[CODIGO],0)),0,1)</f>
        <v>0</v>
      </c>
    </row>
    <row r="918" spans="1:9">
      <c r="A918" s="2" t="s">
        <v>6760</v>
      </c>
      <c r="B918" s="2" t="s">
        <v>427</v>
      </c>
      <c r="C918" s="2" t="s">
        <v>7326</v>
      </c>
      <c r="D918" s="2" t="s">
        <v>5158</v>
      </c>
      <c r="E918" s="2" t="s">
        <v>5159</v>
      </c>
      <c r="F918" s="2">
        <v>30.1096</v>
      </c>
      <c r="G918" s="2">
        <v>2</v>
      </c>
      <c r="H918" s="2">
        <f>Tabla_Items_Con_Existencia[[#This Row],[COSTO]]*Tabla_Items_Con_Existencia[[#This Row],[EXISTENCIA]]</f>
        <v>60.219200000000001</v>
      </c>
      <c r="I918" s="1">
        <f>IF(ISERROR(MATCH(Tabla_Items_Con_Existencia[[#This Row],[CODIGO]],Tabla_Items_Activos[CODIGO],0)),0,1)</f>
        <v>0</v>
      </c>
    </row>
    <row r="919" spans="1:9">
      <c r="A919" s="2" t="s">
        <v>6760</v>
      </c>
      <c r="B919" s="2" t="s">
        <v>428</v>
      </c>
      <c r="C919" s="2" t="s">
        <v>1880</v>
      </c>
      <c r="D919" s="2" t="s">
        <v>5186</v>
      </c>
      <c r="E919" s="2" t="s">
        <v>5159</v>
      </c>
      <c r="F919" s="2">
        <v>36.65</v>
      </c>
      <c r="G919" s="2">
        <v>2</v>
      </c>
      <c r="H919" s="2">
        <f>Tabla_Items_Con_Existencia[[#This Row],[COSTO]]*Tabla_Items_Con_Existencia[[#This Row],[EXISTENCIA]]</f>
        <v>73.3</v>
      </c>
      <c r="I919" s="1">
        <f>IF(ISERROR(MATCH(Tabla_Items_Con_Existencia[[#This Row],[CODIGO]],Tabla_Items_Activos[CODIGO],0)),0,1)</f>
        <v>0</v>
      </c>
    </row>
    <row r="920" spans="1:9">
      <c r="A920" s="2" t="s">
        <v>6760</v>
      </c>
      <c r="B920" s="2" t="s">
        <v>429</v>
      </c>
      <c r="C920" s="2" t="s">
        <v>1881</v>
      </c>
      <c r="D920" s="2" t="s">
        <v>5186</v>
      </c>
      <c r="E920" s="2" t="s">
        <v>5159</v>
      </c>
      <c r="F920" s="2">
        <v>36.65</v>
      </c>
      <c r="G920" s="2">
        <v>1</v>
      </c>
      <c r="H920" s="2">
        <f>Tabla_Items_Con_Existencia[[#This Row],[COSTO]]*Tabla_Items_Con_Existencia[[#This Row],[EXISTENCIA]]</f>
        <v>36.65</v>
      </c>
      <c r="I920" s="1">
        <f>IF(ISERROR(MATCH(Tabla_Items_Con_Existencia[[#This Row],[CODIGO]],Tabla_Items_Activos[CODIGO],0)),0,1)</f>
        <v>0</v>
      </c>
    </row>
    <row r="921" spans="1:9">
      <c r="A921" s="2" t="s">
        <v>6760</v>
      </c>
      <c r="B921" s="2" t="s">
        <v>430</v>
      </c>
      <c r="C921" s="2" t="s">
        <v>1882</v>
      </c>
      <c r="D921" s="2" t="s">
        <v>5158</v>
      </c>
      <c r="E921" s="2" t="s">
        <v>5159</v>
      </c>
      <c r="F921" s="2">
        <v>24.25926316</v>
      </c>
      <c r="G921" s="2">
        <v>22</v>
      </c>
      <c r="H921" s="2">
        <f>Tabla_Items_Con_Existencia[[#This Row],[COSTO]]*Tabla_Items_Con_Existencia[[#This Row],[EXISTENCIA]]</f>
        <v>533.70378951999999</v>
      </c>
      <c r="I921" s="1">
        <f>IF(ISERROR(MATCH(Tabla_Items_Con_Existencia[[#This Row],[CODIGO]],Tabla_Items_Activos[CODIGO],0)),0,1)</f>
        <v>0</v>
      </c>
    </row>
    <row r="922" spans="1:9">
      <c r="A922" s="2" t="s">
        <v>6761</v>
      </c>
      <c r="B922" s="2" t="s">
        <v>430</v>
      </c>
      <c r="C922" s="2" t="s">
        <v>1882</v>
      </c>
      <c r="D922" s="2" t="s">
        <v>5158</v>
      </c>
      <c r="E922" s="2" t="s">
        <v>5159</v>
      </c>
      <c r="F922" s="2">
        <v>24.25926316</v>
      </c>
      <c r="G922" s="2">
        <v>22</v>
      </c>
      <c r="H922" s="2">
        <f>Tabla_Items_Con_Existencia[[#This Row],[COSTO]]*Tabla_Items_Con_Existencia[[#This Row],[EXISTENCIA]]</f>
        <v>533.70378951999999</v>
      </c>
      <c r="I922" s="1">
        <f>IF(ISERROR(MATCH(Tabla_Items_Con_Existencia[[#This Row],[CODIGO]],Tabla_Items_Activos[CODIGO],0)),0,1)</f>
        <v>0</v>
      </c>
    </row>
    <row r="923" spans="1:9">
      <c r="A923" s="2" t="s">
        <v>6760</v>
      </c>
      <c r="B923" s="2" t="s">
        <v>1883</v>
      </c>
      <c r="C923" s="2" t="s">
        <v>1884</v>
      </c>
      <c r="D923" s="2" t="s">
        <v>5194</v>
      </c>
      <c r="E923" s="2" t="s">
        <v>5159</v>
      </c>
      <c r="F923" s="2">
        <v>31.45</v>
      </c>
      <c r="G923" s="2">
        <v>1</v>
      </c>
      <c r="H923" s="2">
        <f>Tabla_Items_Con_Existencia[[#This Row],[COSTO]]*Tabla_Items_Con_Existencia[[#This Row],[EXISTENCIA]]</f>
        <v>31.45</v>
      </c>
      <c r="I923" s="1">
        <f>IF(ISERROR(MATCH(Tabla_Items_Con_Existencia[[#This Row],[CODIGO]],Tabla_Items_Activos[CODIGO],0)),0,1)</f>
        <v>0</v>
      </c>
    </row>
    <row r="924" spans="1:9">
      <c r="A924" s="2" t="s">
        <v>6760</v>
      </c>
      <c r="B924" s="2" t="s">
        <v>431</v>
      </c>
      <c r="C924" s="2" t="s">
        <v>1885</v>
      </c>
      <c r="D924" s="2" t="s">
        <v>5188</v>
      </c>
      <c r="E924" s="2" t="s">
        <v>5159</v>
      </c>
      <c r="F924" s="2">
        <v>39.168999999999997</v>
      </c>
      <c r="G924" s="2">
        <v>3</v>
      </c>
      <c r="H924" s="2">
        <f>Tabla_Items_Con_Existencia[[#This Row],[COSTO]]*Tabla_Items_Con_Existencia[[#This Row],[EXISTENCIA]]</f>
        <v>117.50699999999999</v>
      </c>
      <c r="I924" s="1">
        <f>IF(ISERROR(MATCH(Tabla_Items_Con_Existencia[[#This Row],[CODIGO]],Tabla_Items_Activos[CODIGO],0)),0,1)</f>
        <v>0</v>
      </c>
    </row>
    <row r="925" spans="1:9">
      <c r="A925" s="2" t="s">
        <v>6760</v>
      </c>
      <c r="B925" s="2" t="s">
        <v>432</v>
      </c>
      <c r="C925" s="2" t="s">
        <v>1886</v>
      </c>
      <c r="D925" s="2" t="s">
        <v>5186</v>
      </c>
      <c r="E925" s="2" t="s">
        <v>5159</v>
      </c>
      <c r="F925" s="2">
        <v>71.180000000000007</v>
      </c>
      <c r="G925" s="2">
        <v>2</v>
      </c>
      <c r="H925" s="2">
        <f>Tabla_Items_Con_Existencia[[#This Row],[COSTO]]*Tabla_Items_Con_Existencia[[#This Row],[EXISTENCIA]]</f>
        <v>142.36000000000001</v>
      </c>
      <c r="I925" s="1">
        <f>IF(ISERROR(MATCH(Tabla_Items_Con_Existencia[[#This Row],[CODIGO]],Tabla_Items_Activos[CODIGO],0)),0,1)</f>
        <v>0</v>
      </c>
    </row>
    <row r="926" spans="1:9">
      <c r="A926" s="2" t="s">
        <v>6760</v>
      </c>
      <c r="B926" s="2" t="s">
        <v>433</v>
      </c>
      <c r="C926" s="2" t="s">
        <v>1887</v>
      </c>
      <c r="D926" s="2" t="s">
        <v>5186</v>
      </c>
      <c r="E926" s="2" t="s">
        <v>5159</v>
      </c>
      <c r="F926" s="2">
        <v>55.424705260000003</v>
      </c>
      <c r="G926" s="2">
        <v>8</v>
      </c>
      <c r="H926" s="2">
        <f>Tabla_Items_Con_Existencia[[#This Row],[COSTO]]*Tabla_Items_Con_Existencia[[#This Row],[EXISTENCIA]]</f>
        <v>443.39764208000003</v>
      </c>
      <c r="I926" s="1">
        <f>IF(ISERROR(MATCH(Tabla_Items_Con_Existencia[[#This Row],[CODIGO]],Tabla_Items_Activos[CODIGO],0)),0,1)</f>
        <v>0</v>
      </c>
    </row>
    <row r="927" spans="1:9">
      <c r="A927" s="2" t="s">
        <v>6761</v>
      </c>
      <c r="B927" s="2" t="s">
        <v>433</v>
      </c>
      <c r="C927" s="2" t="s">
        <v>1887</v>
      </c>
      <c r="D927" s="2" t="s">
        <v>5186</v>
      </c>
      <c r="E927" s="2" t="s">
        <v>5159</v>
      </c>
      <c r="F927" s="2">
        <v>55.424705260000003</v>
      </c>
      <c r="G927" s="2">
        <v>8</v>
      </c>
      <c r="H927" s="2">
        <f>Tabla_Items_Con_Existencia[[#This Row],[COSTO]]*Tabla_Items_Con_Existencia[[#This Row],[EXISTENCIA]]</f>
        <v>443.39764208000003</v>
      </c>
      <c r="I927" s="1">
        <f>IF(ISERROR(MATCH(Tabla_Items_Con_Existencia[[#This Row],[CODIGO]],Tabla_Items_Activos[CODIGO],0)),0,1)</f>
        <v>0</v>
      </c>
    </row>
    <row r="928" spans="1:9">
      <c r="A928" s="2" t="s">
        <v>6760</v>
      </c>
      <c r="B928" s="2" t="s">
        <v>6500</v>
      </c>
      <c r="C928" s="2" t="s">
        <v>4877</v>
      </c>
      <c r="D928" s="2" t="s">
        <v>5201</v>
      </c>
      <c r="E928" s="2" t="s">
        <v>5159</v>
      </c>
      <c r="F928" s="2">
        <v>31.32</v>
      </c>
      <c r="G928" s="2">
        <v>4</v>
      </c>
      <c r="H928" s="2">
        <f>Tabla_Items_Con_Existencia[[#This Row],[COSTO]]*Tabla_Items_Con_Existencia[[#This Row],[EXISTENCIA]]</f>
        <v>125.28</v>
      </c>
      <c r="I928" s="1">
        <f>IF(ISERROR(MATCH(Tabla_Items_Con_Existencia[[#This Row],[CODIGO]],Tabla_Items_Activos[CODIGO],0)),0,1)</f>
        <v>0</v>
      </c>
    </row>
    <row r="929" spans="1:9">
      <c r="A929" s="2" t="s">
        <v>6760</v>
      </c>
      <c r="B929" s="2" t="s">
        <v>434</v>
      </c>
      <c r="C929" s="2" t="s">
        <v>1888</v>
      </c>
      <c r="D929" s="2" t="s">
        <v>5158</v>
      </c>
      <c r="E929" s="2" t="s">
        <v>5159</v>
      </c>
      <c r="F929" s="2">
        <v>21.36</v>
      </c>
      <c r="G929" s="2">
        <v>2</v>
      </c>
      <c r="H929" s="2">
        <f>Tabla_Items_Con_Existencia[[#This Row],[COSTO]]*Tabla_Items_Con_Existencia[[#This Row],[EXISTENCIA]]</f>
        <v>42.72</v>
      </c>
      <c r="I929" s="1">
        <f>IF(ISERROR(MATCH(Tabla_Items_Con_Existencia[[#This Row],[CODIGO]],Tabla_Items_Activos[CODIGO],0)),0,1)</f>
        <v>0</v>
      </c>
    </row>
    <row r="930" spans="1:9">
      <c r="A930" s="2" t="s">
        <v>6760</v>
      </c>
      <c r="B930" s="2" t="s">
        <v>435</v>
      </c>
      <c r="C930" s="2" t="s">
        <v>1889</v>
      </c>
      <c r="D930" s="2" t="s">
        <v>5158</v>
      </c>
      <c r="E930" s="2" t="s">
        <v>5159</v>
      </c>
      <c r="F930" s="2">
        <v>23.087</v>
      </c>
      <c r="G930" s="2">
        <v>2</v>
      </c>
      <c r="H930" s="2">
        <f>Tabla_Items_Con_Existencia[[#This Row],[COSTO]]*Tabla_Items_Con_Existencia[[#This Row],[EXISTENCIA]]</f>
        <v>46.173999999999999</v>
      </c>
      <c r="I930" s="1">
        <f>IF(ISERROR(MATCH(Tabla_Items_Con_Existencia[[#This Row],[CODIGO]],Tabla_Items_Activos[CODIGO],0)),0,1)</f>
        <v>0</v>
      </c>
    </row>
    <row r="931" spans="1:9">
      <c r="A931" s="2" t="s">
        <v>6760</v>
      </c>
      <c r="B931" s="2" t="s">
        <v>436</v>
      </c>
      <c r="C931" s="2" t="s">
        <v>1890</v>
      </c>
      <c r="D931" s="2" t="s">
        <v>5158</v>
      </c>
      <c r="E931" s="2" t="s">
        <v>5159</v>
      </c>
      <c r="F931" s="2">
        <v>22.64</v>
      </c>
      <c r="G931" s="2">
        <v>7</v>
      </c>
      <c r="H931" s="2">
        <f>Tabla_Items_Con_Existencia[[#This Row],[COSTO]]*Tabla_Items_Con_Existencia[[#This Row],[EXISTENCIA]]</f>
        <v>158.48000000000002</v>
      </c>
      <c r="I931" s="1">
        <f>IF(ISERROR(MATCH(Tabla_Items_Con_Existencia[[#This Row],[CODIGO]],Tabla_Items_Activos[CODIGO],0)),0,1)</f>
        <v>0</v>
      </c>
    </row>
    <row r="932" spans="1:9">
      <c r="A932" s="2" t="s">
        <v>6760</v>
      </c>
      <c r="B932" s="2" t="s">
        <v>1891</v>
      </c>
      <c r="C932" s="2" t="s">
        <v>1892</v>
      </c>
      <c r="D932" s="2" t="s">
        <v>5158</v>
      </c>
      <c r="E932" s="2" t="s">
        <v>5159</v>
      </c>
      <c r="F932" s="2">
        <v>30.537600000000001</v>
      </c>
      <c r="G932" s="2">
        <v>28</v>
      </c>
      <c r="H932" s="2">
        <f>Tabla_Items_Con_Existencia[[#This Row],[COSTO]]*Tabla_Items_Con_Existencia[[#This Row],[EXISTENCIA]]</f>
        <v>855.05280000000005</v>
      </c>
      <c r="I932" s="1">
        <f>IF(ISERROR(MATCH(Tabla_Items_Con_Existencia[[#This Row],[CODIGO]],Tabla_Items_Activos[CODIGO],0)),0,1)</f>
        <v>0</v>
      </c>
    </row>
    <row r="933" spans="1:9">
      <c r="A933" s="2" t="s">
        <v>6760</v>
      </c>
      <c r="B933" s="2" t="s">
        <v>6501</v>
      </c>
      <c r="C933" s="2" t="s">
        <v>6502</v>
      </c>
      <c r="D933" s="2" t="s">
        <v>5158</v>
      </c>
      <c r="E933" s="2" t="s">
        <v>5159</v>
      </c>
      <c r="F933" s="2">
        <v>39.603000000000002</v>
      </c>
      <c r="G933" s="2">
        <v>1</v>
      </c>
      <c r="H933" s="2">
        <f>Tabla_Items_Con_Existencia[[#This Row],[COSTO]]*Tabla_Items_Con_Existencia[[#This Row],[EXISTENCIA]]</f>
        <v>39.603000000000002</v>
      </c>
      <c r="I933" s="1">
        <f>IF(ISERROR(MATCH(Tabla_Items_Con_Existencia[[#This Row],[CODIGO]],Tabla_Items_Activos[CODIGO],0)),0,1)</f>
        <v>0</v>
      </c>
    </row>
    <row r="934" spans="1:9">
      <c r="A934" s="2" t="s">
        <v>6760</v>
      </c>
      <c r="B934" s="2" t="s">
        <v>437</v>
      </c>
      <c r="C934" s="2" t="s">
        <v>1893</v>
      </c>
      <c r="D934" s="2" t="s">
        <v>5158</v>
      </c>
      <c r="E934" s="2" t="s">
        <v>5159</v>
      </c>
      <c r="F934" s="2">
        <v>35.170999999999999</v>
      </c>
      <c r="G934" s="2">
        <v>13</v>
      </c>
      <c r="H934" s="2">
        <f>Tabla_Items_Con_Existencia[[#This Row],[COSTO]]*Tabla_Items_Con_Existencia[[#This Row],[EXISTENCIA]]</f>
        <v>457.22300000000001</v>
      </c>
      <c r="I934" s="1">
        <f>IF(ISERROR(MATCH(Tabla_Items_Con_Existencia[[#This Row],[CODIGO]],Tabla_Items_Activos[CODIGO],0)),0,1)</f>
        <v>0</v>
      </c>
    </row>
    <row r="935" spans="1:9">
      <c r="A935" s="2" t="s">
        <v>6760</v>
      </c>
      <c r="B935" s="2" t="s">
        <v>438</v>
      </c>
      <c r="C935" s="2" t="s">
        <v>1894</v>
      </c>
      <c r="D935" s="2" t="s">
        <v>5158</v>
      </c>
      <c r="E935" s="2" t="s">
        <v>5159</v>
      </c>
      <c r="F935" s="2">
        <v>31.209684209999999</v>
      </c>
      <c r="G935" s="2">
        <v>36</v>
      </c>
      <c r="H935" s="2">
        <f>Tabla_Items_Con_Existencia[[#This Row],[COSTO]]*Tabla_Items_Con_Existencia[[#This Row],[EXISTENCIA]]</f>
        <v>1123.5486315599999</v>
      </c>
      <c r="I935" s="1">
        <f>IF(ISERROR(MATCH(Tabla_Items_Con_Existencia[[#This Row],[CODIGO]],Tabla_Items_Activos[CODIGO],0)),0,1)</f>
        <v>0</v>
      </c>
    </row>
    <row r="936" spans="1:9">
      <c r="A936" s="2" t="s">
        <v>6761</v>
      </c>
      <c r="B936" s="2" t="s">
        <v>438</v>
      </c>
      <c r="C936" s="2" t="s">
        <v>1894</v>
      </c>
      <c r="D936" s="2" t="s">
        <v>5158</v>
      </c>
      <c r="E936" s="2" t="s">
        <v>5159</v>
      </c>
      <c r="F936" s="2">
        <v>31.209684209999999</v>
      </c>
      <c r="G936" s="2">
        <v>36</v>
      </c>
      <c r="H936" s="2">
        <f>Tabla_Items_Con_Existencia[[#This Row],[COSTO]]*Tabla_Items_Con_Existencia[[#This Row],[EXISTENCIA]]</f>
        <v>1123.5486315599999</v>
      </c>
      <c r="I936" s="1">
        <f>IF(ISERROR(MATCH(Tabla_Items_Con_Existencia[[#This Row],[CODIGO]],Tabla_Items_Activos[CODIGO],0)),0,1)</f>
        <v>0</v>
      </c>
    </row>
    <row r="937" spans="1:9">
      <c r="A937" s="2" t="s">
        <v>6760</v>
      </c>
      <c r="B937" s="2" t="s">
        <v>439</v>
      </c>
      <c r="C937" s="2" t="s">
        <v>6881</v>
      </c>
      <c r="D937" s="2" t="s">
        <v>5158</v>
      </c>
      <c r="E937" s="2" t="s">
        <v>5159</v>
      </c>
      <c r="F937" s="2">
        <v>34.409999999999997</v>
      </c>
      <c r="G937" s="2">
        <v>4</v>
      </c>
      <c r="H937" s="2">
        <f>Tabla_Items_Con_Existencia[[#This Row],[COSTO]]*Tabla_Items_Con_Existencia[[#This Row],[EXISTENCIA]]</f>
        <v>137.63999999999999</v>
      </c>
      <c r="I937" s="1">
        <f>IF(ISERROR(MATCH(Tabla_Items_Con_Existencia[[#This Row],[CODIGO]],Tabla_Items_Activos[CODIGO],0)),0,1)</f>
        <v>0</v>
      </c>
    </row>
    <row r="938" spans="1:9">
      <c r="A938" s="2" t="s">
        <v>6760</v>
      </c>
      <c r="B938" s="2" t="s">
        <v>440</v>
      </c>
      <c r="C938" s="2" t="s">
        <v>1895</v>
      </c>
      <c r="D938" s="2" t="s">
        <v>5194</v>
      </c>
      <c r="E938" s="2" t="s">
        <v>5159</v>
      </c>
      <c r="F938" s="2">
        <v>26.795000000000002</v>
      </c>
      <c r="G938" s="2">
        <v>2</v>
      </c>
      <c r="H938" s="2">
        <f>Tabla_Items_Con_Existencia[[#This Row],[COSTO]]*Tabla_Items_Con_Existencia[[#This Row],[EXISTENCIA]]</f>
        <v>53.59</v>
      </c>
      <c r="I938" s="1">
        <f>IF(ISERROR(MATCH(Tabla_Items_Con_Existencia[[#This Row],[CODIGO]],Tabla_Items_Activos[CODIGO],0)),0,1)</f>
        <v>0</v>
      </c>
    </row>
    <row r="939" spans="1:9">
      <c r="A939" s="2" t="s">
        <v>6760</v>
      </c>
      <c r="B939" s="2" t="s">
        <v>1896</v>
      </c>
      <c r="C939" s="2" t="s">
        <v>1897</v>
      </c>
      <c r="D939" s="2" t="s">
        <v>5186</v>
      </c>
      <c r="E939" s="2" t="s">
        <v>5159</v>
      </c>
      <c r="F939" s="2">
        <v>27.78</v>
      </c>
      <c r="G939" s="2">
        <v>1</v>
      </c>
      <c r="H939" s="2">
        <f>Tabla_Items_Con_Existencia[[#This Row],[COSTO]]*Tabla_Items_Con_Existencia[[#This Row],[EXISTENCIA]]</f>
        <v>27.78</v>
      </c>
      <c r="I939" s="1">
        <f>IF(ISERROR(MATCH(Tabla_Items_Con_Existencia[[#This Row],[CODIGO]],Tabla_Items_Activos[CODIGO],0)),0,1)</f>
        <v>0</v>
      </c>
    </row>
    <row r="940" spans="1:9">
      <c r="A940" s="2" t="s">
        <v>6760</v>
      </c>
      <c r="B940" s="2" t="s">
        <v>6882</v>
      </c>
      <c r="C940" s="2" t="s">
        <v>4559</v>
      </c>
      <c r="D940" s="2" t="s">
        <v>5186</v>
      </c>
      <c r="E940" s="2" t="s">
        <v>5159</v>
      </c>
      <c r="F940" s="2">
        <v>34.744705260000003</v>
      </c>
      <c r="G940" s="2">
        <v>4</v>
      </c>
      <c r="H940" s="2">
        <f>Tabla_Items_Con_Existencia[[#This Row],[COSTO]]*Tabla_Items_Con_Existencia[[#This Row],[EXISTENCIA]]</f>
        <v>138.97882104000001</v>
      </c>
      <c r="I940" s="1">
        <f>IF(ISERROR(MATCH(Tabla_Items_Con_Existencia[[#This Row],[CODIGO]],Tabla_Items_Activos[CODIGO],0)),0,1)</f>
        <v>0</v>
      </c>
    </row>
    <row r="941" spans="1:9">
      <c r="A941" s="2" t="s">
        <v>6761</v>
      </c>
      <c r="B941" s="2" t="s">
        <v>6882</v>
      </c>
      <c r="C941" s="2" t="s">
        <v>4559</v>
      </c>
      <c r="D941" s="2" t="s">
        <v>5186</v>
      </c>
      <c r="E941" s="2" t="s">
        <v>5159</v>
      </c>
      <c r="F941" s="2">
        <v>34.744705260000003</v>
      </c>
      <c r="G941" s="2">
        <v>4</v>
      </c>
      <c r="H941" s="2">
        <f>Tabla_Items_Con_Existencia[[#This Row],[COSTO]]*Tabla_Items_Con_Existencia[[#This Row],[EXISTENCIA]]</f>
        <v>138.97882104000001</v>
      </c>
      <c r="I941" s="1">
        <f>IF(ISERROR(MATCH(Tabla_Items_Con_Existencia[[#This Row],[CODIGO]],Tabla_Items_Activos[CODIGO],0)),0,1)</f>
        <v>0</v>
      </c>
    </row>
    <row r="942" spans="1:9">
      <c r="A942" s="2" t="s">
        <v>6761</v>
      </c>
      <c r="B942" s="2" t="s">
        <v>441</v>
      </c>
      <c r="C942" s="2" t="s">
        <v>1898</v>
      </c>
      <c r="D942" s="2" t="s">
        <v>5161</v>
      </c>
      <c r="E942" s="2" t="s">
        <v>5159</v>
      </c>
      <c r="F942" s="2">
        <v>28.204526319999999</v>
      </c>
      <c r="G942" s="2">
        <v>7</v>
      </c>
      <c r="H942" s="2">
        <f>Tabla_Items_Con_Existencia[[#This Row],[COSTO]]*Tabla_Items_Con_Existencia[[#This Row],[EXISTENCIA]]</f>
        <v>197.43168423999998</v>
      </c>
      <c r="I942" s="1">
        <f>IF(ISERROR(MATCH(Tabla_Items_Con_Existencia[[#This Row],[CODIGO]],Tabla_Items_Activos[CODIGO],0)),0,1)</f>
        <v>0</v>
      </c>
    </row>
    <row r="943" spans="1:9">
      <c r="A943" s="2" t="s">
        <v>6760</v>
      </c>
      <c r="B943" s="2" t="s">
        <v>441</v>
      </c>
      <c r="C943" s="2" t="s">
        <v>1898</v>
      </c>
      <c r="D943" s="2" t="s">
        <v>5161</v>
      </c>
      <c r="E943" s="2" t="s">
        <v>5159</v>
      </c>
      <c r="F943" s="2">
        <v>28.204526319999999</v>
      </c>
      <c r="G943" s="2">
        <v>7</v>
      </c>
      <c r="H943" s="2">
        <f>Tabla_Items_Con_Existencia[[#This Row],[COSTO]]*Tabla_Items_Con_Existencia[[#This Row],[EXISTENCIA]]</f>
        <v>197.43168423999998</v>
      </c>
      <c r="I943" s="1">
        <f>IF(ISERROR(MATCH(Tabla_Items_Con_Existencia[[#This Row],[CODIGO]],Tabla_Items_Activos[CODIGO],0)),0,1)</f>
        <v>0</v>
      </c>
    </row>
    <row r="944" spans="1:9">
      <c r="A944" s="2" t="s">
        <v>6760</v>
      </c>
      <c r="B944" s="2" t="s">
        <v>6503</v>
      </c>
      <c r="C944" s="2" t="s">
        <v>4812</v>
      </c>
      <c r="D944" s="2" t="s">
        <v>5194</v>
      </c>
      <c r="E944" s="2" t="s">
        <v>5159</v>
      </c>
      <c r="F944" s="2">
        <v>35.31</v>
      </c>
      <c r="G944" s="2">
        <v>1</v>
      </c>
      <c r="H944" s="2">
        <f>Tabla_Items_Con_Existencia[[#This Row],[COSTO]]*Tabla_Items_Con_Existencia[[#This Row],[EXISTENCIA]]</f>
        <v>35.31</v>
      </c>
      <c r="I944" s="1">
        <f>IF(ISERROR(MATCH(Tabla_Items_Con_Existencia[[#This Row],[CODIGO]],Tabla_Items_Activos[CODIGO],0)),0,1)</f>
        <v>0</v>
      </c>
    </row>
    <row r="945" spans="1:9">
      <c r="A945" s="2" t="s">
        <v>6760</v>
      </c>
      <c r="B945" s="2" t="s">
        <v>6504</v>
      </c>
      <c r="C945" s="2" t="s">
        <v>4265</v>
      </c>
      <c r="D945" s="2" t="s">
        <v>5158</v>
      </c>
      <c r="E945" s="2" t="s">
        <v>5159</v>
      </c>
      <c r="F945" s="2">
        <v>32.725000000000001</v>
      </c>
      <c r="G945" s="2">
        <v>1</v>
      </c>
      <c r="H945" s="2">
        <f>Tabla_Items_Con_Existencia[[#This Row],[COSTO]]*Tabla_Items_Con_Existencia[[#This Row],[EXISTENCIA]]</f>
        <v>32.725000000000001</v>
      </c>
      <c r="I945" s="1">
        <f>IF(ISERROR(MATCH(Tabla_Items_Con_Existencia[[#This Row],[CODIGO]],Tabla_Items_Activos[CODIGO],0)),0,1)</f>
        <v>0</v>
      </c>
    </row>
    <row r="946" spans="1:9">
      <c r="A946" s="2" t="s">
        <v>6760</v>
      </c>
      <c r="B946" s="2" t="s">
        <v>1899</v>
      </c>
      <c r="C946" s="2" t="s">
        <v>1900</v>
      </c>
      <c r="D946" s="2" t="s">
        <v>5158</v>
      </c>
      <c r="E946" s="2" t="s">
        <v>5159</v>
      </c>
      <c r="F946" s="2">
        <v>0</v>
      </c>
      <c r="G946" s="2">
        <v>1</v>
      </c>
      <c r="H946" s="2">
        <f>Tabla_Items_Con_Existencia[[#This Row],[COSTO]]*Tabla_Items_Con_Existencia[[#This Row],[EXISTENCIA]]</f>
        <v>0</v>
      </c>
      <c r="I946" s="1">
        <f>IF(ISERROR(MATCH(Tabla_Items_Con_Existencia[[#This Row],[CODIGO]],Tabla_Items_Activos[CODIGO],0)),0,1)</f>
        <v>0</v>
      </c>
    </row>
    <row r="947" spans="1:9">
      <c r="A947" s="2" t="s">
        <v>6760</v>
      </c>
      <c r="B947" s="2" t="s">
        <v>6505</v>
      </c>
      <c r="C947" s="2" t="s">
        <v>4569</v>
      </c>
      <c r="D947" s="2" t="s">
        <v>5186</v>
      </c>
      <c r="E947" s="2" t="s">
        <v>5159</v>
      </c>
      <c r="F947" s="2">
        <v>2.46</v>
      </c>
      <c r="G947" s="2">
        <v>1</v>
      </c>
      <c r="H947" s="2">
        <f>Tabla_Items_Con_Existencia[[#This Row],[COSTO]]*Tabla_Items_Con_Existencia[[#This Row],[EXISTENCIA]]</f>
        <v>2.46</v>
      </c>
      <c r="I947" s="1">
        <f>IF(ISERROR(MATCH(Tabla_Items_Con_Existencia[[#This Row],[CODIGO]],Tabla_Items_Activos[CODIGO],0)),0,1)</f>
        <v>0</v>
      </c>
    </row>
    <row r="948" spans="1:9">
      <c r="A948" s="2" t="s">
        <v>6760</v>
      </c>
      <c r="B948" s="2" t="s">
        <v>443</v>
      </c>
      <c r="C948" s="2" t="s">
        <v>4771</v>
      </c>
      <c r="D948" s="2" t="s">
        <v>5158</v>
      </c>
      <c r="E948" s="2" t="s">
        <v>5159</v>
      </c>
      <c r="F948" s="2">
        <v>10.574999999999999</v>
      </c>
      <c r="G948" s="2">
        <v>3</v>
      </c>
      <c r="H948" s="2">
        <f>Tabla_Items_Con_Existencia[[#This Row],[COSTO]]*Tabla_Items_Con_Existencia[[#This Row],[EXISTENCIA]]</f>
        <v>31.724999999999998</v>
      </c>
      <c r="I948" s="1">
        <f>IF(ISERROR(MATCH(Tabla_Items_Con_Existencia[[#This Row],[CODIGO]],Tabla_Items_Activos[CODIGO],0)),0,1)</f>
        <v>0</v>
      </c>
    </row>
    <row r="949" spans="1:9">
      <c r="A949" s="2" t="s">
        <v>6760</v>
      </c>
      <c r="B949" s="2" t="s">
        <v>6883</v>
      </c>
      <c r="C949" s="2" t="s">
        <v>6884</v>
      </c>
      <c r="D949" s="2" t="s">
        <v>5158</v>
      </c>
      <c r="E949" s="2" t="s">
        <v>5159</v>
      </c>
      <c r="F949" s="2">
        <v>11.17</v>
      </c>
      <c r="G949" s="2">
        <v>2</v>
      </c>
      <c r="H949" s="2">
        <f>Tabla_Items_Con_Existencia[[#This Row],[COSTO]]*Tabla_Items_Con_Existencia[[#This Row],[EXISTENCIA]]</f>
        <v>22.34</v>
      </c>
      <c r="I949" s="1">
        <f>IF(ISERROR(MATCH(Tabla_Items_Con_Existencia[[#This Row],[CODIGO]],Tabla_Items_Activos[CODIGO],0)),0,1)</f>
        <v>0</v>
      </c>
    </row>
    <row r="950" spans="1:9">
      <c r="A950" s="2" t="s">
        <v>6760</v>
      </c>
      <c r="B950" s="2" t="s">
        <v>6885</v>
      </c>
      <c r="C950" s="2" t="s">
        <v>6223</v>
      </c>
      <c r="D950" s="2" t="s">
        <v>5158</v>
      </c>
      <c r="E950" s="2" t="s">
        <v>5159</v>
      </c>
      <c r="F950" s="2">
        <v>20.46</v>
      </c>
      <c r="G950" s="2">
        <v>1</v>
      </c>
      <c r="H950" s="2">
        <f>Tabla_Items_Con_Existencia[[#This Row],[COSTO]]*Tabla_Items_Con_Existencia[[#This Row],[EXISTENCIA]]</f>
        <v>20.46</v>
      </c>
      <c r="I950" s="1">
        <f>IF(ISERROR(MATCH(Tabla_Items_Con_Existencia[[#This Row],[CODIGO]],Tabla_Items_Activos[CODIGO],0)),0,1)</f>
        <v>0</v>
      </c>
    </row>
    <row r="951" spans="1:9">
      <c r="A951" s="2" t="s">
        <v>6760</v>
      </c>
      <c r="B951" s="2" t="s">
        <v>1901</v>
      </c>
      <c r="C951" s="2" t="s">
        <v>1902</v>
      </c>
      <c r="D951" s="2" t="s">
        <v>5158</v>
      </c>
      <c r="E951" s="2" t="s">
        <v>5159</v>
      </c>
      <c r="F951" s="2">
        <v>18.05</v>
      </c>
      <c r="G951" s="2">
        <v>5</v>
      </c>
      <c r="H951" s="2">
        <f>Tabla_Items_Con_Existencia[[#This Row],[COSTO]]*Tabla_Items_Con_Existencia[[#This Row],[EXISTENCIA]]</f>
        <v>90.25</v>
      </c>
      <c r="I951" s="1">
        <f>IF(ISERROR(MATCH(Tabla_Items_Con_Existencia[[#This Row],[CODIGO]],Tabla_Items_Activos[CODIGO],0)),0,1)</f>
        <v>0</v>
      </c>
    </row>
    <row r="952" spans="1:9">
      <c r="A952" s="2" t="s">
        <v>6760</v>
      </c>
      <c r="B952" s="2" t="s">
        <v>6506</v>
      </c>
      <c r="C952" s="2" t="s">
        <v>4658</v>
      </c>
      <c r="D952" s="2" t="s">
        <v>5158</v>
      </c>
      <c r="E952" s="2" t="s">
        <v>5159</v>
      </c>
      <c r="F952" s="2">
        <v>24.349</v>
      </c>
      <c r="G952" s="2">
        <v>5</v>
      </c>
      <c r="H952" s="2">
        <f>Tabla_Items_Con_Existencia[[#This Row],[COSTO]]*Tabla_Items_Con_Existencia[[#This Row],[EXISTENCIA]]</f>
        <v>121.745</v>
      </c>
      <c r="I952" s="1">
        <f>IF(ISERROR(MATCH(Tabla_Items_Con_Existencia[[#This Row],[CODIGO]],Tabla_Items_Activos[CODIGO],0)),0,1)</f>
        <v>0</v>
      </c>
    </row>
    <row r="953" spans="1:9">
      <c r="A953" s="2" t="s">
        <v>6760</v>
      </c>
      <c r="B953" s="2" t="s">
        <v>444</v>
      </c>
      <c r="C953" s="2" t="s">
        <v>1903</v>
      </c>
      <c r="D953" s="2" t="s">
        <v>5158</v>
      </c>
      <c r="E953" s="2" t="s">
        <v>5159</v>
      </c>
      <c r="F953" s="2">
        <v>0</v>
      </c>
      <c r="G953" s="2">
        <v>4</v>
      </c>
      <c r="H953" s="2">
        <f>Tabla_Items_Con_Existencia[[#This Row],[COSTO]]*Tabla_Items_Con_Existencia[[#This Row],[EXISTENCIA]]</f>
        <v>0</v>
      </c>
      <c r="I953" s="1">
        <f>IF(ISERROR(MATCH(Tabla_Items_Con_Existencia[[#This Row],[CODIGO]],Tabla_Items_Activos[CODIGO],0)),0,1)</f>
        <v>0</v>
      </c>
    </row>
    <row r="954" spans="1:9">
      <c r="A954" s="2" t="s">
        <v>6760</v>
      </c>
      <c r="B954" s="2" t="s">
        <v>5454</v>
      </c>
      <c r="C954" s="2" t="s">
        <v>5455</v>
      </c>
      <c r="D954" s="2" t="s">
        <v>5186</v>
      </c>
      <c r="E954" s="2" t="s">
        <v>5159</v>
      </c>
      <c r="F954" s="2">
        <v>16.420000000000002</v>
      </c>
      <c r="G954" s="2">
        <v>4</v>
      </c>
      <c r="H954" s="2">
        <f>Tabla_Items_Con_Existencia[[#This Row],[COSTO]]*Tabla_Items_Con_Existencia[[#This Row],[EXISTENCIA]]</f>
        <v>65.680000000000007</v>
      </c>
      <c r="I954" s="1">
        <f>IF(ISERROR(MATCH(Tabla_Items_Con_Existencia[[#This Row],[CODIGO]],Tabla_Items_Activos[CODIGO],0)),0,1)</f>
        <v>0</v>
      </c>
    </row>
    <row r="955" spans="1:9">
      <c r="A955" s="2" t="s">
        <v>6760</v>
      </c>
      <c r="B955" s="2" t="s">
        <v>6507</v>
      </c>
      <c r="C955" s="2" t="s">
        <v>4834</v>
      </c>
      <c r="D955" s="2" t="s">
        <v>5186</v>
      </c>
      <c r="E955" s="2" t="s">
        <v>5159</v>
      </c>
      <c r="F955" s="2">
        <v>25.42</v>
      </c>
      <c r="G955" s="2">
        <v>1</v>
      </c>
      <c r="H955" s="2">
        <f>Tabla_Items_Con_Existencia[[#This Row],[COSTO]]*Tabla_Items_Con_Existencia[[#This Row],[EXISTENCIA]]</f>
        <v>25.42</v>
      </c>
      <c r="I955" s="1">
        <f>IF(ISERROR(MATCH(Tabla_Items_Con_Existencia[[#This Row],[CODIGO]],Tabla_Items_Activos[CODIGO],0)),0,1)</f>
        <v>0</v>
      </c>
    </row>
    <row r="956" spans="1:9">
      <c r="A956" s="2" t="s">
        <v>6760</v>
      </c>
      <c r="B956" s="2" t="s">
        <v>1904</v>
      </c>
      <c r="C956" s="2" t="s">
        <v>1905</v>
      </c>
      <c r="D956" s="2" t="s">
        <v>5186</v>
      </c>
      <c r="E956" s="2" t="s">
        <v>5159</v>
      </c>
      <c r="F956" s="2">
        <v>23.472999999999999</v>
      </c>
      <c r="G956" s="2">
        <v>1</v>
      </c>
      <c r="H956" s="2">
        <f>Tabla_Items_Con_Existencia[[#This Row],[COSTO]]*Tabla_Items_Con_Existencia[[#This Row],[EXISTENCIA]]</f>
        <v>23.472999999999999</v>
      </c>
      <c r="I956" s="1">
        <f>IF(ISERROR(MATCH(Tabla_Items_Con_Existencia[[#This Row],[CODIGO]],Tabla_Items_Activos[CODIGO],0)),0,1)</f>
        <v>0</v>
      </c>
    </row>
    <row r="957" spans="1:9">
      <c r="A957" s="2" t="s">
        <v>6760</v>
      </c>
      <c r="B957" s="2" t="s">
        <v>445</v>
      </c>
      <c r="C957" s="2" t="s">
        <v>1906</v>
      </c>
      <c r="D957" s="2" t="s">
        <v>5158</v>
      </c>
      <c r="E957" s="2" t="s">
        <v>5159</v>
      </c>
      <c r="F957" s="2">
        <v>1.3029999999999999</v>
      </c>
      <c r="G957" s="2">
        <v>8</v>
      </c>
      <c r="H957" s="2">
        <f>Tabla_Items_Con_Existencia[[#This Row],[COSTO]]*Tabla_Items_Con_Existencia[[#This Row],[EXISTENCIA]]</f>
        <v>10.423999999999999</v>
      </c>
      <c r="I957" s="1">
        <f>IF(ISERROR(MATCH(Tabla_Items_Con_Existencia[[#This Row],[CODIGO]],Tabla_Items_Activos[CODIGO],0)),0,1)</f>
        <v>0</v>
      </c>
    </row>
    <row r="958" spans="1:9">
      <c r="A958" s="2" t="s">
        <v>6760</v>
      </c>
      <c r="B958" s="2" t="s">
        <v>446</v>
      </c>
      <c r="C958" s="2" t="s">
        <v>1907</v>
      </c>
      <c r="D958" s="2" t="s">
        <v>5186</v>
      </c>
      <c r="E958" s="2" t="s">
        <v>5159</v>
      </c>
      <c r="F958" s="2">
        <v>3.0467</v>
      </c>
      <c r="G958" s="2">
        <v>3</v>
      </c>
      <c r="H958" s="2">
        <f>Tabla_Items_Con_Existencia[[#This Row],[COSTO]]*Tabla_Items_Con_Existencia[[#This Row],[EXISTENCIA]]</f>
        <v>9.1401000000000003</v>
      </c>
      <c r="I958" s="1">
        <f>IF(ISERROR(MATCH(Tabla_Items_Con_Existencia[[#This Row],[CODIGO]],Tabla_Items_Activos[CODIGO],0)),0,1)</f>
        <v>0</v>
      </c>
    </row>
    <row r="959" spans="1:9">
      <c r="A959" s="2" t="s">
        <v>6760</v>
      </c>
      <c r="B959" s="2" t="s">
        <v>1908</v>
      </c>
      <c r="C959" s="2" t="s">
        <v>6508</v>
      </c>
      <c r="D959" s="2" t="s">
        <v>5158</v>
      </c>
      <c r="E959" s="2" t="s">
        <v>5159</v>
      </c>
      <c r="F959" s="2">
        <v>2.3450000000000002</v>
      </c>
      <c r="G959" s="2">
        <v>9</v>
      </c>
      <c r="H959" s="2">
        <f>Tabla_Items_Con_Existencia[[#This Row],[COSTO]]*Tabla_Items_Con_Existencia[[#This Row],[EXISTENCIA]]</f>
        <v>21.105</v>
      </c>
      <c r="I959" s="1">
        <f>IF(ISERROR(MATCH(Tabla_Items_Con_Existencia[[#This Row],[CODIGO]],Tabla_Items_Activos[CODIGO],0)),0,1)</f>
        <v>0</v>
      </c>
    </row>
    <row r="960" spans="1:9">
      <c r="A960" s="2" t="s">
        <v>6760</v>
      </c>
      <c r="B960" s="2" t="s">
        <v>6756</v>
      </c>
      <c r="C960" s="2" t="s">
        <v>6185</v>
      </c>
      <c r="D960" s="2" t="s">
        <v>5158</v>
      </c>
      <c r="E960" s="2" t="s">
        <v>5159</v>
      </c>
      <c r="F960" s="2">
        <v>15.734</v>
      </c>
      <c r="G960" s="2">
        <v>5</v>
      </c>
      <c r="H960" s="2">
        <f>Tabla_Items_Con_Existencia[[#This Row],[COSTO]]*Tabla_Items_Con_Existencia[[#This Row],[EXISTENCIA]]</f>
        <v>78.67</v>
      </c>
      <c r="I960" s="1">
        <f>IF(ISERROR(MATCH(Tabla_Items_Con_Existencia[[#This Row],[CODIGO]],Tabla_Items_Activos[CODIGO],0)),0,1)</f>
        <v>0</v>
      </c>
    </row>
    <row r="961" spans="1:9">
      <c r="A961" s="2" t="s">
        <v>6760</v>
      </c>
      <c r="B961" s="2" t="s">
        <v>448</v>
      </c>
      <c r="C961" s="2" t="s">
        <v>1910</v>
      </c>
      <c r="D961" s="2" t="s">
        <v>5158</v>
      </c>
      <c r="E961" s="2" t="s">
        <v>5159</v>
      </c>
      <c r="F961" s="2">
        <v>14.36</v>
      </c>
      <c r="G961" s="2">
        <v>2</v>
      </c>
      <c r="H961" s="2">
        <f>Tabla_Items_Con_Existencia[[#This Row],[COSTO]]*Tabla_Items_Con_Existencia[[#This Row],[EXISTENCIA]]</f>
        <v>28.72</v>
      </c>
      <c r="I961" s="1">
        <f>IF(ISERROR(MATCH(Tabla_Items_Con_Existencia[[#This Row],[CODIGO]],Tabla_Items_Activos[CODIGO],0)),0,1)</f>
        <v>0</v>
      </c>
    </row>
    <row r="962" spans="1:9">
      <c r="A962" s="2" t="s">
        <v>6760</v>
      </c>
      <c r="B962" s="2" t="s">
        <v>449</v>
      </c>
      <c r="C962" s="2" t="s">
        <v>6886</v>
      </c>
      <c r="D962" s="2" t="s">
        <v>5158</v>
      </c>
      <c r="E962" s="2" t="s">
        <v>5159</v>
      </c>
      <c r="F962" s="2">
        <v>2.36</v>
      </c>
      <c r="G962" s="2">
        <v>4</v>
      </c>
      <c r="H962" s="2">
        <f>Tabla_Items_Con_Existencia[[#This Row],[COSTO]]*Tabla_Items_Con_Existencia[[#This Row],[EXISTENCIA]]</f>
        <v>9.44</v>
      </c>
      <c r="I962" s="1">
        <f>IF(ISERROR(MATCH(Tabla_Items_Con_Existencia[[#This Row],[CODIGO]],Tabla_Items_Activos[CODIGO],0)),0,1)</f>
        <v>0</v>
      </c>
    </row>
    <row r="963" spans="1:9">
      <c r="A963" s="2" t="s">
        <v>6760</v>
      </c>
      <c r="B963" s="2" t="s">
        <v>6509</v>
      </c>
      <c r="C963" s="2" t="s">
        <v>4871</v>
      </c>
      <c r="D963" s="2" t="s">
        <v>5158</v>
      </c>
      <c r="E963" s="2" t="s">
        <v>5159</v>
      </c>
      <c r="F963" s="2">
        <v>3.8580000000000001</v>
      </c>
      <c r="G963" s="2">
        <v>2</v>
      </c>
      <c r="H963" s="2">
        <f>Tabla_Items_Con_Existencia[[#This Row],[COSTO]]*Tabla_Items_Con_Existencia[[#This Row],[EXISTENCIA]]</f>
        <v>7.7160000000000002</v>
      </c>
      <c r="I963" s="1">
        <f>IF(ISERROR(MATCH(Tabla_Items_Con_Existencia[[#This Row],[CODIGO]],Tabla_Items_Activos[CODIGO],0)),0,1)</f>
        <v>0</v>
      </c>
    </row>
    <row r="964" spans="1:9">
      <c r="A964" s="2" t="s">
        <v>6760</v>
      </c>
      <c r="B964" s="2" t="s">
        <v>450</v>
      </c>
      <c r="C964" s="2" t="s">
        <v>1912</v>
      </c>
      <c r="D964" s="2" t="s">
        <v>5158</v>
      </c>
      <c r="E964" s="2" t="s">
        <v>5159</v>
      </c>
      <c r="F964" s="2">
        <v>19.163873679999998</v>
      </c>
      <c r="G964" s="2">
        <v>7</v>
      </c>
      <c r="H964" s="2">
        <f>Tabla_Items_Con_Existencia[[#This Row],[COSTO]]*Tabla_Items_Con_Existencia[[#This Row],[EXISTENCIA]]</f>
        <v>134.14711575999999</v>
      </c>
      <c r="I964" s="1">
        <f>IF(ISERROR(MATCH(Tabla_Items_Con_Existencia[[#This Row],[CODIGO]],Tabla_Items_Activos[CODIGO],0)),0,1)</f>
        <v>0</v>
      </c>
    </row>
    <row r="965" spans="1:9">
      <c r="A965" s="2" t="s">
        <v>6761</v>
      </c>
      <c r="B965" s="2" t="s">
        <v>450</v>
      </c>
      <c r="C965" s="2" t="s">
        <v>1912</v>
      </c>
      <c r="D965" s="2" t="s">
        <v>5158</v>
      </c>
      <c r="E965" s="2" t="s">
        <v>5159</v>
      </c>
      <c r="F965" s="2">
        <v>19.163873679999998</v>
      </c>
      <c r="G965" s="2">
        <v>7</v>
      </c>
      <c r="H965" s="2">
        <f>Tabla_Items_Con_Existencia[[#This Row],[COSTO]]*Tabla_Items_Con_Existencia[[#This Row],[EXISTENCIA]]</f>
        <v>134.14711575999999</v>
      </c>
      <c r="I965" s="1">
        <f>IF(ISERROR(MATCH(Tabla_Items_Con_Existencia[[#This Row],[CODIGO]],Tabla_Items_Activos[CODIGO],0)),0,1)</f>
        <v>0</v>
      </c>
    </row>
    <row r="966" spans="1:9">
      <c r="A966" s="2" t="s">
        <v>6761</v>
      </c>
      <c r="B966" s="2" t="s">
        <v>451</v>
      </c>
      <c r="C966" s="2" t="s">
        <v>1913</v>
      </c>
      <c r="D966" s="2" t="s">
        <v>5158</v>
      </c>
      <c r="E966" s="2" t="s">
        <v>5159</v>
      </c>
      <c r="F966" s="2">
        <v>17.081263159999999</v>
      </c>
      <c r="G966" s="2">
        <v>20</v>
      </c>
      <c r="H966" s="2">
        <f>Tabla_Items_Con_Existencia[[#This Row],[COSTO]]*Tabla_Items_Con_Existencia[[#This Row],[EXISTENCIA]]</f>
        <v>341.62526319999995</v>
      </c>
      <c r="I966" s="1">
        <f>IF(ISERROR(MATCH(Tabla_Items_Con_Existencia[[#This Row],[CODIGO]],Tabla_Items_Activos[CODIGO],0)),0,1)</f>
        <v>0</v>
      </c>
    </row>
    <row r="967" spans="1:9">
      <c r="A967" s="2" t="s">
        <v>6760</v>
      </c>
      <c r="B967" s="2" t="s">
        <v>451</v>
      </c>
      <c r="C967" s="2" t="s">
        <v>1913</v>
      </c>
      <c r="D967" s="2" t="s">
        <v>5158</v>
      </c>
      <c r="E967" s="2" t="s">
        <v>5159</v>
      </c>
      <c r="F967" s="2">
        <v>17.081263159999999</v>
      </c>
      <c r="G967" s="2">
        <v>20</v>
      </c>
      <c r="H967" s="2">
        <f>Tabla_Items_Con_Existencia[[#This Row],[COSTO]]*Tabla_Items_Con_Existencia[[#This Row],[EXISTENCIA]]</f>
        <v>341.62526319999995</v>
      </c>
      <c r="I967" s="1">
        <f>IF(ISERROR(MATCH(Tabla_Items_Con_Existencia[[#This Row],[CODIGO]],Tabla_Items_Activos[CODIGO],0)),0,1)</f>
        <v>0</v>
      </c>
    </row>
    <row r="968" spans="1:9">
      <c r="A968" s="2" t="s">
        <v>6760</v>
      </c>
      <c r="B968" s="2" t="s">
        <v>452</v>
      </c>
      <c r="C968" s="2" t="s">
        <v>1914</v>
      </c>
      <c r="D968" s="2" t="s">
        <v>5158</v>
      </c>
      <c r="E968" s="2" t="s">
        <v>5159</v>
      </c>
      <c r="F968" s="2">
        <v>22.0945</v>
      </c>
      <c r="G968" s="2">
        <v>10</v>
      </c>
      <c r="H968" s="2">
        <f>Tabla_Items_Con_Existencia[[#This Row],[COSTO]]*Tabla_Items_Con_Existencia[[#This Row],[EXISTENCIA]]</f>
        <v>220.94499999999999</v>
      </c>
      <c r="I968" s="1">
        <f>IF(ISERROR(MATCH(Tabla_Items_Con_Existencia[[#This Row],[CODIGO]],Tabla_Items_Activos[CODIGO],0)),0,1)</f>
        <v>0</v>
      </c>
    </row>
    <row r="969" spans="1:9">
      <c r="A969" s="2" t="s">
        <v>6760</v>
      </c>
      <c r="B969" s="2" t="s">
        <v>453</v>
      </c>
      <c r="C969" s="2" t="s">
        <v>1915</v>
      </c>
      <c r="D969" s="2" t="s">
        <v>5158</v>
      </c>
      <c r="E969" s="2" t="s">
        <v>5159</v>
      </c>
      <c r="F969" s="2">
        <v>16.604900000000001</v>
      </c>
      <c r="G969" s="2">
        <v>14</v>
      </c>
      <c r="H969" s="2">
        <f>Tabla_Items_Con_Existencia[[#This Row],[COSTO]]*Tabla_Items_Con_Existencia[[#This Row],[EXISTENCIA]]</f>
        <v>232.46860000000001</v>
      </c>
      <c r="I969" s="1">
        <f>IF(ISERROR(MATCH(Tabla_Items_Con_Existencia[[#This Row],[CODIGO]],Tabla_Items_Activos[CODIGO],0)),0,1)</f>
        <v>0</v>
      </c>
    </row>
    <row r="970" spans="1:9">
      <c r="A970" s="2" t="s">
        <v>6760</v>
      </c>
      <c r="B970" s="2" t="s">
        <v>7229</v>
      </c>
      <c r="C970" s="2" t="s">
        <v>7230</v>
      </c>
      <c r="D970" s="2" t="s">
        <v>5186</v>
      </c>
      <c r="E970" s="2" t="s">
        <v>5159</v>
      </c>
      <c r="F970" s="2">
        <v>0</v>
      </c>
      <c r="G970" s="2">
        <v>1</v>
      </c>
      <c r="H970" s="2">
        <f>Tabla_Items_Con_Existencia[[#This Row],[COSTO]]*Tabla_Items_Con_Existencia[[#This Row],[EXISTENCIA]]</f>
        <v>0</v>
      </c>
      <c r="I970" s="1">
        <f>IF(ISERROR(MATCH(Tabla_Items_Con_Existencia[[#This Row],[CODIGO]],Tabla_Items_Activos[CODIGO],0)),0,1)</f>
        <v>0</v>
      </c>
    </row>
    <row r="971" spans="1:9">
      <c r="A971" s="2" t="s">
        <v>6760</v>
      </c>
      <c r="B971" s="2" t="s">
        <v>6510</v>
      </c>
      <c r="C971" s="2" t="s">
        <v>6511</v>
      </c>
      <c r="D971" s="2" t="s">
        <v>5158</v>
      </c>
      <c r="E971" s="2" t="s">
        <v>5159</v>
      </c>
      <c r="F971" s="2">
        <v>15.154999999999999</v>
      </c>
      <c r="G971" s="2">
        <v>2</v>
      </c>
      <c r="H971" s="2">
        <f>Tabla_Items_Con_Existencia[[#This Row],[COSTO]]*Tabla_Items_Con_Existencia[[#This Row],[EXISTENCIA]]</f>
        <v>30.31</v>
      </c>
      <c r="I971" s="1">
        <f>IF(ISERROR(MATCH(Tabla_Items_Con_Existencia[[#This Row],[CODIGO]],Tabla_Items_Activos[CODIGO],0)),0,1)</f>
        <v>0</v>
      </c>
    </row>
    <row r="972" spans="1:9">
      <c r="A972" s="2" t="s">
        <v>6760</v>
      </c>
      <c r="B972" s="2" t="s">
        <v>1916</v>
      </c>
      <c r="C972" s="2" t="s">
        <v>1917</v>
      </c>
      <c r="D972" s="2" t="s">
        <v>5158</v>
      </c>
      <c r="E972" s="2" t="s">
        <v>5159</v>
      </c>
      <c r="F972" s="2">
        <v>8.8427000000000007</v>
      </c>
      <c r="G972" s="2">
        <v>36</v>
      </c>
      <c r="H972" s="2">
        <f>Tabla_Items_Con_Existencia[[#This Row],[COSTO]]*Tabla_Items_Con_Existencia[[#This Row],[EXISTENCIA]]</f>
        <v>318.33720000000005</v>
      </c>
      <c r="I972" s="1">
        <f>IF(ISERROR(MATCH(Tabla_Items_Con_Existencia[[#This Row],[CODIGO]],Tabla_Items_Activos[CODIGO],0)),0,1)</f>
        <v>0</v>
      </c>
    </row>
    <row r="973" spans="1:9">
      <c r="A973" s="2" t="s">
        <v>6760</v>
      </c>
      <c r="B973" s="2" t="s">
        <v>6512</v>
      </c>
      <c r="C973" s="2" t="s">
        <v>4558</v>
      </c>
      <c r="D973" s="2" t="s">
        <v>5186</v>
      </c>
      <c r="E973" s="2" t="s">
        <v>5159</v>
      </c>
      <c r="F973" s="2">
        <v>27.88</v>
      </c>
      <c r="G973" s="2">
        <v>1</v>
      </c>
      <c r="H973" s="2">
        <f>Tabla_Items_Con_Existencia[[#This Row],[COSTO]]*Tabla_Items_Con_Existencia[[#This Row],[EXISTENCIA]]</f>
        <v>27.88</v>
      </c>
      <c r="I973" s="1">
        <f>IF(ISERROR(MATCH(Tabla_Items_Con_Existencia[[#This Row],[CODIGO]],Tabla_Items_Activos[CODIGO],0)),0,1)</f>
        <v>0</v>
      </c>
    </row>
    <row r="974" spans="1:9">
      <c r="A974" s="2" t="s">
        <v>6760</v>
      </c>
      <c r="B974" s="2" t="s">
        <v>6887</v>
      </c>
      <c r="C974" s="2" t="s">
        <v>6213</v>
      </c>
      <c r="D974" s="2" t="s">
        <v>5161</v>
      </c>
      <c r="E974" s="2" t="s">
        <v>5159</v>
      </c>
      <c r="F974" s="2">
        <v>20.732800000000001</v>
      </c>
      <c r="G974" s="2">
        <v>34</v>
      </c>
      <c r="H974" s="2">
        <f>Tabla_Items_Con_Existencia[[#This Row],[COSTO]]*Tabla_Items_Con_Existencia[[#This Row],[EXISTENCIA]]</f>
        <v>704.91520000000003</v>
      </c>
      <c r="I974" s="1">
        <f>IF(ISERROR(MATCH(Tabla_Items_Con_Existencia[[#This Row],[CODIGO]],Tabla_Items_Activos[CODIGO],0)),0,1)</f>
        <v>0</v>
      </c>
    </row>
    <row r="975" spans="1:9">
      <c r="A975" s="2" t="s">
        <v>6760</v>
      </c>
      <c r="B975" s="2" t="s">
        <v>1918</v>
      </c>
      <c r="C975" s="2" t="s">
        <v>6513</v>
      </c>
      <c r="D975" s="2" t="s">
        <v>5158</v>
      </c>
      <c r="E975" s="2" t="s">
        <v>5159</v>
      </c>
      <c r="F975" s="2">
        <v>3.58</v>
      </c>
      <c r="G975" s="2">
        <v>6</v>
      </c>
      <c r="H975" s="2">
        <f>Tabla_Items_Con_Existencia[[#This Row],[COSTO]]*Tabla_Items_Con_Existencia[[#This Row],[EXISTENCIA]]</f>
        <v>21.48</v>
      </c>
      <c r="I975" s="1">
        <f>IF(ISERROR(MATCH(Tabla_Items_Con_Existencia[[#This Row],[CODIGO]],Tabla_Items_Activos[CODIGO],0)),0,1)</f>
        <v>0</v>
      </c>
    </row>
    <row r="976" spans="1:9">
      <c r="A976" s="2" t="s">
        <v>6760</v>
      </c>
      <c r="B976" s="2" t="s">
        <v>456</v>
      </c>
      <c r="C976" s="2" t="s">
        <v>1920</v>
      </c>
      <c r="D976" s="2" t="s">
        <v>5161</v>
      </c>
      <c r="E976" s="2" t="s">
        <v>5159</v>
      </c>
      <c r="F976" s="2">
        <v>3.5950000000000002</v>
      </c>
      <c r="G976" s="2">
        <v>10</v>
      </c>
      <c r="H976" s="2">
        <f>Tabla_Items_Con_Existencia[[#This Row],[COSTO]]*Tabla_Items_Con_Existencia[[#This Row],[EXISTENCIA]]</f>
        <v>35.950000000000003</v>
      </c>
      <c r="I976" s="1">
        <f>IF(ISERROR(MATCH(Tabla_Items_Con_Existencia[[#This Row],[CODIGO]],Tabla_Items_Activos[CODIGO],0)),0,1)</f>
        <v>0</v>
      </c>
    </row>
    <row r="977" spans="1:9">
      <c r="A977" s="2" t="s">
        <v>6760</v>
      </c>
      <c r="B977" s="2" t="s">
        <v>1921</v>
      </c>
      <c r="C977" s="2" t="s">
        <v>1922</v>
      </c>
      <c r="D977" s="2" t="s">
        <v>5194</v>
      </c>
      <c r="E977" s="2" t="s">
        <v>5159</v>
      </c>
      <c r="F977" s="2">
        <v>2.52</v>
      </c>
      <c r="G977" s="2">
        <v>2</v>
      </c>
      <c r="H977" s="2">
        <f>Tabla_Items_Con_Existencia[[#This Row],[COSTO]]*Tabla_Items_Con_Existencia[[#This Row],[EXISTENCIA]]</f>
        <v>5.04</v>
      </c>
      <c r="I977" s="1">
        <f>IF(ISERROR(MATCH(Tabla_Items_Con_Existencia[[#This Row],[CODIGO]],Tabla_Items_Activos[CODIGO],0)),0,1)</f>
        <v>0</v>
      </c>
    </row>
    <row r="978" spans="1:9">
      <c r="A978" s="2" t="s">
        <v>6760</v>
      </c>
      <c r="B978" s="2" t="s">
        <v>457</v>
      </c>
      <c r="C978" s="2" t="s">
        <v>4767</v>
      </c>
      <c r="D978" s="2" t="s">
        <v>5158</v>
      </c>
      <c r="E978" s="2" t="s">
        <v>5159</v>
      </c>
      <c r="F978" s="2">
        <v>2.9487157900000001</v>
      </c>
      <c r="G978" s="2">
        <v>16</v>
      </c>
      <c r="H978" s="2">
        <f>Tabla_Items_Con_Existencia[[#This Row],[COSTO]]*Tabla_Items_Con_Existencia[[#This Row],[EXISTENCIA]]</f>
        <v>47.179452640000001</v>
      </c>
      <c r="I978" s="1">
        <f>IF(ISERROR(MATCH(Tabla_Items_Con_Existencia[[#This Row],[CODIGO]],Tabla_Items_Activos[CODIGO],0)),0,1)</f>
        <v>0</v>
      </c>
    </row>
    <row r="979" spans="1:9">
      <c r="A979" s="2" t="s">
        <v>6761</v>
      </c>
      <c r="B979" s="2" t="s">
        <v>457</v>
      </c>
      <c r="C979" s="2" t="s">
        <v>4767</v>
      </c>
      <c r="D979" s="2" t="s">
        <v>5158</v>
      </c>
      <c r="E979" s="2" t="s">
        <v>5159</v>
      </c>
      <c r="F979" s="2">
        <v>2.9487157900000001</v>
      </c>
      <c r="G979" s="2">
        <v>16</v>
      </c>
      <c r="H979" s="2">
        <f>Tabla_Items_Con_Existencia[[#This Row],[COSTO]]*Tabla_Items_Con_Existencia[[#This Row],[EXISTENCIA]]</f>
        <v>47.179452640000001</v>
      </c>
      <c r="I979" s="1">
        <f>IF(ISERROR(MATCH(Tabla_Items_Con_Existencia[[#This Row],[CODIGO]],Tabla_Items_Activos[CODIGO],0)),0,1)</f>
        <v>0</v>
      </c>
    </row>
    <row r="980" spans="1:9">
      <c r="A980" s="2" t="s">
        <v>6760</v>
      </c>
      <c r="B980" s="2" t="s">
        <v>458</v>
      </c>
      <c r="C980" s="2" t="s">
        <v>1923</v>
      </c>
      <c r="D980" s="2" t="s">
        <v>5158</v>
      </c>
      <c r="E980" s="2" t="s">
        <v>5159</v>
      </c>
      <c r="F980" s="2">
        <v>2.6516999999999999</v>
      </c>
      <c r="G980" s="2">
        <v>18</v>
      </c>
      <c r="H980" s="2">
        <f>Tabla_Items_Con_Existencia[[#This Row],[COSTO]]*Tabla_Items_Con_Existencia[[#This Row],[EXISTENCIA]]</f>
        <v>47.730599999999995</v>
      </c>
      <c r="I980" s="1">
        <f>IF(ISERROR(MATCH(Tabla_Items_Con_Existencia[[#This Row],[CODIGO]],Tabla_Items_Activos[CODIGO],0)),0,1)</f>
        <v>0</v>
      </c>
    </row>
    <row r="981" spans="1:9">
      <c r="A981" s="2" t="s">
        <v>6760</v>
      </c>
      <c r="B981" s="2" t="s">
        <v>459</v>
      </c>
      <c r="C981" s="2" t="s">
        <v>1924</v>
      </c>
      <c r="D981" s="2" t="s">
        <v>5161</v>
      </c>
      <c r="E981" s="2" t="s">
        <v>5159</v>
      </c>
      <c r="F981" s="2">
        <v>0</v>
      </c>
      <c r="G981" s="2">
        <v>6</v>
      </c>
      <c r="H981" s="2">
        <f>Tabla_Items_Con_Existencia[[#This Row],[COSTO]]*Tabla_Items_Con_Existencia[[#This Row],[EXISTENCIA]]</f>
        <v>0</v>
      </c>
      <c r="I981" s="1">
        <f>IF(ISERROR(MATCH(Tabla_Items_Con_Existencia[[#This Row],[CODIGO]],Tabla_Items_Activos[CODIGO],0)),0,1)</f>
        <v>0</v>
      </c>
    </row>
    <row r="982" spans="1:9">
      <c r="A982" s="2" t="s">
        <v>6760</v>
      </c>
      <c r="B982" s="2" t="s">
        <v>460</v>
      </c>
      <c r="C982" s="2" t="s">
        <v>1925</v>
      </c>
      <c r="D982" s="2" t="s">
        <v>5158</v>
      </c>
      <c r="E982" s="2" t="s">
        <v>5159</v>
      </c>
      <c r="F982" s="2">
        <v>15.78960526</v>
      </c>
      <c r="G982" s="2">
        <v>67</v>
      </c>
      <c r="H982" s="2">
        <f>Tabla_Items_Con_Existencia[[#This Row],[COSTO]]*Tabla_Items_Con_Existencia[[#This Row],[EXISTENCIA]]</f>
        <v>1057.9035524200001</v>
      </c>
      <c r="I982" s="1">
        <f>IF(ISERROR(MATCH(Tabla_Items_Con_Existencia[[#This Row],[CODIGO]],Tabla_Items_Activos[CODIGO],0)),0,1)</f>
        <v>0</v>
      </c>
    </row>
    <row r="983" spans="1:9">
      <c r="A983" s="2" t="s">
        <v>6761</v>
      </c>
      <c r="B983" s="2" t="s">
        <v>460</v>
      </c>
      <c r="C983" s="2" t="s">
        <v>1925</v>
      </c>
      <c r="D983" s="2" t="s">
        <v>5158</v>
      </c>
      <c r="E983" s="2" t="s">
        <v>5159</v>
      </c>
      <c r="F983" s="2">
        <v>15.78960526</v>
      </c>
      <c r="G983" s="2">
        <v>67</v>
      </c>
      <c r="H983" s="2">
        <f>Tabla_Items_Con_Existencia[[#This Row],[COSTO]]*Tabla_Items_Con_Existencia[[#This Row],[EXISTENCIA]]</f>
        <v>1057.9035524200001</v>
      </c>
      <c r="I983" s="1">
        <f>IF(ISERROR(MATCH(Tabla_Items_Con_Existencia[[#This Row],[CODIGO]],Tabla_Items_Activos[CODIGO],0)),0,1)</f>
        <v>0</v>
      </c>
    </row>
    <row r="984" spans="1:9">
      <c r="A984" s="2" t="s">
        <v>6760</v>
      </c>
      <c r="B984" s="2" t="s">
        <v>461</v>
      </c>
      <c r="C984" s="2" t="s">
        <v>1926</v>
      </c>
      <c r="D984" s="2" t="s">
        <v>5158</v>
      </c>
      <c r="E984" s="2" t="s">
        <v>5159</v>
      </c>
      <c r="F984" s="2">
        <v>18.299884209999998</v>
      </c>
      <c r="G984" s="2">
        <v>111</v>
      </c>
      <c r="H984" s="2">
        <f>Tabla_Items_Con_Existencia[[#This Row],[COSTO]]*Tabla_Items_Con_Existencia[[#This Row],[EXISTENCIA]]</f>
        <v>2031.2871473099999</v>
      </c>
      <c r="I984" s="1">
        <f>IF(ISERROR(MATCH(Tabla_Items_Con_Existencia[[#This Row],[CODIGO]],Tabla_Items_Activos[CODIGO],0)),0,1)</f>
        <v>0</v>
      </c>
    </row>
    <row r="985" spans="1:9">
      <c r="A985" s="2" t="s">
        <v>6761</v>
      </c>
      <c r="B985" s="2" t="s">
        <v>461</v>
      </c>
      <c r="C985" s="2" t="s">
        <v>1926</v>
      </c>
      <c r="D985" s="2" t="s">
        <v>5158</v>
      </c>
      <c r="E985" s="2" t="s">
        <v>5159</v>
      </c>
      <c r="F985" s="2">
        <v>18.299884209999998</v>
      </c>
      <c r="G985" s="2">
        <v>111</v>
      </c>
      <c r="H985" s="2">
        <f>Tabla_Items_Con_Existencia[[#This Row],[COSTO]]*Tabla_Items_Con_Existencia[[#This Row],[EXISTENCIA]]</f>
        <v>2031.2871473099999</v>
      </c>
      <c r="I985" s="1">
        <f>IF(ISERROR(MATCH(Tabla_Items_Con_Existencia[[#This Row],[CODIGO]],Tabla_Items_Activos[CODIGO],0)),0,1)</f>
        <v>0</v>
      </c>
    </row>
    <row r="986" spans="1:9">
      <c r="A986" s="2" t="s">
        <v>6760</v>
      </c>
      <c r="B986" s="2" t="s">
        <v>462</v>
      </c>
      <c r="C986" s="2" t="s">
        <v>1927</v>
      </c>
      <c r="D986" s="2" t="s">
        <v>5186</v>
      </c>
      <c r="E986" s="2" t="s">
        <v>5159</v>
      </c>
      <c r="F986" s="2">
        <v>14.839</v>
      </c>
      <c r="G986" s="2">
        <v>3</v>
      </c>
      <c r="H986" s="2">
        <f>Tabla_Items_Con_Existencia[[#This Row],[COSTO]]*Tabla_Items_Con_Existencia[[#This Row],[EXISTENCIA]]</f>
        <v>44.517000000000003</v>
      </c>
      <c r="I986" s="1">
        <f>IF(ISERROR(MATCH(Tabla_Items_Con_Existencia[[#This Row],[CODIGO]],Tabla_Items_Activos[CODIGO],0)),0,1)</f>
        <v>0</v>
      </c>
    </row>
    <row r="987" spans="1:9">
      <c r="A987" s="2" t="s">
        <v>6760</v>
      </c>
      <c r="B987" s="2" t="s">
        <v>5149</v>
      </c>
      <c r="C987" s="2" t="s">
        <v>7327</v>
      </c>
      <c r="D987" s="2" t="s">
        <v>5158</v>
      </c>
      <c r="E987" s="2" t="s">
        <v>5159</v>
      </c>
      <c r="F987" s="2">
        <v>16.806931580000001</v>
      </c>
      <c r="G987" s="2">
        <v>49</v>
      </c>
      <c r="H987" s="2">
        <f>Tabla_Items_Con_Existencia[[#This Row],[COSTO]]*Tabla_Items_Con_Existencia[[#This Row],[EXISTENCIA]]</f>
        <v>823.53964742000005</v>
      </c>
      <c r="I987" s="1">
        <f>IF(ISERROR(MATCH(Tabla_Items_Con_Existencia[[#This Row],[CODIGO]],Tabla_Items_Activos[CODIGO],0)),0,1)</f>
        <v>0</v>
      </c>
    </row>
    <row r="988" spans="1:9">
      <c r="A988" s="2" t="s">
        <v>6761</v>
      </c>
      <c r="B988" s="2" t="s">
        <v>5149</v>
      </c>
      <c r="C988" s="2" t="s">
        <v>7327</v>
      </c>
      <c r="D988" s="2" t="s">
        <v>5158</v>
      </c>
      <c r="E988" s="2" t="s">
        <v>5159</v>
      </c>
      <c r="F988" s="2">
        <v>16.806931580000001</v>
      </c>
      <c r="G988" s="2">
        <v>49</v>
      </c>
      <c r="H988" s="2">
        <f>Tabla_Items_Con_Existencia[[#This Row],[COSTO]]*Tabla_Items_Con_Existencia[[#This Row],[EXISTENCIA]]</f>
        <v>823.53964742000005</v>
      </c>
      <c r="I988" s="1">
        <f>IF(ISERROR(MATCH(Tabla_Items_Con_Existencia[[#This Row],[CODIGO]],Tabla_Items_Activos[CODIGO],0)),0,1)</f>
        <v>0</v>
      </c>
    </row>
    <row r="989" spans="1:9">
      <c r="A989" s="2" t="s">
        <v>6760</v>
      </c>
      <c r="B989" s="2" t="s">
        <v>1928</v>
      </c>
      <c r="C989" s="2" t="s">
        <v>1929</v>
      </c>
      <c r="D989" s="2" t="s">
        <v>5186</v>
      </c>
      <c r="E989" s="2" t="s">
        <v>5159</v>
      </c>
      <c r="F989" s="2">
        <v>17.742000000000001</v>
      </c>
      <c r="G989" s="2">
        <v>5</v>
      </c>
      <c r="H989" s="2">
        <f>Tabla_Items_Con_Existencia[[#This Row],[COSTO]]*Tabla_Items_Con_Existencia[[#This Row],[EXISTENCIA]]</f>
        <v>88.710000000000008</v>
      </c>
      <c r="I989" s="1">
        <f>IF(ISERROR(MATCH(Tabla_Items_Con_Existencia[[#This Row],[CODIGO]],Tabla_Items_Activos[CODIGO],0)),0,1)</f>
        <v>0</v>
      </c>
    </row>
    <row r="990" spans="1:9">
      <c r="A990" s="2" t="s">
        <v>6760</v>
      </c>
      <c r="B990" s="2" t="s">
        <v>463</v>
      </c>
      <c r="C990" s="2" t="s">
        <v>1930</v>
      </c>
      <c r="D990" s="2" t="s">
        <v>5186</v>
      </c>
      <c r="E990" s="2" t="s">
        <v>5159</v>
      </c>
      <c r="F990" s="2">
        <v>23.122399999999999</v>
      </c>
      <c r="G990" s="2">
        <v>9</v>
      </c>
      <c r="H990" s="2">
        <f>Tabla_Items_Con_Existencia[[#This Row],[COSTO]]*Tabla_Items_Con_Existencia[[#This Row],[EXISTENCIA]]</f>
        <v>208.10159999999999</v>
      </c>
      <c r="I990" s="1">
        <f>IF(ISERROR(MATCH(Tabla_Items_Con_Existencia[[#This Row],[CODIGO]],Tabla_Items_Activos[CODIGO],0)),0,1)</f>
        <v>0</v>
      </c>
    </row>
    <row r="991" spans="1:9">
      <c r="A991" s="2" t="s">
        <v>6760</v>
      </c>
      <c r="B991" s="2" t="s">
        <v>464</v>
      </c>
      <c r="C991" s="2" t="s">
        <v>1931</v>
      </c>
      <c r="D991" s="2" t="s">
        <v>5186</v>
      </c>
      <c r="E991" s="2" t="s">
        <v>5159</v>
      </c>
      <c r="F991" s="2">
        <v>22.33</v>
      </c>
      <c r="G991" s="2">
        <v>1</v>
      </c>
      <c r="H991" s="2">
        <f>Tabla_Items_Con_Existencia[[#This Row],[COSTO]]*Tabla_Items_Con_Existencia[[#This Row],[EXISTENCIA]]</f>
        <v>22.33</v>
      </c>
      <c r="I991" s="1">
        <f>IF(ISERROR(MATCH(Tabla_Items_Con_Existencia[[#This Row],[CODIGO]],Tabla_Items_Activos[CODIGO],0)),0,1)</f>
        <v>0</v>
      </c>
    </row>
    <row r="992" spans="1:9">
      <c r="A992" s="2" t="s">
        <v>6760</v>
      </c>
      <c r="B992" s="2" t="s">
        <v>465</v>
      </c>
      <c r="C992" s="2" t="s">
        <v>1932</v>
      </c>
      <c r="D992" s="2" t="s">
        <v>5186</v>
      </c>
      <c r="E992" s="2" t="s">
        <v>5159</v>
      </c>
      <c r="F992" s="2">
        <v>19.18</v>
      </c>
      <c r="G992" s="2">
        <v>2</v>
      </c>
      <c r="H992" s="2">
        <f>Tabla_Items_Con_Existencia[[#This Row],[COSTO]]*Tabla_Items_Con_Existencia[[#This Row],[EXISTENCIA]]</f>
        <v>38.36</v>
      </c>
      <c r="I992" s="1">
        <f>IF(ISERROR(MATCH(Tabla_Items_Con_Existencia[[#This Row],[CODIGO]],Tabla_Items_Activos[CODIGO],0)),0,1)</f>
        <v>0</v>
      </c>
    </row>
    <row r="993" spans="1:9">
      <c r="A993" s="2" t="s">
        <v>6760</v>
      </c>
      <c r="B993" s="2" t="s">
        <v>466</v>
      </c>
      <c r="C993" s="2" t="s">
        <v>1933</v>
      </c>
      <c r="D993" s="2" t="s">
        <v>5187</v>
      </c>
      <c r="E993" s="2" t="s">
        <v>5159</v>
      </c>
      <c r="F993" s="2">
        <v>8.57</v>
      </c>
      <c r="G993" s="2">
        <v>6</v>
      </c>
      <c r="H993" s="2">
        <f>Tabla_Items_Con_Existencia[[#This Row],[COSTO]]*Tabla_Items_Con_Existencia[[#This Row],[EXISTENCIA]]</f>
        <v>51.42</v>
      </c>
      <c r="I993" s="1">
        <f>IF(ISERROR(MATCH(Tabla_Items_Con_Existencia[[#This Row],[CODIGO]],Tabla_Items_Activos[CODIGO],0)),0,1)</f>
        <v>0</v>
      </c>
    </row>
    <row r="994" spans="1:9">
      <c r="A994" s="2" t="s">
        <v>6761</v>
      </c>
      <c r="B994" s="2" t="s">
        <v>467</v>
      </c>
      <c r="C994" s="2" t="s">
        <v>1934</v>
      </c>
      <c r="D994" s="2" t="s">
        <v>5158</v>
      </c>
      <c r="E994" s="2" t="s">
        <v>5159</v>
      </c>
      <c r="F994" s="2">
        <v>20.160926320000002</v>
      </c>
      <c r="G994" s="2">
        <v>77</v>
      </c>
      <c r="H994" s="2">
        <f>Tabla_Items_Con_Existencia[[#This Row],[COSTO]]*Tabla_Items_Con_Existencia[[#This Row],[EXISTENCIA]]</f>
        <v>1552.3913266400002</v>
      </c>
      <c r="I994" s="1">
        <f>IF(ISERROR(MATCH(Tabla_Items_Con_Existencia[[#This Row],[CODIGO]],Tabla_Items_Activos[CODIGO],0)),0,1)</f>
        <v>0</v>
      </c>
    </row>
    <row r="995" spans="1:9">
      <c r="A995" s="2" t="s">
        <v>6760</v>
      </c>
      <c r="B995" s="2" t="s">
        <v>467</v>
      </c>
      <c r="C995" s="2" t="s">
        <v>1934</v>
      </c>
      <c r="D995" s="2" t="s">
        <v>5158</v>
      </c>
      <c r="E995" s="2" t="s">
        <v>5159</v>
      </c>
      <c r="F995" s="2">
        <v>20.160926320000002</v>
      </c>
      <c r="G995" s="2">
        <v>77</v>
      </c>
      <c r="H995" s="2">
        <f>Tabla_Items_Con_Existencia[[#This Row],[COSTO]]*Tabla_Items_Con_Existencia[[#This Row],[EXISTENCIA]]</f>
        <v>1552.3913266400002</v>
      </c>
      <c r="I995" s="1">
        <f>IF(ISERROR(MATCH(Tabla_Items_Con_Existencia[[#This Row],[CODIGO]],Tabla_Items_Activos[CODIGO],0)),0,1)</f>
        <v>0</v>
      </c>
    </row>
    <row r="996" spans="1:9">
      <c r="A996" s="2" t="s">
        <v>6760</v>
      </c>
      <c r="B996" s="2" t="s">
        <v>1935</v>
      </c>
      <c r="C996" s="2" t="s">
        <v>6514</v>
      </c>
      <c r="D996" s="2" t="s">
        <v>5158</v>
      </c>
      <c r="E996" s="2" t="s">
        <v>5159</v>
      </c>
      <c r="F996" s="2">
        <v>9.3251000000000008</v>
      </c>
      <c r="G996" s="2">
        <v>25</v>
      </c>
      <c r="H996" s="2">
        <f>Tabla_Items_Con_Existencia[[#This Row],[COSTO]]*Tabla_Items_Con_Existencia[[#This Row],[EXISTENCIA]]</f>
        <v>233.12750000000003</v>
      </c>
      <c r="I996" s="1">
        <f>IF(ISERROR(MATCH(Tabla_Items_Con_Existencia[[#This Row],[CODIGO]],Tabla_Items_Activos[CODIGO],0)),0,1)</f>
        <v>0</v>
      </c>
    </row>
    <row r="997" spans="1:9">
      <c r="A997" s="2" t="s">
        <v>6760</v>
      </c>
      <c r="B997" s="2" t="s">
        <v>469</v>
      </c>
      <c r="C997" s="2" t="s">
        <v>4480</v>
      </c>
      <c r="D997" s="2" t="s">
        <v>5186</v>
      </c>
      <c r="E997" s="2" t="s">
        <v>5159</v>
      </c>
      <c r="F997" s="2">
        <v>26.38</v>
      </c>
      <c r="G997" s="2">
        <v>2</v>
      </c>
      <c r="H997" s="2">
        <f>Tabla_Items_Con_Existencia[[#This Row],[COSTO]]*Tabla_Items_Con_Existencia[[#This Row],[EXISTENCIA]]</f>
        <v>52.76</v>
      </c>
      <c r="I997" s="1">
        <f>IF(ISERROR(MATCH(Tabla_Items_Con_Existencia[[#This Row],[CODIGO]],Tabla_Items_Activos[CODIGO],0)),0,1)</f>
        <v>0</v>
      </c>
    </row>
    <row r="998" spans="1:9">
      <c r="A998" s="2" t="s">
        <v>6760</v>
      </c>
      <c r="B998" s="2" t="s">
        <v>1937</v>
      </c>
      <c r="C998" s="2" t="s">
        <v>1938</v>
      </c>
      <c r="D998" s="2" t="s">
        <v>5186</v>
      </c>
      <c r="E998" s="2" t="s">
        <v>5159</v>
      </c>
      <c r="F998" s="2">
        <v>12.032610529999999</v>
      </c>
      <c r="G998" s="2">
        <v>26</v>
      </c>
      <c r="H998" s="2">
        <f>Tabla_Items_Con_Existencia[[#This Row],[COSTO]]*Tabla_Items_Con_Existencia[[#This Row],[EXISTENCIA]]</f>
        <v>312.84787377999999</v>
      </c>
      <c r="I998" s="1">
        <f>IF(ISERROR(MATCH(Tabla_Items_Con_Existencia[[#This Row],[CODIGO]],Tabla_Items_Activos[CODIGO],0)),0,1)</f>
        <v>0</v>
      </c>
    </row>
    <row r="999" spans="1:9">
      <c r="A999" s="2" t="s">
        <v>6761</v>
      </c>
      <c r="B999" s="2" t="s">
        <v>1937</v>
      </c>
      <c r="C999" s="2" t="s">
        <v>1938</v>
      </c>
      <c r="D999" s="2" t="s">
        <v>5186</v>
      </c>
      <c r="E999" s="2" t="s">
        <v>5159</v>
      </c>
      <c r="F999" s="2">
        <v>12.032610529999999</v>
      </c>
      <c r="G999" s="2">
        <v>26</v>
      </c>
      <c r="H999" s="2">
        <f>Tabla_Items_Con_Existencia[[#This Row],[COSTO]]*Tabla_Items_Con_Existencia[[#This Row],[EXISTENCIA]]</f>
        <v>312.84787377999999</v>
      </c>
      <c r="I999" s="1">
        <f>IF(ISERROR(MATCH(Tabla_Items_Con_Existencia[[#This Row],[CODIGO]],Tabla_Items_Activos[CODIGO],0)),0,1)</f>
        <v>0</v>
      </c>
    </row>
    <row r="1000" spans="1:9">
      <c r="A1000" s="2" t="s">
        <v>6760</v>
      </c>
      <c r="B1000" s="2" t="s">
        <v>470</v>
      </c>
      <c r="C1000" s="2" t="s">
        <v>1939</v>
      </c>
      <c r="D1000" s="2" t="s">
        <v>5158</v>
      </c>
      <c r="E1000" s="2" t="s">
        <v>5159</v>
      </c>
      <c r="F1000" s="2">
        <v>41.234000000000002</v>
      </c>
      <c r="G1000" s="2">
        <v>4</v>
      </c>
      <c r="H1000" s="2">
        <f>Tabla_Items_Con_Existencia[[#This Row],[COSTO]]*Tabla_Items_Con_Existencia[[#This Row],[EXISTENCIA]]</f>
        <v>164.93600000000001</v>
      </c>
      <c r="I1000" s="1">
        <f>IF(ISERROR(MATCH(Tabla_Items_Con_Existencia[[#This Row],[CODIGO]],Tabla_Items_Activos[CODIGO],0)),0,1)</f>
        <v>0</v>
      </c>
    </row>
    <row r="1001" spans="1:9">
      <c r="A1001" s="2" t="s">
        <v>6760</v>
      </c>
      <c r="B1001" s="2" t="s">
        <v>471</v>
      </c>
      <c r="C1001" s="2" t="s">
        <v>1940</v>
      </c>
      <c r="D1001" s="2" t="s">
        <v>5158</v>
      </c>
      <c r="E1001" s="2" t="s">
        <v>5159</v>
      </c>
      <c r="F1001" s="2">
        <v>11.780200000000001</v>
      </c>
      <c r="G1001" s="2">
        <v>58</v>
      </c>
      <c r="H1001" s="2">
        <f>Tabla_Items_Con_Existencia[[#This Row],[COSTO]]*Tabla_Items_Con_Existencia[[#This Row],[EXISTENCIA]]</f>
        <v>683.25160000000005</v>
      </c>
      <c r="I1001" s="1">
        <f>IF(ISERROR(MATCH(Tabla_Items_Con_Existencia[[#This Row],[CODIGO]],Tabla_Items_Activos[CODIGO],0)),0,1)</f>
        <v>0</v>
      </c>
    </row>
    <row r="1002" spans="1:9">
      <c r="A1002" s="2" t="s">
        <v>6760</v>
      </c>
      <c r="B1002" s="2" t="s">
        <v>7231</v>
      </c>
      <c r="C1002" s="2" t="s">
        <v>7232</v>
      </c>
      <c r="D1002" s="2" t="s">
        <v>5186</v>
      </c>
      <c r="E1002" s="2" t="s">
        <v>5159</v>
      </c>
      <c r="F1002" s="2">
        <v>0</v>
      </c>
      <c r="G1002" s="2">
        <v>5</v>
      </c>
      <c r="H1002" s="2">
        <f>Tabla_Items_Con_Existencia[[#This Row],[COSTO]]*Tabla_Items_Con_Existencia[[#This Row],[EXISTENCIA]]</f>
        <v>0</v>
      </c>
      <c r="I1002" s="1">
        <f>IF(ISERROR(MATCH(Tabla_Items_Con_Existencia[[#This Row],[CODIGO]],Tabla_Items_Activos[CODIGO],0)),0,1)</f>
        <v>0</v>
      </c>
    </row>
    <row r="1003" spans="1:9">
      <c r="A1003" s="2" t="s">
        <v>6760</v>
      </c>
      <c r="B1003" s="2" t="s">
        <v>6515</v>
      </c>
      <c r="C1003" s="2" t="s">
        <v>4800</v>
      </c>
      <c r="D1003" s="2" t="s">
        <v>5158</v>
      </c>
      <c r="E1003" s="2" t="s">
        <v>5159</v>
      </c>
      <c r="F1003" s="2">
        <v>10.042999999999999</v>
      </c>
      <c r="G1003" s="2">
        <v>7</v>
      </c>
      <c r="H1003" s="2">
        <f>Tabla_Items_Con_Existencia[[#This Row],[COSTO]]*Tabla_Items_Con_Existencia[[#This Row],[EXISTENCIA]]</f>
        <v>70.300999999999988</v>
      </c>
      <c r="I1003" s="1">
        <f>IF(ISERROR(MATCH(Tabla_Items_Con_Existencia[[#This Row],[CODIGO]],Tabla_Items_Activos[CODIGO],0)),0,1)</f>
        <v>0</v>
      </c>
    </row>
    <row r="1004" spans="1:9">
      <c r="A1004" s="2" t="s">
        <v>6760</v>
      </c>
      <c r="B1004" s="2" t="s">
        <v>1941</v>
      </c>
      <c r="C1004" s="2" t="s">
        <v>6888</v>
      </c>
      <c r="D1004" s="2" t="s">
        <v>5158</v>
      </c>
      <c r="E1004" s="2" t="s">
        <v>5159</v>
      </c>
      <c r="F1004" s="2">
        <v>10.427263160000001</v>
      </c>
      <c r="G1004" s="2">
        <v>12</v>
      </c>
      <c r="H1004" s="2">
        <f>Tabla_Items_Con_Existencia[[#This Row],[COSTO]]*Tabla_Items_Con_Existencia[[#This Row],[EXISTENCIA]]</f>
        <v>125.12715792</v>
      </c>
      <c r="I1004" s="1">
        <f>IF(ISERROR(MATCH(Tabla_Items_Con_Existencia[[#This Row],[CODIGO]],Tabla_Items_Activos[CODIGO],0)),0,1)</f>
        <v>0</v>
      </c>
    </row>
    <row r="1005" spans="1:9">
      <c r="A1005" s="2" t="s">
        <v>6761</v>
      </c>
      <c r="B1005" s="2" t="s">
        <v>1941</v>
      </c>
      <c r="C1005" s="2" t="s">
        <v>6888</v>
      </c>
      <c r="D1005" s="2" t="s">
        <v>5158</v>
      </c>
      <c r="E1005" s="2" t="s">
        <v>5159</v>
      </c>
      <c r="F1005" s="2">
        <v>10.427263160000001</v>
      </c>
      <c r="G1005" s="2">
        <v>12</v>
      </c>
      <c r="H1005" s="2">
        <f>Tabla_Items_Con_Existencia[[#This Row],[COSTO]]*Tabla_Items_Con_Existencia[[#This Row],[EXISTENCIA]]</f>
        <v>125.12715792</v>
      </c>
      <c r="I1005" s="1">
        <f>IF(ISERROR(MATCH(Tabla_Items_Con_Existencia[[#This Row],[CODIGO]],Tabla_Items_Activos[CODIGO],0)),0,1)</f>
        <v>0</v>
      </c>
    </row>
    <row r="1006" spans="1:9">
      <c r="A1006" s="2" t="s">
        <v>6760</v>
      </c>
      <c r="B1006" s="2" t="s">
        <v>6516</v>
      </c>
      <c r="C1006" s="2" t="s">
        <v>4364</v>
      </c>
      <c r="D1006" s="2" t="s">
        <v>5158</v>
      </c>
      <c r="E1006" s="2" t="s">
        <v>5159</v>
      </c>
      <c r="F1006" s="2">
        <v>8.8160000000000007</v>
      </c>
      <c r="G1006" s="2">
        <v>9</v>
      </c>
      <c r="H1006" s="2">
        <f>Tabla_Items_Con_Existencia[[#This Row],[COSTO]]*Tabla_Items_Con_Existencia[[#This Row],[EXISTENCIA]]</f>
        <v>79.344000000000008</v>
      </c>
      <c r="I1006" s="1">
        <f>IF(ISERROR(MATCH(Tabla_Items_Con_Existencia[[#This Row],[CODIGO]],Tabla_Items_Activos[CODIGO],0)),0,1)</f>
        <v>0</v>
      </c>
    </row>
    <row r="1007" spans="1:9">
      <c r="A1007" s="2" t="s">
        <v>6760</v>
      </c>
      <c r="B1007" s="2" t="s">
        <v>6517</v>
      </c>
      <c r="C1007" s="2" t="s">
        <v>6518</v>
      </c>
      <c r="D1007" s="2" t="s">
        <v>5186</v>
      </c>
      <c r="E1007" s="2" t="s">
        <v>5159</v>
      </c>
      <c r="F1007" s="2">
        <v>14.253</v>
      </c>
      <c r="G1007" s="2">
        <v>3</v>
      </c>
      <c r="H1007" s="2">
        <f>Tabla_Items_Con_Existencia[[#This Row],[COSTO]]*Tabla_Items_Con_Existencia[[#This Row],[EXISTENCIA]]</f>
        <v>42.759</v>
      </c>
      <c r="I1007" s="1">
        <f>IF(ISERROR(MATCH(Tabla_Items_Con_Existencia[[#This Row],[CODIGO]],Tabla_Items_Activos[CODIGO],0)),0,1)</f>
        <v>0</v>
      </c>
    </row>
    <row r="1008" spans="1:9">
      <c r="A1008" s="2" t="s">
        <v>6761</v>
      </c>
      <c r="B1008" s="2" t="s">
        <v>472</v>
      </c>
      <c r="C1008" s="2" t="s">
        <v>6322</v>
      </c>
      <c r="D1008" s="2" t="s">
        <v>5161</v>
      </c>
      <c r="E1008" s="2" t="s">
        <v>5159</v>
      </c>
      <c r="F1008" s="2">
        <v>3.45673684</v>
      </c>
      <c r="G1008" s="2">
        <v>74</v>
      </c>
      <c r="H1008" s="2">
        <f>Tabla_Items_Con_Existencia[[#This Row],[COSTO]]*Tabla_Items_Con_Existencia[[#This Row],[EXISTENCIA]]</f>
        <v>255.79852615999999</v>
      </c>
      <c r="I1008" s="1">
        <f>IF(ISERROR(MATCH(Tabla_Items_Con_Existencia[[#This Row],[CODIGO]],Tabla_Items_Activos[CODIGO],0)),0,1)</f>
        <v>0</v>
      </c>
    </row>
    <row r="1009" spans="1:9">
      <c r="A1009" s="2" t="s">
        <v>6760</v>
      </c>
      <c r="B1009" s="2" t="s">
        <v>472</v>
      </c>
      <c r="C1009" s="2" t="s">
        <v>6322</v>
      </c>
      <c r="D1009" s="2" t="s">
        <v>5161</v>
      </c>
      <c r="E1009" s="2" t="s">
        <v>5159</v>
      </c>
      <c r="F1009" s="2">
        <v>3.45673684</v>
      </c>
      <c r="G1009" s="2">
        <v>74</v>
      </c>
      <c r="H1009" s="2">
        <f>Tabla_Items_Con_Existencia[[#This Row],[COSTO]]*Tabla_Items_Con_Existencia[[#This Row],[EXISTENCIA]]</f>
        <v>255.79852615999999</v>
      </c>
      <c r="I1009" s="1">
        <f>IF(ISERROR(MATCH(Tabla_Items_Con_Existencia[[#This Row],[CODIGO]],Tabla_Items_Activos[CODIGO],0)),0,1)</f>
        <v>0</v>
      </c>
    </row>
    <row r="1010" spans="1:9">
      <c r="A1010" s="2" t="s">
        <v>6760</v>
      </c>
      <c r="B1010" s="2" t="s">
        <v>473</v>
      </c>
      <c r="C1010" s="2" t="s">
        <v>6889</v>
      </c>
      <c r="D1010" s="2" t="s">
        <v>5158</v>
      </c>
      <c r="E1010" s="2" t="s">
        <v>5159</v>
      </c>
      <c r="F1010" s="2">
        <v>2.4841000000000002</v>
      </c>
      <c r="G1010" s="2">
        <v>16</v>
      </c>
      <c r="H1010" s="2">
        <f>Tabla_Items_Con_Existencia[[#This Row],[COSTO]]*Tabla_Items_Con_Existencia[[#This Row],[EXISTENCIA]]</f>
        <v>39.745600000000003</v>
      </c>
      <c r="I1010" s="1">
        <f>IF(ISERROR(MATCH(Tabla_Items_Con_Existencia[[#This Row],[CODIGO]],Tabla_Items_Activos[CODIGO],0)),0,1)</f>
        <v>0</v>
      </c>
    </row>
    <row r="1011" spans="1:9">
      <c r="A1011" s="2" t="s">
        <v>6760</v>
      </c>
      <c r="B1011" s="2" t="s">
        <v>1945</v>
      </c>
      <c r="C1011" s="2" t="s">
        <v>6323</v>
      </c>
      <c r="D1011" s="2" t="s">
        <v>5194</v>
      </c>
      <c r="E1011" s="2" t="s">
        <v>5159</v>
      </c>
      <c r="F1011" s="2">
        <v>2.21</v>
      </c>
      <c r="G1011" s="2">
        <v>5</v>
      </c>
      <c r="H1011" s="2">
        <f>Tabla_Items_Con_Existencia[[#This Row],[COSTO]]*Tabla_Items_Con_Existencia[[#This Row],[EXISTENCIA]]</f>
        <v>11.05</v>
      </c>
      <c r="I1011" s="1">
        <f>IF(ISERROR(MATCH(Tabla_Items_Con_Existencia[[#This Row],[CODIGO]],Tabla_Items_Activos[CODIGO],0)),0,1)</f>
        <v>0</v>
      </c>
    </row>
    <row r="1012" spans="1:9">
      <c r="A1012" s="2" t="s">
        <v>6760</v>
      </c>
      <c r="B1012" s="2" t="s">
        <v>474</v>
      </c>
      <c r="C1012" s="2" t="s">
        <v>6890</v>
      </c>
      <c r="D1012" s="2" t="s">
        <v>5186</v>
      </c>
      <c r="E1012" s="2" t="s">
        <v>5159</v>
      </c>
      <c r="F1012" s="2">
        <v>3.3679999999999999</v>
      </c>
      <c r="G1012" s="2">
        <v>25</v>
      </c>
      <c r="H1012" s="2">
        <f>Tabla_Items_Con_Existencia[[#This Row],[COSTO]]*Tabla_Items_Con_Existencia[[#This Row],[EXISTENCIA]]</f>
        <v>84.2</v>
      </c>
      <c r="I1012" s="1">
        <f>IF(ISERROR(MATCH(Tabla_Items_Con_Existencia[[#This Row],[CODIGO]],Tabla_Items_Activos[CODIGO],0)),0,1)</f>
        <v>0</v>
      </c>
    </row>
    <row r="1013" spans="1:9">
      <c r="A1013" s="2" t="s">
        <v>6760</v>
      </c>
      <c r="B1013" s="2" t="s">
        <v>475</v>
      </c>
      <c r="C1013" s="2" t="s">
        <v>1948</v>
      </c>
      <c r="D1013" s="2" t="s">
        <v>5186</v>
      </c>
      <c r="E1013" s="2" t="s">
        <v>5159</v>
      </c>
      <c r="F1013" s="2">
        <v>3.577</v>
      </c>
      <c r="G1013" s="2">
        <v>10</v>
      </c>
      <c r="H1013" s="2">
        <f>Tabla_Items_Con_Existencia[[#This Row],[COSTO]]*Tabla_Items_Con_Existencia[[#This Row],[EXISTENCIA]]</f>
        <v>35.769999999999996</v>
      </c>
      <c r="I1013" s="1">
        <f>IF(ISERROR(MATCH(Tabla_Items_Con_Existencia[[#This Row],[CODIGO]],Tabla_Items_Activos[CODIGO],0)),0,1)</f>
        <v>0</v>
      </c>
    </row>
    <row r="1014" spans="1:9">
      <c r="A1014" s="2" t="s">
        <v>6760</v>
      </c>
      <c r="B1014" s="2" t="s">
        <v>476</v>
      </c>
      <c r="C1014" s="2" t="s">
        <v>7112</v>
      </c>
      <c r="D1014" s="2" t="s">
        <v>5186</v>
      </c>
      <c r="E1014" s="2" t="s">
        <v>5159</v>
      </c>
      <c r="F1014" s="2">
        <v>2.4500000000000002</v>
      </c>
      <c r="G1014" s="2">
        <v>8</v>
      </c>
      <c r="H1014" s="2">
        <f>Tabla_Items_Con_Existencia[[#This Row],[COSTO]]*Tabla_Items_Con_Existencia[[#This Row],[EXISTENCIA]]</f>
        <v>19.600000000000001</v>
      </c>
      <c r="I1014" s="1">
        <f>IF(ISERROR(MATCH(Tabla_Items_Con_Existencia[[#This Row],[CODIGO]],Tabla_Items_Activos[CODIGO],0)),0,1)</f>
        <v>0</v>
      </c>
    </row>
    <row r="1015" spans="1:9">
      <c r="A1015" s="2" t="s">
        <v>6760</v>
      </c>
      <c r="B1015" s="2" t="s">
        <v>477</v>
      </c>
      <c r="C1015" s="2" t="s">
        <v>6891</v>
      </c>
      <c r="D1015" s="2" t="s">
        <v>5201</v>
      </c>
      <c r="E1015" s="2" t="s">
        <v>5159</v>
      </c>
      <c r="F1015" s="2">
        <v>1.6710526299999999</v>
      </c>
      <c r="G1015" s="2">
        <v>22</v>
      </c>
      <c r="H1015" s="2">
        <f>Tabla_Items_Con_Existencia[[#This Row],[COSTO]]*Tabla_Items_Con_Existencia[[#This Row],[EXISTENCIA]]</f>
        <v>36.76315786</v>
      </c>
      <c r="I1015" s="1">
        <f>IF(ISERROR(MATCH(Tabla_Items_Con_Existencia[[#This Row],[CODIGO]],Tabla_Items_Activos[CODIGO],0)),0,1)</f>
        <v>0</v>
      </c>
    </row>
    <row r="1016" spans="1:9">
      <c r="A1016" s="2" t="s">
        <v>6761</v>
      </c>
      <c r="B1016" s="2" t="s">
        <v>477</v>
      </c>
      <c r="C1016" s="2" t="s">
        <v>6891</v>
      </c>
      <c r="D1016" s="2" t="s">
        <v>5201</v>
      </c>
      <c r="E1016" s="2" t="s">
        <v>5159</v>
      </c>
      <c r="F1016" s="2">
        <v>1.6710526299999999</v>
      </c>
      <c r="G1016" s="2">
        <v>22</v>
      </c>
      <c r="H1016" s="2">
        <f>Tabla_Items_Con_Existencia[[#This Row],[COSTO]]*Tabla_Items_Con_Existencia[[#This Row],[EXISTENCIA]]</f>
        <v>36.76315786</v>
      </c>
      <c r="I1016" s="1">
        <f>IF(ISERROR(MATCH(Tabla_Items_Con_Existencia[[#This Row],[CODIGO]],Tabla_Items_Activos[CODIGO],0)),0,1)</f>
        <v>0</v>
      </c>
    </row>
    <row r="1017" spans="1:9">
      <c r="A1017" s="2" t="s">
        <v>6761</v>
      </c>
      <c r="B1017" s="2" t="s">
        <v>6519</v>
      </c>
      <c r="C1017" s="2" t="s">
        <v>6346</v>
      </c>
      <c r="D1017" s="2" t="s">
        <v>5158</v>
      </c>
      <c r="E1017" s="2" t="s">
        <v>5159</v>
      </c>
      <c r="F1017" s="2">
        <v>2.8115157900000001</v>
      </c>
      <c r="G1017" s="2">
        <v>13</v>
      </c>
      <c r="H1017" s="2">
        <f>Tabla_Items_Con_Existencia[[#This Row],[COSTO]]*Tabla_Items_Con_Existencia[[#This Row],[EXISTENCIA]]</f>
        <v>36.549705270000004</v>
      </c>
      <c r="I1017" s="1">
        <f>IF(ISERROR(MATCH(Tabla_Items_Con_Existencia[[#This Row],[CODIGO]],Tabla_Items_Activos[CODIGO],0)),0,1)</f>
        <v>0</v>
      </c>
    </row>
    <row r="1018" spans="1:9">
      <c r="A1018" s="2" t="s">
        <v>6760</v>
      </c>
      <c r="B1018" s="2" t="s">
        <v>6519</v>
      </c>
      <c r="C1018" s="2" t="s">
        <v>6346</v>
      </c>
      <c r="D1018" s="2" t="s">
        <v>5158</v>
      </c>
      <c r="E1018" s="2" t="s">
        <v>5159</v>
      </c>
      <c r="F1018" s="2">
        <v>2.8115157900000001</v>
      </c>
      <c r="G1018" s="2">
        <v>13</v>
      </c>
      <c r="H1018" s="2">
        <f>Tabla_Items_Con_Existencia[[#This Row],[COSTO]]*Tabla_Items_Con_Existencia[[#This Row],[EXISTENCIA]]</f>
        <v>36.549705270000004</v>
      </c>
      <c r="I1018" s="1">
        <f>IF(ISERROR(MATCH(Tabla_Items_Con_Existencia[[#This Row],[CODIGO]],Tabla_Items_Activos[CODIGO],0)),0,1)</f>
        <v>0</v>
      </c>
    </row>
    <row r="1019" spans="1:9">
      <c r="A1019" s="2" t="s">
        <v>6760</v>
      </c>
      <c r="B1019" s="2" t="s">
        <v>478</v>
      </c>
      <c r="C1019" s="2" t="s">
        <v>6892</v>
      </c>
      <c r="D1019" s="2" t="s">
        <v>5158</v>
      </c>
      <c r="E1019" s="2" t="s">
        <v>5159</v>
      </c>
      <c r="F1019" s="2">
        <v>3.0482631599999999</v>
      </c>
      <c r="G1019" s="2">
        <v>60</v>
      </c>
      <c r="H1019" s="2">
        <f>Tabla_Items_Con_Existencia[[#This Row],[COSTO]]*Tabla_Items_Con_Existencia[[#This Row],[EXISTENCIA]]</f>
        <v>182.8957896</v>
      </c>
      <c r="I1019" s="1">
        <f>IF(ISERROR(MATCH(Tabla_Items_Con_Existencia[[#This Row],[CODIGO]],Tabla_Items_Activos[CODIGO],0)),0,1)</f>
        <v>0</v>
      </c>
    </row>
    <row r="1020" spans="1:9">
      <c r="A1020" s="2" t="s">
        <v>6761</v>
      </c>
      <c r="B1020" s="2" t="s">
        <v>478</v>
      </c>
      <c r="C1020" s="2" t="s">
        <v>6892</v>
      </c>
      <c r="D1020" s="2" t="s">
        <v>5158</v>
      </c>
      <c r="E1020" s="2" t="s">
        <v>5159</v>
      </c>
      <c r="F1020" s="2">
        <v>3.0482631599999999</v>
      </c>
      <c r="G1020" s="2">
        <v>60</v>
      </c>
      <c r="H1020" s="2">
        <f>Tabla_Items_Con_Existencia[[#This Row],[COSTO]]*Tabla_Items_Con_Existencia[[#This Row],[EXISTENCIA]]</f>
        <v>182.8957896</v>
      </c>
      <c r="I1020" s="1">
        <f>IF(ISERROR(MATCH(Tabla_Items_Con_Existencia[[#This Row],[CODIGO]],Tabla_Items_Activos[CODIGO],0)),0,1)</f>
        <v>0</v>
      </c>
    </row>
    <row r="1021" spans="1:9">
      <c r="A1021" s="2" t="s">
        <v>6760</v>
      </c>
      <c r="B1021" s="2" t="s">
        <v>479</v>
      </c>
      <c r="C1021" s="2" t="s">
        <v>6893</v>
      </c>
      <c r="D1021" s="2" t="s">
        <v>5158</v>
      </c>
      <c r="E1021" s="2" t="s">
        <v>5159</v>
      </c>
      <c r="F1021" s="2">
        <v>1.9330000000000001</v>
      </c>
      <c r="G1021" s="2">
        <v>10</v>
      </c>
      <c r="H1021" s="2">
        <f>Tabla_Items_Con_Existencia[[#This Row],[COSTO]]*Tabla_Items_Con_Existencia[[#This Row],[EXISTENCIA]]</f>
        <v>19.330000000000002</v>
      </c>
      <c r="I1021" s="1">
        <f>IF(ISERROR(MATCH(Tabla_Items_Con_Existencia[[#This Row],[CODIGO]],Tabla_Items_Activos[CODIGO],0)),0,1)</f>
        <v>0</v>
      </c>
    </row>
    <row r="1022" spans="1:9">
      <c r="A1022" s="2" t="s">
        <v>6761</v>
      </c>
      <c r="B1022" s="2" t="s">
        <v>480</v>
      </c>
      <c r="C1022" s="2" t="s">
        <v>6520</v>
      </c>
      <c r="D1022" s="2" t="s">
        <v>5158</v>
      </c>
      <c r="E1022" s="2" t="s">
        <v>5159</v>
      </c>
      <c r="F1022" s="2">
        <v>4.7123157899999999</v>
      </c>
      <c r="G1022" s="2">
        <v>178</v>
      </c>
      <c r="H1022" s="2">
        <f>Tabla_Items_Con_Existencia[[#This Row],[COSTO]]*Tabla_Items_Con_Existencia[[#This Row],[EXISTENCIA]]</f>
        <v>838.79221061999999</v>
      </c>
      <c r="I1022" s="1">
        <f>IF(ISERROR(MATCH(Tabla_Items_Con_Existencia[[#This Row],[CODIGO]],Tabla_Items_Activos[CODIGO],0)),0,1)</f>
        <v>0</v>
      </c>
    </row>
    <row r="1023" spans="1:9">
      <c r="A1023" s="2" t="s">
        <v>6760</v>
      </c>
      <c r="B1023" s="2" t="s">
        <v>480</v>
      </c>
      <c r="C1023" s="2" t="s">
        <v>6520</v>
      </c>
      <c r="D1023" s="2" t="s">
        <v>5158</v>
      </c>
      <c r="E1023" s="2" t="s">
        <v>5159</v>
      </c>
      <c r="F1023" s="2">
        <v>4.7123157899999999</v>
      </c>
      <c r="G1023" s="2">
        <v>178</v>
      </c>
      <c r="H1023" s="2">
        <f>Tabla_Items_Con_Existencia[[#This Row],[COSTO]]*Tabla_Items_Con_Existencia[[#This Row],[EXISTENCIA]]</f>
        <v>838.79221061999999</v>
      </c>
      <c r="I1023" s="1">
        <f>IF(ISERROR(MATCH(Tabla_Items_Con_Existencia[[#This Row],[CODIGO]],Tabla_Items_Activos[CODIGO],0)),0,1)</f>
        <v>0</v>
      </c>
    </row>
    <row r="1024" spans="1:9">
      <c r="A1024" s="2" t="s">
        <v>6760</v>
      </c>
      <c r="B1024" s="2" t="s">
        <v>481</v>
      </c>
      <c r="C1024" s="2" t="s">
        <v>7126</v>
      </c>
      <c r="D1024" s="2" t="s">
        <v>5158</v>
      </c>
      <c r="E1024" s="2" t="s">
        <v>5159</v>
      </c>
      <c r="F1024" s="2">
        <v>3.17721053</v>
      </c>
      <c r="G1024" s="2">
        <v>51</v>
      </c>
      <c r="H1024" s="2">
        <f>Tabla_Items_Con_Existencia[[#This Row],[COSTO]]*Tabla_Items_Con_Existencia[[#This Row],[EXISTENCIA]]</f>
        <v>162.03773702999999</v>
      </c>
      <c r="I1024" s="1">
        <f>IF(ISERROR(MATCH(Tabla_Items_Con_Existencia[[#This Row],[CODIGO]],Tabla_Items_Activos[CODIGO],0)),0,1)</f>
        <v>0</v>
      </c>
    </row>
    <row r="1025" spans="1:9">
      <c r="A1025" s="2" t="s">
        <v>6761</v>
      </c>
      <c r="B1025" s="2" t="s">
        <v>481</v>
      </c>
      <c r="C1025" s="2" t="s">
        <v>7126</v>
      </c>
      <c r="D1025" s="2" t="s">
        <v>5158</v>
      </c>
      <c r="E1025" s="2" t="s">
        <v>5159</v>
      </c>
      <c r="F1025" s="2">
        <v>3.17721053</v>
      </c>
      <c r="G1025" s="2">
        <v>51</v>
      </c>
      <c r="H1025" s="2">
        <f>Tabla_Items_Con_Existencia[[#This Row],[COSTO]]*Tabla_Items_Con_Existencia[[#This Row],[EXISTENCIA]]</f>
        <v>162.03773702999999</v>
      </c>
      <c r="I1025" s="1">
        <f>IF(ISERROR(MATCH(Tabla_Items_Con_Existencia[[#This Row],[CODIGO]],Tabla_Items_Activos[CODIGO],0)),0,1)</f>
        <v>0</v>
      </c>
    </row>
    <row r="1026" spans="1:9">
      <c r="A1026" s="2" t="s">
        <v>6760</v>
      </c>
      <c r="B1026" s="2" t="s">
        <v>482</v>
      </c>
      <c r="C1026" s="2" t="s">
        <v>6521</v>
      </c>
      <c r="D1026" s="2" t="s">
        <v>5158</v>
      </c>
      <c r="E1026" s="2" t="s">
        <v>5159</v>
      </c>
      <c r="F1026" s="2">
        <v>3.83538947</v>
      </c>
      <c r="G1026" s="2">
        <v>64</v>
      </c>
      <c r="H1026" s="2">
        <f>Tabla_Items_Con_Existencia[[#This Row],[COSTO]]*Tabla_Items_Con_Existencia[[#This Row],[EXISTENCIA]]</f>
        <v>245.46492608</v>
      </c>
      <c r="I1026" s="1">
        <f>IF(ISERROR(MATCH(Tabla_Items_Con_Existencia[[#This Row],[CODIGO]],Tabla_Items_Activos[CODIGO],0)),0,1)</f>
        <v>0</v>
      </c>
    </row>
    <row r="1027" spans="1:9">
      <c r="A1027" s="2" t="s">
        <v>6761</v>
      </c>
      <c r="B1027" s="2" t="s">
        <v>482</v>
      </c>
      <c r="C1027" s="2" t="s">
        <v>6521</v>
      </c>
      <c r="D1027" s="2" t="s">
        <v>5158</v>
      </c>
      <c r="E1027" s="2" t="s">
        <v>5159</v>
      </c>
      <c r="F1027" s="2">
        <v>3.83538947</v>
      </c>
      <c r="G1027" s="2">
        <v>64</v>
      </c>
      <c r="H1027" s="2">
        <f>Tabla_Items_Con_Existencia[[#This Row],[COSTO]]*Tabla_Items_Con_Existencia[[#This Row],[EXISTENCIA]]</f>
        <v>245.46492608</v>
      </c>
      <c r="I1027" s="1">
        <f>IF(ISERROR(MATCH(Tabla_Items_Con_Existencia[[#This Row],[CODIGO]],Tabla_Items_Activos[CODIGO],0)),0,1)</f>
        <v>0</v>
      </c>
    </row>
    <row r="1028" spans="1:9">
      <c r="A1028" s="2" t="s">
        <v>6760</v>
      </c>
      <c r="B1028" s="2" t="s">
        <v>483</v>
      </c>
      <c r="C1028" s="2" t="s">
        <v>6522</v>
      </c>
      <c r="D1028" s="2" t="s">
        <v>5158</v>
      </c>
      <c r="E1028" s="2" t="s">
        <v>5159</v>
      </c>
      <c r="F1028" s="2">
        <v>1.81774211</v>
      </c>
      <c r="G1028" s="2">
        <v>73</v>
      </c>
      <c r="H1028" s="2">
        <f>Tabla_Items_Con_Existencia[[#This Row],[COSTO]]*Tabla_Items_Con_Existencia[[#This Row],[EXISTENCIA]]</f>
        <v>132.69517403</v>
      </c>
      <c r="I1028" s="1">
        <f>IF(ISERROR(MATCH(Tabla_Items_Con_Existencia[[#This Row],[CODIGO]],Tabla_Items_Activos[CODIGO],0)),0,1)</f>
        <v>0</v>
      </c>
    </row>
    <row r="1029" spans="1:9">
      <c r="A1029" s="2" t="s">
        <v>6761</v>
      </c>
      <c r="B1029" s="2" t="s">
        <v>483</v>
      </c>
      <c r="C1029" s="2" t="s">
        <v>6522</v>
      </c>
      <c r="D1029" s="2" t="s">
        <v>5158</v>
      </c>
      <c r="E1029" s="2" t="s">
        <v>5159</v>
      </c>
      <c r="F1029" s="2">
        <v>1.81774211</v>
      </c>
      <c r="G1029" s="2">
        <v>73</v>
      </c>
      <c r="H1029" s="2">
        <f>Tabla_Items_Con_Existencia[[#This Row],[COSTO]]*Tabla_Items_Con_Existencia[[#This Row],[EXISTENCIA]]</f>
        <v>132.69517403</v>
      </c>
      <c r="I1029" s="1">
        <f>IF(ISERROR(MATCH(Tabla_Items_Con_Existencia[[#This Row],[CODIGO]],Tabla_Items_Activos[CODIGO],0)),0,1)</f>
        <v>0</v>
      </c>
    </row>
    <row r="1030" spans="1:9">
      <c r="A1030" s="2" t="s">
        <v>6760</v>
      </c>
      <c r="B1030" s="2" t="s">
        <v>6523</v>
      </c>
      <c r="C1030" s="2" t="s">
        <v>7113</v>
      </c>
      <c r="D1030" s="2" t="s">
        <v>5186</v>
      </c>
      <c r="E1030" s="2" t="s">
        <v>5159</v>
      </c>
      <c r="F1030" s="2">
        <v>3.80581053</v>
      </c>
      <c r="G1030" s="2">
        <v>36</v>
      </c>
      <c r="H1030" s="2">
        <f>Tabla_Items_Con_Existencia[[#This Row],[COSTO]]*Tabla_Items_Con_Existencia[[#This Row],[EXISTENCIA]]</f>
        <v>137.00917908</v>
      </c>
      <c r="I1030" s="1">
        <f>IF(ISERROR(MATCH(Tabla_Items_Con_Existencia[[#This Row],[CODIGO]],Tabla_Items_Activos[CODIGO],0)),0,1)</f>
        <v>0</v>
      </c>
    </row>
    <row r="1031" spans="1:9">
      <c r="A1031" s="2" t="s">
        <v>6761</v>
      </c>
      <c r="B1031" s="2" t="s">
        <v>6523</v>
      </c>
      <c r="C1031" s="2" t="s">
        <v>7113</v>
      </c>
      <c r="D1031" s="2" t="s">
        <v>5186</v>
      </c>
      <c r="E1031" s="2" t="s">
        <v>5159</v>
      </c>
      <c r="F1031" s="2">
        <v>3.80581053</v>
      </c>
      <c r="G1031" s="2">
        <v>36</v>
      </c>
      <c r="H1031" s="2">
        <f>Tabla_Items_Con_Existencia[[#This Row],[COSTO]]*Tabla_Items_Con_Existencia[[#This Row],[EXISTENCIA]]</f>
        <v>137.00917908</v>
      </c>
      <c r="I1031" s="1">
        <f>IF(ISERROR(MATCH(Tabla_Items_Con_Existencia[[#This Row],[CODIGO]],Tabla_Items_Activos[CODIGO],0)),0,1)</f>
        <v>0</v>
      </c>
    </row>
    <row r="1032" spans="1:9">
      <c r="A1032" s="2" t="s">
        <v>6760</v>
      </c>
      <c r="B1032" s="2" t="s">
        <v>486</v>
      </c>
      <c r="C1032" s="2" t="s">
        <v>1957</v>
      </c>
      <c r="D1032" s="2" t="s">
        <v>5188</v>
      </c>
      <c r="E1032" s="2" t="s">
        <v>5159</v>
      </c>
      <c r="F1032" s="2">
        <v>65.822999999999993</v>
      </c>
      <c r="G1032" s="2">
        <v>2</v>
      </c>
      <c r="H1032" s="2">
        <f>Tabla_Items_Con_Existencia[[#This Row],[COSTO]]*Tabla_Items_Con_Existencia[[#This Row],[EXISTENCIA]]</f>
        <v>131.64599999999999</v>
      </c>
      <c r="I1032" s="1">
        <f>IF(ISERROR(MATCH(Tabla_Items_Con_Existencia[[#This Row],[CODIGO]],Tabla_Items_Activos[CODIGO],0)),0,1)</f>
        <v>0</v>
      </c>
    </row>
    <row r="1033" spans="1:9">
      <c r="A1033" s="2" t="s">
        <v>6760</v>
      </c>
      <c r="B1033" s="2" t="s">
        <v>488</v>
      </c>
      <c r="C1033" s="2" t="s">
        <v>1958</v>
      </c>
      <c r="D1033" s="2" t="s">
        <v>5158</v>
      </c>
      <c r="E1033" s="2" t="s">
        <v>5159</v>
      </c>
      <c r="F1033" s="2">
        <v>34.627099999999999</v>
      </c>
      <c r="G1033" s="2">
        <v>8</v>
      </c>
      <c r="H1033" s="2">
        <f>Tabla_Items_Con_Existencia[[#This Row],[COSTO]]*Tabla_Items_Con_Existencia[[#This Row],[EXISTENCIA]]</f>
        <v>277.01679999999999</v>
      </c>
      <c r="I1033" s="1">
        <f>IF(ISERROR(MATCH(Tabla_Items_Con_Existencia[[#This Row],[CODIGO]],Tabla_Items_Activos[CODIGO],0)),0,1)</f>
        <v>0</v>
      </c>
    </row>
    <row r="1034" spans="1:9">
      <c r="A1034" s="2" t="s">
        <v>6760</v>
      </c>
      <c r="B1034" s="2" t="s">
        <v>7233</v>
      </c>
      <c r="C1034" s="2" t="s">
        <v>7234</v>
      </c>
      <c r="D1034" s="2" t="s">
        <v>5189</v>
      </c>
      <c r="E1034" s="2" t="s">
        <v>5159</v>
      </c>
      <c r="F1034" s="2">
        <v>0.1</v>
      </c>
      <c r="G1034" s="2">
        <v>2</v>
      </c>
      <c r="H1034" s="2">
        <f>Tabla_Items_Con_Existencia[[#This Row],[COSTO]]*Tabla_Items_Con_Existencia[[#This Row],[EXISTENCIA]]</f>
        <v>0.2</v>
      </c>
      <c r="I1034" s="1">
        <f>IF(ISERROR(MATCH(Tabla_Items_Con_Existencia[[#This Row],[CODIGO]],Tabla_Items_Activos[CODIGO],0)),0,1)</f>
        <v>0</v>
      </c>
    </row>
    <row r="1035" spans="1:9">
      <c r="A1035" s="2" t="s">
        <v>6760</v>
      </c>
      <c r="B1035" s="2" t="s">
        <v>489</v>
      </c>
      <c r="C1035" s="2" t="s">
        <v>1959</v>
      </c>
      <c r="D1035" s="2" t="s">
        <v>5158</v>
      </c>
      <c r="E1035" s="2" t="s">
        <v>5159</v>
      </c>
      <c r="F1035" s="2">
        <v>37.878</v>
      </c>
      <c r="G1035" s="2">
        <v>5</v>
      </c>
      <c r="H1035" s="2">
        <f>Tabla_Items_Con_Existencia[[#This Row],[COSTO]]*Tabla_Items_Con_Existencia[[#This Row],[EXISTENCIA]]</f>
        <v>189.39</v>
      </c>
      <c r="I1035" s="1">
        <f>IF(ISERROR(MATCH(Tabla_Items_Con_Existencia[[#This Row],[CODIGO]],Tabla_Items_Activos[CODIGO],0)),0,1)</f>
        <v>0</v>
      </c>
    </row>
    <row r="1036" spans="1:9">
      <c r="A1036" s="2" t="s">
        <v>6760</v>
      </c>
      <c r="B1036" s="2" t="s">
        <v>490</v>
      </c>
      <c r="C1036" s="2" t="s">
        <v>1960</v>
      </c>
      <c r="D1036" s="2" t="s">
        <v>5158</v>
      </c>
      <c r="E1036" s="2" t="s">
        <v>5159</v>
      </c>
      <c r="F1036" s="2">
        <v>40.931199999999997</v>
      </c>
      <c r="G1036" s="2">
        <v>2</v>
      </c>
      <c r="H1036" s="2">
        <f>Tabla_Items_Con_Existencia[[#This Row],[COSTO]]*Tabla_Items_Con_Existencia[[#This Row],[EXISTENCIA]]</f>
        <v>81.862399999999994</v>
      </c>
      <c r="I1036" s="1">
        <f>IF(ISERROR(MATCH(Tabla_Items_Con_Existencia[[#This Row],[CODIGO]],Tabla_Items_Activos[CODIGO],0)),0,1)</f>
        <v>0</v>
      </c>
    </row>
    <row r="1037" spans="1:9">
      <c r="A1037" s="2" t="s">
        <v>6760</v>
      </c>
      <c r="B1037" s="2" t="s">
        <v>491</v>
      </c>
      <c r="C1037" s="2" t="s">
        <v>1961</v>
      </c>
      <c r="D1037" s="2" t="s">
        <v>5186</v>
      </c>
      <c r="E1037" s="2" t="s">
        <v>5159</v>
      </c>
      <c r="F1037" s="2">
        <v>65.52</v>
      </c>
      <c r="G1037" s="2">
        <v>2</v>
      </c>
      <c r="H1037" s="2">
        <f>Tabla_Items_Con_Existencia[[#This Row],[COSTO]]*Tabla_Items_Con_Existencia[[#This Row],[EXISTENCIA]]</f>
        <v>131.04</v>
      </c>
      <c r="I1037" s="1">
        <f>IF(ISERROR(MATCH(Tabla_Items_Con_Existencia[[#This Row],[CODIGO]],Tabla_Items_Activos[CODIGO],0)),0,1)</f>
        <v>0</v>
      </c>
    </row>
    <row r="1038" spans="1:9">
      <c r="A1038" s="2" t="s">
        <v>6760</v>
      </c>
      <c r="B1038" s="2" t="s">
        <v>1962</v>
      </c>
      <c r="C1038" s="2" t="s">
        <v>5461</v>
      </c>
      <c r="D1038" s="2" t="s">
        <v>5186</v>
      </c>
      <c r="E1038" s="2" t="s">
        <v>5159</v>
      </c>
      <c r="F1038" s="2">
        <v>30.379799999999999</v>
      </c>
      <c r="G1038" s="2">
        <v>13</v>
      </c>
      <c r="H1038" s="2">
        <f>Tabla_Items_Con_Existencia[[#This Row],[COSTO]]*Tabla_Items_Con_Existencia[[#This Row],[EXISTENCIA]]</f>
        <v>394.93739999999997</v>
      </c>
      <c r="I1038" s="1">
        <f>IF(ISERROR(MATCH(Tabla_Items_Con_Existencia[[#This Row],[CODIGO]],Tabla_Items_Activos[CODIGO],0)),0,1)</f>
        <v>0</v>
      </c>
    </row>
    <row r="1039" spans="1:9">
      <c r="A1039" s="2" t="s">
        <v>6760</v>
      </c>
      <c r="B1039" s="2" t="s">
        <v>6894</v>
      </c>
      <c r="C1039" s="2" t="s">
        <v>6895</v>
      </c>
      <c r="D1039" s="2" t="s">
        <v>5186</v>
      </c>
      <c r="E1039" s="2" t="s">
        <v>5159</v>
      </c>
      <c r="F1039" s="2">
        <v>45.08</v>
      </c>
      <c r="G1039" s="2">
        <v>1</v>
      </c>
      <c r="H1039" s="2">
        <f>Tabla_Items_Con_Existencia[[#This Row],[COSTO]]*Tabla_Items_Con_Existencia[[#This Row],[EXISTENCIA]]</f>
        <v>45.08</v>
      </c>
      <c r="I1039" s="1">
        <f>IF(ISERROR(MATCH(Tabla_Items_Con_Existencia[[#This Row],[CODIGO]],Tabla_Items_Activos[CODIGO],0)),0,1)</f>
        <v>0</v>
      </c>
    </row>
    <row r="1040" spans="1:9">
      <c r="A1040" s="2" t="s">
        <v>6760</v>
      </c>
      <c r="B1040" s="2" t="s">
        <v>1964</v>
      </c>
      <c r="C1040" s="2" t="s">
        <v>1965</v>
      </c>
      <c r="D1040" s="2" t="s">
        <v>5201</v>
      </c>
      <c r="E1040" s="2" t="s">
        <v>5159</v>
      </c>
      <c r="F1040" s="2">
        <v>41.63</v>
      </c>
      <c r="G1040" s="2">
        <v>2</v>
      </c>
      <c r="H1040" s="2">
        <f>Tabla_Items_Con_Existencia[[#This Row],[COSTO]]*Tabla_Items_Con_Existencia[[#This Row],[EXISTENCIA]]</f>
        <v>83.26</v>
      </c>
      <c r="I1040" s="1">
        <f>IF(ISERROR(MATCH(Tabla_Items_Con_Existencia[[#This Row],[CODIGO]],Tabla_Items_Activos[CODIGO],0)),0,1)</f>
        <v>0</v>
      </c>
    </row>
    <row r="1041" spans="1:9">
      <c r="A1041" s="2" t="s">
        <v>6760</v>
      </c>
      <c r="B1041" s="2" t="s">
        <v>492</v>
      </c>
      <c r="C1041" s="2" t="s">
        <v>1966</v>
      </c>
      <c r="D1041" s="2" t="s">
        <v>5158</v>
      </c>
      <c r="E1041" s="2" t="s">
        <v>5159</v>
      </c>
      <c r="F1041" s="2">
        <v>28.837052629999999</v>
      </c>
      <c r="G1041" s="2">
        <v>2</v>
      </c>
      <c r="H1041" s="2">
        <f>Tabla_Items_Con_Existencia[[#This Row],[COSTO]]*Tabla_Items_Con_Existencia[[#This Row],[EXISTENCIA]]</f>
        <v>57.674105259999997</v>
      </c>
      <c r="I1041" s="1">
        <f>IF(ISERROR(MATCH(Tabla_Items_Con_Existencia[[#This Row],[CODIGO]],Tabla_Items_Activos[CODIGO],0)),0,1)</f>
        <v>0</v>
      </c>
    </row>
    <row r="1042" spans="1:9">
      <c r="A1042" s="2" t="s">
        <v>6761</v>
      </c>
      <c r="B1042" s="2" t="s">
        <v>492</v>
      </c>
      <c r="C1042" s="2" t="s">
        <v>1966</v>
      </c>
      <c r="D1042" s="2" t="s">
        <v>5158</v>
      </c>
      <c r="E1042" s="2" t="s">
        <v>5159</v>
      </c>
      <c r="F1042" s="2">
        <v>28.837052629999999</v>
      </c>
      <c r="G1042" s="2">
        <v>2</v>
      </c>
      <c r="H1042" s="2">
        <f>Tabla_Items_Con_Existencia[[#This Row],[COSTO]]*Tabla_Items_Con_Existencia[[#This Row],[EXISTENCIA]]</f>
        <v>57.674105259999997</v>
      </c>
      <c r="I1042" s="1">
        <f>IF(ISERROR(MATCH(Tabla_Items_Con_Existencia[[#This Row],[CODIGO]],Tabla_Items_Activos[CODIGO],0)),0,1)</f>
        <v>0</v>
      </c>
    </row>
    <row r="1043" spans="1:9">
      <c r="A1043" s="2" t="s">
        <v>6760</v>
      </c>
      <c r="B1043" s="2" t="s">
        <v>493</v>
      </c>
      <c r="C1043" s="2" t="s">
        <v>4785</v>
      </c>
      <c r="D1043" s="2" t="s">
        <v>5158</v>
      </c>
      <c r="E1043" s="2" t="s">
        <v>5159</v>
      </c>
      <c r="F1043" s="2">
        <v>21.777999999999999</v>
      </c>
      <c r="G1043" s="2">
        <v>8</v>
      </c>
      <c r="H1043" s="2">
        <f>Tabla_Items_Con_Existencia[[#This Row],[COSTO]]*Tabla_Items_Con_Existencia[[#This Row],[EXISTENCIA]]</f>
        <v>174.22399999999999</v>
      </c>
      <c r="I1043" s="1">
        <f>IF(ISERROR(MATCH(Tabla_Items_Con_Existencia[[#This Row],[CODIGO]],Tabla_Items_Activos[CODIGO],0)),0,1)</f>
        <v>0</v>
      </c>
    </row>
    <row r="1044" spans="1:9">
      <c r="A1044" s="2" t="s">
        <v>6761</v>
      </c>
      <c r="B1044" s="2" t="s">
        <v>494</v>
      </c>
      <c r="C1044" s="2" t="s">
        <v>6324</v>
      </c>
      <c r="D1044" s="2" t="s">
        <v>5158</v>
      </c>
      <c r="E1044" s="2" t="s">
        <v>5159</v>
      </c>
      <c r="F1044" s="2">
        <v>35.266084210000002</v>
      </c>
      <c r="G1044" s="2">
        <v>8</v>
      </c>
      <c r="H1044" s="2">
        <f>Tabla_Items_Con_Existencia[[#This Row],[COSTO]]*Tabla_Items_Con_Existencia[[#This Row],[EXISTENCIA]]</f>
        <v>282.12867368000002</v>
      </c>
      <c r="I1044" s="1">
        <f>IF(ISERROR(MATCH(Tabla_Items_Con_Existencia[[#This Row],[CODIGO]],Tabla_Items_Activos[CODIGO],0)),0,1)</f>
        <v>0</v>
      </c>
    </row>
    <row r="1045" spans="1:9">
      <c r="A1045" s="2" t="s">
        <v>6760</v>
      </c>
      <c r="B1045" s="2" t="s">
        <v>494</v>
      </c>
      <c r="C1045" s="2" t="s">
        <v>6324</v>
      </c>
      <c r="D1045" s="2" t="s">
        <v>5158</v>
      </c>
      <c r="E1045" s="2" t="s">
        <v>5159</v>
      </c>
      <c r="F1045" s="2">
        <v>35.266084210000002</v>
      </c>
      <c r="G1045" s="2">
        <v>8</v>
      </c>
      <c r="H1045" s="2">
        <f>Tabla_Items_Con_Existencia[[#This Row],[COSTO]]*Tabla_Items_Con_Existencia[[#This Row],[EXISTENCIA]]</f>
        <v>282.12867368000002</v>
      </c>
      <c r="I1045" s="1">
        <f>IF(ISERROR(MATCH(Tabla_Items_Con_Existencia[[#This Row],[CODIGO]],Tabla_Items_Activos[CODIGO],0)),0,1)</f>
        <v>0</v>
      </c>
    </row>
    <row r="1046" spans="1:9">
      <c r="A1046" s="2" t="s">
        <v>6760</v>
      </c>
      <c r="B1046" s="2" t="s">
        <v>495</v>
      </c>
      <c r="C1046" s="2" t="s">
        <v>6896</v>
      </c>
      <c r="D1046" s="2" t="s">
        <v>5158</v>
      </c>
      <c r="E1046" s="2" t="s">
        <v>5159</v>
      </c>
      <c r="F1046" s="2">
        <v>42.89</v>
      </c>
      <c r="G1046" s="2">
        <v>2</v>
      </c>
      <c r="H1046" s="2">
        <f>Tabla_Items_Con_Existencia[[#This Row],[COSTO]]*Tabla_Items_Con_Existencia[[#This Row],[EXISTENCIA]]</f>
        <v>85.78</v>
      </c>
      <c r="I1046" s="1">
        <f>IF(ISERROR(MATCH(Tabla_Items_Con_Existencia[[#This Row],[CODIGO]],Tabla_Items_Activos[CODIGO],0)),0,1)</f>
        <v>0</v>
      </c>
    </row>
    <row r="1047" spans="1:9">
      <c r="A1047" s="2" t="s">
        <v>6760</v>
      </c>
      <c r="B1047" s="2" t="s">
        <v>6524</v>
      </c>
      <c r="C1047" s="2" t="s">
        <v>4783</v>
      </c>
      <c r="D1047" s="2" t="s">
        <v>5158</v>
      </c>
      <c r="E1047" s="2" t="s">
        <v>5159</v>
      </c>
      <c r="F1047" s="2">
        <v>26.114899999999999</v>
      </c>
      <c r="G1047" s="2">
        <v>6</v>
      </c>
      <c r="H1047" s="2">
        <f>Tabla_Items_Con_Existencia[[#This Row],[COSTO]]*Tabla_Items_Con_Existencia[[#This Row],[EXISTENCIA]]</f>
        <v>156.68939999999998</v>
      </c>
      <c r="I1047" s="1">
        <f>IF(ISERROR(MATCH(Tabla_Items_Con_Existencia[[#This Row],[CODIGO]],Tabla_Items_Activos[CODIGO],0)),0,1)</f>
        <v>0</v>
      </c>
    </row>
    <row r="1048" spans="1:9">
      <c r="A1048" s="2" t="s">
        <v>6760</v>
      </c>
      <c r="B1048" s="2" t="s">
        <v>1969</v>
      </c>
      <c r="C1048" s="2" t="s">
        <v>1970</v>
      </c>
      <c r="D1048" s="2" t="s">
        <v>5186</v>
      </c>
      <c r="E1048" s="2" t="s">
        <v>5159</v>
      </c>
      <c r="F1048" s="2">
        <v>54.784999999999997</v>
      </c>
      <c r="G1048" s="2">
        <v>1</v>
      </c>
      <c r="H1048" s="2">
        <f>Tabla_Items_Con_Existencia[[#This Row],[COSTO]]*Tabla_Items_Con_Existencia[[#This Row],[EXISTENCIA]]</f>
        <v>54.784999999999997</v>
      </c>
      <c r="I1048" s="1">
        <f>IF(ISERROR(MATCH(Tabla_Items_Con_Existencia[[#This Row],[CODIGO]],Tabla_Items_Activos[CODIGO],0)),0,1)</f>
        <v>0</v>
      </c>
    </row>
    <row r="1049" spans="1:9">
      <c r="A1049" s="2" t="s">
        <v>6760</v>
      </c>
      <c r="B1049" s="2" t="s">
        <v>6525</v>
      </c>
      <c r="C1049" s="2" t="s">
        <v>6526</v>
      </c>
      <c r="D1049" s="2" t="s">
        <v>5186</v>
      </c>
      <c r="E1049" s="2" t="s">
        <v>5159</v>
      </c>
      <c r="F1049" s="2">
        <v>78.111999999999995</v>
      </c>
      <c r="G1049" s="2">
        <v>1</v>
      </c>
      <c r="H1049" s="2">
        <f>Tabla_Items_Con_Existencia[[#This Row],[COSTO]]*Tabla_Items_Con_Existencia[[#This Row],[EXISTENCIA]]</f>
        <v>78.111999999999995</v>
      </c>
      <c r="I1049" s="1">
        <f>IF(ISERROR(MATCH(Tabla_Items_Con_Existencia[[#This Row],[CODIGO]],Tabla_Items_Activos[CODIGO],0)),0,1)</f>
        <v>0</v>
      </c>
    </row>
    <row r="1050" spans="1:9">
      <c r="A1050" s="2" t="s">
        <v>6760</v>
      </c>
      <c r="B1050" s="2" t="s">
        <v>498</v>
      </c>
      <c r="C1050" s="2" t="s">
        <v>1970</v>
      </c>
      <c r="D1050" s="2" t="s">
        <v>5186</v>
      </c>
      <c r="E1050" s="2" t="s">
        <v>5159</v>
      </c>
      <c r="F1050" s="2">
        <v>88.003299999999996</v>
      </c>
      <c r="G1050" s="2">
        <v>2</v>
      </c>
      <c r="H1050" s="2">
        <f>Tabla_Items_Con_Existencia[[#This Row],[COSTO]]*Tabla_Items_Con_Existencia[[#This Row],[EXISTENCIA]]</f>
        <v>176.00659999999999</v>
      </c>
      <c r="I1050" s="1">
        <f>IF(ISERROR(MATCH(Tabla_Items_Con_Existencia[[#This Row],[CODIGO]],Tabla_Items_Activos[CODIGO],0)),0,1)</f>
        <v>0</v>
      </c>
    </row>
    <row r="1051" spans="1:9">
      <c r="A1051" s="2" t="s">
        <v>6760</v>
      </c>
      <c r="B1051" s="2" t="s">
        <v>499</v>
      </c>
      <c r="C1051" s="2" t="s">
        <v>1971</v>
      </c>
      <c r="D1051" s="2" t="s">
        <v>5158</v>
      </c>
      <c r="E1051" s="2" t="s">
        <v>5159</v>
      </c>
      <c r="F1051" s="2">
        <v>57.16</v>
      </c>
      <c r="G1051" s="2">
        <v>4</v>
      </c>
      <c r="H1051" s="2">
        <f>Tabla_Items_Con_Existencia[[#This Row],[COSTO]]*Tabla_Items_Con_Existencia[[#This Row],[EXISTENCIA]]</f>
        <v>228.64</v>
      </c>
      <c r="I1051" s="1">
        <f>IF(ISERROR(MATCH(Tabla_Items_Con_Existencia[[#This Row],[CODIGO]],Tabla_Items_Activos[CODIGO],0)),0,1)</f>
        <v>0</v>
      </c>
    </row>
    <row r="1052" spans="1:9">
      <c r="A1052" s="2" t="s">
        <v>6760</v>
      </c>
      <c r="B1052" s="2" t="s">
        <v>500</v>
      </c>
      <c r="C1052" s="2" t="s">
        <v>1972</v>
      </c>
      <c r="D1052" s="2" t="s">
        <v>5186</v>
      </c>
      <c r="E1052" s="2" t="s">
        <v>5159</v>
      </c>
      <c r="F1052" s="2">
        <v>42.213299999999997</v>
      </c>
      <c r="G1052" s="2">
        <v>2</v>
      </c>
      <c r="H1052" s="2">
        <f>Tabla_Items_Con_Existencia[[#This Row],[COSTO]]*Tabla_Items_Con_Existencia[[#This Row],[EXISTENCIA]]</f>
        <v>84.426599999999993</v>
      </c>
      <c r="I1052" s="1">
        <f>IF(ISERROR(MATCH(Tabla_Items_Con_Existencia[[#This Row],[CODIGO]],Tabla_Items_Activos[CODIGO],0)),0,1)</f>
        <v>0</v>
      </c>
    </row>
    <row r="1053" spans="1:9">
      <c r="A1053" s="2" t="s">
        <v>6760</v>
      </c>
      <c r="B1053" s="2" t="s">
        <v>6527</v>
      </c>
      <c r="C1053" s="2" t="s">
        <v>6528</v>
      </c>
      <c r="D1053" s="2" t="s">
        <v>5158</v>
      </c>
      <c r="E1053" s="2" t="s">
        <v>5159</v>
      </c>
      <c r="F1053" s="2">
        <v>14.273</v>
      </c>
      <c r="G1053" s="2">
        <v>19</v>
      </c>
      <c r="H1053" s="2">
        <f>Tabla_Items_Con_Existencia[[#This Row],[COSTO]]*Tabla_Items_Con_Existencia[[#This Row],[EXISTENCIA]]</f>
        <v>271.18700000000001</v>
      </c>
      <c r="I1053" s="1">
        <f>IF(ISERROR(MATCH(Tabla_Items_Con_Existencia[[#This Row],[CODIGO]],Tabla_Items_Activos[CODIGO],0)),0,1)</f>
        <v>0</v>
      </c>
    </row>
    <row r="1054" spans="1:9">
      <c r="A1054" s="2" t="s">
        <v>6760</v>
      </c>
      <c r="B1054" s="2" t="s">
        <v>501</v>
      </c>
      <c r="C1054" s="2" t="s">
        <v>1973</v>
      </c>
      <c r="D1054" s="2" t="s">
        <v>5158</v>
      </c>
      <c r="E1054" s="2" t="s">
        <v>5159</v>
      </c>
      <c r="F1054" s="2">
        <v>6.8</v>
      </c>
      <c r="G1054" s="2">
        <v>2</v>
      </c>
      <c r="H1054" s="2">
        <f>Tabla_Items_Con_Existencia[[#This Row],[COSTO]]*Tabla_Items_Con_Existencia[[#This Row],[EXISTENCIA]]</f>
        <v>13.6</v>
      </c>
      <c r="I1054" s="1">
        <f>IF(ISERROR(MATCH(Tabla_Items_Con_Existencia[[#This Row],[CODIGO]],Tabla_Items_Activos[CODIGO],0)),0,1)</f>
        <v>0</v>
      </c>
    </row>
    <row r="1055" spans="1:9">
      <c r="A1055" s="2" t="s">
        <v>6760</v>
      </c>
      <c r="B1055" s="2" t="s">
        <v>6529</v>
      </c>
      <c r="C1055" s="2" t="s">
        <v>4523</v>
      </c>
      <c r="D1055" s="2" t="s">
        <v>5186</v>
      </c>
      <c r="E1055" s="2" t="s">
        <v>5159</v>
      </c>
      <c r="F1055" s="2">
        <v>9.7899999999999991</v>
      </c>
      <c r="G1055" s="2">
        <v>1</v>
      </c>
      <c r="H1055" s="2">
        <f>Tabla_Items_Con_Existencia[[#This Row],[COSTO]]*Tabla_Items_Con_Existencia[[#This Row],[EXISTENCIA]]</f>
        <v>9.7899999999999991</v>
      </c>
      <c r="I1055" s="1">
        <f>IF(ISERROR(MATCH(Tabla_Items_Con_Existencia[[#This Row],[CODIGO]],Tabla_Items_Activos[CODIGO],0)),0,1)</f>
        <v>0</v>
      </c>
    </row>
    <row r="1056" spans="1:9">
      <c r="A1056" s="2" t="s">
        <v>6760</v>
      </c>
      <c r="B1056" s="2" t="s">
        <v>502</v>
      </c>
      <c r="C1056" s="2" t="s">
        <v>1974</v>
      </c>
      <c r="D1056" s="2" t="s">
        <v>5158</v>
      </c>
      <c r="E1056" s="2" t="s">
        <v>5159</v>
      </c>
      <c r="F1056" s="2">
        <v>10.28</v>
      </c>
      <c r="G1056" s="2">
        <v>1</v>
      </c>
      <c r="H1056" s="2">
        <f>Tabla_Items_Con_Existencia[[#This Row],[COSTO]]*Tabla_Items_Con_Existencia[[#This Row],[EXISTENCIA]]</f>
        <v>10.28</v>
      </c>
      <c r="I1056" s="1">
        <f>IF(ISERROR(MATCH(Tabla_Items_Con_Existencia[[#This Row],[CODIGO]],Tabla_Items_Activos[CODIGO],0)),0,1)</f>
        <v>0</v>
      </c>
    </row>
    <row r="1057" spans="1:9">
      <c r="A1057" s="2" t="s">
        <v>6760</v>
      </c>
      <c r="B1057" s="2" t="s">
        <v>6897</v>
      </c>
      <c r="C1057" s="2" t="s">
        <v>6898</v>
      </c>
      <c r="D1057" s="2" t="s">
        <v>5158</v>
      </c>
      <c r="E1057" s="2" t="s">
        <v>5159</v>
      </c>
      <c r="F1057" s="2">
        <v>6.98</v>
      </c>
      <c r="G1057" s="2">
        <v>1</v>
      </c>
      <c r="H1057" s="2">
        <f>Tabla_Items_Con_Existencia[[#This Row],[COSTO]]*Tabla_Items_Con_Existencia[[#This Row],[EXISTENCIA]]</f>
        <v>6.98</v>
      </c>
      <c r="I1057" s="1">
        <f>IF(ISERROR(MATCH(Tabla_Items_Con_Existencia[[#This Row],[CODIGO]],Tabla_Items_Activos[CODIGO],0)),0,1)</f>
        <v>0</v>
      </c>
    </row>
    <row r="1058" spans="1:9">
      <c r="A1058" s="2" t="s">
        <v>6760</v>
      </c>
      <c r="B1058" s="2" t="s">
        <v>503</v>
      </c>
      <c r="C1058" s="2" t="s">
        <v>5465</v>
      </c>
      <c r="D1058" s="2" t="s">
        <v>5158</v>
      </c>
      <c r="E1058" s="2" t="s">
        <v>5159</v>
      </c>
      <c r="F1058" s="2">
        <v>0</v>
      </c>
      <c r="G1058" s="2">
        <v>1</v>
      </c>
      <c r="H1058" s="2">
        <f>Tabla_Items_Con_Existencia[[#This Row],[COSTO]]*Tabla_Items_Con_Existencia[[#This Row],[EXISTENCIA]]</f>
        <v>0</v>
      </c>
      <c r="I1058" s="1">
        <f>IF(ISERROR(MATCH(Tabla_Items_Con_Existencia[[#This Row],[CODIGO]],Tabla_Items_Activos[CODIGO],0)),0,1)</f>
        <v>0</v>
      </c>
    </row>
    <row r="1059" spans="1:9">
      <c r="A1059" s="2" t="s">
        <v>6760</v>
      </c>
      <c r="B1059" s="2" t="s">
        <v>504</v>
      </c>
      <c r="C1059" s="2" t="s">
        <v>6325</v>
      </c>
      <c r="D1059" s="2" t="s">
        <v>5158</v>
      </c>
      <c r="E1059" s="2" t="s">
        <v>5159</v>
      </c>
      <c r="F1059" s="2">
        <v>14.105</v>
      </c>
      <c r="G1059" s="2">
        <v>1</v>
      </c>
      <c r="H1059" s="2">
        <f>Tabla_Items_Con_Existencia[[#This Row],[COSTO]]*Tabla_Items_Con_Existencia[[#This Row],[EXISTENCIA]]</f>
        <v>14.105</v>
      </c>
      <c r="I1059" s="1">
        <f>IF(ISERROR(MATCH(Tabla_Items_Con_Existencia[[#This Row],[CODIGO]],Tabla_Items_Activos[CODIGO],0)),0,1)</f>
        <v>0</v>
      </c>
    </row>
    <row r="1060" spans="1:9">
      <c r="A1060" s="2" t="s">
        <v>6760</v>
      </c>
      <c r="B1060" s="2" t="s">
        <v>505</v>
      </c>
      <c r="C1060" s="2" t="s">
        <v>4763</v>
      </c>
      <c r="D1060" s="2" t="s">
        <v>5158</v>
      </c>
      <c r="E1060" s="2" t="s">
        <v>5159</v>
      </c>
      <c r="F1060" s="2">
        <v>4.2549999999999999</v>
      </c>
      <c r="G1060" s="2">
        <v>2</v>
      </c>
      <c r="H1060" s="2">
        <f>Tabla_Items_Con_Existencia[[#This Row],[COSTO]]*Tabla_Items_Con_Existencia[[#This Row],[EXISTENCIA]]</f>
        <v>8.51</v>
      </c>
      <c r="I1060" s="1">
        <f>IF(ISERROR(MATCH(Tabla_Items_Con_Existencia[[#This Row],[CODIGO]],Tabla_Items_Activos[CODIGO],0)),0,1)</f>
        <v>0</v>
      </c>
    </row>
    <row r="1061" spans="1:9">
      <c r="A1061" s="2" t="s">
        <v>6760</v>
      </c>
      <c r="B1061" s="2" t="s">
        <v>506</v>
      </c>
      <c r="C1061" s="2" t="s">
        <v>1977</v>
      </c>
      <c r="D1061" s="2" t="s">
        <v>5158</v>
      </c>
      <c r="E1061" s="2" t="s">
        <v>5159</v>
      </c>
      <c r="F1061" s="2">
        <v>4.5747368399999999</v>
      </c>
      <c r="G1061" s="2">
        <v>7</v>
      </c>
      <c r="H1061" s="2">
        <f>Tabla_Items_Con_Existencia[[#This Row],[COSTO]]*Tabla_Items_Con_Existencia[[#This Row],[EXISTENCIA]]</f>
        <v>32.023157879999999</v>
      </c>
      <c r="I1061" s="1">
        <f>IF(ISERROR(MATCH(Tabla_Items_Con_Existencia[[#This Row],[CODIGO]],Tabla_Items_Activos[CODIGO],0)),0,1)</f>
        <v>0</v>
      </c>
    </row>
    <row r="1062" spans="1:9">
      <c r="A1062" s="2" t="s">
        <v>6761</v>
      </c>
      <c r="B1062" s="2" t="s">
        <v>506</v>
      </c>
      <c r="C1062" s="2" t="s">
        <v>1977</v>
      </c>
      <c r="D1062" s="2" t="s">
        <v>5158</v>
      </c>
      <c r="E1062" s="2" t="s">
        <v>5159</v>
      </c>
      <c r="F1062" s="2">
        <v>4.5747368399999999</v>
      </c>
      <c r="G1062" s="2">
        <v>7</v>
      </c>
      <c r="H1062" s="2">
        <f>Tabla_Items_Con_Existencia[[#This Row],[COSTO]]*Tabla_Items_Con_Existencia[[#This Row],[EXISTENCIA]]</f>
        <v>32.023157879999999</v>
      </c>
      <c r="I1062" s="1">
        <f>IF(ISERROR(MATCH(Tabla_Items_Con_Existencia[[#This Row],[CODIGO]],Tabla_Items_Activos[CODIGO],0)),0,1)</f>
        <v>0</v>
      </c>
    </row>
    <row r="1063" spans="1:9">
      <c r="A1063" s="2" t="s">
        <v>6760</v>
      </c>
      <c r="B1063" s="2" t="s">
        <v>507</v>
      </c>
      <c r="C1063" s="2" t="s">
        <v>1978</v>
      </c>
      <c r="D1063" s="2" t="s">
        <v>5158</v>
      </c>
      <c r="E1063" s="2" t="s">
        <v>5159</v>
      </c>
      <c r="F1063" s="2">
        <v>4.8019999999999996</v>
      </c>
      <c r="G1063" s="2">
        <v>14</v>
      </c>
      <c r="H1063" s="2">
        <f>Tabla_Items_Con_Existencia[[#This Row],[COSTO]]*Tabla_Items_Con_Existencia[[#This Row],[EXISTENCIA]]</f>
        <v>67.227999999999994</v>
      </c>
      <c r="I1063" s="1">
        <f>IF(ISERROR(MATCH(Tabla_Items_Con_Existencia[[#This Row],[CODIGO]],Tabla_Items_Activos[CODIGO],0)),0,1)</f>
        <v>0</v>
      </c>
    </row>
    <row r="1064" spans="1:9">
      <c r="A1064" s="2" t="s">
        <v>6760</v>
      </c>
      <c r="B1064" s="2" t="s">
        <v>508</v>
      </c>
      <c r="C1064" s="2" t="s">
        <v>1979</v>
      </c>
      <c r="D1064" s="2" t="s">
        <v>5158</v>
      </c>
      <c r="E1064" s="2" t="s">
        <v>5159</v>
      </c>
      <c r="F1064" s="2">
        <v>15.22</v>
      </c>
      <c r="G1064" s="2">
        <v>2</v>
      </c>
      <c r="H1064" s="2">
        <f>Tabla_Items_Con_Existencia[[#This Row],[COSTO]]*Tabla_Items_Con_Existencia[[#This Row],[EXISTENCIA]]</f>
        <v>30.44</v>
      </c>
      <c r="I1064" s="1">
        <f>IF(ISERROR(MATCH(Tabla_Items_Con_Existencia[[#This Row],[CODIGO]],Tabla_Items_Activos[CODIGO],0)),0,1)</f>
        <v>0</v>
      </c>
    </row>
    <row r="1065" spans="1:9">
      <c r="A1065" s="2" t="s">
        <v>6760</v>
      </c>
      <c r="B1065" s="2" t="s">
        <v>509</v>
      </c>
      <c r="C1065" s="2" t="s">
        <v>1980</v>
      </c>
      <c r="D1065" s="2" t="s">
        <v>5158</v>
      </c>
      <c r="E1065" s="2" t="s">
        <v>5159</v>
      </c>
      <c r="F1065" s="2">
        <v>4.1898999999999997</v>
      </c>
      <c r="G1065" s="2">
        <v>7</v>
      </c>
      <c r="H1065" s="2">
        <f>Tabla_Items_Con_Existencia[[#This Row],[COSTO]]*Tabla_Items_Con_Existencia[[#This Row],[EXISTENCIA]]</f>
        <v>29.329299999999996</v>
      </c>
      <c r="I1065" s="1">
        <f>IF(ISERROR(MATCH(Tabla_Items_Con_Existencia[[#This Row],[CODIGO]],Tabla_Items_Activos[CODIGO],0)),0,1)</f>
        <v>0</v>
      </c>
    </row>
    <row r="1066" spans="1:9">
      <c r="A1066" s="2" t="s">
        <v>6760</v>
      </c>
      <c r="B1066" s="2" t="s">
        <v>6530</v>
      </c>
      <c r="C1066" s="2" t="s">
        <v>4369</v>
      </c>
      <c r="D1066" s="2" t="s">
        <v>5158</v>
      </c>
      <c r="E1066" s="2" t="s">
        <v>5159</v>
      </c>
      <c r="F1066" s="2">
        <v>2.306</v>
      </c>
      <c r="G1066" s="2">
        <v>23</v>
      </c>
      <c r="H1066" s="2">
        <f>Tabla_Items_Con_Existencia[[#This Row],[COSTO]]*Tabla_Items_Con_Existencia[[#This Row],[EXISTENCIA]]</f>
        <v>53.038000000000004</v>
      </c>
      <c r="I1066" s="1">
        <f>IF(ISERROR(MATCH(Tabla_Items_Con_Existencia[[#This Row],[CODIGO]],Tabla_Items_Activos[CODIGO],0)),0,1)</f>
        <v>0</v>
      </c>
    </row>
    <row r="1067" spans="1:9">
      <c r="A1067" s="2" t="s">
        <v>6760</v>
      </c>
      <c r="B1067" s="2" t="s">
        <v>510</v>
      </c>
      <c r="C1067" s="2" t="s">
        <v>1981</v>
      </c>
      <c r="D1067" s="2" t="s">
        <v>5161</v>
      </c>
      <c r="E1067" s="2" t="s">
        <v>5159</v>
      </c>
      <c r="F1067" s="2">
        <v>2.61</v>
      </c>
      <c r="G1067" s="2">
        <v>8</v>
      </c>
      <c r="H1067" s="2">
        <f>Tabla_Items_Con_Existencia[[#This Row],[COSTO]]*Tabla_Items_Con_Existencia[[#This Row],[EXISTENCIA]]</f>
        <v>20.88</v>
      </c>
      <c r="I1067" s="1">
        <f>IF(ISERROR(MATCH(Tabla_Items_Con_Existencia[[#This Row],[CODIGO]],Tabla_Items_Activos[CODIGO],0)),0,1)</f>
        <v>0</v>
      </c>
    </row>
    <row r="1068" spans="1:9">
      <c r="A1068" s="2" t="s">
        <v>6760</v>
      </c>
      <c r="B1068" s="2" t="s">
        <v>1982</v>
      </c>
      <c r="C1068" s="2" t="s">
        <v>1983</v>
      </c>
      <c r="D1068" s="2" t="s">
        <v>5158</v>
      </c>
      <c r="E1068" s="2" t="s">
        <v>5159</v>
      </c>
      <c r="F1068" s="2">
        <v>4.2880000000000003</v>
      </c>
      <c r="G1068" s="2">
        <v>4</v>
      </c>
      <c r="H1068" s="2">
        <f>Tabla_Items_Con_Existencia[[#This Row],[COSTO]]*Tabla_Items_Con_Existencia[[#This Row],[EXISTENCIA]]</f>
        <v>17.152000000000001</v>
      </c>
      <c r="I1068" s="1">
        <f>IF(ISERROR(MATCH(Tabla_Items_Con_Existencia[[#This Row],[CODIGO]],Tabla_Items_Activos[CODIGO],0)),0,1)</f>
        <v>0</v>
      </c>
    </row>
    <row r="1069" spans="1:9">
      <c r="A1069" s="2" t="s">
        <v>6760</v>
      </c>
      <c r="B1069" s="2" t="s">
        <v>511</v>
      </c>
      <c r="C1069" s="2" t="s">
        <v>6899</v>
      </c>
      <c r="D1069" s="2" t="s">
        <v>5158</v>
      </c>
      <c r="E1069" s="2" t="s">
        <v>5159</v>
      </c>
      <c r="F1069" s="2">
        <v>4.2803000000000004</v>
      </c>
      <c r="G1069" s="2">
        <v>34</v>
      </c>
      <c r="H1069" s="2">
        <f>Tabla_Items_Con_Existencia[[#This Row],[COSTO]]*Tabla_Items_Con_Existencia[[#This Row],[EXISTENCIA]]</f>
        <v>145.53020000000001</v>
      </c>
      <c r="I1069" s="1">
        <f>IF(ISERROR(MATCH(Tabla_Items_Con_Existencia[[#This Row],[CODIGO]],Tabla_Items_Activos[CODIGO],0)),0,1)</f>
        <v>0</v>
      </c>
    </row>
    <row r="1070" spans="1:9">
      <c r="A1070" s="2" t="s">
        <v>6760</v>
      </c>
      <c r="B1070" s="2" t="s">
        <v>6531</v>
      </c>
      <c r="C1070" s="2" t="s">
        <v>6532</v>
      </c>
      <c r="D1070" s="2" t="s">
        <v>5158</v>
      </c>
      <c r="E1070" s="2" t="s">
        <v>5159</v>
      </c>
      <c r="F1070" s="2">
        <v>5.4517684199999996</v>
      </c>
      <c r="G1070" s="2">
        <v>18</v>
      </c>
      <c r="H1070" s="2">
        <f>Tabla_Items_Con_Existencia[[#This Row],[COSTO]]*Tabla_Items_Con_Existencia[[#This Row],[EXISTENCIA]]</f>
        <v>98.131831559999995</v>
      </c>
      <c r="I1070" s="1">
        <f>IF(ISERROR(MATCH(Tabla_Items_Con_Existencia[[#This Row],[CODIGO]],Tabla_Items_Activos[CODIGO],0)),0,1)</f>
        <v>0</v>
      </c>
    </row>
    <row r="1071" spans="1:9">
      <c r="A1071" s="2" t="s">
        <v>6761</v>
      </c>
      <c r="B1071" s="2" t="s">
        <v>6531</v>
      </c>
      <c r="C1071" s="2" t="s">
        <v>6532</v>
      </c>
      <c r="D1071" s="2" t="s">
        <v>5158</v>
      </c>
      <c r="E1071" s="2" t="s">
        <v>5159</v>
      </c>
      <c r="F1071" s="2">
        <v>5.4517684199999996</v>
      </c>
      <c r="G1071" s="2">
        <v>18</v>
      </c>
      <c r="H1071" s="2">
        <f>Tabla_Items_Con_Existencia[[#This Row],[COSTO]]*Tabla_Items_Con_Existencia[[#This Row],[EXISTENCIA]]</f>
        <v>98.131831559999995</v>
      </c>
      <c r="I1071" s="1">
        <f>IF(ISERROR(MATCH(Tabla_Items_Con_Existencia[[#This Row],[CODIGO]],Tabla_Items_Activos[CODIGO],0)),0,1)</f>
        <v>0</v>
      </c>
    </row>
    <row r="1072" spans="1:9">
      <c r="A1072" s="2" t="s">
        <v>6760</v>
      </c>
      <c r="B1072" s="2" t="s">
        <v>512</v>
      </c>
      <c r="C1072" s="2" t="s">
        <v>1985</v>
      </c>
      <c r="D1072" s="2" t="s">
        <v>5186</v>
      </c>
      <c r="E1072" s="2" t="s">
        <v>5159</v>
      </c>
      <c r="F1072" s="2">
        <v>3.32</v>
      </c>
      <c r="G1072" s="2">
        <v>2</v>
      </c>
      <c r="H1072" s="2">
        <f>Tabla_Items_Con_Existencia[[#This Row],[COSTO]]*Tabla_Items_Con_Existencia[[#This Row],[EXISTENCIA]]</f>
        <v>6.64</v>
      </c>
      <c r="I1072" s="1">
        <f>IF(ISERROR(MATCH(Tabla_Items_Con_Existencia[[#This Row],[CODIGO]],Tabla_Items_Activos[CODIGO],0)),0,1)</f>
        <v>0</v>
      </c>
    </row>
    <row r="1073" spans="1:9">
      <c r="A1073" s="2" t="s">
        <v>6760</v>
      </c>
      <c r="B1073" s="2" t="s">
        <v>6533</v>
      </c>
      <c r="C1073" s="2" t="s">
        <v>4240</v>
      </c>
      <c r="D1073" s="2" t="s">
        <v>5158</v>
      </c>
      <c r="E1073" s="2" t="s">
        <v>5159</v>
      </c>
      <c r="F1073" s="2">
        <v>1.093</v>
      </c>
      <c r="G1073" s="2">
        <v>10</v>
      </c>
      <c r="H1073" s="2">
        <f>Tabla_Items_Con_Existencia[[#This Row],[COSTO]]*Tabla_Items_Con_Existencia[[#This Row],[EXISTENCIA]]</f>
        <v>10.93</v>
      </c>
      <c r="I1073" s="1">
        <f>IF(ISERROR(MATCH(Tabla_Items_Con_Existencia[[#This Row],[CODIGO]],Tabla_Items_Activos[CODIGO],0)),0,1)</f>
        <v>0</v>
      </c>
    </row>
    <row r="1074" spans="1:9">
      <c r="A1074" s="2" t="s">
        <v>6760</v>
      </c>
      <c r="B1074" s="2" t="s">
        <v>513</v>
      </c>
      <c r="C1074" s="2" t="s">
        <v>1986</v>
      </c>
      <c r="D1074" s="2" t="s">
        <v>5186</v>
      </c>
      <c r="E1074" s="2" t="s">
        <v>5159</v>
      </c>
      <c r="F1074" s="2">
        <v>6.6391999999999998</v>
      </c>
      <c r="G1074" s="2">
        <v>12</v>
      </c>
      <c r="H1074" s="2">
        <f>Tabla_Items_Con_Existencia[[#This Row],[COSTO]]*Tabla_Items_Con_Existencia[[#This Row],[EXISTENCIA]]</f>
        <v>79.670400000000001</v>
      </c>
      <c r="I1074" s="1">
        <f>IF(ISERROR(MATCH(Tabla_Items_Con_Existencia[[#This Row],[CODIGO]],Tabla_Items_Activos[CODIGO],0)),0,1)</f>
        <v>0</v>
      </c>
    </row>
    <row r="1075" spans="1:9">
      <c r="A1075" s="2" t="s">
        <v>6760</v>
      </c>
      <c r="B1075" s="2" t="s">
        <v>514</v>
      </c>
      <c r="C1075" s="2" t="s">
        <v>1987</v>
      </c>
      <c r="D1075" s="2" t="s">
        <v>5186</v>
      </c>
      <c r="E1075" s="2" t="s">
        <v>5159</v>
      </c>
      <c r="F1075" s="2">
        <v>6.06</v>
      </c>
      <c r="G1075" s="2">
        <v>4</v>
      </c>
      <c r="H1075" s="2">
        <f>Tabla_Items_Con_Existencia[[#This Row],[COSTO]]*Tabla_Items_Con_Existencia[[#This Row],[EXISTENCIA]]</f>
        <v>24.24</v>
      </c>
      <c r="I1075" s="1">
        <f>IF(ISERROR(MATCH(Tabla_Items_Con_Existencia[[#This Row],[CODIGO]],Tabla_Items_Activos[CODIGO],0)),0,1)</f>
        <v>0</v>
      </c>
    </row>
    <row r="1076" spans="1:9">
      <c r="A1076" s="2" t="s">
        <v>6760</v>
      </c>
      <c r="B1076" s="2" t="s">
        <v>515</v>
      </c>
      <c r="C1076" s="2" t="s">
        <v>1988</v>
      </c>
      <c r="D1076" s="2" t="s">
        <v>5186</v>
      </c>
      <c r="E1076" s="2" t="s">
        <v>5159</v>
      </c>
      <c r="F1076" s="2">
        <v>6.83</v>
      </c>
      <c r="G1076" s="2">
        <v>4</v>
      </c>
      <c r="H1076" s="2">
        <f>Tabla_Items_Con_Existencia[[#This Row],[COSTO]]*Tabla_Items_Con_Existencia[[#This Row],[EXISTENCIA]]</f>
        <v>27.32</v>
      </c>
      <c r="I1076" s="1">
        <f>IF(ISERROR(MATCH(Tabla_Items_Con_Existencia[[#This Row],[CODIGO]],Tabla_Items_Activos[CODIGO],0)),0,1)</f>
        <v>0</v>
      </c>
    </row>
    <row r="1077" spans="1:9">
      <c r="A1077" s="2" t="s">
        <v>6760</v>
      </c>
      <c r="B1077" s="2" t="s">
        <v>6534</v>
      </c>
      <c r="C1077" s="2" t="s">
        <v>4494</v>
      </c>
      <c r="D1077" s="2" t="s">
        <v>5186</v>
      </c>
      <c r="E1077" s="2" t="s">
        <v>5159</v>
      </c>
      <c r="F1077" s="2">
        <v>4.0330000000000004</v>
      </c>
      <c r="G1077" s="2">
        <v>3</v>
      </c>
      <c r="H1077" s="2">
        <f>Tabla_Items_Con_Existencia[[#This Row],[COSTO]]*Tabla_Items_Con_Existencia[[#This Row],[EXISTENCIA]]</f>
        <v>12.099</v>
      </c>
      <c r="I1077" s="1">
        <f>IF(ISERROR(MATCH(Tabla_Items_Con_Existencia[[#This Row],[CODIGO]],Tabla_Items_Activos[CODIGO],0)),0,1)</f>
        <v>0</v>
      </c>
    </row>
    <row r="1078" spans="1:9">
      <c r="A1078" s="2" t="s">
        <v>6760</v>
      </c>
      <c r="B1078" s="2" t="s">
        <v>516</v>
      </c>
      <c r="C1078" s="2" t="s">
        <v>1989</v>
      </c>
      <c r="D1078" s="2" t="s">
        <v>5158</v>
      </c>
      <c r="E1078" s="2" t="s">
        <v>5159</v>
      </c>
      <c r="F1078" s="2">
        <v>4.9513578899999997</v>
      </c>
      <c r="G1078" s="2">
        <v>19</v>
      </c>
      <c r="H1078" s="2">
        <f>Tabla_Items_Con_Existencia[[#This Row],[COSTO]]*Tabla_Items_Con_Existencia[[#This Row],[EXISTENCIA]]</f>
        <v>94.075799910000001</v>
      </c>
      <c r="I1078" s="1">
        <f>IF(ISERROR(MATCH(Tabla_Items_Con_Existencia[[#This Row],[CODIGO]],Tabla_Items_Activos[CODIGO],0)),0,1)</f>
        <v>0</v>
      </c>
    </row>
    <row r="1079" spans="1:9">
      <c r="A1079" s="2" t="s">
        <v>6761</v>
      </c>
      <c r="B1079" s="2" t="s">
        <v>516</v>
      </c>
      <c r="C1079" s="2" t="s">
        <v>1989</v>
      </c>
      <c r="D1079" s="2" t="s">
        <v>5158</v>
      </c>
      <c r="E1079" s="2" t="s">
        <v>5159</v>
      </c>
      <c r="F1079" s="2">
        <v>4.9513578899999997</v>
      </c>
      <c r="G1079" s="2">
        <v>19</v>
      </c>
      <c r="H1079" s="2">
        <f>Tabla_Items_Con_Existencia[[#This Row],[COSTO]]*Tabla_Items_Con_Existencia[[#This Row],[EXISTENCIA]]</f>
        <v>94.075799910000001</v>
      </c>
      <c r="I1079" s="1">
        <f>IF(ISERROR(MATCH(Tabla_Items_Con_Existencia[[#This Row],[CODIGO]],Tabla_Items_Activos[CODIGO],0)),0,1)</f>
        <v>0</v>
      </c>
    </row>
    <row r="1080" spans="1:9">
      <c r="A1080" s="2" t="s">
        <v>6760</v>
      </c>
      <c r="B1080" s="2" t="s">
        <v>517</v>
      </c>
      <c r="C1080" s="2" t="s">
        <v>1990</v>
      </c>
      <c r="D1080" s="2" t="s">
        <v>5186</v>
      </c>
      <c r="E1080" s="2" t="s">
        <v>5159</v>
      </c>
      <c r="F1080" s="2">
        <v>2.4500000000000002</v>
      </c>
      <c r="G1080" s="2">
        <v>3</v>
      </c>
      <c r="H1080" s="2">
        <f>Tabla_Items_Con_Existencia[[#This Row],[COSTO]]*Tabla_Items_Con_Existencia[[#This Row],[EXISTENCIA]]</f>
        <v>7.3500000000000005</v>
      </c>
      <c r="I1080" s="1">
        <f>IF(ISERROR(MATCH(Tabla_Items_Con_Existencia[[#This Row],[CODIGO]],Tabla_Items_Activos[CODIGO],0)),0,1)</f>
        <v>0</v>
      </c>
    </row>
    <row r="1081" spans="1:9">
      <c r="A1081" s="2" t="s">
        <v>6760</v>
      </c>
      <c r="B1081" s="2" t="s">
        <v>518</v>
      </c>
      <c r="C1081" s="2" t="s">
        <v>1991</v>
      </c>
      <c r="D1081" s="2" t="s">
        <v>5161</v>
      </c>
      <c r="E1081" s="2" t="s">
        <v>5159</v>
      </c>
      <c r="F1081" s="2">
        <v>5.1369999999999996</v>
      </c>
      <c r="G1081" s="2">
        <v>6</v>
      </c>
      <c r="H1081" s="2">
        <f>Tabla_Items_Con_Existencia[[#This Row],[COSTO]]*Tabla_Items_Con_Existencia[[#This Row],[EXISTENCIA]]</f>
        <v>30.821999999999996</v>
      </c>
      <c r="I1081" s="1">
        <f>IF(ISERROR(MATCH(Tabla_Items_Con_Existencia[[#This Row],[CODIGO]],Tabla_Items_Activos[CODIGO],0)),0,1)</f>
        <v>0</v>
      </c>
    </row>
    <row r="1082" spans="1:9">
      <c r="A1082" s="2" t="s">
        <v>6760</v>
      </c>
      <c r="B1082" s="2" t="s">
        <v>519</v>
      </c>
      <c r="C1082" s="2" t="s">
        <v>1992</v>
      </c>
      <c r="D1082" s="2" t="s">
        <v>5158</v>
      </c>
      <c r="E1082" s="2" t="s">
        <v>5159</v>
      </c>
      <c r="F1082" s="2">
        <v>2.4777684199999999</v>
      </c>
      <c r="G1082" s="2">
        <v>9</v>
      </c>
      <c r="H1082" s="2">
        <f>Tabla_Items_Con_Existencia[[#This Row],[COSTO]]*Tabla_Items_Con_Existencia[[#This Row],[EXISTENCIA]]</f>
        <v>22.299915779999999</v>
      </c>
      <c r="I1082" s="1">
        <f>IF(ISERROR(MATCH(Tabla_Items_Con_Existencia[[#This Row],[CODIGO]],Tabla_Items_Activos[CODIGO],0)),0,1)</f>
        <v>0</v>
      </c>
    </row>
    <row r="1083" spans="1:9">
      <c r="A1083" s="2" t="s">
        <v>6761</v>
      </c>
      <c r="B1083" s="2" t="s">
        <v>519</v>
      </c>
      <c r="C1083" s="2" t="s">
        <v>1992</v>
      </c>
      <c r="D1083" s="2" t="s">
        <v>5158</v>
      </c>
      <c r="E1083" s="2" t="s">
        <v>5159</v>
      </c>
      <c r="F1083" s="2">
        <v>2.4777684199999999</v>
      </c>
      <c r="G1083" s="2">
        <v>9</v>
      </c>
      <c r="H1083" s="2">
        <f>Tabla_Items_Con_Existencia[[#This Row],[COSTO]]*Tabla_Items_Con_Existencia[[#This Row],[EXISTENCIA]]</f>
        <v>22.299915779999999</v>
      </c>
      <c r="I1083" s="1">
        <f>IF(ISERROR(MATCH(Tabla_Items_Con_Existencia[[#This Row],[CODIGO]],Tabla_Items_Activos[CODIGO],0)),0,1)</f>
        <v>0</v>
      </c>
    </row>
    <row r="1084" spans="1:9">
      <c r="A1084" s="2" t="s">
        <v>6760</v>
      </c>
      <c r="B1084" s="2" t="s">
        <v>1993</v>
      </c>
      <c r="C1084" s="2" t="s">
        <v>1994</v>
      </c>
      <c r="D1084" s="2" t="s">
        <v>5158</v>
      </c>
      <c r="E1084" s="2" t="s">
        <v>5159</v>
      </c>
      <c r="F1084" s="2">
        <v>2.1463157900000001</v>
      </c>
      <c r="G1084" s="2">
        <v>9</v>
      </c>
      <c r="H1084" s="2">
        <f>Tabla_Items_Con_Existencia[[#This Row],[COSTO]]*Tabla_Items_Con_Existencia[[#This Row],[EXISTENCIA]]</f>
        <v>19.31684211</v>
      </c>
      <c r="I1084" s="1">
        <f>IF(ISERROR(MATCH(Tabla_Items_Con_Existencia[[#This Row],[CODIGO]],Tabla_Items_Activos[CODIGO],0)),0,1)</f>
        <v>0</v>
      </c>
    </row>
    <row r="1085" spans="1:9">
      <c r="A1085" s="2" t="s">
        <v>6761</v>
      </c>
      <c r="B1085" s="2" t="s">
        <v>1993</v>
      </c>
      <c r="C1085" s="2" t="s">
        <v>1994</v>
      </c>
      <c r="D1085" s="2" t="s">
        <v>5158</v>
      </c>
      <c r="E1085" s="2" t="s">
        <v>5159</v>
      </c>
      <c r="F1085" s="2">
        <v>2.1463157900000001</v>
      </c>
      <c r="G1085" s="2">
        <v>9</v>
      </c>
      <c r="H1085" s="2">
        <f>Tabla_Items_Con_Existencia[[#This Row],[COSTO]]*Tabla_Items_Con_Existencia[[#This Row],[EXISTENCIA]]</f>
        <v>19.31684211</v>
      </c>
      <c r="I1085" s="1">
        <f>IF(ISERROR(MATCH(Tabla_Items_Con_Existencia[[#This Row],[CODIGO]],Tabla_Items_Activos[CODIGO],0)),0,1)</f>
        <v>0</v>
      </c>
    </row>
    <row r="1086" spans="1:9">
      <c r="A1086" s="2" t="s">
        <v>6760</v>
      </c>
      <c r="B1086" s="2" t="s">
        <v>6535</v>
      </c>
      <c r="C1086" s="2" t="s">
        <v>4560</v>
      </c>
      <c r="D1086" s="2" t="s">
        <v>5186</v>
      </c>
      <c r="E1086" s="2" t="s">
        <v>5159</v>
      </c>
      <c r="F1086" s="2">
        <v>6.867</v>
      </c>
      <c r="G1086" s="2">
        <v>3</v>
      </c>
      <c r="H1086" s="2">
        <f>Tabla_Items_Con_Existencia[[#This Row],[COSTO]]*Tabla_Items_Con_Existencia[[#This Row],[EXISTENCIA]]</f>
        <v>20.600999999999999</v>
      </c>
      <c r="I1086" s="1">
        <f>IF(ISERROR(MATCH(Tabla_Items_Con_Existencia[[#This Row],[CODIGO]],Tabla_Items_Activos[CODIGO],0)),0,1)</f>
        <v>0</v>
      </c>
    </row>
    <row r="1087" spans="1:9">
      <c r="A1087" s="2" t="s">
        <v>6760</v>
      </c>
      <c r="B1087" s="2" t="s">
        <v>1995</v>
      </c>
      <c r="C1087" s="2" t="s">
        <v>7328</v>
      </c>
      <c r="D1087" s="2" t="s">
        <v>5158</v>
      </c>
      <c r="E1087" s="2" t="s">
        <v>5159</v>
      </c>
      <c r="F1087" s="2">
        <v>1.246</v>
      </c>
      <c r="G1087" s="2">
        <v>15</v>
      </c>
      <c r="H1087" s="2">
        <f>Tabla_Items_Con_Existencia[[#This Row],[COSTO]]*Tabla_Items_Con_Existencia[[#This Row],[EXISTENCIA]]</f>
        <v>18.690000000000001</v>
      </c>
      <c r="I1087" s="1">
        <f>IF(ISERROR(MATCH(Tabla_Items_Con_Existencia[[#This Row],[CODIGO]],Tabla_Items_Activos[CODIGO],0)),0,1)</f>
        <v>0</v>
      </c>
    </row>
    <row r="1088" spans="1:9">
      <c r="A1088" s="2" t="s">
        <v>6760</v>
      </c>
      <c r="B1088" s="2" t="s">
        <v>520</v>
      </c>
      <c r="C1088" s="2" t="s">
        <v>6326</v>
      </c>
      <c r="D1088" s="2" t="s">
        <v>5186</v>
      </c>
      <c r="E1088" s="2" t="s">
        <v>5159</v>
      </c>
      <c r="F1088" s="2">
        <v>7.79</v>
      </c>
      <c r="G1088" s="2">
        <v>8</v>
      </c>
      <c r="H1088" s="2">
        <f>Tabla_Items_Con_Existencia[[#This Row],[COSTO]]*Tabla_Items_Con_Existencia[[#This Row],[EXISTENCIA]]</f>
        <v>62.32</v>
      </c>
      <c r="I1088" s="1">
        <f>IF(ISERROR(MATCH(Tabla_Items_Con_Existencia[[#This Row],[CODIGO]],Tabla_Items_Activos[CODIGO],0)),0,1)</f>
        <v>0</v>
      </c>
    </row>
    <row r="1089" spans="1:9">
      <c r="A1089" s="2" t="s">
        <v>6760</v>
      </c>
      <c r="B1089" s="2" t="s">
        <v>521</v>
      </c>
      <c r="C1089" s="2" t="s">
        <v>1996</v>
      </c>
      <c r="D1089" s="2" t="s">
        <v>5158</v>
      </c>
      <c r="E1089" s="2" t="s">
        <v>5159</v>
      </c>
      <c r="F1089" s="2">
        <v>6.3719999999999999</v>
      </c>
      <c r="G1089" s="2">
        <v>26</v>
      </c>
      <c r="H1089" s="2">
        <f>Tabla_Items_Con_Existencia[[#This Row],[COSTO]]*Tabla_Items_Con_Existencia[[#This Row],[EXISTENCIA]]</f>
        <v>165.672</v>
      </c>
      <c r="I1089" s="1">
        <f>IF(ISERROR(MATCH(Tabla_Items_Con_Existencia[[#This Row],[CODIGO]],Tabla_Items_Activos[CODIGO],0)),0,1)</f>
        <v>0</v>
      </c>
    </row>
    <row r="1090" spans="1:9">
      <c r="A1090" s="2" t="s">
        <v>6760</v>
      </c>
      <c r="B1090" s="2" t="s">
        <v>522</v>
      </c>
      <c r="C1090" s="2" t="s">
        <v>1998</v>
      </c>
      <c r="D1090" s="2" t="s">
        <v>5158</v>
      </c>
      <c r="E1090" s="2" t="s">
        <v>5159</v>
      </c>
      <c r="F1090" s="2">
        <v>5.3650000000000002</v>
      </c>
      <c r="G1090" s="2">
        <v>29</v>
      </c>
      <c r="H1090" s="2">
        <f>Tabla_Items_Con_Existencia[[#This Row],[COSTO]]*Tabla_Items_Con_Existencia[[#This Row],[EXISTENCIA]]</f>
        <v>155.58500000000001</v>
      </c>
      <c r="I1090" s="1">
        <f>IF(ISERROR(MATCH(Tabla_Items_Con_Existencia[[#This Row],[CODIGO]],Tabla_Items_Activos[CODIGO],0)),0,1)</f>
        <v>0</v>
      </c>
    </row>
    <row r="1091" spans="1:9">
      <c r="A1091" s="2" t="s">
        <v>6760</v>
      </c>
      <c r="B1091" s="2" t="s">
        <v>523</v>
      </c>
      <c r="C1091" s="2" t="s">
        <v>1999</v>
      </c>
      <c r="D1091" s="2" t="s">
        <v>5158</v>
      </c>
      <c r="E1091" s="2" t="s">
        <v>5159</v>
      </c>
      <c r="F1091" s="2">
        <v>0.85899999999999999</v>
      </c>
      <c r="G1091" s="2">
        <v>5</v>
      </c>
      <c r="H1091" s="2">
        <f>Tabla_Items_Con_Existencia[[#This Row],[COSTO]]*Tabla_Items_Con_Existencia[[#This Row],[EXISTENCIA]]</f>
        <v>4.2949999999999999</v>
      </c>
      <c r="I1091" s="1">
        <f>IF(ISERROR(MATCH(Tabla_Items_Con_Existencia[[#This Row],[CODIGO]],Tabla_Items_Activos[CODIGO],0)),0,1)</f>
        <v>0</v>
      </c>
    </row>
    <row r="1092" spans="1:9">
      <c r="A1092" s="2" t="s">
        <v>6760</v>
      </c>
      <c r="B1092" s="2" t="s">
        <v>524</v>
      </c>
      <c r="C1092" s="2" t="s">
        <v>5466</v>
      </c>
      <c r="D1092" s="2" t="s">
        <v>5158</v>
      </c>
      <c r="E1092" s="2" t="s">
        <v>5159</v>
      </c>
      <c r="F1092" s="2">
        <v>0.55000000000000004</v>
      </c>
      <c r="G1092" s="2">
        <v>10</v>
      </c>
      <c r="H1092" s="2">
        <f>Tabla_Items_Con_Existencia[[#This Row],[COSTO]]*Tabla_Items_Con_Existencia[[#This Row],[EXISTENCIA]]</f>
        <v>5.5</v>
      </c>
      <c r="I1092" s="1">
        <f>IF(ISERROR(MATCH(Tabla_Items_Con_Existencia[[#This Row],[CODIGO]],Tabla_Items_Activos[CODIGO],0)),0,1)</f>
        <v>0</v>
      </c>
    </row>
    <row r="1093" spans="1:9">
      <c r="A1093" s="2" t="s">
        <v>6760</v>
      </c>
      <c r="B1093" s="2" t="s">
        <v>6536</v>
      </c>
      <c r="C1093" s="2" t="s">
        <v>4606</v>
      </c>
      <c r="D1093" s="2" t="s">
        <v>5161</v>
      </c>
      <c r="E1093" s="2" t="s">
        <v>5159</v>
      </c>
      <c r="F1093" s="2">
        <v>0.55000000000000004</v>
      </c>
      <c r="G1093" s="2">
        <v>3</v>
      </c>
      <c r="H1093" s="2">
        <f>Tabla_Items_Con_Existencia[[#This Row],[COSTO]]*Tabla_Items_Con_Existencia[[#This Row],[EXISTENCIA]]</f>
        <v>1.6500000000000001</v>
      </c>
      <c r="I1093" s="1">
        <f>IF(ISERROR(MATCH(Tabla_Items_Con_Existencia[[#This Row],[CODIGO]],Tabla_Items_Activos[CODIGO],0)),0,1)</f>
        <v>0</v>
      </c>
    </row>
    <row r="1094" spans="1:9">
      <c r="A1094" s="2" t="s">
        <v>6760</v>
      </c>
      <c r="B1094" s="2" t="s">
        <v>525</v>
      </c>
      <c r="C1094" s="2" t="s">
        <v>4356</v>
      </c>
      <c r="D1094" s="2" t="s">
        <v>5158</v>
      </c>
      <c r="E1094" s="2" t="s">
        <v>5159</v>
      </c>
      <c r="F1094" s="2">
        <v>0.54479999999999995</v>
      </c>
      <c r="G1094" s="2">
        <v>73</v>
      </c>
      <c r="H1094" s="2">
        <f>Tabla_Items_Con_Existencia[[#This Row],[COSTO]]*Tabla_Items_Con_Existencia[[#This Row],[EXISTENCIA]]</f>
        <v>39.770399999999995</v>
      </c>
      <c r="I1094" s="1">
        <f>IF(ISERROR(MATCH(Tabla_Items_Con_Existencia[[#This Row],[CODIGO]],Tabla_Items_Activos[CODIGO],0)),0,1)</f>
        <v>0</v>
      </c>
    </row>
    <row r="1095" spans="1:9">
      <c r="A1095" s="2" t="s">
        <v>6760</v>
      </c>
      <c r="B1095" s="2" t="s">
        <v>526</v>
      </c>
      <c r="C1095" s="2" t="s">
        <v>2001</v>
      </c>
      <c r="D1095" s="2" t="s">
        <v>5158</v>
      </c>
      <c r="E1095" s="2" t="s">
        <v>5159</v>
      </c>
      <c r="F1095" s="2">
        <v>15.81250526</v>
      </c>
      <c r="G1095" s="2">
        <v>66</v>
      </c>
      <c r="H1095" s="2">
        <f>Tabla_Items_Con_Existencia[[#This Row],[COSTO]]*Tabla_Items_Con_Existencia[[#This Row],[EXISTENCIA]]</f>
        <v>1043.62534716</v>
      </c>
      <c r="I1095" s="1">
        <f>IF(ISERROR(MATCH(Tabla_Items_Con_Existencia[[#This Row],[CODIGO]],Tabla_Items_Activos[CODIGO],0)),0,1)</f>
        <v>0</v>
      </c>
    </row>
    <row r="1096" spans="1:9">
      <c r="A1096" s="2" t="s">
        <v>6761</v>
      </c>
      <c r="B1096" s="2" t="s">
        <v>526</v>
      </c>
      <c r="C1096" s="2" t="s">
        <v>2001</v>
      </c>
      <c r="D1096" s="2" t="s">
        <v>5158</v>
      </c>
      <c r="E1096" s="2" t="s">
        <v>5159</v>
      </c>
      <c r="F1096" s="2">
        <v>15.81250526</v>
      </c>
      <c r="G1096" s="2">
        <v>66</v>
      </c>
      <c r="H1096" s="2">
        <f>Tabla_Items_Con_Existencia[[#This Row],[COSTO]]*Tabla_Items_Con_Existencia[[#This Row],[EXISTENCIA]]</f>
        <v>1043.62534716</v>
      </c>
      <c r="I1096" s="1">
        <f>IF(ISERROR(MATCH(Tabla_Items_Con_Existencia[[#This Row],[CODIGO]],Tabla_Items_Activos[CODIGO],0)),0,1)</f>
        <v>0</v>
      </c>
    </row>
    <row r="1097" spans="1:9">
      <c r="A1097" s="2" t="s">
        <v>6760</v>
      </c>
      <c r="B1097" s="2" t="s">
        <v>6537</v>
      </c>
      <c r="C1097" s="2" t="s">
        <v>4567</v>
      </c>
      <c r="D1097" s="2" t="s">
        <v>5186</v>
      </c>
      <c r="E1097" s="2" t="s">
        <v>5159</v>
      </c>
      <c r="F1097" s="2">
        <v>12.49</v>
      </c>
      <c r="G1097" s="2">
        <v>12</v>
      </c>
      <c r="H1097" s="2">
        <f>Tabla_Items_Con_Existencia[[#This Row],[COSTO]]*Tabla_Items_Con_Existencia[[#This Row],[EXISTENCIA]]</f>
        <v>149.88</v>
      </c>
      <c r="I1097" s="1">
        <f>IF(ISERROR(MATCH(Tabla_Items_Con_Existencia[[#This Row],[CODIGO]],Tabla_Items_Activos[CODIGO],0)),0,1)</f>
        <v>0</v>
      </c>
    </row>
    <row r="1098" spans="1:9">
      <c r="A1098" s="2" t="s">
        <v>6760</v>
      </c>
      <c r="B1098" s="2" t="s">
        <v>6538</v>
      </c>
      <c r="C1098" s="2" t="s">
        <v>4839</v>
      </c>
      <c r="D1098" s="2" t="s">
        <v>5186</v>
      </c>
      <c r="E1098" s="2" t="s">
        <v>5159</v>
      </c>
      <c r="F1098" s="2">
        <v>1.11778947</v>
      </c>
      <c r="G1098" s="2">
        <v>20</v>
      </c>
      <c r="H1098" s="2">
        <f>Tabla_Items_Con_Existencia[[#This Row],[COSTO]]*Tabla_Items_Con_Existencia[[#This Row],[EXISTENCIA]]</f>
        <v>22.355789399999999</v>
      </c>
      <c r="I1098" s="1">
        <f>IF(ISERROR(MATCH(Tabla_Items_Con_Existencia[[#This Row],[CODIGO]],Tabla_Items_Activos[CODIGO],0)),0,1)</f>
        <v>0</v>
      </c>
    </row>
    <row r="1099" spans="1:9">
      <c r="A1099" s="2" t="s">
        <v>6761</v>
      </c>
      <c r="B1099" s="2" t="s">
        <v>6538</v>
      </c>
      <c r="C1099" s="2" t="s">
        <v>4839</v>
      </c>
      <c r="D1099" s="2" t="s">
        <v>5186</v>
      </c>
      <c r="E1099" s="2" t="s">
        <v>5159</v>
      </c>
      <c r="F1099" s="2">
        <v>1.11778947</v>
      </c>
      <c r="G1099" s="2">
        <v>20</v>
      </c>
      <c r="H1099" s="2">
        <f>Tabla_Items_Con_Existencia[[#This Row],[COSTO]]*Tabla_Items_Con_Existencia[[#This Row],[EXISTENCIA]]</f>
        <v>22.355789399999999</v>
      </c>
      <c r="I1099" s="1">
        <f>IF(ISERROR(MATCH(Tabla_Items_Con_Existencia[[#This Row],[CODIGO]],Tabla_Items_Activos[CODIGO],0)),0,1)</f>
        <v>0</v>
      </c>
    </row>
    <row r="1100" spans="1:9">
      <c r="A1100" s="2" t="s">
        <v>6760</v>
      </c>
      <c r="B1100" s="2" t="s">
        <v>529</v>
      </c>
      <c r="C1100" s="2" t="s">
        <v>2002</v>
      </c>
      <c r="D1100" s="2" t="s">
        <v>5158</v>
      </c>
      <c r="E1100" s="2" t="s">
        <v>5159</v>
      </c>
      <c r="F1100" s="2">
        <v>2.06</v>
      </c>
      <c r="G1100" s="2">
        <v>3</v>
      </c>
      <c r="H1100" s="2">
        <f>Tabla_Items_Con_Existencia[[#This Row],[COSTO]]*Tabla_Items_Con_Existencia[[#This Row],[EXISTENCIA]]</f>
        <v>6.18</v>
      </c>
      <c r="I1100" s="1">
        <f>IF(ISERROR(MATCH(Tabla_Items_Con_Existencia[[#This Row],[CODIGO]],Tabla_Items_Activos[CODIGO],0)),0,1)</f>
        <v>0</v>
      </c>
    </row>
    <row r="1101" spans="1:9">
      <c r="A1101" s="2" t="s">
        <v>6760</v>
      </c>
      <c r="B1101" s="2" t="s">
        <v>2003</v>
      </c>
      <c r="C1101" s="2" t="s">
        <v>2004</v>
      </c>
      <c r="D1101" s="2" t="s">
        <v>5158</v>
      </c>
      <c r="E1101" s="2" t="s">
        <v>5159</v>
      </c>
      <c r="F1101" s="2">
        <v>1.353</v>
      </c>
      <c r="G1101" s="2">
        <v>1</v>
      </c>
      <c r="H1101" s="2">
        <f>Tabla_Items_Con_Existencia[[#This Row],[COSTO]]*Tabla_Items_Con_Existencia[[#This Row],[EXISTENCIA]]</f>
        <v>1.353</v>
      </c>
      <c r="I1101" s="1">
        <f>IF(ISERROR(MATCH(Tabla_Items_Con_Existencia[[#This Row],[CODIGO]],Tabla_Items_Activos[CODIGO],0)),0,1)</f>
        <v>0</v>
      </c>
    </row>
    <row r="1102" spans="1:9">
      <c r="A1102" s="2" t="s">
        <v>6760</v>
      </c>
      <c r="B1102" s="2" t="s">
        <v>5472</v>
      </c>
      <c r="C1102" s="2" t="s">
        <v>6900</v>
      </c>
      <c r="D1102" s="2" t="s">
        <v>5158</v>
      </c>
      <c r="E1102" s="2" t="s">
        <v>5159</v>
      </c>
      <c r="F1102" s="2">
        <v>4.4943999999999997</v>
      </c>
      <c r="G1102" s="2">
        <v>16</v>
      </c>
      <c r="H1102" s="2">
        <f>Tabla_Items_Con_Existencia[[#This Row],[COSTO]]*Tabla_Items_Con_Existencia[[#This Row],[EXISTENCIA]]</f>
        <v>71.910399999999996</v>
      </c>
      <c r="I1102" s="1">
        <f>IF(ISERROR(MATCH(Tabla_Items_Con_Existencia[[#This Row],[CODIGO]],Tabla_Items_Activos[CODIGO],0)),0,1)</f>
        <v>0</v>
      </c>
    </row>
    <row r="1103" spans="1:9">
      <c r="A1103" s="2" t="s">
        <v>6760</v>
      </c>
      <c r="B1103" s="2" t="s">
        <v>530</v>
      </c>
      <c r="C1103" s="2" t="s">
        <v>2005</v>
      </c>
      <c r="D1103" s="2" t="s">
        <v>5161</v>
      </c>
      <c r="E1103" s="2" t="s">
        <v>5159</v>
      </c>
      <c r="F1103" s="2">
        <v>1.81</v>
      </c>
      <c r="G1103" s="2">
        <v>5</v>
      </c>
      <c r="H1103" s="2">
        <f>Tabla_Items_Con_Existencia[[#This Row],[COSTO]]*Tabla_Items_Con_Existencia[[#This Row],[EXISTENCIA]]</f>
        <v>9.0500000000000007</v>
      </c>
      <c r="I1103" s="1">
        <f>IF(ISERROR(MATCH(Tabla_Items_Con_Existencia[[#This Row],[CODIGO]],Tabla_Items_Activos[CODIGO],0)),0,1)</f>
        <v>0</v>
      </c>
    </row>
    <row r="1104" spans="1:9">
      <c r="A1104" s="2" t="s">
        <v>6760</v>
      </c>
      <c r="B1104" s="2" t="s">
        <v>531</v>
      </c>
      <c r="C1104" s="2" t="s">
        <v>5150</v>
      </c>
      <c r="D1104" s="2" t="s">
        <v>5158</v>
      </c>
      <c r="E1104" s="2" t="s">
        <v>5159</v>
      </c>
      <c r="F1104" s="2">
        <v>3.9188999999999998</v>
      </c>
      <c r="G1104" s="2">
        <v>12</v>
      </c>
      <c r="H1104" s="2">
        <f>Tabla_Items_Con_Existencia[[#This Row],[COSTO]]*Tabla_Items_Con_Existencia[[#This Row],[EXISTENCIA]]</f>
        <v>47.026799999999994</v>
      </c>
      <c r="I1104" s="1">
        <f>IF(ISERROR(MATCH(Tabla_Items_Con_Existencia[[#This Row],[CODIGO]],Tabla_Items_Activos[CODIGO],0)),0,1)</f>
        <v>0</v>
      </c>
    </row>
    <row r="1105" spans="1:9">
      <c r="A1105" s="2" t="s">
        <v>6760</v>
      </c>
      <c r="B1105" s="2" t="s">
        <v>532</v>
      </c>
      <c r="C1105" s="2" t="s">
        <v>6539</v>
      </c>
      <c r="D1105" s="2" t="s">
        <v>5187</v>
      </c>
      <c r="E1105" s="2" t="s">
        <v>5159</v>
      </c>
      <c r="F1105" s="2">
        <v>1.5009999999999999</v>
      </c>
      <c r="G1105" s="2">
        <v>8</v>
      </c>
      <c r="H1105" s="2">
        <f>Tabla_Items_Con_Existencia[[#This Row],[COSTO]]*Tabla_Items_Con_Existencia[[#This Row],[EXISTENCIA]]</f>
        <v>12.007999999999999</v>
      </c>
      <c r="I1105" s="1">
        <f>IF(ISERROR(MATCH(Tabla_Items_Con_Existencia[[#This Row],[CODIGO]],Tabla_Items_Activos[CODIGO],0)),0,1)</f>
        <v>0</v>
      </c>
    </row>
    <row r="1106" spans="1:9">
      <c r="A1106" s="2" t="s">
        <v>6760</v>
      </c>
      <c r="B1106" s="2" t="s">
        <v>6540</v>
      </c>
      <c r="C1106" s="2" t="s">
        <v>4571</v>
      </c>
      <c r="D1106" s="2" t="s">
        <v>5186</v>
      </c>
      <c r="E1106" s="2" t="s">
        <v>5159</v>
      </c>
      <c r="F1106" s="2">
        <v>5.69</v>
      </c>
      <c r="G1106" s="2">
        <v>1</v>
      </c>
      <c r="H1106" s="2">
        <f>Tabla_Items_Con_Existencia[[#This Row],[COSTO]]*Tabla_Items_Con_Existencia[[#This Row],[EXISTENCIA]]</f>
        <v>5.69</v>
      </c>
      <c r="I1106" s="1">
        <f>IF(ISERROR(MATCH(Tabla_Items_Con_Existencia[[#This Row],[CODIGO]],Tabla_Items_Activos[CODIGO],0)),0,1)</f>
        <v>0</v>
      </c>
    </row>
    <row r="1107" spans="1:9">
      <c r="A1107" s="2" t="s">
        <v>6760</v>
      </c>
      <c r="B1107" s="2" t="s">
        <v>533</v>
      </c>
      <c r="C1107" s="2" t="s">
        <v>2008</v>
      </c>
      <c r="D1107" s="2" t="s">
        <v>5158</v>
      </c>
      <c r="E1107" s="2" t="s">
        <v>5159</v>
      </c>
      <c r="F1107" s="2">
        <v>1.3220000000000001</v>
      </c>
      <c r="G1107" s="2">
        <v>38</v>
      </c>
      <c r="H1107" s="2">
        <f>Tabla_Items_Con_Existencia[[#This Row],[COSTO]]*Tabla_Items_Con_Existencia[[#This Row],[EXISTENCIA]]</f>
        <v>50.236000000000004</v>
      </c>
      <c r="I1107" s="1">
        <f>IF(ISERROR(MATCH(Tabla_Items_Con_Existencia[[#This Row],[CODIGO]],Tabla_Items_Activos[CODIGO],0)),0,1)</f>
        <v>0</v>
      </c>
    </row>
    <row r="1108" spans="1:9">
      <c r="A1108" s="2" t="s">
        <v>6761</v>
      </c>
      <c r="B1108" s="2" t="s">
        <v>6541</v>
      </c>
      <c r="C1108" s="2" t="s">
        <v>4572</v>
      </c>
      <c r="D1108" s="2" t="s">
        <v>5158</v>
      </c>
      <c r="E1108" s="2" t="s">
        <v>5159</v>
      </c>
      <c r="F1108" s="2">
        <v>1.83001053</v>
      </c>
      <c r="G1108" s="2">
        <v>21</v>
      </c>
      <c r="H1108" s="2">
        <f>Tabla_Items_Con_Existencia[[#This Row],[COSTO]]*Tabla_Items_Con_Existencia[[#This Row],[EXISTENCIA]]</f>
        <v>38.43022113</v>
      </c>
      <c r="I1108" s="1">
        <f>IF(ISERROR(MATCH(Tabla_Items_Con_Existencia[[#This Row],[CODIGO]],Tabla_Items_Activos[CODIGO],0)),0,1)</f>
        <v>0</v>
      </c>
    </row>
    <row r="1109" spans="1:9">
      <c r="A1109" s="2" t="s">
        <v>6760</v>
      </c>
      <c r="B1109" s="2" t="s">
        <v>6541</v>
      </c>
      <c r="C1109" s="2" t="s">
        <v>4572</v>
      </c>
      <c r="D1109" s="2" t="s">
        <v>5158</v>
      </c>
      <c r="E1109" s="2" t="s">
        <v>5159</v>
      </c>
      <c r="F1109" s="2">
        <v>1.83001053</v>
      </c>
      <c r="G1109" s="2">
        <v>21</v>
      </c>
      <c r="H1109" s="2">
        <f>Tabla_Items_Con_Existencia[[#This Row],[COSTO]]*Tabla_Items_Con_Existencia[[#This Row],[EXISTENCIA]]</f>
        <v>38.43022113</v>
      </c>
      <c r="I1109" s="1">
        <f>IF(ISERROR(MATCH(Tabla_Items_Con_Existencia[[#This Row],[CODIGO]],Tabla_Items_Activos[CODIGO],0)),0,1)</f>
        <v>0</v>
      </c>
    </row>
    <row r="1110" spans="1:9">
      <c r="A1110" s="2" t="s">
        <v>6761</v>
      </c>
      <c r="B1110" s="2" t="s">
        <v>534</v>
      </c>
      <c r="C1110" s="2" t="s">
        <v>6901</v>
      </c>
      <c r="D1110" s="2" t="s">
        <v>5158</v>
      </c>
      <c r="E1110" s="2" t="s">
        <v>5159</v>
      </c>
      <c r="F1110" s="2">
        <v>1.0098526299999999</v>
      </c>
      <c r="G1110" s="2">
        <v>35</v>
      </c>
      <c r="H1110" s="2">
        <f>Tabla_Items_Con_Existencia[[#This Row],[COSTO]]*Tabla_Items_Con_Existencia[[#This Row],[EXISTENCIA]]</f>
        <v>35.344842049999997</v>
      </c>
      <c r="I1110" s="1">
        <f>IF(ISERROR(MATCH(Tabla_Items_Con_Existencia[[#This Row],[CODIGO]],Tabla_Items_Activos[CODIGO],0)),0,1)</f>
        <v>0</v>
      </c>
    </row>
    <row r="1111" spans="1:9">
      <c r="A1111" s="2" t="s">
        <v>6760</v>
      </c>
      <c r="B1111" s="2" t="s">
        <v>534</v>
      </c>
      <c r="C1111" s="2" t="s">
        <v>6901</v>
      </c>
      <c r="D1111" s="2" t="s">
        <v>5158</v>
      </c>
      <c r="E1111" s="2" t="s">
        <v>5159</v>
      </c>
      <c r="F1111" s="2">
        <v>1.0098526299999999</v>
      </c>
      <c r="G1111" s="2">
        <v>35</v>
      </c>
      <c r="H1111" s="2">
        <f>Tabla_Items_Con_Existencia[[#This Row],[COSTO]]*Tabla_Items_Con_Existencia[[#This Row],[EXISTENCIA]]</f>
        <v>35.344842049999997</v>
      </c>
      <c r="I1111" s="1">
        <f>IF(ISERROR(MATCH(Tabla_Items_Con_Existencia[[#This Row],[CODIGO]],Tabla_Items_Activos[CODIGO],0)),0,1)</f>
        <v>0</v>
      </c>
    </row>
    <row r="1112" spans="1:9">
      <c r="A1112" s="2" t="s">
        <v>6760</v>
      </c>
      <c r="B1112" s="2" t="s">
        <v>535</v>
      </c>
      <c r="C1112" s="2" t="s">
        <v>2010</v>
      </c>
      <c r="D1112" s="2" t="s">
        <v>5186</v>
      </c>
      <c r="E1112" s="2" t="s">
        <v>5159</v>
      </c>
      <c r="F1112" s="2">
        <v>23.64</v>
      </c>
      <c r="G1112" s="2">
        <v>1</v>
      </c>
      <c r="H1112" s="2">
        <f>Tabla_Items_Con_Existencia[[#This Row],[COSTO]]*Tabla_Items_Con_Existencia[[#This Row],[EXISTENCIA]]</f>
        <v>23.64</v>
      </c>
      <c r="I1112" s="1">
        <f>IF(ISERROR(MATCH(Tabla_Items_Con_Existencia[[#This Row],[CODIGO]],Tabla_Items_Activos[CODIGO],0)),0,1)</f>
        <v>0</v>
      </c>
    </row>
    <row r="1113" spans="1:9">
      <c r="A1113" s="2" t="s">
        <v>6760</v>
      </c>
      <c r="B1113" s="2" t="s">
        <v>6542</v>
      </c>
      <c r="C1113" s="2" t="s">
        <v>4517</v>
      </c>
      <c r="D1113" s="2" t="s">
        <v>5186</v>
      </c>
      <c r="E1113" s="2" t="s">
        <v>5159</v>
      </c>
      <c r="F1113" s="2">
        <v>1.84</v>
      </c>
      <c r="G1113" s="2">
        <v>4</v>
      </c>
      <c r="H1113" s="2">
        <f>Tabla_Items_Con_Existencia[[#This Row],[COSTO]]*Tabla_Items_Con_Existencia[[#This Row],[EXISTENCIA]]</f>
        <v>7.36</v>
      </c>
      <c r="I1113" s="1">
        <f>IF(ISERROR(MATCH(Tabla_Items_Con_Existencia[[#This Row],[CODIGO]],Tabla_Items_Activos[CODIGO],0)),0,1)</f>
        <v>0</v>
      </c>
    </row>
    <row r="1114" spans="1:9">
      <c r="A1114" s="2" t="s">
        <v>6760</v>
      </c>
      <c r="B1114" s="2" t="s">
        <v>6543</v>
      </c>
      <c r="C1114" s="2" t="s">
        <v>6544</v>
      </c>
      <c r="D1114" s="2" t="s">
        <v>5186</v>
      </c>
      <c r="E1114" s="2" t="s">
        <v>5159</v>
      </c>
      <c r="F1114" s="2">
        <v>5.13</v>
      </c>
      <c r="G1114" s="2">
        <v>1</v>
      </c>
      <c r="H1114" s="2">
        <f>Tabla_Items_Con_Existencia[[#This Row],[COSTO]]*Tabla_Items_Con_Existencia[[#This Row],[EXISTENCIA]]</f>
        <v>5.13</v>
      </c>
      <c r="I1114" s="1">
        <f>IF(ISERROR(MATCH(Tabla_Items_Con_Existencia[[#This Row],[CODIGO]],Tabla_Items_Activos[CODIGO],0)),0,1)</f>
        <v>0</v>
      </c>
    </row>
    <row r="1115" spans="1:9">
      <c r="A1115" s="2" t="s">
        <v>6760</v>
      </c>
      <c r="B1115" s="2" t="s">
        <v>536</v>
      </c>
      <c r="C1115" s="2" t="s">
        <v>2011</v>
      </c>
      <c r="D1115" s="2" t="s">
        <v>5158</v>
      </c>
      <c r="E1115" s="2" t="s">
        <v>5159</v>
      </c>
      <c r="F1115" s="2">
        <v>3.7482000000000002</v>
      </c>
      <c r="G1115" s="2">
        <v>4</v>
      </c>
      <c r="H1115" s="2">
        <f>Tabla_Items_Con_Existencia[[#This Row],[COSTO]]*Tabla_Items_Con_Existencia[[#This Row],[EXISTENCIA]]</f>
        <v>14.992800000000001</v>
      </c>
      <c r="I1115" s="1">
        <f>IF(ISERROR(MATCH(Tabla_Items_Con_Existencia[[#This Row],[CODIGO]],Tabla_Items_Activos[CODIGO],0)),0,1)</f>
        <v>0</v>
      </c>
    </row>
    <row r="1116" spans="1:9">
      <c r="A1116" s="2" t="s">
        <v>6760</v>
      </c>
      <c r="B1116" s="2" t="s">
        <v>537</v>
      </c>
      <c r="C1116" s="2" t="s">
        <v>2012</v>
      </c>
      <c r="D1116" s="2" t="s">
        <v>5158</v>
      </c>
      <c r="E1116" s="2" t="s">
        <v>5159</v>
      </c>
      <c r="F1116" s="2">
        <v>11.98</v>
      </c>
      <c r="G1116" s="2">
        <v>4</v>
      </c>
      <c r="H1116" s="2">
        <f>Tabla_Items_Con_Existencia[[#This Row],[COSTO]]*Tabla_Items_Con_Existencia[[#This Row],[EXISTENCIA]]</f>
        <v>47.92</v>
      </c>
      <c r="I1116" s="1">
        <f>IF(ISERROR(MATCH(Tabla_Items_Con_Existencia[[#This Row],[CODIGO]],Tabla_Items_Activos[CODIGO],0)),0,1)</f>
        <v>0</v>
      </c>
    </row>
    <row r="1117" spans="1:9">
      <c r="A1117" s="2" t="s">
        <v>6760</v>
      </c>
      <c r="B1117" s="2" t="s">
        <v>6545</v>
      </c>
      <c r="C1117" s="2" t="s">
        <v>6546</v>
      </c>
      <c r="D1117" s="2" t="s">
        <v>5158</v>
      </c>
      <c r="E1117" s="2" t="s">
        <v>5159</v>
      </c>
      <c r="F1117" s="2">
        <v>5.5034736799999999</v>
      </c>
      <c r="G1117" s="2">
        <v>12</v>
      </c>
      <c r="H1117" s="2">
        <f>Tabla_Items_Con_Existencia[[#This Row],[COSTO]]*Tabla_Items_Con_Existencia[[#This Row],[EXISTENCIA]]</f>
        <v>66.041684160000003</v>
      </c>
      <c r="I1117" s="1">
        <f>IF(ISERROR(MATCH(Tabla_Items_Con_Existencia[[#This Row],[CODIGO]],Tabla_Items_Activos[CODIGO],0)),0,1)</f>
        <v>0</v>
      </c>
    </row>
    <row r="1118" spans="1:9">
      <c r="A1118" s="2" t="s">
        <v>6761</v>
      </c>
      <c r="B1118" s="2" t="s">
        <v>6545</v>
      </c>
      <c r="C1118" s="2" t="s">
        <v>6546</v>
      </c>
      <c r="D1118" s="2" t="s">
        <v>5158</v>
      </c>
      <c r="E1118" s="2" t="s">
        <v>5159</v>
      </c>
      <c r="F1118" s="2">
        <v>5.5034736799999999</v>
      </c>
      <c r="G1118" s="2">
        <v>12</v>
      </c>
      <c r="H1118" s="2">
        <f>Tabla_Items_Con_Existencia[[#This Row],[COSTO]]*Tabla_Items_Con_Existencia[[#This Row],[EXISTENCIA]]</f>
        <v>66.041684160000003</v>
      </c>
      <c r="I1118" s="1">
        <f>IF(ISERROR(MATCH(Tabla_Items_Con_Existencia[[#This Row],[CODIGO]],Tabla_Items_Activos[CODIGO],0)),0,1)</f>
        <v>0</v>
      </c>
    </row>
    <row r="1119" spans="1:9">
      <c r="A1119" s="2" t="s">
        <v>6760</v>
      </c>
      <c r="B1119" s="2" t="s">
        <v>5476</v>
      </c>
      <c r="C1119" s="2" t="s">
        <v>5477</v>
      </c>
      <c r="D1119" s="2" t="s">
        <v>5158</v>
      </c>
      <c r="E1119" s="2" t="s">
        <v>5159</v>
      </c>
      <c r="F1119" s="2">
        <v>7.97</v>
      </c>
      <c r="G1119" s="2">
        <v>5</v>
      </c>
      <c r="H1119" s="2">
        <f>Tabla_Items_Con_Existencia[[#This Row],[COSTO]]*Tabla_Items_Con_Existencia[[#This Row],[EXISTENCIA]]</f>
        <v>39.85</v>
      </c>
      <c r="I1119" s="1">
        <f>IF(ISERROR(MATCH(Tabla_Items_Con_Existencia[[#This Row],[CODIGO]],Tabla_Items_Activos[CODIGO],0)),0,1)</f>
        <v>0</v>
      </c>
    </row>
    <row r="1120" spans="1:9">
      <c r="A1120" s="2" t="s">
        <v>6760</v>
      </c>
      <c r="B1120" s="2" t="s">
        <v>538</v>
      </c>
      <c r="C1120" s="2" t="s">
        <v>2013</v>
      </c>
      <c r="D1120" s="2" t="s">
        <v>5158</v>
      </c>
      <c r="E1120" s="2" t="s">
        <v>5159</v>
      </c>
      <c r="F1120" s="2">
        <v>13</v>
      </c>
      <c r="G1120" s="2">
        <v>7</v>
      </c>
      <c r="H1120" s="2">
        <f>Tabla_Items_Con_Existencia[[#This Row],[COSTO]]*Tabla_Items_Con_Existencia[[#This Row],[EXISTENCIA]]</f>
        <v>91</v>
      </c>
      <c r="I1120" s="1">
        <f>IF(ISERROR(MATCH(Tabla_Items_Con_Existencia[[#This Row],[CODIGO]],Tabla_Items_Activos[CODIGO],0)),0,1)</f>
        <v>0</v>
      </c>
    </row>
    <row r="1121" spans="1:9">
      <c r="A1121" s="2" t="s">
        <v>6760</v>
      </c>
      <c r="B1121" s="2" t="s">
        <v>539</v>
      </c>
      <c r="C1121" s="2" t="s">
        <v>6288</v>
      </c>
      <c r="D1121" s="2" t="s">
        <v>5158</v>
      </c>
      <c r="E1121" s="2" t="s">
        <v>5159</v>
      </c>
      <c r="F1121" s="2">
        <v>1.59</v>
      </c>
      <c r="G1121" s="2">
        <v>2</v>
      </c>
      <c r="H1121" s="2">
        <f>Tabla_Items_Con_Existencia[[#This Row],[COSTO]]*Tabla_Items_Con_Existencia[[#This Row],[EXISTENCIA]]</f>
        <v>3.18</v>
      </c>
      <c r="I1121" s="1">
        <f>IF(ISERROR(MATCH(Tabla_Items_Con_Existencia[[#This Row],[CODIGO]],Tabla_Items_Activos[CODIGO],0)),0,1)</f>
        <v>0</v>
      </c>
    </row>
    <row r="1122" spans="1:9">
      <c r="A1122" s="2" t="s">
        <v>6760</v>
      </c>
      <c r="B1122" s="2" t="s">
        <v>540</v>
      </c>
      <c r="C1122" s="2" t="s">
        <v>2014</v>
      </c>
      <c r="D1122" s="2" t="s">
        <v>5158</v>
      </c>
      <c r="E1122" s="2" t="s">
        <v>5159</v>
      </c>
      <c r="F1122" s="2">
        <v>2.9761421100000001</v>
      </c>
      <c r="G1122" s="2">
        <v>25</v>
      </c>
      <c r="H1122" s="2">
        <f>Tabla_Items_Con_Existencia[[#This Row],[COSTO]]*Tabla_Items_Con_Existencia[[#This Row],[EXISTENCIA]]</f>
        <v>74.403552750000003</v>
      </c>
      <c r="I1122" s="1">
        <f>IF(ISERROR(MATCH(Tabla_Items_Con_Existencia[[#This Row],[CODIGO]],Tabla_Items_Activos[CODIGO],0)),0,1)</f>
        <v>0</v>
      </c>
    </row>
    <row r="1123" spans="1:9">
      <c r="A1123" s="2" t="s">
        <v>6761</v>
      </c>
      <c r="B1123" s="2" t="s">
        <v>540</v>
      </c>
      <c r="C1123" s="2" t="s">
        <v>2014</v>
      </c>
      <c r="D1123" s="2" t="s">
        <v>5158</v>
      </c>
      <c r="E1123" s="2" t="s">
        <v>5159</v>
      </c>
      <c r="F1123" s="2">
        <v>2.9761421100000001</v>
      </c>
      <c r="G1123" s="2">
        <v>25</v>
      </c>
      <c r="H1123" s="2">
        <f>Tabla_Items_Con_Existencia[[#This Row],[COSTO]]*Tabla_Items_Con_Existencia[[#This Row],[EXISTENCIA]]</f>
        <v>74.403552750000003</v>
      </c>
      <c r="I1123" s="1">
        <f>IF(ISERROR(MATCH(Tabla_Items_Con_Existencia[[#This Row],[CODIGO]],Tabla_Items_Activos[CODIGO],0)),0,1)</f>
        <v>0</v>
      </c>
    </row>
    <row r="1124" spans="1:9">
      <c r="A1124" s="2" t="s">
        <v>6760</v>
      </c>
      <c r="B1124" s="2" t="s">
        <v>6547</v>
      </c>
      <c r="C1124" s="2" t="s">
        <v>4232</v>
      </c>
      <c r="D1124" s="2" t="s">
        <v>5158</v>
      </c>
      <c r="E1124" s="2" t="s">
        <v>5159</v>
      </c>
      <c r="F1124" s="2">
        <v>0.48</v>
      </c>
      <c r="G1124" s="2">
        <v>1</v>
      </c>
      <c r="H1124" s="2">
        <f>Tabla_Items_Con_Existencia[[#This Row],[COSTO]]*Tabla_Items_Con_Existencia[[#This Row],[EXISTENCIA]]</f>
        <v>0.48</v>
      </c>
      <c r="I1124" s="1">
        <f>IF(ISERROR(MATCH(Tabla_Items_Con_Existencia[[#This Row],[CODIGO]],Tabla_Items_Activos[CODIGO],0)),0,1)</f>
        <v>0</v>
      </c>
    </row>
    <row r="1125" spans="1:9">
      <c r="A1125" s="2" t="s">
        <v>6760</v>
      </c>
      <c r="B1125" s="2" t="s">
        <v>541</v>
      </c>
      <c r="C1125" s="2" t="s">
        <v>2015</v>
      </c>
      <c r="D1125" s="2" t="s">
        <v>5158</v>
      </c>
      <c r="E1125" s="2" t="s">
        <v>5159</v>
      </c>
      <c r="F1125" s="2">
        <v>2.6361210499999999</v>
      </c>
      <c r="G1125" s="2">
        <v>24</v>
      </c>
      <c r="H1125" s="2">
        <f>Tabla_Items_Con_Existencia[[#This Row],[COSTO]]*Tabla_Items_Con_Existencia[[#This Row],[EXISTENCIA]]</f>
        <v>63.266905199999997</v>
      </c>
      <c r="I1125" s="1">
        <f>IF(ISERROR(MATCH(Tabla_Items_Con_Existencia[[#This Row],[CODIGO]],Tabla_Items_Activos[CODIGO],0)),0,1)</f>
        <v>0</v>
      </c>
    </row>
    <row r="1126" spans="1:9">
      <c r="A1126" s="2" t="s">
        <v>6761</v>
      </c>
      <c r="B1126" s="2" t="s">
        <v>541</v>
      </c>
      <c r="C1126" s="2" t="s">
        <v>2015</v>
      </c>
      <c r="D1126" s="2" t="s">
        <v>5158</v>
      </c>
      <c r="E1126" s="2" t="s">
        <v>5159</v>
      </c>
      <c r="F1126" s="2">
        <v>2.6361210499999999</v>
      </c>
      <c r="G1126" s="2">
        <v>24</v>
      </c>
      <c r="H1126" s="2">
        <f>Tabla_Items_Con_Existencia[[#This Row],[COSTO]]*Tabla_Items_Con_Existencia[[#This Row],[EXISTENCIA]]</f>
        <v>63.266905199999997</v>
      </c>
      <c r="I1126" s="1">
        <f>IF(ISERROR(MATCH(Tabla_Items_Con_Existencia[[#This Row],[CODIGO]],Tabla_Items_Activos[CODIGO],0)),0,1)</f>
        <v>0</v>
      </c>
    </row>
    <row r="1127" spans="1:9">
      <c r="A1127" s="2" t="s">
        <v>6760</v>
      </c>
      <c r="B1127" s="2" t="s">
        <v>542</v>
      </c>
      <c r="C1127" s="2" t="s">
        <v>5151</v>
      </c>
      <c r="D1127" s="2" t="s">
        <v>5186</v>
      </c>
      <c r="E1127" s="2" t="s">
        <v>5159</v>
      </c>
      <c r="F1127" s="2">
        <v>5.1126894700000003</v>
      </c>
      <c r="G1127" s="2">
        <v>78</v>
      </c>
      <c r="H1127" s="2">
        <f>Tabla_Items_Con_Existencia[[#This Row],[COSTO]]*Tabla_Items_Con_Existencia[[#This Row],[EXISTENCIA]]</f>
        <v>398.78977866000002</v>
      </c>
      <c r="I1127" s="1">
        <f>IF(ISERROR(MATCH(Tabla_Items_Con_Existencia[[#This Row],[CODIGO]],Tabla_Items_Activos[CODIGO],0)),0,1)</f>
        <v>0</v>
      </c>
    </row>
    <row r="1128" spans="1:9">
      <c r="A1128" s="2" t="s">
        <v>6761</v>
      </c>
      <c r="B1128" s="2" t="s">
        <v>542</v>
      </c>
      <c r="C1128" s="2" t="s">
        <v>5151</v>
      </c>
      <c r="D1128" s="2" t="s">
        <v>5186</v>
      </c>
      <c r="E1128" s="2" t="s">
        <v>5159</v>
      </c>
      <c r="F1128" s="2">
        <v>5.1126894700000003</v>
      </c>
      <c r="G1128" s="2">
        <v>78</v>
      </c>
      <c r="H1128" s="2">
        <f>Tabla_Items_Con_Existencia[[#This Row],[COSTO]]*Tabla_Items_Con_Existencia[[#This Row],[EXISTENCIA]]</f>
        <v>398.78977866000002</v>
      </c>
      <c r="I1128" s="1">
        <f>IF(ISERROR(MATCH(Tabla_Items_Con_Existencia[[#This Row],[CODIGO]],Tabla_Items_Activos[CODIGO],0)),0,1)</f>
        <v>0</v>
      </c>
    </row>
    <row r="1129" spans="1:9">
      <c r="A1129" s="2" t="s">
        <v>6760</v>
      </c>
      <c r="B1129" s="2" t="s">
        <v>543</v>
      </c>
      <c r="C1129" s="2" t="s">
        <v>2016</v>
      </c>
      <c r="D1129" s="2" t="s">
        <v>5158</v>
      </c>
      <c r="E1129" s="2" t="s">
        <v>5159</v>
      </c>
      <c r="F1129" s="2">
        <v>1.2990999999999999</v>
      </c>
      <c r="G1129" s="2">
        <v>46</v>
      </c>
      <c r="H1129" s="2">
        <f>Tabla_Items_Con_Existencia[[#This Row],[COSTO]]*Tabla_Items_Con_Existencia[[#This Row],[EXISTENCIA]]</f>
        <v>59.758599999999994</v>
      </c>
      <c r="I1129" s="1">
        <f>IF(ISERROR(MATCH(Tabla_Items_Con_Existencia[[#This Row],[CODIGO]],Tabla_Items_Activos[CODIGO],0)),0,1)</f>
        <v>0</v>
      </c>
    </row>
    <row r="1130" spans="1:9">
      <c r="A1130" s="2" t="s">
        <v>6760</v>
      </c>
      <c r="B1130" s="2" t="s">
        <v>544</v>
      </c>
      <c r="C1130" s="2" t="s">
        <v>2017</v>
      </c>
      <c r="D1130" s="2" t="s">
        <v>5158</v>
      </c>
      <c r="E1130" s="2" t="s">
        <v>5159</v>
      </c>
      <c r="F1130" s="2">
        <v>7.3819999999999997</v>
      </c>
      <c r="G1130" s="2">
        <v>5</v>
      </c>
      <c r="H1130" s="2">
        <f>Tabla_Items_Con_Existencia[[#This Row],[COSTO]]*Tabla_Items_Con_Existencia[[#This Row],[EXISTENCIA]]</f>
        <v>36.909999999999997</v>
      </c>
      <c r="I1130" s="1">
        <f>IF(ISERROR(MATCH(Tabla_Items_Con_Existencia[[#This Row],[CODIGO]],Tabla_Items_Activos[CODIGO],0)),0,1)</f>
        <v>0</v>
      </c>
    </row>
    <row r="1131" spans="1:9">
      <c r="A1131" s="2" t="s">
        <v>6760</v>
      </c>
      <c r="B1131" s="2" t="s">
        <v>6548</v>
      </c>
      <c r="C1131" s="2" t="s">
        <v>6549</v>
      </c>
      <c r="D1131" s="2" t="s">
        <v>5158</v>
      </c>
      <c r="E1131" s="2" t="s">
        <v>5159</v>
      </c>
      <c r="F1131" s="2">
        <v>1.1025684200000001</v>
      </c>
      <c r="G1131" s="2">
        <v>26</v>
      </c>
      <c r="H1131" s="2">
        <f>Tabla_Items_Con_Existencia[[#This Row],[COSTO]]*Tabla_Items_Con_Existencia[[#This Row],[EXISTENCIA]]</f>
        <v>28.666778920000002</v>
      </c>
      <c r="I1131" s="1">
        <f>IF(ISERROR(MATCH(Tabla_Items_Con_Existencia[[#This Row],[CODIGO]],Tabla_Items_Activos[CODIGO],0)),0,1)</f>
        <v>0</v>
      </c>
    </row>
    <row r="1132" spans="1:9">
      <c r="A1132" s="2" t="s">
        <v>6761</v>
      </c>
      <c r="B1132" s="2" t="s">
        <v>6548</v>
      </c>
      <c r="C1132" s="2" t="s">
        <v>6549</v>
      </c>
      <c r="D1132" s="2" t="s">
        <v>5158</v>
      </c>
      <c r="E1132" s="2" t="s">
        <v>5159</v>
      </c>
      <c r="F1132" s="2">
        <v>1.1025684200000001</v>
      </c>
      <c r="G1132" s="2">
        <v>26</v>
      </c>
      <c r="H1132" s="2">
        <f>Tabla_Items_Con_Existencia[[#This Row],[COSTO]]*Tabla_Items_Con_Existencia[[#This Row],[EXISTENCIA]]</f>
        <v>28.666778920000002</v>
      </c>
      <c r="I1132" s="1">
        <f>IF(ISERROR(MATCH(Tabla_Items_Con_Existencia[[#This Row],[CODIGO]],Tabla_Items_Activos[CODIGO],0)),0,1)</f>
        <v>0</v>
      </c>
    </row>
    <row r="1133" spans="1:9">
      <c r="A1133" s="2" t="s">
        <v>6760</v>
      </c>
      <c r="B1133" s="2" t="s">
        <v>545</v>
      </c>
      <c r="C1133" s="2" t="s">
        <v>2018</v>
      </c>
      <c r="D1133" s="2" t="s">
        <v>5158</v>
      </c>
      <c r="E1133" s="2" t="s">
        <v>5159</v>
      </c>
      <c r="F1133" s="2">
        <v>0.61109999999999998</v>
      </c>
      <c r="G1133" s="2">
        <v>17</v>
      </c>
      <c r="H1133" s="2">
        <f>Tabla_Items_Con_Existencia[[#This Row],[COSTO]]*Tabla_Items_Con_Existencia[[#This Row],[EXISTENCIA]]</f>
        <v>10.3887</v>
      </c>
      <c r="I1133" s="1">
        <f>IF(ISERROR(MATCH(Tabla_Items_Con_Existencia[[#This Row],[CODIGO]],Tabla_Items_Activos[CODIGO],0)),0,1)</f>
        <v>0</v>
      </c>
    </row>
    <row r="1134" spans="1:9">
      <c r="A1134" s="2" t="s">
        <v>6760</v>
      </c>
      <c r="B1134" s="2" t="s">
        <v>546</v>
      </c>
      <c r="C1134" s="2" t="s">
        <v>2019</v>
      </c>
      <c r="D1134" s="2" t="s">
        <v>5161</v>
      </c>
      <c r="E1134" s="2" t="s">
        <v>5159</v>
      </c>
      <c r="F1134" s="2">
        <v>10.568</v>
      </c>
      <c r="G1134" s="2">
        <v>5</v>
      </c>
      <c r="H1134" s="2">
        <f>Tabla_Items_Con_Existencia[[#This Row],[COSTO]]*Tabla_Items_Con_Existencia[[#This Row],[EXISTENCIA]]</f>
        <v>52.839999999999996</v>
      </c>
      <c r="I1134" s="1">
        <f>IF(ISERROR(MATCH(Tabla_Items_Con_Existencia[[#This Row],[CODIGO]],Tabla_Items_Activos[CODIGO],0)),0,1)</f>
        <v>0</v>
      </c>
    </row>
    <row r="1135" spans="1:9">
      <c r="A1135" s="2" t="s">
        <v>6760</v>
      </c>
      <c r="B1135" s="2" t="s">
        <v>6357</v>
      </c>
      <c r="C1135" s="2" t="s">
        <v>6550</v>
      </c>
      <c r="D1135" s="2" t="s">
        <v>5158</v>
      </c>
      <c r="E1135" s="2" t="s">
        <v>5159</v>
      </c>
      <c r="F1135" s="2">
        <v>22.26</v>
      </c>
      <c r="G1135" s="2">
        <v>1</v>
      </c>
      <c r="H1135" s="2">
        <f>Tabla_Items_Con_Existencia[[#This Row],[COSTO]]*Tabla_Items_Con_Existencia[[#This Row],[EXISTENCIA]]</f>
        <v>22.26</v>
      </c>
      <c r="I1135" s="1">
        <f>IF(ISERROR(MATCH(Tabla_Items_Con_Existencia[[#This Row],[CODIGO]],Tabla_Items_Activos[CODIGO],0)),0,1)</f>
        <v>0</v>
      </c>
    </row>
    <row r="1136" spans="1:9">
      <c r="A1136" s="2" t="s">
        <v>6760</v>
      </c>
      <c r="B1136" s="2" t="s">
        <v>547</v>
      </c>
      <c r="C1136" s="2" t="s">
        <v>2020</v>
      </c>
      <c r="D1136" s="2" t="s">
        <v>5158</v>
      </c>
      <c r="E1136" s="2" t="s">
        <v>5159</v>
      </c>
      <c r="F1136" s="2">
        <v>12.12</v>
      </c>
      <c r="G1136" s="2">
        <v>2</v>
      </c>
      <c r="H1136" s="2">
        <f>Tabla_Items_Con_Existencia[[#This Row],[COSTO]]*Tabla_Items_Con_Existencia[[#This Row],[EXISTENCIA]]</f>
        <v>24.24</v>
      </c>
      <c r="I1136" s="1">
        <f>IF(ISERROR(MATCH(Tabla_Items_Con_Existencia[[#This Row],[CODIGO]],Tabla_Items_Activos[CODIGO],0)),0,1)</f>
        <v>0</v>
      </c>
    </row>
    <row r="1137" spans="1:9">
      <c r="A1137" s="2" t="s">
        <v>6760</v>
      </c>
      <c r="B1137" s="2" t="s">
        <v>548</v>
      </c>
      <c r="C1137" s="2" t="s">
        <v>2021</v>
      </c>
      <c r="D1137" s="2" t="s">
        <v>5158</v>
      </c>
      <c r="E1137" s="2" t="s">
        <v>5159</v>
      </c>
      <c r="F1137" s="2">
        <v>11.856</v>
      </c>
      <c r="G1137" s="2">
        <v>3</v>
      </c>
      <c r="H1137" s="2">
        <f>Tabla_Items_Con_Existencia[[#This Row],[COSTO]]*Tabla_Items_Con_Existencia[[#This Row],[EXISTENCIA]]</f>
        <v>35.567999999999998</v>
      </c>
      <c r="I1137" s="1">
        <f>IF(ISERROR(MATCH(Tabla_Items_Con_Existencia[[#This Row],[CODIGO]],Tabla_Items_Activos[CODIGO],0)),0,1)</f>
        <v>0</v>
      </c>
    </row>
    <row r="1138" spans="1:9">
      <c r="A1138" s="2" t="s">
        <v>6760</v>
      </c>
      <c r="B1138" s="2" t="s">
        <v>549</v>
      </c>
      <c r="C1138" s="2" t="s">
        <v>2022</v>
      </c>
      <c r="D1138" s="2" t="s">
        <v>5158</v>
      </c>
      <c r="E1138" s="2" t="s">
        <v>5159</v>
      </c>
      <c r="F1138" s="2">
        <v>8.33</v>
      </c>
      <c r="G1138" s="2">
        <v>2</v>
      </c>
      <c r="H1138" s="2">
        <f>Tabla_Items_Con_Existencia[[#This Row],[COSTO]]*Tabla_Items_Con_Existencia[[#This Row],[EXISTENCIA]]</f>
        <v>16.66</v>
      </c>
      <c r="I1138" s="1">
        <f>IF(ISERROR(MATCH(Tabla_Items_Con_Existencia[[#This Row],[CODIGO]],Tabla_Items_Activos[CODIGO],0)),0,1)</f>
        <v>0</v>
      </c>
    </row>
    <row r="1139" spans="1:9">
      <c r="A1139" s="2" t="s">
        <v>6760</v>
      </c>
      <c r="B1139" s="2" t="s">
        <v>6551</v>
      </c>
      <c r="C1139" s="2" t="s">
        <v>6552</v>
      </c>
      <c r="D1139" s="2" t="s">
        <v>5186</v>
      </c>
      <c r="E1139" s="2" t="s">
        <v>5159</v>
      </c>
      <c r="F1139" s="2">
        <v>29.7</v>
      </c>
      <c r="G1139" s="2">
        <v>1</v>
      </c>
      <c r="H1139" s="2">
        <f>Tabla_Items_Con_Existencia[[#This Row],[COSTO]]*Tabla_Items_Con_Existencia[[#This Row],[EXISTENCIA]]</f>
        <v>29.7</v>
      </c>
      <c r="I1139" s="1">
        <f>IF(ISERROR(MATCH(Tabla_Items_Con_Existencia[[#This Row],[CODIGO]],Tabla_Items_Activos[CODIGO],0)),0,1)</f>
        <v>0</v>
      </c>
    </row>
    <row r="1140" spans="1:9">
      <c r="A1140" s="2" t="s">
        <v>6760</v>
      </c>
      <c r="B1140" s="2" t="s">
        <v>551</v>
      </c>
      <c r="C1140" s="2" t="s">
        <v>2023</v>
      </c>
      <c r="D1140" s="2" t="s">
        <v>5158</v>
      </c>
      <c r="E1140" s="2" t="s">
        <v>5159</v>
      </c>
      <c r="F1140" s="2">
        <v>38.478999999999999</v>
      </c>
      <c r="G1140" s="2">
        <v>8</v>
      </c>
      <c r="H1140" s="2">
        <f>Tabla_Items_Con_Existencia[[#This Row],[COSTO]]*Tabla_Items_Con_Existencia[[#This Row],[EXISTENCIA]]</f>
        <v>307.83199999999999</v>
      </c>
      <c r="I1140" s="1">
        <f>IF(ISERROR(MATCH(Tabla_Items_Con_Existencia[[#This Row],[CODIGO]],Tabla_Items_Activos[CODIGO],0)),0,1)</f>
        <v>0</v>
      </c>
    </row>
    <row r="1141" spans="1:9">
      <c r="A1141" s="2" t="s">
        <v>6760</v>
      </c>
      <c r="B1141" s="2" t="s">
        <v>552</v>
      </c>
      <c r="C1141" s="2" t="s">
        <v>6327</v>
      </c>
      <c r="D1141" s="2" t="s">
        <v>5186</v>
      </c>
      <c r="E1141" s="2" t="s">
        <v>5159</v>
      </c>
      <c r="F1141" s="2">
        <v>28.998000000000001</v>
      </c>
      <c r="G1141" s="2">
        <v>5</v>
      </c>
      <c r="H1141" s="2">
        <f>Tabla_Items_Con_Existencia[[#This Row],[COSTO]]*Tabla_Items_Con_Existencia[[#This Row],[EXISTENCIA]]</f>
        <v>144.99</v>
      </c>
      <c r="I1141" s="1">
        <f>IF(ISERROR(MATCH(Tabla_Items_Con_Existencia[[#This Row],[CODIGO]],Tabla_Items_Activos[CODIGO],0)),0,1)</f>
        <v>0</v>
      </c>
    </row>
    <row r="1142" spans="1:9">
      <c r="A1142" s="2" t="s">
        <v>6760</v>
      </c>
      <c r="B1142" s="2" t="s">
        <v>553</v>
      </c>
      <c r="C1142" s="2" t="s">
        <v>2025</v>
      </c>
      <c r="D1142" s="2" t="s">
        <v>5158</v>
      </c>
      <c r="E1142" s="2" t="s">
        <v>5159</v>
      </c>
      <c r="F1142" s="2">
        <v>29.034273679999998</v>
      </c>
      <c r="G1142" s="2">
        <v>12</v>
      </c>
      <c r="H1142" s="2">
        <f>Tabla_Items_Con_Existencia[[#This Row],[COSTO]]*Tabla_Items_Con_Existencia[[#This Row],[EXISTENCIA]]</f>
        <v>348.41128415999998</v>
      </c>
      <c r="I1142" s="1">
        <f>IF(ISERROR(MATCH(Tabla_Items_Con_Existencia[[#This Row],[CODIGO]],Tabla_Items_Activos[CODIGO],0)),0,1)</f>
        <v>0</v>
      </c>
    </row>
    <row r="1143" spans="1:9">
      <c r="A1143" s="2" t="s">
        <v>6761</v>
      </c>
      <c r="B1143" s="2" t="s">
        <v>553</v>
      </c>
      <c r="C1143" s="2" t="s">
        <v>2025</v>
      </c>
      <c r="D1143" s="2" t="s">
        <v>5158</v>
      </c>
      <c r="E1143" s="2" t="s">
        <v>5159</v>
      </c>
      <c r="F1143" s="2">
        <v>29.034273679999998</v>
      </c>
      <c r="G1143" s="2">
        <v>12</v>
      </c>
      <c r="H1143" s="2">
        <f>Tabla_Items_Con_Existencia[[#This Row],[COSTO]]*Tabla_Items_Con_Existencia[[#This Row],[EXISTENCIA]]</f>
        <v>348.41128415999998</v>
      </c>
      <c r="I1143" s="1">
        <f>IF(ISERROR(MATCH(Tabla_Items_Con_Existencia[[#This Row],[CODIGO]],Tabla_Items_Activos[CODIGO],0)),0,1)</f>
        <v>0</v>
      </c>
    </row>
    <row r="1144" spans="1:9">
      <c r="A1144" s="2" t="s">
        <v>6760</v>
      </c>
      <c r="B1144" s="2" t="s">
        <v>2026</v>
      </c>
      <c r="C1144" s="2" t="s">
        <v>6328</v>
      </c>
      <c r="D1144" s="2" t="s">
        <v>5194</v>
      </c>
      <c r="E1144" s="2" t="s">
        <v>5159</v>
      </c>
      <c r="F1144" s="2">
        <v>13.52</v>
      </c>
      <c r="G1144" s="2">
        <v>2</v>
      </c>
      <c r="H1144" s="2">
        <f>Tabla_Items_Con_Existencia[[#This Row],[COSTO]]*Tabla_Items_Con_Existencia[[#This Row],[EXISTENCIA]]</f>
        <v>27.04</v>
      </c>
      <c r="I1144" s="1">
        <f>IF(ISERROR(MATCH(Tabla_Items_Con_Existencia[[#This Row],[CODIGO]],Tabla_Items_Activos[CODIGO],0)),0,1)</f>
        <v>0</v>
      </c>
    </row>
    <row r="1145" spans="1:9">
      <c r="A1145" s="2" t="s">
        <v>6760</v>
      </c>
      <c r="B1145" s="2" t="s">
        <v>554</v>
      </c>
      <c r="C1145" s="2" t="s">
        <v>2028</v>
      </c>
      <c r="D1145" s="2" t="s">
        <v>5186</v>
      </c>
      <c r="E1145" s="2" t="s">
        <v>5159</v>
      </c>
      <c r="F1145" s="2">
        <v>28.893999999999998</v>
      </c>
      <c r="G1145" s="2">
        <v>5</v>
      </c>
      <c r="H1145" s="2">
        <f>Tabla_Items_Con_Existencia[[#This Row],[COSTO]]*Tabla_Items_Con_Existencia[[#This Row],[EXISTENCIA]]</f>
        <v>144.47</v>
      </c>
      <c r="I1145" s="1">
        <f>IF(ISERROR(MATCH(Tabla_Items_Con_Existencia[[#This Row],[CODIGO]],Tabla_Items_Activos[CODIGO],0)),0,1)</f>
        <v>0</v>
      </c>
    </row>
    <row r="1146" spans="1:9">
      <c r="A1146" s="2" t="s">
        <v>6760</v>
      </c>
      <c r="B1146" s="2" t="s">
        <v>555</v>
      </c>
      <c r="C1146" s="2" t="s">
        <v>6329</v>
      </c>
      <c r="D1146" s="2" t="s">
        <v>5186</v>
      </c>
      <c r="E1146" s="2" t="s">
        <v>5159</v>
      </c>
      <c r="F1146" s="2">
        <v>33.950000000000003</v>
      </c>
      <c r="G1146" s="2">
        <v>3</v>
      </c>
      <c r="H1146" s="2">
        <f>Tabla_Items_Con_Existencia[[#This Row],[COSTO]]*Tabla_Items_Con_Existencia[[#This Row],[EXISTENCIA]]</f>
        <v>101.85000000000001</v>
      </c>
      <c r="I1146" s="1">
        <f>IF(ISERROR(MATCH(Tabla_Items_Con_Existencia[[#This Row],[CODIGO]],Tabla_Items_Activos[CODIGO],0)),0,1)</f>
        <v>0</v>
      </c>
    </row>
    <row r="1147" spans="1:9">
      <c r="A1147" s="2" t="s">
        <v>6760</v>
      </c>
      <c r="B1147" s="2" t="s">
        <v>2030</v>
      </c>
      <c r="C1147" s="2" t="s">
        <v>2031</v>
      </c>
      <c r="D1147" s="2" t="s">
        <v>5201</v>
      </c>
      <c r="E1147" s="2" t="s">
        <v>5159</v>
      </c>
      <c r="F1147" s="2">
        <v>24.36</v>
      </c>
      <c r="G1147" s="2">
        <v>1</v>
      </c>
      <c r="H1147" s="2">
        <f>Tabla_Items_Con_Existencia[[#This Row],[COSTO]]*Tabla_Items_Con_Existencia[[#This Row],[EXISTENCIA]]</f>
        <v>24.36</v>
      </c>
      <c r="I1147" s="1">
        <f>IF(ISERROR(MATCH(Tabla_Items_Con_Existencia[[#This Row],[CODIGO]],Tabla_Items_Activos[CODIGO],0)),0,1)</f>
        <v>0</v>
      </c>
    </row>
    <row r="1148" spans="1:9">
      <c r="A1148" s="2" t="s">
        <v>6760</v>
      </c>
      <c r="B1148" s="2" t="s">
        <v>6553</v>
      </c>
      <c r="C1148" s="2" t="s">
        <v>4603</v>
      </c>
      <c r="D1148" s="2" t="s">
        <v>5161</v>
      </c>
      <c r="E1148" s="2" t="s">
        <v>5159</v>
      </c>
      <c r="F1148" s="2">
        <v>16.963000000000001</v>
      </c>
      <c r="G1148" s="2">
        <v>6</v>
      </c>
      <c r="H1148" s="2">
        <f>Tabla_Items_Con_Existencia[[#This Row],[COSTO]]*Tabla_Items_Con_Existencia[[#This Row],[EXISTENCIA]]</f>
        <v>101.77800000000001</v>
      </c>
      <c r="I1148" s="1">
        <f>IF(ISERROR(MATCH(Tabla_Items_Con_Existencia[[#This Row],[CODIGO]],Tabla_Items_Activos[CODIGO],0)),0,1)</f>
        <v>0</v>
      </c>
    </row>
    <row r="1149" spans="1:9">
      <c r="A1149" s="2" t="s">
        <v>6760</v>
      </c>
      <c r="B1149" s="2" t="s">
        <v>556</v>
      </c>
      <c r="C1149" s="2" t="s">
        <v>2032</v>
      </c>
      <c r="D1149" s="2" t="s">
        <v>5158</v>
      </c>
      <c r="E1149" s="2" t="s">
        <v>5159</v>
      </c>
      <c r="F1149" s="2">
        <v>23.82208421</v>
      </c>
      <c r="G1149" s="2">
        <v>22</v>
      </c>
      <c r="H1149" s="2">
        <f>Tabla_Items_Con_Existencia[[#This Row],[COSTO]]*Tabla_Items_Con_Existencia[[#This Row],[EXISTENCIA]]</f>
        <v>524.08585261999997</v>
      </c>
      <c r="I1149" s="1">
        <f>IF(ISERROR(MATCH(Tabla_Items_Con_Existencia[[#This Row],[CODIGO]],Tabla_Items_Activos[CODIGO],0)),0,1)</f>
        <v>0</v>
      </c>
    </row>
    <row r="1150" spans="1:9">
      <c r="A1150" s="2" t="s">
        <v>6761</v>
      </c>
      <c r="B1150" s="2" t="s">
        <v>556</v>
      </c>
      <c r="C1150" s="2" t="s">
        <v>2032</v>
      </c>
      <c r="D1150" s="2" t="s">
        <v>5158</v>
      </c>
      <c r="E1150" s="2" t="s">
        <v>5159</v>
      </c>
      <c r="F1150" s="2">
        <v>23.82208421</v>
      </c>
      <c r="G1150" s="2">
        <v>22</v>
      </c>
      <c r="H1150" s="2">
        <f>Tabla_Items_Con_Existencia[[#This Row],[COSTO]]*Tabla_Items_Con_Existencia[[#This Row],[EXISTENCIA]]</f>
        <v>524.08585261999997</v>
      </c>
      <c r="I1150" s="1">
        <f>IF(ISERROR(MATCH(Tabla_Items_Con_Existencia[[#This Row],[CODIGO]],Tabla_Items_Activos[CODIGO],0)),0,1)</f>
        <v>0</v>
      </c>
    </row>
    <row r="1151" spans="1:9">
      <c r="A1151" s="2" t="s">
        <v>6760</v>
      </c>
      <c r="B1151" s="2" t="s">
        <v>557</v>
      </c>
      <c r="C1151" s="2" t="s">
        <v>2033</v>
      </c>
      <c r="D1151" s="2" t="s">
        <v>5158</v>
      </c>
      <c r="E1151" s="2" t="s">
        <v>5159</v>
      </c>
      <c r="F1151" s="2">
        <v>18.856999999999999</v>
      </c>
      <c r="G1151" s="2">
        <v>1</v>
      </c>
      <c r="H1151" s="2">
        <f>Tabla_Items_Con_Existencia[[#This Row],[COSTO]]*Tabla_Items_Con_Existencia[[#This Row],[EXISTENCIA]]</f>
        <v>18.856999999999999</v>
      </c>
      <c r="I1151" s="1">
        <f>IF(ISERROR(MATCH(Tabla_Items_Con_Existencia[[#This Row],[CODIGO]],Tabla_Items_Activos[CODIGO],0)),0,1)</f>
        <v>0</v>
      </c>
    </row>
    <row r="1152" spans="1:9">
      <c r="A1152" s="2" t="s">
        <v>6760</v>
      </c>
      <c r="B1152" s="2" t="s">
        <v>558</v>
      </c>
      <c r="C1152" s="2" t="s">
        <v>2034</v>
      </c>
      <c r="D1152" s="2" t="s">
        <v>5158</v>
      </c>
      <c r="E1152" s="2" t="s">
        <v>5159</v>
      </c>
      <c r="F1152" s="2">
        <v>19.170100000000001</v>
      </c>
      <c r="G1152" s="2">
        <v>11</v>
      </c>
      <c r="H1152" s="2">
        <f>Tabla_Items_Con_Existencia[[#This Row],[COSTO]]*Tabla_Items_Con_Existencia[[#This Row],[EXISTENCIA]]</f>
        <v>210.87110000000001</v>
      </c>
      <c r="I1152" s="1">
        <f>IF(ISERROR(MATCH(Tabla_Items_Con_Existencia[[#This Row],[CODIGO]],Tabla_Items_Activos[CODIGO],0)),0,1)</f>
        <v>0</v>
      </c>
    </row>
    <row r="1153" spans="1:9">
      <c r="A1153" s="2" t="s">
        <v>6760</v>
      </c>
      <c r="B1153" s="2" t="s">
        <v>560</v>
      </c>
      <c r="C1153" s="2" t="s">
        <v>2035</v>
      </c>
      <c r="D1153" s="2" t="s">
        <v>5158</v>
      </c>
      <c r="E1153" s="2" t="s">
        <v>5159</v>
      </c>
      <c r="F1153" s="2">
        <v>17.72</v>
      </c>
      <c r="G1153" s="2">
        <v>1</v>
      </c>
      <c r="H1153" s="2">
        <f>Tabla_Items_Con_Existencia[[#This Row],[COSTO]]*Tabla_Items_Con_Existencia[[#This Row],[EXISTENCIA]]</f>
        <v>17.72</v>
      </c>
      <c r="I1153" s="1">
        <f>IF(ISERROR(MATCH(Tabla_Items_Con_Existencia[[#This Row],[CODIGO]],Tabla_Items_Activos[CODIGO],0)),0,1)</f>
        <v>0</v>
      </c>
    </row>
    <row r="1154" spans="1:9">
      <c r="A1154" s="2" t="s">
        <v>6760</v>
      </c>
      <c r="B1154" s="2" t="s">
        <v>563</v>
      </c>
      <c r="C1154" s="2" t="s">
        <v>2037</v>
      </c>
      <c r="D1154" s="2" t="s">
        <v>5158</v>
      </c>
      <c r="E1154" s="2" t="s">
        <v>5159</v>
      </c>
      <c r="F1154" s="2">
        <v>0.377</v>
      </c>
      <c r="G1154" s="2">
        <v>9</v>
      </c>
      <c r="H1154" s="2">
        <f>Tabla_Items_Con_Existencia[[#This Row],[COSTO]]*Tabla_Items_Con_Existencia[[#This Row],[EXISTENCIA]]</f>
        <v>3.3929999999999998</v>
      </c>
      <c r="I1154" s="1">
        <f>IF(ISERROR(MATCH(Tabla_Items_Con_Existencia[[#This Row],[CODIGO]],Tabla_Items_Activos[CODIGO],0)),0,1)</f>
        <v>0</v>
      </c>
    </row>
    <row r="1155" spans="1:9">
      <c r="A1155" s="2" t="s">
        <v>6761</v>
      </c>
      <c r="B1155" s="2" t="s">
        <v>564</v>
      </c>
      <c r="C1155" s="2" t="s">
        <v>2038</v>
      </c>
      <c r="D1155" s="2" t="s">
        <v>5158</v>
      </c>
      <c r="E1155" s="2" t="s">
        <v>5159</v>
      </c>
      <c r="F1155" s="2">
        <v>0.32105263000000001</v>
      </c>
      <c r="G1155" s="2">
        <v>40</v>
      </c>
      <c r="H1155" s="2">
        <f>Tabla_Items_Con_Existencia[[#This Row],[COSTO]]*Tabla_Items_Con_Existencia[[#This Row],[EXISTENCIA]]</f>
        <v>12.842105200000001</v>
      </c>
      <c r="I1155" s="1">
        <f>IF(ISERROR(MATCH(Tabla_Items_Con_Existencia[[#This Row],[CODIGO]],Tabla_Items_Activos[CODIGO],0)),0,1)</f>
        <v>0</v>
      </c>
    </row>
    <row r="1156" spans="1:9">
      <c r="A1156" s="2" t="s">
        <v>6760</v>
      </c>
      <c r="B1156" s="2" t="s">
        <v>564</v>
      </c>
      <c r="C1156" s="2" t="s">
        <v>2038</v>
      </c>
      <c r="D1156" s="2" t="s">
        <v>5158</v>
      </c>
      <c r="E1156" s="2" t="s">
        <v>5159</v>
      </c>
      <c r="F1156" s="2">
        <v>0.32105263000000001</v>
      </c>
      <c r="G1156" s="2">
        <v>40</v>
      </c>
      <c r="H1156" s="2">
        <f>Tabla_Items_Con_Existencia[[#This Row],[COSTO]]*Tabla_Items_Con_Existencia[[#This Row],[EXISTENCIA]]</f>
        <v>12.842105200000001</v>
      </c>
      <c r="I1156" s="1">
        <f>IF(ISERROR(MATCH(Tabla_Items_Con_Existencia[[#This Row],[CODIGO]],Tabla_Items_Activos[CODIGO],0)),0,1)</f>
        <v>0</v>
      </c>
    </row>
    <row r="1157" spans="1:9">
      <c r="A1157" s="2" t="s">
        <v>6760</v>
      </c>
      <c r="B1157" s="2" t="s">
        <v>565</v>
      </c>
      <c r="C1157" s="2" t="s">
        <v>2039</v>
      </c>
      <c r="D1157" s="2" t="s">
        <v>5158</v>
      </c>
      <c r="E1157" s="2" t="s">
        <v>5159</v>
      </c>
      <c r="F1157" s="2">
        <v>2.06</v>
      </c>
      <c r="G1157" s="2">
        <v>10</v>
      </c>
      <c r="H1157" s="2">
        <f>Tabla_Items_Con_Existencia[[#This Row],[COSTO]]*Tabla_Items_Con_Existencia[[#This Row],[EXISTENCIA]]</f>
        <v>20.6</v>
      </c>
      <c r="I1157" s="1">
        <f>IF(ISERROR(MATCH(Tabla_Items_Con_Existencia[[#This Row],[CODIGO]],Tabla_Items_Activos[CODIGO],0)),0,1)</f>
        <v>0</v>
      </c>
    </row>
    <row r="1158" spans="1:9">
      <c r="A1158" s="2" t="s">
        <v>6760</v>
      </c>
      <c r="B1158" s="2" t="s">
        <v>566</v>
      </c>
      <c r="C1158" s="2" t="s">
        <v>7127</v>
      </c>
      <c r="D1158" s="2" t="s">
        <v>5158</v>
      </c>
      <c r="E1158" s="2" t="s">
        <v>5159</v>
      </c>
      <c r="F1158" s="2">
        <v>2.2347368400000001</v>
      </c>
      <c r="G1158" s="2">
        <v>22</v>
      </c>
      <c r="H1158" s="2">
        <f>Tabla_Items_Con_Existencia[[#This Row],[COSTO]]*Tabla_Items_Con_Existencia[[#This Row],[EXISTENCIA]]</f>
        <v>49.164210480000001</v>
      </c>
      <c r="I1158" s="1">
        <f>IF(ISERROR(MATCH(Tabla_Items_Con_Existencia[[#This Row],[CODIGO]],Tabla_Items_Activos[CODIGO],0)),0,1)</f>
        <v>0</v>
      </c>
    </row>
    <row r="1159" spans="1:9">
      <c r="A1159" s="2" t="s">
        <v>6761</v>
      </c>
      <c r="B1159" s="2" t="s">
        <v>566</v>
      </c>
      <c r="C1159" s="2" t="s">
        <v>7127</v>
      </c>
      <c r="D1159" s="2" t="s">
        <v>5158</v>
      </c>
      <c r="E1159" s="2" t="s">
        <v>5159</v>
      </c>
      <c r="F1159" s="2">
        <v>2.2347368400000001</v>
      </c>
      <c r="G1159" s="2">
        <v>22</v>
      </c>
      <c r="H1159" s="2">
        <f>Tabla_Items_Con_Existencia[[#This Row],[COSTO]]*Tabla_Items_Con_Existencia[[#This Row],[EXISTENCIA]]</f>
        <v>49.164210480000001</v>
      </c>
      <c r="I1159" s="1">
        <f>IF(ISERROR(MATCH(Tabla_Items_Con_Existencia[[#This Row],[CODIGO]],Tabla_Items_Activos[CODIGO],0)),0,1)</f>
        <v>0</v>
      </c>
    </row>
    <row r="1160" spans="1:9">
      <c r="A1160" s="2" t="s">
        <v>6761</v>
      </c>
      <c r="B1160" s="2" t="s">
        <v>6554</v>
      </c>
      <c r="C1160" s="2" t="s">
        <v>4556</v>
      </c>
      <c r="D1160" s="2" t="s">
        <v>5186</v>
      </c>
      <c r="E1160" s="2" t="s">
        <v>5159</v>
      </c>
      <c r="F1160" s="2">
        <v>4.3569473700000003</v>
      </c>
      <c r="G1160" s="2">
        <v>5</v>
      </c>
      <c r="H1160" s="2">
        <f>Tabla_Items_Con_Existencia[[#This Row],[COSTO]]*Tabla_Items_Con_Existencia[[#This Row],[EXISTENCIA]]</f>
        <v>21.784736850000002</v>
      </c>
      <c r="I1160" s="1">
        <f>IF(ISERROR(MATCH(Tabla_Items_Con_Existencia[[#This Row],[CODIGO]],Tabla_Items_Activos[CODIGO],0)),0,1)</f>
        <v>0</v>
      </c>
    </row>
    <row r="1161" spans="1:9">
      <c r="A1161" s="2" t="s">
        <v>6760</v>
      </c>
      <c r="B1161" s="2" t="s">
        <v>6554</v>
      </c>
      <c r="C1161" s="2" t="s">
        <v>4556</v>
      </c>
      <c r="D1161" s="2" t="s">
        <v>5186</v>
      </c>
      <c r="E1161" s="2" t="s">
        <v>5159</v>
      </c>
      <c r="F1161" s="2">
        <v>4.3569473700000003</v>
      </c>
      <c r="G1161" s="2">
        <v>5</v>
      </c>
      <c r="H1161" s="2">
        <f>Tabla_Items_Con_Existencia[[#This Row],[COSTO]]*Tabla_Items_Con_Existencia[[#This Row],[EXISTENCIA]]</f>
        <v>21.784736850000002</v>
      </c>
      <c r="I1161" s="1">
        <f>IF(ISERROR(MATCH(Tabla_Items_Con_Existencia[[#This Row],[CODIGO]],Tabla_Items_Activos[CODIGO],0)),0,1)</f>
        <v>0</v>
      </c>
    </row>
    <row r="1162" spans="1:9">
      <c r="A1162" s="2" t="s">
        <v>6760</v>
      </c>
      <c r="B1162" s="2" t="s">
        <v>567</v>
      </c>
      <c r="C1162" s="2" t="s">
        <v>2041</v>
      </c>
      <c r="D1162" s="2" t="s">
        <v>5158</v>
      </c>
      <c r="E1162" s="2" t="s">
        <v>5159</v>
      </c>
      <c r="F1162" s="2">
        <v>0.44</v>
      </c>
      <c r="G1162" s="2">
        <v>10</v>
      </c>
      <c r="H1162" s="2">
        <f>Tabla_Items_Con_Existencia[[#This Row],[COSTO]]*Tabla_Items_Con_Existencia[[#This Row],[EXISTENCIA]]</f>
        <v>4.4000000000000004</v>
      </c>
      <c r="I1162" s="1">
        <f>IF(ISERROR(MATCH(Tabla_Items_Con_Existencia[[#This Row],[CODIGO]],Tabla_Items_Activos[CODIGO],0)),0,1)</f>
        <v>0</v>
      </c>
    </row>
    <row r="1163" spans="1:9">
      <c r="A1163" s="2" t="s">
        <v>6760</v>
      </c>
      <c r="B1163" s="2" t="s">
        <v>568</v>
      </c>
      <c r="C1163" s="2" t="s">
        <v>2042</v>
      </c>
      <c r="D1163" s="2" t="s">
        <v>5158</v>
      </c>
      <c r="E1163" s="2" t="s">
        <v>5159</v>
      </c>
      <c r="F1163" s="2">
        <v>1.8132999999999999</v>
      </c>
      <c r="G1163" s="2">
        <v>9</v>
      </c>
      <c r="H1163" s="2">
        <f>Tabla_Items_Con_Existencia[[#This Row],[COSTO]]*Tabla_Items_Con_Existencia[[#This Row],[EXISTENCIA]]</f>
        <v>16.319699999999997</v>
      </c>
      <c r="I1163" s="1">
        <f>IF(ISERROR(MATCH(Tabla_Items_Con_Existencia[[#This Row],[CODIGO]],Tabla_Items_Activos[CODIGO],0)),0,1)</f>
        <v>0</v>
      </c>
    </row>
    <row r="1164" spans="1:9">
      <c r="A1164" s="2" t="s">
        <v>6760</v>
      </c>
      <c r="B1164" s="2" t="s">
        <v>6555</v>
      </c>
      <c r="C1164" s="2" t="s">
        <v>6902</v>
      </c>
      <c r="D1164" s="2" t="s">
        <v>5158</v>
      </c>
      <c r="E1164" s="2" t="s">
        <v>5159</v>
      </c>
      <c r="F1164" s="2">
        <v>0.68500000000000005</v>
      </c>
      <c r="G1164" s="2">
        <v>4</v>
      </c>
      <c r="H1164" s="2">
        <f>Tabla_Items_Con_Existencia[[#This Row],[COSTO]]*Tabla_Items_Con_Existencia[[#This Row],[EXISTENCIA]]</f>
        <v>2.74</v>
      </c>
      <c r="I1164" s="1">
        <f>IF(ISERROR(MATCH(Tabla_Items_Con_Existencia[[#This Row],[CODIGO]],Tabla_Items_Activos[CODIGO],0)),0,1)</f>
        <v>0</v>
      </c>
    </row>
    <row r="1165" spans="1:9">
      <c r="A1165" s="2" t="s">
        <v>6760</v>
      </c>
      <c r="B1165" s="2" t="s">
        <v>6903</v>
      </c>
      <c r="C1165" s="2" t="s">
        <v>6904</v>
      </c>
      <c r="D1165" s="2" t="s">
        <v>5158</v>
      </c>
      <c r="E1165" s="2" t="s">
        <v>5159</v>
      </c>
      <c r="F1165" s="2">
        <v>2.75</v>
      </c>
      <c r="G1165" s="2">
        <v>5</v>
      </c>
      <c r="H1165" s="2">
        <f>Tabla_Items_Con_Existencia[[#This Row],[COSTO]]*Tabla_Items_Con_Existencia[[#This Row],[EXISTENCIA]]</f>
        <v>13.75</v>
      </c>
      <c r="I1165" s="1">
        <f>IF(ISERROR(MATCH(Tabla_Items_Con_Existencia[[#This Row],[CODIGO]],Tabla_Items_Activos[CODIGO],0)),0,1)</f>
        <v>0</v>
      </c>
    </row>
    <row r="1166" spans="1:9">
      <c r="A1166" s="2" t="s">
        <v>6760</v>
      </c>
      <c r="B1166" s="2" t="s">
        <v>6556</v>
      </c>
      <c r="C1166" s="2" t="s">
        <v>4765</v>
      </c>
      <c r="D1166" s="2" t="s">
        <v>5158</v>
      </c>
      <c r="E1166" s="2" t="s">
        <v>5159</v>
      </c>
      <c r="F1166" s="2">
        <v>8.0934210499999999</v>
      </c>
      <c r="G1166" s="2">
        <v>8</v>
      </c>
      <c r="H1166" s="2">
        <f>Tabla_Items_Con_Existencia[[#This Row],[COSTO]]*Tabla_Items_Con_Existencia[[#This Row],[EXISTENCIA]]</f>
        <v>64.747368399999999</v>
      </c>
      <c r="I1166" s="1">
        <f>IF(ISERROR(MATCH(Tabla_Items_Con_Existencia[[#This Row],[CODIGO]],Tabla_Items_Activos[CODIGO],0)),0,1)</f>
        <v>0</v>
      </c>
    </row>
    <row r="1167" spans="1:9">
      <c r="A1167" s="2" t="s">
        <v>6761</v>
      </c>
      <c r="B1167" s="2" t="s">
        <v>6556</v>
      </c>
      <c r="C1167" s="2" t="s">
        <v>4765</v>
      </c>
      <c r="D1167" s="2" t="s">
        <v>5158</v>
      </c>
      <c r="E1167" s="2" t="s">
        <v>5159</v>
      </c>
      <c r="F1167" s="2">
        <v>8.0934210499999999</v>
      </c>
      <c r="G1167" s="2">
        <v>8</v>
      </c>
      <c r="H1167" s="2">
        <f>Tabla_Items_Con_Existencia[[#This Row],[COSTO]]*Tabla_Items_Con_Existencia[[#This Row],[EXISTENCIA]]</f>
        <v>64.747368399999999</v>
      </c>
      <c r="I1167" s="1">
        <f>IF(ISERROR(MATCH(Tabla_Items_Con_Existencia[[#This Row],[CODIGO]],Tabla_Items_Activos[CODIGO],0)),0,1)</f>
        <v>0</v>
      </c>
    </row>
    <row r="1168" spans="1:9">
      <c r="A1168" s="2" t="s">
        <v>6760</v>
      </c>
      <c r="B1168" s="2" t="s">
        <v>569</v>
      </c>
      <c r="C1168" s="2" t="s">
        <v>2043</v>
      </c>
      <c r="D1168" s="2" t="s">
        <v>5158</v>
      </c>
      <c r="E1168" s="2" t="s">
        <v>5159</v>
      </c>
      <c r="F1168" s="2">
        <v>3.7286000000000001</v>
      </c>
      <c r="G1168" s="2">
        <v>46</v>
      </c>
      <c r="H1168" s="2">
        <f>Tabla_Items_Con_Existencia[[#This Row],[COSTO]]*Tabla_Items_Con_Existencia[[#This Row],[EXISTENCIA]]</f>
        <v>171.51560000000001</v>
      </c>
      <c r="I1168" s="1">
        <f>IF(ISERROR(MATCH(Tabla_Items_Con_Existencia[[#This Row],[CODIGO]],Tabla_Items_Activos[CODIGO],0)),0,1)</f>
        <v>0</v>
      </c>
    </row>
    <row r="1169" spans="1:9">
      <c r="A1169" s="2" t="s">
        <v>6760</v>
      </c>
      <c r="B1169" s="2" t="s">
        <v>2044</v>
      </c>
      <c r="C1169" s="2" t="s">
        <v>7128</v>
      </c>
      <c r="D1169" s="2" t="s">
        <v>5158</v>
      </c>
      <c r="E1169" s="2" t="s">
        <v>5159</v>
      </c>
      <c r="F1169" s="2">
        <v>2.98305263</v>
      </c>
      <c r="G1169" s="2">
        <v>42</v>
      </c>
      <c r="H1169" s="2">
        <f>Tabla_Items_Con_Existencia[[#This Row],[COSTO]]*Tabla_Items_Con_Existencia[[#This Row],[EXISTENCIA]]</f>
        <v>125.28821046</v>
      </c>
      <c r="I1169" s="1">
        <f>IF(ISERROR(MATCH(Tabla_Items_Con_Existencia[[#This Row],[CODIGO]],Tabla_Items_Activos[CODIGO],0)),0,1)</f>
        <v>0</v>
      </c>
    </row>
    <row r="1170" spans="1:9">
      <c r="A1170" s="2" t="s">
        <v>6761</v>
      </c>
      <c r="B1170" s="2" t="s">
        <v>2044</v>
      </c>
      <c r="C1170" s="2" t="s">
        <v>7128</v>
      </c>
      <c r="D1170" s="2" t="s">
        <v>5158</v>
      </c>
      <c r="E1170" s="2" t="s">
        <v>5159</v>
      </c>
      <c r="F1170" s="2">
        <v>2.98305263</v>
      </c>
      <c r="G1170" s="2">
        <v>42</v>
      </c>
      <c r="H1170" s="2">
        <f>Tabla_Items_Con_Existencia[[#This Row],[COSTO]]*Tabla_Items_Con_Existencia[[#This Row],[EXISTENCIA]]</f>
        <v>125.28821046</v>
      </c>
      <c r="I1170" s="1">
        <f>IF(ISERROR(MATCH(Tabla_Items_Con_Existencia[[#This Row],[CODIGO]],Tabla_Items_Activos[CODIGO],0)),0,1)</f>
        <v>0</v>
      </c>
    </row>
    <row r="1171" spans="1:9">
      <c r="A1171" s="2" t="s">
        <v>6760</v>
      </c>
      <c r="B1171" s="2" t="s">
        <v>570</v>
      </c>
      <c r="C1171" s="2" t="s">
        <v>6905</v>
      </c>
      <c r="D1171" s="2" t="s">
        <v>5158</v>
      </c>
      <c r="E1171" s="2" t="s">
        <v>5159</v>
      </c>
      <c r="F1171" s="2">
        <v>3.4091789499999998</v>
      </c>
      <c r="G1171" s="2">
        <v>11</v>
      </c>
      <c r="H1171" s="2">
        <f>Tabla_Items_Con_Existencia[[#This Row],[COSTO]]*Tabla_Items_Con_Existencia[[#This Row],[EXISTENCIA]]</f>
        <v>37.500968449999995</v>
      </c>
      <c r="I1171" s="1">
        <f>IF(ISERROR(MATCH(Tabla_Items_Con_Existencia[[#This Row],[CODIGO]],Tabla_Items_Activos[CODIGO],0)),0,1)</f>
        <v>0</v>
      </c>
    </row>
    <row r="1172" spans="1:9">
      <c r="A1172" s="2" t="s">
        <v>6761</v>
      </c>
      <c r="B1172" s="2" t="s">
        <v>570</v>
      </c>
      <c r="C1172" s="2" t="s">
        <v>6905</v>
      </c>
      <c r="D1172" s="2" t="s">
        <v>5158</v>
      </c>
      <c r="E1172" s="2" t="s">
        <v>5159</v>
      </c>
      <c r="F1172" s="2">
        <v>3.4091789499999998</v>
      </c>
      <c r="G1172" s="2">
        <v>11</v>
      </c>
      <c r="H1172" s="2">
        <f>Tabla_Items_Con_Existencia[[#This Row],[COSTO]]*Tabla_Items_Con_Existencia[[#This Row],[EXISTENCIA]]</f>
        <v>37.500968449999995</v>
      </c>
      <c r="I1172" s="1">
        <f>IF(ISERROR(MATCH(Tabla_Items_Con_Existencia[[#This Row],[CODIGO]],Tabla_Items_Activos[CODIGO],0)),0,1)</f>
        <v>0</v>
      </c>
    </row>
    <row r="1173" spans="1:9">
      <c r="A1173" s="2" t="s">
        <v>6760</v>
      </c>
      <c r="B1173" s="2" t="s">
        <v>571</v>
      </c>
      <c r="C1173" s="2" t="s">
        <v>7329</v>
      </c>
      <c r="D1173" s="2" t="s">
        <v>5158</v>
      </c>
      <c r="E1173" s="2" t="s">
        <v>5159</v>
      </c>
      <c r="F1173" s="2">
        <v>5.4552421100000004</v>
      </c>
      <c r="G1173" s="2">
        <v>26</v>
      </c>
      <c r="H1173" s="2">
        <f>Tabla_Items_Con_Existencia[[#This Row],[COSTO]]*Tabla_Items_Con_Existencia[[#This Row],[EXISTENCIA]]</f>
        <v>141.83629486000001</v>
      </c>
      <c r="I1173" s="1">
        <f>IF(ISERROR(MATCH(Tabla_Items_Con_Existencia[[#This Row],[CODIGO]],Tabla_Items_Activos[CODIGO],0)),0,1)</f>
        <v>0</v>
      </c>
    </row>
    <row r="1174" spans="1:9">
      <c r="A1174" s="2" t="s">
        <v>6761</v>
      </c>
      <c r="B1174" s="2" t="s">
        <v>571</v>
      </c>
      <c r="C1174" s="2" t="s">
        <v>7329</v>
      </c>
      <c r="D1174" s="2" t="s">
        <v>5158</v>
      </c>
      <c r="E1174" s="2" t="s">
        <v>5159</v>
      </c>
      <c r="F1174" s="2">
        <v>5.4552421100000004</v>
      </c>
      <c r="G1174" s="2">
        <v>26</v>
      </c>
      <c r="H1174" s="2">
        <f>Tabla_Items_Con_Existencia[[#This Row],[COSTO]]*Tabla_Items_Con_Existencia[[#This Row],[EXISTENCIA]]</f>
        <v>141.83629486000001</v>
      </c>
      <c r="I1174" s="1">
        <f>IF(ISERROR(MATCH(Tabla_Items_Con_Existencia[[#This Row],[CODIGO]],Tabla_Items_Activos[CODIGO],0)),0,1)</f>
        <v>0</v>
      </c>
    </row>
    <row r="1175" spans="1:9">
      <c r="A1175" s="2" t="s">
        <v>6760</v>
      </c>
      <c r="B1175" s="2" t="s">
        <v>2048</v>
      </c>
      <c r="C1175" s="2" t="s">
        <v>2049</v>
      </c>
      <c r="D1175" s="2" t="s">
        <v>5186</v>
      </c>
      <c r="E1175" s="2" t="s">
        <v>5159</v>
      </c>
      <c r="F1175" s="2">
        <v>5.4470842099999999</v>
      </c>
      <c r="G1175" s="2">
        <v>15</v>
      </c>
      <c r="H1175" s="2">
        <f>Tabla_Items_Con_Existencia[[#This Row],[COSTO]]*Tabla_Items_Con_Existencia[[#This Row],[EXISTENCIA]]</f>
        <v>81.706263149999998</v>
      </c>
      <c r="I1175" s="1">
        <f>IF(ISERROR(MATCH(Tabla_Items_Con_Existencia[[#This Row],[CODIGO]],Tabla_Items_Activos[CODIGO],0)),0,1)</f>
        <v>0</v>
      </c>
    </row>
    <row r="1176" spans="1:9">
      <c r="A1176" s="2" t="s">
        <v>6761</v>
      </c>
      <c r="B1176" s="2" t="s">
        <v>2048</v>
      </c>
      <c r="C1176" s="2" t="s">
        <v>2049</v>
      </c>
      <c r="D1176" s="2" t="s">
        <v>5186</v>
      </c>
      <c r="E1176" s="2" t="s">
        <v>5159</v>
      </c>
      <c r="F1176" s="2">
        <v>5.4470842099999999</v>
      </c>
      <c r="G1176" s="2">
        <v>15</v>
      </c>
      <c r="H1176" s="2">
        <f>Tabla_Items_Con_Existencia[[#This Row],[COSTO]]*Tabla_Items_Con_Existencia[[#This Row],[EXISTENCIA]]</f>
        <v>81.706263149999998</v>
      </c>
      <c r="I1176" s="1">
        <f>IF(ISERROR(MATCH(Tabla_Items_Con_Existencia[[#This Row],[CODIGO]],Tabla_Items_Activos[CODIGO],0)),0,1)</f>
        <v>0</v>
      </c>
    </row>
    <row r="1177" spans="1:9">
      <c r="A1177" s="2" t="s">
        <v>6760</v>
      </c>
      <c r="B1177" s="2" t="s">
        <v>572</v>
      </c>
      <c r="C1177" s="2" t="s">
        <v>6906</v>
      </c>
      <c r="D1177" s="2" t="s">
        <v>5186</v>
      </c>
      <c r="E1177" s="2" t="s">
        <v>5159</v>
      </c>
      <c r="F1177" s="2">
        <v>4.22</v>
      </c>
      <c r="G1177" s="2">
        <v>8</v>
      </c>
      <c r="H1177" s="2">
        <f>Tabla_Items_Con_Existencia[[#This Row],[COSTO]]*Tabla_Items_Con_Existencia[[#This Row],[EXISTENCIA]]</f>
        <v>33.76</v>
      </c>
      <c r="I1177" s="1">
        <f>IF(ISERROR(MATCH(Tabla_Items_Con_Existencia[[#This Row],[CODIGO]],Tabla_Items_Activos[CODIGO],0)),0,1)</f>
        <v>0</v>
      </c>
    </row>
    <row r="1178" spans="1:9">
      <c r="A1178" s="2" t="s">
        <v>6760</v>
      </c>
      <c r="B1178" s="2" t="s">
        <v>573</v>
      </c>
      <c r="C1178" s="2" t="s">
        <v>2051</v>
      </c>
      <c r="D1178" s="2" t="s">
        <v>5186</v>
      </c>
      <c r="E1178" s="2" t="s">
        <v>5159</v>
      </c>
      <c r="F1178" s="2">
        <v>3.68</v>
      </c>
      <c r="G1178" s="2">
        <v>2</v>
      </c>
      <c r="H1178" s="2">
        <f>Tabla_Items_Con_Existencia[[#This Row],[COSTO]]*Tabla_Items_Con_Existencia[[#This Row],[EXISTENCIA]]</f>
        <v>7.36</v>
      </c>
      <c r="I1178" s="1">
        <f>IF(ISERROR(MATCH(Tabla_Items_Con_Existencia[[#This Row],[CODIGO]],Tabla_Items_Activos[CODIGO],0)),0,1)</f>
        <v>0</v>
      </c>
    </row>
    <row r="1179" spans="1:9">
      <c r="A1179" s="2" t="s">
        <v>6760</v>
      </c>
      <c r="B1179" s="2" t="s">
        <v>574</v>
      </c>
      <c r="C1179" s="2" t="s">
        <v>6557</v>
      </c>
      <c r="D1179" s="2" t="s">
        <v>5158</v>
      </c>
      <c r="E1179" s="2" t="s">
        <v>5159</v>
      </c>
      <c r="F1179" s="2">
        <v>1.9249473699999999</v>
      </c>
      <c r="G1179" s="2">
        <v>5</v>
      </c>
      <c r="H1179" s="2">
        <f>Tabla_Items_Con_Existencia[[#This Row],[COSTO]]*Tabla_Items_Con_Existencia[[#This Row],[EXISTENCIA]]</f>
        <v>9.6247368499999997</v>
      </c>
      <c r="I1179" s="1">
        <f>IF(ISERROR(MATCH(Tabla_Items_Con_Existencia[[#This Row],[CODIGO]],Tabla_Items_Activos[CODIGO],0)),0,1)</f>
        <v>0</v>
      </c>
    </row>
    <row r="1180" spans="1:9">
      <c r="A1180" s="2" t="s">
        <v>6761</v>
      </c>
      <c r="B1180" s="2" t="s">
        <v>574</v>
      </c>
      <c r="C1180" s="2" t="s">
        <v>6557</v>
      </c>
      <c r="D1180" s="2" t="s">
        <v>5158</v>
      </c>
      <c r="E1180" s="2" t="s">
        <v>5159</v>
      </c>
      <c r="F1180" s="2">
        <v>1.9249473699999999</v>
      </c>
      <c r="G1180" s="2">
        <v>5</v>
      </c>
      <c r="H1180" s="2">
        <f>Tabla_Items_Con_Existencia[[#This Row],[COSTO]]*Tabla_Items_Con_Existencia[[#This Row],[EXISTENCIA]]</f>
        <v>9.6247368499999997</v>
      </c>
      <c r="I1180" s="1">
        <f>IF(ISERROR(MATCH(Tabla_Items_Con_Existencia[[#This Row],[CODIGO]],Tabla_Items_Activos[CODIGO],0)),0,1)</f>
        <v>0</v>
      </c>
    </row>
    <row r="1181" spans="1:9">
      <c r="A1181" s="2" t="s">
        <v>6760</v>
      </c>
      <c r="B1181" s="2" t="s">
        <v>576</v>
      </c>
      <c r="C1181" s="2" t="s">
        <v>2054</v>
      </c>
      <c r="D1181" s="2" t="s">
        <v>5158</v>
      </c>
      <c r="E1181" s="2" t="s">
        <v>5159</v>
      </c>
      <c r="F1181" s="2">
        <v>3.2879999999999998</v>
      </c>
      <c r="G1181" s="2">
        <v>3</v>
      </c>
      <c r="H1181" s="2">
        <f>Tabla_Items_Con_Existencia[[#This Row],[COSTO]]*Tabla_Items_Con_Existencia[[#This Row],[EXISTENCIA]]</f>
        <v>9.863999999999999</v>
      </c>
      <c r="I1181" s="1">
        <f>IF(ISERROR(MATCH(Tabla_Items_Con_Existencia[[#This Row],[CODIGO]],Tabla_Items_Activos[CODIGO],0)),0,1)</f>
        <v>0</v>
      </c>
    </row>
    <row r="1182" spans="1:9">
      <c r="A1182" s="2" t="s">
        <v>6760</v>
      </c>
      <c r="B1182" s="2" t="s">
        <v>577</v>
      </c>
      <c r="C1182" s="2" t="s">
        <v>7330</v>
      </c>
      <c r="D1182" s="2" t="s">
        <v>5158</v>
      </c>
      <c r="E1182" s="2" t="s">
        <v>5159</v>
      </c>
      <c r="F1182" s="2">
        <v>3.4701684199999998</v>
      </c>
      <c r="G1182" s="2">
        <v>43</v>
      </c>
      <c r="H1182" s="2">
        <f>Tabla_Items_Con_Existencia[[#This Row],[COSTO]]*Tabla_Items_Con_Existencia[[#This Row],[EXISTENCIA]]</f>
        <v>149.21724205999999</v>
      </c>
      <c r="I1182" s="1">
        <f>IF(ISERROR(MATCH(Tabla_Items_Con_Existencia[[#This Row],[CODIGO]],Tabla_Items_Activos[CODIGO],0)),0,1)</f>
        <v>0</v>
      </c>
    </row>
    <row r="1183" spans="1:9">
      <c r="A1183" s="2" t="s">
        <v>6761</v>
      </c>
      <c r="B1183" s="2" t="s">
        <v>577</v>
      </c>
      <c r="C1183" s="2" t="s">
        <v>7330</v>
      </c>
      <c r="D1183" s="2" t="s">
        <v>5158</v>
      </c>
      <c r="E1183" s="2" t="s">
        <v>5159</v>
      </c>
      <c r="F1183" s="2">
        <v>3.4701684199999998</v>
      </c>
      <c r="G1183" s="2">
        <v>43</v>
      </c>
      <c r="H1183" s="2">
        <f>Tabla_Items_Con_Existencia[[#This Row],[COSTO]]*Tabla_Items_Con_Existencia[[#This Row],[EXISTENCIA]]</f>
        <v>149.21724205999999</v>
      </c>
      <c r="I1183" s="1">
        <f>IF(ISERROR(MATCH(Tabla_Items_Con_Existencia[[#This Row],[CODIGO]],Tabla_Items_Activos[CODIGO],0)),0,1)</f>
        <v>0</v>
      </c>
    </row>
    <row r="1184" spans="1:9">
      <c r="A1184" s="2" t="s">
        <v>6760</v>
      </c>
      <c r="B1184" s="2" t="s">
        <v>578</v>
      </c>
      <c r="C1184" s="2" t="s">
        <v>2056</v>
      </c>
      <c r="D1184" s="2" t="s">
        <v>5158</v>
      </c>
      <c r="E1184" s="2" t="s">
        <v>5159</v>
      </c>
      <c r="F1184" s="2">
        <v>4.4073684200000001</v>
      </c>
      <c r="G1184" s="2">
        <v>72</v>
      </c>
      <c r="H1184" s="2">
        <f>Tabla_Items_Con_Existencia[[#This Row],[COSTO]]*Tabla_Items_Con_Existencia[[#This Row],[EXISTENCIA]]</f>
        <v>317.33052623999998</v>
      </c>
      <c r="I1184" s="1">
        <f>IF(ISERROR(MATCH(Tabla_Items_Con_Existencia[[#This Row],[CODIGO]],Tabla_Items_Activos[CODIGO],0)),0,1)</f>
        <v>0</v>
      </c>
    </row>
    <row r="1185" spans="1:9">
      <c r="A1185" s="2" t="s">
        <v>6761</v>
      </c>
      <c r="B1185" s="2" t="s">
        <v>578</v>
      </c>
      <c r="C1185" s="2" t="s">
        <v>2056</v>
      </c>
      <c r="D1185" s="2" t="s">
        <v>5158</v>
      </c>
      <c r="E1185" s="2" t="s">
        <v>5159</v>
      </c>
      <c r="F1185" s="2">
        <v>4.4073684200000001</v>
      </c>
      <c r="G1185" s="2">
        <v>72</v>
      </c>
      <c r="H1185" s="2">
        <f>Tabla_Items_Con_Existencia[[#This Row],[COSTO]]*Tabla_Items_Con_Existencia[[#This Row],[EXISTENCIA]]</f>
        <v>317.33052623999998</v>
      </c>
      <c r="I1185" s="1">
        <f>IF(ISERROR(MATCH(Tabla_Items_Con_Existencia[[#This Row],[CODIGO]],Tabla_Items_Activos[CODIGO],0)),0,1)</f>
        <v>0</v>
      </c>
    </row>
    <row r="1186" spans="1:9">
      <c r="A1186" s="2" t="s">
        <v>6760</v>
      </c>
      <c r="B1186" s="2" t="s">
        <v>6907</v>
      </c>
      <c r="C1186" s="2" t="s">
        <v>6908</v>
      </c>
      <c r="D1186" s="2" t="s">
        <v>5186</v>
      </c>
      <c r="E1186" s="2" t="s">
        <v>5159</v>
      </c>
      <c r="F1186" s="2">
        <v>6.31</v>
      </c>
      <c r="G1186" s="2">
        <v>1</v>
      </c>
      <c r="H1186" s="2">
        <f>Tabla_Items_Con_Existencia[[#This Row],[COSTO]]*Tabla_Items_Con_Existencia[[#This Row],[EXISTENCIA]]</f>
        <v>6.31</v>
      </c>
      <c r="I1186" s="1">
        <f>IF(ISERROR(MATCH(Tabla_Items_Con_Existencia[[#This Row],[CODIGO]],Tabla_Items_Activos[CODIGO],0)),0,1)</f>
        <v>0</v>
      </c>
    </row>
    <row r="1187" spans="1:9">
      <c r="A1187" s="2" t="s">
        <v>6761</v>
      </c>
      <c r="B1187" s="2" t="s">
        <v>580</v>
      </c>
      <c r="C1187" s="2" t="s">
        <v>2057</v>
      </c>
      <c r="D1187" s="2" t="s">
        <v>5158</v>
      </c>
      <c r="E1187" s="2" t="s">
        <v>5159</v>
      </c>
      <c r="F1187" s="2">
        <v>1.20494737</v>
      </c>
      <c r="G1187" s="2">
        <v>17</v>
      </c>
      <c r="H1187" s="2">
        <f>Tabla_Items_Con_Existencia[[#This Row],[COSTO]]*Tabla_Items_Con_Existencia[[#This Row],[EXISTENCIA]]</f>
        <v>20.484105289999999</v>
      </c>
      <c r="I1187" s="1">
        <f>IF(ISERROR(MATCH(Tabla_Items_Con_Existencia[[#This Row],[CODIGO]],Tabla_Items_Activos[CODIGO],0)),0,1)</f>
        <v>0</v>
      </c>
    </row>
    <row r="1188" spans="1:9">
      <c r="A1188" s="2" t="s">
        <v>6760</v>
      </c>
      <c r="B1188" s="2" t="s">
        <v>580</v>
      </c>
      <c r="C1188" s="2" t="s">
        <v>2057</v>
      </c>
      <c r="D1188" s="2" t="s">
        <v>5158</v>
      </c>
      <c r="E1188" s="2" t="s">
        <v>5159</v>
      </c>
      <c r="F1188" s="2">
        <v>1.20494737</v>
      </c>
      <c r="G1188" s="2">
        <v>17</v>
      </c>
      <c r="H1188" s="2">
        <f>Tabla_Items_Con_Existencia[[#This Row],[COSTO]]*Tabla_Items_Con_Existencia[[#This Row],[EXISTENCIA]]</f>
        <v>20.484105289999999</v>
      </c>
      <c r="I1188" s="1">
        <f>IF(ISERROR(MATCH(Tabla_Items_Con_Existencia[[#This Row],[CODIGO]],Tabla_Items_Activos[CODIGO],0)),0,1)</f>
        <v>0</v>
      </c>
    </row>
    <row r="1189" spans="1:9">
      <c r="A1189" s="2" t="s">
        <v>6760</v>
      </c>
      <c r="B1189" s="2" t="s">
        <v>581</v>
      </c>
      <c r="C1189" s="2" t="s">
        <v>2058</v>
      </c>
      <c r="D1189" s="2" t="s">
        <v>5158</v>
      </c>
      <c r="E1189" s="2" t="s">
        <v>5159</v>
      </c>
      <c r="F1189" s="2">
        <v>0.81799999999999995</v>
      </c>
      <c r="G1189" s="2">
        <v>29</v>
      </c>
      <c r="H1189" s="2">
        <f>Tabla_Items_Con_Existencia[[#This Row],[COSTO]]*Tabla_Items_Con_Existencia[[#This Row],[EXISTENCIA]]</f>
        <v>23.721999999999998</v>
      </c>
      <c r="I1189" s="1">
        <f>IF(ISERROR(MATCH(Tabla_Items_Con_Existencia[[#This Row],[CODIGO]],Tabla_Items_Activos[CODIGO],0)),0,1)</f>
        <v>0</v>
      </c>
    </row>
    <row r="1190" spans="1:9">
      <c r="A1190" s="2" t="s">
        <v>6760</v>
      </c>
      <c r="B1190" s="2" t="s">
        <v>582</v>
      </c>
      <c r="C1190" s="2" t="s">
        <v>2059</v>
      </c>
      <c r="D1190" s="2" t="s">
        <v>5158</v>
      </c>
      <c r="E1190" s="2" t="s">
        <v>5159</v>
      </c>
      <c r="F1190" s="2">
        <v>1.2846</v>
      </c>
      <c r="G1190" s="2">
        <v>13</v>
      </c>
      <c r="H1190" s="2">
        <f>Tabla_Items_Con_Existencia[[#This Row],[COSTO]]*Tabla_Items_Con_Existencia[[#This Row],[EXISTENCIA]]</f>
        <v>16.6998</v>
      </c>
      <c r="I1190" s="1">
        <f>IF(ISERROR(MATCH(Tabla_Items_Con_Existencia[[#This Row],[CODIGO]],Tabla_Items_Activos[CODIGO],0)),0,1)</f>
        <v>0</v>
      </c>
    </row>
    <row r="1191" spans="1:9">
      <c r="A1191" s="2" t="s">
        <v>6760</v>
      </c>
      <c r="B1191" s="2" t="s">
        <v>6558</v>
      </c>
      <c r="C1191" s="2" t="s">
        <v>4453</v>
      </c>
      <c r="D1191" s="2" t="s">
        <v>5158</v>
      </c>
      <c r="E1191" s="2" t="s">
        <v>5159</v>
      </c>
      <c r="F1191" s="2">
        <v>2.5558947399999998</v>
      </c>
      <c r="G1191" s="2">
        <v>8</v>
      </c>
      <c r="H1191" s="2">
        <f>Tabla_Items_Con_Existencia[[#This Row],[COSTO]]*Tabla_Items_Con_Existencia[[#This Row],[EXISTENCIA]]</f>
        <v>20.447157919999999</v>
      </c>
      <c r="I1191" s="1">
        <f>IF(ISERROR(MATCH(Tabla_Items_Con_Existencia[[#This Row],[CODIGO]],Tabla_Items_Activos[CODIGO],0)),0,1)</f>
        <v>0</v>
      </c>
    </row>
    <row r="1192" spans="1:9">
      <c r="A1192" s="2" t="s">
        <v>6761</v>
      </c>
      <c r="B1192" s="2" t="s">
        <v>6558</v>
      </c>
      <c r="C1192" s="2" t="s">
        <v>4453</v>
      </c>
      <c r="D1192" s="2" t="s">
        <v>5158</v>
      </c>
      <c r="E1192" s="2" t="s">
        <v>5159</v>
      </c>
      <c r="F1192" s="2">
        <v>2.5558947399999998</v>
      </c>
      <c r="G1192" s="2">
        <v>8</v>
      </c>
      <c r="H1192" s="2">
        <f>Tabla_Items_Con_Existencia[[#This Row],[COSTO]]*Tabla_Items_Con_Existencia[[#This Row],[EXISTENCIA]]</f>
        <v>20.447157919999999</v>
      </c>
      <c r="I1192" s="1">
        <f>IF(ISERROR(MATCH(Tabla_Items_Con_Existencia[[#This Row],[CODIGO]],Tabla_Items_Activos[CODIGO],0)),0,1)</f>
        <v>0</v>
      </c>
    </row>
    <row r="1193" spans="1:9">
      <c r="A1193" s="2" t="s">
        <v>6760</v>
      </c>
      <c r="B1193" s="2" t="s">
        <v>6559</v>
      </c>
      <c r="C1193" s="2" t="s">
        <v>4467</v>
      </c>
      <c r="D1193" s="2" t="s">
        <v>5186</v>
      </c>
      <c r="E1193" s="2" t="s">
        <v>5159</v>
      </c>
      <c r="F1193" s="2">
        <v>2.2519999999999998</v>
      </c>
      <c r="G1193" s="2">
        <v>4</v>
      </c>
      <c r="H1193" s="2">
        <f>Tabla_Items_Con_Existencia[[#This Row],[COSTO]]*Tabla_Items_Con_Existencia[[#This Row],[EXISTENCIA]]</f>
        <v>9.0079999999999991</v>
      </c>
      <c r="I1193" s="1">
        <f>IF(ISERROR(MATCH(Tabla_Items_Con_Existencia[[#This Row],[CODIGO]],Tabla_Items_Activos[CODIGO],0)),0,1)</f>
        <v>0</v>
      </c>
    </row>
    <row r="1194" spans="1:9">
      <c r="A1194" s="2" t="s">
        <v>6760</v>
      </c>
      <c r="B1194" s="2" t="s">
        <v>583</v>
      </c>
      <c r="C1194" s="2" t="s">
        <v>2060</v>
      </c>
      <c r="D1194" s="2" t="s">
        <v>5158</v>
      </c>
      <c r="E1194" s="2" t="s">
        <v>5159</v>
      </c>
      <c r="F1194" s="2">
        <v>0.48852632000000001</v>
      </c>
      <c r="G1194" s="2">
        <v>12</v>
      </c>
      <c r="H1194" s="2">
        <f>Tabla_Items_Con_Existencia[[#This Row],[COSTO]]*Tabla_Items_Con_Existencia[[#This Row],[EXISTENCIA]]</f>
        <v>5.8623158399999999</v>
      </c>
      <c r="I1194" s="1">
        <f>IF(ISERROR(MATCH(Tabla_Items_Con_Existencia[[#This Row],[CODIGO]],Tabla_Items_Activos[CODIGO],0)),0,1)</f>
        <v>0</v>
      </c>
    </row>
    <row r="1195" spans="1:9">
      <c r="A1195" s="2" t="s">
        <v>6761</v>
      </c>
      <c r="B1195" s="2" t="s">
        <v>583</v>
      </c>
      <c r="C1195" s="2" t="s">
        <v>2060</v>
      </c>
      <c r="D1195" s="2" t="s">
        <v>5158</v>
      </c>
      <c r="E1195" s="2" t="s">
        <v>5159</v>
      </c>
      <c r="F1195" s="2">
        <v>0.48852632000000001</v>
      </c>
      <c r="G1195" s="2">
        <v>12</v>
      </c>
      <c r="H1195" s="2">
        <f>Tabla_Items_Con_Existencia[[#This Row],[COSTO]]*Tabla_Items_Con_Existencia[[#This Row],[EXISTENCIA]]</f>
        <v>5.8623158399999999</v>
      </c>
      <c r="I1195" s="1">
        <f>IF(ISERROR(MATCH(Tabla_Items_Con_Existencia[[#This Row],[CODIGO]],Tabla_Items_Activos[CODIGO],0)),0,1)</f>
        <v>0</v>
      </c>
    </row>
    <row r="1196" spans="1:9">
      <c r="A1196" s="2" t="s">
        <v>6760</v>
      </c>
      <c r="B1196" s="2" t="s">
        <v>584</v>
      </c>
      <c r="C1196" s="2" t="s">
        <v>2061</v>
      </c>
      <c r="D1196" s="2" t="s">
        <v>5158</v>
      </c>
      <c r="E1196" s="2" t="s">
        <v>5159</v>
      </c>
      <c r="F1196" s="2">
        <v>1.0936842099999999</v>
      </c>
      <c r="G1196" s="2">
        <v>8</v>
      </c>
      <c r="H1196" s="2">
        <f>Tabla_Items_Con_Existencia[[#This Row],[COSTO]]*Tabla_Items_Con_Existencia[[#This Row],[EXISTENCIA]]</f>
        <v>8.7494736799999995</v>
      </c>
      <c r="I1196" s="1">
        <f>IF(ISERROR(MATCH(Tabla_Items_Con_Existencia[[#This Row],[CODIGO]],Tabla_Items_Activos[CODIGO],0)),0,1)</f>
        <v>0</v>
      </c>
    </row>
    <row r="1197" spans="1:9">
      <c r="A1197" s="2" t="s">
        <v>6761</v>
      </c>
      <c r="B1197" s="2" t="s">
        <v>584</v>
      </c>
      <c r="C1197" s="2" t="s">
        <v>2061</v>
      </c>
      <c r="D1197" s="2" t="s">
        <v>5158</v>
      </c>
      <c r="E1197" s="2" t="s">
        <v>5159</v>
      </c>
      <c r="F1197" s="2">
        <v>1.0936842099999999</v>
      </c>
      <c r="G1197" s="2">
        <v>8</v>
      </c>
      <c r="H1197" s="2">
        <f>Tabla_Items_Con_Existencia[[#This Row],[COSTO]]*Tabla_Items_Con_Existencia[[#This Row],[EXISTENCIA]]</f>
        <v>8.7494736799999995</v>
      </c>
      <c r="I1197" s="1">
        <f>IF(ISERROR(MATCH(Tabla_Items_Con_Existencia[[#This Row],[CODIGO]],Tabla_Items_Activos[CODIGO],0)),0,1)</f>
        <v>0</v>
      </c>
    </row>
    <row r="1198" spans="1:9">
      <c r="A1198" s="2" t="s">
        <v>6760</v>
      </c>
      <c r="B1198" s="2" t="s">
        <v>6560</v>
      </c>
      <c r="C1198" s="2" t="s">
        <v>4465</v>
      </c>
      <c r="D1198" s="2" t="s">
        <v>5186</v>
      </c>
      <c r="E1198" s="2" t="s">
        <v>5159</v>
      </c>
      <c r="F1198" s="2">
        <v>0.53800000000000003</v>
      </c>
      <c r="G1198" s="2">
        <v>10</v>
      </c>
      <c r="H1198" s="2">
        <f>Tabla_Items_Con_Existencia[[#This Row],[COSTO]]*Tabla_Items_Con_Existencia[[#This Row],[EXISTENCIA]]</f>
        <v>5.3800000000000008</v>
      </c>
      <c r="I1198" s="1">
        <f>IF(ISERROR(MATCH(Tabla_Items_Con_Existencia[[#This Row],[CODIGO]],Tabla_Items_Activos[CODIGO],0)),0,1)</f>
        <v>0</v>
      </c>
    </row>
    <row r="1199" spans="1:9">
      <c r="A1199" s="2" t="s">
        <v>6761</v>
      </c>
      <c r="B1199" s="2" t="s">
        <v>585</v>
      </c>
      <c r="C1199" s="2" t="s">
        <v>5487</v>
      </c>
      <c r="D1199" s="2" t="s">
        <v>5158</v>
      </c>
      <c r="E1199" s="2" t="s">
        <v>5159</v>
      </c>
      <c r="F1199" s="2">
        <v>1.40157895</v>
      </c>
      <c r="G1199" s="2">
        <v>20</v>
      </c>
      <c r="H1199" s="2">
        <f>Tabla_Items_Con_Existencia[[#This Row],[COSTO]]*Tabla_Items_Con_Existencia[[#This Row],[EXISTENCIA]]</f>
        <v>28.031579000000001</v>
      </c>
      <c r="I1199" s="1">
        <f>IF(ISERROR(MATCH(Tabla_Items_Con_Existencia[[#This Row],[CODIGO]],Tabla_Items_Activos[CODIGO],0)),0,1)</f>
        <v>0</v>
      </c>
    </row>
    <row r="1200" spans="1:9">
      <c r="A1200" s="2" t="s">
        <v>6760</v>
      </c>
      <c r="B1200" s="2" t="s">
        <v>585</v>
      </c>
      <c r="C1200" s="2" t="s">
        <v>5487</v>
      </c>
      <c r="D1200" s="2" t="s">
        <v>5158</v>
      </c>
      <c r="E1200" s="2" t="s">
        <v>5159</v>
      </c>
      <c r="F1200" s="2">
        <v>1.40157895</v>
      </c>
      <c r="G1200" s="2">
        <v>20</v>
      </c>
      <c r="H1200" s="2">
        <f>Tabla_Items_Con_Existencia[[#This Row],[COSTO]]*Tabla_Items_Con_Existencia[[#This Row],[EXISTENCIA]]</f>
        <v>28.031579000000001</v>
      </c>
      <c r="I1200" s="1">
        <f>IF(ISERROR(MATCH(Tabla_Items_Con_Existencia[[#This Row],[CODIGO]],Tabla_Items_Activos[CODIGO],0)),0,1)</f>
        <v>0</v>
      </c>
    </row>
    <row r="1201" spans="1:9">
      <c r="A1201" s="2" t="s">
        <v>6760</v>
      </c>
      <c r="B1201" s="2" t="s">
        <v>6561</v>
      </c>
      <c r="C1201" s="2" t="s">
        <v>4214</v>
      </c>
      <c r="D1201" s="2" t="s">
        <v>5158</v>
      </c>
      <c r="E1201" s="2" t="s">
        <v>5159</v>
      </c>
      <c r="F1201" s="2">
        <v>2.14578947</v>
      </c>
      <c r="G1201" s="2">
        <v>4</v>
      </c>
      <c r="H1201" s="2">
        <f>Tabla_Items_Con_Existencia[[#This Row],[COSTO]]*Tabla_Items_Con_Existencia[[#This Row],[EXISTENCIA]]</f>
        <v>8.5831578799999999</v>
      </c>
      <c r="I1201" s="1">
        <f>IF(ISERROR(MATCH(Tabla_Items_Con_Existencia[[#This Row],[CODIGO]],Tabla_Items_Activos[CODIGO],0)),0,1)</f>
        <v>0</v>
      </c>
    </row>
    <row r="1202" spans="1:9">
      <c r="A1202" s="2" t="s">
        <v>6761</v>
      </c>
      <c r="B1202" s="2" t="s">
        <v>6561</v>
      </c>
      <c r="C1202" s="2" t="s">
        <v>4214</v>
      </c>
      <c r="D1202" s="2" t="s">
        <v>5158</v>
      </c>
      <c r="E1202" s="2" t="s">
        <v>5159</v>
      </c>
      <c r="F1202" s="2">
        <v>2.14578947</v>
      </c>
      <c r="G1202" s="2">
        <v>4</v>
      </c>
      <c r="H1202" s="2">
        <f>Tabla_Items_Con_Existencia[[#This Row],[COSTO]]*Tabla_Items_Con_Existencia[[#This Row],[EXISTENCIA]]</f>
        <v>8.5831578799999999</v>
      </c>
      <c r="I1202" s="1">
        <f>IF(ISERROR(MATCH(Tabla_Items_Con_Existencia[[#This Row],[CODIGO]],Tabla_Items_Activos[CODIGO],0)),0,1)</f>
        <v>0</v>
      </c>
    </row>
    <row r="1203" spans="1:9">
      <c r="A1203" s="2" t="s">
        <v>6760</v>
      </c>
      <c r="B1203" s="2" t="s">
        <v>2062</v>
      </c>
      <c r="C1203" s="2" t="s">
        <v>2063</v>
      </c>
      <c r="D1203" s="2" t="s">
        <v>5158</v>
      </c>
      <c r="E1203" s="2" t="s">
        <v>5159</v>
      </c>
      <c r="F1203" s="2">
        <v>1.0145</v>
      </c>
      <c r="G1203" s="2">
        <v>10</v>
      </c>
      <c r="H1203" s="2">
        <f>Tabla_Items_Con_Existencia[[#This Row],[COSTO]]*Tabla_Items_Con_Existencia[[#This Row],[EXISTENCIA]]</f>
        <v>10.145</v>
      </c>
      <c r="I1203" s="1">
        <f>IF(ISERROR(MATCH(Tabla_Items_Con_Existencia[[#This Row],[CODIGO]],Tabla_Items_Activos[CODIGO],0)),0,1)</f>
        <v>0</v>
      </c>
    </row>
    <row r="1204" spans="1:9">
      <c r="A1204" s="2" t="s">
        <v>6760</v>
      </c>
      <c r="B1204" s="2" t="s">
        <v>586</v>
      </c>
      <c r="C1204" s="2" t="s">
        <v>2064</v>
      </c>
      <c r="D1204" s="2" t="s">
        <v>5158</v>
      </c>
      <c r="E1204" s="2" t="s">
        <v>5159</v>
      </c>
      <c r="F1204" s="2">
        <v>1.5476000000000001</v>
      </c>
      <c r="G1204" s="2">
        <v>15</v>
      </c>
      <c r="H1204" s="2">
        <f>Tabla_Items_Con_Existencia[[#This Row],[COSTO]]*Tabla_Items_Con_Existencia[[#This Row],[EXISTENCIA]]</f>
        <v>23.214000000000002</v>
      </c>
      <c r="I1204" s="1">
        <f>IF(ISERROR(MATCH(Tabla_Items_Con_Existencia[[#This Row],[CODIGO]],Tabla_Items_Activos[CODIGO],0)),0,1)</f>
        <v>0</v>
      </c>
    </row>
    <row r="1205" spans="1:9">
      <c r="A1205" s="2" t="s">
        <v>6760</v>
      </c>
      <c r="B1205" s="2" t="s">
        <v>6562</v>
      </c>
      <c r="C1205" s="2" t="s">
        <v>6563</v>
      </c>
      <c r="D1205" s="2" t="s">
        <v>5158</v>
      </c>
      <c r="E1205" s="2" t="s">
        <v>5159</v>
      </c>
      <c r="F1205" s="2">
        <v>4.1260000000000003</v>
      </c>
      <c r="G1205" s="2">
        <v>4</v>
      </c>
      <c r="H1205" s="2">
        <f>Tabla_Items_Con_Existencia[[#This Row],[COSTO]]*Tabla_Items_Con_Existencia[[#This Row],[EXISTENCIA]]</f>
        <v>16.504000000000001</v>
      </c>
      <c r="I1205" s="1">
        <f>IF(ISERROR(MATCH(Tabla_Items_Con_Existencia[[#This Row],[CODIGO]],Tabla_Items_Activos[CODIGO],0)),0,1)</f>
        <v>0</v>
      </c>
    </row>
    <row r="1206" spans="1:9">
      <c r="A1206" s="2" t="s">
        <v>6760</v>
      </c>
      <c r="B1206" s="2" t="s">
        <v>587</v>
      </c>
      <c r="C1206" s="2" t="s">
        <v>2065</v>
      </c>
      <c r="D1206" s="2" t="s">
        <v>5158</v>
      </c>
      <c r="E1206" s="2" t="s">
        <v>5159</v>
      </c>
      <c r="F1206" s="2">
        <v>7.62</v>
      </c>
      <c r="G1206" s="2">
        <v>10</v>
      </c>
      <c r="H1206" s="2">
        <f>Tabla_Items_Con_Existencia[[#This Row],[COSTO]]*Tabla_Items_Con_Existencia[[#This Row],[EXISTENCIA]]</f>
        <v>76.2</v>
      </c>
      <c r="I1206" s="1">
        <f>IF(ISERROR(MATCH(Tabla_Items_Con_Existencia[[#This Row],[CODIGO]],Tabla_Items_Activos[CODIGO],0)),0,1)</f>
        <v>0</v>
      </c>
    </row>
    <row r="1207" spans="1:9">
      <c r="A1207" s="2" t="s">
        <v>6760</v>
      </c>
      <c r="B1207" s="2" t="s">
        <v>6909</v>
      </c>
      <c r="C1207" s="2" t="s">
        <v>6221</v>
      </c>
      <c r="D1207" s="2" t="s">
        <v>5158</v>
      </c>
      <c r="E1207" s="2" t="s">
        <v>5159</v>
      </c>
      <c r="F1207" s="2">
        <v>4.74</v>
      </c>
      <c r="G1207" s="2">
        <v>9</v>
      </c>
      <c r="H1207" s="2">
        <f>Tabla_Items_Con_Existencia[[#This Row],[COSTO]]*Tabla_Items_Con_Existencia[[#This Row],[EXISTENCIA]]</f>
        <v>42.660000000000004</v>
      </c>
      <c r="I1207" s="1">
        <f>IF(ISERROR(MATCH(Tabla_Items_Con_Existencia[[#This Row],[CODIGO]],Tabla_Items_Activos[CODIGO],0)),0,1)</f>
        <v>0</v>
      </c>
    </row>
    <row r="1208" spans="1:9">
      <c r="A1208" s="2" t="s">
        <v>6760</v>
      </c>
      <c r="B1208" s="2" t="s">
        <v>588</v>
      </c>
      <c r="C1208" s="2" t="s">
        <v>2066</v>
      </c>
      <c r="D1208" s="2" t="s">
        <v>5158</v>
      </c>
      <c r="E1208" s="2" t="s">
        <v>5159</v>
      </c>
      <c r="F1208" s="2">
        <v>1.6968631599999999</v>
      </c>
      <c r="G1208" s="2">
        <v>24</v>
      </c>
      <c r="H1208" s="2">
        <f>Tabla_Items_Con_Existencia[[#This Row],[COSTO]]*Tabla_Items_Con_Existencia[[#This Row],[EXISTENCIA]]</f>
        <v>40.724715840000002</v>
      </c>
      <c r="I1208" s="1">
        <f>IF(ISERROR(MATCH(Tabla_Items_Con_Existencia[[#This Row],[CODIGO]],Tabla_Items_Activos[CODIGO],0)),0,1)</f>
        <v>0</v>
      </c>
    </row>
    <row r="1209" spans="1:9">
      <c r="A1209" s="2" t="s">
        <v>6761</v>
      </c>
      <c r="B1209" s="2" t="s">
        <v>588</v>
      </c>
      <c r="C1209" s="2" t="s">
        <v>2066</v>
      </c>
      <c r="D1209" s="2" t="s">
        <v>5158</v>
      </c>
      <c r="E1209" s="2" t="s">
        <v>5159</v>
      </c>
      <c r="F1209" s="2">
        <v>1.6968631599999999</v>
      </c>
      <c r="G1209" s="2">
        <v>24</v>
      </c>
      <c r="H1209" s="2">
        <f>Tabla_Items_Con_Existencia[[#This Row],[COSTO]]*Tabla_Items_Con_Existencia[[#This Row],[EXISTENCIA]]</f>
        <v>40.724715840000002</v>
      </c>
      <c r="I1209" s="1">
        <f>IF(ISERROR(MATCH(Tabla_Items_Con_Existencia[[#This Row],[CODIGO]],Tabla_Items_Activos[CODIGO],0)),0,1)</f>
        <v>0</v>
      </c>
    </row>
    <row r="1210" spans="1:9">
      <c r="A1210" s="2" t="s">
        <v>6760</v>
      </c>
      <c r="B1210" s="2" t="s">
        <v>6564</v>
      </c>
      <c r="C1210" s="2" t="s">
        <v>4504</v>
      </c>
      <c r="D1210" s="2" t="s">
        <v>5186</v>
      </c>
      <c r="E1210" s="2" t="s">
        <v>5159</v>
      </c>
      <c r="F1210" s="2">
        <v>2.7570000000000001</v>
      </c>
      <c r="G1210" s="2">
        <v>9</v>
      </c>
      <c r="H1210" s="2">
        <f>Tabla_Items_Con_Existencia[[#This Row],[COSTO]]*Tabla_Items_Con_Existencia[[#This Row],[EXISTENCIA]]</f>
        <v>24.813000000000002</v>
      </c>
      <c r="I1210" s="1">
        <f>IF(ISERROR(MATCH(Tabla_Items_Con_Existencia[[#This Row],[CODIGO]],Tabla_Items_Activos[CODIGO],0)),0,1)</f>
        <v>0</v>
      </c>
    </row>
    <row r="1211" spans="1:9">
      <c r="A1211" s="2" t="s">
        <v>6760</v>
      </c>
      <c r="B1211" s="2" t="s">
        <v>589</v>
      </c>
      <c r="C1211" s="2" t="s">
        <v>6330</v>
      </c>
      <c r="D1211" s="2" t="s">
        <v>5186</v>
      </c>
      <c r="E1211" s="2" t="s">
        <v>5159</v>
      </c>
      <c r="F1211" s="2">
        <v>11.188000000000001</v>
      </c>
      <c r="G1211" s="2">
        <v>5</v>
      </c>
      <c r="H1211" s="2">
        <f>Tabla_Items_Con_Existencia[[#This Row],[COSTO]]*Tabla_Items_Con_Existencia[[#This Row],[EXISTENCIA]]</f>
        <v>55.940000000000005</v>
      </c>
      <c r="I1211" s="1">
        <f>IF(ISERROR(MATCH(Tabla_Items_Con_Existencia[[#This Row],[CODIGO]],Tabla_Items_Activos[CODIGO],0)),0,1)</f>
        <v>0</v>
      </c>
    </row>
    <row r="1212" spans="1:9">
      <c r="A1212" s="2" t="s">
        <v>6760</v>
      </c>
      <c r="B1212" s="2" t="s">
        <v>590</v>
      </c>
      <c r="C1212" s="2" t="s">
        <v>1565</v>
      </c>
      <c r="D1212" s="2" t="s">
        <v>5158</v>
      </c>
      <c r="E1212" s="2" t="s">
        <v>5159</v>
      </c>
      <c r="F1212" s="2">
        <v>15.8644</v>
      </c>
      <c r="G1212" s="2">
        <v>5</v>
      </c>
      <c r="H1212" s="2">
        <f>Tabla_Items_Con_Existencia[[#This Row],[COSTO]]*Tabla_Items_Con_Existencia[[#This Row],[EXISTENCIA]]</f>
        <v>79.322000000000003</v>
      </c>
      <c r="I1212" s="1">
        <f>IF(ISERROR(MATCH(Tabla_Items_Con_Existencia[[#This Row],[CODIGO]],Tabla_Items_Activos[CODIGO],0)),0,1)</f>
        <v>0</v>
      </c>
    </row>
    <row r="1213" spans="1:9">
      <c r="A1213" s="2" t="s">
        <v>6760</v>
      </c>
      <c r="B1213" s="2" t="s">
        <v>2068</v>
      </c>
      <c r="C1213" s="2" t="s">
        <v>2069</v>
      </c>
      <c r="D1213" s="2" t="s">
        <v>5186</v>
      </c>
      <c r="E1213" s="2" t="s">
        <v>5159</v>
      </c>
      <c r="F1213" s="2">
        <v>11.327999999999999</v>
      </c>
      <c r="G1213" s="2">
        <v>1</v>
      </c>
      <c r="H1213" s="2">
        <f>Tabla_Items_Con_Existencia[[#This Row],[COSTO]]*Tabla_Items_Con_Existencia[[#This Row],[EXISTENCIA]]</f>
        <v>11.327999999999999</v>
      </c>
      <c r="I1213" s="1">
        <f>IF(ISERROR(MATCH(Tabla_Items_Con_Existencia[[#This Row],[CODIGO]],Tabla_Items_Activos[CODIGO],0)),0,1)</f>
        <v>0</v>
      </c>
    </row>
    <row r="1214" spans="1:9">
      <c r="A1214" s="2" t="s">
        <v>6760</v>
      </c>
      <c r="B1214" s="2" t="s">
        <v>591</v>
      </c>
      <c r="C1214" s="2" t="s">
        <v>2070</v>
      </c>
      <c r="D1214" s="2" t="s">
        <v>5158</v>
      </c>
      <c r="E1214" s="2" t="s">
        <v>5159</v>
      </c>
      <c r="F1214" s="2">
        <v>5.4240000000000004</v>
      </c>
      <c r="G1214" s="2">
        <v>7</v>
      </c>
      <c r="H1214" s="2">
        <f>Tabla_Items_Con_Existencia[[#This Row],[COSTO]]*Tabla_Items_Con_Existencia[[#This Row],[EXISTENCIA]]</f>
        <v>37.968000000000004</v>
      </c>
      <c r="I1214" s="1">
        <f>IF(ISERROR(MATCH(Tabla_Items_Con_Existencia[[#This Row],[CODIGO]],Tabla_Items_Activos[CODIGO],0)),0,1)</f>
        <v>0</v>
      </c>
    </row>
    <row r="1215" spans="1:9">
      <c r="A1215" s="2" t="s">
        <v>6760</v>
      </c>
      <c r="B1215" s="2" t="s">
        <v>6565</v>
      </c>
      <c r="C1215" s="2" t="s">
        <v>6566</v>
      </c>
      <c r="D1215" s="2" t="s">
        <v>5158</v>
      </c>
      <c r="E1215" s="2" t="s">
        <v>5159</v>
      </c>
      <c r="F1215" s="2">
        <v>6.258</v>
      </c>
      <c r="G1215" s="2">
        <v>4</v>
      </c>
      <c r="H1215" s="2">
        <f>Tabla_Items_Con_Existencia[[#This Row],[COSTO]]*Tabla_Items_Con_Existencia[[#This Row],[EXISTENCIA]]</f>
        <v>25.032</v>
      </c>
      <c r="I1215" s="1">
        <f>IF(ISERROR(MATCH(Tabla_Items_Con_Existencia[[#This Row],[CODIGO]],Tabla_Items_Activos[CODIGO],0)),0,1)</f>
        <v>0</v>
      </c>
    </row>
    <row r="1216" spans="1:9">
      <c r="A1216" s="2" t="s">
        <v>6760</v>
      </c>
      <c r="B1216" s="2" t="s">
        <v>6567</v>
      </c>
      <c r="C1216" s="2" t="s">
        <v>6568</v>
      </c>
      <c r="D1216" s="2" t="s">
        <v>5158</v>
      </c>
      <c r="E1216" s="2" t="s">
        <v>5159</v>
      </c>
      <c r="F1216" s="2">
        <v>3.9359999999999999</v>
      </c>
      <c r="G1216" s="2">
        <v>1</v>
      </c>
      <c r="H1216" s="2">
        <f>Tabla_Items_Con_Existencia[[#This Row],[COSTO]]*Tabla_Items_Con_Existencia[[#This Row],[EXISTENCIA]]</f>
        <v>3.9359999999999999</v>
      </c>
      <c r="I1216" s="1">
        <f>IF(ISERROR(MATCH(Tabla_Items_Con_Existencia[[#This Row],[CODIGO]],Tabla_Items_Activos[CODIGO],0)),0,1)</f>
        <v>0</v>
      </c>
    </row>
    <row r="1217" spans="1:9">
      <c r="A1217" s="2" t="s">
        <v>6760</v>
      </c>
      <c r="B1217" s="2" t="s">
        <v>6910</v>
      </c>
      <c r="C1217" s="2" t="s">
        <v>6911</v>
      </c>
      <c r="D1217" s="2" t="s">
        <v>5158</v>
      </c>
      <c r="E1217" s="2" t="s">
        <v>5159</v>
      </c>
      <c r="F1217" s="2">
        <v>6.47</v>
      </c>
      <c r="G1217" s="2">
        <v>9</v>
      </c>
      <c r="H1217" s="2">
        <f>Tabla_Items_Con_Existencia[[#This Row],[COSTO]]*Tabla_Items_Con_Existencia[[#This Row],[EXISTENCIA]]</f>
        <v>58.23</v>
      </c>
      <c r="I1217" s="1">
        <f>IF(ISERROR(MATCH(Tabla_Items_Con_Existencia[[#This Row],[CODIGO]],Tabla_Items_Activos[CODIGO],0)),0,1)</f>
        <v>0</v>
      </c>
    </row>
    <row r="1218" spans="1:9">
      <c r="A1218" s="2" t="s">
        <v>6760</v>
      </c>
      <c r="B1218" s="2" t="s">
        <v>593</v>
      </c>
      <c r="C1218" s="2" t="s">
        <v>1639</v>
      </c>
      <c r="D1218" s="2" t="s">
        <v>5158</v>
      </c>
      <c r="E1218" s="2" t="s">
        <v>5159</v>
      </c>
      <c r="F1218" s="2">
        <v>11.5953</v>
      </c>
      <c r="G1218" s="2">
        <v>18</v>
      </c>
      <c r="H1218" s="2">
        <f>Tabla_Items_Con_Existencia[[#This Row],[COSTO]]*Tabla_Items_Con_Existencia[[#This Row],[EXISTENCIA]]</f>
        <v>208.71539999999999</v>
      </c>
      <c r="I1218" s="1">
        <f>IF(ISERROR(MATCH(Tabla_Items_Con_Existencia[[#This Row],[CODIGO]],Tabla_Items_Activos[CODIGO],0)),0,1)</f>
        <v>0</v>
      </c>
    </row>
    <row r="1219" spans="1:9">
      <c r="A1219" s="2" t="s">
        <v>6761</v>
      </c>
      <c r="B1219" s="2" t="s">
        <v>6569</v>
      </c>
      <c r="C1219" s="2" t="s">
        <v>6570</v>
      </c>
      <c r="D1219" s="2" t="s">
        <v>5186</v>
      </c>
      <c r="E1219" s="2" t="s">
        <v>5159</v>
      </c>
      <c r="F1219" s="2">
        <v>13.94663158</v>
      </c>
      <c r="G1219" s="2">
        <v>5</v>
      </c>
      <c r="H1219" s="2">
        <f>Tabla_Items_Con_Existencia[[#This Row],[COSTO]]*Tabla_Items_Con_Existencia[[#This Row],[EXISTENCIA]]</f>
        <v>69.733157899999995</v>
      </c>
      <c r="I1219" s="1">
        <f>IF(ISERROR(MATCH(Tabla_Items_Con_Existencia[[#This Row],[CODIGO]],Tabla_Items_Activos[CODIGO],0)),0,1)</f>
        <v>0</v>
      </c>
    </row>
    <row r="1220" spans="1:9">
      <c r="A1220" s="2" t="s">
        <v>6760</v>
      </c>
      <c r="B1220" s="2" t="s">
        <v>6569</v>
      </c>
      <c r="C1220" s="2" t="s">
        <v>6570</v>
      </c>
      <c r="D1220" s="2" t="s">
        <v>5186</v>
      </c>
      <c r="E1220" s="2" t="s">
        <v>5159</v>
      </c>
      <c r="F1220" s="2">
        <v>13.94663158</v>
      </c>
      <c r="G1220" s="2">
        <v>5</v>
      </c>
      <c r="H1220" s="2">
        <f>Tabla_Items_Con_Existencia[[#This Row],[COSTO]]*Tabla_Items_Con_Existencia[[#This Row],[EXISTENCIA]]</f>
        <v>69.733157899999995</v>
      </c>
      <c r="I1220" s="1">
        <f>IF(ISERROR(MATCH(Tabla_Items_Con_Existencia[[#This Row],[CODIGO]],Tabla_Items_Activos[CODIGO],0)),0,1)</f>
        <v>0</v>
      </c>
    </row>
    <row r="1221" spans="1:9">
      <c r="A1221" s="2" t="s">
        <v>6760</v>
      </c>
      <c r="B1221" s="2" t="s">
        <v>7235</v>
      </c>
      <c r="C1221" s="2" t="s">
        <v>7236</v>
      </c>
      <c r="D1221" s="2" t="s">
        <v>5186</v>
      </c>
      <c r="E1221" s="2" t="s">
        <v>5159</v>
      </c>
      <c r="F1221" s="2">
        <v>0</v>
      </c>
      <c r="G1221" s="2">
        <v>2</v>
      </c>
      <c r="H1221" s="2">
        <f>Tabla_Items_Con_Existencia[[#This Row],[COSTO]]*Tabla_Items_Con_Existencia[[#This Row],[EXISTENCIA]]</f>
        <v>0</v>
      </c>
      <c r="I1221" s="1">
        <f>IF(ISERROR(MATCH(Tabla_Items_Con_Existencia[[#This Row],[CODIGO]],Tabla_Items_Activos[CODIGO],0)),0,1)</f>
        <v>0</v>
      </c>
    </row>
    <row r="1222" spans="1:9">
      <c r="A1222" s="2" t="s">
        <v>6760</v>
      </c>
      <c r="B1222" s="2" t="s">
        <v>6571</v>
      </c>
      <c r="C1222" s="2" t="s">
        <v>6572</v>
      </c>
      <c r="D1222" s="2" t="s">
        <v>5186</v>
      </c>
      <c r="E1222" s="2" t="s">
        <v>5159</v>
      </c>
      <c r="F1222" s="2">
        <v>1.173</v>
      </c>
      <c r="G1222" s="2">
        <v>3</v>
      </c>
      <c r="H1222" s="2">
        <f>Tabla_Items_Con_Existencia[[#This Row],[COSTO]]*Tabla_Items_Con_Existencia[[#This Row],[EXISTENCIA]]</f>
        <v>3.5190000000000001</v>
      </c>
      <c r="I1222" s="1">
        <f>IF(ISERROR(MATCH(Tabla_Items_Con_Existencia[[#This Row],[CODIGO]],Tabla_Items_Activos[CODIGO],0)),0,1)</f>
        <v>0</v>
      </c>
    </row>
    <row r="1223" spans="1:9">
      <c r="A1223" s="2" t="s">
        <v>6760</v>
      </c>
      <c r="B1223" s="2" t="s">
        <v>6912</v>
      </c>
      <c r="C1223" s="2" t="s">
        <v>6913</v>
      </c>
      <c r="D1223" s="2" t="s">
        <v>5158</v>
      </c>
      <c r="E1223" s="2" t="s">
        <v>5159</v>
      </c>
      <c r="F1223" s="2">
        <v>1.34</v>
      </c>
      <c r="G1223" s="2">
        <v>10</v>
      </c>
      <c r="H1223" s="2">
        <f>Tabla_Items_Con_Existencia[[#This Row],[COSTO]]*Tabla_Items_Con_Existencia[[#This Row],[EXISTENCIA]]</f>
        <v>13.4</v>
      </c>
      <c r="I1223" s="1">
        <f>IF(ISERROR(MATCH(Tabla_Items_Con_Existencia[[#This Row],[CODIGO]],Tabla_Items_Activos[CODIGO],0)),0,1)</f>
        <v>0</v>
      </c>
    </row>
    <row r="1224" spans="1:9">
      <c r="A1224" s="2" t="s">
        <v>6760</v>
      </c>
      <c r="B1224" s="2" t="s">
        <v>594</v>
      </c>
      <c r="C1224" s="2" t="s">
        <v>2073</v>
      </c>
      <c r="D1224" s="2" t="s">
        <v>5158</v>
      </c>
      <c r="E1224" s="2" t="s">
        <v>5159</v>
      </c>
      <c r="F1224" s="2">
        <v>0.71299999999999997</v>
      </c>
      <c r="G1224" s="2">
        <v>37</v>
      </c>
      <c r="H1224" s="2">
        <f>Tabla_Items_Con_Existencia[[#This Row],[COSTO]]*Tabla_Items_Con_Existencia[[#This Row],[EXISTENCIA]]</f>
        <v>26.381</v>
      </c>
      <c r="I1224" s="1">
        <f>IF(ISERROR(MATCH(Tabla_Items_Con_Existencia[[#This Row],[CODIGO]],Tabla_Items_Activos[CODIGO],0)),0,1)</f>
        <v>0</v>
      </c>
    </row>
    <row r="1225" spans="1:9">
      <c r="A1225" s="2" t="s">
        <v>6760</v>
      </c>
      <c r="B1225" s="2" t="s">
        <v>596</v>
      </c>
      <c r="C1225" s="2" t="s">
        <v>2075</v>
      </c>
      <c r="D1225" s="2" t="s">
        <v>5158</v>
      </c>
      <c r="E1225" s="2" t="s">
        <v>5159</v>
      </c>
      <c r="F1225" s="2">
        <v>0.79873684</v>
      </c>
      <c r="G1225" s="2">
        <v>67</v>
      </c>
      <c r="H1225" s="2">
        <f>Tabla_Items_Con_Existencia[[#This Row],[COSTO]]*Tabla_Items_Con_Existencia[[#This Row],[EXISTENCIA]]</f>
        <v>53.515368279999997</v>
      </c>
      <c r="I1225" s="1">
        <f>IF(ISERROR(MATCH(Tabla_Items_Con_Existencia[[#This Row],[CODIGO]],Tabla_Items_Activos[CODIGO],0)),0,1)</f>
        <v>0</v>
      </c>
    </row>
    <row r="1226" spans="1:9">
      <c r="A1226" s="2" t="s">
        <v>6761</v>
      </c>
      <c r="B1226" s="2" t="s">
        <v>596</v>
      </c>
      <c r="C1226" s="2" t="s">
        <v>2075</v>
      </c>
      <c r="D1226" s="2" t="s">
        <v>5158</v>
      </c>
      <c r="E1226" s="2" t="s">
        <v>5159</v>
      </c>
      <c r="F1226" s="2">
        <v>0.79873684</v>
      </c>
      <c r="G1226" s="2">
        <v>67</v>
      </c>
      <c r="H1226" s="2">
        <f>Tabla_Items_Con_Existencia[[#This Row],[COSTO]]*Tabla_Items_Con_Existencia[[#This Row],[EXISTENCIA]]</f>
        <v>53.515368279999997</v>
      </c>
      <c r="I1226" s="1">
        <f>IF(ISERROR(MATCH(Tabla_Items_Con_Existencia[[#This Row],[CODIGO]],Tabla_Items_Activos[CODIGO],0)),0,1)</f>
        <v>0</v>
      </c>
    </row>
    <row r="1227" spans="1:9">
      <c r="A1227" s="2" t="s">
        <v>6760</v>
      </c>
      <c r="B1227" s="2" t="s">
        <v>6573</v>
      </c>
      <c r="C1227" s="2" t="s">
        <v>4460</v>
      </c>
      <c r="D1227" s="2" t="s">
        <v>5186</v>
      </c>
      <c r="E1227" s="2" t="s">
        <v>5159</v>
      </c>
      <c r="F1227" s="2">
        <v>0.60399999999999998</v>
      </c>
      <c r="G1227" s="2">
        <v>5</v>
      </c>
      <c r="H1227" s="2">
        <f>Tabla_Items_Con_Existencia[[#This Row],[COSTO]]*Tabla_Items_Con_Existencia[[#This Row],[EXISTENCIA]]</f>
        <v>3.02</v>
      </c>
      <c r="I1227" s="1">
        <f>IF(ISERROR(MATCH(Tabla_Items_Con_Existencia[[#This Row],[CODIGO]],Tabla_Items_Activos[CODIGO],0)),0,1)</f>
        <v>0</v>
      </c>
    </row>
    <row r="1228" spans="1:9">
      <c r="A1228" s="2" t="s">
        <v>6760</v>
      </c>
      <c r="B1228" s="2" t="s">
        <v>6914</v>
      </c>
      <c r="C1228" s="2" t="s">
        <v>6915</v>
      </c>
      <c r="D1228" s="2" t="s">
        <v>5158</v>
      </c>
      <c r="E1228" s="2" t="s">
        <v>5159</v>
      </c>
      <c r="F1228" s="2">
        <v>0.64342105000000005</v>
      </c>
      <c r="G1228" s="2">
        <v>37</v>
      </c>
      <c r="H1228" s="2">
        <f>Tabla_Items_Con_Existencia[[#This Row],[COSTO]]*Tabla_Items_Con_Existencia[[#This Row],[EXISTENCIA]]</f>
        <v>23.806578850000001</v>
      </c>
      <c r="I1228" s="1">
        <f>IF(ISERROR(MATCH(Tabla_Items_Con_Existencia[[#This Row],[CODIGO]],Tabla_Items_Activos[CODIGO],0)),0,1)</f>
        <v>0</v>
      </c>
    </row>
    <row r="1229" spans="1:9">
      <c r="A1229" s="2" t="s">
        <v>6761</v>
      </c>
      <c r="B1229" s="2" t="s">
        <v>6914</v>
      </c>
      <c r="C1229" s="2" t="s">
        <v>6915</v>
      </c>
      <c r="D1229" s="2" t="s">
        <v>5158</v>
      </c>
      <c r="E1229" s="2" t="s">
        <v>5159</v>
      </c>
      <c r="F1229" s="2">
        <v>0.64342105000000005</v>
      </c>
      <c r="G1229" s="2">
        <v>37</v>
      </c>
      <c r="H1229" s="2">
        <f>Tabla_Items_Con_Existencia[[#This Row],[COSTO]]*Tabla_Items_Con_Existencia[[#This Row],[EXISTENCIA]]</f>
        <v>23.806578850000001</v>
      </c>
      <c r="I1229" s="1">
        <f>IF(ISERROR(MATCH(Tabla_Items_Con_Existencia[[#This Row],[CODIGO]],Tabla_Items_Activos[CODIGO],0)),0,1)</f>
        <v>0</v>
      </c>
    </row>
    <row r="1230" spans="1:9">
      <c r="A1230" s="2" t="s">
        <v>6760</v>
      </c>
      <c r="B1230" s="2" t="s">
        <v>597</v>
      </c>
      <c r="C1230" s="2" t="s">
        <v>2076</v>
      </c>
      <c r="D1230" s="2" t="s">
        <v>5158</v>
      </c>
      <c r="E1230" s="2" t="s">
        <v>5159</v>
      </c>
      <c r="F1230" s="2">
        <v>5.1159999999999997</v>
      </c>
      <c r="G1230" s="2">
        <v>8</v>
      </c>
      <c r="H1230" s="2">
        <f>Tabla_Items_Con_Existencia[[#This Row],[COSTO]]*Tabla_Items_Con_Existencia[[#This Row],[EXISTENCIA]]</f>
        <v>40.927999999999997</v>
      </c>
      <c r="I1230" s="1">
        <f>IF(ISERROR(MATCH(Tabla_Items_Con_Existencia[[#This Row],[CODIGO]],Tabla_Items_Activos[CODIGO],0)),0,1)</f>
        <v>0</v>
      </c>
    </row>
    <row r="1231" spans="1:9">
      <c r="A1231" s="2" t="s">
        <v>6760</v>
      </c>
      <c r="B1231" s="2" t="s">
        <v>6916</v>
      </c>
      <c r="C1231" s="2" t="s">
        <v>6917</v>
      </c>
      <c r="D1231" s="2" t="s">
        <v>5158</v>
      </c>
      <c r="E1231" s="2" t="s">
        <v>5159</v>
      </c>
      <c r="F1231" s="2">
        <v>6.2</v>
      </c>
      <c r="G1231" s="2">
        <v>3</v>
      </c>
      <c r="H1231" s="2">
        <f>Tabla_Items_Con_Existencia[[#This Row],[COSTO]]*Tabla_Items_Con_Existencia[[#This Row],[EXISTENCIA]]</f>
        <v>18.600000000000001</v>
      </c>
      <c r="I1231" s="1">
        <f>IF(ISERROR(MATCH(Tabla_Items_Con_Existencia[[#This Row],[CODIGO]],Tabla_Items_Activos[CODIGO],0)),0,1)</f>
        <v>0</v>
      </c>
    </row>
    <row r="1232" spans="1:9">
      <c r="A1232" s="2" t="s">
        <v>6760</v>
      </c>
      <c r="B1232" s="2" t="s">
        <v>5152</v>
      </c>
      <c r="C1232" s="2" t="s">
        <v>4420</v>
      </c>
      <c r="D1232" s="2" t="s">
        <v>5158</v>
      </c>
      <c r="E1232" s="2" t="s">
        <v>5159</v>
      </c>
      <c r="F1232" s="2">
        <v>15.164999999999999</v>
      </c>
      <c r="G1232" s="2">
        <v>6</v>
      </c>
      <c r="H1232" s="2">
        <f>Tabla_Items_Con_Existencia[[#This Row],[COSTO]]*Tabla_Items_Con_Existencia[[#This Row],[EXISTENCIA]]</f>
        <v>90.99</v>
      </c>
      <c r="I1232" s="1">
        <f>IF(ISERROR(MATCH(Tabla_Items_Con_Existencia[[#This Row],[CODIGO]],Tabla_Items_Activos[CODIGO],0)),0,1)</f>
        <v>0</v>
      </c>
    </row>
    <row r="1233" spans="1:9">
      <c r="A1233" s="2" t="s">
        <v>6760</v>
      </c>
      <c r="B1233" s="2" t="s">
        <v>598</v>
      </c>
      <c r="C1233" s="2" t="s">
        <v>6574</v>
      </c>
      <c r="D1233" s="2" t="s">
        <v>5158</v>
      </c>
      <c r="E1233" s="2" t="s">
        <v>5159</v>
      </c>
      <c r="F1233" s="2">
        <v>5.4526842100000001</v>
      </c>
      <c r="G1233" s="2">
        <v>30</v>
      </c>
      <c r="H1233" s="2">
        <f>Tabla_Items_Con_Existencia[[#This Row],[COSTO]]*Tabla_Items_Con_Existencia[[#This Row],[EXISTENCIA]]</f>
        <v>163.5805263</v>
      </c>
      <c r="I1233" s="1">
        <f>IF(ISERROR(MATCH(Tabla_Items_Con_Existencia[[#This Row],[CODIGO]],Tabla_Items_Activos[CODIGO],0)),0,1)</f>
        <v>0</v>
      </c>
    </row>
    <row r="1234" spans="1:9">
      <c r="A1234" s="2" t="s">
        <v>6761</v>
      </c>
      <c r="B1234" s="2" t="s">
        <v>598</v>
      </c>
      <c r="C1234" s="2" t="s">
        <v>6574</v>
      </c>
      <c r="D1234" s="2" t="s">
        <v>5158</v>
      </c>
      <c r="E1234" s="2" t="s">
        <v>5159</v>
      </c>
      <c r="F1234" s="2">
        <v>5.4526842100000001</v>
      </c>
      <c r="G1234" s="2">
        <v>30</v>
      </c>
      <c r="H1234" s="2">
        <f>Tabla_Items_Con_Existencia[[#This Row],[COSTO]]*Tabla_Items_Con_Existencia[[#This Row],[EXISTENCIA]]</f>
        <v>163.5805263</v>
      </c>
      <c r="I1234" s="1">
        <f>IF(ISERROR(MATCH(Tabla_Items_Con_Existencia[[#This Row],[CODIGO]],Tabla_Items_Activos[CODIGO],0)),0,1)</f>
        <v>0</v>
      </c>
    </row>
    <row r="1235" spans="1:9">
      <c r="A1235" s="2" t="s">
        <v>6760</v>
      </c>
      <c r="B1235" s="2" t="s">
        <v>6575</v>
      </c>
      <c r="C1235" s="2" t="s">
        <v>6576</v>
      </c>
      <c r="D1235" s="2" t="s">
        <v>5158</v>
      </c>
      <c r="E1235" s="2" t="s">
        <v>5159</v>
      </c>
      <c r="F1235" s="2">
        <v>1.4810000000000001</v>
      </c>
      <c r="G1235" s="2">
        <v>8</v>
      </c>
      <c r="H1235" s="2">
        <f>Tabla_Items_Con_Existencia[[#This Row],[COSTO]]*Tabla_Items_Con_Existencia[[#This Row],[EXISTENCIA]]</f>
        <v>11.848000000000001</v>
      </c>
      <c r="I1235" s="1">
        <f>IF(ISERROR(MATCH(Tabla_Items_Con_Existencia[[#This Row],[CODIGO]],Tabla_Items_Activos[CODIGO],0)),0,1)</f>
        <v>0</v>
      </c>
    </row>
    <row r="1236" spans="1:9">
      <c r="A1236" s="2" t="s">
        <v>6760</v>
      </c>
      <c r="B1236" s="2" t="s">
        <v>6577</v>
      </c>
      <c r="C1236" s="2" t="s">
        <v>6344</v>
      </c>
      <c r="D1236" s="2" t="s">
        <v>5158</v>
      </c>
      <c r="E1236" s="2" t="s">
        <v>5159</v>
      </c>
      <c r="F1236" s="2">
        <v>1.272</v>
      </c>
      <c r="G1236" s="2">
        <v>11</v>
      </c>
      <c r="H1236" s="2">
        <f>Tabla_Items_Con_Existencia[[#This Row],[COSTO]]*Tabla_Items_Con_Existencia[[#This Row],[EXISTENCIA]]</f>
        <v>13.992000000000001</v>
      </c>
      <c r="I1236" s="1">
        <f>IF(ISERROR(MATCH(Tabla_Items_Con_Existencia[[#This Row],[CODIGO]],Tabla_Items_Activos[CODIGO],0)),0,1)</f>
        <v>0</v>
      </c>
    </row>
    <row r="1237" spans="1:9">
      <c r="A1237" s="2" t="s">
        <v>6760</v>
      </c>
      <c r="B1237" s="2" t="s">
        <v>6578</v>
      </c>
      <c r="C1237" s="2" t="s">
        <v>4678</v>
      </c>
      <c r="D1237" s="2" t="s">
        <v>5158</v>
      </c>
      <c r="E1237" s="2" t="s">
        <v>5159</v>
      </c>
      <c r="F1237" s="2">
        <v>6.1828421100000002</v>
      </c>
      <c r="G1237" s="2">
        <v>4</v>
      </c>
      <c r="H1237" s="2">
        <f>Tabla_Items_Con_Existencia[[#This Row],[COSTO]]*Tabla_Items_Con_Existencia[[#This Row],[EXISTENCIA]]</f>
        <v>24.731368440000001</v>
      </c>
      <c r="I1237" s="1">
        <f>IF(ISERROR(MATCH(Tabla_Items_Con_Existencia[[#This Row],[CODIGO]],Tabla_Items_Activos[CODIGO],0)),0,1)</f>
        <v>0</v>
      </c>
    </row>
    <row r="1238" spans="1:9">
      <c r="A1238" s="2" t="s">
        <v>6761</v>
      </c>
      <c r="B1238" s="2" t="s">
        <v>6578</v>
      </c>
      <c r="C1238" s="2" t="s">
        <v>4678</v>
      </c>
      <c r="D1238" s="2" t="s">
        <v>5158</v>
      </c>
      <c r="E1238" s="2" t="s">
        <v>5159</v>
      </c>
      <c r="F1238" s="2">
        <v>6.1828421100000002</v>
      </c>
      <c r="G1238" s="2">
        <v>4</v>
      </c>
      <c r="H1238" s="2">
        <f>Tabla_Items_Con_Existencia[[#This Row],[COSTO]]*Tabla_Items_Con_Existencia[[#This Row],[EXISTENCIA]]</f>
        <v>24.731368440000001</v>
      </c>
      <c r="I1238" s="1">
        <f>IF(ISERROR(MATCH(Tabla_Items_Con_Existencia[[#This Row],[CODIGO]],Tabla_Items_Activos[CODIGO],0)),0,1)</f>
        <v>0</v>
      </c>
    </row>
    <row r="1239" spans="1:9">
      <c r="A1239" s="2" t="s">
        <v>6760</v>
      </c>
      <c r="B1239" s="2" t="s">
        <v>6579</v>
      </c>
      <c r="C1239" s="2" t="s">
        <v>4319</v>
      </c>
      <c r="D1239" s="2" t="s">
        <v>5158</v>
      </c>
      <c r="E1239" s="2" t="s">
        <v>5159</v>
      </c>
      <c r="F1239" s="2">
        <v>3.0339999999999998</v>
      </c>
      <c r="G1239" s="2">
        <v>8</v>
      </c>
      <c r="H1239" s="2">
        <f>Tabla_Items_Con_Existencia[[#This Row],[COSTO]]*Tabla_Items_Con_Existencia[[#This Row],[EXISTENCIA]]</f>
        <v>24.271999999999998</v>
      </c>
      <c r="I1239" s="1">
        <f>IF(ISERROR(MATCH(Tabla_Items_Con_Existencia[[#This Row],[CODIGO]],Tabla_Items_Activos[CODIGO],0)),0,1)</f>
        <v>0</v>
      </c>
    </row>
    <row r="1240" spans="1:9">
      <c r="A1240" s="2" t="s">
        <v>6760</v>
      </c>
      <c r="B1240" s="2" t="s">
        <v>599</v>
      </c>
      <c r="C1240" s="2" t="s">
        <v>2077</v>
      </c>
      <c r="D1240" s="2" t="s">
        <v>5160</v>
      </c>
      <c r="E1240" s="2" t="s">
        <v>5159</v>
      </c>
      <c r="F1240" s="2">
        <v>379.18673332999998</v>
      </c>
      <c r="G1240" s="2">
        <v>16</v>
      </c>
      <c r="H1240" s="2">
        <f>Tabla_Items_Con_Existencia[[#This Row],[COSTO]]*Tabla_Items_Con_Existencia[[#This Row],[EXISTENCIA]]</f>
        <v>6066.9877332799997</v>
      </c>
      <c r="I1240" s="1">
        <f>IF(ISERROR(MATCH(Tabla_Items_Con_Existencia[[#This Row],[CODIGO]],Tabla_Items_Activos[CODIGO],0)),0,1)</f>
        <v>0</v>
      </c>
    </row>
    <row r="1241" spans="1:9">
      <c r="A1241" s="2" t="s">
        <v>6761</v>
      </c>
      <c r="B1241" s="2" t="s">
        <v>599</v>
      </c>
      <c r="C1241" s="2" t="s">
        <v>2077</v>
      </c>
      <c r="D1241" s="2" t="s">
        <v>5160</v>
      </c>
      <c r="E1241" s="2" t="s">
        <v>5159</v>
      </c>
      <c r="F1241" s="2">
        <v>379.18673332999998</v>
      </c>
      <c r="G1241" s="2">
        <v>16</v>
      </c>
      <c r="H1241" s="2">
        <f>Tabla_Items_Con_Existencia[[#This Row],[COSTO]]*Tabla_Items_Con_Existencia[[#This Row],[EXISTENCIA]]</f>
        <v>6066.9877332799997</v>
      </c>
      <c r="I1241" s="1">
        <f>IF(ISERROR(MATCH(Tabla_Items_Con_Existencia[[#This Row],[CODIGO]],Tabla_Items_Activos[CODIGO],0)),0,1)</f>
        <v>0</v>
      </c>
    </row>
    <row r="1242" spans="1:9">
      <c r="A1242" s="2" t="s">
        <v>6759</v>
      </c>
      <c r="B1242" s="2" t="s">
        <v>599</v>
      </c>
      <c r="C1242" s="2" t="s">
        <v>2077</v>
      </c>
      <c r="D1242" s="2" t="s">
        <v>5160</v>
      </c>
      <c r="E1242" s="2" t="s">
        <v>5159</v>
      </c>
      <c r="F1242" s="2">
        <v>379.18673332999998</v>
      </c>
      <c r="G1242" s="2">
        <v>16</v>
      </c>
      <c r="H1242" s="2">
        <f>Tabla_Items_Con_Existencia[[#This Row],[COSTO]]*Tabla_Items_Con_Existencia[[#This Row],[EXISTENCIA]]</f>
        <v>6066.9877332799997</v>
      </c>
      <c r="I1242" s="1">
        <f>IF(ISERROR(MATCH(Tabla_Items_Con_Existencia[[#This Row],[CODIGO]],Tabla_Items_Activos[CODIGO],0)),0,1)</f>
        <v>0</v>
      </c>
    </row>
    <row r="1243" spans="1:9">
      <c r="A1243" s="2" t="s">
        <v>6760</v>
      </c>
      <c r="B1243" s="2" t="s">
        <v>600</v>
      </c>
      <c r="C1243" s="2" t="s">
        <v>2078</v>
      </c>
      <c r="D1243" s="2" t="s">
        <v>5160</v>
      </c>
      <c r="E1243" s="2" t="s">
        <v>5159</v>
      </c>
      <c r="F1243" s="2">
        <v>394.18638519000001</v>
      </c>
      <c r="G1243" s="2">
        <v>33</v>
      </c>
      <c r="H1243" s="2">
        <f>Tabla_Items_Con_Existencia[[#This Row],[COSTO]]*Tabla_Items_Con_Existencia[[#This Row],[EXISTENCIA]]</f>
        <v>13008.15071127</v>
      </c>
      <c r="I1243" s="1">
        <f>IF(ISERROR(MATCH(Tabla_Items_Con_Existencia[[#This Row],[CODIGO]],Tabla_Items_Activos[CODIGO],0)),0,1)</f>
        <v>0</v>
      </c>
    </row>
    <row r="1244" spans="1:9">
      <c r="A1244" s="2" t="s">
        <v>6761</v>
      </c>
      <c r="B1244" s="2" t="s">
        <v>600</v>
      </c>
      <c r="C1244" s="2" t="s">
        <v>2078</v>
      </c>
      <c r="D1244" s="2" t="s">
        <v>5160</v>
      </c>
      <c r="E1244" s="2" t="s">
        <v>5159</v>
      </c>
      <c r="F1244" s="2">
        <v>394.18638519000001</v>
      </c>
      <c r="G1244" s="2">
        <v>33</v>
      </c>
      <c r="H1244" s="2">
        <f>Tabla_Items_Con_Existencia[[#This Row],[COSTO]]*Tabla_Items_Con_Existencia[[#This Row],[EXISTENCIA]]</f>
        <v>13008.15071127</v>
      </c>
      <c r="I1244" s="1">
        <f>IF(ISERROR(MATCH(Tabla_Items_Con_Existencia[[#This Row],[CODIGO]],Tabla_Items_Activos[CODIGO],0)),0,1)</f>
        <v>0</v>
      </c>
    </row>
    <row r="1245" spans="1:9">
      <c r="A1245" s="2" t="s">
        <v>6759</v>
      </c>
      <c r="B1245" s="2" t="s">
        <v>600</v>
      </c>
      <c r="C1245" s="2" t="s">
        <v>2078</v>
      </c>
      <c r="D1245" s="2" t="s">
        <v>5160</v>
      </c>
      <c r="E1245" s="2" t="s">
        <v>5159</v>
      </c>
      <c r="F1245" s="2">
        <v>394.18638519000001</v>
      </c>
      <c r="G1245" s="2">
        <v>33</v>
      </c>
      <c r="H1245" s="2">
        <f>Tabla_Items_Con_Existencia[[#This Row],[COSTO]]*Tabla_Items_Con_Existencia[[#This Row],[EXISTENCIA]]</f>
        <v>13008.15071127</v>
      </c>
      <c r="I1245" s="1">
        <f>IF(ISERROR(MATCH(Tabla_Items_Con_Existencia[[#This Row],[CODIGO]],Tabla_Items_Activos[CODIGO],0)),0,1)</f>
        <v>0</v>
      </c>
    </row>
    <row r="1246" spans="1:9">
      <c r="A1246" s="2" t="s">
        <v>6761</v>
      </c>
      <c r="B1246" s="2" t="s">
        <v>601</v>
      </c>
      <c r="C1246" s="2" t="s">
        <v>2079</v>
      </c>
      <c r="D1246" s="2" t="s">
        <v>5160</v>
      </c>
      <c r="E1246" s="2" t="s">
        <v>5159</v>
      </c>
      <c r="F1246" s="2">
        <v>443.34890000000001</v>
      </c>
      <c r="G1246" s="2">
        <v>20</v>
      </c>
      <c r="H1246" s="2">
        <f>Tabla_Items_Con_Existencia[[#This Row],[COSTO]]*Tabla_Items_Con_Existencia[[#This Row],[EXISTENCIA]]</f>
        <v>8866.978000000001</v>
      </c>
      <c r="I1246" s="1">
        <f>IF(ISERROR(MATCH(Tabla_Items_Con_Existencia[[#This Row],[CODIGO]],Tabla_Items_Activos[CODIGO],0)),0,1)</f>
        <v>0</v>
      </c>
    </row>
    <row r="1247" spans="1:9">
      <c r="A1247" s="2" t="s">
        <v>6759</v>
      </c>
      <c r="B1247" s="2" t="s">
        <v>601</v>
      </c>
      <c r="C1247" s="2" t="s">
        <v>2079</v>
      </c>
      <c r="D1247" s="2" t="s">
        <v>5160</v>
      </c>
      <c r="E1247" s="2" t="s">
        <v>5159</v>
      </c>
      <c r="F1247" s="2">
        <v>443.34890000000001</v>
      </c>
      <c r="G1247" s="2">
        <v>20</v>
      </c>
      <c r="H1247" s="2">
        <f>Tabla_Items_Con_Existencia[[#This Row],[COSTO]]*Tabla_Items_Con_Existencia[[#This Row],[EXISTENCIA]]</f>
        <v>8866.978000000001</v>
      </c>
      <c r="I1247" s="1">
        <f>IF(ISERROR(MATCH(Tabla_Items_Con_Existencia[[#This Row],[CODIGO]],Tabla_Items_Activos[CODIGO],0)),0,1)</f>
        <v>0</v>
      </c>
    </row>
    <row r="1248" spans="1:9">
      <c r="A1248" s="2" t="s">
        <v>6760</v>
      </c>
      <c r="B1248" s="2" t="s">
        <v>601</v>
      </c>
      <c r="C1248" s="2" t="s">
        <v>2079</v>
      </c>
      <c r="D1248" s="2" t="s">
        <v>5160</v>
      </c>
      <c r="E1248" s="2" t="s">
        <v>5159</v>
      </c>
      <c r="F1248" s="2">
        <v>443.34890000000001</v>
      </c>
      <c r="G1248" s="2">
        <v>20</v>
      </c>
      <c r="H1248" s="2">
        <f>Tabla_Items_Con_Existencia[[#This Row],[COSTO]]*Tabla_Items_Con_Existencia[[#This Row],[EXISTENCIA]]</f>
        <v>8866.978000000001</v>
      </c>
      <c r="I1248" s="1">
        <f>IF(ISERROR(MATCH(Tabla_Items_Con_Existencia[[#This Row],[CODIGO]],Tabla_Items_Activos[CODIGO],0)),0,1)</f>
        <v>0</v>
      </c>
    </row>
    <row r="1249" spans="1:9">
      <c r="A1249" s="2" t="s">
        <v>6761</v>
      </c>
      <c r="B1249" s="2" t="s">
        <v>602</v>
      </c>
      <c r="C1249" s="2" t="s">
        <v>2080</v>
      </c>
      <c r="D1249" s="2" t="s">
        <v>5160</v>
      </c>
      <c r="E1249" s="2" t="s">
        <v>5159</v>
      </c>
      <c r="F1249" s="2">
        <v>345.06846316000002</v>
      </c>
      <c r="G1249" s="2">
        <v>6</v>
      </c>
      <c r="H1249" s="2">
        <f>Tabla_Items_Con_Existencia[[#This Row],[COSTO]]*Tabla_Items_Con_Existencia[[#This Row],[EXISTENCIA]]</f>
        <v>2070.4107789600002</v>
      </c>
      <c r="I1249" s="1">
        <f>IF(ISERROR(MATCH(Tabla_Items_Con_Existencia[[#This Row],[CODIGO]],Tabla_Items_Activos[CODIGO],0)),0,1)</f>
        <v>0</v>
      </c>
    </row>
    <row r="1250" spans="1:9">
      <c r="A1250" s="2" t="s">
        <v>6760</v>
      </c>
      <c r="B1250" s="2" t="s">
        <v>602</v>
      </c>
      <c r="C1250" s="2" t="s">
        <v>2080</v>
      </c>
      <c r="D1250" s="2" t="s">
        <v>5160</v>
      </c>
      <c r="E1250" s="2" t="s">
        <v>5159</v>
      </c>
      <c r="F1250" s="2">
        <v>345.06846316000002</v>
      </c>
      <c r="G1250" s="2">
        <v>6</v>
      </c>
      <c r="H1250" s="2">
        <f>Tabla_Items_Con_Existencia[[#This Row],[COSTO]]*Tabla_Items_Con_Existencia[[#This Row],[EXISTENCIA]]</f>
        <v>2070.4107789600002</v>
      </c>
      <c r="I1250" s="1">
        <f>IF(ISERROR(MATCH(Tabla_Items_Con_Existencia[[#This Row],[CODIGO]],Tabla_Items_Activos[CODIGO],0)),0,1)</f>
        <v>0</v>
      </c>
    </row>
    <row r="1251" spans="1:9">
      <c r="A1251" s="2" t="s">
        <v>6760</v>
      </c>
      <c r="B1251" s="2" t="s">
        <v>2081</v>
      </c>
      <c r="C1251" s="2" t="s">
        <v>2082</v>
      </c>
      <c r="D1251" s="2" t="s">
        <v>5202</v>
      </c>
      <c r="E1251" s="2" t="s">
        <v>5159</v>
      </c>
      <c r="F1251" s="2">
        <v>1.59</v>
      </c>
      <c r="G1251" s="2">
        <v>2</v>
      </c>
      <c r="H1251" s="2">
        <f>Tabla_Items_Con_Existencia[[#This Row],[COSTO]]*Tabla_Items_Con_Existencia[[#This Row],[EXISTENCIA]]</f>
        <v>3.18</v>
      </c>
      <c r="I1251" s="1">
        <f>IF(ISERROR(MATCH(Tabla_Items_Con_Existencia[[#This Row],[CODIGO]],Tabla_Items_Activos[CODIGO],0)),0,1)</f>
        <v>0</v>
      </c>
    </row>
    <row r="1252" spans="1:9">
      <c r="A1252" s="2" t="s">
        <v>6760</v>
      </c>
      <c r="B1252" s="2" t="s">
        <v>6580</v>
      </c>
      <c r="C1252" s="2" t="s">
        <v>4520</v>
      </c>
      <c r="D1252" s="2" t="s">
        <v>5186</v>
      </c>
      <c r="E1252" s="2" t="s">
        <v>5159</v>
      </c>
      <c r="F1252" s="2">
        <v>3.343</v>
      </c>
      <c r="G1252" s="2">
        <v>3</v>
      </c>
      <c r="H1252" s="2">
        <f>Tabla_Items_Con_Existencia[[#This Row],[COSTO]]*Tabla_Items_Con_Existencia[[#This Row],[EXISTENCIA]]</f>
        <v>10.029</v>
      </c>
      <c r="I1252" s="1">
        <f>IF(ISERROR(MATCH(Tabla_Items_Con_Existencia[[#This Row],[CODIGO]],Tabla_Items_Activos[CODIGO],0)),0,1)</f>
        <v>0</v>
      </c>
    </row>
    <row r="1253" spans="1:9">
      <c r="A1253" s="2" t="s">
        <v>6760</v>
      </c>
      <c r="B1253" s="2" t="s">
        <v>6918</v>
      </c>
      <c r="C1253" s="2" t="s">
        <v>6919</v>
      </c>
      <c r="D1253" s="2" t="s">
        <v>5186</v>
      </c>
      <c r="E1253" s="2" t="s">
        <v>5159</v>
      </c>
      <c r="F1253" s="2">
        <v>12.46</v>
      </c>
      <c r="G1253" s="2">
        <v>4</v>
      </c>
      <c r="H1253" s="2">
        <f>Tabla_Items_Con_Existencia[[#This Row],[COSTO]]*Tabla_Items_Con_Existencia[[#This Row],[EXISTENCIA]]</f>
        <v>49.84</v>
      </c>
      <c r="I1253" s="1">
        <f>IF(ISERROR(MATCH(Tabla_Items_Con_Existencia[[#This Row],[CODIGO]],Tabla_Items_Activos[CODIGO],0)),0,1)</f>
        <v>0</v>
      </c>
    </row>
    <row r="1254" spans="1:9">
      <c r="A1254" s="2" t="s">
        <v>6760</v>
      </c>
      <c r="B1254" s="2" t="s">
        <v>2083</v>
      </c>
      <c r="C1254" s="2" t="s">
        <v>6331</v>
      </c>
      <c r="D1254" s="2" t="s">
        <v>5187</v>
      </c>
      <c r="E1254" s="2" t="s">
        <v>5159</v>
      </c>
      <c r="F1254" s="2">
        <v>20.97</v>
      </c>
      <c r="G1254" s="2">
        <v>3</v>
      </c>
      <c r="H1254" s="2">
        <f>Tabla_Items_Con_Existencia[[#This Row],[COSTO]]*Tabla_Items_Con_Existencia[[#This Row],[EXISTENCIA]]</f>
        <v>62.91</v>
      </c>
      <c r="I1254" s="1">
        <f>IF(ISERROR(MATCH(Tabla_Items_Con_Existencia[[#This Row],[CODIGO]],Tabla_Items_Activos[CODIGO],0)),0,1)</f>
        <v>0</v>
      </c>
    </row>
    <row r="1255" spans="1:9">
      <c r="A1255" s="2" t="s">
        <v>6760</v>
      </c>
      <c r="B1255" s="2" t="s">
        <v>6581</v>
      </c>
      <c r="C1255" s="2" t="s">
        <v>4507</v>
      </c>
      <c r="D1255" s="2" t="s">
        <v>5186</v>
      </c>
      <c r="E1255" s="2" t="s">
        <v>5159</v>
      </c>
      <c r="F1255" s="2">
        <v>20.768000000000001</v>
      </c>
      <c r="G1255" s="2">
        <v>4</v>
      </c>
      <c r="H1255" s="2">
        <f>Tabla_Items_Con_Existencia[[#This Row],[COSTO]]*Tabla_Items_Con_Existencia[[#This Row],[EXISTENCIA]]</f>
        <v>83.072000000000003</v>
      </c>
      <c r="I1255" s="1">
        <f>IF(ISERROR(MATCH(Tabla_Items_Con_Existencia[[#This Row],[CODIGO]],Tabla_Items_Activos[CODIGO],0)),0,1)</f>
        <v>0</v>
      </c>
    </row>
    <row r="1256" spans="1:9">
      <c r="A1256" s="2" t="s">
        <v>6760</v>
      </c>
      <c r="B1256" s="2" t="s">
        <v>6582</v>
      </c>
      <c r="C1256" s="2" t="s">
        <v>4273</v>
      </c>
      <c r="D1256" s="2" t="s">
        <v>5161</v>
      </c>
      <c r="E1256" s="2" t="s">
        <v>5159</v>
      </c>
      <c r="F1256" s="2">
        <v>4.2750000000000004</v>
      </c>
      <c r="G1256" s="2">
        <v>5</v>
      </c>
      <c r="H1256" s="2">
        <f>Tabla_Items_Con_Existencia[[#This Row],[COSTO]]*Tabla_Items_Con_Existencia[[#This Row],[EXISTENCIA]]</f>
        <v>21.375</v>
      </c>
      <c r="I1256" s="1">
        <f>IF(ISERROR(MATCH(Tabla_Items_Con_Existencia[[#This Row],[CODIGO]],Tabla_Items_Activos[CODIGO],0)),0,1)</f>
        <v>0</v>
      </c>
    </row>
    <row r="1257" spans="1:9">
      <c r="A1257" s="2" t="s">
        <v>6760</v>
      </c>
      <c r="B1257" s="2" t="s">
        <v>6583</v>
      </c>
      <c r="C1257" s="2" t="s">
        <v>4584</v>
      </c>
      <c r="D1257" s="2" t="s">
        <v>5158</v>
      </c>
      <c r="E1257" s="2" t="s">
        <v>5159</v>
      </c>
      <c r="F1257" s="2">
        <v>9.1319999999999997</v>
      </c>
      <c r="G1257" s="2">
        <v>1</v>
      </c>
      <c r="H1257" s="2">
        <f>Tabla_Items_Con_Existencia[[#This Row],[COSTO]]*Tabla_Items_Con_Existencia[[#This Row],[EXISTENCIA]]</f>
        <v>9.1319999999999997</v>
      </c>
      <c r="I1257" s="1">
        <f>IF(ISERROR(MATCH(Tabla_Items_Con_Existencia[[#This Row],[CODIGO]],Tabla_Items_Activos[CODIGO],0)),0,1)</f>
        <v>0</v>
      </c>
    </row>
    <row r="1258" spans="1:9">
      <c r="A1258" s="2" t="s">
        <v>6760</v>
      </c>
      <c r="B1258" s="2" t="s">
        <v>7237</v>
      </c>
      <c r="C1258" s="2" t="s">
        <v>7238</v>
      </c>
      <c r="D1258" s="2" t="s">
        <v>5158</v>
      </c>
      <c r="E1258" s="2" t="s">
        <v>5159</v>
      </c>
      <c r="F1258" s="2">
        <v>0.1</v>
      </c>
      <c r="G1258" s="2">
        <v>4</v>
      </c>
      <c r="H1258" s="2">
        <f>Tabla_Items_Con_Existencia[[#This Row],[COSTO]]*Tabla_Items_Con_Existencia[[#This Row],[EXISTENCIA]]</f>
        <v>0.4</v>
      </c>
      <c r="I1258" s="1">
        <f>IF(ISERROR(MATCH(Tabla_Items_Con_Existencia[[#This Row],[CODIGO]],Tabla_Items_Activos[CODIGO],0)),0,1)</f>
        <v>0</v>
      </c>
    </row>
    <row r="1259" spans="1:9">
      <c r="A1259" s="2" t="s">
        <v>6761</v>
      </c>
      <c r="B1259" s="2" t="s">
        <v>603</v>
      </c>
      <c r="C1259" s="2" t="s">
        <v>2085</v>
      </c>
      <c r="D1259" s="2" t="s">
        <v>5158</v>
      </c>
      <c r="E1259" s="2" t="s">
        <v>5159</v>
      </c>
      <c r="F1259" s="2">
        <v>19.183273679999999</v>
      </c>
      <c r="G1259" s="2">
        <v>41</v>
      </c>
      <c r="H1259" s="2">
        <f>Tabla_Items_Con_Existencia[[#This Row],[COSTO]]*Tabla_Items_Con_Existencia[[#This Row],[EXISTENCIA]]</f>
        <v>786.51422087999993</v>
      </c>
      <c r="I1259" s="1">
        <f>IF(ISERROR(MATCH(Tabla_Items_Con_Existencia[[#This Row],[CODIGO]],Tabla_Items_Activos[CODIGO],0)),0,1)</f>
        <v>0</v>
      </c>
    </row>
    <row r="1260" spans="1:9">
      <c r="A1260" s="2" t="s">
        <v>6760</v>
      </c>
      <c r="B1260" s="2" t="s">
        <v>603</v>
      </c>
      <c r="C1260" s="2" t="s">
        <v>2085</v>
      </c>
      <c r="D1260" s="2" t="s">
        <v>5158</v>
      </c>
      <c r="E1260" s="2" t="s">
        <v>5159</v>
      </c>
      <c r="F1260" s="2">
        <v>19.183273679999999</v>
      </c>
      <c r="G1260" s="2">
        <v>41</v>
      </c>
      <c r="H1260" s="2">
        <f>Tabla_Items_Con_Existencia[[#This Row],[COSTO]]*Tabla_Items_Con_Existencia[[#This Row],[EXISTENCIA]]</f>
        <v>786.51422087999993</v>
      </c>
      <c r="I1260" s="1">
        <f>IF(ISERROR(MATCH(Tabla_Items_Con_Existencia[[#This Row],[CODIGO]],Tabla_Items_Activos[CODIGO],0)),0,1)</f>
        <v>0</v>
      </c>
    </row>
    <row r="1261" spans="1:9">
      <c r="A1261" s="2" t="s">
        <v>6760</v>
      </c>
      <c r="B1261" s="2" t="s">
        <v>604</v>
      </c>
      <c r="C1261" s="2" t="s">
        <v>6920</v>
      </c>
      <c r="D1261" s="2" t="s">
        <v>5158</v>
      </c>
      <c r="E1261" s="2" t="s">
        <v>5159</v>
      </c>
      <c r="F1261" s="2">
        <v>33.095199999999998</v>
      </c>
      <c r="G1261" s="2">
        <v>5</v>
      </c>
      <c r="H1261" s="2">
        <f>Tabla_Items_Con_Existencia[[#This Row],[COSTO]]*Tabla_Items_Con_Existencia[[#This Row],[EXISTENCIA]]</f>
        <v>165.476</v>
      </c>
      <c r="I1261" s="1">
        <f>IF(ISERROR(MATCH(Tabla_Items_Con_Existencia[[#This Row],[CODIGO]],Tabla_Items_Activos[CODIGO],0)),0,1)</f>
        <v>0</v>
      </c>
    </row>
    <row r="1262" spans="1:9">
      <c r="A1262" s="2" t="s">
        <v>6760</v>
      </c>
      <c r="B1262" s="2" t="s">
        <v>605</v>
      </c>
      <c r="C1262" s="2" t="s">
        <v>2087</v>
      </c>
      <c r="D1262" s="2" t="s">
        <v>5158</v>
      </c>
      <c r="E1262" s="2" t="s">
        <v>5159</v>
      </c>
      <c r="F1262" s="2">
        <v>22.535</v>
      </c>
      <c r="G1262" s="2">
        <v>4</v>
      </c>
      <c r="H1262" s="2">
        <f>Tabla_Items_Con_Existencia[[#This Row],[COSTO]]*Tabla_Items_Con_Existencia[[#This Row],[EXISTENCIA]]</f>
        <v>90.14</v>
      </c>
      <c r="I1262" s="1">
        <f>IF(ISERROR(MATCH(Tabla_Items_Con_Existencia[[#This Row],[CODIGO]],Tabla_Items_Activos[CODIGO],0)),0,1)</f>
        <v>0</v>
      </c>
    </row>
    <row r="1263" spans="1:9">
      <c r="A1263" s="2" t="s">
        <v>6760</v>
      </c>
      <c r="B1263" s="2" t="s">
        <v>606</v>
      </c>
      <c r="C1263" s="2" t="s">
        <v>2088</v>
      </c>
      <c r="D1263" s="2" t="s">
        <v>5187</v>
      </c>
      <c r="E1263" s="2" t="s">
        <v>5159</v>
      </c>
      <c r="F1263" s="2">
        <v>22.3</v>
      </c>
      <c r="G1263" s="2">
        <v>2</v>
      </c>
      <c r="H1263" s="2">
        <f>Tabla_Items_Con_Existencia[[#This Row],[COSTO]]*Tabla_Items_Con_Existencia[[#This Row],[EXISTENCIA]]</f>
        <v>44.6</v>
      </c>
      <c r="I1263" s="1">
        <f>IF(ISERROR(MATCH(Tabla_Items_Con_Existencia[[#This Row],[CODIGO]],Tabla_Items_Activos[CODIGO],0)),0,1)</f>
        <v>0</v>
      </c>
    </row>
    <row r="1264" spans="1:9">
      <c r="A1264" s="2" t="s">
        <v>6760</v>
      </c>
      <c r="B1264" s="2" t="s">
        <v>2089</v>
      </c>
      <c r="C1264" s="2" t="s">
        <v>2090</v>
      </c>
      <c r="D1264" s="2" t="s">
        <v>5158</v>
      </c>
      <c r="E1264" s="2" t="s">
        <v>5159</v>
      </c>
      <c r="F1264" s="2">
        <v>34.340000000000003</v>
      </c>
      <c r="G1264" s="2">
        <v>2</v>
      </c>
      <c r="H1264" s="2">
        <f>Tabla_Items_Con_Existencia[[#This Row],[COSTO]]*Tabla_Items_Con_Existencia[[#This Row],[EXISTENCIA]]</f>
        <v>68.680000000000007</v>
      </c>
      <c r="I1264" s="1">
        <f>IF(ISERROR(MATCH(Tabla_Items_Con_Existencia[[#This Row],[CODIGO]],Tabla_Items_Activos[CODIGO],0)),0,1)</f>
        <v>0</v>
      </c>
    </row>
    <row r="1265" spans="1:9">
      <c r="A1265" s="2" t="s">
        <v>6760</v>
      </c>
      <c r="B1265" s="2" t="s">
        <v>6584</v>
      </c>
      <c r="C1265" s="2" t="s">
        <v>6585</v>
      </c>
      <c r="D1265" s="2" t="s">
        <v>5158</v>
      </c>
      <c r="E1265" s="2" t="s">
        <v>5159</v>
      </c>
      <c r="F1265" s="2">
        <v>56.814821049999999</v>
      </c>
      <c r="G1265" s="2">
        <v>11</v>
      </c>
      <c r="H1265" s="2">
        <f>Tabla_Items_Con_Existencia[[#This Row],[COSTO]]*Tabla_Items_Con_Existencia[[#This Row],[EXISTENCIA]]</f>
        <v>624.96303154999998</v>
      </c>
      <c r="I1265" s="1">
        <f>IF(ISERROR(MATCH(Tabla_Items_Con_Existencia[[#This Row],[CODIGO]],Tabla_Items_Activos[CODIGO],0)),0,1)</f>
        <v>0</v>
      </c>
    </row>
    <row r="1266" spans="1:9">
      <c r="A1266" s="2" t="s">
        <v>6761</v>
      </c>
      <c r="B1266" s="2" t="s">
        <v>6584</v>
      </c>
      <c r="C1266" s="2" t="s">
        <v>6585</v>
      </c>
      <c r="D1266" s="2" t="s">
        <v>5158</v>
      </c>
      <c r="E1266" s="2" t="s">
        <v>5159</v>
      </c>
      <c r="F1266" s="2">
        <v>56.814821049999999</v>
      </c>
      <c r="G1266" s="2">
        <v>11</v>
      </c>
      <c r="H1266" s="2">
        <f>Tabla_Items_Con_Existencia[[#This Row],[COSTO]]*Tabla_Items_Con_Existencia[[#This Row],[EXISTENCIA]]</f>
        <v>624.96303154999998</v>
      </c>
      <c r="I1266" s="1">
        <f>IF(ISERROR(MATCH(Tabla_Items_Con_Existencia[[#This Row],[CODIGO]],Tabla_Items_Activos[CODIGO],0)),0,1)</f>
        <v>0</v>
      </c>
    </row>
    <row r="1267" spans="1:9">
      <c r="A1267" s="2" t="s">
        <v>6760</v>
      </c>
      <c r="B1267" s="2" t="s">
        <v>607</v>
      </c>
      <c r="C1267" s="2" t="s">
        <v>5493</v>
      </c>
      <c r="D1267" s="2" t="s">
        <v>5158</v>
      </c>
      <c r="E1267" s="2" t="s">
        <v>5159</v>
      </c>
      <c r="F1267" s="2">
        <v>58.227242109999999</v>
      </c>
      <c r="G1267" s="2">
        <v>22</v>
      </c>
      <c r="H1267" s="2">
        <f>Tabla_Items_Con_Existencia[[#This Row],[COSTO]]*Tabla_Items_Con_Existencia[[#This Row],[EXISTENCIA]]</f>
        <v>1280.99932642</v>
      </c>
      <c r="I1267" s="1">
        <f>IF(ISERROR(MATCH(Tabla_Items_Con_Existencia[[#This Row],[CODIGO]],Tabla_Items_Activos[CODIGO],0)),0,1)</f>
        <v>0</v>
      </c>
    </row>
    <row r="1268" spans="1:9">
      <c r="A1268" s="2" t="s">
        <v>6761</v>
      </c>
      <c r="B1268" s="2" t="s">
        <v>607</v>
      </c>
      <c r="C1268" s="2" t="s">
        <v>5493</v>
      </c>
      <c r="D1268" s="2" t="s">
        <v>5158</v>
      </c>
      <c r="E1268" s="2" t="s">
        <v>5159</v>
      </c>
      <c r="F1268" s="2">
        <v>58.227242109999999</v>
      </c>
      <c r="G1268" s="2">
        <v>22</v>
      </c>
      <c r="H1268" s="2">
        <f>Tabla_Items_Con_Existencia[[#This Row],[COSTO]]*Tabla_Items_Con_Existencia[[#This Row],[EXISTENCIA]]</f>
        <v>1280.99932642</v>
      </c>
      <c r="I1268" s="1">
        <f>IF(ISERROR(MATCH(Tabla_Items_Con_Existencia[[#This Row],[CODIGO]],Tabla_Items_Activos[CODIGO],0)),0,1)</f>
        <v>0</v>
      </c>
    </row>
    <row r="1269" spans="1:9">
      <c r="A1269" s="2" t="s">
        <v>6760</v>
      </c>
      <c r="B1269" s="2" t="s">
        <v>5153</v>
      </c>
      <c r="C1269" s="2" t="s">
        <v>6921</v>
      </c>
      <c r="D1269" s="2" t="s">
        <v>5158</v>
      </c>
      <c r="E1269" s="2" t="s">
        <v>5159</v>
      </c>
      <c r="F1269" s="2">
        <v>57.98044737</v>
      </c>
      <c r="G1269" s="2">
        <v>21</v>
      </c>
      <c r="H1269" s="2">
        <f>Tabla_Items_Con_Existencia[[#This Row],[COSTO]]*Tabla_Items_Con_Existencia[[#This Row],[EXISTENCIA]]</f>
        <v>1217.5893947699999</v>
      </c>
      <c r="I1269" s="1">
        <f>IF(ISERROR(MATCH(Tabla_Items_Con_Existencia[[#This Row],[CODIGO]],Tabla_Items_Activos[CODIGO],0)),0,1)</f>
        <v>0</v>
      </c>
    </row>
    <row r="1270" spans="1:9">
      <c r="A1270" s="2" t="s">
        <v>6761</v>
      </c>
      <c r="B1270" s="2" t="s">
        <v>5153</v>
      </c>
      <c r="C1270" s="2" t="s">
        <v>6921</v>
      </c>
      <c r="D1270" s="2" t="s">
        <v>5158</v>
      </c>
      <c r="E1270" s="2" t="s">
        <v>5159</v>
      </c>
      <c r="F1270" s="2">
        <v>57.98044737</v>
      </c>
      <c r="G1270" s="2">
        <v>21</v>
      </c>
      <c r="H1270" s="2">
        <f>Tabla_Items_Con_Existencia[[#This Row],[COSTO]]*Tabla_Items_Con_Existencia[[#This Row],[EXISTENCIA]]</f>
        <v>1217.5893947699999</v>
      </c>
      <c r="I1270" s="1">
        <f>IF(ISERROR(MATCH(Tabla_Items_Con_Existencia[[#This Row],[CODIGO]],Tabla_Items_Activos[CODIGO],0)),0,1)</f>
        <v>0</v>
      </c>
    </row>
    <row r="1271" spans="1:9">
      <c r="A1271" s="2" t="s">
        <v>6760</v>
      </c>
      <c r="B1271" s="2" t="s">
        <v>608</v>
      </c>
      <c r="C1271" s="2" t="s">
        <v>5494</v>
      </c>
      <c r="D1271" s="2" t="s">
        <v>5158</v>
      </c>
      <c r="E1271" s="2" t="s">
        <v>5159</v>
      </c>
      <c r="F1271" s="2">
        <v>25.12</v>
      </c>
      <c r="G1271" s="2">
        <v>9</v>
      </c>
      <c r="H1271" s="2">
        <f>Tabla_Items_Con_Existencia[[#This Row],[COSTO]]*Tabla_Items_Con_Existencia[[#This Row],[EXISTENCIA]]</f>
        <v>226.08</v>
      </c>
      <c r="I1271" s="1">
        <f>IF(ISERROR(MATCH(Tabla_Items_Con_Existencia[[#This Row],[CODIGO]],Tabla_Items_Activos[CODIGO],0)),0,1)</f>
        <v>0</v>
      </c>
    </row>
    <row r="1272" spans="1:9">
      <c r="A1272" s="2" t="s">
        <v>6760</v>
      </c>
      <c r="B1272" s="2" t="s">
        <v>2091</v>
      </c>
      <c r="C1272" s="2" t="s">
        <v>6922</v>
      </c>
      <c r="D1272" s="2" t="s">
        <v>5158</v>
      </c>
      <c r="E1272" s="2" t="s">
        <v>5159</v>
      </c>
      <c r="F1272" s="2">
        <v>41.67</v>
      </c>
      <c r="G1272" s="2">
        <v>2</v>
      </c>
      <c r="H1272" s="2">
        <f>Tabla_Items_Con_Existencia[[#This Row],[COSTO]]*Tabla_Items_Con_Existencia[[#This Row],[EXISTENCIA]]</f>
        <v>83.34</v>
      </c>
      <c r="I1272" s="1">
        <f>IF(ISERROR(MATCH(Tabla_Items_Con_Existencia[[#This Row],[CODIGO]],Tabla_Items_Activos[CODIGO],0)),0,1)</f>
        <v>0</v>
      </c>
    </row>
    <row r="1273" spans="1:9">
      <c r="A1273" s="2" t="s">
        <v>6760</v>
      </c>
      <c r="B1273" s="2" t="s">
        <v>2093</v>
      </c>
      <c r="C1273" s="2" t="s">
        <v>2094</v>
      </c>
      <c r="D1273" s="2" t="s">
        <v>5158</v>
      </c>
      <c r="E1273" s="2" t="s">
        <v>5159</v>
      </c>
      <c r="F1273" s="2">
        <v>55.043999999999997</v>
      </c>
      <c r="G1273" s="2">
        <v>1</v>
      </c>
      <c r="H1273" s="2">
        <f>Tabla_Items_Con_Existencia[[#This Row],[COSTO]]*Tabla_Items_Con_Existencia[[#This Row],[EXISTENCIA]]</f>
        <v>55.043999999999997</v>
      </c>
      <c r="I1273" s="1">
        <f>IF(ISERROR(MATCH(Tabla_Items_Con_Existencia[[#This Row],[CODIGO]],Tabla_Items_Activos[CODIGO],0)),0,1)</f>
        <v>0</v>
      </c>
    </row>
    <row r="1274" spans="1:9">
      <c r="A1274" s="2" t="s">
        <v>6760</v>
      </c>
      <c r="B1274" s="2" t="s">
        <v>609</v>
      </c>
      <c r="C1274" s="2" t="s">
        <v>2095</v>
      </c>
      <c r="D1274" s="2" t="s">
        <v>5190</v>
      </c>
      <c r="E1274" s="2" t="s">
        <v>5159</v>
      </c>
      <c r="F1274" s="2">
        <v>3.2695894700000001</v>
      </c>
      <c r="G1274" s="2">
        <v>2</v>
      </c>
      <c r="H1274" s="2">
        <f>Tabla_Items_Con_Existencia[[#This Row],[COSTO]]*Tabla_Items_Con_Existencia[[#This Row],[EXISTENCIA]]</f>
        <v>6.5391789400000002</v>
      </c>
      <c r="I1274" s="1">
        <f>IF(ISERROR(MATCH(Tabla_Items_Con_Existencia[[#This Row],[CODIGO]],Tabla_Items_Activos[CODIGO],0)),0,1)</f>
        <v>0</v>
      </c>
    </row>
    <row r="1275" spans="1:9">
      <c r="A1275" s="2" t="s">
        <v>6761</v>
      </c>
      <c r="B1275" s="2" t="s">
        <v>609</v>
      </c>
      <c r="C1275" s="2" t="s">
        <v>2095</v>
      </c>
      <c r="D1275" s="2" t="s">
        <v>5190</v>
      </c>
      <c r="E1275" s="2" t="s">
        <v>5159</v>
      </c>
      <c r="F1275" s="2">
        <v>3.2695894700000001</v>
      </c>
      <c r="G1275" s="2">
        <v>2</v>
      </c>
      <c r="H1275" s="2">
        <f>Tabla_Items_Con_Existencia[[#This Row],[COSTO]]*Tabla_Items_Con_Existencia[[#This Row],[EXISTENCIA]]</f>
        <v>6.5391789400000002</v>
      </c>
      <c r="I1275" s="1">
        <f>IF(ISERROR(MATCH(Tabla_Items_Con_Existencia[[#This Row],[CODIGO]],Tabla_Items_Activos[CODIGO],0)),0,1)</f>
        <v>0</v>
      </c>
    </row>
    <row r="1276" spans="1:9">
      <c r="A1276" s="2" t="s">
        <v>6760</v>
      </c>
      <c r="B1276" s="2" t="s">
        <v>610</v>
      </c>
      <c r="C1276" s="2" t="s">
        <v>6332</v>
      </c>
      <c r="D1276" s="2" t="s">
        <v>5190</v>
      </c>
      <c r="E1276" s="2" t="s">
        <v>5159</v>
      </c>
      <c r="F1276" s="2">
        <v>29.722336840000001</v>
      </c>
      <c r="G1276" s="2">
        <v>46</v>
      </c>
      <c r="H1276" s="2">
        <f>Tabla_Items_Con_Existencia[[#This Row],[COSTO]]*Tabla_Items_Con_Existencia[[#This Row],[EXISTENCIA]]</f>
        <v>1367.22749464</v>
      </c>
      <c r="I1276" s="1">
        <f>IF(ISERROR(MATCH(Tabla_Items_Con_Existencia[[#This Row],[CODIGO]],Tabla_Items_Activos[CODIGO],0)),0,1)</f>
        <v>0</v>
      </c>
    </row>
    <row r="1277" spans="1:9">
      <c r="A1277" s="2" t="s">
        <v>6761</v>
      </c>
      <c r="B1277" s="2" t="s">
        <v>610</v>
      </c>
      <c r="C1277" s="2" t="s">
        <v>6332</v>
      </c>
      <c r="D1277" s="2" t="s">
        <v>5190</v>
      </c>
      <c r="E1277" s="2" t="s">
        <v>5159</v>
      </c>
      <c r="F1277" s="2">
        <v>29.722336840000001</v>
      </c>
      <c r="G1277" s="2">
        <v>46</v>
      </c>
      <c r="H1277" s="2">
        <f>Tabla_Items_Con_Existencia[[#This Row],[COSTO]]*Tabla_Items_Con_Existencia[[#This Row],[EXISTENCIA]]</f>
        <v>1367.22749464</v>
      </c>
      <c r="I1277" s="1">
        <f>IF(ISERROR(MATCH(Tabla_Items_Con_Existencia[[#This Row],[CODIGO]],Tabla_Items_Activos[CODIGO],0)),0,1)</f>
        <v>0</v>
      </c>
    </row>
    <row r="1278" spans="1:9">
      <c r="A1278" s="2" t="s">
        <v>6760</v>
      </c>
      <c r="B1278" s="2" t="s">
        <v>6586</v>
      </c>
      <c r="C1278" s="2" t="s">
        <v>4416</v>
      </c>
      <c r="D1278" s="2" t="s">
        <v>5158</v>
      </c>
      <c r="E1278" s="2" t="s">
        <v>5159</v>
      </c>
      <c r="F1278" s="2">
        <v>2.7851157899999999</v>
      </c>
      <c r="G1278" s="2">
        <v>13</v>
      </c>
      <c r="H1278" s="2">
        <f>Tabla_Items_Con_Existencia[[#This Row],[COSTO]]*Tabla_Items_Con_Existencia[[#This Row],[EXISTENCIA]]</f>
        <v>36.206505270000001</v>
      </c>
      <c r="I1278" s="1">
        <f>IF(ISERROR(MATCH(Tabla_Items_Con_Existencia[[#This Row],[CODIGO]],Tabla_Items_Activos[CODIGO],0)),0,1)</f>
        <v>0</v>
      </c>
    </row>
    <row r="1279" spans="1:9">
      <c r="A1279" s="2" t="s">
        <v>6761</v>
      </c>
      <c r="B1279" s="2" t="s">
        <v>6586</v>
      </c>
      <c r="C1279" s="2" t="s">
        <v>4416</v>
      </c>
      <c r="D1279" s="2" t="s">
        <v>5158</v>
      </c>
      <c r="E1279" s="2" t="s">
        <v>5159</v>
      </c>
      <c r="F1279" s="2">
        <v>2.7851157899999999</v>
      </c>
      <c r="G1279" s="2">
        <v>13</v>
      </c>
      <c r="H1279" s="2">
        <f>Tabla_Items_Con_Existencia[[#This Row],[COSTO]]*Tabla_Items_Con_Existencia[[#This Row],[EXISTENCIA]]</f>
        <v>36.206505270000001</v>
      </c>
      <c r="I1279" s="1">
        <f>IF(ISERROR(MATCH(Tabla_Items_Con_Existencia[[#This Row],[CODIGO]],Tabla_Items_Activos[CODIGO],0)),0,1)</f>
        <v>0</v>
      </c>
    </row>
    <row r="1280" spans="1:9">
      <c r="A1280" s="2" t="s">
        <v>6760</v>
      </c>
      <c r="B1280" s="2" t="s">
        <v>6587</v>
      </c>
      <c r="C1280" s="2" t="s">
        <v>4551</v>
      </c>
      <c r="D1280" s="2" t="s">
        <v>5186</v>
      </c>
      <c r="E1280" s="2" t="s">
        <v>5159</v>
      </c>
      <c r="F1280" s="2">
        <v>2.7109999999999999</v>
      </c>
      <c r="G1280" s="2">
        <v>8</v>
      </c>
      <c r="H1280" s="2">
        <f>Tabla_Items_Con_Existencia[[#This Row],[COSTO]]*Tabla_Items_Con_Existencia[[#This Row],[EXISTENCIA]]</f>
        <v>21.687999999999999</v>
      </c>
      <c r="I1280" s="1">
        <f>IF(ISERROR(MATCH(Tabla_Items_Con_Existencia[[#This Row],[CODIGO]],Tabla_Items_Activos[CODIGO],0)),0,1)</f>
        <v>0</v>
      </c>
    </row>
    <row r="1281" spans="1:9">
      <c r="A1281" s="2" t="s">
        <v>6760</v>
      </c>
      <c r="B1281" s="2" t="s">
        <v>611</v>
      </c>
      <c r="C1281" s="2" t="s">
        <v>2097</v>
      </c>
      <c r="D1281" s="2" t="s">
        <v>5160</v>
      </c>
      <c r="E1281" s="2" t="s">
        <v>5159</v>
      </c>
      <c r="F1281" s="2">
        <v>245.10076667000001</v>
      </c>
      <c r="G1281" s="2">
        <v>9</v>
      </c>
      <c r="H1281" s="2">
        <f>Tabla_Items_Con_Existencia[[#This Row],[COSTO]]*Tabla_Items_Con_Existencia[[#This Row],[EXISTENCIA]]</f>
        <v>2205.9069000300001</v>
      </c>
      <c r="I1281" s="1">
        <f>IF(ISERROR(MATCH(Tabla_Items_Con_Existencia[[#This Row],[CODIGO]],Tabla_Items_Activos[CODIGO],0)),0,1)</f>
        <v>0</v>
      </c>
    </row>
    <row r="1282" spans="1:9">
      <c r="A1282" s="2" t="s">
        <v>6761</v>
      </c>
      <c r="B1282" s="2" t="s">
        <v>611</v>
      </c>
      <c r="C1282" s="2" t="s">
        <v>2097</v>
      </c>
      <c r="D1282" s="2" t="s">
        <v>5160</v>
      </c>
      <c r="E1282" s="2" t="s">
        <v>5159</v>
      </c>
      <c r="F1282" s="2">
        <v>245.10076667000001</v>
      </c>
      <c r="G1282" s="2">
        <v>9</v>
      </c>
      <c r="H1282" s="2">
        <f>Tabla_Items_Con_Existencia[[#This Row],[COSTO]]*Tabla_Items_Con_Existencia[[#This Row],[EXISTENCIA]]</f>
        <v>2205.9069000300001</v>
      </c>
      <c r="I1282" s="1">
        <f>IF(ISERROR(MATCH(Tabla_Items_Con_Existencia[[#This Row],[CODIGO]],Tabla_Items_Activos[CODIGO],0)),0,1)</f>
        <v>0</v>
      </c>
    </row>
    <row r="1283" spans="1:9">
      <c r="A1283" s="2" t="s">
        <v>6759</v>
      </c>
      <c r="B1283" s="2" t="s">
        <v>611</v>
      </c>
      <c r="C1283" s="2" t="s">
        <v>2097</v>
      </c>
      <c r="D1283" s="2" t="s">
        <v>5160</v>
      </c>
      <c r="E1283" s="2" t="s">
        <v>5159</v>
      </c>
      <c r="F1283" s="2">
        <v>245.10076667000001</v>
      </c>
      <c r="G1283" s="2">
        <v>9</v>
      </c>
      <c r="H1283" s="2">
        <f>Tabla_Items_Con_Existencia[[#This Row],[COSTO]]*Tabla_Items_Con_Existencia[[#This Row],[EXISTENCIA]]</f>
        <v>2205.9069000300001</v>
      </c>
      <c r="I1283" s="1">
        <f>IF(ISERROR(MATCH(Tabla_Items_Con_Existencia[[#This Row],[CODIGO]],Tabla_Items_Activos[CODIGO],0)),0,1)</f>
        <v>0</v>
      </c>
    </row>
    <row r="1284" spans="1:9">
      <c r="A1284" s="2" t="s">
        <v>6761</v>
      </c>
      <c r="B1284" s="2" t="s">
        <v>2098</v>
      </c>
      <c r="C1284" s="2" t="s">
        <v>2099</v>
      </c>
      <c r="D1284" s="2" t="s">
        <v>5160</v>
      </c>
      <c r="E1284" s="2" t="s">
        <v>5159</v>
      </c>
      <c r="F1284" s="2">
        <v>273.07484211000002</v>
      </c>
      <c r="G1284" s="2">
        <v>4</v>
      </c>
      <c r="H1284" s="2">
        <f>Tabla_Items_Con_Existencia[[#This Row],[COSTO]]*Tabla_Items_Con_Existencia[[#This Row],[EXISTENCIA]]</f>
        <v>1092.2993684400001</v>
      </c>
      <c r="I1284" s="1">
        <f>IF(ISERROR(MATCH(Tabla_Items_Con_Existencia[[#This Row],[CODIGO]],Tabla_Items_Activos[CODIGO],0)),0,1)</f>
        <v>0</v>
      </c>
    </row>
    <row r="1285" spans="1:9">
      <c r="A1285" s="2" t="s">
        <v>6760</v>
      </c>
      <c r="B1285" s="2" t="s">
        <v>2098</v>
      </c>
      <c r="C1285" s="2" t="s">
        <v>2099</v>
      </c>
      <c r="D1285" s="2" t="s">
        <v>5160</v>
      </c>
      <c r="E1285" s="2" t="s">
        <v>5159</v>
      </c>
      <c r="F1285" s="2">
        <v>273.07484211000002</v>
      </c>
      <c r="G1285" s="2">
        <v>4</v>
      </c>
      <c r="H1285" s="2">
        <f>Tabla_Items_Con_Existencia[[#This Row],[COSTO]]*Tabla_Items_Con_Existencia[[#This Row],[EXISTENCIA]]</f>
        <v>1092.2993684400001</v>
      </c>
      <c r="I1285" s="1">
        <f>IF(ISERROR(MATCH(Tabla_Items_Con_Existencia[[#This Row],[CODIGO]],Tabla_Items_Activos[CODIGO],0)),0,1)</f>
        <v>0</v>
      </c>
    </row>
    <row r="1286" spans="1:9">
      <c r="A1286" s="2" t="s">
        <v>6760</v>
      </c>
      <c r="B1286" s="2" t="s">
        <v>6588</v>
      </c>
      <c r="C1286" s="2" t="s">
        <v>6589</v>
      </c>
      <c r="D1286" s="2" t="s">
        <v>5186</v>
      </c>
      <c r="E1286" s="2" t="s">
        <v>5159</v>
      </c>
      <c r="F1286" s="2">
        <v>12.981</v>
      </c>
      <c r="G1286" s="2">
        <v>4</v>
      </c>
      <c r="H1286" s="2">
        <f>Tabla_Items_Con_Existencia[[#This Row],[COSTO]]*Tabla_Items_Con_Existencia[[#This Row],[EXISTENCIA]]</f>
        <v>51.923999999999999</v>
      </c>
      <c r="I1286" s="1">
        <f>IF(ISERROR(MATCH(Tabla_Items_Con_Existencia[[#This Row],[CODIGO]],Tabla_Items_Activos[CODIGO],0)),0,1)</f>
        <v>0</v>
      </c>
    </row>
    <row r="1287" spans="1:9">
      <c r="A1287" s="2" t="s">
        <v>6760</v>
      </c>
      <c r="B1287" s="2" t="s">
        <v>612</v>
      </c>
      <c r="C1287" s="2" t="s">
        <v>2100</v>
      </c>
      <c r="D1287" s="2" t="s">
        <v>5186</v>
      </c>
      <c r="E1287" s="2" t="s">
        <v>5159</v>
      </c>
      <c r="F1287" s="2">
        <v>2.5499999999999998</v>
      </c>
      <c r="G1287" s="2">
        <v>5</v>
      </c>
      <c r="H1287" s="2">
        <f>Tabla_Items_Con_Existencia[[#This Row],[COSTO]]*Tabla_Items_Con_Existencia[[#This Row],[EXISTENCIA]]</f>
        <v>12.75</v>
      </c>
      <c r="I1287" s="1">
        <f>IF(ISERROR(MATCH(Tabla_Items_Con_Existencia[[#This Row],[CODIGO]],Tabla_Items_Activos[CODIGO],0)),0,1)</f>
        <v>0</v>
      </c>
    </row>
    <row r="1288" spans="1:9">
      <c r="A1288" s="2" t="s">
        <v>6760</v>
      </c>
      <c r="B1288" s="2" t="s">
        <v>2101</v>
      </c>
      <c r="C1288" s="2" t="s">
        <v>2102</v>
      </c>
      <c r="D1288" s="2" t="s">
        <v>5186</v>
      </c>
      <c r="E1288" s="2" t="s">
        <v>5159</v>
      </c>
      <c r="F1288" s="2">
        <v>1.34</v>
      </c>
      <c r="G1288" s="2">
        <v>1</v>
      </c>
      <c r="H1288" s="2">
        <f>Tabla_Items_Con_Existencia[[#This Row],[COSTO]]*Tabla_Items_Con_Existencia[[#This Row],[EXISTENCIA]]</f>
        <v>1.34</v>
      </c>
      <c r="I1288" s="1">
        <f>IF(ISERROR(MATCH(Tabla_Items_Con_Existencia[[#This Row],[CODIGO]],Tabla_Items_Activos[CODIGO],0)),0,1)</f>
        <v>0</v>
      </c>
    </row>
    <row r="1289" spans="1:9">
      <c r="A1289" s="2" t="s">
        <v>6760</v>
      </c>
      <c r="B1289" s="2" t="s">
        <v>2103</v>
      </c>
      <c r="C1289" s="2" t="s">
        <v>2104</v>
      </c>
      <c r="D1289" s="2" t="s">
        <v>5186</v>
      </c>
      <c r="E1289" s="2" t="s">
        <v>5159</v>
      </c>
      <c r="F1289" s="2">
        <v>0</v>
      </c>
      <c r="G1289" s="2">
        <v>1</v>
      </c>
      <c r="H1289" s="2">
        <f>Tabla_Items_Con_Existencia[[#This Row],[COSTO]]*Tabla_Items_Con_Existencia[[#This Row],[EXISTENCIA]]</f>
        <v>0</v>
      </c>
      <c r="I1289" s="1">
        <f>IF(ISERROR(MATCH(Tabla_Items_Con_Existencia[[#This Row],[CODIGO]],Tabla_Items_Activos[CODIGO],0)),0,1)</f>
        <v>0</v>
      </c>
    </row>
    <row r="1290" spans="1:9">
      <c r="A1290" s="2" t="s">
        <v>6760</v>
      </c>
      <c r="B1290" s="2" t="s">
        <v>6590</v>
      </c>
      <c r="C1290" s="2" t="s">
        <v>4539</v>
      </c>
      <c r="D1290" s="2" t="s">
        <v>5186</v>
      </c>
      <c r="E1290" s="2" t="s">
        <v>5159</v>
      </c>
      <c r="F1290" s="2">
        <v>2.4940000000000002</v>
      </c>
      <c r="G1290" s="2">
        <v>5</v>
      </c>
      <c r="H1290" s="2">
        <f>Tabla_Items_Con_Existencia[[#This Row],[COSTO]]*Tabla_Items_Con_Existencia[[#This Row],[EXISTENCIA]]</f>
        <v>12.47</v>
      </c>
      <c r="I1290" s="1">
        <f>IF(ISERROR(MATCH(Tabla_Items_Con_Existencia[[#This Row],[CODIGO]],Tabla_Items_Activos[CODIGO],0)),0,1)</f>
        <v>0</v>
      </c>
    </row>
    <row r="1291" spans="1:9">
      <c r="A1291" s="2" t="s">
        <v>6760</v>
      </c>
      <c r="B1291" s="2" t="s">
        <v>6591</v>
      </c>
      <c r="C1291" s="2" t="s">
        <v>4541</v>
      </c>
      <c r="D1291" s="2" t="s">
        <v>5186</v>
      </c>
      <c r="E1291" s="2" t="s">
        <v>5159</v>
      </c>
      <c r="F1291" s="2">
        <v>2.173</v>
      </c>
      <c r="G1291" s="2">
        <v>4</v>
      </c>
      <c r="H1291" s="2">
        <f>Tabla_Items_Con_Existencia[[#This Row],[COSTO]]*Tabla_Items_Con_Existencia[[#This Row],[EXISTENCIA]]</f>
        <v>8.6920000000000002</v>
      </c>
      <c r="I1291" s="1">
        <f>IF(ISERROR(MATCH(Tabla_Items_Con_Existencia[[#This Row],[CODIGO]],Tabla_Items_Activos[CODIGO],0)),0,1)</f>
        <v>0</v>
      </c>
    </row>
    <row r="1292" spans="1:9">
      <c r="A1292" s="2" t="s">
        <v>6760</v>
      </c>
      <c r="B1292" s="2" t="s">
        <v>2105</v>
      </c>
      <c r="C1292" s="2" t="s">
        <v>2106</v>
      </c>
      <c r="D1292" s="2" t="s">
        <v>5186</v>
      </c>
      <c r="E1292" s="2" t="s">
        <v>5159</v>
      </c>
      <c r="F1292" s="2">
        <v>1.29</v>
      </c>
      <c r="G1292" s="2">
        <v>10</v>
      </c>
      <c r="H1292" s="2">
        <f>Tabla_Items_Con_Existencia[[#This Row],[COSTO]]*Tabla_Items_Con_Existencia[[#This Row],[EXISTENCIA]]</f>
        <v>12.9</v>
      </c>
      <c r="I1292" s="1">
        <f>IF(ISERROR(MATCH(Tabla_Items_Con_Existencia[[#This Row],[CODIGO]],Tabla_Items_Activos[CODIGO],0)),0,1)</f>
        <v>0</v>
      </c>
    </row>
    <row r="1293" spans="1:9">
      <c r="A1293" s="2" t="s">
        <v>6760</v>
      </c>
      <c r="B1293" s="2" t="s">
        <v>2107</v>
      </c>
      <c r="C1293" s="2" t="s">
        <v>2108</v>
      </c>
      <c r="D1293" s="2" t="s">
        <v>5186</v>
      </c>
      <c r="E1293" s="2" t="s">
        <v>5159</v>
      </c>
      <c r="F1293" s="2">
        <v>1.00543158</v>
      </c>
      <c r="G1293" s="2">
        <v>9</v>
      </c>
      <c r="H1293" s="2">
        <f>Tabla_Items_Con_Existencia[[#This Row],[COSTO]]*Tabla_Items_Con_Existencia[[#This Row],[EXISTENCIA]]</f>
        <v>9.0488842199999997</v>
      </c>
      <c r="I1293" s="1">
        <f>IF(ISERROR(MATCH(Tabla_Items_Con_Existencia[[#This Row],[CODIGO]],Tabla_Items_Activos[CODIGO],0)),0,1)</f>
        <v>0</v>
      </c>
    </row>
    <row r="1294" spans="1:9">
      <c r="A1294" s="2" t="s">
        <v>6761</v>
      </c>
      <c r="B1294" s="2" t="s">
        <v>2107</v>
      </c>
      <c r="C1294" s="2" t="s">
        <v>2108</v>
      </c>
      <c r="D1294" s="2" t="s">
        <v>5186</v>
      </c>
      <c r="E1294" s="2" t="s">
        <v>5159</v>
      </c>
      <c r="F1294" s="2">
        <v>1.00543158</v>
      </c>
      <c r="G1294" s="2">
        <v>9</v>
      </c>
      <c r="H1294" s="2">
        <f>Tabla_Items_Con_Existencia[[#This Row],[COSTO]]*Tabla_Items_Con_Existencia[[#This Row],[EXISTENCIA]]</f>
        <v>9.0488842199999997</v>
      </c>
      <c r="I1294" s="1">
        <f>IF(ISERROR(MATCH(Tabla_Items_Con_Existencia[[#This Row],[CODIGO]],Tabla_Items_Activos[CODIGO],0)),0,1)</f>
        <v>0</v>
      </c>
    </row>
    <row r="1295" spans="1:9">
      <c r="A1295" s="2" t="s">
        <v>6760</v>
      </c>
      <c r="B1295" s="2" t="s">
        <v>613</v>
      </c>
      <c r="C1295" s="2" t="s">
        <v>2109</v>
      </c>
      <c r="D1295" s="2" t="s">
        <v>5187</v>
      </c>
      <c r="E1295" s="2" t="s">
        <v>5159</v>
      </c>
      <c r="F1295" s="2">
        <v>3.01</v>
      </c>
      <c r="G1295" s="2">
        <v>2</v>
      </c>
      <c r="H1295" s="2">
        <f>Tabla_Items_Con_Existencia[[#This Row],[COSTO]]*Tabla_Items_Con_Existencia[[#This Row],[EXISTENCIA]]</f>
        <v>6.02</v>
      </c>
      <c r="I1295" s="1">
        <f>IF(ISERROR(MATCH(Tabla_Items_Con_Existencia[[#This Row],[CODIGO]],Tabla_Items_Activos[CODIGO],0)),0,1)</f>
        <v>0</v>
      </c>
    </row>
    <row r="1296" spans="1:9">
      <c r="A1296" s="2" t="s">
        <v>6760</v>
      </c>
      <c r="B1296" s="2" t="s">
        <v>2110</v>
      </c>
      <c r="C1296" s="2" t="s">
        <v>2111</v>
      </c>
      <c r="D1296" s="2" t="s">
        <v>5186</v>
      </c>
      <c r="E1296" s="2" t="s">
        <v>5159</v>
      </c>
      <c r="F1296" s="2">
        <v>12.13</v>
      </c>
      <c r="G1296" s="2">
        <v>1</v>
      </c>
      <c r="H1296" s="2">
        <f>Tabla_Items_Con_Existencia[[#This Row],[COSTO]]*Tabla_Items_Con_Existencia[[#This Row],[EXISTENCIA]]</f>
        <v>12.13</v>
      </c>
      <c r="I1296" s="1">
        <f>IF(ISERROR(MATCH(Tabla_Items_Con_Existencia[[#This Row],[CODIGO]],Tabla_Items_Activos[CODIGO],0)),0,1)</f>
        <v>0</v>
      </c>
    </row>
    <row r="1297" spans="1:9">
      <c r="A1297" s="2" t="s">
        <v>6760</v>
      </c>
      <c r="B1297" s="2" t="s">
        <v>7239</v>
      </c>
      <c r="C1297" s="2" t="s">
        <v>7240</v>
      </c>
      <c r="D1297" s="2" t="s">
        <v>5186</v>
      </c>
      <c r="E1297" s="2" t="s">
        <v>5159</v>
      </c>
      <c r="F1297" s="2">
        <v>0</v>
      </c>
      <c r="G1297" s="2">
        <v>2</v>
      </c>
      <c r="H1297" s="2">
        <f>Tabla_Items_Con_Existencia[[#This Row],[COSTO]]*Tabla_Items_Con_Existencia[[#This Row],[EXISTENCIA]]</f>
        <v>0</v>
      </c>
      <c r="I1297" s="1">
        <f>IF(ISERROR(MATCH(Tabla_Items_Con_Existencia[[#This Row],[CODIGO]],Tabla_Items_Activos[CODIGO],0)),0,1)</f>
        <v>0</v>
      </c>
    </row>
    <row r="1298" spans="1:9">
      <c r="A1298" s="2" t="s">
        <v>6760</v>
      </c>
      <c r="B1298" s="2" t="s">
        <v>614</v>
      </c>
      <c r="C1298" s="2" t="s">
        <v>2112</v>
      </c>
      <c r="D1298" s="2" t="s">
        <v>5160</v>
      </c>
      <c r="E1298" s="2" t="s">
        <v>5159</v>
      </c>
      <c r="F1298" s="2">
        <v>366.85865555999999</v>
      </c>
      <c r="G1298" s="2">
        <v>49</v>
      </c>
      <c r="H1298" s="2">
        <f>Tabla_Items_Con_Existencia[[#This Row],[COSTO]]*Tabla_Items_Con_Existencia[[#This Row],[EXISTENCIA]]</f>
        <v>17976.074122440001</v>
      </c>
      <c r="I1298" s="1">
        <f>IF(ISERROR(MATCH(Tabla_Items_Con_Existencia[[#This Row],[CODIGO]],Tabla_Items_Activos[CODIGO],0)),0,1)</f>
        <v>0</v>
      </c>
    </row>
    <row r="1299" spans="1:9">
      <c r="A1299" s="2" t="s">
        <v>6761</v>
      </c>
      <c r="B1299" s="2" t="s">
        <v>614</v>
      </c>
      <c r="C1299" s="2" t="s">
        <v>2112</v>
      </c>
      <c r="D1299" s="2" t="s">
        <v>5160</v>
      </c>
      <c r="E1299" s="2" t="s">
        <v>5159</v>
      </c>
      <c r="F1299" s="2">
        <v>366.85865555999999</v>
      </c>
      <c r="G1299" s="2">
        <v>49</v>
      </c>
      <c r="H1299" s="2">
        <f>Tabla_Items_Con_Existencia[[#This Row],[COSTO]]*Tabla_Items_Con_Existencia[[#This Row],[EXISTENCIA]]</f>
        <v>17976.074122440001</v>
      </c>
      <c r="I1299" s="1">
        <f>IF(ISERROR(MATCH(Tabla_Items_Con_Existencia[[#This Row],[CODIGO]],Tabla_Items_Activos[CODIGO],0)),0,1)</f>
        <v>0</v>
      </c>
    </row>
    <row r="1300" spans="1:9">
      <c r="A1300" s="2" t="s">
        <v>6759</v>
      </c>
      <c r="B1300" s="2" t="s">
        <v>614</v>
      </c>
      <c r="C1300" s="2" t="s">
        <v>2112</v>
      </c>
      <c r="D1300" s="2" t="s">
        <v>5160</v>
      </c>
      <c r="E1300" s="2" t="s">
        <v>5159</v>
      </c>
      <c r="F1300" s="2">
        <v>366.85865555999999</v>
      </c>
      <c r="G1300" s="2">
        <v>49</v>
      </c>
      <c r="H1300" s="2">
        <f>Tabla_Items_Con_Existencia[[#This Row],[COSTO]]*Tabla_Items_Con_Existencia[[#This Row],[EXISTENCIA]]</f>
        <v>17976.074122440001</v>
      </c>
      <c r="I1300" s="1">
        <f>IF(ISERROR(MATCH(Tabla_Items_Con_Existencia[[#This Row],[CODIGO]],Tabla_Items_Activos[CODIGO],0)),0,1)</f>
        <v>0</v>
      </c>
    </row>
    <row r="1301" spans="1:9">
      <c r="A1301" s="2" t="s">
        <v>6760</v>
      </c>
      <c r="B1301" s="2" t="s">
        <v>615</v>
      </c>
      <c r="C1301" s="2" t="s">
        <v>2113</v>
      </c>
      <c r="D1301" s="2" t="s">
        <v>5158</v>
      </c>
      <c r="E1301" s="2" t="s">
        <v>5159</v>
      </c>
      <c r="F1301" s="2">
        <v>14.85</v>
      </c>
      <c r="G1301" s="2">
        <v>2</v>
      </c>
      <c r="H1301" s="2">
        <f>Tabla_Items_Con_Existencia[[#This Row],[COSTO]]*Tabla_Items_Con_Existencia[[#This Row],[EXISTENCIA]]</f>
        <v>29.7</v>
      </c>
      <c r="I1301" s="1">
        <f>IF(ISERROR(MATCH(Tabla_Items_Con_Existencia[[#This Row],[CODIGO]],Tabla_Items_Activos[CODIGO],0)),0,1)</f>
        <v>0</v>
      </c>
    </row>
    <row r="1302" spans="1:9">
      <c r="A1302" s="2" t="s">
        <v>6760</v>
      </c>
      <c r="B1302" s="2" t="s">
        <v>6592</v>
      </c>
      <c r="C1302" s="2" t="s">
        <v>4440</v>
      </c>
      <c r="D1302" s="2" t="s">
        <v>5158</v>
      </c>
      <c r="E1302" s="2" t="s">
        <v>5159</v>
      </c>
      <c r="F1302" s="2">
        <v>1.484</v>
      </c>
      <c r="G1302" s="2">
        <v>4</v>
      </c>
      <c r="H1302" s="2">
        <f>Tabla_Items_Con_Existencia[[#This Row],[COSTO]]*Tabla_Items_Con_Existencia[[#This Row],[EXISTENCIA]]</f>
        <v>5.9359999999999999</v>
      </c>
      <c r="I1302" s="1">
        <f>IF(ISERROR(MATCH(Tabla_Items_Con_Existencia[[#This Row],[CODIGO]],Tabla_Items_Activos[CODIGO],0)),0,1)</f>
        <v>0</v>
      </c>
    </row>
    <row r="1303" spans="1:9">
      <c r="A1303" s="2" t="s">
        <v>6760</v>
      </c>
      <c r="B1303" s="2" t="s">
        <v>616</v>
      </c>
      <c r="C1303" s="2" t="s">
        <v>6308</v>
      </c>
      <c r="D1303" s="2" t="s">
        <v>5186</v>
      </c>
      <c r="E1303" s="2" t="s">
        <v>5159</v>
      </c>
      <c r="F1303" s="2">
        <v>1.98</v>
      </c>
      <c r="G1303" s="2">
        <v>4</v>
      </c>
      <c r="H1303" s="2">
        <f>Tabla_Items_Con_Existencia[[#This Row],[COSTO]]*Tabla_Items_Con_Existencia[[#This Row],[EXISTENCIA]]</f>
        <v>7.92</v>
      </c>
      <c r="I1303" s="1">
        <f>IF(ISERROR(MATCH(Tabla_Items_Con_Existencia[[#This Row],[CODIGO]],Tabla_Items_Activos[CODIGO],0)),0,1)</f>
        <v>0</v>
      </c>
    </row>
    <row r="1304" spans="1:9">
      <c r="A1304" s="2" t="s">
        <v>6760</v>
      </c>
      <c r="B1304" s="2" t="s">
        <v>6593</v>
      </c>
      <c r="C1304" s="2" t="s">
        <v>6594</v>
      </c>
      <c r="D1304" s="2" t="s">
        <v>5158</v>
      </c>
      <c r="E1304" s="2" t="s">
        <v>5159</v>
      </c>
      <c r="F1304" s="2">
        <v>1.97</v>
      </c>
      <c r="G1304" s="2">
        <v>2</v>
      </c>
      <c r="H1304" s="2">
        <f>Tabla_Items_Con_Existencia[[#This Row],[COSTO]]*Tabla_Items_Con_Existencia[[#This Row],[EXISTENCIA]]</f>
        <v>3.94</v>
      </c>
      <c r="I1304" s="1">
        <f>IF(ISERROR(MATCH(Tabla_Items_Con_Existencia[[#This Row],[CODIGO]],Tabla_Items_Activos[CODIGO],0)),0,1)</f>
        <v>0</v>
      </c>
    </row>
    <row r="1305" spans="1:9">
      <c r="A1305" s="2" t="s">
        <v>6760</v>
      </c>
      <c r="B1305" s="2" t="s">
        <v>617</v>
      </c>
      <c r="C1305" s="2" t="s">
        <v>2115</v>
      </c>
      <c r="D1305" s="2" t="s">
        <v>5186</v>
      </c>
      <c r="E1305" s="2" t="s">
        <v>5159</v>
      </c>
      <c r="F1305" s="2">
        <v>1.07</v>
      </c>
      <c r="G1305" s="2">
        <v>5</v>
      </c>
      <c r="H1305" s="2">
        <f>Tabla_Items_Con_Existencia[[#This Row],[COSTO]]*Tabla_Items_Con_Existencia[[#This Row],[EXISTENCIA]]</f>
        <v>5.3500000000000005</v>
      </c>
      <c r="I1305" s="1">
        <f>IF(ISERROR(MATCH(Tabla_Items_Con_Existencia[[#This Row],[CODIGO]],Tabla_Items_Activos[CODIGO],0)),0,1)</f>
        <v>0</v>
      </c>
    </row>
    <row r="1306" spans="1:9">
      <c r="A1306" s="2" t="s">
        <v>6760</v>
      </c>
      <c r="B1306" s="2" t="s">
        <v>618</v>
      </c>
      <c r="C1306" s="2" t="s">
        <v>6333</v>
      </c>
      <c r="D1306" s="2" t="s">
        <v>5158</v>
      </c>
      <c r="E1306" s="2" t="s">
        <v>5159</v>
      </c>
      <c r="F1306" s="2">
        <v>2.0175999999999998</v>
      </c>
      <c r="G1306" s="2">
        <v>57</v>
      </c>
      <c r="H1306" s="2">
        <f>Tabla_Items_Con_Existencia[[#This Row],[COSTO]]*Tabla_Items_Con_Existencia[[#This Row],[EXISTENCIA]]</f>
        <v>115.00319999999999</v>
      </c>
      <c r="I1306" s="1">
        <f>IF(ISERROR(MATCH(Tabla_Items_Con_Existencia[[#This Row],[CODIGO]],Tabla_Items_Activos[CODIGO],0)),0,1)</f>
        <v>0</v>
      </c>
    </row>
    <row r="1307" spans="1:9">
      <c r="A1307" s="2" t="s">
        <v>6760</v>
      </c>
      <c r="B1307" s="2" t="s">
        <v>619</v>
      </c>
      <c r="C1307" s="2" t="s">
        <v>4389</v>
      </c>
      <c r="D1307" s="2" t="s">
        <v>5158</v>
      </c>
      <c r="E1307" s="2" t="s">
        <v>5159</v>
      </c>
      <c r="F1307" s="2">
        <v>1.3513999999999999</v>
      </c>
      <c r="G1307" s="2">
        <v>30</v>
      </c>
      <c r="H1307" s="2">
        <f>Tabla_Items_Con_Existencia[[#This Row],[COSTO]]*Tabla_Items_Con_Existencia[[#This Row],[EXISTENCIA]]</f>
        <v>40.542000000000002</v>
      </c>
      <c r="I1307" s="1">
        <f>IF(ISERROR(MATCH(Tabla_Items_Con_Existencia[[#This Row],[CODIGO]],Tabla_Items_Activos[CODIGO],0)),0,1)</f>
        <v>0</v>
      </c>
    </row>
    <row r="1308" spans="1:9">
      <c r="A1308" s="2" t="s">
        <v>6761</v>
      </c>
      <c r="B1308" s="2" t="s">
        <v>6595</v>
      </c>
      <c r="C1308" s="2" t="s">
        <v>4423</v>
      </c>
      <c r="D1308" s="2" t="s">
        <v>5158</v>
      </c>
      <c r="E1308" s="2" t="s">
        <v>5159</v>
      </c>
      <c r="F1308" s="2">
        <v>1.0827368399999999</v>
      </c>
      <c r="G1308" s="2">
        <v>123</v>
      </c>
      <c r="H1308" s="2">
        <f>Tabla_Items_Con_Existencia[[#This Row],[COSTO]]*Tabla_Items_Con_Existencia[[#This Row],[EXISTENCIA]]</f>
        <v>133.17663131999998</v>
      </c>
      <c r="I1308" s="1">
        <f>IF(ISERROR(MATCH(Tabla_Items_Con_Existencia[[#This Row],[CODIGO]],Tabla_Items_Activos[CODIGO],0)),0,1)</f>
        <v>0</v>
      </c>
    </row>
    <row r="1309" spans="1:9">
      <c r="A1309" s="2" t="s">
        <v>6760</v>
      </c>
      <c r="B1309" s="2" t="s">
        <v>6595</v>
      </c>
      <c r="C1309" s="2" t="s">
        <v>4423</v>
      </c>
      <c r="D1309" s="2" t="s">
        <v>5158</v>
      </c>
      <c r="E1309" s="2" t="s">
        <v>5159</v>
      </c>
      <c r="F1309" s="2">
        <v>1.0827368399999999</v>
      </c>
      <c r="G1309" s="2">
        <v>123</v>
      </c>
      <c r="H1309" s="2">
        <f>Tabla_Items_Con_Existencia[[#This Row],[COSTO]]*Tabla_Items_Con_Existencia[[#This Row],[EXISTENCIA]]</f>
        <v>133.17663131999998</v>
      </c>
      <c r="I1309" s="1">
        <f>IF(ISERROR(MATCH(Tabla_Items_Con_Existencia[[#This Row],[CODIGO]],Tabla_Items_Activos[CODIGO],0)),0,1)</f>
        <v>0</v>
      </c>
    </row>
    <row r="1310" spans="1:9">
      <c r="A1310" s="2" t="s">
        <v>6760</v>
      </c>
      <c r="B1310" s="2" t="s">
        <v>620</v>
      </c>
      <c r="C1310" s="2" t="s">
        <v>4446</v>
      </c>
      <c r="D1310" s="2" t="s">
        <v>5158</v>
      </c>
      <c r="E1310" s="2" t="s">
        <v>5159</v>
      </c>
      <c r="F1310" s="2">
        <v>6.2001999999999997</v>
      </c>
      <c r="G1310" s="2">
        <v>4</v>
      </c>
      <c r="H1310" s="2">
        <f>Tabla_Items_Con_Existencia[[#This Row],[COSTO]]*Tabla_Items_Con_Existencia[[#This Row],[EXISTENCIA]]</f>
        <v>24.800799999999999</v>
      </c>
      <c r="I1310" s="1">
        <f>IF(ISERROR(MATCH(Tabla_Items_Con_Existencia[[#This Row],[CODIGO]],Tabla_Items_Activos[CODIGO],0)),0,1)</f>
        <v>0</v>
      </c>
    </row>
    <row r="1311" spans="1:9">
      <c r="A1311" s="2" t="s">
        <v>6760</v>
      </c>
      <c r="B1311" s="2" t="s">
        <v>2118</v>
      </c>
      <c r="C1311" s="2" t="s">
        <v>2119</v>
      </c>
      <c r="D1311" s="2" t="s">
        <v>5158</v>
      </c>
      <c r="E1311" s="2" t="s">
        <v>5159</v>
      </c>
      <c r="F1311" s="2">
        <v>4.82</v>
      </c>
      <c r="G1311" s="2">
        <v>1</v>
      </c>
      <c r="H1311" s="2">
        <f>Tabla_Items_Con_Existencia[[#This Row],[COSTO]]*Tabla_Items_Con_Existencia[[#This Row],[EXISTENCIA]]</f>
        <v>4.82</v>
      </c>
      <c r="I1311" s="1">
        <f>IF(ISERROR(MATCH(Tabla_Items_Con_Existencia[[#This Row],[CODIGO]],Tabla_Items_Activos[CODIGO],0)),0,1)</f>
        <v>0</v>
      </c>
    </row>
    <row r="1312" spans="1:9">
      <c r="A1312" s="2" t="s">
        <v>6760</v>
      </c>
      <c r="B1312" s="2" t="s">
        <v>6596</v>
      </c>
      <c r="C1312" s="2" t="s">
        <v>6597</v>
      </c>
      <c r="D1312" s="2" t="s">
        <v>5187</v>
      </c>
      <c r="E1312" s="2" t="s">
        <v>5159</v>
      </c>
      <c r="F1312" s="2">
        <v>11.05</v>
      </c>
      <c r="G1312" s="2">
        <v>2</v>
      </c>
      <c r="H1312" s="2">
        <f>Tabla_Items_Con_Existencia[[#This Row],[COSTO]]*Tabla_Items_Con_Existencia[[#This Row],[EXISTENCIA]]</f>
        <v>22.1</v>
      </c>
      <c r="I1312" s="1">
        <f>IF(ISERROR(MATCH(Tabla_Items_Con_Existencia[[#This Row],[CODIGO]],Tabla_Items_Activos[CODIGO],0)),0,1)</f>
        <v>0</v>
      </c>
    </row>
    <row r="1313" spans="1:9">
      <c r="A1313" s="2" t="s">
        <v>6760</v>
      </c>
      <c r="B1313" s="2" t="s">
        <v>621</v>
      </c>
      <c r="C1313" s="2" t="s">
        <v>2120</v>
      </c>
      <c r="D1313" s="2" t="s">
        <v>5158</v>
      </c>
      <c r="E1313" s="2" t="s">
        <v>5159</v>
      </c>
      <c r="F1313" s="2">
        <v>8.4359999999999999</v>
      </c>
      <c r="G1313" s="2">
        <v>1</v>
      </c>
      <c r="H1313" s="2">
        <f>Tabla_Items_Con_Existencia[[#This Row],[COSTO]]*Tabla_Items_Con_Existencia[[#This Row],[EXISTENCIA]]</f>
        <v>8.4359999999999999</v>
      </c>
      <c r="I1313" s="1">
        <f>IF(ISERROR(MATCH(Tabla_Items_Con_Existencia[[#This Row],[CODIGO]],Tabla_Items_Activos[CODIGO],0)),0,1)</f>
        <v>0</v>
      </c>
    </row>
    <row r="1314" spans="1:9">
      <c r="A1314" s="2" t="s">
        <v>6760</v>
      </c>
      <c r="B1314" s="2" t="s">
        <v>622</v>
      </c>
      <c r="C1314" s="2" t="s">
        <v>2121</v>
      </c>
      <c r="D1314" s="2" t="s">
        <v>5158</v>
      </c>
      <c r="E1314" s="2" t="s">
        <v>5159</v>
      </c>
      <c r="F1314" s="2">
        <v>16.321899999999999</v>
      </c>
      <c r="G1314" s="2">
        <v>9</v>
      </c>
      <c r="H1314" s="2">
        <f>Tabla_Items_Con_Existencia[[#This Row],[COSTO]]*Tabla_Items_Con_Existencia[[#This Row],[EXISTENCIA]]</f>
        <v>146.89709999999999</v>
      </c>
      <c r="I1314" s="1">
        <f>IF(ISERROR(MATCH(Tabla_Items_Con_Existencia[[#This Row],[CODIGO]],Tabla_Items_Activos[CODIGO],0)),0,1)</f>
        <v>0</v>
      </c>
    </row>
    <row r="1315" spans="1:9">
      <c r="A1315" s="2" t="s">
        <v>6760</v>
      </c>
      <c r="B1315" s="2" t="s">
        <v>6598</v>
      </c>
      <c r="C1315" s="2" t="s">
        <v>6599</v>
      </c>
      <c r="D1315" s="2" t="s">
        <v>5158</v>
      </c>
      <c r="E1315" s="2" t="s">
        <v>5159</v>
      </c>
      <c r="F1315" s="2">
        <v>31.428000000000001</v>
      </c>
      <c r="G1315" s="2">
        <v>5</v>
      </c>
      <c r="H1315" s="2">
        <f>Tabla_Items_Con_Existencia[[#This Row],[COSTO]]*Tabla_Items_Con_Existencia[[#This Row],[EXISTENCIA]]</f>
        <v>157.14000000000001</v>
      </c>
      <c r="I1315" s="1">
        <f>IF(ISERROR(MATCH(Tabla_Items_Con_Existencia[[#This Row],[CODIGO]],Tabla_Items_Activos[CODIGO],0)),0,1)</f>
        <v>0</v>
      </c>
    </row>
    <row r="1316" spans="1:9">
      <c r="A1316" s="2" t="s">
        <v>6760</v>
      </c>
      <c r="B1316" s="2" t="s">
        <v>624</v>
      </c>
      <c r="C1316" s="2" t="s">
        <v>2123</v>
      </c>
      <c r="D1316" s="2" t="s">
        <v>5158</v>
      </c>
      <c r="E1316" s="2" t="s">
        <v>5159</v>
      </c>
      <c r="F1316" s="2">
        <v>17.916899999999998</v>
      </c>
      <c r="G1316" s="2">
        <v>17</v>
      </c>
      <c r="H1316" s="2">
        <f>Tabla_Items_Con_Existencia[[#This Row],[COSTO]]*Tabla_Items_Con_Existencia[[#This Row],[EXISTENCIA]]</f>
        <v>304.58729999999997</v>
      </c>
      <c r="I1316" s="1">
        <f>IF(ISERROR(MATCH(Tabla_Items_Con_Existencia[[#This Row],[CODIGO]],Tabla_Items_Activos[CODIGO],0)),0,1)</f>
        <v>0</v>
      </c>
    </row>
    <row r="1317" spans="1:9">
      <c r="A1317" s="2" t="s">
        <v>6760</v>
      </c>
      <c r="B1317" s="2" t="s">
        <v>2124</v>
      </c>
      <c r="C1317" s="2" t="s">
        <v>2125</v>
      </c>
      <c r="D1317" s="2" t="s">
        <v>5158</v>
      </c>
      <c r="E1317" s="2" t="s">
        <v>5159</v>
      </c>
      <c r="F1317" s="2">
        <v>17.639199999999999</v>
      </c>
      <c r="G1317" s="2">
        <v>5</v>
      </c>
      <c r="H1317" s="2">
        <f>Tabla_Items_Con_Existencia[[#This Row],[COSTO]]*Tabla_Items_Con_Existencia[[#This Row],[EXISTENCIA]]</f>
        <v>88.195999999999998</v>
      </c>
      <c r="I1317" s="1">
        <f>IF(ISERROR(MATCH(Tabla_Items_Con_Existencia[[#This Row],[CODIGO]],Tabla_Items_Activos[CODIGO],0)),0,1)</f>
        <v>0</v>
      </c>
    </row>
    <row r="1318" spans="1:9">
      <c r="A1318" s="2" t="s">
        <v>6760</v>
      </c>
      <c r="B1318" s="2" t="s">
        <v>626</v>
      </c>
      <c r="C1318" s="2" t="s">
        <v>2126</v>
      </c>
      <c r="D1318" s="2" t="s">
        <v>5158</v>
      </c>
      <c r="E1318" s="2" t="s">
        <v>5159</v>
      </c>
      <c r="F1318" s="2">
        <v>13.2796</v>
      </c>
      <c r="G1318" s="2">
        <v>33</v>
      </c>
      <c r="H1318" s="2">
        <f>Tabla_Items_Con_Existencia[[#This Row],[COSTO]]*Tabla_Items_Con_Existencia[[#This Row],[EXISTENCIA]]</f>
        <v>438.22680000000003</v>
      </c>
      <c r="I1318" s="1">
        <f>IF(ISERROR(MATCH(Tabla_Items_Con_Existencia[[#This Row],[CODIGO]],Tabla_Items_Activos[CODIGO],0)),0,1)</f>
        <v>0</v>
      </c>
    </row>
    <row r="1319" spans="1:9">
      <c r="A1319" s="2" t="s">
        <v>6760</v>
      </c>
      <c r="B1319" s="2" t="s">
        <v>627</v>
      </c>
      <c r="C1319" s="2" t="s">
        <v>2127</v>
      </c>
      <c r="D1319" s="2" t="s">
        <v>5187</v>
      </c>
      <c r="E1319" s="2" t="s">
        <v>5159</v>
      </c>
      <c r="F1319" s="2">
        <v>7.56</v>
      </c>
      <c r="G1319" s="2">
        <v>2</v>
      </c>
      <c r="H1319" s="2">
        <f>Tabla_Items_Con_Existencia[[#This Row],[COSTO]]*Tabla_Items_Con_Existencia[[#This Row],[EXISTENCIA]]</f>
        <v>15.12</v>
      </c>
      <c r="I1319" s="1">
        <f>IF(ISERROR(MATCH(Tabla_Items_Con_Existencia[[#This Row],[CODIGO]],Tabla_Items_Activos[CODIGO],0)),0,1)</f>
        <v>0</v>
      </c>
    </row>
    <row r="1320" spans="1:9">
      <c r="A1320" s="2" t="s">
        <v>6760</v>
      </c>
      <c r="B1320" s="2" t="s">
        <v>628</v>
      </c>
      <c r="C1320" s="2" t="s">
        <v>6334</v>
      </c>
      <c r="D1320" s="2" t="s">
        <v>5187</v>
      </c>
      <c r="E1320" s="2" t="s">
        <v>5159</v>
      </c>
      <c r="F1320" s="2">
        <v>27.21</v>
      </c>
      <c r="G1320" s="2">
        <v>1</v>
      </c>
      <c r="H1320" s="2">
        <f>Tabla_Items_Con_Existencia[[#This Row],[COSTO]]*Tabla_Items_Con_Existencia[[#This Row],[EXISTENCIA]]</f>
        <v>27.21</v>
      </c>
      <c r="I1320" s="1">
        <f>IF(ISERROR(MATCH(Tabla_Items_Con_Existencia[[#This Row],[CODIGO]],Tabla_Items_Activos[CODIGO],0)),0,1)</f>
        <v>0</v>
      </c>
    </row>
    <row r="1321" spans="1:9">
      <c r="A1321" s="2" t="s">
        <v>6760</v>
      </c>
      <c r="B1321" s="2" t="s">
        <v>629</v>
      </c>
      <c r="C1321" s="2" t="s">
        <v>6923</v>
      </c>
      <c r="D1321" s="2" t="s">
        <v>5158</v>
      </c>
      <c r="E1321" s="2" t="s">
        <v>5159</v>
      </c>
      <c r="F1321" s="2">
        <v>12.27861053</v>
      </c>
      <c r="G1321" s="2">
        <v>34</v>
      </c>
      <c r="H1321" s="2">
        <f>Tabla_Items_Con_Existencia[[#This Row],[COSTO]]*Tabla_Items_Con_Existencia[[#This Row],[EXISTENCIA]]</f>
        <v>417.47275802000001</v>
      </c>
      <c r="I1321" s="1">
        <f>IF(ISERROR(MATCH(Tabla_Items_Con_Existencia[[#This Row],[CODIGO]],Tabla_Items_Activos[CODIGO],0)),0,1)</f>
        <v>0</v>
      </c>
    </row>
    <row r="1322" spans="1:9">
      <c r="A1322" s="2" t="s">
        <v>6761</v>
      </c>
      <c r="B1322" s="2" t="s">
        <v>629</v>
      </c>
      <c r="C1322" s="2" t="s">
        <v>6923</v>
      </c>
      <c r="D1322" s="2" t="s">
        <v>5158</v>
      </c>
      <c r="E1322" s="2" t="s">
        <v>5159</v>
      </c>
      <c r="F1322" s="2">
        <v>12.27861053</v>
      </c>
      <c r="G1322" s="2">
        <v>34</v>
      </c>
      <c r="H1322" s="2">
        <f>Tabla_Items_Con_Existencia[[#This Row],[COSTO]]*Tabla_Items_Con_Existencia[[#This Row],[EXISTENCIA]]</f>
        <v>417.47275802000001</v>
      </c>
      <c r="I1322" s="1">
        <f>IF(ISERROR(MATCH(Tabla_Items_Con_Existencia[[#This Row],[CODIGO]],Tabla_Items_Activos[CODIGO],0)),0,1)</f>
        <v>0</v>
      </c>
    </row>
    <row r="1323" spans="1:9">
      <c r="A1323" s="2" t="s">
        <v>6760</v>
      </c>
      <c r="B1323" s="2" t="s">
        <v>630</v>
      </c>
      <c r="C1323" s="2" t="s">
        <v>2129</v>
      </c>
      <c r="D1323" s="2" t="s">
        <v>5158</v>
      </c>
      <c r="E1323" s="2" t="s">
        <v>5159</v>
      </c>
      <c r="F1323" s="2">
        <v>9.6856000000000009</v>
      </c>
      <c r="G1323" s="2">
        <v>6</v>
      </c>
      <c r="H1323" s="2">
        <f>Tabla_Items_Con_Existencia[[#This Row],[COSTO]]*Tabla_Items_Con_Existencia[[#This Row],[EXISTENCIA]]</f>
        <v>58.113600000000005</v>
      </c>
      <c r="I1323" s="1">
        <f>IF(ISERROR(MATCH(Tabla_Items_Con_Existencia[[#This Row],[CODIGO]],Tabla_Items_Activos[CODIGO],0)),0,1)</f>
        <v>0</v>
      </c>
    </row>
    <row r="1324" spans="1:9">
      <c r="A1324" s="2" t="s">
        <v>6760</v>
      </c>
      <c r="B1324" s="2" t="s">
        <v>631</v>
      </c>
      <c r="C1324" s="2" t="s">
        <v>5155</v>
      </c>
      <c r="D1324" s="2" t="s">
        <v>5158</v>
      </c>
      <c r="E1324" s="2" t="s">
        <v>5159</v>
      </c>
      <c r="F1324" s="2">
        <v>7.1102999999999996</v>
      </c>
      <c r="G1324" s="2">
        <v>9</v>
      </c>
      <c r="H1324" s="2">
        <f>Tabla_Items_Con_Existencia[[#This Row],[COSTO]]*Tabla_Items_Con_Existencia[[#This Row],[EXISTENCIA]]</f>
        <v>63.992699999999999</v>
      </c>
      <c r="I1324" s="1">
        <f>IF(ISERROR(MATCH(Tabla_Items_Con_Existencia[[#This Row],[CODIGO]],Tabla_Items_Activos[CODIGO],0)),0,1)</f>
        <v>0</v>
      </c>
    </row>
    <row r="1325" spans="1:9">
      <c r="A1325" s="2" t="s">
        <v>6760</v>
      </c>
      <c r="B1325" s="2" t="s">
        <v>632</v>
      </c>
      <c r="C1325" s="2" t="s">
        <v>5497</v>
      </c>
      <c r="D1325" s="2" t="s">
        <v>5158</v>
      </c>
      <c r="E1325" s="2" t="s">
        <v>5159</v>
      </c>
      <c r="F1325" s="2">
        <v>5.1746999999999996</v>
      </c>
      <c r="G1325" s="2">
        <v>5</v>
      </c>
      <c r="H1325" s="2">
        <f>Tabla_Items_Con_Existencia[[#This Row],[COSTO]]*Tabla_Items_Con_Existencia[[#This Row],[EXISTENCIA]]</f>
        <v>25.8735</v>
      </c>
      <c r="I1325" s="1">
        <f>IF(ISERROR(MATCH(Tabla_Items_Con_Existencia[[#This Row],[CODIGO]],Tabla_Items_Activos[CODIGO],0)),0,1)</f>
        <v>0</v>
      </c>
    </row>
    <row r="1326" spans="1:9">
      <c r="A1326" s="2" t="s">
        <v>6760</v>
      </c>
      <c r="B1326" s="2" t="s">
        <v>633</v>
      </c>
      <c r="C1326" s="2" t="s">
        <v>6924</v>
      </c>
      <c r="D1326" s="2" t="s">
        <v>5186</v>
      </c>
      <c r="E1326" s="2" t="s">
        <v>5159</v>
      </c>
      <c r="F1326" s="2">
        <v>7.6947000000000001</v>
      </c>
      <c r="G1326" s="2">
        <v>8</v>
      </c>
      <c r="H1326" s="2">
        <f>Tabla_Items_Con_Existencia[[#This Row],[COSTO]]*Tabla_Items_Con_Existencia[[#This Row],[EXISTENCIA]]</f>
        <v>61.557600000000001</v>
      </c>
      <c r="I1326" s="1">
        <f>IF(ISERROR(MATCH(Tabla_Items_Con_Existencia[[#This Row],[CODIGO]],Tabla_Items_Activos[CODIGO],0)),0,1)</f>
        <v>0</v>
      </c>
    </row>
    <row r="1327" spans="1:9">
      <c r="A1327" s="2" t="s">
        <v>6760</v>
      </c>
      <c r="B1327" s="2" t="s">
        <v>6600</v>
      </c>
      <c r="C1327" s="2" t="s">
        <v>4821</v>
      </c>
      <c r="D1327" s="2" t="s">
        <v>5158</v>
      </c>
      <c r="E1327" s="2" t="s">
        <v>5159</v>
      </c>
      <c r="F1327" s="2">
        <v>0.73399999999999999</v>
      </c>
      <c r="G1327" s="2">
        <v>6</v>
      </c>
      <c r="H1327" s="2">
        <f>Tabla_Items_Con_Existencia[[#This Row],[COSTO]]*Tabla_Items_Con_Existencia[[#This Row],[EXISTENCIA]]</f>
        <v>4.4039999999999999</v>
      </c>
      <c r="I1327" s="1">
        <f>IF(ISERROR(MATCH(Tabla_Items_Con_Existencia[[#This Row],[CODIGO]],Tabla_Items_Activos[CODIGO],0)),0,1)</f>
        <v>0</v>
      </c>
    </row>
    <row r="1328" spans="1:9">
      <c r="A1328" s="2" t="s">
        <v>6760</v>
      </c>
      <c r="B1328" s="2" t="s">
        <v>634</v>
      </c>
      <c r="C1328" s="2" t="s">
        <v>7331</v>
      </c>
      <c r="D1328" s="2" t="s">
        <v>5158</v>
      </c>
      <c r="E1328" s="2" t="s">
        <v>5159</v>
      </c>
      <c r="F1328" s="2">
        <v>6.6</v>
      </c>
      <c r="G1328" s="2">
        <v>1</v>
      </c>
      <c r="H1328" s="2">
        <f>Tabla_Items_Con_Existencia[[#This Row],[COSTO]]*Tabla_Items_Con_Existencia[[#This Row],[EXISTENCIA]]</f>
        <v>6.6</v>
      </c>
      <c r="I1328" s="1">
        <f>IF(ISERROR(MATCH(Tabla_Items_Con_Existencia[[#This Row],[CODIGO]],Tabla_Items_Activos[CODIGO],0)),0,1)</f>
        <v>0</v>
      </c>
    </row>
    <row r="1329" spans="1:9">
      <c r="A1329" s="2" t="s">
        <v>6760</v>
      </c>
      <c r="B1329" s="2" t="s">
        <v>635</v>
      </c>
      <c r="C1329" s="2" t="s">
        <v>2131</v>
      </c>
      <c r="D1329" s="2" t="s">
        <v>5158</v>
      </c>
      <c r="E1329" s="2" t="s">
        <v>5159</v>
      </c>
      <c r="F1329" s="2">
        <v>3.9305894700000001</v>
      </c>
      <c r="G1329" s="2">
        <v>7</v>
      </c>
      <c r="H1329" s="2">
        <f>Tabla_Items_Con_Existencia[[#This Row],[COSTO]]*Tabla_Items_Con_Existencia[[#This Row],[EXISTENCIA]]</f>
        <v>27.51412629</v>
      </c>
      <c r="I1329" s="1">
        <f>IF(ISERROR(MATCH(Tabla_Items_Con_Existencia[[#This Row],[CODIGO]],Tabla_Items_Activos[CODIGO],0)),0,1)</f>
        <v>0</v>
      </c>
    </row>
    <row r="1330" spans="1:9">
      <c r="A1330" s="2" t="s">
        <v>6761</v>
      </c>
      <c r="B1330" s="2" t="s">
        <v>635</v>
      </c>
      <c r="C1330" s="2" t="s">
        <v>2131</v>
      </c>
      <c r="D1330" s="2" t="s">
        <v>5158</v>
      </c>
      <c r="E1330" s="2" t="s">
        <v>5159</v>
      </c>
      <c r="F1330" s="2">
        <v>3.9305894700000001</v>
      </c>
      <c r="G1330" s="2">
        <v>7</v>
      </c>
      <c r="H1330" s="2">
        <f>Tabla_Items_Con_Existencia[[#This Row],[COSTO]]*Tabla_Items_Con_Existencia[[#This Row],[EXISTENCIA]]</f>
        <v>27.51412629</v>
      </c>
      <c r="I1330" s="1">
        <f>IF(ISERROR(MATCH(Tabla_Items_Con_Existencia[[#This Row],[CODIGO]],Tabla_Items_Activos[CODIGO],0)),0,1)</f>
        <v>0</v>
      </c>
    </row>
    <row r="1331" spans="1:9">
      <c r="A1331" s="2" t="s">
        <v>6760</v>
      </c>
      <c r="B1331" s="2" t="s">
        <v>636</v>
      </c>
      <c r="C1331" s="2" t="s">
        <v>2132</v>
      </c>
      <c r="D1331" s="2" t="s">
        <v>5158</v>
      </c>
      <c r="E1331" s="2" t="s">
        <v>5159</v>
      </c>
      <c r="F1331" s="2">
        <v>1.2067789499999999</v>
      </c>
      <c r="G1331" s="2">
        <v>19</v>
      </c>
      <c r="H1331" s="2">
        <f>Tabla_Items_Con_Existencia[[#This Row],[COSTO]]*Tabla_Items_Con_Existencia[[#This Row],[EXISTENCIA]]</f>
        <v>22.92880005</v>
      </c>
      <c r="I1331" s="1">
        <f>IF(ISERROR(MATCH(Tabla_Items_Con_Existencia[[#This Row],[CODIGO]],Tabla_Items_Activos[CODIGO],0)),0,1)</f>
        <v>0</v>
      </c>
    </row>
    <row r="1332" spans="1:9">
      <c r="A1332" s="2" t="s">
        <v>6761</v>
      </c>
      <c r="B1332" s="2" t="s">
        <v>636</v>
      </c>
      <c r="C1332" s="2" t="s">
        <v>2132</v>
      </c>
      <c r="D1332" s="2" t="s">
        <v>5158</v>
      </c>
      <c r="E1332" s="2" t="s">
        <v>5159</v>
      </c>
      <c r="F1332" s="2">
        <v>1.2067789499999999</v>
      </c>
      <c r="G1332" s="2">
        <v>19</v>
      </c>
      <c r="H1332" s="2">
        <f>Tabla_Items_Con_Existencia[[#This Row],[COSTO]]*Tabla_Items_Con_Existencia[[#This Row],[EXISTENCIA]]</f>
        <v>22.92880005</v>
      </c>
      <c r="I1332" s="1">
        <f>IF(ISERROR(MATCH(Tabla_Items_Con_Existencia[[#This Row],[CODIGO]],Tabla_Items_Activos[CODIGO],0)),0,1)</f>
        <v>0</v>
      </c>
    </row>
    <row r="1333" spans="1:9">
      <c r="A1333" s="2" t="s">
        <v>6760</v>
      </c>
      <c r="B1333" s="2" t="s">
        <v>637</v>
      </c>
      <c r="C1333" s="2" t="s">
        <v>2133</v>
      </c>
      <c r="D1333" s="2" t="s">
        <v>5158</v>
      </c>
      <c r="E1333" s="2" t="s">
        <v>5159</v>
      </c>
      <c r="F1333" s="2">
        <v>1.58</v>
      </c>
      <c r="G1333" s="2">
        <v>1</v>
      </c>
      <c r="H1333" s="2">
        <f>Tabla_Items_Con_Existencia[[#This Row],[COSTO]]*Tabla_Items_Con_Existencia[[#This Row],[EXISTENCIA]]</f>
        <v>1.58</v>
      </c>
      <c r="I1333" s="1">
        <f>IF(ISERROR(MATCH(Tabla_Items_Con_Existencia[[#This Row],[CODIGO]],Tabla_Items_Activos[CODIGO],0)),0,1)</f>
        <v>0</v>
      </c>
    </row>
    <row r="1334" spans="1:9">
      <c r="A1334" s="2" t="s">
        <v>6760</v>
      </c>
      <c r="B1334" s="2" t="s">
        <v>2134</v>
      </c>
      <c r="C1334" s="2" t="s">
        <v>2135</v>
      </c>
      <c r="D1334" s="2" t="s">
        <v>5158</v>
      </c>
      <c r="E1334" s="2" t="s">
        <v>5159</v>
      </c>
      <c r="F1334" s="2">
        <v>7.4886999999999997</v>
      </c>
      <c r="G1334" s="2">
        <v>8</v>
      </c>
      <c r="H1334" s="2">
        <f>Tabla_Items_Con_Existencia[[#This Row],[COSTO]]*Tabla_Items_Con_Existencia[[#This Row],[EXISTENCIA]]</f>
        <v>59.909599999999998</v>
      </c>
      <c r="I1334" s="1">
        <f>IF(ISERROR(MATCH(Tabla_Items_Con_Existencia[[#This Row],[CODIGO]],Tabla_Items_Activos[CODIGO],0)),0,1)</f>
        <v>0</v>
      </c>
    </row>
    <row r="1335" spans="1:9">
      <c r="A1335" s="2" t="s">
        <v>6760</v>
      </c>
      <c r="B1335" s="2" t="s">
        <v>2136</v>
      </c>
      <c r="C1335" s="2" t="s">
        <v>2137</v>
      </c>
      <c r="D1335" s="2" t="s">
        <v>5158</v>
      </c>
      <c r="E1335" s="2" t="s">
        <v>5159</v>
      </c>
      <c r="F1335" s="2">
        <v>5.7613000000000003</v>
      </c>
      <c r="G1335" s="2">
        <v>8</v>
      </c>
      <c r="H1335" s="2">
        <f>Tabla_Items_Con_Existencia[[#This Row],[COSTO]]*Tabla_Items_Con_Existencia[[#This Row],[EXISTENCIA]]</f>
        <v>46.090400000000002</v>
      </c>
      <c r="I1335" s="1">
        <f>IF(ISERROR(MATCH(Tabla_Items_Con_Existencia[[#This Row],[CODIGO]],Tabla_Items_Activos[CODIGO],0)),0,1)</f>
        <v>0</v>
      </c>
    </row>
    <row r="1336" spans="1:9">
      <c r="A1336" s="2" t="s">
        <v>6760</v>
      </c>
      <c r="B1336" s="2" t="s">
        <v>7241</v>
      </c>
      <c r="C1336" s="2" t="s">
        <v>7242</v>
      </c>
      <c r="D1336" s="2" t="s">
        <v>5158</v>
      </c>
      <c r="E1336" s="2" t="s">
        <v>5159</v>
      </c>
      <c r="F1336" s="2">
        <v>0</v>
      </c>
      <c r="G1336" s="2">
        <v>5</v>
      </c>
      <c r="H1336" s="2">
        <f>Tabla_Items_Con_Existencia[[#This Row],[COSTO]]*Tabla_Items_Con_Existencia[[#This Row],[EXISTENCIA]]</f>
        <v>0</v>
      </c>
      <c r="I1336" s="1">
        <f>IF(ISERROR(MATCH(Tabla_Items_Con_Existencia[[#This Row],[CODIGO]],Tabla_Items_Activos[CODIGO],0)),0,1)</f>
        <v>0</v>
      </c>
    </row>
    <row r="1337" spans="1:9">
      <c r="A1337" s="2" t="s">
        <v>6760</v>
      </c>
      <c r="B1337" s="2" t="s">
        <v>6601</v>
      </c>
      <c r="C1337" s="2" t="s">
        <v>6602</v>
      </c>
      <c r="D1337" s="2" t="s">
        <v>5158</v>
      </c>
      <c r="E1337" s="2" t="s">
        <v>5159</v>
      </c>
      <c r="F1337" s="2">
        <v>10.18428421</v>
      </c>
      <c r="G1337" s="2">
        <v>32</v>
      </c>
      <c r="H1337" s="2">
        <f>Tabla_Items_Con_Existencia[[#This Row],[COSTO]]*Tabla_Items_Con_Existencia[[#This Row],[EXISTENCIA]]</f>
        <v>325.89709471999998</v>
      </c>
      <c r="I1337" s="1">
        <f>IF(ISERROR(MATCH(Tabla_Items_Con_Existencia[[#This Row],[CODIGO]],Tabla_Items_Activos[CODIGO],0)),0,1)</f>
        <v>0</v>
      </c>
    </row>
    <row r="1338" spans="1:9">
      <c r="A1338" s="2" t="s">
        <v>6761</v>
      </c>
      <c r="B1338" s="2" t="s">
        <v>6601</v>
      </c>
      <c r="C1338" s="2" t="s">
        <v>6602</v>
      </c>
      <c r="D1338" s="2" t="s">
        <v>5158</v>
      </c>
      <c r="E1338" s="2" t="s">
        <v>5159</v>
      </c>
      <c r="F1338" s="2">
        <v>10.18428421</v>
      </c>
      <c r="G1338" s="2">
        <v>32</v>
      </c>
      <c r="H1338" s="2">
        <f>Tabla_Items_Con_Existencia[[#This Row],[COSTO]]*Tabla_Items_Con_Existencia[[#This Row],[EXISTENCIA]]</f>
        <v>325.89709471999998</v>
      </c>
      <c r="I1338" s="1">
        <f>IF(ISERROR(MATCH(Tabla_Items_Con_Existencia[[#This Row],[CODIGO]],Tabla_Items_Activos[CODIGO],0)),0,1)</f>
        <v>0</v>
      </c>
    </row>
    <row r="1339" spans="1:9">
      <c r="A1339" s="2" t="s">
        <v>6760</v>
      </c>
      <c r="B1339" s="2" t="s">
        <v>638</v>
      </c>
      <c r="C1339" s="2" t="s">
        <v>2138</v>
      </c>
      <c r="D1339" s="2" t="s">
        <v>5158</v>
      </c>
      <c r="E1339" s="2" t="s">
        <v>5159</v>
      </c>
      <c r="F1339" s="2">
        <v>1.69119474</v>
      </c>
      <c r="G1339" s="2">
        <v>167</v>
      </c>
      <c r="H1339" s="2">
        <f>Tabla_Items_Con_Existencia[[#This Row],[COSTO]]*Tabla_Items_Con_Existencia[[#This Row],[EXISTENCIA]]</f>
        <v>282.42952158000003</v>
      </c>
      <c r="I1339" s="1">
        <f>IF(ISERROR(MATCH(Tabla_Items_Con_Existencia[[#This Row],[CODIGO]],Tabla_Items_Activos[CODIGO],0)),0,1)</f>
        <v>0</v>
      </c>
    </row>
    <row r="1340" spans="1:9">
      <c r="A1340" s="2" t="s">
        <v>6761</v>
      </c>
      <c r="B1340" s="2" t="s">
        <v>638</v>
      </c>
      <c r="C1340" s="2" t="s">
        <v>2138</v>
      </c>
      <c r="D1340" s="2" t="s">
        <v>5158</v>
      </c>
      <c r="E1340" s="2" t="s">
        <v>5159</v>
      </c>
      <c r="F1340" s="2">
        <v>1.69119474</v>
      </c>
      <c r="G1340" s="2">
        <v>167</v>
      </c>
      <c r="H1340" s="2">
        <f>Tabla_Items_Con_Existencia[[#This Row],[COSTO]]*Tabla_Items_Con_Existencia[[#This Row],[EXISTENCIA]]</f>
        <v>282.42952158000003</v>
      </c>
      <c r="I1340" s="1">
        <f>IF(ISERROR(MATCH(Tabla_Items_Con_Existencia[[#This Row],[CODIGO]],Tabla_Items_Activos[CODIGO],0)),0,1)</f>
        <v>0</v>
      </c>
    </row>
    <row r="1341" spans="1:9">
      <c r="A1341" s="2" t="s">
        <v>6760</v>
      </c>
      <c r="B1341" s="2" t="s">
        <v>639</v>
      </c>
      <c r="C1341" s="2" t="s">
        <v>2139</v>
      </c>
      <c r="D1341" s="2" t="s">
        <v>5158</v>
      </c>
      <c r="E1341" s="2" t="s">
        <v>5159</v>
      </c>
      <c r="F1341" s="2">
        <v>4.194</v>
      </c>
      <c r="G1341" s="2">
        <v>5</v>
      </c>
      <c r="H1341" s="2">
        <f>Tabla_Items_Con_Existencia[[#This Row],[COSTO]]*Tabla_Items_Con_Existencia[[#This Row],[EXISTENCIA]]</f>
        <v>20.97</v>
      </c>
      <c r="I1341" s="1">
        <f>IF(ISERROR(MATCH(Tabla_Items_Con_Existencia[[#This Row],[CODIGO]],Tabla_Items_Activos[CODIGO],0)),0,1)</f>
        <v>0</v>
      </c>
    </row>
    <row r="1342" spans="1:9">
      <c r="A1342" s="2" t="s">
        <v>6760</v>
      </c>
      <c r="B1342" s="2" t="s">
        <v>2140</v>
      </c>
      <c r="C1342" s="2" t="s">
        <v>2141</v>
      </c>
      <c r="D1342" s="2" t="s">
        <v>5158</v>
      </c>
      <c r="E1342" s="2" t="s">
        <v>5159</v>
      </c>
      <c r="F1342" s="2">
        <v>0.6996</v>
      </c>
      <c r="G1342" s="2">
        <v>17</v>
      </c>
      <c r="H1342" s="2">
        <f>Tabla_Items_Con_Existencia[[#This Row],[COSTO]]*Tabla_Items_Con_Existencia[[#This Row],[EXISTENCIA]]</f>
        <v>11.8932</v>
      </c>
      <c r="I1342" s="1">
        <f>IF(ISERROR(MATCH(Tabla_Items_Con_Existencia[[#This Row],[CODIGO]],Tabla_Items_Activos[CODIGO],0)),0,1)</f>
        <v>0</v>
      </c>
    </row>
    <row r="1343" spans="1:9">
      <c r="A1343" s="2" t="s">
        <v>6760</v>
      </c>
      <c r="B1343" s="2" t="s">
        <v>6603</v>
      </c>
      <c r="C1343" s="2" t="s">
        <v>4717</v>
      </c>
      <c r="D1343" s="2" t="s">
        <v>5158</v>
      </c>
      <c r="E1343" s="2" t="s">
        <v>5159</v>
      </c>
      <c r="F1343" s="2">
        <v>11.37</v>
      </c>
      <c r="G1343" s="2">
        <v>26</v>
      </c>
      <c r="H1343" s="2">
        <f>Tabla_Items_Con_Existencia[[#This Row],[COSTO]]*Tabla_Items_Con_Existencia[[#This Row],[EXISTENCIA]]</f>
        <v>295.62</v>
      </c>
      <c r="I1343" s="1">
        <f>IF(ISERROR(MATCH(Tabla_Items_Con_Existencia[[#This Row],[CODIGO]],Tabla_Items_Activos[CODIGO],0)),0,1)</f>
        <v>0</v>
      </c>
    </row>
    <row r="1344" spans="1:9">
      <c r="A1344" s="2" t="s">
        <v>6760</v>
      </c>
      <c r="B1344" s="2" t="s">
        <v>6604</v>
      </c>
      <c r="C1344" s="2" t="s">
        <v>4379</v>
      </c>
      <c r="D1344" s="2" t="s">
        <v>5158</v>
      </c>
      <c r="E1344" s="2" t="s">
        <v>5159</v>
      </c>
      <c r="F1344" s="2">
        <v>4.1159999999999997</v>
      </c>
      <c r="G1344" s="2">
        <v>12</v>
      </c>
      <c r="H1344" s="2">
        <f>Tabla_Items_Con_Existencia[[#This Row],[COSTO]]*Tabla_Items_Con_Existencia[[#This Row],[EXISTENCIA]]</f>
        <v>49.391999999999996</v>
      </c>
      <c r="I1344" s="1">
        <f>IF(ISERROR(MATCH(Tabla_Items_Con_Existencia[[#This Row],[CODIGO]],Tabla_Items_Activos[CODIGO],0)),0,1)</f>
        <v>0</v>
      </c>
    </row>
    <row r="1345" spans="1:9">
      <c r="A1345" s="2" t="s">
        <v>6760</v>
      </c>
      <c r="B1345" s="2" t="s">
        <v>641</v>
      </c>
      <c r="C1345" s="2" t="s">
        <v>2142</v>
      </c>
      <c r="D1345" s="2" t="s">
        <v>5158</v>
      </c>
      <c r="E1345" s="2" t="s">
        <v>5159</v>
      </c>
      <c r="F1345" s="2">
        <v>3.1497000000000002</v>
      </c>
      <c r="G1345" s="2">
        <v>11</v>
      </c>
      <c r="H1345" s="2">
        <f>Tabla_Items_Con_Existencia[[#This Row],[COSTO]]*Tabla_Items_Con_Existencia[[#This Row],[EXISTENCIA]]</f>
        <v>34.646700000000003</v>
      </c>
      <c r="I1345" s="1">
        <f>IF(ISERROR(MATCH(Tabla_Items_Con_Existencia[[#This Row],[CODIGO]],Tabla_Items_Activos[CODIGO],0)),0,1)</f>
        <v>0</v>
      </c>
    </row>
    <row r="1346" spans="1:9">
      <c r="A1346" s="2" t="s">
        <v>6760</v>
      </c>
      <c r="B1346" s="2" t="s">
        <v>6605</v>
      </c>
      <c r="C1346" s="2" t="s">
        <v>6925</v>
      </c>
      <c r="D1346" s="2" t="s">
        <v>5158</v>
      </c>
      <c r="E1346" s="2" t="s">
        <v>5159</v>
      </c>
      <c r="F1346" s="2">
        <v>11.09885263</v>
      </c>
      <c r="G1346" s="2">
        <v>14</v>
      </c>
      <c r="H1346" s="2">
        <f>Tabla_Items_Con_Existencia[[#This Row],[COSTO]]*Tabla_Items_Con_Existencia[[#This Row],[EXISTENCIA]]</f>
        <v>155.38393682</v>
      </c>
      <c r="I1346" s="1">
        <f>IF(ISERROR(MATCH(Tabla_Items_Con_Existencia[[#This Row],[CODIGO]],Tabla_Items_Activos[CODIGO],0)),0,1)</f>
        <v>0</v>
      </c>
    </row>
    <row r="1347" spans="1:9">
      <c r="A1347" s="2" t="s">
        <v>6761</v>
      </c>
      <c r="B1347" s="2" t="s">
        <v>6605</v>
      </c>
      <c r="C1347" s="2" t="s">
        <v>6925</v>
      </c>
      <c r="D1347" s="2" t="s">
        <v>5158</v>
      </c>
      <c r="E1347" s="2" t="s">
        <v>5159</v>
      </c>
      <c r="F1347" s="2">
        <v>11.09885263</v>
      </c>
      <c r="G1347" s="2">
        <v>14</v>
      </c>
      <c r="H1347" s="2">
        <f>Tabla_Items_Con_Existencia[[#This Row],[COSTO]]*Tabla_Items_Con_Existencia[[#This Row],[EXISTENCIA]]</f>
        <v>155.38393682</v>
      </c>
      <c r="I1347" s="1">
        <f>IF(ISERROR(MATCH(Tabla_Items_Con_Existencia[[#This Row],[CODIGO]],Tabla_Items_Activos[CODIGO],0)),0,1)</f>
        <v>0</v>
      </c>
    </row>
    <row r="1348" spans="1:9">
      <c r="A1348" s="2" t="s">
        <v>6760</v>
      </c>
      <c r="B1348" s="2" t="s">
        <v>6606</v>
      </c>
      <c r="C1348" s="2" t="s">
        <v>4732</v>
      </c>
      <c r="D1348" s="2" t="s">
        <v>5158</v>
      </c>
      <c r="E1348" s="2" t="s">
        <v>5159</v>
      </c>
      <c r="F1348" s="2">
        <v>0.505</v>
      </c>
      <c r="G1348" s="2">
        <v>7</v>
      </c>
      <c r="H1348" s="2">
        <f>Tabla_Items_Con_Existencia[[#This Row],[COSTO]]*Tabla_Items_Con_Existencia[[#This Row],[EXISTENCIA]]</f>
        <v>3.5350000000000001</v>
      </c>
      <c r="I1348" s="1">
        <f>IF(ISERROR(MATCH(Tabla_Items_Con_Existencia[[#This Row],[CODIGO]],Tabla_Items_Activos[CODIGO],0)),0,1)</f>
        <v>0</v>
      </c>
    </row>
    <row r="1349" spans="1:9">
      <c r="A1349" s="2" t="s">
        <v>6760</v>
      </c>
      <c r="B1349" s="2" t="s">
        <v>6607</v>
      </c>
      <c r="C1349" s="2" t="s">
        <v>6926</v>
      </c>
      <c r="D1349" s="2" t="s">
        <v>5158</v>
      </c>
      <c r="E1349" s="2" t="s">
        <v>5159</v>
      </c>
      <c r="F1349" s="2">
        <v>1.44873684</v>
      </c>
      <c r="G1349" s="2">
        <v>67</v>
      </c>
      <c r="H1349" s="2">
        <f>Tabla_Items_Con_Existencia[[#This Row],[COSTO]]*Tabla_Items_Con_Existencia[[#This Row],[EXISTENCIA]]</f>
        <v>97.065368280000001</v>
      </c>
      <c r="I1349" s="1">
        <f>IF(ISERROR(MATCH(Tabla_Items_Con_Existencia[[#This Row],[CODIGO]],Tabla_Items_Activos[CODIGO],0)),0,1)</f>
        <v>0</v>
      </c>
    </row>
    <row r="1350" spans="1:9">
      <c r="A1350" s="2" t="s">
        <v>6761</v>
      </c>
      <c r="B1350" s="2" t="s">
        <v>6607</v>
      </c>
      <c r="C1350" s="2" t="s">
        <v>6926</v>
      </c>
      <c r="D1350" s="2" t="s">
        <v>5158</v>
      </c>
      <c r="E1350" s="2" t="s">
        <v>5159</v>
      </c>
      <c r="F1350" s="2">
        <v>1.44873684</v>
      </c>
      <c r="G1350" s="2">
        <v>67</v>
      </c>
      <c r="H1350" s="2">
        <f>Tabla_Items_Con_Existencia[[#This Row],[COSTO]]*Tabla_Items_Con_Existencia[[#This Row],[EXISTENCIA]]</f>
        <v>97.065368280000001</v>
      </c>
      <c r="I1350" s="1">
        <f>IF(ISERROR(MATCH(Tabla_Items_Con_Existencia[[#This Row],[CODIGO]],Tabla_Items_Activos[CODIGO],0)),0,1)</f>
        <v>0</v>
      </c>
    </row>
    <row r="1351" spans="1:9">
      <c r="A1351" s="2" t="s">
        <v>6760</v>
      </c>
      <c r="B1351" s="2" t="s">
        <v>7332</v>
      </c>
      <c r="C1351" s="2" t="s">
        <v>7333</v>
      </c>
      <c r="D1351" s="2" t="s">
        <v>5158</v>
      </c>
      <c r="E1351" s="2" t="s">
        <v>5159</v>
      </c>
      <c r="F1351" s="2">
        <v>2.9321000000000002</v>
      </c>
      <c r="G1351" s="2">
        <v>2</v>
      </c>
      <c r="H1351" s="2">
        <f>Tabla_Items_Con_Existencia[[#This Row],[COSTO]]*Tabla_Items_Con_Existencia[[#This Row],[EXISTENCIA]]</f>
        <v>5.8642000000000003</v>
      </c>
      <c r="I1351" s="1">
        <f>IF(ISERROR(MATCH(Tabla_Items_Con_Existencia[[#This Row],[CODIGO]],Tabla_Items_Activos[CODIGO],0)),0,1)</f>
        <v>0</v>
      </c>
    </row>
    <row r="1352" spans="1:9">
      <c r="A1352" s="2" t="s">
        <v>6760</v>
      </c>
      <c r="B1352" s="2" t="s">
        <v>2143</v>
      </c>
      <c r="C1352" s="2" t="s">
        <v>2144</v>
      </c>
      <c r="D1352" s="2" t="s">
        <v>5196</v>
      </c>
      <c r="E1352" s="2" t="s">
        <v>5159</v>
      </c>
      <c r="F1352" s="2">
        <v>356.21089999999998</v>
      </c>
      <c r="G1352" s="2">
        <v>1</v>
      </c>
      <c r="H1352" s="2">
        <f>Tabla_Items_Con_Existencia[[#This Row],[COSTO]]*Tabla_Items_Con_Existencia[[#This Row],[EXISTENCIA]]</f>
        <v>356.21089999999998</v>
      </c>
      <c r="I1352" s="1">
        <f>IF(ISERROR(MATCH(Tabla_Items_Con_Existencia[[#This Row],[CODIGO]],Tabla_Items_Activos[CODIGO],0)),0,1)</f>
        <v>0</v>
      </c>
    </row>
    <row r="1353" spans="1:9">
      <c r="A1353" s="2" t="s">
        <v>6761</v>
      </c>
      <c r="B1353" s="2" t="s">
        <v>643</v>
      </c>
      <c r="C1353" s="2" t="s">
        <v>2145</v>
      </c>
      <c r="D1353" s="2" t="s">
        <v>5196</v>
      </c>
      <c r="E1353" s="2" t="s">
        <v>5159</v>
      </c>
      <c r="F1353" s="2">
        <v>351.37263158000002</v>
      </c>
      <c r="G1353" s="2">
        <v>2</v>
      </c>
      <c r="H1353" s="2">
        <f>Tabla_Items_Con_Existencia[[#This Row],[COSTO]]*Tabla_Items_Con_Existencia[[#This Row],[EXISTENCIA]]</f>
        <v>702.74526316000004</v>
      </c>
      <c r="I1353" s="1">
        <f>IF(ISERROR(MATCH(Tabla_Items_Con_Existencia[[#This Row],[CODIGO]],Tabla_Items_Activos[CODIGO],0)),0,1)</f>
        <v>0</v>
      </c>
    </row>
    <row r="1354" spans="1:9">
      <c r="A1354" s="2" t="s">
        <v>6760</v>
      </c>
      <c r="B1354" s="2" t="s">
        <v>643</v>
      </c>
      <c r="C1354" s="2" t="s">
        <v>2145</v>
      </c>
      <c r="D1354" s="2" t="s">
        <v>5196</v>
      </c>
      <c r="E1354" s="2" t="s">
        <v>5159</v>
      </c>
      <c r="F1354" s="2">
        <v>351.37263158000002</v>
      </c>
      <c r="G1354" s="2">
        <v>2</v>
      </c>
      <c r="H1354" s="2">
        <f>Tabla_Items_Con_Existencia[[#This Row],[COSTO]]*Tabla_Items_Con_Existencia[[#This Row],[EXISTENCIA]]</f>
        <v>702.74526316000004</v>
      </c>
      <c r="I1354" s="1">
        <f>IF(ISERROR(MATCH(Tabla_Items_Con_Existencia[[#This Row],[CODIGO]],Tabla_Items_Activos[CODIGO],0)),0,1)</f>
        <v>0</v>
      </c>
    </row>
    <row r="1355" spans="1:9">
      <c r="A1355" s="2" t="s">
        <v>6760</v>
      </c>
      <c r="B1355" s="2" t="s">
        <v>644</v>
      </c>
      <c r="C1355" s="2" t="s">
        <v>2146</v>
      </c>
      <c r="D1355" s="2" t="s">
        <v>5196</v>
      </c>
      <c r="E1355" s="2" t="s">
        <v>5159</v>
      </c>
      <c r="F1355" s="2">
        <v>781.79074211</v>
      </c>
      <c r="G1355" s="2">
        <v>7</v>
      </c>
      <c r="H1355" s="2">
        <f>Tabla_Items_Con_Existencia[[#This Row],[COSTO]]*Tabla_Items_Con_Existencia[[#This Row],[EXISTENCIA]]</f>
        <v>5472.5351947700001</v>
      </c>
      <c r="I1355" s="1">
        <f>IF(ISERROR(MATCH(Tabla_Items_Con_Existencia[[#This Row],[CODIGO]],Tabla_Items_Activos[CODIGO],0)),0,1)</f>
        <v>0</v>
      </c>
    </row>
    <row r="1356" spans="1:9">
      <c r="A1356" s="2" t="s">
        <v>6761</v>
      </c>
      <c r="B1356" s="2" t="s">
        <v>644</v>
      </c>
      <c r="C1356" s="2" t="s">
        <v>2146</v>
      </c>
      <c r="D1356" s="2" t="s">
        <v>5196</v>
      </c>
      <c r="E1356" s="2" t="s">
        <v>5159</v>
      </c>
      <c r="F1356" s="2">
        <v>781.79074211</v>
      </c>
      <c r="G1356" s="2">
        <v>7</v>
      </c>
      <c r="H1356" s="2">
        <f>Tabla_Items_Con_Existencia[[#This Row],[COSTO]]*Tabla_Items_Con_Existencia[[#This Row],[EXISTENCIA]]</f>
        <v>5472.5351947700001</v>
      </c>
      <c r="I1356" s="1">
        <f>IF(ISERROR(MATCH(Tabla_Items_Con_Existencia[[#This Row],[CODIGO]],Tabla_Items_Activos[CODIGO],0)),0,1)</f>
        <v>0</v>
      </c>
    </row>
    <row r="1357" spans="1:9">
      <c r="A1357" s="2" t="s">
        <v>6760</v>
      </c>
      <c r="B1357" s="2" t="s">
        <v>2147</v>
      </c>
      <c r="C1357" s="2" t="s">
        <v>2148</v>
      </c>
      <c r="D1357" s="2" t="s">
        <v>5196</v>
      </c>
      <c r="E1357" s="2" t="s">
        <v>5159</v>
      </c>
      <c r="F1357" s="2">
        <v>189.58</v>
      </c>
      <c r="G1357" s="2">
        <v>2</v>
      </c>
      <c r="H1357" s="2">
        <f>Tabla_Items_Con_Existencia[[#This Row],[COSTO]]*Tabla_Items_Con_Existencia[[#This Row],[EXISTENCIA]]</f>
        <v>379.16</v>
      </c>
      <c r="I1357" s="1">
        <f>IF(ISERROR(MATCH(Tabla_Items_Con_Existencia[[#This Row],[CODIGO]],Tabla_Items_Activos[CODIGO],0)),0,1)</f>
        <v>0</v>
      </c>
    </row>
    <row r="1358" spans="1:9">
      <c r="A1358" s="2" t="s">
        <v>6761</v>
      </c>
      <c r="B1358" s="2" t="s">
        <v>645</v>
      </c>
      <c r="C1358" s="2" t="s">
        <v>2149</v>
      </c>
      <c r="D1358" s="2" t="s">
        <v>5196</v>
      </c>
      <c r="E1358" s="2" t="s">
        <v>5159</v>
      </c>
      <c r="F1358" s="2">
        <v>161.04743683999999</v>
      </c>
      <c r="G1358" s="2">
        <v>6</v>
      </c>
      <c r="H1358" s="2">
        <f>Tabla_Items_Con_Existencia[[#This Row],[COSTO]]*Tabla_Items_Con_Existencia[[#This Row],[EXISTENCIA]]</f>
        <v>966.28462103999993</v>
      </c>
      <c r="I1358" s="1">
        <f>IF(ISERROR(MATCH(Tabla_Items_Con_Existencia[[#This Row],[CODIGO]],Tabla_Items_Activos[CODIGO],0)),0,1)</f>
        <v>0</v>
      </c>
    </row>
    <row r="1359" spans="1:9">
      <c r="A1359" s="2" t="s">
        <v>6760</v>
      </c>
      <c r="B1359" s="2" t="s">
        <v>645</v>
      </c>
      <c r="C1359" s="2" t="s">
        <v>2149</v>
      </c>
      <c r="D1359" s="2" t="s">
        <v>5196</v>
      </c>
      <c r="E1359" s="2" t="s">
        <v>5159</v>
      </c>
      <c r="F1359" s="2">
        <v>161.04743683999999</v>
      </c>
      <c r="G1359" s="2">
        <v>6</v>
      </c>
      <c r="H1359" s="2">
        <f>Tabla_Items_Con_Existencia[[#This Row],[COSTO]]*Tabla_Items_Con_Existencia[[#This Row],[EXISTENCIA]]</f>
        <v>966.28462103999993</v>
      </c>
      <c r="I1359" s="1">
        <f>IF(ISERROR(MATCH(Tabla_Items_Con_Existencia[[#This Row],[CODIGO]],Tabla_Items_Activos[CODIGO],0)),0,1)</f>
        <v>0</v>
      </c>
    </row>
    <row r="1360" spans="1:9">
      <c r="A1360" s="2" t="s">
        <v>6760</v>
      </c>
      <c r="B1360" s="2" t="s">
        <v>6927</v>
      </c>
      <c r="C1360" s="2" t="s">
        <v>6928</v>
      </c>
      <c r="D1360" s="2" t="s">
        <v>5196</v>
      </c>
      <c r="E1360" s="2" t="s">
        <v>5159</v>
      </c>
      <c r="F1360" s="2">
        <v>0.79763158000000001</v>
      </c>
      <c r="G1360" s="2">
        <v>4</v>
      </c>
      <c r="H1360" s="2">
        <f>Tabla_Items_Con_Existencia[[#This Row],[COSTO]]*Tabla_Items_Con_Existencia[[#This Row],[EXISTENCIA]]</f>
        <v>3.19052632</v>
      </c>
      <c r="I1360" s="1">
        <f>IF(ISERROR(MATCH(Tabla_Items_Con_Existencia[[#This Row],[CODIGO]],Tabla_Items_Activos[CODIGO],0)),0,1)</f>
        <v>0</v>
      </c>
    </row>
    <row r="1361" spans="1:9">
      <c r="A1361" s="2" t="s">
        <v>6761</v>
      </c>
      <c r="B1361" s="2" t="s">
        <v>6927</v>
      </c>
      <c r="C1361" s="2" t="s">
        <v>6928</v>
      </c>
      <c r="D1361" s="2" t="s">
        <v>5196</v>
      </c>
      <c r="E1361" s="2" t="s">
        <v>5159</v>
      </c>
      <c r="F1361" s="2">
        <v>0.79763158000000001</v>
      </c>
      <c r="G1361" s="2">
        <v>4</v>
      </c>
      <c r="H1361" s="2">
        <f>Tabla_Items_Con_Existencia[[#This Row],[COSTO]]*Tabla_Items_Con_Existencia[[#This Row],[EXISTENCIA]]</f>
        <v>3.19052632</v>
      </c>
      <c r="I1361" s="1">
        <f>IF(ISERROR(MATCH(Tabla_Items_Con_Existencia[[#This Row],[CODIGO]],Tabla_Items_Activos[CODIGO],0)),0,1)</f>
        <v>0</v>
      </c>
    </row>
    <row r="1362" spans="1:9">
      <c r="A1362" s="2" t="s">
        <v>6760</v>
      </c>
      <c r="B1362" s="2" t="s">
        <v>646</v>
      </c>
      <c r="C1362" s="2" t="s">
        <v>2150</v>
      </c>
      <c r="D1362" s="2" t="s">
        <v>5196</v>
      </c>
      <c r="E1362" s="2" t="s">
        <v>5159</v>
      </c>
      <c r="F1362" s="2">
        <v>204.56578947</v>
      </c>
      <c r="G1362" s="2">
        <v>15</v>
      </c>
      <c r="H1362" s="2">
        <f>Tabla_Items_Con_Existencia[[#This Row],[COSTO]]*Tabla_Items_Con_Existencia[[#This Row],[EXISTENCIA]]</f>
        <v>3068.4868420500002</v>
      </c>
      <c r="I1362" s="1">
        <f>IF(ISERROR(MATCH(Tabla_Items_Con_Existencia[[#This Row],[CODIGO]],Tabla_Items_Activos[CODIGO],0)),0,1)</f>
        <v>0</v>
      </c>
    </row>
    <row r="1363" spans="1:9">
      <c r="A1363" s="2" t="s">
        <v>6761</v>
      </c>
      <c r="B1363" s="2" t="s">
        <v>646</v>
      </c>
      <c r="C1363" s="2" t="s">
        <v>2150</v>
      </c>
      <c r="D1363" s="2" t="s">
        <v>5196</v>
      </c>
      <c r="E1363" s="2" t="s">
        <v>5159</v>
      </c>
      <c r="F1363" s="2">
        <v>204.56578947</v>
      </c>
      <c r="G1363" s="2">
        <v>15</v>
      </c>
      <c r="H1363" s="2">
        <f>Tabla_Items_Con_Existencia[[#This Row],[COSTO]]*Tabla_Items_Con_Existencia[[#This Row],[EXISTENCIA]]</f>
        <v>3068.4868420500002</v>
      </c>
      <c r="I1363" s="1">
        <f>IF(ISERROR(MATCH(Tabla_Items_Con_Existencia[[#This Row],[CODIGO]],Tabla_Items_Activos[CODIGO],0)),0,1)</f>
        <v>0</v>
      </c>
    </row>
    <row r="1364" spans="1:9">
      <c r="A1364" s="2" t="s">
        <v>6761</v>
      </c>
      <c r="B1364" s="2" t="s">
        <v>647</v>
      </c>
      <c r="C1364" s="2" t="s">
        <v>2151</v>
      </c>
      <c r="D1364" s="2" t="s">
        <v>5196</v>
      </c>
      <c r="E1364" s="2" t="s">
        <v>5159</v>
      </c>
      <c r="F1364" s="2">
        <v>209.84315788999999</v>
      </c>
      <c r="G1364" s="2">
        <v>3</v>
      </c>
      <c r="H1364" s="2">
        <f>Tabla_Items_Con_Existencia[[#This Row],[COSTO]]*Tabla_Items_Con_Existencia[[#This Row],[EXISTENCIA]]</f>
        <v>629.52947367000002</v>
      </c>
      <c r="I1364" s="1">
        <f>IF(ISERROR(MATCH(Tabla_Items_Con_Existencia[[#This Row],[CODIGO]],Tabla_Items_Activos[CODIGO],0)),0,1)</f>
        <v>0</v>
      </c>
    </row>
    <row r="1365" spans="1:9">
      <c r="A1365" s="2" t="s">
        <v>6760</v>
      </c>
      <c r="B1365" s="2" t="s">
        <v>647</v>
      </c>
      <c r="C1365" s="2" t="s">
        <v>2151</v>
      </c>
      <c r="D1365" s="2" t="s">
        <v>5196</v>
      </c>
      <c r="E1365" s="2" t="s">
        <v>5159</v>
      </c>
      <c r="F1365" s="2">
        <v>209.84315788999999</v>
      </c>
      <c r="G1365" s="2">
        <v>3</v>
      </c>
      <c r="H1365" s="2">
        <f>Tabla_Items_Con_Existencia[[#This Row],[COSTO]]*Tabla_Items_Con_Existencia[[#This Row],[EXISTENCIA]]</f>
        <v>629.52947367000002</v>
      </c>
      <c r="I1365" s="1">
        <f>IF(ISERROR(MATCH(Tabla_Items_Con_Existencia[[#This Row],[CODIGO]],Tabla_Items_Activos[CODIGO],0)),0,1)</f>
        <v>0</v>
      </c>
    </row>
    <row r="1366" spans="1:9">
      <c r="A1366" s="2" t="s">
        <v>6760</v>
      </c>
      <c r="B1366" s="2" t="s">
        <v>5500</v>
      </c>
      <c r="C1366" s="2" t="s">
        <v>5501</v>
      </c>
      <c r="D1366" s="2" t="s">
        <v>5196</v>
      </c>
      <c r="E1366" s="2" t="s">
        <v>5159</v>
      </c>
      <c r="F1366" s="2">
        <v>257.1574</v>
      </c>
      <c r="G1366" s="2">
        <v>1</v>
      </c>
      <c r="H1366" s="2">
        <f>Tabla_Items_Con_Existencia[[#This Row],[COSTO]]*Tabla_Items_Con_Existencia[[#This Row],[EXISTENCIA]]</f>
        <v>257.1574</v>
      </c>
      <c r="I1366" s="1">
        <f>IF(ISERROR(MATCH(Tabla_Items_Con_Existencia[[#This Row],[CODIGO]],Tabla_Items_Activos[CODIGO],0)),0,1)</f>
        <v>0</v>
      </c>
    </row>
    <row r="1367" spans="1:9">
      <c r="A1367" s="2" t="s">
        <v>6760</v>
      </c>
      <c r="B1367" s="2" t="s">
        <v>648</v>
      </c>
      <c r="C1367" s="2" t="s">
        <v>7334</v>
      </c>
      <c r="D1367" s="2" t="s">
        <v>5196</v>
      </c>
      <c r="E1367" s="2" t="s">
        <v>5159</v>
      </c>
      <c r="F1367" s="2">
        <v>246.29739473999999</v>
      </c>
      <c r="G1367" s="2">
        <v>7</v>
      </c>
      <c r="H1367" s="2">
        <f>Tabla_Items_Con_Existencia[[#This Row],[COSTO]]*Tabla_Items_Con_Existencia[[#This Row],[EXISTENCIA]]</f>
        <v>1724.0817631799998</v>
      </c>
      <c r="I1367" s="1">
        <f>IF(ISERROR(MATCH(Tabla_Items_Con_Existencia[[#This Row],[CODIGO]],Tabla_Items_Activos[CODIGO],0)),0,1)</f>
        <v>0</v>
      </c>
    </row>
    <row r="1368" spans="1:9">
      <c r="A1368" s="2" t="s">
        <v>6761</v>
      </c>
      <c r="B1368" s="2" t="s">
        <v>648</v>
      </c>
      <c r="C1368" s="2" t="s">
        <v>7334</v>
      </c>
      <c r="D1368" s="2" t="s">
        <v>5196</v>
      </c>
      <c r="E1368" s="2" t="s">
        <v>5159</v>
      </c>
      <c r="F1368" s="2">
        <v>246.29739473999999</v>
      </c>
      <c r="G1368" s="2">
        <v>7</v>
      </c>
      <c r="H1368" s="2">
        <f>Tabla_Items_Con_Existencia[[#This Row],[COSTO]]*Tabla_Items_Con_Existencia[[#This Row],[EXISTENCIA]]</f>
        <v>1724.0817631799998</v>
      </c>
      <c r="I1368" s="1">
        <f>IF(ISERROR(MATCH(Tabla_Items_Con_Existencia[[#This Row],[CODIGO]],Tabla_Items_Activos[CODIGO],0)),0,1)</f>
        <v>0</v>
      </c>
    </row>
    <row r="1369" spans="1:9">
      <c r="A1369" s="2" t="s">
        <v>6760</v>
      </c>
      <c r="B1369" s="2" t="s">
        <v>650</v>
      </c>
      <c r="C1369" s="2" t="s">
        <v>2153</v>
      </c>
      <c r="D1369" s="2" t="s">
        <v>5196</v>
      </c>
      <c r="E1369" s="2" t="s">
        <v>5159</v>
      </c>
      <c r="F1369" s="2">
        <v>394.80832105000002</v>
      </c>
      <c r="G1369" s="2">
        <v>7</v>
      </c>
      <c r="H1369" s="2">
        <f>Tabla_Items_Con_Existencia[[#This Row],[COSTO]]*Tabla_Items_Con_Existencia[[#This Row],[EXISTENCIA]]</f>
        <v>2763.6582473500002</v>
      </c>
      <c r="I1369" s="1">
        <f>IF(ISERROR(MATCH(Tabla_Items_Con_Existencia[[#This Row],[CODIGO]],Tabla_Items_Activos[CODIGO],0)),0,1)</f>
        <v>0</v>
      </c>
    </row>
    <row r="1370" spans="1:9">
      <c r="A1370" s="2" t="s">
        <v>6761</v>
      </c>
      <c r="B1370" s="2" t="s">
        <v>650</v>
      </c>
      <c r="C1370" s="2" t="s">
        <v>2153</v>
      </c>
      <c r="D1370" s="2" t="s">
        <v>5196</v>
      </c>
      <c r="E1370" s="2" t="s">
        <v>5159</v>
      </c>
      <c r="F1370" s="2">
        <v>394.80832105000002</v>
      </c>
      <c r="G1370" s="2">
        <v>7</v>
      </c>
      <c r="H1370" s="2">
        <f>Tabla_Items_Con_Existencia[[#This Row],[COSTO]]*Tabla_Items_Con_Existencia[[#This Row],[EXISTENCIA]]</f>
        <v>2763.6582473500002</v>
      </c>
      <c r="I1370" s="1">
        <f>IF(ISERROR(MATCH(Tabla_Items_Con_Existencia[[#This Row],[CODIGO]],Tabla_Items_Activos[CODIGO],0)),0,1)</f>
        <v>0</v>
      </c>
    </row>
    <row r="1371" spans="1:9">
      <c r="A1371" s="2" t="s">
        <v>6761</v>
      </c>
      <c r="B1371" s="2" t="s">
        <v>7153</v>
      </c>
      <c r="C1371" s="2" t="s">
        <v>7243</v>
      </c>
      <c r="D1371" s="2" t="s">
        <v>5196</v>
      </c>
      <c r="E1371" s="2" t="s">
        <v>5159</v>
      </c>
      <c r="F1371" s="2">
        <v>179.9</v>
      </c>
      <c r="G1371" s="2">
        <v>9</v>
      </c>
      <c r="H1371" s="2">
        <f>Tabla_Items_Con_Existencia[[#This Row],[COSTO]]*Tabla_Items_Con_Existencia[[#This Row],[EXISTENCIA]]</f>
        <v>1619.1000000000001</v>
      </c>
      <c r="I1371" s="1">
        <f>IF(ISERROR(MATCH(Tabla_Items_Con_Existencia[[#This Row],[CODIGO]],Tabla_Items_Activos[CODIGO],0)),0,1)</f>
        <v>0</v>
      </c>
    </row>
    <row r="1372" spans="1:9">
      <c r="A1372" s="2" t="s">
        <v>6760</v>
      </c>
      <c r="B1372" s="2" t="s">
        <v>7153</v>
      </c>
      <c r="C1372" s="2" t="s">
        <v>7243</v>
      </c>
      <c r="D1372" s="2" t="s">
        <v>5196</v>
      </c>
      <c r="E1372" s="2" t="s">
        <v>5159</v>
      </c>
      <c r="F1372" s="2">
        <v>179.9</v>
      </c>
      <c r="G1372" s="2">
        <v>9</v>
      </c>
      <c r="H1372" s="2">
        <f>Tabla_Items_Con_Existencia[[#This Row],[COSTO]]*Tabla_Items_Con_Existencia[[#This Row],[EXISTENCIA]]</f>
        <v>1619.1000000000001</v>
      </c>
      <c r="I1372" s="1">
        <f>IF(ISERROR(MATCH(Tabla_Items_Con_Existencia[[#This Row],[CODIGO]],Tabla_Items_Activos[CODIGO],0)),0,1)</f>
        <v>0</v>
      </c>
    </row>
    <row r="1373" spans="1:9">
      <c r="A1373" s="2" t="s">
        <v>6760</v>
      </c>
      <c r="B1373" s="2" t="s">
        <v>2154</v>
      </c>
      <c r="C1373" s="2" t="s">
        <v>2155</v>
      </c>
      <c r="D1373" s="2" t="s">
        <v>5196</v>
      </c>
      <c r="E1373" s="2" t="s">
        <v>5159</v>
      </c>
      <c r="F1373" s="2">
        <v>437.28467368000003</v>
      </c>
      <c r="G1373" s="2">
        <v>14</v>
      </c>
      <c r="H1373" s="2">
        <f>Tabla_Items_Con_Existencia[[#This Row],[COSTO]]*Tabla_Items_Con_Existencia[[#This Row],[EXISTENCIA]]</f>
        <v>6121.98543152</v>
      </c>
      <c r="I1373" s="1">
        <f>IF(ISERROR(MATCH(Tabla_Items_Con_Existencia[[#This Row],[CODIGO]],Tabla_Items_Activos[CODIGO],0)),0,1)</f>
        <v>0</v>
      </c>
    </row>
    <row r="1374" spans="1:9">
      <c r="A1374" s="2" t="s">
        <v>6761</v>
      </c>
      <c r="B1374" s="2" t="s">
        <v>2154</v>
      </c>
      <c r="C1374" s="2" t="s">
        <v>2155</v>
      </c>
      <c r="D1374" s="2" t="s">
        <v>5196</v>
      </c>
      <c r="E1374" s="2" t="s">
        <v>5159</v>
      </c>
      <c r="F1374" s="2">
        <v>437.28467368000003</v>
      </c>
      <c r="G1374" s="2">
        <v>14</v>
      </c>
      <c r="H1374" s="2">
        <f>Tabla_Items_Con_Existencia[[#This Row],[COSTO]]*Tabla_Items_Con_Existencia[[#This Row],[EXISTENCIA]]</f>
        <v>6121.98543152</v>
      </c>
      <c r="I1374" s="1">
        <f>IF(ISERROR(MATCH(Tabla_Items_Con_Existencia[[#This Row],[CODIGO]],Tabla_Items_Activos[CODIGO],0)),0,1)</f>
        <v>0</v>
      </c>
    </row>
    <row r="1375" spans="1:9">
      <c r="A1375" s="2" t="s">
        <v>6760</v>
      </c>
      <c r="B1375" s="2" t="s">
        <v>6929</v>
      </c>
      <c r="C1375" s="2" t="s">
        <v>5499</v>
      </c>
      <c r="D1375" s="2" t="s">
        <v>5196</v>
      </c>
      <c r="E1375" s="2" t="s">
        <v>5159</v>
      </c>
      <c r="F1375" s="2">
        <v>387.82184210999998</v>
      </c>
      <c r="G1375" s="2">
        <v>1</v>
      </c>
      <c r="H1375" s="2">
        <f>Tabla_Items_Con_Existencia[[#This Row],[COSTO]]*Tabla_Items_Con_Existencia[[#This Row],[EXISTENCIA]]</f>
        <v>387.82184210999998</v>
      </c>
      <c r="I1375" s="1">
        <f>IF(ISERROR(MATCH(Tabla_Items_Con_Existencia[[#This Row],[CODIGO]],Tabla_Items_Activos[CODIGO],0)),0,1)</f>
        <v>0</v>
      </c>
    </row>
    <row r="1376" spans="1:9">
      <c r="A1376" s="2" t="s">
        <v>6761</v>
      </c>
      <c r="B1376" s="2" t="s">
        <v>6929</v>
      </c>
      <c r="C1376" s="2" t="s">
        <v>5499</v>
      </c>
      <c r="D1376" s="2" t="s">
        <v>5196</v>
      </c>
      <c r="E1376" s="2" t="s">
        <v>5159</v>
      </c>
      <c r="F1376" s="2">
        <v>387.82184210999998</v>
      </c>
      <c r="G1376" s="2">
        <v>1</v>
      </c>
      <c r="H1376" s="2">
        <f>Tabla_Items_Con_Existencia[[#This Row],[COSTO]]*Tabla_Items_Con_Existencia[[#This Row],[EXISTENCIA]]</f>
        <v>387.82184210999998</v>
      </c>
      <c r="I1376" s="1">
        <f>IF(ISERROR(MATCH(Tabla_Items_Con_Existencia[[#This Row],[CODIGO]],Tabla_Items_Activos[CODIGO],0)),0,1)</f>
        <v>0</v>
      </c>
    </row>
    <row r="1377" spans="1:9">
      <c r="A1377" s="2" t="s">
        <v>6761</v>
      </c>
      <c r="B1377" s="2" t="s">
        <v>651</v>
      </c>
      <c r="C1377" s="2" t="s">
        <v>5503</v>
      </c>
      <c r="D1377" s="2" t="s">
        <v>5196</v>
      </c>
      <c r="E1377" s="2" t="s">
        <v>5159</v>
      </c>
      <c r="F1377" s="2">
        <v>436.69425262999999</v>
      </c>
      <c r="G1377" s="2">
        <v>8</v>
      </c>
      <c r="H1377" s="2">
        <f>Tabla_Items_Con_Existencia[[#This Row],[COSTO]]*Tabla_Items_Con_Existencia[[#This Row],[EXISTENCIA]]</f>
        <v>3493.55402104</v>
      </c>
      <c r="I1377" s="1">
        <f>IF(ISERROR(MATCH(Tabla_Items_Con_Existencia[[#This Row],[CODIGO]],Tabla_Items_Activos[CODIGO],0)),0,1)</f>
        <v>0</v>
      </c>
    </row>
    <row r="1378" spans="1:9">
      <c r="A1378" s="2" t="s">
        <v>6760</v>
      </c>
      <c r="B1378" s="2" t="s">
        <v>651</v>
      </c>
      <c r="C1378" s="2" t="s">
        <v>5503</v>
      </c>
      <c r="D1378" s="2" t="s">
        <v>5196</v>
      </c>
      <c r="E1378" s="2" t="s">
        <v>5159</v>
      </c>
      <c r="F1378" s="2">
        <v>436.69425262999999</v>
      </c>
      <c r="G1378" s="2">
        <v>8</v>
      </c>
      <c r="H1378" s="2">
        <f>Tabla_Items_Con_Existencia[[#This Row],[COSTO]]*Tabla_Items_Con_Existencia[[#This Row],[EXISTENCIA]]</f>
        <v>3493.55402104</v>
      </c>
      <c r="I1378" s="1">
        <f>IF(ISERROR(MATCH(Tabla_Items_Con_Existencia[[#This Row],[CODIGO]],Tabla_Items_Activos[CODIGO],0)),0,1)</f>
        <v>0</v>
      </c>
    </row>
    <row r="1379" spans="1:9">
      <c r="A1379" s="2" t="s">
        <v>6760</v>
      </c>
      <c r="B1379" s="2" t="s">
        <v>2158</v>
      </c>
      <c r="C1379" s="2" t="s">
        <v>2159</v>
      </c>
      <c r="D1379" s="2" t="s">
        <v>5196</v>
      </c>
      <c r="E1379" s="2" t="s">
        <v>5159</v>
      </c>
      <c r="F1379" s="2">
        <v>588.94850526000005</v>
      </c>
      <c r="G1379" s="2">
        <v>3</v>
      </c>
      <c r="H1379" s="2">
        <f>Tabla_Items_Con_Existencia[[#This Row],[COSTO]]*Tabla_Items_Con_Existencia[[#This Row],[EXISTENCIA]]</f>
        <v>1766.8455157800001</v>
      </c>
      <c r="I1379" s="1">
        <f>IF(ISERROR(MATCH(Tabla_Items_Con_Existencia[[#This Row],[CODIGO]],Tabla_Items_Activos[CODIGO],0)),0,1)</f>
        <v>0</v>
      </c>
    </row>
    <row r="1380" spans="1:9">
      <c r="A1380" s="2" t="s">
        <v>6761</v>
      </c>
      <c r="B1380" s="2" t="s">
        <v>2158</v>
      </c>
      <c r="C1380" s="2" t="s">
        <v>2159</v>
      </c>
      <c r="D1380" s="2" t="s">
        <v>5196</v>
      </c>
      <c r="E1380" s="2" t="s">
        <v>5159</v>
      </c>
      <c r="F1380" s="2">
        <v>588.94850526000005</v>
      </c>
      <c r="G1380" s="2">
        <v>3</v>
      </c>
      <c r="H1380" s="2">
        <f>Tabla_Items_Con_Existencia[[#This Row],[COSTO]]*Tabla_Items_Con_Existencia[[#This Row],[EXISTENCIA]]</f>
        <v>1766.8455157800001</v>
      </c>
      <c r="I1380" s="1">
        <f>IF(ISERROR(MATCH(Tabla_Items_Con_Existencia[[#This Row],[CODIGO]],Tabla_Items_Activos[CODIGO],0)),0,1)</f>
        <v>0</v>
      </c>
    </row>
    <row r="1381" spans="1:9">
      <c r="A1381" s="2" t="s">
        <v>6761</v>
      </c>
      <c r="B1381" s="2" t="s">
        <v>652</v>
      </c>
      <c r="C1381" s="2" t="s">
        <v>5504</v>
      </c>
      <c r="D1381" s="2" t="s">
        <v>5196</v>
      </c>
      <c r="E1381" s="2" t="s">
        <v>5159</v>
      </c>
      <c r="F1381" s="2">
        <v>601.69578947000002</v>
      </c>
      <c r="G1381" s="2">
        <v>9</v>
      </c>
      <c r="H1381" s="2">
        <f>Tabla_Items_Con_Existencia[[#This Row],[COSTO]]*Tabla_Items_Con_Existencia[[#This Row],[EXISTENCIA]]</f>
        <v>5415.2621052300001</v>
      </c>
      <c r="I1381" s="1">
        <f>IF(ISERROR(MATCH(Tabla_Items_Con_Existencia[[#This Row],[CODIGO]],Tabla_Items_Activos[CODIGO],0)),0,1)</f>
        <v>0</v>
      </c>
    </row>
    <row r="1382" spans="1:9">
      <c r="A1382" s="2" t="s">
        <v>6760</v>
      </c>
      <c r="B1382" s="2" t="s">
        <v>652</v>
      </c>
      <c r="C1382" s="2" t="s">
        <v>5504</v>
      </c>
      <c r="D1382" s="2" t="s">
        <v>5196</v>
      </c>
      <c r="E1382" s="2" t="s">
        <v>5159</v>
      </c>
      <c r="F1382" s="2">
        <v>601.69578947000002</v>
      </c>
      <c r="G1382" s="2">
        <v>9</v>
      </c>
      <c r="H1382" s="2">
        <f>Tabla_Items_Con_Existencia[[#This Row],[COSTO]]*Tabla_Items_Con_Existencia[[#This Row],[EXISTENCIA]]</f>
        <v>5415.2621052300001</v>
      </c>
      <c r="I1382" s="1">
        <f>IF(ISERROR(MATCH(Tabla_Items_Con_Existencia[[#This Row],[CODIGO]],Tabla_Items_Activos[CODIGO],0)),0,1)</f>
        <v>0</v>
      </c>
    </row>
    <row r="1383" spans="1:9">
      <c r="A1383" s="2" t="s">
        <v>6760</v>
      </c>
      <c r="B1383" s="2" t="s">
        <v>653</v>
      </c>
      <c r="C1383" s="2" t="s">
        <v>2160</v>
      </c>
      <c r="D1383" s="2" t="s">
        <v>5193</v>
      </c>
      <c r="E1383" s="2" t="s">
        <v>5159</v>
      </c>
      <c r="F1383" s="2">
        <v>363.35153333</v>
      </c>
      <c r="G1383" s="2">
        <v>8</v>
      </c>
      <c r="H1383" s="2">
        <f>Tabla_Items_Con_Existencia[[#This Row],[COSTO]]*Tabla_Items_Con_Existencia[[#This Row],[EXISTENCIA]]</f>
        <v>2906.81226664</v>
      </c>
      <c r="I1383" s="1">
        <f>IF(ISERROR(MATCH(Tabla_Items_Con_Existencia[[#This Row],[CODIGO]],Tabla_Items_Activos[CODIGO],0)),0,1)</f>
        <v>0</v>
      </c>
    </row>
    <row r="1384" spans="1:9">
      <c r="A1384" s="2" t="s">
        <v>6761</v>
      </c>
      <c r="B1384" s="2" t="s">
        <v>653</v>
      </c>
      <c r="C1384" s="2" t="s">
        <v>2160</v>
      </c>
      <c r="D1384" s="2" t="s">
        <v>5193</v>
      </c>
      <c r="E1384" s="2" t="s">
        <v>5159</v>
      </c>
      <c r="F1384" s="2">
        <v>363.35153333</v>
      </c>
      <c r="G1384" s="2">
        <v>8</v>
      </c>
      <c r="H1384" s="2">
        <f>Tabla_Items_Con_Existencia[[#This Row],[COSTO]]*Tabla_Items_Con_Existencia[[#This Row],[EXISTENCIA]]</f>
        <v>2906.81226664</v>
      </c>
      <c r="I1384" s="1">
        <f>IF(ISERROR(MATCH(Tabla_Items_Con_Existencia[[#This Row],[CODIGO]],Tabla_Items_Activos[CODIGO],0)),0,1)</f>
        <v>0</v>
      </c>
    </row>
    <row r="1385" spans="1:9">
      <c r="A1385" s="2" t="s">
        <v>6759</v>
      </c>
      <c r="B1385" s="2" t="s">
        <v>653</v>
      </c>
      <c r="C1385" s="2" t="s">
        <v>2160</v>
      </c>
      <c r="D1385" s="2" t="s">
        <v>5193</v>
      </c>
      <c r="E1385" s="2" t="s">
        <v>5159</v>
      </c>
      <c r="F1385" s="2">
        <v>363.35153333</v>
      </c>
      <c r="G1385" s="2">
        <v>8</v>
      </c>
      <c r="H1385" s="2">
        <f>Tabla_Items_Con_Existencia[[#This Row],[COSTO]]*Tabla_Items_Con_Existencia[[#This Row],[EXISTENCIA]]</f>
        <v>2906.81226664</v>
      </c>
      <c r="I1385" s="1">
        <f>IF(ISERROR(MATCH(Tabla_Items_Con_Existencia[[#This Row],[CODIGO]],Tabla_Items_Activos[CODIGO],0)),0,1)</f>
        <v>0</v>
      </c>
    </row>
    <row r="1386" spans="1:9">
      <c r="A1386" s="2" t="s">
        <v>6759</v>
      </c>
      <c r="B1386" s="2" t="s">
        <v>6930</v>
      </c>
      <c r="C1386" s="2" t="s">
        <v>2162</v>
      </c>
      <c r="D1386" s="2" t="s">
        <v>5193</v>
      </c>
      <c r="E1386" s="2" t="s">
        <v>5159</v>
      </c>
      <c r="F1386" s="2">
        <v>391.87844444000001</v>
      </c>
      <c r="G1386" s="2">
        <v>14</v>
      </c>
      <c r="H1386" s="2">
        <f>Tabla_Items_Con_Existencia[[#This Row],[COSTO]]*Tabla_Items_Con_Existencia[[#This Row],[EXISTENCIA]]</f>
        <v>5486.2982221600005</v>
      </c>
      <c r="I1386" s="1">
        <f>IF(ISERROR(MATCH(Tabla_Items_Con_Existencia[[#This Row],[CODIGO]],Tabla_Items_Activos[CODIGO],0)),0,1)</f>
        <v>0</v>
      </c>
    </row>
    <row r="1387" spans="1:9">
      <c r="A1387" s="2" t="s">
        <v>6760</v>
      </c>
      <c r="B1387" s="2" t="s">
        <v>6930</v>
      </c>
      <c r="C1387" s="2" t="s">
        <v>2162</v>
      </c>
      <c r="D1387" s="2" t="s">
        <v>5193</v>
      </c>
      <c r="E1387" s="2" t="s">
        <v>5159</v>
      </c>
      <c r="F1387" s="2">
        <v>391.87844444000001</v>
      </c>
      <c r="G1387" s="2">
        <v>14</v>
      </c>
      <c r="H1387" s="2">
        <f>Tabla_Items_Con_Existencia[[#This Row],[COSTO]]*Tabla_Items_Con_Existencia[[#This Row],[EXISTENCIA]]</f>
        <v>5486.2982221600005</v>
      </c>
      <c r="I1387" s="1">
        <f>IF(ISERROR(MATCH(Tabla_Items_Con_Existencia[[#This Row],[CODIGO]],Tabla_Items_Activos[CODIGO],0)),0,1)</f>
        <v>0</v>
      </c>
    </row>
    <row r="1388" spans="1:9">
      <c r="A1388" s="2" t="s">
        <v>6761</v>
      </c>
      <c r="B1388" s="2" t="s">
        <v>6930</v>
      </c>
      <c r="C1388" s="2" t="s">
        <v>2162</v>
      </c>
      <c r="D1388" s="2" t="s">
        <v>5193</v>
      </c>
      <c r="E1388" s="2" t="s">
        <v>5159</v>
      </c>
      <c r="F1388" s="2">
        <v>391.87844444000001</v>
      </c>
      <c r="G1388" s="2">
        <v>14</v>
      </c>
      <c r="H1388" s="2">
        <f>Tabla_Items_Con_Existencia[[#This Row],[COSTO]]*Tabla_Items_Con_Existencia[[#This Row],[EXISTENCIA]]</f>
        <v>5486.2982221600005</v>
      </c>
      <c r="I1388" s="1">
        <f>IF(ISERROR(MATCH(Tabla_Items_Con_Existencia[[#This Row],[CODIGO]],Tabla_Items_Activos[CODIGO],0)),0,1)</f>
        <v>0</v>
      </c>
    </row>
    <row r="1389" spans="1:9">
      <c r="A1389" s="2" t="s">
        <v>6760</v>
      </c>
      <c r="B1389" s="2" t="s">
        <v>6931</v>
      </c>
      <c r="C1389" s="2" t="s">
        <v>6932</v>
      </c>
      <c r="D1389" s="2" t="s">
        <v>6730</v>
      </c>
      <c r="E1389" s="2" t="s">
        <v>5159</v>
      </c>
      <c r="F1389" s="2">
        <v>35.85</v>
      </c>
      <c r="G1389" s="2">
        <v>3</v>
      </c>
      <c r="H1389" s="2">
        <f>Tabla_Items_Con_Existencia[[#This Row],[COSTO]]*Tabla_Items_Con_Existencia[[#This Row],[EXISTENCIA]]</f>
        <v>107.55000000000001</v>
      </c>
      <c r="I1389" s="1">
        <f>IF(ISERROR(MATCH(Tabla_Items_Con_Existencia[[#This Row],[CODIGO]],Tabla_Items_Activos[CODIGO],0)),0,1)</f>
        <v>0</v>
      </c>
    </row>
    <row r="1390" spans="1:9">
      <c r="A1390" s="2" t="s">
        <v>6760</v>
      </c>
      <c r="B1390" s="2" t="s">
        <v>2165</v>
      </c>
      <c r="C1390" s="2" t="s">
        <v>6933</v>
      </c>
      <c r="D1390" s="2" t="s">
        <v>5185</v>
      </c>
      <c r="E1390" s="2" t="s">
        <v>5159</v>
      </c>
      <c r="F1390" s="2">
        <v>21.08</v>
      </c>
      <c r="G1390" s="2">
        <v>8</v>
      </c>
      <c r="H1390" s="2">
        <f>Tabla_Items_Con_Existencia[[#This Row],[COSTO]]*Tabla_Items_Con_Existencia[[#This Row],[EXISTENCIA]]</f>
        <v>168.64</v>
      </c>
      <c r="I1390" s="1">
        <f>IF(ISERROR(MATCH(Tabla_Items_Con_Existencia[[#This Row],[CODIGO]],Tabla_Items_Activos[CODIGO],0)),0,1)</f>
        <v>0</v>
      </c>
    </row>
    <row r="1391" spans="1:9">
      <c r="A1391" s="2" t="s">
        <v>6761</v>
      </c>
      <c r="B1391" s="2" t="s">
        <v>2165</v>
      </c>
      <c r="C1391" s="2" t="s">
        <v>6933</v>
      </c>
      <c r="D1391" s="2" t="s">
        <v>5185</v>
      </c>
      <c r="E1391" s="2" t="s">
        <v>5159</v>
      </c>
      <c r="F1391" s="2">
        <v>21.08</v>
      </c>
      <c r="G1391" s="2">
        <v>8</v>
      </c>
      <c r="H1391" s="2">
        <f>Tabla_Items_Con_Existencia[[#This Row],[COSTO]]*Tabla_Items_Con_Existencia[[#This Row],[EXISTENCIA]]</f>
        <v>168.64</v>
      </c>
      <c r="I1391" s="1">
        <f>IF(ISERROR(MATCH(Tabla_Items_Con_Existencia[[#This Row],[CODIGO]],Tabla_Items_Activos[CODIGO],0)),0,1)</f>
        <v>0</v>
      </c>
    </row>
    <row r="1392" spans="1:9">
      <c r="A1392" s="2" t="s">
        <v>6760</v>
      </c>
      <c r="B1392" s="2" t="s">
        <v>6608</v>
      </c>
      <c r="C1392" s="2" t="s">
        <v>6609</v>
      </c>
      <c r="D1392" s="2" t="s">
        <v>5161</v>
      </c>
      <c r="E1392" s="2" t="s">
        <v>5159</v>
      </c>
      <c r="F1392" s="2">
        <v>7.79421053</v>
      </c>
      <c r="G1392" s="2">
        <v>21</v>
      </c>
      <c r="H1392" s="2">
        <f>Tabla_Items_Con_Existencia[[#This Row],[COSTO]]*Tabla_Items_Con_Existencia[[#This Row],[EXISTENCIA]]</f>
        <v>163.67842113</v>
      </c>
      <c r="I1392" s="1">
        <f>IF(ISERROR(MATCH(Tabla_Items_Con_Existencia[[#This Row],[CODIGO]],Tabla_Items_Activos[CODIGO],0)),0,1)</f>
        <v>0</v>
      </c>
    </row>
    <row r="1393" spans="1:9">
      <c r="A1393" s="2" t="s">
        <v>6761</v>
      </c>
      <c r="B1393" s="2" t="s">
        <v>6608</v>
      </c>
      <c r="C1393" s="2" t="s">
        <v>6609</v>
      </c>
      <c r="D1393" s="2" t="s">
        <v>5161</v>
      </c>
      <c r="E1393" s="2" t="s">
        <v>5159</v>
      </c>
      <c r="F1393" s="2">
        <v>7.79421053</v>
      </c>
      <c r="G1393" s="2">
        <v>21</v>
      </c>
      <c r="H1393" s="2">
        <f>Tabla_Items_Con_Existencia[[#This Row],[COSTO]]*Tabla_Items_Con_Existencia[[#This Row],[EXISTENCIA]]</f>
        <v>163.67842113</v>
      </c>
      <c r="I1393" s="1">
        <f>IF(ISERROR(MATCH(Tabla_Items_Con_Existencia[[#This Row],[CODIGO]],Tabla_Items_Activos[CODIGO],0)),0,1)</f>
        <v>0</v>
      </c>
    </row>
    <row r="1394" spans="1:9">
      <c r="A1394" s="2" t="s">
        <v>6760</v>
      </c>
      <c r="B1394" s="2" t="s">
        <v>6610</v>
      </c>
      <c r="C1394" s="2" t="s">
        <v>6611</v>
      </c>
      <c r="D1394" s="2" t="s">
        <v>5201</v>
      </c>
      <c r="E1394" s="2" t="s">
        <v>5159</v>
      </c>
      <c r="F1394" s="2">
        <v>5.67</v>
      </c>
      <c r="G1394" s="2">
        <v>1</v>
      </c>
      <c r="H1394" s="2">
        <f>Tabla_Items_Con_Existencia[[#This Row],[COSTO]]*Tabla_Items_Con_Existencia[[#This Row],[EXISTENCIA]]</f>
        <v>5.67</v>
      </c>
      <c r="I1394" s="1">
        <f>IF(ISERROR(MATCH(Tabla_Items_Con_Existencia[[#This Row],[CODIGO]],Tabla_Items_Activos[CODIGO],0)),0,1)</f>
        <v>0</v>
      </c>
    </row>
    <row r="1395" spans="1:9">
      <c r="A1395" s="2" t="s">
        <v>6760</v>
      </c>
      <c r="B1395" s="2" t="s">
        <v>7335</v>
      </c>
      <c r="C1395" s="2" t="s">
        <v>7336</v>
      </c>
      <c r="D1395" s="2" t="s">
        <v>5157</v>
      </c>
      <c r="E1395" s="2" t="s">
        <v>5157</v>
      </c>
      <c r="F1395" s="2">
        <v>0</v>
      </c>
      <c r="G1395" s="2">
        <v>1</v>
      </c>
      <c r="H1395" s="2">
        <f>Tabla_Items_Con_Existencia[[#This Row],[COSTO]]*Tabla_Items_Con_Existencia[[#This Row],[EXISTENCIA]]</f>
        <v>0</v>
      </c>
      <c r="I1395" s="1">
        <f>IF(ISERROR(MATCH(Tabla_Items_Con_Existencia[[#This Row],[CODIGO]],Tabla_Items_Activos[CODIGO],0)),0,1)</f>
        <v>0</v>
      </c>
    </row>
    <row r="1396" spans="1:9">
      <c r="A1396" s="2" t="s">
        <v>6760</v>
      </c>
      <c r="B1396" s="2" t="s">
        <v>654</v>
      </c>
      <c r="C1396" s="2" t="s">
        <v>2167</v>
      </c>
      <c r="D1396" s="2" t="s">
        <v>5203</v>
      </c>
      <c r="E1396" s="2" t="s">
        <v>5159</v>
      </c>
      <c r="F1396" s="2">
        <v>158.92505263000001</v>
      </c>
      <c r="G1396" s="2">
        <v>3</v>
      </c>
      <c r="H1396" s="2">
        <f>Tabla_Items_Con_Existencia[[#This Row],[COSTO]]*Tabla_Items_Con_Existencia[[#This Row],[EXISTENCIA]]</f>
        <v>476.77515789000006</v>
      </c>
      <c r="I1396" s="1">
        <f>IF(ISERROR(MATCH(Tabla_Items_Con_Existencia[[#This Row],[CODIGO]],Tabla_Items_Activos[CODIGO],0)),0,1)</f>
        <v>0</v>
      </c>
    </row>
    <row r="1397" spans="1:9">
      <c r="A1397" s="2" t="s">
        <v>6761</v>
      </c>
      <c r="B1397" s="2" t="s">
        <v>654</v>
      </c>
      <c r="C1397" s="2" t="s">
        <v>2167</v>
      </c>
      <c r="D1397" s="2" t="s">
        <v>5203</v>
      </c>
      <c r="E1397" s="2" t="s">
        <v>5159</v>
      </c>
      <c r="F1397" s="2">
        <v>158.92505263000001</v>
      </c>
      <c r="G1397" s="2">
        <v>3</v>
      </c>
      <c r="H1397" s="2">
        <f>Tabla_Items_Con_Existencia[[#This Row],[COSTO]]*Tabla_Items_Con_Existencia[[#This Row],[EXISTENCIA]]</f>
        <v>476.77515789000006</v>
      </c>
      <c r="I1397" s="1">
        <f>IF(ISERROR(MATCH(Tabla_Items_Con_Existencia[[#This Row],[CODIGO]],Tabla_Items_Activos[CODIGO],0)),0,1)</f>
        <v>0</v>
      </c>
    </row>
    <row r="1398" spans="1:9">
      <c r="A1398" s="2" t="s">
        <v>6760</v>
      </c>
      <c r="B1398" s="2" t="s">
        <v>655</v>
      </c>
      <c r="C1398" s="2" t="s">
        <v>2168</v>
      </c>
      <c r="D1398" s="2" t="s">
        <v>5204</v>
      </c>
      <c r="E1398" s="2" t="s">
        <v>5159</v>
      </c>
      <c r="F1398" s="2">
        <v>263.63270526000002</v>
      </c>
      <c r="G1398" s="2">
        <v>4</v>
      </c>
      <c r="H1398" s="2">
        <f>Tabla_Items_Con_Existencia[[#This Row],[COSTO]]*Tabla_Items_Con_Existencia[[#This Row],[EXISTENCIA]]</f>
        <v>1054.5308210400001</v>
      </c>
      <c r="I1398" s="1">
        <f>IF(ISERROR(MATCH(Tabla_Items_Con_Existencia[[#This Row],[CODIGO]],Tabla_Items_Activos[CODIGO],0)),0,1)</f>
        <v>0</v>
      </c>
    </row>
    <row r="1399" spans="1:9">
      <c r="A1399" s="2" t="s">
        <v>6761</v>
      </c>
      <c r="B1399" s="2" t="s">
        <v>655</v>
      </c>
      <c r="C1399" s="2" t="s">
        <v>2168</v>
      </c>
      <c r="D1399" s="2" t="s">
        <v>5204</v>
      </c>
      <c r="E1399" s="2" t="s">
        <v>5159</v>
      </c>
      <c r="F1399" s="2">
        <v>263.63270526000002</v>
      </c>
      <c r="G1399" s="2">
        <v>4</v>
      </c>
      <c r="H1399" s="2">
        <f>Tabla_Items_Con_Existencia[[#This Row],[COSTO]]*Tabla_Items_Con_Existencia[[#This Row],[EXISTENCIA]]</f>
        <v>1054.5308210400001</v>
      </c>
      <c r="I1399" s="1">
        <f>IF(ISERROR(MATCH(Tabla_Items_Con_Existencia[[#This Row],[CODIGO]],Tabla_Items_Activos[CODIGO],0)),0,1)</f>
        <v>0</v>
      </c>
    </row>
    <row r="1400" spans="1:9">
      <c r="A1400" s="2" t="s">
        <v>6761</v>
      </c>
      <c r="B1400" s="2" t="s">
        <v>2169</v>
      </c>
      <c r="C1400" s="2" t="s">
        <v>2170</v>
      </c>
      <c r="D1400" s="2" t="s">
        <v>5203</v>
      </c>
      <c r="E1400" s="2" t="s">
        <v>5159</v>
      </c>
      <c r="F1400" s="2">
        <v>253.22239999999999</v>
      </c>
      <c r="G1400" s="2">
        <v>2</v>
      </c>
      <c r="H1400" s="2">
        <f>Tabla_Items_Con_Existencia[[#This Row],[COSTO]]*Tabla_Items_Con_Existencia[[#This Row],[EXISTENCIA]]</f>
        <v>506.44479999999999</v>
      </c>
      <c r="I1400" s="1">
        <f>IF(ISERROR(MATCH(Tabla_Items_Con_Existencia[[#This Row],[CODIGO]],Tabla_Items_Activos[CODIGO],0)),0,1)</f>
        <v>0</v>
      </c>
    </row>
    <row r="1401" spans="1:9">
      <c r="A1401" s="2" t="s">
        <v>6760</v>
      </c>
      <c r="B1401" s="2" t="s">
        <v>2169</v>
      </c>
      <c r="C1401" s="2" t="s">
        <v>2170</v>
      </c>
      <c r="D1401" s="2" t="s">
        <v>5203</v>
      </c>
      <c r="E1401" s="2" t="s">
        <v>5159</v>
      </c>
      <c r="F1401" s="2">
        <v>253.22239999999999</v>
      </c>
      <c r="G1401" s="2">
        <v>2</v>
      </c>
      <c r="H1401" s="2">
        <f>Tabla_Items_Con_Existencia[[#This Row],[COSTO]]*Tabla_Items_Con_Existencia[[#This Row],[EXISTENCIA]]</f>
        <v>506.44479999999999</v>
      </c>
      <c r="I1401" s="1">
        <f>IF(ISERROR(MATCH(Tabla_Items_Con_Existencia[[#This Row],[CODIGO]],Tabla_Items_Activos[CODIGO],0)),0,1)</f>
        <v>0</v>
      </c>
    </row>
    <row r="1402" spans="1:9">
      <c r="A1402" s="2" t="s">
        <v>6759</v>
      </c>
      <c r="B1402" s="2" t="s">
        <v>656</v>
      </c>
      <c r="C1402" s="2" t="s">
        <v>2171</v>
      </c>
      <c r="D1402" s="2" t="s">
        <v>5197</v>
      </c>
      <c r="E1402" s="2" t="s">
        <v>5159</v>
      </c>
      <c r="F1402" s="2">
        <v>405.30771111000001</v>
      </c>
      <c r="G1402" s="2">
        <v>32</v>
      </c>
      <c r="H1402" s="2">
        <f>Tabla_Items_Con_Existencia[[#This Row],[COSTO]]*Tabla_Items_Con_Existencia[[#This Row],[EXISTENCIA]]</f>
        <v>12969.84675552</v>
      </c>
      <c r="I1402" s="1">
        <f>IF(ISERROR(MATCH(Tabla_Items_Con_Existencia[[#This Row],[CODIGO]],Tabla_Items_Activos[CODIGO],0)),0,1)</f>
        <v>0</v>
      </c>
    </row>
    <row r="1403" spans="1:9">
      <c r="A1403" s="2" t="s">
        <v>6760</v>
      </c>
      <c r="B1403" s="2" t="s">
        <v>656</v>
      </c>
      <c r="C1403" s="2" t="s">
        <v>2171</v>
      </c>
      <c r="D1403" s="2" t="s">
        <v>5197</v>
      </c>
      <c r="E1403" s="2" t="s">
        <v>5159</v>
      </c>
      <c r="F1403" s="2">
        <v>405.30771111000001</v>
      </c>
      <c r="G1403" s="2">
        <v>32</v>
      </c>
      <c r="H1403" s="2">
        <f>Tabla_Items_Con_Existencia[[#This Row],[COSTO]]*Tabla_Items_Con_Existencia[[#This Row],[EXISTENCIA]]</f>
        <v>12969.84675552</v>
      </c>
      <c r="I1403" s="1">
        <f>IF(ISERROR(MATCH(Tabla_Items_Con_Existencia[[#This Row],[CODIGO]],Tabla_Items_Activos[CODIGO],0)),0,1)</f>
        <v>0</v>
      </c>
    </row>
    <row r="1404" spans="1:9">
      <c r="A1404" s="2" t="s">
        <v>6761</v>
      </c>
      <c r="B1404" s="2" t="s">
        <v>656</v>
      </c>
      <c r="C1404" s="2" t="s">
        <v>2171</v>
      </c>
      <c r="D1404" s="2" t="s">
        <v>5197</v>
      </c>
      <c r="E1404" s="2" t="s">
        <v>5159</v>
      </c>
      <c r="F1404" s="2">
        <v>405.30771111000001</v>
      </c>
      <c r="G1404" s="2">
        <v>32</v>
      </c>
      <c r="H1404" s="2">
        <f>Tabla_Items_Con_Existencia[[#This Row],[COSTO]]*Tabla_Items_Con_Existencia[[#This Row],[EXISTENCIA]]</f>
        <v>12969.84675552</v>
      </c>
      <c r="I1404" s="1">
        <f>IF(ISERROR(MATCH(Tabla_Items_Con_Existencia[[#This Row],[CODIGO]],Tabla_Items_Activos[CODIGO],0)),0,1)</f>
        <v>0</v>
      </c>
    </row>
    <row r="1405" spans="1:9">
      <c r="A1405" s="2" t="s">
        <v>6760</v>
      </c>
      <c r="B1405" s="2" t="s">
        <v>658</v>
      </c>
      <c r="C1405" s="2" t="s">
        <v>2173</v>
      </c>
      <c r="D1405" s="2" t="s">
        <v>5160</v>
      </c>
      <c r="E1405" s="2" t="s">
        <v>5159</v>
      </c>
      <c r="F1405" s="2">
        <v>146.23193158000001</v>
      </c>
      <c r="G1405" s="2">
        <v>3</v>
      </c>
      <c r="H1405" s="2">
        <f>Tabla_Items_Con_Existencia[[#This Row],[COSTO]]*Tabla_Items_Con_Existencia[[#This Row],[EXISTENCIA]]</f>
        <v>438.69579474</v>
      </c>
      <c r="I1405" s="1">
        <f>IF(ISERROR(MATCH(Tabla_Items_Con_Existencia[[#This Row],[CODIGO]],Tabla_Items_Activos[CODIGO],0)),0,1)</f>
        <v>0</v>
      </c>
    </row>
    <row r="1406" spans="1:9">
      <c r="A1406" s="2" t="s">
        <v>6761</v>
      </c>
      <c r="B1406" s="2" t="s">
        <v>658</v>
      </c>
      <c r="C1406" s="2" t="s">
        <v>2173</v>
      </c>
      <c r="D1406" s="2" t="s">
        <v>5160</v>
      </c>
      <c r="E1406" s="2" t="s">
        <v>5159</v>
      </c>
      <c r="F1406" s="2">
        <v>146.23193158000001</v>
      </c>
      <c r="G1406" s="2">
        <v>3</v>
      </c>
      <c r="H1406" s="2">
        <f>Tabla_Items_Con_Existencia[[#This Row],[COSTO]]*Tabla_Items_Con_Existencia[[#This Row],[EXISTENCIA]]</f>
        <v>438.69579474</v>
      </c>
      <c r="I1406" s="1">
        <f>IF(ISERROR(MATCH(Tabla_Items_Con_Existencia[[#This Row],[CODIGO]],Tabla_Items_Activos[CODIGO],0)),0,1)</f>
        <v>0</v>
      </c>
    </row>
    <row r="1407" spans="1:9">
      <c r="A1407" s="2" t="s">
        <v>6760</v>
      </c>
      <c r="B1407" s="2" t="s">
        <v>2174</v>
      </c>
      <c r="C1407" s="2" t="s">
        <v>6612</v>
      </c>
      <c r="D1407" s="2" t="s">
        <v>5205</v>
      </c>
      <c r="E1407" s="2" t="s">
        <v>5159</v>
      </c>
      <c r="F1407" s="2">
        <v>212.64924210999999</v>
      </c>
      <c r="G1407" s="2">
        <v>11</v>
      </c>
      <c r="H1407" s="2">
        <f>Tabla_Items_Con_Existencia[[#This Row],[COSTO]]*Tabla_Items_Con_Existencia[[#This Row],[EXISTENCIA]]</f>
        <v>2339.1416632099999</v>
      </c>
      <c r="I1407" s="1">
        <f>IF(ISERROR(MATCH(Tabla_Items_Con_Existencia[[#This Row],[CODIGO]],Tabla_Items_Activos[CODIGO],0)),0,1)</f>
        <v>0</v>
      </c>
    </row>
    <row r="1408" spans="1:9">
      <c r="A1408" s="2" t="s">
        <v>6761</v>
      </c>
      <c r="B1408" s="2" t="s">
        <v>2174</v>
      </c>
      <c r="C1408" s="2" t="s">
        <v>6612</v>
      </c>
      <c r="D1408" s="2" t="s">
        <v>5205</v>
      </c>
      <c r="E1408" s="2" t="s">
        <v>5159</v>
      </c>
      <c r="F1408" s="2">
        <v>212.64924210999999</v>
      </c>
      <c r="G1408" s="2">
        <v>11</v>
      </c>
      <c r="H1408" s="2">
        <f>Tabla_Items_Con_Existencia[[#This Row],[COSTO]]*Tabla_Items_Con_Existencia[[#This Row],[EXISTENCIA]]</f>
        <v>2339.1416632099999</v>
      </c>
      <c r="I1408" s="1">
        <f>IF(ISERROR(MATCH(Tabla_Items_Con_Existencia[[#This Row],[CODIGO]],Tabla_Items_Activos[CODIGO],0)),0,1)</f>
        <v>0</v>
      </c>
    </row>
    <row r="1409" spans="1:9">
      <c r="A1409" s="2" t="s">
        <v>6760</v>
      </c>
      <c r="B1409" s="2" t="s">
        <v>7244</v>
      </c>
      <c r="C1409" s="2" t="s">
        <v>7337</v>
      </c>
      <c r="D1409" s="2" t="s">
        <v>5186</v>
      </c>
      <c r="E1409" s="2" t="s">
        <v>5159</v>
      </c>
      <c r="F1409" s="2">
        <v>0</v>
      </c>
      <c r="G1409" s="2">
        <v>3</v>
      </c>
      <c r="H1409" s="2">
        <f>Tabla_Items_Con_Existencia[[#This Row],[COSTO]]*Tabla_Items_Con_Existencia[[#This Row],[EXISTENCIA]]</f>
        <v>0</v>
      </c>
      <c r="I1409" s="1">
        <f>IF(ISERROR(MATCH(Tabla_Items_Con_Existencia[[#This Row],[CODIGO]],Tabla_Items_Activos[CODIGO],0)),0,1)</f>
        <v>0</v>
      </c>
    </row>
    <row r="1410" spans="1:9">
      <c r="A1410" s="2" t="s">
        <v>6760</v>
      </c>
      <c r="B1410" s="2" t="s">
        <v>659</v>
      </c>
      <c r="C1410" s="2" t="s">
        <v>2176</v>
      </c>
      <c r="D1410" s="2" t="s">
        <v>5206</v>
      </c>
      <c r="E1410" s="2" t="s">
        <v>5159</v>
      </c>
      <c r="F1410" s="2">
        <v>205.28027367999999</v>
      </c>
      <c r="G1410" s="2">
        <v>7</v>
      </c>
      <c r="H1410" s="2">
        <f>Tabla_Items_Con_Existencia[[#This Row],[COSTO]]*Tabla_Items_Con_Existencia[[#This Row],[EXISTENCIA]]</f>
        <v>1436.96191576</v>
      </c>
      <c r="I1410" s="1">
        <f>IF(ISERROR(MATCH(Tabla_Items_Con_Existencia[[#This Row],[CODIGO]],Tabla_Items_Activos[CODIGO],0)),0,1)</f>
        <v>0</v>
      </c>
    </row>
    <row r="1411" spans="1:9">
      <c r="A1411" s="2" t="s">
        <v>6761</v>
      </c>
      <c r="B1411" s="2" t="s">
        <v>659</v>
      </c>
      <c r="C1411" s="2" t="s">
        <v>2176</v>
      </c>
      <c r="D1411" s="2" t="s">
        <v>5206</v>
      </c>
      <c r="E1411" s="2" t="s">
        <v>5159</v>
      </c>
      <c r="F1411" s="2">
        <v>205.28027367999999</v>
      </c>
      <c r="G1411" s="2">
        <v>7</v>
      </c>
      <c r="H1411" s="2">
        <f>Tabla_Items_Con_Existencia[[#This Row],[COSTO]]*Tabla_Items_Con_Existencia[[#This Row],[EXISTENCIA]]</f>
        <v>1436.96191576</v>
      </c>
      <c r="I1411" s="1">
        <f>IF(ISERROR(MATCH(Tabla_Items_Con_Existencia[[#This Row],[CODIGO]],Tabla_Items_Activos[CODIGO],0)),0,1)</f>
        <v>0</v>
      </c>
    </row>
    <row r="1412" spans="1:9">
      <c r="A1412" s="2" t="s">
        <v>6760</v>
      </c>
      <c r="B1412" s="2" t="s">
        <v>660</v>
      </c>
      <c r="C1412" s="2" t="s">
        <v>2177</v>
      </c>
      <c r="D1412" s="2" t="s">
        <v>5186</v>
      </c>
      <c r="E1412" s="2" t="s">
        <v>5159</v>
      </c>
      <c r="F1412" s="2">
        <v>2.3050000000000002</v>
      </c>
      <c r="G1412" s="2">
        <v>7</v>
      </c>
      <c r="H1412" s="2">
        <f>Tabla_Items_Con_Existencia[[#This Row],[COSTO]]*Tabla_Items_Con_Existencia[[#This Row],[EXISTENCIA]]</f>
        <v>16.135000000000002</v>
      </c>
      <c r="I1412" s="1">
        <f>IF(ISERROR(MATCH(Tabla_Items_Con_Existencia[[#This Row],[CODIGO]],Tabla_Items_Activos[CODIGO],0)),0,1)</f>
        <v>0</v>
      </c>
    </row>
    <row r="1413" spans="1:9">
      <c r="A1413" s="2" t="s">
        <v>6760</v>
      </c>
      <c r="B1413" s="2" t="s">
        <v>661</v>
      </c>
      <c r="C1413" s="2" t="s">
        <v>5505</v>
      </c>
      <c r="D1413" s="2" t="s">
        <v>5186</v>
      </c>
      <c r="E1413" s="2" t="s">
        <v>5159</v>
      </c>
      <c r="F1413" s="2">
        <v>4.4420000000000002</v>
      </c>
      <c r="G1413" s="2">
        <v>5</v>
      </c>
      <c r="H1413" s="2">
        <f>Tabla_Items_Con_Existencia[[#This Row],[COSTO]]*Tabla_Items_Con_Existencia[[#This Row],[EXISTENCIA]]</f>
        <v>22.21</v>
      </c>
      <c r="I1413" s="1">
        <f>IF(ISERROR(MATCH(Tabla_Items_Con_Existencia[[#This Row],[CODIGO]],Tabla_Items_Activos[CODIGO],0)),0,1)</f>
        <v>0</v>
      </c>
    </row>
    <row r="1414" spans="1:9">
      <c r="A1414" s="2" t="s">
        <v>6760</v>
      </c>
      <c r="B1414" s="2" t="s">
        <v>6934</v>
      </c>
      <c r="C1414" s="2" t="s">
        <v>6935</v>
      </c>
      <c r="D1414" s="2" t="s">
        <v>5186</v>
      </c>
      <c r="E1414" s="2" t="s">
        <v>5159</v>
      </c>
      <c r="F1414" s="2">
        <v>0</v>
      </c>
      <c r="G1414" s="2">
        <v>1</v>
      </c>
      <c r="H1414" s="2">
        <f>Tabla_Items_Con_Existencia[[#This Row],[COSTO]]*Tabla_Items_Con_Existencia[[#This Row],[EXISTENCIA]]</f>
        <v>0</v>
      </c>
      <c r="I1414" s="1">
        <f>IF(ISERROR(MATCH(Tabla_Items_Con_Existencia[[#This Row],[CODIGO]],Tabla_Items_Activos[CODIGO],0)),0,1)</f>
        <v>0</v>
      </c>
    </row>
    <row r="1415" spans="1:9">
      <c r="A1415" s="2" t="s">
        <v>6760</v>
      </c>
      <c r="B1415" s="2" t="s">
        <v>6936</v>
      </c>
      <c r="C1415" s="2" t="s">
        <v>6937</v>
      </c>
      <c r="D1415" s="2" t="s">
        <v>5157</v>
      </c>
      <c r="E1415" s="2" t="s">
        <v>5157</v>
      </c>
      <c r="F1415" s="2">
        <v>0</v>
      </c>
      <c r="G1415" s="2">
        <v>1</v>
      </c>
      <c r="H1415" s="2">
        <f>Tabla_Items_Con_Existencia[[#This Row],[COSTO]]*Tabla_Items_Con_Existencia[[#This Row],[EXISTENCIA]]</f>
        <v>0</v>
      </c>
      <c r="I1415" s="1">
        <f>IF(ISERROR(MATCH(Tabla_Items_Con_Existencia[[#This Row],[CODIGO]],Tabla_Items_Activos[CODIGO],0)),0,1)</f>
        <v>0</v>
      </c>
    </row>
    <row r="1416" spans="1:9">
      <c r="A1416" s="2" t="s">
        <v>6760</v>
      </c>
      <c r="B1416" s="2" t="s">
        <v>6613</v>
      </c>
      <c r="C1416" s="2" t="s">
        <v>6614</v>
      </c>
      <c r="D1416" s="2" t="s">
        <v>5158</v>
      </c>
      <c r="E1416" s="2" t="s">
        <v>5159</v>
      </c>
      <c r="F1416" s="2">
        <v>8.19</v>
      </c>
      <c r="G1416" s="2">
        <v>2</v>
      </c>
      <c r="H1416" s="2">
        <f>Tabla_Items_Con_Existencia[[#This Row],[COSTO]]*Tabla_Items_Con_Existencia[[#This Row],[EXISTENCIA]]</f>
        <v>16.38</v>
      </c>
      <c r="I1416" s="1">
        <f>IF(ISERROR(MATCH(Tabla_Items_Con_Existencia[[#This Row],[CODIGO]],Tabla_Items_Activos[CODIGO],0)),0,1)</f>
        <v>0</v>
      </c>
    </row>
    <row r="1417" spans="1:9">
      <c r="A1417" s="2" t="s">
        <v>6760</v>
      </c>
      <c r="B1417" s="2" t="s">
        <v>662</v>
      </c>
      <c r="C1417" s="2" t="s">
        <v>2178</v>
      </c>
      <c r="D1417" s="2" t="s">
        <v>5161</v>
      </c>
      <c r="E1417" s="2" t="s">
        <v>5159</v>
      </c>
      <c r="F1417" s="2">
        <v>0.499</v>
      </c>
      <c r="G1417" s="2">
        <v>6</v>
      </c>
      <c r="H1417" s="2">
        <f>Tabla_Items_Con_Existencia[[#This Row],[COSTO]]*Tabla_Items_Con_Existencia[[#This Row],[EXISTENCIA]]</f>
        <v>2.9939999999999998</v>
      </c>
      <c r="I1417" s="1">
        <f>IF(ISERROR(MATCH(Tabla_Items_Con_Existencia[[#This Row],[CODIGO]],Tabla_Items_Activos[CODIGO],0)),0,1)</f>
        <v>0</v>
      </c>
    </row>
    <row r="1418" spans="1:9">
      <c r="A1418" s="2" t="s">
        <v>6760</v>
      </c>
      <c r="B1418" s="2" t="s">
        <v>663</v>
      </c>
      <c r="C1418" s="2" t="s">
        <v>2179</v>
      </c>
      <c r="D1418" s="2" t="s">
        <v>5158</v>
      </c>
      <c r="E1418" s="2" t="s">
        <v>5159</v>
      </c>
      <c r="F1418" s="2">
        <v>3.2241684199999998</v>
      </c>
      <c r="G1418" s="2">
        <v>23</v>
      </c>
      <c r="H1418" s="2">
        <f>Tabla_Items_Con_Existencia[[#This Row],[COSTO]]*Tabla_Items_Con_Existencia[[#This Row],[EXISTENCIA]]</f>
        <v>74.155873659999997</v>
      </c>
      <c r="I1418" s="1">
        <f>IF(ISERROR(MATCH(Tabla_Items_Con_Existencia[[#This Row],[CODIGO]],Tabla_Items_Activos[CODIGO],0)),0,1)</f>
        <v>0</v>
      </c>
    </row>
    <row r="1419" spans="1:9">
      <c r="A1419" s="2" t="s">
        <v>6761</v>
      </c>
      <c r="B1419" s="2" t="s">
        <v>663</v>
      </c>
      <c r="C1419" s="2" t="s">
        <v>2179</v>
      </c>
      <c r="D1419" s="2" t="s">
        <v>5158</v>
      </c>
      <c r="E1419" s="2" t="s">
        <v>5159</v>
      </c>
      <c r="F1419" s="2">
        <v>3.2241684199999998</v>
      </c>
      <c r="G1419" s="2">
        <v>23</v>
      </c>
      <c r="H1419" s="2">
        <f>Tabla_Items_Con_Existencia[[#This Row],[COSTO]]*Tabla_Items_Con_Existencia[[#This Row],[EXISTENCIA]]</f>
        <v>74.155873659999997</v>
      </c>
      <c r="I1419" s="1">
        <f>IF(ISERROR(MATCH(Tabla_Items_Con_Existencia[[#This Row],[CODIGO]],Tabla_Items_Activos[CODIGO],0)),0,1)</f>
        <v>0</v>
      </c>
    </row>
    <row r="1420" spans="1:9">
      <c r="A1420" s="2" t="s">
        <v>6760</v>
      </c>
      <c r="B1420" s="2" t="s">
        <v>664</v>
      </c>
      <c r="C1420" s="2" t="s">
        <v>2180</v>
      </c>
      <c r="D1420" s="2" t="s">
        <v>5158</v>
      </c>
      <c r="E1420" s="2" t="s">
        <v>5159</v>
      </c>
      <c r="F1420" s="2">
        <v>0.69899999999999995</v>
      </c>
      <c r="G1420" s="2">
        <v>15</v>
      </c>
      <c r="H1420" s="2">
        <f>Tabla_Items_Con_Existencia[[#This Row],[COSTO]]*Tabla_Items_Con_Existencia[[#This Row],[EXISTENCIA]]</f>
        <v>10.484999999999999</v>
      </c>
      <c r="I1420" s="1">
        <f>IF(ISERROR(MATCH(Tabla_Items_Con_Existencia[[#This Row],[CODIGO]],Tabla_Items_Activos[CODIGO],0)),0,1)</f>
        <v>0</v>
      </c>
    </row>
    <row r="1421" spans="1:9">
      <c r="A1421" s="2" t="s">
        <v>6760</v>
      </c>
      <c r="B1421" s="2" t="s">
        <v>665</v>
      </c>
      <c r="C1421" s="2" t="s">
        <v>2181</v>
      </c>
      <c r="D1421" s="2" t="s">
        <v>5158</v>
      </c>
      <c r="E1421" s="2" t="s">
        <v>5159</v>
      </c>
      <c r="F1421" s="2">
        <v>0.23899999999999999</v>
      </c>
      <c r="G1421" s="2">
        <v>10</v>
      </c>
      <c r="H1421" s="2">
        <f>Tabla_Items_Con_Existencia[[#This Row],[COSTO]]*Tabla_Items_Con_Existencia[[#This Row],[EXISTENCIA]]</f>
        <v>2.3899999999999997</v>
      </c>
      <c r="I1421" s="1">
        <f>IF(ISERROR(MATCH(Tabla_Items_Con_Existencia[[#This Row],[CODIGO]],Tabla_Items_Activos[CODIGO],0)),0,1)</f>
        <v>0</v>
      </c>
    </row>
    <row r="1422" spans="1:9">
      <c r="A1422" s="2" t="s">
        <v>6760</v>
      </c>
      <c r="B1422" s="2" t="s">
        <v>666</v>
      </c>
      <c r="C1422" s="2" t="s">
        <v>2182</v>
      </c>
      <c r="D1422" s="2" t="s">
        <v>5158</v>
      </c>
      <c r="E1422" s="2" t="s">
        <v>5159</v>
      </c>
      <c r="F1422" s="2">
        <v>2.82</v>
      </c>
      <c r="G1422" s="2">
        <v>15</v>
      </c>
      <c r="H1422" s="2">
        <f>Tabla_Items_Con_Existencia[[#This Row],[COSTO]]*Tabla_Items_Con_Existencia[[#This Row],[EXISTENCIA]]</f>
        <v>42.3</v>
      </c>
      <c r="I1422" s="1">
        <f>IF(ISERROR(MATCH(Tabla_Items_Con_Existencia[[#This Row],[CODIGO]],Tabla_Items_Activos[CODIGO],0)),0,1)</f>
        <v>0</v>
      </c>
    </row>
    <row r="1423" spans="1:9">
      <c r="A1423" s="2" t="s">
        <v>6760</v>
      </c>
      <c r="B1423" s="2" t="s">
        <v>667</v>
      </c>
      <c r="C1423" s="2" t="s">
        <v>2183</v>
      </c>
      <c r="D1423" s="2" t="s">
        <v>5158</v>
      </c>
      <c r="E1423" s="2" t="s">
        <v>5159</v>
      </c>
      <c r="F1423" s="2">
        <v>1.81896842</v>
      </c>
      <c r="G1423" s="2">
        <v>28</v>
      </c>
      <c r="H1423" s="2">
        <f>Tabla_Items_Con_Existencia[[#This Row],[COSTO]]*Tabla_Items_Con_Existencia[[#This Row],[EXISTENCIA]]</f>
        <v>50.931115759999997</v>
      </c>
      <c r="I1423" s="1">
        <f>IF(ISERROR(MATCH(Tabla_Items_Con_Existencia[[#This Row],[CODIGO]],Tabla_Items_Activos[CODIGO],0)),0,1)</f>
        <v>0</v>
      </c>
    </row>
    <row r="1424" spans="1:9">
      <c r="A1424" s="2" t="s">
        <v>6761</v>
      </c>
      <c r="B1424" s="2" t="s">
        <v>667</v>
      </c>
      <c r="C1424" s="2" t="s">
        <v>2183</v>
      </c>
      <c r="D1424" s="2" t="s">
        <v>5158</v>
      </c>
      <c r="E1424" s="2" t="s">
        <v>5159</v>
      </c>
      <c r="F1424" s="2">
        <v>1.81896842</v>
      </c>
      <c r="G1424" s="2">
        <v>28</v>
      </c>
      <c r="H1424" s="2">
        <f>Tabla_Items_Con_Existencia[[#This Row],[COSTO]]*Tabla_Items_Con_Existencia[[#This Row],[EXISTENCIA]]</f>
        <v>50.931115759999997</v>
      </c>
      <c r="I1424" s="1">
        <f>IF(ISERROR(MATCH(Tabla_Items_Con_Existencia[[#This Row],[CODIGO]],Tabla_Items_Activos[CODIGO],0)),0,1)</f>
        <v>0</v>
      </c>
    </row>
    <row r="1425" spans="1:9">
      <c r="A1425" s="2" t="s">
        <v>6760</v>
      </c>
      <c r="B1425" s="2" t="s">
        <v>2184</v>
      </c>
      <c r="C1425" s="2" t="s">
        <v>2185</v>
      </c>
      <c r="D1425" s="2" t="s">
        <v>5158</v>
      </c>
      <c r="E1425" s="2" t="s">
        <v>5159</v>
      </c>
      <c r="F1425" s="2">
        <v>3.302</v>
      </c>
      <c r="G1425" s="2">
        <v>3</v>
      </c>
      <c r="H1425" s="2">
        <f>Tabla_Items_Con_Existencia[[#This Row],[COSTO]]*Tabla_Items_Con_Existencia[[#This Row],[EXISTENCIA]]</f>
        <v>9.9060000000000006</v>
      </c>
      <c r="I1425" s="1">
        <f>IF(ISERROR(MATCH(Tabla_Items_Con_Existencia[[#This Row],[CODIGO]],Tabla_Items_Activos[CODIGO],0)),0,1)</f>
        <v>0</v>
      </c>
    </row>
    <row r="1426" spans="1:9">
      <c r="A1426" s="2" t="s">
        <v>6761</v>
      </c>
      <c r="B1426" s="2" t="s">
        <v>668</v>
      </c>
      <c r="C1426" s="2" t="s">
        <v>2186</v>
      </c>
      <c r="D1426" s="2" t="s">
        <v>5158</v>
      </c>
      <c r="E1426" s="2" t="s">
        <v>5159</v>
      </c>
      <c r="F1426" s="2">
        <v>3.6166421099999999</v>
      </c>
      <c r="G1426" s="2">
        <v>17</v>
      </c>
      <c r="H1426" s="2">
        <f>Tabla_Items_Con_Existencia[[#This Row],[COSTO]]*Tabla_Items_Con_Existencia[[#This Row],[EXISTENCIA]]</f>
        <v>61.482915869999999</v>
      </c>
      <c r="I1426" s="1">
        <f>IF(ISERROR(MATCH(Tabla_Items_Con_Existencia[[#This Row],[CODIGO]],Tabla_Items_Activos[CODIGO],0)),0,1)</f>
        <v>0</v>
      </c>
    </row>
    <row r="1427" spans="1:9">
      <c r="A1427" s="2" t="s">
        <v>6760</v>
      </c>
      <c r="B1427" s="2" t="s">
        <v>668</v>
      </c>
      <c r="C1427" s="2" t="s">
        <v>2186</v>
      </c>
      <c r="D1427" s="2" t="s">
        <v>5158</v>
      </c>
      <c r="E1427" s="2" t="s">
        <v>5159</v>
      </c>
      <c r="F1427" s="2">
        <v>3.6166421099999999</v>
      </c>
      <c r="G1427" s="2">
        <v>17</v>
      </c>
      <c r="H1427" s="2">
        <f>Tabla_Items_Con_Existencia[[#This Row],[COSTO]]*Tabla_Items_Con_Existencia[[#This Row],[EXISTENCIA]]</f>
        <v>61.482915869999999</v>
      </c>
      <c r="I1427" s="1">
        <f>IF(ISERROR(MATCH(Tabla_Items_Con_Existencia[[#This Row],[CODIGO]],Tabla_Items_Activos[CODIGO],0)),0,1)</f>
        <v>0</v>
      </c>
    </row>
    <row r="1428" spans="1:9">
      <c r="A1428" s="2" t="s">
        <v>6760</v>
      </c>
      <c r="B1428" s="2" t="s">
        <v>6615</v>
      </c>
      <c r="C1428" s="2" t="s">
        <v>4316</v>
      </c>
      <c r="D1428" s="2" t="s">
        <v>5158</v>
      </c>
      <c r="E1428" s="2" t="s">
        <v>5159</v>
      </c>
      <c r="F1428" s="2">
        <v>4.1688000000000001</v>
      </c>
      <c r="G1428" s="2">
        <v>8</v>
      </c>
      <c r="H1428" s="2">
        <f>Tabla_Items_Con_Existencia[[#This Row],[COSTO]]*Tabla_Items_Con_Existencia[[#This Row],[EXISTENCIA]]</f>
        <v>33.3504</v>
      </c>
      <c r="I1428" s="1">
        <f>IF(ISERROR(MATCH(Tabla_Items_Con_Existencia[[#This Row],[CODIGO]],Tabla_Items_Activos[CODIGO],0)),0,1)</f>
        <v>0</v>
      </c>
    </row>
    <row r="1429" spans="1:9">
      <c r="A1429" s="2" t="s">
        <v>6761</v>
      </c>
      <c r="B1429" s="2" t="s">
        <v>6615</v>
      </c>
      <c r="C1429" s="2" t="s">
        <v>4316</v>
      </c>
      <c r="D1429" s="2" t="s">
        <v>5158</v>
      </c>
      <c r="E1429" s="2" t="s">
        <v>5159</v>
      </c>
      <c r="F1429" s="2">
        <v>4.1688000000000001</v>
      </c>
      <c r="G1429" s="2">
        <v>8</v>
      </c>
      <c r="H1429" s="2">
        <f>Tabla_Items_Con_Existencia[[#This Row],[COSTO]]*Tabla_Items_Con_Existencia[[#This Row],[EXISTENCIA]]</f>
        <v>33.3504</v>
      </c>
      <c r="I1429" s="1">
        <f>IF(ISERROR(MATCH(Tabla_Items_Con_Existencia[[#This Row],[CODIGO]],Tabla_Items_Activos[CODIGO],0)),0,1)</f>
        <v>0</v>
      </c>
    </row>
    <row r="1430" spans="1:9">
      <c r="A1430" s="2" t="s">
        <v>6760</v>
      </c>
      <c r="B1430" s="2" t="s">
        <v>6616</v>
      </c>
      <c r="C1430" s="2" t="s">
        <v>4317</v>
      </c>
      <c r="D1430" s="2" t="s">
        <v>5158</v>
      </c>
      <c r="E1430" s="2" t="s">
        <v>5159</v>
      </c>
      <c r="F1430" s="2">
        <v>4.8499999999999996</v>
      </c>
      <c r="G1430" s="2">
        <v>1</v>
      </c>
      <c r="H1430" s="2">
        <f>Tabla_Items_Con_Existencia[[#This Row],[COSTO]]*Tabla_Items_Con_Existencia[[#This Row],[EXISTENCIA]]</f>
        <v>4.8499999999999996</v>
      </c>
      <c r="I1430" s="1">
        <f>IF(ISERROR(MATCH(Tabla_Items_Con_Existencia[[#This Row],[CODIGO]],Tabla_Items_Activos[CODIGO],0)),0,1)</f>
        <v>0</v>
      </c>
    </row>
    <row r="1431" spans="1:9">
      <c r="A1431" s="2" t="s">
        <v>6760</v>
      </c>
      <c r="B1431" s="2" t="s">
        <v>2187</v>
      </c>
      <c r="C1431" s="2" t="s">
        <v>2188</v>
      </c>
      <c r="D1431" s="2" t="s">
        <v>5158</v>
      </c>
      <c r="E1431" s="2" t="s">
        <v>5159</v>
      </c>
      <c r="F1431" s="2">
        <v>1.62947368</v>
      </c>
      <c r="G1431" s="2">
        <v>4</v>
      </c>
      <c r="H1431" s="2">
        <f>Tabla_Items_Con_Existencia[[#This Row],[COSTO]]*Tabla_Items_Con_Existencia[[#This Row],[EXISTENCIA]]</f>
        <v>6.5178947200000001</v>
      </c>
      <c r="I1431" s="1">
        <f>IF(ISERROR(MATCH(Tabla_Items_Con_Existencia[[#This Row],[CODIGO]],Tabla_Items_Activos[CODIGO],0)),0,1)</f>
        <v>0</v>
      </c>
    </row>
    <row r="1432" spans="1:9">
      <c r="A1432" s="2" t="s">
        <v>6761</v>
      </c>
      <c r="B1432" s="2" t="s">
        <v>2187</v>
      </c>
      <c r="C1432" s="2" t="s">
        <v>2188</v>
      </c>
      <c r="D1432" s="2" t="s">
        <v>5158</v>
      </c>
      <c r="E1432" s="2" t="s">
        <v>5159</v>
      </c>
      <c r="F1432" s="2">
        <v>1.62947368</v>
      </c>
      <c r="G1432" s="2">
        <v>4</v>
      </c>
      <c r="H1432" s="2">
        <f>Tabla_Items_Con_Existencia[[#This Row],[COSTO]]*Tabla_Items_Con_Existencia[[#This Row],[EXISTENCIA]]</f>
        <v>6.5178947200000001</v>
      </c>
      <c r="I1432" s="1">
        <f>IF(ISERROR(MATCH(Tabla_Items_Con_Existencia[[#This Row],[CODIGO]],Tabla_Items_Activos[CODIGO],0)),0,1)</f>
        <v>0</v>
      </c>
    </row>
    <row r="1433" spans="1:9">
      <c r="A1433" s="2" t="s">
        <v>6760</v>
      </c>
      <c r="B1433" s="2" t="s">
        <v>6938</v>
      </c>
      <c r="C1433" s="2" t="s">
        <v>6145</v>
      </c>
      <c r="D1433" s="2" t="s">
        <v>5158</v>
      </c>
      <c r="E1433" s="2" t="s">
        <v>5159</v>
      </c>
      <c r="F1433" s="2">
        <v>11.27</v>
      </c>
      <c r="G1433" s="2">
        <v>3</v>
      </c>
      <c r="H1433" s="2">
        <f>Tabla_Items_Con_Existencia[[#This Row],[COSTO]]*Tabla_Items_Con_Existencia[[#This Row],[EXISTENCIA]]</f>
        <v>33.81</v>
      </c>
      <c r="I1433" s="1">
        <f>IF(ISERROR(MATCH(Tabla_Items_Con_Existencia[[#This Row],[CODIGO]],Tabla_Items_Activos[CODIGO],0)),0,1)</f>
        <v>0</v>
      </c>
    </row>
    <row r="1434" spans="1:9">
      <c r="A1434" s="2" t="s">
        <v>6760</v>
      </c>
      <c r="B1434" s="2" t="s">
        <v>6617</v>
      </c>
      <c r="C1434" s="2" t="s">
        <v>4605</v>
      </c>
      <c r="D1434" s="2" t="s">
        <v>5161</v>
      </c>
      <c r="E1434" s="2" t="s">
        <v>5159</v>
      </c>
      <c r="F1434" s="2">
        <v>14.96</v>
      </c>
      <c r="G1434" s="2">
        <v>5</v>
      </c>
      <c r="H1434" s="2">
        <f>Tabla_Items_Con_Existencia[[#This Row],[COSTO]]*Tabla_Items_Con_Existencia[[#This Row],[EXISTENCIA]]</f>
        <v>74.800000000000011</v>
      </c>
      <c r="I1434" s="1">
        <f>IF(ISERROR(MATCH(Tabla_Items_Con_Existencia[[#This Row],[CODIGO]],Tabla_Items_Activos[CODIGO],0)),0,1)</f>
        <v>0</v>
      </c>
    </row>
    <row r="1435" spans="1:9">
      <c r="A1435" s="2" t="s">
        <v>6760</v>
      </c>
      <c r="B1435" s="2" t="s">
        <v>6358</v>
      </c>
      <c r="C1435" s="2" t="s">
        <v>6618</v>
      </c>
      <c r="D1435" s="2" t="s">
        <v>5158</v>
      </c>
      <c r="E1435" s="2" t="s">
        <v>5159</v>
      </c>
      <c r="F1435" s="2">
        <v>13.401199999999999</v>
      </c>
      <c r="G1435" s="2">
        <v>15</v>
      </c>
      <c r="H1435" s="2">
        <f>Tabla_Items_Con_Existencia[[#This Row],[COSTO]]*Tabla_Items_Con_Existencia[[#This Row],[EXISTENCIA]]</f>
        <v>201.018</v>
      </c>
      <c r="I1435" s="1">
        <f>IF(ISERROR(MATCH(Tabla_Items_Con_Existencia[[#This Row],[CODIGO]],Tabla_Items_Activos[CODIGO],0)),0,1)</f>
        <v>0</v>
      </c>
    </row>
    <row r="1436" spans="1:9">
      <c r="A1436" s="2" t="s">
        <v>6760</v>
      </c>
      <c r="B1436" s="2" t="s">
        <v>6939</v>
      </c>
      <c r="C1436" s="2" t="s">
        <v>6940</v>
      </c>
      <c r="D1436" s="2" t="s">
        <v>5158</v>
      </c>
      <c r="E1436" s="2" t="s">
        <v>5159</v>
      </c>
      <c r="F1436" s="2">
        <v>6.94</v>
      </c>
      <c r="G1436" s="2">
        <v>4</v>
      </c>
      <c r="H1436" s="2">
        <f>Tabla_Items_Con_Existencia[[#This Row],[COSTO]]*Tabla_Items_Con_Existencia[[#This Row],[EXISTENCIA]]</f>
        <v>27.76</v>
      </c>
      <c r="I1436" s="1">
        <f>IF(ISERROR(MATCH(Tabla_Items_Con_Existencia[[#This Row],[CODIGO]],Tabla_Items_Activos[CODIGO],0)),0,1)</f>
        <v>0</v>
      </c>
    </row>
    <row r="1437" spans="1:9">
      <c r="A1437" s="2" t="s">
        <v>6760</v>
      </c>
      <c r="B1437" s="2" t="s">
        <v>6619</v>
      </c>
      <c r="C1437" s="2" t="s">
        <v>4743</v>
      </c>
      <c r="D1437" s="2" t="s">
        <v>5161</v>
      </c>
      <c r="E1437" s="2" t="s">
        <v>5159</v>
      </c>
      <c r="F1437" s="2">
        <v>14.74</v>
      </c>
      <c r="G1437" s="2">
        <v>1</v>
      </c>
      <c r="H1437" s="2">
        <f>Tabla_Items_Con_Existencia[[#This Row],[COSTO]]*Tabla_Items_Con_Existencia[[#This Row],[EXISTENCIA]]</f>
        <v>14.74</v>
      </c>
      <c r="I1437" s="1">
        <f>IF(ISERROR(MATCH(Tabla_Items_Con_Existencia[[#This Row],[CODIGO]],Tabla_Items_Activos[CODIGO],0)),0,1)</f>
        <v>0</v>
      </c>
    </row>
    <row r="1438" spans="1:9">
      <c r="A1438" s="2" t="s">
        <v>6760</v>
      </c>
      <c r="B1438" s="2" t="s">
        <v>669</v>
      </c>
      <c r="C1438" s="2" t="s">
        <v>2189</v>
      </c>
      <c r="D1438" s="2" t="s">
        <v>5161</v>
      </c>
      <c r="E1438" s="2" t="s">
        <v>5159</v>
      </c>
      <c r="F1438" s="2">
        <v>2.14</v>
      </c>
      <c r="G1438" s="2">
        <v>14</v>
      </c>
      <c r="H1438" s="2">
        <f>Tabla_Items_Con_Existencia[[#This Row],[COSTO]]*Tabla_Items_Con_Existencia[[#This Row],[EXISTENCIA]]</f>
        <v>29.96</v>
      </c>
      <c r="I1438" s="1">
        <f>IF(ISERROR(MATCH(Tabla_Items_Con_Existencia[[#This Row],[CODIGO]],Tabla_Items_Activos[CODIGO],0)),0,1)</f>
        <v>0</v>
      </c>
    </row>
    <row r="1439" spans="1:9">
      <c r="A1439" s="2" t="s">
        <v>6760</v>
      </c>
      <c r="B1439" s="2" t="s">
        <v>6620</v>
      </c>
      <c r="C1439" s="2" t="s">
        <v>4769</v>
      </c>
      <c r="D1439" s="2" t="s">
        <v>5158</v>
      </c>
      <c r="E1439" s="2" t="s">
        <v>5159</v>
      </c>
      <c r="F1439" s="2">
        <v>4.54</v>
      </c>
      <c r="G1439" s="2">
        <v>2</v>
      </c>
      <c r="H1439" s="2">
        <f>Tabla_Items_Con_Existencia[[#This Row],[COSTO]]*Tabla_Items_Con_Existencia[[#This Row],[EXISTENCIA]]</f>
        <v>9.08</v>
      </c>
      <c r="I1439" s="1">
        <f>IF(ISERROR(MATCH(Tabla_Items_Con_Existencia[[#This Row],[CODIGO]],Tabla_Items_Activos[CODIGO],0)),0,1)</f>
        <v>0</v>
      </c>
    </row>
    <row r="1440" spans="1:9">
      <c r="A1440" s="2" t="s">
        <v>6760</v>
      </c>
      <c r="B1440" s="2" t="s">
        <v>6621</v>
      </c>
      <c r="C1440" s="2" t="s">
        <v>4804</v>
      </c>
      <c r="D1440" s="2" t="s">
        <v>5158</v>
      </c>
      <c r="E1440" s="2" t="s">
        <v>5159</v>
      </c>
      <c r="F1440" s="2">
        <v>4.2460000000000004</v>
      </c>
      <c r="G1440" s="2">
        <v>3</v>
      </c>
      <c r="H1440" s="2">
        <f>Tabla_Items_Con_Existencia[[#This Row],[COSTO]]*Tabla_Items_Con_Existencia[[#This Row],[EXISTENCIA]]</f>
        <v>12.738000000000001</v>
      </c>
      <c r="I1440" s="1">
        <f>IF(ISERROR(MATCH(Tabla_Items_Con_Existencia[[#This Row],[CODIGO]],Tabla_Items_Activos[CODIGO],0)),0,1)</f>
        <v>0</v>
      </c>
    </row>
    <row r="1441" spans="1:9">
      <c r="A1441" s="2" t="s">
        <v>6760</v>
      </c>
      <c r="B1441" s="2" t="s">
        <v>2190</v>
      </c>
      <c r="C1441" s="2" t="s">
        <v>2191</v>
      </c>
      <c r="D1441" s="2" t="s">
        <v>5158</v>
      </c>
      <c r="E1441" s="2" t="s">
        <v>5159</v>
      </c>
      <c r="F1441" s="2">
        <v>1.498</v>
      </c>
      <c r="G1441" s="2">
        <v>20</v>
      </c>
      <c r="H1441" s="2">
        <f>Tabla_Items_Con_Existencia[[#This Row],[COSTO]]*Tabla_Items_Con_Existencia[[#This Row],[EXISTENCIA]]</f>
        <v>29.96</v>
      </c>
      <c r="I1441" s="1">
        <f>IF(ISERROR(MATCH(Tabla_Items_Con_Existencia[[#This Row],[CODIGO]],Tabla_Items_Activos[CODIGO],0)),0,1)</f>
        <v>0</v>
      </c>
    </row>
    <row r="1442" spans="1:9">
      <c r="A1442" s="2" t="s">
        <v>6760</v>
      </c>
      <c r="B1442" s="2" t="s">
        <v>670</v>
      </c>
      <c r="C1442" s="2" t="s">
        <v>2192</v>
      </c>
      <c r="D1442" s="2" t="s">
        <v>5158</v>
      </c>
      <c r="E1442" s="2" t="s">
        <v>5159</v>
      </c>
      <c r="F1442" s="2">
        <v>2.1619999999999999</v>
      </c>
      <c r="G1442" s="2">
        <v>15</v>
      </c>
      <c r="H1442" s="2">
        <f>Tabla_Items_Con_Existencia[[#This Row],[COSTO]]*Tabla_Items_Con_Existencia[[#This Row],[EXISTENCIA]]</f>
        <v>32.43</v>
      </c>
      <c r="I1442" s="1">
        <f>IF(ISERROR(MATCH(Tabla_Items_Con_Existencia[[#This Row],[CODIGO]],Tabla_Items_Activos[CODIGO],0)),0,1)</f>
        <v>0</v>
      </c>
    </row>
    <row r="1443" spans="1:9">
      <c r="A1443" s="2" t="s">
        <v>6760</v>
      </c>
      <c r="B1443" s="2" t="s">
        <v>671</v>
      </c>
      <c r="C1443" s="2" t="s">
        <v>5506</v>
      </c>
      <c r="D1443" s="2" t="s">
        <v>5158</v>
      </c>
      <c r="E1443" s="2" t="s">
        <v>5159</v>
      </c>
      <c r="F1443" s="2">
        <v>1.6971000000000001</v>
      </c>
      <c r="G1443" s="2">
        <v>18</v>
      </c>
      <c r="H1443" s="2">
        <f>Tabla_Items_Con_Existencia[[#This Row],[COSTO]]*Tabla_Items_Con_Existencia[[#This Row],[EXISTENCIA]]</f>
        <v>30.547800000000002</v>
      </c>
      <c r="I1443" s="1">
        <f>IF(ISERROR(MATCH(Tabla_Items_Con_Existencia[[#This Row],[CODIGO]],Tabla_Items_Activos[CODIGO],0)),0,1)</f>
        <v>0</v>
      </c>
    </row>
    <row r="1444" spans="1:9">
      <c r="A1444" s="2" t="s">
        <v>6760</v>
      </c>
      <c r="B1444" s="2" t="s">
        <v>672</v>
      </c>
      <c r="C1444" s="2" t="s">
        <v>5507</v>
      </c>
      <c r="D1444" s="2" t="s">
        <v>5158</v>
      </c>
      <c r="E1444" s="2" t="s">
        <v>5159</v>
      </c>
      <c r="F1444" s="2">
        <v>0.28000000000000003</v>
      </c>
      <c r="G1444" s="2">
        <v>45</v>
      </c>
      <c r="H1444" s="2">
        <f>Tabla_Items_Con_Existencia[[#This Row],[COSTO]]*Tabla_Items_Con_Existencia[[#This Row],[EXISTENCIA]]</f>
        <v>12.600000000000001</v>
      </c>
      <c r="I1444" s="1">
        <f>IF(ISERROR(MATCH(Tabla_Items_Con_Existencia[[#This Row],[CODIGO]],Tabla_Items_Activos[CODIGO],0)),0,1)</f>
        <v>0</v>
      </c>
    </row>
    <row r="1445" spans="1:9">
      <c r="A1445" s="2" t="s">
        <v>6760</v>
      </c>
      <c r="B1445" s="2" t="s">
        <v>7338</v>
      </c>
      <c r="C1445" s="2" t="s">
        <v>7339</v>
      </c>
      <c r="D1445" s="2" t="s">
        <v>5157</v>
      </c>
      <c r="E1445" s="2" t="s">
        <v>5157</v>
      </c>
      <c r="F1445" s="2">
        <v>0</v>
      </c>
      <c r="G1445" s="2">
        <v>10</v>
      </c>
      <c r="H1445" s="2">
        <f>Tabla_Items_Con_Existencia[[#This Row],[COSTO]]*Tabla_Items_Con_Existencia[[#This Row],[EXISTENCIA]]</f>
        <v>0</v>
      </c>
      <c r="I1445" s="1">
        <f>IF(ISERROR(MATCH(Tabla_Items_Con_Existencia[[#This Row],[CODIGO]],Tabla_Items_Activos[CODIGO],0)),0,1)</f>
        <v>0</v>
      </c>
    </row>
    <row r="1446" spans="1:9">
      <c r="A1446" s="2" t="s">
        <v>6760</v>
      </c>
      <c r="B1446" s="2" t="s">
        <v>673</v>
      </c>
      <c r="C1446" s="2" t="s">
        <v>2193</v>
      </c>
      <c r="D1446" s="2" t="s">
        <v>5158</v>
      </c>
      <c r="E1446" s="2" t="s">
        <v>5159</v>
      </c>
      <c r="F1446" s="2">
        <v>1.629</v>
      </c>
      <c r="G1446" s="2">
        <v>7</v>
      </c>
      <c r="H1446" s="2">
        <f>Tabla_Items_Con_Existencia[[#This Row],[COSTO]]*Tabla_Items_Con_Existencia[[#This Row],[EXISTENCIA]]</f>
        <v>11.403</v>
      </c>
      <c r="I1446" s="1">
        <f>IF(ISERROR(MATCH(Tabla_Items_Con_Existencia[[#This Row],[CODIGO]],Tabla_Items_Activos[CODIGO],0)),0,1)</f>
        <v>0</v>
      </c>
    </row>
    <row r="1447" spans="1:9">
      <c r="A1447" s="2" t="s">
        <v>6760</v>
      </c>
      <c r="B1447" s="2" t="s">
        <v>674</v>
      </c>
      <c r="C1447" s="2" t="s">
        <v>2194</v>
      </c>
      <c r="D1447" s="2" t="s">
        <v>5158</v>
      </c>
      <c r="E1447" s="2" t="s">
        <v>5159</v>
      </c>
      <c r="F1447" s="2">
        <v>1.629</v>
      </c>
      <c r="G1447" s="2">
        <v>13</v>
      </c>
      <c r="H1447" s="2">
        <f>Tabla_Items_Con_Existencia[[#This Row],[COSTO]]*Tabla_Items_Con_Existencia[[#This Row],[EXISTENCIA]]</f>
        <v>21.177</v>
      </c>
      <c r="I1447" s="1">
        <f>IF(ISERROR(MATCH(Tabla_Items_Con_Existencia[[#This Row],[CODIGO]],Tabla_Items_Activos[CODIGO],0)),0,1)</f>
        <v>0</v>
      </c>
    </row>
    <row r="1448" spans="1:9">
      <c r="A1448" s="2" t="s">
        <v>6760</v>
      </c>
      <c r="B1448" s="2" t="s">
        <v>675</v>
      </c>
      <c r="C1448" s="2" t="s">
        <v>2195</v>
      </c>
      <c r="D1448" s="2" t="s">
        <v>5158</v>
      </c>
      <c r="E1448" s="2" t="s">
        <v>5159</v>
      </c>
      <c r="F1448" s="2">
        <v>18.88</v>
      </c>
      <c r="G1448" s="2">
        <v>8</v>
      </c>
      <c r="H1448" s="2">
        <f>Tabla_Items_Con_Existencia[[#This Row],[COSTO]]*Tabla_Items_Con_Existencia[[#This Row],[EXISTENCIA]]</f>
        <v>151.04</v>
      </c>
      <c r="I1448" s="1">
        <f>IF(ISERROR(MATCH(Tabla_Items_Con_Existencia[[#This Row],[CODIGO]],Tabla_Items_Activos[CODIGO],0)),0,1)</f>
        <v>0</v>
      </c>
    </row>
    <row r="1449" spans="1:9">
      <c r="A1449" s="2" t="s">
        <v>6760</v>
      </c>
      <c r="B1449" s="2" t="s">
        <v>676</v>
      </c>
      <c r="C1449" s="2" t="s">
        <v>6335</v>
      </c>
      <c r="D1449" s="2" t="s">
        <v>5186</v>
      </c>
      <c r="E1449" s="2" t="s">
        <v>5159</v>
      </c>
      <c r="F1449" s="2">
        <v>61.627000000000002</v>
      </c>
      <c r="G1449" s="2">
        <v>3</v>
      </c>
      <c r="H1449" s="2">
        <f>Tabla_Items_Con_Existencia[[#This Row],[COSTO]]*Tabla_Items_Con_Existencia[[#This Row],[EXISTENCIA]]</f>
        <v>184.881</v>
      </c>
      <c r="I1449" s="1">
        <f>IF(ISERROR(MATCH(Tabla_Items_Con_Existencia[[#This Row],[CODIGO]],Tabla_Items_Activos[CODIGO],0)),0,1)</f>
        <v>0</v>
      </c>
    </row>
    <row r="1450" spans="1:9">
      <c r="A1450" s="2" t="s">
        <v>6760</v>
      </c>
      <c r="B1450" s="2" t="s">
        <v>7245</v>
      </c>
      <c r="C1450" s="2" t="s">
        <v>7246</v>
      </c>
      <c r="D1450" s="2" t="s">
        <v>5200</v>
      </c>
      <c r="E1450" s="2" t="s">
        <v>5159</v>
      </c>
      <c r="F1450" s="2">
        <v>0</v>
      </c>
      <c r="G1450" s="2">
        <v>1</v>
      </c>
      <c r="H1450" s="2">
        <f>Tabla_Items_Con_Existencia[[#This Row],[COSTO]]*Tabla_Items_Con_Existencia[[#This Row],[EXISTENCIA]]</f>
        <v>0</v>
      </c>
      <c r="I1450" s="1">
        <f>IF(ISERROR(MATCH(Tabla_Items_Con_Existencia[[#This Row],[CODIGO]],Tabla_Items_Activos[CODIGO],0)),0,1)</f>
        <v>0</v>
      </c>
    </row>
    <row r="1451" spans="1:9">
      <c r="A1451" s="2" t="s">
        <v>6760</v>
      </c>
      <c r="B1451" s="2" t="s">
        <v>677</v>
      </c>
      <c r="C1451" s="2" t="s">
        <v>2197</v>
      </c>
      <c r="D1451" s="2" t="s">
        <v>5188</v>
      </c>
      <c r="E1451" s="2" t="s">
        <v>5159</v>
      </c>
      <c r="F1451" s="2">
        <v>25.435199999999998</v>
      </c>
      <c r="G1451" s="2">
        <v>9</v>
      </c>
      <c r="H1451" s="2">
        <f>Tabla_Items_Con_Existencia[[#This Row],[COSTO]]*Tabla_Items_Con_Existencia[[#This Row],[EXISTENCIA]]</f>
        <v>228.91679999999999</v>
      </c>
      <c r="I1451" s="1">
        <f>IF(ISERROR(MATCH(Tabla_Items_Con_Existencia[[#This Row],[CODIGO]],Tabla_Items_Activos[CODIGO],0)),0,1)</f>
        <v>0</v>
      </c>
    </row>
    <row r="1452" spans="1:9">
      <c r="A1452" s="2" t="s">
        <v>6760</v>
      </c>
      <c r="B1452" s="2" t="s">
        <v>678</v>
      </c>
      <c r="C1452" s="2" t="s">
        <v>6336</v>
      </c>
      <c r="D1452" s="2" t="s">
        <v>5158</v>
      </c>
      <c r="E1452" s="2" t="s">
        <v>5159</v>
      </c>
      <c r="F1452" s="2">
        <v>64.69</v>
      </c>
      <c r="G1452" s="2">
        <v>5</v>
      </c>
      <c r="H1452" s="2">
        <f>Tabla_Items_Con_Existencia[[#This Row],[COSTO]]*Tabla_Items_Con_Existencia[[#This Row],[EXISTENCIA]]</f>
        <v>323.45</v>
      </c>
      <c r="I1452" s="1">
        <f>IF(ISERROR(MATCH(Tabla_Items_Con_Existencia[[#This Row],[CODIGO]],Tabla_Items_Activos[CODIGO],0)),0,1)</f>
        <v>0</v>
      </c>
    </row>
    <row r="1453" spans="1:9">
      <c r="A1453" s="2" t="s">
        <v>6760</v>
      </c>
      <c r="B1453" s="2" t="s">
        <v>679</v>
      </c>
      <c r="C1453" s="2" t="s">
        <v>2199</v>
      </c>
      <c r="D1453" s="2" t="s">
        <v>5186</v>
      </c>
      <c r="E1453" s="2" t="s">
        <v>5159</v>
      </c>
      <c r="F1453" s="2">
        <v>11.452</v>
      </c>
      <c r="G1453" s="2">
        <v>4</v>
      </c>
      <c r="H1453" s="2">
        <f>Tabla_Items_Con_Existencia[[#This Row],[COSTO]]*Tabla_Items_Con_Existencia[[#This Row],[EXISTENCIA]]</f>
        <v>45.808</v>
      </c>
      <c r="I1453" s="1">
        <f>IF(ISERROR(MATCH(Tabla_Items_Con_Existencia[[#This Row],[CODIGO]],Tabla_Items_Activos[CODIGO],0)),0,1)</f>
        <v>0</v>
      </c>
    </row>
    <row r="1454" spans="1:9">
      <c r="A1454" s="2" t="s">
        <v>6760</v>
      </c>
      <c r="B1454" s="2" t="s">
        <v>2200</v>
      </c>
      <c r="C1454" s="2" t="s">
        <v>6941</v>
      </c>
      <c r="D1454" s="2" t="s">
        <v>5186</v>
      </c>
      <c r="E1454" s="2" t="s">
        <v>5159</v>
      </c>
      <c r="F1454" s="2">
        <v>4.46</v>
      </c>
      <c r="G1454" s="2">
        <v>3</v>
      </c>
      <c r="H1454" s="2">
        <f>Tabla_Items_Con_Existencia[[#This Row],[COSTO]]*Tabla_Items_Con_Existencia[[#This Row],[EXISTENCIA]]</f>
        <v>13.379999999999999</v>
      </c>
      <c r="I1454" s="1">
        <f>IF(ISERROR(MATCH(Tabla_Items_Con_Existencia[[#This Row],[CODIGO]],Tabla_Items_Activos[CODIGO],0)),0,1)</f>
        <v>0</v>
      </c>
    </row>
    <row r="1455" spans="1:9">
      <c r="A1455" s="2" t="s">
        <v>6760</v>
      </c>
      <c r="B1455" s="2" t="s">
        <v>680</v>
      </c>
      <c r="C1455" s="2" t="s">
        <v>2202</v>
      </c>
      <c r="D1455" s="2" t="s">
        <v>5187</v>
      </c>
      <c r="E1455" s="2" t="s">
        <v>5159</v>
      </c>
      <c r="F1455" s="2">
        <v>3.48</v>
      </c>
      <c r="G1455" s="2">
        <v>2</v>
      </c>
      <c r="H1455" s="2">
        <f>Tabla_Items_Con_Existencia[[#This Row],[COSTO]]*Tabla_Items_Con_Existencia[[#This Row],[EXISTENCIA]]</f>
        <v>6.96</v>
      </c>
      <c r="I1455" s="1">
        <f>IF(ISERROR(MATCH(Tabla_Items_Con_Existencia[[#This Row],[CODIGO]],Tabla_Items_Activos[CODIGO],0)),0,1)</f>
        <v>0</v>
      </c>
    </row>
    <row r="1456" spans="1:9">
      <c r="A1456" s="2" t="s">
        <v>6760</v>
      </c>
      <c r="B1456" s="2" t="s">
        <v>681</v>
      </c>
      <c r="C1456" s="2" t="s">
        <v>2203</v>
      </c>
      <c r="D1456" s="2" t="s">
        <v>5186</v>
      </c>
      <c r="E1456" s="2" t="s">
        <v>5159</v>
      </c>
      <c r="F1456" s="2">
        <v>60.39</v>
      </c>
      <c r="G1456" s="2">
        <v>2</v>
      </c>
      <c r="H1456" s="2">
        <f>Tabla_Items_Con_Existencia[[#This Row],[COSTO]]*Tabla_Items_Con_Existencia[[#This Row],[EXISTENCIA]]</f>
        <v>120.78</v>
      </c>
      <c r="I1456" s="1">
        <f>IF(ISERROR(MATCH(Tabla_Items_Con_Existencia[[#This Row],[CODIGO]],Tabla_Items_Activos[CODIGO],0)),0,1)</f>
        <v>0</v>
      </c>
    </row>
    <row r="1457" spans="1:9">
      <c r="A1457" s="2" t="s">
        <v>6760</v>
      </c>
      <c r="B1457" s="2" t="s">
        <v>682</v>
      </c>
      <c r="C1457" s="2" t="s">
        <v>2204</v>
      </c>
      <c r="D1457" s="2" t="s">
        <v>5186</v>
      </c>
      <c r="E1457" s="2" t="s">
        <v>5159</v>
      </c>
      <c r="F1457" s="2">
        <v>68.198499999999996</v>
      </c>
      <c r="G1457" s="2">
        <v>1</v>
      </c>
      <c r="H1457" s="2">
        <f>Tabla_Items_Con_Existencia[[#This Row],[COSTO]]*Tabla_Items_Con_Existencia[[#This Row],[EXISTENCIA]]</f>
        <v>68.198499999999996</v>
      </c>
      <c r="I1457" s="1">
        <f>IF(ISERROR(MATCH(Tabla_Items_Con_Existencia[[#This Row],[CODIGO]],Tabla_Items_Activos[CODIGO],0)),0,1)</f>
        <v>0</v>
      </c>
    </row>
    <row r="1458" spans="1:9">
      <c r="A1458" s="2" t="s">
        <v>6761</v>
      </c>
      <c r="B1458" s="2" t="s">
        <v>683</v>
      </c>
      <c r="C1458" s="2" t="s">
        <v>2205</v>
      </c>
      <c r="D1458" s="2" t="s">
        <v>5186</v>
      </c>
      <c r="E1458" s="2" t="s">
        <v>5159</v>
      </c>
      <c r="F1458" s="2">
        <v>31.96730526</v>
      </c>
      <c r="G1458" s="2">
        <v>6</v>
      </c>
      <c r="H1458" s="2">
        <f>Tabla_Items_Con_Existencia[[#This Row],[COSTO]]*Tabla_Items_Con_Existencia[[#This Row],[EXISTENCIA]]</f>
        <v>191.80383155999999</v>
      </c>
      <c r="I1458" s="1">
        <f>IF(ISERROR(MATCH(Tabla_Items_Con_Existencia[[#This Row],[CODIGO]],Tabla_Items_Activos[CODIGO],0)),0,1)</f>
        <v>0</v>
      </c>
    </row>
    <row r="1459" spans="1:9">
      <c r="A1459" s="2" t="s">
        <v>6760</v>
      </c>
      <c r="B1459" s="2" t="s">
        <v>683</v>
      </c>
      <c r="C1459" s="2" t="s">
        <v>2205</v>
      </c>
      <c r="D1459" s="2" t="s">
        <v>5186</v>
      </c>
      <c r="E1459" s="2" t="s">
        <v>5159</v>
      </c>
      <c r="F1459" s="2">
        <v>31.96730526</v>
      </c>
      <c r="G1459" s="2">
        <v>6</v>
      </c>
      <c r="H1459" s="2">
        <f>Tabla_Items_Con_Existencia[[#This Row],[COSTO]]*Tabla_Items_Con_Existencia[[#This Row],[EXISTENCIA]]</f>
        <v>191.80383155999999</v>
      </c>
      <c r="I1459" s="1">
        <f>IF(ISERROR(MATCH(Tabla_Items_Con_Existencia[[#This Row],[CODIGO]],Tabla_Items_Activos[CODIGO],0)),0,1)</f>
        <v>0</v>
      </c>
    </row>
    <row r="1460" spans="1:9">
      <c r="A1460" s="2" t="s">
        <v>6760</v>
      </c>
      <c r="B1460" s="2" t="s">
        <v>684</v>
      </c>
      <c r="C1460" s="2" t="s">
        <v>1929</v>
      </c>
      <c r="D1460" s="2" t="s">
        <v>5186</v>
      </c>
      <c r="E1460" s="2" t="s">
        <v>5159</v>
      </c>
      <c r="F1460" s="2">
        <v>11.74</v>
      </c>
      <c r="G1460" s="2">
        <v>7</v>
      </c>
      <c r="H1460" s="2">
        <f>Tabla_Items_Con_Existencia[[#This Row],[COSTO]]*Tabla_Items_Con_Existencia[[#This Row],[EXISTENCIA]]</f>
        <v>82.18</v>
      </c>
      <c r="I1460" s="1">
        <f>IF(ISERROR(MATCH(Tabla_Items_Con_Existencia[[#This Row],[CODIGO]],Tabla_Items_Activos[CODIGO],0)),0,1)</f>
        <v>0</v>
      </c>
    </row>
    <row r="1461" spans="1:9">
      <c r="A1461" s="2" t="s">
        <v>6760</v>
      </c>
      <c r="B1461" s="2" t="s">
        <v>685</v>
      </c>
      <c r="C1461" s="2" t="s">
        <v>2206</v>
      </c>
      <c r="D1461" s="2" t="s">
        <v>5158</v>
      </c>
      <c r="E1461" s="2" t="s">
        <v>5159</v>
      </c>
      <c r="F1461" s="2">
        <v>38.466999999999999</v>
      </c>
      <c r="G1461" s="2">
        <v>3</v>
      </c>
      <c r="H1461" s="2">
        <f>Tabla_Items_Con_Existencia[[#This Row],[COSTO]]*Tabla_Items_Con_Existencia[[#This Row],[EXISTENCIA]]</f>
        <v>115.401</v>
      </c>
      <c r="I1461" s="1">
        <f>IF(ISERROR(MATCH(Tabla_Items_Con_Existencia[[#This Row],[CODIGO]],Tabla_Items_Activos[CODIGO],0)),0,1)</f>
        <v>0</v>
      </c>
    </row>
    <row r="1462" spans="1:9">
      <c r="A1462" s="2" t="s">
        <v>6760</v>
      </c>
      <c r="B1462" s="2" t="s">
        <v>686</v>
      </c>
      <c r="C1462" s="2" t="s">
        <v>2207</v>
      </c>
      <c r="D1462" s="2" t="s">
        <v>5186</v>
      </c>
      <c r="E1462" s="2" t="s">
        <v>5159</v>
      </c>
      <c r="F1462" s="2">
        <v>20.399799999999999</v>
      </c>
      <c r="G1462" s="2">
        <v>5</v>
      </c>
      <c r="H1462" s="2">
        <f>Tabla_Items_Con_Existencia[[#This Row],[COSTO]]*Tabla_Items_Con_Existencia[[#This Row],[EXISTENCIA]]</f>
        <v>101.999</v>
      </c>
      <c r="I1462" s="1">
        <f>IF(ISERROR(MATCH(Tabla_Items_Con_Existencia[[#This Row],[CODIGO]],Tabla_Items_Activos[CODIGO],0)),0,1)</f>
        <v>0</v>
      </c>
    </row>
    <row r="1463" spans="1:9">
      <c r="A1463" s="2" t="s">
        <v>6760</v>
      </c>
      <c r="B1463" s="2" t="s">
        <v>687</v>
      </c>
      <c r="C1463" s="2" t="s">
        <v>2208</v>
      </c>
      <c r="D1463" s="2" t="s">
        <v>5158</v>
      </c>
      <c r="E1463" s="2" t="s">
        <v>5159</v>
      </c>
      <c r="F1463" s="2">
        <v>8.8910999999999998</v>
      </c>
      <c r="G1463" s="2">
        <v>22</v>
      </c>
      <c r="H1463" s="2">
        <f>Tabla_Items_Con_Existencia[[#This Row],[COSTO]]*Tabla_Items_Con_Existencia[[#This Row],[EXISTENCIA]]</f>
        <v>195.60419999999999</v>
      </c>
      <c r="I1463" s="1">
        <f>IF(ISERROR(MATCH(Tabla_Items_Con_Existencia[[#This Row],[CODIGO]],Tabla_Items_Activos[CODIGO],0)),0,1)</f>
        <v>0</v>
      </c>
    </row>
    <row r="1464" spans="1:9">
      <c r="A1464" s="2" t="s">
        <v>6760</v>
      </c>
      <c r="B1464" s="2" t="s">
        <v>688</v>
      </c>
      <c r="C1464" s="2" t="s">
        <v>7340</v>
      </c>
      <c r="D1464" s="2" t="s">
        <v>5158</v>
      </c>
      <c r="E1464" s="2" t="s">
        <v>5159</v>
      </c>
      <c r="F1464" s="2">
        <v>7.8070000000000004</v>
      </c>
      <c r="G1464" s="2">
        <v>3</v>
      </c>
      <c r="H1464" s="2">
        <f>Tabla_Items_Con_Existencia[[#This Row],[COSTO]]*Tabla_Items_Con_Existencia[[#This Row],[EXISTENCIA]]</f>
        <v>23.420999999999999</v>
      </c>
      <c r="I1464" s="1">
        <f>IF(ISERROR(MATCH(Tabla_Items_Con_Existencia[[#This Row],[CODIGO]],Tabla_Items_Activos[CODIGO],0)),0,1)</f>
        <v>0</v>
      </c>
    </row>
    <row r="1465" spans="1:9">
      <c r="A1465" s="2" t="s">
        <v>6760</v>
      </c>
      <c r="B1465" s="2" t="s">
        <v>7247</v>
      </c>
      <c r="C1465" s="2" t="s">
        <v>7248</v>
      </c>
      <c r="D1465" s="2" t="s">
        <v>5186</v>
      </c>
      <c r="E1465" s="2" t="s">
        <v>5159</v>
      </c>
      <c r="F1465" s="2">
        <v>0</v>
      </c>
      <c r="G1465" s="2">
        <v>2</v>
      </c>
      <c r="H1465" s="2">
        <f>Tabla_Items_Con_Existencia[[#This Row],[COSTO]]*Tabla_Items_Con_Existencia[[#This Row],[EXISTENCIA]]</f>
        <v>0</v>
      </c>
      <c r="I1465" s="1">
        <f>IF(ISERROR(MATCH(Tabla_Items_Con_Existencia[[#This Row],[CODIGO]],Tabla_Items_Activos[CODIGO],0)),0,1)</f>
        <v>0</v>
      </c>
    </row>
    <row r="1466" spans="1:9">
      <c r="A1466" s="2" t="s">
        <v>6760</v>
      </c>
      <c r="B1466" s="2" t="s">
        <v>2210</v>
      </c>
      <c r="C1466" s="2" t="s">
        <v>2211</v>
      </c>
      <c r="D1466" s="2" t="s">
        <v>5194</v>
      </c>
      <c r="E1466" s="2" t="s">
        <v>5159</v>
      </c>
      <c r="F1466" s="2">
        <v>13.61</v>
      </c>
      <c r="G1466" s="2">
        <v>3</v>
      </c>
      <c r="H1466" s="2">
        <f>Tabla_Items_Con_Existencia[[#This Row],[COSTO]]*Tabla_Items_Con_Existencia[[#This Row],[EXISTENCIA]]</f>
        <v>40.83</v>
      </c>
      <c r="I1466" s="1">
        <f>IF(ISERROR(MATCH(Tabla_Items_Con_Existencia[[#This Row],[CODIGO]],Tabla_Items_Activos[CODIGO],0)),0,1)</f>
        <v>0</v>
      </c>
    </row>
    <row r="1467" spans="1:9">
      <c r="A1467" s="2" t="s">
        <v>6760</v>
      </c>
      <c r="B1467" s="2" t="s">
        <v>5508</v>
      </c>
      <c r="C1467" s="2" t="s">
        <v>5509</v>
      </c>
      <c r="D1467" s="2" t="s">
        <v>5161</v>
      </c>
      <c r="E1467" s="2" t="s">
        <v>5159</v>
      </c>
      <c r="F1467" s="2">
        <v>11.97</v>
      </c>
      <c r="G1467" s="2">
        <v>4</v>
      </c>
      <c r="H1467" s="2">
        <f>Tabla_Items_Con_Existencia[[#This Row],[COSTO]]*Tabla_Items_Con_Existencia[[#This Row],[EXISTENCIA]]</f>
        <v>47.88</v>
      </c>
      <c r="I1467" s="1">
        <f>IF(ISERROR(MATCH(Tabla_Items_Con_Existencia[[#This Row],[CODIGO]],Tabla_Items_Activos[CODIGO],0)),0,1)</f>
        <v>0</v>
      </c>
    </row>
    <row r="1468" spans="1:9">
      <c r="A1468" s="2" t="s">
        <v>6760</v>
      </c>
      <c r="B1468" s="2" t="s">
        <v>689</v>
      </c>
      <c r="C1468" s="2" t="s">
        <v>2212</v>
      </c>
      <c r="D1468" s="2" t="s">
        <v>5188</v>
      </c>
      <c r="E1468" s="2" t="s">
        <v>5159</v>
      </c>
      <c r="F1468" s="2">
        <v>3.952</v>
      </c>
      <c r="G1468" s="2">
        <v>6</v>
      </c>
      <c r="H1468" s="2">
        <f>Tabla_Items_Con_Existencia[[#This Row],[COSTO]]*Tabla_Items_Con_Existencia[[#This Row],[EXISTENCIA]]</f>
        <v>23.712</v>
      </c>
      <c r="I1468" s="1">
        <f>IF(ISERROR(MATCH(Tabla_Items_Con_Existencia[[#This Row],[CODIGO]],Tabla_Items_Activos[CODIGO],0)),0,1)</f>
        <v>0</v>
      </c>
    </row>
    <row r="1469" spans="1:9">
      <c r="A1469" s="2" t="s">
        <v>6760</v>
      </c>
      <c r="B1469" s="2" t="s">
        <v>690</v>
      </c>
      <c r="C1469" s="2" t="s">
        <v>2213</v>
      </c>
      <c r="D1469" s="2" t="s">
        <v>5158</v>
      </c>
      <c r="E1469" s="2" t="s">
        <v>5159</v>
      </c>
      <c r="F1469" s="2">
        <v>7.6148999999999996</v>
      </c>
      <c r="G1469" s="2">
        <v>19</v>
      </c>
      <c r="H1469" s="2">
        <f>Tabla_Items_Con_Existencia[[#This Row],[COSTO]]*Tabla_Items_Con_Existencia[[#This Row],[EXISTENCIA]]</f>
        <v>144.6831</v>
      </c>
      <c r="I1469" s="1">
        <f>IF(ISERROR(MATCH(Tabla_Items_Con_Existencia[[#This Row],[CODIGO]],Tabla_Items_Activos[CODIGO],0)),0,1)</f>
        <v>0</v>
      </c>
    </row>
    <row r="1470" spans="1:9">
      <c r="A1470" s="2" t="s">
        <v>6760</v>
      </c>
      <c r="B1470" s="2" t="s">
        <v>691</v>
      </c>
      <c r="C1470" s="2" t="s">
        <v>2214</v>
      </c>
      <c r="D1470" s="2" t="s">
        <v>5186</v>
      </c>
      <c r="E1470" s="2" t="s">
        <v>5159</v>
      </c>
      <c r="F1470" s="2">
        <v>43.29</v>
      </c>
      <c r="G1470" s="2">
        <v>3</v>
      </c>
      <c r="H1470" s="2">
        <f>Tabla_Items_Con_Existencia[[#This Row],[COSTO]]*Tabla_Items_Con_Existencia[[#This Row],[EXISTENCIA]]</f>
        <v>129.87</v>
      </c>
      <c r="I1470" s="1">
        <f>IF(ISERROR(MATCH(Tabla_Items_Con_Existencia[[#This Row],[CODIGO]],Tabla_Items_Activos[CODIGO],0)),0,1)</f>
        <v>0</v>
      </c>
    </row>
    <row r="1471" spans="1:9">
      <c r="A1471" s="2" t="s">
        <v>6760</v>
      </c>
      <c r="B1471" s="2" t="s">
        <v>692</v>
      </c>
      <c r="C1471" s="2" t="s">
        <v>2215</v>
      </c>
      <c r="D1471" s="2" t="s">
        <v>5186</v>
      </c>
      <c r="E1471" s="2" t="s">
        <v>5159</v>
      </c>
      <c r="F1471" s="2">
        <v>18.59</v>
      </c>
      <c r="G1471" s="2">
        <v>3</v>
      </c>
      <c r="H1471" s="2">
        <f>Tabla_Items_Con_Existencia[[#This Row],[COSTO]]*Tabla_Items_Con_Existencia[[#This Row],[EXISTENCIA]]</f>
        <v>55.769999999999996</v>
      </c>
      <c r="I1471" s="1">
        <f>IF(ISERROR(MATCH(Tabla_Items_Con_Existencia[[#This Row],[CODIGO]],Tabla_Items_Activos[CODIGO],0)),0,1)</f>
        <v>0</v>
      </c>
    </row>
    <row r="1472" spans="1:9">
      <c r="A1472" s="2" t="s">
        <v>6760</v>
      </c>
      <c r="B1472" s="2" t="s">
        <v>693</v>
      </c>
      <c r="C1472" s="2" t="s">
        <v>2215</v>
      </c>
      <c r="D1472" s="2" t="s">
        <v>5186</v>
      </c>
      <c r="E1472" s="2" t="s">
        <v>5159</v>
      </c>
      <c r="F1472" s="2">
        <v>15.0548</v>
      </c>
      <c r="G1472" s="2">
        <v>10</v>
      </c>
      <c r="H1472" s="2">
        <f>Tabla_Items_Con_Existencia[[#This Row],[COSTO]]*Tabla_Items_Con_Existencia[[#This Row],[EXISTENCIA]]</f>
        <v>150.548</v>
      </c>
      <c r="I1472" s="1">
        <f>IF(ISERROR(MATCH(Tabla_Items_Con_Existencia[[#This Row],[CODIGO]],Tabla_Items_Activos[CODIGO],0)),0,1)</f>
        <v>0</v>
      </c>
    </row>
    <row r="1473" spans="1:9">
      <c r="A1473" s="2" t="s">
        <v>6760</v>
      </c>
      <c r="B1473" s="2" t="s">
        <v>6942</v>
      </c>
      <c r="C1473" s="2" t="s">
        <v>6943</v>
      </c>
      <c r="D1473" s="2" t="s">
        <v>5186</v>
      </c>
      <c r="E1473" s="2" t="s">
        <v>5159</v>
      </c>
      <c r="F1473" s="2">
        <v>15.91</v>
      </c>
      <c r="G1473" s="2">
        <v>2</v>
      </c>
      <c r="H1473" s="2">
        <f>Tabla_Items_Con_Existencia[[#This Row],[COSTO]]*Tabla_Items_Con_Existencia[[#This Row],[EXISTENCIA]]</f>
        <v>31.82</v>
      </c>
      <c r="I1473" s="1">
        <f>IF(ISERROR(MATCH(Tabla_Items_Con_Existencia[[#This Row],[CODIGO]],Tabla_Items_Activos[CODIGO],0)),0,1)</f>
        <v>0</v>
      </c>
    </row>
    <row r="1474" spans="1:9">
      <c r="A1474" s="2" t="s">
        <v>6760</v>
      </c>
      <c r="B1474" s="2" t="s">
        <v>7341</v>
      </c>
      <c r="C1474" s="2" t="s">
        <v>7342</v>
      </c>
      <c r="D1474" s="2" t="s">
        <v>5186</v>
      </c>
      <c r="E1474" s="2" t="s">
        <v>5159</v>
      </c>
      <c r="F1474" s="2">
        <v>28.08</v>
      </c>
      <c r="G1474" s="2">
        <v>2</v>
      </c>
      <c r="H1474" s="2">
        <f>Tabla_Items_Con_Existencia[[#This Row],[COSTO]]*Tabla_Items_Con_Existencia[[#This Row],[EXISTENCIA]]</f>
        <v>56.16</v>
      </c>
      <c r="I1474" s="1">
        <f>IF(ISERROR(MATCH(Tabla_Items_Con_Existencia[[#This Row],[CODIGO]],Tabla_Items_Activos[CODIGO],0)),0,1)</f>
        <v>0</v>
      </c>
    </row>
    <row r="1475" spans="1:9">
      <c r="A1475" s="2" t="s">
        <v>6760</v>
      </c>
      <c r="B1475" s="2" t="s">
        <v>694</v>
      </c>
      <c r="C1475" s="2" t="s">
        <v>2216</v>
      </c>
      <c r="D1475" s="2" t="s">
        <v>5187</v>
      </c>
      <c r="E1475" s="2" t="s">
        <v>5159</v>
      </c>
      <c r="F1475" s="2">
        <v>20.41</v>
      </c>
      <c r="G1475" s="2">
        <v>2</v>
      </c>
      <c r="H1475" s="2">
        <f>Tabla_Items_Con_Existencia[[#This Row],[COSTO]]*Tabla_Items_Con_Existencia[[#This Row],[EXISTENCIA]]</f>
        <v>40.82</v>
      </c>
      <c r="I1475" s="1">
        <f>IF(ISERROR(MATCH(Tabla_Items_Con_Existencia[[#This Row],[CODIGO]],Tabla_Items_Activos[CODIGO],0)),0,1)</f>
        <v>0</v>
      </c>
    </row>
    <row r="1476" spans="1:9">
      <c r="A1476" s="2" t="s">
        <v>6760</v>
      </c>
      <c r="B1476" s="2" t="s">
        <v>695</v>
      </c>
      <c r="C1476" s="2" t="s">
        <v>2217</v>
      </c>
      <c r="D1476" s="2" t="s">
        <v>5158</v>
      </c>
      <c r="E1476" s="2" t="s">
        <v>5159</v>
      </c>
      <c r="F1476" s="2">
        <v>51.908999999999999</v>
      </c>
      <c r="G1476" s="2">
        <v>14</v>
      </c>
      <c r="H1476" s="2">
        <f>Tabla_Items_Con_Existencia[[#This Row],[COSTO]]*Tabla_Items_Con_Existencia[[#This Row],[EXISTENCIA]]</f>
        <v>726.726</v>
      </c>
      <c r="I1476" s="1">
        <f>IF(ISERROR(MATCH(Tabla_Items_Con_Existencia[[#This Row],[CODIGO]],Tabla_Items_Activos[CODIGO],0)),0,1)</f>
        <v>0</v>
      </c>
    </row>
    <row r="1477" spans="1:9">
      <c r="A1477" s="2" t="s">
        <v>6760</v>
      </c>
      <c r="B1477" s="2" t="s">
        <v>696</v>
      </c>
      <c r="C1477" s="2" t="s">
        <v>2218</v>
      </c>
      <c r="D1477" s="2" t="s">
        <v>5158</v>
      </c>
      <c r="E1477" s="2" t="s">
        <v>5159</v>
      </c>
      <c r="F1477" s="2">
        <v>74.254000000000005</v>
      </c>
      <c r="G1477" s="2">
        <v>3</v>
      </c>
      <c r="H1477" s="2">
        <f>Tabla_Items_Con_Existencia[[#This Row],[COSTO]]*Tabla_Items_Con_Existencia[[#This Row],[EXISTENCIA]]</f>
        <v>222.762</v>
      </c>
      <c r="I1477" s="1">
        <f>IF(ISERROR(MATCH(Tabla_Items_Con_Existencia[[#This Row],[CODIGO]],Tabla_Items_Activos[CODIGO],0)),0,1)</f>
        <v>0</v>
      </c>
    </row>
    <row r="1478" spans="1:9">
      <c r="A1478" s="2" t="s">
        <v>6760</v>
      </c>
      <c r="B1478" s="2" t="s">
        <v>697</v>
      </c>
      <c r="C1478" s="2" t="s">
        <v>2219</v>
      </c>
      <c r="D1478" s="2" t="s">
        <v>5158</v>
      </c>
      <c r="E1478" s="2" t="s">
        <v>5159</v>
      </c>
      <c r="F1478" s="2">
        <v>28.102</v>
      </c>
      <c r="G1478" s="2">
        <v>7</v>
      </c>
      <c r="H1478" s="2">
        <f>Tabla_Items_Con_Existencia[[#This Row],[COSTO]]*Tabla_Items_Con_Existencia[[#This Row],[EXISTENCIA]]</f>
        <v>196.714</v>
      </c>
      <c r="I1478" s="1">
        <f>IF(ISERROR(MATCH(Tabla_Items_Con_Existencia[[#This Row],[CODIGO]],Tabla_Items_Activos[CODIGO],0)),0,1)</f>
        <v>0</v>
      </c>
    </row>
    <row r="1479" spans="1:9">
      <c r="A1479" s="2" t="s">
        <v>6760</v>
      </c>
      <c r="B1479" s="2" t="s">
        <v>2220</v>
      </c>
      <c r="C1479" s="2" t="s">
        <v>2221</v>
      </c>
      <c r="D1479" s="2" t="s">
        <v>5158</v>
      </c>
      <c r="E1479" s="2" t="s">
        <v>5159</v>
      </c>
      <c r="F1479" s="2">
        <v>11.72</v>
      </c>
      <c r="G1479" s="2">
        <v>2</v>
      </c>
      <c r="H1479" s="2">
        <f>Tabla_Items_Con_Existencia[[#This Row],[COSTO]]*Tabla_Items_Con_Existencia[[#This Row],[EXISTENCIA]]</f>
        <v>23.44</v>
      </c>
      <c r="I1479" s="1">
        <f>IF(ISERROR(MATCH(Tabla_Items_Con_Existencia[[#This Row],[CODIGO]],Tabla_Items_Activos[CODIGO],0)),0,1)</f>
        <v>0</v>
      </c>
    </row>
    <row r="1480" spans="1:9">
      <c r="A1480" s="2" t="s">
        <v>6760</v>
      </c>
      <c r="B1480" s="2" t="s">
        <v>698</v>
      </c>
      <c r="C1480" s="2" t="s">
        <v>2221</v>
      </c>
      <c r="D1480" s="2" t="s">
        <v>5158</v>
      </c>
      <c r="E1480" s="2" t="s">
        <v>5159</v>
      </c>
      <c r="F1480" s="2">
        <v>9.5299999999999994</v>
      </c>
      <c r="G1480" s="2">
        <v>7</v>
      </c>
      <c r="H1480" s="2">
        <f>Tabla_Items_Con_Existencia[[#This Row],[COSTO]]*Tabla_Items_Con_Existencia[[#This Row],[EXISTENCIA]]</f>
        <v>66.709999999999994</v>
      </c>
      <c r="I1480" s="1">
        <f>IF(ISERROR(MATCH(Tabla_Items_Con_Existencia[[#This Row],[CODIGO]],Tabla_Items_Activos[CODIGO],0)),0,1)</f>
        <v>0</v>
      </c>
    </row>
    <row r="1481" spans="1:9">
      <c r="A1481" s="2" t="s">
        <v>6760</v>
      </c>
      <c r="B1481" s="2" t="s">
        <v>2222</v>
      </c>
      <c r="C1481" s="2" t="s">
        <v>2223</v>
      </c>
      <c r="D1481" s="2" t="s">
        <v>5158</v>
      </c>
      <c r="E1481" s="2" t="s">
        <v>5159</v>
      </c>
      <c r="F1481" s="2">
        <v>29.53</v>
      </c>
      <c r="G1481" s="2">
        <v>2</v>
      </c>
      <c r="H1481" s="2">
        <f>Tabla_Items_Con_Existencia[[#This Row],[COSTO]]*Tabla_Items_Con_Existencia[[#This Row],[EXISTENCIA]]</f>
        <v>59.06</v>
      </c>
      <c r="I1481" s="1">
        <f>IF(ISERROR(MATCH(Tabla_Items_Con_Existencia[[#This Row],[CODIGO]],Tabla_Items_Activos[CODIGO],0)),0,1)</f>
        <v>0</v>
      </c>
    </row>
    <row r="1482" spans="1:9">
      <c r="A1482" s="2" t="s">
        <v>6760</v>
      </c>
      <c r="B1482" s="2" t="s">
        <v>699</v>
      </c>
      <c r="C1482" s="2" t="s">
        <v>2224</v>
      </c>
      <c r="D1482" s="2" t="s">
        <v>5158</v>
      </c>
      <c r="E1482" s="2" t="s">
        <v>5159</v>
      </c>
      <c r="F1482" s="2">
        <v>23.35</v>
      </c>
      <c r="G1482" s="2">
        <v>1</v>
      </c>
      <c r="H1482" s="2">
        <f>Tabla_Items_Con_Existencia[[#This Row],[COSTO]]*Tabla_Items_Con_Existencia[[#This Row],[EXISTENCIA]]</f>
        <v>23.35</v>
      </c>
      <c r="I1482" s="1">
        <f>IF(ISERROR(MATCH(Tabla_Items_Con_Existencia[[#This Row],[CODIGO]],Tabla_Items_Activos[CODIGO],0)),0,1)</f>
        <v>0</v>
      </c>
    </row>
    <row r="1483" spans="1:9">
      <c r="A1483" s="2" t="s">
        <v>6760</v>
      </c>
      <c r="B1483" s="2" t="s">
        <v>6944</v>
      </c>
      <c r="C1483" s="2" t="s">
        <v>6945</v>
      </c>
      <c r="D1483" s="2" t="s">
        <v>5158</v>
      </c>
      <c r="E1483" s="2" t="s">
        <v>5159</v>
      </c>
      <c r="F1483" s="2">
        <v>4.9000000000000004</v>
      </c>
      <c r="G1483" s="2">
        <v>4</v>
      </c>
      <c r="H1483" s="2">
        <f>Tabla_Items_Con_Existencia[[#This Row],[COSTO]]*Tabla_Items_Con_Existencia[[#This Row],[EXISTENCIA]]</f>
        <v>19.600000000000001</v>
      </c>
      <c r="I1483" s="1">
        <f>IF(ISERROR(MATCH(Tabla_Items_Con_Existencia[[#This Row],[CODIGO]],Tabla_Items_Activos[CODIGO],0)),0,1)</f>
        <v>0</v>
      </c>
    </row>
    <row r="1484" spans="1:9">
      <c r="A1484" s="2" t="s">
        <v>6760</v>
      </c>
      <c r="B1484" s="2" t="s">
        <v>6622</v>
      </c>
      <c r="C1484" s="2" t="s">
        <v>6623</v>
      </c>
      <c r="D1484" s="2" t="s">
        <v>5158</v>
      </c>
      <c r="E1484" s="2" t="s">
        <v>5159</v>
      </c>
      <c r="F1484" s="2">
        <v>25.773599999999998</v>
      </c>
      <c r="G1484" s="2">
        <v>9</v>
      </c>
      <c r="H1484" s="2">
        <f>Tabla_Items_Con_Existencia[[#This Row],[COSTO]]*Tabla_Items_Con_Existencia[[#This Row],[EXISTENCIA]]</f>
        <v>231.96239999999997</v>
      </c>
      <c r="I1484" s="1">
        <f>IF(ISERROR(MATCH(Tabla_Items_Con_Existencia[[#This Row],[CODIGO]],Tabla_Items_Activos[CODIGO],0)),0,1)</f>
        <v>0</v>
      </c>
    </row>
    <row r="1485" spans="1:9">
      <c r="A1485" s="2" t="s">
        <v>6760</v>
      </c>
      <c r="B1485" s="2" t="s">
        <v>701</v>
      </c>
      <c r="C1485" s="2" t="s">
        <v>6946</v>
      </c>
      <c r="D1485" s="2" t="s">
        <v>5186</v>
      </c>
      <c r="E1485" s="2" t="s">
        <v>5159</v>
      </c>
      <c r="F1485" s="2">
        <v>28.93</v>
      </c>
      <c r="G1485" s="2">
        <v>2</v>
      </c>
      <c r="H1485" s="2">
        <f>Tabla_Items_Con_Existencia[[#This Row],[COSTO]]*Tabla_Items_Con_Existencia[[#This Row],[EXISTENCIA]]</f>
        <v>57.86</v>
      </c>
      <c r="I1485" s="1">
        <f>IF(ISERROR(MATCH(Tabla_Items_Con_Existencia[[#This Row],[CODIGO]],Tabla_Items_Activos[CODIGO],0)),0,1)</f>
        <v>0</v>
      </c>
    </row>
    <row r="1486" spans="1:9">
      <c r="A1486" s="2" t="s">
        <v>6760</v>
      </c>
      <c r="B1486" s="2" t="s">
        <v>702</v>
      </c>
      <c r="C1486" s="2" t="s">
        <v>2227</v>
      </c>
      <c r="D1486" s="2" t="s">
        <v>5186</v>
      </c>
      <c r="E1486" s="2" t="s">
        <v>5159</v>
      </c>
      <c r="F1486" s="2">
        <v>44.96</v>
      </c>
      <c r="G1486" s="2">
        <v>1</v>
      </c>
      <c r="H1486" s="2">
        <f>Tabla_Items_Con_Existencia[[#This Row],[COSTO]]*Tabla_Items_Con_Existencia[[#This Row],[EXISTENCIA]]</f>
        <v>44.96</v>
      </c>
      <c r="I1486" s="1">
        <f>IF(ISERROR(MATCH(Tabla_Items_Con_Existencia[[#This Row],[CODIGO]],Tabla_Items_Activos[CODIGO],0)),0,1)</f>
        <v>0</v>
      </c>
    </row>
    <row r="1487" spans="1:9">
      <c r="A1487" s="2" t="s">
        <v>6760</v>
      </c>
      <c r="B1487" s="2" t="s">
        <v>703</v>
      </c>
      <c r="C1487" s="2" t="s">
        <v>2228</v>
      </c>
      <c r="D1487" s="2" t="s">
        <v>5158</v>
      </c>
      <c r="E1487" s="2" t="s">
        <v>5159</v>
      </c>
      <c r="F1487" s="2">
        <v>18.503599999999999</v>
      </c>
      <c r="G1487" s="2">
        <v>31</v>
      </c>
      <c r="H1487" s="2">
        <f>Tabla_Items_Con_Existencia[[#This Row],[COSTO]]*Tabla_Items_Con_Existencia[[#This Row],[EXISTENCIA]]</f>
        <v>573.61159999999995</v>
      </c>
      <c r="I1487" s="1">
        <f>IF(ISERROR(MATCH(Tabla_Items_Con_Existencia[[#This Row],[CODIGO]],Tabla_Items_Activos[CODIGO],0)),0,1)</f>
        <v>0</v>
      </c>
    </row>
    <row r="1488" spans="1:9">
      <c r="A1488" s="2" t="s">
        <v>6761</v>
      </c>
      <c r="B1488" s="2" t="s">
        <v>704</v>
      </c>
      <c r="C1488" s="2" t="s">
        <v>6624</v>
      </c>
      <c r="D1488" s="2" t="s">
        <v>5190</v>
      </c>
      <c r="E1488" s="2" t="s">
        <v>5159</v>
      </c>
      <c r="F1488" s="2">
        <v>13.09561579</v>
      </c>
      <c r="G1488" s="2">
        <v>73</v>
      </c>
      <c r="H1488" s="2">
        <f>Tabla_Items_Con_Existencia[[#This Row],[COSTO]]*Tabla_Items_Con_Existencia[[#This Row],[EXISTENCIA]]</f>
        <v>955.97995266999999</v>
      </c>
      <c r="I1488" s="1">
        <f>IF(ISERROR(MATCH(Tabla_Items_Con_Existencia[[#This Row],[CODIGO]],Tabla_Items_Activos[CODIGO],0)),0,1)</f>
        <v>0</v>
      </c>
    </row>
    <row r="1489" spans="1:9">
      <c r="A1489" s="2" t="s">
        <v>6760</v>
      </c>
      <c r="B1489" s="2" t="s">
        <v>704</v>
      </c>
      <c r="C1489" s="2" t="s">
        <v>6624</v>
      </c>
      <c r="D1489" s="2" t="s">
        <v>5190</v>
      </c>
      <c r="E1489" s="2" t="s">
        <v>5159</v>
      </c>
      <c r="F1489" s="2">
        <v>13.09561579</v>
      </c>
      <c r="G1489" s="2">
        <v>73</v>
      </c>
      <c r="H1489" s="2">
        <f>Tabla_Items_Con_Existencia[[#This Row],[COSTO]]*Tabla_Items_Con_Existencia[[#This Row],[EXISTENCIA]]</f>
        <v>955.97995266999999</v>
      </c>
      <c r="I1489" s="1">
        <f>IF(ISERROR(MATCH(Tabla_Items_Con_Existencia[[#This Row],[CODIGO]],Tabla_Items_Activos[CODIGO],0)),0,1)</f>
        <v>0</v>
      </c>
    </row>
    <row r="1490" spans="1:9">
      <c r="A1490" s="2" t="s">
        <v>6760</v>
      </c>
      <c r="B1490" s="2" t="s">
        <v>705</v>
      </c>
      <c r="C1490" s="2" t="s">
        <v>2230</v>
      </c>
      <c r="D1490" s="2" t="s">
        <v>5161</v>
      </c>
      <c r="E1490" s="2" t="s">
        <v>5159</v>
      </c>
      <c r="F1490" s="2">
        <v>25.855699999999999</v>
      </c>
      <c r="G1490" s="2">
        <v>4</v>
      </c>
      <c r="H1490" s="2">
        <f>Tabla_Items_Con_Existencia[[#This Row],[COSTO]]*Tabla_Items_Con_Existencia[[#This Row],[EXISTENCIA]]</f>
        <v>103.4228</v>
      </c>
      <c r="I1490" s="1">
        <f>IF(ISERROR(MATCH(Tabla_Items_Con_Existencia[[#This Row],[CODIGO]],Tabla_Items_Activos[CODIGO],0)),0,1)</f>
        <v>0</v>
      </c>
    </row>
    <row r="1491" spans="1:9">
      <c r="A1491" s="2" t="s">
        <v>6760</v>
      </c>
      <c r="B1491" s="2" t="s">
        <v>706</v>
      </c>
      <c r="C1491" s="2" t="s">
        <v>2231</v>
      </c>
      <c r="D1491" s="2" t="s">
        <v>5186</v>
      </c>
      <c r="E1491" s="2" t="s">
        <v>5159</v>
      </c>
      <c r="F1491" s="2">
        <v>66.91</v>
      </c>
      <c r="G1491" s="2">
        <v>1</v>
      </c>
      <c r="H1491" s="2">
        <f>Tabla_Items_Con_Existencia[[#This Row],[COSTO]]*Tabla_Items_Con_Existencia[[#This Row],[EXISTENCIA]]</f>
        <v>66.91</v>
      </c>
      <c r="I1491" s="1">
        <f>IF(ISERROR(MATCH(Tabla_Items_Con_Existencia[[#This Row],[CODIGO]],Tabla_Items_Activos[CODIGO],0)),0,1)</f>
        <v>0</v>
      </c>
    </row>
    <row r="1492" spans="1:9">
      <c r="A1492" s="2" t="s">
        <v>6760</v>
      </c>
      <c r="B1492" s="2" t="s">
        <v>707</v>
      </c>
      <c r="C1492" s="2" t="s">
        <v>2232</v>
      </c>
      <c r="D1492" s="2" t="s">
        <v>5186</v>
      </c>
      <c r="E1492" s="2" t="s">
        <v>5159</v>
      </c>
      <c r="F1492" s="2">
        <v>37.78</v>
      </c>
      <c r="G1492" s="2">
        <v>1</v>
      </c>
      <c r="H1492" s="2">
        <f>Tabla_Items_Con_Existencia[[#This Row],[COSTO]]*Tabla_Items_Con_Existencia[[#This Row],[EXISTENCIA]]</f>
        <v>37.78</v>
      </c>
      <c r="I1492" s="1">
        <f>IF(ISERROR(MATCH(Tabla_Items_Con_Existencia[[#This Row],[CODIGO]],Tabla_Items_Activos[CODIGO],0)),0,1)</f>
        <v>0</v>
      </c>
    </row>
    <row r="1493" spans="1:9">
      <c r="A1493" s="2" t="s">
        <v>6760</v>
      </c>
      <c r="B1493" s="2" t="s">
        <v>708</v>
      </c>
      <c r="C1493" s="2" t="s">
        <v>6947</v>
      </c>
      <c r="D1493" s="2" t="s">
        <v>5186</v>
      </c>
      <c r="E1493" s="2" t="s">
        <v>5159</v>
      </c>
      <c r="F1493" s="2">
        <v>23.78</v>
      </c>
      <c r="G1493" s="2">
        <v>8</v>
      </c>
      <c r="H1493" s="2">
        <f>Tabla_Items_Con_Existencia[[#This Row],[COSTO]]*Tabla_Items_Con_Existencia[[#This Row],[EXISTENCIA]]</f>
        <v>190.24</v>
      </c>
      <c r="I1493" s="1">
        <f>IF(ISERROR(MATCH(Tabla_Items_Con_Existencia[[#This Row],[CODIGO]],Tabla_Items_Activos[CODIGO],0)),0,1)</f>
        <v>0</v>
      </c>
    </row>
    <row r="1494" spans="1:9">
      <c r="A1494" s="2" t="s">
        <v>6760</v>
      </c>
      <c r="B1494" s="2" t="s">
        <v>709</v>
      </c>
      <c r="C1494" s="2" t="s">
        <v>2234</v>
      </c>
      <c r="D1494" s="2" t="s">
        <v>5186</v>
      </c>
      <c r="E1494" s="2" t="s">
        <v>5159</v>
      </c>
      <c r="F1494" s="2">
        <v>20.269400000000001</v>
      </c>
      <c r="G1494" s="2">
        <v>16</v>
      </c>
      <c r="H1494" s="2">
        <f>Tabla_Items_Con_Existencia[[#This Row],[COSTO]]*Tabla_Items_Con_Existencia[[#This Row],[EXISTENCIA]]</f>
        <v>324.31040000000002</v>
      </c>
      <c r="I1494" s="1">
        <f>IF(ISERROR(MATCH(Tabla_Items_Con_Existencia[[#This Row],[CODIGO]],Tabla_Items_Activos[CODIGO],0)),0,1)</f>
        <v>0</v>
      </c>
    </row>
    <row r="1495" spans="1:9">
      <c r="A1495" s="2" t="s">
        <v>6760</v>
      </c>
      <c r="B1495" s="2" t="s">
        <v>6948</v>
      </c>
      <c r="C1495" s="2" t="s">
        <v>6949</v>
      </c>
      <c r="D1495" s="2" t="s">
        <v>5189</v>
      </c>
      <c r="E1495" s="2" t="s">
        <v>5159</v>
      </c>
      <c r="F1495" s="2">
        <v>1.07</v>
      </c>
      <c r="G1495" s="2">
        <v>2</v>
      </c>
      <c r="H1495" s="2">
        <f>Tabla_Items_Con_Existencia[[#This Row],[COSTO]]*Tabla_Items_Con_Existencia[[#This Row],[EXISTENCIA]]</f>
        <v>2.14</v>
      </c>
      <c r="I1495" s="1">
        <f>IF(ISERROR(MATCH(Tabla_Items_Con_Existencia[[#This Row],[CODIGO]],Tabla_Items_Activos[CODIGO],0)),0,1)</f>
        <v>0</v>
      </c>
    </row>
    <row r="1496" spans="1:9">
      <c r="A1496" s="2" t="s">
        <v>6760</v>
      </c>
      <c r="B1496" s="2" t="s">
        <v>710</v>
      </c>
      <c r="C1496" s="2" t="s">
        <v>2235</v>
      </c>
      <c r="D1496" s="2" t="s">
        <v>5158</v>
      </c>
      <c r="E1496" s="2" t="s">
        <v>5159</v>
      </c>
      <c r="F1496" s="2">
        <v>11.297000000000001</v>
      </c>
      <c r="G1496" s="2">
        <v>36</v>
      </c>
      <c r="H1496" s="2">
        <f>Tabla_Items_Con_Existencia[[#This Row],[COSTO]]*Tabla_Items_Con_Existencia[[#This Row],[EXISTENCIA]]</f>
        <v>406.69200000000001</v>
      </c>
      <c r="I1496" s="1">
        <f>IF(ISERROR(MATCH(Tabla_Items_Con_Existencia[[#This Row],[CODIGO]],Tabla_Items_Activos[CODIGO],0)),0,1)</f>
        <v>0</v>
      </c>
    </row>
    <row r="1497" spans="1:9">
      <c r="A1497" s="2" t="s">
        <v>6760</v>
      </c>
      <c r="B1497" s="2" t="s">
        <v>711</v>
      </c>
      <c r="C1497" s="2" t="s">
        <v>2236</v>
      </c>
      <c r="D1497" s="2" t="s">
        <v>5158</v>
      </c>
      <c r="E1497" s="2" t="s">
        <v>5159</v>
      </c>
      <c r="F1497" s="2">
        <v>17.702999999999999</v>
      </c>
      <c r="G1497" s="2">
        <v>15</v>
      </c>
      <c r="H1497" s="2">
        <f>Tabla_Items_Con_Existencia[[#This Row],[COSTO]]*Tabla_Items_Con_Existencia[[#This Row],[EXISTENCIA]]</f>
        <v>265.54500000000002</v>
      </c>
      <c r="I1497" s="1">
        <f>IF(ISERROR(MATCH(Tabla_Items_Con_Existencia[[#This Row],[CODIGO]],Tabla_Items_Activos[CODIGO],0)),0,1)</f>
        <v>0</v>
      </c>
    </row>
    <row r="1498" spans="1:9">
      <c r="A1498" s="2" t="s">
        <v>6760</v>
      </c>
      <c r="B1498" s="2" t="s">
        <v>712</v>
      </c>
      <c r="C1498" s="2" t="s">
        <v>6625</v>
      </c>
      <c r="D1498" s="2" t="s">
        <v>5186</v>
      </c>
      <c r="E1498" s="2" t="s">
        <v>5159</v>
      </c>
      <c r="F1498" s="2">
        <v>51.35</v>
      </c>
      <c r="G1498" s="2">
        <v>1</v>
      </c>
      <c r="H1498" s="2">
        <f>Tabla_Items_Con_Existencia[[#This Row],[COSTO]]*Tabla_Items_Con_Existencia[[#This Row],[EXISTENCIA]]</f>
        <v>51.35</v>
      </c>
      <c r="I1498" s="1">
        <f>IF(ISERROR(MATCH(Tabla_Items_Con_Existencia[[#This Row],[CODIGO]],Tabla_Items_Activos[CODIGO],0)),0,1)</f>
        <v>0</v>
      </c>
    </row>
    <row r="1499" spans="1:9">
      <c r="A1499" s="2" t="s">
        <v>6760</v>
      </c>
      <c r="B1499" s="2" t="s">
        <v>713</v>
      </c>
      <c r="C1499" s="2" t="s">
        <v>2238</v>
      </c>
      <c r="D1499" s="2" t="s">
        <v>5186</v>
      </c>
      <c r="E1499" s="2" t="s">
        <v>5159</v>
      </c>
      <c r="F1499" s="2">
        <v>13.38</v>
      </c>
      <c r="G1499" s="2">
        <v>3</v>
      </c>
      <c r="H1499" s="2">
        <f>Tabla_Items_Con_Existencia[[#This Row],[COSTO]]*Tabla_Items_Con_Existencia[[#This Row],[EXISTENCIA]]</f>
        <v>40.14</v>
      </c>
      <c r="I1499" s="1">
        <f>IF(ISERROR(MATCH(Tabla_Items_Con_Existencia[[#This Row],[CODIGO]],Tabla_Items_Activos[CODIGO],0)),0,1)</f>
        <v>0</v>
      </c>
    </row>
    <row r="1500" spans="1:9">
      <c r="A1500" s="2" t="s">
        <v>6760</v>
      </c>
      <c r="B1500" s="2" t="s">
        <v>7249</v>
      </c>
      <c r="C1500" s="2" t="s">
        <v>7250</v>
      </c>
      <c r="D1500" s="2" t="s">
        <v>5186</v>
      </c>
      <c r="E1500" s="2" t="s">
        <v>5159</v>
      </c>
      <c r="F1500" s="2">
        <v>0.1</v>
      </c>
      <c r="G1500" s="2">
        <v>1</v>
      </c>
      <c r="H1500" s="2">
        <f>Tabla_Items_Con_Existencia[[#This Row],[COSTO]]*Tabla_Items_Con_Existencia[[#This Row],[EXISTENCIA]]</f>
        <v>0.1</v>
      </c>
      <c r="I1500" s="1">
        <f>IF(ISERROR(MATCH(Tabla_Items_Con_Existencia[[#This Row],[CODIGO]],Tabla_Items_Activos[CODIGO],0)),0,1)</f>
        <v>0</v>
      </c>
    </row>
    <row r="1501" spans="1:9">
      <c r="A1501" s="2" t="s">
        <v>6760</v>
      </c>
      <c r="B1501" s="2" t="s">
        <v>6626</v>
      </c>
      <c r="C1501" s="2" t="s">
        <v>4281</v>
      </c>
      <c r="D1501" s="2" t="s">
        <v>5158</v>
      </c>
      <c r="E1501" s="2" t="s">
        <v>5159</v>
      </c>
      <c r="F1501" s="2">
        <v>9.827</v>
      </c>
      <c r="G1501" s="2">
        <v>3</v>
      </c>
      <c r="H1501" s="2">
        <f>Tabla_Items_Con_Existencia[[#This Row],[COSTO]]*Tabla_Items_Con_Existencia[[#This Row],[EXISTENCIA]]</f>
        <v>29.481000000000002</v>
      </c>
      <c r="I1501" s="1">
        <f>IF(ISERROR(MATCH(Tabla_Items_Con_Existencia[[#This Row],[CODIGO]],Tabla_Items_Activos[CODIGO],0)),0,1)</f>
        <v>0</v>
      </c>
    </row>
    <row r="1502" spans="1:9">
      <c r="A1502" s="2" t="s">
        <v>6760</v>
      </c>
      <c r="B1502" s="2" t="s">
        <v>6627</v>
      </c>
      <c r="C1502" s="2" t="s">
        <v>4283</v>
      </c>
      <c r="D1502" s="2" t="s">
        <v>5158</v>
      </c>
      <c r="E1502" s="2" t="s">
        <v>5159</v>
      </c>
      <c r="F1502" s="2">
        <v>11.02</v>
      </c>
      <c r="G1502" s="2">
        <v>3</v>
      </c>
      <c r="H1502" s="2">
        <f>Tabla_Items_Con_Existencia[[#This Row],[COSTO]]*Tabla_Items_Con_Existencia[[#This Row],[EXISTENCIA]]</f>
        <v>33.06</v>
      </c>
      <c r="I1502" s="1">
        <f>IF(ISERROR(MATCH(Tabla_Items_Con_Existencia[[#This Row],[CODIGO]],Tabla_Items_Activos[CODIGO],0)),0,1)</f>
        <v>0</v>
      </c>
    </row>
    <row r="1503" spans="1:9">
      <c r="A1503" s="2" t="s">
        <v>6760</v>
      </c>
      <c r="B1503" s="2" t="s">
        <v>714</v>
      </c>
      <c r="C1503" s="2" t="s">
        <v>2239</v>
      </c>
      <c r="D1503" s="2" t="s">
        <v>5158</v>
      </c>
      <c r="E1503" s="2" t="s">
        <v>5159</v>
      </c>
      <c r="F1503" s="2">
        <v>16.587</v>
      </c>
      <c r="G1503" s="2">
        <v>6</v>
      </c>
      <c r="H1503" s="2">
        <f>Tabla_Items_Con_Existencia[[#This Row],[COSTO]]*Tabla_Items_Con_Existencia[[#This Row],[EXISTENCIA]]</f>
        <v>99.521999999999991</v>
      </c>
      <c r="I1503" s="1">
        <f>IF(ISERROR(MATCH(Tabla_Items_Con_Existencia[[#This Row],[CODIGO]],Tabla_Items_Activos[CODIGO],0)),0,1)</f>
        <v>0</v>
      </c>
    </row>
    <row r="1504" spans="1:9">
      <c r="A1504" s="2" t="s">
        <v>6760</v>
      </c>
      <c r="B1504" s="2" t="s">
        <v>6950</v>
      </c>
      <c r="C1504" s="2" t="s">
        <v>6951</v>
      </c>
      <c r="D1504" s="2" t="s">
        <v>5158</v>
      </c>
      <c r="E1504" s="2" t="s">
        <v>5159</v>
      </c>
      <c r="F1504" s="2">
        <v>2.9980000000000002</v>
      </c>
      <c r="G1504" s="2">
        <v>8</v>
      </c>
      <c r="H1504" s="2">
        <f>Tabla_Items_Con_Existencia[[#This Row],[COSTO]]*Tabla_Items_Con_Existencia[[#This Row],[EXISTENCIA]]</f>
        <v>23.984000000000002</v>
      </c>
      <c r="I1504" s="1">
        <f>IF(ISERROR(MATCH(Tabla_Items_Con_Existencia[[#This Row],[CODIGO]],Tabla_Items_Activos[CODIGO],0)),0,1)</f>
        <v>0</v>
      </c>
    </row>
    <row r="1505" spans="1:9">
      <c r="A1505" s="2" t="s">
        <v>6760</v>
      </c>
      <c r="B1505" s="2" t="s">
        <v>715</v>
      </c>
      <c r="C1505" s="2" t="s">
        <v>2240</v>
      </c>
      <c r="D1505" s="2" t="s">
        <v>5158</v>
      </c>
      <c r="E1505" s="2" t="s">
        <v>5159</v>
      </c>
      <c r="F1505" s="2">
        <v>1.514</v>
      </c>
      <c r="G1505" s="2">
        <v>7</v>
      </c>
      <c r="H1505" s="2">
        <f>Tabla_Items_Con_Existencia[[#This Row],[COSTO]]*Tabla_Items_Con_Existencia[[#This Row],[EXISTENCIA]]</f>
        <v>10.598000000000001</v>
      </c>
      <c r="I1505" s="1">
        <f>IF(ISERROR(MATCH(Tabla_Items_Con_Existencia[[#This Row],[CODIGO]],Tabla_Items_Activos[CODIGO],0)),0,1)</f>
        <v>0</v>
      </c>
    </row>
    <row r="1506" spans="1:9">
      <c r="A1506" s="2" t="s">
        <v>6760</v>
      </c>
      <c r="B1506" s="2" t="s">
        <v>6628</v>
      </c>
      <c r="C1506" s="2" t="s">
        <v>6629</v>
      </c>
      <c r="D1506" s="2" t="s">
        <v>5158</v>
      </c>
      <c r="E1506" s="2" t="s">
        <v>5159</v>
      </c>
      <c r="F1506" s="2">
        <v>8.8239999999999998</v>
      </c>
      <c r="G1506" s="2">
        <v>9</v>
      </c>
      <c r="H1506" s="2">
        <f>Tabla_Items_Con_Existencia[[#This Row],[COSTO]]*Tabla_Items_Con_Existencia[[#This Row],[EXISTENCIA]]</f>
        <v>79.415999999999997</v>
      </c>
      <c r="I1506" s="1">
        <f>IF(ISERROR(MATCH(Tabla_Items_Con_Existencia[[#This Row],[CODIGO]],Tabla_Items_Activos[CODIGO],0)),0,1)</f>
        <v>0</v>
      </c>
    </row>
    <row r="1507" spans="1:9">
      <c r="A1507" s="2" t="s">
        <v>6761</v>
      </c>
      <c r="B1507" s="2" t="s">
        <v>6630</v>
      </c>
      <c r="C1507" s="2" t="s">
        <v>4469</v>
      </c>
      <c r="D1507" s="2" t="s">
        <v>5186</v>
      </c>
      <c r="E1507" s="2" t="s">
        <v>5159</v>
      </c>
      <c r="F1507" s="2">
        <v>17.237052630000001</v>
      </c>
      <c r="G1507" s="2">
        <v>1</v>
      </c>
      <c r="H1507" s="2">
        <f>Tabla_Items_Con_Existencia[[#This Row],[COSTO]]*Tabla_Items_Con_Existencia[[#This Row],[EXISTENCIA]]</f>
        <v>17.237052630000001</v>
      </c>
      <c r="I1507" s="1">
        <f>IF(ISERROR(MATCH(Tabla_Items_Con_Existencia[[#This Row],[CODIGO]],Tabla_Items_Activos[CODIGO],0)),0,1)</f>
        <v>0</v>
      </c>
    </row>
    <row r="1508" spans="1:9">
      <c r="A1508" s="2" t="s">
        <v>6760</v>
      </c>
      <c r="B1508" s="2" t="s">
        <v>6630</v>
      </c>
      <c r="C1508" s="2" t="s">
        <v>4469</v>
      </c>
      <c r="D1508" s="2" t="s">
        <v>5186</v>
      </c>
      <c r="E1508" s="2" t="s">
        <v>5159</v>
      </c>
      <c r="F1508" s="2">
        <v>17.237052630000001</v>
      </c>
      <c r="G1508" s="2">
        <v>1</v>
      </c>
      <c r="H1508" s="2">
        <f>Tabla_Items_Con_Existencia[[#This Row],[COSTO]]*Tabla_Items_Con_Existencia[[#This Row],[EXISTENCIA]]</f>
        <v>17.237052630000001</v>
      </c>
      <c r="I1508" s="1">
        <f>IF(ISERROR(MATCH(Tabla_Items_Con_Existencia[[#This Row],[CODIGO]],Tabla_Items_Activos[CODIGO],0)),0,1)</f>
        <v>0</v>
      </c>
    </row>
    <row r="1509" spans="1:9">
      <c r="A1509" s="2" t="s">
        <v>6760</v>
      </c>
      <c r="B1509" s="2" t="s">
        <v>6631</v>
      </c>
      <c r="C1509" s="2" t="s">
        <v>4482</v>
      </c>
      <c r="D1509" s="2" t="s">
        <v>5186</v>
      </c>
      <c r="E1509" s="2" t="s">
        <v>5159</v>
      </c>
      <c r="F1509" s="2">
        <v>24.151</v>
      </c>
      <c r="G1509" s="2">
        <v>10</v>
      </c>
      <c r="H1509" s="2">
        <f>Tabla_Items_Con_Existencia[[#This Row],[COSTO]]*Tabla_Items_Con_Existencia[[#This Row],[EXISTENCIA]]</f>
        <v>241.51</v>
      </c>
      <c r="I1509" s="1">
        <f>IF(ISERROR(MATCH(Tabla_Items_Con_Existencia[[#This Row],[CODIGO]],Tabla_Items_Activos[CODIGO],0)),0,1)</f>
        <v>0</v>
      </c>
    </row>
    <row r="1510" spans="1:9">
      <c r="A1510" s="2" t="s">
        <v>6760</v>
      </c>
      <c r="B1510" s="2" t="s">
        <v>6632</v>
      </c>
      <c r="C1510" s="2" t="s">
        <v>4519</v>
      </c>
      <c r="D1510" s="2" t="s">
        <v>5186</v>
      </c>
      <c r="E1510" s="2" t="s">
        <v>5159</v>
      </c>
      <c r="F1510" s="2">
        <v>35.552999999999997</v>
      </c>
      <c r="G1510" s="2">
        <v>2</v>
      </c>
      <c r="H1510" s="2">
        <f>Tabla_Items_Con_Existencia[[#This Row],[COSTO]]*Tabla_Items_Con_Existencia[[#This Row],[EXISTENCIA]]</f>
        <v>71.105999999999995</v>
      </c>
      <c r="I1510" s="1">
        <f>IF(ISERROR(MATCH(Tabla_Items_Con_Existencia[[#This Row],[CODIGO]],Tabla_Items_Activos[CODIGO],0)),0,1)</f>
        <v>0</v>
      </c>
    </row>
    <row r="1511" spans="1:9">
      <c r="A1511" s="2" t="s">
        <v>6760</v>
      </c>
      <c r="B1511" s="2" t="s">
        <v>5511</v>
      </c>
      <c r="C1511" s="2" t="s">
        <v>6294</v>
      </c>
      <c r="D1511" s="2" t="s">
        <v>5186</v>
      </c>
      <c r="E1511" s="2" t="s">
        <v>5159</v>
      </c>
      <c r="F1511" s="2">
        <v>51.108421049999997</v>
      </c>
      <c r="G1511" s="2">
        <v>2</v>
      </c>
      <c r="H1511" s="2">
        <f>Tabla_Items_Con_Existencia[[#This Row],[COSTO]]*Tabla_Items_Con_Existencia[[#This Row],[EXISTENCIA]]</f>
        <v>102.21684209999999</v>
      </c>
      <c r="I1511" s="1">
        <f>IF(ISERROR(MATCH(Tabla_Items_Con_Existencia[[#This Row],[CODIGO]],Tabla_Items_Activos[CODIGO],0)),0,1)</f>
        <v>0</v>
      </c>
    </row>
    <row r="1512" spans="1:9">
      <c r="A1512" s="2" t="s">
        <v>6761</v>
      </c>
      <c r="B1512" s="2" t="s">
        <v>5511</v>
      </c>
      <c r="C1512" s="2" t="s">
        <v>6294</v>
      </c>
      <c r="D1512" s="2" t="s">
        <v>5186</v>
      </c>
      <c r="E1512" s="2" t="s">
        <v>5159</v>
      </c>
      <c r="F1512" s="2">
        <v>51.108421049999997</v>
      </c>
      <c r="G1512" s="2">
        <v>2</v>
      </c>
      <c r="H1512" s="2">
        <f>Tabla_Items_Con_Existencia[[#This Row],[COSTO]]*Tabla_Items_Con_Existencia[[#This Row],[EXISTENCIA]]</f>
        <v>102.21684209999999</v>
      </c>
      <c r="I1512" s="1">
        <f>IF(ISERROR(MATCH(Tabla_Items_Con_Existencia[[#This Row],[CODIGO]],Tabla_Items_Activos[CODIGO],0)),0,1)</f>
        <v>0</v>
      </c>
    </row>
    <row r="1513" spans="1:9">
      <c r="A1513" s="2" t="s">
        <v>6760</v>
      </c>
      <c r="B1513" s="2" t="s">
        <v>6633</v>
      </c>
      <c r="C1513" s="2" t="s">
        <v>4527</v>
      </c>
      <c r="D1513" s="2" t="s">
        <v>5186</v>
      </c>
      <c r="E1513" s="2" t="s">
        <v>5159</v>
      </c>
      <c r="F1513" s="2">
        <v>65.394999999999996</v>
      </c>
      <c r="G1513" s="2">
        <v>4</v>
      </c>
      <c r="H1513" s="2">
        <f>Tabla_Items_Con_Existencia[[#This Row],[COSTO]]*Tabla_Items_Con_Existencia[[#This Row],[EXISTENCIA]]</f>
        <v>261.58</v>
      </c>
      <c r="I1513" s="1">
        <f>IF(ISERROR(MATCH(Tabla_Items_Con_Existencia[[#This Row],[CODIGO]],Tabla_Items_Activos[CODIGO],0)),0,1)</f>
        <v>0</v>
      </c>
    </row>
    <row r="1514" spans="1:9">
      <c r="A1514" s="2" t="s">
        <v>6760</v>
      </c>
      <c r="B1514" s="2" t="s">
        <v>6634</v>
      </c>
      <c r="C1514" s="2" t="s">
        <v>6635</v>
      </c>
      <c r="D1514" s="2" t="s">
        <v>5186</v>
      </c>
      <c r="E1514" s="2" t="s">
        <v>5159</v>
      </c>
      <c r="F1514" s="2">
        <v>22.43</v>
      </c>
      <c r="G1514" s="2">
        <v>2</v>
      </c>
      <c r="H1514" s="2">
        <f>Tabla_Items_Con_Existencia[[#This Row],[COSTO]]*Tabla_Items_Con_Existencia[[#This Row],[EXISTENCIA]]</f>
        <v>44.86</v>
      </c>
      <c r="I1514" s="1">
        <f>IF(ISERROR(MATCH(Tabla_Items_Con_Existencia[[#This Row],[CODIGO]],Tabla_Items_Activos[CODIGO],0)),0,1)</f>
        <v>0</v>
      </c>
    </row>
    <row r="1515" spans="1:9">
      <c r="A1515" s="2" t="s">
        <v>6760</v>
      </c>
      <c r="B1515" s="2" t="s">
        <v>6636</v>
      </c>
      <c r="C1515" s="2" t="s">
        <v>4543</v>
      </c>
      <c r="D1515" s="2" t="s">
        <v>5186</v>
      </c>
      <c r="E1515" s="2" t="s">
        <v>5159</v>
      </c>
      <c r="F1515" s="2">
        <v>61.49</v>
      </c>
      <c r="G1515" s="2">
        <v>1</v>
      </c>
      <c r="H1515" s="2">
        <f>Tabla_Items_Con_Existencia[[#This Row],[COSTO]]*Tabla_Items_Con_Existencia[[#This Row],[EXISTENCIA]]</f>
        <v>61.49</v>
      </c>
      <c r="I1515" s="1">
        <f>IF(ISERROR(MATCH(Tabla_Items_Con_Existencia[[#This Row],[CODIGO]],Tabla_Items_Activos[CODIGO],0)),0,1)</f>
        <v>0</v>
      </c>
    </row>
    <row r="1516" spans="1:9">
      <c r="A1516" s="2" t="s">
        <v>6760</v>
      </c>
      <c r="B1516" s="2" t="s">
        <v>6757</v>
      </c>
      <c r="C1516" s="2" t="s">
        <v>6952</v>
      </c>
      <c r="D1516" s="2" t="s">
        <v>5186</v>
      </c>
      <c r="E1516" s="2" t="s">
        <v>5159</v>
      </c>
      <c r="F1516" s="2">
        <v>45.64</v>
      </c>
      <c r="G1516" s="2">
        <v>1</v>
      </c>
      <c r="H1516" s="2">
        <f>Tabla_Items_Con_Existencia[[#This Row],[COSTO]]*Tabla_Items_Con_Existencia[[#This Row],[EXISTENCIA]]</f>
        <v>45.64</v>
      </c>
      <c r="I1516" s="1">
        <f>IF(ISERROR(MATCH(Tabla_Items_Con_Existencia[[#This Row],[CODIGO]],Tabla_Items_Activos[CODIGO],0)),0,1)</f>
        <v>0</v>
      </c>
    </row>
    <row r="1517" spans="1:9">
      <c r="A1517" s="2" t="s">
        <v>6760</v>
      </c>
      <c r="B1517" s="2" t="s">
        <v>6359</v>
      </c>
      <c r="C1517" s="2" t="s">
        <v>6953</v>
      </c>
      <c r="D1517" s="2" t="s">
        <v>5186</v>
      </c>
      <c r="E1517" s="2" t="s">
        <v>5159</v>
      </c>
      <c r="F1517" s="2">
        <v>22.42</v>
      </c>
      <c r="G1517" s="2">
        <v>1</v>
      </c>
      <c r="H1517" s="2">
        <f>Tabla_Items_Con_Existencia[[#This Row],[COSTO]]*Tabla_Items_Con_Existencia[[#This Row],[EXISTENCIA]]</f>
        <v>22.42</v>
      </c>
      <c r="I1517" s="1">
        <f>IF(ISERROR(MATCH(Tabla_Items_Con_Existencia[[#This Row],[CODIGO]],Tabla_Items_Activos[CODIGO],0)),0,1)</f>
        <v>0</v>
      </c>
    </row>
    <row r="1518" spans="1:9">
      <c r="A1518" s="2" t="s">
        <v>6760</v>
      </c>
      <c r="B1518" s="2" t="s">
        <v>6637</v>
      </c>
      <c r="C1518" s="2" t="s">
        <v>4565</v>
      </c>
      <c r="D1518" s="2" t="s">
        <v>5186</v>
      </c>
      <c r="E1518" s="2" t="s">
        <v>5159</v>
      </c>
      <c r="F1518" s="2">
        <v>27.934999999999999</v>
      </c>
      <c r="G1518" s="2">
        <v>2</v>
      </c>
      <c r="H1518" s="2">
        <f>Tabla_Items_Con_Existencia[[#This Row],[COSTO]]*Tabla_Items_Con_Existencia[[#This Row],[EXISTENCIA]]</f>
        <v>55.87</v>
      </c>
      <c r="I1518" s="1">
        <f>IF(ISERROR(MATCH(Tabla_Items_Con_Existencia[[#This Row],[CODIGO]],Tabla_Items_Activos[CODIGO],0)),0,1)</f>
        <v>0</v>
      </c>
    </row>
    <row r="1519" spans="1:9">
      <c r="A1519" s="2" t="s">
        <v>6760</v>
      </c>
      <c r="B1519" s="2" t="s">
        <v>6638</v>
      </c>
      <c r="C1519" s="2" t="s">
        <v>4582</v>
      </c>
      <c r="D1519" s="2" t="s">
        <v>5158</v>
      </c>
      <c r="E1519" s="2" t="s">
        <v>5159</v>
      </c>
      <c r="F1519" s="2">
        <v>11.757</v>
      </c>
      <c r="G1519" s="2">
        <v>3</v>
      </c>
      <c r="H1519" s="2">
        <f>Tabla_Items_Con_Existencia[[#This Row],[COSTO]]*Tabla_Items_Con_Existencia[[#This Row],[EXISTENCIA]]</f>
        <v>35.271000000000001</v>
      </c>
      <c r="I1519" s="1">
        <f>IF(ISERROR(MATCH(Tabla_Items_Con_Existencia[[#This Row],[CODIGO]],Tabla_Items_Activos[CODIGO],0)),0,1)</f>
        <v>0</v>
      </c>
    </row>
    <row r="1520" spans="1:9">
      <c r="A1520" s="2" t="s">
        <v>6760</v>
      </c>
      <c r="B1520" s="2" t="s">
        <v>716</v>
      </c>
      <c r="C1520" s="2" t="s">
        <v>2241</v>
      </c>
      <c r="D1520" s="2" t="s">
        <v>5158</v>
      </c>
      <c r="E1520" s="2" t="s">
        <v>5159</v>
      </c>
      <c r="F1520" s="2">
        <v>4.7380000000000004</v>
      </c>
      <c r="G1520" s="2">
        <v>45</v>
      </c>
      <c r="H1520" s="2">
        <f>Tabla_Items_Con_Existencia[[#This Row],[COSTO]]*Tabla_Items_Con_Existencia[[#This Row],[EXISTENCIA]]</f>
        <v>213.21</v>
      </c>
      <c r="I1520" s="1">
        <f>IF(ISERROR(MATCH(Tabla_Items_Con_Existencia[[#This Row],[CODIGO]],Tabla_Items_Activos[CODIGO],0)),0,1)</f>
        <v>0</v>
      </c>
    </row>
    <row r="1521" spans="1:9">
      <c r="A1521" s="2" t="s">
        <v>6761</v>
      </c>
      <c r="B1521" s="2" t="s">
        <v>716</v>
      </c>
      <c r="C1521" s="2" t="s">
        <v>2241</v>
      </c>
      <c r="D1521" s="2" t="s">
        <v>5158</v>
      </c>
      <c r="E1521" s="2" t="s">
        <v>5159</v>
      </c>
      <c r="F1521" s="2">
        <v>4.7380000000000004</v>
      </c>
      <c r="G1521" s="2">
        <v>45</v>
      </c>
      <c r="H1521" s="2">
        <f>Tabla_Items_Con_Existencia[[#This Row],[COSTO]]*Tabla_Items_Con_Existencia[[#This Row],[EXISTENCIA]]</f>
        <v>213.21</v>
      </c>
      <c r="I1521" s="1">
        <f>IF(ISERROR(MATCH(Tabla_Items_Con_Existencia[[#This Row],[CODIGO]],Tabla_Items_Activos[CODIGO],0)),0,1)</f>
        <v>0</v>
      </c>
    </row>
    <row r="1522" spans="1:9">
      <c r="A1522" s="2" t="s">
        <v>6760</v>
      </c>
      <c r="B1522" s="2" t="s">
        <v>6360</v>
      </c>
      <c r="C1522" s="2" t="s">
        <v>6954</v>
      </c>
      <c r="D1522" s="2" t="s">
        <v>5158</v>
      </c>
      <c r="E1522" s="2" t="s">
        <v>5159</v>
      </c>
      <c r="F1522" s="2">
        <v>51.17610526</v>
      </c>
      <c r="G1522" s="2">
        <v>10</v>
      </c>
      <c r="H1522" s="2">
        <f>Tabla_Items_Con_Existencia[[#This Row],[COSTO]]*Tabla_Items_Con_Existencia[[#This Row],[EXISTENCIA]]</f>
        <v>511.76105259999997</v>
      </c>
      <c r="I1522" s="1">
        <f>IF(ISERROR(MATCH(Tabla_Items_Con_Existencia[[#This Row],[CODIGO]],Tabla_Items_Activos[CODIGO],0)),0,1)</f>
        <v>0</v>
      </c>
    </row>
    <row r="1523" spans="1:9">
      <c r="A1523" s="2" t="s">
        <v>6761</v>
      </c>
      <c r="B1523" s="2" t="s">
        <v>6360</v>
      </c>
      <c r="C1523" s="2" t="s">
        <v>6954</v>
      </c>
      <c r="D1523" s="2" t="s">
        <v>5158</v>
      </c>
      <c r="E1523" s="2" t="s">
        <v>5159</v>
      </c>
      <c r="F1523" s="2">
        <v>51.17610526</v>
      </c>
      <c r="G1523" s="2">
        <v>10</v>
      </c>
      <c r="H1523" s="2">
        <f>Tabla_Items_Con_Existencia[[#This Row],[COSTO]]*Tabla_Items_Con_Existencia[[#This Row],[EXISTENCIA]]</f>
        <v>511.76105259999997</v>
      </c>
      <c r="I1523" s="1">
        <f>IF(ISERROR(MATCH(Tabla_Items_Con_Existencia[[#This Row],[CODIGO]],Tabla_Items_Activos[CODIGO],0)),0,1)</f>
        <v>0</v>
      </c>
    </row>
    <row r="1524" spans="1:9">
      <c r="A1524" s="2" t="s">
        <v>6760</v>
      </c>
      <c r="B1524" s="2" t="s">
        <v>718</v>
      </c>
      <c r="C1524" s="2" t="s">
        <v>6955</v>
      </c>
      <c r="D1524" s="2" t="s">
        <v>5158</v>
      </c>
      <c r="E1524" s="2" t="s">
        <v>5159</v>
      </c>
      <c r="F1524" s="2">
        <v>35.410200000000003</v>
      </c>
      <c r="G1524" s="2">
        <v>1</v>
      </c>
      <c r="H1524" s="2">
        <f>Tabla_Items_Con_Existencia[[#This Row],[COSTO]]*Tabla_Items_Con_Existencia[[#This Row],[EXISTENCIA]]</f>
        <v>35.410200000000003</v>
      </c>
      <c r="I1524" s="1">
        <f>IF(ISERROR(MATCH(Tabla_Items_Con_Existencia[[#This Row],[CODIGO]],Tabla_Items_Activos[CODIGO],0)),0,1)</f>
        <v>0</v>
      </c>
    </row>
    <row r="1525" spans="1:9">
      <c r="A1525" s="2" t="s">
        <v>6761</v>
      </c>
      <c r="B1525" s="2" t="s">
        <v>719</v>
      </c>
      <c r="C1525" s="2" t="s">
        <v>2243</v>
      </c>
      <c r="D1525" s="2" t="s">
        <v>5158</v>
      </c>
      <c r="E1525" s="2" t="s">
        <v>5159</v>
      </c>
      <c r="F1525" s="2">
        <v>25.808057890000001</v>
      </c>
      <c r="G1525" s="2">
        <v>30</v>
      </c>
      <c r="H1525" s="2">
        <f>Tabla_Items_Con_Existencia[[#This Row],[COSTO]]*Tabla_Items_Con_Existencia[[#This Row],[EXISTENCIA]]</f>
        <v>774.24173670000005</v>
      </c>
      <c r="I1525" s="1">
        <f>IF(ISERROR(MATCH(Tabla_Items_Con_Existencia[[#This Row],[CODIGO]],Tabla_Items_Activos[CODIGO],0)),0,1)</f>
        <v>0</v>
      </c>
    </row>
    <row r="1526" spans="1:9">
      <c r="A1526" s="2" t="s">
        <v>6760</v>
      </c>
      <c r="B1526" s="2" t="s">
        <v>719</v>
      </c>
      <c r="C1526" s="2" t="s">
        <v>2243</v>
      </c>
      <c r="D1526" s="2" t="s">
        <v>5158</v>
      </c>
      <c r="E1526" s="2" t="s">
        <v>5159</v>
      </c>
      <c r="F1526" s="2">
        <v>25.808057890000001</v>
      </c>
      <c r="G1526" s="2">
        <v>30</v>
      </c>
      <c r="H1526" s="2">
        <f>Tabla_Items_Con_Existencia[[#This Row],[COSTO]]*Tabla_Items_Con_Existencia[[#This Row],[EXISTENCIA]]</f>
        <v>774.24173670000005</v>
      </c>
      <c r="I1526" s="1">
        <f>IF(ISERROR(MATCH(Tabla_Items_Con_Existencia[[#This Row],[CODIGO]],Tabla_Items_Activos[CODIGO],0)),0,1)</f>
        <v>0</v>
      </c>
    </row>
    <row r="1527" spans="1:9">
      <c r="A1527" s="2" t="s">
        <v>6760</v>
      </c>
      <c r="B1527" s="2" t="s">
        <v>720</v>
      </c>
      <c r="C1527" s="2" t="s">
        <v>6956</v>
      </c>
      <c r="D1527" s="2" t="s">
        <v>5158</v>
      </c>
      <c r="E1527" s="2" t="s">
        <v>5159</v>
      </c>
      <c r="F1527" s="2">
        <v>55.989705260000001</v>
      </c>
      <c r="G1527" s="2">
        <v>12</v>
      </c>
      <c r="H1527" s="2">
        <f>Tabla_Items_Con_Existencia[[#This Row],[COSTO]]*Tabla_Items_Con_Existencia[[#This Row],[EXISTENCIA]]</f>
        <v>671.87646312000004</v>
      </c>
      <c r="I1527" s="1">
        <f>IF(ISERROR(MATCH(Tabla_Items_Con_Existencia[[#This Row],[CODIGO]],Tabla_Items_Activos[CODIGO],0)),0,1)</f>
        <v>0</v>
      </c>
    </row>
    <row r="1528" spans="1:9">
      <c r="A1528" s="2" t="s">
        <v>6761</v>
      </c>
      <c r="B1528" s="2" t="s">
        <v>720</v>
      </c>
      <c r="C1528" s="2" t="s">
        <v>6956</v>
      </c>
      <c r="D1528" s="2" t="s">
        <v>5158</v>
      </c>
      <c r="E1528" s="2" t="s">
        <v>5159</v>
      </c>
      <c r="F1528" s="2">
        <v>55.989705260000001</v>
      </c>
      <c r="G1528" s="2">
        <v>12</v>
      </c>
      <c r="H1528" s="2">
        <f>Tabla_Items_Con_Existencia[[#This Row],[COSTO]]*Tabla_Items_Con_Existencia[[#This Row],[EXISTENCIA]]</f>
        <v>671.87646312000004</v>
      </c>
      <c r="I1528" s="1">
        <f>IF(ISERROR(MATCH(Tabla_Items_Con_Existencia[[#This Row],[CODIGO]],Tabla_Items_Activos[CODIGO],0)),0,1)</f>
        <v>0</v>
      </c>
    </row>
    <row r="1529" spans="1:9">
      <c r="A1529" s="2" t="s">
        <v>6760</v>
      </c>
      <c r="B1529" s="2" t="s">
        <v>6639</v>
      </c>
      <c r="C1529" s="2" t="s">
        <v>6957</v>
      </c>
      <c r="D1529" s="2" t="s">
        <v>5158</v>
      </c>
      <c r="E1529" s="2" t="s">
        <v>5159</v>
      </c>
      <c r="F1529" s="2">
        <v>47.43</v>
      </c>
      <c r="G1529" s="2">
        <v>4</v>
      </c>
      <c r="H1529" s="2">
        <f>Tabla_Items_Con_Existencia[[#This Row],[COSTO]]*Tabla_Items_Con_Existencia[[#This Row],[EXISTENCIA]]</f>
        <v>189.72</v>
      </c>
      <c r="I1529" s="1">
        <f>IF(ISERROR(MATCH(Tabla_Items_Con_Existencia[[#This Row],[CODIGO]],Tabla_Items_Activos[CODIGO],0)),0,1)</f>
        <v>0</v>
      </c>
    </row>
    <row r="1530" spans="1:9">
      <c r="A1530" s="2" t="s">
        <v>6760</v>
      </c>
      <c r="B1530" s="2" t="s">
        <v>721</v>
      </c>
      <c r="C1530" s="2" t="s">
        <v>6958</v>
      </c>
      <c r="D1530" s="2" t="s">
        <v>5158</v>
      </c>
      <c r="E1530" s="2" t="s">
        <v>5159</v>
      </c>
      <c r="F1530" s="2">
        <v>34.543300000000002</v>
      </c>
      <c r="G1530" s="2">
        <v>3</v>
      </c>
      <c r="H1530" s="2">
        <f>Tabla_Items_Con_Existencia[[#This Row],[COSTO]]*Tabla_Items_Con_Existencia[[#This Row],[EXISTENCIA]]</f>
        <v>103.62990000000001</v>
      </c>
      <c r="I1530" s="1">
        <f>IF(ISERROR(MATCH(Tabla_Items_Con_Existencia[[#This Row],[CODIGO]],Tabla_Items_Activos[CODIGO],0)),0,1)</f>
        <v>0</v>
      </c>
    </row>
    <row r="1531" spans="1:9">
      <c r="A1531" s="2" t="s">
        <v>6760</v>
      </c>
      <c r="B1531" s="2" t="s">
        <v>6640</v>
      </c>
      <c r="C1531" s="2" t="s">
        <v>6959</v>
      </c>
      <c r="D1531" s="2" t="s">
        <v>5158</v>
      </c>
      <c r="E1531" s="2" t="s">
        <v>5159</v>
      </c>
      <c r="F1531" s="2">
        <v>18.248000000000001</v>
      </c>
      <c r="G1531" s="2">
        <v>5</v>
      </c>
      <c r="H1531" s="2">
        <f>Tabla_Items_Con_Existencia[[#This Row],[COSTO]]*Tabla_Items_Con_Existencia[[#This Row],[EXISTENCIA]]</f>
        <v>91.240000000000009</v>
      </c>
      <c r="I1531" s="1">
        <f>IF(ISERROR(MATCH(Tabla_Items_Con_Existencia[[#This Row],[CODIGO]],Tabla_Items_Activos[CODIGO],0)),0,1)</f>
        <v>0</v>
      </c>
    </row>
    <row r="1532" spans="1:9">
      <c r="A1532" s="2" t="s">
        <v>6760</v>
      </c>
      <c r="B1532" s="2" t="s">
        <v>6641</v>
      </c>
      <c r="C1532" s="2" t="s">
        <v>6642</v>
      </c>
      <c r="D1532" s="2" t="s">
        <v>5158</v>
      </c>
      <c r="E1532" s="2" t="s">
        <v>5159</v>
      </c>
      <c r="F1532" s="2">
        <v>21.516999999999999</v>
      </c>
      <c r="G1532" s="2">
        <v>5</v>
      </c>
      <c r="H1532" s="2">
        <f>Tabla_Items_Con_Existencia[[#This Row],[COSTO]]*Tabla_Items_Con_Existencia[[#This Row],[EXISTENCIA]]</f>
        <v>107.58499999999999</v>
      </c>
      <c r="I1532" s="1">
        <f>IF(ISERROR(MATCH(Tabla_Items_Con_Existencia[[#This Row],[CODIGO]],Tabla_Items_Activos[CODIGO],0)),0,1)</f>
        <v>0</v>
      </c>
    </row>
    <row r="1533" spans="1:9">
      <c r="A1533" s="2" t="s">
        <v>6760</v>
      </c>
      <c r="B1533" s="2" t="s">
        <v>722</v>
      </c>
      <c r="C1533" s="2" t="s">
        <v>2245</v>
      </c>
      <c r="D1533" s="2" t="s">
        <v>5158</v>
      </c>
      <c r="E1533" s="2" t="s">
        <v>5159</v>
      </c>
      <c r="F1533" s="2">
        <v>19.38</v>
      </c>
      <c r="G1533" s="2">
        <v>2</v>
      </c>
      <c r="H1533" s="2">
        <f>Tabla_Items_Con_Existencia[[#This Row],[COSTO]]*Tabla_Items_Con_Existencia[[#This Row],[EXISTENCIA]]</f>
        <v>38.76</v>
      </c>
      <c r="I1533" s="1">
        <f>IF(ISERROR(MATCH(Tabla_Items_Con_Existencia[[#This Row],[CODIGO]],Tabla_Items_Activos[CODIGO],0)),0,1)</f>
        <v>0</v>
      </c>
    </row>
    <row r="1534" spans="1:9">
      <c r="A1534" s="2" t="s">
        <v>6761</v>
      </c>
      <c r="B1534" s="2" t="s">
        <v>722</v>
      </c>
      <c r="C1534" s="2" t="s">
        <v>2245</v>
      </c>
      <c r="D1534" s="2" t="s">
        <v>5158</v>
      </c>
      <c r="E1534" s="2" t="s">
        <v>5159</v>
      </c>
      <c r="F1534" s="2">
        <v>19.38</v>
      </c>
      <c r="G1534" s="2">
        <v>2</v>
      </c>
      <c r="H1534" s="2">
        <f>Tabla_Items_Con_Existencia[[#This Row],[COSTO]]*Tabla_Items_Con_Existencia[[#This Row],[EXISTENCIA]]</f>
        <v>38.76</v>
      </c>
      <c r="I1534" s="1">
        <f>IF(ISERROR(MATCH(Tabla_Items_Con_Existencia[[#This Row],[CODIGO]],Tabla_Items_Activos[CODIGO],0)),0,1)</f>
        <v>0</v>
      </c>
    </row>
    <row r="1535" spans="1:9">
      <c r="A1535" s="2" t="s">
        <v>6760</v>
      </c>
      <c r="B1535" s="2" t="s">
        <v>723</v>
      </c>
      <c r="C1535" s="2" t="s">
        <v>2248</v>
      </c>
      <c r="D1535" s="2" t="s">
        <v>5202</v>
      </c>
      <c r="E1535" s="2" t="s">
        <v>5159</v>
      </c>
      <c r="F1535" s="2">
        <v>25.733000000000001</v>
      </c>
      <c r="G1535" s="2">
        <v>1</v>
      </c>
      <c r="H1535" s="2">
        <f>Tabla_Items_Con_Existencia[[#This Row],[COSTO]]*Tabla_Items_Con_Existencia[[#This Row],[EXISTENCIA]]</f>
        <v>25.733000000000001</v>
      </c>
      <c r="I1535" s="1">
        <f>IF(ISERROR(MATCH(Tabla_Items_Con_Existencia[[#This Row],[CODIGO]],Tabla_Items_Activos[CODIGO],0)),0,1)</f>
        <v>0</v>
      </c>
    </row>
    <row r="1536" spans="1:9">
      <c r="A1536" s="2" t="s">
        <v>6760</v>
      </c>
      <c r="B1536" s="2" t="s">
        <v>7251</v>
      </c>
      <c r="C1536" s="2" t="s">
        <v>7252</v>
      </c>
      <c r="D1536" s="2" t="s">
        <v>5187</v>
      </c>
      <c r="E1536" s="2" t="s">
        <v>5159</v>
      </c>
      <c r="F1536" s="2">
        <v>0.1</v>
      </c>
      <c r="G1536" s="2">
        <v>2</v>
      </c>
      <c r="H1536" s="2">
        <f>Tabla_Items_Con_Existencia[[#This Row],[COSTO]]*Tabla_Items_Con_Existencia[[#This Row],[EXISTENCIA]]</f>
        <v>0.2</v>
      </c>
      <c r="I1536" s="1">
        <f>IF(ISERROR(MATCH(Tabla_Items_Con_Existencia[[#This Row],[CODIGO]],Tabla_Items_Activos[CODIGO],0)),0,1)</f>
        <v>0</v>
      </c>
    </row>
    <row r="1537" spans="1:9">
      <c r="A1537" s="2" t="s">
        <v>6760</v>
      </c>
      <c r="B1537" s="2" t="s">
        <v>7253</v>
      </c>
      <c r="C1537" s="2" t="s">
        <v>7254</v>
      </c>
      <c r="D1537" s="2" t="s">
        <v>5158</v>
      </c>
      <c r="E1537" s="2" t="s">
        <v>5159</v>
      </c>
      <c r="F1537" s="2">
        <v>0</v>
      </c>
      <c r="G1537" s="2">
        <v>3</v>
      </c>
      <c r="H1537" s="2">
        <f>Tabla_Items_Con_Existencia[[#This Row],[COSTO]]*Tabla_Items_Con_Existencia[[#This Row],[EXISTENCIA]]</f>
        <v>0</v>
      </c>
      <c r="I1537" s="1">
        <f>IF(ISERROR(MATCH(Tabla_Items_Con_Existencia[[#This Row],[CODIGO]],Tabla_Items_Activos[CODIGO],0)),0,1)</f>
        <v>0</v>
      </c>
    </row>
    <row r="1538" spans="1:9">
      <c r="A1538" s="2" t="s">
        <v>6761</v>
      </c>
      <c r="B1538" s="2" t="s">
        <v>725</v>
      </c>
      <c r="C1538" s="2" t="s">
        <v>6960</v>
      </c>
      <c r="D1538" s="2" t="s">
        <v>5186</v>
      </c>
      <c r="E1538" s="2" t="s">
        <v>5159</v>
      </c>
      <c r="F1538" s="2">
        <v>107.94846316</v>
      </c>
      <c r="G1538" s="2">
        <v>3</v>
      </c>
      <c r="H1538" s="2">
        <f>Tabla_Items_Con_Existencia[[#This Row],[COSTO]]*Tabla_Items_Con_Existencia[[#This Row],[EXISTENCIA]]</f>
        <v>323.84538947999999</v>
      </c>
      <c r="I1538" s="1">
        <f>IF(ISERROR(MATCH(Tabla_Items_Con_Existencia[[#This Row],[CODIGO]],Tabla_Items_Activos[CODIGO],0)),0,1)</f>
        <v>0</v>
      </c>
    </row>
    <row r="1539" spans="1:9">
      <c r="A1539" s="2" t="s">
        <v>6760</v>
      </c>
      <c r="B1539" s="2" t="s">
        <v>725</v>
      </c>
      <c r="C1539" s="2" t="s">
        <v>6960</v>
      </c>
      <c r="D1539" s="2" t="s">
        <v>5186</v>
      </c>
      <c r="E1539" s="2" t="s">
        <v>5159</v>
      </c>
      <c r="F1539" s="2">
        <v>107.94846316</v>
      </c>
      <c r="G1539" s="2">
        <v>3</v>
      </c>
      <c r="H1539" s="2">
        <f>Tabla_Items_Con_Existencia[[#This Row],[COSTO]]*Tabla_Items_Con_Existencia[[#This Row],[EXISTENCIA]]</f>
        <v>323.84538947999999</v>
      </c>
      <c r="I1539" s="1">
        <f>IF(ISERROR(MATCH(Tabla_Items_Con_Existencia[[#This Row],[CODIGO]],Tabla_Items_Activos[CODIGO],0)),0,1)</f>
        <v>0</v>
      </c>
    </row>
    <row r="1540" spans="1:9">
      <c r="A1540" s="2" t="s">
        <v>6760</v>
      </c>
      <c r="B1540" s="2" t="s">
        <v>726</v>
      </c>
      <c r="C1540" s="2" t="s">
        <v>1974</v>
      </c>
      <c r="D1540" s="2" t="s">
        <v>5158</v>
      </c>
      <c r="E1540" s="2" t="s">
        <v>5159</v>
      </c>
      <c r="F1540" s="2">
        <v>7.64</v>
      </c>
      <c r="G1540" s="2">
        <v>1</v>
      </c>
      <c r="H1540" s="2">
        <f>Tabla_Items_Con_Existencia[[#This Row],[COSTO]]*Tabla_Items_Con_Existencia[[#This Row],[EXISTENCIA]]</f>
        <v>7.64</v>
      </c>
      <c r="I1540" s="1">
        <f>IF(ISERROR(MATCH(Tabla_Items_Con_Existencia[[#This Row],[CODIGO]],Tabla_Items_Activos[CODIGO],0)),0,1)</f>
        <v>0</v>
      </c>
    </row>
    <row r="1541" spans="1:9">
      <c r="A1541" s="2" t="s">
        <v>6760</v>
      </c>
      <c r="B1541" s="2" t="s">
        <v>727</v>
      </c>
      <c r="C1541" s="2" t="s">
        <v>6961</v>
      </c>
      <c r="D1541" s="2" t="s">
        <v>5187</v>
      </c>
      <c r="E1541" s="2" t="s">
        <v>5159</v>
      </c>
      <c r="F1541" s="2">
        <v>16.703299999999999</v>
      </c>
      <c r="G1541" s="2">
        <v>11</v>
      </c>
      <c r="H1541" s="2">
        <f>Tabla_Items_Con_Existencia[[#This Row],[COSTO]]*Tabla_Items_Con_Existencia[[#This Row],[EXISTENCIA]]</f>
        <v>183.73629999999997</v>
      </c>
      <c r="I1541" s="1">
        <f>IF(ISERROR(MATCH(Tabla_Items_Con_Existencia[[#This Row],[CODIGO]],Tabla_Items_Activos[CODIGO],0)),0,1)</f>
        <v>0</v>
      </c>
    </row>
    <row r="1542" spans="1:9">
      <c r="A1542" s="2" t="s">
        <v>6760</v>
      </c>
      <c r="B1542" s="2" t="s">
        <v>728</v>
      </c>
      <c r="C1542" s="2" t="s">
        <v>6962</v>
      </c>
      <c r="D1542" s="2" t="s">
        <v>5158</v>
      </c>
      <c r="E1542" s="2" t="s">
        <v>5159</v>
      </c>
      <c r="F1542" s="2">
        <v>14.47</v>
      </c>
      <c r="G1542" s="2">
        <v>6</v>
      </c>
      <c r="H1542" s="2">
        <f>Tabla_Items_Con_Existencia[[#This Row],[COSTO]]*Tabla_Items_Con_Existencia[[#This Row],[EXISTENCIA]]</f>
        <v>86.820000000000007</v>
      </c>
      <c r="I1542" s="1">
        <f>IF(ISERROR(MATCH(Tabla_Items_Con_Existencia[[#This Row],[CODIGO]],Tabla_Items_Activos[CODIGO],0)),0,1)</f>
        <v>0</v>
      </c>
    </row>
    <row r="1543" spans="1:9">
      <c r="A1543" s="2" t="s">
        <v>6760</v>
      </c>
      <c r="B1543" s="2" t="s">
        <v>729</v>
      </c>
      <c r="C1543" s="2" t="s">
        <v>2253</v>
      </c>
      <c r="D1543" s="2" t="s">
        <v>5158</v>
      </c>
      <c r="E1543" s="2" t="s">
        <v>5159</v>
      </c>
      <c r="F1543" s="2">
        <v>21.328231580000001</v>
      </c>
      <c r="G1543" s="2">
        <v>15</v>
      </c>
      <c r="H1543" s="2">
        <f>Tabla_Items_Con_Existencia[[#This Row],[COSTO]]*Tabla_Items_Con_Existencia[[#This Row],[EXISTENCIA]]</f>
        <v>319.92347369999999</v>
      </c>
      <c r="I1543" s="1">
        <f>IF(ISERROR(MATCH(Tabla_Items_Con_Existencia[[#This Row],[CODIGO]],Tabla_Items_Activos[CODIGO],0)),0,1)</f>
        <v>0</v>
      </c>
    </row>
    <row r="1544" spans="1:9">
      <c r="A1544" s="2" t="s">
        <v>6761</v>
      </c>
      <c r="B1544" s="2" t="s">
        <v>729</v>
      </c>
      <c r="C1544" s="2" t="s">
        <v>2253</v>
      </c>
      <c r="D1544" s="2" t="s">
        <v>5158</v>
      </c>
      <c r="E1544" s="2" t="s">
        <v>5159</v>
      </c>
      <c r="F1544" s="2">
        <v>21.328231580000001</v>
      </c>
      <c r="G1544" s="2">
        <v>15</v>
      </c>
      <c r="H1544" s="2">
        <f>Tabla_Items_Con_Existencia[[#This Row],[COSTO]]*Tabla_Items_Con_Existencia[[#This Row],[EXISTENCIA]]</f>
        <v>319.92347369999999</v>
      </c>
      <c r="I1544" s="1">
        <f>IF(ISERROR(MATCH(Tabla_Items_Con_Existencia[[#This Row],[CODIGO]],Tabla_Items_Activos[CODIGO],0)),0,1)</f>
        <v>0</v>
      </c>
    </row>
    <row r="1545" spans="1:9">
      <c r="A1545" s="2" t="s">
        <v>6760</v>
      </c>
      <c r="B1545" s="2" t="s">
        <v>6643</v>
      </c>
      <c r="C1545" s="2" t="s">
        <v>4825</v>
      </c>
      <c r="D1545" s="2" t="s">
        <v>5158</v>
      </c>
      <c r="E1545" s="2" t="s">
        <v>5159</v>
      </c>
      <c r="F1545" s="2">
        <v>13.313000000000001</v>
      </c>
      <c r="G1545" s="2">
        <v>6</v>
      </c>
      <c r="H1545" s="2">
        <f>Tabla_Items_Con_Existencia[[#This Row],[COSTO]]*Tabla_Items_Con_Existencia[[#This Row],[EXISTENCIA]]</f>
        <v>79.878</v>
      </c>
      <c r="I1545" s="1">
        <f>IF(ISERROR(MATCH(Tabla_Items_Con_Existencia[[#This Row],[CODIGO]],Tabla_Items_Activos[CODIGO],0)),0,1)</f>
        <v>0</v>
      </c>
    </row>
    <row r="1546" spans="1:9">
      <c r="A1546" s="2" t="s">
        <v>6760</v>
      </c>
      <c r="B1546" s="2" t="s">
        <v>730</v>
      </c>
      <c r="C1546" s="2" t="s">
        <v>2254</v>
      </c>
      <c r="D1546" s="2" t="s">
        <v>5158</v>
      </c>
      <c r="E1546" s="2" t="s">
        <v>5159</v>
      </c>
      <c r="F1546" s="2">
        <v>19.068999999999999</v>
      </c>
      <c r="G1546" s="2">
        <v>4</v>
      </c>
      <c r="H1546" s="2">
        <f>Tabla_Items_Con_Existencia[[#This Row],[COSTO]]*Tabla_Items_Con_Existencia[[#This Row],[EXISTENCIA]]</f>
        <v>76.275999999999996</v>
      </c>
      <c r="I1546" s="1">
        <f>IF(ISERROR(MATCH(Tabla_Items_Con_Existencia[[#This Row],[CODIGO]],Tabla_Items_Activos[CODIGO],0)),0,1)</f>
        <v>0</v>
      </c>
    </row>
    <row r="1547" spans="1:9">
      <c r="A1547" s="2" t="s">
        <v>6760</v>
      </c>
      <c r="B1547" s="2" t="s">
        <v>731</v>
      </c>
      <c r="C1547" s="2" t="s">
        <v>2255</v>
      </c>
      <c r="D1547" s="2" t="s">
        <v>5158</v>
      </c>
      <c r="E1547" s="2" t="s">
        <v>5159</v>
      </c>
      <c r="F1547" s="2">
        <v>38.00473684</v>
      </c>
      <c r="G1547" s="2">
        <v>9</v>
      </c>
      <c r="H1547" s="2">
        <f>Tabla_Items_Con_Existencia[[#This Row],[COSTO]]*Tabla_Items_Con_Existencia[[#This Row],[EXISTENCIA]]</f>
        <v>342.04263156000002</v>
      </c>
      <c r="I1547" s="1">
        <f>IF(ISERROR(MATCH(Tabla_Items_Con_Existencia[[#This Row],[CODIGO]],Tabla_Items_Activos[CODIGO],0)),0,1)</f>
        <v>0</v>
      </c>
    </row>
    <row r="1548" spans="1:9">
      <c r="A1548" s="2" t="s">
        <v>6761</v>
      </c>
      <c r="B1548" s="2" t="s">
        <v>731</v>
      </c>
      <c r="C1548" s="2" t="s">
        <v>2255</v>
      </c>
      <c r="D1548" s="2" t="s">
        <v>5158</v>
      </c>
      <c r="E1548" s="2" t="s">
        <v>5159</v>
      </c>
      <c r="F1548" s="2">
        <v>38.00473684</v>
      </c>
      <c r="G1548" s="2">
        <v>9</v>
      </c>
      <c r="H1548" s="2">
        <f>Tabla_Items_Con_Existencia[[#This Row],[COSTO]]*Tabla_Items_Con_Existencia[[#This Row],[EXISTENCIA]]</f>
        <v>342.04263156000002</v>
      </c>
      <c r="I1548" s="1">
        <f>IF(ISERROR(MATCH(Tabla_Items_Con_Existencia[[#This Row],[CODIGO]],Tabla_Items_Activos[CODIGO],0)),0,1)</f>
        <v>0</v>
      </c>
    </row>
    <row r="1549" spans="1:9">
      <c r="A1549" s="2" t="s">
        <v>6760</v>
      </c>
      <c r="B1549" s="2" t="s">
        <v>5156</v>
      </c>
      <c r="C1549" s="2" t="s">
        <v>6963</v>
      </c>
      <c r="D1549" s="2" t="s">
        <v>5186</v>
      </c>
      <c r="E1549" s="2" t="s">
        <v>5159</v>
      </c>
      <c r="F1549" s="2">
        <v>26.08657895</v>
      </c>
      <c r="G1549" s="2">
        <v>23</v>
      </c>
      <c r="H1549" s="2">
        <f>Tabla_Items_Con_Existencia[[#This Row],[COSTO]]*Tabla_Items_Con_Existencia[[#This Row],[EXISTENCIA]]</f>
        <v>599.99131584999998</v>
      </c>
      <c r="I1549" s="1">
        <f>IF(ISERROR(MATCH(Tabla_Items_Con_Existencia[[#This Row],[CODIGO]],Tabla_Items_Activos[CODIGO],0)),0,1)</f>
        <v>0</v>
      </c>
    </row>
    <row r="1550" spans="1:9">
      <c r="A1550" s="2" t="s">
        <v>6761</v>
      </c>
      <c r="B1550" s="2" t="s">
        <v>5156</v>
      </c>
      <c r="C1550" s="2" t="s">
        <v>6963</v>
      </c>
      <c r="D1550" s="2" t="s">
        <v>5186</v>
      </c>
      <c r="E1550" s="2" t="s">
        <v>5159</v>
      </c>
      <c r="F1550" s="2">
        <v>26.08657895</v>
      </c>
      <c r="G1550" s="2">
        <v>23</v>
      </c>
      <c r="H1550" s="2">
        <f>Tabla_Items_Con_Existencia[[#This Row],[COSTO]]*Tabla_Items_Con_Existencia[[#This Row],[EXISTENCIA]]</f>
        <v>599.99131584999998</v>
      </c>
      <c r="I1550" s="1">
        <f>IF(ISERROR(MATCH(Tabla_Items_Con_Existencia[[#This Row],[CODIGO]],Tabla_Items_Activos[CODIGO],0)),0,1)</f>
        <v>0</v>
      </c>
    </row>
    <row r="1551" spans="1:9">
      <c r="A1551" s="2" t="s">
        <v>6761</v>
      </c>
      <c r="B1551" s="2" t="s">
        <v>5207</v>
      </c>
      <c r="C1551" s="2" t="s">
        <v>6964</v>
      </c>
      <c r="D1551" s="2" t="s">
        <v>5186</v>
      </c>
      <c r="E1551" s="2" t="s">
        <v>5159</v>
      </c>
      <c r="F1551" s="2">
        <v>31.23368421</v>
      </c>
      <c r="G1551" s="2">
        <v>11</v>
      </c>
      <c r="H1551" s="2">
        <f>Tabla_Items_Con_Existencia[[#This Row],[COSTO]]*Tabla_Items_Con_Existencia[[#This Row],[EXISTENCIA]]</f>
        <v>343.57052630999999</v>
      </c>
      <c r="I1551" s="1">
        <f>IF(ISERROR(MATCH(Tabla_Items_Con_Existencia[[#This Row],[CODIGO]],Tabla_Items_Activos[CODIGO],0)),0,1)</f>
        <v>0</v>
      </c>
    </row>
    <row r="1552" spans="1:9">
      <c r="A1552" s="2" t="s">
        <v>6760</v>
      </c>
      <c r="B1552" s="2" t="s">
        <v>5207</v>
      </c>
      <c r="C1552" s="2" t="s">
        <v>6964</v>
      </c>
      <c r="D1552" s="2" t="s">
        <v>5186</v>
      </c>
      <c r="E1552" s="2" t="s">
        <v>5159</v>
      </c>
      <c r="F1552" s="2">
        <v>31.23368421</v>
      </c>
      <c r="G1552" s="2">
        <v>11</v>
      </c>
      <c r="H1552" s="2">
        <f>Tabla_Items_Con_Existencia[[#This Row],[COSTO]]*Tabla_Items_Con_Existencia[[#This Row],[EXISTENCIA]]</f>
        <v>343.57052630999999</v>
      </c>
      <c r="I1552" s="1">
        <f>IF(ISERROR(MATCH(Tabla_Items_Con_Existencia[[#This Row],[CODIGO]],Tabla_Items_Activos[CODIGO],0)),0,1)</f>
        <v>0</v>
      </c>
    </row>
    <row r="1553" spans="1:9">
      <c r="A1553" s="2" t="s">
        <v>6760</v>
      </c>
      <c r="B1553" s="2" t="s">
        <v>733</v>
      </c>
      <c r="C1553" s="2" t="s">
        <v>2257</v>
      </c>
      <c r="D1553" s="2" t="s">
        <v>5158</v>
      </c>
      <c r="E1553" s="2" t="s">
        <v>5159</v>
      </c>
      <c r="F1553" s="2">
        <v>32.06</v>
      </c>
      <c r="G1553" s="2">
        <v>3</v>
      </c>
      <c r="H1553" s="2">
        <f>Tabla_Items_Con_Existencia[[#This Row],[COSTO]]*Tabla_Items_Con_Existencia[[#This Row],[EXISTENCIA]]</f>
        <v>96.18</v>
      </c>
      <c r="I1553" s="1">
        <f>IF(ISERROR(MATCH(Tabla_Items_Con_Existencia[[#This Row],[CODIGO]],Tabla_Items_Activos[CODIGO],0)),0,1)</f>
        <v>0</v>
      </c>
    </row>
    <row r="1554" spans="1:9">
      <c r="A1554" s="2" t="s">
        <v>6760</v>
      </c>
      <c r="B1554" s="2" t="s">
        <v>6644</v>
      </c>
      <c r="C1554" s="2" t="s">
        <v>6645</v>
      </c>
      <c r="D1554" s="2" t="s">
        <v>5158</v>
      </c>
      <c r="E1554" s="2" t="s">
        <v>5159</v>
      </c>
      <c r="F1554" s="2">
        <v>19.840315789999998</v>
      </c>
      <c r="G1554" s="2">
        <v>27</v>
      </c>
      <c r="H1554" s="2">
        <f>Tabla_Items_Con_Existencia[[#This Row],[COSTO]]*Tabla_Items_Con_Existencia[[#This Row],[EXISTENCIA]]</f>
        <v>535.68852632999995</v>
      </c>
      <c r="I1554" s="1">
        <f>IF(ISERROR(MATCH(Tabla_Items_Con_Existencia[[#This Row],[CODIGO]],Tabla_Items_Activos[CODIGO],0)),0,1)</f>
        <v>0</v>
      </c>
    </row>
    <row r="1555" spans="1:9">
      <c r="A1555" s="2" t="s">
        <v>6761</v>
      </c>
      <c r="B1555" s="2" t="s">
        <v>6644</v>
      </c>
      <c r="C1555" s="2" t="s">
        <v>6645</v>
      </c>
      <c r="D1555" s="2" t="s">
        <v>5158</v>
      </c>
      <c r="E1555" s="2" t="s">
        <v>5159</v>
      </c>
      <c r="F1555" s="2">
        <v>19.840315789999998</v>
      </c>
      <c r="G1555" s="2">
        <v>27</v>
      </c>
      <c r="H1555" s="2">
        <f>Tabla_Items_Con_Existencia[[#This Row],[COSTO]]*Tabla_Items_Con_Existencia[[#This Row],[EXISTENCIA]]</f>
        <v>535.68852632999995</v>
      </c>
      <c r="I1555" s="1">
        <f>IF(ISERROR(MATCH(Tabla_Items_Con_Existencia[[#This Row],[CODIGO]],Tabla_Items_Activos[CODIGO],0)),0,1)</f>
        <v>0</v>
      </c>
    </row>
    <row r="1556" spans="1:9">
      <c r="A1556" s="2" t="s">
        <v>6760</v>
      </c>
      <c r="B1556" s="2" t="s">
        <v>5518</v>
      </c>
      <c r="C1556" s="2" t="s">
        <v>6646</v>
      </c>
      <c r="D1556" s="2" t="s">
        <v>6459</v>
      </c>
      <c r="E1556" s="2" t="s">
        <v>5159</v>
      </c>
      <c r="F1556" s="2">
        <v>2.6042999999999998</v>
      </c>
      <c r="G1556" s="2">
        <v>57</v>
      </c>
      <c r="H1556" s="2">
        <f>Tabla_Items_Con_Existencia[[#This Row],[COSTO]]*Tabla_Items_Con_Existencia[[#This Row],[EXISTENCIA]]</f>
        <v>148.4451</v>
      </c>
      <c r="I1556" s="1">
        <f>IF(ISERROR(MATCH(Tabla_Items_Con_Existencia[[#This Row],[CODIGO]],Tabla_Items_Activos[CODIGO],0)),0,1)</f>
        <v>0</v>
      </c>
    </row>
    <row r="1557" spans="1:9">
      <c r="A1557" s="2" t="s">
        <v>6760</v>
      </c>
      <c r="B1557" s="2" t="s">
        <v>6647</v>
      </c>
      <c r="C1557" s="2" t="s">
        <v>4865</v>
      </c>
      <c r="D1557" s="2" t="s">
        <v>5158</v>
      </c>
      <c r="E1557" s="2" t="s">
        <v>5159</v>
      </c>
      <c r="F1557" s="2">
        <v>33.423999999999999</v>
      </c>
      <c r="G1557" s="2">
        <v>4</v>
      </c>
      <c r="H1557" s="2">
        <f>Tabla_Items_Con_Existencia[[#This Row],[COSTO]]*Tabla_Items_Con_Existencia[[#This Row],[EXISTENCIA]]</f>
        <v>133.696</v>
      </c>
      <c r="I1557" s="1">
        <f>IF(ISERROR(MATCH(Tabla_Items_Con_Existencia[[#This Row],[CODIGO]],Tabla_Items_Activos[CODIGO],0)),0,1)</f>
        <v>0</v>
      </c>
    </row>
    <row r="1558" spans="1:9">
      <c r="A1558" s="2" t="s">
        <v>6760</v>
      </c>
      <c r="B1558" s="2" t="s">
        <v>6648</v>
      </c>
      <c r="C1558" s="2" t="s">
        <v>6649</v>
      </c>
      <c r="D1558" s="2" t="s">
        <v>5158</v>
      </c>
      <c r="E1558" s="2" t="s">
        <v>5159</v>
      </c>
      <c r="F1558" s="2">
        <v>17.062999999999999</v>
      </c>
      <c r="G1558" s="2">
        <v>14</v>
      </c>
      <c r="H1558" s="2">
        <f>Tabla_Items_Con_Existencia[[#This Row],[COSTO]]*Tabla_Items_Con_Existencia[[#This Row],[EXISTENCIA]]</f>
        <v>238.88199999999998</v>
      </c>
      <c r="I1558" s="1">
        <f>IF(ISERROR(MATCH(Tabla_Items_Con_Existencia[[#This Row],[CODIGO]],Tabla_Items_Activos[CODIGO],0)),0,1)</f>
        <v>0</v>
      </c>
    </row>
    <row r="1559" spans="1:9">
      <c r="A1559" s="2" t="s">
        <v>6760</v>
      </c>
      <c r="B1559" s="2" t="s">
        <v>735</v>
      </c>
      <c r="C1559" s="2" t="s">
        <v>2260</v>
      </c>
      <c r="D1559" s="2" t="s">
        <v>5201</v>
      </c>
      <c r="E1559" s="2" t="s">
        <v>5159</v>
      </c>
      <c r="F1559" s="2">
        <v>20.824999999999999</v>
      </c>
      <c r="G1559" s="2">
        <v>1</v>
      </c>
      <c r="H1559" s="2">
        <f>Tabla_Items_Con_Existencia[[#This Row],[COSTO]]*Tabla_Items_Con_Existencia[[#This Row],[EXISTENCIA]]</f>
        <v>20.824999999999999</v>
      </c>
      <c r="I1559" s="1">
        <f>IF(ISERROR(MATCH(Tabla_Items_Con_Existencia[[#This Row],[CODIGO]],Tabla_Items_Activos[CODIGO],0)),0,1)</f>
        <v>0</v>
      </c>
    </row>
    <row r="1560" spans="1:9">
      <c r="A1560" s="2" t="s">
        <v>6760</v>
      </c>
      <c r="B1560" s="2" t="s">
        <v>6965</v>
      </c>
      <c r="C1560" s="2" t="s">
        <v>6966</v>
      </c>
      <c r="D1560" s="2" t="s">
        <v>5158</v>
      </c>
      <c r="E1560" s="2" t="s">
        <v>5159</v>
      </c>
      <c r="F1560" s="2">
        <v>27.55</v>
      </c>
      <c r="G1560" s="2">
        <v>3</v>
      </c>
      <c r="H1560" s="2">
        <f>Tabla_Items_Con_Existencia[[#This Row],[COSTO]]*Tabla_Items_Con_Existencia[[#This Row],[EXISTENCIA]]</f>
        <v>82.65</v>
      </c>
      <c r="I1560" s="1">
        <f>IF(ISERROR(MATCH(Tabla_Items_Con_Existencia[[#This Row],[CODIGO]],Tabla_Items_Activos[CODIGO],0)),0,1)</f>
        <v>0</v>
      </c>
    </row>
    <row r="1561" spans="1:9">
      <c r="A1561" s="2" t="s">
        <v>6760</v>
      </c>
      <c r="B1561" s="2" t="s">
        <v>6650</v>
      </c>
      <c r="C1561" s="2" t="s">
        <v>6651</v>
      </c>
      <c r="D1561" s="2" t="s">
        <v>5158</v>
      </c>
      <c r="E1561" s="2" t="s">
        <v>5159</v>
      </c>
      <c r="F1561" s="2">
        <v>2.2396315800000002</v>
      </c>
      <c r="G1561" s="2">
        <v>23</v>
      </c>
      <c r="H1561" s="2">
        <f>Tabla_Items_Con_Existencia[[#This Row],[COSTO]]*Tabla_Items_Con_Existencia[[#This Row],[EXISTENCIA]]</f>
        <v>51.511526340000003</v>
      </c>
      <c r="I1561" s="1">
        <f>IF(ISERROR(MATCH(Tabla_Items_Con_Existencia[[#This Row],[CODIGO]],Tabla_Items_Activos[CODIGO],0)),0,1)</f>
        <v>0</v>
      </c>
    </row>
    <row r="1562" spans="1:9">
      <c r="A1562" s="2" t="s">
        <v>6761</v>
      </c>
      <c r="B1562" s="2" t="s">
        <v>6650</v>
      </c>
      <c r="C1562" s="2" t="s">
        <v>6651</v>
      </c>
      <c r="D1562" s="2" t="s">
        <v>5158</v>
      </c>
      <c r="E1562" s="2" t="s">
        <v>5159</v>
      </c>
      <c r="F1562" s="2">
        <v>2.2396315800000002</v>
      </c>
      <c r="G1562" s="2">
        <v>23</v>
      </c>
      <c r="H1562" s="2">
        <f>Tabla_Items_Con_Existencia[[#This Row],[COSTO]]*Tabla_Items_Con_Existencia[[#This Row],[EXISTENCIA]]</f>
        <v>51.511526340000003</v>
      </c>
      <c r="I1562" s="1">
        <f>IF(ISERROR(MATCH(Tabla_Items_Con_Existencia[[#This Row],[CODIGO]],Tabla_Items_Activos[CODIGO],0)),0,1)</f>
        <v>0</v>
      </c>
    </row>
    <row r="1563" spans="1:9">
      <c r="A1563" s="2" t="s">
        <v>6760</v>
      </c>
      <c r="B1563" s="2" t="s">
        <v>6652</v>
      </c>
      <c r="C1563" s="2" t="s">
        <v>6653</v>
      </c>
      <c r="D1563" s="2" t="s">
        <v>5186</v>
      </c>
      <c r="E1563" s="2" t="s">
        <v>5159</v>
      </c>
      <c r="F1563" s="2">
        <v>60.452473679999997</v>
      </c>
      <c r="G1563" s="2">
        <v>3</v>
      </c>
      <c r="H1563" s="2">
        <f>Tabla_Items_Con_Existencia[[#This Row],[COSTO]]*Tabla_Items_Con_Existencia[[#This Row],[EXISTENCIA]]</f>
        <v>181.35742103999999</v>
      </c>
      <c r="I1563" s="1">
        <f>IF(ISERROR(MATCH(Tabla_Items_Con_Existencia[[#This Row],[CODIGO]],Tabla_Items_Activos[CODIGO],0)),0,1)</f>
        <v>0</v>
      </c>
    </row>
    <row r="1564" spans="1:9">
      <c r="A1564" s="2" t="s">
        <v>6761</v>
      </c>
      <c r="B1564" s="2" t="s">
        <v>6652</v>
      </c>
      <c r="C1564" s="2" t="s">
        <v>6653</v>
      </c>
      <c r="D1564" s="2" t="s">
        <v>5186</v>
      </c>
      <c r="E1564" s="2" t="s">
        <v>5159</v>
      </c>
      <c r="F1564" s="2">
        <v>60.452473679999997</v>
      </c>
      <c r="G1564" s="2">
        <v>3</v>
      </c>
      <c r="H1564" s="2">
        <f>Tabla_Items_Con_Existencia[[#This Row],[COSTO]]*Tabla_Items_Con_Existencia[[#This Row],[EXISTENCIA]]</f>
        <v>181.35742103999999</v>
      </c>
      <c r="I1564" s="1">
        <f>IF(ISERROR(MATCH(Tabla_Items_Con_Existencia[[#This Row],[CODIGO]],Tabla_Items_Activos[CODIGO],0)),0,1)</f>
        <v>0</v>
      </c>
    </row>
    <row r="1565" spans="1:9">
      <c r="A1565" s="2" t="s">
        <v>6760</v>
      </c>
      <c r="B1565" s="2" t="s">
        <v>6654</v>
      </c>
      <c r="C1565" s="2" t="s">
        <v>4371</v>
      </c>
      <c r="D1565" s="2" t="s">
        <v>5158</v>
      </c>
      <c r="E1565" s="2" t="s">
        <v>5159</v>
      </c>
      <c r="F1565" s="2">
        <v>9.6579999999999995</v>
      </c>
      <c r="G1565" s="2">
        <v>2</v>
      </c>
      <c r="H1565" s="2">
        <f>Tabla_Items_Con_Existencia[[#This Row],[COSTO]]*Tabla_Items_Con_Existencia[[#This Row],[EXISTENCIA]]</f>
        <v>19.315999999999999</v>
      </c>
      <c r="I1565" s="1">
        <f>IF(ISERROR(MATCH(Tabla_Items_Con_Existencia[[#This Row],[CODIGO]],Tabla_Items_Activos[CODIGO],0)),0,1)</f>
        <v>0</v>
      </c>
    </row>
    <row r="1566" spans="1:9">
      <c r="A1566" s="2" t="s">
        <v>6761</v>
      </c>
      <c r="B1566" s="2" t="s">
        <v>6654</v>
      </c>
      <c r="C1566" s="2" t="s">
        <v>4371</v>
      </c>
      <c r="D1566" s="2" t="s">
        <v>5158</v>
      </c>
      <c r="E1566" s="2" t="s">
        <v>5159</v>
      </c>
      <c r="F1566" s="2">
        <v>9.6579999999999995</v>
      </c>
      <c r="G1566" s="2">
        <v>2</v>
      </c>
      <c r="H1566" s="2">
        <f>Tabla_Items_Con_Existencia[[#This Row],[COSTO]]*Tabla_Items_Con_Existencia[[#This Row],[EXISTENCIA]]</f>
        <v>19.315999999999999</v>
      </c>
      <c r="I1566" s="1">
        <f>IF(ISERROR(MATCH(Tabla_Items_Con_Existencia[[#This Row],[CODIGO]],Tabla_Items_Activos[CODIGO],0)),0,1)</f>
        <v>0</v>
      </c>
    </row>
    <row r="1567" spans="1:9">
      <c r="A1567" s="2" t="s">
        <v>6760</v>
      </c>
      <c r="B1567" s="2" t="s">
        <v>6967</v>
      </c>
      <c r="C1567" s="2" t="s">
        <v>6968</v>
      </c>
      <c r="D1567" s="2" t="s">
        <v>5158</v>
      </c>
      <c r="E1567" s="2" t="s">
        <v>5159</v>
      </c>
      <c r="F1567" s="2">
        <v>19.350000000000001</v>
      </c>
      <c r="G1567" s="2">
        <v>5</v>
      </c>
      <c r="H1567" s="2">
        <f>Tabla_Items_Con_Existencia[[#This Row],[COSTO]]*Tabla_Items_Con_Existencia[[#This Row],[EXISTENCIA]]</f>
        <v>96.75</v>
      </c>
      <c r="I1567" s="1">
        <f>IF(ISERROR(MATCH(Tabla_Items_Con_Existencia[[#This Row],[CODIGO]],Tabla_Items_Activos[CODIGO],0)),0,1)</f>
        <v>0</v>
      </c>
    </row>
    <row r="1568" spans="1:9">
      <c r="A1568" s="2" t="s">
        <v>6760</v>
      </c>
      <c r="B1568" s="2" t="s">
        <v>736</v>
      </c>
      <c r="C1568" s="2" t="s">
        <v>4858</v>
      </c>
      <c r="D1568" s="2" t="s">
        <v>5158</v>
      </c>
      <c r="E1568" s="2" t="s">
        <v>5159</v>
      </c>
      <c r="F1568" s="2">
        <v>34.347999999999999</v>
      </c>
      <c r="G1568" s="2">
        <v>2</v>
      </c>
      <c r="H1568" s="2">
        <f>Tabla_Items_Con_Existencia[[#This Row],[COSTO]]*Tabla_Items_Con_Existencia[[#This Row],[EXISTENCIA]]</f>
        <v>68.695999999999998</v>
      </c>
      <c r="I1568" s="1">
        <f>IF(ISERROR(MATCH(Tabla_Items_Con_Existencia[[#This Row],[CODIGO]],Tabla_Items_Activos[CODIGO],0)),0,1)</f>
        <v>0</v>
      </c>
    </row>
    <row r="1569" spans="1:9">
      <c r="A1569" s="2" t="s">
        <v>6760</v>
      </c>
      <c r="B1569" s="2" t="s">
        <v>2261</v>
      </c>
      <c r="C1569" s="2" t="s">
        <v>7255</v>
      </c>
      <c r="D1569" s="2" t="s">
        <v>5158</v>
      </c>
      <c r="E1569" s="2" t="s">
        <v>5159</v>
      </c>
      <c r="F1569" s="2">
        <v>30.3</v>
      </c>
      <c r="G1569" s="2">
        <v>6</v>
      </c>
      <c r="H1569" s="2">
        <f>Tabla_Items_Con_Existencia[[#This Row],[COSTO]]*Tabla_Items_Con_Existencia[[#This Row],[EXISTENCIA]]</f>
        <v>181.8</v>
      </c>
      <c r="I1569" s="1">
        <f>IF(ISERROR(MATCH(Tabla_Items_Con_Existencia[[#This Row],[CODIGO]],Tabla_Items_Activos[CODIGO],0)),0,1)</f>
        <v>0</v>
      </c>
    </row>
    <row r="1570" spans="1:9">
      <c r="A1570" s="2" t="s">
        <v>6760</v>
      </c>
      <c r="B1570" s="2" t="s">
        <v>2263</v>
      </c>
      <c r="C1570" s="2" t="s">
        <v>2264</v>
      </c>
      <c r="D1570" s="2" t="s">
        <v>5158</v>
      </c>
      <c r="E1570" s="2" t="s">
        <v>5159</v>
      </c>
      <c r="F1570" s="2">
        <v>11.5708</v>
      </c>
      <c r="G1570" s="2">
        <v>15</v>
      </c>
      <c r="H1570" s="2">
        <f>Tabla_Items_Con_Existencia[[#This Row],[COSTO]]*Tabla_Items_Con_Existencia[[#This Row],[EXISTENCIA]]</f>
        <v>173.56200000000001</v>
      </c>
      <c r="I1570" s="1">
        <f>IF(ISERROR(MATCH(Tabla_Items_Con_Existencia[[#This Row],[CODIGO]],Tabla_Items_Activos[CODIGO],0)),0,1)</f>
        <v>0</v>
      </c>
    </row>
    <row r="1571" spans="1:9">
      <c r="A1571" s="2" t="s">
        <v>6760</v>
      </c>
      <c r="B1571" s="2" t="s">
        <v>6655</v>
      </c>
      <c r="C1571" s="2" t="s">
        <v>6656</v>
      </c>
      <c r="D1571" s="2" t="s">
        <v>5158</v>
      </c>
      <c r="E1571" s="2" t="s">
        <v>5159</v>
      </c>
      <c r="F1571" s="2">
        <v>52.808136840000003</v>
      </c>
      <c r="G1571" s="2">
        <v>3</v>
      </c>
      <c r="H1571" s="2">
        <f>Tabla_Items_Con_Existencia[[#This Row],[COSTO]]*Tabla_Items_Con_Existencia[[#This Row],[EXISTENCIA]]</f>
        <v>158.42441052000001</v>
      </c>
      <c r="I1571" s="1">
        <f>IF(ISERROR(MATCH(Tabla_Items_Con_Existencia[[#This Row],[CODIGO]],Tabla_Items_Activos[CODIGO],0)),0,1)</f>
        <v>0</v>
      </c>
    </row>
    <row r="1572" spans="1:9">
      <c r="A1572" s="2" t="s">
        <v>6761</v>
      </c>
      <c r="B1572" s="2" t="s">
        <v>6655</v>
      </c>
      <c r="C1572" s="2" t="s">
        <v>6656</v>
      </c>
      <c r="D1572" s="2" t="s">
        <v>5158</v>
      </c>
      <c r="E1572" s="2" t="s">
        <v>5159</v>
      </c>
      <c r="F1572" s="2">
        <v>52.808136840000003</v>
      </c>
      <c r="G1572" s="2">
        <v>3</v>
      </c>
      <c r="H1572" s="2">
        <f>Tabla_Items_Con_Existencia[[#This Row],[COSTO]]*Tabla_Items_Con_Existencia[[#This Row],[EXISTENCIA]]</f>
        <v>158.42441052000001</v>
      </c>
      <c r="I1572" s="1">
        <f>IF(ISERROR(MATCH(Tabla_Items_Con_Existencia[[#This Row],[CODIGO]],Tabla_Items_Activos[CODIGO],0)),0,1)</f>
        <v>0</v>
      </c>
    </row>
    <row r="1573" spans="1:9">
      <c r="A1573" s="2" t="s">
        <v>6760</v>
      </c>
      <c r="B1573" s="2" t="s">
        <v>737</v>
      </c>
      <c r="C1573" s="2" t="s">
        <v>2265</v>
      </c>
      <c r="D1573" s="2" t="s">
        <v>5186</v>
      </c>
      <c r="E1573" s="2" t="s">
        <v>5159</v>
      </c>
      <c r="F1573" s="2">
        <v>92.31</v>
      </c>
      <c r="G1573" s="2">
        <v>4</v>
      </c>
      <c r="H1573" s="2">
        <f>Tabla_Items_Con_Existencia[[#This Row],[COSTO]]*Tabla_Items_Con_Existencia[[#This Row],[EXISTENCIA]]</f>
        <v>369.24</v>
      </c>
      <c r="I1573" s="1">
        <f>IF(ISERROR(MATCH(Tabla_Items_Con_Existencia[[#This Row],[CODIGO]],Tabla_Items_Activos[CODIGO],0)),0,1)</f>
        <v>0</v>
      </c>
    </row>
    <row r="1574" spans="1:9">
      <c r="A1574" s="2" t="s">
        <v>6760</v>
      </c>
      <c r="B1574" s="2" t="s">
        <v>6657</v>
      </c>
      <c r="C1574" s="2" t="s">
        <v>6658</v>
      </c>
      <c r="D1574" s="2" t="s">
        <v>5158</v>
      </c>
      <c r="E1574" s="2" t="s">
        <v>5159</v>
      </c>
      <c r="F1574" s="2">
        <v>22.67</v>
      </c>
      <c r="G1574" s="2">
        <v>5</v>
      </c>
      <c r="H1574" s="2">
        <f>Tabla_Items_Con_Existencia[[#This Row],[COSTO]]*Tabla_Items_Con_Existencia[[#This Row],[EXISTENCIA]]</f>
        <v>113.35000000000001</v>
      </c>
      <c r="I1574" s="1">
        <f>IF(ISERROR(MATCH(Tabla_Items_Con_Existencia[[#This Row],[CODIGO]],Tabla_Items_Activos[CODIGO],0)),0,1)</f>
        <v>0</v>
      </c>
    </row>
    <row r="1575" spans="1:9">
      <c r="A1575" s="2" t="s">
        <v>6760</v>
      </c>
      <c r="B1575" s="2" t="s">
        <v>738</v>
      </c>
      <c r="C1575" s="2" t="s">
        <v>7343</v>
      </c>
      <c r="D1575" s="2" t="s">
        <v>5158</v>
      </c>
      <c r="E1575" s="2" t="s">
        <v>5159</v>
      </c>
      <c r="F1575" s="2">
        <v>2.6059000000000001</v>
      </c>
      <c r="G1575" s="2">
        <v>22</v>
      </c>
      <c r="H1575" s="2">
        <f>Tabla_Items_Con_Existencia[[#This Row],[COSTO]]*Tabla_Items_Con_Existencia[[#This Row],[EXISTENCIA]]</f>
        <v>57.329800000000006</v>
      </c>
      <c r="I1575" s="1">
        <f>IF(ISERROR(MATCH(Tabla_Items_Con_Existencia[[#This Row],[CODIGO]],Tabla_Items_Activos[CODIGO],0)),0,1)</f>
        <v>0</v>
      </c>
    </row>
    <row r="1576" spans="1:9">
      <c r="A1576" s="2" t="s">
        <v>6760</v>
      </c>
      <c r="B1576" s="2" t="s">
        <v>2267</v>
      </c>
      <c r="C1576" s="2" t="s">
        <v>2268</v>
      </c>
      <c r="D1576" s="2" t="s">
        <v>5158</v>
      </c>
      <c r="E1576" s="2" t="s">
        <v>5159</v>
      </c>
      <c r="F1576" s="2">
        <v>0.84299999999999997</v>
      </c>
      <c r="G1576" s="2">
        <v>28</v>
      </c>
      <c r="H1576" s="2">
        <f>Tabla_Items_Con_Existencia[[#This Row],[COSTO]]*Tabla_Items_Con_Existencia[[#This Row],[EXISTENCIA]]</f>
        <v>23.603999999999999</v>
      </c>
      <c r="I1576" s="1">
        <f>IF(ISERROR(MATCH(Tabla_Items_Con_Existencia[[#This Row],[CODIGO]],Tabla_Items_Activos[CODIGO],0)),0,1)</f>
        <v>0</v>
      </c>
    </row>
    <row r="1577" spans="1:9">
      <c r="A1577" s="2" t="s">
        <v>6760</v>
      </c>
      <c r="B1577" s="2" t="s">
        <v>6361</v>
      </c>
      <c r="C1577" s="2" t="s">
        <v>6659</v>
      </c>
      <c r="D1577" s="2" t="s">
        <v>5158</v>
      </c>
      <c r="E1577" s="2" t="s">
        <v>5159</v>
      </c>
      <c r="F1577" s="2">
        <v>0.26913683999999999</v>
      </c>
      <c r="G1577" s="2">
        <v>64</v>
      </c>
      <c r="H1577" s="2">
        <f>Tabla_Items_Con_Existencia[[#This Row],[COSTO]]*Tabla_Items_Con_Existencia[[#This Row],[EXISTENCIA]]</f>
        <v>17.224757759999999</v>
      </c>
      <c r="I1577" s="1">
        <f>IF(ISERROR(MATCH(Tabla_Items_Con_Existencia[[#This Row],[CODIGO]],Tabla_Items_Activos[CODIGO],0)),0,1)</f>
        <v>0</v>
      </c>
    </row>
    <row r="1578" spans="1:9">
      <c r="A1578" s="2" t="s">
        <v>6761</v>
      </c>
      <c r="B1578" s="2" t="s">
        <v>6361</v>
      </c>
      <c r="C1578" s="2" t="s">
        <v>6659</v>
      </c>
      <c r="D1578" s="2" t="s">
        <v>5158</v>
      </c>
      <c r="E1578" s="2" t="s">
        <v>5159</v>
      </c>
      <c r="F1578" s="2">
        <v>0.26913683999999999</v>
      </c>
      <c r="G1578" s="2">
        <v>64</v>
      </c>
      <c r="H1578" s="2">
        <f>Tabla_Items_Con_Existencia[[#This Row],[COSTO]]*Tabla_Items_Con_Existencia[[#This Row],[EXISTENCIA]]</f>
        <v>17.224757759999999</v>
      </c>
      <c r="I1578" s="1">
        <f>IF(ISERROR(MATCH(Tabla_Items_Con_Existencia[[#This Row],[CODIGO]],Tabla_Items_Activos[CODIGO],0)),0,1)</f>
        <v>0</v>
      </c>
    </row>
    <row r="1579" spans="1:9">
      <c r="A1579" s="2" t="s">
        <v>6760</v>
      </c>
      <c r="B1579" s="2" t="s">
        <v>2269</v>
      </c>
      <c r="C1579" s="2" t="s">
        <v>7344</v>
      </c>
      <c r="D1579" s="2" t="s">
        <v>5158</v>
      </c>
      <c r="E1579" s="2" t="s">
        <v>5159</v>
      </c>
      <c r="F1579" s="2">
        <v>12.313000000000001</v>
      </c>
      <c r="G1579" s="2">
        <v>8</v>
      </c>
      <c r="H1579" s="2">
        <f>Tabla_Items_Con_Existencia[[#This Row],[COSTO]]*Tabla_Items_Con_Existencia[[#This Row],[EXISTENCIA]]</f>
        <v>98.504000000000005</v>
      </c>
      <c r="I1579" s="1">
        <f>IF(ISERROR(MATCH(Tabla_Items_Con_Existencia[[#This Row],[CODIGO]],Tabla_Items_Activos[CODIGO],0)),0,1)</f>
        <v>0</v>
      </c>
    </row>
    <row r="1580" spans="1:9">
      <c r="A1580" s="2" t="s">
        <v>6760</v>
      </c>
      <c r="B1580" s="2" t="s">
        <v>2270</v>
      </c>
      <c r="C1580" s="2" t="s">
        <v>2271</v>
      </c>
      <c r="D1580" s="2" t="s">
        <v>5158</v>
      </c>
      <c r="E1580" s="2" t="s">
        <v>5159</v>
      </c>
      <c r="F1580" s="2">
        <v>0.46700000000000003</v>
      </c>
      <c r="G1580" s="2">
        <v>24</v>
      </c>
      <c r="H1580" s="2">
        <f>Tabla_Items_Con_Existencia[[#This Row],[COSTO]]*Tabla_Items_Con_Existencia[[#This Row],[EXISTENCIA]]</f>
        <v>11.208</v>
      </c>
      <c r="I1580" s="1">
        <f>IF(ISERROR(MATCH(Tabla_Items_Con_Existencia[[#This Row],[CODIGO]],Tabla_Items_Activos[CODIGO],0)),0,1)</f>
        <v>0</v>
      </c>
    </row>
    <row r="1581" spans="1:9">
      <c r="A1581" s="2" t="s">
        <v>6760</v>
      </c>
      <c r="B1581" s="2" t="s">
        <v>739</v>
      </c>
      <c r="C1581" s="2" t="s">
        <v>2272</v>
      </c>
      <c r="D1581" s="2" t="s">
        <v>5158</v>
      </c>
      <c r="E1581" s="2" t="s">
        <v>5159</v>
      </c>
      <c r="F1581" s="2">
        <v>11.5687</v>
      </c>
      <c r="G1581" s="2">
        <v>60</v>
      </c>
      <c r="H1581" s="2">
        <f>Tabla_Items_Con_Existencia[[#This Row],[COSTO]]*Tabla_Items_Con_Existencia[[#This Row],[EXISTENCIA]]</f>
        <v>694.12199999999996</v>
      </c>
      <c r="I1581" s="1">
        <f>IF(ISERROR(MATCH(Tabla_Items_Con_Existencia[[#This Row],[CODIGO]],Tabla_Items_Activos[CODIGO],0)),0,1)</f>
        <v>0</v>
      </c>
    </row>
    <row r="1582" spans="1:9">
      <c r="A1582" s="2" t="s">
        <v>6760</v>
      </c>
      <c r="B1582" s="2" t="s">
        <v>2273</v>
      </c>
      <c r="C1582" s="2" t="s">
        <v>2274</v>
      </c>
      <c r="D1582" s="2" t="s">
        <v>5158</v>
      </c>
      <c r="E1582" s="2" t="s">
        <v>5159</v>
      </c>
      <c r="F1582" s="2">
        <v>2.4495</v>
      </c>
      <c r="G1582" s="2">
        <v>8</v>
      </c>
      <c r="H1582" s="2">
        <f>Tabla_Items_Con_Existencia[[#This Row],[COSTO]]*Tabla_Items_Con_Existencia[[#This Row],[EXISTENCIA]]</f>
        <v>19.596</v>
      </c>
      <c r="I1582" s="1">
        <f>IF(ISERROR(MATCH(Tabla_Items_Con_Existencia[[#This Row],[CODIGO]],Tabla_Items_Activos[CODIGO],0)),0,1)</f>
        <v>0</v>
      </c>
    </row>
    <row r="1583" spans="1:9">
      <c r="A1583" s="2" t="s">
        <v>6760</v>
      </c>
      <c r="B1583" s="2" t="s">
        <v>740</v>
      </c>
      <c r="C1583" s="2" t="s">
        <v>2275</v>
      </c>
      <c r="D1583" s="2" t="s">
        <v>5158</v>
      </c>
      <c r="E1583" s="2" t="s">
        <v>5159</v>
      </c>
      <c r="F1583" s="2">
        <v>31.728000000000002</v>
      </c>
      <c r="G1583" s="2">
        <v>3</v>
      </c>
      <c r="H1583" s="2">
        <f>Tabla_Items_Con_Existencia[[#This Row],[COSTO]]*Tabla_Items_Con_Existencia[[#This Row],[EXISTENCIA]]</f>
        <v>95.183999999999997</v>
      </c>
      <c r="I1583" s="1">
        <f>IF(ISERROR(MATCH(Tabla_Items_Con_Existencia[[#This Row],[CODIGO]],Tabla_Items_Activos[CODIGO],0)),0,1)</f>
        <v>0</v>
      </c>
    </row>
    <row r="1584" spans="1:9">
      <c r="A1584" s="2" t="s">
        <v>6760</v>
      </c>
      <c r="B1584" s="2" t="s">
        <v>741</v>
      </c>
      <c r="C1584" s="2" t="s">
        <v>2276</v>
      </c>
      <c r="D1584" s="2" t="s">
        <v>5158</v>
      </c>
      <c r="E1584" s="2" t="s">
        <v>5159</v>
      </c>
      <c r="F1584" s="2">
        <v>7.9572000000000003</v>
      </c>
      <c r="G1584" s="2">
        <v>36</v>
      </c>
      <c r="H1584" s="2">
        <f>Tabla_Items_Con_Existencia[[#This Row],[COSTO]]*Tabla_Items_Con_Existencia[[#This Row],[EXISTENCIA]]</f>
        <v>286.45920000000001</v>
      </c>
      <c r="I1584" s="1">
        <f>IF(ISERROR(MATCH(Tabla_Items_Con_Existencia[[#This Row],[CODIGO]],Tabla_Items_Activos[CODIGO],0)),0,1)</f>
        <v>0</v>
      </c>
    </row>
    <row r="1585" spans="1:9">
      <c r="A1585" s="2" t="s">
        <v>6760</v>
      </c>
      <c r="B1585" s="2" t="s">
        <v>2277</v>
      </c>
      <c r="C1585" s="2" t="s">
        <v>2278</v>
      </c>
      <c r="D1585" s="2" t="s">
        <v>5158</v>
      </c>
      <c r="E1585" s="2" t="s">
        <v>5159</v>
      </c>
      <c r="F1585" s="2">
        <v>7.468</v>
      </c>
      <c r="G1585" s="2">
        <v>4</v>
      </c>
      <c r="H1585" s="2">
        <f>Tabla_Items_Con_Existencia[[#This Row],[COSTO]]*Tabla_Items_Con_Existencia[[#This Row],[EXISTENCIA]]</f>
        <v>29.872</v>
      </c>
      <c r="I1585" s="1">
        <f>IF(ISERROR(MATCH(Tabla_Items_Con_Existencia[[#This Row],[CODIGO]],Tabla_Items_Activos[CODIGO],0)),0,1)</f>
        <v>0</v>
      </c>
    </row>
    <row r="1586" spans="1:9">
      <c r="A1586" s="2" t="s">
        <v>6760</v>
      </c>
      <c r="B1586" s="2" t="s">
        <v>742</v>
      </c>
      <c r="C1586" s="2" t="s">
        <v>2279</v>
      </c>
      <c r="D1586" s="2" t="s">
        <v>5158</v>
      </c>
      <c r="E1586" s="2" t="s">
        <v>5159</v>
      </c>
      <c r="F1586" s="2">
        <v>2.9769999999999999</v>
      </c>
      <c r="G1586" s="2">
        <v>173</v>
      </c>
      <c r="H1586" s="2">
        <f>Tabla_Items_Con_Existencia[[#This Row],[COSTO]]*Tabla_Items_Con_Existencia[[#This Row],[EXISTENCIA]]</f>
        <v>515.02099999999996</v>
      </c>
      <c r="I1586" s="1">
        <f>IF(ISERROR(MATCH(Tabla_Items_Con_Existencia[[#This Row],[CODIGO]],Tabla_Items_Activos[CODIGO],0)),0,1)</f>
        <v>0</v>
      </c>
    </row>
    <row r="1587" spans="1:9">
      <c r="A1587" s="2" t="s">
        <v>6760</v>
      </c>
      <c r="B1587" s="2" t="s">
        <v>743</v>
      </c>
      <c r="C1587" s="2" t="s">
        <v>6289</v>
      </c>
      <c r="D1587" s="2" t="s">
        <v>5158</v>
      </c>
      <c r="E1587" s="2" t="s">
        <v>5159</v>
      </c>
      <c r="F1587" s="2">
        <v>1.1299999999999999</v>
      </c>
      <c r="G1587" s="2">
        <v>26</v>
      </c>
      <c r="H1587" s="2">
        <f>Tabla_Items_Con_Existencia[[#This Row],[COSTO]]*Tabla_Items_Con_Existencia[[#This Row],[EXISTENCIA]]</f>
        <v>29.379999999999995</v>
      </c>
      <c r="I1587" s="1">
        <f>IF(ISERROR(MATCH(Tabla_Items_Con_Existencia[[#This Row],[CODIGO]],Tabla_Items_Activos[CODIGO],0)),0,1)</f>
        <v>0</v>
      </c>
    </row>
    <row r="1588" spans="1:9">
      <c r="A1588" s="2" t="s">
        <v>6759</v>
      </c>
      <c r="B1588" s="2" t="s">
        <v>744</v>
      </c>
      <c r="C1588" s="2" t="s">
        <v>2280</v>
      </c>
      <c r="D1588" s="2" t="s">
        <v>5158</v>
      </c>
      <c r="E1588" s="2" t="s">
        <v>5159</v>
      </c>
      <c r="F1588" s="2">
        <v>88.183139999999995</v>
      </c>
      <c r="G1588" s="2">
        <v>7</v>
      </c>
      <c r="H1588" s="2">
        <f>Tabla_Items_Con_Existencia[[#This Row],[COSTO]]*Tabla_Items_Con_Existencia[[#This Row],[EXISTENCIA]]</f>
        <v>617.28197999999998</v>
      </c>
      <c r="I1588" s="1">
        <f>IF(ISERROR(MATCH(Tabla_Items_Con_Existencia[[#This Row],[CODIGO]],Tabla_Items_Activos[CODIGO],0)),0,1)</f>
        <v>0</v>
      </c>
    </row>
    <row r="1589" spans="1:9">
      <c r="A1589" s="2" t="s">
        <v>6760</v>
      </c>
      <c r="B1589" s="2" t="s">
        <v>744</v>
      </c>
      <c r="C1589" s="2" t="s">
        <v>2280</v>
      </c>
      <c r="D1589" s="2" t="s">
        <v>5158</v>
      </c>
      <c r="E1589" s="2" t="s">
        <v>5159</v>
      </c>
      <c r="F1589" s="2">
        <v>88.183139999999995</v>
      </c>
      <c r="G1589" s="2">
        <v>7</v>
      </c>
      <c r="H1589" s="2">
        <f>Tabla_Items_Con_Existencia[[#This Row],[COSTO]]*Tabla_Items_Con_Existencia[[#This Row],[EXISTENCIA]]</f>
        <v>617.28197999999998</v>
      </c>
      <c r="I1589" s="1">
        <f>IF(ISERROR(MATCH(Tabla_Items_Con_Existencia[[#This Row],[CODIGO]],Tabla_Items_Activos[CODIGO],0)),0,1)</f>
        <v>0</v>
      </c>
    </row>
    <row r="1590" spans="1:9">
      <c r="A1590" s="2" t="s">
        <v>6760</v>
      </c>
      <c r="B1590" s="2" t="s">
        <v>745</v>
      </c>
      <c r="C1590" s="2" t="s">
        <v>6969</v>
      </c>
      <c r="D1590" s="2" t="s">
        <v>5158</v>
      </c>
      <c r="E1590" s="2" t="s">
        <v>5159</v>
      </c>
      <c r="F1590" s="2">
        <v>0.24</v>
      </c>
      <c r="G1590" s="2">
        <v>50</v>
      </c>
      <c r="H1590" s="2">
        <f>Tabla_Items_Con_Existencia[[#This Row],[COSTO]]*Tabla_Items_Con_Existencia[[#This Row],[EXISTENCIA]]</f>
        <v>12</v>
      </c>
      <c r="I1590" s="1">
        <f>IF(ISERROR(MATCH(Tabla_Items_Con_Existencia[[#This Row],[CODIGO]],Tabla_Items_Activos[CODIGO],0)),0,1)</f>
        <v>0</v>
      </c>
    </row>
    <row r="1591" spans="1:9">
      <c r="A1591" s="2" t="s">
        <v>6760</v>
      </c>
      <c r="B1591" s="2" t="s">
        <v>746</v>
      </c>
      <c r="C1591" s="2" t="s">
        <v>5523</v>
      </c>
      <c r="D1591" s="2" t="s">
        <v>5158</v>
      </c>
      <c r="E1591" s="2" t="s">
        <v>5159</v>
      </c>
      <c r="F1591" s="2">
        <v>0.22</v>
      </c>
      <c r="G1591" s="2">
        <v>25</v>
      </c>
      <c r="H1591" s="2">
        <f>Tabla_Items_Con_Existencia[[#This Row],[COSTO]]*Tabla_Items_Con_Existencia[[#This Row],[EXISTENCIA]]</f>
        <v>5.5</v>
      </c>
      <c r="I1591" s="1">
        <f>IF(ISERROR(MATCH(Tabla_Items_Con_Existencia[[#This Row],[CODIGO]],Tabla_Items_Activos[CODIGO],0)),0,1)</f>
        <v>0</v>
      </c>
    </row>
    <row r="1592" spans="1:9">
      <c r="A1592" s="2" t="s">
        <v>6760</v>
      </c>
      <c r="B1592" s="2" t="s">
        <v>747</v>
      </c>
      <c r="C1592" s="2" t="s">
        <v>5524</v>
      </c>
      <c r="D1592" s="2" t="s">
        <v>5158</v>
      </c>
      <c r="E1592" s="2" t="s">
        <v>5159</v>
      </c>
      <c r="F1592" s="2">
        <v>2.4</v>
      </c>
      <c r="G1592" s="2">
        <v>25</v>
      </c>
      <c r="H1592" s="2">
        <f>Tabla_Items_Con_Existencia[[#This Row],[COSTO]]*Tabla_Items_Con_Existencia[[#This Row],[EXISTENCIA]]</f>
        <v>60</v>
      </c>
      <c r="I1592" s="1">
        <f>IF(ISERROR(MATCH(Tabla_Items_Con_Existencia[[#This Row],[CODIGO]],Tabla_Items_Activos[CODIGO],0)),0,1)</f>
        <v>0</v>
      </c>
    </row>
    <row r="1593" spans="1:9">
      <c r="A1593" s="2" t="s">
        <v>6760</v>
      </c>
      <c r="B1593" s="2" t="s">
        <v>748</v>
      </c>
      <c r="C1593" s="2" t="s">
        <v>2281</v>
      </c>
      <c r="D1593" s="2" t="s">
        <v>5158</v>
      </c>
      <c r="E1593" s="2" t="s">
        <v>5159</v>
      </c>
      <c r="F1593" s="2">
        <v>2.54</v>
      </c>
      <c r="G1593" s="2">
        <v>28</v>
      </c>
      <c r="H1593" s="2">
        <f>Tabla_Items_Con_Existencia[[#This Row],[COSTO]]*Tabla_Items_Con_Existencia[[#This Row],[EXISTENCIA]]</f>
        <v>71.12</v>
      </c>
      <c r="I1593" s="1">
        <f>IF(ISERROR(MATCH(Tabla_Items_Con_Existencia[[#This Row],[CODIGO]],Tabla_Items_Activos[CODIGO],0)),0,1)</f>
        <v>0</v>
      </c>
    </row>
    <row r="1594" spans="1:9">
      <c r="A1594" s="2" t="s">
        <v>6760</v>
      </c>
      <c r="B1594" s="2" t="s">
        <v>750</v>
      </c>
      <c r="C1594" s="2" t="s">
        <v>5526</v>
      </c>
      <c r="D1594" s="2" t="s">
        <v>5158</v>
      </c>
      <c r="E1594" s="2" t="s">
        <v>5159</v>
      </c>
      <c r="F1594" s="2">
        <v>0.22</v>
      </c>
      <c r="G1594" s="2">
        <v>60</v>
      </c>
      <c r="H1594" s="2">
        <f>Tabla_Items_Con_Existencia[[#This Row],[COSTO]]*Tabla_Items_Con_Existencia[[#This Row],[EXISTENCIA]]</f>
        <v>13.2</v>
      </c>
      <c r="I1594" s="1">
        <f>IF(ISERROR(MATCH(Tabla_Items_Con_Existencia[[#This Row],[CODIGO]],Tabla_Items_Activos[CODIGO],0)),0,1)</f>
        <v>0</v>
      </c>
    </row>
    <row r="1595" spans="1:9">
      <c r="A1595" s="2" t="s">
        <v>6760</v>
      </c>
      <c r="B1595" s="2" t="s">
        <v>751</v>
      </c>
      <c r="C1595" s="2" t="s">
        <v>6295</v>
      </c>
      <c r="D1595" s="2" t="s">
        <v>5158</v>
      </c>
      <c r="E1595" s="2" t="s">
        <v>5159</v>
      </c>
      <c r="F1595" s="2">
        <v>1.2728999999999999</v>
      </c>
      <c r="G1595" s="2">
        <v>26</v>
      </c>
      <c r="H1595" s="2">
        <f>Tabla_Items_Con_Existencia[[#This Row],[COSTO]]*Tabla_Items_Con_Existencia[[#This Row],[EXISTENCIA]]</f>
        <v>33.095399999999998</v>
      </c>
      <c r="I1595" s="1">
        <f>IF(ISERROR(MATCH(Tabla_Items_Con_Existencia[[#This Row],[CODIGO]],Tabla_Items_Activos[CODIGO],0)),0,1)</f>
        <v>0</v>
      </c>
    </row>
    <row r="1596" spans="1:9">
      <c r="A1596" s="2" t="s">
        <v>6760</v>
      </c>
      <c r="B1596" s="2" t="s">
        <v>752</v>
      </c>
      <c r="C1596" s="2" t="s">
        <v>2282</v>
      </c>
      <c r="D1596" s="2" t="s">
        <v>5158</v>
      </c>
      <c r="E1596" s="2" t="s">
        <v>5159</v>
      </c>
      <c r="F1596" s="2">
        <v>6.66</v>
      </c>
      <c r="G1596" s="2">
        <v>8</v>
      </c>
      <c r="H1596" s="2">
        <f>Tabla_Items_Con_Existencia[[#This Row],[COSTO]]*Tabla_Items_Con_Existencia[[#This Row],[EXISTENCIA]]</f>
        <v>53.28</v>
      </c>
      <c r="I1596" s="1">
        <f>IF(ISERROR(MATCH(Tabla_Items_Con_Existencia[[#This Row],[CODIGO]],Tabla_Items_Activos[CODIGO],0)),0,1)</f>
        <v>0</v>
      </c>
    </row>
    <row r="1597" spans="1:9">
      <c r="A1597" s="2" t="s">
        <v>6760</v>
      </c>
      <c r="B1597" s="2" t="s">
        <v>753</v>
      </c>
      <c r="C1597" s="2" t="s">
        <v>2283</v>
      </c>
      <c r="D1597" s="2" t="s">
        <v>5158</v>
      </c>
      <c r="E1597" s="2" t="s">
        <v>5159</v>
      </c>
      <c r="F1597" s="2">
        <v>5.27</v>
      </c>
      <c r="G1597" s="2">
        <v>6</v>
      </c>
      <c r="H1597" s="2">
        <f>Tabla_Items_Con_Existencia[[#This Row],[COSTO]]*Tabla_Items_Con_Existencia[[#This Row],[EXISTENCIA]]</f>
        <v>31.619999999999997</v>
      </c>
      <c r="I1597" s="1">
        <f>IF(ISERROR(MATCH(Tabla_Items_Con_Existencia[[#This Row],[CODIGO]],Tabla_Items_Activos[CODIGO],0)),0,1)</f>
        <v>0</v>
      </c>
    </row>
    <row r="1598" spans="1:9">
      <c r="A1598" s="2" t="s">
        <v>6760</v>
      </c>
      <c r="B1598" s="2" t="s">
        <v>754</v>
      </c>
      <c r="C1598" s="2" t="s">
        <v>2284</v>
      </c>
      <c r="D1598" s="2" t="s">
        <v>5158</v>
      </c>
      <c r="E1598" s="2" t="s">
        <v>5159</v>
      </c>
      <c r="F1598" s="2">
        <v>6.1</v>
      </c>
      <c r="G1598" s="2">
        <v>63</v>
      </c>
      <c r="H1598" s="2">
        <f>Tabla_Items_Con_Existencia[[#This Row],[COSTO]]*Tabla_Items_Con_Existencia[[#This Row],[EXISTENCIA]]</f>
        <v>384.29999999999995</v>
      </c>
      <c r="I1598" s="1">
        <f>IF(ISERROR(MATCH(Tabla_Items_Con_Existencia[[#This Row],[CODIGO]],Tabla_Items_Activos[CODIGO],0)),0,1)</f>
        <v>0</v>
      </c>
    </row>
    <row r="1599" spans="1:9">
      <c r="A1599" s="2" t="s">
        <v>6760</v>
      </c>
      <c r="B1599" s="2" t="s">
        <v>7345</v>
      </c>
      <c r="C1599" s="2" t="s">
        <v>7346</v>
      </c>
      <c r="D1599" s="2" t="s">
        <v>5158</v>
      </c>
      <c r="E1599" s="2" t="s">
        <v>5159</v>
      </c>
      <c r="F1599" s="2">
        <v>16.48</v>
      </c>
      <c r="G1599" s="2">
        <v>10</v>
      </c>
      <c r="H1599" s="2">
        <f>Tabla_Items_Con_Existencia[[#This Row],[COSTO]]*Tabla_Items_Con_Existencia[[#This Row],[EXISTENCIA]]</f>
        <v>164.8</v>
      </c>
      <c r="I1599" s="1">
        <f>IF(ISERROR(MATCH(Tabla_Items_Con_Existencia[[#This Row],[CODIGO]],Tabla_Items_Activos[CODIGO],0)),0,1)</f>
        <v>0</v>
      </c>
    </row>
    <row r="1600" spans="1:9">
      <c r="A1600" s="2" t="s">
        <v>6760</v>
      </c>
      <c r="B1600" s="2" t="s">
        <v>755</v>
      </c>
      <c r="C1600" s="2" t="s">
        <v>2285</v>
      </c>
      <c r="D1600" s="2" t="s">
        <v>5158</v>
      </c>
      <c r="E1600" s="2" t="s">
        <v>5159</v>
      </c>
      <c r="F1600" s="2">
        <v>21.177800000000001</v>
      </c>
      <c r="G1600" s="2">
        <v>10</v>
      </c>
      <c r="H1600" s="2">
        <f>Tabla_Items_Con_Existencia[[#This Row],[COSTO]]*Tabla_Items_Con_Existencia[[#This Row],[EXISTENCIA]]</f>
        <v>211.77800000000002</v>
      </c>
      <c r="I1600" s="1">
        <f>IF(ISERROR(MATCH(Tabla_Items_Con_Existencia[[#This Row],[CODIGO]],Tabla_Items_Activos[CODIGO],0)),0,1)</f>
        <v>0</v>
      </c>
    </row>
    <row r="1601" spans="1:9">
      <c r="A1601" s="2" t="s">
        <v>6760</v>
      </c>
      <c r="B1601" s="2" t="s">
        <v>2286</v>
      </c>
      <c r="C1601" s="2" t="s">
        <v>2287</v>
      </c>
      <c r="D1601" s="2" t="s">
        <v>5158</v>
      </c>
      <c r="E1601" s="2" t="s">
        <v>5159</v>
      </c>
      <c r="F1601" s="2">
        <v>2.8773</v>
      </c>
      <c r="G1601" s="2">
        <v>7</v>
      </c>
      <c r="H1601" s="2">
        <f>Tabla_Items_Con_Existencia[[#This Row],[COSTO]]*Tabla_Items_Con_Existencia[[#This Row],[EXISTENCIA]]</f>
        <v>20.141100000000002</v>
      </c>
      <c r="I1601" s="1">
        <f>IF(ISERROR(MATCH(Tabla_Items_Con_Existencia[[#This Row],[CODIGO]],Tabla_Items_Activos[CODIGO],0)),0,1)</f>
        <v>0</v>
      </c>
    </row>
    <row r="1602" spans="1:9">
      <c r="A1602" s="2" t="s">
        <v>6760</v>
      </c>
      <c r="B1602" s="2" t="s">
        <v>2288</v>
      </c>
      <c r="C1602" s="2" t="s">
        <v>2289</v>
      </c>
      <c r="D1602" s="2" t="s">
        <v>5158</v>
      </c>
      <c r="E1602" s="2" t="s">
        <v>5159</v>
      </c>
      <c r="F1602" s="2">
        <v>1.2629999999999999</v>
      </c>
      <c r="G1602" s="2">
        <v>8</v>
      </c>
      <c r="H1602" s="2">
        <f>Tabla_Items_Con_Existencia[[#This Row],[COSTO]]*Tabla_Items_Con_Existencia[[#This Row],[EXISTENCIA]]</f>
        <v>10.103999999999999</v>
      </c>
      <c r="I1602" s="1">
        <f>IF(ISERROR(MATCH(Tabla_Items_Con_Existencia[[#This Row],[CODIGO]],Tabla_Items_Activos[CODIGO],0)),0,1)</f>
        <v>0</v>
      </c>
    </row>
    <row r="1603" spans="1:9">
      <c r="A1603" s="2" t="s">
        <v>6760</v>
      </c>
      <c r="B1603" s="2" t="s">
        <v>756</v>
      </c>
      <c r="C1603" s="2" t="s">
        <v>2290</v>
      </c>
      <c r="D1603" s="2" t="s">
        <v>5158</v>
      </c>
      <c r="E1603" s="2" t="s">
        <v>5159</v>
      </c>
      <c r="F1603" s="2">
        <v>0.50629999999999997</v>
      </c>
      <c r="G1603" s="2">
        <v>138</v>
      </c>
      <c r="H1603" s="2">
        <f>Tabla_Items_Con_Existencia[[#This Row],[COSTO]]*Tabla_Items_Con_Existencia[[#This Row],[EXISTENCIA]]</f>
        <v>69.869399999999999</v>
      </c>
      <c r="I1603" s="1">
        <f>IF(ISERROR(MATCH(Tabla_Items_Con_Existencia[[#This Row],[CODIGO]],Tabla_Items_Activos[CODIGO],0)),0,1)</f>
        <v>0</v>
      </c>
    </row>
    <row r="1604" spans="1:9">
      <c r="A1604" s="2" t="s">
        <v>6760</v>
      </c>
      <c r="B1604" s="2" t="s">
        <v>2291</v>
      </c>
      <c r="C1604" s="2" t="s">
        <v>2292</v>
      </c>
      <c r="D1604" s="2" t="s">
        <v>5158</v>
      </c>
      <c r="E1604" s="2" t="s">
        <v>5159</v>
      </c>
      <c r="F1604" s="2">
        <v>0.50800000000000001</v>
      </c>
      <c r="G1604" s="2">
        <v>9</v>
      </c>
      <c r="H1604" s="2">
        <f>Tabla_Items_Con_Existencia[[#This Row],[COSTO]]*Tabla_Items_Con_Existencia[[#This Row],[EXISTENCIA]]</f>
        <v>4.5720000000000001</v>
      </c>
      <c r="I1604" s="1">
        <f>IF(ISERROR(MATCH(Tabla_Items_Con_Existencia[[#This Row],[CODIGO]],Tabla_Items_Activos[CODIGO],0)),0,1)</f>
        <v>0</v>
      </c>
    </row>
    <row r="1605" spans="1:9">
      <c r="A1605" s="2" t="s">
        <v>6760</v>
      </c>
      <c r="B1605" s="2" t="s">
        <v>757</v>
      </c>
      <c r="C1605" s="2" t="s">
        <v>2293</v>
      </c>
      <c r="D1605" s="2" t="s">
        <v>5158</v>
      </c>
      <c r="E1605" s="2" t="s">
        <v>5159</v>
      </c>
      <c r="F1605" s="2">
        <v>2.3736999999999999</v>
      </c>
      <c r="G1605" s="2">
        <v>88</v>
      </c>
      <c r="H1605" s="2">
        <f>Tabla_Items_Con_Existencia[[#This Row],[COSTO]]*Tabla_Items_Con_Existencia[[#This Row],[EXISTENCIA]]</f>
        <v>208.88559999999998</v>
      </c>
      <c r="I1605" s="1">
        <f>IF(ISERROR(MATCH(Tabla_Items_Con_Existencia[[#This Row],[CODIGO]],Tabla_Items_Activos[CODIGO],0)),0,1)</f>
        <v>0</v>
      </c>
    </row>
    <row r="1606" spans="1:9">
      <c r="A1606" s="2" t="s">
        <v>6760</v>
      </c>
      <c r="B1606" s="2" t="s">
        <v>758</v>
      </c>
      <c r="C1606" s="2" t="s">
        <v>2294</v>
      </c>
      <c r="D1606" s="2" t="s">
        <v>5158</v>
      </c>
      <c r="E1606" s="2" t="s">
        <v>5159</v>
      </c>
      <c r="F1606" s="2">
        <v>3.36</v>
      </c>
      <c r="G1606" s="2">
        <v>10</v>
      </c>
      <c r="H1606" s="2">
        <f>Tabla_Items_Con_Existencia[[#This Row],[COSTO]]*Tabla_Items_Con_Existencia[[#This Row],[EXISTENCIA]]</f>
        <v>33.6</v>
      </c>
      <c r="I1606" s="1">
        <f>IF(ISERROR(MATCH(Tabla_Items_Con_Existencia[[#This Row],[CODIGO]],Tabla_Items_Activos[CODIGO],0)),0,1)</f>
        <v>0</v>
      </c>
    </row>
    <row r="1607" spans="1:9">
      <c r="A1607" s="2" t="s">
        <v>6760</v>
      </c>
      <c r="B1607" s="2" t="s">
        <v>759</v>
      </c>
      <c r="C1607" s="2" t="s">
        <v>2295</v>
      </c>
      <c r="D1607" s="2" t="s">
        <v>5158</v>
      </c>
      <c r="E1607" s="2" t="s">
        <v>5159</v>
      </c>
      <c r="F1607" s="2">
        <v>16.2074</v>
      </c>
      <c r="G1607" s="2">
        <v>9</v>
      </c>
      <c r="H1607" s="2">
        <f>Tabla_Items_Con_Existencia[[#This Row],[COSTO]]*Tabla_Items_Con_Existencia[[#This Row],[EXISTENCIA]]</f>
        <v>145.86660000000001</v>
      </c>
      <c r="I1607" s="1">
        <f>IF(ISERROR(MATCH(Tabla_Items_Con_Existencia[[#This Row],[CODIGO]],Tabla_Items_Activos[CODIGO],0)),0,1)</f>
        <v>0</v>
      </c>
    </row>
    <row r="1608" spans="1:9">
      <c r="A1608" s="2" t="s">
        <v>6760</v>
      </c>
      <c r="B1608" s="2" t="s">
        <v>760</v>
      </c>
      <c r="C1608" s="2" t="s">
        <v>2296</v>
      </c>
      <c r="D1608" s="2" t="s">
        <v>5186</v>
      </c>
      <c r="E1608" s="2" t="s">
        <v>5159</v>
      </c>
      <c r="F1608" s="2">
        <v>3.6259999999999999</v>
      </c>
      <c r="G1608" s="2">
        <v>8</v>
      </c>
      <c r="H1608" s="2">
        <f>Tabla_Items_Con_Existencia[[#This Row],[COSTO]]*Tabla_Items_Con_Existencia[[#This Row],[EXISTENCIA]]</f>
        <v>29.007999999999999</v>
      </c>
      <c r="I1608" s="1">
        <f>IF(ISERROR(MATCH(Tabla_Items_Con_Existencia[[#This Row],[CODIGO]],Tabla_Items_Activos[CODIGO],0)),0,1)</f>
        <v>0</v>
      </c>
    </row>
    <row r="1609" spans="1:9">
      <c r="A1609" s="2" t="s">
        <v>6760</v>
      </c>
      <c r="B1609" s="2" t="s">
        <v>761</v>
      </c>
      <c r="C1609" s="2" t="s">
        <v>6970</v>
      </c>
      <c r="D1609" s="2" t="s">
        <v>5158</v>
      </c>
      <c r="E1609" s="2" t="s">
        <v>5159</v>
      </c>
      <c r="F1609" s="2">
        <v>3.0213999999999999</v>
      </c>
      <c r="G1609" s="2">
        <v>19</v>
      </c>
      <c r="H1609" s="2">
        <f>Tabla_Items_Con_Existencia[[#This Row],[COSTO]]*Tabla_Items_Con_Existencia[[#This Row],[EXISTENCIA]]</f>
        <v>57.406599999999997</v>
      </c>
      <c r="I1609" s="1">
        <f>IF(ISERROR(MATCH(Tabla_Items_Con_Existencia[[#This Row],[CODIGO]],Tabla_Items_Activos[CODIGO],0)),0,1)</f>
        <v>0</v>
      </c>
    </row>
    <row r="1610" spans="1:9">
      <c r="A1610" s="2" t="s">
        <v>6760</v>
      </c>
      <c r="B1610" s="2" t="s">
        <v>7347</v>
      </c>
      <c r="C1610" s="2" t="s">
        <v>7348</v>
      </c>
      <c r="D1610" s="2" t="s">
        <v>5157</v>
      </c>
      <c r="E1610" s="2" t="s">
        <v>5157</v>
      </c>
      <c r="F1610" s="2">
        <v>0</v>
      </c>
      <c r="G1610" s="2">
        <v>2</v>
      </c>
      <c r="H1610" s="2">
        <f>Tabla_Items_Con_Existencia[[#This Row],[COSTO]]*Tabla_Items_Con_Existencia[[#This Row],[EXISTENCIA]]</f>
        <v>0</v>
      </c>
      <c r="I1610" s="1">
        <f>IF(ISERROR(MATCH(Tabla_Items_Con_Existencia[[#This Row],[CODIGO]],Tabla_Items_Activos[CODIGO],0)),0,1)</f>
        <v>0</v>
      </c>
    </row>
    <row r="1611" spans="1:9">
      <c r="A1611" s="2" t="s">
        <v>6760</v>
      </c>
      <c r="B1611" s="2" t="s">
        <v>762</v>
      </c>
      <c r="C1611" s="2" t="s">
        <v>2297</v>
      </c>
      <c r="D1611" s="2" t="s">
        <v>5158</v>
      </c>
      <c r="E1611" s="2" t="s">
        <v>5159</v>
      </c>
      <c r="F1611" s="2">
        <v>13.5601</v>
      </c>
      <c r="G1611" s="2">
        <v>35</v>
      </c>
      <c r="H1611" s="2">
        <f>Tabla_Items_Con_Existencia[[#This Row],[COSTO]]*Tabla_Items_Con_Existencia[[#This Row],[EXISTENCIA]]</f>
        <v>474.6035</v>
      </c>
      <c r="I1611" s="1">
        <f>IF(ISERROR(MATCH(Tabla_Items_Con_Existencia[[#This Row],[CODIGO]],Tabla_Items_Activos[CODIGO],0)),0,1)</f>
        <v>0</v>
      </c>
    </row>
    <row r="1612" spans="1:9">
      <c r="A1612" s="2" t="s">
        <v>6761</v>
      </c>
      <c r="B1612" s="2" t="s">
        <v>7349</v>
      </c>
      <c r="C1612" s="2" t="s">
        <v>7350</v>
      </c>
      <c r="D1612" s="2" t="s">
        <v>5158</v>
      </c>
      <c r="E1612" s="2" t="s">
        <v>5159</v>
      </c>
      <c r="F1612" s="2">
        <v>17.948105259999998</v>
      </c>
      <c r="G1612" s="2">
        <v>26</v>
      </c>
      <c r="H1612" s="2">
        <f>Tabla_Items_Con_Existencia[[#This Row],[COSTO]]*Tabla_Items_Con_Existencia[[#This Row],[EXISTENCIA]]</f>
        <v>466.65073675999997</v>
      </c>
      <c r="I1612" s="1">
        <f>IF(ISERROR(MATCH(Tabla_Items_Con_Existencia[[#This Row],[CODIGO]],Tabla_Items_Activos[CODIGO],0)),0,1)</f>
        <v>0</v>
      </c>
    </row>
    <row r="1613" spans="1:9">
      <c r="A1613" s="2" t="s">
        <v>6760</v>
      </c>
      <c r="B1613" s="2" t="s">
        <v>7349</v>
      </c>
      <c r="C1613" s="2" t="s">
        <v>7350</v>
      </c>
      <c r="D1613" s="2" t="s">
        <v>5158</v>
      </c>
      <c r="E1613" s="2" t="s">
        <v>5159</v>
      </c>
      <c r="F1613" s="2">
        <v>17.948105259999998</v>
      </c>
      <c r="G1613" s="2">
        <v>26</v>
      </c>
      <c r="H1613" s="2">
        <f>Tabla_Items_Con_Existencia[[#This Row],[COSTO]]*Tabla_Items_Con_Existencia[[#This Row],[EXISTENCIA]]</f>
        <v>466.65073675999997</v>
      </c>
      <c r="I1613" s="1">
        <f>IF(ISERROR(MATCH(Tabla_Items_Con_Existencia[[#This Row],[CODIGO]],Tabla_Items_Activos[CODIGO],0)),0,1)</f>
        <v>0</v>
      </c>
    </row>
    <row r="1614" spans="1:9">
      <c r="A1614" s="2" t="s">
        <v>6760</v>
      </c>
      <c r="B1614" s="2" t="s">
        <v>7256</v>
      </c>
      <c r="C1614" s="2" t="s">
        <v>4965</v>
      </c>
      <c r="D1614" s="2" t="s">
        <v>5208</v>
      </c>
      <c r="E1614" s="2" t="s">
        <v>5159</v>
      </c>
      <c r="F1614" s="2">
        <v>185.82368421000001</v>
      </c>
      <c r="G1614" s="2">
        <v>1</v>
      </c>
      <c r="H1614" s="2">
        <f>Tabla_Items_Con_Existencia[[#This Row],[COSTO]]*Tabla_Items_Con_Existencia[[#This Row],[EXISTENCIA]]</f>
        <v>185.82368421000001</v>
      </c>
      <c r="I1614" s="1">
        <f>IF(ISERROR(MATCH(Tabla_Items_Con_Existencia[[#This Row],[CODIGO]],Tabla_Items_Activos[CODIGO],0)),0,1)</f>
        <v>0</v>
      </c>
    </row>
    <row r="1615" spans="1:9">
      <c r="A1615" s="2" t="s">
        <v>6761</v>
      </c>
      <c r="B1615" s="2" t="s">
        <v>7256</v>
      </c>
      <c r="C1615" s="2" t="s">
        <v>4965</v>
      </c>
      <c r="D1615" s="2" t="s">
        <v>5208</v>
      </c>
      <c r="E1615" s="2" t="s">
        <v>5159</v>
      </c>
      <c r="F1615" s="2">
        <v>185.82368421000001</v>
      </c>
      <c r="G1615" s="2">
        <v>1</v>
      </c>
      <c r="H1615" s="2">
        <f>Tabla_Items_Con_Existencia[[#This Row],[COSTO]]*Tabla_Items_Con_Existencia[[#This Row],[EXISTENCIA]]</f>
        <v>185.82368421000001</v>
      </c>
      <c r="I1615" s="1">
        <f>IF(ISERROR(MATCH(Tabla_Items_Con_Existencia[[#This Row],[CODIGO]],Tabla_Items_Activos[CODIGO],0)),0,1)</f>
        <v>0</v>
      </c>
    </row>
    <row r="1616" spans="1:9">
      <c r="A1616" s="2" t="s">
        <v>6760</v>
      </c>
      <c r="B1616" s="2" t="s">
        <v>763</v>
      </c>
      <c r="C1616" s="2" t="s">
        <v>2300</v>
      </c>
      <c r="D1616" s="2" t="s">
        <v>5208</v>
      </c>
      <c r="E1616" s="2" t="s">
        <v>5159</v>
      </c>
      <c r="F1616" s="2">
        <v>344.40107037000001</v>
      </c>
      <c r="G1616" s="2">
        <v>12</v>
      </c>
      <c r="H1616" s="2">
        <f>Tabla_Items_Con_Existencia[[#This Row],[COSTO]]*Tabla_Items_Con_Existencia[[#This Row],[EXISTENCIA]]</f>
        <v>4132.8128444399999</v>
      </c>
      <c r="I1616" s="1">
        <f>IF(ISERROR(MATCH(Tabla_Items_Con_Existencia[[#This Row],[CODIGO]],Tabla_Items_Activos[CODIGO],0)),0,1)</f>
        <v>0</v>
      </c>
    </row>
    <row r="1617" spans="1:9">
      <c r="A1617" s="2" t="s">
        <v>6761</v>
      </c>
      <c r="B1617" s="2" t="s">
        <v>763</v>
      </c>
      <c r="C1617" s="2" t="s">
        <v>2300</v>
      </c>
      <c r="D1617" s="2" t="s">
        <v>5208</v>
      </c>
      <c r="E1617" s="2" t="s">
        <v>5159</v>
      </c>
      <c r="F1617" s="2">
        <v>344.40107037000001</v>
      </c>
      <c r="G1617" s="2">
        <v>12</v>
      </c>
      <c r="H1617" s="2">
        <f>Tabla_Items_Con_Existencia[[#This Row],[COSTO]]*Tabla_Items_Con_Existencia[[#This Row],[EXISTENCIA]]</f>
        <v>4132.8128444399999</v>
      </c>
      <c r="I1617" s="1">
        <f>IF(ISERROR(MATCH(Tabla_Items_Con_Existencia[[#This Row],[CODIGO]],Tabla_Items_Activos[CODIGO],0)),0,1)</f>
        <v>0</v>
      </c>
    </row>
    <row r="1618" spans="1:9">
      <c r="A1618" s="2" t="s">
        <v>6759</v>
      </c>
      <c r="B1618" s="2" t="s">
        <v>763</v>
      </c>
      <c r="C1618" s="2" t="s">
        <v>2300</v>
      </c>
      <c r="D1618" s="2" t="s">
        <v>5208</v>
      </c>
      <c r="E1618" s="2" t="s">
        <v>5159</v>
      </c>
      <c r="F1618" s="2">
        <v>344.40107037000001</v>
      </c>
      <c r="G1618" s="2">
        <v>12</v>
      </c>
      <c r="H1618" s="2">
        <f>Tabla_Items_Con_Existencia[[#This Row],[COSTO]]*Tabla_Items_Con_Existencia[[#This Row],[EXISTENCIA]]</f>
        <v>4132.8128444399999</v>
      </c>
      <c r="I1618" s="1">
        <f>IF(ISERROR(MATCH(Tabla_Items_Con_Existencia[[#This Row],[CODIGO]],Tabla_Items_Activos[CODIGO],0)),0,1)</f>
        <v>0</v>
      </c>
    </row>
    <row r="1619" spans="1:9">
      <c r="A1619" s="2" t="s">
        <v>6760</v>
      </c>
      <c r="B1619" s="2" t="s">
        <v>2301</v>
      </c>
      <c r="C1619" s="2" t="s">
        <v>2302</v>
      </c>
      <c r="D1619" s="2" t="s">
        <v>5197</v>
      </c>
      <c r="E1619" s="2" t="s">
        <v>5159</v>
      </c>
      <c r="F1619" s="2">
        <v>289.15386316000001</v>
      </c>
      <c r="G1619" s="2">
        <v>5</v>
      </c>
      <c r="H1619" s="2">
        <f>Tabla_Items_Con_Existencia[[#This Row],[COSTO]]*Tabla_Items_Con_Existencia[[#This Row],[EXISTENCIA]]</f>
        <v>1445.7693158000002</v>
      </c>
      <c r="I1619" s="1">
        <f>IF(ISERROR(MATCH(Tabla_Items_Con_Existencia[[#This Row],[CODIGO]],Tabla_Items_Activos[CODIGO],0)),0,1)</f>
        <v>0</v>
      </c>
    </row>
    <row r="1620" spans="1:9">
      <c r="A1620" s="2" t="s">
        <v>6761</v>
      </c>
      <c r="B1620" s="2" t="s">
        <v>2301</v>
      </c>
      <c r="C1620" s="2" t="s">
        <v>2302</v>
      </c>
      <c r="D1620" s="2" t="s">
        <v>5197</v>
      </c>
      <c r="E1620" s="2" t="s">
        <v>5159</v>
      </c>
      <c r="F1620" s="2">
        <v>289.15386316000001</v>
      </c>
      <c r="G1620" s="2">
        <v>5</v>
      </c>
      <c r="H1620" s="2">
        <f>Tabla_Items_Con_Existencia[[#This Row],[COSTO]]*Tabla_Items_Con_Existencia[[#This Row],[EXISTENCIA]]</f>
        <v>1445.7693158000002</v>
      </c>
      <c r="I1620" s="1">
        <f>IF(ISERROR(MATCH(Tabla_Items_Con_Existencia[[#This Row],[CODIGO]],Tabla_Items_Activos[CODIGO],0)),0,1)</f>
        <v>0</v>
      </c>
    </row>
    <row r="1621" spans="1:9">
      <c r="A1621" s="2" t="s">
        <v>6761</v>
      </c>
      <c r="B1621" s="2" t="s">
        <v>764</v>
      </c>
      <c r="C1621" s="2" t="s">
        <v>2303</v>
      </c>
      <c r="D1621" s="2" t="s">
        <v>5197</v>
      </c>
      <c r="E1621" s="2" t="s">
        <v>5159</v>
      </c>
      <c r="F1621" s="2">
        <v>313.94684074000003</v>
      </c>
      <c r="G1621" s="2">
        <v>105</v>
      </c>
      <c r="H1621" s="2">
        <f>Tabla_Items_Con_Existencia[[#This Row],[COSTO]]*Tabla_Items_Con_Existencia[[#This Row],[EXISTENCIA]]</f>
        <v>32964.418277700002</v>
      </c>
      <c r="I1621" s="1">
        <f>IF(ISERROR(MATCH(Tabla_Items_Con_Existencia[[#This Row],[CODIGO]],Tabla_Items_Activos[CODIGO],0)),0,1)</f>
        <v>0</v>
      </c>
    </row>
    <row r="1622" spans="1:9">
      <c r="A1622" s="2" t="s">
        <v>6759</v>
      </c>
      <c r="B1622" s="2" t="s">
        <v>764</v>
      </c>
      <c r="C1622" s="2" t="s">
        <v>2303</v>
      </c>
      <c r="D1622" s="2" t="s">
        <v>5197</v>
      </c>
      <c r="E1622" s="2" t="s">
        <v>5159</v>
      </c>
      <c r="F1622" s="2">
        <v>313.94684074000003</v>
      </c>
      <c r="G1622" s="2">
        <v>105</v>
      </c>
      <c r="H1622" s="2">
        <f>Tabla_Items_Con_Existencia[[#This Row],[COSTO]]*Tabla_Items_Con_Existencia[[#This Row],[EXISTENCIA]]</f>
        <v>32964.418277700002</v>
      </c>
      <c r="I1622" s="1">
        <f>IF(ISERROR(MATCH(Tabla_Items_Con_Existencia[[#This Row],[CODIGO]],Tabla_Items_Activos[CODIGO],0)),0,1)</f>
        <v>0</v>
      </c>
    </row>
    <row r="1623" spans="1:9">
      <c r="A1623" s="2" t="s">
        <v>6760</v>
      </c>
      <c r="B1623" s="2" t="s">
        <v>764</v>
      </c>
      <c r="C1623" s="2" t="s">
        <v>2303</v>
      </c>
      <c r="D1623" s="2" t="s">
        <v>5197</v>
      </c>
      <c r="E1623" s="2" t="s">
        <v>5159</v>
      </c>
      <c r="F1623" s="2">
        <v>313.94684074000003</v>
      </c>
      <c r="G1623" s="2">
        <v>105</v>
      </c>
      <c r="H1623" s="2">
        <f>Tabla_Items_Con_Existencia[[#This Row],[COSTO]]*Tabla_Items_Con_Existencia[[#This Row],[EXISTENCIA]]</f>
        <v>32964.418277700002</v>
      </c>
      <c r="I1623" s="1">
        <f>IF(ISERROR(MATCH(Tabla_Items_Con_Existencia[[#This Row],[CODIGO]],Tabla_Items_Activos[CODIGO],0)),0,1)</f>
        <v>0</v>
      </c>
    </row>
    <row r="1624" spans="1:9">
      <c r="A1624" s="2" t="s">
        <v>6761</v>
      </c>
      <c r="B1624" s="2" t="s">
        <v>765</v>
      </c>
      <c r="C1624" s="2" t="s">
        <v>2304</v>
      </c>
      <c r="D1624" s="2" t="s">
        <v>5197</v>
      </c>
      <c r="E1624" s="2" t="s">
        <v>5159</v>
      </c>
      <c r="F1624" s="2">
        <v>23.63665263</v>
      </c>
      <c r="G1624" s="2">
        <v>2</v>
      </c>
      <c r="H1624" s="2">
        <f>Tabla_Items_Con_Existencia[[#This Row],[COSTO]]*Tabla_Items_Con_Existencia[[#This Row],[EXISTENCIA]]</f>
        <v>47.273305260000001</v>
      </c>
      <c r="I1624" s="1">
        <f>IF(ISERROR(MATCH(Tabla_Items_Con_Existencia[[#This Row],[CODIGO]],Tabla_Items_Activos[CODIGO],0)),0,1)</f>
        <v>0</v>
      </c>
    </row>
    <row r="1625" spans="1:9">
      <c r="A1625" s="2" t="s">
        <v>6760</v>
      </c>
      <c r="B1625" s="2" t="s">
        <v>765</v>
      </c>
      <c r="C1625" s="2" t="s">
        <v>2304</v>
      </c>
      <c r="D1625" s="2" t="s">
        <v>5197</v>
      </c>
      <c r="E1625" s="2" t="s">
        <v>5159</v>
      </c>
      <c r="F1625" s="2">
        <v>23.63665263</v>
      </c>
      <c r="G1625" s="2">
        <v>2</v>
      </c>
      <c r="H1625" s="2">
        <f>Tabla_Items_Con_Existencia[[#This Row],[COSTO]]*Tabla_Items_Con_Existencia[[#This Row],[EXISTENCIA]]</f>
        <v>47.273305260000001</v>
      </c>
      <c r="I1625" s="1">
        <f>IF(ISERROR(MATCH(Tabla_Items_Con_Existencia[[#This Row],[CODIGO]],Tabla_Items_Activos[CODIGO],0)),0,1)</f>
        <v>0</v>
      </c>
    </row>
    <row r="1626" spans="1:9">
      <c r="A1626" s="2" t="s">
        <v>6760</v>
      </c>
      <c r="B1626" s="2" t="s">
        <v>766</v>
      </c>
      <c r="C1626" s="2" t="s">
        <v>2305</v>
      </c>
      <c r="D1626" s="2" t="s">
        <v>5197</v>
      </c>
      <c r="E1626" s="2" t="s">
        <v>5159</v>
      </c>
      <c r="F1626" s="2">
        <v>37.781578949999997</v>
      </c>
      <c r="G1626" s="2">
        <v>1</v>
      </c>
      <c r="H1626" s="2">
        <f>Tabla_Items_Con_Existencia[[#This Row],[COSTO]]*Tabla_Items_Con_Existencia[[#This Row],[EXISTENCIA]]</f>
        <v>37.781578949999997</v>
      </c>
      <c r="I1626" s="1">
        <f>IF(ISERROR(MATCH(Tabla_Items_Con_Existencia[[#This Row],[CODIGO]],Tabla_Items_Activos[CODIGO],0)),0,1)</f>
        <v>0</v>
      </c>
    </row>
    <row r="1627" spans="1:9">
      <c r="A1627" s="2" t="s">
        <v>6761</v>
      </c>
      <c r="B1627" s="2" t="s">
        <v>766</v>
      </c>
      <c r="C1627" s="2" t="s">
        <v>2305</v>
      </c>
      <c r="D1627" s="2" t="s">
        <v>5197</v>
      </c>
      <c r="E1627" s="2" t="s">
        <v>5159</v>
      </c>
      <c r="F1627" s="2">
        <v>37.781578949999997</v>
      </c>
      <c r="G1627" s="2">
        <v>1</v>
      </c>
      <c r="H1627" s="2">
        <f>Tabla_Items_Con_Existencia[[#This Row],[COSTO]]*Tabla_Items_Con_Existencia[[#This Row],[EXISTENCIA]]</f>
        <v>37.781578949999997</v>
      </c>
      <c r="I1627" s="1">
        <f>IF(ISERROR(MATCH(Tabla_Items_Con_Existencia[[#This Row],[CODIGO]],Tabla_Items_Activos[CODIGO],0)),0,1)</f>
        <v>0</v>
      </c>
    </row>
    <row r="1628" spans="1:9">
      <c r="A1628" s="2" t="s">
        <v>6759</v>
      </c>
      <c r="B1628" s="2" t="s">
        <v>767</v>
      </c>
      <c r="C1628" s="2" t="s">
        <v>2306</v>
      </c>
      <c r="D1628" s="2" t="s">
        <v>5197</v>
      </c>
      <c r="E1628" s="2" t="s">
        <v>5159</v>
      </c>
      <c r="F1628" s="2">
        <v>52.268237040000002</v>
      </c>
      <c r="G1628" s="2">
        <v>53</v>
      </c>
      <c r="H1628" s="2">
        <f>Tabla_Items_Con_Existencia[[#This Row],[COSTO]]*Tabla_Items_Con_Existencia[[#This Row],[EXISTENCIA]]</f>
        <v>2770.21656312</v>
      </c>
      <c r="I1628" s="1">
        <f>IF(ISERROR(MATCH(Tabla_Items_Con_Existencia[[#This Row],[CODIGO]],Tabla_Items_Activos[CODIGO],0)),0,1)</f>
        <v>0</v>
      </c>
    </row>
    <row r="1629" spans="1:9">
      <c r="A1629" s="2" t="s">
        <v>6760</v>
      </c>
      <c r="B1629" s="2" t="s">
        <v>767</v>
      </c>
      <c r="C1629" s="2" t="s">
        <v>2306</v>
      </c>
      <c r="D1629" s="2" t="s">
        <v>5197</v>
      </c>
      <c r="E1629" s="2" t="s">
        <v>5159</v>
      </c>
      <c r="F1629" s="2">
        <v>52.268237040000002</v>
      </c>
      <c r="G1629" s="2">
        <v>53</v>
      </c>
      <c r="H1629" s="2">
        <f>Tabla_Items_Con_Existencia[[#This Row],[COSTO]]*Tabla_Items_Con_Existencia[[#This Row],[EXISTENCIA]]</f>
        <v>2770.21656312</v>
      </c>
      <c r="I1629" s="1">
        <f>IF(ISERROR(MATCH(Tabla_Items_Con_Existencia[[#This Row],[CODIGO]],Tabla_Items_Activos[CODIGO],0)),0,1)</f>
        <v>0</v>
      </c>
    </row>
    <row r="1630" spans="1:9">
      <c r="A1630" s="2" t="s">
        <v>6761</v>
      </c>
      <c r="B1630" s="2" t="s">
        <v>767</v>
      </c>
      <c r="C1630" s="2" t="s">
        <v>2306</v>
      </c>
      <c r="D1630" s="2" t="s">
        <v>5197</v>
      </c>
      <c r="E1630" s="2" t="s">
        <v>5159</v>
      </c>
      <c r="F1630" s="2">
        <v>52.268237040000002</v>
      </c>
      <c r="G1630" s="2">
        <v>53</v>
      </c>
      <c r="H1630" s="2">
        <f>Tabla_Items_Con_Existencia[[#This Row],[COSTO]]*Tabla_Items_Con_Existencia[[#This Row],[EXISTENCIA]]</f>
        <v>2770.21656312</v>
      </c>
      <c r="I1630" s="1">
        <f>IF(ISERROR(MATCH(Tabla_Items_Con_Existencia[[#This Row],[CODIGO]],Tabla_Items_Activos[CODIGO],0)),0,1)</f>
        <v>0</v>
      </c>
    </row>
    <row r="1631" spans="1:9">
      <c r="A1631" s="2" t="s">
        <v>6760</v>
      </c>
      <c r="B1631" s="2" t="s">
        <v>768</v>
      </c>
      <c r="C1631" s="2" t="s">
        <v>2307</v>
      </c>
      <c r="D1631" s="2" t="s">
        <v>5197</v>
      </c>
      <c r="E1631" s="2" t="s">
        <v>5159</v>
      </c>
      <c r="F1631" s="2">
        <v>47.030684209999997</v>
      </c>
      <c r="G1631" s="2">
        <v>74</v>
      </c>
      <c r="H1631" s="2">
        <f>Tabla_Items_Con_Existencia[[#This Row],[COSTO]]*Tabla_Items_Con_Existencia[[#This Row],[EXISTENCIA]]</f>
        <v>3480.2706315399996</v>
      </c>
      <c r="I1631" s="1">
        <f>IF(ISERROR(MATCH(Tabla_Items_Con_Existencia[[#This Row],[CODIGO]],Tabla_Items_Activos[CODIGO],0)),0,1)</f>
        <v>0</v>
      </c>
    </row>
    <row r="1632" spans="1:9">
      <c r="A1632" s="2" t="s">
        <v>6761</v>
      </c>
      <c r="B1632" s="2" t="s">
        <v>768</v>
      </c>
      <c r="C1632" s="2" t="s">
        <v>2307</v>
      </c>
      <c r="D1632" s="2" t="s">
        <v>5197</v>
      </c>
      <c r="E1632" s="2" t="s">
        <v>5159</v>
      </c>
      <c r="F1632" s="2">
        <v>47.030684209999997</v>
      </c>
      <c r="G1632" s="2">
        <v>74</v>
      </c>
      <c r="H1632" s="2">
        <f>Tabla_Items_Con_Existencia[[#This Row],[COSTO]]*Tabla_Items_Con_Existencia[[#This Row],[EXISTENCIA]]</f>
        <v>3480.2706315399996</v>
      </c>
      <c r="I1632" s="1">
        <f>IF(ISERROR(MATCH(Tabla_Items_Con_Existencia[[#This Row],[CODIGO]],Tabla_Items_Activos[CODIGO],0)),0,1)</f>
        <v>0</v>
      </c>
    </row>
    <row r="1633" spans="1:9">
      <c r="A1633" s="2" t="s">
        <v>6760</v>
      </c>
      <c r="B1633" s="2" t="s">
        <v>769</v>
      </c>
      <c r="C1633" s="2" t="s">
        <v>6660</v>
      </c>
      <c r="D1633" s="2" t="s">
        <v>5190</v>
      </c>
      <c r="E1633" s="2" t="s">
        <v>5159</v>
      </c>
      <c r="F1633" s="2">
        <v>10.08636667</v>
      </c>
      <c r="G1633" s="2">
        <v>259</v>
      </c>
      <c r="H1633" s="2">
        <f>Tabla_Items_Con_Existencia[[#This Row],[COSTO]]*Tabla_Items_Con_Existencia[[#This Row],[EXISTENCIA]]</f>
        <v>2612.3689675300002</v>
      </c>
      <c r="I1633" s="1">
        <f>IF(ISERROR(MATCH(Tabla_Items_Con_Existencia[[#This Row],[CODIGO]],Tabla_Items_Activos[CODIGO],0)),0,1)</f>
        <v>0</v>
      </c>
    </row>
    <row r="1634" spans="1:9">
      <c r="A1634" s="2" t="s">
        <v>6761</v>
      </c>
      <c r="B1634" s="2" t="s">
        <v>769</v>
      </c>
      <c r="C1634" s="2" t="s">
        <v>6660</v>
      </c>
      <c r="D1634" s="2" t="s">
        <v>5190</v>
      </c>
      <c r="E1634" s="2" t="s">
        <v>5159</v>
      </c>
      <c r="F1634" s="2">
        <v>10.08636667</v>
      </c>
      <c r="G1634" s="2">
        <v>259</v>
      </c>
      <c r="H1634" s="2">
        <f>Tabla_Items_Con_Existencia[[#This Row],[COSTO]]*Tabla_Items_Con_Existencia[[#This Row],[EXISTENCIA]]</f>
        <v>2612.3689675300002</v>
      </c>
      <c r="I1634" s="1">
        <f>IF(ISERROR(MATCH(Tabla_Items_Con_Existencia[[#This Row],[CODIGO]],Tabla_Items_Activos[CODIGO],0)),0,1)</f>
        <v>0</v>
      </c>
    </row>
    <row r="1635" spans="1:9">
      <c r="A1635" s="2" t="s">
        <v>6759</v>
      </c>
      <c r="B1635" s="2" t="s">
        <v>769</v>
      </c>
      <c r="C1635" s="2" t="s">
        <v>6660</v>
      </c>
      <c r="D1635" s="2" t="s">
        <v>5190</v>
      </c>
      <c r="E1635" s="2" t="s">
        <v>5159</v>
      </c>
      <c r="F1635" s="2">
        <v>10.08636667</v>
      </c>
      <c r="G1635" s="2">
        <v>259</v>
      </c>
      <c r="H1635" s="2">
        <f>Tabla_Items_Con_Existencia[[#This Row],[COSTO]]*Tabla_Items_Con_Existencia[[#This Row],[EXISTENCIA]]</f>
        <v>2612.3689675300002</v>
      </c>
      <c r="I1635" s="1">
        <f>IF(ISERROR(MATCH(Tabla_Items_Con_Existencia[[#This Row],[CODIGO]],Tabla_Items_Activos[CODIGO],0)),0,1)</f>
        <v>0</v>
      </c>
    </row>
    <row r="1636" spans="1:9">
      <c r="A1636" s="2" t="s">
        <v>6761</v>
      </c>
      <c r="B1636" s="2" t="s">
        <v>770</v>
      </c>
      <c r="C1636" s="2" t="s">
        <v>6971</v>
      </c>
      <c r="D1636" s="2" t="s">
        <v>5160</v>
      </c>
      <c r="E1636" s="2" t="s">
        <v>5159</v>
      </c>
      <c r="F1636" s="2">
        <v>184.56562105</v>
      </c>
      <c r="G1636" s="2">
        <v>5</v>
      </c>
      <c r="H1636" s="2">
        <f>Tabla_Items_Con_Existencia[[#This Row],[COSTO]]*Tabla_Items_Con_Existencia[[#This Row],[EXISTENCIA]]</f>
        <v>922.82810525000002</v>
      </c>
      <c r="I1636" s="1">
        <f>IF(ISERROR(MATCH(Tabla_Items_Con_Existencia[[#This Row],[CODIGO]],Tabla_Items_Activos[CODIGO],0)),0,1)</f>
        <v>0</v>
      </c>
    </row>
    <row r="1637" spans="1:9">
      <c r="A1637" s="2" t="s">
        <v>6760</v>
      </c>
      <c r="B1637" s="2" t="s">
        <v>770</v>
      </c>
      <c r="C1637" s="2" t="s">
        <v>6971</v>
      </c>
      <c r="D1637" s="2" t="s">
        <v>5160</v>
      </c>
      <c r="E1637" s="2" t="s">
        <v>5159</v>
      </c>
      <c r="F1637" s="2">
        <v>184.56562105</v>
      </c>
      <c r="G1637" s="2">
        <v>5</v>
      </c>
      <c r="H1637" s="2">
        <f>Tabla_Items_Con_Existencia[[#This Row],[COSTO]]*Tabla_Items_Con_Existencia[[#This Row],[EXISTENCIA]]</f>
        <v>922.82810525000002</v>
      </c>
      <c r="I1637" s="1">
        <f>IF(ISERROR(MATCH(Tabla_Items_Con_Existencia[[#This Row],[CODIGO]],Tabla_Items_Activos[CODIGO],0)),0,1)</f>
        <v>0</v>
      </c>
    </row>
    <row r="1638" spans="1:9">
      <c r="A1638" s="2" t="s">
        <v>6760</v>
      </c>
      <c r="B1638" s="2" t="s">
        <v>771</v>
      </c>
      <c r="C1638" s="2" t="s">
        <v>2310</v>
      </c>
      <c r="D1638" s="2" t="s">
        <v>5160</v>
      </c>
      <c r="E1638" s="2" t="s">
        <v>5159</v>
      </c>
      <c r="F1638" s="2">
        <v>174.60746842</v>
      </c>
      <c r="G1638" s="2">
        <v>9</v>
      </c>
      <c r="H1638" s="2">
        <f>Tabla_Items_Con_Existencia[[#This Row],[COSTO]]*Tabla_Items_Con_Existencia[[#This Row],[EXISTENCIA]]</f>
        <v>1571.4672157800001</v>
      </c>
      <c r="I1638" s="1">
        <f>IF(ISERROR(MATCH(Tabla_Items_Con_Existencia[[#This Row],[CODIGO]],Tabla_Items_Activos[CODIGO],0)),0,1)</f>
        <v>0</v>
      </c>
    </row>
    <row r="1639" spans="1:9">
      <c r="A1639" s="2" t="s">
        <v>6761</v>
      </c>
      <c r="B1639" s="2" t="s">
        <v>771</v>
      </c>
      <c r="C1639" s="2" t="s">
        <v>2310</v>
      </c>
      <c r="D1639" s="2" t="s">
        <v>5160</v>
      </c>
      <c r="E1639" s="2" t="s">
        <v>5159</v>
      </c>
      <c r="F1639" s="2">
        <v>174.60746842</v>
      </c>
      <c r="G1639" s="2">
        <v>9</v>
      </c>
      <c r="H1639" s="2">
        <f>Tabla_Items_Con_Existencia[[#This Row],[COSTO]]*Tabla_Items_Con_Existencia[[#This Row],[EXISTENCIA]]</f>
        <v>1571.4672157800001</v>
      </c>
      <c r="I1639" s="1">
        <f>IF(ISERROR(MATCH(Tabla_Items_Con_Existencia[[#This Row],[CODIGO]],Tabla_Items_Activos[CODIGO],0)),0,1)</f>
        <v>0</v>
      </c>
    </row>
    <row r="1640" spans="1:9">
      <c r="A1640" s="2" t="s">
        <v>6760</v>
      </c>
      <c r="B1640" s="2" t="s">
        <v>772</v>
      </c>
      <c r="C1640" s="2" t="s">
        <v>2311</v>
      </c>
      <c r="D1640" s="2" t="s">
        <v>5160</v>
      </c>
      <c r="E1640" s="2" t="s">
        <v>5159</v>
      </c>
      <c r="F1640" s="2">
        <v>301.04568889000001</v>
      </c>
      <c r="G1640" s="2">
        <v>32</v>
      </c>
      <c r="H1640" s="2">
        <f>Tabla_Items_Con_Existencia[[#This Row],[COSTO]]*Tabla_Items_Con_Existencia[[#This Row],[EXISTENCIA]]</f>
        <v>9633.4620444800003</v>
      </c>
      <c r="I1640" s="1">
        <f>IF(ISERROR(MATCH(Tabla_Items_Con_Existencia[[#This Row],[CODIGO]],Tabla_Items_Activos[CODIGO],0)),0,1)</f>
        <v>0</v>
      </c>
    </row>
    <row r="1641" spans="1:9">
      <c r="A1641" s="2" t="s">
        <v>6761</v>
      </c>
      <c r="B1641" s="2" t="s">
        <v>772</v>
      </c>
      <c r="C1641" s="2" t="s">
        <v>2311</v>
      </c>
      <c r="D1641" s="2" t="s">
        <v>5160</v>
      </c>
      <c r="E1641" s="2" t="s">
        <v>5159</v>
      </c>
      <c r="F1641" s="2">
        <v>301.04568889000001</v>
      </c>
      <c r="G1641" s="2">
        <v>32</v>
      </c>
      <c r="H1641" s="2">
        <f>Tabla_Items_Con_Existencia[[#This Row],[COSTO]]*Tabla_Items_Con_Existencia[[#This Row],[EXISTENCIA]]</f>
        <v>9633.4620444800003</v>
      </c>
      <c r="I1641" s="1">
        <f>IF(ISERROR(MATCH(Tabla_Items_Con_Existencia[[#This Row],[CODIGO]],Tabla_Items_Activos[CODIGO],0)),0,1)</f>
        <v>0</v>
      </c>
    </row>
    <row r="1642" spans="1:9">
      <c r="A1642" s="2" t="s">
        <v>6759</v>
      </c>
      <c r="B1642" s="2" t="s">
        <v>772</v>
      </c>
      <c r="C1642" s="2" t="s">
        <v>2311</v>
      </c>
      <c r="D1642" s="2" t="s">
        <v>5160</v>
      </c>
      <c r="E1642" s="2" t="s">
        <v>5159</v>
      </c>
      <c r="F1642" s="2">
        <v>301.04568889000001</v>
      </c>
      <c r="G1642" s="2">
        <v>32</v>
      </c>
      <c r="H1642" s="2">
        <f>Tabla_Items_Con_Existencia[[#This Row],[COSTO]]*Tabla_Items_Con_Existencia[[#This Row],[EXISTENCIA]]</f>
        <v>9633.4620444800003</v>
      </c>
      <c r="I1642" s="1">
        <f>IF(ISERROR(MATCH(Tabla_Items_Con_Existencia[[#This Row],[CODIGO]],Tabla_Items_Activos[CODIGO],0)),0,1)</f>
        <v>0</v>
      </c>
    </row>
    <row r="1643" spans="1:9">
      <c r="A1643" s="2" t="s">
        <v>6760</v>
      </c>
      <c r="B1643" s="2" t="s">
        <v>773</v>
      </c>
      <c r="C1643" s="2" t="s">
        <v>2312</v>
      </c>
      <c r="D1643" s="2" t="s">
        <v>5160</v>
      </c>
      <c r="E1643" s="2" t="s">
        <v>5159</v>
      </c>
      <c r="F1643" s="2">
        <v>288.39101053000002</v>
      </c>
      <c r="G1643" s="2">
        <v>3</v>
      </c>
      <c r="H1643" s="2">
        <f>Tabla_Items_Con_Existencia[[#This Row],[COSTO]]*Tabla_Items_Con_Existencia[[#This Row],[EXISTENCIA]]</f>
        <v>865.17303159000005</v>
      </c>
      <c r="I1643" s="1">
        <f>IF(ISERROR(MATCH(Tabla_Items_Con_Existencia[[#This Row],[CODIGO]],Tabla_Items_Activos[CODIGO],0)),0,1)</f>
        <v>0</v>
      </c>
    </row>
    <row r="1644" spans="1:9">
      <c r="A1644" s="2" t="s">
        <v>6761</v>
      </c>
      <c r="B1644" s="2" t="s">
        <v>773</v>
      </c>
      <c r="C1644" s="2" t="s">
        <v>2312</v>
      </c>
      <c r="D1644" s="2" t="s">
        <v>5160</v>
      </c>
      <c r="E1644" s="2" t="s">
        <v>5159</v>
      </c>
      <c r="F1644" s="2">
        <v>288.39101053000002</v>
      </c>
      <c r="G1644" s="2">
        <v>3</v>
      </c>
      <c r="H1644" s="2">
        <f>Tabla_Items_Con_Existencia[[#This Row],[COSTO]]*Tabla_Items_Con_Existencia[[#This Row],[EXISTENCIA]]</f>
        <v>865.17303159000005</v>
      </c>
      <c r="I1644" s="1">
        <f>IF(ISERROR(MATCH(Tabla_Items_Con_Existencia[[#This Row],[CODIGO]],Tabla_Items_Activos[CODIGO],0)),0,1)</f>
        <v>0</v>
      </c>
    </row>
    <row r="1645" spans="1:9">
      <c r="A1645" s="2" t="s">
        <v>6760</v>
      </c>
      <c r="B1645" s="2" t="s">
        <v>774</v>
      </c>
      <c r="C1645" s="2" t="s">
        <v>2313</v>
      </c>
      <c r="D1645" s="2" t="s">
        <v>5160</v>
      </c>
      <c r="E1645" s="2" t="s">
        <v>5159</v>
      </c>
      <c r="F1645" s="2">
        <v>297.05552104999998</v>
      </c>
      <c r="G1645" s="2">
        <v>27</v>
      </c>
      <c r="H1645" s="2">
        <f>Tabla_Items_Con_Existencia[[#This Row],[COSTO]]*Tabla_Items_Con_Existencia[[#This Row],[EXISTENCIA]]</f>
        <v>8020.4990683499991</v>
      </c>
      <c r="I1645" s="1">
        <f>IF(ISERROR(MATCH(Tabla_Items_Con_Existencia[[#This Row],[CODIGO]],Tabla_Items_Activos[CODIGO],0)),0,1)</f>
        <v>0</v>
      </c>
    </row>
    <row r="1646" spans="1:9">
      <c r="A1646" s="2" t="s">
        <v>6761</v>
      </c>
      <c r="B1646" s="2" t="s">
        <v>774</v>
      </c>
      <c r="C1646" s="2" t="s">
        <v>2313</v>
      </c>
      <c r="D1646" s="2" t="s">
        <v>5160</v>
      </c>
      <c r="E1646" s="2" t="s">
        <v>5159</v>
      </c>
      <c r="F1646" s="2">
        <v>297.05552104999998</v>
      </c>
      <c r="G1646" s="2">
        <v>27</v>
      </c>
      <c r="H1646" s="2">
        <f>Tabla_Items_Con_Existencia[[#This Row],[COSTO]]*Tabla_Items_Con_Existencia[[#This Row],[EXISTENCIA]]</f>
        <v>8020.4990683499991</v>
      </c>
      <c r="I1646" s="1">
        <f>IF(ISERROR(MATCH(Tabla_Items_Con_Existencia[[#This Row],[CODIGO]],Tabla_Items_Activos[CODIGO],0)),0,1)</f>
        <v>0</v>
      </c>
    </row>
    <row r="1647" spans="1:9">
      <c r="A1647" s="2" t="s">
        <v>6760</v>
      </c>
      <c r="B1647" s="2" t="s">
        <v>775</v>
      </c>
      <c r="C1647" s="2" t="s">
        <v>2314</v>
      </c>
      <c r="D1647" s="2" t="s">
        <v>5160</v>
      </c>
      <c r="E1647" s="2" t="s">
        <v>5159</v>
      </c>
      <c r="F1647" s="2">
        <v>329.65911851999999</v>
      </c>
      <c r="G1647" s="2">
        <v>45</v>
      </c>
      <c r="H1647" s="2">
        <f>Tabla_Items_Con_Existencia[[#This Row],[COSTO]]*Tabla_Items_Con_Existencia[[#This Row],[EXISTENCIA]]</f>
        <v>14834.660333399999</v>
      </c>
      <c r="I1647" s="1">
        <f>IF(ISERROR(MATCH(Tabla_Items_Con_Existencia[[#This Row],[CODIGO]],Tabla_Items_Activos[CODIGO],0)),0,1)</f>
        <v>0</v>
      </c>
    </row>
    <row r="1648" spans="1:9">
      <c r="A1648" s="2" t="s">
        <v>6761</v>
      </c>
      <c r="B1648" s="2" t="s">
        <v>775</v>
      </c>
      <c r="C1648" s="2" t="s">
        <v>2314</v>
      </c>
      <c r="D1648" s="2" t="s">
        <v>5160</v>
      </c>
      <c r="E1648" s="2" t="s">
        <v>5159</v>
      </c>
      <c r="F1648" s="2">
        <v>329.65911851999999</v>
      </c>
      <c r="G1648" s="2">
        <v>45</v>
      </c>
      <c r="H1648" s="2">
        <f>Tabla_Items_Con_Existencia[[#This Row],[COSTO]]*Tabla_Items_Con_Existencia[[#This Row],[EXISTENCIA]]</f>
        <v>14834.660333399999</v>
      </c>
      <c r="I1648" s="1">
        <f>IF(ISERROR(MATCH(Tabla_Items_Con_Existencia[[#This Row],[CODIGO]],Tabla_Items_Activos[CODIGO],0)),0,1)</f>
        <v>0</v>
      </c>
    </row>
    <row r="1649" spans="1:9">
      <c r="A1649" s="2" t="s">
        <v>6759</v>
      </c>
      <c r="B1649" s="2" t="s">
        <v>775</v>
      </c>
      <c r="C1649" s="2" t="s">
        <v>2314</v>
      </c>
      <c r="D1649" s="2" t="s">
        <v>5160</v>
      </c>
      <c r="E1649" s="2" t="s">
        <v>5159</v>
      </c>
      <c r="F1649" s="2">
        <v>329.65911851999999</v>
      </c>
      <c r="G1649" s="2">
        <v>45</v>
      </c>
      <c r="H1649" s="2">
        <f>Tabla_Items_Con_Existencia[[#This Row],[COSTO]]*Tabla_Items_Con_Existencia[[#This Row],[EXISTENCIA]]</f>
        <v>14834.660333399999</v>
      </c>
      <c r="I1649" s="1">
        <f>IF(ISERROR(MATCH(Tabla_Items_Con_Existencia[[#This Row],[CODIGO]],Tabla_Items_Activos[CODIGO],0)),0,1)</f>
        <v>0</v>
      </c>
    </row>
    <row r="1650" spans="1:9">
      <c r="A1650" s="2" t="s">
        <v>6760</v>
      </c>
      <c r="B1650" s="2" t="s">
        <v>776</v>
      </c>
      <c r="C1650" s="2" t="s">
        <v>2315</v>
      </c>
      <c r="D1650" s="2" t="s">
        <v>5160</v>
      </c>
      <c r="E1650" s="2" t="s">
        <v>5159</v>
      </c>
      <c r="F1650" s="2">
        <v>211.75663158</v>
      </c>
      <c r="G1650" s="2">
        <v>5</v>
      </c>
      <c r="H1650" s="2">
        <f>Tabla_Items_Con_Existencia[[#This Row],[COSTO]]*Tabla_Items_Con_Existencia[[#This Row],[EXISTENCIA]]</f>
        <v>1058.7831579000001</v>
      </c>
      <c r="I1650" s="1">
        <f>IF(ISERROR(MATCH(Tabla_Items_Con_Existencia[[#This Row],[CODIGO]],Tabla_Items_Activos[CODIGO],0)),0,1)</f>
        <v>0</v>
      </c>
    </row>
    <row r="1651" spans="1:9">
      <c r="A1651" s="2" t="s">
        <v>6761</v>
      </c>
      <c r="B1651" s="2" t="s">
        <v>776</v>
      </c>
      <c r="C1651" s="2" t="s">
        <v>2315</v>
      </c>
      <c r="D1651" s="2" t="s">
        <v>5160</v>
      </c>
      <c r="E1651" s="2" t="s">
        <v>5159</v>
      </c>
      <c r="F1651" s="2">
        <v>211.75663158</v>
      </c>
      <c r="G1651" s="2">
        <v>5</v>
      </c>
      <c r="H1651" s="2">
        <f>Tabla_Items_Con_Existencia[[#This Row],[COSTO]]*Tabla_Items_Con_Existencia[[#This Row],[EXISTENCIA]]</f>
        <v>1058.7831579000001</v>
      </c>
      <c r="I1651" s="1">
        <f>IF(ISERROR(MATCH(Tabla_Items_Con_Existencia[[#This Row],[CODIGO]],Tabla_Items_Activos[CODIGO],0)),0,1)</f>
        <v>0</v>
      </c>
    </row>
    <row r="1652" spans="1:9">
      <c r="A1652" s="2" t="s">
        <v>6760</v>
      </c>
      <c r="B1652" s="2" t="s">
        <v>7351</v>
      </c>
      <c r="C1652" s="2" t="s">
        <v>4979</v>
      </c>
      <c r="D1652" s="2" t="s">
        <v>5190</v>
      </c>
      <c r="E1652" s="2" t="s">
        <v>5159</v>
      </c>
      <c r="F1652" s="2">
        <v>7.0626925900000002</v>
      </c>
      <c r="G1652" s="2">
        <v>40</v>
      </c>
      <c r="H1652" s="2">
        <f>Tabla_Items_Con_Existencia[[#This Row],[COSTO]]*Tabla_Items_Con_Existencia[[#This Row],[EXISTENCIA]]</f>
        <v>282.50770360000001</v>
      </c>
      <c r="I1652" s="1">
        <f>IF(ISERROR(MATCH(Tabla_Items_Con_Existencia[[#This Row],[CODIGO]],Tabla_Items_Activos[CODIGO],0)),0,1)</f>
        <v>0</v>
      </c>
    </row>
    <row r="1653" spans="1:9">
      <c r="A1653" s="2" t="s">
        <v>6761</v>
      </c>
      <c r="B1653" s="2" t="s">
        <v>7351</v>
      </c>
      <c r="C1653" s="2" t="s">
        <v>4979</v>
      </c>
      <c r="D1653" s="2" t="s">
        <v>5190</v>
      </c>
      <c r="E1653" s="2" t="s">
        <v>5159</v>
      </c>
      <c r="F1653" s="2">
        <v>7.0626925900000002</v>
      </c>
      <c r="G1653" s="2">
        <v>40</v>
      </c>
      <c r="H1653" s="2">
        <f>Tabla_Items_Con_Existencia[[#This Row],[COSTO]]*Tabla_Items_Con_Existencia[[#This Row],[EXISTENCIA]]</f>
        <v>282.50770360000001</v>
      </c>
      <c r="I1653" s="1">
        <f>IF(ISERROR(MATCH(Tabla_Items_Con_Existencia[[#This Row],[CODIGO]],Tabla_Items_Activos[CODIGO],0)),0,1)</f>
        <v>0</v>
      </c>
    </row>
    <row r="1654" spans="1:9">
      <c r="A1654" s="2" t="s">
        <v>6759</v>
      </c>
      <c r="B1654" s="2" t="s">
        <v>7351</v>
      </c>
      <c r="C1654" s="2" t="s">
        <v>4979</v>
      </c>
      <c r="D1654" s="2" t="s">
        <v>5190</v>
      </c>
      <c r="E1654" s="2" t="s">
        <v>5159</v>
      </c>
      <c r="F1654" s="2">
        <v>7.0626925900000002</v>
      </c>
      <c r="G1654" s="2">
        <v>40</v>
      </c>
      <c r="H1654" s="2">
        <f>Tabla_Items_Con_Existencia[[#This Row],[COSTO]]*Tabla_Items_Con_Existencia[[#This Row],[EXISTENCIA]]</f>
        <v>282.50770360000001</v>
      </c>
      <c r="I1654" s="1">
        <f>IF(ISERROR(MATCH(Tabla_Items_Con_Existencia[[#This Row],[CODIGO]],Tabla_Items_Activos[CODIGO],0)),0,1)</f>
        <v>0</v>
      </c>
    </row>
    <row r="1655" spans="1:9">
      <c r="A1655" s="2" t="s">
        <v>6760</v>
      </c>
      <c r="B1655" s="2" t="s">
        <v>7257</v>
      </c>
      <c r="C1655" s="2" t="s">
        <v>7258</v>
      </c>
      <c r="D1655" s="2" t="s">
        <v>5187</v>
      </c>
      <c r="E1655" s="2" t="s">
        <v>5159</v>
      </c>
      <c r="F1655" s="2">
        <v>0.1</v>
      </c>
      <c r="G1655" s="2">
        <v>2</v>
      </c>
      <c r="H1655" s="2">
        <f>Tabla_Items_Con_Existencia[[#This Row],[COSTO]]*Tabla_Items_Con_Existencia[[#This Row],[EXISTENCIA]]</f>
        <v>0.2</v>
      </c>
      <c r="I1655" s="1">
        <f>IF(ISERROR(MATCH(Tabla_Items_Con_Existencia[[#This Row],[CODIGO]],Tabla_Items_Activos[CODIGO],0)),0,1)</f>
        <v>0</v>
      </c>
    </row>
    <row r="1656" spans="1:9">
      <c r="A1656" s="2" t="s">
        <v>6760</v>
      </c>
      <c r="B1656" s="2" t="s">
        <v>7259</v>
      </c>
      <c r="C1656" s="2" t="s">
        <v>7260</v>
      </c>
      <c r="D1656" s="2" t="s">
        <v>5158</v>
      </c>
      <c r="E1656" s="2" t="s">
        <v>5159</v>
      </c>
      <c r="F1656" s="2">
        <v>0</v>
      </c>
      <c r="G1656" s="2">
        <v>6</v>
      </c>
      <c r="H1656" s="2">
        <f>Tabla_Items_Con_Existencia[[#This Row],[COSTO]]*Tabla_Items_Con_Existencia[[#This Row],[EXISTENCIA]]</f>
        <v>0</v>
      </c>
      <c r="I1656" s="1">
        <f>IF(ISERROR(MATCH(Tabla_Items_Con_Existencia[[#This Row],[CODIGO]],Tabla_Items_Activos[CODIGO],0)),0,1)</f>
        <v>0</v>
      </c>
    </row>
    <row r="1657" spans="1:9">
      <c r="A1657" s="2" t="s">
        <v>6760</v>
      </c>
      <c r="B1657" s="2" t="s">
        <v>777</v>
      </c>
      <c r="C1657" s="2" t="s">
        <v>2316</v>
      </c>
      <c r="D1657" s="2" t="s">
        <v>5158</v>
      </c>
      <c r="E1657" s="2" t="s">
        <v>5159</v>
      </c>
      <c r="F1657" s="2">
        <v>13.765000000000001</v>
      </c>
      <c r="G1657" s="2">
        <v>47</v>
      </c>
      <c r="H1657" s="2">
        <f>Tabla_Items_Con_Existencia[[#This Row],[COSTO]]*Tabla_Items_Con_Existencia[[#This Row],[EXISTENCIA]]</f>
        <v>646.95500000000004</v>
      </c>
      <c r="I1657" s="1">
        <f>IF(ISERROR(MATCH(Tabla_Items_Con_Existencia[[#This Row],[CODIGO]],Tabla_Items_Activos[CODIGO],0)),0,1)</f>
        <v>0</v>
      </c>
    </row>
    <row r="1658" spans="1:9">
      <c r="A1658" s="2" t="s">
        <v>6760</v>
      </c>
      <c r="B1658" s="2" t="s">
        <v>778</v>
      </c>
      <c r="C1658" s="2" t="s">
        <v>6972</v>
      </c>
      <c r="D1658" s="2" t="s">
        <v>5158</v>
      </c>
      <c r="E1658" s="2" t="s">
        <v>5159</v>
      </c>
      <c r="F1658" s="2">
        <v>21.828947370000002</v>
      </c>
      <c r="G1658" s="2">
        <v>6</v>
      </c>
      <c r="H1658" s="2">
        <f>Tabla_Items_Con_Existencia[[#This Row],[COSTO]]*Tabla_Items_Con_Existencia[[#This Row],[EXISTENCIA]]</f>
        <v>130.97368422</v>
      </c>
      <c r="I1658" s="1">
        <f>IF(ISERROR(MATCH(Tabla_Items_Con_Existencia[[#This Row],[CODIGO]],Tabla_Items_Activos[CODIGO],0)),0,1)</f>
        <v>0</v>
      </c>
    </row>
    <row r="1659" spans="1:9">
      <c r="A1659" s="2" t="s">
        <v>6761</v>
      </c>
      <c r="B1659" s="2" t="s">
        <v>778</v>
      </c>
      <c r="C1659" s="2" t="s">
        <v>6972</v>
      </c>
      <c r="D1659" s="2" t="s">
        <v>5158</v>
      </c>
      <c r="E1659" s="2" t="s">
        <v>5159</v>
      </c>
      <c r="F1659" s="2">
        <v>21.828947370000002</v>
      </c>
      <c r="G1659" s="2">
        <v>6</v>
      </c>
      <c r="H1659" s="2">
        <f>Tabla_Items_Con_Existencia[[#This Row],[COSTO]]*Tabla_Items_Con_Existencia[[#This Row],[EXISTENCIA]]</f>
        <v>130.97368422</v>
      </c>
      <c r="I1659" s="1">
        <f>IF(ISERROR(MATCH(Tabla_Items_Con_Existencia[[#This Row],[CODIGO]],Tabla_Items_Activos[CODIGO],0)),0,1)</f>
        <v>0</v>
      </c>
    </row>
    <row r="1660" spans="1:9">
      <c r="A1660" s="2" t="s">
        <v>6760</v>
      </c>
      <c r="B1660" s="2" t="s">
        <v>6290</v>
      </c>
      <c r="C1660" s="2" t="s">
        <v>4713</v>
      </c>
      <c r="D1660" s="2" t="s">
        <v>5158</v>
      </c>
      <c r="E1660" s="2" t="s">
        <v>5159</v>
      </c>
      <c r="F1660" s="2">
        <v>4.2861263200000002</v>
      </c>
      <c r="G1660" s="2">
        <v>19</v>
      </c>
      <c r="H1660" s="2">
        <f>Tabla_Items_Con_Existencia[[#This Row],[COSTO]]*Tabla_Items_Con_Existencia[[#This Row],[EXISTENCIA]]</f>
        <v>81.436400079999999</v>
      </c>
      <c r="I1660" s="1">
        <f>IF(ISERROR(MATCH(Tabla_Items_Con_Existencia[[#This Row],[CODIGO]],Tabla_Items_Activos[CODIGO],0)),0,1)</f>
        <v>0</v>
      </c>
    </row>
    <row r="1661" spans="1:9">
      <c r="A1661" s="2" t="s">
        <v>6761</v>
      </c>
      <c r="B1661" s="2" t="s">
        <v>6290</v>
      </c>
      <c r="C1661" s="2" t="s">
        <v>4713</v>
      </c>
      <c r="D1661" s="2" t="s">
        <v>5158</v>
      </c>
      <c r="E1661" s="2" t="s">
        <v>5159</v>
      </c>
      <c r="F1661" s="2">
        <v>4.2861263200000002</v>
      </c>
      <c r="G1661" s="2">
        <v>19</v>
      </c>
      <c r="H1661" s="2">
        <f>Tabla_Items_Con_Existencia[[#This Row],[COSTO]]*Tabla_Items_Con_Existencia[[#This Row],[EXISTENCIA]]</f>
        <v>81.436400079999999</v>
      </c>
      <c r="I1661" s="1">
        <f>IF(ISERROR(MATCH(Tabla_Items_Con_Existencia[[#This Row],[CODIGO]],Tabla_Items_Activos[CODIGO],0)),0,1)</f>
        <v>0</v>
      </c>
    </row>
    <row r="1662" spans="1:9">
      <c r="A1662" s="2" t="s">
        <v>6760</v>
      </c>
      <c r="B1662" s="2" t="s">
        <v>779</v>
      </c>
      <c r="C1662" s="2" t="s">
        <v>2317</v>
      </c>
      <c r="D1662" s="2" t="s">
        <v>5158</v>
      </c>
      <c r="E1662" s="2" t="s">
        <v>5159</v>
      </c>
      <c r="F1662" s="2">
        <v>9.0759473699999997</v>
      </c>
      <c r="G1662" s="2">
        <v>11</v>
      </c>
      <c r="H1662" s="2">
        <f>Tabla_Items_Con_Existencia[[#This Row],[COSTO]]*Tabla_Items_Con_Existencia[[#This Row],[EXISTENCIA]]</f>
        <v>99.835421069999995</v>
      </c>
      <c r="I1662" s="1">
        <f>IF(ISERROR(MATCH(Tabla_Items_Con_Existencia[[#This Row],[CODIGO]],Tabla_Items_Activos[CODIGO],0)),0,1)</f>
        <v>0</v>
      </c>
    </row>
    <row r="1663" spans="1:9">
      <c r="A1663" s="2" t="s">
        <v>6761</v>
      </c>
      <c r="B1663" s="2" t="s">
        <v>779</v>
      </c>
      <c r="C1663" s="2" t="s">
        <v>2317</v>
      </c>
      <c r="D1663" s="2" t="s">
        <v>5158</v>
      </c>
      <c r="E1663" s="2" t="s">
        <v>5159</v>
      </c>
      <c r="F1663" s="2">
        <v>9.0759473699999997</v>
      </c>
      <c r="G1663" s="2">
        <v>11</v>
      </c>
      <c r="H1663" s="2">
        <f>Tabla_Items_Con_Existencia[[#This Row],[COSTO]]*Tabla_Items_Con_Existencia[[#This Row],[EXISTENCIA]]</f>
        <v>99.835421069999995</v>
      </c>
      <c r="I1663" s="1">
        <f>IF(ISERROR(MATCH(Tabla_Items_Con_Existencia[[#This Row],[CODIGO]],Tabla_Items_Activos[CODIGO],0)),0,1)</f>
        <v>0</v>
      </c>
    </row>
    <row r="1664" spans="1:9">
      <c r="A1664" s="2" t="s">
        <v>6760</v>
      </c>
      <c r="B1664" s="2" t="s">
        <v>7129</v>
      </c>
      <c r="C1664" s="2" t="s">
        <v>6739</v>
      </c>
      <c r="D1664" s="2" t="s">
        <v>5161</v>
      </c>
      <c r="E1664" s="2" t="s">
        <v>5159</v>
      </c>
      <c r="F1664" s="2">
        <v>1.8479000000000001</v>
      </c>
      <c r="G1664" s="2">
        <v>14</v>
      </c>
      <c r="H1664" s="2">
        <f>Tabla_Items_Con_Existencia[[#This Row],[COSTO]]*Tabla_Items_Con_Existencia[[#This Row],[EXISTENCIA]]</f>
        <v>25.870600000000003</v>
      </c>
      <c r="I1664" s="1">
        <f>IF(ISERROR(MATCH(Tabla_Items_Con_Existencia[[#This Row],[CODIGO]],Tabla_Items_Activos[CODIGO],0)),0,1)</f>
        <v>0</v>
      </c>
    </row>
    <row r="1665" spans="1:9">
      <c r="A1665" s="2" t="s">
        <v>6760</v>
      </c>
      <c r="B1665" s="2" t="s">
        <v>780</v>
      </c>
      <c r="C1665" s="2" t="s">
        <v>2318</v>
      </c>
      <c r="D1665" s="2" t="s">
        <v>5158</v>
      </c>
      <c r="E1665" s="2" t="s">
        <v>5159</v>
      </c>
      <c r="F1665" s="2">
        <v>0.60629999999999995</v>
      </c>
      <c r="G1665" s="2">
        <v>76</v>
      </c>
      <c r="H1665" s="2">
        <f>Tabla_Items_Con_Existencia[[#This Row],[COSTO]]*Tabla_Items_Con_Existencia[[#This Row],[EXISTENCIA]]</f>
        <v>46.078799999999994</v>
      </c>
      <c r="I1665" s="1">
        <f>IF(ISERROR(MATCH(Tabla_Items_Con_Existencia[[#This Row],[CODIGO]],Tabla_Items_Activos[CODIGO],0)),0,1)</f>
        <v>0</v>
      </c>
    </row>
    <row r="1666" spans="1:9">
      <c r="A1666" s="2" t="s">
        <v>6760</v>
      </c>
      <c r="B1666" s="2" t="s">
        <v>781</v>
      </c>
      <c r="C1666" s="2" t="s">
        <v>2319</v>
      </c>
      <c r="D1666" s="2" t="s">
        <v>5186</v>
      </c>
      <c r="E1666" s="2" t="s">
        <v>5159</v>
      </c>
      <c r="F1666" s="2">
        <v>0.98</v>
      </c>
      <c r="G1666" s="2">
        <v>10</v>
      </c>
      <c r="H1666" s="2">
        <f>Tabla_Items_Con_Existencia[[#This Row],[COSTO]]*Tabla_Items_Con_Existencia[[#This Row],[EXISTENCIA]]</f>
        <v>9.8000000000000007</v>
      </c>
      <c r="I1666" s="1">
        <f>IF(ISERROR(MATCH(Tabla_Items_Con_Existencia[[#This Row],[CODIGO]],Tabla_Items_Activos[CODIGO],0)),0,1)</f>
        <v>0</v>
      </c>
    </row>
    <row r="1667" spans="1:9">
      <c r="A1667" s="2" t="s">
        <v>6760</v>
      </c>
      <c r="B1667" s="2" t="s">
        <v>782</v>
      </c>
      <c r="C1667" s="2" t="s">
        <v>2320</v>
      </c>
      <c r="D1667" s="2" t="s">
        <v>5158</v>
      </c>
      <c r="E1667" s="2" t="s">
        <v>5159</v>
      </c>
      <c r="F1667" s="2">
        <v>0.64</v>
      </c>
      <c r="G1667" s="2">
        <v>15</v>
      </c>
      <c r="H1667" s="2">
        <f>Tabla_Items_Con_Existencia[[#This Row],[COSTO]]*Tabla_Items_Con_Existencia[[#This Row],[EXISTENCIA]]</f>
        <v>9.6</v>
      </c>
      <c r="I1667" s="1">
        <f>IF(ISERROR(MATCH(Tabla_Items_Con_Existencia[[#This Row],[CODIGO]],Tabla_Items_Activos[CODIGO],0)),0,1)</f>
        <v>0</v>
      </c>
    </row>
    <row r="1668" spans="1:9">
      <c r="A1668" s="2" t="s">
        <v>6760</v>
      </c>
      <c r="B1668" s="2" t="s">
        <v>783</v>
      </c>
      <c r="C1668" s="2" t="s">
        <v>2321</v>
      </c>
      <c r="D1668" s="2" t="s">
        <v>5158</v>
      </c>
      <c r="E1668" s="2" t="s">
        <v>5159</v>
      </c>
      <c r="F1668" s="2">
        <v>0.81789473999999995</v>
      </c>
      <c r="G1668" s="2">
        <v>82</v>
      </c>
      <c r="H1668" s="2">
        <f>Tabla_Items_Con_Existencia[[#This Row],[COSTO]]*Tabla_Items_Con_Existencia[[#This Row],[EXISTENCIA]]</f>
        <v>67.067368680000001</v>
      </c>
      <c r="I1668" s="1">
        <f>IF(ISERROR(MATCH(Tabla_Items_Con_Existencia[[#This Row],[CODIGO]],Tabla_Items_Activos[CODIGO],0)),0,1)</f>
        <v>0</v>
      </c>
    </row>
    <row r="1669" spans="1:9">
      <c r="A1669" s="2" t="s">
        <v>6761</v>
      </c>
      <c r="B1669" s="2" t="s">
        <v>783</v>
      </c>
      <c r="C1669" s="2" t="s">
        <v>2321</v>
      </c>
      <c r="D1669" s="2" t="s">
        <v>5158</v>
      </c>
      <c r="E1669" s="2" t="s">
        <v>5159</v>
      </c>
      <c r="F1669" s="2">
        <v>0.81789473999999995</v>
      </c>
      <c r="G1669" s="2">
        <v>82</v>
      </c>
      <c r="H1669" s="2">
        <f>Tabla_Items_Con_Existencia[[#This Row],[COSTO]]*Tabla_Items_Con_Existencia[[#This Row],[EXISTENCIA]]</f>
        <v>67.067368680000001</v>
      </c>
      <c r="I1669" s="1">
        <f>IF(ISERROR(MATCH(Tabla_Items_Con_Existencia[[#This Row],[CODIGO]],Tabla_Items_Activos[CODIGO],0)),0,1)</f>
        <v>0</v>
      </c>
    </row>
    <row r="1670" spans="1:9">
      <c r="A1670" s="2" t="s">
        <v>6760</v>
      </c>
      <c r="B1670" s="2" t="s">
        <v>784</v>
      </c>
      <c r="C1670" s="2" t="s">
        <v>2322</v>
      </c>
      <c r="D1670" s="2" t="s">
        <v>5158</v>
      </c>
      <c r="E1670" s="2" t="s">
        <v>5159</v>
      </c>
      <c r="F1670" s="2">
        <v>0.67359999999999998</v>
      </c>
      <c r="G1670" s="2">
        <v>121</v>
      </c>
      <c r="H1670" s="2">
        <f>Tabla_Items_Con_Existencia[[#This Row],[COSTO]]*Tabla_Items_Con_Existencia[[#This Row],[EXISTENCIA]]</f>
        <v>81.505600000000001</v>
      </c>
      <c r="I1670" s="1">
        <f>IF(ISERROR(MATCH(Tabla_Items_Con_Existencia[[#This Row],[CODIGO]],Tabla_Items_Activos[CODIGO],0)),0,1)</f>
        <v>0</v>
      </c>
    </row>
    <row r="1671" spans="1:9">
      <c r="A1671" s="2" t="s">
        <v>6761</v>
      </c>
      <c r="B1671" s="2" t="s">
        <v>784</v>
      </c>
      <c r="C1671" s="2" t="s">
        <v>2322</v>
      </c>
      <c r="D1671" s="2" t="s">
        <v>5158</v>
      </c>
      <c r="E1671" s="2" t="s">
        <v>5159</v>
      </c>
      <c r="F1671" s="2">
        <v>0.67359999999999998</v>
      </c>
      <c r="G1671" s="2">
        <v>121</v>
      </c>
      <c r="H1671" s="2">
        <f>Tabla_Items_Con_Existencia[[#This Row],[COSTO]]*Tabla_Items_Con_Existencia[[#This Row],[EXISTENCIA]]</f>
        <v>81.505600000000001</v>
      </c>
      <c r="I1671" s="1">
        <f>IF(ISERROR(MATCH(Tabla_Items_Con_Existencia[[#This Row],[CODIGO]],Tabla_Items_Activos[CODIGO],0)),0,1)</f>
        <v>0</v>
      </c>
    </row>
    <row r="1672" spans="1:9">
      <c r="A1672" s="2" t="s">
        <v>6760</v>
      </c>
      <c r="B1672" s="2" t="s">
        <v>785</v>
      </c>
      <c r="C1672" s="2" t="s">
        <v>2323</v>
      </c>
      <c r="D1672" s="2" t="s">
        <v>5158</v>
      </c>
      <c r="E1672" s="2" t="s">
        <v>5159</v>
      </c>
      <c r="F1672" s="2">
        <v>0.76439999999999997</v>
      </c>
      <c r="G1672" s="2">
        <v>45</v>
      </c>
      <c r="H1672" s="2">
        <f>Tabla_Items_Con_Existencia[[#This Row],[COSTO]]*Tabla_Items_Con_Existencia[[#This Row],[EXISTENCIA]]</f>
        <v>34.397999999999996</v>
      </c>
      <c r="I1672" s="1">
        <f>IF(ISERROR(MATCH(Tabla_Items_Con_Existencia[[#This Row],[CODIGO]],Tabla_Items_Activos[CODIGO],0)),0,1)</f>
        <v>0</v>
      </c>
    </row>
    <row r="1673" spans="1:9">
      <c r="A1673" s="2" t="s">
        <v>6761</v>
      </c>
      <c r="B1673" s="2" t="s">
        <v>785</v>
      </c>
      <c r="C1673" s="2" t="s">
        <v>2323</v>
      </c>
      <c r="D1673" s="2" t="s">
        <v>5158</v>
      </c>
      <c r="E1673" s="2" t="s">
        <v>5159</v>
      </c>
      <c r="F1673" s="2">
        <v>0.76439999999999997</v>
      </c>
      <c r="G1673" s="2">
        <v>45</v>
      </c>
      <c r="H1673" s="2">
        <f>Tabla_Items_Con_Existencia[[#This Row],[COSTO]]*Tabla_Items_Con_Existencia[[#This Row],[EXISTENCIA]]</f>
        <v>34.397999999999996</v>
      </c>
      <c r="I1673" s="1">
        <f>IF(ISERROR(MATCH(Tabla_Items_Con_Existencia[[#This Row],[CODIGO]],Tabla_Items_Activos[CODIGO],0)),0,1)</f>
        <v>0</v>
      </c>
    </row>
    <row r="1674" spans="1:9">
      <c r="A1674" s="2" t="s">
        <v>6760</v>
      </c>
      <c r="B1674" s="2" t="s">
        <v>6661</v>
      </c>
      <c r="C1674" s="2" t="s">
        <v>4564</v>
      </c>
      <c r="D1674" s="2" t="s">
        <v>5186</v>
      </c>
      <c r="E1674" s="2" t="s">
        <v>5159</v>
      </c>
      <c r="F1674" s="2">
        <v>0.54</v>
      </c>
      <c r="G1674" s="2">
        <v>3</v>
      </c>
      <c r="H1674" s="2">
        <f>Tabla_Items_Con_Existencia[[#This Row],[COSTO]]*Tabla_Items_Con_Existencia[[#This Row],[EXISTENCIA]]</f>
        <v>1.62</v>
      </c>
      <c r="I1674" s="1">
        <f>IF(ISERROR(MATCH(Tabla_Items_Con_Existencia[[#This Row],[CODIGO]],Tabla_Items_Activos[CODIGO],0)),0,1)</f>
        <v>0</v>
      </c>
    </row>
    <row r="1675" spans="1:9">
      <c r="A1675" s="2" t="s">
        <v>6760</v>
      </c>
      <c r="B1675" s="2" t="s">
        <v>2324</v>
      </c>
      <c r="C1675" s="2" t="s">
        <v>2325</v>
      </c>
      <c r="D1675" s="2" t="s">
        <v>5186</v>
      </c>
      <c r="E1675" s="2" t="s">
        <v>5159</v>
      </c>
      <c r="F1675" s="2">
        <v>0.75041053000000002</v>
      </c>
      <c r="G1675" s="2">
        <v>12</v>
      </c>
      <c r="H1675" s="2">
        <f>Tabla_Items_Con_Existencia[[#This Row],[COSTO]]*Tabla_Items_Con_Existencia[[#This Row],[EXISTENCIA]]</f>
        <v>9.0049263600000007</v>
      </c>
      <c r="I1675" s="1">
        <f>IF(ISERROR(MATCH(Tabla_Items_Con_Existencia[[#This Row],[CODIGO]],Tabla_Items_Activos[CODIGO],0)),0,1)</f>
        <v>0</v>
      </c>
    </row>
    <row r="1676" spans="1:9">
      <c r="A1676" s="2" t="s">
        <v>6761</v>
      </c>
      <c r="B1676" s="2" t="s">
        <v>2324</v>
      </c>
      <c r="C1676" s="2" t="s">
        <v>2325</v>
      </c>
      <c r="D1676" s="2" t="s">
        <v>5186</v>
      </c>
      <c r="E1676" s="2" t="s">
        <v>5159</v>
      </c>
      <c r="F1676" s="2">
        <v>0.75041053000000002</v>
      </c>
      <c r="G1676" s="2">
        <v>12</v>
      </c>
      <c r="H1676" s="2">
        <f>Tabla_Items_Con_Existencia[[#This Row],[COSTO]]*Tabla_Items_Con_Existencia[[#This Row],[EXISTENCIA]]</f>
        <v>9.0049263600000007</v>
      </c>
      <c r="I1676" s="1">
        <f>IF(ISERROR(MATCH(Tabla_Items_Con_Existencia[[#This Row],[CODIGO]],Tabla_Items_Activos[CODIGO],0)),0,1)</f>
        <v>0</v>
      </c>
    </row>
    <row r="1677" spans="1:9">
      <c r="A1677" s="2" t="s">
        <v>6760</v>
      </c>
      <c r="B1677" s="2" t="s">
        <v>786</v>
      </c>
      <c r="C1677" s="2" t="s">
        <v>5528</v>
      </c>
      <c r="D1677" s="2" t="s">
        <v>5158</v>
      </c>
      <c r="E1677" s="2" t="s">
        <v>5159</v>
      </c>
      <c r="F1677" s="2">
        <v>0.46750000000000003</v>
      </c>
      <c r="G1677" s="2">
        <v>40</v>
      </c>
      <c r="H1677" s="2">
        <f>Tabla_Items_Con_Existencia[[#This Row],[COSTO]]*Tabla_Items_Con_Existencia[[#This Row],[EXISTENCIA]]</f>
        <v>18.700000000000003</v>
      </c>
      <c r="I1677" s="1">
        <f>IF(ISERROR(MATCH(Tabla_Items_Con_Existencia[[#This Row],[CODIGO]],Tabla_Items_Activos[CODIGO],0)),0,1)</f>
        <v>0</v>
      </c>
    </row>
    <row r="1678" spans="1:9">
      <c r="A1678" s="2" t="s">
        <v>6760</v>
      </c>
      <c r="B1678" s="2" t="s">
        <v>787</v>
      </c>
      <c r="C1678" s="2" t="s">
        <v>2326</v>
      </c>
      <c r="D1678" s="2" t="s">
        <v>5186</v>
      </c>
      <c r="E1678" s="2" t="s">
        <v>5159</v>
      </c>
      <c r="F1678" s="2">
        <v>1.48</v>
      </c>
      <c r="G1678" s="2">
        <v>5</v>
      </c>
      <c r="H1678" s="2">
        <f>Tabla_Items_Con_Existencia[[#This Row],[COSTO]]*Tabla_Items_Con_Existencia[[#This Row],[EXISTENCIA]]</f>
        <v>7.4</v>
      </c>
      <c r="I1678" s="1">
        <f>IF(ISERROR(MATCH(Tabla_Items_Con_Existencia[[#This Row],[CODIGO]],Tabla_Items_Activos[CODIGO],0)),0,1)</f>
        <v>0</v>
      </c>
    </row>
    <row r="1679" spans="1:9">
      <c r="A1679" s="2" t="s">
        <v>6760</v>
      </c>
      <c r="B1679" s="2" t="s">
        <v>788</v>
      </c>
      <c r="C1679" s="2" t="s">
        <v>2327</v>
      </c>
      <c r="D1679" s="2" t="s">
        <v>5158</v>
      </c>
      <c r="E1679" s="2" t="s">
        <v>5159</v>
      </c>
      <c r="F1679" s="2">
        <v>0.34</v>
      </c>
      <c r="G1679" s="2">
        <v>41</v>
      </c>
      <c r="H1679" s="2">
        <f>Tabla_Items_Con_Existencia[[#This Row],[COSTO]]*Tabla_Items_Con_Existencia[[#This Row],[EXISTENCIA]]</f>
        <v>13.940000000000001</v>
      </c>
      <c r="I1679" s="1">
        <f>IF(ISERROR(MATCH(Tabla_Items_Con_Existencia[[#This Row],[CODIGO]],Tabla_Items_Activos[CODIGO],0)),0,1)</f>
        <v>0</v>
      </c>
    </row>
    <row r="1680" spans="1:9">
      <c r="A1680" s="2" t="s">
        <v>6760</v>
      </c>
      <c r="B1680" s="2" t="s">
        <v>789</v>
      </c>
      <c r="C1680" s="2" t="s">
        <v>2328</v>
      </c>
      <c r="D1680" s="2" t="s">
        <v>5187</v>
      </c>
      <c r="E1680" s="2" t="s">
        <v>5159</v>
      </c>
      <c r="F1680" s="2">
        <v>0.64</v>
      </c>
      <c r="G1680" s="2">
        <v>3</v>
      </c>
      <c r="H1680" s="2">
        <f>Tabla_Items_Con_Existencia[[#This Row],[COSTO]]*Tabla_Items_Con_Existencia[[#This Row],[EXISTENCIA]]</f>
        <v>1.92</v>
      </c>
      <c r="I1680" s="1">
        <f>IF(ISERROR(MATCH(Tabla_Items_Con_Existencia[[#This Row],[CODIGO]],Tabla_Items_Activos[CODIGO],0)),0,1)</f>
        <v>0</v>
      </c>
    </row>
    <row r="1681" spans="1:9">
      <c r="A1681" s="2" t="s">
        <v>6760</v>
      </c>
      <c r="B1681" s="2" t="s">
        <v>6662</v>
      </c>
      <c r="C1681" s="2" t="s">
        <v>4370</v>
      </c>
      <c r="D1681" s="2" t="s">
        <v>5158</v>
      </c>
      <c r="E1681" s="2" t="s">
        <v>5159</v>
      </c>
      <c r="F1681" s="2">
        <v>0.52800000000000002</v>
      </c>
      <c r="G1681" s="2">
        <v>17</v>
      </c>
      <c r="H1681" s="2">
        <f>Tabla_Items_Con_Existencia[[#This Row],[COSTO]]*Tabla_Items_Con_Existencia[[#This Row],[EXISTENCIA]]</f>
        <v>8.9760000000000009</v>
      </c>
      <c r="I1681" s="1">
        <f>IF(ISERROR(MATCH(Tabla_Items_Con_Existencia[[#This Row],[CODIGO]],Tabla_Items_Activos[CODIGO],0)),0,1)</f>
        <v>0</v>
      </c>
    </row>
    <row r="1682" spans="1:9">
      <c r="A1682" s="2" t="s">
        <v>6760</v>
      </c>
      <c r="B1682" s="2" t="s">
        <v>791</v>
      </c>
      <c r="C1682" s="2" t="s">
        <v>2329</v>
      </c>
      <c r="D1682" s="2" t="s">
        <v>5158</v>
      </c>
      <c r="E1682" s="2" t="s">
        <v>5159</v>
      </c>
      <c r="F1682" s="2">
        <v>0.29139999999999999</v>
      </c>
      <c r="G1682" s="2">
        <v>30</v>
      </c>
      <c r="H1682" s="2">
        <f>Tabla_Items_Con_Existencia[[#This Row],[COSTO]]*Tabla_Items_Con_Existencia[[#This Row],[EXISTENCIA]]</f>
        <v>8.7419999999999991</v>
      </c>
      <c r="I1682" s="1">
        <f>IF(ISERROR(MATCH(Tabla_Items_Con_Existencia[[#This Row],[CODIGO]],Tabla_Items_Activos[CODIGO],0)),0,1)</f>
        <v>0</v>
      </c>
    </row>
    <row r="1683" spans="1:9">
      <c r="A1683" s="2" t="s">
        <v>6760</v>
      </c>
      <c r="B1683" s="2" t="s">
        <v>792</v>
      </c>
      <c r="C1683" s="2" t="s">
        <v>2330</v>
      </c>
      <c r="D1683" s="2" t="s">
        <v>5158</v>
      </c>
      <c r="E1683" s="2" t="s">
        <v>5159</v>
      </c>
      <c r="F1683" s="2">
        <v>1.94131579</v>
      </c>
      <c r="G1683" s="2">
        <v>85</v>
      </c>
      <c r="H1683" s="2">
        <f>Tabla_Items_Con_Existencia[[#This Row],[COSTO]]*Tabla_Items_Con_Existencia[[#This Row],[EXISTENCIA]]</f>
        <v>165.01184215000001</v>
      </c>
      <c r="I1683" s="1">
        <f>IF(ISERROR(MATCH(Tabla_Items_Con_Existencia[[#This Row],[CODIGO]],Tabla_Items_Activos[CODIGO],0)),0,1)</f>
        <v>0</v>
      </c>
    </row>
    <row r="1684" spans="1:9">
      <c r="A1684" s="2" t="s">
        <v>6761</v>
      </c>
      <c r="B1684" s="2" t="s">
        <v>792</v>
      </c>
      <c r="C1684" s="2" t="s">
        <v>2330</v>
      </c>
      <c r="D1684" s="2" t="s">
        <v>5158</v>
      </c>
      <c r="E1684" s="2" t="s">
        <v>5159</v>
      </c>
      <c r="F1684" s="2">
        <v>1.94131579</v>
      </c>
      <c r="G1684" s="2">
        <v>85</v>
      </c>
      <c r="H1684" s="2">
        <f>Tabla_Items_Con_Existencia[[#This Row],[COSTO]]*Tabla_Items_Con_Existencia[[#This Row],[EXISTENCIA]]</f>
        <v>165.01184215000001</v>
      </c>
      <c r="I1684" s="1">
        <f>IF(ISERROR(MATCH(Tabla_Items_Con_Existencia[[#This Row],[CODIGO]],Tabla_Items_Activos[CODIGO],0)),0,1)</f>
        <v>0</v>
      </c>
    </row>
    <row r="1685" spans="1:9">
      <c r="A1685" s="2" t="s">
        <v>6761</v>
      </c>
      <c r="B1685" s="2" t="s">
        <v>2331</v>
      </c>
      <c r="C1685" s="2" t="s">
        <v>6663</v>
      </c>
      <c r="D1685" s="2" t="s">
        <v>5158</v>
      </c>
      <c r="E1685" s="2" t="s">
        <v>5159</v>
      </c>
      <c r="F1685" s="2">
        <v>0.32291578999999998</v>
      </c>
      <c r="G1685" s="2">
        <v>40</v>
      </c>
      <c r="H1685" s="2">
        <f>Tabla_Items_Con_Existencia[[#This Row],[COSTO]]*Tabla_Items_Con_Existencia[[#This Row],[EXISTENCIA]]</f>
        <v>12.916631599999999</v>
      </c>
      <c r="I1685" s="1">
        <f>IF(ISERROR(MATCH(Tabla_Items_Con_Existencia[[#This Row],[CODIGO]],Tabla_Items_Activos[CODIGO],0)),0,1)</f>
        <v>0</v>
      </c>
    </row>
    <row r="1686" spans="1:9">
      <c r="A1686" s="2" t="s">
        <v>6760</v>
      </c>
      <c r="B1686" s="2" t="s">
        <v>2331</v>
      </c>
      <c r="C1686" s="2" t="s">
        <v>6663</v>
      </c>
      <c r="D1686" s="2" t="s">
        <v>5158</v>
      </c>
      <c r="E1686" s="2" t="s">
        <v>5159</v>
      </c>
      <c r="F1686" s="2">
        <v>0.32291578999999998</v>
      </c>
      <c r="G1686" s="2">
        <v>40</v>
      </c>
      <c r="H1686" s="2">
        <f>Tabla_Items_Con_Existencia[[#This Row],[COSTO]]*Tabla_Items_Con_Existencia[[#This Row],[EXISTENCIA]]</f>
        <v>12.916631599999999</v>
      </c>
      <c r="I1686" s="1">
        <f>IF(ISERROR(MATCH(Tabla_Items_Con_Existencia[[#This Row],[CODIGO]],Tabla_Items_Activos[CODIGO],0)),0,1)</f>
        <v>0</v>
      </c>
    </row>
    <row r="1687" spans="1:9">
      <c r="A1687" s="2" t="s">
        <v>6760</v>
      </c>
      <c r="B1687" s="2" t="s">
        <v>793</v>
      </c>
      <c r="C1687" s="2" t="s">
        <v>6337</v>
      </c>
      <c r="D1687" s="2" t="s">
        <v>5158</v>
      </c>
      <c r="E1687" s="2" t="s">
        <v>5159</v>
      </c>
      <c r="F1687" s="2">
        <v>0.23699999999999999</v>
      </c>
      <c r="G1687" s="2">
        <v>15</v>
      </c>
      <c r="H1687" s="2">
        <f>Tabla_Items_Con_Existencia[[#This Row],[COSTO]]*Tabla_Items_Con_Existencia[[#This Row],[EXISTENCIA]]</f>
        <v>3.5549999999999997</v>
      </c>
      <c r="I1687" s="1">
        <f>IF(ISERROR(MATCH(Tabla_Items_Con_Existencia[[#This Row],[CODIGO]],Tabla_Items_Activos[CODIGO],0)),0,1)</f>
        <v>0</v>
      </c>
    </row>
    <row r="1688" spans="1:9">
      <c r="A1688" s="2" t="s">
        <v>6760</v>
      </c>
      <c r="B1688" s="2" t="s">
        <v>794</v>
      </c>
      <c r="C1688" s="2" t="s">
        <v>6338</v>
      </c>
      <c r="D1688" s="2" t="s">
        <v>5158</v>
      </c>
      <c r="E1688" s="2" t="s">
        <v>5159</v>
      </c>
      <c r="F1688" s="2">
        <v>0.2382</v>
      </c>
      <c r="G1688" s="2">
        <v>40</v>
      </c>
      <c r="H1688" s="2">
        <f>Tabla_Items_Con_Existencia[[#This Row],[COSTO]]*Tabla_Items_Con_Existencia[[#This Row],[EXISTENCIA]]</f>
        <v>9.5280000000000005</v>
      </c>
      <c r="I1688" s="1">
        <f>IF(ISERROR(MATCH(Tabla_Items_Con_Existencia[[#This Row],[CODIGO]],Tabla_Items_Activos[CODIGO],0)),0,1)</f>
        <v>0</v>
      </c>
    </row>
    <row r="1689" spans="1:9">
      <c r="A1689" s="2" t="s">
        <v>6760</v>
      </c>
      <c r="B1689" s="2" t="s">
        <v>795</v>
      </c>
      <c r="C1689" s="2" t="s">
        <v>5530</v>
      </c>
      <c r="D1689" s="2" t="s">
        <v>5161</v>
      </c>
      <c r="E1689" s="2" t="s">
        <v>5159</v>
      </c>
      <c r="F1689" s="2">
        <v>1.9</v>
      </c>
      <c r="G1689" s="2">
        <v>5</v>
      </c>
      <c r="H1689" s="2">
        <f>Tabla_Items_Con_Existencia[[#This Row],[COSTO]]*Tabla_Items_Con_Existencia[[#This Row],[EXISTENCIA]]</f>
        <v>9.5</v>
      </c>
      <c r="I1689" s="1">
        <f>IF(ISERROR(MATCH(Tabla_Items_Con_Existencia[[#This Row],[CODIGO]],Tabla_Items_Activos[CODIGO],0)),0,1)</f>
        <v>0</v>
      </c>
    </row>
    <row r="1690" spans="1:9">
      <c r="A1690" s="2" t="s">
        <v>6760</v>
      </c>
      <c r="B1690" s="2" t="s">
        <v>797</v>
      </c>
      <c r="C1690" s="2" t="s">
        <v>2335</v>
      </c>
      <c r="D1690" s="2" t="s">
        <v>5158</v>
      </c>
      <c r="E1690" s="2" t="s">
        <v>5159</v>
      </c>
      <c r="F1690" s="2">
        <v>3.3159999999999998</v>
      </c>
      <c r="G1690" s="2">
        <v>19</v>
      </c>
      <c r="H1690" s="2">
        <f>Tabla_Items_Con_Existencia[[#This Row],[COSTO]]*Tabla_Items_Con_Existencia[[#This Row],[EXISTENCIA]]</f>
        <v>63.003999999999998</v>
      </c>
      <c r="I1690" s="1">
        <f>IF(ISERROR(MATCH(Tabla_Items_Con_Existencia[[#This Row],[CODIGO]],Tabla_Items_Activos[CODIGO],0)),0,1)</f>
        <v>0</v>
      </c>
    </row>
    <row r="1691" spans="1:9">
      <c r="A1691" s="2" t="s">
        <v>6760</v>
      </c>
      <c r="B1691" s="2" t="s">
        <v>798</v>
      </c>
      <c r="C1691" s="2" t="s">
        <v>2336</v>
      </c>
      <c r="D1691" s="2" t="s">
        <v>5186</v>
      </c>
      <c r="E1691" s="2" t="s">
        <v>5159</v>
      </c>
      <c r="F1691" s="2">
        <v>2.95</v>
      </c>
      <c r="G1691" s="2">
        <v>2</v>
      </c>
      <c r="H1691" s="2">
        <f>Tabla_Items_Con_Existencia[[#This Row],[COSTO]]*Tabla_Items_Con_Existencia[[#This Row],[EXISTENCIA]]</f>
        <v>5.9</v>
      </c>
      <c r="I1691" s="1">
        <f>IF(ISERROR(MATCH(Tabla_Items_Con_Existencia[[#This Row],[CODIGO]],Tabla_Items_Activos[CODIGO],0)),0,1)</f>
        <v>0</v>
      </c>
    </row>
    <row r="1692" spans="1:9">
      <c r="A1692" s="2" t="s">
        <v>6760</v>
      </c>
      <c r="B1692" s="2" t="s">
        <v>799</v>
      </c>
      <c r="C1692" s="2" t="s">
        <v>2337</v>
      </c>
      <c r="D1692" s="2" t="s">
        <v>5186</v>
      </c>
      <c r="E1692" s="2" t="s">
        <v>5159</v>
      </c>
      <c r="F1692" s="2">
        <v>1.54</v>
      </c>
      <c r="G1692" s="2">
        <v>3</v>
      </c>
      <c r="H1692" s="2">
        <f>Tabla_Items_Con_Existencia[[#This Row],[COSTO]]*Tabla_Items_Con_Existencia[[#This Row],[EXISTENCIA]]</f>
        <v>4.62</v>
      </c>
      <c r="I1692" s="1">
        <f>IF(ISERROR(MATCH(Tabla_Items_Con_Existencia[[#This Row],[CODIGO]],Tabla_Items_Activos[CODIGO],0)),0,1)</f>
        <v>0</v>
      </c>
    </row>
    <row r="1693" spans="1:9">
      <c r="A1693" s="2" t="s">
        <v>6760</v>
      </c>
      <c r="B1693" s="2" t="s">
        <v>800</v>
      </c>
      <c r="C1693" s="2" t="s">
        <v>2338</v>
      </c>
      <c r="D1693" s="2" t="s">
        <v>5158</v>
      </c>
      <c r="E1693" s="2" t="s">
        <v>5159</v>
      </c>
      <c r="F1693" s="2">
        <v>3.0035789500000001</v>
      </c>
      <c r="G1693" s="2">
        <v>80</v>
      </c>
      <c r="H1693" s="2">
        <f>Tabla_Items_Con_Existencia[[#This Row],[COSTO]]*Tabla_Items_Con_Existencia[[#This Row],[EXISTENCIA]]</f>
        <v>240.286316</v>
      </c>
      <c r="I1693" s="1">
        <f>IF(ISERROR(MATCH(Tabla_Items_Con_Existencia[[#This Row],[CODIGO]],Tabla_Items_Activos[CODIGO],0)),0,1)</f>
        <v>0</v>
      </c>
    </row>
    <row r="1694" spans="1:9">
      <c r="A1694" s="2" t="s">
        <v>6761</v>
      </c>
      <c r="B1694" s="2" t="s">
        <v>800</v>
      </c>
      <c r="C1694" s="2" t="s">
        <v>2338</v>
      </c>
      <c r="D1694" s="2" t="s">
        <v>5158</v>
      </c>
      <c r="E1694" s="2" t="s">
        <v>5159</v>
      </c>
      <c r="F1694" s="2">
        <v>3.0035789500000001</v>
      </c>
      <c r="G1694" s="2">
        <v>80</v>
      </c>
      <c r="H1694" s="2">
        <f>Tabla_Items_Con_Existencia[[#This Row],[COSTO]]*Tabla_Items_Con_Existencia[[#This Row],[EXISTENCIA]]</f>
        <v>240.286316</v>
      </c>
      <c r="I1694" s="1">
        <f>IF(ISERROR(MATCH(Tabla_Items_Con_Existencia[[#This Row],[CODIGO]],Tabla_Items_Activos[CODIGO],0)),0,1)</f>
        <v>0</v>
      </c>
    </row>
    <row r="1695" spans="1:9">
      <c r="A1695" s="2" t="s">
        <v>6760</v>
      </c>
      <c r="B1695" s="2" t="s">
        <v>2339</v>
      </c>
      <c r="C1695" s="2" t="s">
        <v>7114</v>
      </c>
      <c r="D1695" s="2" t="s">
        <v>5158</v>
      </c>
      <c r="E1695" s="2" t="s">
        <v>5159</v>
      </c>
      <c r="F1695" s="2">
        <v>2.59812632</v>
      </c>
      <c r="G1695" s="2">
        <v>30</v>
      </c>
      <c r="H1695" s="2">
        <f>Tabla_Items_Con_Existencia[[#This Row],[COSTO]]*Tabla_Items_Con_Existencia[[#This Row],[EXISTENCIA]]</f>
        <v>77.943789600000002</v>
      </c>
      <c r="I1695" s="1">
        <f>IF(ISERROR(MATCH(Tabla_Items_Con_Existencia[[#This Row],[CODIGO]],Tabla_Items_Activos[CODIGO],0)),0,1)</f>
        <v>0</v>
      </c>
    </row>
    <row r="1696" spans="1:9">
      <c r="A1696" s="2" t="s">
        <v>6761</v>
      </c>
      <c r="B1696" s="2" t="s">
        <v>2339</v>
      </c>
      <c r="C1696" s="2" t="s">
        <v>7114</v>
      </c>
      <c r="D1696" s="2" t="s">
        <v>5158</v>
      </c>
      <c r="E1696" s="2" t="s">
        <v>5159</v>
      </c>
      <c r="F1696" s="2">
        <v>2.59812632</v>
      </c>
      <c r="G1696" s="2">
        <v>30</v>
      </c>
      <c r="H1696" s="2">
        <f>Tabla_Items_Con_Existencia[[#This Row],[COSTO]]*Tabla_Items_Con_Existencia[[#This Row],[EXISTENCIA]]</f>
        <v>77.943789600000002</v>
      </c>
      <c r="I1696" s="1">
        <f>IF(ISERROR(MATCH(Tabla_Items_Con_Existencia[[#This Row],[CODIGO]],Tabla_Items_Activos[CODIGO],0)),0,1)</f>
        <v>0</v>
      </c>
    </row>
    <row r="1697" spans="1:9">
      <c r="A1697" s="2" t="s">
        <v>6760</v>
      </c>
      <c r="B1697" s="2" t="s">
        <v>801</v>
      </c>
      <c r="C1697" s="2" t="s">
        <v>2341</v>
      </c>
      <c r="D1697" s="2" t="s">
        <v>5158</v>
      </c>
      <c r="E1697" s="2" t="s">
        <v>5159</v>
      </c>
      <c r="F1697" s="2">
        <v>2.6811578900000002</v>
      </c>
      <c r="G1697" s="2">
        <v>11</v>
      </c>
      <c r="H1697" s="2">
        <f>Tabla_Items_Con_Existencia[[#This Row],[COSTO]]*Tabla_Items_Con_Existencia[[#This Row],[EXISTENCIA]]</f>
        <v>29.492736790000002</v>
      </c>
      <c r="I1697" s="1">
        <f>IF(ISERROR(MATCH(Tabla_Items_Con_Existencia[[#This Row],[CODIGO]],Tabla_Items_Activos[CODIGO],0)),0,1)</f>
        <v>0</v>
      </c>
    </row>
    <row r="1698" spans="1:9">
      <c r="A1698" s="2" t="s">
        <v>6761</v>
      </c>
      <c r="B1698" s="2" t="s">
        <v>801</v>
      </c>
      <c r="C1698" s="2" t="s">
        <v>2341</v>
      </c>
      <c r="D1698" s="2" t="s">
        <v>5158</v>
      </c>
      <c r="E1698" s="2" t="s">
        <v>5159</v>
      </c>
      <c r="F1698" s="2">
        <v>2.6811578900000002</v>
      </c>
      <c r="G1698" s="2">
        <v>11</v>
      </c>
      <c r="H1698" s="2">
        <f>Tabla_Items_Con_Existencia[[#This Row],[COSTO]]*Tabla_Items_Con_Existencia[[#This Row],[EXISTENCIA]]</f>
        <v>29.492736790000002</v>
      </c>
      <c r="I1698" s="1">
        <f>IF(ISERROR(MATCH(Tabla_Items_Con_Existencia[[#This Row],[CODIGO]],Tabla_Items_Activos[CODIGO],0)),0,1)</f>
        <v>0</v>
      </c>
    </row>
    <row r="1699" spans="1:9">
      <c r="A1699" s="2" t="s">
        <v>6761</v>
      </c>
      <c r="B1699" s="2" t="s">
        <v>6664</v>
      </c>
      <c r="C1699" s="2" t="s">
        <v>6665</v>
      </c>
      <c r="D1699" s="2" t="s">
        <v>5186</v>
      </c>
      <c r="E1699" s="2" t="s">
        <v>5159</v>
      </c>
      <c r="F1699" s="2">
        <v>0.90786316</v>
      </c>
      <c r="G1699" s="2">
        <v>31</v>
      </c>
      <c r="H1699" s="2">
        <f>Tabla_Items_Con_Existencia[[#This Row],[COSTO]]*Tabla_Items_Con_Existencia[[#This Row],[EXISTENCIA]]</f>
        <v>28.143757959999999</v>
      </c>
      <c r="I1699" s="1">
        <f>IF(ISERROR(MATCH(Tabla_Items_Con_Existencia[[#This Row],[CODIGO]],Tabla_Items_Activos[CODIGO],0)),0,1)</f>
        <v>0</v>
      </c>
    </row>
    <row r="1700" spans="1:9">
      <c r="A1700" s="2" t="s">
        <v>6760</v>
      </c>
      <c r="B1700" s="2" t="s">
        <v>6664</v>
      </c>
      <c r="C1700" s="2" t="s">
        <v>6665</v>
      </c>
      <c r="D1700" s="2" t="s">
        <v>5186</v>
      </c>
      <c r="E1700" s="2" t="s">
        <v>5159</v>
      </c>
      <c r="F1700" s="2">
        <v>0.90786316</v>
      </c>
      <c r="G1700" s="2">
        <v>31</v>
      </c>
      <c r="H1700" s="2">
        <f>Tabla_Items_Con_Existencia[[#This Row],[COSTO]]*Tabla_Items_Con_Existencia[[#This Row],[EXISTENCIA]]</f>
        <v>28.143757959999999</v>
      </c>
      <c r="I1700" s="1">
        <f>IF(ISERROR(MATCH(Tabla_Items_Con_Existencia[[#This Row],[CODIGO]],Tabla_Items_Activos[CODIGO],0)),0,1)</f>
        <v>0</v>
      </c>
    </row>
    <row r="1701" spans="1:9">
      <c r="A1701" s="2" t="s">
        <v>6760</v>
      </c>
      <c r="B1701" s="2" t="s">
        <v>2342</v>
      </c>
      <c r="C1701" s="2" t="s">
        <v>2343</v>
      </c>
      <c r="D1701" s="2" t="s">
        <v>5186</v>
      </c>
      <c r="E1701" s="2" t="s">
        <v>5159</v>
      </c>
      <c r="F1701" s="2">
        <v>0.77973683999999999</v>
      </c>
      <c r="G1701" s="2">
        <v>14</v>
      </c>
      <c r="H1701" s="2">
        <f>Tabla_Items_Con_Existencia[[#This Row],[COSTO]]*Tabla_Items_Con_Existencia[[#This Row],[EXISTENCIA]]</f>
        <v>10.91631576</v>
      </c>
      <c r="I1701" s="1">
        <f>IF(ISERROR(MATCH(Tabla_Items_Con_Existencia[[#This Row],[CODIGO]],Tabla_Items_Activos[CODIGO],0)),0,1)</f>
        <v>0</v>
      </c>
    </row>
    <row r="1702" spans="1:9">
      <c r="A1702" s="2" t="s">
        <v>6761</v>
      </c>
      <c r="B1702" s="2" t="s">
        <v>2342</v>
      </c>
      <c r="C1702" s="2" t="s">
        <v>2343</v>
      </c>
      <c r="D1702" s="2" t="s">
        <v>5186</v>
      </c>
      <c r="E1702" s="2" t="s">
        <v>5159</v>
      </c>
      <c r="F1702" s="2">
        <v>0.77973683999999999</v>
      </c>
      <c r="G1702" s="2">
        <v>14</v>
      </c>
      <c r="H1702" s="2">
        <f>Tabla_Items_Con_Existencia[[#This Row],[COSTO]]*Tabla_Items_Con_Existencia[[#This Row],[EXISTENCIA]]</f>
        <v>10.91631576</v>
      </c>
      <c r="I1702" s="1">
        <f>IF(ISERROR(MATCH(Tabla_Items_Con_Existencia[[#This Row],[CODIGO]],Tabla_Items_Activos[CODIGO],0)),0,1)</f>
        <v>0</v>
      </c>
    </row>
    <row r="1703" spans="1:9">
      <c r="A1703" s="2" t="s">
        <v>6760</v>
      </c>
      <c r="B1703" s="2" t="s">
        <v>802</v>
      </c>
      <c r="C1703" s="2" t="s">
        <v>5534</v>
      </c>
      <c r="D1703" s="2" t="s">
        <v>5158</v>
      </c>
      <c r="E1703" s="2" t="s">
        <v>5159</v>
      </c>
      <c r="F1703" s="2">
        <v>0</v>
      </c>
      <c r="G1703" s="2">
        <v>4</v>
      </c>
      <c r="H1703" s="2">
        <f>Tabla_Items_Con_Existencia[[#This Row],[COSTO]]*Tabla_Items_Con_Existencia[[#This Row],[EXISTENCIA]]</f>
        <v>0</v>
      </c>
      <c r="I1703" s="1">
        <f>IF(ISERROR(MATCH(Tabla_Items_Con_Existencia[[#This Row],[CODIGO]],Tabla_Items_Activos[CODIGO],0)),0,1)</f>
        <v>0</v>
      </c>
    </row>
    <row r="1704" spans="1:9">
      <c r="A1704" s="2" t="s">
        <v>6760</v>
      </c>
      <c r="B1704" s="2" t="s">
        <v>2344</v>
      </c>
      <c r="C1704" s="2" t="s">
        <v>2345</v>
      </c>
      <c r="D1704" s="2" t="s">
        <v>5158</v>
      </c>
      <c r="E1704" s="2" t="s">
        <v>5159</v>
      </c>
      <c r="F1704" s="2">
        <v>0.755</v>
      </c>
      <c r="G1704" s="2">
        <v>2</v>
      </c>
      <c r="H1704" s="2">
        <f>Tabla_Items_Con_Existencia[[#This Row],[COSTO]]*Tabla_Items_Con_Existencia[[#This Row],[EXISTENCIA]]</f>
        <v>1.51</v>
      </c>
      <c r="I1704" s="1">
        <f>IF(ISERROR(MATCH(Tabla_Items_Con_Existencia[[#This Row],[CODIGO]],Tabla_Items_Activos[CODIGO],0)),0,1)</f>
        <v>0</v>
      </c>
    </row>
    <row r="1705" spans="1:9">
      <c r="A1705" s="2" t="s">
        <v>6760</v>
      </c>
      <c r="B1705" s="2" t="s">
        <v>2346</v>
      </c>
      <c r="C1705" s="2" t="s">
        <v>2347</v>
      </c>
      <c r="D1705" s="2" t="s">
        <v>5186</v>
      </c>
      <c r="E1705" s="2" t="s">
        <v>5159</v>
      </c>
      <c r="F1705" s="2">
        <v>1.65</v>
      </c>
      <c r="G1705" s="2">
        <v>6</v>
      </c>
      <c r="H1705" s="2">
        <f>Tabla_Items_Con_Existencia[[#This Row],[COSTO]]*Tabla_Items_Con_Existencia[[#This Row],[EXISTENCIA]]</f>
        <v>9.8999999999999986</v>
      </c>
      <c r="I1705" s="1">
        <f>IF(ISERROR(MATCH(Tabla_Items_Con_Existencia[[#This Row],[CODIGO]],Tabla_Items_Activos[CODIGO],0)),0,1)</f>
        <v>0</v>
      </c>
    </row>
    <row r="1706" spans="1:9">
      <c r="A1706" s="2" t="s">
        <v>6760</v>
      </c>
      <c r="B1706" s="2" t="s">
        <v>6666</v>
      </c>
      <c r="C1706" s="2" t="s">
        <v>6667</v>
      </c>
      <c r="D1706" s="2" t="s">
        <v>5158</v>
      </c>
      <c r="E1706" s="2" t="s">
        <v>5159</v>
      </c>
      <c r="F1706" s="2">
        <v>0.20599999999999999</v>
      </c>
      <c r="G1706" s="2">
        <v>30</v>
      </c>
      <c r="H1706" s="2">
        <f>Tabla_Items_Con_Existencia[[#This Row],[COSTO]]*Tabla_Items_Con_Existencia[[#This Row],[EXISTENCIA]]</f>
        <v>6.18</v>
      </c>
      <c r="I1706" s="1">
        <f>IF(ISERROR(MATCH(Tabla_Items_Con_Existencia[[#This Row],[CODIGO]],Tabla_Items_Activos[CODIGO],0)),0,1)</f>
        <v>0</v>
      </c>
    </row>
    <row r="1707" spans="1:9">
      <c r="A1707" s="2" t="s">
        <v>6760</v>
      </c>
      <c r="B1707" s="2" t="s">
        <v>2348</v>
      </c>
      <c r="C1707" s="2" t="s">
        <v>2349</v>
      </c>
      <c r="D1707" s="2" t="s">
        <v>5186</v>
      </c>
      <c r="E1707" s="2" t="s">
        <v>5159</v>
      </c>
      <c r="F1707" s="2">
        <v>0</v>
      </c>
      <c r="G1707" s="2">
        <v>12</v>
      </c>
      <c r="H1707" s="2">
        <f>Tabla_Items_Con_Existencia[[#This Row],[COSTO]]*Tabla_Items_Con_Existencia[[#This Row],[EXISTENCIA]]</f>
        <v>0</v>
      </c>
      <c r="I1707" s="1">
        <f>IF(ISERROR(MATCH(Tabla_Items_Con_Existencia[[#This Row],[CODIGO]],Tabla_Items_Activos[CODIGO],0)),0,1)</f>
        <v>0</v>
      </c>
    </row>
    <row r="1708" spans="1:9">
      <c r="A1708" s="2" t="s">
        <v>6760</v>
      </c>
      <c r="B1708" s="2" t="s">
        <v>803</v>
      </c>
      <c r="C1708" s="2" t="s">
        <v>2350</v>
      </c>
      <c r="D1708" s="2" t="s">
        <v>5186</v>
      </c>
      <c r="E1708" s="2" t="s">
        <v>5159</v>
      </c>
      <c r="F1708" s="2">
        <v>0.92578947</v>
      </c>
      <c r="G1708" s="2">
        <v>6</v>
      </c>
      <c r="H1708" s="2">
        <f>Tabla_Items_Con_Existencia[[#This Row],[COSTO]]*Tabla_Items_Con_Existencia[[#This Row],[EXISTENCIA]]</f>
        <v>5.5547368200000005</v>
      </c>
      <c r="I1708" s="1">
        <f>IF(ISERROR(MATCH(Tabla_Items_Con_Existencia[[#This Row],[CODIGO]],Tabla_Items_Activos[CODIGO],0)),0,1)</f>
        <v>0</v>
      </c>
    </row>
    <row r="1709" spans="1:9">
      <c r="A1709" s="2" t="s">
        <v>6761</v>
      </c>
      <c r="B1709" s="2" t="s">
        <v>803</v>
      </c>
      <c r="C1709" s="2" t="s">
        <v>2350</v>
      </c>
      <c r="D1709" s="2" t="s">
        <v>5186</v>
      </c>
      <c r="E1709" s="2" t="s">
        <v>5159</v>
      </c>
      <c r="F1709" s="2">
        <v>0.92578947</v>
      </c>
      <c r="G1709" s="2">
        <v>6</v>
      </c>
      <c r="H1709" s="2">
        <f>Tabla_Items_Con_Existencia[[#This Row],[COSTO]]*Tabla_Items_Con_Existencia[[#This Row],[EXISTENCIA]]</f>
        <v>5.5547368200000005</v>
      </c>
      <c r="I1709" s="1">
        <f>IF(ISERROR(MATCH(Tabla_Items_Con_Existencia[[#This Row],[CODIGO]],Tabla_Items_Activos[CODIGO],0)),0,1)</f>
        <v>0</v>
      </c>
    </row>
    <row r="1710" spans="1:9">
      <c r="A1710" s="2" t="s">
        <v>6760</v>
      </c>
      <c r="B1710" s="2" t="s">
        <v>804</v>
      </c>
      <c r="C1710" s="2" t="s">
        <v>2351</v>
      </c>
      <c r="D1710" s="2" t="s">
        <v>5158</v>
      </c>
      <c r="E1710" s="2" t="s">
        <v>5159</v>
      </c>
      <c r="F1710" s="2">
        <v>0.66439999999999999</v>
      </c>
      <c r="G1710" s="2">
        <v>23</v>
      </c>
      <c r="H1710" s="2">
        <f>Tabla_Items_Con_Existencia[[#This Row],[COSTO]]*Tabla_Items_Con_Existencia[[#This Row],[EXISTENCIA]]</f>
        <v>15.2812</v>
      </c>
      <c r="I1710" s="1">
        <f>IF(ISERROR(MATCH(Tabla_Items_Con_Existencia[[#This Row],[CODIGO]],Tabla_Items_Activos[CODIGO],0)),0,1)</f>
        <v>0</v>
      </c>
    </row>
    <row r="1711" spans="1:9">
      <c r="A1711" s="2" t="s">
        <v>6761</v>
      </c>
      <c r="B1711" s="2" t="s">
        <v>805</v>
      </c>
      <c r="C1711" s="2" t="s">
        <v>2352</v>
      </c>
      <c r="D1711" s="2" t="s">
        <v>5158</v>
      </c>
      <c r="E1711" s="2" t="s">
        <v>5159</v>
      </c>
      <c r="F1711" s="2">
        <v>1.16075263</v>
      </c>
      <c r="G1711" s="2">
        <v>242</v>
      </c>
      <c r="H1711" s="2">
        <f>Tabla_Items_Con_Existencia[[#This Row],[COSTO]]*Tabla_Items_Con_Existencia[[#This Row],[EXISTENCIA]]</f>
        <v>280.90213646000001</v>
      </c>
      <c r="I1711" s="1">
        <f>IF(ISERROR(MATCH(Tabla_Items_Con_Existencia[[#This Row],[CODIGO]],Tabla_Items_Activos[CODIGO],0)),0,1)</f>
        <v>0</v>
      </c>
    </row>
    <row r="1712" spans="1:9">
      <c r="A1712" s="2" t="s">
        <v>6760</v>
      </c>
      <c r="B1712" s="2" t="s">
        <v>805</v>
      </c>
      <c r="C1712" s="2" t="s">
        <v>2352</v>
      </c>
      <c r="D1712" s="2" t="s">
        <v>5158</v>
      </c>
      <c r="E1712" s="2" t="s">
        <v>5159</v>
      </c>
      <c r="F1712" s="2">
        <v>1.16075263</v>
      </c>
      <c r="G1712" s="2">
        <v>242</v>
      </c>
      <c r="H1712" s="2">
        <f>Tabla_Items_Con_Existencia[[#This Row],[COSTO]]*Tabla_Items_Con_Existencia[[#This Row],[EXISTENCIA]]</f>
        <v>280.90213646000001</v>
      </c>
      <c r="I1712" s="1">
        <f>IF(ISERROR(MATCH(Tabla_Items_Con_Existencia[[#This Row],[CODIGO]],Tabla_Items_Activos[CODIGO],0)),0,1)</f>
        <v>0</v>
      </c>
    </row>
    <row r="1713" spans="1:9">
      <c r="A1713" s="2" t="s">
        <v>6760</v>
      </c>
      <c r="B1713" s="2" t="s">
        <v>806</v>
      </c>
      <c r="C1713" s="2" t="s">
        <v>6668</v>
      </c>
      <c r="D1713" s="2" t="s">
        <v>5158</v>
      </c>
      <c r="E1713" s="2" t="s">
        <v>5159</v>
      </c>
      <c r="F1713" s="2">
        <v>0.79170525999999997</v>
      </c>
      <c r="G1713" s="2">
        <v>95</v>
      </c>
      <c r="H1713" s="2">
        <f>Tabla_Items_Con_Existencia[[#This Row],[COSTO]]*Tabla_Items_Con_Existencia[[#This Row],[EXISTENCIA]]</f>
        <v>75.211999699999993</v>
      </c>
      <c r="I1713" s="1">
        <f>IF(ISERROR(MATCH(Tabla_Items_Con_Existencia[[#This Row],[CODIGO]],Tabla_Items_Activos[CODIGO],0)),0,1)</f>
        <v>0</v>
      </c>
    </row>
    <row r="1714" spans="1:9">
      <c r="A1714" s="2" t="s">
        <v>6761</v>
      </c>
      <c r="B1714" s="2" t="s">
        <v>806</v>
      </c>
      <c r="C1714" s="2" t="s">
        <v>6668</v>
      </c>
      <c r="D1714" s="2" t="s">
        <v>5158</v>
      </c>
      <c r="E1714" s="2" t="s">
        <v>5159</v>
      </c>
      <c r="F1714" s="2">
        <v>0.79170525999999997</v>
      </c>
      <c r="G1714" s="2">
        <v>95</v>
      </c>
      <c r="H1714" s="2">
        <f>Tabla_Items_Con_Existencia[[#This Row],[COSTO]]*Tabla_Items_Con_Existencia[[#This Row],[EXISTENCIA]]</f>
        <v>75.211999699999993</v>
      </c>
      <c r="I1714" s="1">
        <f>IF(ISERROR(MATCH(Tabla_Items_Con_Existencia[[#This Row],[CODIGO]],Tabla_Items_Activos[CODIGO],0)),0,1)</f>
        <v>0</v>
      </c>
    </row>
    <row r="1715" spans="1:9">
      <c r="A1715" s="2" t="s">
        <v>6760</v>
      </c>
      <c r="B1715" s="2" t="s">
        <v>2354</v>
      </c>
      <c r="C1715" s="2" t="s">
        <v>2355</v>
      </c>
      <c r="D1715" s="2" t="s">
        <v>5158</v>
      </c>
      <c r="E1715" s="2" t="s">
        <v>5159</v>
      </c>
      <c r="F1715" s="2">
        <v>0.39421053</v>
      </c>
      <c r="G1715" s="2">
        <v>175</v>
      </c>
      <c r="H1715" s="2">
        <f>Tabla_Items_Con_Existencia[[#This Row],[COSTO]]*Tabla_Items_Con_Existencia[[#This Row],[EXISTENCIA]]</f>
        <v>68.986842749999994</v>
      </c>
      <c r="I1715" s="1">
        <f>IF(ISERROR(MATCH(Tabla_Items_Con_Existencia[[#This Row],[CODIGO]],Tabla_Items_Activos[CODIGO],0)),0,1)</f>
        <v>0</v>
      </c>
    </row>
    <row r="1716" spans="1:9">
      <c r="A1716" s="2" t="s">
        <v>6761</v>
      </c>
      <c r="B1716" s="2" t="s">
        <v>2354</v>
      </c>
      <c r="C1716" s="2" t="s">
        <v>2355</v>
      </c>
      <c r="D1716" s="2" t="s">
        <v>5158</v>
      </c>
      <c r="E1716" s="2" t="s">
        <v>5159</v>
      </c>
      <c r="F1716" s="2">
        <v>0.39421053</v>
      </c>
      <c r="G1716" s="2">
        <v>175</v>
      </c>
      <c r="H1716" s="2">
        <f>Tabla_Items_Con_Existencia[[#This Row],[COSTO]]*Tabla_Items_Con_Existencia[[#This Row],[EXISTENCIA]]</f>
        <v>68.986842749999994</v>
      </c>
      <c r="I1716" s="1">
        <f>IF(ISERROR(MATCH(Tabla_Items_Con_Existencia[[#This Row],[CODIGO]],Tabla_Items_Activos[CODIGO],0)),0,1)</f>
        <v>0</v>
      </c>
    </row>
    <row r="1717" spans="1:9">
      <c r="A1717" s="2" t="s">
        <v>6761</v>
      </c>
      <c r="B1717" s="2" t="s">
        <v>807</v>
      </c>
      <c r="C1717" s="2" t="s">
        <v>2356</v>
      </c>
      <c r="D1717" s="2" t="s">
        <v>5158</v>
      </c>
      <c r="E1717" s="2" t="s">
        <v>5159</v>
      </c>
      <c r="F1717" s="2">
        <v>1.49075789</v>
      </c>
      <c r="G1717" s="2">
        <v>97</v>
      </c>
      <c r="H1717" s="2">
        <f>Tabla_Items_Con_Existencia[[#This Row],[COSTO]]*Tabla_Items_Con_Existencia[[#This Row],[EXISTENCIA]]</f>
        <v>144.60351532999999</v>
      </c>
      <c r="I1717" s="1">
        <f>IF(ISERROR(MATCH(Tabla_Items_Con_Existencia[[#This Row],[CODIGO]],Tabla_Items_Activos[CODIGO],0)),0,1)</f>
        <v>0</v>
      </c>
    </row>
    <row r="1718" spans="1:9">
      <c r="A1718" s="2" t="s">
        <v>6760</v>
      </c>
      <c r="B1718" s="2" t="s">
        <v>807</v>
      </c>
      <c r="C1718" s="2" t="s">
        <v>2356</v>
      </c>
      <c r="D1718" s="2" t="s">
        <v>5158</v>
      </c>
      <c r="E1718" s="2" t="s">
        <v>5159</v>
      </c>
      <c r="F1718" s="2">
        <v>1.49075789</v>
      </c>
      <c r="G1718" s="2">
        <v>97</v>
      </c>
      <c r="H1718" s="2">
        <f>Tabla_Items_Con_Existencia[[#This Row],[COSTO]]*Tabla_Items_Con_Existencia[[#This Row],[EXISTENCIA]]</f>
        <v>144.60351532999999</v>
      </c>
      <c r="I1718" s="1">
        <f>IF(ISERROR(MATCH(Tabla_Items_Con_Existencia[[#This Row],[CODIGO]],Tabla_Items_Activos[CODIGO],0)),0,1)</f>
        <v>0</v>
      </c>
    </row>
    <row r="1719" spans="1:9">
      <c r="A1719" s="2" t="s">
        <v>6760</v>
      </c>
      <c r="B1719" s="2" t="s">
        <v>6973</v>
      </c>
      <c r="C1719" s="2" t="s">
        <v>6974</v>
      </c>
      <c r="D1719" s="2" t="s">
        <v>5186</v>
      </c>
      <c r="E1719" s="2" t="s">
        <v>5159</v>
      </c>
      <c r="F1719" s="2">
        <v>0.51349473999999995</v>
      </c>
      <c r="G1719" s="2">
        <v>12</v>
      </c>
      <c r="H1719" s="2">
        <f>Tabla_Items_Con_Existencia[[#This Row],[COSTO]]*Tabla_Items_Con_Existencia[[#This Row],[EXISTENCIA]]</f>
        <v>6.161936879999999</v>
      </c>
      <c r="I1719" s="1">
        <f>IF(ISERROR(MATCH(Tabla_Items_Con_Existencia[[#This Row],[CODIGO]],Tabla_Items_Activos[CODIGO],0)),0,1)</f>
        <v>0</v>
      </c>
    </row>
    <row r="1720" spans="1:9">
      <c r="A1720" s="2" t="s">
        <v>6761</v>
      </c>
      <c r="B1720" s="2" t="s">
        <v>6973</v>
      </c>
      <c r="C1720" s="2" t="s">
        <v>6974</v>
      </c>
      <c r="D1720" s="2" t="s">
        <v>5186</v>
      </c>
      <c r="E1720" s="2" t="s">
        <v>5159</v>
      </c>
      <c r="F1720" s="2">
        <v>0.51349473999999995</v>
      </c>
      <c r="G1720" s="2">
        <v>12</v>
      </c>
      <c r="H1720" s="2">
        <f>Tabla_Items_Con_Existencia[[#This Row],[COSTO]]*Tabla_Items_Con_Existencia[[#This Row],[EXISTENCIA]]</f>
        <v>6.161936879999999</v>
      </c>
      <c r="I1720" s="1">
        <f>IF(ISERROR(MATCH(Tabla_Items_Con_Existencia[[#This Row],[CODIGO]],Tabla_Items_Activos[CODIGO],0)),0,1)</f>
        <v>0</v>
      </c>
    </row>
    <row r="1721" spans="1:9">
      <c r="A1721" s="2" t="s">
        <v>6760</v>
      </c>
      <c r="B1721" s="2" t="s">
        <v>6669</v>
      </c>
      <c r="C1721" s="2" t="s">
        <v>4837</v>
      </c>
      <c r="D1721" s="2" t="s">
        <v>5186</v>
      </c>
      <c r="E1721" s="2" t="s">
        <v>5159</v>
      </c>
      <c r="F1721" s="2">
        <v>1.1519999999999999</v>
      </c>
      <c r="G1721" s="2">
        <v>18</v>
      </c>
      <c r="H1721" s="2">
        <f>Tabla_Items_Con_Existencia[[#This Row],[COSTO]]*Tabla_Items_Con_Existencia[[#This Row],[EXISTENCIA]]</f>
        <v>20.735999999999997</v>
      </c>
      <c r="I1721" s="1">
        <f>IF(ISERROR(MATCH(Tabla_Items_Con_Existencia[[#This Row],[CODIGO]],Tabla_Items_Activos[CODIGO],0)),0,1)</f>
        <v>0</v>
      </c>
    </row>
    <row r="1722" spans="1:9">
      <c r="A1722" s="2" t="s">
        <v>6761</v>
      </c>
      <c r="B1722" s="2" t="s">
        <v>808</v>
      </c>
      <c r="C1722" s="2" t="s">
        <v>2359</v>
      </c>
      <c r="D1722" s="2" t="s">
        <v>5186</v>
      </c>
      <c r="E1722" s="2" t="s">
        <v>5159</v>
      </c>
      <c r="F1722" s="2">
        <v>1.2011421099999999</v>
      </c>
      <c r="G1722" s="2">
        <v>26</v>
      </c>
      <c r="H1722" s="2">
        <f>Tabla_Items_Con_Existencia[[#This Row],[COSTO]]*Tabla_Items_Con_Existencia[[#This Row],[EXISTENCIA]]</f>
        <v>31.229694859999999</v>
      </c>
      <c r="I1722" s="1">
        <f>IF(ISERROR(MATCH(Tabla_Items_Con_Existencia[[#This Row],[CODIGO]],Tabla_Items_Activos[CODIGO],0)),0,1)</f>
        <v>0</v>
      </c>
    </row>
    <row r="1723" spans="1:9">
      <c r="A1723" s="2" t="s">
        <v>6760</v>
      </c>
      <c r="B1723" s="2" t="s">
        <v>808</v>
      </c>
      <c r="C1723" s="2" t="s">
        <v>2359</v>
      </c>
      <c r="D1723" s="2" t="s">
        <v>5186</v>
      </c>
      <c r="E1723" s="2" t="s">
        <v>5159</v>
      </c>
      <c r="F1723" s="2">
        <v>1.2011421099999999</v>
      </c>
      <c r="G1723" s="2">
        <v>26</v>
      </c>
      <c r="H1723" s="2">
        <f>Tabla_Items_Con_Existencia[[#This Row],[COSTO]]*Tabla_Items_Con_Existencia[[#This Row],[EXISTENCIA]]</f>
        <v>31.229694859999999</v>
      </c>
      <c r="I1723" s="1">
        <f>IF(ISERROR(MATCH(Tabla_Items_Con_Existencia[[#This Row],[CODIGO]],Tabla_Items_Activos[CODIGO],0)),0,1)</f>
        <v>0</v>
      </c>
    </row>
    <row r="1724" spans="1:9">
      <c r="A1724" s="2" t="s">
        <v>6760</v>
      </c>
      <c r="B1724" s="2" t="s">
        <v>2360</v>
      </c>
      <c r="C1724" s="2" t="s">
        <v>2361</v>
      </c>
      <c r="D1724" s="2" t="s">
        <v>5186</v>
      </c>
      <c r="E1724" s="2" t="s">
        <v>5159</v>
      </c>
      <c r="F1724" s="2">
        <v>0.72274737</v>
      </c>
      <c r="G1724" s="2">
        <v>23</v>
      </c>
      <c r="H1724" s="2">
        <f>Tabla_Items_Con_Existencia[[#This Row],[COSTO]]*Tabla_Items_Con_Existencia[[#This Row],[EXISTENCIA]]</f>
        <v>16.62318951</v>
      </c>
      <c r="I1724" s="1">
        <f>IF(ISERROR(MATCH(Tabla_Items_Con_Existencia[[#This Row],[CODIGO]],Tabla_Items_Activos[CODIGO],0)),0,1)</f>
        <v>0</v>
      </c>
    </row>
    <row r="1725" spans="1:9">
      <c r="A1725" s="2" t="s">
        <v>6761</v>
      </c>
      <c r="B1725" s="2" t="s">
        <v>2360</v>
      </c>
      <c r="C1725" s="2" t="s">
        <v>2361</v>
      </c>
      <c r="D1725" s="2" t="s">
        <v>5186</v>
      </c>
      <c r="E1725" s="2" t="s">
        <v>5159</v>
      </c>
      <c r="F1725" s="2">
        <v>0.72274737</v>
      </c>
      <c r="G1725" s="2">
        <v>23</v>
      </c>
      <c r="H1725" s="2">
        <f>Tabla_Items_Con_Existencia[[#This Row],[COSTO]]*Tabla_Items_Con_Existencia[[#This Row],[EXISTENCIA]]</f>
        <v>16.62318951</v>
      </c>
      <c r="I1725" s="1">
        <f>IF(ISERROR(MATCH(Tabla_Items_Con_Existencia[[#This Row],[CODIGO]],Tabla_Items_Activos[CODIGO],0)),0,1)</f>
        <v>0</v>
      </c>
    </row>
    <row r="1726" spans="1:9">
      <c r="A1726" s="2" t="s">
        <v>6760</v>
      </c>
      <c r="B1726" s="2" t="s">
        <v>2362</v>
      </c>
      <c r="C1726" s="2" t="s">
        <v>2363</v>
      </c>
      <c r="D1726" s="2" t="s">
        <v>5186</v>
      </c>
      <c r="E1726" s="2" t="s">
        <v>5159</v>
      </c>
      <c r="F1726" s="2">
        <v>0.95606316000000002</v>
      </c>
      <c r="G1726" s="2">
        <v>5</v>
      </c>
      <c r="H1726" s="2">
        <f>Tabla_Items_Con_Existencia[[#This Row],[COSTO]]*Tabla_Items_Con_Existencia[[#This Row],[EXISTENCIA]]</f>
        <v>4.7803158000000003</v>
      </c>
      <c r="I1726" s="1">
        <f>IF(ISERROR(MATCH(Tabla_Items_Con_Existencia[[#This Row],[CODIGO]],Tabla_Items_Activos[CODIGO],0)),0,1)</f>
        <v>0</v>
      </c>
    </row>
    <row r="1727" spans="1:9">
      <c r="A1727" s="2" t="s">
        <v>6761</v>
      </c>
      <c r="B1727" s="2" t="s">
        <v>2362</v>
      </c>
      <c r="C1727" s="2" t="s">
        <v>2363</v>
      </c>
      <c r="D1727" s="2" t="s">
        <v>5186</v>
      </c>
      <c r="E1727" s="2" t="s">
        <v>5159</v>
      </c>
      <c r="F1727" s="2">
        <v>0.95606316000000002</v>
      </c>
      <c r="G1727" s="2">
        <v>5</v>
      </c>
      <c r="H1727" s="2">
        <f>Tabla_Items_Con_Existencia[[#This Row],[COSTO]]*Tabla_Items_Con_Existencia[[#This Row],[EXISTENCIA]]</f>
        <v>4.7803158000000003</v>
      </c>
      <c r="I1727" s="1">
        <f>IF(ISERROR(MATCH(Tabla_Items_Con_Existencia[[#This Row],[CODIGO]],Tabla_Items_Activos[CODIGO],0)),0,1)</f>
        <v>0</v>
      </c>
    </row>
    <row r="1728" spans="1:9">
      <c r="A1728" s="2" t="s">
        <v>6760</v>
      </c>
      <c r="B1728" s="2" t="s">
        <v>6758</v>
      </c>
      <c r="C1728" s="2" t="s">
        <v>4538</v>
      </c>
      <c r="D1728" s="2" t="s">
        <v>5186</v>
      </c>
      <c r="E1728" s="2" t="s">
        <v>5159</v>
      </c>
      <c r="F1728" s="2">
        <v>1.5129999999999999</v>
      </c>
      <c r="G1728" s="2">
        <v>10</v>
      </c>
      <c r="H1728" s="2">
        <f>Tabla_Items_Con_Existencia[[#This Row],[COSTO]]*Tabla_Items_Con_Existencia[[#This Row],[EXISTENCIA]]</f>
        <v>15.129999999999999</v>
      </c>
      <c r="I1728" s="1">
        <f>IF(ISERROR(MATCH(Tabla_Items_Con_Existencia[[#This Row],[CODIGO]],Tabla_Items_Activos[CODIGO],0)),0,1)</f>
        <v>0</v>
      </c>
    </row>
    <row r="1729" spans="1:9">
      <c r="A1729" s="2" t="s">
        <v>6760</v>
      </c>
      <c r="B1729" s="2" t="s">
        <v>809</v>
      </c>
      <c r="C1729" s="2" t="s">
        <v>2364</v>
      </c>
      <c r="D1729" s="2" t="s">
        <v>5186</v>
      </c>
      <c r="E1729" s="2" t="s">
        <v>5159</v>
      </c>
      <c r="F1729" s="2">
        <v>0.35313684000000001</v>
      </c>
      <c r="G1729" s="2">
        <v>37</v>
      </c>
      <c r="H1729" s="2">
        <f>Tabla_Items_Con_Existencia[[#This Row],[COSTO]]*Tabla_Items_Con_Existencia[[#This Row],[EXISTENCIA]]</f>
        <v>13.066063080000001</v>
      </c>
      <c r="I1729" s="1">
        <f>IF(ISERROR(MATCH(Tabla_Items_Con_Existencia[[#This Row],[CODIGO]],Tabla_Items_Activos[CODIGO],0)),0,1)</f>
        <v>0</v>
      </c>
    </row>
    <row r="1730" spans="1:9">
      <c r="A1730" s="2" t="s">
        <v>6761</v>
      </c>
      <c r="B1730" s="2" t="s">
        <v>809</v>
      </c>
      <c r="C1730" s="2" t="s">
        <v>2364</v>
      </c>
      <c r="D1730" s="2" t="s">
        <v>5186</v>
      </c>
      <c r="E1730" s="2" t="s">
        <v>5159</v>
      </c>
      <c r="F1730" s="2">
        <v>0.35313684000000001</v>
      </c>
      <c r="G1730" s="2">
        <v>37</v>
      </c>
      <c r="H1730" s="2">
        <f>Tabla_Items_Con_Existencia[[#This Row],[COSTO]]*Tabla_Items_Con_Existencia[[#This Row],[EXISTENCIA]]</f>
        <v>13.066063080000001</v>
      </c>
      <c r="I1730" s="1">
        <f>IF(ISERROR(MATCH(Tabla_Items_Con_Existencia[[#This Row],[CODIGO]],Tabla_Items_Activos[CODIGO],0)),0,1)</f>
        <v>0</v>
      </c>
    </row>
    <row r="1731" spans="1:9">
      <c r="A1731" s="2" t="s">
        <v>6760</v>
      </c>
      <c r="B1731" s="2" t="s">
        <v>6670</v>
      </c>
      <c r="C1731" s="2" t="s">
        <v>4675</v>
      </c>
      <c r="D1731" s="2" t="s">
        <v>5186</v>
      </c>
      <c r="E1731" s="2" t="s">
        <v>5159</v>
      </c>
      <c r="F1731" s="2">
        <v>2.82147368</v>
      </c>
      <c r="G1731" s="2">
        <v>19</v>
      </c>
      <c r="H1731" s="2">
        <f>Tabla_Items_Con_Existencia[[#This Row],[COSTO]]*Tabla_Items_Con_Existencia[[#This Row],[EXISTENCIA]]</f>
        <v>53.607999919999997</v>
      </c>
      <c r="I1731" s="1">
        <f>IF(ISERROR(MATCH(Tabla_Items_Con_Existencia[[#This Row],[CODIGO]],Tabla_Items_Activos[CODIGO],0)),0,1)</f>
        <v>0</v>
      </c>
    </row>
    <row r="1732" spans="1:9">
      <c r="A1732" s="2" t="s">
        <v>6761</v>
      </c>
      <c r="B1732" s="2" t="s">
        <v>6670</v>
      </c>
      <c r="C1732" s="2" t="s">
        <v>4675</v>
      </c>
      <c r="D1732" s="2" t="s">
        <v>5186</v>
      </c>
      <c r="E1732" s="2" t="s">
        <v>5159</v>
      </c>
      <c r="F1732" s="2">
        <v>2.82147368</v>
      </c>
      <c r="G1732" s="2">
        <v>19</v>
      </c>
      <c r="H1732" s="2">
        <f>Tabla_Items_Con_Existencia[[#This Row],[COSTO]]*Tabla_Items_Con_Existencia[[#This Row],[EXISTENCIA]]</f>
        <v>53.607999919999997</v>
      </c>
      <c r="I1732" s="1">
        <f>IF(ISERROR(MATCH(Tabla_Items_Con_Existencia[[#This Row],[CODIGO]],Tabla_Items_Activos[CODIGO],0)),0,1)</f>
        <v>0</v>
      </c>
    </row>
    <row r="1733" spans="1:9">
      <c r="A1733" s="2" t="s">
        <v>6760</v>
      </c>
      <c r="B1733" s="2" t="s">
        <v>810</v>
      </c>
      <c r="C1733" s="2" t="s">
        <v>2365</v>
      </c>
      <c r="D1733" s="2" t="s">
        <v>5158</v>
      </c>
      <c r="E1733" s="2" t="s">
        <v>5159</v>
      </c>
      <c r="F1733" s="2">
        <v>1.4448000000000001</v>
      </c>
      <c r="G1733" s="2">
        <v>12</v>
      </c>
      <c r="H1733" s="2">
        <f>Tabla_Items_Con_Existencia[[#This Row],[COSTO]]*Tabla_Items_Con_Existencia[[#This Row],[EXISTENCIA]]</f>
        <v>17.337600000000002</v>
      </c>
      <c r="I1733" s="1">
        <f>IF(ISERROR(MATCH(Tabla_Items_Con_Existencia[[#This Row],[CODIGO]],Tabla_Items_Activos[CODIGO],0)),0,1)</f>
        <v>0</v>
      </c>
    </row>
    <row r="1734" spans="1:9">
      <c r="A1734" s="2" t="s">
        <v>6761</v>
      </c>
      <c r="B1734" s="2" t="s">
        <v>810</v>
      </c>
      <c r="C1734" s="2" t="s">
        <v>2365</v>
      </c>
      <c r="D1734" s="2" t="s">
        <v>5158</v>
      </c>
      <c r="E1734" s="2" t="s">
        <v>5159</v>
      </c>
      <c r="F1734" s="2">
        <v>1.4448000000000001</v>
      </c>
      <c r="G1734" s="2">
        <v>12</v>
      </c>
      <c r="H1734" s="2">
        <f>Tabla_Items_Con_Existencia[[#This Row],[COSTO]]*Tabla_Items_Con_Existencia[[#This Row],[EXISTENCIA]]</f>
        <v>17.337600000000002</v>
      </c>
      <c r="I1734" s="1">
        <f>IF(ISERROR(MATCH(Tabla_Items_Con_Existencia[[#This Row],[CODIGO]],Tabla_Items_Activos[CODIGO],0)),0,1)</f>
        <v>0</v>
      </c>
    </row>
    <row r="1735" spans="1:9">
      <c r="A1735" s="2" t="s">
        <v>6760</v>
      </c>
      <c r="B1735" s="2" t="s">
        <v>811</v>
      </c>
      <c r="C1735" s="2" t="s">
        <v>2366</v>
      </c>
      <c r="D1735" s="2" t="s">
        <v>5158</v>
      </c>
      <c r="E1735" s="2" t="s">
        <v>5159</v>
      </c>
      <c r="F1735" s="2">
        <v>0</v>
      </c>
      <c r="G1735" s="2">
        <v>21</v>
      </c>
      <c r="H1735" s="2">
        <f>Tabla_Items_Con_Existencia[[#This Row],[COSTO]]*Tabla_Items_Con_Existencia[[#This Row],[EXISTENCIA]]</f>
        <v>0</v>
      </c>
      <c r="I1735" s="1">
        <f>IF(ISERROR(MATCH(Tabla_Items_Con_Existencia[[#This Row],[CODIGO]],Tabla_Items_Activos[CODIGO],0)),0,1)</f>
        <v>0</v>
      </c>
    </row>
    <row r="1736" spans="1:9">
      <c r="A1736" s="2" t="s">
        <v>6760</v>
      </c>
      <c r="B1736" s="2" t="s">
        <v>6671</v>
      </c>
      <c r="C1736" s="2" t="s">
        <v>4248</v>
      </c>
      <c r="D1736" s="2" t="s">
        <v>5158</v>
      </c>
      <c r="E1736" s="2" t="s">
        <v>5159</v>
      </c>
      <c r="F1736" s="2">
        <v>0.09</v>
      </c>
      <c r="G1736" s="2">
        <v>2</v>
      </c>
      <c r="H1736" s="2">
        <f>Tabla_Items_Con_Existencia[[#This Row],[COSTO]]*Tabla_Items_Con_Existencia[[#This Row],[EXISTENCIA]]</f>
        <v>0.18</v>
      </c>
      <c r="I1736" s="1">
        <f>IF(ISERROR(MATCH(Tabla_Items_Con_Existencia[[#This Row],[CODIGO]],Tabla_Items_Activos[CODIGO],0)),0,1)</f>
        <v>0</v>
      </c>
    </row>
    <row r="1737" spans="1:9">
      <c r="A1737" s="2" t="s">
        <v>6760</v>
      </c>
      <c r="B1737" s="2" t="s">
        <v>812</v>
      </c>
      <c r="C1737" s="2" t="s">
        <v>2367</v>
      </c>
      <c r="D1737" s="2" t="s">
        <v>5161</v>
      </c>
      <c r="E1737" s="2" t="s">
        <v>5159</v>
      </c>
      <c r="F1737" s="2">
        <v>0.81599999999999995</v>
      </c>
      <c r="G1737" s="2">
        <v>10</v>
      </c>
      <c r="H1737" s="2">
        <f>Tabla_Items_Con_Existencia[[#This Row],[COSTO]]*Tabla_Items_Con_Existencia[[#This Row],[EXISTENCIA]]</f>
        <v>8.16</v>
      </c>
      <c r="I1737" s="1">
        <f>IF(ISERROR(MATCH(Tabla_Items_Con_Existencia[[#This Row],[CODIGO]],Tabla_Items_Activos[CODIGO],0)),0,1)</f>
        <v>0</v>
      </c>
    </row>
    <row r="1738" spans="1:9">
      <c r="A1738" s="2" t="s">
        <v>6760</v>
      </c>
      <c r="B1738" s="2" t="s">
        <v>813</v>
      </c>
      <c r="C1738" s="2" t="s">
        <v>2368</v>
      </c>
      <c r="D1738" s="2" t="s">
        <v>5158</v>
      </c>
      <c r="E1738" s="2" t="s">
        <v>5159</v>
      </c>
      <c r="F1738" s="2">
        <v>0.2392</v>
      </c>
      <c r="G1738" s="2">
        <v>35</v>
      </c>
      <c r="H1738" s="2">
        <f>Tabla_Items_Con_Existencia[[#This Row],[COSTO]]*Tabla_Items_Con_Existencia[[#This Row],[EXISTENCIA]]</f>
        <v>8.3719999999999999</v>
      </c>
      <c r="I1738" s="1">
        <f>IF(ISERROR(MATCH(Tabla_Items_Con_Existencia[[#This Row],[CODIGO]],Tabla_Items_Activos[CODIGO],0)),0,1)</f>
        <v>0</v>
      </c>
    </row>
    <row r="1739" spans="1:9">
      <c r="A1739" s="2" t="s">
        <v>6760</v>
      </c>
      <c r="B1739" s="2" t="s">
        <v>814</v>
      </c>
      <c r="C1739" s="2" t="s">
        <v>2369</v>
      </c>
      <c r="D1739" s="2" t="s">
        <v>5158</v>
      </c>
      <c r="E1739" s="2" t="s">
        <v>5159</v>
      </c>
      <c r="F1739" s="2">
        <v>0.39558947</v>
      </c>
      <c r="G1739" s="2">
        <v>89</v>
      </c>
      <c r="H1739" s="2">
        <f>Tabla_Items_Con_Existencia[[#This Row],[COSTO]]*Tabla_Items_Con_Existencia[[#This Row],[EXISTENCIA]]</f>
        <v>35.207462829999997</v>
      </c>
      <c r="I1739" s="1">
        <f>IF(ISERROR(MATCH(Tabla_Items_Con_Existencia[[#This Row],[CODIGO]],Tabla_Items_Activos[CODIGO],0)),0,1)</f>
        <v>0</v>
      </c>
    </row>
    <row r="1740" spans="1:9">
      <c r="A1740" s="2" t="s">
        <v>6761</v>
      </c>
      <c r="B1740" s="2" t="s">
        <v>814</v>
      </c>
      <c r="C1740" s="2" t="s">
        <v>2369</v>
      </c>
      <c r="D1740" s="2" t="s">
        <v>5158</v>
      </c>
      <c r="E1740" s="2" t="s">
        <v>5159</v>
      </c>
      <c r="F1740" s="2">
        <v>0.39558947</v>
      </c>
      <c r="G1740" s="2">
        <v>89</v>
      </c>
      <c r="H1740" s="2">
        <f>Tabla_Items_Con_Existencia[[#This Row],[COSTO]]*Tabla_Items_Con_Existencia[[#This Row],[EXISTENCIA]]</f>
        <v>35.207462829999997</v>
      </c>
      <c r="I1740" s="1">
        <f>IF(ISERROR(MATCH(Tabla_Items_Con_Existencia[[#This Row],[CODIGO]],Tabla_Items_Activos[CODIGO],0)),0,1)</f>
        <v>0</v>
      </c>
    </row>
    <row r="1741" spans="1:9">
      <c r="A1741" s="2" t="s">
        <v>6760</v>
      </c>
      <c r="B1741" s="2" t="s">
        <v>6975</v>
      </c>
      <c r="C1741" s="2" t="s">
        <v>6976</v>
      </c>
      <c r="D1741" s="2" t="s">
        <v>5158</v>
      </c>
      <c r="E1741" s="2" t="s">
        <v>5159</v>
      </c>
      <c r="F1741" s="2">
        <v>3.43</v>
      </c>
      <c r="G1741" s="2">
        <v>4</v>
      </c>
      <c r="H1741" s="2">
        <f>Tabla_Items_Con_Existencia[[#This Row],[COSTO]]*Tabla_Items_Con_Existencia[[#This Row],[EXISTENCIA]]</f>
        <v>13.72</v>
      </c>
      <c r="I1741" s="1">
        <f>IF(ISERROR(MATCH(Tabla_Items_Con_Existencia[[#This Row],[CODIGO]],Tabla_Items_Activos[CODIGO],0)),0,1)</f>
        <v>0</v>
      </c>
    </row>
    <row r="1742" spans="1:9">
      <c r="A1742" s="2" t="s">
        <v>6760</v>
      </c>
      <c r="B1742" s="2" t="s">
        <v>6672</v>
      </c>
      <c r="C1742" s="2" t="s">
        <v>4536</v>
      </c>
      <c r="D1742" s="2" t="s">
        <v>5186</v>
      </c>
      <c r="E1742" s="2" t="s">
        <v>5159</v>
      </c>
      <c r="F1742" s="2">
        <v>1.0339684200000001</v>
      </c>
      <c r="G1742" s="2">
        <v>9</v>
      </c>
      <c r="H1742" s="2">
        <f>Tabla_Items_Con_Existencia[[#This Row],[COSTO]]*Tabla_Items_Con_Existencia[[#This Row],[EXISTENCIA]]</f>
        <v>9.3057157800000017</v>
      </c>
      <c r="I1742" s="1">
        <f>IF(ISERROR(MATCH(Tabla_Items_Con_Existencia[[#This Row],[CODIGO]],Tabla_Items_Activos[CODIGO],0)),0,1)</f>
        <v>0</v>
      </c>
    </row>
    <row r="1743" spans="1:9">
      <c r="A1743" s="2" t="s">
        <v>6761</v>
      </c>
      <c r="B1743" s="2" t="s">
        <v>6672</v>
      </c>
      <c r="C1743" s="2" t="s">
        <v>4536</v>
      </c>
      <c r="D1743" s="2" t="s">
        <v>5186</v>
      </c>
      <c r="E1743" s="2" t="s">
        <v>5159</v>
      </c>
      <c r="F1743" s="2">
        <v>1.0339684200000001</v>
      </c>
      <c r="G1743" s="2">
        <v>9</v>
      </c>
      <c r="H1743" s="2">
        <f>Tabla_Items_Con_Existencia[[#This Row],[COSTO]]*Tabla_Items_Con_Existencia[[#This Row],[EXISTENCIA]]</f>
        <v>9.3057157800000017</v>
      </c>
      <c r="I1743" s="1">
        <f>IF(ISERROR(MATCH(Tabla_Items_Con_Existencia[[#This Row],[CODIGO]],Tabla_Items_Activos[CODIGO],0)),0,1)</f>
        <v>0</v>
      </c>
    </row>
    <row r="1744" spans="1:9">
      <c r="A1744" s="2" t="s">
        <v>6760</v>
      </c>
      <c r="B1744" s="2" t="s">
        <v>815</v>
      </c>
      <c r="C1744" s="2" t="s">
        <v>5535</v>
      </c>
      <c r="D1744" s="2" t="s">
        <v>5158</v>
      </c>
      <c r="E1744" s="2" t="s">
        <v>5159</v>
      </c>
      <c r="F1744" s="2">
        <v>0</v>
      </c>
      <c r="G1744" s="2">
        <v>10</v>
      </c>
      <c r="H1744" s="2">
        <f>Tabla_Items_Con_Existencia[[#This Row],[COSTO]]*Tabla_Items_Con_Existencia[[#This Row],[EXISTENCIA]]</f>
        <v>0</v>
      </c>
      <c r="I1744" s="1">
        <f>IF(ISERROR(MATCH(Tabla_Items_Con_Existencia[[#This Row],[CODIGO]],Tabla_Items_Activos[CODIGO],0)),0,1)</f>
        <v>0</v>
      </c>
    </row>
    <row r="1745" spans="1:9">
      <c r="A1745" s="2" t="s">
        <v>6760</v>
      </c>
      <c r="B1745" s="2" t="s">
        <v>816</v>
      </c>
      <c r="C1745" s="2" t="s">
        <v>2370</v>
      </c>
      <c r="D1745" s="2" t="s">
        <v>5158</v>
      </c>
      <c r="E1745" s="2" t="s">
        <v>5159</v>
      </c>
      <c r="F1745" s="2">
        <v>0.55500000000000005</v>
      </c>
      <c r="G1745" s="2">
        <v>28</v>
      </c>
      <c r="H1745" s="2">
        <f>Tabla_Items_Con_Existencia[[#This Row],[COSTO]]*Tabla_Items_Con_Existencia[[#This Row],[EXISTENCIA]]</f>
        <v>15.540000000000001</v>
      </c>
      <c r="I1745" s="1">
        <f>IF(ISERROR(MATCH(Tabla_Items_Con_Existencia[[#This Row],[CODIGO]],Tabla_Items_Activos[CODIGO],0)),0,1)</f>
        <v>0</v>
      </c>
    </row>
    <row r="1746" spans="1:9">
      <c r="A1746" s="2" t="s">
        <v>6760</v>
      </c>
      <c r="B1746" s="2" t="s">
        <v>817</v>
      </c>
      <c r="C1746" s="2" t="s">
        <v>2371</v>
      </c>
      <c r="D1746" s="2" t="s">
        <v>5161</v>
      </c>
      <c r="E1746" s="2" t="s">
        <v>5159</v>
      </c>
      <c r="F1746" s="2">
        <v>0.438</v>
      </c>
      <c r="G1746" s="2">
        <v>4</v>
      </c>
      <c r="H1746" s="2">
        <f>Tabla_Items_Con_Existencia[[#This Row],[COSTO]]*Tabla_Items_Con_Existencia[[#This Row],[EXISTENCIA]]</f>
        <v>1.752</v>
      </c>
      <c r="I1746" s="1">
        <f>IF(ISERROR(MATCH(Tabla_Items_Con_Existencia[[#This Row],[CODIGO]],Tabla_Items_Activos[CODIGO],0)),0,1)</f>
        <v>0</v>
      </c>
    </row>
    <row r="1747" spans="1:9">
      <c r="A1747" s="2" t="s">
        <v>6760</v>
      </c>
      <c r="B1747" s="2" t="s">
        <v>6977</v>
      </c>
      <c r="C1747" s="2" t="s">
        <v>6978</v>
      </c>
      <c r="D1747" s="2" t="s">
        <v>5158</v>
      </c>
      <c r="E1747" s="2" t="s">
        <v>5159</v>
      </c>
      <c r="F1747" s="2">
        <v>0.7</v>
      </c>
      <c r="G1747" s="2">
        <v>3</v>
      </c>
      <c r="H1747" s="2">
        <f>Tabla_Items_Con_Existencia[[#This Row],[COSTO]]*Tabla_Items_Con_Existencia[[#This Row],[EXISTENCIA]]</f>
        <v>2.0999999999999996</v>
      </c>
      <c r="I1747" s="1">
        <f>IF(ISERROR(MATCH(Tabla_Items_Con_Existencia[[#This Row],[CODIGO]],Tabla_Items_Activos[CODIGO],0)),0,1)</f>
        <v>0</v>
      </c>
    </row>
    <row r="1748" spans="1:9">
      <c r="A1748" s="2" t="s">
        <v>6760</v>
      </c>
      <c r="B1748" s="2" t="s">
        <v>6979</v>
      </c>
      <c r="C1748" s="2" t="s">
        <v>6980</v>
      </c>
      <c r="D1748" s="2" t="s">
        <v>5158</v>
      </c>
      <c r="E1748" s="2" t="s">
        <v>5159</v>
      </c>
      <c r="F1748" s="2">
        <v>0.68</v>
      </c>
      <c r="G1748" s="2">
        <v>10</v>
      </c>
      <c r="H1748" s="2">
        <f>Tabla_Items_Con_Existencia[[#This Row],[COSTO]]*Tabla_Items_Con_Existencia[[#This Row],[EXISTENCIA]]</f>
        <v>6.8000000000000007</v>
      </c>
      <c r="I1748" s="1">
        <f>IF(ISERROR(MATCH(Tabla_Items_Con_Existencia[[#This Row],[CODIGO]],Tabla_Items_Activos[CODIGO],0)),0,1)</f>
        <v>0</v>
      </c>
    </row>
    <row r="1749" spans="1:9">
      <c r="A1749" s="2" t="s">
        <v>6760</v>
      </c>
      <c r="B1749" s="2" t="s">
        <v>2372</v>
      </c>
      <c r="C1749" s="2" t="s">
        <v>6981</v>
      </c>
      <c r="D1749" s="2" t="s">
        <v>5158</v>
      </c>
      <c r="E1749" s="2" t="s">
        <v>5159</v>
      </c>
      <c r="F1749" s="2">
        <v>0.87629999999999997</v>
      </c>
      <c r="G1749" s="2">
        <v>9</v>
      </c>
      <c r="H1749" s="2">
        <f>Tabla_Items_Con_Existencia[[#This Row],[COSTO]]*Tabla_Items_Con_Existencia[[#This Row],[EXISTENCIA]]</f>
        <v>7.8866999999999994</v>
      </c>
      <c r="I1749" s="1">
        <f>IF(ISERROR(MATCH(Tabla_Items_Con_Existencia[[#This Row],[CODIGO]],Tabla_Items_Activos[CODIGO],0)),0,1)</f>
        <v>0</v>
      </c>
    </row>
    <row r="1750" spans="1:9">
      <c r="A1750" s="2" t="s">
        <v>6760</v>
      </c>
      <c r="B1750" s="2" t="s">
        <v>6673</v>
      </c>
      <c r="C1750" s="2" t="s">
        <v>6674</v>
      </c>
      <c r="D1750" s="2" t="s">
        <v>5158</v>
      </c>
      <c r="E1750" s="2" t="s">
        <v>5159</v>
      </c>
      <c r="F1750" s="2">
        <v>0.56100000000000005</v>
      </c>
      <c r="G1750" s="2">
        <v>7</v>
      </c>
      <c r="H1750" s="2">
        <f>Tabla_Items_Con_Existencia[[#This Row],[COSTO]]*Tabla_Items_Con_Existencia[[#This Row],[EXISTENCIA]]</f>
        <v>3.9270000000000005</v>
      </c>
      <c r="I1750" s="1">
        <f>IF(ISERROR(MATCH(Tabla_Items_Con_Existencia[[#This Row],[CODIGO]],Tabla_Items_Activos[CODIGO],0)),0,1)</f>
        <v>0</v>
      </c>
    </row>
    <row r="1751" spans="1:9">
      <c r="A1751" s="2" t="s">
        <v>6760</v>
      </c>
      <c r="B1751" s="2" t="s">
        <v>818</v>
      </c>
      <c r="C1751" s="2" t="s">
        <v>2374</v>
      </c>
      <c r="D1751" s="2" t="s">
        <v>5158</v>
      </c>
      <c r="E1751" s="2" t="s">
        <v>5159</v>
      </c>
      <c r="F1751" s="2">
        <v>1.2473000000000001</v>
      </c>
      <c r="G1751" s="2">
        <v>12</v>
      </c>
      <c r="H1751" s="2">
        <f>Tabla_Items_Con_Existencia[[#This Row],[COSTO]]*Tabla_Items_Con_Existencia[[#This Row],[EXISTENCIA]]</f>
        <v>14.967600000000001</v>
      </c>
      <c r="I1751" s="1">
        <f>IF(ISERROR(MATCH(Tabla_Items_Con_Existencia[[#This Row],[CODIGO]],Tabla_Items_Activos[CODIGO],0)),0,1)</f>
        <v>0</v>
      </c>
    </row>
    <row r="1752" spans="1:9">
      <c r="A1752" s="2" t="s">
        <v>6760</v>
      </c>
      <c r="B1752" s="2" t="s">
        <v>6675</v>
      </c>
      <c r="C1752" s="2" t="s">
        <v>4547</v>
      </c>
      <c r="D1752" s="2" t="s">
        <v>5186</v>
      </c>
      <c r="E1752" s="2" t="s">
        <v>5159</v>
      </c>
      <c r="F1752" s="2">
        <v>2.5991526299999999</v>
      </c>
      <c r="G1752" s="2">
        <v>8</v>
      </c>
      <c r="H1752" s="2">
        <f>Tabla_Items_Con_Existencia[[#This Row],[COSTO]]*Tabla_Items_Con_Existencia[[#This Row],[EXISTENCIA]]</f>
        <v>20.793221039999999</v>
      </c>
      <c r="I1752" s="1">
        <f>IF(ISERROR(MATCH(Tabla_Items_Con_Existencia[[#This Row],[CODIGO]],Tabla_Items_Activos[CODIGO],0)),0,1)</f>
        <v>0</v>
      </c>
    </row>
    <row r="1753" spans="1:9">
      <c r="A1753" s="2" t="s">
        <v>6761</v>
      </c>
      <c r="B1753" s="2" t="s">
        <v>6675</v>
      </c>
      <c r="C1753" s="2" t="s">
        <v>4547</v>
      </c>
      <c r="D1753" s="2" t="s">
        <v>5186</v>
      </c>
      <c r="E1753" s="2" t="s">
        <v>5159</v>
      </c>
      <c r="F1753" s="2">
        <v>2.5991526299999999</v>
      </c>
      <c r="G1753" s="2">
        <v>8</v>
      </c>
      <c r="H1753" s="2">
        <f>Tabla_Items_Con_Existencia[[#This Row],[COSTO]]*Tabla_Items_Con_Existencia[[#This Row],[EXISTENCIA]]</f>
        <v>20.793221039999999</v>
      </c>
      <c r="I1753" s="1">
        <f>IF(ISERROR(MATCH(Tabla_Items_Con_Existencia[[#This Row],[CODIGO]],Tabla_Items_Activos[CODIGO],0)),0,1)</f>
        <v>0</v>
      </c>
    </row>
    <row r="1754" spans="1:9">
      <c r="A1754" s="2" t="s">
        <v>6760</v>
      </c>
      <c r="B1754" s="2" t="s">
        <v>819</v>
      </c>
      <c r="C1754" s="2" t="s">
        <v>2375</v>
      </c>
      <c r="D1754" s="2" t="s">
        <v>5186</v>
      </c>
      <c r="E1754" s="2" t="s">
        <v>5159</v>
      </c>
      <c r="F1754" s="2">
        <v>1.18263158</v>
      </c>
      <c r="G1754" s="2">
        <v>4</v>
      </c>
      <c r="H1754" s="2">
        <f>Tabla_Items_Con_Existencia[[#This Row],[COSTO]]*Tabla_Items_Con_Existencia[[#This Row],[EXISTENCIA]]</f>
        <v>4.7305263200000001</v>
      </c>
      <c r="I1754" s="1">
        <f>IF(ISERROR(MATCH(Tabla_Items_Con_Existencia[[#This Row],[CODIGO]],Tabla_Items_Activos[CODIGO],0)),0,1)</f>
        <v>0</v>
      </c>
    </row>
    <row r="1755" spans="1:9">
      <c r="A1755" s="2" t="s">
        <v>6761</v>
      </c>
      <c r="B1755" s="2" t="s">
        <v>819</v>
      </c>
      <c r="C1755" s="2" t="s">
        <v>2375</v>
      </c>
      <c r="D1755" s="2" t="s">
        <v>5186</v>
      </c>
      <c r="E1755" s="2" t="s">
        <v>5159</v>
      </c>
      <c r="F1755" s="2">
        <v>1.18263158</v>
      </c>
      <c r="G1755" s="2">
        <v>4</v>
      </c>
      <c r="H1755" s="2">
        <f>Tabla_Items_Con_Existencia[[#This Row],[COSTO]]*Tabla_Items_Con_Existencia[[#This Row],[EXISTENCIA]]</f>
        <v>4.7305263200000001</v>
      </c>
      <c r="I1755" s="1">
        <f>IF(ISERROR(MATCH(Tabla_Items_Con_Existencia[[#This Row],[CODIGO]],Tabla_Items_Activos[CODIGO],0)),0,1)</f>
        <v>0</v>
      </c>
    </row>
    <row r="1756" spans="1:9">
      <c r="A1756" s="2" t="s">
        <v>6760</v>
      </c>
      <c r="B1756" s="2" t="s">
        <v>7261</v>
      </c>
      <c r="C1756" s="2" t="s">
        <v>7262</v>
      </c>
      <c r="D1756" s="2" t="s">
        <v>5186</v>
      </c>
      <c r="E1756" s="2" t="s">
        <v>5159</v>
      </c>
      <c r="F1756" s="2">
        <v>0</v>
      </c>
      <c r="G1756" s="2">
        <v>5</v>
      </c>
      <c r="H1756" s="2">
        <f>Tabla_Items_Con_Existencia[[#This Row],[COSTO]]*Tabla_Items_Con_Existencia[[#This Row],[EXISTENCIA]]</f>
        <v>0</v>
      </c>
      <c r="I1756" s="1">
        <f>IF(ISERROR(MATCH(Tabla_Items_Con_Existencia[[#This Row],[CODIGO]],Tabla_Items_Activos[CODIGO],0)),0,1)</f>
        <v>0</v>
      </c>
    </row>
    <row r="1757" spans="1:9">
      <c r="A1757" s="2" t="s">
        <v>6760</v>
      </c>
      <c r="B1757" s="2" t="s">
        <v>6676</v>
      </c>
      <c r="C1757" s="2" t="s">
        <v>6677</v>
      </c>
      <c r="D1757" s="2" t="s">
        <v>5186</v>
      </c>
      <c r="E1757" s="2" t="s">
        <v>5159</v>
      </c>
      <c r="F1757" s="2">
        <v>2.8940000000000001</v>
      </c>
      <c r="G1757" s="2">
        <v>6</v>
      </c>
      <c r="H1757" s="2">
        <f>Tabla_Items_Con_Existencia[[#This Row],[COSTO]]*Tabla_Items_Con_Existencia[[#This Row],[EXISTENCIA]]</f>
        <v>17.364000000000001</v>
      </c>
      <c r="I1757" s="1">
        <f>IF(ISERROR(MATCH(Tabla_Items_Con_Existencia[[#This Row],[CODIGO]],Tabla_Items_Activos[CODIGO],0)),0,1)</f>
        <v>0</v>
      </c>
    </row>
    <row r="1758" spans="1:9">
      <c r="A1758" s="2" t="s">
        <v>6760</v>
      </c>
      <c r="B1758" s="2" t="s">
        <v>822</v>
      </c>
      <c r="C1758" s="2" t="s">
        <v>5536</v>
      </c>
      <c r="D1758" s="2" t="s">
        <v>5158</v>
      </c>
      <c r="E1758" s="2" t="s">
        <v>5159</v>
      </c>
      <c r="F1758" s="2">
        <v>0.29620000000000002</v>
      </c>
      <c r="G1758" s="2">
        <v>118</v>
      </c>
      <c r="H1758" s="2">
        <f>Tabla_Items_Con_Existencia[[#This Row],[COSTO]]*Tabla_Items_Con_Existencia[[#This Row],[EXISTENCIA]]</f>
        <v>34.951599999999999</v>
      </c>
      <c r="I1758" s="1">
        <f>IF(ISERROR(MATCH(Tabla_Items_Con_Existencia[[#This Row],[CODIGO]],Tabla_Items_Activos[CODIGO],0)),0,1)</f>
        <v>0</v>
      </c>
    </row>
    <row r="1759" spans="1:9">
      <c r="A1759" s="2" t="s">
        <v>6760</v>
      </c>
      <c r="B1759" s="2" t="s">
        <v>823</v>
      </c>
      <c r="C1759" s="2" t="s">
        <v>6291</v>
      </c>
      <c r="D1759" s="2" t="s">
        <v>5158</v>
      </c>
      <c r="E1759" s="2" t="s">
        <v>5159</v>
      </c>
      <c r="F1759" s="2">
        <v>6.0184947400000004</v>
      </c>
      <c r="G1759" s="2">
        <v>21</v>
      </c>
      <c r="H1759" s="2">
        <f>Tabla_Items_Con_Existencia[[#This Row],[COSTO]]*Tabla_Items_Con_Existencia[[#This Row],[EXISTENCIA]]</f>
        <v>126.38838954000001</v>
      </c>
      <c r="I1759" s="1">
        <f>IF(ISERROR(MATCH(Tabla_Items_Con_Existencia[[#This Row],[CODIGO]],Tabla_Items_Activos[CODIGO],0)),0,1)</f>
        <v>0</v>
      </c>
    </row>
    <row r="1760" spans="1:9">
      <c r="A1760" s="2" t="s">
        <v>6761</v>
      </c>
      <c r="B1760" s="2" t="s">
        <v>823</v>
      </c>
      <c r="C1760" s="2" t="s">
        <v>6291</v>
      </c>
      <c r="D1760" s="2" t="s">
        <v>5158</v>
      </c>
      <c r="E1760" s="2" t="s">
        <v>5159</v>
      </c>
      <c r="F1760" s="2">
        <v>6.0184947400000004</v>
      </c>
      <c r="G1760" s="2">
        <v>21</v>
      </c>
      <c r="H1760" s="2">
        <f>Tabla_Items_Con_Existencia[[#This Row],[COSTO]]*Tabla_Items_Con_Existencia[[#This Row],[EXISTENCIA]]</f>
        <v>126.38838954000001</v>
      </c>
      <c r="I1760" s="1">
        <f>IF(ISERROR(MATCH(Tabla_Items_Con_Existencia[[#This Row],[CODIGO]],Tabla_Items_Activos[CODIGO],0)),0,1)</f>
        <v>0</v>
      </c>
    </row>
    <row r="1761" spans="1:9">
      <c r="A1761" s="2" t="s">
        <v>6760</v>
      </c>
      <c r="B1761" s="2" t="s">
        <v>6296</v>
      </c>
      <c r="C1761" s="2" t="s">
        <v>6297</v>
      </c>
      <c r="D1761" s="2" t="s">
        <v>5158</v>
      </c>
      <c r="E1761" s="2" t="s">
        <v>5159</v>
      </c>
      <c r="F1761" s="2">
        <v>1.669</v>
      </c>
      <c r="G1761" s="2">
        <v>24</v>
      </c>
      <c r="H1761" s="2">
        <f>Tabla_Items_Con_Existencia[[#This Row],[COSTO]]*Tabla_Items_Con_Existencia[[#This Row],[EXISTENCIA]]</f>
        <v>40.055999999999997</v>
      </c>
      <c r="I1761" s="1">
        <f>IF(ISERROR(MATCH(Tabla_Items_Con_Existencia[[#This Row],[CODIGO]],Tabla_Items_Activos[CODIGO],0)),0,1)</f>
        <v>0</v>
      </c>
    </row>
    <row r="1762" spans="1:9">
      <c r="A1762" s="2" t="s">
        <v>6760</v>
      </c>
      <c r="B1762" s="2" t="s">
        <v>6298</v>
      </c>
      <c r="C1762" s="2" t="s">
        <v>6299</v>
      </c>
      <c r="D1762" s="2" t="s">
        <v>5158</v>
      </c>
      <c r="E1762" s="2" t="s">
        <v>5159</v>
      </c>
      <c r="F1762" s="2">
        <v>0.62004210999999998</v>
      </c>
      <c r="G1762" s="2">
        <v>19</v>
      </c>
      <c r="H1762" s="2">
        <f>Tabla_Items_Con_Existencia[[#This Row],[COSTO]]*Tabla_Items_Con_Existencia[[#This Row],[EXISTENCIA]]</f>
        <v>11.78080009</v>
      </c>
      <c r="I1762" s="1">
        <f>IF(ISERROR(MATCH(Tabla_Items_Con_Existencia[[#This Row],[CODIGO]],Tabla_Items_Activos[CODIGO],0)),0,1)</f>
        <v>0</v>
      </c>
    </row>
    <row r="1763" spans="1:9">
      <c r="A1763" s="2" t="s">
        <v>6761</v>
      </c>
      <c r="B1763" s="2" t="s">
        <v>6298</v>
      </c>
      <c r="C1763" s="2" t="s">
        <v>6299</v>
      </c>
      <c r="D1763" s="2" t="s">
        <v>5158</v>
      </c>
      <c r="E1763" s="2" t="s">
        <v>5159</v>
      </c>
      <c r="F1763" s="2">
        <v>0.62004210999999998</v>
      </c>
      <c r="G1763" s="2">
        <v>19</v>
      </c>
      <c r="H1763" s="2">
        <f>Tabla_Items_Con_Existencia[[#This Row],[COSTO]]*Tabla_Items_Con_Existencia[[#This Row],[EXISTENCIA]]</f>
        <v>11.78080009</v>
      </c>
      <c r="I1763" s="1">
        <f>IF(ISERROR(MATCH(Tabla_Items_Con_Existencia[[#This Row],[CODIGO]],Tabla_Items_Activos[CODIGO],0)),0,1)</f>
        <v>0</v>
      </c>
    </row>
    <row r="1764" spans="1:9">
      <c r="A1764" s="2" t="s">
        <v>6760</v>
      </c>
      <c r="B1764" s="2" t="s">
        <v>824</v>
      </c>
      <c r="C1764" s="2" t="s">
        <v>2378</v>
      </c>
      <c r="D1764" s="2" t="s">
        <v>5158</v>
      </c>
      <c r="E1764" s="2" t="s">
        <v>5159</v>
      </c>
      <c r="F1764" s="2">
        <v>0.64974737000000005</v>
      </c>
      <c r="G1764" s="2">
        <v>15</v>
      </c>
      <c r="H1764" s="2">
        <f>Tabla_Items_Con_Existencia[[#This Row],[COSTO]]*Tabla_Items_Con_Existencia[[#This Row],[EXISTENCIA]]</f>
        <v>9.7462105500000007</v>
      </c>
      <c r="I1764" s="1">
        <f>IF(ISERROR(MATCH(Tabla_Items_Con_Existencia[[#This Row],[CODIGO]],Tabla_Items_Activos[CODIGO],0)),0,1)</f>
        <v>0</v>
      </c>
    </row>
    <row r="1765" spans="1:9">
      <c r="A1765" s="2" t="s">
        <v>6761</v>
      </c>
      <c r="B1765" s="2" t="s">
        <v>824</v>
      </c>
      <c r="C1765" s="2" t="s">
        <v>2378</v>
      </c>
      <c r="D1765" s="2" t="s">
        <v>5158</v>
      </c>
      <c r="E1765" s="2" t="s">
        <v>5159</v>
      </c>
      <c r="F1765" s="2">
        <v>0.64974737000000005</v>
      </c>
      <c r="G1765" s="2">
        <v>15</v>
      </c>
      <c r="H1765" s="2">
        <f>Tabla_Items_Con_Existencia[[#This Row],[COSTO]]*Tabla_Items_Con_Existencia[[#This Row],[EXISTENCIA]]</f>
        <v>9.7462105500000007</v>
      </c>
      <c r="I1765" s="1">
        <f>IF(ISERROR(MATCH(Tabla_Items_Con_Existencia[[#This Row],[CODIGO]],Tabla_Items_Activos[CODIGO],0)),0,1)</f>
        <v>0</v>
      </c>
    </row>
    <row r="1766" spans="1:9">
      <c r="A1766" s="2" t="s">
        <v>6760</v>
      </c>
      <c r="B1766" s="2" t="s">
        <v>6982</v>
      </c>
      <c r="C1766" s="2" t="s">
        <v>6983</v>
      </c>
      <c r="D1766" s="2" t="s">
        <v>5158</v>
      </c>
      <c r="E1766" s="2" t="s">
        <v>5159</v>
      </c>
      <c r="F1766" s="2">
        <v>0.48</v>
      </c>
      <c r="G1766" s="2">
        <v>5</v>
      </c>
      <c r="H1766" s="2">
        <f>Tabla_Items_Con_Existencia[[#This Row],[COSTO]]*Tabla_Items_Con_Existencia[[#This Row],[EXISTENCIA]]</f>
        <v>2.4</v>
      </c>
      <c r="I1766" s="1">
        <f>IF(ISERROR(MATCH(Tabla_Items_Con_Existencia[[#This Row],[CODIGO]],Tabla_Items_Activos[CODIGO],0)),0,1)</f>
        <v>0</v>
      </c>
    </row>
    <row r="1767" spans="1:9">
      <c r="A1767" s="2" t="s">
        <v>6760</v>
      </c>
      <c r="B1767" s="2" t="s">
        <v>825</v>
      </c>
      <c r="C1767" s="2" t="s">
        <v>2379</v>
      </c>
      <c r="D1767" s="2" t="s">
        <v>5188</v>
      </c>
      <c r="E1767" s="2" t="s">
        <v>5159</v>
      </c>
      <c r="F1767" s="2">
        <v>4.383</v>
      </c>
      <c r="G1767" s="2">
        <v>7</v>
      </c>
      <c r="H1767" s="2">
        <f>Tabla_Items_Con_Existencia[[#This Row],[COSTO]]*Tabla_Items_Con_Existencia[[#This Row],[EXISTENCIA]]</f>
        <v>30.681000000000001</v>
      </c>
      <c r="I1767" s="1">
        <f>IF(ISERROR(MATCH(Tabla_Items_Con_Existencia[[#This Row],[CODIGO]],Tabla_Items_Activos[CODIGO],0)),0,1)</f>
        <v>0</v>
      </c>
    </row>
    <row r="1768" spans="1:9">
      <c r="A1768" s="2" t="s">
        <v>6760</v>
      </c>
      <c r="B1768" s="2" t="s">
        <v>826</v>
      </c>
      <c r="C1768" s="2" t="s">
        <v>6984</v>
      </c>
      <c r="D1768" s="2" t="s">
        <v>5158</v>
      </c>
      <c r="E1768" s="2" t="s">
        <v>5159</v>
      </c>
      <c r="F1768" s="2">
        <v>2.1543000000000001</v>
      </c>
      <c r="G1768" s="2">
        <v>38</v>
      </c>
      <c r="H1768" s="2">
        <f>Tabla_Items_Con_Existencia[[#This Row],[COSTO]]*Tabla_Items_Con_Existencia[[#This Row],[EXISTENCIA]]</f>
        <v>81.863399999999999</v>
      </c>
      <c r="I1768" s="1">
        <f>IF(ISERROR(MATCH(Tabla_Items_Con_Existencia[[#This Row],[CODIGO]],Tabla_Items_Activos[CODIGO],0)),0,1)</f>
        <v>0</v>
      </c>
    </row>
    <row r="1769" spans="1:9">
      <c r="A1769" s="2" t="s">
        <v>6760</v>
      </c>
      <c r="B1769" s="2" t="s">
        <v>827</v>
      </c>
      <c r="C1769" s="2" t="s">
        <v>2380</v>
      </c>
      <c r="D1769" s="2" t="s">
        <v>5158</v>
      </c>
      <c r="E1769" s="2" t="s">
        <v>5159</v>
      </c>
      <c r="F1769" s="2">
        <v>7.7618526299999999</v>
      </c>
      <c r="G1769" s="2">
        <v>41</v>
      </c>
      <c r="H1769" s="2">
        <f>Tabla_Items_Con_Existencia[[#This Row],[COSTO]]*Tabla_Items_Con_Existencia[[#This Row],[EXISTENCIA]]</f>
        <v>318.23595783000002</v>
      </c>
      <c r="I1769" s="1">
        <f>IF(ISERROR(MATCH(Tabla_Items_Con_Existencia[[#This Row],[CODIGO]],Tabla_Items_Activos[CODIGO],0)),0,1)</f>
        <v>0</v>
      </c>
    </row>
    <row r="1770" spans="1:9">
      <c r="A1770" s="2" t="s">
        <v>6761</v>
      </c>
      <c r="B1770" s="2" t="s">
        <v>827</v>
      </c>
      <c r="C1770" s="2" t="s">
        <v>2380</v>
      </c>
      <c r="D1770" s="2" t="s">
        <v>5158</v>
      </c>
      <c r="E1770" s="2" t="s">
        <v>5159</v>
      </c>
      <c r="F1770" s="2">
        <v>7.7618526299999999</v>
      </c>
      <c r="G1770" s="2">
        <v>41</v>
      </c>
      <c r="H1770" s="2">
        <f>Tabla_Items_Con_Existencia[[#This Row],[COSTO]]*Tabla_Items_Con_Existencia[[#This Row],[EXISTENCIA]]</f>
        <v>318.23595783000002</v>
      </c>
      <c r="I1770" s="1">
        <f>IF(ISERROR(MATCH(Tabla_Items_Con_Existencia[[#This Row],[CODIGO]],Tabla_Items_Activos[CODIGO],0)),0,1)</f>
        <v>0</v>
      </c>
    </row>
    <row r="1771" spans="1:9">
      <c r="A1771" s="2" t="s">
        <v>6760</v>
      </c>
      <c r="B1771" s="2" t="s">
        <v>828</v>
      </c>
      <c r="C1771" s="2" t="s">
        <v>2381</v>
      </c>
      <c r="D1771" s="2" t="s">
        <v>5158</v>
      </c>
      <c r="E1771" s="2" t="s">
        <v>5159</v>
      </c>
      <c r="F1771" s="2">
        <v>2.0897999999999999</v>
      </c>
      <c r="G1771" s="2">
        <v>41</v>
      </c>
      <c r="H1771" s="2">
        <f>Tabla_Items_Con_Existencia[[#This Row],[COSTO]]*Tabla_Items_Con_Existencia[[#This Row],[EXISTENCIA]]</f>
        <v>85.681799999999996</v>
      </c>
      <c r="I1771" s="1">
        <f>IF(ISERROR(MATCH(Tabla_Items_Con_Existencia[[#This Row],[CODIGO]],Tabla_Items_Activos[CODIGO],0)),0,1)</f>
        <v>0</v>
      </c>
    </row>
    <row r="1772" spans="1:9">
      <c r="A1772" s="2" t="s">
        <v>6760</v>
      </c>
      <c r="B1772" s="2" t="s">
        <v>6678</v>
      </c>
      <c r="C1772" s="2" t="s">
        <v>6679</v>
      </c>
      <c r="D1772" s="2" t="s">
        <v>5202</v>
      </c>
      <c r="E1772" s="2" t="s">
        <v>5159</v>
      </c>
      <c r="F1772" s="2">
        <v>8.4721052599999993</v>
      </c>
      <c r="G1772" s="2">
        <v>4</v>
      </c>
      <c r="H1772" s="2">
        <f>Tabla_Items_Con_Existencia[[#This Row],[COSTO]]*Tabla_Items_Con_Existencia[[#This Row],[EXISTENCIA]]</f>
        <v>33.888421039999997</v>
      </c>
      <c r="I1772" s="1">
        <f>IF(ISERROR(MATCH(Tabla_Items_Con_Existencia[[#This Row],[CODIGO]],Tabla_Items_Activos[CODIGO],0)),0,1)</f>
        <v>0</v>
      </c>
    </row>
    <row r="1773" spans="1:9">
      <c r="A1773" s="2" t="s">
        <v>6761</v>
      </c>
      <c r="B1773" s="2" t="s">
        <v>6678</v>
      </c>
      <c r="C1773" s="2" t="s">
        <v>6679</v>
      </c>
      <c r="D1773" s="2" t="s">
        <v>5202</v>
      </c>
      <c r="E1773" s="2" t="s">
        <v>5159</v>
      </c>
      <c r="F1773" s="2">
        <v>8.4721052599999993</v>
      </c>
      <c r="G1773" s="2">
        <v>4</v>
      </c>
      <c r="H1773" s="2">
        <f>Tabla_Items_Con_Existencia[[#This Row],[COSTO]]*Tabla_Items_Con_Existencia[[#This Row],[EXISTENCIA]]</f>
        <v>33.888421039999997</v>
      </c>
      <c r="I1773" s="1">
        <f>IF(ISERROR(MATCH(Tabla_Items_Con_Existencia[[#This Row],[CODIGO]],Tabla_Items_Activos[CODIGO],0)),0,1)</f>
        <v>0</v>
      </c>
    </row>
    <row r="1774" spans="1:9">
      <c r="A1774" s="2" t="s">
        <v>6760</v>
      </c>
      <c r="B1774" s="2" t="s">
        <v>829</v>
      </c>
      <c r="C1774" s="2" t="s">
        <v>2382</v>
      </c>
      <c r="D1774" s="2" t="s">
        <v>5186</v>
      </c>
      <c r="E1774" s="2" t="s">
        <v>5159</v>
      </c>
      <c r="F1774" s="2">
        <v>2.4474999999999998</v>
      </c>
      <c r="G1774" s="2">
        <v>15</v>
      </c>
      <c r="H1774" s="2">
        <f>Tabla_Items_Con_Existencia[[#This Row],[COSTO]]*Tabla_Items_Con_Existencia[[#This Row],[EXISTENCIA]]</f>
        <v>36.712499999999999</v>
      </c>
      <c r="I1774" s="1">
        <f>IF(ISERROR(MATCH(Tabla_Items_Con_Existencia[[#This Row],[CODIGO]],Tabla_Items_Activos[CODIGO],0)),0,1)</f>
        <v>0</v>
      </c>
    </row>
    <row r="1775" spans="1:9">
      <c r="A1775" s="2" t="s">
        <v>6760</v>
      </c>
      <c r="B1775" s="2" t="s">
        <v>830</v>
      </c>
      <c r="C1775" s="2" t="s">
        <v>2383</v>
      </c>
      <c r="D1775" s="2" t="s">
        <v>5161</v>
      </c>
      <c r="E1775" s="2" t="s">
        <v>5159</v>
      </c>
      <c r="F1775" s="2">
        <v>1.363</v>
      </c>
      <c r="G1775" s="2">
        <v>8</v>
      </c>
      <c r="H1775" s="2">
        <f>Tabla_Items_Con_Existencia[[#This Row],[COSTO]]*Tabla_Items_Con_Existencia[[#This Row],[EXISTENCIA]]</f>
        <v>10.904</v>
      </c>
      <c r="I1775" s="1">
        <f>IF(ISERROR(MATCH(Tabla_Items_Con_Existencia[[#This Row],[CODIGO]],Tabla_Items_Activos[CODIGO],0)),0,1)</f>
        <v>0</v>
      </c>
    </row>
    <row r="1776" spans="1:9">
      <c r="A1776" s="2" t="s">
        <v>6760</v>
      </c>
      <c r="B1776" s="2" t="s">
        <v>6680</v>
      </c>
      <c r="C1776" s="2" t="s">
        <v>6681</v>
      </c>
      <c r="D1776" s="2" t="s">
        <v>5186</v>
      </c>
      <c r="E1776" s="2" t="s">
        <v>5159</v>
      </c>
      <c r="F1776" s="2">
        <v>0.60399999999999998</v>
      </c>
      <c r="G1776" s="2">
        <v>9</v>
      </c>
      <c r="H1776" s="2">
        <f>Tabla_Items_Con_Existencia[[#This Row],[COSTO]]*Tabla_Items_Con_Existencia[[#This Row],[EXISTENCIA]]</f>
        <v>5.4359999999999999</v>
      </c>
      <c r="I1776" s="1">
        <f>IF(ISERROR(MATCH(Tabla_Items_Con_Existencia[[#This Row],[CODIGO]],Tabla_Items_Activos[CODIGO],0)),0,1)</f>
        <v>0</v>
      </c>
    </row>
    <row r="1777" spans="1:9">
      <c r="A1777" s="2" t="s">
        <v>6760</v>
      </c>
      <c r="B1777" s="2" t="s">
        <v>831</v>
      </c>
      <c r="C1777" s="2" t="s">
        <v>2384</v>
      </c>
      <c r="D1777" s="2" t="s">
        <v>5158</v>
      </c>
      <c r="E1777" s="2" t="s">
        <v>5159</v>
      </c>
      <c r="F1777" s="2">
        <v>0.59526316000000001</v>
      </c>
      <c r="G1777" s="2">
        <v>27</v>
      </c>
      <c r="H1777" s="2">
        <f>Tabla_Items_Con_Existencia[[#This Row],[COSTO]]*Tabla_Items_Con_Existencia[[#This Row],[EXISTENCIA]]</f>
        <v>16.072105319999999</v>
      </c>
      <c r="I1777" s="1">
        <f>IF(ISERROR(MATCH(Tabla_Items_Con_Existencia[[#This Row],[CODIGO]],Tabla_Items_Activos[CODIGO],0)),0,1)</f>
        <v>0</v>
      </c>
    </row>
    <row r="1778" spans="1:9">
      <c r="A1778" s="2" t="s">
        <v>6761</v>
      </c>
      <c r="B1778" s="2" t="s">
        <v>831</v>
      </c>
      <c r="C1778" s="2" t="s">
        <v>2384</v>
      </c>
      <c r="D1778" s="2" t="s">
        <v>5158</v>
      </c>
      <c r="E1778" s="2" t="s">
        <v>5159</v>
      </c>
      <c r="F1778" s="2">
        <v>0.59526316000000001</v>
      </c>
      <c r="G1778" s="2">
        <v>27</v>
      </c>
      <c r="H1778" s="2">
        <f>Tabla_Items_Con_Existencia[[#This Row],[COSTO]]*Tabla_Items_Con_Existencia[[#This Row],[EXISTENCIA]]</f>
        <v>16.072105319999999</v>
      </c>
      <c r="I1778" s="1">
        <f>IF(ISERROR(MATCH(Tabla_Items_Con_Existencia[[#This Row],[CODIGO]],Tabla_Items_Activos[CODIGO],0)),0,1)</f>
        <v>0</v>
      </c>
    </row>
    <row r="1779" spans="1:9">
      <c r="A1779" s="2" t="s">
        <v>6760</v>
      </c>
      <c r="B1779" s="2" t="s">
        <v>832</v>
      </c>
      <c r="C1779" s="2" t="s">
        <v>2385</v>
      </c>
      <c r="D1779" s="2" t="s">
        <v>5158</v>
      </c>
      <c r="E1779" s="2" t="s">
        <v>5159</v>
      </c>
      <c r="F1779" s="2">
        <v>1.018</v>
      </c>
      <c r="G1779" s="2">
        <v>4</v>
      </c>
      <c r="H1779" s="2">
        <f>Tabla_Items_Con_Existencia[[#This Row],[COSTO]]*Tabla_Items_Con_Existencia[[#This Row],[EXISTENCIA]]</f>
        <v>4.0720000000000001</v>
      </c>
      <c r="I1779" s="1">
        <f>IF(ISERROR(MATCH(Tabla_Items_Con_Existencia[[#This Row],[CODIGO]],Tabla_Items_Activos[CODIGO],0)),0,1)</f>
        <v>0</v>
      </c>
    </row>
    <row r="1780" spans="1:9">
      <c r="A1780" s="2" t="s">
        <v>6760</v>
      </c>
      <c r="B1780" s="2" t="s">
        <v>833</v>
      </c>
      <c r="C1780" s="2" t="s">
        <v>2386</v>
      </c>
      <c r="D1780" s="2" t="s">
        <v>5158</v>
      </c>
      <c r="E1780" s="2" t="s">
        <v>5159</v>
      </c>
      <c r="F1780" s="2">
        <v>0.439</v>
      </c>
      <c r="G1780" s="2">
        <v>10</v>
      </c>
      <c r="H1780" s="2">
        <f>Tabla_Items_Con_Existencia[[#This Row],[COSTO]]*Tabla_Items_Con_Existencia[[#This Row],[EXISTENCIA]]</f>
        <v>4.3899999999999997</v>
      </c>
      <c r="I1780" s="1">
        <f>IF(ISERROR(MATCH(Tabla_Items_Con_Existencia[[#This Row],[CODIGO]],Tabla_Items_Activos[CODIGO],0)),0,1)</f>
        <v>0</v>
      </c>
    </row>
    <row r="1781" spans="1:9">
      <c r="A1781" s="2" t="s">
        <v>6760</v>
      </c>
      <c r="B1781" s="2" t="s">
        <v>6682</v>
      </c>
      <c r="C1781" s="2" t="s">
        <v>4544</v>
      </c>
      <c r="D1781" s="2" t="s">
        <v>5186</v>
      </c>
      <c r="E1781" s="2" t="s">
        <v>5159</v>
      </c>
      <c r="F1781" s="2">
        <v>0.55900000000000005</v>
      </c>
      <c r="G1781" s="2">
        <v>7</v>
      </c>
      <c r="H1781" s="2">
        <f>Tabla_Items_Con_Existencia[[#This Row],[COSTO]]*Tabla_Items_Con_Existencia[[#This Row],[EXISTENCIA]]</f>
        <v>3.9130000000000003</v>
      </c>
      <c r="I1781" s="1">
        <f>IF(ISERROR(MATCH(Tabla_Items_Con_Existencia[[#This Row],[CODIGO]],Tabla_Items_Activos[CODIGO],0)),0,1)</f>
        <v>0</v>
      </c>
    </row>
    <row r="1782" spans="1:9">
      <c r="A1782" s="2" t="s">
        <v>6760</v>
      </c>
      <c r="B1782" s="2" t="s">
        <v>6683</v>
      </c>
      <c r="C1782" s="2" t="s">
        <v>4484</v>
      </c>
      <c r="D1782" s="2" t="s">
        <v>5186</v>
      </c>
      <c r="E1782" s="2" t="s">
        <v>5159</v>
      </c>
      <c r="F1782" s="2">
        <v>0.24299999999999999</v>
      </c>
      <c r="G1782" s="2">
        <v>5</v>
      </c>
      <c r="H1782" s="2">
        <f>Tabla_Items_Con_Existencia[[#This Row],[COSTO]]*Tabla_Items_Con_Existencia[[#This Row],[EXISTENCIA]]</f>
        <v>1.2149999999999999</v>
      </c>
      <c r="I1782" s="1">
        <f>IF(ISERROR(MATCH(Tabla_Items_Con_Existencia[[#This Row],[CODIGO]],Tabla_Items_Activos[CODIGO],0)),0,1)</f>
        <v>0</v>
      </c>
    </row>
    <row r="1783" spans="1:9">
      <c r="A1783" s="2" t="s">
        <v>6760</v>
      </c>
      <c r="B1783" s="2" t="s">
        <v>6684</v>
      </c>
      <c r="C1783" s="2" t="s">
        <v>4550</v>
      </c>
      <c r="D1783" s="2" t="s">
        <v>5186</v>
      </c>
      <c r="E1783" s="2" t="s">
        <v>5159</v>
      </c>
      <c r="F1783" s="2">
        <v>1.1759999999999999</v>
      </c>
      <c r="G1783" s="2">
        <v>7</v>
      </c>
      <c r="H1783" s="2">
        <f>Tabla_Items_Con_Existencia[[#This Row],[COSTO]]*Tabla_Items_Con_Existencia[[#This Row],[EXISTENCIA]]</f>
        <v>8.2319999999999993</v>
      </c>
      <c r="I1783" s="1">
        <f>IF(ISERROR(MATCH(Tabla_Items_Con_Existencia[[#This Row],[CODIGO]],Tabla_Items_Activos[CODIGO],0)),0,1)</f>
        <v>0</v>
      </c>
    </row>
    <row r="1784" spans="1:9">
      <c r="A1784" s="2" t="s">
        <v>6760</v>
      </c>
      <c r="B1784" s="2" t="s">
        <v>834</v>
      </c>
      <c r="C1784" s="2" t="s">
        <v>2387</v>
      </c>
      <c r="D1784" s="2" t="s">
        <v>5158</v>
      </c>
      <c r="E1784" s="2" t="s">
        <v>5159</v>
      </c>
      <c r="F1784" s="2">
        <v>0.45569999999999999</v>
      </c>
      <c r="G1784" s="2">
        <v>12</v>
      </c>
      <c r="H1784" s="2">
        <f>Tabla_Items_Con_Existencia[[#This Row],[COSTO]]*Tabla_Items_Con_Existencia[[#This Row],[EXISTENCIA]]</f>
        <v>5.4683999999999999</v>
      </c>
      <c r="I1784" s="1">
        <f>IF(ISERROR(MATCH(Tabla_Items_Con_Existencia[[#This Row],[CODIGO]],Tabla_Items_Activos[CODIGO],0)),0,1)</f>
        <v>0</v>
      </c>
    </row>
    <row r="1785" spans="1:9">
      <c r="A1785" s="2" t="s">
        <v>6760</v>
      </c>
      <c r="B1785" s="2" t="s">
        <v>835</v>
      </c>
      <c r="C1785" s="2" t="s">
        <v>2388</v>
      </c>
      <c r="D1785" s="2" t="s">
        <v>5158</v>
      </c>
      <c r="E1785" s="2" t="s">
        <v>5159</v>
      </c>
      <c r="F1785" s="2">
        <v>0.29389999999999999</v>
      </c>
      <c r="G1785" s="2">
        <v>37</v>
      </c>
      <c r="H1785" s="2">
        <f>Tabla_Items_Con_Existencia[[#This Row],[COSTO]]*Tabla_Items_Con_Existencia[[#This Row],[EXISTENCIA]]</f>
        <v>10.8743</v>
      </c>
      <c r="I1785" s="1">
        <f>IF(ISERROR(MATCH(Tabla_Items_Con_Existencia[[#This Row],[CODIGO]],Tabla_Items_Activos[CODIGO],0)),0,1)</f>
        <v>0</v>
      </c>
    </row>
    <row r="1786" spans="1:9">
      <c r="A1786" s="2" t="s">
        <v>6760</v>
      </c>
      <c r="B1786" s="2" t="s">
        <v>836</v>
      </c>
      <c r="C1786" s="2" t="s">
        <v>2389</v>
      </c>
      <c r="D1786" s="2" t="s">
        <v>5158</v>
      </c>
      <c r="E1786" s="2" t="s">
        <v>5159</v>
      </c>
      <c r="F1786" s="2">
        <v>0.4924</v>
      </c>
      <c r="G1786" s="2">
        <v>12</v>
      </c>
      <c r="H1786" s="2">
        <f>Tabla_Items_Con_Existencia[[#This Row],[COSTO]]*Tabla_Items_Con_Existencia[[#This Row],[EXISTENCIA]]</f>
        <v>5.9088000000000003</v>
      </c>
      <c r="I1786" s="1">
        <f>IF(ISERROR(MATCH(Tabla_Items_Con_Existencia[[#This Row],[CODIGO]],Tabla_Items_Activos[CODIGO],0)),0,1)</f>
        <v>0</v>
      </c>
    </row>
    <row r="1787" spans="1:9">
      <c r="A1787" s="2" t="s">
        <v>6760</v>
      </c>
      <c r="B1787" s="2" t="s">
        <v>6685</v>
      </c>
      <c r="C1787" s="2" t="s">
        <v>6686</v>
      </c>
      <c r="D1787" s="2" t="s">
        <v>5158</v>
      </c>
      <c r="E1787" s="2" t="s">
        <v>5159</v>
      </c>
      <c r="F1787" s="2">
        <v>0.3</v>
      </c>
      <c r="G1787" s="2">
        <v>1</v>
      </c>
      <c r="H1787" s="2">
        <f>Tabla_Items_Con_Existencia[[#This Row],[COSTO]]*Tabla_Items_Con_Existencia[[#This Row],[EXISTENCIA]]</f>
        <v>0.3</v>
      </c>
      <c r="I1787" s="1">
        <f>IF(ISERROR(MATCH(Tabla_Items_Con_Existencia[[#This Row],[CODIGO]],Tabla_Items_Activos[CODIGO],0)),0,1)</f>
        <v>0</v>
      </c>
    </row>
    <row r="1788" spans="1:9">
      <c r="A1788" s="2" t="s">
        <v>6760</v>
      </c>
      <c r="B1788" s="2" t="s">
        <v>6687</v>
      </c>
      <c r="C1788" s="2" t="s">
        <v>4478</v>
      </c>
      <c r="D1788" s="2" t="s">
        <v>5186</v>
      </c>
      <c r="E1788" s="2" t="s">
        <v>5159</v>
      </c>
      <c r="F1788" s="2">
        <v>0.158</v>
      </c>
      <c r="G1788" s="2">
        <v>3</v>
      </c>
      <c r="H1788" s="2">
        <f>Tabla_Items_Con_Existencia[[#This Row],[COSTO]]*Tabla_Items_Con_Existencia[[#This Row],[EXISTENCIA]]</f>
        <v>0.47399999999999998</v>
      </c>
      <c r="I1788" s="1">
        <f>IF(ISERROR(MATCH(Tabla_Items_Con_Existencia[[#This Row],[CODIGO]],Tabla_Items_Activos[CODIGO],0)),0,1)</f>
        <v>0</v>
      </c>
    </row>
    <row r="1789" spans="1:9">
      <c r="A1789" s="2" t="s">
        <v>6760</v>
      </c>
      <c r="B1789" s="2" t="s">
        <v>837</v>
      </c>
      <c r="C1789" s="2" t="s">
        <v>2390</v>
      </c>
      <c r="D1789" s="2" t="s">
        <v>5158</v>
      </c>
      <c r="E1789" s="2" t="s">
        <v>5159</v>
      </c>
      <c r="F1789" s="2">
        <v>0.98524210999999995</v>
      </c>
      <c r="G1789" s="2">
        <v>45</v>
      </c>
      <c r="H1789" s="2">
        <f>Tabla_Items_Con_Existencia[[#This Row],[COSTO]]*Tabla_Items_Con_Existencia[[#This Row],[EXISTENCIA]]</f>
        <v>44.335894949999997</v>
      </c>
      <c r="I1789" s="1">
        <f>IF(ISERROR(MATCH(Tabla_Items_Con_Existencia[[#This Row],[CODIGO]],Tabla_Items_Activos[CODIGO],0)),0,1)</f>
        <v>0</v>
      </c>
    </row>
    <row r="1790" spans="1:9">
      <c r="A1790" s="2" t="s">
        <v>6761</v>
      </c>
      <c r="B1790" s="2" t="s">
        <v>837</v>
      </c>
      <c r="C1790" s="2" t="s">
        <v>2390</v>
      </c>
      <c r="D1790" s="2" t="s">
        <v>5158</v>
      </c>
      <c r="E1790" s="2" t="s">
        <v>5159</v>
      </c>
      <c r="F1790" s="2">
        <v>0.98524210999999995</v>
      </c>
      <c r="G1790" s="2">
        <v>45</v>
      </c>
      <c r="H1790" s="2">
        <f>Tabla_Items_Con_Existencia[[#This Row],[COSTO]]*Tabla_Items_Con_Existencia[[#This Row],[EXISTENCIA]]</f>
        <v>44.335894949999997</v>
      </c>
      <c r="I1790" s="1">
        <f>IF(ISERROR(MATCH(Tabla_Items_Con_Existencia[[#This Row],[CODIGO]],Tabla_Items_Activos[CODIGO],0)),0,1)</f>
        <v>0</v>
      </c>
    </row>
    <row r="1791" spans="1:9">
      <c r="A1791" s="2" t="s">
        <v>6760</v>
      </c>
      <c r="B1791" s="2" t="s">
        <v>6300</v>
      </c>
      <c r="C1791" s="2" t="s">
        <v>4456</v>
      </c>
      <c r="D1791" s="2" t="s">
        <v>5158</v>
      </c>
      <c r="E1791" s="2" t="s">
        <v>5159</v>
      </c>
      <c r="F1791" s="2">
        <v>1.1580315800000001</v>
      </c>
      <c r="G1791" s="2">
        <v>33</v>
      </c>
      <c r="H1791" s="2">
        <f>Tabla_Items_Con_Existencia[[#This Row],[COSTO]]*Tabla_Items_Con_Existencia[[#This Row],[EXISTENCIA]]</f>
        <v>38.215042140000001</v>
      </c>
      <c r="I1791" s="1">
        <f>IF(ISERROR(MATCH(Tabla_Items_Con_Existencia[[#This Row],[CODIGO]],Tabla_Items_Activos[CODIGO],0)),0,1)</f>
        <v>0</v>
      </c>
    </row>
    <row r="1792" spans="1:9">
      <c r="A1792" s="2" t="s">
        <v>6761</v>
      </c>
      <c r="B1792" s="2" t="s">
        <v>6300</v>
      </c>
      <c r="C1792" s="2" t="s">
        <v>4456</v>
      </c>
      <c r="D1792" s="2" t="s">
        <v>5158</v>
      </c>
      <c r="E1792" s="2" t="s">
        <v>5159</v>
      </c>
      <c r="F1792" s="2">
        <v>1.1580315800000001</v>
      </c>
      <c r="G1792" s="2">
        <v>33</v>
      </c>
      <c r="H1792" s="2">
        <f>Tabla_Items_Con_Existencia[[#This Row],[COSTO]]*Tabla_Items_Con_Existencia[[#This Row],[EXISTENCIA]]</f>
        <v>38.215042140000001</v>
      </c>
      <c r="I1792" s="1">
        <f>IF(ISERROR(MATCH(Tabla_Items_Con_Existencia[[#This Row],[CODIGO]],Tabla_Items_Activos[CODIGO],0)),0,1)</f>
        <v>0</v>
      </c>
    </row>
    <row r="1793" spans="1:9">
      <c r="A1793" s="2" t="s">
        <v>6760</v>
      </c>
      <c r="B1793" s="2" t="s">
        <v>838</v>
      </c>
      <c r="C1793" s="2" t="s">
        <v>2391</v>
      </c>
      <c r="D1793" s="2" t="s">
        <v>5158</v>
      </c>
      <c r="E1793" s="2" t="s">
        <v>5159</v>
      </c>
      <c r="F1793" s="2">
        <v>2.4609000000000001</v>
      </c>
      <c r="G1793" s="2">
        <v>90</v>
      </c>
      <c r="H1793" s="2">
        <f>Tabla_Items_Con_Existencia[[#This Row],[COSTO]]*Tabla_Items_Con_Existencia[[#This Row],[EXISTENCIA]]</f>
        <v>221.48099999999999</v>
      </c>
      <c r="I1793" s="1">
        <f>IF(ISERROR(MATCH(Tabla_Items_Con_Existencia[[#This Row],[CODIGO]],Tabla_Items_Activos[CODIGO],0)),0,1)</f>
        <v>0</v>
      </c>
    </row>
    <row r="1794" spans="1:9">
      <c r="A1794" s="2" t="s">
        <v>6761</v>
      </c>
      <c r="B1794" s="2" t="s">
        <v>838</v>
      </c>
      <c r="C1794" s="2" t="s">
        <v>2391</v>
      </c>
      <c r="D1794" s="2" t="s">
        <v>5158</v>
      </c>
      <c r="E1794" s="2" t="s">
        <v>5159</v>
      </c>
      <c r="F1794" s="2">
        <v>2.4609000000000001</v>
      </c>
      <c r="G1794" s="2">
        <v>90</v>
      </c>
      <c r="H1794" s="2">
        <f>Tabla_Items_Con_Existencia[[#This Row],[COSTO]]*Tabla_Items_Con_Existencia[[#This Row],[EXISTENCIA]]</f>
        <v>221.48099999999999</v>
      </c>
      <c r="I1794" s="1">
        <f>IF(ISERROR(MATCH(Tabla_Items_Con_Existencia[[#This Row],[CODIGO]],Tabla_Items_Activos[CODIGO],0)),0,1)</f>
        <v>0</v>
      </c>
    </row>
    <row r="1795" spans="1:9">
      <c r="A1795" s="2" t="s">
        <v>6760</v>
      </c>
      <c r="B1795" s="2" t="s">
        <v>839</v>
      </c>
      <c r="C1795" s="2" t="s">
        <v>2392</v>
      </c>
      <c r="D1795" s="2" t="s">
        <v>5186</v>
      </c>
      <c r="E1795" s="2" t="s">
        <v>5159</v>
      </c>
      <c r="F1795" s="2">
        <v>3.3390736799999998</v>
      </c>
      <c r="G1795" s="2">
        <v>47</v>
      </c>
      <c r="H1795" s="2">
        <f>Tabla_Items_Con_Existencia[[#This Row],[COSTO]]*Tabla_Items_Con_Existencia[[#This Row],[EXISTENCIA]]</f>
        <v>156.93646296</v>
      </c>
      <c r="I1795" s="1">
        <f>IF(ISERROR(MATCH(Tabla_Items_Con_Existencia[[#This Row],[CODIGO]],Tabla_Items_Activos[CODIGO],0)),0,1)</f>
        <v>0</v>
      </c>
    </row>
    <row r="1796" spans="1:9">
      <c r="A1796" s="2" t="s">
        <v>6761</v>
      </c>
      <c r="B1796" s="2" t="s">
        <v>839</v>
      </c>
      <c r="C1796" s="2" t="s">
        <v>2392</v>
      </c>
      <c r="D1796" s="2" t="s">
        <v>5186</v>
      </c>
      <c r="E1796" s="2" t="s">
        <v>5159</v>
      </c>
      <c r="F1796" s="2">
        <v>3.3390736799999998</v>
      </c>
      <c r="G1796" s="2">
        <v>47</v>
      </c>
      <c r="H1796" s="2">
        <f>Tabla_Items_Con_Existencia[[#This Row],[COSTO]]*Tabla_Items_Con_Existencia[[#This Row],[EXISTENCIA]]</f>
        <v>156.93646296</v>
      </c>
      <c r="I1796" s="1">
        <f>IF(ISERROR(MATCH(Tabla_Items_Con_Existencia[[#This Row],[CODIGO]],Tabla_Items_Activos[CODIGO],0)),0,1)</f>
        <v>0</v>
      </c>
    </row>
    <row r="1797" spans="1:9">
      <c r="A1797" s="2" t="s">
        <v>6760</v>
      </c>
      <c r="B1797" s="2" t="s">
        <v>840</v>
      </c>
      <c r="C1797" s="2" t="s">
        <v>5538</v>
      </c>
      <c r="D1797" s="2" t="s">
        <v>5158</v>
      </c>
      <c r="E1797" s="2" t="s">
        <v>5159</v>
      </c>
      <c r="F1797" s="2">
        <v>0.99</v>
      </c>
      <c r="G1797" s="2">
        <v>10</v>
      </c>
      <c r="H1797" s="2">
        <f>Tabla_Items_Con_Existencia[[#This Row],[COSTO]]*Tabla_Items_Con_Existencia[[#This Row],[EXISTENCIA]]</f>
        <v>9.9</v>
      </c>
      <c r="I1797" s="1">
        <f>IF(ISERROR(MATCH(Tabla_Items_Con_Existencia[[#This Row],[CODIGO]],Tabla_Items_Activos[CODIGO],0)),0,1)</f>
        <v>0</v>
      </c>
    </row>
    <row r="1798" spans="1:9">
      <c r="A1798" s="2" t="s">
        <v>6760</v>
      </c>
      <c r="B1798" s="2" t="s">
        <v>2393</v>
      </c>
      <c r="C1798" s="2" t="s">
        <v>2394</v>
      </c>
      <c r="D1798" s="2" t="s">
        <v>5186</v>
      </c>
      <c r="E1798" s="2" t="s">
        <v>5159</v>
      </c>
      <c r="F1798" s="2">
        <v>3.9191052599999998</v>
      </c>
      <c r="G1798" s="2">
        <v>41</v>
      </c>
      <c r="H1798" s="2">
        <f>Tabla_Items_Con_Existencia[[#This Row],[COSTO]]*Tabla_Items_Con_Existencia[[#This Row],[EXISTENCIA]]</f>
        <v>160.68331566000001</v>
      </c>
      <c r="I1798" s="1">
        <f>IF(ISERROR(MATCH(Tabla_Items_Con_Existencia[[#This Row],[CODIGO]],Tabla_Items_Activos[CODIGO],0)),0,1)</f>
        <v>0</v>
      </c>
    </row>
    <row r="1799" spans="1:9">
      <c r="A1799" s="2" t="s">
        <v>6761</v>
      </c>
      <c r="B1799" s="2" t="s">
        <v>2393</v>
      </c>
      <c r="C1799" s="2" t="s">
        <v>2394</v>
      </c>
      <c r="D1799" s="2" t="s">
        <v>5186</v>
      </c>
      <c r="E1799" s="2" t="s">
        <v>5159</v>
      </c>
      <c r="F1799" s="2">
        <v>3.9191052599999998</v>
      </c>
      <c r="G1799" s="2">
        <v>41</v>
      </c>
      <c r="H1799" s="2">
        <f>Tabla_Items_Con_Existencia[[#This Row],[COSTO]]*Tabla_Items_Con_Existencia[[#This Row],[EXISTENCIA]]</f>
        <v>160.68331566000001</v>
      </c>
      <c r="I1799" s="1">
        <f>IF(ISERROR(MATCH(Tabla_Items_Con_Existencia[[#This Row],[CODIGO]],Tabla_Items_Activos[CODIGO],0)),0,1)</f>
        <v>0</v>
      </c>
    </row>
    <row r="1800" spans="1:9">
      <c r="A1800" s="2" t="s">
        <v>6760</v>
      </c>
      <c r="B1800" s="2" t="s">
        <v>841</v>
      </c>
      <c r="C1800" s="2" t="s">
        <v>2395</v>
      </c>
      <c r="D1800" s="2" t="s">
        <v>5158</v>
      </c>
      <c r="E1800" s="2" t="s">
        <v>5159</v>
      </c>
      <c r="F1800" s="2">
        <v>1.81029474</v>
      </c>
      <c r="G1800" s="2">
        <v>37</v>
      </c>
      <c r="H1800" s="2">
        <f>Tabla_Items_Con_Existencia[[#This Row],[COSTO]]*Tabla_Items_Con_Existencia[[#This Row],[EXISTENCIA]]</f>
        <v>66.980905379999996</v>
      </c>
      <c r="I1800" s="1">
        <f>IF(ISERROR(MATCH(Tabla_Items_Con_Existencia[[#This Row],[CODIGO]],Tabla_Items_Activos[CODIGO],0)),0,1)</f>
        <v>0</v>
      </c>
    </row>
    <row r="1801" spans="1:9">
      <c r="A1801" s="2" t="s">
        <v>6761</v>
      </c>
      <c r="B1801" s="2" t="s">
        <v>841</v>
      </c>
      <c r="C1801" s="2" t="s">
        <v>2395</v>
      </c>
      <c r="D1801" s="2" t="s">
        <v>5158</v>
      </c>
      <c r="E1801" s="2" t="s">
        <v>5159</v>
      </c>
      <c r="F1801" s="2">
        <v>1.81029474</v>
      </c>
      <c r="G1801" s="2">
        <v>37</v>
      </c>
      <c r="H1801" s="2">
        <f>Tabla_Items_Con_Existencia[[#This Row],[COSTO]]*Tabla_Items_Con_Existencia[[#This Row],[EXISTENCIA]]</f>
        <v>66.980905379999996</v>
      </c>
      <c r="I1801" s="1">
        <f>IF(ISERROR(MATCH(Tabla_Items_Con_Existencia[[#This Row],[CODIGO]],Tabla_Items_Activos[CODIGO],0)),0,1)</f>
        <v>0</v>
      </c>
    </row>
    <row r="1802" spans="1:9">
      <c r="A1802" s="2" t="s">
        <v>6760</v>
      </c>
      <c r="B1802" s="2" t="s">
        <v>6688</v>
      </c>
      <c r="C1802" s="2" t="s">
        <v>6689</v>
      </c>
      <c r="D1802" s="2" t="s">
        <v>5158</v>
      </c>
      <c r="E1802" s="2" t="s">
        <v>5159</v>
      </c>
      <c r="F1802" s="2">
        <v>2.9950000000000001</v>
      </c>
      <c r="G1802" s="2">
        <v>2</v>
      </c>
      <c r="H1802" s="2">
        <f>Tabla_Items_Con_Existencia[[#This Row],[COSTO]]*Tabla_Items_Con_Existencia[[#This Row],[EXISTENCIA]]</f>
        <v>5.99</v>
      </c>
      <c r="I1802" s="1">
        <f>IF(ISERROR(MATCH(Tabla_Items_Con_Existencia[[#This Row],[CODIGO]],Tabla_Items_Activos[CODIGO],0)),0,1)</f>
        <v>0</v>
      </c>
    </row>
    <row r="1803" spans="1:9">
      <c r="A1803" s="2" t="s">
        <v>6760</v>
      </c>
      <c r="B1803" s="2" t="s">
        <v>6690</v>
      </c>
      <c r="C1803" s="2" t="s">
        <v>4314</v>
      </c>
      <c r="D1803" s="2" t="s">
        <v>5158</v>
      </c>
      <c r="E1803" s="2" t="s">
        <v>5159</v>
      </c>
      <c r="F1803" s="2">
        <v>4.367</v>
      </c>
      <c r="G1803" s="2">
        <v>1</v>
      </c>
      <c r="H1803" s="2">
        <f>Tabla_Items_Con_Existencia[[#This Row],[COSTO]]*Tabla_Items_Con_Existencia[[#This Row],[EXISTENCIA]]</f>
        <v>4.367</v>
      </c>
      <c r="I1803" s="1">
        <f>IF(ISERROR(MATCH(Tabla_Items_Con_Existencia[[#This Row],[CODIGO]],Tabla_Items_Activos[CODIGO],0)),0,1)</f>
        <v>0</v>
      </c>
    </row>
    <row r="1804" spans="1:9">
      <c r="A1804" s="2" t="s">
        <v>6760</v>
      </c>
      <c r="B1804" s="2" t="s">
        <v>6691</v>
      </c>
      <c r="C1804" s="2" t="s">
        <v>4458</v>
      </c>
      <c r="D1804" s="2" t="s">
        <v>5158</v>
      </c>
      <c r="E1804" s="2" t="s">
        <v>5159</v>
      </c>
      <c r="F1804" s="2">
        <v>2.8889999999999998</v>
      </c>
      <c r="G1804" s="2">
        <v>5</v>
      </c>
      <c r="H1804" s="2">
        <f>Tabla_Items_Con_Existencia[[#This Row],[COSTO]]*Tabla_Items_Con_Existencia[[#This Row],[EXISTENCIA]]</f>
        <v>14.444999999999999</v>
      </c>
      <c r="I1804" s="1">
        <f>IF(ISERROR(MATCH(Tabla_Items_Con_Existencia[[#This Row],[CODIGO]],Tabla_Items_Activos[CODIGO],0)),0,1)</f>
        <v>0</v>
      </c>
    </row>
    <row r="1805" spans="1:9">
      <c r="A1805" s="2" t="s">
        <v>6760</v>
      </c>
      <c r="B1805" s="2" t="s">
        <v>6692</v>
      </c>
      <c r="C1805" s="2" t="s">
        <v>6693</v>
      </c>
      <c r="D1805" s="2" t="s">
        <v>5186</v>
      </c>
      <c r="E1805" s="2" t="s">
        <v>5159</v>
      </c>
      <c r="F1805" s="2">
        <v>2.20294737</v>
      </c>
      <c r="G1805" s="2">
        <v>10</v>
      </c>
      <c r="H1805" s="2">
        <f>Tabla_Items_Con_Existencia[[#This Row],[COSTO]]*Tabla_Items_Con_Existencia[[#This Row],[EXISTENCIA]]</f>
        <v>22.0294737</v>
      </c>
      <c r="I1805" s="1">
        <f>IF(ISERROR(MATCH(Tabla_Items_Con_Existencia[[#This Row],[CODIGO]],Tabla_Items_Activos[CODIGO],0)),0,1)</f>
        <v>0</v>
      </c>
    </row>
    <row r="1806" spans="1:9">
      <c r="A1806" s="2" t="s">
        <v>6761</v>
      </c>
      <c r="B1806" s="2" t="s">
        <v>6692</v>
      </c>
      <c r="C1806" s="2" t="s">
        <v>6693</v>
      </c>
      <c r="D1806" s="2" t="s">
        <v>5186</v>
      </c>
      <c r="E1806" s="2" t="s">
        <v>5159</v>
      </c>
      <c r="F1806" s="2">
        <v>2.20294737</v>
      </c>
      <c r="G1806" s="2">
        <v>10</v>
      </c>
      <c r="H1806" s="2">
        <f>Tabla_Items_Con_Existencia[[#This Row],[COSTO]]*Tabla_Items_Con_Existencia[[#This Row],[EXISTENCIA]]</f>
        <v>22.0294737</v>
      </c>
      <c r="I1806" s="1">
        <f>IF(ISERROR(MATCH(Tabla_Items_Con_Existencia[[#This Row],[CODIGO]],Tabla_Items_Activos[CODIGO],0)),0,1)</f>
        <v>0</v>
      </c>
    </row>
    <row r="1807" spans="1:9">
      <c r="A1807" s="2" t="s">
        <v>6760</v>
      </c>
      <c r="B1807" s="2" t="s">
        <v>842</v>
      </c>
      <c r="C1807" s="2" t="s">
        <v>2396</v>
      </c>
      <c r="D1807" s="2" t="s">
        <v>5158</v>
      </c>
      <c r="E1807" s="2" t="s">
        <v>5159</v>
      </c>
      <c r="F1807" s="2">
        <v>0.3</v>
      </c>
      <c r="G1807" s="2">
        <v>19</v>
      </c>
      <c r="H1807" s="2">
        <f>Tabla_Items_Con_Existencia[[#This Row],[COSTO]]*Tabla_Items_Con_Existencia[[#This Row],[EXISTENCIA]]</f>
        <v>5.7</v>
      </c>
      <c r="I1807" s="1">
        <f>IF(ISERROR(MATCH(Tabla_Items_Con_Existencia[[#This Row],[CODIGO]],Tabla_Items_Activos[CODIGO],0)),0,1)</f>
        <v>0</v>
      </c>
    </row>
    <row r="1808" spans="1:9">
      <c r="A1808" s="2" t="s">
        <v>6760</v>
      </c>
      <c r="B1808" s="2" t="s">
        <v>6694</v>
      </c>
      <c r="C1808" s="2" t="s">
        <v>4391</v>
      </c>
      <c r="D1808" s="2" t="s">
        <v>5158</v>
      </c>
      <c r="E1808" s="2" t="s">
        <v>5159</v>
      </c>
      <c r="F1808" s="2">
        <v>0.28000000000000003</v>
      </c>
      <c r="G1808" s="2">
        <v>10</v>
      </c>
      <c r="H1808" s="2">
        <f>Tabla_Items_Con_Existencia[[#This Row],[COSTO]]*Tabla_Items_Con_Existencia[[#This Row],[EXISTENCIA]]</f>
        <v>2.8000000000000003</v>
      </c>
      <c r="I1808" s="1">
        <f>IF(ISERROR(MATCH(Tabla_Items_Con_Existencia[[#This Row],[CODIGO]],Tabla_Items_Activos[CODIGO],0)),0,1)</f>
        <v>0</v>
      </c>
    </row>
    <row r="1809" spans="1:9">
      <c r="A1809" s="2" t="s">
        <v>6760</v>
      </c>
      <c r="B1809" s="2" t="s">
        <v>6695</v>
      </c>
      <c r="C1809" s="2" t="s">
        <v>4537</v>
      </c>
      <c r="D1809" s="2" t="s">
        <v>5186</v>
      </c>
      <c r="E1809" s="2" t="s">
        <v>5159</v>
      </c>
      <c r="F1809" s="2">
        <v>0.29220000000000002</v>
      </c>
      <c r="G1809" s="2">
        <v>9</v>
      </c>
      <c r="H1809" s="2">
        <f>Tabla_Items_Con_Existencia[[#This Row],[COSTO]]*Tabla_Items_Con_Existencia[[#This Row],[EXISTENCIA]]</f>
        <v>2.6298000000000004</v>
      </c>
      <c r="I1809" s="1">
        <f>IF(ISERROR(MATCH(Tabla_Items_Con_Existencia[[#This Row],[CODIGO]],Tabla_Items_Activos[CODIGO],0)),0,1)</f>
        <v>0</v>
      </c>
    </row>
    <row r="1810" spans="1:9">
      <c r="A1810" s="2" t="s">
        <v>6760</v>
      </c>
      <c r="B1810" s="2" t="s">
        <v>6696</v>
      </c>
      <c r="C1810" s="2" t="s">
        <v>6985</v>
      </c>
      <c r="D1810" s="2" t="s">
        <v>5158</v>
      </c>
      <c r="E1810" s="2" t="s">
        <v>5159</v>
      </c>
      <c r="F1810" s="2">
        <v>0.12</v>
      </c>
      <c r="G1810" s="2">
        <v>10</v>
      </c>
      <c r="H1810" s="2">
        <f>Tabla_Items_Con_Existencia[[#This Row],[COSTO]]*Tabla_Items_Con_Existencia[[#This Row],[EXISTENCIA]]</f>
        <v>1.2</v>
      </c>
      <c r="I1810" s="1">
        <f>IF(ISERROR(MATCH(Tabla_Items_Con_Existencia[[#This Row],[CODIGO]],Tabla_Items_Activos[CODIGO],0)),0,1)</f>
        <v>0</v>
      </c>
    </row>
    <row r="1811" spans="1:9">
      <c r="A1811" s="2" t="s">
        <v>6760</v>
      </c>
      <c r="B1811" s="2" t="s">
        <v>2398</v>
      </c>
      <c r="C1811" s="2" t="s">
        <v>2399</v>
      </c>
      <c r="D1811" s="2" t="s">
        <v>5158</v>
      </c>
      <c r="E1811" s="2" t="s">
        <v>5159</v>
      </c>
      <c r="F1811" s="2">
        <v>2.9919157900000002</v>
      </c>
      <c r="G1811" s="2">
        <v>6</v>
      </c>
      <c r="H1811" s="2">
        <f>Tabla_Items_Con_Existencia[[#This Row],[COSTO]]*Tabla_Items_Con_Existencia[[#This Row],[EXISTENCIA]]</f>
        <v>17.951494740000001</v>
      </c>
      <c r="I1811" s="1">
        <f>IF(ISERROR(MATCH(Tabla_Items_Con_Existencia[[#This Row],[CODIGO]],Tabla_Items_Activos[CODIGO],0)),0,1)</f>
        <v>0</v>
      </c>
    </row>
    <row r="1812" spans="1:9">
      <c r="A1812" s="2" t="s">
        <v>6761</v>
      </c>
      <c r="B1812" s="2" t="s">
        <v>2398</v>
      </c>
      <c r="C1812" s="2" t="s">
        <v>2399</v>
      </c>
      <c r="D1812" s="2" t="s">
        <v>5158</v>
      </c>
      <c r="E1812" s="2" t="s">
        <v>5159</v>
      </c>
      <c r="F1812" s="2">
        <v>2.9919157900000002</v>
      </c>
      <c r="G1812" s="2">
        <v>6</v>
      </c>
      <c r="H1812" s="2">
        <f>Tabla_Items_Con_Existencia[[#This Row],[COSTO]]*Tabla_Items_Con_Existencia[[#This Row],[EXISTENCIA]]</f>
        <v>17.951494740000001</v>
      </c>
      <c r="I1812" s="1">
        <f>IF(ISERROR(MATCH(Tabla_Items_Con_Existencia[[#This Row],[CODIGO]],Tabla_Items_Activos[CODIGO],0)),0,1)</f>
        <v>0</v>
      </c>
    </row>
    <row r="1813" spans="1:9">
      <c r="A1813" s="2" t="s">
        <v>6760</v>
      </c>
      <c r="B1813" s="2" t="s">
        <v>6697</v>
      </c>
      <c r="C1813" s="2" t="s">
        <v>6986</v>
      </c>
      <c r="D1813" s="2" t="s">
        <v>5158</v>
      </c>
      <c r="E1813" s="2" t="s">
        <v>5159</v>
      </c>
      <c r="F1813" s="2">
        <v>1.5760000000000001</v>
      </c>
      <c r="G1813" s="2">
        <v>4</v>
      </c>
      <c r="H1813" s="2">
        <f>Tabla_Items_Con_Existencia[[#This Row],[COSTO]]*Tabla_Items_Con_Existencia[[#This Row],[EXISTENCIA]]</f>
        <v>6.3040000000000003</v>
      </c>
      <c r="I1813" s="1">
        <f>IF(ISERROR(MATCH(Tabla_Items_Con_Existencia[[#This Row],[CODIGO]],Tabla_Items_Activos[CODIGO],0)),0,1)</f>
        <v>0</v>
      </c>
    </row>
    <row r="1814" spans="1:9">
      <c r="A1814" s="2" t="s">
        <v>6760</v>
      </c>
      <c r="B1814" s="2" t="s">
        <v>845</v>
      </c>
      <c r="C1814" s="2" t="s">
        <v>6339</v>
      </c>
      <c r="D1814" s="2" t="s">
        <v>5158</v>
      </c>
      <c r="E1814" s="2" t="s">
        <v>5159</v>
      </c>
      <c r="F1814" s="2">
        <v>0.66830000000000001</v>
      </c>
      <c r="G1814" s="2">
        <v>68</v>
      </c>
      <c r="H1814" s="2">
        <f>Tabla_Items_Con_Existencia[[#This Row],[COSTO]]*Tabla_Items_Con_Existencia[[#This Row],[EXISTENCIA]]</f>
        <v>45.444400000000002</v>
      </c>
      <c r="I1814" s="1">
        <f>IF(ISERROR(MATCH(Tabla_Items_Con_Existencia[[#This Row],[CODIGO]],Tabla_Items_Activos[CODIGO],0)),0,1)</f>
        <v>0</v>
      </c>
    </row>
    <row r="1815" spans="1:9">
      <c r="A1815" s="2" t="s">
        <v>6760</v>
      </c>
      <c r="B1815" s="2" t="s">
        <v>2401</v>
      </c>
      <c r="C1815" s="2" t="s">
        <v>2402</v>
      </c>
      <c r="D1815" s="2" t="s">
        <v>5158</v>
      </c>
      <c r="E1815" s="2" t="s">
        <v>5159</v>
      </c>
      <c r="F1815" s="2">
        <v>0.64300000000000002</v>
      </c>
      <c r="G1815" s="2">
        <v>4</v>
      </c>
      <c r="H1815" s="2">
        <f>Tabla_Items_Con_Existencia[[#This Row],[COSTO]]*Tabla_Items_Con_Existencia[[#This Row],[EXISTENCIA]]</f>
        <v>2.5720000000000001</v>
      </c>
      <c r="I1815" s="1">
        <f>IF(ISERROR(MATCH(Tabla_Items_Con_Existencia[[#This Row],[CODIGO]],Tabla_Items_Activos[CODIGO],0)),0,1)</f>
        <v>0</v>
      </c>
    </row>
    <row r="1816" spans="1:9">
      <c r="A1816" s="2" t="s">
        <v>6760</v>
      </c>
      <c r="B1816" s="2" t="s">
        <v>2403</v>
      </c>
      <c r="C1816" s="2" t="s">
        <v>2404</v>
      </c>
      <c r="D1816" s="2" t="s">
        <v>5186</v>
      </c>
      <c r="E1816" s="2" t="s">
        <v>5159</v>
      </c>
      <c r="F1816" s="2">
        <v>1.83</v>
      </c>
      <c r="G1816" s="2">
        <v>5</v>
      </c>
      <c r="H1816" s="2">
        <f>Tabla_Items_Con_Existencia[[#This Row],[COSTO]]*Tabla_Items_Con_Existencia[[#This Row],[EXISTENCIA]]</f>
        <v>9.15</v>
      </c>
      <c r="I1816" s="1">
        <f>IF(ISERROR(MATCH(Tabla_Items_Con_Existencia[[#This Row],[CODIGO]],Tabla_Items_Activos[CODIGO],0)),0,1)</f>
        <v>0</v>
      </c>
    </row>
    <row r="1817" spans="1:9">
      <c r="A1817" s="2" t="s">
        <v>6760</v>
      </c>
      <c r="B1817" s="2" t="s">
        <v>2405</v>
      </c>
      <c r="C1817" s="2" t="s">
        <v>2406</v>
      </c>
      <c r="D1817" s="2" t="s">
        <v>5186</v>
      </c>
      <c r="E1817" s="2" t="s">
        <v>5159</v>
      </c>
      <c r="F1817" s="2">
        <v>1.83</v>
      </c>
      <c r="G1817" s="2">
        <v>5</v>
      </c>
      <c r="H1817" s="2">
        <f>Tabla_Items_Con_Existencia[[#This Row],[COSTO]]*Tabla_Items_Con_Existencia[[#This Row],[EXISTENCIA]]</f>
        <v>9.15</v>
      </c>
      <c r="I1817" s="1">
        <f>IF(ISERROR(MATCH(Tabla_Items_Con_Existencia[[#This Row],[CODIGO]],Tabla_Items_Activos[CODIGO],0)),0,1)</f>
        <v>0</v>
      </c>
    </row>
    <row r="1818" spans="1:9">
      <c r="A1818" s="2" t="s">
        <v>6760</v>
      </c>
      <c r="B1818" s="2" t="s">
        <v>846</v>
      </c>
      <c r="C1818" s="2" t="s">
        <v>6698</v>
      </c>
      <c r="D1818" s="2" t="s">
        <v>5158</v>
      </c>
      <c r="E1818" s="2" t="s">
        <v>5159</v>
      </c>
      <c r="F1818" s="2">
        <v>7.05</v>
      </c>
      <c r="G1818" s="2">
        <v>1</v>
      </c>
      <c r="H1818" s="2">
        <f>Tabla_Items_Con_Existencia[[#This Row],[COSTO]]*Tabla_Items_Con_Existencia[[#This Row],[EXISTENCIA]]</f>
        <v>7.05</v>
      </c>
      <c r="I1818" s="1">
        <f>IF(ISERROR(MATCH(Tabla_Items_Con_Existencia[[#This Row],[CODIGO]],Tabla_Items_Activos[CODIGO],0)),0,1)</f>
        <v>0</v>
      </c>
    </row>
    <row r="1819" spans="1:9">
      <c r="A1819" s="2" t="s">
        <v>6760</v>
      </c>
      <c r="B1819" s="2" t="s">
        <v>847</v>
      </c>
      <c r="C1819" s="2" t="s">
        <v>2408</v>
      </c>
      <c r="D1819" s="2" t="s">
        <v>5158</v>
      </c>
      <c r="E1819" s="2" t="s">
        <v>5159</v>
      </c>
      <c r="F1819" s="2">
        <v>10.70650526</v>
      </c>
      <c r="G1819" s="2">
        <v>15</v>
      </c>
      <c r="H1819" s="2">
        <f>Tabla_Items_Con_Existencia[[#This Row],[COSTO]]*Tabla_Items_Con_Existencia[[#This Row],[EXISTENCIA]]</f>
        <v>160.5975789</v>
      </c>
      <c r="I1819" s="1">
        <f>IF(ISERROR(MATCH(Tabla_Items_Con_Existencia[[#This Row],[CODIGO]],Tabla_Items_Activos[CODIGO],0)),0,1)</f>
        <v>0</v>
      </c>
    </row>
    <row r="1820" spans="1:9">
      <c r="A1820" s="2" t="s">
        <v>6761</v>
      </c>
      <c r="B1820" s="2" t="s">
        <v>847</v>
      </c>
      <c r="C1820" s="2" t="s">
        <v>2408</v>
      </c>
      <c r="D1820" s="2" t="s">
        <v>5158</v>
      </c>
      <c r="E1820" s="2" t="s">
        <v>5159</v>
      </c>
      <c r="F1820" s="2">
        <v>10.70650526</v>
      </c>
      <c r="G1820" s="2">
        <v>15</v>
      </c>
      <c r="H1820" s="2">
        <f>Tabla_Items_Con_Existencia[[#This Row],[COSTO]]*Tabla_Items_Con_Existencia[[#This Row],[EXISTENCIA]]</f>
        <v>160.5975789</v>
      </c>
      <c r="I1820" s="1">
        <f>IF(ISERROR(MATCH(Tabla_Items_Con_Existencia[[#This Row],[CODIGO]],Tabla_Items_Activos[CODIGO],0)),0,1)</f>
        <v>0</v>
      </c>
    </row>
    <row r="1821" spans="1:9">
      <c r="A1821" s="2" t="s">
        <v>6760</v>
      </c>
      <c r="B1821" s="2" t="s">
        <v>848</v>
      </c>
      <c r="C1821" s="2" t="s">
        <v>2409</v>
      </c>
      <c r="D1821" s="2" t="s">
        <v>5158</v>
      </c>
      <c r="E1821" s="2" t="s">
        <v>5159</v>
      </c>
      <c r="F1821" s="2">
        <v>9.4278526300000003</v>
      </c>
      <c r="G1821" s="2">
        <v>20</v>
      </c>
      <c r="H1821" s="2">
        <f>Tabla_Items_Con_Existencia[[#This Row],[COSTO]]*Tabla_Items_Con_Existencia[[#This Row],[EXISTENCIA]]</f>
        <v>188.55705260000002</v>
      </c>
      <c r="I1821" s="1">
        <f>IF(ISERROR(MATCH(Tabla_Items_Con_Existencia[[#This Row],[CODIGO]],Tabla_Items_Activos[CODIGO],0)),0,1)</f>
        <v>0</v>
      </c>
    </row>
    <row r="1822" spans="1:9">
      <c r="A1822" s="2" t="s">
        <v>6761</v>
      </c>
      <c r="B1822" s="2" t="s">
        <v>848</v>
      </c>
      <c r="C1822" s="2" t="s">
        <v>2409</v>
      </c>
      <c r="D1822" s="2" t="s">
        <v>5158</v>
      </c>
      <c r="E1822" s="2" t="s">
        <v>5159</v>
      </c>
      <c r="F1822" s="2">
        <v>9.4278526300000003</v>
      </c>
      <c r="G1822" s="2">
        <v>20</v>
      </c>
      <c r="H1822" s="2">
        <f>Tabla_Items_Con_Existencia[[#This Row],[COSTO]]*Tabla_Items_Con_Existencia[[#This Row],[EXISTENCIA]]</f>
        <v>188.55705260000002</v>
      </c>
      <c r="I1822" s="1">
        <f>IF(ISERROR(MATCH(Tabla_Items_Con_Existencia[[#This Row],[CODIGO]],Tabla_Items_Activos[CODIGO],0)),0,1)</f>
        <v>0</v>
      </c>
    </row>
    <row r="1823" spans="1:9">
      <c r="A1823" s="2" t="s">
        <v>6761</v>
      </c>
      <c r="B1823" s="2" t="s">
        <v>849</v>
      </c>
      <c r="C1823" s="2" t="s">
        <v>2410</v>
      </c>
      <c r="D1823" s="2" t="s">
        <v>5158</v>
      </c>
      <c r="E1823" s="2" t="s">
        <v>5159</v>
      </c>
      <c r="F1823" s="2">
        <v>5.54688421</v>
      </c>
      <c r="G1823" s="2">
        <v>11</v>
      </c>
      <c r="H1823" s="2">
        <f>Tabla_Items_Con_Existencia[[#This Row],[COSTO]]*Tabla_Items_Con_Existencia[[#This Row],[EXISTENCIA]]</f>
        <v>61.015726309999998</v>
      </c>
      <c r="I1823" s="1">
        <f>IF(ISERROR(MATCH(Tabla_Items_Con_Existencia[[#This Row],[CODIGO]],Tabla_Items_Activos[CODIGO],0)),0,1)</f>
        <v>0</v>
      </c>
    </row>
    <row r="1824" spans="1:9">
      <c r="A1824" s="2" t="s">
        <v>6760</v>
      </c>
      <c r="B1824" s="2" t="s">
        <v>849</v>
      </c>
      <c r="C1824" s="2" t="s">
        <v>2410</v>
      </c>
      <c r="D1824" s="2" t="s">
        <v>5158</v>
      </c>
      <c r="E1824" s="2" t="s">
        <v>5159</v>
      </c>
      <c r="F1824" s="2">
        <v>5.54688421</v>
      </c>
      <c r="G1824" s="2">
        <v>11</v>
      </c>
      <c r="H1824" s="2">
        <f>Tabla_Items_Con_Existencia[[#This Row],[COSTO]]*Tabla_Items_Con_Existencia[[#This Row],[EXISTENCIA]]</f>
        <v>61.015726309999998</v>
      </c>
      <c r="I1824" s="1">
        <f>IF(ISERROR(MATCH(Tabla_Items_Con_Existencia[[#This Row],[CODIGO]],Tabla_Items_Activos[CODIGO],0)),0,1)</f>
        <v>0</v>
      </c>
    </row>
    <row r="1825" spans="1:9">
      <c r="A1825" s="2" t="s">
        <v>6760</v>
      </c>
      <c r="B1825" s="2" t="s">
        <v>850</v>
      </c>
      <c r="C1825" s="2" t="s">
        <v>6699</v>
      </c>
      <c r="D1825" s="2" t="s">
        <v>5158</v>
      </c>
      <c r="E1825" s="2" t="s">
        <v>5159</v>
      </c>
      <c r="F1825" s="2">
        <v>9.16387368</v>
      </c>
      <c r="G1825" s="2">
        <v>4</v>
      </c>
      <c r="H1825" s="2">
        <f>Tabla_Items_Con_Existencia[[#This Row],[COSTO]]*Tabla_Items_Con_Existencia[[#This Row],[EXISTENCIA]]</f>
        <v>36.65549472</v>
      </c>
      <c r="I1825" s="1">
        <f>IF(ISERROR(MATCH(Tabla_Items_Con_Existencia[[#This Row],[CODIGO]],Tabla_Items_Activos[CODIGO],0)),0,1)</f>
        <v>0</v>
      </c>
    </row>
    <row r="1826" spans="1:9">
      <c r="A1826" s="2" t="s">
        <v>6761</v>
      </c>
      <c r="B1826" s="2" t="s">
        <v>850</v>
      </c>
      <c r="C1826" s="2" t="s">
        <v>6699</v>
      </c>
      <c r="D1826" s="2" t="s">
        <v>5158</v>
      </c>
      <c r="E1826" s="2" t="s">
        <v>5159</v>
      </c>
      <c r="F1826" s="2">
        <v>9.16387368</v>
      </c>
      <c r="G1826" s="2">
        <v>4</v>
      </c>
      <c r="H1826" s="2">
        <f>Tabla_Items_Con_Existencia[[#This Row],[COSTO]]*Tabla_Items_Con_Existencia[[#This Row],[EXISTENCIA]]</f>
        <v>36.65549472</v>
      </c>
      <c r="I1826" s="1">
        <f>IF(ISERROR(MATCH(Tabla_Items_Con_Existencia[[#This Row],[CODIGO]],Tabla_Items_Activos[CODIGO],0)),0,1)</f>
        <v>0</v>
      </c>
    </row>
    <row r="1827" spans="1:9">
      <c r="A1827" s="2" t="s">
        <v>6760</v>
      </c>
      <c r="B1827" s="2" t="s">
        <v>6987</v>
      </c>
      <c r="C1827" s="2" t="s">
        <v>6988</v>
      </c>
      <c r="D1827" s="2" t="s">
        <v>5158</v>
      </c>
      <c r="E1827" s="2" t="s">
        <v>5159</v>
      </c>
      <c r="F1827" s="2">
        <v>2.82</v>
      </c>
      <c r="G1827" s="2">
        <v>5</v>
      </c>
      <c r="H1827" s="2">
        <f>Tabla_Items_Con_Existencia[[#This Row],[COSTO]]*Tabla_Items_Con_Existencia[[#This Row],[EXISTENCIA]]</f>
        <v>14.1</v>
      </c>
      <c r="I1827" s="1">
        <f>IF(ISERROR(MATCH(Tabla_Items_Con_Existencia[[#This Row],[CODIGO]],Tabla_Items_Activos[CODIGO],0)),0,1)</f>
        <v>0</v>
      </c>
    </row>
    <row r="1828" spans="1:9">
      <c r="A1828" s="2" t="s">
        <v>6760</v>
      </c>
      <c r="B1828" s="2" t="s">
        <v>6700</v>
      </c>
      <c r="C1828" s="2" t="s">
        <v>6701</v>
      </c>
      <c r="D1828" s="2" t="s">
        <v>5187</v>
      </c>
      <c r="E1828" s="2" t="s">
        <v>5159</v>
      </c>
      <c r="F1828" s="2">
        <v>0.68</v>
      </c>
      <c r="G1828" s="2">
        <v>1</v>
      </c>
      <c r="H1828" s="2">
        <f>Tabla_Items_Con_Existencia[[#This Row],[COSTO]]*Tabla_Items_Con_Existencia[[#This Row],[EXISTENCIA]]</f>
        <v>0.68</v>
      </c>
      <c r="I1828" s="1">
        <f>IF(ISERROR(MATCH(Tabla_Items_Con_Existencia[[#This Row],[CODIGO]],Tabla_Items_Activos[CODIGO],0)),0,1)</f>
        <v>0</v>
      </c>
    </row>
    <row r="1829" spans="1:9">
      <c r="A1829" s="2" t="s">
        <v>6760</v>
      </c>
      <c r="B1829" s="2" t="s">
        <v>851</v>
      </c>
      <c r="C1829" s="2" t="s">
        <v>2412</v>
      </c>
      <c r="D1829" s="2" t="s">
        <v>5186</v>
      </c>
      <c r="E1829" s="2" t="s">
        <v>5159</v>
      </c>
      <c r="F1829" s="2">
        <v>0.435</v>
      </c>
      <c r="G1829" s="2">
        <v>10</v>
      </c>
      <c r="H1829" s="2">
        <f>Tabla_Items_Con_Existencia[[#This Row],[COSTO]]*Tabla_Items_Con_Existencia[[#This Row],[EXISTENCIA]]</f>
        <v>4.3499999999999996</v>
      </c>
      <c r="I1829" s="1">
        <f>IF(ISERROR(MATCH(Tabla_Items_Con_Existencia[[#This Row],[CODIGO]],Tabla_Items_Activos[CODIGO],0)),0,1)</f>
        <v>0</v>
      </c>
    </row>
    <row r="1830" spans="1:9">
      <c r="A1830" s="2" t="s">
        <v>6760</v>
      </c>
      <c r="B1830" s="2" t="s">
        <v>2413</v>
      </c>
      <c r="C1830" s="2" t="s">
        <v>6347</v>
      </c>
      <c r="D1830" s="2" t="s">
        <v>5186</v>
      </c>
      <c r="E1830" s="2" t="s">
        <v>5159</v>
      </c>
      <c r="F1830" s="2">
        <v>0.34616841999999998</v>
      </c>
      <c r="G1830" s="2">
        <v>12</v>
      </c>
      <c r="H1830" s="2">
        <f>Tabla_Items_Con_Existencia[[#This Row],[COSTO]]*Tabla_Items_Con_Existencia[[#This Row],[EXISTENCIA]]</f>
        <v>4.1540210399999999</v>
      </c>
      <c r="I1830" s="1">
        <f>IF(ISERROR(MATCH(Tabla_Items_Con_Existencia[[#This Row],[CODIGO]],Tabla_Items_Activos[CODIGO],0)),0,1)</f>
        <v>0</v>
      </c>
    </row>
    <row r="1831" spans="1:9">
      <c r="A1831" s="2" t="s">
        <v>6761</v>
      </c>
      <c r="B1831" s="2" t="s">
        <v>2413</v>
      </c>
      <c r="C1831" s="2" t="s">
        <v>6347</v>
      </c>
      <c r="D1831" s="2" t="s">
        <v>5186</v>
      </c>
      <c r="E1831" s="2" t="s">
        <v>5159</v>
      </c>
      <c r="F1831" s="2">
        <v>0.34616841999999998</v>
      </c>
      <c r="G1831" s="2">
        <v>12</v>
      </c>
      <c r="H1831" s="2">
        <f>Tabla_Items_Con_Existencia[[#This Row],[COSTO]]*Tabla_Items_Con_Existencia[[#This Row],[EXISTENCIA]]</f>
        <v>4.1540210399999999</v>
      </c>
      <c r="I1831" s="1">
        <f>IF(ISERROR(MATCH(Tabla_Items_Con_Existencia[[#This Row],[CODIGO]],Tabla_Items_Activos[CODIGO],0)),0,1)</f>
        <v>0</v>
      </c>
    </row>
    <row r="1832" spans="1:9">
      <c r="A1832" s="2" t="s">
        <v>6760</v>
      </c>
      <c r="B1832" s="2" t="s">
        <v>852</v>
      </c>
      <c r="C1832" s="2" t="s">
        <v>6340</v>
      </c>
      <c r="D1832" s="2" t="s">
        <v>5186</v>
      </c>
      <c r="E1832" s="2" t="s">
        <v>5159</v>
      </c>
      <c r="F1832" s="2">
        <v>4.7058947399999997</v>
      </c>
      <c r="G1832" s="2">
        <v>18</v>
      </c>
      <c r="H1832" s="2">
        <f>Tabla_Items_Con_Existencia[[#This Row],[COSTO]]*Tabla_Items_Con_Existencia[[#This Row],[EXISTENCIA]]</f>
        <v>84.706105319999992</v>
      </c>
      <c r="I1832" s="1">
        <f>IF(ISERROR(MATCH(Tabla_Items_Con_Existencia[[#This Row],[CODIGO]],Tabla_Items_Activos[CODIGO],0)),0,1)</f>
        <v>0</v>
      </c>
    </row>
    <row r="1833" spans="1:9">
      <c r="A1833" s="2" t="s">
        <v>6761</v>
      </c>
      <c r="B1833" s="2" t="s">
        <v>852</v>
      </c>
      <c r="C1833" s="2" t="s">
        <v>6340</v>
      </c>
      <c r="D1833" s="2" t="s">
        <v>5186</v>
      </c>
      <c r="E1833" s="2" t="s">
        <v>5159</v>
      </c>
      <c r="F1833" s="2">
        <v>4.7058947399999997</v>
      </c>
      <c r="G1833" s="2">
        <v>18</v>
      </c>
      <c r="H1833" s="2">
        <f>Tabla_Items_Con_Existencia[[#This Row],[COSTO]]*Tabla_Items_Con_Existencia[[#This Row],[EXISTENCIA]]</f>
        <v>84.706105319999992</v>
      </c>
      <c r="I1833" s="1">
        <f>IF(ISERROR(MATCH(Tabla_Items_Con_Existencia[[#This Row],[CODIGO]],Tabla_Items_Activos[CODIGO],0)),0,1)</f>
        <v>0</v>
      </c>
    </row>
    <row r="1834" spans="1:9">
      <c r="A1834" s="2" t="s">
        <v>6760</v>
      </c>
      <c r="B1834" s="2" t="s">
        <v>853</v>
      </c>
      <c r="C1834" s="2" t="s">
        <v>2416</v>
      </c>
      <c r="D1834" s="2" t="s">
        <v>6702</v>
      </c>
      <c r="E1834" s="2" t="s">
        <v>5159</v>
      </c>
      <c r="F1834" s="2">
        <v>240.26433158</v>
      </c>
      <c r="G1834" s="2">
        <v>7</v>
      </c>
      <c r="H1834" s="2">
        <f>Tabla_Items_Con_Existencia[[#This Row],[COSTO]]*Tabla_Items_Con_Existencia[[#This Row],[EXISTENCIA]]</f>
        <v>1681.8503210599999</v>
      </c>
      <c r="I1834" s="1">
        <f>IF(ISERROR(MATCH(Tabla_Items_Con_Existencia[[#This Row],[CODIGO]],Tabla_Items_Activos[CODIGO],0)),0,1)</f>
        <v>0</v>
      </c>
    </row>
    <row r="1835" spans="1:9">
      <c r="A1835" s="2" t="s">
        <v>6761</v>
      </c>
      <c r="B1835" s="2" t="s">
        <v>853</v>
      </c>
      <c r="C1835" s="2" t="s">
        <v>2416</v>
      </c>
      <c r="D1835" s="2" t="s">
        <v>6702</v>
      </c>
      <c r="E1835" s="2" t="s">
        <v>5159</v>
      </c>
      <c r="F1835" s="2">
        <v>240.26433158</v>
      </c>
      <c r="G1835" s="2">
        <v>7</v>
      </c>
      <c r="H1835" s="2">
        <f>Tabla_Items_Con_Existencia[[#This Row],[COSTO]]*Tabla_Items_Con_Existencia[[#This Row],[EXISTENCIA]]</f>
        <v>1681.8503210599999</v>
      </c>
      <c r="I1835" s="1">
        <f>IF(ISERROR(MATCH(Tabla_Items_Con_Existencia[[#This Row],[CODIGO]],Tabla_Items_Activos[CODIGO],0)),0,1)</f>
        <v>0</v>
      </c>
    </row>
    <row r="1836" spans="1:9">
      <c r="A1836" s="2" t="s">
        <v>6760</v>
      </c>
      <c r="B1836" s="2" t="s">
        <v>854</v>
      </c>
      <c r="C1836" s="2" t="s">
        <v>2417</v>
      </c>
      <c r="D1836" s="2" t="s">
        <v>5195</v>
      </c>
      <c r="E1836" s="2" t="s">
        <v>5159</v>
      </c>
      <c r="F1836" s="2">
        <v>76.514300000000006</v>
      </c>
      <c r="G1836" s="2">
        <v>7</v>
      </c>
      <c r="H1836" s="2">
        <f>Tabla_Items_Con_Existencia[[#This Row],[COSTO]]*Tabla_Items_Con_Existencia[[#This Row],[EXISTENCIA]]</f>
        <v>535.6001</v>
      </c>
      <c r="I1836" s="1">
        <f>IF(ISERROR(MATCH(Tabla_Items_Con_Existencia[[#This Row],[CODIGO]],Tabla_Items_Activos[CODIGO],0)),0,1)</f>
        <v>0</v>
      </c>
    </row>
    <row r="1837" spans="1:9">
      <c r="A1837" s="2" t="s">
        <v>6760</v>
      </c>
      <c r="B1837" s="2" t="s">
        <v>855</v>
      </c>
      <c r="C1837" s="2" t="s">
        <v>7352</v>
      </c>
      <c r="D1837" s="2" t="s">
        <v>5190</v>
      </c>
      <c r="E1837" s="2" t="s">
        <v>5159</v>
      </c>
      <c r="F1837" s="2">
        <v>10.377705260000001</v>
      </c>
      <c r="G1837" s="2">
        <v>45</v>
      </c>
      <c r="H1837" s="2">
        <f>Tabla_Items_Con_Existencia[[#This Row],[COSTO]]*Tabla_Items_Con_Existencia[[#This Row],[EXISTENCIA]]</f>
        <v>466.99673670000004</v>
      </c>
      <c r="I1837" s="1">
        <f>IF(ISERROR(MATCH(Tabla_Items_Con_Existencia[[#This Row],[CODIGO]],Tabla_Items_Activos[CODIGO],0)),0,1)</f>
        <v>0</v>
      </c>
    </row>
    <row r="1838" spans="1:9">
      <c r="A1838" s="2" t="s">
        <v>6761</v>
      </c>
      <c r="B1838" s="2" t="s">
        <v>855</v>
      </c>
      <c r="C1838" s="2" t="s">
        <v>7352</v>
      </c>
      <c r="D1838" s="2" t="s">
        <v>5190</v>
      </c>
      <c r="E1838" s="2" t="s">
        <v>5159</v>
      </c>
      <c r="F1838" s="2">
        <v>10.377705260000001</v>
      </c>
      <c r="G1838" s="2">
        <v>45</v>
      </c>
      <c r="H1838" s="2">
        <f>Tabla_Items_Con_Existencia[[#This Row],[COSTO]]*Tabla_Items_Con_Existencia[[#This Row],[EXISTENCIA]]</f>
        <v>466.99673670000004</v>
      </c>
      <c r="I1838" s="1">
        <f>IF(ISERROR(MATCH(Tabla_Items_Con_Existencia[[#This Row],[CODIGO]],Tabla_Items_Activos[CODIGO],0)),0,1)</f>
        <v>0</v>
      </c>
    </row>
    <row r="1839" spans="1:9">
      <c r="A1839" s="2" t="s">
        <v>6760</v>
      </c>
      <c r="B1839" s="2" t="s">
        <v>856</v>
      </c>
      <c r="C1839" s="2" t="s">
        <v>6703</v>
      </c>
      <c r="D1839" s="2" t="s">
        <v>5190</v>
      </c>
      <c r="E1839" s="2" t="s">
        <v>5159</v>
      </c>
      <c r="F1839" s="2">
        <v>8.6082105299999991</v>
      </c>
      <c r="G1839" s="2">
        <v>105</v>
      </c>
      <c r="H1839" s="2">
        <f>Tabla_Items_Con_Existencia[[#This Row],[COSTO]]*Tabla_Items_Con_Existencia[[#This Row],[EXISTENCIA]]</f>
        <v>903.86210564999988</v>
      </c>
      <c r="I1839" s="1">
        <f>IF(ISERROR(MATCH(Tabla_Items_Con_Existencia[[#This Row],[CODIGO]],Tabla_Items_Activos[CODIGO],0)),0,1)</f>
        <v>0</v>
      </c>
    </row>
    <row r="1840" spans="1:9">
      <c r="A1840" s="2" t="s">
        <v>6761</v>
      </c>
      <c r="B1840" s="2" t="s">
        <v>856</v>
      </c>
      <c r="C1840" s="2" t="s">
        <v>6703</v>
      </c>
      <c r="D1840" s="2" t="s">
        <v>5190</v>
      </c>
      <c r="E1840" s="2" t="s">
        <v>5159</v>
      </c>
      <c r="F1840" s="2">
        <v>8.6082105299999991</v>
      </c>
      <c r="G1840" s="2">
        <v>105</v>
      </c>
      <c r="H1840" s="2">
        <f>Tabla_Items_Con_Existencia[[#This Row],[COSTO]]*Tabla_Items_Con_Existencia[[#This Row],[EXISTENCIA]]</f>
        <v>903.86210564999988</v>
      </c>
      <c r="I1840" s="1">
        <f>IF(ISERROR(MATCH(Tabla_Items_Con_Existencia[[#This Row],[CODIGO]],Tabla_Items_Activos[CODIGO],0)),0,1)</f>
        <v>0</v>
      </c>
    </row>
    <row r="1841" spans="1:9">
      <c r="A1841" s="2" t="s">
        <v>6760</v>
      </c>
      <c r="B1841" s="2" t="s">
        <v>858</v>
      </c>
      <c r="C1841" s="2" t="s">
        <v>2420</v>
      </c>
      <c r="D1841" s="2" t="s">
        <v>5158</v>
      </c>
      <c r="E1841" s="2" t="s">
        <v>5159</v>
      </c>
      <c r="F1841" s="2">
        <v>41.81</v>
      </c>
      <c r="G1841" s="2">
        <v>2</v>
      </c>
      <c r="H1841" s="2">
        <f>Tabla_Items_Con_Existencia[[#This Row],[COSTO]]*Tabla_Items_Con_Existencia[[#This Row],[EXISTENCIA]]</f>
        <v>83.62</v>
      </c>
      <c r="I1841" s="1">
        <f>IF(ISERROR(MATCH(Tabla_Items_Con_Existencia[[#This Row],[CODIGO]],Tabla_Items_Activos[CODIGO],0)),0,1)</f>
        <v>0</v>
      </c>
    </row>
    <row r="1842" spans="1:9">
      <c r="A1842" s="2" t="s">
        <v>6760</v>
      </c>
      <c r="B1842" s="2" t="s">
        <v>861</v>
      </c>
      <c r="C1842" s="2" t="s">
        <v>2421</v>
      </c>
      <c r="D1842" s="2" t="s">
        <v>5158</v>
      </c>
      <c r="E1842" s="2" t="s">
        <v>5159</v>
      </c>
      <c r="F1842" s="2">
        <v>0.75455788999999995</v>
      </c>
      <c r="G1842" s="2">
        <v>24</v>
      </c>
      <c r="H1842" s="2">
        <f>Tabla_Items_Con_Existencia[[#This Row],[COSTO]]*Tabla_Items_Con_Existencia[[#This Row],[EXISTENCIA]]</f>
        <v>18.109389359999998</v>
      </c>
      <c r="I1842" s="1">
        <f>IF(ISERROR(MATCH(Tabla_Items_Con_Existencia[[#This Row],[CODIGO]],Tabla_Items_Activos[CODIGO],0)),0,1)</f>
        <v>0</v>
      </c>
    </row>
    <row r="1843" spans="1:9">
      <c r="A1843" s="2" t="s">
        <v>6761</v>
      </c>
      <c r="B1843" s="2" t="s">
        <v>861</v>
      </c>
      <c r="C1843" s="2" t="s">
        <v>2421</v>
      </c>
      <c r="D1843" s="2" t="s">
        <v>5158</v>
      </c>
      <c r="E1843" s="2" t="s">
        <v>5159</v>
      </c>
      <c r="F1843" s="2">
        <v>0.75455788999999995</v>
      </c>
      <c r="G1843" s="2">
        <v>24</v>
      </c>
      <c r="H1843" s="2">
        <f>Tabla_Items_Con_Existencia[[#This Row],[COSTO]]*Tabla_Items_Con_Existencia[[#This Row],[EXISTENCIA]]</f>
        <v>18.109389359999998</v>
      </c>
      <c r="I1843" s="1">
        <f>IF(ISERROR(MATCH(Tabla_Items_Con_Existencia[[#This Row],[CODIGO]],Tabla_Items_Activos[CODIGO],0)),0,1)</f>
        <v>0</v>
      </c>
    </row>
    <row r="1844" spans="1:9">
      <c r="A1844" s="2" t="s">
        <v>6760</v>
      </c>
      <c r="B1844" s="2" t="s">
        <v>6704</v>
      </c>
      <c r="C1844" s="2" t="s">
        <v>6705</v>
      </c>
      <c r="D1844" s="2" t="s">
        <v>5190</v>
      </c>
      <c r="E1844" s="2" t="s">
        <v>5159</v>
      </c>
      <c r="F1844" s="2">
        <v>3.5510000000000002</v>
      </c>
      <c r="G1844" s="2">
        <v>11</v>
      </c>
      <c r="H1844" s="2">
        <f>Tabla_Items_Con_Existencia[[#This Row],[COSTO]]*Tabla_Items_Con_Existencia[[#This Row],[EXISTENCIA]]</f>
        <v>39.061</v>
      </c>
      <c r="I1844" s="1">
        <f>IF(ISERROR(MATCH(Tabla_Items_Con_Existencia[[#This Row],[CODIGO]],Tabla_Items_Activos[CODIGO],0)),0,1)</f>
        <v>0</v>
      </c>
    </row>
    <row r="1845" spans="1:9">
      <c r="A1845" s="2" t="s">
        <v>6760</v>
      </c>
      <c r="B1845" s="2" t="s">
        <v>6706</v>
      </c>
      <c r="C1845" s="2" t="s">
        <v>6707</v>
      </c>
      <c r="D1845" s="2" t="s">
        <v>5158</v>
      </c>
      <c r="E1845" s="2" t="s">
        <v>5159</v>
      </c>
      <c r="F1845" s="2">
        <v>1.6018947400000001</v>
      </c>
      <c r="G1845" s="2">
        <v>344.9</v>
      </c>
      <c r="H1845" s="2">
        <f>Tabla_Items_Con_Existencia[[#This Row],[COSTO]]*Tabla_Items_Con_Existencia[[#This Row],[EXISTENCIA]]</f>
        <v>552.49349582599996</v>
      </c>
      <c r="I1845" s="1">
        <f>IF(ISERROR(MATCH(Tabla_Items_Con_Existencia[[#This Row],[CODIGO]],Tabla_Items_Activos[CODIGO],0)),0,1)</f>
        <v>0</v>
      </c>
    </row>
    <row r="1846" spans="1:9">
      <c r="A1846" s="2" t="s">
        <v>6761</v>
      </c>
      <c r="B1846" s="2" t="s">
        <v>6706</v>
      </c>
      <c r="C1846" s="2" t="s">
        <v>6707</v>
      </c>
      <c r="D1846" s="2" t="s">
        <v>5158</v>
      </c>
      <c r="E1846" s="2" t="s">
        <v>5159</v>
      </c>
      <c r="F1846" s="2">
        <v>1.6018947400000001</v>
      </c>
      <c r="G1846" s="2">
        <v>344.9</v>
      </c>
      <c r="H1846" s="2">
        <f>Tabla_Items_Con_Existencia[[#This Row],[COSTO]]*Tabla_Items_Con_Existencia[[#This Row],[EXISTENCIA]]</f>
        <v>552.49349582599996</v>
      </c>
      <c r="I1846" s="1">
        <f>IF(ISERROR(MATCH(Tabla_Items_Con_Existencia[[#This Row],[CODIGO]],Tabla_Items_Activos[CODIGO],0)),0,1)</f>
        <v>0</v>
      </c>
    </row>
    <row r="1847" spans="1:9">
      <c r="A1847" s="2" t="s">
        <v>6761</v>
      </c>
      <c r="B1847" s="2" t="s">
        <v>2422</v>
      </c>
      <c r="C1847" s="2" t="s">
        <v>7092</v>
      </c>
      <c r="D1847" s="2" t="s">
        <v>6459</v>
      </c>
      <c r="E1847" s="2" t="s">
        <v>5159</v>
      </c>
      <c r="F1847" s="2">
        <v>1.30172632</v>
      </c>
      <c r="G1847" s="2">
        <v>3</v>
      </c>
      <c r="H1847" s="2">
        <f>Tabla_Items_Con_Existencia[[#This Row],[COSTO]]*Tabla_Items_Con_Existencia[[#This Row],[EXISTENCIA]]</f>
        <v>3.9051789599999998</v>
      </c>
      <c r="I1847" s="1">
        <f>IF(ISERROR(MATCH(Tabla_Items_Con_Existencia[[#This Row],[CODIGO]],Tabla_Items_Activos[CODIGO],0)),0,1)</f>
        <v>0</v>
      </c>
    </row>
    <row r="1848" spans="1:9">
      <c r="A1848" s="2" t="s">
        <v>6760</v>
      </c>
      <c r="B1848" s="2" t="s">
        <v>2422</v>
      </c>
      <c r="C1848" s="2" t="s">
        <v>7092</v>
      </c>
      <c r="D1848" s="2" t="s">
        <v>6459</v>
      </c>
      <c r="E1848" s="2" t="s">
        <v>5159</v>
      </c>
      <c r="F1848" s="2">
        <v>1.30172632</v>
      </c>
      <c r="G1848" s="2">
        <v>3</v>
      </c>
      <c r="H1848" s="2">
        <f>Tabla_Items_Con_Existencia[[#This Row],[COSTO]]*Tabla_Items_Con_Existencia[[#This Row],[EXISTENCIA]]</f>
        <v>3.9051789599999998</v>
      </c>
      <c r="I1848" s="1">
        <f>IF(ISERROR(MATCH(Tabla_Items_Con_Existencia[[#This Row],[CODIGO]],Tabla_Items_Activos[CODIGO],0)),0,1)</f>
        <v>0</v>
      </c>
    </row>
    <row r="1849" spans="1:9">
      <c r="A1849" s="2" t="s">
        <v>6760</v>
      </c>
      <c r="B1849" s="2" t="s">
        <v>2424</v>
      </c>
      <c r="C1849" s="2" t="s">
        <v>2425</v>
      </c>
      <c r="D1849" s="2" t="s">
        <v>5190</v>
      </c>
      <c r="E1849" s="2" t="s">
        <v>5159</v>
      </c>
      <c r="F1849" s="2">
        <v>1.5130999999999999</v>
      </c>
      <c r="G1849" s="2">
        <v>78</v>
      </c>
      <c r="H1849" s="2">
        <f>Tabla_Items_Con_Existencia[[#This Row],[COSTO]]*Tabla_Items_Con_Existencia[[#This Row],[EXISTENCIA]]</f>
        <v>118.02179999999998</v>
      </c>
      <c r="I1849" s="1">
        <f>IF(ISERROR(MATCH(Tabla_Items_Con_Existencia[[#This Row],[CODIGO]],Tabla_Items_Activos[CODIGO],0)),0,1)</f>
        <v>0</v>
      </c>
    </row>
    <row r="1850" spans="1:9">
      <c r="A1850" s="2" t="s">
        <v>6760</v>
      </c>
      <c r="B1850" s="2" t="s">
        <v>6708</v>
      </c>
      <c r="C1850" s="2" t="s">
        <v>4486</v>
      </c>
      <c r="D1850" s="2" t="s">
        <v>5186</v>
      </c>
      <c r="E1850" s="2" t="s">
        <v>5159</v>
      </c>
      <c r="F1850" s="2">
        <v>5.8289473699999999</v>
      </c>
      <c r="G1850" s="2">
        <v>10</v>
      </c>
      <c r="H1850" s="2">
        <f>Tabla_Items_Con_Existencia[[#This Row],[COSTO]]*Tabla_Items_Con_Existencia[[#This Row],[EXISTENCIA]]</f>
        <v>58.289473700000002</v>
      </c>
      <c r="I1850" s="1">
        <f>IF(ISERROR(MATCH(Tabla_Items_Con_Existencia[[#This Row],[CODIGO]],Tabla_Items_Activos[CODIGO],0)),0,1)</f>
        <v>0</v>
      </c>
    </row>
    <row r="1851" spans="1:9">
      <c r="A1851" s="2" t="s">
        <v>6761</v>
      </c>
      <c r="B1851" s="2" t="s">
        <v>6708</v>
      </c>
      <c r="C1851" s="2" t="s">
        <v>4486</v>
      </c>
      <c r="D1851" s="2" t="s">
        <v>5186</v>
      </c>
      <c r="E1851" s="2" t="s">
        <v>5159</v>
      </c>
      <c r="F1851" s="2">
        <v>5.8289473699999999</v>
      </c>
      <c r="G1851" s="2">
        <v>10</v>
      </c>
      <c r="H1851" s="2">
        <f>Tabla_Items_Con_Existencia[[#This Row],[COSTO]]*Tabla_Items_Con_Existencia[[#This Row],[EXISTENCIA]]</f>
        <v>58.289473700000002</v>
      </c>
      <c r="I1851" s="1">
        <f>IF(ISERROR(MATCH(Tabla_Items_Con_Existencia[[#This Row],[CODIGO]],Tabla_Items_Activos[CODIGO],0)),0,1)</f>
        <v>0</v>
      </c>
    </row>
    <row r="1852" spans="1:9">
      <c r="A1852" s="2" t="s">
        <v>6760</v>
      </c>
      <c r="B1852" s="2" t="s">
        <v>2426</v>
      </c>
      <c r="C1852" s="2" t="s">
        <v>6709</v>
      </c>
      <c r="D1852" s="2" t="s">
        <v>5158</v>
      </c>
      <c r="E1852" s="2" t="s">
        <v>5159</v>
      </c>
      <c r="F1852" s="2">
        <v>5.5711000000000004</v>
      </c>
      <c r="G1852" s="2">
        <v>8</v>
      </c>
      <c r="H1852" s="2">
        <f>Tabla_Items_Con_Existencia[[#This Row],[COSTO]]*Tabla_Items_Con_Existencia[[#This Row],[EXISTENCIA]]</f>
        <v>44.568800000000003</v>
      </c>
      <c r="I1852" s="1">
        <f>IF(ISERROR(MATCH(Tabla_Items_Con_Existencia[[#This Row],[CODIGO]],Tabla_Items_Activos[CODIGO],0)),0,1)</f>
        <v>0</v>
      </c>
    </row>
    <row r="1853" spans="1:9">
      <c r="A1853" s="2" t="s">
        <v>6761</v>
      </c>
      <c r="B1853" s="2" t="s">
        <v>6710</v>
      </c>
      <c r="C1853" s="2" t="s">
        <v>4488</v>
      </c>
      <c r="D1853" s="2" t="s">
        <v>5186</v>
      </c>
      <c r="E1853" s="2" t="s">
        <v>5159</v>
      </c>
      <c r="F1853" s="2">
        <v>3.4572631600000001</v>
      </c>
      <c r="G1853" s="2">
        <v>14</v>
      </c>
      <c r="H1853" s="2">
        <f>Tabla_Items_Con_Existencia[[#This Row],[COSTO]]*Tabla_Items_Con_Existencia[[#This Row],[EXISTENCIA]]</f>
        <v>48.401684240000002</v>
      </c>
      <c r="I1853" s="1">
        <f>IF(ISERROR(MATCH(Tabla_Items_Con_Existencia[[#This Row],[CODIGO]],Tabla_Items_Activos[CODIGO],0)),0,1)</f>
        <v>0</v>
      </c>
    </row>
    <row r="1854" spans="1:9">
      <c r="A1854" s="2" t="s">
        <v>6760</v>
      </c>
      <c r="B1854" s="2" t="s">
        <v>6710</v>
      </c>
      <c r="C1854" s="2" t="s">
        <v>4488</v>
      </c>
      <c r="D1854" s="2" t="s">
        <v>5186</v>
      </c>
      <c r="E1854" s="2" t="s">
        <v>5159</v>
      </c>
      <c r="F1854" s="2">
        <v>3.4572631600000001</v>
      </c>
      <c r="G1854" s="2">
        <v>14</v>
      </c>
      <c r="H1854" s="2">
        <f>Tabla_Items_Con_Existencia[[#This Row],[COSTO]]*Tabla_Items_Con_Existencia[[#This Row],[EXISTENCIA]]</f>
        <v>48.401684240000002</v>
      </c>
      <c r="I1854" s="1">
        <f>IF(ISERROR(MATCH(Tabla_Items_Con_Existencia[[#This Row],[CODIGO]],Tabla_Items_Activos[CODIGO],0)),0,1)</f>
        <v>0</v>
      </c>
    </row>
    <row r="1855" spans="1:9">
      <c r="A1855" s="2" t="s">
        <v>6760</v>
      </c>
      <c r="B1855" s="2" t="s">
        <v>6711</v>
      </c>
      <c r="C1855" s="2" t="s">
        <v>6712</v>
      </c>
      <c r="D1855" s="2" t="s">
        <v>6365</v>
      </c>
      <c r="E1855" s="2" t="s">
        <v>5159</v>
      </c>
      <c r="F1855" s="2">
        <v>0.31900000000000001</v>
      </c>
      <c r="G1855" s="2">
        <v>94</v>
      </c>
      <c r="H1855" s="2">
        <f>Tabla_Items_Con_Existencia[[#This Row],[COSTO]]*Tabla_Items_Con_Existencia[[#This Row],[EXISTENCIA]]</f>
        <v>29.986000000000001</v>
      </c>
      <c r="I1855" s="1">
        <f>IF(ISERROR(MATCH(Tabla_Items_Con_Existencia[[#This Row],[CODIGO]],Tabla_Items_Activos[CODIGO],0)),0,1)</f>
        <v>0</v>
      </c>
    </row>
    <row r="1856" spans="1:9">
      <c r="A1856" s="2" t="s">
        <v>6760</v>
      </c>
      <c r="B1856" s="2" t="s">
        <v>6713</v>
      </c>
      <c r="C1856" s="2" t="s">
        <v>6714</v>
      </c>
      <c r="D1856" s="2" t="s">
        <v>5158</v>
      </c>
      <c r="E1856" s="2" t="s">
        <v>5159</v>
      </c>
      <c r="F1856" s="2">
        <v>0.32600000000000001</v>
      </c>
      <c r="G1856" s="2">
        <v>59</v>
      </c>
      <c r="H1856" s="2">
        <f>Tabla_Items_Con_Existencia[[#This Row],[COSTO]]*Tabla_Items_Con_Existencia[[#This Row],[EXISTENCIA]]</f>
        <v>19.234000000000002</v>
      </c>
      <c r="I1856" s="1">
        <f>IF(ISERROR(MATCH(Tabla_Items_Con_Existencia[[#This Row],[CODIGO]],Tabla_Items_Activos[CODIGO],0)),0,1)</f>
        <v>0</v>
      </c>
    </row>
    <row r="1857" spans="1:9">
      <c r="A1857" s="2" t="s">
        <v>6761</v>
      </c>
      <c r="B1857" s="2" t="s">
        <v>6715</v>
      </c>
      <c r="C1857" s="2" t="s">
        <v>4485</v>
      </c>
      <c r="D1857" s="2" t="s">
        <v>5186</v>
      </c>
      <c r="E1857" s="2" t="s">
        <v>5159</v>
      </c>
      <c r="F1857" s="2">
        <v>16.238315790000001</v>
      </c>
      <c r="G1857" s="2">
        <v>6</v>
      </c>
      <c r="H1857" s="2">
        <f>Tabla_Items_Con_Existencia[[#This Row],[COSTO]]*Tabla_Items_Con_Existencia[[#This Row],[EXISTENCIA]]</f>
        <v>97.429894740000009</v>
      </c>
      <c r="I1857" s="1">
        <f>IF(ISERROR(MATCH(Tabla_Items_Con_Existencia[[#This Row],[CODIGO]],Tabla_Items_Activos[CODIGO],0)),0,1)</f>
        <v>0</v>
      </c>
    </row>
    <row r="1858" spans="1:9">
      <c r="A1858" s="2" t="s">
        <v>6760</v>
      </c>
      <c r="B1858" s="2" t="s">
        <v>6715</v>
      </c>
      <c r="C1858" s="2" t="s">
        <v>4485</v>
      </c>
      <c r="D1858" s="2" t="s">
        <v>5186</v>
      </c>
      <c r="E1858" s="2" t="s">
        <v>5159</v>
      </c>
      <c r="F1858" s="2">
        <v>16.238315790000001</v>
      </c>
      <c r="G1858" s="2">
        <v>6</v>
      </c>
      <c r="H1858" s="2">
        <f>Tabla_Items_Con_Existencia[[#This Row],[COSTO]]*Tabla_Items_Con_Existencia[[#This Row],[EXISTENCIA]]</f>
        <v>97.429894740000009</v>
      </c>
      <c r="I1858" s="1">
        <f>IF(ISERROR(MATCH(Tabla_Items_Con_Existencia[[#This Row],[CODIGO]],Tabla_Items_Activos[CODIGO],0)),0,1)</f>
        <v>0</v>
      </c>
    </row>
    <row r="1859" spans="1:9">
      <c r="A1859" s="2" t="s">
        <v>6761</v>
      </c>
      <c r="B1859" s="2" t="s">
        <v>5236</v>
      </c>
      <c r="C1859" s="2" t="s">
        <v>5237</v>
      </c>
      <c r="D1859" s="2" t="s">
        <v>6989</v>
      </c>
      <c r="E1859" s="2" t="s">
        <v>5168</v>
      </c>
      <c r="F1859" s="2">
        <v>1318.4210526300001</v>
      </c>
      <c r="G1859" s="2">
        <v>1</v>
      </c>
      <c r="H1859" s="2">
        <f>Tabla_Items_Con_Existencia[[#This Row],[COSTO]]*Tabla_Items_Con_Existencia[[#This Row],[EXISTENCIA]]</f>
        <v>1318.4210526300001</v>
      </c>
      <c r="I1859" s="1">
        <f>IF(ISERROR(MATCH(Tabla_Items_Con_Existencia[[#This Row],[CODIGO]],Tabla_Items_Activos[CODIGO],0)),0,1)</f>
        <v>0</v>
      </c>
    </row>
    <row r="1860" spans="1:9">
      <c r="A1860" s="2" t="s">
        <v>6760</v>
      </c>
      <c r="B1860" s="2" t="s">
        <v>5236</v>
      </c>
      <c r="C1860" s="2" t="s">
        <v>5237</v>
      </c>
      <c r="D1860" s="2" t="s">
        <v>6989</v>
      </c>
      <c r="E1860" s="2" t="s">
        <v>5168</v>
      </c>
      <c r="F1860" s="2">
        <v>1318.4210526300001</v>
      </c>
      <c r="G1860" s="2">
        <v>1</v>
      </c>
      <c r="H1860" s="2">
        <f>Tabla_Items_Con_Existencia[[#This Row],[COSTO]]*Tabla_Items_Con_Existencia[[#This Row],[EXISTENCIA]]</f>
        <v>1318.4210526300001</v>
      </c>
      <c r="I1860" s="1">
        <f>IF(ISERROR(MATCH(Tabla_Items_Con_Existencia[[#This Row],[CODIGO]],Tabla_Items_Activos[CODIGO],0)),0,1)</f>
        <v>0</v>
      </c>
    </row>
    <row r="1861" spans="1:9">
      <c r="A1861" s="2" t="s">
        <v>6759</v>
      </c>
      <c r="B1861" s="2" t="s">
        <v>2428</v>
      </c>
      <c r="C1861" s="2" t="s">
        <v>2429</v>
      </c>
      <c r="D1861" s="2" t="s">
        <v>5211</v>
      </c>
      <c r="E1861" s="2" t="s">
        <v>5213</v>
      </c>
      <c r="F1861" s="2">
        <v>27.699000000000002</v>
      </c>
      <c r="G1861" s="2">
        <v>4</v>
      </c>
      <c r="H1861" s="2">
        <f>Tabla_Items_Con_Existencia[[#This Row],[COSTO]]*Tabla_Items_Con_Existencia[[#This Row],[EXISTENCIA]]</f>
        <v>110.79600000000001</v>
      </c>
      <c r="I1861" s="1">
        <f>IF(ISERROR(MATCH(Tabla_Items_Con_Existencia[[#This Row],[CODIGO]],Tabla_Items_Activos[CODIGO],0)),0,1)</f>
        <v>0</v>
      </c>
    </row>
    <row r="1862" spans="1:9">
      <c r="A1862" s="2" t="s">
        <v>6759</v>
      </c>
      <c r="B1862" s="2" t="s">
        <v>2430</v>
      </c>
      <c r="C1862" s="2" t="s">
        <v>2431</v>
      </c>
      <c r="D1862" s="2" t="s">
        <v>5166</v>
      </c>
      <c r="E1862" s="2" t="s">
        <v>5192</v>
      </c>
      <c r="F1862" s="2">
        <v>16.013999999999999</v>
      </c>
      <c r="G1862" s="2">
        <v>10</v>
      </c>
      <c r="H1862" s="2">
        <f>Tabla_Items_Con_Existencia[[#This Row],[COSTO]]*Tabla_Items_Con_Existencia[[#This Row],[EXISTENCIA]]</f>
        <v>160.13999999999999</v>
      </c>
      <c r="I1862" s="1">
        <f>IF(ISERROR(MATCH(Tabla_Items_Con_Existencia[[#This Row],[CODIGO]],Tabla_Items_Activos[CODIGO],0)),0,1)</f>
        <v>0</v>
      </c>
    </row>
    <row r="1863" spans="1:9">
      <c r="A1863" s="2" t="s">
        <v>6759</v>
      </c>
      <c r="B1863" s="2" t="s">
        <v>2432</v>
      </c>
      <c r="C1863" s="2" t="s">
        <v>2433</v>
      </c>
      <c r="D1863" s="2" t="s">
        <v>5211</v>
      </c>
      <c r="E1863" s="2" t="s">
        <v>5213</v>
      </c>
      <c r="F1863" s="2">
        <v>2.9529999999999998</v>
      </c>
      <c r="G1863" s="2">
        <v>4</v>
      </c>
      <c r="H1863" s="2">
        <f>Tabla_Items_Con_Existencia[[#This Row],[COSTO]]*Tabla_Items_Con_Existencia[[#This Row],[EXISTENCIA]]</f>
        <v>11.811999999999999</v>
      </c>
      <c r="I1863" s="1">
        <f>IF(ISERROR(MATCH(Tabla_Items_Con_Existencia[[#This Row],[CODIGO]],Tabla_Items_Activos[CODIGO],0)),0,1)</f>
        <v>0</v>
      </c>
    </row>
    <row r="1864" spans="1:9">
      <c r="A1864" s="2" t="s">
        <v>6759</v>
      </c>
      <c r="B1864" s="2" t="s">
        <v>2434</v>
      </c>
      <c r="C1864" s="2" t="s">
        <v>2435</v>
      </c>
      <c r="D1864" s="2" t="s">
        <v>5209</v>
      </c>
      <c r="E1864" s="2" t="s">
        <v>5210</v>
      </c>
      <c r="F1864" s="2">
        <v>37.918999999999997</v>
      </c>
      <c r="G1864" s="2">
        <v>53</v>
      </c>
      <c r="H1864" s="2">
        <f>Tabla_Items_Con_Existencia[[#This Row],[COSTO]]*Tabla_Items_Con_Existencia[[#This Row],[EXISTENCIA]]</f>
        <v>2009.7069999999999</v>
      </c>
      <c r="I1864" s="1">
        <f>IF(ISERROR(MATCH(Tabla_Items_Con_Existencia[[#This Row],[CODIGO]],Tabla_Items_Activos[CODIGO],0)),0,1)</f>
        <v>0</v>
      </c>
    </row>
    <row r="1865" spans="1:9">
      <c r="A1865" s="2" t="s">
        <v>6759</v>
      </c>
      <c r="B1865" s="2" t="s">
        <v>2436</v>
      </c>
      <c r="C1865" s="2" t="s">
        <v>2437</v>
      </c>
      <c r="D1865" s="2" t="s">
        <v>5211</v>
      </c>
      <c r="E1865" s="2" t="s">
        <v>5213</v>
      </c>
      <c r="F1865" s="2">
        <v>511.09399999999999</v>
      </c>
      <c r="G1865" s="2">
        <v>0.36</v>
      </c>
      <c r="H1865" s="2">
        <f>Tabla_Items_Con_Existencia[[#This Row],[COSTO]]*Tabla_Items_Con_Existencia[[#This Row],[EXISTENCIA]]</f>
        <v>183.99383999999998</v>
      </c>
      <c r="I1865" s="1">
        <f>IF(ISERROR(MATCH(Tabla_Items_Con_Existencia[[#This Row],[CODIGO]],Tabla_Items_Activos[CODIGO],0)),0,1)</f>
        <v>0</v>
      </c>
    </row>
    <row r="1866" spans="1:9">
      <c r="A1866" s="2" t="s">
        <v>6759</v>
      </c>
      <c r="B1866" s="2" t="s">
        <v>2438</v>
      </c>
      <c r="C1866" s="2" t="s">
        <v>2439</v>
      </c>
      <c r="D1866" s="2" t="s">
        <v>5157</v>
      </c>
      <c r="E1866" s="2" t="s">
        <v>5157</v>
      </c>
      <c r="F1866" s="2">
        <v>39.78</v>
      </c>
      <c r="G1866" s="2">
        <v>4</v>
      </c>
      <c r="H1866" s="2">
        <f>Tabla_Items_Con_Existencia[[#This Row],[COSTO]]*Tabla_Items_Con_Existencia[[#This Row],[EXISTENCIA]]</f>
        <v>159.12</v>
      </c>
      <c r="I1866" s="1">
        <f>IF(ISERROR(MATCH(Tabla_Items_Con_Existencia[[#This Row],[CODIGO]],Tabla_Items_Activos[CODIGO],0)),0,1)</f>
        <v>0</v>
      </c>
    </row>
    <row r="1867" spans="1:9">
      <c r="A1867" s="2" t="s">
        <v>6759</v>
      </c>
      <c r="B1867" s="2" t="s">
        <v>2442</v>
      </c>
      <c r="C1867" s="2" t="s">
        <v>2443</v>
      </c>
      <c r="D1867" s="2" t="s">
        <v>5209</v>
      </c>
      <c r="E1867" s="2" t="s">
        <v>5210</v>
      </c>
      <c r="F1867" s="2">
        <v>10.722099999999999</v>
      </c>
      <c r="G1867" s="2">
        <v>32</v>
      </c>
      <c r="H1867" s="2">
        <f>Tabla_Items_Con_Existencia[[#This Row],[COSTO]]*Tabla_Items_Con_Existencia[[#This Row],[EXISTENCIA]]</f>
        <v>343.10719999999998</v>
      </c>
      <c r="I1867" s="1">
        <f>IF(ISERROR(MATCH(Tabla_Items_Con_Existencia[[#This Row],[CODIGO]],Tabla_Items_Activos[CODIGO],0)),0,1)</f>
        <v>0</v>
      </c>
    </row>
    <row r="1868" spans="1:9">
      <c r="A1868" s="2" t="s">
        <v>6759</v>
      </c>
      <c r="B1868" s="2" t="s">
        <v>2444</v>
      </c>
      <c r="C1868" s="2" t="s">
        <v>2445</v>
      </c>
      <c r="D1868" s="2" t="s">
        <v>5209</v>
      </c>
      <c r="E1868" s="2" t="s">
        <v>5210</v>
      </c>
      <c r="F1868" s="2">
        <v>121.78400000000001</v>
      </c>
      <c r="G1868" s="2">
        <v>1</v>
      </c>
      <c r="H1868" s="2">
        <f>Tabla_Items_Con_Existencia[[#This Row],[COSTO]]*Tabla_Items_Con_Existencia[[#This Row],[EXISTENCIA]]</f>
        <v>121.78400000000001</v>
      </c>
      <c r="I1868" s="1">
        <f>IF(ISERROR(MATCH(Tabla_Items_Con_Existencia[[#This Row],[CODIGO]],Tabla_Items_Activos[CODIGO],0)),0,1)</f>
        <v>0</v>
      </c>
    </row>
    <row r="1869" spans="1:9">
      <c r="A1869" s="2" t="s">
        <v>6761</v>
      </c>
      <c r="B1869" s="2" t="s">
        <v>2446</v>
      </c>
      <c r="C1869" s="2" t="s">
        <v>2447</v>
      </c>
      <c r="D1869" s="2" t="s">
        <v>5209</v>
      </c>
      <c r="E1869" s="2" t="s">
        <v>5210</v>
      </c>
      <c r="F1869" s="2">
        <v>3.2546400000000002</v>
      </c>
      <c r="G1869" s="2">
        <v>556</v>
      </c>
      <c r="H1869" s="2">
        <f>Tabla_Items_Con_Existencia[[#This Row],[COSTO]]*Tabla_Items_Con_Existencia[[#This Row],[EXISTENCIA]]</f>
        <v>1809.5798400000001</v>
      </c>
      <c r="I1869" s="1">
        <f>IF(ISERROR(MATCH(Tabla_Items_Con_Existencia[[#This Row],[CODIGO]],Tabla_Items_Activos[CODIGO],0)),0,1)</f>
        <v>0</v>
      </c>
    </row>
    <row r="1870" spans="1:9">
      <c r="A1870" s="2" t="s">
        <v>6759</v>
      </c>
      <c r="B1870" s="2" t="s">
        <v>2446</v>
      </c>
      <c r="C1870" s="2" t="s">
        <v>2447</v>
      </c>
      <c r="D1870" s="2" t="s">
        <v>5209</v>
      </c>
      <c r="E1870" s="2" t="s">
        <v>5210</v>
      </c>
      <c r="F1870" s="2">
        <v>3.2546400000000002</v>
      </c>
      <c r="G1870" s="2">
        <v>556</v>
      </c>
      <c r="H1870" s="2">
        <f>Tabla_Items_Con_Existencia[[#This Row],[COSTO]]*Tabla_Items_Con_Existencia[[#This Row],[EXISTENCIA]]</f>
        <v>1809.5798400000001</v>
      </c>
      <c r="I1870" s="1">
        <f>IF(ISERROR(MATCH(Tabla_Items_Con_Existencia[[#This Row],[CODIGO]],Tabla_Items_Activos[CODIGO],0)),0,1)</f>
        <v>0</v>
      </c>
    </row>
    <row r="1871" spans="1:9">
      <c r="A1871" s="2" t="s">
        <v>6759</v>
      </c>
      <c r="B1871" s="2" t="s">
        <v>2448</v>
      </c>
      <c r="C1871" s="2" t="s">
        <v>2449</v>
      </c>
      <c r="D1871" s="2" t="s">
        <v>5209</v>
      </c>
      <c r="E1871" s="2" t="s">
        <v>5210</v>
      </c>
      <c r="F1871" s="2">
        <v>6.5549999999999997</v>
      </c>
      <c r="G1871" s="2">
        <v>82</v>
      </c>
      <c r="H1871" s="2">
        <f>Tabla_Items_Con_Existencia[[#This Row],[COSTO]]*Tabla_Items_Con_Existencia[[#This Row],[EXISTENCIA]]</f>
        <v>537.51</v>
      </c>
      <c r="I1871" s="1">
        <f>IF(ISERROR(MATCH(Tabla_Items_Con_Existencia[[#This Row],[CODIGO]],Tabla_Items_Activos[CODIGO],0)),0,1)</f>
        <v>0</v>
      </c>
    </row>
    <row r="1872" spans="1:9">
      <c r="A1872" s="2" t="s">
        <v>6759</v>
      </c>
      <c r="B1872" s="2" t="s">
        <v>2450</v>
      </c>
      <c r="C1872" s="2" t="s">
        <v>2451</v>
      </c>
      <c r="D1872" s="2" t="s">
        <v>5209</v>
      </c>
      <c r="E1872" s="2" t="s">
        <v>5210</v>
      </c>
      <c r="F1872" s="2">
        <v>24.733000000000001</v>
      </c>
      <c r="G1872" s="2">
        <v>8</v>
      </c>
      <c r="H1872" s="2">
        <f>Tabla_Items_Con_Existencia[[#This Row],[COSTO]]*Tabla_Items_Con_Existencia[[#This Row],[EXISTENCIA]]</f>
        <v>197.864</v>
      </c>
      <c r="I1872" s="1">
        <f>IF(ISERROR(MATCH(Tabla_Items_Con_Existencia[[#This Row],[CODIGO]],Tabla_Items_Activos[CODIGO],0)),0,1)</f>
        <v>0</v>
      </c>
    </row>
    <row r="1873" spans="1:9">
      <c r="A1873" s="2" t="s">
        <v>6759</v>
      </c>
      <c r="B1873" s="2" t="s">
        <v>2452</v>
      </c>
      <c r="C1873" s="2" t="s">
        <v>2453</v>
      </c>
      <c r="D1873" s="2" t="s">
        <v>5209</v>
      </c>
      <c r="E1873" s="2" t="s">
        <v>5210</v>
      </c>
      <c r="F1873" s="2">
        <v>2.6122000000000001</v>
      </c>
      <c r="G1873" s="2">
        <v>65</v>
      </c>
      <c r="H1873" s="2">
        <f>Tabla_Items_Con_Existencia[[#This Row],[COSTO]]*Tabla_Items_Con_Existencia[[#This Row],[EXISTENCIA]]</f>
        <v>169.79300000000001</v>
      </c>
      <c r="I1873" s="1">
        <f>IF(ISERROR(MATCH(Tabla_Items_Con_Existencia[[#This Row],[CODIGO]],Tabla_Items_Activos[CODIGO],0)),0,1)</f>
        <v>0</v>
      </c>
    </row>
    <row r="1874" spans="1:9">
      <c r="A1874" s="2" t="s">
        <v>6760</v>
      </c>
      <c r="B1874" s="2" t="s">
        <v>2454</v>
      </c>
      <c r="C1874" s="2" t="s">
        <v>2455</v>
      </c>
      <c r="D1874" s="2" t="s">
        <v>5157</v>
      </c>
      <c r="E1874" s="2" t="s">
        <v>5192</v>
      </c>
      <c r="F1874" s="2">
        <v>36</v>
      </c>
      <c r="G1874" s="2">
        <v>8</v>
      </c>
      <c r="H1874" s="2">
        <f>Tabla_Items_Con_Existencia[[#This Row],[COSTO]]*Tabla_Items_Con_Existencia[[#This Row],[EXISTENCIA]]</f>
        <v>288</v>
      </c>
      <c r="I1874" s="1">
        <f>IF(ISERROR(MATCH(Tabla_Items_Con_Existencia[[#This Row],[CODIGO]],Tabla_Items_Activos[CODIGO],0)),0,1)</f>
        <v>0</v>
      </c>
    </row>
    <row r="1875" spans="1:9">
      <c r="A1875" s="2" t="s">
        <v>6760</v>
      </c>
      <c r="B1875" s="2" t="s">
        <v>2456</v>
      </c>
      <c r="C1875" s="2" t="s">
        <v>2457</v>
      </c>
      <c r="D1875" s="2" t="s">
        <v>6990</v>
      </c>
      <c r="E1875" s="2" t="s">
        <v>5192</v>
      </c>
      <c r="F1875" s="2">
        <v>57</v>
      </c>
      <c r="G1875" s="2">
        <v>1</v>
      </c>
      <c r="H1875" s="2">
        <f>Tabla_Items_Con_Existencia[[#This Row],[COSTO]]*Tabla_Items_Con_Existencia[[#This Row],[EXISTENCIA]]</f>
        <v>57</v>
      </c>
      <c r="I1875" s="1">
        <f>IF(ISERROR(MATCH(Tabla_Items_Con_Existencia[[#This Row],[CODIGO]],Tabla_Items_Activos[CODIGO],0)),0,1)</f>
        <v>0</v>
      </c>
    </row>
    <row r="1876" spans="1:9">
      <c r="A1876" s="2" t="s">
        <v>6760</v>
      </c>
      <c r="B1876" s="2" t="s">
        <v>2458</v>
      </c>
      <c r="C1876" s="2" t="s">
        <v>2459</v>
      </c>
      <c r="D1876" s="2" t="s">
        <v>5157</v>
      </c>
      <c r="E1876" s="2" t="s">
        <v>5192</v>
      </c>
      <c r="F1876" s="2">
        <v>252.56</v>
      </c>
      <c r="G1876" s="2">
        <v>1</v>
      </c>
      <c r="H1876" s="2">
        <f>Tabla_Items_Con_Existencia[[#This Row],[COSTO]]*Tabla_Items_Con_Existencia[[#This Row],[EXISTENCIA]]</f>
        <v>252.56</v>
      </c>
      <c r="I1876" s="1">
        <f>IF(ISERROR(MATCH(Tabla_Items_Con_Existencia[[#This Row],[CODIGO]],Tabla_Items_Activos[CODIGO],0)),0,1)</f>
        <v>0</v>
      </c>
    </row>
    <row r="1877" spans="1:9">
      <c r="A1877" s="2" t="s">
        <v>6760</v>
      </c>
      <c r="B1877" s="2" t="s">
        <v>2460</v>
      </c>
      <c r="C1877" s="2" t="s">
        <v>2461</v>
      </c>
      <c r="D1877" s="2" t="s">
        <v>5157</v>
      </c>
      <c r="E1877" s="2" t="s">
        <v>5192</v>
      </c>
      <c r="F1877" s="2">
        <v>34.5</v>
      </c>
      <c r="G1877" s="2">
        <v>4</v>
      </c>
      <c r="H1877" s="2">
        <f>Tabla_Items_Con_Existencia[[#This Row],[COSTO]]*Tabla_Items_Con_Existencia[[#This Row],[EXISTENCIA]]</f>
        <v>138</v>
      </c>
      <c r="I1877" s="1">
        <f>IF(ISERROR(MATCH(Tabla_Items_Con_Existencia[[#This Row],[CODIGO]],Tabla_Items_Activos[CODIGO],0)),0,1)</f>
        <v>0</v>
      </c>
    </row>
    <row r="1878" spans="1:9">
      <c r="A1878" s="2" t="s">
        <v>6760</v>
      </c>
      <c r="B1878" s="2" t="s">
        <v>2462</v>
      </c>
      <c r="C1878" s="2" t="s">
        <v>2463</v>
      </c>
      <c r="D1878" s="2" t="s">
        <v>5157</v>
      </c>
      <c r="E1878" s="2" t="s">
        <v>5192</v>
      </c>
      <c r="F1878" s="2">
        <v>19.2</v>
      </c>
      <c r="G1878" s="2">
        <v>2</v>
      </c>
      <c r="H1878" s="2">
        <f>Tabla_Items_Con_Existencia[[#This Row],[COSTO]]*Tabla_Items_Con_Existencia[[#This Row],[EXISTENCIA]]</f>
        <v>38.4</v>
      </c>
      <c r="I1878" s="1">
        <f>IF(ISERROR(MATCH(Tabla_Items_Con_Existencia[[#This Row],[CODIGO]],Tabla_Items_Activos[CODIGO],0)),0,1)</f>
        <v>0</v>
      </c>
    </row>
    <row r="1879" spans="1:9">
      <c r="A1879" s="2" t="s">
        <v>6760</v>
      </c>
      <c r="B1879" s="2" t="s">
        <v>2464</v>
      </c>
      <c r="C1879" s="2" t="s">
        <v>2465</v>
      </c>
      <c r="D1879" s="2" t="s">
        <v>5222</v>
      </c>
      <c r="E1879" s="2" t="s">
        <v>5168</v>
      </c>
      <c r="F1879" s="2">
        <v>14.68157895</v>
      </c>
      <c r="G1879" s="2">
        <v>1</v>
      </c>
      <c r="H1879" s="2">
        <f>Tabla_Items_Con_Existencia[[#This Row],[COSTO]]*Tabla_Items_Con_Existencia[[#This Row],[EXISTENCIA]]</f>
        <v>14.68157895</v>
      </c>
      <c r="I1879" s="1">
        <f>IF(ISERROR(MATCH(Tabla_Items_Con_Existencia[[#This Row],[CODIGO]],Tabla_Items_Activos[CODIGO],0)),0,1)</f>
        <v>0</v>
      </c>
    </row>
    <row r="1880" spans="1:9">
      <c r="A1880" s="2" t="s">
        <v>6761</v>
      </c>
      <c r="B1880" s="2" t="s">
        <v>2464</v>
      </c>
      <c r="C1880" s="2" t="s">
        <v>2465</v>
      </c>
      <c r="D1880" s="2" t="s">
        <v>5222</v>
      </c>
      <c r="E1880" s="2" t="s">
        <v>5168</v>
      </c>
      <c r="F1880" s="2">
        <v>14.68157895</v>
      </c>
      <c r="G1880" s="2">
        <v>1</v>
      </c>
      <c r="H1880" s="2">
        <f>Tabla_Items_Con_Existencia[[#This Row],[COSTO]]*Tabla_Items_Con_Existencia[[#This Row],[EXISTENCIA]]</f>
        <v>14.68157895</v>
      </c>
      <c r="I1880" s="1">
        <f>IF(ISERROR(MATCH(Tabla_Items_Con_Existencia[[#This Row],[CODIGO]],Tabla_Items_Activos[CODIGO],0)),0,1)</f>
        <v>0</v>
      </c>
    </row>
    <row r="1881" spans="1:9">
      <c r="A1881" s="2" t="s">
        <v>6760</v>
      </c>
      <c r="B1881" s="2" t="s">
        <v>2466</v>
      </c>
      <c r="C1881" s="2" t="s">
        <v>2467</v>
      </c>
      <c r="D1881" s="2" t="s">
        <v>5157</v>
      </c>
      <c r="E1881" s="2" t="s">
        <v>5192</v>
      </c>
      <c r="F1881" s="2">
        <v>195</v>
      </c>
      <c r="G1881" s="2">
        <v>3</v>
      </c>
      <c r="H1881" s="2">
        <f>Tabla_Items_Con_Existencia[[#This Row],[COSTO]]*Tabla_Items_Con_Existencia[[#This Row],[EXISTENCIA]]</f>
        <v>585</v>
      </c>
      <c r="I1881" s="1">
        <f>IF(ISERROR(MATCH(Tabla_Items_Con_Existencia[[#This Row],[CODIGO]],Tabla_Items_Activos[CODIGO],0)),0,1)</f>
        <v>0</v>
      </c>
    </row>
    <row r="1882" spans="1:9">
      <c r="A1882" s="2" t="s">
        <v>6760</v>
      </c>
      <c r="B1882" s="2" t="s">
        <v>2468</v>
      </c>
      <c r="C1882" s="2" t="s">
        <v>2469</v>
      </c>
      <c r="D1882" s="2" t="s">
        <v>5157</v>
      </c>
      <c r="E1882" s="2" t="s">
        <v>5192</v>
      </c>
      <c r="F1882" s="2">
        <v>108</v>
      </c>
      <c r="G1882" s="2">
        <v>1</v>
      </c>
      <c r="H1882" s="2">
        <f>Tabla_Items_Con_Existencia[[#This Row],[COSTO]]*Tabla_Items_Con_Existencia[[#This Row],[EXISTENCIA]]</f>
        <v>108</v>
      </c>
      <c r="I1882" s="1">
        <f>IF(ISERROR(MATCH(Tabla_Items_Con_Existencia[[#This Row],[CODIGO]],Tabla_Items_Activos[CODIGO],0)),0,1)</f>
        <v>0</v>
      </c>
    </row>
    <row r="1883" spans="1:9">
      <c r="A1883" s="2" t="s">
        <v>6760</v>
      </c>
      <c r="B1883" s="2" t="s">
        <v>2470</v>
      </c>
      <c r="C1883" s="2" t="s">
        <v>2471</v>
      </c>
      <c r="D1883" s="2" t="s">
        <v>5157</v>
      </c>
      <c r="E1883" s="2" t="s">
        <v>5192</v>
      </c>
      <c r="F1883" s="2">
        <v>30</v>
      </c>
      <c r="G1883" s="2">
        <v>1</v>
      </c>
      <c r="H1883" s="2">
        <f>Tabla_Items_Con_Existencia[[#This Row],[COSTO]]*Tabla_Items_Con_Existencia[[#This Row],[EXISTENCIA]]</f>
        <v>30</v>
      </c>
      <c r="I1883" s="1">
        <f>IF(ISERROR(MATCH(Tabla_Items_Con_Existencia[[#This Row],[CODIGO]],Tabla_Items_Activos[CODIGO],0)),0,1)</f>
        <v>0</v>
      </c>
    </row>
    <row r="1884" spans="1:9">
      <c r="A1884" s="2" t="s">
        <v>6760</v>
      </c>
      <c r="B1884" s="2" t="s">
        <v>2472</v>
      </c>
      <c r="C1884" s="2" t="s">
        <v>2473</v>
      </c>
      <c r="D1884" s="2" t="s">
        <v>5157</v>
      </c>
      <c r="E1884" s="2" t="s">
        <v>5192</v>
      </c>
      <c r="F1884" s="2">
        <v>16</v>
      </c>
      <c r="G1884" s="2">
        <v>1</v>
      </c>
      <c r="H1884" s="2">
        <f>Tabla_Items_Con_Existencia[[#This Row],[COSTO]]*Tabla_Items_Con_Existencia[[#This Row],[EXISTENCIA]]</f>
        <v>16</v>
      </c>
      <c r="I1884" s="1">
        <f>IF(ISERROR(MATCH(Tabla_Items_Con_Existencia[[#This Row],[CODIGO]],Tabla_Items_Activos[CODIGO],0)),0,1)</f>
        <v>0</v>
      </c>
    </row>
    <row r="1885" spans="1:9">
      <c r="A1885" s="2" t="s">
        <v>6760</v>
      </c>
      <c r="B1885" s="2" t="s">
        <v>2474</v>
      </c>
      <c r="C1885" s="2" t="s">
        <v>2475</v>
      </c>
      <c r="D1885" s="2" t="s">
        <v>5161</v>
      </c>
      <c r="E1885" s="2" t="s">
        <v>5159</v>
      </c>
      <c r="F1885" s="2">
        <v>4.7649999999999997</v>
      </c>
      <c r="G1885" s="2">
        <v>14</v>
      </c>
      <c r="H1885" s="2">
        <f>Tabla_Items_Con_Existencia[[#This Row],[COSTO]]*Tabla_Items_Con_Existencia[[#This Row],[EXISTENCIA]]</f>
        <v>66.709999999999994</v>
      </c>
      <c r="I1885" s="1">
        <f>IF(ISERROR(MATCH(Tabla_Items_Con_Existencia[[#This Row],[CODIGO]],Tabla_Items_Activos[CODIGO],0)),0,1)</f>
        <v>0</v>
      </c>
    </row>
    <row r="1886" spans="1:9">
      <c r="A1886" s="2" t="s">
        <v>6760</v>
      </c>
      <c r="B1886" s="2" t="s">
        <v>2476</v>
      </c>
      <c r="C1886" s="2" t="s">
        <v>2477</v>
      </c>
      <c r="D1886" s="2" t="s">
        <v>5157</v>
      </c>
      <c r="E1886" s="2" t="s">
        <v>5192</v>
      </c>
      <c r="F1886" s="2">
        <v>26.08631579</v>
      </c>
      <c r="G1886" s="2">
        <v>3</v>
      </c>
      <c r="H1886" s="2">
        <f>Tabla_Items_Con_Existencia[[#This Row],[COSTO]]*Tabla_Items_Con_Existencia[[#This Row],[EXISTENCIA]]</f>
        <v>78.258947370000001</v>
      </c>
      <c r="I1886" s="1">
        <f>IF(ISERROR(MATCH(Tabla_Items_Con_Existencia[[#This Row],[CODIGO]],Tabla_Items_Activos[CODIGO],0)),0,1)</f>
        <v>0</v>
      </c>
    </row>
    <row r="1887" spans="1:9">
      <c r="A1887" s="2" t="s">
        <v>6761</v>
      </c>
      <c r="B1887" s="2" t="s">
        <v>2476</v>
      </c>
      <c r="C1887" s="2" t="s">
        <v>2477</v>
      </c>
      <c r="D1887" s="2" t="s">
        <v>5157</v>
      </c>
      <c r="E1887" s="2" t="s">
        <v>5192</v>
      </c>
      <c r="F1887" s="2">
        <v>26.08631579</v>
      </c>
      <c r="G1887" s="2">
        <v>3</v>
      </c>
      <c r="H1887" s="2">
        <f>Tabla_Items_Con_Existencia[[#This Row],[COSTO]]*Tabla_Items_Con_Existencia[[#This Row],[EXISTENCIA]]</f>
        <v>78.258947370000001</v>
      </c>
      <c r="I1887" s="1">
        <f>IF(ISERROR(MATCH(Tabla_Items_Con_Existencia[[#This Row],[CODIGO]],Tabla_Items_Activos[CODIGO],0)),0,1)</f>
        <v>0</v>
      </c>
    </row>
    <row r="1888" spans="1:9">
      <c r="A1888" s="2" t="s">
        <v>6760</v>
      </c>
      <c r="B1888" s="2" t="s">
        <v>2478</v>
      </c>
      <c r="C1888" s="2" t="s">
        <v>2479</v>
      </c>
      <c r="D1888" s="2" t="s">
        <v>5185</v>
      </c>
      <c r="E1888" s="2" t="s">
        <v>5159</v>
      </c>
      <c r="F1888" s="2">
        <v>3.28</v>
      </c>
      <c r="G1888" s="2">
        <v>99.73</v>
      </c>
      <c r="H1888" s="2">
        <f>Tabla_Items_Con_Existencia[[#This Row],[COSTO]]*Tabla_Items_Con_Existencia[[#This Row],[EXISTENCIA]]</f>
        <v>327.11439999999999</v>
      </c>
      <c r="I1888" s="1">
        <f>IF(ISERROR(MATCH(Tabla_Items_Con_Existencia[[#This Row],[CODIGO]],Tabla_Items_Activos[CODIGO],0)),0,1)</f>
        <v>0</v>
      </c>
    </row>
    <row r="1889" spans="1:9">
      <c r="A1889" s="2" t="s">
        <v>6759</v>
      </c>
      <c r="B1889" s="2" t="s">
        <v>2480</v>
      </c>
      <c r="C1889" s="2" t="s">
        <v>2481</v>
      </c>
      <c r="D1889" s="2" t="s">
        <v>5157</v>
      </c>
      <c r="E1889" s="2" t="s">
        <v>5157</v>
      </c>
      <c r="F1889" s="2">
        <v>267</v>
      </c>
      <c r="G1889" s="2">
        <v>3</v>
      </c>
      <c r="H1889" s="2">
        <f>Tabla_Items_Con_Existencia[[#This Row],[COSTO]]*Tabla_Items_Con_Existencia[[#This Row],[EXISTENCIA]]</f>
        <v>801</v>
      </c>
      <c r="I1889" s="1">
        <f>IF(ISERROR(MATCH(Tabla_Items_Con_Existencia[[#This Row],[CODIGO]],Tabla_Items_Activos[CODIGO],0)),0,1)</f>
        <v>0</v>
      </c>
    </row>
    <row r="1890" spans="1:9">
      <c r="A1890" s="2" t="s">
        <v>6759</v>
      </c>
      <c r="B1890" s="2" t="s">
        <v>2482</v>
      </c>
      <c r="C1890" s="2" t="s">
        <v>2483</v>
      </c>
      <c r="D1890" s="2" t="s">
        <v>5211</v>
      </c>
      <c r="E1890" s="2" t="s">
        <v>5212</v>
      </c>
      <c r="F1890" s="2">
        <v>63.359000000000002</v>
      </c>
      <c r="G1890" s="2">
        <v>8</v>
      </c>
      <c r="H1890" s="2">
        <f>Tabla_Items_Con_Existencia[[#This Row],[COSTO]]*Tabla_Items_Con_Existencia[[#This Row],[EXISTENCIA]]</f>
        <v>506.87200000000001</v>
      </c>
      <c r="I1890" s="1">
        <f>IF(ISERROR(MATCH(Tabla_Items_Con_Existencia[[#This Row],[CODIGO]],Tabla_Items_Activos[CODIGO],0)),0,1)</f>
        <v>0</v>
      </c>
    </row>
    <row r="1891" spans="1:9">
      <c r="A1891" s="2" t="s">
        <v>6761</v>
      </c>
      <c r="B1891" s="2" t="s">
        <v>2484</v>
      </c>
      <c r="C1891" s="2" t="s">
        <v>2485</v>
      </c>
      <c r="D1891" s="2" t="s">
        <v>5209</v>
      </c>
      <c r="E1891" s="2" t="s">
        <v>5212</v>
      </c>
      <c r="F1891" s="2">
        <v>18.31610667</v>
      </c>
      <c r="G1891" s="2">
        <v>38</v>
      </c>
      <c r="H1891" s="2">
        <f>Tabla_Items_Con_Existencia[[#This Row],[COSTO]]*Tabla_Items_Con_Existencia[[#This Row],[EXISTENCIA]]</f>
        <v>696.01205345999995</v>
      </c>
      <c r="I1891" s="1">
        <f>IF(ISERROR(MATCH(Tabla_Items_Con_Existencia[[#This Row],[CODIGO]],Tabla_Items_Activos[CODIGO],0)),0,1)</f>
        <v>0</v>
      </c>
    </row>
    <row r="1892" spans="1:9">
      <c r="A1892" s="2" t="s">
        <v>6759</v>
      </c>
      <c r="B1892" s="2" t="s">
        <v>2484</v>
      </c>
      <c r="C1892" s="2" t="s">
        <v>2485</v>
      </c>
      <c r="D1892" s="2" t="s">
        <v>5209</v>
      </c>
      <c r="E1892" s="2" t="s">
        <v>5212</v>
      </c>
      <c r="F1892" s="2">
        <v>18.31610667</v>
      </c>
      <c r="G1892" s="2">
        <v>38</v>
      </c>
      <c r="H1892" s="2">
        <f>Tabla_Items_Con_Existencia[[#This Row],[COSTO]]*Tabla_Items_Con_Existencia[[#This Row],[EXISTENCIA]]</f>
        <v>696.01205345999995</v>
      </c>
      <c r="I1892" s="1">
        <f>IF(ISERROR(MATCH(Tabla_Items_Con_Existencia[[#This Row],[CODIGO]],Tabla_Items_Activos[CODIGO],0)),0,1)</f>
        <v>0</v>
      </c>
    </row>
    <row r="1893" spans="1:9">
      <c r="A1893" s="2" t="s">
        <v>6759</v>
      </c>
      <c r="B1893" s="2" t="s">
        <v>2486</v>
      </c>
      <c r="C1893" s="2" t="s">
        <v>2487</v>
      </c>
      <c r="D1893" s="2" t="s">
        <v>5211</v>
      </c>
      <c r="E1893" s="2" t="s">
        <v>5212</v>
      </c>
      <c r="F1893" s="2">
        <v>40.319000000000003</v>
      </c>
      <c r="G1893" s="2">
        <v>87</v>
      </c>
      <c r="H1893" s="2">
        <f>Tabla_Items_Con_Existencia[[#This Row],[COSTO]]*Tabla_Items_Con_Existencia[[#This Row],[EXISTENCIA]]</f>
        <v>3507.7530000000002</v>
      </c>
      <c r="I1893" s="1">
        <f>IF(ISERROR(MATCH(Tabla_Items_Con_Existencia[[#This Row],[CODIGO]],Tabla_Items_Activos[CODIGO],0)),0,1)</f>
        <v>0</v>
      </c>
    </row>
    <row r="1894" spans="1:9">
      <c r="A1894" s="2" t="s">
        <v>6759</v>
      </c>
      <c r="B1894" s="2" t="s">
        <v>2488</v>
      </c>
      <c r="C1894" s="2" t="s">
        <v>2489</v>
      </c>
      <c r="D1894" s="2" t="s">
        <v>5211</v>
      </c>
      <c r="E1894" s="2" t="s">
        <v>5213</v>
      </c>
      <c r="F1894" s="2">
        <v>98.302000000000007</v>
      </c>
      <c r="G1894" s="2">
        <v>12</v>
      </c>
      <c r="H1894" s="2">
        <f>Tabla_Items_Con_Existencia[[#This Row],[COSTO]]*Tabla_Items_Con_Existencia[[#This Row],[EXISTENCIA]]</f>
        <v>1179.624</v>
      </c>
      <c r="I1894" s="1">
        <f>IF(ISERROR(MATCH(Tabla_Items_Con_Existencia[[#This Row],[CODIGO]],Tabla_Items_Activos[CODIGO],0)),0,1)</f>
        <v>0</v>
      </c>
    </row>
    <row r="1895" spans="1:9">
      <c r="A1895" s="2" t="s">
        <v>6759</v>
      </c>
      <c r="B1895" s="2" t="s">
        <v>2490</v>
      </c>
      <c r="C1895" s="2" t="s">
        <v>2491</v>
      </c>
      <c r="D1895" s="2" t="s">
        <v>5211</v>
      </c>
      <c r="E1895" s="2" t="s">
        <v>5213</v>
      </c>
      <c r="F1895" s="2">
        <v>519.351</v>
      </c>
      <c r="G1895" s="2">
        <v>8</v>
      </c>
      <c r="H1895" s="2">
        <f>Tabla_Items_Con_Existencia[[#This Row],[COSTO]]*Tabla_Items_Con_Existencia[[#This Row],[EXISTENCIA]]</f>
        <v>4154.808</v>
      </c>
      <c r="I1895" s="1">
        <f>IF(ISERROR(MATCH(Tabla_Items_Con_Existencia[[#This Row],[CODIGO]],Tabla_Items_Activos[CODIGO],0)),0,1)</f>
        <v>0</v>
      </c>
    </row>
    <row r="1896" spans="1:9">
      <c r="A1896" s="2" t="s">
        <v>6759</v>
      </c>
      <c r="B1896" s="2" t="s">
        <v>2492</v>
      </c>
      <c r="C1896" s="2" t="s">
        <v>2493</v>
      </c>
      <c r="D1896" s="2" t="s">
        <v>5211</v>
      </c>
      <c r="E1896" s="2" t="s">
        <v>5212</v>
      </c>
      <c r="F1896" s="2">
        <v>39.78</v>
      </c>
      <c r="G1896" s="2">
        <v>52</v>
      </c>
      <c r="H1896" s="2">
        <f>Tabla_Items_Con_Existencia[[#This Row],[COSTO]]*Tabla_Items_Con_Existencia[[#This Row],[EXISTENCIA]]</f>
        <v>2068.56</v>
      </c>
      <c r="I1896" s="1">
        <f>IF(ISERROR(MATCH(Tabla_Items_Con_Existencia[[#This Row],[CODIGO]],Tabla_Items_Activos[CODIGO],0)),0,1)</f>
        <v>0</v>
      </c>
    </row>
    <row r="1897" spans="1:9">
      <c r="A1897" s="2" t="s">
        <v>6759</v>
      </c>
      <c r="B1897" s="2" t="s">
        <v>2496</v>
      </c>
      <c r="C1897" s="2" t="s">
        <v>2497</v>
      </c>
      <c r="D1897" s="2" t="s">
        <v>5162</v>
      </c>
      <c r="E1897" s="2" t="s">
        <v>5210</v>
      </c>
      <c r="F1897" s="2">
        <v>14.293200000000001</v>
      </c>
      <c r="G1897" s="2">
        <v>63.25</v>
      </c>
      <c r="H1897" s="2">
        <f>Tabla_Items_Con_Existencia[[#This Row],[COSTO]]*Tabla_Items_Con_Existencia[[#This Row],[EXISTENCIA]]</f>
        <v>904.04489999999998</v>
      </c>
      <c r="I1897" s="1">
        <f>IF(ISERROR(MATCH(Tabla_Items_Con_Existencia[[#This Row],[CODIGO]],Tabla_Items_Activos[CODIGO],0)),0,1)</f>
        <v>0</v>
      </c>
    </row>
    <row r="1898" spans="1:9">
      <c r="A1898" s="2" t="s">
        <v>6759</v>
      </c>
      <c r="B1898" s="2" t="s">
        <v>6716</v>
      </c>
      <c r="C1898" s="2" t="s">
        <v>7130</v>
      </c>
      <c r="D1898" s="2" t="s">
        <v>5162</v>
      </c>
      <c r="E1898" s="2" t="s">
        <v>5210</v>
      </c>
      <c r="F1898" s="2">
        <v>5.93</v>
      </c>
      <c r="G1898" s="2">
        <v>770.9</v>
      </c>
      <c r="H1898" s="2">
        <f>Tabla_Items_Con_Existencia[[#This Row],[COSTO]]*Tabla_Items_Con_Existencia[[#This Row],[EXISTENCIA]]</f>
        <v>4571.4369999999999</v>
      </c>
      <c r="I1898" s="1">
        <f>IF(ISERROR(MATCH(Tabla_Items_Con_Existencia[[#This Row],[CODIGO]],Tabla_Items_Activos[CODIGO],0)),0,1)</f>
        <v>0</v>
      </c>
    </row>
    <row r="1899" spans="1:9">
      <c r="A1899" s="2" t="s">
        <v>6759</v>
      </c>
      <c r="B1899" s="2" t="s">
        <v>2498</v>
      </c>
      <c r="C1899" s="2" t="s">
        <v>2499</v>
      </c>
      <c r="D1899" s="2" t="s">
        <v>5162</v>
      </c>
      <c r="E1899" s="2" t="s">
        <v>5210</v>
      </c>
      <c r="F1899" s="2">
        <v>37.57</v>
      </c>
      <c r="G1899" s="2">
        <v>30</v>
      </c>
      <c r="H1899" s="2">
        <f>Tabla_Items_Con_Existencia[[#This Row],[COSTO]]*Tabla_Items_Con_Existencia[[#This Row],[EXISTENCIA]]</f>
        <v>1127.0999999999999</v>
      </c>
      <c r="I1899" s="1">
        <f>IF(ISERROR(MATCH(Tabla_Items_Con_Existencia[[#This Row],[CODIGO]],Tabla_Items_Activos[CODIGO],0)),0,1)</f>
        <v>0</v>
      </c>
    </row>
    <row r="1900" spans="1:9">
      <c r="A1900" s="2" t="s">
        <v>6759</v>
      </c>
      <c r="B1900" s="2" t="s">
        <v>2500</v>
      </c>
      <c r="C1900" s="2" t="s">
        <v>2501</v>
      </c>
      <c r="D1900" s="2" t="s">
        <v>5162</v>
      </c>
      <c r="E1900" s="2" t="s">
        <v>5210</v>
      </c>
      <c r="F1900" s="2">
        <v>5100</v>
      </c>
      <c r="G1900" s="2">
        <v>1.49</v>
      </c>
      <c r="H1900" s="2">
        <f>Tabla_Items_Con_Existencia[[#This Row],[COSTO]]*Tabla_Items_Con_Existencia[[#This Row],[EXISTENCIA]]</f>
        <v>7599</v>
      </c>
      <c r="I1900" s="1">
        <f>IF(ISERROR(MATCH(Tabla_Items_Con_Existencia[[#This Row],[CODIGO]],Tabla_Items_Activos[CODIGO],0)),0,1)</f>
        <v>0</v>
      </c>
    </row>
    <row r="1901" spans="1:9">
      <c r="A1901" s="2" t="s">
        <v>6759</v>
      </c>
      <c r="B1901" s="2" t="s">
        <v>2502</v>
      </c>
      <c r="C1901" s="2" t="s">
        <v>2503</v>
      </c>
      <c r="D1901" s="2" t="s">
        <v>5211</v>
      </c>
      <c r="E1901" s="2" t="s">
        <v>5213</v>
      </c>
      <c r="F1901" s="2">
        <v>26.518000000000001</v>
      </c>
      <c r="G1901" s="2">
        <v>163</v>
      </c>
      <c r="H1901" s="2">
        <f>Tabla_Items_Con_Existencia[[#This Row],[COSTO]]*Tabla_Items_Con_Existencia[[#This Row],[EXISTENCIA]]</f>
        <v>4322.4340000000002</v>
      </c>
      <c r="I1901" s="1">
        <f>IF(ISERROR(MATCH(Tabla_Items_Con_Existencia[[#This Row],[CODIGO]],Tabla_Items_Activos[CODIGO],0)),0,1)</f>
        <v>0</v>
      </c>
    </row>
    <row r="1902" spans="1:9">
      <c r="A1902" s="2" t="s">
        <v>6761</v>
      </c>
      <c r="B1902" s="2" t="s">
        <v>7264</v>
      </c>
      <c r="C1902" s="2" t="s">
        <v>7265</v>
      </c>
      <c r="D1902" s="2" t="s">
        <v>7266</v>
      </c>
      <c r="E1902" s="2" t="s">
        <v>7194</v>
      </c>
      <c r="F1902" s="2">
        <v>0</v>
      </c>
      <c r="G1902" s="2">
        <v>1</v>
      </c>
      <c r="H1902" s="2">
        <f>Tabla_Items_Con_Existencia[[#This Row],[COSTO]]*Tabla_Items_Con_Existencia[[#This Row],[EXISTENCIA]]</f>
        <v>0</v>
      </c>
      <c r="I1902" s="1">
        <f>IF(ISERROR(MATCH(Tabla_Items_Con_Existencia[[#This Row],[CODIGO]],Tabla_Items_Activos[CODIGO],0)),0,1)</f>
        <v>0</v>
      </c>
    </row>
    <row r="1903" spans="1:9">
      <c r="A1903" s="2" t="s">
        <v>6760</v>
      </c>
      <c r="B1903" s="2" t="s">
        <v>2504</v>
      </c>
      <c r="C1903" s="2" t="s">
        <v>2505</v>
      </c>
      <c r="D1903" s="2" t="s">
        <v>5157</v>
      </c>
      <c r="E1903" s="2" t="s">
        <v>5192</v>
      </c>
      <c r="F1903" s="2">
        <v>76.61</v>
      </c>
      <c r="G1903" s="2">
        <v>1</v>
      </c>
      <c r="H1903" s="2">
        <f>Tabla_Items_Con_Existencia[[#This Row],[COSTO]]*Tabla_Items_Con_Existencia[[#This Row],[EXISTENCIA]]</f>
        <v>76.61</v>
      </c>
      <c r="I1903" s="1">
        <f>IF(ISERROR(MATCH(Tabla_Items_Con_Existencia[[#This Row],[CODIGO]],Tabla_Items_Activos[CODIGO],0)),0,1)</f>
        <v>0</v>
      </c>
    </row>
    <row r="1904" spans="1:9">
      <c r="A1904" s="2" t="s">
        <v>6760</v>
      </c>
      <c r="B1904" s="2" t="s">
        <v>2512</v>
      </c>
      <c r="C1904" s="2" t="s">
        <v>2513</v>
      </c>
      <c r="D1904" s="2" t="s">
        <v>5157</v>
      </c>
      <c r="E1904" s="2" t="s">
        <v>5192</v>
      </c>
      <c r="F1904" s="2">
        <v>7.4610000000000003</v>
      </c>
      <c r="G1904" s="2">
        <v>1</v>
      </c>
      <c r="H1904" s="2">
        <f>Tabla_Items_Con_Existencia[[#This Row],[COSTO]]*Tabla_Items_Con_Existencia[[#This Row],[EXISTENCIA]]</f>
        <v>7.4610000000000003</v>
      </c>
      <c r="I1904" s="1">
        <f>IF(ISERROR(MATCH(Tabla_Items_Con_Existencia[[#This Row],[CODIGO]],Tabla_Items_Activos[CODIGO],0)),0,1)</f>
        <v>0</v>
      </c>
    </row>
    <row r="1905" spans="1:9">
      <c r="A1905" s="2" t="s">
        <v>6760</v>
      </c>
      <c r="B1905" s="2" t="s">
        <v>2514</v>
      </c>
      <c r="C1905" s="2" t="s">
        <v>2515</v>
      </c>
      <c r="D1905" s="2" t="s">
        <v>5157</v>
      </c>
      <c r="E1905" s="2" t="s">
        <v>5192</v>
      </c>
      <c r="F1905" s="2">
        <v>2.6179999999999999</v>
      </c>
      <c r="G1905" s="2">
        <v>1</v>
      </c>
      <c r="H1905" s="2">
        <f>Tabla_Items_Con_Existencia[[#This Row],[COSTO]]*Tabla_Items_Con_Existencia[[#This Row],[EXISTENCIA]]</f>
        <v>2.6179999999999999</v>
      </c>
      <c r="I1905" s="1">
        <f>IF(ISERROR(MATCH(Tabla_Items_Con_Existencia[[#This Row],[CODIGO]],Tabla_Items_Activos[CODIGO],0)),0,1)</f>
        <v>0</v>
      </c>
    </row>
    <row r="1906" spans="1:9">
      <c r="A1906" s="2" t="s">
        <v>6760</v>
      </c>
      <c r="B1906" s="2" t="s">
        <v>2516</v>
      </c>
      <c r="C1906" s="2" t="s">
        <v>2517</v>
      </c>
      <c r="D1906" s="2" t="s">
        <v>5157</v>
      </c>
      <c r="E1906" s="2" t="s">
        <v>5192</v>
      </c>
      <c r="F1906" s="2">
        <v>10.923999999999999</v>
      </c>
      <c r="G1906" s="2">
        <v>1</v>
      </c>
      <c r="H1906" s="2">
        <f>Tabla_Items_Con_Existencia[[#This Row],[COSTO]]*Tabla_Items_Con_Existencia[[#This Row],[EXISTENCIA]]</f>
        <v>10.923999999999999</v>
      </c>
      <c r="I1906" s="1">
        <f>IF(ISERROR(MATCH(Tabla_Items_Con_Existencia[[#This Row],[CODIGO]],Tabla_Items_Activos[CODIGO],0)),0,1)</f>
        <v>0</v>
      </c>
    </row>
    <row r="1907" spans="1:9">
      <c r="A1907" s="2" t="s">
        <v>6760</v>
      </c>
      <c r="B1907" s="2" t="s">
        <v>2520</v>
      </c>
      <c r="C1907" s="2" t="s">
        <v>2521</v>
      </c>
      <c r="D1907" s="2" t="s">
        <v>5157</v>
      </c>
      <c r="E1907" s="2" t="s">
        <v>5192</v>
      </c>
      <c r="F1907" s="2">
        <v>43.209000000000003</v>
      </c>
      <c r="G1907" s="2">
        <v>1</v>
      </c>
      <c r="H1907" s="2">
        <f>Tabla_Items_Con_Existencia[[#This Row],[COSTO]]*Tabla_Items_Con_Existencia[[#This Row],[EXISTENCIA]]</f>
        <v>43.209000000000003</v>
      </c>
      <c r="I1907" s="1">
        <f>IF(ISERROR(MATCH(Tabla_Items_Con_Existencia[[#This Row],[CODIGO]],Tabla_Items_Activos[CODIGO],0)),0,1)</f>
        <v>0</v>
      </c>
    </row>
    <row r="1908" spans="1:9">
      <c r="A1908" s="2" t="s">
        <v>6761</v>
      </c>
      <c r="B1908" s="2" t="s">
        <v>6991</v>
      </c>
      <c r="C1908" s="2" t="s">
        <v>6992</v>
      </c>
      <c r="D1908" s="2" t="s">
        <v>5226</v>
      </c>
      <c r="E1908" s="2" t="s">
        <v>5192</v>
      </c>
      <c r="F1908" s="2">
        <v>28.92</v>
      </c>
      <c r="G1908" s="2">
        <v>2</v>
      </c>
      <c r="H1908" s="2">
        <f>Tabla_Items_Con_Existencia[[#This Row],[COSTO]]*Tabla_Items_Con_Existencia[[#This Row],[EXISTENCIA]]</f>
        <v>57.84</v>
      </c>
      <c r="I1908" s="1">
        <f>IF(ISERROR(MATCH(Tabla_Items_Con_Existencia[[#This Row],[CODIGO]],Tabla_Items_Activos[CODIGO],0)),0,1)</f>
        <v>0</v>
      </c>
    </row>
    <row r="1909" spans="1:9">
      <c r="A1909" s="2" t="s">
        <v>6761</v>
      </c>
      <c r="B1909" s="2" t="s">
        <v>6993</v>
      </c>
      <c r="C1909" s="2" t="s">
        <v>6994</v>
      </c>
      <c r="D1909" s="2" t="s">
        <v>5226</v>
      </c>
      <c r="E1909" s="2" t="s">
        <v>5192</v>
      </c>
      <c r="F1909" s="2">
        <v>28.92</v>
      </c>
      <c r="G1909" s="2">
        <v>2</v>
      </c>
      <c r="H1909" s="2">
        <f>Tabla_Items_Con_Existencia[[#This Row],[COSTO]]*Tabla_Items_Con_Existencia[[#This Row],[EXISTENCIA]]</f>
        <v>57.84</v>
      </c>
      <c r="I1909" s="1">
        <f>IF(ISERROR(MATCH(Tabla_Items_Con_Existencia[[#This Row],[CODIGO]],Tabla_Items_Activos[CODIGO],0)),0,1)</f>
        <v>0</v>
      </c>
    </row>
    <row r="1910" spans="1:9">
      <c r="A1910" s="2" t="s">
        <v>6761</v>
      </c>
      <c r="B1910" s="2" t="s">
        <v>6995</v>
      </c>
      <c r="C1910" s="2" t="s">
        <v>6996</v>
      </c>
      <c r="D1910" s="2" t="s">
        <v>5226</v>
      </c>
      <c r="E1910" s="2" t="s">
        <v>5192</v>
      </c>
      <c r="F1910" s="2">
        <v>30.34</v>
      </c>
      <c r="G1910" s="2">
        <v>1</v>
      </c>
      <c r="H1910" s="2">
        <f>Tabla_Items_Con_Existencia[[#This Row],[COSTO]]*Tabla_Items_Con_Existencia[[#This Row],[EXISTENCIA]]</f>
        <v>30.34</v>
      </c>
      <c r="I1910" s="1">
        <f>IF(ISERROR(MATCH(Tabla_Items_Con_Existencia[[#This Row],[CODIGO]],Tabla_Items_Activos[CODIGO],0)),0,1)</f>
        <v>0</v>
      </c>
    </row>
    <row r="1911" spans="1:9">
      <c r="A1911" s="2" t="s">
        <v>6761</v>
      </c>
      <c r="B1911" s="2" t="s">
        <v>6997</v>
      </c>
      <c r="C1911" s="2" t="s">
        <v>6998</v>
      </c>
      <c r="D1911" s="2" t="s">
        <v>5226</v>
      </c>
      <c r="E1911" s="2" t="s">
        <v>5192</v>
      </c>
      <c r="F1911" s="2">
        <v>26.8</v>
      </c>
      <c r="G1911" s="2">
        <v>2</v>
      </c>
      <c r="H1911" s="2">
        <f>Tabla_Items_Con_Existencia[[#This Row],[COSTO]]*Tabla_Items_Con_Existencia[[#This Row],[EXISTENCIA]]</f>
        <v>53.6</v>
      </c>
      <c r="I1911" s="1">
        <f>IF(ISERROR(MATCH(Tabla_Items_Con_Existencia[[#This Row],[CODIGO]],Tabla_Items_Activos[CODIGO],0)),0,1)</f>
        <v>0</v>
      </c>
    </row>
    <row r="1912" spans="1:9">
      <c r="A1912" s="2" t="s">
        <v>6761</v>
      </c>
      <c r="B1912" s="2" t="s">
        <v>6999</v>
      </c>
      <c r="C1912" s="2" t="s">
        <v>7000</v>
      </c>
      <c r="D1912" s="2" t="s">
        <v>5226</v>
      </c>
      <c r="E1912" s="2" t="s">
        <v>5192</v>
      </c>
      <c r="F1912" s="2">
        <v>66.540000000000006</v>
      </c>
      <c r="G1912" s="2">
        <v>3</v>
      </c>
      <c r="H1912" s="2">
        <f>Tabla_Items_Con_Existencia[[#This Row],[COSTO]]*Tabla_Items_Con_Existencia[[#This Row],[EXISTENCIA]]</f>
        <v>199.62</v>
      </c>
      <c r="I1912" s="1">
        <f>IF(ISERROR(MATCH(Tabla_Items_Con_Existencia[[#This Row],[CODIGO]],Tabla_Items_Activos[CODIGO],0)),0,1)</f>
        <v>0</v>
      </c>
    </row>
    <row r="1913" spans="1:9">
      <c r="A1913" s="2" t="s">
        <v>6760</v>
      </c>
      <c r="B1913" s="2" t="s">
        <v>2532</v>
      </c>
      <c r="C1913" s="2" t="s">
        <v>2533</v>
      </c>
      <c r="D1913" s="2" t="s">
        <v>5157</v>
      </c>
      <c r="E1913" s="2" t="s">
        <v>5192</v>
      </c>
      <c r="F1913" s="2">
        <v>1.3</v>
      </c>
      <c r="G1913" s="2">
        <v>1</v>
      </c>
      <c r="H1913" s="2">
        <f>Tabla_Items_Con_Existencia[[#This Row],[COSTO]]*Tabla_Items_Con_Existencia[[#This Row],[EXISTENCIA]]</f>
        <v>1.3</v>
      </c>
      <c r="I1913" s="1">
        <f>IF(ISERROR(MATCH(Tabla_Items_Con_Existencia[[#This Row],[CODIGO]],Tabla_Items_Activos[CODIGO],0)),0,1)</f>
        <v>0</v>
      </c>
    </row>
    <row r="1914" spans="1:9">
      <c r="A1914" s="2" t="s">
        <v>6760</v>
      </c>
      <c r="B1914" s="2" t="s">
        <v>2536</v>
      </c>
      <c r="C1914" s="2" t="s">
        <v>2537</v>
      </c>
      <c r="D1914" s="2" t="s">
        <v>5157</v>
      </c>
      <c r="E1914" s="2" t="s">
        <v>5192</v>
      </c>
      <c r="F1914" s="2">
        <v>4.1100000000000003</v>
      </c>
      <c r="G1914" s="2">
        <v>1</v>
      </c>
      <c r="H1914" s="2">
        <f>Tabla_Items_Con_Existencia[[#This Row],[COSTO]]*Tabla_Items_Con_Existencia[[#This Row],[EXISTENCIA]]</f>
        <v>4.1100000000000003</v>
      </c>
      <c r="I1914" s="1">
        <f>IF(ISERROR(MATCH(Tabla_Items_Con_Existencia[[#This Row],[CODIGO]],Tabla_Items_Activos[CODIGO],0)),0,1)</f>
        <v>0</v>
      </c>
    </row>
    <row r="1915" spans="1:9">
      <c r="A1915" s="2" t="s">
        <v>6760</v>
      </c>
      <c r="B1915" s="2" t="s">
        <v>2542</v>
      </c>
      <c r="C1915" s="2" t="s">
        <v>2543</v>
      </c>
      <c r="D1915" s="2" t="s">
        <v>5157</v>
      </c>
      <c r="E1915" s="2" t="s">
        <v>5192</v>
      </c>
      <c r="F1915" s="2">
        <v>43.931578950000002</v>
      </c>
      <c r="G1915" s="2">
        <v>2</v>
      </c>
      <c r="H1915" s="2">
        <f>Tabla_Items_Con_Existencia[[#This Row],[COSTO]]*Tabla_Items_Con_Existencia[[#This Row],[EXISTENCIA]]</f>
        <v>87.863157900000004</v>
      </c>
      <c r="I1915" s="1">
        <f>IF(ISERROR(MATCH(Tabla_Items_Con_Existencia[[#This Row],[CODIGO]],Tabla_Items_Activos[CODIGO],0)),0,1)</f>
        <v>0</v>
      </c>
    </row>
    <row r="1916" spans="1:9">
      <c r="A1916" s="2" t="s">
        <v>6761</v>
      </c>
      <c r="B1916" s="2" t="s">
        <v>2542</v>
      </c>
      <c r="C1916" s="2" t="s">
        <v>2543</v>
      </c>
      <c r="D1916" s="2" t="s">
        <v>5157</v>
      </c>
      <c r="E1916" s="2" t="s">
        <v>5192</v>
      </c>
      <c r="F1916" s="2">
        <v>43.931578950000002</v>
      </c>
      <c r="G1916" s="2">
        <v>2</v>
      </c>
      <c r="H1916" s="2">
        <f>Tabla_Items_Con_Existencia[[#This Row],[COSTO]]*Tabla_Items_Con_Existencia[[#This Row],[EXISTENCIA]]</f>
        <v>87.863157900000004</v>
      </c>
      <c r="I1916" s="1">
        <f>IF(ISERROR(MATCH(Tabla_Items_Con_Existencia[[#This Row],[CODIGO]],Tabla_Items_Activos[CODIGO],0)),0,1)</f>
        <v>0</v>
      </c>
    </row>
    <row r="1917" spans="1:9">
      <c r="A1917" s="2" t="s">
        <v>6760</v>
      </c>
      <c r="B1917" s="2" t="s">
        <v>2544</v>
      </c>
      <c r="C1917" s="2" t="s">
        <v>2545</v>
      </c>
      <c r="D1917" s="2" t="s">
        <v>5157</v>
      </c>
      <c r="E1917" s="2" t="s">
        <v>5192</v>
      </c>
      <c r="F1917" s="2">
        <v>75.575789470000004</v>
      </c>
      <c r="G1917" s="2">
        <v>3</v>
      </c>
      <c r="H1917" s="2">
        <f>Tabla_Items_Con_Existencia[[#This Row],[COSTO]]*Tabla_Items_Con_Existencia[[#This Row],[EXISTENCIA]]</f>
        <v>226.72736841</v>
      </c>
      <c r="I1917" s="1">
        <f>IF(ISERROR(MATCH(Tabla_Items_Con_Existencia[[#This Row],[CODIGO]],Tabla_Items_Activos[CODIGO],0)),0,1)</f>
        <v>0</v>
      </c>
    </row>
    <row r="1918" spans="1:9">
      <c r="A1918" s="2" t="s">
        <v>6761</v>
      </c>
      <c r="B1918" s="2" t="s">
        <v>2544</v>
      </c>
      <c r="C1918" s="2" t="s">
        <v>2545</v>
      </c>
      <c r="D1918" s="2" t="s">
        <v>5157</v>
      </c>
      <c r="E1918" s="2" t="s">
        <v>5192</v>
      </c>
      <c r="F1918" s="2">
        <v>75.575789470000004</v>
      </c>
      <c r="G1918" s="2">
        <v>3</v>
      </c>
      <c r="H1918" s="2">
        <f>Tabla_Items_Con_Existencia[[#This Row],[COSTO]]*Tabla_Items_Con_Existencia[[#This Row],[EXISTENCIA]]</f>
        <v>226.72736841</v>
      </c>
      <c r="I1918" s="1">
        <f>IF(ISERROR(MATCH(Tabla_Items_Con_Existencia[[#This Row],[CODIGO]],Tabla_Items_Activos[CODIGO],0)),0,1)</f>
        <v>0</v>
      </c>
    </row>
    <row r="1919" spans="1:9">
      <c r="A1919" s="2" t="s">
        <v>6761</v>
      </c>
      <c r="B1919" s="2" t="s">
        <v>2546</v>
      </c>
      <c r="C1919" s="2" t="s">
        <v>2547</v>
      </c>
      <c r="D1919" s="2" t="s">
        <v>5183</v>
      </c>
      <c r="E1919" s="2" t="s">
        <v>5168</v>
      </c>
      <c r="F1919" s="2">
        <v>6.77894737</v>
      </c>
      <c r="G1919" s="2">
        <v>6</v>
      </c>
      <c r="H1919" s="2">
        <f>Tabla_Items_Con_Existencia[[#This Row],[COSTO]]*Tabla_Items_Con_Existencia[[#This Row],[EXISTENCIA]]</f>
        <v>40.673684219999998</v>
      </c>
      <c r="I1919" s="1">
        <f>IF(ISERROR(MATCH(Tabla_Items_Con_Existencia[[#This Row],[CODIGO]],Tabla_Items_Activos[CODIGO],0)),0,1)</f>
        <v>0</v>
      </c>
    </row>
    <row r="1920" spans="1:9">
      <c r="A1920" s="2" t="s">
        <v>6760</v>
      </c>
      <c r="B1920" s="2" t="s">
        <v>2546</v>
      </c>
      <c r="C1920" s="2" t="s">
        <v>2547</v>
      </c>
      <c r="D1920" s="2" t="s">
        <v>5183</v>
      </c>
      <c r="E1920" s="2" t="s">
        <v>5168</v>
      </c>
      <c r="F1920" s="2">
        <v>6.77894737</v>
      </c>
      <c r="G1920" s="2">
        <v>6</v>
      </c>
      <c r="H1920" s="2">
        <f>Tabla_Items_Con_Existencia[[#This Row],[COSTO]]*Tabla_Items_Con_Existencia[[#This Row],[EXISTENCIA]]</f>
        <v>40.673684219999998</v>
      </c>
      <c r="I1920" s="1">
        <f>IF(ISERROR(MATCH(Tabla_Items_Con_Existencia[[#This Row],[CODIGO]],Tabla_Items_Activos[CODIGO],0)),0,1)</f>
        <v>0</v>
      </c>
    </row>
    <row r="1921" spans="1:9">
      <c r="A1921" s="2" t="s">
        <v>6760</v>
      </c>
      <c r="B1921" s="2" t="s">
        <v>2548</v>
      </c>
      <c r="C1921" s="2" t="s">
        <v>2549</v>
      </c>
      <c r="D1921" s="2" t="s">
        <v>5183</v>
      </c>
      <c r="E1921" s="2" t="s">
        <v>5168</v>
      </c>
      <c r="F1921" s="2">
        <v>7</v>
      </c>
      <c r="G1921" s="2">
        <v>1</v>
      </c>
      <c r="H1921" s="2">
        <f>Tabla_Items_Con_Existencia[[#This Row],[COSTO]]*Tabla_Items_Con_Existencia[[#This Row],[EXISTENCIA]]</f>
        <v>7</v>
      </c>
      <c r="I1921" s="1">
        <f>IF(ISERROR(MATCH(Tabla_Items_Con_Existencia[[#This Row],[CODIGO]],Tabla_Items_Activos[CODIGO],0)),0,1)</f>
        <v>0</v>
      </c>
    </row>
    <row r="1922" spans="1:9">
      <c r="A1922" s="2" t="s">
        <v>6760</v>
      </c>
      <c r="B1922" s="2" t="s">
        <v>2550</v>
      </c>
      <c r="C1922" s="2" t="s">
        <v>2551</v>
      </c>
      <c r="D1922" s="2" t="s">
        <v>5183</v>
      </c>
      <c r="E1922" s="2" t="s">
        <v>5168</v>
      </c>
      <c r="F1922" s="2">
        <v>7</v>
      </c>
      <c r="G1922" s="2">
        <v>1</v>
      </c>
      <c r="H1922" s="2">
        <f>Tabla_Items_Con_Existencia[[#This Row],[COSTO]]*Tabla_Items_Con_Existencia[[#This Row],[EXISTENCIA]]</f>
        <v>7</v>
      </c>
      <c r="I1922" s="1">
        <f>IF(ISERROR(MATCH(Tabla_Items_Con_Existencia[[#This Row],[CODIGO]],Tabla_Items_Activos[CODIGO],0)),0,1)</f>
        <v>0</v>
      </c>
    </row>
    <row r="1923" spans="1:9">
      <c r="A1923" s="2" t="s">
        <v>6760</v>
      </c>
      <c r="B1923" s="2" t="s">
        <v>2552</v>
      </c>
      <c r="C1923" s="2" t="s">
        <v>2553</v>
      </c>
      <c r="D1923" s="2" t="s">
        <v>5183</v>
      </c>
      <c r="E1923" s="2" t="s">
        <v>5168</v>
      </c>
      <c r="F1923" s="2">
        <v>7</v>
      </c>
      <c r="G1923" s="2">
        <v>1</v>
      </c>
      <c r="H1923" s="2">
        <f>Tabla_Items_Con_Existencia[[#This Row],[COSTO]]*Tabla_Items_Con_Existencia[[#This Row],[EXISTENCIA]]</f>
        <v>7</v>
      </c>
      <c r="I1923" s="1">
        <f>IF(ISERROR(MATCH(Tabla_Items_Con_Existencia[[#This Row],[CODIGO]],Tabla_Items_Activos[CODIGO],0)),0,1)</f>
        <v>0</v>
      </c>
    </row>
    <row r="1924" spans="1:9">
      <c r="A1924" s="2" t="s">
        <v>6760</v>
      </c>
      <c r="B1924" s="2" t="s">
        <v>862</v>
      </c>
      <c r="C1924" s="2" t="s">
        <v>2554</v>
      </c>
      <c r="D1924" s="2" t="s">
        <v>7001</v>
      </c>
      <c r="E1924" s="2" t="s">
        <v>5168</v>
      </c>
      <c r="F1924" s="2">
        <v>2.2254947399999998</v>
      </c>
      <c r="G1924" s="2">
        <v>149</v>
      </c>
      <c r="H1924" s="2">
        <f>Tabla_Items_Con_Existencia[[#This Row],[COSTO]]*Tabla_Items_Con_Existencia[[#This Row],[EXISTENCIA]]</f>
        <v>331.59871625999995</v>
      </c>
      <c r="I1924" s="1">
        <f>IF(ISERROR(MATCH(Tabla_Items_Con_Existencia[[#This Row],[CODIGO]],Tabla_Items_Activos[CODIGO],0)),0,1)</f>
        <v>0</v>
      </c>
    </row>
    <row r="1925" spans="1:9">
      <c r="A1925" s="2" t="s">
        <v>6761</v>
      </c>
      <c r="B1925" s="2" t="s">
        <v>862</v>
      </c>
      <c r="C1925" s="2" t="s">
        <v>2554</v>
      </c>
      <c r="D1925" s="2" t="s">
        <v>7001</v>
      </c>
      <c r="E1925" s="2" t="s">
        <v>5168</v>
      </c>
      <c r="F1925" s="2">
        <v>2.2254947399999998</v>
      </c>
      <c r="G1925" s="2">
        <v>149</v>
      </c>
      <c r="H1925" s="2">
        <f>Tabla_Items_Con_Existencia[[#This Row],[COSTO]]*Tabla_Items_Con_Existencia[[#This Row],[EXISTENCIA]]</f>
        <v>331.59871625999995</v>
      </c>
      <c r="I1925" s="1">
        <f>IF(ISERROR(MATCH(Tabla_Items_Con_Existencia[[#This Row],[CODIGO]],Tabla_Items_Activos[CODIGO],0)),0,1)</f>
        <v>0</v>
      </c>
    </row>
    <row r="1926" spans="1:9">
      <c r="A1926" s="2" t="s">
        <v>6760</v>
      </c>
      <c r="B1926" s="2" t="s">
        <v>863</v>
      </c>
      <c r="C1926" s="2" t="s">
        <v>2555</v>
      </c>
      <c r="D1926" s="2" t="s">
        <v>7001</v>
      </c>
      <c r="E1926" s="2" t="s">
        <v>5168</v>
      </c>
      <c r="F1926" s="2">
        <v>4.4210526300000001</v>
      </c>
      <c r="G1926" s="2">
        <v>2</v>
      </c>
      <c r="H1926" s="2">
        <f>Tabla_Items_Con_Existencia[[#This Row],[COSTO]]*Tabla_Items_Con_Existencia[[#This Row],[EXISTENCIA]]</f>
        <v>8.8421052600000003</v>
      </c>
      <c r="I1926" s="1">
        <f>IF(ISERROR(MATCH(Tabla_Items_Con_Existencia[[#This Row],[CODIGO]],Tabla_Items_Activos[CODIGO],0)),0,1)</f>
        <v>0</v>
      </c>
    </row>
    <row r="1927" spans="1:9">
      <c r="A1927" s="2" t="s">
        <v>6761</v>
      </c>
      <c r="B1927" s="2" t="s">
        <v>863</v>
      </c>
      <c r="C1927" s="2" t="s">
        <v>2555</v>
      </c>
      <c r="D1927" s="2" t="s">
        <v>7001</v>
      </c>
      <c r="E1927" s="2" t="s">
        <v>5168</v>
      </c>
      <c r="F1927" s="2">
        <v>4.4210526300000001</v>
      </c>
      <c r="G1927" s="2">
        <v>2</v>
      </c>
      <c r="H1927" s="2">
        <f>Tabla_Items_Con_Existencia[[#This Row],[COSTO]]*Tabla_Items_Con_Existencia[[#This Row],[EXISTENCIA]]</f>
        <v>8.8421052600000003</v>
      </c>
      <c r="I1927" s="1">
        <f>IF(ISERROR(MATCH(Tabla_Items_Con_Existencia[[#This Row],[CODIGO]],Tabla_Items_Activos[CODIGO],0)),0,1)</f>
        <v>0</v>
      </c>
    </row>
    <row r="1928" spans="1:9">
      <c r="A1928" s="2" t="s">
        <v>6760</v>
      </c>
      <c r="B1928" s="2" t="s">
        <v>2556</v>
      </c>
      <c r="C1928" s="2" t="s">
        <v>2557</v>
      </c>
      <c r="D1928" s="2" t="s">
        <v>5183</v>
      </c>
      <c r="E1928" s="2" t="s">
        <v>5168</v>
      </c>
      <c r="F1928" s="2">
        <v>4.1052631599999998</v>
      </c>
      <c r="G1928" s="2">
        <v>3</v>
      </c>
      <c r="H1928" s="2">
        <f>Tabla_Items_Con_Existencia[[#This Row],[COSTO]]*Tabla_Items_Con_Existencia[[#This Row],[EXISTENCIA]]</f>
        <v>12.315789479999999</v>
      </c>
      <c r="I1928" s="1">
        <f>IF(ISERROR(MATCH(Tabla_Items_Con_Existencia[[#This Row],[CODIGO]],Tabla_Items_Activos[CODIGO],0)),0,1)</f>
        <v>0</v>
      </c>
    </row>
    <row r="1929" spans="1:9">
      <c r="A1929" s="2" t="s">
        <v>6761</v>
      </c>
      <c r="B1929" s="2" t="s">
        <v>2556</v>
      </c>
      <c r="C1929" s="2" t="s">
        <v>2557</v>
      </c>
      <c r="D1929" s="2" t="s">
        <v>5183</v>
      </c>
      <c r="E1929" s="2" t="s">
        <v>5168</v>
      </c>
      <c r="F1929" s="2">
        <v>4.1052631599999998</v>
      </c>
      <c r="G1929" s="2">
        <v>3</v>
      </c>
      <c r="H1929" s="2">
        <f>Tabla_Items_Con_Existencia[[#This Row],[COSTO]]*Tabla_Items_Con_Existencia[[#This Row],[EXISTENCIA]]</f>
        <v>12.315789479999999</v>
      </c>
      <c r="I1929" s="1">
        <f>IF(ISERROR(MATCH(Tabla_Items_Con_Existencia[[#This Row],[CODIGO]],Tabla_Items_Activos[CODIGO],0)),0,1)</f>
        <v>0</v>
      </c>
    </row>
    <row r="1930" spans="1:9">
      <c r="A1930" s="2" t="s">
        <v>6761</v>
      </c>
      <c r="B1930" s="2" t="s">
        <v>2558</v>
      </c>
      <c r="C1930" s="2" t="s">
        <v>2559</v>
      </c>
      <c r="D1930" s="2" t="s">
        <v>5183</v>
      </c>
      <c r="E1930" s="2" t="s">
        <v>5168</v>
      </c>
      <c r="F1930" s="2">
        <v>374.63368421000001</v>
      </c>
      <c r="G1930" s="2">
        <v>2</v>
      </c>
      <c r="H1930" s="2">
        <f>Tabla_Items_Con_Existencia[[#This Row],[COSTO]]*Tabla_Items_Con_Existencia[[#This Row],[EXISTENCIA]]</f>
        <v>749.26736842000003</v>
      </c>
      <c r="I1930" s="1">
        <f>IF(ISERROR(MATCH(Tabla_Items_Con_Existencia[[#This Row],[CODIGO]],Tabla_Items_Activos[CODIGO],0)),0,1)</f>
        <v>0</v>
      </c>
    </row>
    <row r="1931" spans="1:9">
      <c r="A1931" s="2" t="s">
        <v>6760</v>
      </c>
      <c r="B1931" s="2" t="s">
        <v>2558</v>
      </c>
      <c r="C1931" s="2" t="s">
        <v>2559</v>
      </c>
      <c r="D1931" s="2" t="s">
        <v>5183</v>
      </c>
      <c r="E1931" s="2" t="s">
        <v>5168</v>
      </c>
      <c r="F1931" s="2">
        <v>374.63368421000001</v>
      </c>
      <c r="G1931" s="2">
        <v>2</v>
      </c>
      <c r="H1931" s="2">
        <f>Tabla_Items_Con_Existencia[[#This Row],[COSTO]]*Tabla_Items_Con_Existencia[[#This Row],[EXISTENCIA]]</f>
        <v>749.26736842000003</v>
      </c>
      <c r="I1931" s="1">
        <f>IF(ISERROR(MATCH(Tabla_Items_Con_Existencia[[#This Row],[CODIGO]],Tabla_Items_Activos[CODIGO],0)),0,1)</f>
        <v>0</v>
      </c>
    </row>
    <row r="1932" spans="1:9">
      <c r="A1932" s="2" t="s">
        <v>6760</v>
      </c>
      <c r="B1932" s="2" t="s">
        <v>2560</v>
      </c>
      <c r="C1932" s="2" t="s">
        <v>2561</v>
      </c>
      <c r="D1932" s="2" t="s">
        <v>5157</v>
      </c>
      <c r="E1932" s="2" t="s">
        <v>5192</v>
      </c>
      <c r="F1932" s="2">
        <v>1.7370000000000001</v>
      </c>
      <c r="G1932" s="2">
        <v>2</v>
      </c>
      <c r="H1932" s="2">
        <f>Tabla_Items_Con_Existencia[[#This Row],[COSTO]]*Tabla_Items_Con_Existencia[[#This Row],[EXISTENCIA]]</f>
        <v>3.4740000000000002</v>
      </c>
      <c r="I1932" s="1">
        <f>IF(ISERROR(MATCH(Tabla_Items_Con_Existencia[[#This Row],[CODIGO]],Tabla_Items_Activos[CODIGO],0)),0,1)</f>
        <v>0</v>
      </c>
    </row>
    <row r="1933" spans="1:9">
      <c r="A1933" s="2" t="s">
        <v>6760</v>
      </c>
      <c r="B1933" s="2" t="s">
        <v>2564</v>
      </c>
      <c r="C1933" s="2" t="s">
        <v>2565</v>
      </c>
      <c r="D1933" s="2" t="s">
        <v>5157</v>
      </c>
      <c r="E1933" s="2" t="s">
        <v>5192</v>
      </c>
      <c r="F1933" s="2">
        <v>151.47</v>
      </c>
      <c r="G1933" s="2">
        <v>1</v>
      </c>
      <c r="H1933" s="2">
        <f>Tabla_Items_Con_Existencia[[#This Row],[COSTO]]*Tabla_Items_Con_Existencia[[#This Row],[EXISTENCIA]]</f>
        <v>151.47</v>
      </c>
      <c r="I1933" s="1">
        <f>IF(ISERROR(MATCH(Tabla_Items_Con_Existencia[[#This Row],[CODIGO]],Tabla_Items_Activos[CODIGO],0)),0,1)</f>
        <v>0</v>
      </c>
    </row>
    <row r="1934" spans="1:9">
      <c r="A1934" s="2" t="s">
        <v>6760</v>
      </c>
      <c r="B1934" s="2" t="s">
        <v>2566</v>
      </c>
      <c r="C1934" s="2" t="s">
        <v>2567</v>
      </c>
      <c r="D1934" s="2" t="s">
        <v>5157</v>
      </c>
      <c r="E1934" s="2" t="s">
        <v>5192</v>
      </c>
      <c r="F1934" s="2">
        <v>104.7</v>
      </c>
      <c r="G1934" s="2">
        <v>3</v>
      </c>
      <c r="H1934" s="2">
        <f>Tabla_Items_Con_Existencia[[#This Row],[COSTO]]*Tabla_Items_Con_Existencia[[#This Row],[EXISTENCIA]]</f>
        <v>314.10000000000002</v>
      </c>
      <c r="I1934" s="1">
        <f>IF(ISERROR(MATCH(Tabla_Items_Con_Existencia[[#This Row],[CODIGO]],Tabla_Items_Activos[CODIGO],0)),0,1)</f>
        <v>0</v>
      </c>
    </row>
    <row r="1935" spans="1:9">
      <c r="A1935" s="2" t="s">
        <v>6760</v>
      </c>
      <c r="B1935" s="2" t="s">
        <v>2568</v>
      </c>
      <c r="C1935" s="2" t="s">
        <v>2569</v>
      </c>
      <c r="D1935" s="2" t="s">
        <v>5226</v>
      </c>
      <c r="E1935" s="2" t="s">
        <v>5192</v>
      </c>
      <c r="F1935" s="2">
        <v>443.61631578999999</v>
      </c>
      <c r="G1935" s="2">
        <v>1</v>
      </c>
      <c r="H1935" s="2">
        <f>Tabla_Items_Con_Existencia[[#This Row],[COSTO]]*Tabla_Items_Con_Existencia[[#This Row],[EXISTENCIA]]</f>
        <v>443.61631578999999</v>
      </c>
      <c r="I1935" s="1">
        <f>IF(ISERROR(MATCH(Tabla_Items_Con_Existencia[[#This Row],[CODIGO]],Tabla_Items_Activos[CODIGO],0)),0,1)</f>
        <v>0</v>
      </c>
    </row>
    <row r="1936" spans="1:9">
      <c r="A1936" s="2" t="s">
        <v>6761</v>
      </c>
      <c r="B1936" s="2" t="s">
        <v>2568</v>
      </c>
      <c r="C1936" s="2" t="s">
        <v>2569</v>
      </c>
      <c r="D1936" s="2" t="s">
        <v>5226</v>
      </c>
      <c r="E1936" s="2" t="s">
        <v>5192</v>
      </c>
      <c r="F1936" s="2">
        <v>443.61631578999999</v>
      </c>
      <c r="G1936" s="2">
        <v>1</v>
      </c>
      <c r="H1936" s="2">
        <f>Tabla_Items_Con_Existencia[[#This Row],[COSTO]]*Tabla_Items_Con_Existencia[[#This Row],[EXISTENCIA]]</f>
        <v>443.61631578999999</v>
      </c>
      <c r="I1936" s="1">
        <f>IF(ISERROR(MATCH(Tabla_Items_Con_Existencia[[#This Row],[CODIGO]],Tabla_Items_Activos[CODIGO],0)),0,1)</f>
        <v>0</v>
      </c>
    </row>
    <row r="1937" spans="1:9">
      <c r="A1937" s="2" t="s">
        <v>6760</v>
      </c>
      <c r="B1937" s="2" t="s">
        <v>2570</v>
      </c>
      <c r="C1937" s="2" t="s">
        <v>2571</v>
      </c>
      <c r="D1937" s="2" t="s">
        <v>5157</v>
      </c>
      <c r="E1937" s="2" t="s">
        <v>5192</v>
      </c>
      <c r="F1937" s="2">
        <v>60</v>
      </c>
      <c r="G1937" s="2">
        <v>2</v>
      </c>
      <c r="H1937" s="2">
        <f>Tabla_Items_Con_Existencia[[#This Row],[COSTO]]*Tabla_Items_Con_Existencia[[#This Row],[EXISTENCIA]]</f>
        <v>120</v>
      </c>
      <c r="I1937" s="1">
        <f>IF(ISERROR(MATCH(Tabla_Items_Con_Existencia[[#This Row],[CODIGO]],Tabla_Items_Activos[CODIGO],0)),0,1)</f>
        <v>0</v>
      </c>
    </row>
    <row r="1938" spans="1:9">
      <c r="A1938" s="2" t="s">
        <v>6760</v>
      </c>
      <c r="B1938" s="2" t="s">
        <v>2572</v>
      </c>
      <c r="C1938" s="2" t="s">
        <v>2573</v>
      </c>
      <c r="D1938" s="2" t="s">
        <v>5157</v>
      </c>
      <c r="E1938" s="2" t="s">
        <v>5192</v>
      </c>
      <c r="F1938" s="2">
        <v>33.761000000000003</v>
      </c>
      <c r="G1938" s="2">
        <v>1</v>
      </c>
      <c r="H1938" s="2">
        <f>Tabla_Items_Con_Existencia[[#This Row],[COSTO]]*Tabla_Items_Con_Existencia[[#This Row],[EXISTENCIA]]</f>
        <v>33.761000000000003</v>
      </c>
      <c r="I1938" s="1">
        <f>IF(ISERROR(MATCH(Tabla_Items_Con_Existencia[[#This Row],[CODIGO]],Tabla_Items_Activos[CODIGO],0)),0,1)</f>
        <v>0</v>
      </c>
    </row>
    <row r="1939" spans="1:9">
      <c r="A1939" s="2" t="s">
        <v>6760</v>
      </c>
      <c r="B1939" s="2" t="s">
        <v>2574</v>
      </c>
      <c r="C1939" s="2" t="s">
        <v>2575</v>
      </c>
      <c r="D1939" s="2" t="s">
        <v>5170</v>
      </c>
      <c r="E1939" s="2" t="s">
        <v>5168</v>
      </c>
      <c r="F1939" s="2">
        <v>15</v>
      </c>
      <c r="G1939" s="2">
        <v>3</v>
      </c>
      <c r="H1939" s="2">
        <f>Tabla_Items_Con_Existencia[[#This Row],[COSTO]]*Tabla_Items_Con_Existencia[[#This Row],[EXISTENCIA]]</f>
        <v>45</v>
      </c>
      <c r="I1939" s="1">
        <f>IF(ISERROR(MATCH(Tabla_Items_Con_Existencia[[#This Row],[CODIGO]],Tabla_Items_Activos[CODIGO],0)),0,1)</f>
        <v>0</v>
      </c>
    </row>
    <row r="1940" spans="1:9">
      <c r="A1940" s="2" t="s">
        <v>6760</v>
      </c>
      <c r="B1940" s="2" t="s">
        <v>2576</v>
      </c>
      <c r="C1940" s="2" t="s">
        <v>2577</v>
      </c>
      <c r="D1940" s="2" t="s">
        <v>5157</v>
      </c>
      <c r="E1940" s="2" t="s">
        <v>5192</v>
      </c>
      <c r="F1940" s="2">
        <v>219.15789473999999</v>
      </c>
      <c r="G1940" s="2">
        <v>2</v>
      </c>
      <c r="H1940" s="2">
        <f>Tabla_Items_Con_Existencia[[#This Row],[COSTO]]*Tabla_Items_Con_Existencia[[#This Row],[EXISTENCIA]]</f>
        <v>438.31578947999998</v>
      </c>
      <c r="I1940" s="1">
        <f>IF(ISERROR(MATCH(Tabla_Items_Con_Existencia[[#This Row],[CODIGO]],Tabla_Items_Activos[CODIGO],0)),0,1)</f>
        <v>0</v>
      </c>
    </row>
    <row r="1941" spans="1:9">
      <c r="A1941" s="2" t="s">
        <v>6761</v>
      </c>
      <c r="B1941" s="2" t="s">
        <v>2576</v>
      </c>
      <c r="C1941" s="2" t="s">
        <v>2577</v>
      </c>
      <c r="D1941" s="2" t="s">
        <v>5157</v>
      </c>
      <c r="E1941" s="2" t="s">
        <v>5192</v>
      </c>
      <c r="F1941" s="2">
        <v>219.15789473999999</v>
      </c>
      <c r="G1941" s="2">
        <v>2</v>
      </c>
      <c r="H1941" s="2">
        <f>Tabla_Items_Con_Existencia[[#This Row],[COSTO]]*Tabla_Items_Con_Existencia[[#This Row],[EXISTENCIA]]</f>
        <v>438.31578947999998</v>
      </c>
      <c r="I1941" s="1">
        <f>IF(ISERROR(MATCH(Tabla_Items_Con_Existencia[[#This Row],[CODIGO]],Tabla_Items_Activos[CODIGO],0)),0,1)</f>
        <v>0</v>
      </c>
    </row>
    <row r="1942" spans="1:9">
      <c r="A1942" s="2" t="s">
        <v>6761</v>
      </c>
      <c r="B1942" s="2" t="s">
        <v>2578</v>
      </c>
      <c r="C1942" s="2" t="s">
        <v>2579</v>
      </c>
      <c r="D1942" s="2" t="s">
        <v>5171</v>
      </c>
      <c r="E1942" s="2" t="s">
        <v>5168</v>
      </c>
      <c r="F1942" s="2">
        <v>38.352631580000001</v>
      </c>
      <c r="G1942" s="2">
        <v>1</v>
      </c>
      <c r="H1942" s="2">
        <f>Tabla_Items_Con_Existencia[[#This Row],[COSTO]]*Tabla_Items_Con_Existencia[[#This Row],[EXISTENCIA]]</f>
        <v>38.352631580000001</v>
      </c>
      <c r="I1942" s="1">
        <f>IF(ISERROR(MATCH(Tabla_Items_Con_Existencia[[#This Row],[CODIGO]],Tabla_Items_Activos[CODIGO],0)),0,1)</f>
        <v>0</v>
      </c>
    </row>
    <row r="1943" spans="1:9">
      <c r="A1943" s="2" t="s">
        <v>6760</v>
      </c>
      <c r="B1943" s="2" t="s">
        <v>2578</v>
      </c>
      <c r="C1943" s="2" t="s">
        <v>2579</v>
      </c>
      <c r="D1943" s="2" t="s">
        <v>5171</v>
      </c>
      <c r="E1943" s="2" t="s">
        <v>5168</v>
      </c>
      <c r="F1943" s="2">
        <v>38.352631580000001</v>
      </c>
      <c r="G1943" s="2">
        <v>1</v>
      </c>
      <c r="H1943" s="2">
        <f>Tabla_Items_Con_Existencia[[#This Row],[COSTO]]*Tabla_Items_Con_Existencia[[#This Row],[EXISTENCIA]]</f>
        <v>38.352631580000001</v>
      </c>
      <c r="I1943" s="1">
        <f>IF(ISERROR(MATCH(Tabla_Items_Con_Existencia[[#This Row],[CODIGO]],Tabla_Items_Activos[CODIGO],0)),0,1)</f>
        <v>0</v>
      </c>
    </row>
    <row r="1944" spans="1:9">
      <c r="A1944" s="2" t="s">
        <v>6760</v>
      </c>
      <c r="B1944" s="2" t="s">
        <v>2580</v>
      </c>
      <c r="C1944" s="2" t="s">
        <v>2581</v>
      </c>
      <c r="D1944" s="2" t="s">
        <v>5226</v>
      </c>
      <c r="E1944" s="2" t="s">
        <v>5192</v>
      </c>
      <c r="F1944" s="2">
        <v>23.589473680000001</v>
      </c>
      <c r="G1944" s="2">
        <v>2</v>
      </c>
      <c r="H1944" s="2">
        <f>Tabla_Items_Con_Existencia[[#This Row],[COSTO]]*Tabla_Items_Con_Existencia[[#This Row],[EXISTENCIA]]</f>
        <v>47.178947360000002</v>
      </c>
      <c r="I1944" s="1">
        <f>IF(ISERROR(MATCH(Tabla_Items_Con_Existencia[[#This Row],[CODIGO]],Tabla_Items_Activos[CODIGO],0)),0,1)</f>
        <v>0</v>
      </c>
    </row>
    <row r="1945" spans="1:9">
      <c r="A1945" s="2" t="s">
        <v>6761</v>
      </c>
      <c r="B1945" s="2" t="s">
        <v>2580</v>
      </c>
      <c r="C1945" s="2" t="s">
        <v>2581</v>
      </c>
      <c r="D1945" s="2" t="s">
        <v>5226</v>
      </c>
      <c r="E1945" s="2" t="s">
        <v>5192</v>
      </c>
      <c r="F1945" s="2">
        <v>23.589473680000001</v>
      </c>
      <c r="G1945" s="2">
        <v>2</v>
      </c>
      <c r="H1945" s="2">
        <f>Tabla_Items_Con_Existencia[[#This Row],[COSTO]]*Tabla_Items_Con_Existencia[[#This Row],[EXISTENCIA]]</f>
        <v>47.178947360000002</v>
      </c>
      <c r="I1945" s="1">
        <f>IF(ISERROR(MATCH(Tabla_Items_Con_Existencia[[#This Row],[CODIGO]],Tabla_Items_Activos[CODIGO],0)),0,1)</f>
        <v>0</v>
      </c>
    </row>
    <row r="1946" spans="1:9">
      <c r="A1946" s="2" t="s">
        <v>6760</v>
      </c>
      <c r="B1946" s="2" t="s">
        <v>2582</v>
      </c>
      <c r="C1946" s="2" t="s">
        <v>2583</v>
      </c>
      <c r="D1946" s="2" t="s">
        <v>5157</v>
      </c>
      <c r="E1946" s="2" t="s">
        <v>5192</v>
      </c>
      <c r="F1946" s="2">
        <v>15</v>
      </c>
      <c r="G1946" s="2">
        <v>2</v>
      </c>
      <c r="H1946" s="2">
        <f>Tabla_Items_Con_Existencia[[#This Row],[COSTO]]*Tabla_Items_Con_Existencia[[#This Row],[EXISTENCIA]]</f>
        <v>30</v>
      </c>
      <c r="I1946" s="1">
        <f>IF(ISERROR(MATCH(Tabla_Items_Con_Existencia[[#This Row],[CODIGO]],Tabla_Items_Activos[CODIGO],0)),0,1)</f>
        <v>0</v>
      </c>
    </row>
    <row r="1947" spans="1:9">
      <c r="A1947" s="2" t="s">
        <v>6760</v>
      </c>
      <c r="B1947" s="2" t="s">
        <v>2584</v>
      </c>
      <c r="C1947" s="2" t="s">
        <v>2585</v>
      </c>
      <c r="D1947" s="2" t="s">
        <v>5157</v>
      </c>
      <c r="E1947" s="2" t="s">
        <v>5192</v>
      </c>
      <c r="F1947" s="2">
        <v>105</v>
      </c>
      <c r="G1947" s="2">
        <v>1</v>
      </c>
      <c r="H1947" s="2">
        <f>Tabla_Items_Con_Existencia[[#This Row],[COSTO]]*Tabla_Items_Con_Existencia[[#This Row],[EXISTENCIA]]</f>
        <v>105</v>
      </c>
      <c r="I1947" s="1">
        <f>IF(ISERROR(MATCH(Tabla_Items_Con_Existencia[[#This Row],[CODIGO]],Tabla_Items_Activos[CODIGO],0)),0,1)</f>
        <v>0</v>
      </c>
    </row>
    <row r="1948" spans="1:9">
      <c r="A1948" s="2" t="s">
        <v>6760</v>
      </c>
      <c r="B1948" s="2" t="s">
        <v>2586</v>
      </c>
      <c r="C1948" s="2" t="s">
        <v>2587</v>
      </c>
      <c r="D1948" s="2" t="s">
        <v>5157</v>
      </c>
      <c r="E1948" s="2" t="s">
        <v>5192</v>
      </c>
      <c r="F1948" s="2">
        <v>150</v>
      </c>
      <c r="G1948" s="2">
        <v>1</v>
      </c>
      <c r="H1948" s="2">
        <f>Tabla_Items_Con_Existencia[[#This Row],[COSTO]]*Tabla_Items_Con_Existencia[[#This Row],[EXISTENCIA]]</f>
        <v>150</v>
      </c>
      <c r="I1948" s="1">
        <f>IF(ISERROR(MATCH(Tabla_Items_Con_Existencia[[#This Row],[CODIGO]],Tabla_Items_Activos[CODIGO],0)),0,1)</f>
        <v>0</v>
      </c>
    </row>
    <row r="1949" spans="1:9">
      <c r="A1949" s="2" t="s">
        <v>6760</v>
      </c>
      <c r="B1949" s="2" t="s">
        <v>2588</v>
      </c>
      <c r="C1949" s="2" t="s">
        <v>2589</v>
      </c>
      <c r="D1949" s="2" t="s">
        <v>5183</v>
      </c>
      <c r="E1949" s="2" t="s">
        <v>5168</v>
      </c>
      <c r="F1949" s="2">
        <v>51.989644439999999</v>
      </c>
      <c r="G1949" s="2">
        <v>7</v>
      </c>
      <c r="H1949" s="2">
        <f>Tabla_Items_Con_Existencia[[#This Row],[COSTO]]*Tabla_Items_Con_Existencia[[#This Row],[EXISTENCIA]]</f>
        <v>363.92751107999999</v>
      </c>
      <c r="I1949" s="1">
        <f>IF(ISERROR(MATCH(Tabla_Items_Con_Existencia[[#This Row],[CODIGO]],Tabla_Items_Activos[CODIGO],0)),0,1)</f>
        <v>0</v>
      </c>
    </row>
    <row r="1950" spans="1:9">
      <c r="A1950" s="2" t="s">
        <v>6761</v>
      </c>
      <c r="B1950" s="2" t="s">
        <v>2588</v>
      </c>
      <c r="C1950" s="2" t="s">
        <v>2589</v>
      </c>
      <c r="D1950" s="2" t="s">
        <v>5183</v>
      </c>
      <c r="E1950" s="2" t="s">
        <v>5168</v>
      </c>
      <c r="F1950" s="2">
        <v>51.989644439999999</v>
      </c>
      <c r="G1950" s="2">
        <v>7</v>
      </c>
      <c r="H1950" s="2">
        <f>Tabla_Items_Con_Existencia[[#This Row],[COSTO]]*Tabla_Items_Con_Existencia[[#This Row],[EXISTENCIA]]</f>
        <v>363.92751107999999</v>
      </c>
      <c r="I1950" s="1">
        <f>IF(ISERROR(MATCH(Tabla_Items_Con_Existencia[[#This Row],[CODIGO]],Tabla_Items_Activos[CODIGO],0)),0,1)</f>
        <v>0</v>
      </c>
    </row>
    <row r="1951" spans="1:9">
      <c r="A1951" s="2" t="s">
        <v>6759</v>
      </c>
      <c r="B1951" s="2" t="s">
        <v>2588</v>
      </c>
      <c r="C1951" s="2" t="s">
        <v>2589</v>
      </c>
      <c r="D1951" s="2" t="s">
        <v>5183</v>
      </c>
      <c r="E1951" s="2" t="s">
        <v>5168</v>
      </c>
      <c r="F1951" s="2">
        <v>51.989644439999999</v>
      </c>
      <c r="G1951" s="2">
        <v>7</v>
      </c>
      <c r="H1951" s="2">
        <f>Tabla_Items_Con_Existencia[[#This Row],[COSTO]]*Tabla_Items_Con_Existencia[[#This Row],[EXISTENCIA]]</f>
        <v>363.92751107999999</v>
      </c>
      <c r="I1951" s="1">
        <f>IF(ISERROR(MATCH(Tabla_Items_Con_Existencia[[#This Row],[CODIGO]],Tabla_Items_Activos[CODIGO],0)),0,1)</f>
        <v>0</v>
      </c>
    </row>
    <row r="1952" spans="1:9">
      <c r="A1952" s="2" t="s">
        <v>6760</v>
      </c>
      <c r="B1952" s="2" t="s">
        <v>2590</v>
      </c>
      <c r="C1952" s="2" t="s">
        <v>2591</v>
      </c>
      <c r="D1952" s="2" t="s">
        <v>5157</v>
      </c>
      <c r="E1952" s="2" t="s">
        <v>5192</v>
      </c>
      <c r="F1952" s="2">
        <v>15.45828947</v>
      </c>
      <c r="G1952" s="2">
        <v>5</v>
      </c>
      <c r="H1952" s="2">
        <f>Tabla_Items_Con_Existencia[[#This Row],[COSTO]]*Tabla_Items_Con_Existencia[[#This Row],[EXISTENCIA]]</f>
        <v>77.291447349999999</v>
      </c>
      <c r="I1952" s="1">
        <f>IF(ISERROR(MATCH(Tabla_Items_Con_Existencia[[#This Row],[CODIGO]],Tabla_Items_Activos[CODIGO],0)),0,1)</f>
        <v>0</v>
      </c>
    </row>
    <row r="1953" spans="1:9">
      <c r="A1953" s="2" t="s">
        <v>6761</v>
      </c>
      <c r="B1953" s="2" t="s">
        <v>2590</v>
      </c>
      <c r="C1953" s="2" t="s">
        <v>2591</v>
      </c>
      <c r="D1953" s="2" t="s">
        <v>5157</v>
      </c>
      <c r="E1953" s="2" t="s">
        <v>5192</v>
      </c>
      <c r="F1953" s="2">
        <v>15.45828947</v>
      </c>
      <c r="G1953" s="2">
        <v>5</v>
      </c>
      <c r="H1953" s="2">
        <f>Tabla_Items_Con_Existencia[[#This Row],[COSTO]]*Tabla_Items_Con_Existencia[[#This Row],[EXISTENCIA]]</f>
        <v>77.291447349999999</v>
      </c>
      <c r="I1953" s="1">
        <f>IF(ISERROR(MATCH(Tabla_Items_Con_Existencia[[#This Row],[CODIGO]],Tabla_Items_Activos[CODIGO],0)),0,1)</f>
        <v>0</v>
      </c>
    </row>
    <row r="1954" spans="1:9">
      <c r="A1954" s="2" t="s">
        <v>6760</v>
      </c>
      <c r="B1954" s="2" t="s">
        <v>2592</v>
      </c>
      <c r="C1954" s="2" t="s">
        <v>2593</v>
      </c>
      <c r="D1954" s="2" t="s">
        <v>5157</v>
      </c>
      <c r="E1954" s="2" t="s">
        <v>5192</v>
      </c>
      <c r="F1954" s="2">
        <v>17.916578950000002</v>
      </c>
      <c r="G1954" s="2">
        <v>12</v>
      </c>
      <c r="H1954" s="2">
        <f>Tabla_Items_Con_Existencia[[#This Row],[COSTO]]*Tabla_Items_Con_Existencia[[#This Row],[EXISTENCIA]]</f>
        <v>214.99894740000002</v>
      </c>
      <c r="I1954" s="1">
        <f>IF(ISERROR(MATCH(Tabla_Items_Con_Existencia[[#This Row],[CODIGO]],Tabla_Items_Activos[CODIGO],0)),0,1)</f>
        <v>0</v>
      </c>
    </row>
    <row r="1955" spans="1:9">
      <c r="A1955" s="2" t="s">
        <v>6761</v>
      </c>
      <c r="B1955" s="2" t="s">
        <v>2592</v>
      </c>
      <c r="C1955" s="2" t="s">
        <v>2593</v>
      </c>
      <c r="D1955" s="2" t="s">
        <v>5157</v>
      </c>
      <c r="E1955" s="2" t="s">
        <v>5192</v>
      </c>
      <c r="F1955" s="2">
        <v>17.916578950000002</v>
      </c>
      <c r="G1955" s="2">
        <v>12</v>
      </c>
      <c r="H1955" s="2">
        <f>Tabla_Items_Con_Existencia[[#This Row],[COSTO]]*Tabla_Items_Con_Existencia[[#This Row],[EXISTENCIA]]</f>
        <v>214.99894740000002</v>
      </c>
      <c r="I1955" s="1">
        <f>IF(ISERROR(MATCH(Tabla_Items_Con_Existencia[[#This Row],[CODIGO]],Tabla_Items_Activos[CODIGO],0)),0,1)</f>
        <v>0</v>
      </c>
    </row>
    <row r="1956" spans="1:9">
      <c r="A1956" s="2" t="s">
        <v>6760</v>
      </c>
      <c r="B1956" s="2" t="s">
        <v>2594</v>
      </c>
      <c r="C1956" s="2" t="s">
        <v>2595</v>
      </c>
      <c r="D1956" s="2" t="s">
        <v>6990</v>
      </c>
      <c r="E1956" s="2" t="s">
        <v>5192</v>
      </c>
      <c r="F1956" s="2">
        <v>93.79684211</v>
      </c>
      <c r="G1956" s="2">
        <v>3</v>
      </c>
      <c r="H1956" s="2">
        <f>Tabla_Items_Con_Existencia[[#This Row],[COSTO]]*Tabla_Items_Con_Existencia[[#This Row],[EXISTENCIA]]</f>
        <v>281.39052633</v>
      </c>
      <c r="I1956" s="1">
        <f>IF(ISERROR(MATCH(Tabla_Items_Con_Existencia[[#This Row],[CODIGO]],Tabla_Items_Activos[CODIGO],0)),0,1)</f>
        <v>0</v>
      </c>
    </row>
    <row r="1957" spans="1:9">
      <c r="A1957" s="2" t="s">
        <v>6761</v>
      </c>
      <c r="B1957" s="2" t="s">
        <v>2594</v>
      </c>
      <c r="C1957" s="2" t="s">
        <v>2595</v>
      </c>
      <c r="D1957" s="2" t="s">
        <v>6990</v>
      </c>
      <c r="E1957" s="2" t="s">
        <v>5192</v>
      </c>
      <c r="F1957" s="2">
        <v>93.79684211</v>
      </c>
      <c r="G1957" s="2">
        <v>3</v>
      </c>
      <c r="H1957" s="2">
        <f>Tabla_Items_Con_Existencia[[#This Row],[COSTO]]*Tabla_Items_Con_Existencia[[#This Row],[EXISTENCIA]]</f>
        <v>281.39052633</v>
      </c>
      <c r="I1957" s="1">
        <f>IF(ISERROR(MATCH(Tabla_Items_Con_Existencia[[#This Row],[CODIGO]],Tabla_Items_Activos[CODIGO],0)),0,1)</f>
        <v>0</v>
      </c>
    </row>
    <row r="1958" spans="1:9">
      <c r="A1958" s="2" t="s">
        <v>6761</v>
      </c>
      <c r="B1958" s="2" t="s">
        <v>2596</v>
      </c>
      <c r="C1958" s="2" t="s">
        <v>2597</v>
      </c>
      <c r="D1958" s="2" t="s">
        <v>5226</v>
      </c>
      <c r="E1958" s="2" t="s">
        <v>5192</v>
      </c>
      <c r="F1958" s="2">
        <v>1534.22757895</v>
      </c>
      <c r="G1958" s="2">
        <v>3</v>
      </c>
      <c r="H1958" s="2">
        <f>Tabla_Items_Con_Existencia[[#This Row],[COSTO]]*Tabla_Items_Con_Existencia[[#This Row],[EXISTENCIA]]</f>
        <v>4602.6827368499999</v>
      </c>
      <c r="I1958" s="1">
        <f>IF(ISERROR(MATCH(Tabla_Items_Con_Existencia[[#This Row],[CODIGO]],Tabla_Items_Activos[CODIGO],0)),0,1)</f>
        <v>0</v>
      </c>
    </row>
    <row r="1959" spans="1:9">
      <c r="A1959" s="2" t="s">
        <v>6760</v>
      </c>
      <c r="B1959" s="2" t="s">
        <v>2596</v>
      </c>
      <c r="C1959" s="2" t="s">
        <v>2597</v>
      </c>
      <c r="D1959" s="2" t="s">
        <v>5226</v>
      </c>
      <c r="E1959" s="2" t="s">
        <v>5192</v>
      </c>
      <c r="F1959" s="2">
        <v>1534.22757895</v>
      </c>
      <c r="G1959" s="2">
        <v>3</v>
      </c>
      <c r="H1959" s="2">
        <f>Tabla_Items_Con_Existencia[[#This Row],[COSTO]]*Tabla_Items_Con_Existencia[[#This Row],[EXISTENCIA]]</f>
        <v>4602.6827368499999</v>
      </c>
      <c r="I1959" s="1">
        <f>IF(ISERROR(MATCH(Tabla_Items_Con_Existencia[[#This Row],[CODIGO]],Tabla_Items_Activos[CODIGO],0)),0,1)</f>
        <v>0</v>
      </c>
    </row>
    <row r="1960" spans="1:9">
      <c r="A1960" s="2" t="s">
        <v>6759</v>
      </c>
      <c r="B1960" s="2" t="s">
        <v>2598</v>
      </c>
      <c r="C1960" s="2" t="s">
        <v>2599</v>
      </c>
      <c r="D1960" s="2" t="s">
        <v>5209</v>
      </c>
      <c r="E1960" s="2" t="s">
        <v>5210</v>
      </c>
      <c r="F1960" s="2">
        <v>0.87087999999999999</v>
      </c>
      <c r="G1960" s="2">
        <v>1145</v>
      </c>
      <c r="H1960" s="2">
        <f>Tabla_Items_Con_Existencia[[#This Row],[COSTO]]*Tabla_Items_Con_Existencia[[#This Row],[EXISTENCIA]]</f>
        <v>997.1576</v>
      </c>
      <c r="I1960" s="1">
        <f>IF(ISERROR(MATCH(Tabla_Items_Con_Existencia[[#This Row],[CODIGO]],Tabla_Items_Activos[CODIGO],0)),0,1)</f>
        <v>0</v>
      </c>
    </row>
    <row r="1961" spans="1:9">
      <c r="A1961" s="2" t="s">
        <v>6761</v>
      </c>
      <c r="B1961" s="2" t="s">
        <v>2598</v>
      </c>
      <c r="C1961" s="2" t="s">
        <v>2599</v>
      </c>
      <c r="D1961" s="2" t="s">
        <v>5209</v>
      </c>
      <c r="E1961" s="2" t="s">
        <v>5210</v>
      </c>
      <c r="F1961" s="2">
        <v>0.87087999999999999</v>
      </c>
      <c r="G1961" s="2">
        <v>1145</v>
      </c>
      <c r="H1961" s="2">
        <f>Tabla_Items_Con_Existencia[[#This Row],[COSTO]]*Tabla_Items_Con_Existencia[[#This Row],[EXISTENCIA]]</f>
        <v>997.1576</v>
      </c>
      <c r="I1961" s="1">
        <f>IF(ISERROR(MATCH(Tabla_Items_Con_Existencia[[#This Row],[CODIGO]],Tabla_Items_Activos[CODIGO],0)),0,1)</f>
        <v>0</v>
      </c>
    </row>
    <row r="1962" spans="1:9">
      <c r="A1962" s="2" t="s">
        <v>6759</v>
      </c>
      <c r="B1962" s="2" t="s">
        <v>2600</v>
      </c>
      <c r="C1962" s="2" t="s">
        <v>2601</v>
      </c>
      <c r="D1962" s="2" t="s">
        <v>5209</v>
      </c>
      <c r="E1962" s="2" t="s">
        <v>5210</v>
      </c>
      <c r="F1962" s="2">
        <v>2.7258</v>
      </c>
      <c r="G1962" s="2">
        <v>255</v>
      </c>
      <c r="H1962" s="2">
        <f>Tabla_Items_Con_Existencia[[#This Row],[COSTO]]*Tabla_Items_Con_Existencia[[#This Row],[EXISTENCIA]]</f>
        <v>695.07899999999995</v>
      </c>
      <c r="I1962" s="1">
        <f>IF(ISERROR(MATCH(Tabla_Items_Con_Existencia[[#This Row],[CODIGO]],Tabla_Items_Activos[CODIGO],0)),0,1)</f>
        <v>0</v>
      </c>
    </row>
    <row r="1963" spans="1:9">
      <c r="A1963" s="2" t="s">
        <v>6761</v>
      </c>
      <c r="B1963" s="2" t="s">
        <v>5596</v>
      </c>
      <c r="C1963" s="2" t="s">
        <v>5597</v>
      </c>
      <c r="D1963" s="2" t="s">
        <v>5209</v>
      </c>
      <c r="E1963" s="2" t="s">
        <v>5210</v>
      </c>
      <c r="F1963" s="2">
        <v>1.76130667</v>
      </c>
      <c r="G1963" s="2">
        <v>306</v>
      </c>
      <c r="H1963" s="2">
        <f>Tabla_Items_Con_Existencia[[#This Row],[COSTO]]*Tabla_Items_Con_Existencia[[#This Row],[EXISTENCIA]]</f>
        <v>538.95984102</v>
      </c>
      <c r="I1963" s="1">
        <f>IF(ISERROR(MATCH(Tabla_Items_Con_Existencia[[#This Row],[CODIGO]],Tabla_Items_Activos[CODIGO],0)),0,1)</f>
        <v>0</v>
      </c>
    </row>
    <row r="1964" spans="1:9">
      <c r="A1964" s="2" t="s">
        <v>6759</v>
      </c>
      <c r="B1964" s="2" t="s">
        <v>5596</v>
      </c>
      <c r="C1964" s="2" t="s">
        <v>5597</v>
      </c>
      <c r="D1964" s="2" t="s">
        <v>5209</v>
      </c>
      <c r="E1964" s="2" t="s">
        <v>5210</v>
      </c>
      <c r="F1964" s="2">
        <v>1.76130667</v>
      </c>
      <c r="G1964" s="2">
        <v>306</v>
      </c>
      <c r="H1964" s="2">
        <f>Tabla_Items_Con_Existencia[[#This Row],[COSTO]]*Tabla_Items_Con_Existencia[[#This Row],[EXISTENCIA]]</f>
        <v>538.95984102</v>
      </c>
      <c r="I1964" s="1">
        <f>IF(ISERROR(MATCH(Tabla_Items_Con_Existencia[[#This Row],[CODIGO]],Tabla_Items_Activos[CODIGO],0)),0,1)</f>
        <v>0</v>
      </c>
    </row>
    <row r="1965" spans="1:9">
      <c r="A1965" s="2" t="s">
        <v>6759</v>
      </c>
      <c r="B1965" s="2" t="s">
        <v>2602</v>
      </c>
      <c r="C1965" s="2" t="s">
        <v>2603</v>
      </c>
      <c r="D1965" s="2" t="s">
        <v>5211</v>
      </c>
      <c r="E1965" s="2" t="s">
        <v>5213</v>
      </c>
      <c r="F1965" s="2">
        <v>16.905999999999999</v>
      </c>
      <c r="G1965" s="2">
        <v>5</v>
      </c>
      <c r="H1965" s="2">
        <f>Tabla_Items_Con_Existencia[[#This Row],[COSTO]]*Tabla_Items_Con_Existencia[[#This Row],[EXISTENCIA]]</f>
        <v>84.53</v>
      </c>
      <c r="I1965" s="1">
        <f>IF(ISERROR(MATCH(Tabla_Items_Con_Existencia[[#This Row],[CODIGO]],Tabla_Items_Activos[CODIGO],0)),0,1)</f>
        <v>0</v>
      </c>
    </row>
    <row r="1966" spans="1:9">
      <c r="A1966" s="2" t="s">
        <v>6759</v>
      </c>
      <c r="B1966" s="2" t="s">
        <v>2606</v>
      </c>
      <c r="C1966" s="2" t="s">
        <v>2607</v>
      </c>
      <c r="D1966" s="2" t="s">
        <v>5209</v>
      </c>
      <c r="E1966" s="2" t="s">
        <v>5210</v>
      </c>
      <c r="F1966" s="2">
        <v>1.9556800000000001</v>
      </c>
      <c r="G1966" s="2">
        <v>140</v>
      </c>
      <c r="H1966" s="2">
        <f>Tabla_Items_Con_Existencia[[#This Row],[COSTO]]*Tabla_Items_Con_Existencia[[#This Row],[EXISTENCIA]]</f>
        <v>273.79520000000002</v>
      </c>
      <c r="I1966" s="1">
        <f>IF(ISERROR(MATCH(Tabla_Items_Con_Existencia[[#This Row],[CODIGO]],Tabla_Items_Activos[CODIGO],0)),0,1)</f>
        <v>0</v>
      </c>
    </row>
    <row r="1967" spans="1:9">
      <c r="A1967" s="2" t="s">
        <v>6761</v>
      </c>
      <c r="B1967" s="2" t="s">
        <v>2606</v>
      </c>
      <c r="C1967" s="2" t="s">
        <v>2607</v>
      </c>
      <c r="D1967" s="2" t="s">
        <v>5209</v>
      </c>
      <c r="E1967" s="2" t="s">
        <v>5210</v>
      </c>
      <c r="F1967" s="2">
        <v>1.9556800000000001</v>
      </c>
      <c r="G1967" s="2">
        <v>140</v>
      </c>
      <c r="H1967" s="2">
        <f>Tabla_Items_Con_Existencia[[#This Row],[COSTO]]*Tabla_Items_Con_Existencia[[#This Row],[EXISTENCIA]]</f>
        <v>273.79520000000002</v>
      </c>
      <c r="I1967" s="1">
        <f>IF(ISERROR(MATCH(Tabla_Items_Con_Existencia[[#This Row],[CODIGO]],Tabla_Items_Activos[CODIGO],0)),0,1)</f>
        <v>0</v>
      </c>
    </row>
    <row r="1968" spans="1:9">
      <c r="A1968" s="2" t="s">
        <v>6759</v>
      </c>
      <c r="B1968" s="2" t="s">
        <v>5612</v>
      </c>
      <c r="C1968" s="2" t="s">
        <v>5613</v>
      </c>
      <c r="D1968" s="2" t="s">
        <v>5209</v>
      </c>
      <c r="E1968" s="2" t="s">
        <v>5210</v>
      </c>
      <c r="F1968" s="2">
        <v>0.4032</v>
      </c>
      <c r="G1968" s="2">
        <v>1</v>
      </c>
      <c r="H1968" s="2">
        <f>Tabla_Items_Con_Existencia[[#This Row],[COSTO]]*Tabla_Items_Con_Existencia[[#This Row],[EXISTENCIA]]</f>
        <v>0.4032</v>
      </c>
      <c r="I1968" s="1">
        <f>IF(ISERROR(MATCH(Tabla_Items_Con_Existencia[[#This Row],[CODIGO]],Tabla_Items_Activos[CODIGO],0)),0,1)</f>
        <v>0</v>
      </c>
    </row>
    <row r="1969" spans="1:9">
      <c r="A1969" s="2" t="s">
        <v>6761</v>
      </c>
      <c r="B1969" s="2" t="s">
        <v>2608</v>
      </c>
      <c r="C1969" s="2" t="s">
        <v>2609</v>
      </c>
      <c r="D1969" s="2" t="s">
        <v>5209</v>
      </c>
      <c r="E1969" s="2" t="s">
        <v>5210</v>
      </c>
      <c r="F1969" s="2">
        <v>1.8748533300000001</v>
      </c>
      <c r="G1969" s="2">
        <v>264</v>
      </c>
      <c r="H1969" s="2">
        <f>Tabla_Items_Con_Existencia[[#This Row],[COSTO]]*Tabla_Items_Con_Existencia[[#This Row],[EXISTENCIA]]</f>
        <v>494.96127912000003</v>
      </c>
      <c r="I1969" s="1">
        <f>IF(ISERROR(MATCH(Tabla_Items_Con_Existencia[[#This Row],[CODIGO]],Tabla_Items_Activos[CODIGO],0)),0,1)</f>
        <v>0</v>
      </c>
    </row>
    <row r="1970" spans="1:9">
      <c r="A1970" s="2" t="s">
        <v>6759</v>
      </c>
      <c r="B1970" s="2" t="s">
        <v>2608</v>
      </c>
      <c r="C1970" s="2" t="s">
        <v>2609</v>
      </c>
      <c r="D1970" s="2" t="s">
        <v>5209</v>
      </c>
      <c r="E1970" s="2" t="s">
        <v>5210</v>
      </c>
      <c r="F1970" s="2">
        <v>1.8748533300000001</v>
      </c>
      <c r="G1970" s="2">
        <v>264</v>
      </c>
      <c r="H1970" s="2">
        <f>Tabla_Items_Con_Existencia[[#This Row],[COSTO]]*Tabla_Items_Con_Existencia[[#This Row],[EXISTENCIA]]</f>
        <v>494.96127912000003</v>
      </c>
      <c r="I1970" s="1">
        <f>IF(ISERROR(MATCH(Tabla_Items_Con_Existencia[[#This Row],[CODIGO]],Tabla_Items_Activos[CODIGO],0)),0,1)</f>
        <v>0</v>
      </c>
    </row>
    <row r="1971" spans="1:9">
      <c r="A1971" s="2" t="s">
        <v>6759</v>
      </c>
      <c r="B1971" s="2" t="s">
        <v>2610</v>
      </c>
      <c r="C1971" s="2" t="s">
        <v>2611</v>
      </c>
      <c r="D1971" s="2" t="s">
        <v>5209</v>
      </c>
      <c r="E1971" s="2" t="s">
        <v>5210</v>
      </c>
      <c r="F1971" s="2">
        <v>2.9034666699999998</v>
      </c>
      <c r="G1971" s="2">
        <v>210</v>
      </c>
      <c r="H1971" s="2">
        <f>Tabla_Items_Con_Existencia[[#This Row],[COSTO]]*Tabla_Items_Con_Existencia[[#This Row],[EXISTENCIA]]</f>
        <v>609.72800069999994</v>
      </c>
      <c r="I1971" s="1">
        <f>IF(ISERROR(MATCH(Tabla_Items_Con_Existencia[[#This Row],[CODIGO]],Tabla_Items_Activos[CODIGO],0)),0,1)</f>
        <v>0</v>
      </c>
    </row>
    <row r="1972" spans="1:9">
      <c r="A1972" s="2" t="s">
        <v>6761</v>
      </c>
      <c r="B1972" s="2" t="s">
        <v>2610</v>
      </c>
      <c r="C1972" s="2" t="s">
        <v>2611</v>
      </c>
      <c r="D1972" s="2" t="s">
        <v>5209</v>
      </c>
      <c r="E1972" s="2" t="s">
        <v>5210</v>
      </c>
      <c r="F1972" s="2">
        <v>2.9034666699999998</v>
      </c>
      <c r="G1972" s="2">
        <v>210</v>
      </c>
      <c r="H1972" s="2">
        <f>Tabla_Items_Con_Existencia[[#This Row],[COSTO]]*Tabla_Items_Con_Existencia[[#This Row],[EXISTENCIA]]</f>
        <v>609.72800069999994</v>
      </c>
      <c r="I1972" s="1">
        <f>IF(ISERROR(MATCH(Tabla_Items_Con_Existencia[[#This Row],[CODIGO]],Tabla_Items_Activos[CODIGO],0)),0,1)</f>
        <v>0</v>
      </c>
    </row>
    <row r="1973" spans="1:9">
      <c r="A1973" s="2" t="s">
        <v>6761</v>
      </c>
      <c r="B1973" s="2" t="s">
        <v>2612</v>
      </c>
      <c r="C1973" s="2" t="s">
        <v>2613</v>
      </c>
      <c r="D1973" s="2" t="s">
        <v>5209</v>
      </c>
      <c r="E1973" s="2" t="s">
        <v>5210</v>
      </c>
      <c r="F1973" s="2">
        <v>2.13141333</v>
      </c>
      <c r="G1973" s="2">
        <v>376</v>
      </c>
      <c r="H1973" s="2">
        <f>Tabla_Items_Con_Existencia[[#This Row],[COSTO]]*Tabla_Items_Con_Existencia[[#This Row],[EXISTENCIA]]</f>
        <v>801.41141207999999</v>
      </c>
      <c r="I1973" s="1">
        <f>IF(ISERROR(MATCH(Tabla_Items_Con_Existencia[[#This Row],[CODIGO]],Tabla_Items_Activos[CODIGO],0)),0,1)</f>
        <v>0</v>
      </c>
    </row>
    <row r="1974" spans="1:9">
      <c r="A1974" s="2" t="s">
        <v>6759</v>
      </c>
      <c r="B1974" s="2" t="s">
        <v>2612</v>
      </c>
      <c r="C1974" s="2" t="s">
        <v>2613</v>
      </c>
      <c r="D1974" s="2" t="s">
        <v>5209</v>
      </c>
      <c r="E1974" s="2" t="s">
        <v>5210</v>
      </c>
      <c r="F1974" s="2">
        <v>2.13141333</v>
      </c>
      <c r="G1974" s="2">
        <v>376</v>
      </c>
      <c r="H1974" s="2">
        <f>Tabla_Items_Con_Existencia[[#This Row],[COSTO]]*Tabla_Items_Con_Existencia[[#This Row],[EXISTENCIA]]</f>
        <v>801.41141207999999</v>
      </c>
      <c r="I1974" s="1">
        <f>IF(ISERROR(MATCH(Tabla_Items_Con_Existencia[[#This Row],[CODIGO]],Tabla_Items_Activos[CODIGO],0)),0,1)</f>
        <v>0</v>
      </c>
    </row>
    <row r="1975" spans="1:9">
      <c r="A1975" s="2" t="s">
        <v>6759</v>
      </c>
      <c r="B1975" s="2" t="s">
        <v>2614</v>
      </c>
      <c r="C1975" s="2" t="s">
        <v>2615</v>
      </c>
      <c r="D1975" s="2" t="s">
        <v>5211</v>
      </c>
      <c r="E1975" s="2" t="s">
        <v>5213</v>
      </c>
      <c r="F1975" s="2">
        <v>4.9225000000000003</v>
      </c>
      <c r="G1975" s="2">
        <v>107</v>
      </c>
      <c r="H1975" s="2">
        <f>Tabla_Items_Con_Existencia[[#This Row],[COSTO]]*Tabla_Items_Con_Existencia[[#This Row],[EXISTENCIA]]</f>
        <v>526.70749999999998</v>
      </c>
      <c r="I1975" s="1">
        <f>IF(ISERROR(MATCH(Tabla_Items_Con_Existencia[[#This Row],[CODIGO]],Tabla_Items_Activos[CODIGO],0)),0,1)</f>
        <v>0</v>
      </c>
    </row>
    <row r="1976" spans="1:9">
      <c r="A1976" s="2" t="s">
        <v>6759</v>
      </c>
      <c r="B1976" s="2" t="s">
        <v>5622</v>
      </c>
      <c r="C1976" s="2" t="s">
        <v>5623</v>
      </c>
      <c r="D1976" s="2" t="s">
        <v>5209</v>
      </c>
      <c r="E1976" s="2" t="s">
        <v>5212</v>
      </c>
      <c r="F1976" s="2">
        <v>0</v>
      </c>
      <c r="G1976" s="2">
        <v>1</v>
      </c>
      <c r="H1976" s="2">
        <f>Tabla_Items_Con_Existencia[[#This Row],[COSTO]]*Tabla_Items_Con_Existencia[[#This Row],[EXISTENCIA]]</f>
        <v>0</v>
      </c>
      <c r="I1976" s="1">
        <f>IF(ISERROR(MATCH(Tabla_Items_Con_Existencia[[#This Row],[CODIGO]],Tabla_Items_Activos[CODIGO],0)),0,1)</f>
        <v>0</v>
      </c>
    </row>
    <row r="1977" spans="1:9">
      <c r="A1977" s="2" t="s">
        <v>6761</v>
      </c>
      <c r="B1977" s="2" t="s">
        <v>2616</v>
      </c>
      <c r="C1977" s="2" t="s">
        <v>2617</v>
      </c>
      <c r="D1977" s="2" t="s">
        <v>5211</v>
      </c>
      <c r="E1977" s="2" t="s">
        <v>5213</v>
      </c>
      <c r="F1977" s="2">
        <v>2.1326933299999999</v>
      </c>
      <c r="G1977" s="2">
        <v>656</v>
      </c>
      <c r="H1977" s="2">
        <f>Tabla_Items_Con_Existencia[[#This Row],[COSTO]]*Tabla_Items_Con_Existencia[[#This Row],[EXISTENCIA]]</f>
        <v>1399.0468244799999</v>
      </c>
      <c r="I1977" s="1">
        <f>IF(ISERROR(MATCH(Tabla_Items_Con_Existencia[[#This Row],[CODIGO]],Tabla_Items_Activos[CODIGO],0)),0,1)</f>
        <v>0</v>
      </c>
    </row>
    <row r="1978" spans="1:9">
      <c r="A1978" s="2" t="s">
        <v>6759</v>
      </c>
      <c r="B1978" s="2" t="s">
        <v>2616</v>
      </c>
      <c r="C1978" s="2" t="s">
        <v>2617</v>
      </c>
      <c r="D1978" s="2" t="s">
        <v>5211</v>
      </c>
      <c r="E1978" s="2" t="s">
        <v>5213</v>
      </c>
      <c r="F1978" s="2">
        <v>2.1326933299999999</v>
      </c>
      <c r="G1978" s="2">
        <v>656</v>
      </c>
      <c r="H1978" s="2">
        <f>Tabla_Items_Con_Existencia[[#This Row],[COSTO]]*Tabla_Items_Con_Existencia[[#This Row],[EXISTENCIA]]</f>
        <v>1399.0468244799999</v>
      </c>
      <c r="I1978" s="1">
        <f>IF(ISERROR(MATCH(Tabla_Items_Con_Existencia[[#This Row],[CODIGO]],Tabla_Items_Activos[CODIGO],0)),0,1)</f>
        <v>0</v>
      </c>
    </row>
    <row r="1979" spans="1:9">
      <c r="A1979" s="2" t="s">
        <v>6761</v>
      </c>
      <c r="B1979" s="2" t="s">
        <v>2620</v>
      </c>
      <c r="C1979" s="2" t="s">
        <v>2621</v>
      </c>
      <c r="D1979" s="2" t="s">
        <v>5211</v>
      </c>
      <c r="E1979" s="2" t="s">
        <v>5213</v>
      </c>
      <c r="F1979" s="2">
        <v>3.9780799999999998</v>
      </c>
      <c r="G1979" s="2">
        <v>91</v>
      </c>
      <c r="H1979" s="2">
        <f>Tabla_Items_Con_Existencia[[#This Row],[COSTO]]*Tabla_Items_Con_Existencia[[#This Row],[EXISTENCIA]]</f>
        <v>362.00527999999997</v>
      </c>
      <c r="I1979" s="1">
        <f>IF(ISERROR(MATCH(Tabla_Items_Con_Existencia[[#This Row],[CODIGO]],Tabla_Items_Activos[CODIGO],0)),0,1)</f>
        <v>0</v>
      </c>
    </row>
    <row r="1980" spans="1:9">
      <c r="A1980" s="2" t="s">
        <v>6759</v>
      </c>
      <c r="B1980" s="2" t="s">
        <v>2620</v>
      </c>
      <c r="C1980" s="2" t="s">
        <v>2621</v>
      </c>
      <c r="D1980" s="2" t="s">
        <v>5211</v>
      </c>
      <c r="E1980" s="2" t="s">
        <v>5213</v>
      </c>
      <c r="F1980" s="2">
        <v>3.9780799999999998</v>
      </c>
      <c r="G1980" s="2">
        <v>91</v>
      </c>
      <c r="H1980" s="2">
        <f>Tabla_Items_Con_Existencia[[#This Row],[COSTO]]*Tabla_Items_Con_Existencia[[#This Row],[EXISTENCIA]]</f>
        <v>362.00527999999997</v>
      </c>
      <c r="I1980" s="1">
        <f>IF(ISERROR(MATCH(Tabla_Items_Con_Existencia[[#This Row],[CODIGO]],Tabla_Items_Activos[CODIGO],0)),0,1)</f>
        <v>0</v>
      </c>
    </row>
    <row r="1981" spans="1:9">
      <c r="A1981" s="2" t="s">
        <v>6759</v>
      </c>
      <c r="B1981" s="2" t="s">
        <v>2622</v>
      </c>
      <c r="C1981" s="2" t="s">
        <v>2623</v>
      </c>
      <c r="D1981" s="2" t="s">
        <v>5211</v>
      </c>
      <c r="E1981" s="2" t="s">
        <v>5213</v>
      </c>
      <c r="F1981" s="2">
        <v>5.75</v>
      </c>
      <c r="G1981" s="2">
        <v>5</v>
      </c>
      <c r="H1981" s="2">
        <f>Tabla_Items_Con_Existencia[[#This Row],[COSTO]]*Tabla_Items_Con_Existencia[[#This Row],[EXISTENCIA]]</f>
        <v>28.75</v>
      </c>
      <c r="I1981" s="1">
        <f>IF(ISERROR(MATCH(Tabla_Items_Con_Existencia[[#This Row],[CODIGO]],Tabla_Items_Activos[CODIGO],0)),0,1)</f>
        <v>0</v>
      </c>
    </row>
    <row r="1982" spans="1:9">
      <c r="A1982" s="2" t="s">
        <v>6761</v>
      </c>
      <c r="B1982" s="2" t="s">
        <v>2624</v>
      </c>
      <c r="C1982" s="2" t="s">
        <v>2625</v>
      </c>
      <c r="D1982" s="2" t="s">
        <v>5211</v>
      </c>
      <c r="E1982" s="2" t="s">
        <v>5213</v>
      </c>
      <c r="F1982" s="2">
        <v>4.7917066699999999</v>
      </c>
      <c r="G1982" s="2">
        <v>75</v>
      </c>
      <c r="H1982" s="2">
        <f>Tabla_Items_Con_Existencia[[#This Row],[COSTO]]*Tabla_Items_Con_Existencia[[#This Row],[EXISTENCIA]]</f>
        <v>359.37800025000001</v>
      </c>
      <c r="I1982" s="1">
        <f>IF(ISERROR(MATCH(Tabla_Items_Con_Existencia[[#This Row],[CODIGO]],Tabla_Items_Activos[CODIGO],0)),0,1)</f>
        <v>0</v>
      </c>
    </row>
    <row r="1983" spans="1:9">
      <c r="A1983" s="2" t="s">
        <v>6759</v>
      </c>
      <c r="B1983" s="2" t="s">
        <v>2624</v>
      </c>
      <c r="C1983" s="2" t="s">
        <v>2625</v>
      </c>
      <c r="D1983" s="2" t="s">
        <v>5211</v>
      </c>
      <c r="E1983" s="2" t="s">
        <v>5213</v>
      </c>
      <c r="F1983" s="2">
        <v>4.7917066699999999</v>
      </c>
      <c r="G1983" s="2">
        <v>75</v>
      </c>
      <c r="H1983" s="2">
        <f>Tabla_Items_Con_Existencia[[#This Row],[COSTO]]*Tabla_Items_Con_Existencia[[#This Row],[EXISTENCIA]]</f>
        <v>359.37800025000001</v>
      </c>
      <c r="I1983" s="1">
        <f>IF(ISERROR(MATCH(Tabla_Items_Con_Existencia[[#This Row],[CODIGO]],Tabla_Items_Activos[CODIGO],0)),0,1)</f>
        <v>0</v>
      </c>
    </row>
    <row r="1984" spans="1:9">
      <c r="A1984" s="2" t="s">
        <v>6761</v>
      </c>
      <c r="B1984" s="2" t="s">
        <v>2626</v>
      </c>
      <c r="C1984" s="2" t="s">
        <v>2627</v>
      </c>
      <c r="D1984" s="2" t="s">
        <v>5211</v>
      </c>
      <c r="E1984" s="2" t="s">
        <v>5213</v>
      </c>
      <c r="F1984" s="2">
        <v>2.63586667</v>
      </c>
      <c r="G1984" s="2">
        <v>100</v>
      </c>
      <c r="H1984" s="2">
        <f>Tabla_Items_Con_Existencia[[#This Row],[COSTO]]*Tabla_Items_Con_Existencia[[#This Row],[EXISTENCIA]]</f>
        <v>263.58666699999998</v>
      </c>
      <c r="I1984" s="1">
        <f>IF(ISERROR(MATCH(Tabla_Items_Con_Existencia[[#This Row],[CODIGO]],Tabla_Items_Activos[CODIGO],0)),0,1)</f>
        <v>0</v>
      </c>
    </row>
    <row r="1985" spans="1:9">
      <c r="A1985" s="2" t="s">
        <v>6759</v>
      </c>
      <c r="B1985" s="2" t="s">
        <v>2626</v>
      </c>
      <c r="C1985" s="2" t="s">
        <v>2627</v>
      </c>
      <c r="D1985" s="2" t="s">
        <v>5211</v>
      </c>
      <c r="E1985" s="2" t="s">
        <v>5213</v>
      </c>
      <c r="F1985" s="2">
        <v>2.63586667</v>
      </c>
      <c r="G1985" s="2">
        <v>100</v>
      </c>
      <c r="H1985" s="2">
        <f>Tabla_Items_Con_Existencia[[#This Row],[COSTO]]*Tabla_Items_Con_Existencia[[#This Row],[EXISTENCIA]]</f>
        <v>263.58666699999998</v>
      </c>
      <c r="I1985" s="1">
        <f>IF(ISERROR(MATCH(Tabla_Items_Con_Existencia[[#This Row],[CODIGO]],Tabla_Items_Activos[CODIGO],0)),0,1)</f>
        <v>0</v>
      </c>
    </row>
    <row r="1986" spans="1:9">
      <c r="A1986" s="2" t="s">
        <v>6761</v>
      </c>
      <c r="B1986" s="2" t="s">
        <v>6717</v>
      </c>
      <c r="C1986" s="2" t="s">
        <v>6718</v>
      </c>
      <c r="D1986" s="2" t="s">
        <v>5211</v>
      </c>
      <c r="E1986" s="2" t="s">
        <v>5213</v>
      </c>
      <c r="F1986" s="2">
        <v>1.2441866699999999</v>
      </c>
      <c r="G1986" s="2">
        <v>85</v>
      </c>
      <c r="H1986" s="2">
        <f>Tabla_Items_Con_Existencia[[#This Row],[COSTO]]*Tabla_Items_Con_Existencia[[#This Row],[EXISTENCIA]]</f>
        <v>105.75586695</v>
      </c>
      <c r="I1986" s="1">
        <f>IF(ISERROR(MATCH(Tabla_Items_Con_Existencia[[#This Row],[CODIGO]],Tabla_Items_Activos[CODIGO],0)),0,1)</f>
        <v>0</v>
      </c>
    </row>
    <row r="1987" spans="1:9">
      <c r="A1987" s="2" t="s">
        <v>6759</v>
      </c>
      <c r="B1987" s="2" t="s">
        <v>6717</v>
      </c>
      <c r="C1987" s="2" t="s">
        <v>6718</v>
      </c>
      <c r="D1987" s="2" t="s">
        <v>5211</v>
      </c>
      <c r="E1987" s="2" t="s">
        <v>5213</v>
      </c>
      <c r="F1987" s="2">
        <v>1.2441866699999999</v>
      </c>
      <c r="G1987" s="2">
        <v>85</v>
      </c>
      <c r="H1987" s="2">
        <f>Tabla_Items_Con_Existencia[[#This Row],[COSTO]]*Tabla_Items_Con_Existencia[[#This Row],[EXISTENCIA]]</f>
        <v>105.75586695</v>
      </c>
      <c r="I1987" s="1">
        <f>IF(ISERROR(MATCH(Tabla_Items_Con_Existencia[[#This Row],[CODIGO]],Tabla_Items_Activos[CODIGO],0)),0,1)</f>
        <v>0</v>
      </c>
    </row>
    <row r="1988" spans="1:9">
      <c r="A1988" s="2" t="s">
        <v>6761</v>
      </c>
      <c r="B1988" s="2" t="s">
        <v>6719</v>
      </c>
      <c r="C1988" s="2" t="s">
        <v>6720</v>
      </c>
      <c r="D1988" s="2" t="s">
        <v>5211</v>
      </c>
      <c r="E1988" s="2" t="s">
        <v>5213</v>
      </c>
      <c r="F1988" s="2">
        <v>9.0198133299999999</v>
      </c>
      <c r="G1988" s="2">
        <v>102</v>
      </c>
      <c r="H1988" s="2">
        <f>Tabla_Items_Con_Existencia[[#This Row],[COSTO]]*Tabla_Items_Con_Existencia[[#This Row],[EXISTENCIA]]</f>
        <v>920.02095966000002</v>
      </c>
      <c r="I1988" s="1">
        <f>IF(ISERROR(MATCH(Tabla_Items_Con_Existencia[[#This Row],[CODIGO]],Tabla_Items_Activos[CODIGO],0)),0,1)</f>
        <v>0</v>
      </c>
    </row>
    <row r="1989" spans="1:9">
      <c r="A1989" s="2" t="s">
        <v>6759</v>
      </c>
      <c r="B1989" s="2" t="s">
        <v>6719</v>
      </c>
      <c r="C1989" s="2" t="s">
        <v>6720</v>
      </c>
      <c r="D1989" s="2" t="s">
        <v>5211</v>
      </c>
      <c r="E1989" s="2" t="s">
        <v>5213</v>
      </c>
      <c r="F1989" s="2">
        <v>9.0198133299999999</v>
      </c>
      <c r="G1989" s="2">
        <v>102</v>
      </c>
      <c r="H1989" s="2">
        <f>Tabla_Items_Con_Existencia[[#This Row],[COSTO]]*Tabla_Items_Con_Existencia[[#This Row],[EXISTENCIA]]</f>
        <v>920.02095966000002</v>
      </c>
      <c r="I1989" s="1">
        <f>IF(ISERROR(MATCH(Tabla_Items_Con_Existencia[[#This Row],[CODIGO]],Tabla_Items_Activos[CODIGO],0)),0,1)</f>
        <v>0</v>
      </c>
    </row>
    <row r="1990" spans="1:9">
      <c r="A1990" s="2" t="s">
        <v>6759</v>
      </c>
      <c r="B1990" s="2" t="s">
        <v>2628</v>
      </c>
      <c r="C1990" s="2" t="s">
        <v>2629</v>
      </c>
      <c r="D1990" s="2" t="s">
        <v>5209</v>
      </c>
      <c r="E1990" s="2" t="s">
        <v>5215</v>
      </c>
      <c r="F1990" s="2">
        <v>0.68149999999999999</v>
      </c>
      <c r="G1990" s="2">
        <v>203</v>
      </c>
      <c r="H1990" s="2">
        <f>Tabla_Items_Con_Existencia[[#This Row],[COSTO]]*Tabla_Items_Con_Existencia[[#This Row],[EXISTENCIA]]</f>
        <v>138.34450000000001</v>
      </c>
      <c r="I1990" s="1">
        <f>IF(ISERROR(MATCH(Tabla_Items_Con_Existencia[[#This Row],[CODIGO]],Tabla_Items_Activos[CODIGO],0)),0,1)</f>
        <v>0</v>
      </c>
    </row>
    <row r="1991" spans="1:9">
      <c r="A1991" s="2" t="s">
        <v>6759</v>
      </c>
      <c r="B1991" s="2" t="s">
        <v>7267</v>
      </c>
      <c r="C1991" s="2" t="s">
        <v>7268</v>
      </c>
      <c r="D1991" s="2" t="s">
        <v>5209</v>
      </c>
      <c r="E1991" s="2" t="s">
        <v>5215</v>
      </c>
      <c r="F1991" s="2">
        <v>1.1618999999999999</v>
      </c>
      <c r="G1991" s="2">
        <v>234</v>
      </c>
      <c r="H1991" s="2">
        <f>Tabla_Items_Con_Existencia[[#This Row],[COSTO]]*Tabla_Items_Con_Existencia[[#This Row],[EXISTENCIA]]</f>
        <v>271.88459999999998</v>
      </c>
      <c r="I1991" s="1">
        <f>IF(ISERROR(MATCH(Tabla_Items_Con_Existencia[[#This Row],[CODIGO]],Tabla_Items_Activos[CODIGO],0)),0,1)</f>
        <v>0</v>
      </c>
    </row>
    <row r="1992" spans="1:9">
      <c r="A1992" s="2" t="s">
        <v>6759</v>
      </c>
      <c r="B1992" s="2" t="s">
        <v>2630</v>
      </c>
      <c r="C1992" s="2" t="s">
        <v>2631</v>
      </c>
      <c r="D1992" s="2" t="s">
        <v>5209</v>
      </c>
      <c r="E1992" s="2" t="s">
        <v>5215</v>
      </c>
      <c r="F1992" s="2">
        <v>0.55124667000000005</v>
      </c>
      <c r="G1992" s="2">
        <v>112</v>
      </c>
      <c r="H1992" s="2">
        <f>Tabla_Items_Con_Existencia[[#This Row],[COSTO]]*Tabla_Items_Con_Existencia[[#This Row],[EXISTENCIA]]</f>
        <v>61.739627040000002</v>
      </c>
      <c r="I1992" s="1">
        <f>IF(ISERROR(MATCH(Tabla_Items_Con_Existencia[[#This Row],[CODIGO]],Tabla_Items_Activos[CODIGO],0)),0,1)</f>
        <v>0</v>
      </c>
    </row>
    <row r="1993" spans="1:9">
      <c r="A1993" s="2" t="s">
        <v>6761</v>
      </c>
      <c r="B1993" s="2" t="s">
        <v>2630</v>
      </c>
      <c r="C1993" s="2" t="s">
        <v>2631</v>
      </c>
      <c r="D1993" s="2" t="s">
        <v>5209</v>
      </c>
      <c r="E1993" s="2" t="s">
        <v>5215</v>
      </c>
      <c r="F1993" s="2">
        <v>0.55124667000000005</v>
      </c>
      <c r="G1993" s="2">
        <v>112</v>
      </c>
      <c r="H1993" s="2">
        <f>Tabla_Items_Con_Existencia[[#This Row],[COSTO]]*Tabla_Items_Con_Existencia[[#This Row],[EXISTENCIA]]</f>
        <v>61.739627040000002</v>
      </c>
      <c r="I1993" s="1">
        <f>IF(ISERROR(MATCH(Tabla_Items_Con_Existencia[[#This Row],[CODIGO]],Tabla_Items_Activos[CODIGO],0)),0,1)</f>
        <v>0</v>
      </c>
    </row>
    <row r="1994" spans="1:9">
      <c r="A1994" s="2" t="s">
        <v>6761</v>
      </c>
      <c r="B1994" s="2" t="s">
        <v>2632</v>
      </c>
      <c r="C1994" s="2" t="s">
        <v>2633</v>
      </c>
      <c r="D1994" s="2" t="s">
        <v>5209</v>
      </c>
      <c r="E1994" s="2" t="s">
        <v>5210</v>
      </c>
      <c r="F1994" s="2">
        <v>1.57853333</v>
      </c>
      <c r="G1994" s="2">
        <v>159</v>
      </c>
      <c r="H1994" s="2">
        <f>Tabla_Items_Con_Existencia[[#This Row],[COSTO]]*Tabla_Items_Con_Existencia[[#This Row],[EXISTENCIA]]</f>
        <v>250.98679946999999</v>
      </c>
      <c r="I1994" s="1">
        <f>IF(ISERROR(MATCH(Tabla_Items_Con_Existencia[[#This Row],[CODIGO]],Tabla_Items_Activos[CODIGO],0)),0,1)</f>
        <v>0</v>
      </c>
    </row>
    <row r="1995" spans="1:9">
      <c r="A1995" s="2" t="s">
        <v>6759</v>
      </c>
      <c r="B1995" s="2" t="s">
        <v>2632</v>
      </c>
      <c r="C1995" s="2" t="s">
        <v>2633</v>
      </c>
      <c r="D1995" s="2" t="s">
        <v>5209</v>
      </c>
      <c r="E1995" s="2" t="s">
        <v>5210</v>
      </c>
      <c r="F1995" s="2">
        <v>1.57853333</v>
      </c>
      <c r="G1995" s="2">
        <v>159</v>
      </c>
      <c r="H1995" s="2">
        <f>Tabla_Items_Con_Existencia[[#This Row],[COSTO]]*Tabla_Items_Con_Existencia[[#This Row],[EXISTENCIA]]</f>
        <v>250.98679946999999</v>
      </c>
      <c r="I1995" s="1">
        <f>IF(ISERROR(MATCH(Tabla_Items_Con_Existencia[[#This Row],[CODIGO]],Tabla_Items_Activos[CODIGO],0)),0,1)</f>
        <v>0</v>
      </c>
    </row>
    <row r="1996" spans="1:9">
      <c r="A1996" s="2" t="s">
        <v>6759</v>
      </c>
      <c r="B1996" s="2" t="s">
        <v>2634</v>
      </c>
      <c r="C1996" s="2" t="s">
        <v>2635</v>
      </c>
      <c r="D1996" s="2" t="s">
        <v>5211</v>
      </c>
      <c r="E1996" s="2" t="s">
        <v>5213</v>
      </c>
      <c r="F1996" s="2">
        <v>8.4269999999999996</v>
      </c>
      <c r="G1996" s="2">
        <v>2</v>
      </c>
      <c r="H1996" s="2">
        <f>Tabla_Items_Con_Existencia[[#This Row],[COSTO]]*Tabla_Items_Con_Existencia[[#This Row],[EXISTENCIA]]</f>
        <v>16.853999999999999</v>
      </c>
      <c r="I1996" s="1">
        <f>IF(ISERROR(MATCH(Tabla_Items_Con_Existencia[[#This Row],[CODIGO]],Tabla_Items_Activos[CODIGO],0)),0,1)</f>
        <v>0</v>
      </c>
    </row>
    <row r="1997" spans="1:9">
      <c r="A1997" s="2" t="s">
        <v>6761</v>
      </c>
      <c r="B1997" s="2" t="s">
        <v>2636</v>
      </c>
      <c r="C1997" s="2" t="s">
        <v>2637</v>
      </c>
      <c r="D1997" s="2" t="s">
        <v>5211</v>
      </c>
      <c r="E1997" s="2" t="s">
        <v>5213</v>
      </c>
      <c r="F1997" s="2">
        <v>6.6551200000000001</v>
      </c>
      <c r="G1997" s="2">
        <v>192</v>
      </c>
      <c r="H1997" s="2">
        <f>Tabla_Items_Con_Existencia[[#This Row],[COSTO]]*Tabla_Items_Con_Existencia[[#This Row],[EXISTENCIA]]</f>
        <v>1277.78304</v>
      </c>
      <c r="I1997" s="1">
        <f>IF(ISERROR(MATCH(Tabla_Items_Con_Existencia[[#This Row],[CODIGO]],Tabla_Items_Activos[CODIGO],0)),0,1)</f>
        <v>0</v>
      </c>
    </row>
    <row r="1998" spans="1:9">
      <c r="A1998" s="2" t="s">
        <v>6759</v>
      </c>
      <c r="B1998" s="2" t="s">
        <v>2636</v>
      </c>
      <c r="C1998" s="2" t="s">
        <v>2637</v>
      </c>
      <c r="D1998" s="2" t="s">
        <v>5211</v>
      </c>
      <c r="E1998" s="2" t="s">
        <v>5213</v>
      </c>
      <c r="F1998" s="2">
        <v>6.6551200000000001</v>
      </c>
      <c r="G1998" s="2">
        <v>192</v>
      </c>
      <c r="H1998" s="2">
        <f>Tabla_Items_Con_Existencia[[#This Row],[COSTO]]*Tabla_Items_Con_Existencia[[#This Row],[EXISTENCIA]]</f>
        <v>1277.78304</v>
      </c>
      <c r="I1998" s="1">
        <f>IF(ISERROR(MATCH(Tabla_Items_Con_Existencia[[#This Row],[CODIGO]],Tabla_Items_Activos[CODIGO],0)),0,1)</f>
        <v>0</v>
      </c>
    </row>
    <row r="1999" spans="1:9">
      <c r="A1999" s="2" t="s">
        <v>6761</v>
      </c>
      <c r="B1999" s="2" t="s">
        <v>2638</v>
      </c>
      <c r="C1999" s="2" t="s">
        <v>2639</v>
      </c>
      <c r="D1999" s="2" t="s">
        <v>5211</v>
      </c>
      <c r="E1999" s="2" t="s">
        <v>5213</v>
      </c>
      <c r="F1999" s="2">
        <v>0.86968000000000001</v>
      </c>
      <c r="G1999" s="2">
        <v>54</v>
      </c>
      <c r="H1999" s="2">
        <f>Tabla_Items_Con_Existencia[[#This Row],[COSTO]]*Tabla_Items_Con_Existencia[[#This Row],[EXISTENCIA]]</f>
        <v>46.962719999999997</v>
      </c>
      <c r="I1999" s="1">
        <f>IF(ISERROR(MATCH(Tabla_Items_Con_Existencia[[#This Row],[CODIGO]],Tabla_Items_Activos[CODIGO],0)),0,1)</f>
        <v>0</v>
      </c>
    </row>
    <row r="2000" spans="1:9">
      <c r="A2000" s="2" t="s">
        <v>6759</v>
      </c>
      <c r="B2000" s="2" t="s">
        <v>2638</v>
      </c>
      <c r="C2000" s="2" t="s">
        <v>2639</v>
      </c>
      <c r="D2000" s="2" t="s">
        <v>5211</v>
      </c>
      <c r="E2000" s="2" t="s">
        <v>5213</v>
      </c>
      <c r="F2000" s="2">
        <v>0.86968000000000001</v>
      </c>
      <c r="G2000" s="2">
        <v>54</v>
      </c>
      <c r="H2000" s="2">
        <f>Tabla_Items_Con_Existencia[[#This Row],[COSTO]]*Tabla_Items_Con_Existencia[[#This Row],[EXISTENCIA]]</f>
        <v>46.962719999999997</v>
      </c>
      <c r="I2000" s="1">
        <f>IF(ISERROR(MATCH(Tabla_Items_Con_Existencia[[#This Row],[CODIGO]],Tabla_Items_Activos[CODIGO],0)),0,1)</f>
        <v>0</v>
      </c>
    </row>
    <row r="2001" spans="1:9">
      <c r="A2001" s="2" t="s">
        <v>6761</v>
      </c>
      <c r="B2001" s="2" t="s">
        <v>2640</v>
      </c>
      <c r="C2001" s="2" t="s">
        <v>2641</v>
      </c>
      <c r="D2001" s="2" t="s">
        <v>5211</v>
      </c>
      <c r="E2001" s="2" t="s">
        <v>5213</v>
      </c>
      <c r="F2001" s="2">
        <v>1.40672</v>
      </c>
      <c r="G2001" s="2">
        <v>97</v>
      </c>
      <c r="H2001" s="2">
        <f>Tabla_Items_Con_Existencia[[#This Row],[COSTO]]*Tabla_Items_Con_Existencia[[#This Row],[EXISTENCIA]]</f>
        <v>136.45184</v>
      </c>
      <c r="I2001" s="1">
        <f>IF(ISERROR(MATCH(Tabla_Items_Con_Existencia[[#This Row],[CODIGO]],Tabla_Items_Activos[CODIGO],0)),0,1)</f>
        <v>0</v>
      </c>
    </row>
    <row r="2002" spans="1:9">
      <c r="A2002" s="2" t="s">
        <v>6759</v>
      </c>
      <c r="B2002" s="2" t="s">
        <v>2640</v>
      </c>
      <c r="C2002" s="2" t="s">
        <v>2641</v>
      </c>
      <c r="D2002" s="2" t="s">
        <v>5211</v>
      </c>
      <c r="E2002" s="2" t="s">
        <v>5213</v>
      </c>
      <c r="F2002" s="2">
        <v>1.40672</v>
      </c>
      <c r="G2002" s="2">
        <v>97</v>
      </c>
      <c r="H2002" s="2">
        <f>Tabla_Items_Con_Existencia[[#This Row],[COSTO]]*Tabla_Items_Con_Existencia[[#This Row],[EXISTENCIA]]</f>
        <v>136.45184</v>
      </c>
      <c r="I2002" s="1">
        <f>IF(ISERROR(MATCH(Tabla_Items_Con_Existencia[[#This Row],[CODIGO]],Tabla_Items_Activos[CODIGO],0)),0,1)</f>
        <v>0</v>
      </c>
    </row>
    <row r="2003" spans="1:9">
      <c r="A2003" s="2" t="s">
        <v>6761</v>
      </c>
      <c r="B2003" s="2" t="s">
        <v>2642</v>
      </c>
      <c r="C2003" s="2" t="s">
        <v>2643</v>
      </c>
      <c r="D2003" s="2" t="s">
        <v>5211</v>
      </c>
      <c r="E2003" s="2" t="s">
        <v>5213</v>
      </c>
      <c r="F2003" s="2">
        <v>2.13408</v>
      </c>
      <c r="G2003" s="2">
        <v>296</v>
      </c>
      <c r="H2003" s="2">
        <f>Tabla_Items_Con_Existencia[[#This Row],[COSTO]]*Tabla_Items_Con_Existencia[[#This Row],[EXISTENCIA]]</f>
        <v>631.68768</v>
      </c>
      <c r="I2003" s="1">
        <f>IF(ISERROR(MATCH(Tabla_Items_Con_Existencia[[#This Row],[CODIGO]],Tabla_Items_Activos[CODIGO],0)),0,1)</f>
        <v>0</v>
      </c>
    </row>
    <row r="2004" spans="1:9">
      <c r="A2004" s="2" t="s">
        <v>6759</v>
      </c>
      <c r="B2004" s="2" t="s">
        <v>2642</v>
      </c>
      <c r="C2004" s="2" t="s">
        <v>2643</v>
      </c>
      <c r="D2004" s="2" t="s">
        <v>5211</v>
      </c>
      <c r="E2004" s="2" t="s">
        <v>5213</v>
      </c>
      <c r="F2004" s="2">
        <v>2.13408</v>
      </c>
      <c r="G2004" s="2">
        <v>296</v>
      </c>
      <c r="H2004" s="2">
        <f>Tabla_Items_Con_Existencia[[#This Row],[COSTO]]*Tabla_Items_Con_Existencia[[#This Row],[EXISTENCIA]]</f>
        <v>631.68768</v>
      </c>
      <c r="I2004" s="1">
        <f>IF(ISERROR(MATCH(Tabla_Items_Con_Existencia[[#This Row],[CODIGO]],Tabla_Items_Activos[CODIGO],0)),0,1)</f>
        <v>0</v>
      </c>
    </row>
    <row r="2005" spans="1:9">
      <c r="A2005" s="2" t="s">
        <v>6761</v>
      </c>
      <c r="B2005" s="2" t="s">
        <v>2644</v>
      </c>
      <c r="C2005" s="2" t="s">
        <v>2645</v>
      </c>
      <c r="D2005" s="2" t="s">
        <v>5211</v>
      </c>
      <c r="E2005" s="2" t="s">
        <v>5213</v>
      </c>
      <c r="F2005" s="2">
        <v>4.7957066700000004</v>
      </c>
      <c r="G2005" s="2">
        <v>376</v>
      </c>
      <c r="H2005" s="2">
        <f>Tabla_Items_Con_Existencia[[#This Row],[COSTO]]*Tabla_Items_Con_Existencia[[#This Row],[EXISTENCIA]]</f>
        <v>1803.1857079200001</v>
      </c>
      <c r="I2005" s="1">
        <f>IF(ISERROR(MATCH(Tabla_Items_Con_Existencia[[#This Row],[CODIGO]],Tabla_Items_Activos[CODIGO],0)),0,1)</f>
        <v>0</v>
      </c>
    </row>
    <row r="2006" spans="1:9">
      <c r="A2006" s="2" t="s">
        <v>6759</v>
      </c>
      <c r="B2006" s="2" t="s">
        <v>2644</v>
      </c>
      <c r="C2006" s="2" t="s">
        <v>2645</v>
      </c>
      <c r="D2006" s="2" t="s">
        <v>5211</v>
      </c>
      <c r="E2006" s="2" t="s">
        <v>5213</v>
      </c>
      <c r="F2006" s="2">
        <v>4.7957066700000004</v>
      </c>
      <c r="G2006" s="2">
        <v>376</v>
      </c>
      <c r="H2006" s="2">
        <f>Tabla_Items_Con_Existencia[[#This Row],[COSTO]]*Tabla_Items_Con_Existencia[[#This Row],[EXISTENCIA]]</f>
        <v>1803.1857079200001</v>
      </c>
      <c r="I2006" s="1">
        <f>IF(ISERROR(MATCH(Tabla_Items_Con_Existencia[[#This Row],[CODIGO]],Tabla_Items_Activos[CODIGO],0)),0,1)</f>
        <v>0</v>
      </c>
    </row>
    <row r="2007" spans="1:9">
      <c r="A2007" s="2" t="s">
        <v>6761</v>
      </c>
      <c r="B2007" s="2" t="s">
        <v>2646</v>
      </c>
      <c r="C2007" s="2" t="s">
        <v>2647</v>
      </c>
      <c r="D2007" s="2" t="s">
        <v>5211</v>
      </c>
      <c r="E2007" s="2" t="s">
        <v>5213</v>
      </c>
      <c r="F2007" s="2">
        <v>8.62613333</v>
      </c>
      <c r="G2007" s="2">
        <v>131</v>
      </c>
      <c r="H2007" s="2">
        <f>Tabla_Items_Con_Existencia[[#This Row],[COSTO]]*Tabla_Items_Con_Existencia[[#This Row],[EXISTENCIA]]</f>
        <v>1130.0234662299999</v>
      </c>
      <c r="I2007" s="1">
        <f>IF(ISERROR(MATCH(Tabla_Items_Con_Existencia[[#This Row],[CODIGO]],Tabla_Items_Activos[CODIGO],0)),0,1)</f>
        <v>0</v>
      </c>
    </row>
    <row r="2008" spans="1:9">
      <c r="A2008" s="2" t="s">
        <v>6759</v>
      </c>
      <c r="B2008" s="2" t="s">
        <v>2646</v>
      </c>
      <c r="C2008" s="2" t="s">
        <v>2647</v>
      </c>
      <c r="D2008" s="2" t="s">
        <v>5211</v>
      </c>
      <c r="E2008" s="2" t="s">
        <v>5213</v>
      </c>
      <c r="F2008" s="2">
        <v>8.62613333</v>
      </c>
      <c r="G2008" s="2">
        <v>131</v>
      </c>
      <c r="H2008" s="2">
        <f>Tabla_Items_Con_Existencia[[#This Row],[COSTO]]*Tabla_Items_Con_Existencia[[#This Row],[EXISTENCIA]]</f>
        <v>1130.0234662299999</v>
      </c>
      <c r="I2008" s="1">
        <f>IF(ISERROR(MATCH(Tabla_Items_Con_Existencia[[#This Row],[CODIGO]],Tabla_Items_Activos[CODIGO],0)),0,1)</f>
        <v>0</v>
      </c>
    </row>
    <row r="2009" spans="1:9">
      <c r="A2009" s="2" t="s">
        <v>6759</v>
      </c>
      <c r="B2009" s="2" t="s">
        <v>2648</v>
      </c>
      <c r="C2009" s="2" t="s">
        <v>2649</v>
      </c>
      <c r="D2009" s="2" t="s">
        <v>5211</v>
      </c>
      <c r="E2009" s="2" t="s">
        <v>5213</v>
      </c>
      <c r="F2009" s="2">
        <v>2.1745999999999999</v>
      </c>
      <c r="G2009" s="2">
        <v>23</v>
      </c>
      <c r="H2009" s="2">
        <f>Tabla_Items_Con_Existencia[[#This Row],[COSTO]]*Tabla_Items_Con_Existencia[[#This Row],[EXISTENCIA]]</f>
        <v>50.015799999999999</v>
      </c>
      <c r="I2009" s="1">
        <f>IF(ISERROR(MATCH(Tabla_Items_Con_Existencia[[#This Row],[CODIGO]],Tabla_Items_Activos[CODIGO],0)),0,1)</f>
        <v>0</v>
      </c>
    </row>
    <row r="2010" spans="1:9">
      <c r="A2010" s="2" t="s">
        <v>6761</v>
      </c>
      <c r="B2010" s="2" t="s">
        <v>2650</v>
      </c>
      <c r="C2010" s="2" t="s">
        <v>2651</v>
      </c>
      <c r="D2010" s="2" t="s">
        <v>5211</v>
      </c>
      <c r="E2010" s="2" t="s">
        <v>5213</v>
      </c>
      <c r="F2010" s="2">
        <v>23.44674667</v>
      </c>
      <c r="G2010" s="2">
        <v>539</v>
      </c>
      <c r="H2010" s="2">
        <f>Tabla_Items_Con_Existencia[[#This Row],[COSTO]]*Tabla_Items_Con_Existencia[[#This Row],[EXISTENCIA]]</f>
        <v>12637.796455129999</v>
      </c>
      <c r="I2010" s="1">
        <f>IF(ISERROR(MATCH(Tabla_Items_Con_Existencia[[#This Row],[CODIGO]],Tabla_Items_Activos[CODIGO],0)),0,1)</f>
        <v>0</v>
      </c>
    </row>
    <row r="2011" spans="1:9">
      <c r="A2011" s="2" t="s">
        <v>6759</v>
      </c>
      <c r="B2011" s="2" t="s">
        <v>2650</v>
      </c>
      <c r="C2011" s="2" t="s">
        <v>2651</v>
      </c>
      <c r="D2011" s="2" t="s">
        <v>5211</v>
      </c>
      <c r="E2011" s="2" t="s">
        <v>5213</v>
      </c>
      <c r="F2011" s="2">
        <v>23.44674667</v>
      </c>
      <c r="G2011" s="2">
        <v>539</v>
      </c>
      <c r="H2011" s="2">
        <f>Tabla_Items_Con_Existencia[[#This Row],[COSTO]]*Tabla_Items_Con_Existencia[[#This Row],[EXISTENCIA]]</f>
        <v>12637.796455129999</v>
      </c>
      <c r="I2011" s="1">
        <f>IF(ISERROR(MATCH(Tabla_Items_Con_Existencia[[#This Row],[CODIGO]],Tabla_Items_Activos[CODIGO],0)),0,1)</f>
        <v>0</v>
      </c>
    </row>
    <row r="2012" spans="1:9">
      <c r="A2012" s="2" t="s">
        <v>6759</v>
      </c>
      <c r="B2012" s="2" t="s">
        <v>2652</v>
      </c>
      <c r="C2012" s="2" t="s">
        <v>2653</v>
      </c>
      <c r="D2012" s="2" t="s">
        <v>5209</v>
      </c>
      <c r="E2012" s="2" t="s">
        <v>5215</v>
      </c>
      <c r="F2012" s="2">
        <v>2.0674999999999999</v>
      </c>
      <c r="G2012" s="2">
        <v>144</v>
      </c>
      <c r="H2012" s="2">
        <f>Tabla_Items_Con_Existencia[[#This Row],[COSTO]]*Tabla_Items_Con_Existencia[[#This Row],[EXISTENCIA]]</f>
        <v>297.71999999999997</v>
      </c>
      <c r="I2012" s="1">
        <f>IF(ISERROR(MATCH(Tabla_Items_Con_Existencia[[#This Row],[CODIGO]],Tabla_Items_Activos[CODIGO],0)),0,1)</f>
        <v>0</v>
      </c>
    </row>
    <row r="2013" spans="1:9">
      <c r="A2013" s="2" t="s">
        <v>6761</v>
      </c>
      <c r="B2013" s="2" t="s">
        <v>2654</v>
      </c>
      <c r="C2013" s="2" t="s">
        <v>2655</v>
      </c>
      <c r="D2013" s="2" t="s">
        <v>5209</v>
      </c>
      <c r="E2013" s="2" t="s">
        <v>5210</v>
      </c>
      <c r="F2013" s="2">
        <v>5.2549066699999996</v>
      </c>
      <c r="G2013" s="2">
        <v>248</v>
      </c>
      <c r="H2013" s="2">
        <f>Tabla_Items_Con_Existencia[[#This Row],[COSTO]]*Tabla_Items_Con_Existencia[[#This Row],[EXISTENCIA]]</f>
        <v>1303.2168541599999</v>
      </c>
      <c r="I2013" s="1">
        <f>IF(ISERROR(MATCH(Tabla_Items_Con_Existencia[[#This Row],[CODIGO]],Tabla_Items_Activos[CODIGO],0)),0,1)</f>
        <v>0</v>
      </c>
    </row>
    <row r="2014" spans="1:9">
      <c r="A2014" s="2" t="s">
        <v>6759</v>
      </c>
      <c r="B2014" s="2" t="s">
        <v>2654</v>
      </c>
      <c r="C2014" s="2" t="s">
        <v>2655</v>
      </c>
      <c r="D2014" s="2" t="s">
        <v>5209</v>
      </c>
      <c r="E2014" s="2" t="s">
        <v>5210</v>
      </c>
      <c r="F2014" s="2">
        <v>5.2549066699999996</v>
      </c>
      <c r="G2014" s="2">
        <v>248</v>
      </c>
      <c r="H2014" s="2">
        <f>Tabla_Items_Con_Existencia[[#This Row],[COSTO]]*Tabla_Items_Con_Existencia[[#This Row],[EXISTENCIA]]</f>
        <v>1303.2168541599999</v>
      </c>
      <c r="I2014" s="1">
        <f>IF(ISERROR(MATCH(Tabla_Items_Con_Existencia[[#This Row],[CODIGO]],Tabla_Items_Activos[CODIGO],0)),0,1)</f>
        <v>0</v>
      </c>
    </row>
    <row r="2015" spans="1:9">
      <c r="A2015" s="2" t="s">
        <v>6759</v>
      </c>
      <c r="B2015" s="2" t="s">
        <v>2656</v>
      </c>
      <c r="C2015" s="2" t="s">
        <v>2657</v>
      </c>
      <c r="D2015" s="2" t="s">
        <v>5209</v>
      </c>
      <c r="E2015" s="2" t="s">
        <v>5210</v>
      </c>
      <c r="F2015" s="2">
        <v>7.3280000000000003</v>
      </c>
      <c r="G2015" s="2">
        <v>40</v>
      </c>
      <c r="H2015" s="2">
        <f>Tabla_Items_Con_Existencia[[#This Row],[COSTO]]*Tabla_Items_Con_Existencia[[#This Row],[EXISTENCIA]]</f>
        <v>293.12</v>
      </c>
      <c r="I2015" s="1">
        <f>IF(ISERROR(MATCH(Tabla_Items_Con_Existencia[[#This Row],[CODIGO]],Tabla_Items_Activos[CODIGO],0)),0,1)</f>
        <v>0</v>
      </c>
    </row>
    <row r="2016" spans="1:9">
      <c r="A2016" s="2" t="s">
        <v>6759</v>
      </c>
      <c r="B2016" s="2" t="s">
        <v>2658</v>
      </c>
      <c r="C2016" s="2" t="s">
        <v>2659</v>
      </c>
      <c r="D2016" s="2" t="s">
        <v>5209</v>
      </c>
      <c r="E2016" s="2" t="s">
        <v>5210</v>
      </c>
      <c r="F2016" s="2">
        <v>3.2938000000000001</v>
      </c>
      <c r="G2016" s="2">
        <v>95</v>
      </c>
      <c r="H2016" s="2">
        <f>Tabla_Items_Con_Existencia[[#This Row],[COSTO]]*Tabla_Items_Con_Existencia[[#This Row],[EXISTENCIA]]</f>
        <v>312.911</v>
      </c>
      <c r="I2016" s="1">
        <f>IF(ISERROR(MATCH(Tabla_Items_Con_Existencia[[#This Row],[CODIGO]],Tabla_Items_Activos[CODIGO],0)),0,1)</f>
        <v>0</v>
      </c>
    </row>
    <row r="2017" spans="1:9">
      <c r="A2017" s="2" t="s">
        <v>6761</v>
      </c>
      <c r="B2017" s="2" t="s">
        <v>2662</v>
      </c>
      <c r="C2017" s="2" t="s">
        <v>2663</v>
      </c>
      <c r="D2017" s="2" t="s">
        <v>5211</v>
      </c>
      <c r="E2017" s="2" t="s">
        <v>5213</v>
      </c>
      <c r="F2017" s="2">
        <v>4.5045866700000001</v>
      </c>
      <c r="G2017" s="2">
        <v>80</v>
      </c>
      <c r="H2017" s="2">
        <f>Tabla_Items_Con_Existencia[[#This Row],[COSTO]]*Tabla_Items_Con_Existencia[[#This Row],[EXISTENCIA]]</f>
        <v>360.36693360000004</v>
      </c>
      <c r="I2017" s="1">
        <f>IF(ISERROR(MATCH(Tabla_Items_Con_Existencia[[#This Row],[CODIGO]],Tabla_Items_Activos[CODIGO],0)),0,1)</f>
        <v>0</v>
      </c>
    </row>
    <row r="2018" spans="1:9">
      <c r="A2018" s="2" t="s">
        <v>6759</v>
      </c>
      <c r="B2018" s="2" t="s">
        <v>2662</v>
      </c>
      <c r="C2018" s="2" t="s">
        <v>2663</v>
      </c>
      <c r="D2018" s="2" t="s">
        <v>5211</v>
      </c>
      <c r="E2018" s="2" t="s">
        <v>5213</v>
      </c>
      <c r="F2018" s="2">
        <v>4.5045866700000001</v>
      </c>
      <c r="G2018" s="2">
        <v>80</v>
      </c>
      <c r="H2018" s="2">
        <f>Tabla_Items_Con_Existencia[[#This Row],[COSTO]]*Tabla_Items_Con_Existencia[[#This Row],[EXISTENCIA]]</f>
        <v>360.36693360000004</v>
      </c>
      <c r="I2018" s="1">
        <f>IF(ISERROR(MATCH(Tabla_Items_Con_Existencia[[#This Row],[CODIGO]],Tabla_Items_Activos[CODIGO],0)),0,1)</f>
        <v>0</v>
      </c>
    </row>
    <row r="2019" spans="1:9">
      <c r="A2019" s="2" t="s">
        <v>6759</v>
      </c>
      <c r="B2019" s="2" t="s">
        <v>5670</v>
      </c>
      <c r="C2019" s="2" t="s">
        <v>5671</v>
      </c>
      <c r="D2019" s="2" t="s">
        <v>5209</v>
      </c>
      <c r="E2019" s="2" t="s">
        <v>5212</v>
      </c>
      <c r="F2019" s="2">
        <v>0.82599999999999996</v>
      </c>
      <c r="G2019" s="2">
        <v>89</v>
      </c>
      <c r="H2019" s="2">
        <f>Tabla_Items_Con_Existencia[[#This Row],[COSTO]]*Tabla_Items_Con_Existencia[[#This Row],[EXISTENCIA]]</f>
        <v>73.513999999999996</v>
      </c>
      <c r="I2019" s="1">
        <f>IF(ISERROR(MATCH(Tabla_Items_Con_Existencia[[#This Row],[CODIGO]],Tabla_Items_Activos[CODIGO],0)),0,1)</f>
        <v>0</v>
      </c>
    </row>
    <row r="2020" spans="1:9">
      <c r="A2020" s="2" t="s">
        <v>6761</v>
      </c>
      <c r="B2020" s="2" t="s">
        <v>5670</v>
      </c>
      <c r="C2020" s="2" t="s">
        <v>5671</v>
      </c>
      <c r="D2020" s="2" t="s">
        <v>5209</v>
      </c>
      <c r="E2020" s="2" t="s">
        <v>5212</v>
      </c>
      <c r="F2020" s="2">
        <v>0.82599999999999996</v>
      </c>
      <c r="G2020" s="2">
        <v>89</v>
      </c>
      <c r="H2020" s="2">
        <f>Tabla_Items_Con_Existencia[[#This Row],[COSTO]]*Tabla_Items_Con_Existencia[[#This Row],[EXISTENCIA]]</f>
        <v>73.513999999999996</v>
      </c>
      <c r="I2020" s="1">
        <f>IF(ISERROR(MATCH(Tabla_Items_Con_Existencia[[#This Row],[CODIGO]],Tabla_Items_Activos[CODIGO],0)),0,1)</f>
        <v>0</v>
      </c>
    </row>
    <row r="2021" spans="1:9">
      <c r="A2021" s="2" t="s">
        <v>6759</v>
      </c>
      <c r="B2021" s="2" t="s">
        <v>2664</v>
      </c>
      <c r="C2021" s="2" t="s">
        <v>2665</v>
      </c>
      <c r="D2021" s="2" t="s">
        <v>5209</v>
      </c>
      <c r="E2021" s="2" t="s">
        <v>5210</v>
      </c>
      <c r="F2021" s="2">
        <v>2.9962</v>
      </c>
      <c r="G2021" s="2">
        <v>222</v>
      </c>
      <c r="H2021" s="2">
        <f>Tabla_Items_Con_Existencia[[#This Row],[COSTO]]*Tabla_Items_Con_Existencia[[#This Row],[EXISTENCIA]]</f>
        <v>665.15639999999996</v>
      </c>
      <c r="I2021" s="1">
        <f>IF(ISERROR(MATCH(Tabla_Items_Con_Existencia[[#This Row],[CODIGO]],Tabla_Items_Activos[CODIGO],0)),0,1)</f>
        <v>0</v>
      </c>
    </row>
    <row r="2022" spans="1:9">
      <c r="A2022" s="2" t="s">
        <v>6759</v>
      </c>
      <c r="B2022" s="2" t="s">
        <v>2666</v>
      </c>
      <c r="C2022" s="2" t="s">
        <v>2667</v>
      </c>
      <c r="D2022" s="2" t="s">
        <v>5211</v>
      </c>
      <c r="E2022" s="2" t="s">
        <v>5214</v>
      </c>
      <c r="F2022" s="2">
        <v>9.2040000000000006</v>
      </c>
      <c r="G2022" s="2">
        <v>3</v>
      </c>
      <c r="H2022" s="2">
        <f>Tabla_Items_Con_Existencia[[#This Row],[COSTO]]*Tabla_Items_Con_Existencia[[#This Row],[EXISTENCIA]]</f>
        <v>27.612000000000002</v>
      </c>
      <c r="I2022" s="1">
        <f>IF(ISERROR(MATCH(Tabla_Items_Con_Existencia[[#This Row],[CODIGO]],Tabla_Items_Activos[CODIGO],0)),0,1)</f>
        <v>0</v>
      </c>
    </row>
    <row r="2023" spans="1:9">
      <c r="A2023" s="2" t="s">
        <v>6761</v>
      </c>
      <c r="B2023" s="2" t="s">
        <v>7353</v>
      </c>
      <c r="C2023" s="2" t="s">
        <v>7354</v>
      </c>
      <c r="D2023" s="2" t="s">
        <v>5211</v>
      </c>
      <c r="E2023" s="2" t="s">
        <v>5213</v>
      </c>
      <c r="F2023" s="2">
        <v>2.54125333</v>
      </c>
      <c r="G2023" s="2">
        <v>177</v>
      </c>
      <c r="H2023" s="2">
        <f>Tabla_Items_Con_Existencia[[#This Row],[COSTO]]*Tabla_Items_Con_Existencia[[#This Row],[EXISTENCIA]]</f>
        <v>449.80183941000001</v>
      </c>
      <c r="I2023" s="1">
        <f>IF(ISERROR(MATCH(Tabla_Items_Con_Existencia[[#This Row],[CODIGO]],Tabla_Items_Activos[CODIGO],0)),0,1)</f>
        <v>0</v>
      </c>
    </row>
    <row r="2024" spans="1:9">
      <c r="A2024" s="2" t="s">
        <v>6759</v>
      </c>
      <c r="B2024" s="2" t="s">
        <v>7353</v>
      </c>
      <c r="C2024" s="2" t="s">
        <v>7354</v>
      </c>
      <c r="D2024" s="2" t="s">
        <v>5211</v>
      </c>
      <c r="E2024" s="2" t="s">
        <v>5213</v>
      </c>
      <c r="F2024" s="2">
        <v>2.54125333</v>
      </c>
      <c r="G2024" s="2">
        <v>177</v>
      </c>
      <c r="H2024" s="2">
        <f>Tabla_Items_Con_Existencia[[#This Row],[COSTO]]*Tabla_Items_Con_Existencia[[#This Row],[EXISTENCIA]]</f>
        <v>449.80183941000001</v>
      </c>
      <c r="I2024" s="1">
        <f>IF(ISERROR(MATCH(Tabla_Items_Con_Existencia[[#This Row],[CODIGO]],Tabla_Items_Activos[CODIGO],0)),0,1)</f>
        <v>0</v>
      </c>
    </row>
    <row r="2025" spans="1:9">
      <c r="A2025" s="2" t="s">
        <v>6759</v>
      </c>
      <c r="B2025" s="2" t="s">
        <v>7355</v>
      </c>
      <c r="C2025" s="2" t="s">
        <v>7356</v>
      </c>
      <c r="D2025" s="2" t="s">
        <v>5211</v>
      </c>
      <c r="E2025" s="2" t="s">
        <v>5213</v>
      </c>
      <c r="F2025" s="2">
        <v>4.4741333299999999</v>
      </c>
      <c r="G2025" s="2">
        <v>66</v>
      </c>
      <c r="H2025" s="2">
        <f>Tabla_Items_Con_Existencia[[#This Row],[COSTO]]*Tabla_Items_Con_Existencia[[#This Row],[EXISTENCIA]]</f>
        <v>295.29279978</v>
      </c>
      <c r="I2025" s="1">
        <f>IF(ISERROR(MATCH(Tabla_Items_Con_Existencia[[#This Row],[CODIGO]],Tabla_Items_Activos[CODIGO],0)),0,1)</f>
        <v>0</v>
      </c>
    </row>
    <row r="2026" spans="1:9">
      <c r="A2026" s="2" t="s">
        <v>6761</v>
      </c>
      <c r="B2026" s="2" t="s">
        <v>7355</v>
      </c>
      <c r="C2026" s="2" t="s">
        <v>7356</v>
      </c>
      <c r="D2026" s="2" t="s">
        <v>5211</v>
      </c>
      <c r="E2026" s="2" t="s">
        <v>5213</v>
      </c>
      <c r="F2026" s="2">
        <v>4.4741333299999999</v>
      </c>
      <c r="G2026" s="2">
        <v>66</v>
      </c>
      <c r="H2026" s="2">
        <f>Tabla_Items_Con_Existencia[[#This Row],[COSTO]]*Tabla_Items_Con_Existencia[[#This Row],[EXISTENCIA]]</f>
        <v>295.29279978</v>
      </c>
      <c r="I2026" s="1">
        <f>IF(ISERROR(MATCH(Tabla_Items_Con_Existencia[[#This Row],[CODIGO]],Tabla_Items_Activos[CODIGO],0)),0,1)</f>
        <v>0</v>
      </c>
    </row>
    <row r="2027" spans="1:9">
      <c r="A2027" s="2" t="s">
        <v>6759</v>
      </c>
      <c r="B2027" s="2" t="s">
        <v>7357</v>
      </c>
      <c r="C2027" s="2" t="s">
        <v>7358</v>
      </c>
      <c r="D2027" s="2" t="s">
        <v>5211</v>
      </c>
      <c r="E2027" s="2" t="s">
        <v>5213</v>
      </c>
      <c r="F2027" s="2">
        <v>6.5823999999999998</v>
      </c>
      <c r="G2027" s="2">
        <v>264</v>
      </c>
      <c r="H2027" s="2">
        <f>Tabla_Items_Con_Existencia[[#This Row],[COSTO]]*Tabla_Items_Con_Existencia[[#This Row],[EXISTENCIA]]</f>
        <v>1737.7536</v>
      </c>
      <c r="I2027" s="1">
        <f>IF(ISERROR(MATCH(Tabla_Items_Con_Existencia[[#This Row],[CODIGO]],Tabla_Items_Activos[CODIGO],0)),0,1)</f>
        <v>0</v>
      </c>
    </row>
    <row r="2028" spans="1:9">
      <c r="A2028" s="2" t="s">
        <v>6761</v>
      </c>
      <c r="B2028" s="2" t="s">
        <v>7359</v>
      </c>
      <c r="C2028" s="2" t="s">
        <v>7360</v>
      </c>
      <c r="D2028" s="2" t="s">
        <v>5211</v>
      </c>
      <c r="E2028" s="2" t="s">
        <v>5213</v>
      </c>
      <c r="F2028" s="2">
        <v>1.1250933299999999</v>
      </c>
      <c r="G2028" s="2">
        <v>75</v>
      </c>
      <c r="H2028" s="2">
        <f>Tabla_Items_Con_Existencia[[#This Row],[COSTO]]*Tabla_Items_Con_Existencia[[#This Row],[EXISTENCIA]]</f>
        <v>84.381999749999991</v>
      </c>
      <c r="I2028" s="1">
        <f>IF(ISERROR(MATCH(Tabla_Items_Con_Existencia[[#This Row],[CODIGO]],Tabla_Items_Activos[CODIGO],0)),0,1)</f>
        <v>0</v>
      </c>
    </row>
    <row r="2029" spans="1:9">
      <c r="A2029" s="2" t="s">
        <v>6759</v>
      </c>
      <c r="B2029" s="2" t="s">
        <v>7359</v>
      </c>
      <c r="C2029" s="2" t="s">
        <v>7360</v>
      </c>
      <c r="D2029" s="2" t="s">
        <v>5211</v>
      </c>
      <c r="E2029" s="2" t="s">
        <v>5213</v>
      </c>
      <c r="F2029" s="2">
        <v>1.1250933299999999</v>
      </c>
      <c r="G2029" s="2">
        <v>75</v>
      </c>
      <c r="H2029" s="2">
        <f>Tabla_Items_Con_Existencia[[#This Row],[COSTO]]*Tabla_Items_Con_Existencia[[#This Row],[EXISTENCIA]]</f>
        <v>84.381999749999991</v>
      </c>
      <c r="I2029" s="1">
        <f>IF(ISERROR(MATCH(Tabla_Items_Con_Existencia[[#This Row],[CODIGO]],Tabla_Items_Activos[CODIGO],0)),0,1)</f>
        <v>0</v>
      </c>
    </row>
    <row r="2030" spans="1:9">
      <c r="A2030" s="2" t="s">
        <v>6761</v>
      </c>
      <c r="B2030" s="2" t="s">
        <v>2668</v>
      </c>
      <c r="C2030" s="2" t="s">
        <v>2669</v>
      </c>
      <c r="D2030" s="2" t="s">
        <v>5211</v>
      </c>
      <c r="E2030" s="2" t="s">
        <v>5214</v>
      </c>
      <c r="F2030" s="2">
        <v>12.35421333</v>
      </c>
      <c r="G2030" s="2">
        <v>42</v>
      </c>
      <c r="H2030" s="2">
        <f>Tabla_Items_Con_Existencia[[#This Row],[COSTO]]*Tabla_Items_Con_Existencia[[#This Row],[EXISTENCIA]]</f>
        <v>518.87695986000006</v>
      </c>
      <c r="I2030" s="1">
        <f>IF(ISERROR(MATCH(Tabla_Items_Con_Existencia[[#This Row],[CODIGO]],Tabla_Items_Activos[CODIGO],0)),0,1)</f>
        <v>0</v>
      </c>
    </row>
    <row r="2031" spans="1:9">
      <c r="A2031" s="2" t="s">
        <v>6759</v>
      </c>
      <c r="B2031" s="2" t="s">
        <v>2668</v>
      </c>
      <c r="C2031" s="2" t="s">
        <v>2669</v>
      </c>
      <c r="D2031" s="2" t="s">
        <v>5211</v>
      </c>
      <c r="E2031" s="2" t="s">
        <v>5214</v>
      </c>
      <c r="F2031" s="2">
        <v>12.35421333</v>
      </c>
      <c r="G2031" s="2">
        <v>42</v>
      </c>
      <c r="H2031" s="2">
        <f>Tabla_Items_Con_Existencia[[#This Row],[COSTO]]*Tabla_Items_Con_Existencia[[#This Row],[EXISTENCIA]]</f>
        <v>518.87695986000006</v>
      </c>
      <c r="I2031" s="1">
        <f>IF(ISERROR(MATCH(Tabla_Items_Con_Existencia[[#This Row],[CODIGO]],Tabla_Items_Activos[CODIGO],0)),0,1)</f>
        <v>0</v>
      </c>
    </row>
    <row r="2032" spans="1:9">
      <c r="A2032" s="2" t="s">
        <v>6761</v>
      </c>
      <c r="B2032" s="2" t="s">
        <v>2670</v>
      </c>
      <c r="C2032" s="2" t="s">
        <v>2671</v>
      </c>
      <c r="D2032" s="2" t="s">
        <v>5209</v>
      </c>
      <c r="E2032" s="2" t="s">
        <v>5210</v>
      </c>
      <c r="F2032" s="2">
        <v>1.09949333</v>
      </c>
      <c r="G2032" s="2">
        <v>775</v>
      </c>
      <c r="H2032" s="2">
        <f>Tabla_Items_Con_Existencia[[#This Row],[COSTO]]*Tabla_Items_Con_Existencia[[#This Row],[EXISTENCIA]]</f>
        <v>852.10733075000007</v>
      </c>
      <c r="I2032" s="1">
        <f>IF(ISERROR(MATCH(Tabla_Items_Con_Existencia[[#This Row],[CODIGO]],Tabla_Items_Activos[CODIGO],0)),0,1)</f>
        <v>0</v>
      </c>
    </row>
    <row r="2033" spans="1:9">
      <c r="A2033" s="2" t="s">
        <v>6759</v>
      </c>
      <c r="B2033" s="2" t="s">
        <v>2670</v>
      </c>
      <c r="C2033" s="2" t="s">
        <v>2671</v>
      </c>
      <c r="D2033" s="2" t="s">
        <v>5209</v>
      </c>
      <c r="E2033" s="2" t="s">
        <v>5210</v>
      </c>
      <c r="F2033" s="2">
        <v>1.09949333</v>
      </c>
      <c r="G2033" s="2">
        <v>775</v>
      </c>
      <c r="H2033" s="2">
        <f>Tabla_Items_Con_Existencia[[#This Row],[COSTO]]*Tabla_Items_Con_Existencia[[#This Row],[EXISTENCIA]]</f>
        <v>852.10733075000007</v>
      </c>
      <c r="I2033" s="1">
        <f>IF(ISERROR(MATCH(Tabla_Items_Con_Existencia[[#This Row],[CODIGO]],Tabla_Items_Activos[CODIGO],0)),0,1)</f>
        <v>0</v>
      </c>
    </row>
    <row r="2034" spans="1:9">
      <c r="A2034" s="2" t="s">
        <v>6761</v>
      </c>
      <c r="B2034" s="2" t="s">
        <v>7002</v>
      </c>
      <c r="C2034" s="2" t="s">
        <v>7003</v>
      </c>
      <c r="D2034" s="2" t="s">
        <v>5209</v>
      </c>
      <c r="E2034" s="2" t="s">
        <v>5210</v>
      </c>
      <c r="F2034" s="2">
        <v>3.4922933299999999</v>
      </c>
      <c r="G2034" s="2">
        <v>70</v>
      </c>
      <c r="H2034" s="2">
        <f>Tabla_Items_Con_Existencia[[#This Row],[COSTO]]*Tabla_Items_Con_Existencia[[#This Row],[EXISTENCIA]]</f>
        <v>244.46053309999999</v>
      </c>
      <c r="I2034" s="1">
        <f>IF(ISERROR(MATCH(Tabla_Items_Con_Existencia[[#This Row],[CODIGO]],Tabla_Items_Activos[CODIGO],0)),0,1)</f>
        <v>0</v>
      </c>
    </row>
    <row r="2035" spans="1:9">
      <c r="A2035" s="2" t="s">
        <v>6759</v>
      </c>
      <c r="B2035" s="2" t="s">
        <v>7002</v>
      </c>
      <c r="C2035" s="2" t="s">
        <v>7003</v>
      </c>
      <c r="D2035" s="2" t="s">
        <v>5209</v>
      </c>
      <c r="E2035" s="2" t="s">
        <v>5210</v>
      </c>
      <c r="F2035" s="2">
        <v>3.4922933299999999</v>
      </c>
      <c r="G2035" s="2">
        <v>70</v>
      </c>
      <c r="H2035" s="2">
        <f>Tabla_Items_Con_Existencia[[#This Row],[COSTO]]*Tabla_Items_Con_Existencia[[#This Row],[EXISTENCIA]]</f>
        <v>244.46053309999999</v>
      </c>
      <c r="I2035" s="1">
        <f>IF(ISERROR(MATCH(Tabla_Items_Con_Existencia[[#This Row],[CODIGO]],Tabla_Items_Activos[CODIGO],0)),0,1)</f>
        <v>0</v>
      </c>
    </row>
    <row r="2036" spans="1:9">
      <c r="A2036" s="2" t="s">
        <v>6761</v>
      </c>
      <c r="B2036" s="2" t="s">
        <v>7004</v>
      </c>
      <c r="C2036" s="2" t="s">
        <v>7124</v>
      </c>
      <c r="D2036" s="2" t="s">
        <v>5209</v>
      </c>
      <c r="E2036" s="2" t="s">
        <v>5210</v>
      </c>
      <c r="F2036" s="2">
        <v>2.8771200000000001</v>
      </c>
      <c r="G2036" s="2">
        <v>208</v>
      </c>
      <c r="H2036" s="2">
        <f>Tabla_Items_Con_Existencia[[#This Row],[COSTO]]*Tabla_Items_Con_Existencia[[#This Row],[EXISTENCIA]]</f>
        <v>598.44096000000002</v>
      </c>
      <c r="I2036" s="1">
        <f>IF(ISERROR(MATCH(Tabla_Items_Con_Existencia[[#This Row],[CODIGO]],Tabla_Items_Activos[CODIGO],0)),0,1)</f>
        <v>0</v>
      </c>
    </row>
    <row r="2037" spans="1:9">
      <c r="A2037" s="2" t="s">
        <v>6759</v>
      </c>
      <c r="B2037" s="2" t="s">
        <v>7004</v>
      </c>
      <c r="C2037" s="2" t="s">
        <v>7124</v>
      </c>
      <c r="D2037" s="2" t="s">
        <v>5209</v>
      </c>
      <c r="E2037" s="2" t="s">
        <v>5210</v>
      </c>
      <c r="F2037" s="2">
        <v>2.8771200000000001</v>
      </c>
      <c r="G2037" s="2">
        <v>208</v>
      </c>
      <c r="H2037" s="2">
        <f>Tabla_Items_Con_Existencia[[#This Row],[COSTO]]*Tabla_Items_Con_Existencia[[#This Row],[EXISTENCIA]]</f>
        <v>598.44096000000002</v>
      </c>
      <c r="I2037" s="1">
        <f>IF(ISERROR(MATCH(Tabla_Items_Con_Existencia[[#This Row],[CODIGO]],Tabla_Items_Activos[CODIGO],0)),0,1)</f>
        <v>0</v>
      </c>
    </row>
    <row r="2038" spans="1:9">
      <c r="A2038" s="2" t="s">
        <v>6759</v>
      </c>
      <c r="B2038" s="2" t="s">
        <v>2672</v>
      </c>
      <c r="C2038" s="2" t="s">
        <v>2673</v>
      </c>
      <c r="D2038" s="2" t="s">
        <v>5211</v>
      </c>
      <c r="E2038" s="2" t="s">
        <v>5214</v>
      </c>
      <c r="F2038" s="2">
        <v>59.833100000000002</v>
      </c>
      <c r="G2038" s="2">
        <v>6</v>
      </c>
      <c r="H2038" s="2">
        <f>Tabla_Items_Con_Existencia[[#This Row],[COSTO]]*Tabla_Items_Con_Existencia[[#This Row],[EXISTENCIA]]</f>
        <v>358.99860000000001</v>
      </c>
      <c r="I2038" s="1">
        <f>IF(ISERROR(MATCH(Tabla_Items_Con_Existencia[[#This Row],[CODIGO]],Tabla_Items_Activos[CODIGO],0)),0,1)</f>
        <v>0</v>
      </c>
    </row>
    <row r="2039" spans="1:9">
      <c r="A2039" s="2" t="s">
        <v>6761</v>
      </c>
      <c r="B2039" s="2" t="s">
        <v>2674</v>
      </c>
      <c r="C2039" s="2" t="s">
        <v>2675</v>
      </c>
      <c r="D2039" s="2" t="s">
        <v>5211</v>
      </c>
      <c r="E2039" s="2" t="s">
        <v>5213</v>
      </c>
      <c r="F2039" s="2">
        <v>3.7187466699999998</v>
      </c>
      <c r="G2039" s="2">
        <v>1015</v>
      </c>
      <c r="H2039" s="2">
        <f>Tabla_Items_Con_Existencia[[#This Row],[COSTO]]*Tabla_Items_Con_Existencia[[#This Row],[EXISTENCIA]]</f>
        <v>3774.5278700499998</v>
      </c>
      <c r="I2039" s="1">
        <f>IF(ISERROR(MATCH(Tabla_Items_Con_Existencia[[#This Row],[CODIGO]],Tabla_Items_Activos[CODIGO],0)),0,1)</f>
        <v>0</v>
      </c>
    </row>
    <row r="2040" spans="1:9">
      <c r="A2040" s="2" t="s">
        <v>6759</v>
      </c>
      <c r="B2040" s="2" t="s">
        <v>2674</v>
      </c>
      <c r="C2040" s="2" t="s">
        <v>2675</v>
      </c>
      <c r="D2040" s="2" t="s">
        <v>5211</v>
      </c>
      <c r="E2040" s="2" t="s">
        <v>5213</v>
      </c>
      <c r="F2040" s="2">
        <v>3.7187466699999998</v>
      </c>
      <c r="G2040" s="2">
        <v>1015</v>
      </c>
      <c r="H2040" s="2">
        <f>Tabla_Items_Con_Existencia[[#This Row],[COSTO]]*Tabla_Items_Con_Existencia[[#This Row],[EXISTENCIA]]</f>
        <v>3774.5278700499998</v>
      </c>
      <c r="I2040" s="1">
        <f>IF(ISERROR(MATCH(Tabla_Items_Con_Existencia[[#This Row],[CODIGO]],Tabla_Items_Activos[CODIGO],0)),0,1)</f>
        <v>0</v>
      </c>
    </row>
    <row r="2041" spans="1:9">
      <c r="A2041" s="2" t="s">
        <v>6759</v>
      </c>
      <c r="B2041" s="2" t="s">
        <v>2676</v>
      </c>
      <c r="C2041" s="2" t="s">
        <v>2677</v>
      </c>
      <c r="D2041" s="2" t="s">
        <v>5209</v>
      </c>
      <c r="E2041" s="2" t="s">
        <v>5210</v>
      </c>
      <c r="F2041" s="2">
        <v>0.76670000000000005</v>
      </c>
      <c r="G2041" s="2">
        <v>1156</v>
      </c>
      <c r="H2041" s="2">
        <f>Tabla_Items_Con_Existencia[[#This Row],[COSTO]]*Tabla_Items_Con_Existencia[[#This Row],[EXISTENCIA]]</f>
        <v>886.30520000000001</v>
      </c>
      <c r="I2041" s="1">
        <f>IF(ISERROR(MATCH(Tabla_Items_Con_Existencia[[#This Row],[CODIGO]],Tabla_Items_Activos[CODIGO],0)),0,1)</f>
        <v>0</v>
      </c>
    </row>
    <row r="2042" spans="1:9">
      <c r="A2042" s="2" t="s">
        <v>6761</v>
      </c>
      <c r="B2042" s="2" t="s">
        <v>2678</v>
      </c>
      <c r="C2042" s="2" t="s">
        <v>2679</v>
      </c>
      <c r="D2042" s="2" t="s">
        <v>5209</v>
      </c>
      <c r="E2042" s="2" t="s">
        <v>5210</v>
      </c>
      <c r="F2042" s="2">
        <v>2.3353600000000001</v>
      </c>
      <c r="G2042" s="2">
        <v>313</v>
      </c>
      <c r="H2042" s="2">
        <f>Tabla_Items_Con_Existencia[[#This Row],[COSTO]]*Tabla_Items_Con_Existencia[[#This Row],[EXISTENCIA]]</f>
        <v>730.96768000000009</v>
      </c>
      <c r="I2042" s="1">
        <f>IF(ISERROR(MATCH(Tabla_Items_Con_Existencia[[#This Row],[CODIGO]],Tabla_Items_Activos[CODIGO],0)),0,1)</f>
        <v>0</v>
      </c>
    </row>
    <row r="2043" spans="1:9">
      <c r="A2043" s="2" t="s">
        <v>6759</v>
      </c>
      <c r="B2043" s="2" t="s">
        <v>2678</v>
      </c>
      <c r="C2043" s="2" t="s">
        <v>2679</v>
      </c>
      <c r="D2043" s="2" t="s">
        <v>5209</v>
      </c>
      <c r="E2043" s="2" t="s">
        <v>5210</v>
      </c>
      <c r="F2043" s="2">
        <v>2.3353600000000001</v>
      </c>
      <c r="G2043" s="2">
        <v>313</v>
      </c>
      <c r="H2043" s="2">
        <f>Tabla_Items_Con_Existencia[[#This Row],[COSTO]]*Tabla_Items_Con_Existencia[[#This Row],[EXISTENCIA]]</f>
        <v>730.96768000000009</v>
      </c>
      <c r="I2043" s="1">
        <f>IF(ISERROR(MATCH(Tabla_Items_Con_Existencia[[#This Row],[CODIGO]],Tabla_Items_Activos[CODIGO],0)),0,1)</f>
        <v>0</v>
      </c>
    </row>
    <row r="2044" spans="1:9">
      <c r="A2044" s="2" t="s">
        <v>6759</v>
      </c>
      <c r="B2044" s="2" t="s">
        <v>2680</v>
      </c>
      <c r="C2044" s="2" t="s">
        <v>2681</v>
      </c>
      <c r="D2044" s="2" t="s">
        <v>5211</v>
      </c>
      <c r="E2044" s="2" t="s">
        <v>5213</v>
      </c>
      <c r="F2044" s="2">
        <v>0.9234</v>
      </c>
      <c r="G2044" s="2">
        <v>11</v>
      </c>
      <c r="H2044" s="2">
        <f>Tabla_Items_Con_Existencia[[#This Row],[COSTO]]*Tabla_Items_Con_Existencia[[#This Row],[EXISTENCIA]]</f>
        <v>10.157399999999999</v>
      </c>
      <c r="I2044" s="1">
        <f>IF(ISERROR(MATCH(Tabla_Items_Con_Existencia[[#This Row],[CODIGO]],Tabla_Items_Activos[CODIGO],0)),0,1)</f>
        <v>0</v>
      </c>
    </row>
    <row r="2045" spans="1:9">
      <c r="A2045" s="2" t="s">
        <v>6759</v>
      </c>
      <c r="B2045" s="2" t="s">
        <v>2682</v>
      </c>
      <c r="C2045" s="2" t="s">
        <v>2683</v>
      </c>
      <c r="D2045" s="2" t="s">
        <v>5209</v>
      </c>
      <c r="E2045" s="2" t="s">
        <v>5212</v>
      </c>
      <c r="F2045" s="2">
        <v>15.127800000000001</v>
      </c>
      <c r="G2045" s="2">
        <v>13</v>
      </c>
      <c r="H2045" s="2">
        <f>Tabla_Items_Con_Existencia[[#This Row],[COSTO]]*Tabla_Items_Con_Existencia[[#This Row],[EXISTENCIA]]</f>
        <v>196.66140000000001</v>
      </c>
      <c r="I2045" s="1">
        <f>IF(ISERROR(MATCH(Tabla_Items_Con_Existencia[[#This Row],[CODIGO]],Tabla_Items_Activos[CODIGO],0)),0,1)</f>
        <v>0</v>
      </c>
    </row>
    <row r="2046" spans="1:9">
      <c r="A2046" s="2" t="s">
        <v>6759</v>
      </c>
      <c r="B2046" s="2" t="s">
        <v>2684</v>
      </c>
      <c r="C2046" s="2" t="s">
        <v>2685</v>
      </c>
      <c r="D2046" s="2" t="s">
        <v>5209</v>
      </c>
      <c r="E2046" s="2" t="s">
        <v>5212</v>
      </c>
      <c r="F2046" s="2">
        <v>0.97709999999999997</v>
      </c>
      <c r="G2046" s="2">
        <v>130</v>
      </c>
      <c r="H2046" s="2">
        <f>Tabla_Items_Con_Existencia[[#This Row],[COSTO]]*Tabla_Items_Con_Existencia[[#This Row],[EXISTENCIA]]</f>
        <v>127.023</v>
      </c>
      <c r="I2046" s="1">
        <f>IF(ISERROR(MATCH(Tabla_Items_Con_Existencia[[#This Row],[CODIGO]],Tabla_Items_Activos[CODIGO],0)),0,1)</f>
        <v>0</v>
      </c>
    </row>
    <row r="2047" spans="1:9">
      <c r="A2047" s="2" t="s">
        <v>6759</v>
      </c>
      <c r="B2047" s="2" t="s">
        <v>2686</v>
      </c>
      <c r="C2047" s="2" t="s">
        <v>2687</v>
      </c>
      <c r="D2047" s="2" t="s">
        <v>5211</v>
      </c>
      <c r="E2047" s="2" t="s">
        <v>5213</v>
      </c>
      <c r="F2047" s="2">
        <v>13.419</v>
      </c>
      <c r="G2047" s="2">
        <v>5</v>
      </c>
      <c r="H2047" s="2">
        <f>Tabla_Items_Con_Existencia[[#This Row],[COSTO]]*Tabla_Items_Con_Existencia[[#This Row],[EXISTENCIA]]</f>
        <v>67.094999999999999</v>
      </c>
      <c r="I2047" s="1">
        <f>IF(ISERROR(MATCH(Tabla_Items_Con_Existencia[[#This Row],[CODIGO]],Tabla_Items_Activos[CODIGO],0)),0,1)</f>
        <v>0</v>
      </c>
    </row>
    <row r="2048" spans="1:9">
      <c r="A2048" s="2" t="s">
        <v>6761</v>
      </c>
      <c r="B2048" s="2" t="s">
        <v>2688</v>
      </c>
      <c r="C2048" s="2" t="s">
        <v>2689</v>
      </c>
      <c r="D2048" s="2" t="s">
        <v>5209</v>
      </c>
      <c r="E2048" s="2" t="s">
        <v>5210</v>
      </c>
      <c r="F2048" s="2">
        <v>2.15581333</v>
      </c>
      <c r="G2048" s="2">
        <v>632</v>
      </c>
      <c r="H2048" s="2">
        <f>Tabla_Items_Con_Existencia[[#This Row],[COSTO]]*Tabla_Items_Con_Existencia[[#This Row],[EXISTENCIA]]</f>
        <v>1362.4740245600001</v>
      </c>
      <c r="I2048" s="1">
        <f>IF(ISERROR(MATCH(Tabla_Items_Con_Existencia[[#This Row],[CODIGO]],Tabla_Items_Activos[CODIGO],0)),0,1)</f>
        <v>0</v>
      </c>
    </row>
    <row r="2049" spans="1:9">
      <c r="A2049" s="2" t="s">
        <v>6759</v>
      </c>
      <c r="B2049" s="2" t="s">
        <v>2688</v>
      </c>
      <c r="C2049" s="2" t="s">
        <v>2689</v>
      </c>
      <c r="D2049" s="2" t="s">
        <v>5209</v>
      </c>
      <c r="E2049" s="2" t="s">
        <v>5210</v>
      </c>
      <c r="F2049" s="2">
        <v>2.15581333</v>
      </c>
      <c r="G2049" s="2">
        <v>632</v>
      </c>
      <c r="H2049" s="2">
        <f>Tabla_Items_Con_Existencia[[#This Row],[COSTO]]*Tabla_Items_Con_Existencia[[#This Row],[EXISTENCIA]]</f>
        <v>1362.4740245600001</v>
      </c>
      <c r="I2049" s="1">
        <f>IF(ISERROR(MATCH(Tabla_Items_Con_Existencia[[#This Row],[CODIGO]],Tabla_Items_Activos[CODIGO],0)),0,1)</f>
        <v>0</v>
      </c>
    </row>
    <row r="2050" spans="1:9">
      <c r="A2050" s="2" t="s">
        <v>6761</v>
      </c>
      <c r="B2050" s="2" t="s">
        <v>2690</v>
      </c>
      <c r="C2050" s="2" t="s">
        <v>2691</v>
      </c>
      <c r="D2050" s="2" t="s">
        <v>5209</v>
      </c>
      <c r="E2050" s="2" t="s">
        <v>5210</v>
      </c>
      <c r="F2050" s="2">
        <v>3.9604266699999999</v>
      </c>
      <c r="G2050" s="2">
        <v>563</v>
      </c>
      <c r="H2050" s="2">
        <f>Tabla_Items_Con_Existencia[[#This Row],[COSTO]]*Tabla_Items_Con_Existencia[[#This Row],[EXISTENCIA]]</f>
        <v>2229.7202152099999</v>
      </c>
      <c r="I2050" s="1">
        <f>IF(ISERROR(MATCH(Tabla_Items_Con_Existencia[[#This Row],[CODIGO]],Tabla_Items_Activos[CODIGO],0)),0,1)</f>
        <v>0</v>
      </c>
    </row>
    <row r="2051" spans="1:9">
      <c r="A2051" s="2" t="s">
        <v>6759</v>
      </c>
      <c r="B2051" s="2" t="s">
        <v>2690</v>
      </c>
      <c r="C2051" s="2" t="s">
        <v>2691</v>
      </c>
      <c r="D2051" s="2" t="s">
        <v>5209</v>
      </c>
      <c r="E2051" s="2" t="s">
        <v>5210</v>
      </c>
      <c r="F2051" s="2">
        <v>3.9604266699999999</v>
      </c>
      <c r="G2051" s="2">
        <v>563</v>
      </c>
      <c r="H2051" s="2">
        <f>Tabla_Items_Con_Existencia[[#This Row],[COSTO]]*Tabla_Items_Con_Existencia[[#This Row],[EXISTENCIA]]</f>
        <v>2229.7202152099999</v>
      </c>
      <c r="I2051" s="1">
        <f>IF(ISERROR(MATCH(Tabla_Items_Con_Existencia[[#This Row],[CODIGO]],Tabla_Items_Activos[CODIGO],0)),0,1)</f>
        <v>0</v>
      </c>
    </row>
    <row r="2052" spans="1:9">
      <c r="A2052" s="2" t="s">
        <v>6759</v>
      </c>
      <c r="B2052" s="2" t="s">
        <v>2692</v>
      </c>
      <c r="C2052" s="2" t="s">
        <v>2693</v>
      </c>
      <c r="D2052" s="2" t="s">
        <v>5209</v>
      </c>
      <c r="E2052" s="2" t="s">
        <v>5210</v>
      </c>
      <c r="F2052" s="2">
        <v>12.454000000000001</v>
      </c>
      <c r="G2052" s="2">
        <v>20.002300000000002</v>
      </c>
      <c r="H2052" s="2">
        <f>Tabla_Items_Con_Existencia[[#This Row],[COSTO]]*Tabla_Items_Con_Existencia[[#This Row],[EXISTENCIA]]</f>
        <v>249.10864420000004</v>
      </c>
      <c r="I2052" s="1">
        <f>IF(ISERROR(MATCH(Tabla_Items_Con_Existencia[[#This Row],[CODIGO]],Tabla_Items_Activos[CODIGO],0)),0,1)</f>
        <v>0</v>
      </c>
    </row>
    <row r="2053" spans="1:9">
      <c r="A2053" s="2" t="s">
        <v>6759</v>
      </c>
      <c r="B2053" s="2" t="s">
        <v>2694</v>
      </c>
      <c r="C2053" s="2" t="s">
        <v>2695</v>
      </c>
      <c r="D2053" s="2" t="s">
        <v>5209</v>
      </c>
      <c r="E2053" s="2" t="s">
        <v>5212</v>
      </c>
      <c r="F2053" s="2">
        <v>2.4020999999999999</v>
      </c>
      <c r="G2053" s="2">
        <v>577</v>
      </c>
      <c r="H2053" s="2">
        <f>Tabla_Items_Con_Existencia[[#This Row],[COSTO]]*Tabla_Items_Con_Existencia[[#This Row],[EXISTENCIA]]</f>
        <v>1386.0117</v>
      </c>
      <c r="I2053" s="1">
        <f>IF(ISERROR(MATCH(Tabla_Items_Con_Existencia[[#This Row],[CODIGO]],Tabla_Items_Activos[CODIGO],0)),0,1)</f>
        <v>0</v>
      </c>
    </row>
    <row r="2054" spans="1:9">
      <c r="A2054" s="2" t="s">
        <v>6759</v>
      </c>
      <c r="B2054" s="2" t="s">
        <v>2696</v>
      </c>
      <c r="C2054" s="2" t="s">
        <v>2697</v>
      </c>
      <c r="D2054" s="2" t="s">
        <v>5209</v>
      </c>
      <c r="E2054" s="2" t="s">
        <v>5212</v>
      </c>
      <c r="F2054" s="2">
        <v>2.5693999999999999</v>
      </c>
      <c r="G2054" s="2">
        <v>23</v>
      </c>
      <c r="H2054" s="2">
        <f>Tabla_Items_Con_Existencia[[#This Row],[COSTO]]*Tabla_Items_Con_Existencia[[#This Row],[EXISTENCIA]]</f>
        <v>59.096199999999996</v>
      </c>
      <c r="I2054" s="1">
        <f>IF(ISERROR(MATCH(Tabla_Items_Con_Existencia[[#This Row],[CODIGO]],Tabla_Items_Activos[CODIGO],0)),0,1)</f>
        <v>0</v>
      </c>
    </row>
    <row r="2055" spans="1:9">
      <c r="A2055" s="2" t="s">
        <v>6761</v>
      </c>
      <c r="B2055" s="2" t="s">
        <v>7005</v>
      </c>
      <c r="C2055" s="2" t="s">
        <v>7006</v>
      </c>
      <c r="D2055" s="2" t="s">
        <v>5209</v>
      </c>
      <c r="E2055" s="2" t="s">
        <v>5210</v>
      </c>
      <c r="F2055" s="2">
        <v>1.01349333</v>
      </c>
      <c r="G2055" s="2">
        <v>347</v>
      </c>
      <c r="H2055" s="2">
        <f>Tabla_Items_Con_Existencia[[#This Row],[COSTO]]*Tabla_Items_Con_Existencia[[#This Row],[EXISTENCIA]]</f>
        <v>351.68218551000001</v>
      </c>
      <c r="I2055" s="1">
        <f>IF(ISERROR(MATCH(Tabla_Items_Con_Existencia[[#This Row],[CODIGO]],Tabla_Items_Activos[CODIGO],0)),0,1)</f>
        <v>0</v>
      </c>
    </row>
    <row r="2056" spans="1:9">
      <c r="A2056" s="2" t="s">
        <v>6759</v>
      </c>
      <c r="B2056" s="2" t="s">
        <v>7005</v>
      </c>
      <c r="C2056" s="2" t="s">
        <v>7006</v>
      </c>
      <c r="D2056" s="2" t="s">
        <v>5209</v>
      </c>
      <c r="E2056" s="2" t="s">
        <v>5210</v>
      </c>
      <c r="F2056" s="2">
        <v>1.01349333</v>
      </c>
      <c r="G2056" s="2">
        <v>347</v>
      </c>
      <c r="H2056" s="2">
        <f>Tabla_Items_Con_Existencia[[#This Row],[COSTO]]*Tabla_Items_Con_Existencia[[#This Row],[EXISTENCIA]]</f>
        <v>351.68218551000001</v>
      </c>
      <c r="I2056" s="1">
        <f>IF(ISERROR(MATCH(Tabla_Items_Con_Existencia[[#This Row],[CODIGO]],Tabla_Items_Activos[CODIGO],0)),0,1)</f>
        <v>0</v>
      </c>
    </row>
    <row r="2057" spans="1:9">
      <c r="A2057" s="2" t="s">
        <v>6759</v>
      </c>
      <c r="B2057" s="2" t="s">
        <v>2698</v>
      </c>
      <c r="C2057" s="2" t="s">
        <v>2699</v>
      </c>
      <c r="D2057" s="2" t="s">
        <v>5211</v>
      </c>
      <c r="E2057" s="2" t="s">
        <v>5213</v>
      </c>
      <c r="F2057" s="2">
        <v>1.2682</v>
      </c>
      <c r="G2057" s="2">
        <v>200</v>
      </c>
      <c r="H2057" s="2">
        <f>Tabla_Items_Con_Existencia[[#This Row],[COSTO]]*Tabla_Items_Con_Existencia[[#This Row],[EXISTENCIA]]</f>
        <v>253.64</v>
      </c>
      <c r="I2057" s="1">
        <f>IF(ISERROR(MATCH(Tabla_Items_Con_Existencia[[#This Row],[CODIGO]],Tabla_Items_Activos[CODIGO],0)),0,1)</f>
        <v>0</v>
      </c>
    </row>
    <row r="2058" spans="1:9">
      <c r="A2058" s="2" t="s">
        <v>6759</v>
      </c>
      <c r="B2058" s="2" t="s">
        <v>2700</v>
      </c>
      <c r="C2058" s="2" t="s">
        <v>2701</v>
      </c>
      <c r="D2058" s="2" t="s">
        <v>5209</v>
      </c>
      <c r="E2058" s="2" t="s">
        <v>5210</v>
      </c>
      <c r="F2058" s="2">
        <v>6.4301000000000004</v>
      </c>
      <c r="G2058" s="2">
        <v>300</v>
      </c>
      <c r="H2058" s="2">
        <f>Tabla_Items_Con_Existencia[[#This Row],[COSTO]]*Tabla_Items_Con_Existencia[[#This Row],[EXISTENCIA]]</f>
        <v>1929.0300000000002</v>
      </c>
      <c r="I2058" s="1">
        <f>IF(ISERROR(MATCH(Tabla_Items_Con_Existencia[[#This Row],[CODIGO]],Tabla_Items_Activos[CODIGO],0)),0,1)</f>
        <v>0</v>
      </c>
    </row>
    <row r="2059" spans="1:9">
      <c r="A2059" s="2" t="s">
        <v>6759</v>
      </c>
      <c r="B2059" s="2" t="s">
        <v>2702</v>
      </c>
      <c r="C2059" s="2" t="s">
        <v>2703</v>
      </c>
      <c r="D2059" s="2" t="s">
        <v>5209</v>
      </c>
      <c r="E2059" s="2" t="s">
        <v>5210</v>
      </c>
      <c r="F2059" s="2">
        <v>2.03066667</v>
      </c>
      <c r="G2059" s="2">
        <v>243</v>
      </c>
      <c r="H2059" s="2">
        <f>Tabla_Items_Con_Existencia[[#This Row],[COSTO]]*Tabla_Items_Con_Existencia[[#This Row],[EXISTENCIA]]</f>
        <v>493.45200081000002</v>
      </c>
      <c r="I2059" s="1">
        <f>IF(ISERROR(MATCH(Tabla_Items_Con_Existencia[[#This Row],[CODIGO]],Tabla_Items_Activos[CODIGO],0)),0,1)</f>
        <v>0</v>
      </c>
    </row>
    <row r="2060" spans="1:9">
      <c r="A2060" s="2" t="s">
        <v>6761</v>
      </c>
      <c r="B2060" s="2" t="s">
        <v>2702</v>
      </c>
      <c r="C2060" s="2" t="s">
        <v>2703</v>
      </c>
      <c r="D2060" s="2" t="s">
        <v>5209</v>
      </c>
      <c r="E2060" s="2" t="s">
        <v>5210</v>
      </c>
      <c r="F2060" s="2">
        <v>2.03066667</v>
      </c>
      <c r="G2060" s="2">
        <v>243</v>
      </c>
      <c r="H2060" s="2">
        <f>Tabla_Items_Con_Existencia[[#This Row],[COSTO]]*Tabla_Items_Con_Existencia[[#This Row],[EXISTENCIA]]</f>
        <v>493.45200081000002</v>
      </c>
      <c r="I2060" s="1">
        <f>IF(ISERROR(MATCH(Tabla_Items_Con_Existencia[[#This Row],[CODIGO]],Tabla_Items_Activos[CODIGO],0)),0,1)</f>
        <v>0</v>
      </c>
    </row>
    <row r="2061" spans="1:9">
      <c r="A2061" s="2" t="s">
        <v>6761</v>
      </c>
      <c r="B2061" s="2" t="s">
        <v>2704</v>
      </c>
      <c r="C2061" s="2" t="s">
        <v>2705</v>
      </c>
      <c r="D2061" s="2" t="s">
        <v>5209</v>
      </c>
      <c r="E2061" s="2" t="s">
        <v>5210</v>
      </c>
      <c r="F2061" s="2">
        <v>1.81976</v>
      </c>
      <c r="G2061" s="2">
        <v>632</v>
      </c>
      <c r="H2061" s="2">
        <f>Tabla_Items_Con_Existencia[[#This Row],[COSTO]]*Tabla_Items_Con_Existencia[[#This Row],[EXISTENCIA]]</f>
        <v>1150.0883200000001</v>
      </c>
      <c r="I2061" s="1">
        <f>IF(ISERROR(MATCH(Tabla_Items_Con_Existencia[[#This Row],[CODIGO]],Tabla_Items_Activos[CODIGO],0)),0,1)</f>
        <v>0</v>
      </c>
    </row>
    <row r="2062" spans="1:9">
      <c r="A2062" s="2" t="s">
        <v>6759</v>
      </c>
      <c r="B2062" s="2" t="s">
        <v>2704</v>
      </c>
      <c r="C2062" s="2" t="s">
        <v>2705</v>
      </c>
      <c r="D2062" s="2" t="s">
        <v>5209</v>
      </c>
      <c r="E2062" s="2" t="s">
        <v>5210</v>
      </c>
      <c r="F2062" s="2">
        <v>1.81976</v>
      </c>
      <c r="G2062" s="2">
        <v>632</v>
      </c>
      <c r="H2062" s="2">
        <f>Tabla_Items_Con_Existencia[[#This Row],[COSTO]]*Tabla_Items_Con_Existencia[[#This Row],[EXISTENCIA]]</f>
        <v>1150.0883200000001</v>
      </c>
      <c r="I2062" s="1">
        <f>IF(ISERROR(MATCH(Tabla_Items_Con_Existencia[[#This Row],[CODIGO]],Tabla_Items_Activos[CODIGO],0)),0,1)</f>
        <v>0</v>
      </c>
    </row>
    <row r="2063" spans="1:9">
      <c r="A2063" s="2" t="s">
        <v>6761</v>
      </c>
      <c r="B2063" s="2" t="s">
        <v>2706</v>
      </c>
      <c r="C2063" s="2" t="s">
        <v>2707</v>
      </c>
      <c r="D2063" s="2" t="s">
        <v>5209</v>
      </c>
      <c r="E2063" s="2" t="s">
        <v>5210</v>
      </c>
      <c r="F2063" s="2">
        <v>1.79661333</v>
      </c>
      <c r="G2063" s="2">
        <v>265</v>
      </c>
      <c r="H2063" s="2">
        <f>Tabla_Items_Con_Existencia[[#This Row],[COSTO]]*Tabla_Items_Con_Existencia[[#This Row],[EXISTENCIA]]</f>
        <v>476.10253245000001</v>
      </c>
      <c r="I2063" s="1">
        <f>IF(ISERROR(MATCH(Tabla_Items_Con_Existencia[[#This Row],[CODIGO]],Tabla_Items_Activos[CODIGO],0)),0,1)</f>
        <v>0</v>
      </c>
    </row>
    <row r="2064" spans="1:9">
      <c r="A2064" s="2" t="s">
        <v>6759</v>
      </c>
      <c r="B2064" s="2" t="s">
        <v>2706</v>
      </c>
      <c r="C2064" s="2" t="s">
        <v>2707</v>
      </c>
      <c r="D2064" s="2" t="s">
        <v>5209</v>
      </c>
      <c r="E2064" s="2" t="s">
        <v>5210</v>
      </c>
      <c r="F2064" s="2">
        <v>1.79661333</v>
      </c>
      <c r="G2064" s="2">
        <v>265</v>
      </c>
      <c r="H2064" s="2">
        <f>Tabla_Items_Con_Existencia[[#This Row],[COSTO]]*Tabla_Items_Con_Existencia[[#This Row],[EXISTENCIA]]</f>
        <v>476.10253245000001</v>
      </c>
      <c r="I2064" s="1">
        <f>IF(ISERROR(MATCH(Tabla_Items_Con_Existencia[[#This Row],[CODIGO]],Tabla_Items_Activos[CODIGO],0)),0,1)</f>
        <v>0</v>
      </c>
    </row>
    <row r="2065" spans="1:9">
      <c r="A2065" s="2" t="s">
        <v>6759</v>
      </c>
      <c r="B2065" s="2" t="s">
        <v>2708</v>
      </c>
      <c r="C2065" s="2" t="s">
        <v>2709</v>
      </c>
      <c r="D2065" s="2" t="s">
        <v>5209</v>
      </c>
      <c r="E2065" s="2" t="s">
        <v>5210</v>
      </c>
      <c r="F2065" s="2">
        <v>2.0012599999999998</v>
      </c>
      <c r="G2065" s="2">
        <v>206</v>
      </c>
      <c r="H2065" s="2">
        <f>Tabla_Items_Con_Existencia[[#This Row],[COSTO]]*Tabla_Items_Con_Existencia[[#This Row],[EXISTENCIA]]</f>
        <v>412.25955999999996</v>
      </c>
      <c r="I2065" s="1">
        <f>IF(ISERROR(MATCH(Tabla_Items_Con_Existencia[[#This Row],[CODIGO]],Tabla_Items_Activos[CODIGO],0)),0,1)</f>
        <v>0</v>
      </c>
    </row>
    <row r="2066" spans="1:9">
      <c r="A2066" s="2" t="s">
        <v>6761</v>
      </c>
      <c r="B2066" s="2" t="s">
        <v>2708</v>
      </c>
      <c r="C2066" s="2" t="s">
        <v>2709</v>
      </c>
      <c r="D2066" s="2" t="s">
        <v>5209</v>
      </c>
      <c r="E2066" s="2" t="s">
        <v>5210</v>
      </c>
      <c r="F2066" s="2">
        <v>2.0012599999999998</v>
      </c>
      <c r="G2066" s="2">
        <v>206</v>
      </c>
      <c r="H2066" s="2">
        <f>Tabla_Items_Con_Existencia[[#This Row],[COSTO]]*Tabla_Items_Con_Existencia[[#This Row],[EXISTENCIA]]</f>
        <v>412.25955999999996</v>
      </c>
      <c r="I2066" s="1">
        <f>IF(ISERROR(MATCH(Tabla_Items_Con_Existencia[[#This Row],[CODIGO]],Tabla_Items_Activos[CODIGO],0)),0,1)</f>
        <v>0</v>
      </c>
    </row>
    <row r="2067" spans="1:9">
      <c r="A2067" s="2" t="s">
        <v>6759</v>
      </c>
      <c r="B2067" s="2" t="s">
        <v>2710</v>
      </c>
      <c r="C2067" s="2" t="s">
        <v>2711</v>
      </c>
      <c r="D2067" s="2" t="s">
        <v>5211</v>
      </c>
      <c r="E2067" s="2" t="s">
        <v>5213</v>
      </c>
      <c r="F2067" s="2">
        <v>1.4828266699999999</v>
      </c>
      <c r="G2067" s="2">
        <v>550</v>
      </c>
      <c r="H2067" s="2">
        <f>Tabla_Items_Con_Existencia[[#This Row],[COSTO]]*Tabla_Items_Con_Existencia[[#This Row],[EXISTENCIA]]</f>
        <v>815.55466849999993</v>
      </c>
      <c r="I2067" s="1">
        <f>IF(ISERROR(MATCH(Tabla_Items_Con_Existencia[[#This Row],[CODIGO]],Tabla_Items_Activos[CODIGO],0)),0,1)</f>
        <v>0</v>
      </c>
    </row>
    <row r="2068" spans="1:9">
      <c r="A2068" s="2" t="s">
        <v>6761</v>
      </c>
      <c r="B2068" s="2" t="s">
        <v>2710</v>
      </c>
      <c r="C2068" s="2" t="s">
        <v>2711</v>
      </c>
      <c r="D2068" s="2" t="s">
        <v>5211</v>
      </c>
      <c r="E2068" s="2" t="s">
        <v>5213</v>
      </c>
      <c r="F2068" s="2">
        <v>1.4828266699999999</v>
      </c>
      <c r="G2068" s="2">
        <v>550</v>
      </c>
      <c r="H2068" s="2">
        <f>Tabla_Items_Con_Existencia[[#This Row],[COSTO]]*Tabla_Items_Con_Existencia[[#This Row],[EXISTENCIA]]</f>
        <v>815.55466849999993</v>
      </c>
      <c r="I2068" s="1">
        <f>IF(ISERROR(MATCH(Tabla_Items_Con_Existencia[[#This Row],[CODIGO]],Tabla_Items_Activos[CODIGO],0)),0,1)</f>
        <v>0</v>
      </c>
    </row>
    <row r="2069" spans="1:9">
      <c r="A2069" s="2" t="s">
        <v>6761</v>
      </c>
      <c r="B2069" s="2" t="s">
        <v>2712</v>
      </c>
      <c r="C2069" s="2" t="s">
        <v>7115</v>
      </c>
      <c r="D2069" s="2" t="s">
        <v>5209</v>
      </c>
      <c r="E2069" s="2" t="s">
        <v>5210</v>
      </c>
      <c r="F2069" s="2">
        <v>2.5669866699999999</v>
      </c>
      <c r="G2069" s="2">
        <v>1604</v>
      </c>
      <c r="H2069" s="2">
        <f>Tabla_Items_Con_Existencia[[#This Row],[COSTO]]*Tabla_Items_Con_Existencia[[#This Row],[EXISTENCIA]]</f>
        <v>4117.44661868</v>
      </c>
      <c r="I2069" s="1">
        <f>IF(ISERROR(MATCH(Tabla_Items_Con_Existencia[[#This Row],[CODIGO]],Tabla_Items_Activos[CODIGO],0)),0,1)</f>
        <v>0</v>
      </c>
    </row>
    <row r="2070" spans="1:9">
      <c r="A2070" s="2" t="s">
        <v>6759</v>
      </c>
      <c r="B2070" s="2" t="s">
        <v>2712</v>
      </c>
      <c r="C2070" s="2" t="s">
        <v>7115</v>
      </c>
      <c r="D2070" s="2" t="s">
        <v>5209</v>
      </c>
      <c r="E2070" s="2" t="s">
        <v>5210</v>
      </c>
      <c r="F2070" s="2">
        <v>2.5669866699999999</v>
      </c>
      <c r="G2070" s="2">
        <v>1604</v>
      </c>
      <c r="H2070" s="2">
        <f>Tabla_Items_Con_Existencia[[#This Row],[COSTO]]*Tabla_Items_Con_Existencia[[#This Row],[EXISTENCIA]]</f>
        <v>4117.44661868</v>
      </c>
      <c r="I2070" s="1">
        <f>IF(ISERROR(MATCH(Tabla_Items_Con_Existencia[[#This Row],[CODIGO]],Tabla_Items_Activos[CODIGO],0)),0,1)</f>
        <v>0</v>
      </c>
    </row>
    <row r="2071" spans="1:9">
      <c r="A2071" s="2" t="s">
        <v>6761</v>
      </c>
      <c r="B2071" s="2" t="s">
        <v>2714</v>
      </c>
      <c r="C2071" s="2" t="s">
        <v>2715</v>
      </c>
      <c r="D2071" s="2" t="s">
        <v>5209</v>
      </c>
      <c r="E2071" s="2" t="s">
        <v>5210</v>
      </c>
      <c r="F2071" s="2">
        <v>1.33930667</v>
      </c>
      <c r="G2071" s="2">
        <v>140</v>
      </c>
      <c r="H2071" s="2">
        <f>Tabla_Items_Con_Existencia[[#This Row],[COSTO]]*Tabla_Items_Con_Existencia[[#This Row],[EXISTENCIA]]</f>
        <v>187.50293379999999</v>
      </c>
      <c r="I2071" s="1">
        <f>IF(ISERROR(MATCH(Tabla_Items_Con_Existencia[[#This Row],[CODIGO]],Tabla_Items_Activos[CODIGO],0)),0,1)</f>
        <v>0</v>
      </c>
    </row>
    <row r="2072" spans="1:9">
      <c r="A2072" s="2" t="s">
        <v>6759</v>
      </c>
      <c r="B2072" s="2" t="s">
        <v>2714</v>
      </c>
      <c r="C2072" s="2" t="s">
        <v>2715</v>
      </c>
      <c r="D2072" s="2" t="s">
        <v>5209</v>
      </c>
      <c r="E2072" s="2" t="s">
        <v>5210</v>
      </c>
      <c r="F2072" s="2">
        <v>1.33930667</v>
      </c>
      <c r="G2072" s="2">
        <v>140</v>
      </c>
      <c r="H2072" s="2">
        <f>Tabla_Items_Con_Existencia[[#This Row],[COSTO]]*Tabla_Items_Con_Existencia[[#This Row],[EXISTENCIA]]</f>
        <v>187.50293379999999</v>
      </c>
      <c r="I2072" s="1">
        <f>IF(ISERROR(MATCH(Tabla_Items_Con_Existencia[[#This Row],[CODIGO]],Tabla_Items_Activos[CODIGO],0)),0,1)</f>
        <v>0</v>
      </c>
    </row>
    <row r="2073" spans="1:9">
      <c r="A2073" s="2" t="s">
        <v>6761</v>
      </c>
      <c r="B2073" s="2" t="s">
        <v>2716</v>
      </c>
      <c r="C2073" s="2" t="s">
        <v>2717</v>
      </c>
      <c r="D2073" s="2" t="s">
        <v>5211</v>
      </c>
      <c r="E2073" s="2" t="s">
        <v>5213</v>
      </c>
      <c r="F2073" s="2">
        <v>2.82765333</v>
      </c>
      <c r="G2073" s="2">
        <v>564</v>
      </c>
      <c r="H2073" s="2">
        <f>Tabla_Items_Con_Existencia[[#This Row],[COSTO]]*Tabla_Items_Con_Existencia[[#This Row],[EXISTENCIA]]</f>
        <v>1594.7964781200001</v>
      </c>
      <c r="I2073" s="1">
        <f>IF(ISERROR(MATCH(Tabla_Items_Con_Existencia[[#This Row],[CODIGO]],Tabla_Items_Activos[CODIGO],0)),0,1)</f>
        <v>0</v>
      </c>
    </row>
    <row r="2074" spans="1:9">
      <c r="A2074" s="2" t="s">
        <v>6759</v>
      </c>
      <c r="B2074" s="2" t="s">
        <v>2716</v>
      </c>
      <c r="C2074" s="2" t="s">
        <v>2717</v>
      </c>
      <c r="D2074" s="2" t="s">
        <v>5211</v>
      </c>
      <c r="E2074" s="2" t="s">
        <v>5213</v>
      </c>
      <c r="F2074" s="2">
        <v>2.82765333</v>
      </c>
      <c r="G2074" s="2">
        <v>564</v>
      </c>
      <c r="H2074" s="2">
        <f>Tabla_Items_Con_Existencia[[#This Row],[COSTO]]*Tabla_Items_Con_Existencia[[#This Row],[EXISTENCIA]]</f>
        <v>1594.7964781200001</v>
      </c>
      <c r="I2074" s="1">
        <f>IF(ISERROR(MATCH(Tabla_Items_Con_Existencia[[#This Row],[CODIGO]],Tabla_Items_Activos[CODIGO],0)),0,1)</f>
        <v>0</v>
      </c>
    </row>
    <row r="2075" spans="1:9">
      <c r="A2075" s="2" t="s">
        <v>6761</v>
      </c>
      <c r="B2075" s="2" t="s">
        <v>2718</v>
      </c>
      <c r="C2075" s="2" t="s">
        <v>2719</v>
      </c>
      <c r="D2075" s="2" t="s">
        <v>5211</v>
      </c>
      <c r="E2075" s="2" t="s">
        <v>5213</v>
      </c>
      <c r="F2075" s="2">
        <v>5.39610667</v>
      </c>
      <c r="G2075" s="2">
        <v>557</v>
      </c>
      <c r="H2075" s="2">
        <f>Tabla_Items_Con_Existencia[[#This Row],[COSTO]]*Tabla_Items_Con_Existencia[[#This Row],[EXISTENCIA]]</f>
        <v>3005.6314151900001</v>
      </c>
      <c r="I2075" s="1">
        <f>IF(ISERROR(MATCH(Tabla_Items_Con_Existencia[[#This Row],[CODIGO]],Tabla_Items_Activos[CODIGO],0)),0,1)</f>
        <v>0</v>
      </c>
    </row>
    <row r="2076" spans="1:9">
      <c r="A2076" s="2" t="s">
        <v>6759</v>
      </c>
      <c r="B2076" s="2" t="s">
        <v>2718</v>
      </c>
      <c r="C2076" s="2" t="s">
        <v>2719</v>
      </c>
      <c r="D2076" s="2" t="s">
        <v>5211</v>
      </c>
      <c r="E2076" s="2" t="s">
        <v>5213</v>
      </c>
      <c r="F2076" s="2">
        <v>5.39610667</v>
      </c>
      <c r="G2076" s="2">
        <v>557</v>
      </c>
      <c r="H2076" s="2">
        <f>Tabla_Items_Con_Existencia[[#This Row],[COSTO]]*Tabla_Items_Con_Existencia[[#This Row],[EXISTENCIA]]</f>
        <v>3005.6314151900001</v>
      </c>
      <c r="I2076" s="1">
        <f>IF(ISERROR(MATCH(Tabla_Items_Con_Existencia[[#This Row],[CODIGO]],Tabla_Items_Activos[CODIGO],0)),0,1)</f>
        <v>0</v>
      </c>
    </row>
    <row r="2077" spans="1:9">
      <c r="A2077" s="2" t="s">
        <v>6759</v>
      </c>
      <c r="B2077" s="2" t="s">
        <v>2722</v>
      </c>
      <c r="C2077" s="2" t="s">
        <v>2723</v>
      </c>
      <c r="D2077" s="2" t="s">
        <v>5211</v>
      </c>
      <c r="E2077" s="2" t="s">
        <v>5213</v>
      </c>
      <c r="F2077" s="2">
        <v>20.721</v>
      </c>
      <c r="G2077" s="2">
        <v>5</v>
      </c>
      <c r="H2077" s="2">
        <f>Tabla_Items_Con_Existencia[[#This Row],[COSTO]]*Tabla_Items_Con_Existencia[[#This Row],[EXISTENCIA]]</f>
        <v>103.605</v>
      </c>
      <c r="I2077" s="1">
        <f>IF(ISERROR(MATCH(Tabla_Items_Con_Existencia[[#This Row],[CODIGO]],Tabla_Items_Activos[CODIGO],0)),0,1)</f>
        <v>0</v>
      </c>
    </row>
    <row r="2078" spans="1:9">
      <c r="A2078" s="2" t="s">
        <v>6761</v>
      </c>
      <c r="B2078" s="2" t="s">
        <v>2724</v>
      </c>
      <c r="C2078" s="2" t="s">
        <v>2725</v>
      </c>
      <c r="D2078" s="2" t="s">
        <v>5211</v>
      </c>
      <c r="E2078" s="2" t="s">
        <v>5213</v>
      </c>
      <c r="F2078" s="2">
        <v>0.98528000000000004</v>
      </c>
      <c r="G2078" s="2">
        <v>136</v>
      </c>
      <c r="H2078" s="2">
        <f>Tabla_Items_Con_Existencia[[#This Row],[COSTO]]*Tabla_Items_Con_Existencia[[#This Row],[EXISTENCIA]]</f>
        <v>133.99808000000002</v>
      </c>
      <c r="I2078" s="1">
        <f>IF(ISERROR(MATCH(Tabla_Items_Con_Existencia[[#This Row],[CODIGO]],Tabla_Items_Activos[CODIGO],0)),0,1)</f>
        <v>0</v>
      </c>
    </row>
    <row r="2079" spans="1:9">
      <c r="A2079" s="2" t="s">
        <v>6759</v>
      </c>
      <c r="B2079" s="2" t="s">
        <v>2724</v>
      </c>
      <c r="C2079" s="2" t="s">
        <v>2725</v>
      </c>
      <c r="D2079" s="2" t="s">
        <v>5211</v>
      </c>
      <c r="E2079" s="2" t="s">
        <v>5213</v>
      </c>
      <c r="F2079" s="2">
        <v>0.98528000000000004</v>
      </c>
      <c r="G2079" s="2">
        <v>136</v>
      </c>
      <c r="H2079" s="2">
        <f>Tabla_Items_Con_Existencia[[#This Row],[COSTO]]*Tabla_Items_Con_Existencia[[#This Row],[EXISTENCIA]]</f>
        <v>133.99808000000002</v>
      </c>
      <c r="I2079" s="1">
        <f>IF(ISERROR(MATCH(Tabla_Items_Con_Existencia[[#This Row],[CODIGO]],Tabla_Items_Activos[CODIGO],0)),0,1)</f>
        <v>0</v>
      </c>
    </row>
    <row r="2080" spans="1:9">
      <c r="A2080" s="2" t="s">
        <v>6761</v>
      </c>
      <c r="B2080" s="2" t="s">
        <v>2726</v>
      </c>
      <c r="C2080" s="2" t="s">
        <v>2727</v>
      </c>
      <c r="D2080" s="2" t="s">
        <v>5211</v>
      </c>
      <c r="E2080" s="2" t="s">
        <v>5213</v>
      </c>
      <c r="F2080" s="2">
        <v>0.90912000000000004</v>
      </c>
      <c r="G2080" s="2">
        <v>152</v>
      </c>
      <c r="H2080" s="2">
        <f>Tabla_Items_Con_Existencia[[#This Row],[COSTO]]*Tabla_Items_Con_Existencia[[#This Row],[EXISTENCIA]]</f>
        <v>138.18624</v>
      </c>
      <c r="I2080" s="1">
        <f>IF(ISERROR(MATCH(Tabla_Items_Con_Existencia[[#This Row],[CODIGO]],Tabla_Items_Activos[CODIGO],0)),0,1)</f>
        <v>0</v>
      </c>
    </row>
    <row r="2081" spans="1:9">
      <c r="A2081" s="2" t="s">
        <v>6759</v>
      </c>
      <c r="B2081" s="2" t="s">
        <v>2726</v>
      </c>
      <c r="C2081" s="2" t="s">
        <v>2727</v>
      </c>
      <c r="D2081" s="2" t="s">
        <v>5211</v>
      </c>
      <c r="E2081" s="2" t="s">
        <v>5213</v>
      </c>
      <c r="F2081" s="2">
        <v>0.90912000000000004</v>
      </c>
      <c r="G2081" s="2">
        <v>152</v>
      </c>
      <c r="H2081" s="2">
        <f>Tabla_Items_Con_Existencia[[#This Row],[COSTO]]*Tabla_Items_Con_Existencia[[#This Row],[EXISTENCIA]]</f>
        <v>138.18624</v>
      </c>
      <c r="I2081" s="1">
        <f>IF(ISERROR(MATCH(Tabla_Items_Con_Existencia[[#This Row],[CODIGO]],Tabla_Items_Activos[CODIGO],0)),0,1)</f>
        <v>0</v>
      </c>
    </row>
    <row r="2082" spans="1:9">
      <c r="A2082" s="2" t="s">
        <v>6759</v>
      </c>
      <c r="B2082" s="2" t="s">
        <v>7361</v>
      </c>
      <c r="C2082" s="2" t="s">
        <v>7362</v>
      </c>
      <c r="D2082" s="2" t="s">
        <v>5209</v>
      </c>
      <c r="E2082" s="2" t="s">
        <v>5212</v>
      </c>
      <c r="F2082" s="2">
        <v>15.289400000000001</v>
      </c>
      <c r="G2082" s="2">
        <v>108</v>
      </c>
      <c r="H2082" s="2">
        <f>Tabla_Items_Con_Existencia[[#This Row],[COSTO]]*Tabla_Items_Con_Existencia[[#This Row],[EXISTENCIA]]</f>
        <v>1651.2552000000001</v>
      </c>
      <c r="I2082" s="1">
        <f>IF(ISERROR(MATCH(Tabla_Items_Con_Existencia[[#This Row],[CODIGO]],Tabla_Items_Activos[CODIGO],0)),0,1)</f>
        <v>0</v>
      </c>
    </row>
    <row r="2083" spans="1:9">
      <c r="A2083" s="2" t="s">
        <v>6759</v>
      </c>
      <c r="B2083" s="2" t="s">
        <v>2728</v>
      </c>
      <c r="C2083" s="2" t="s">
        <v>2729</v>
      </c>
      <c r="D2083" s="2" t="s">
        <v>5209</v>
      </c>
      <c r="E2083" s="2" t="s">
        <v>5210</v>
      </c>
      <c r="F2083" s="2">
        <v>0.99</v>
      </c>
      <c r="G2083" s="2">
        <v>4</v>
      </c>
      <c r="H2083" s="2">
        <f>Tabla_Items_Con_Existencia[[#This Row],[COSTO]]*Tabla_Items_Con_Existencia[[#This Row],[EXISTENCIA]]</f>
        <v>3.96</v>
      </c>
      <c r="I2083" s="1">
        <f>IF(ISERROR(MATCH(Tabla_Items_Con_Existencia[[#This Row],[CODIGO]],Tabla_Items_Activos[CODIGO],0)),0,1)</f>
        <v>0</v>
      </c>
    </row>
    <row r="2084" spans="1:9">
      <c r="A2084" s="2" t="s">
        <v>6759</v>
      </c>
      <c r="B2084" s="2" t="s">
        <v>2730</v>
      </c>
      <c r="C2084" s="2" t="s">
        <v>2731</v>
      </c>
      <c r="D2084" s="2" t="s">
        <v>5162</v>
      </c>
      <c r="E2084" s="2" t="s">
        <v>5213</v>
      </c>
      <c r="F2084" s="2">
        <v>1.5687</v>
      </c>
      <c r="G2084" s="2">
        <v>70</v>
      </c>
      <c r="H2084" s="2">
        <f>Tabla_Items_Con_Existencia[[#This Row],[COSTO]]*Tabla_Items_Con_Existencia[[#This Row],[EXISTENCIA]]</f>
        <v>109.809</v>
      </c>
      <c r="I2084" s="1">
        <f>IF(ISERROR(MATCH(Tabla_Items_Con_Existencia[[#This Row],[CODIGO]],Tabla_Items_Activos[CODIGO],0)),0,1)</f>
        <v>0</v>
      </c>
    </row>
    <row r="2085" spans="1:9">
      <c r="A2085" s="2" t="s">
        <v>6759</v>
      </c>
      <c r="B2085" s="2" t="s">
        <v>2732</v>
      </c>
      <c r="C2085" s="2" t="s">
        <v>2733</v>
      </c>
      <c r="D2085" s="2" t="s">
        <v>5211</v>
      </c>
      <c r="E2085" s="2" t="s">
        <v>5213</v>
      </c>
      <c r="F2085" s="2">
        <v>7.0606400000000002</v>
      </c>
      <c r="G2085" s="2">
        <v>13</v>
      </c>
      <c r="H2085" s="2">
        <f>Tabla_Items_Con_Existencia[[#This Row],[COSTO]]*Tabla_Items_Con_Existencia[[#This Row],[EXISTENCIA]]</f>
        <v>91.788319999999999</v>
      </c>
      <c r="I2085" s="1">
        <f>IF(ISERROR(MATCH(Tabla_Items_Con_Existencia[[#This Row],[CODIGO]],Tabla_Items_Activos[CODIGO],0)),0,1)</f>
        <v>0</v>
      </c>
    </row>
    <row r="2086" spans="1:9">
      <c r="A2086" s="2" t="s">
        <v>6761</v>
      </c>
      <c r="B2086" s="2" t="s">
        <v>2732</v>
      </c>
      <c r="C2086" s="2" t="s">
        <v>2733</v>
      </c>
      <c r="D2086" s="2" t="s">
        <v>5211</v>
      </c>
      <c r="E2086" s="2" t="s">
        <v>5213</v>
      </c>
      <c r="F2086" s="2">
        <v>7.0606400000000002</v>
      </c>
      <c r="G2086" s="2">
        <v>13</v>
      </c>
      <c r="H2086" s="2">
        <f>Tabla_Items_Con_Existencia[[#This Row],[COSTO]]*Tabla_Items_Con_Existencia[[#This Row],[EXISTENCIA]]</f>
        <v>91.788319999999999</v>
      </c>
      <c r="I2086" s="1">
        <f>IF(ISERROR(MATCH(Tabla_Items_Con_Existencia[[#This Row],[CODIGO]],Tabla_Items_Activos[CODIGO],0)),0,1)</f>
        <v>0</v>
      </c>
    </row>
    <row r="2087" spans="1:9">
      <c r="A2087" s="2" t="s">
        <v>6759</v>
      </c>
      <c r="B2087" s="2" t="s">
        <v>2736</v>
      </c>
      <c r="C2087" s="2" t="s">
        <v>2737</v>
      </c>
      <c r="D2087" s="2" t="s">
        <v>5211</v>
      </c>
      <c r="E2087" s="2" t="s">
        <v>5213</v>
      </c>
      <c r="F2087" s="2">
        <v>1.8667</v>
      </c>
      <c r="G2087" s="2">
        <v>3</v>
      </c>
      <c r="H2087" s="2">
        <f>Tabla_Items_Con_Existencia[[#This Row],[COSTO]]*Tabla_Items_Con_Existencia[[#This Row],[EXISTENCIA]]</f>
        <v>5.6001000000000003</v>
      </c>
      <c r="I2087" s="1">
        <f>IF(ISERROR(MATCH(Tabla_Items_Con_Existencia[[#This Row],[CODIGO]],Tabla_Items_Activos[CODIGO],0)),0,1)</f>
        <v>0</v>
      </c>
    </row>
    <row r="2088" spans="1:9">
      <c r="A2088" s="2" t="s">
        <v>6761</v>
      </c>
      <c r="B2088" s="2" t="s">
        <v>2738</v>
      </c>
      <c r="C2088" s="2" t="s">
        <v>2739</v>
      </c>
      <c r="D2088" s="2" t="s">
        <v>5211</v>
      </c>
      <c r="E2088" s="2" t="s">
        <v>5213</v>
      </c>
      <c r="F2088" s="2">
        <v>1.80152</v>
      </c>
      <c r="G2088" s="2">
        <v>174</v>
      </c>
      <c r="H2088" s="2">
        <f>Tabla_Items_Con_Existencia[[#This Row],[COSTO]]*Tabla_Items_Con_Existencia[[#This Row],[EXISTENCIA]]</f>
        <v>313.46447999999998</v>
      </c>
      <c r="I2088" s="1">
        <f>IF(ISERROR(MATCH(Tabla_Items_Con_Existencia[[#This Row],[CODIGO]],Tabla_Items_Activos[CODIGO],0)),0,1)</f>
        <v>0</v>
      </c>
    </row>
    <row r="2089" spans="1:9">
      <c r="A2089" s="2" t="s">
        <v>6759</v>
      </c>
      <c r="B2089" s="2" t="s">
        <v>2738</v>
      </c>
      <c r="C2089" s="2" t="s">
        <v>2739</v>
      </c>
      <c r="D2089" s="2" t="s">
        <v>5211</v>
      </c>
      <c r="E2089" s="2" t="s">
        <v>5213</v>
      </c>
      <c r="F2089" s="2">
        <v>1.80152</v>
      </c>
      <c r="G2089" s="2">
        <v>174</v>
      </c>
      <c r="H2089" s="2">
        <f>Tabla_Items_Con_Existencia[[#This Row],[COSTO]]*Tabla_Items_Con_Existencia[[#This Row],[EXISTENCIA]]</f>
        <v>313.46447999999998</v>
      </c>
      <c r="I2089" s="1">
        <f>IF(ISERROR(MATCH(Tabla_Items_Con_Existencia[[#This Row],[CODIGO]],Tabla_Items_Activos[CODIGO],0)),0,1)</f>
        <v>0</v>
      </c>
    </row>
    <row r="2090" spans="1:9">
      <c r="A2090" s="2" t="s">
        <v>6761</v>
      </c>
      <c r="B2090" s="2" t="s">
        <v>2740</v>
      </c>
      <c r="C2090" s="2" t="s">
        <v>2741</v>
      </c>
      <c r="D2090" s="2" t="s">
        <v>5211</v>
      </c>
      <c r="E2090" s="2" t="s">
        <v>5213</v>
      </c>
      <c r="F2090" s="2">
        <v>3.7449866699999999</v>
      </c>
      <c r="G2090" s="2">
        <v>271</v>
      </c>
      <c r="H2090" s="2">
        <f>Tabla_Items_Con_Existencia[[#This Row],[COSTO]]*Tabla_Items_Con_Existencia[[#This Row],[EXISTENCIA]]</f>
        <v>1014.89138757</v>
      </c>
      <c r="I2090" s="1">
        <f>IF(ISERROR(MATCH(Tabla_Items_Con_Existencia[[#This Row],[CODIGO]],Tabla_Items_Activos[CODIGO],0)),0,1)</f>
        <v>0</v>
      </c>
    </row>
    <row r="2091" spans="1:9">
      <c r="A2091" s="2" t="s">
        <v>6759</v>
      </c>
      <c r="B2091" s="2" t="s">
        <v>2740</v>
      </c>
      <c r="C2091" s="2" t="s">
        <v>2741</v>
      </c>
      <c r="D2091" s="2" t="s">
        <v>5211</v>
      </c>
      <c r="E2091" s="2" t="s">
        <v>5213</v>
      </c>
      <c r="F2091" s="2">
        <v>3.7449866699999999</v>
      </c>
      <c r="G2091" s="2">
        <v>271</v>
      </c>
      <c r="H2091" s="2">
        <f>Tabla_Items_Con_Existencia[[#This Row],[COSTO]]*Tabla_Items_Con_Existencia[[#This Row],[EXISTENCIA]]</f>
        <v>1014.89138757</v>
      </c>
      <c r="I2091" s="1">
        <f>IF(ISERROR(MATCH(Tabla_Items_Con_Existencia[[#This Row],[CODIGO]],Tabla_Items_Activos[CODIGO],0)),0,1)</f>
        <v>0</v>
      </c>
    </row>
    <row r="2092" spans="1:9">
      <c r="A2092" s="2" t="s">
        <v>6761</v>
      </c>
      <c r="B2092" s="2" t="s">
        <v>5736</v>
      </c>
      <c r="C2092" s="2" t="s">
        <v>5737</v>
      </c>
      <c r="D2092" s="2" t="s">
        <v>5211</v>
      </c>
      <c r="E2092" s="2" t="s">
        <v>5213</v>
      </c>
      <c r="F2092" s="2">
        <v>3.19450667</v>
      </c>
      <c r="G2092" s="2">
        <v>105</v>
      </c>
      <c r="H2092" s="2">
        <f>Tabla_Items_Con_Existencia[[#This Row],[COSTO]]*Tabla_Items_Con_Existencia[[#This Row],[EXISTENCIA]]</f>
        <v>335.42320035</v>
      </c>
      <c r="I2092" s="1">
        <f>IF(ISERROR(MATCH(Tabla_Items_Con_Existencia[[#This Row],[CODIGO]],Tabla_Items_Activos[CODIGO],0)),0,1)</f>
        <v>0</v>
      </c>
    </row>
    <row r="2093" spans="1:9">
      <c r="A2093" s="2" t="s">
        <v>6759</v>
      </c>
      <c r="B2093" s="2" t="s">
        <v>5736</v>
      </c>
      <c r="C2093" s="2" t="s">
        <v>5737</v>
      </c>
      <c r="D2093" s="2" t="s">
        <v>5211</v>
      </c>
      <c r="E2093" s="2" t="s">
        <v>5213</v>
      </c>
      <c r="F2093" s="2">
        <v>3.19450667</v>
      </c>
      <c r="G2093" s="2">
        <v>105</v>
      </c>
      <c r="H2093" s="2">
        <f>Tabla_Items_Con_Existencia[[#This Row],[COSTO]]*Tabla_Items_Con_Existencia[[#This Row],[EXISTENCIA]]</f>
        <v>335.42320035</v>
      </c>
      <c r="I2093" s="1">
        <f>IF(ISERROR(MATCH(Tabla_Items_Con_Existencia[[#This Row],[CODIGO]],Tabla_Items_Activos[CODIGO],0)),0,1)</f>
        <v>0</v>
      </c>
    </row>
    <row r="2094" spans="1:9">
      <c r="A2094" s="2" t="s">
        <v>6759</v>
      </c>
      <c r="B2094" s="2" t="s">
        <v>2742</v>
      </c>
      <c r="C2094" s="2" t="s">
        <v>2743</v>
      </c>
      <c r="D2094" s="2" t="s">
        <v>5209</v>
      </c>
      <c r="E2094" s="2" t="s">
        <v>5210</v>
      </c>
      <c r="F2094" s="2">
        <v>0.66500000000000004</v>
      </c>
      <c r="G2094" s="2">
        <v>2</v>
      </c>
      <c r="H2094" s="2">
        <f>Tabla_Items_Con_Existencia[[#This Row],[COSTO]]*Tabla_Items_Con_Existencia[[#This Row],[EXISTENCIA]]</f>
        <v>1.33</v>
      </c>
      <c r="I2094" s="1">
        <f>IF(ISERROR(MATCH(Tabla_Items_Con_Existencia[[#This Row],[CODIGO]],Tabla_Items_Activos[CODIGO],0)),0,1)</f>
        <v>0</v>
      </c>
    </row>
    <row r="2095" spans="1:9">
      <c r="A2095" s="2" t="s">
        <v>6759</v>
      </c>
      <c r="B2095" s="2" t="s">
        <v>2744</v>
      </c>
      <c r="C2095" s="2" t="s">
        <v>2745</v>
      </c>
      <c r="D2095" s="2" t="s">
        <v>5211</v>
      </c>
      <c r="E2095" s="2" t="s">
        <v>5213</v>
      </c>
      <c r="F2095" s="2">
        <v>13.135400000000001</v>
      </c>
      <c r="G2095" s="2">
        <v>171</v>
      </c>
      <c r="H2095" s="2">
        <f>Tabla_Items_Con_Existencia[[#This Row],[COSTO]]*Tabla_Items_Con_Existencia[[#This Row],[EXISTENCIA]]</f>
        <v>2246.1534000000001</v>
      </c>
      <c r="I2095" s="1">
        <f>IF(ISERROR(MATCH(Tabla_Items_Con_Existencia[[#This Row],[CODIGO]],Tabla_Items_Activos[CODIGO],0)),0,1)</f>
        <v>0</v>
      </c>
    </row>
    <row r="2096" spans="1:9">
      <c r="A2096" s="2" t="s">
        <v>6759</v>
      </c>
      <c r="B2096" s="2" t="s">
        <v>2746</v>
      </c>
      <c r="C2096" s="2" t="s">
        <v>2747</v>
      </c>
      <c r="D2096" s="2" t="s">
        <v>5209</v>
      </c>
      <c r="E2096" s="2" t="s">
        <v>5210</v>
      </c>
      <c r="F2096" s="2">
        <v>9.8119999999999994</v>
      </c>
      <c r="G2096" s="2">
        <v>31</v>
      </c>
      <c r="H2096" s="2">
        <f>Tabla_Items_Con_Existencia[[#This Row],[COSTO]]*Tabla_Items_Con_Existencia[[#This Row],[EXISTENCIA]]</f>
        <v>304.17199999999997</v>
      </c>
      <c r="I2096" s="1">
        <f>IF(ISERROR(MATCH(Tabla_Items_Con_Existencia[[#This Row],[CODIGO]],Tabla_Items_Activos[CODIGO],0)),0,1)</f>
        <v>0</v>
      </c>
    </row>
    <row r="2097" spans="1:9">
      <c r="A2097" s="2" t="s">
        <v>6761</v>
      </c>
      <c r="B2097" s="2" t="s">
        <v>2748</v>
      </c>
      <c r="C2097" s="2" t="s">
        <v>2749</v>
      </c>
      <c r="D2097" s="2" t="s">
        <v>5211</v>
      </c>
      <c r="E2097" s="2" t="s">
        <v>5213</v>
      </c>
      <c r="F2097" s="2">
        <v>7.8913333300000001</v>
      </c>
      <c r="G2097" s="2">
        <v>20</v>
      </c>
      <c r="H2097" s="2">
        <f>Tabla_Items_Con_Existencia[[#This Row],[COSTO]]*Tabla_Items_Con_Existencia[[#This Row],[EXISTENCIA]]</f>
        <v>157.82666660000001</v>
      </c>
      <c r="I2097" s="1">
        <f>IF(ISERROR(MATCH(Tabla_Items_Con_Existencia[[#This Row],[CODIGO]],Tabla_Items_Activos[CODIGO],0)),0,1)</f>
        <v>0</v>
      </c>
    </row>
    <row r="2098" spans="1:9">
      <c r="A2098" s="2" t="s">
        <v>6759</v>
      </c>
      <c r="B2098" s="2" t="s">
        <v>2748</v>
      </c>
      <c r="C2098" s="2" t="s">
        <v>2749</v>
      </c>
      <c r="D2098" s="2" t="s">
        <v>5211</v>
      </c>
      <c r="E2098" s="2" t="s">
        <v>5213</v>
      </c>
      <c r="F2098" s="2">
        <v>7.8913333300000001</v>
      </c>
      <c r="G2098" s="2">
        <v>20</v>
      </c>
      <c r="H2098" s="2">
        <f>Tabla_Items_Con_Existencia[[#This Row],[COSTO]]*Tabla_Items_Con_Existencia[[#This Row],[EXISTENCIA]]</f>
        <v>157.82666660000001</v>
      </c>
      <c r="I2098" s="1">
        <f>IF(ISERROR(MATCH(Tabla_Items_Con_Existencia[[#This Row],[CODIGO]],Tabla_Items_Activos[CODIGO],0)),0,1)</f>
        <v>0</v>
      </c>
    </row>
    <row r="2099" spans="1:9">
      <c r="A2099" s="2" t="s">
        <v>6759</v>
      </c>
      <c r="B2099" s="2" t="s">
        <v>2750</v>
      </c>
      <c r="C2099" s="2" t="s">
        <v>2751</v>
      </c>
      <c r="D2099" s="2" t="s">
        <v>5211</v>
      </c>
      <c r="E2099" s="2" t="s">
        <v>5213</v>
      </c>
      <c r="F2099" s="2">
        <v>11.4969</v>
      </c>
      <c r="G2099" s="2">
        <v>70</v>
      </c>
      <c r="H2099" s="2">
        <f>Tabla_Items_Con_Existencia[[#This Row],[COSTO]]*Tabla_Items_Con_Existencia[[#This Row],[EXISTENCIA]]</f>
        <v>804.78300000000002</v>
      </c>
      <c r="I2099" s="1">
        <f>IF(ISERROR(MATCH(Tabla_Items_Con_Existencia[[#This Row],[CODIGO]],Tabla_Items_Activos[CODIGO],0)),0,1)</f>
        <v>0</v>
      </c>
    </row>
    <row r="2100" spans="1:9">
      <c r="A2100" s="2" t="s">
        <v>6759</v>
      </c>
      <c r="B2100" s="2" t="s">
        <v>7269</v>
      </c>
      <c r="C2100" s="2" t="s">
        <v>7270</v>
      </c>
      <c r="D2100" s="2" t="s">
        <v>5211</v>
      </c>
      <c r="E2100" s="2" t="s">
        <v>5214</v>
      </c>
      <c r="F2100" s="2">
        <v>11.200699999999999</v>
      </c>
      <c r="G2100" s="2">
        <v>526</v>
      </c>
      <c r="H2100" s="2">
        <f>Tabla_Items_Con_Existencia[[#This Row],[COSTO]]*Tabla_Items_Con_Existencia[[#This Row],[EXISTENCIA]]</f>
        <v>5891.5681999999997</v>
      </c>
      <c r="I2100" s="1">
        <f>IF(ISERROR(MATCH(Tabla_Items_Con_Existencia[[#This Row],[CODIGO]],Tabla_Items_Activos[CODIGO],0)),0,1)</f>
        <v>0</v>
      </c>
    </row>
    <row r="2101" spans="1:9">
      <c r="A2101" s="2" t="s">
        <v>6761</v>
      </c>
      <c r="B2101" s="2" t="s">
        <v>2754</v>
      </c>
      <c r="C2101" s="2" t="s">
        <v>2755</v>
      </c>
      <c r="D2101" s="2" t="s">
        <v>5211</v>
      </c>
      <c r="E2101" s="2" t="s">
        <v>5214</v>
      </c>
      <c r="F2101" s="2">
        <v>3.5931999999999999</v>
      </c>
      <c r="G2101" s="2">
        <v>217</v>
      </c>
      <c r="H2101" s="2">
        <f>Tabla_Items_Con_Existencia[[#This Row],[COSTO]]*Tabla_Items_Con_Existencia[[#This Row],[EXISTENCIA]]</f>
        <v>779.72439999999995</v>
      </c>
      <c r="I2101" s="1">
        <f>IF(ISERROR(MATCH(Tabla_Items_Con_Existencia[[#This Row],[CODIGO]],Tabla_Items_Activos[CODIGO],0)),0,1)</f>
        <v>0</v>
      </c>
    </row>
    <row r="2102" spans="1:9">
      <c r="A2102" s="2" t="s">
        <v>6759</v>
      </c>
      <c r="B2102" s="2" t="s">
        <v>2754</v>
      </c>
      <c r="C2102" s="2" t="s">
        <v>2755</v>
      </c>
      <c r="D2102" s="2" t="s">
        <v>5211</v>
      </c>
      <c r="E2102" s="2" t="s">
        <v>5214</v>
      </c>
      <c r="F2102" s="2">
        <v>3.5931999999999999</v>
      </c>
      <c r="G2102" s="2">
        <v>217</v>
      </c>
      <c r="H2102" s="2">
        <f>Tabla_Items_Con_Existencia[[#This Row],[COSTO]]*Tabla_Items_Con_Existencia[[#This Row],[EXISTENCIA]]</f>
        <v>779.72439999999995</v>
      </c>
      <c r="I2102" s="1">
        <f>IF(ISERROR(MATCH(Tabla_Items_Con_Existencia[[#This Row],[CODIGO]],Tabla_Items_Activos[CODIGO],0)),0,1)</f>
        <v>0</v>
      </c>
    </row>
    <row r="2103" spans="1:9">
      <c r="A2103" s="2" t="s">
        <v>6759</v>
      </c>
      <c r="B2103" s="2" t="s">
        <v>2756</v>
      </c>
      <c r="C2103" s="2" t="s">
        <v>2757</v>
      </c>
      <c r="D2103" s="2" t="s">
        <v>5209</v>
      </c>
      <c r="E2103" s="2" t="s">
        <v>5210</v>
      </c>
      <c r="F2103" s="2">
        <v>1.3</v>
      </c>
      <c r="G2103" s="2">
        <v>3</v>
      </c>
      <c r="H2103" s="2">
        <f>Tabla_Items_Con_Existencia[[#This Row],[COSTO]]*Tabla_Items_Con_Existencia[[#This Row],[EXISTENCIA]]</f>
        <v>3.9000000000000004</v>
      </c>
      <c r="I2103" s="1">
        <f>IF(ISERROR(MATCH(Tabla_Items_Con_Existencia[[#This Row],[CODIGO]],Tabla_Items_Activos[CODIGO],0)),0,1)</f>
        <v>0</v>
      </c>
    </row>
    <row r="2104" spans="1:9">
      <c r="A2104" s="2" t="s">
        <v>6759</v>
      </c>
      <c r="B2104" s="2" t="s">
        <v>7271</v>
      </c>
      <c r="C2104" s="2" t="s">
        <v>7272</v>
      </c>
      <c r="D2104" s="2" t="s">
        <v>5209</v>
      </c>
      <c r="E2104" s="2" t="s">
        <v>5210</v>
      </c>
      <c r="F2104" s="2">
        <v>0.19600000000000001</v>
      </c>
      <c r="G2104" s="2">
        <v>200</v>
      </c>
      <c r="H2104" s="2">
        <f>Tabla_Items_Con_Existencia[[#This Row],[COSTO]]*Tabla_Items_Con_Existencia[[#This Row],[EXISTENCIA]]</f>
        <v>39.200000000000003</v>
      </c>
      <c r="I2104" s="1">
        <f>IF(ISERROR(MATCH(Tabla_Items_Con_Existencia[[#This Row],[CODIGO]],Tabla_Items_Activos[CODIGO],0)),0,1)</f>
        <v>0</v>
      </c>
    </row>
    <row r="2105" spans="1:9">
      <c r="A2105" s="2" t="s">
        <v>6760</v>
      </c>
      <c r="B2105" s="2" t="s">
        <v>2758</v>
      </c>
      <c r="C2105" s="2" t="s">
        <v>2759</v>
      </c>
      <c r="D2105" s="2" t="s">
        <v>5216</v>
      </c>
      <c r="E2105" s="2" t="s">
        <v>5168</v>
      </c>
      <c r="F2105" s="2">
        <v>0.94636841999999999</v>
      </c>
      <c r="G2105" s="2">
        <v>118</v>
      </c>
      <c r="H2105" s="2">
        <f>Tabla_Items_Con_Existencia[[#This Row],[COSTO]]*Tabla_Items_Con_Existencia[[#This Row],[EXISTENCIA]]</f>
        <v>111.67147356</v>
      </c>
      <c r="I2105" s="1">
        <f>IF(ISERROR(MATCH(Tabla_Items_Con_Existencia[[#This Row],[CODIGO]],Tabla_Items_Activos[CODIGO],0)),0,1)</f>
        <v>0</v>
      </c>
    </row>
    <row r="2106" spans="1:9">
      <c r="A2106" s="2" t="s">
        <v>6761</v>
      </c>
      <c r="B2106" s="2" t="s">
        <v>2758</v>
      </c>
      <c r="C2106" s="2" t="s">
        <v>2759</v>
      </c>
      <c r="D2106" s="2" t="s">
        <v>5216</v>
      </c>
      <c r="E2106" s="2" t="s">
        <v>5168</v>
      </c>
      <c r="F2106" s="2">
        <v>0.94636841999999999</v>
      </c>
      <c r="G2106" s="2">
        <v>118</v>
      </c>
      <c r="H2106" s="2">
        <f>Tabla_Items_Con_Existencia[[#This Row],[COSTO]]*Tabla_Items_Con_Existencia[[#This Row],[EXISTENCIA]]</f>
        <v>111.67147356</v>
      </c>
      <c r="I2106" s="1">
        <f>IF(ISERROR(MATCH(Tabla_Items_Con_Existencia[[#This Row],[CODIGO]],Tabla_Items_Activos[CODIGO],0)),0,1)</f>
        <v>0</v>
      </c>
    </row>
    <row r="2107" spans="1:9">
      <c r="A2107" s="2" t="s">
        <v>6760</v>
      </c>
      <c r="B2107" s="2" t="s">
        <v>2760</v>
      </c>
      <c r="C2107" s="2" t="s">
        <v>7131</v>
      </c>
      <c r="D2107" s="2" t="s">
        <v>5161</v>
      </c>
      <c r="E2107" s="2" t="s">
        <v>5159</v>
      </c>
      <c r="F2107" s="2">
        <v>7.8970526300000001</v>
      </c>
      <c r="G2107" s="2">
        <v>10</v>
      </c>
      <c r="H2107" s="2">
        <f>Tabla_Items_Con_Existencia[[#This Row],[COSTO]]*Tabla_Items_Con_Existencia[[#This Row],[EXISTENCIA]]</f>
        <v>78.970526300000003</v>
      </c>
      <c r="I2107" s="1">
        <f>IF(ISERROR(MATCH(Tabla_Items_Con_Existencia[[#This Row],[CODIGO]],Tabla_Items_Activos[CODIGO],0)),0,1)</f>
        <v>0</v>
      </c>
    </row>
    <row r="2108" spans="1:9">
      <c r="A2108" s="2" t="s">
        <v>6761</v>
      </c>
      <c r="B2108" s="2" t="s">
        <v>2760</v>
      </c>
      <c r="C2108" s="2" t="s">
        <v>7131</v>
      </c>
      <c r="D2108" s="2" t="s">
        <v>5161</v>
      </c>
      <c r="E2108" s="2" t="s">
        <v>5159</v>
      </c>
      <c r="F2108" s="2">
        <v>7.8970526300000001</v>
      </c>
      <c r="G2108" s="2">
        <v>10</v>
      </c>
      <c r="H2108" s="2">
        <f>Tabla_Items_Con_Existencia[[#This Row],[COSTO]]*Tabla_Items_Con_Existencia[[#This Row],[EXISTENCIA]]</f>
        <v>78.970526300000003</v>
      </c>
      <c r="I2108" s="1">
        <f>IF(ISERROR(MATCH(Tabla_Items_Con_Existencia[[#This Row],[CODIGO]],Tabla_Items_Activos[CODIGO],0)),0,1)</f>
        <v>0</v>
      </c>
    </row>
    <row r="2109" spans="1:9">
      <c r="A2109" s="2" t="s">
        <v>6760</v>
      </c>
      <c r="B2109" s="2" t="s">
        <v>2762</v>
      </c>
      <c r="C2109" s="2" t="s">
        <v>2763</v>
      </c>
      <c r="D2109" s="2" t="s">
        <v>5217</v>
      </c>
      <c r="E2109" s="2" t="s">
        <v>5168</v>
      </c>
      <c r="F2109" s="2">
        <v>24.355</v>
      </c>
      <c r="G2109" s="2">
        <v>3</v>
      </c>
      <c r="H2109" s="2">
        <f>Tabla_Items_Con_Existencia[[#This Row],[COSTO]]*Tabla_Items_Con_Existencia[[#This Row],[EXISTENCIA]]</f>
        <v>73.064999999999998</v>
      </c>
      <c r="I2109" s="1">
        <f>IF(ISERROR(MATCH(Tabla_Items_Con_Existencia[[#This Row],[CODIGO]],Tabla_Items_Activos[CODIGO],0)),0,1)</f>
        <v>0</v>
      </c>
    </row>
    <row r="2110" spans="1:9">
      <c r="A2110" s="2" t="s">
        <v>6760</v>
      </c>
      <c r="B2110" s="2" t="s">
        <v>2764</v>
      </c>
      <c r="C2110" s="2" t="s">
        <v>2765</v>
      </c>
      <c r="D2110" s="2" t="s">
        <v>5157</v>
      </c>
      <c r="E2110" s="2" t="s">
        <v>5168</v>
      </c>
      <c r="F2110" s="2">
        <v>1.7350000000000001</v>
      </c>
      <c r="G2110" s="2">
        <v>4</v>
      </c>
      <c r="H2110" s="2">
        <f>Tabla_Items_Con_Existencia[[#This Row],[COSTO]]*Tabla_Items_Con_Existencia[[#This Row],[EXISTENCIA]]</f>
        <v>6.94</v>
      </c>
      <c r="I2110" s="1">
        <f>IF(ISERROR(MATCH(Tabla_Items_Con_Existencia[[#This Row],[CODIGO]],Tabla_Items_Activos[CODIGO],0)),0,1)</f>
        <v>0</v>
      </c>
    </row>
    <row r="2111" spans="1:9">
      <c r="A2111" s="2" t="s">
        <v>6760</v>
      </c>
      <c r="B2111" s="2" t="s">
        <v>2766</v>
      </c>
      <c r="C2111" s="2" t="s">
        <v>2767</v>
      </c>
      <c r="D2111" s="2" t="s">
        <v>5216</v>
      </c>
      <c r="E2111" s="2" t="s">
        <v>5168</v>
      </c>
      <c r="F2111" s="2">
        <v>7.0629999999999997</v>
      </c>
      <c r="G2111" s="2">
        <v>8</v>
      </c>
      <c r="H2111" s="2">
        <f>Tabla_Items_Con_Existencia[[#This Row],[COSTO]]*Tabla_Items_Con_Existencia[[#This Row],[EXISTENCIA]]</f>
        <v>56.503999999999998</v>
      </c>
      <c r="I2111" s="1">
        <f>IF(ISERROR(MATCH(Tabla_Items_Con_Existencia[[#This Row],[CODIGO]],Tabla_Items_Activos[CODIGO],0)),0,1)</f>
        <v>0</v>
      </c>
    </row>
    <row r="2112" spans="1:9">
      <c r="A2112" s="2" t="s">
        <v>6761</v>
      </c>
      <c r="B2112" s="2" t="s">
        <v>2766</v>
      </c>
      <c r="C2112" s="2" t="s">
        <v>2767</v>
      </c>
      <c r="D2112" s="2" t="s">
        <v>5216</v>
      </c>
      <c r="E2112" s="2" t="s">
        <v>5168</v>
      </c>
      <c r="F2112" s="2">
        <v>7.0629999999999997</v>
      </c>
      <c r="G2112" s="2">
        <v>8</v>
      </c>
      <c r="H2112" s="2">
        <f>Tabla_Items_Con_Existencia[[#This Row],[COSTO]]*Tabla_Items_Con_Existencia[[#This Row],[EXISTENCIA]]</f>
        <v>56.503999999999998</v>
      </c>
      <c r="I2112" s="1">
        <f>IF(ISERROR(MATCH(Tabla_Items_Con_Existencia[[#This Row],[CODIGO]],Tabla_Items_Activos[CODIGO],0)),0,1)</f>
        <v>0</v>
      </c>
    </row>
    <row r="2113" spans="1:9">
      <c r="A2113" s="2" t="s">
        <v>6760</v>
      </c>
      <c r="B2113" s="2" t="s">
        <v>2768</v>
      </c>
      <c r="C2113" s="2" t="s">
        <v>2769</v>
      </c>
      <c r="D2113" s="2" t="s">
        <v>5157</v>
      </c>
      <c r="E2113" s="2" t="s">
        <v>5168</v>
      </c>
      <c r="F2113" s="2">
        <v>1.6080000000000001</v>
      </c>
      <c r="G2113" s="2">
        <v>13</v>
      </c>
      <c r="H2113" s="2">
        <f>Tabla_Items_Con_Existencia[[#This Row],[COSTO]]*Tabla_Items_Con_Existencia[[#This Row],[EXISTENCIA]]</f>
        <v>20.904</v>
      </c>
      <c r="I2113" s="1">
        <f>IF(ISERROR(MATCH(Tabla_Items_Con_Existencia[[#This Row],[CODIGO]],Tabla_Items_Activos[CODIGO],0)),0,1)</f>
        <v>0</v>
      </c>
    </row>
    <row r="2114" spans="1:9">
      <c r="A2114" s="2" t="s">
        <v>6760</v>
      </c>
      <c r="B2114" s="2" t="s">
        <v>2770</v>
      </c>
      <c r="C2114" s="2" t="s">
        <v>2771</v>
      </c>
      <c r="D2114" s="2" t="s">
        <v>5157</v>
      </c>
      <c r="E2114" s="2" t="s">
        <v>5168</v>
      </c>
      <c r="F2114" s="2">
        <v>0.93899999999999995</v>
      </c>
      <c r="G2114" s="2">
        <v>14</v>
      </c>
      <c r="H2114" s="2">
        <f>Tabla_Items_Con_Existencia[[#This Row],[COSTO]]*Tabla_Items_Con_Existencia[[#This Row],[EXISTENCIA]]</f>
        <v>13.145999999999999</v>
      </c>
      <c r="I2114" s="1">
        <f>IF(ISERROR(MATCH(Tabla_Items_Con_Existencia[[#This Row],[CODIGO]],Tabla_Items_Activos[CODIGO],0)),0,1)</f>
        <v>0</v>
      </c>
    </row>
    <row r="2115" spans="1:9">
      <c r="A2115" s="2" t="s">
        <v>6760</v>
      </c>
      <c r="B2115" s="2" t="s">
        <v>2772</v>
      </c>
      <c r="C2115" s="2" t="s">
        <v>2773</v>
      </c>
      <c r="D2115" s="2" t="s">
        <v>5217</v>
      </c>
      <c r="E2115" s="2" t="s">
        <v>5168</v>
      </c>
      <c r="F2115" s="2">
        <v>3.9084736800000002</v>
      </c>
      <c r="G2115" s="2">
        <v>8</v>
      </c>
      <c r="H2115" s="2">
        <f>Tabla_Items_Con_Existencia[[#This Row],[COSTO]]*Tabla_Items_Con_Existencia[[#This Row],[EXISTENCIA]]</f>
        <v>31.267789440000001</v>
      </c>
      <c r="I2115" s="1">
        <f>IF(ISERROR(MATCH(Tabla_Items_Con_Existencia[[#This Row],[CODIGO]],Tabla_Items_Activos[CODIGO],0)),0,1)</f>
        <v>0</v>
      </c>
    </row>
    <row r="2116" spans="1:9">
      <c r="A2116" s="2" t="s">
        <v>6761</v>
      </c>
      <c r="B2116" s="2" t="s">
        <v>2772</v>
      </c>
      <c r="C2116" s="2" t="s">
        <v>2773</v>
      </c>
      <c r="D2116" s="2" t="s">
        <v>5217</v>
      </c>
      <c r="E2116" s="2" t="s">
        <v>5168</v>
      </c>
      <c r="F2116" s="2">
        <v>3.9084736800000002</v>
      </c>
      <c r="G2116" s="2">
        <v>8</v>
      </c>
      <c r="H2116" s="2">
        <f>Tabla_Items_Con_Existencia[[#This Row],[COSTO]]*Tabla_Items_Con_Existencia[[#This Row],[EXISTENCIA]]</f>
        <v>31.267789440000001</v>
      </c>
      <c r="I2116" s="1">
        <f>IF(ISERROR(MATCH(Tabla_Items_Con_Existencia[[#This Row],[CODIGO]],Tabla_Items_Activos[CODIGO],0)),0,1)</f>
        <v>0</v>
      </c>
    </row>
    <row r="2117" spans="1:9">
      <c r="A2117" s="2" t="s">
        <v>6760</v>
      </c>
      <c r="B2117" s="2" t="s">
        <v>864</v>
      </c>
      <c r="C2117" s="2" t="s">
        <v>2774</v>
      </c>
      <c r="D2117" s="2" t="s">
        <v>5216</v>
      </c>
      <c r="E2117" s="2" t="s">
        <v>5168</v>
      </c>
      <c r="F2117" s="2">
        <v>2.3935263199999999</v>
      </c>
      <c r="G2117" s="2">
        <v>27</v>
      </c>
      <c r="H2117" s="2">
        <f>Tabla_Items_Con_Existencia[[#This Row],[COSTO]]*Tabla_Items_Con_Existencia[[#This Row],[EXISTENCIA]]</f>
        <v>64.625210639999992</v>
      </c>
      <c r="I2117" s="1">
        <f>IF(ISERROR(MATCH(Tabla_Items_Con_Existencia[[#This Row],[CODIGO]],Tabla_Items_Activos[CODIGO],0)),0,1)</f>
        <v>0</v>
      </c>
    </row>
    <row r="2118" spans="1:9">
      <c r="A2118" s="2" t="s">
        <v>6761</v>
      </c>
      <c r="B2118" s="2" t="s">
        <v>864</v>
      </c>
      <c r="C2118" s="2" t="s">
        <v>2774</v>
      </c>
      <c r="D2118" s="2" t="s">
        <v>5216</v>
      </c>
      <c r="E2118" s="2" t="s">
        <v>5168</v>
      </c>
      <c r="F2118" s="2">
        <v>2.3935263199999999</v>
      </c>
      <c r="G2118" s="2">
        <v>27</v>
      </c>
      <c r="H2118" s="2">
        <f>Tabla_Items_Con_Existencia[[#This Row],[COSTO]]*Tabla_Items_Con_Existencia[[#This Row],[EXISTENCIA]]</f>
        <v>64.625210639999992</v>
      </c>
      <c r="I2118" s="1">
        <f>IF(ISERROR(MATCH(Tabla_Items_Con_Existencia[[#This Row],[CODIGO]],Tabla_Items_Activos[CODIGO],0)),0,1)</f>
        <v>0</v>
      </c>
    </row>
    <row r="2119" spans="1:9">
      <c r="A2119" s="2" t="s">
        <v>6760</v>
      </c>
      <c r="B2119" s="2" t="s">
        <v>2775</v>
      </c>
      <c r="C2119" s="2" t="s">
        <v>2776</v>
      </c>
      <c r="D2119" s="2" t="s">
        <v>5157</v>
      </c>
      <c r="E2119" s="2" t="s">
        <v>5168</v>
      </c>
      <c r="F2119" s="2">
        <v>0.32</v>
      </c>
      <c r="G2119" s="2">
        <v>32</v>
      </c>
      <c r="H2119" s="2">
        <f>Tabla_Items_Con_Existencia[[#This Row],[COSTO]]*Tabla_Items_Con_Existencia[[#This Row],[EXISTENCIA]]</f>
        <v>10.24</v>
      </c>
      <c r="I2119" s="1">
        <f>IF(ISERROR(MATCH(Tabla_Items_Con_Existencia[[#This Row],[CODIGO]],Tabla_Items_Activos[CODIGO],0)),0,1)</f>
        <v>0</v>
      </c>
    </row>
    <row r="2120" spans="1:9">
      <c r="A2120" s="2" t="s">
        <v>6760</v>
      </c>
      <c r="B2120" s="2" t="s">
        <v>2777</v>
      </c>
      <c r="C2120" s="2" t="s">
        <v>2778</v>
      </c>
      <c r="D2120" s="2" t="s">
        <v>5217</v>
      </c>
      <c r="E2120" s="2" t="s">
        <v>5168</v>
      </c>
      <c r="F2120" s="2">
        <v>2.7919999999999998</v>
      </c>
      <c r="G2120" s="2">
        <v>23</v>
      </c>
      <c r="H2120" s="2">
        <f>Tabla_Items_Con_Existencia[[#This Row],[COSTO]]*Tabla_Items_Con_Existencia[[#This Row],[EXISTENCIA]]</f>
        <v>64.215999999999994</v>
      </c>
      <c r="I2120" s="1">
        <f>IF(ISERROR(MATCH(Tabla_Items_Con_Existencia[[#This Row],[CODIGO]],Tabla_Items_Activos[CODIGO],0)),0,1)</f>
        <v>0</v>
      </c>
    </row>
    <row r="2121" spans="1:9">
      <c r="A2121" s="2" t="s">
        <v>6760</v>
      </c>
      <c r="B2121" s="2" t="s">
        <v>2779</v>
      </c>
      <c r="C2121" s="2" t="s">
        <v>2780</v>
      </c>
      <c r="D2121" s="2" t="s">
        <v>5217</v>
      </c>
      <c r="E2121" s="2" t="s">
        <v>5168</v>
      </c>
      <c r="F2121" s="2">
        <v>0.95599999999999996</v>
      </c>
      <c r="G2121" s="2">
        <v>26</v>
      </c>
      <c r="H2121" s="2">
        <f>Tabla_Items_Con_Existencia[[#This Row],[COSTO]]*Tabla_Items_Con_Existencia[[#This Row],[EXISTENCIA]]</f>
        <v>24.855999999999998</v>
      </c>
      <c r="I2121" s="1">
        <f>IF(ISERROR(MATCH(Tabla_Items_Con_Existencia[[#This Row],[CODIGO]],Tabla_Items_Activos[CODIGO],0)),0,1)</f>
        <v>0</v>
      </c>
    </row>
    <row r="2122" spans="1:9">
      <c r="A2122" s="2" t="s">
        <v>6761</v>
      </c>
      <c r="B2122" s="2" t="s">
        <v>865</v>
      </c>
      <c r="C2122" s="2" t="s">
        <v>2781</v>
      </c>
      <c r="D2122" s="2" t="s">
        <v>5217</v>
      </c>
      <c r="E2122" s="2" t="s">
        <v>5168</v>
      </c>
      <c r="F2122" s="2">
        <v>11.347263160000001</v>
      </c>
      <c r="G2122" s="2">
        <v>4</v>
      </c>
      <c r="H2122" s="2">
        <f>Tabla_Items_Con_Existencia[[#This Row],[COSTO]]*Tabla_Items_Con_Existencia[[#This Row],[EXISTENCIA]]</f>
        <v>45.389052640000003</v>
      </c>
      <c r="I2122" s="1">
        <f>IF(ISERROR(MATCH(Tabla_Items_Con_Existencia[[#This Row],[CODIGO]],Tabla_Items_Activos[CODIGO],0)),0,1)</f>
        <v>0</v>
      </c>
    </row>
    <row r="2123" spans="1:9">
      <c r="A2123" s="2" t="s">
        <v>6760</v>
      </c>
      <c r="B2123" s="2" t="s">
        <v>865</v>
      </c>
      <c r="C2123" s="2" t="s">
        <v>2781</v>
      </c>
      <c r="D2123" s="2" t="s">
        <v>5217</v>
      </c>
      <c r="E2123" s="2" t="s">
        <v>5168</v>
      </c>
      <c r="F2123" s="2">
        <v>11.347263160000001</v>
      </c>
      <c r="G2123" s="2">
        <v>4</v>
      </c>
      <c r="H2123" s="2">
        <f>Tabla_Items_Con_Existencia[[#This Row],[COSTO]]*Tabla_Items_Con_Existencia[[#This Row],[EXISTENCIA]]</f>
        <v>45.389052640000003</v>
      </c>
      <c r="I2123" s="1">
        <f>IF(ISERROR(MATCH(Tabla_Items_Con_Existencia[[#This Row],[CODIGO]],Tabla_Items_Activos[CODIGO],0)),0,1)</f>
        <v>0</v>
      </c>
    </row>
    <row r="2124" spans="1:9">
      <c r="A2124" s="2" t="s">
        <v>6760</v>
      </c>
      <c r="B2124" s="2" t="s">
        <v>2782</v>
      </c>
      <c r="C2124" s="2" t="s">
        <v>2783</v>
      </c>
      <c r="D2124" s="2" t="s">
        <v>5217</v>
      </c>
      <c r="E2124" s="2" t="s">
        <v>5168</v>
      </c>
      <c r="F2124" s="2">
        <v>4.0401263199999997</v>
      </c>
      <c r="G2124" s="2">
        <v>7</v>
      </c>
      <c r="H2124" s="2">
        <f>Tabla_Items_Con_Existencia[[#This Row],[COSTO]]*Tabla_Items_Con_Existencia[[#This Row],[EXISTENCIA]]</f>
        <v>28.280884239999999</v>
      </c>
      <c r="I2124" s="1">
        <f>IF(ISERROR(MATCH(Tabla_Items_Con_Existencia[[#This Row],[CODIGO]],Tabla_Items_Activos[CODIGO],0)),0,1)</f>
        <v>0</v>
      </c>
    </row>
    <row r="2125" spans="1:9">
      <c r="A2125" s="2" t="s">
        <v>6761</v>
      </c>
      <c r="B2125" s="2" t="s">
        <v>2782</v>
      </c>
      <c r="C2125" s="2" t="s">
        <v>2783</v>
      </c>
      <c r="D2125" s="2" t="s">
        <v>5217</v>
      </c>
      <c r="E2125" s="2" t="s">
        <v>5168</v>
      </c>
      <c r="F2125" s="2">
        <v>4.0401263199999997</v>
      </c>
      <c r="G2125" s="2">
        <v>7</v>
      </c>
      <c r="H2125" s="2">
        <f>Tabla_Items_Con_Existencia[[#This Row],[COSTO]]*Tabla_Items_Con_Existencia[[#This Row],[EXISTENCIA]]</f>
        <v>28.280884239999999</v>
      </c>
      <c r="I2125" s="1">
        <f>IF(ISERROR(MATCH(Tabla_Items_Con_Existencia[[#This Row],[CODIGO]],Tabla_Items_Activos[CODIGO],0)),0,1)</f>
        <v>0</v>
      </c>
    </row>
    <row r="2126" spans="1:9">
      <c r="A2126" s="2" t="s">
        <v>6760</v>
      </c>
      <c r="B2126" s="2" t="s">
        <v>2784</v>
      </c>
      <c r="C2126" s="2" t="s">
        <v>2785</v>
      </c>
      <c r="D2126" s="2" t="s">
        <v>5157</v>
      </c>
      <c r="E2126" s="2" t="s">
        <v>5168</v>
      </c>
      <c r="F2126" s="2">
        <v>3.55</v>
      </c>
      <c r="G2126" s="2">
        <v>3</v>
      </c>
      <c r="H2126" s="2">
        <f>Tabla_Items_Con_Existencia[[#This Row],[COSTO]]*Tabla_Items_Con_Existencia[[#This Row],[EXISTENCIA]]</f>
        <v>10.649999999999999</v>
      </c>
      <c r="I2126" s="1">
        <f>IF(ISERROR(MATCH(Tabla_Items_Con_Existencia[[#This Row],[CODIGO]],Tabla_Items_Activos[CODIGO],0)),0,1)</f>
        <v>0</v>
      </c>
    </row>
    <row r="2127" spans="1:9">
      <c r="A2127" s="2" t="s">
        <v>6760</v>
      </c>
      <c r="B2127" s="2" t="s">
        <v>2786</v>
      </c>
      <c r="C2127" s="2" t="s">
        <v>2787</v>
      </c>
      <c r="D2127" s="2" t="s">
        <v>5161</v>
      </c>
      <c r="E2127" s="2" t="s">
        <v>5159</v>
      </c>
      <c r="F2127" s="2">
        <v>0.34599999999999997</v>
      </c>
      <c r="G2127" s="2">
        <v>37</v>
      </c>
      <c r="H2127" s="2">
        <f>Tabla_Items_Con_Existencia[[#This Row],[COSTO]]*Tabla_Items_Con_Existencia[[#This Row],[EXISTENCIA]]</f>
        <v>12.802</v>
      </c>
      <c r="I2127" s="1">
        <f>IF(ISERROR(MATCH(Tabla_Items_Con_Existencia[[#This Row],[CODIGO]],Tabla_Items_Activos[CODIGO],0)),0,1)</f>
        <v>0</v>
      </c>
    </row>
    <row r="2128" spans="1:9">
      <c r="A2128" s="2" t="s">
        <v>6760</v>
      </c>
      <c r="B2128" s="2" t="s">
        <v>2788</v>
      </c>
      <c r="C2128" s="2" t="s">
        <v>2789</v>
      </c>
      <c r="D2128" s="2" t="s">
        <v>5217</v>
      </c>
      <c r="E2128" s="2" t="s">
        <v>5168</v>
      </c>
      <c r="F2128" s="2">
        <v>1.371</v>
      </c>
      <c r="G2128" s="2">
        <v>12</v>
      </c>
      <c r="H2128" s="2">
        <f>Tabla_Items_Con_Existencia[[#This Row],[COSTO]]*Tabla_Items_Con_Existencia[[#This Row],[EXISTENCIA]]</f>
        <v>16.451999999999998</v>
      </c>
      <c r="I2128" s="1">
        <f>IF(ISERROR(MATCH(Tabla_Items_Con_Existencia[[#This Row],[CODIGO]],Tabla_Items_Activos[CODIGO],0)),0,1)</f>
        <v>0</v>
      </c>
    </row>
    <row r="2129" spans="1:9">
      <c r="A2129" s="2" t="s">
        <v>6760</v>
      </c>
      <c r="B2129" s="2" t="s">
        <v>2790</v>
      </c>
      <c r="C2129" s="2" t="s">
        <v>2791</v>
      </c>
      <c r="D2129" s="2" t="s">
        <v>5216</v>
      </c>
      <c r="E2129" s="2" t="s">
        <v>5168</v>
      </c>
      <c r="F2129" s="2">
        <v>1.135</v>
      </c>
      <c r="G2129" s="2">
        <v>11</v>
      </c>
      <c r="H2129" s="2">
        <f>Tabla_Items_Con_Existencia[[#This Row],[COSTO]]*Tabla_Items_Con_Existencia[[#This Row],[EXISTENCIA]]</f>
        <v>12.484999999999999</v>
      </c>
      <c r="I2129" s="1">
        <f>IF(ISERROR(MATCH(Tabla_Items_Con_Existencia[[#This Row],[CODIGO]],Tabla_Items_Activos[CODIGO],0)),0,1)</f>
        <v>0</v>
      </c>
    </row>
    <row r="2130" spans="1:9">
      <c r="A2130" s="2" t="s">
        <v>6761</v>
      </c>
      <c r="B2130" s="2" t="s">
        <v>2790</v>
      </c>
      <c r="C2130" s="2" t="s">
        <v>2791</v>
      </c>
      <c r="D2130" s="2" t="s">
        <v>5216</v>
      </c>
      <c r="E2130" s="2" t="s">
        <v>5168</v>
      </c>
      <c r="F2130" s="2">
        <v>1.135</v>
      </c>
      <c r="G2130" s="2">
        <v>11</v>
      </c>
      <c r="H2130" s="2">
        <f>Tabla_Items_Con_Existencia[[#This Row],[COSTO]]*Tabla_Items_Con_Existencia[[#This Row],[EXISTENCIA]]</f>
        <v>12.484999999999999</v>
      </c>
      <c r="I2130" s="1">
        <f>IF(ISERROR(MATCH(Tabla_Items_Con_Existencia[[#This Row],[CODIGO]],Tabla_Items_Activos[CODIGO],0)),0,1)</f>
        <v>0</v>
      </c>
    </row>
    <row r="2131" spans="1:9">
      <c r="A2131" s="2" t="s">
        <v>6760</v>
      </c>
      <c r="B2131" s="2" t="s">
        <v>2792</v>
      </c>
      <c r="C2131" s="2" t="s">
        <v>2793</v>
      </c>
      <c r="D2131" s="2" t="s">
        <v>5157</v>
      </c>
      <c r="E2131" s="2" t="s">
        <v>5168</v>
      </c>
      <c r="F2131" s="2">
        <v>3.734</v>
      </c>
      <c r="G2131" s="2">
        <v>4</v>
      </c>
      <c r="H2131" s="2">
        <f>Tabla_Items_Con_Existencia[[#This Row],[COSTO]]*Tabla_Items_Con_Existencia[[#This Row],[EXISTENCIA]]</f>
        <v>14.936</v>
      </c>
      <c r="I2131" s="1">
        <f>IF(ISERROR(MATCH(Tabla_Items_Con_Existencia[[#This Row],[CODIGO]],Tabla_Items_Activos[CODIGO],0)),0,1)</f>
        <v>0</v>
      </c>
    </row>
    <row r="2132" spans="1:9">
      <c r="A2132" s="2" t="s">
        <v>6760</v>
      </c>
      <c r="B2132" s="2" t="s">
        <v>2794</v>
      </c>
      <c r="C2132" s="2" t="s">
        <v>2795</v>
      </c>
      <c r="D2132" s="2" t="s">
        <v>5161</v>
      </c>
      <c r="E2132" s="2" t="s">
        <v>5159</v>
      </c>
      <c r="F2132" s="2">
        <v>0.40400000000000003</v>
      </c>
      <c r="G2132" s="2">
        <v>10</v>
      </c>
      <c r="H2132" s="2">
        <f>Tabla_Items_Con_Existencia[[#This Row],[COSTO]]*Tabla_Items_Con_Existencia[[#This Row],[EXISTENCIA]]</f>
        <v>4.04</v>
      </c>
      <c r="I2132" s="1">
        <f>IF(ISERROR(MATCH(Tabla_Items_Con_Existencia[[#This Row],[CODIGO]],Tabla_Items_Activos[CODIGO],0)),0,1)</f>
        <v>0</v>
      </c>
    </row>
    <row r="2133" spans="1:9">
      <c r="A2133" s="2" t="s">
        <v>6760</v>
      </c>
      <c r="B2133" s="2" t="s">
        <v>2796</v>
      </c>
      <c r="C2133" s="2" t="s">
        <v>2797</v>
      </c>
      <c r="D2133" s="2" t="s">
        <v>5161</v>
      </c>
      <c r="E2133" s="2" t="s">
        <v>5159</v>
      </c>
      <c r="F2133" s="2">
        <v>0.40400000000000003</v>
      </c>
      <c r="G2133" s="2">
        <v>10</v>
      </c>
      <c r="H2133" s="2">
        <f>Tabla_Items_Con_Existencia[[#This Row],[COSTO]]*Tabla_Items_Con_Existencia[[#This Row],[EXISTENCIA]]</f>
        <v>4.04</v>
      </c>
      <c r="I2133" s="1">
        <f>IF(ISERROR(MATCH(Tabla_Items_Con_Existencia[[#This Row],[CODIGO]],Tabla_Items_Activos[CODIGO],0)),0,1)</f>
        <v>0</v>
      </c>
    </row>
    <row r="2134" spans="1:9">
      <c r="A2134" s="2" t="s">
        <v>6760</v>
      </c>
      <c r="B2134" s="2" t="s">
        <v>2798</v>
      </c>
      <c r="C2134" s="2" t="s">
        <v>2799</v>
      </c>
      <c r="D2134" s="2" t="s">
        <v>5157</v>
      </c>
      <c r="E2134" s="2" t="s">
        <v>5168</v>
      </c>
      <c r="F2134" s="2">
        <v>4.5860000000000003</v>
      </c>
      <c r="G2134" s="2">
        <v>41</v>
      </c>
      <c r="H2134" s="2">
        <f>Tabla_Items_Con_Existencia[[#This Row],[COSTO]]*Tabla_Items_Con_Existencia[[#This Row],[EXISTENCIA]]</f>
        <v>188.02600000000001</v>
      </c>
      <c r="I2134" s="1">
        <f>IF(ISERROR(MATCH(Tabla_Items_Con_Existencia[[#This Row],[CODIGO]],Tabla_Items_Activos[CODIGO],0)),0,1)</f>
        <v>0</v>
      </c>
    </row>
    <row r="2135" spans="1:9">
      <c r="A2135" s="2" t="s">
        <v>6760</v>
      </c>
      <c r="B2135" s="2" t="s">
        <v>2800</v>
      </c>
      <c r="C2135" s="2" t="s">
        <v>6721</v>
      </c>
      <c r="D2135" s="2" t="s">
        <v>5217</v>
      </c>
      <c r="E2135" s="2" t="s">
        <v>5168</v>
      </c>
      <c r="F2135" s="2">
        <v>347.19900000000001</v>
      </c>
      <c r="G2135" s="2">
        <v>1</v>
      </c>
      <c r="H2135" s="2">
        <f>Tabla_Items_Con_Existencia[[#This Row],[COSTO]]*Tabla_Items_Con_Existencia[[#This Row],[EXISTENCIA]]</f>
        <v>347.19900000000001</v>
      </c>
      <c r="I2135" s="1">
        <f>IF(ISERROR(MATCH(Tabla_Items_Con_Existencia[[#This Row],[CODIGO]],Tabla_Items_Activos[CODIGO],0)),0,1)</f>
        <v>0</v>
      </c>
    </row>
    <row r="2136" spans="1:9">
      <c r="A2136" s="2" t="s">
        <v>6760</v>
      </c>
      <c r="B2136" s="2" t="s">
        <v>2802</v>
      </c>
      <c r="C2136" s="2" t="s">
        <v>2803</v>
      </c>
      <c r="D2136" s="2" t="s">
        <v>5157</v>
      </c>
      <c r="E2136" s="2" t="s">
        <v>5168</v>
      </c>
      <c r="F2136" s="2">
        <v>2.629</v>
      </c>
      <c r="G2136" s="2">
        <v>18</v>
      </c>
      <c r="H2136" s="2">
        <f>Tabla_Items_Con_Existencia[[#This Row],[COSTO]]*Tabla_Items_Con_Existencia[[#This Row],[EXISTENCIA]]</f>
        <v>47.322000000000003</v>
      </c>
      <c r="I2136" s="1">
        <f>IF(ISERROR(MATCH(Tabla_Items_Con_Existencia[[#This Row],[CODIGO]],Tabla_Items_Activos[CODIGO],0)),0,1)</f>
        <v>0</v>
      </c>
    </row>
    <row r="2137" spans="1:9">
      <c r="A2137" s="2" t="s">
        <v>6760</v>
      </c>
      <c r="B2137" s="2" t="s">
        <v>2804</v>
      </c>
      <c r="C2137" s="2" t="s">
        <v>2805</v>
      </c>
      <c r="D2137" s="2" t="s">
        <v>5177</v>
      </c>
      <c r="E2137" s="2" t="s">
        <v>5168</v>
      </c>
      <c r="F2137" s="2">
        <v>0.72505262999999998</v>
      </c>
      <c r="G2137" s="2">
        <v>45</v>
      </c>
      <c r="H2137" s="2">
        <f>Tabla_Items_Con_Existencia[[#This Row],[COSTO]]*Tabla_Items_Con_Existencia[[#This Row],[EXISTENCIA]]</f>
        <v>32.627368349999998</v>
      </c>
      <c r="I2137" s="1">
        <f>IF(ISERROR(MATCH(Tabla_Items_Con_Existencia[[#This Row],[CODIGO]],Tabla_Items_Activos[CODIGO],0)),0,1)</f>
        <v>0</v>
      </c>
    </row>
    <row r="2138" spans="1:9">
      <c r="A2138" s="2" t="s">
        <v>6761</v>
      </c>
      <c r="B2138" s="2" t="s">
        <v>2804</v>
      </c>
      <c r="C2138" s="2" t="s">
        <v>2805</v>
      </c>
      <c r="D2138" s="2" t="s">
        <v>5177</v>
      </c>
      <c r="E2138" s="2" t="s">
        <v>5168</v>
      </c>
      <c r="F2138" s="2">
        <v>0.72505262999999998</v>
      </c>
      <c r="G2138" s="2">
        <v>45</v>
      </c>
      <c r="H2138" s="2">
        <f>Tabla_Items_Con_Existencia[[#This Row],[COSTO]]*Tabla_Items_Con_Existencia[[#This Row],[EXISTENCIA]]</f>
        <v>32.627368349999998</v>
      </c>
      <c r="I2138" s="1">
        <f>IF(ISERROR(MATCH(Tabla_Items_Con_Existencia[[#This Row],[CODIGO]],Tabla_Items_Activos[CODIGO],0)),0,1)</f>
        <v>0</v>
      </c>
    </row>
    <row r="2139" spans="1:9">
      <c r="A2139" s="2" t="s">
        <v>6760</v>
      </c>
      <c r="B2139" s="2" t="s">
        <v>2806</v>
      </c>
      <c r="C2139" s="2" t="s">
        <v>2807</v>
      </c>
      <c r="D2139" s="2" t="s">
        <v>5157</v>
      </c>
      <c r="E2139" s="2" t="s">
        <v>5168</v>
      </c>
      <c r="F2139" s="2">
        <v>9.76</v>
      </c>
      <c r="G2139" s="2">
        <v>1</v>
      </c>
      <c r="H2139" s="2">
        <f>Tabla_Items_Con_Existencia[[#This Row],[COSTO]]*Tabla_Items_Con_Existencia[[#This Row],[EXISTENCIA]]</f>
        <v>9.76</v>
      </c>
      <c r="I2139" s="1">
        <f>IF(ISERROR(MATCH(Tabla_Items_Con_Existencia[[#This Row],[CODIGO]],Tabla_Items_Activos[CODIGO],0)),0,1)</f>
        <v>0</v>
      </c>
    </row>
    <row r="2140" spans="1:9">
      <c r="A2140" s="2" t="s">
        <v>6760</v>
      </c>
      <c r="B2140" s="2" t="s">
        <v>2808</v>
      </c>
      <c r="C2140" s="2" t="s">
        <v>2809</v>
      </c>
      <c r="D2140" s="2" t="s">
        <v>5217</v>
      </c>
      <c r="E2140" s="2" t="s">
        <v>5168</v>
      </c>
      <c r="F2140" s="2">
        <v>259.13900000000001</v>
      </c>
      <c r="G2140" s="2">
        <v>18</v>
      </c>
      <c r="H2140" s="2">
        <f>Tabla_Items_Con_Existencia[[#This Row],[COSTO]]*Tabla_Items_Con_Existencia[[#This Row],[EXISTENCIA]]</f>
        <v>4664.5020000000004</v>
      </c>
      <c r="I2140" s="1">
        <f>IF(ISERROR(MATCH(Tabla_Items_Con_Existencia[[#This Row],[CODIGO]],Tabla_Items_Activos[CODIGO],0)),0,1)</f>
        <v>0</v>
      </c>
    </row>
    <row r="2141" spans="1:9">
      <c r="A2141" s="2" t="s">
        <v>6760</v>
      </c>
      <c r="B2141" s="2" t="s">
        <v>2810</v>
      </c>
      <c r="C2141" s="2" t="s">
        <v>2811</v>
      </c>
      <c r="D2141" s="2" t="s">
        <v>5157</v>
      </c>
      <c r="E2141" s="2" t="s">
        <v>5168</v>
      </c>
      <c r="F2141" s="2">
        <v>0.79400000000000004</v>
      </c>
      <c r="G2141" s="2">
        <v>10</v>
      </c>
      <c r="H2141" s="2">
        <f>Tabla_Items_Con_Existencia[[#This Row],[COSTO]]*Tabla_Items_Con_Existencia[[#This Row],[EXISTENCIA]]</f>
        <v>7.94</v>
      </c>
      <c r="I2141" s="1">
        <f>IF(ISERROR(MATCH(Tabla_Items_Con_Existencia[[#This Row],[CODIGO]],Tabla_Items_Activos[CODIGO],0)),0,1)</f>
        <v>0</v>
      </c>
    </row>
    <row r="2142" spans="1:9">
      <c r="A2142" s="2" t="s">
        <v>6760</v>
      </c>
      <c r="B2142" s="2" t="s">
        <v>2812</v>
      </c>
      <c r="C2142" s="2" t="s">
        <v>2813</v>
      </c>
      <c r="D2142" s="2" t="s">
        <v>5157</v>
      </c>
      <c r="E2142" s="2" t="s">
        <v>5168</v>
      </c>
      <c r="F2142" s="2">
        <v>1.262</v>
      </c>
      <c r="G2142" s="2">
        <v>5</v>
      </c>
      <c r="H2142" s="2">
        <f>Tabla_Items_Con_Existencia[[#This Row],[COSTO]]*Tabla_Items_Con_Existencia[[#This Row],[EXISTENCIA]]</f>
        <v>6.3100000000000005</v>
      </c>
      <c r="I2142" s="1">
        <f>IF(ISERROR(MATCH(Tabla_Items_Con_Existencia[[#This Row],[CODIGO]],Tabla_Items_Activos[CODIGO],0)),0,1)</f>
        <v>0</v>
      </c>
    </row>
    <row r="2143" spans="1:9">
      <c r="A2143" s="2" t="s">
        <v>6760</v>
      </c>
      <c r="B2143" s="2" t="s">
        <v>2814</v>
      </c>
      <c r="C2143" s="2" t="s">
        <v>2815</v>
      </c>
      <c r="D2143" s="2" t="s">
        <v>5157</v>
      </c>
      <c r="E2143" s="2" t="s">
        <v>5168</v>
      </c>
      <c r="F2143" s="2">
        <v>2.5230000000000001</v>
      </c>
      <c r="G2143" s="2">
        <v>10</v>
      </c>
      <c r="H2143" s="2">
        <f>Tabla_Items_Con_Existencia[[#This Row],[COSTO]]*Tabla_Items_Con_Existencia[[#This Row],[EXISTENCIA]]</f>
        <v>25.23</v>
      </c>
      <c r="I2143" s="1">
        <f>IF(ISERROR(MATCH(Tabla_Items_Con_Existencia[[#This Row],[CODIGO]],Tabla_Items_Activos[CODIGO],0)),0,1)</f>
        <v>0</v>
      </c>
    </row>
    <row r="2144" spans="1:9">
      <c r="A2144" s="2" t="s">
        <v>6760</v>
      </c>
      <c r="B2144" s="2" t="s">
        <v>2816</v>
      </c>
      <c r="C2144" s="2" t="s">
        <v>2817</v>
      </c>
      <c r="D2144" s="2" t="s">
        <v>5216</v>
      </c>
      <c r="E2144" s="2" t="s">
        <v>5168</v>
      </c>
      <c r="F2144" s="2">
        <v>1.30736842</v>
      </c>
      <c r="G2144" s="2">
        <v>14</v>
      </c>
      <c r="H2144" s="2">
        <f>Tabla_Items_Con_Existencia[[#This Row],[COSTO]]*Tabla_Items_Con_Existencia[[#This Row],[EXISTENCIA]]</f>
        <v>18.303157880000001</v>
      </c>
      <c r="I2144" s="1">
        <f>IF(ISERROR(MATCH(Tabla_Items_Con_Existencia[[#This Row],[CODIGO]],Tabla_Items_Activos[CODIGO],0)),0,1)</f>
        <v>0</v>
      </c>
    </row>
    <row r="2145" spans="1:9">
      <c r="A2145" s="2" t="s">
        <v>6761</v>
      </c>
      <c r="B2145" s="2" t="s">
        <v>2816</v>
      </c>
      <c r="C2145" s="2" t="s">
        <v>2817</v>
      </c>
      <c r="D2145" s="2" t="s">
        <v>5216</v>
      </c>
      <c r="E2145" s="2" t="s">
        <v>5168</v>
      </c>
      <c r="F2145" s="2">
        <v>1.30736842</v>
      </c>
      <c r="G2145" s="2">
        <v>14</v>
      </c>
      <c r="H2145" s="2">
        <f>Tabla_Items_Con_Existencia[[#This Row],[COSTO]]*Tabla_Items_Con_Existencia[[#This Row],[EXISTENCIA]]</f>
        <v>18.303157880000001</v>
      </c>
      <c r="I2145" s="1">
        <f>IF(ISERROR(MATCH(Tabla_Items_Con_Existencia[[#This Row],[CODIGO]],Tabla_Items_Activos[CODIGO],0)),0,1)</f>
        <v>0</v>
      </c>
    </row>
    <row r="2146" spans="1:9">
      <c r="A2146" s="2" t="s">
        <v>6760</v>
      </c>
      <c r="B2146" s="2" t="s">
        <v>2818</v>
      </c>
      <c r="C2146" s="2" t="s">
        <v>2819</v>
      </c>
      <c r="D2146" s="2" t="s">
        <v>5157</v>
      </c>
      <c r="E2146" s="2" t="s">
        <v>5168</v>
      </c>
      <c r="F2146" s="2">
        <v>0.59299999999999997</v>
      </c>
      <c r="G2146" s="2">
        <v>10</v>
      </c>
      <c r="H2146" s="2">
        <f>Tabla_Items_Con_Existencia[[#This Row],[COSTO]]*Tabla_Items_Con_Existencia[[#This Row],[EXISTENCIA]]</f>
        <v>5.93</v>
      </c>
      <c r="I2146" s="1">
        <f>IF(ISERROR(MATCH(Tabla_Items_Con_Existencia[[#This Row],[CODIGO]],Tabla_Items_Activos[CODIGO],0)),0,1)</f>
        <v>0</v>
      </c>
    </row>
    <row r="2147" spans="1:9">
      <c r="A2147" s="2" t="s">
        <v>6760</v>
      </c>
      <c r="B2147" s="2" t="s">
        <v>2820</v>
      </c>
      <c r="C2147" s="2" t="s">
        <v>2821</v>
      </c>
      <c r="D2147" s="2" t="s">
        <v>5157</v>
      </c>
      <c r="E2147" s="2" t="s">
        <v>5168</v>
      </c>
      <c r="F2147" s="2">
        <v>4.6790000000000003</v>
      </c>
      <c r="G2147" s="2">
        <v>5</v>
      </c>
      <c r="H2147" s="2">
        <f>Tabla_Items_Con_Existencia[[#This Row],[COSTO]]*Tabla_Items_Con_Existencia[[#This Row],[EXISTENCIA]]</f>
        <v>23.395000000000003</v>
      </c>
      <c r="I2147" s="1">
        <f>IF(ISERROR(MATCH(Tabla_Items_Con_Existencia[[#This Row],[CODIGO]],Tabla_Items_Activos[CODIGO],0)),0,1)</f>
        <v>0</v>
      </c>
    </row>
    <row r="2148" spans="1:9">
      <c r="A2148" s="2" t="s">
        <v>6760</v>
      </c>
      <c r="B2148" s="2" t="s">
        <v>2822</v>
      </c>
      <c r="C2148" s="2" t="s">
        <v>2823</v>
      </c>
      <c r="D2148" s="2" t="s">
        <v>5217</v>
      </c>
      <c r="E2148" s="2" t="s">
        <v>5168</v>
      </c>
      <c r="F2148" s="2">
        <v>7.1769999999999996</v>
      </c>
      <c r="G2148" s="2">
        <v>2</v>
      </c>
      <c r="H2148" s="2">
        <f>Tabla_Items_Con_Existencia[[#This Row],[COSTO]]*Tabla_Items_Con_Existencia[[#This Row],[EXISTENCIA]]</f>
        <v>14.353999999999999</v>
      </c>
      <c r="I2148" s="1">
        <f>IF(ISERROR(MATCH(Tabla_Items_Con_Existencia[[#This Row],[CODIGO]],Tabla_Items_Activos[CODIGO],0)),0,1)</f>
        <v>0</v>
      </c>
    </row>
    <row r="2149" spans="1:9">
      <c r="A2149" s="2" t="s">
        <v>6760</v>
      </c>
      <c r="B2149" s="2" t="s">
        <v>2824</v>
      </c>
      <c r="C2149" s="2" t="s">
        <v>2825</v>
      </c>
      <c r="D2149" s="2" t="s">
        <v>5157</v>
      </c>
      <c r="E2149" s="2" t="s">
        <v>5168</v>
      </c>
      <c r="F2149" s="2">
        <v>1.337</v>
      </c>
      <c r="G2149" s="2">
        <v>7</v>
      </c>
      <c r="H2149" s="2">
        <f>Tabla_Items_Con_Existencia[[#This Row],[COSTO]]*Tabla_Items_Con_Existencia[[#This Row],[EXISTENCIA]]</f>
        <v>9.359</v>
      </c>
      <c r="I2149" s="1">
        <f>IF(ISERROR(MATCH(Tabla_Items_Con_Existencia[[#This Row],[CODIGO]],Tabla_Items_Activos[CODIGO],0)),0,1)</f>
        <v>0</v>
      </c>
    </row>
    <row r="2150" spans="1:9">
      <c r="A2150" s="2" t="s">
        <v>6760</v>
      </c>
      <c r="B2150" s="2" t="s">
        <v>2826</v>
      </c>
      <c r="C2150" s="2" t="s">
        <v>2827</v>
      </c>
      <c r="D2150" s="2" t="s">
        <v>5157</v>
      </c>
      <c r="E2150" s="2" t="s">
        <v>5168</v>
      </c>
      <c r="F2150" s="2">
        <v>3.1549999999999998</v>
      </c>
      <c r="G2150" s="2">
        <v>3</v>
      </c>
      <c r="H2150" s="2">
        <f>Tabla_Items_Con_Existencia[[#This Row],[COSTO]]*Tabla_Items_Con_Existencia[[#This Row],[EXISTENCIA]]</f>
        <v>9.4649999999999999</v>
      </c>
      <c r="I2150" s="1">
        <f>IF(ISERROR(MATCH(Tabla_Items_Con_Existencia[[#This Row],[CODIGO]],Tabla_Items_Activos[CODIGO],0)),0,1)</f>
        <v>0</v>
      </c>
    </row>
    <row r="2151" spans="1:9">
      <c r="A2151" s="2" t="s">
        <v>6760</v>
      </c>
      <c r="B2151" s="2" t="s">
        <v>2828</v>
      </c>
      <c r="C2151" s="2" t="s">
        <v>2829</v>
      </c>
      <c r="D2151" s="2" t="s">
        <v>5157</v>
      </c>
      <c r="E2151" s="2" t="s">
        <v>5168</v>
      </c>
      <c r="F2151" s="2">
        <v>0.74299999999999999</v>
      </c>
      <c r="G2151" s="2">
        <v>10</v>
      </c>
      <c r="H2151" s="2">
        <f>Tabla_Items_Con_Existencia[[#This Row],[COSTO]]*Tabla_Items_Con_Existencia[[#This Row],[EXISTENCIA]]</f>
        <v>7.43</v>
      </c>
      <c r="I2151" s="1">
        <f>IF(ISERROR(MATCH(Tabla_Items_Con_Existencia[[#This Row],[CODIGO]],Tabla_Items_Activos[CODIGO],0)),0,1)</f>
        <v>0</v>
      </c>
    </row>
    <row r="2152" spans="1:9">
      <c r="A2152" s="2" t="s">
        <v>6760</v>
      </c>
      <c r="B2152" s="2" t="s">
        <v>2830</v>
      </c>
      <c r="C2152" s="2" t="s">
        <v>2831</v>
      </c>
      <c r="D2152" s="2" t="s">
        <v>5157</v>
      </c>
      <c r="E2152" s="2" t="s">
        <v>5168</v>
      </c>
      <c r="F2152" s="2">
        <v>1.5740000000000001</v>
      </c>
      <c r="G2152" s="2">
        <v>3</v>
      </c>
      <c r="H2152" s="2">
        <f>Tabla_Items_Con_Existencia[[#This Row],[COSTO]]*Tabla_Items_Con_Existencia[[#This Row],[EXISTENCIA]]</f>
        <v>4.7220000000000004</v>
      </c>
      <c r="I2152" s="1">
        <f>IF(ISERROR(MATCH(Tabla_Items_Con_Existencia[[#This Row],[CODIGO]],Tabla_Items_Activos[CODIGO],0)),0,1)</f>
        <v>0</v>
      </c>
    </row>
    <row r="2153" spans="1:9">
      <c r="A2153" s="2" t="s">
        <v>6760</v>
      </c>
      <c r="B2153" s="2" t="s">
        <v>2832</v>
      </c>
      <c r="C2153" s="2" t="s">
        <v>2833</v>
      </c>
      <c r="D2153" s="2" t="s">
        <v>5157</v>
      </c>
      <c r="E2153" s="2" t="s">
        <v>5168</v>
      </c>
      <c r="F2153" s="2">
        <v>3.948</v>
      </c>
      <c r="G2153" s="2">
        <v>14</v>
      </c>
      <c r="H2153" s="2">
        <f>Tabla_Items_Con_Existencia[[#This Row],[COSTO]]*Tabla_Items_Con_Existencia[[#This Row],[EXISTENCIA]]</f>
        <v>55.271999999999998</v>
      </c>
      <c r="I2153" s="1">
        <f>IF(ISERROR(MATCH(Tabla_Items_Con_Existencia[[#This Row],[CODIGO]],Tabla_Items_Activos[CODIGO],0)),0,1)</f>
        <v>0</v>
      </c>
    </row>
    <row r="2154" spans="1:9">
      <c r="A2154" s="2" t="s">
        <v>6760</v>
      </c>
      <c r="B2154" s="2" t="s">
        <v>2834</v>
      </c>
      <c r="C2154" s="2" t="s">
        <v>2835</v>
      </c>
      <c r="D2154" s="2" t="s">
        <v>5157</v>
      </c>
      <c r="E2154" s="2" t="s">
        <v>5168</v>
      </c>
      <c r="F2154" s="2">
        <v>0.872</v>
      </c>
      <c r="G2154" s="2">
        <v>5</v>
      </c>
      <c r="H2154" s="2">
        <f>Tabla_Items_Con_Existencia[[#This Row],[COSTO]]*Tabla_Items_Con_Existencia[[#This Row],[EXISTENCIA]]</f>
        <v>4.3600000000000003</v>
      </c>
      <c r="I2154" s="1">
        <f>IF(ISERROR(MATCH(Tabla_Items_Con_Existencia[[#This Row],[CODIGO]],Tabla_Items_Activos[CODIGO],0)),0,1)</f>
        <v>0</v>
      </c>
    </row>
    <row r="2155" spans="1:9">
      <c r="A2155" s="2" t="s">
        <v>6760</v>
      </c>
      <c r="B2155" s="2" t="s">
        <v>2836</v>
      </c>
      <c r="C2155" s="2" t="s">
        <v>2837</v>
      </c>
      <c r="D2155" s="2" t="s">
        <v>5157</v>
      </c>
      <c r="E2155" s="2" t="s">
        <v>5168</v>
      </c>
      <c r="F2155" s="2">
        <v>13.007999999999999</v>
      </c>
      <c r="G2155" s="2">
        <v>4</v>
      </c>
      <c r="H2155" s="2">
        <f>Tabla_Items_Con_Existencia[[#This Row],[COSTO]]*Tabla_Items_Con_Existencia[[#This Row],[EXISTENCIA]]</f>
        <v>52.031999999999996</v>
      </c>
      <c r="I2155" s="1">
        <f>IF(ISERROR(MATCH(Tabla_Items_Con_Existencia[[#This Row],[CODIGO]],Tabla_Items_Activos[CODIGO],0)),0,1)</f>
        <v>0</v>
      </c>
    </row>
    <row r="2156" spans="1:9">
      <c r="A2156" s="2" t="s">
        <v>6760</v>
      </c>
      <c r="B2156" s="2" t="s">
        <v>2838</v>
      </c>
      <c r="C2156" s="2" t="s">
        <v>2839</v>
      </c>
      <c r="D2156" s="2" t="s">
        <v>5157</v>
      </c>
      <c r="E2156" s="2" t="s">
        <v>5168</v>
      </c>
      <c r="F2156" s="2">
        <v>1.778</v>
      </c>
      <c r="G2156" s="2">
        <v>5</v>
      </c>
      <c r="H2156" s="2">
        <f>Tabla_Items_Con_Existencia[[#This Row],[COSTO]]*Tabla_Items_Con_Existencia[[#This Row],[EXISTENCIA]]</f>
        <v>8.89</v>
      </c>
      <c r="I2156" s="1">
        <f>IF(ISERROR(MATCH(Tabla_Items_Con_Existencia[[#This Row],[CODIGO]],Tabla_Items_Activos[CODIGO],0)),0,1)</f>
        <v>0</v>
      </c>
    </row>
    <row r="2157" spans="1:9">
      <c r="A2157" s="2" t="s">
        <v>6760</v>
      </c>
      <c r="B2157" s="2" t="s">
        <v>2840</v>
      </c>
      <c r="C2157" s="2" t="s">
        <v>2841</v>
      </c>
      <c r="D2157" s="2" t="s">
        <v>5157</v>
      </c>
      <c r="E2157" s="2" t="s">
        <v>5168</v>
      </c>
      <c r="F2157" s="2">
        <v>0.87</v>
      </c>
      <c r="G2157" s="2">
        <v>19</v>
      </c>
      <c r="H2157" s="2">
        <f>Tabla_Items_Con_Existencia[[#This Row],[COSTO]]*Tabla_Items_Con_Existencia[[#This Row],[EXISTENCIA]]</f>
        <v>16.53</v>
      </c>
      <c r="I2157" s="1">
        <f>IF(ISERROR(MATCH(Tabla_Items_Con_Existencia[[#This Row],[CODIGO]],Tabla_Items_Activos[CODIGO],0)),0,1)</f>
        <v>0</v>
      </c>
    </row>
    <row r="2158" spans="1:9">
      <c r="A2158" s="2" t="s">
        <v>6760</v>
      </c>
      <c r="B2158" s="2" t="s">
        <v>2842</v>
      </c>
      <c r="C2158" s="2" t="s">
        <v>2843</v>
      </c>
      <c r="D2158" s="2" t="s">
        <v>5157</v>
      </c>
      <c r="E2158" s="2" t="s">
        <v>5168</v>
      </c>
      <c r="F2158" s="2">
        <v>3.67</v>
      </c>
      <c r="G2158" s="2">
        <v>3</v>
      </c>
      <c r="H2158" s="2">
        <f>Tabla_Items_Con_Existencia[[#This Row],[COSTO]]*Tabla_Items_Con_Existencia[[#This Row],[EXISTENCIA]]</f>
        <v>11.01</v>
      </c>
      <c r="I2158" s="1">
        <f>IF(ISERROR(MATCH(Tabla_Items_Con_Existencia[[#This Row],[CODIGO]],Tabla_Items_Activos[CODIGO],0)),0,1)</f>
        <v>0</v>
      </c>
    </row>
    <row r="2159" spans="1:9">
      <c r="A2159" s="2" t="s">
        <v>6760</v>
      </c>
      <c r="B2159" s="2" t="s">
        <v>2844</v>
      </c>
      <c r="C2159" s="2" t="s">
        <v>2845</v>
      </c>
      <c r="D2159" s="2" t="s">
        <v>5217</v>
      </c>
      <c r="E2159" s="2" t="s">
        <v>5168</v>
      </c>
      <c r="F2159" s="2">
        <v>177.2</v>
      </c>
      <c r="G2159" s="2">
        <v>7</v>
      </c>
      <c r="H2159" s="2">
        <f>Tabla_Items_Con_Existencia[[#This Row],[COSTO]]*Tabla_Items_Con_Existencia[[#This Row],[EXISTENCIA]]</f>
        <v>1240.3999999999999</v>
      </c>
      <c r="I2159" s="1">
        <f>IF(ISERROR(MATCH(Tabla_Items_Con_Existencia[[#This Row],[CODIGO]],Tabla_Items_Activos[CODIGO],0)),0,1)</f>
        <v>0</v>
      </c>
    </row>
    <row r="2160" spans="1:9">
      <c r="A2160" s="2" t="s">
        <v>6761</v>
      </c>
      <c r="B2160" s="2" t="s">
        <v>2844</v>
      </c>
      <c r="C2160" s="2" t="s">
        <v>2845</v>
      </c>
      <c r="D2160" s="2" t="s">
        <v>5217</v>
      </c>
      <c r="E2160" s="2" t="s">
        <v>5168</v>
      </c>
      <c r="F2160" s="2">
        <v>177.2</v>
      </c>
      <c r="G2160" s="2">
        <v>7</v>
      </c>
      <c r="H2160" s="2">
        <f>Tabla_Items_Con_Existencia[[#This Row],[COSTO]]*Tabla_Items_Con_Existencia[[#This Row],[EXISTENCIA]]</f>
        <v>1240.3999999999999</v>
      </c>
      <c r="I2160" s="1">
        <f>IF(ISERROR(MATCH(Tabla_Items_Con_Existencia[[#This Row],[CODIGO]],Tabla_Items_Activos[CODIGO],0)),0,1)</f>
        <v>0</v>
      </c>
    </row>
    <row r="2161" spans="1:9">
      <c r="A2161" s="2" t="s">
        <v>6760</v>
      </c>
      <c r="B2161" s="2" t="s">
        <v>2846</v>
      </c>
      <c r="C2161" s="2" t="s">
        <v>2847</v>
      </c>
      <c r="D2161" s="2" t="s">
        <v>5157</v>
      </c>
      <c r="E2161" s="2" t="s">
        <v>5168</v>
      </c>
      <c r="F2161" s="2">
        <v>4.97</v>
      </c>
      <c r="G2161" s="2">
        <v>10</v>
      </c>
      <c r="H2161" s="2">
        <f>Tabla_Items_Con_Existencia[[#This Row],[COSTO]]*Tabla_Items_Con_Existencia[[#This Row],[EXISTENCIA]]</f>
        <v>49.699999999999996</v>
      </c>
      <c r="I2161" s="1">
        <f>IF(ISERROR(MATCH(Tabla_Items_Con_Existencia[[#This Row],[CODIGO]],Tabla_Items_Activos[CODIGO],0)),0,1)</f>
        <v>0</v>
      </c>
    </row>
    <row r="2162" spans="1:9">
      <c r="A2162" s="2" t="s">
        <v>6760</v>
      </c>
      <c r="B2162" s="2" t="s">
        <v>2848</v>
      </c>
      <c r="C2162" s="2" t="s">
        <v>2849</v>
      </c>
      <c r="D2162" s="2" t="s">
        <v>5157</v>
      </c>
      <c r="E2162" s="2" t="s">
        <v>5168</v>
      </c>
      <c r="F2162" s="2">
        <v>5.008</v>
      </c>
      <c r="G2162" s="2">
        <v>6</v>
      </c>
      <c r="H2162" s="2">
        <f>Tabla_Items_Con_Existencia[[#This Row],[COSTO]]*Tabla_Items_Con_Existencia[[#This Row],[EXISTENCIA]]</f>
        <v>30.048000000000002</v>
      </c>
      <c r="I2162" s="1">
        <f>IF(ISERROR(MATCH(Tabla_Items_Con_Existencia[[#This Row],[CODIGO]],Tabla_Items_Activos[CODIGO],0)),0,1)</f>
        <v>0</v>
      </c>
    </row>
    <row r="2163" spans="1:9">
      <c r="A2163" s="2" t="s">
        <v>6760</v>
      </c>
      <c r="B2163" s="2" t="s">
        <v>2850</v>
      </c>
      <c r="C2163" s="2" t="s">
        <v>2851</v>
      </c>
      <c r="D2163" s="2" t="s">
        <v>5217</v>
      </c>
      <c r="E2163" s="2" t="s">
        <v>5168</v>
      </c>
      <c r="F2163" s="2">
        <v>24.738947370000002</v>
      </c>
      <c r="G2163" s="2">
        <v>3</v>
      </c>
      <c r="H2163" s="2">
        <f>Tabla_Items_Con_Existencia[[#This Row],[COSTO]]*Tabla_Items_Con_Existencia[[#This Row],[EXISTENCIA]]</f>
        <v>74.216842110000002</v>
      </c>
      <c r="I2163" s="1">
        <f>IF(ISERROR(MATCH(Tabla_Items_Con_Existencia[[#This Row],[CODIGO]],Tabla_Items_Activos[CODIGO],0)),0,1)</f>
        <v>0</v>
      </c>
    </row>
    <row r="2164" spans="1:9">
      <c r="A2164" s="2" t="s">
        <v>6761</v>
      </c>
      <c r="B2164" s="2" t="s">
        <v>2850</v>
      </c>
      <c r="C2164" s="2" t="s">
        <v>2851</v>
      </c>
      <c r="D2164" s="2" t="s">
        <v>5217</v>
      </c>
      <c r="E2164" s="2" t="s">
        <v>5168</v>
      </c>
      <c r="F2164" s="2">
        <v>24.738947370000002</v>
      </c>
      <c r="G2164" s="2">
        <v>3</v>
      </c>
      <c r="H2164" s="2">
        <f>Tabla_Items_Con_Existencia[[#This Row],[COSTO]]*Tabla_Items_Con_Existencia[[#This Row],[EXISTENCIA]]</f>
        <v>74.216842110000002</v>
      </c>
      <c r="I2164" s="1">
        <f>IF(ISERROR(MATCH(Tabla_Items_Con_Existencia[[#This Row],[CODIGO]],Tabla_Items_Activos[CODIGO],0)),0,1)</f>
        <v>0</v>
      </c>
    </row>
    <row r="2165" spans="1:9">
      <c r="A2165" s="2" t="s">
        <v>6760</v>
      </c>
      <c r="B2165" s="2" t="s">
        <v>2852</v>
      </c>
      <c r="C2165" s="2" t="s">
        <v>2853</v>
      </c>
      <c r="D2165" s="2" t="s">
        <v>5157</v>
      </c>
      <c r="E2165" s="2" t="s">
        <v>5168</v>
      </c>
      <c r="F2165" s="2">
        <v>2.7629999999999999</v>
      </c>
      <c r="G2165" s="2">
        <v>4</v>
      </c>
      <c r="H2165" s="2">
        <f>Tabla_Items_Con_Existencia[[#This Row],[COSTO]]*Tabla_Items_Con_Existencia[[#This Row],[EXISTENCIA]]</f>
        <v>11.052</v>
      </c>
      <c r="I2165" s="1">
        <f>IF(ISERROR(MATCH(Tabla_Items_Con_Existencia[[#This Row],[CODIGO]],Tabla_Items_Activos[CODIGO],0)),0,1)</f>
        <v>0</v>
      </c>
    </row>
    <row r="2166" spans="1:9">
      <c r="A2166" s="2" t="s">
        <v>6760</v>
      </c>
      <c r="B2166" s="2" t="s">
        <v>2854</v>
      </c>
      <c r="C2166" s="2" t="s">
        <v>2855</v>
      </c>
      <c r="D2166" s="2" t="s">
        <v>5217</v>
      </c>
      <c r="E2166" s="2" t="s">
        <v>5168</v>
      </c>
      <c r="F2166" s="2">
        <v>0</v>
      </c>
      <c r="G2166" s="2">
        <v>2</v>
      </c>
      <c r="H2166" s="2">
        <f>Tabla_Items_Con_Existencia[[#This Row],[COSTO]]*Tabla_Items_Con_Existencia[[#This Row],[EXISTENCIA]]</f>
        <v>0</v>
      </c>
      <c r="I2166" s="1">
        <f>IF(ISERROR(MATCH(Tabla_Items_Con_Existencia[[#This Row],[CODIGO]],Tabla_Items_Activos[CODIGO],0)),0,1)</f>
        <v>0</v>
      </c>
    </row>
    <row r="2167" spans="1:9">
      <c r="A2167" s="2" t="s">
        <v>6760</v>
      </c>
      <c r="B2167" s="2" t="s">
        <v>2856</v>
      </c>
      <c r="C2167" s="2" t="s">
        <v>2857</v>
      </c>
      <c r="D2167" s="2" t="s">
        <v>5157</v>
      </c>
      <c r="E2167" s="2" t="s">
        <v>5168</v>
      </c>
      <c r="F2167" s="2">
        <v>3.597</v>
      </c>
      <c r="G2167" s="2">
        <v>11</v>
      </c>
      <c r="H2167" s="2">
        <f>Tabla_Items_Con_Existencia[[#This Row],[COSTO]]*Tabla_Items_Con_Existencia[[#This Row],[EXISTENCIA]]</f>
        <v>39.567</v>
      </c>
      <c r="I2167" s="1">
        <f>IF(ISERROR(MATCH(Tabla_Items_Con_Existencia[[#This Row],[CODIGO]],Tabla_Items_Activos[CODIGO],0)),0,1)</f>
        <v>0</v>
      </c>
    </row>
    <row r="2168" spans="1:9">
      <c r="A2168" s="2" t="s">
        <v>6760</v>
      </c>
      <c r="B2168" s="2" t="s">
        <v>2858</v>
      </c>
      <c r="C2168" s="2" t="s">
        <v>2859</v>
      </c>
      <c r="D2168" s="2" t="s">
        <v>5217</v>
      </c>
      <c r="E2168" s="2" t="s">
        <v>5168</v>
      </c>
      <c r="F2168" s="2">
        <v>20.786421050000001</v>
      </c>
      <c r="G2168" s="2">
        <v>4</v>
      </c>
      <c r="H2168" s="2">
        <f>Tabla_Items_Con_Existencia[[#This Row],[COSTO]]*Tabla_Items_Con_Existencia[[#This Row],[EXISTENCIA]]</f>
        <v>83.145684200000005</v>
      </c>
      <c r="I2168" s="1">
        <f>IF(ISERROR(MATCH(Tabla_Items_Con_Existencia[[#This Row],[CODIGO]],Tabla_Items_Activos[CODIGO],0)),0,1)</f>
        <v>0</v>
      </c>
    </row>
    <row r="2169" spans="1:9">
      <c r="A2169" s="2" t="s">
        <v>6761</v>
      </c>
      <c r="B2169" s="2" t="s">
        <v>2858</v>
      </c>
      <c r="C2169" s="2" t="s">
        <v>2859</v>
      </c>
      <c r="D2169" s="2" t="s">
        <v>5217</v>
      </c>
      <c r="E2169" s="2" t="s">
        <v>5168</v>
      </c>
      <c r="F2169" s="2">
        <v>20.786421050000001</v>
      </c>
      <c r="G2169" s="2">
        <v>4</v>
      </c>
      <c r="H2169" s="2">
        <f>Tabla_Items_Con_Existencia[[#This Row],[COSTO]]*Tabla_Items_Con_Existencia[[#This Row],[EXISTENCIA]]</f>
        <v>83.145684200000005</v>
      </c>
      <c r="I2169" s="1">
        <f>IF(ISERROR(MATCH(Tabla_Items_Con_Existencia[[#This Row],[CODIGO]],Tabla_Items_Activos[CODIGO],0)),0,1)</f>
        <v>0</v>
      </c>
    </row>
    <row r="2170" spans="1:9">
      <c r="A2170" s="2" t="s">
        <v>6760</v>
      </c>
      <c r="B2170" s="2" t="s">
        <v>2860</v>
      </c>
      <c r="C2170" s="2" t="s">
        <v>2861</v>
      </c>
      <c r="D2170" s="2" t="s">
        <v>5157</v>
      </c>
      <c r="E2170" s="2" t="s">
        <v>5168</v>
      </c>
      <c r="F2170" s="2">
        <v>0.55000000000000004</v>
      </c>
      <c r="G2170" s="2">
        <v>2</v>
      </c>
      <c r="H2170" s="2">
        <f>Tabla_Items_Con_Existencia[[#This Row],[COSTO]]*Tabla_Items_Con_Existencia[[#This Row],[EXISTENCIA]]</f>
        <v>1.1000000000000001</v>
      </c>
      <c r="I2170" s="1">
        <f>IF(ISERROR(MATCH(Tabla_Items_Con_Existencia[[#This Row],[CODIGO]],Tabla_Items_Activos[CODIGO],0)),0,1)</f>
        <v>0</v>
      </c>
    </row>
    <row r="2171" spans="1:9">
      <c r="A2171" s="2" t="s">
        <v>6760</v>
      </c>
      <c r="B2171" s="2" t="s">
        <v>2862</v>
      </c>
      <c r="C2171" s="2" t="s">
        <v>2863</v>
      </c>
      <c r="D2171" s="2" t="s">
        <v>5157</v>
      </c>
      <c r="E2171" s="2" t="s">
        <v>5168</v>
      </c>
      <c r="F2171" s="2">
        <v>2.056</v>
      </c>
      <c r="G2171" s="2">
        <v>5</v>
      </c>
      <c r="H2171" s="2">
        <f>Tabla_Items_Con_Existencia[[#This Row],[COSTO]]*Tabla_Items_Con_Existencia[[#This Row],[EXISTENCIA]]</f>
        <v>10.280000000000001</v>
      </c>
      <c r="I2171" s="1">
        <f>IF(ISERROR(MATCH(Tabla_Items_Con_Existencia[[#This Row],[CODIGO]],Tabla_Items_Activos[CODIGO],0)),0,1)</f>
        <v>0</v>
      </c>
    </row>
    <row r="2172" spans="1:9">
      <c r="A2172" s="2" t="s">
        <v>6760</v>
      </c>
      <c r="B2172" s="2" t="s">
        <v>2864</v>
      </c>
      <c r="C2172" s="2" t="s">
        <v>6722</v>
      </c>
      <c r="D2172" s="2" t="s">
        <v>5217</v>
      </c>
      <c r="E2172" s="2" t="s">
        <v>5168</v>
      </c>
      <c r="F2172" s="2">
        <v>6.31</v>
      </c>
      <c r="G2172" s="2">
        <v>3</v>
      </c>
      <c r="H2172" s="2">
        <f>Tabla_Items_Con_Existencia[[#This Row],[COSTO]]*Tabla_Items_Con_Existencia[[#This Row],[EXISTENCIA]]</f>
        <v>18.93</v>
      </c>
      <c r="I2172" s="1">
        <f>IF(ISERROR(MATCH(Tabla_Items_Con_Existencia[[#This Row],[CODIGO]],Tabla_Items_Activos[CODIGO],0)),0,1)</f>
        <v>0</v>
      </c>
    </row>
    <row r="2173" spans="1:9">
      <c r="A2173" s="2" t="s">
        <v>6760</v>
      </c>
      <c r="B2173" s="2" t="s">
        <v>2866</v>
      </c>
      <c r="C2173" s="2" t="s">
        <v>2867</v>
      </c>
      <c r="D2173" s="2" t="s">
        <v>5217</v>
      </c>
      <c r="E2173" s="2" t="s">
        <v>5168</v>
      </c>
      <c r="F2173" s="2">
        <v>8.0836000000000006</v>
      </c>
      <c r="G2173" s="2">
        <v>10</v>
      </c>
      <c r="H2173" s="2">
        <f>Tabla_Items_Con_Existencia[[#This Row],[COSTO]]*Tabla_Items_Con_Existencia[[#This Row],[EXISTENCIA]]</f>
        <v>80.836000000000013</v>
      </c>
      <c r="I2173" s="1">
        <f>IF(ISERROR(MATCH(Tabla_Items_Con_Existencia[[#This Row],[CODIGO]],Tabla_Items_Activos[CODIGO],0)),0,1)</f>
        <v>0</v>
      </c>
    </row>
    <row r="2174" spans="1:9">
      <c r="A2174" s="2" t="s">
        <v>6760</v>
      </c>
      <c r="B2174" s="2" t="s">
        <v>2868</v>
      </c>
      <c r="C2174" s="2" t="s">
        <v>2869</v>
      </c>
      <c r="D2174" s="2" t="s">
        <v>5217</v>
      </c>
      <c r="E2174" s="2" t="s">
        <v>5168</v>
      </c>
      <c r="F2174" s="2">
        <v>12.255410530000001</v>
      </c>
      <c r="G2174" s="2">
        <v>8</v>
      </c>
      <c r="H2174" s="2">
        <f>Tabla_Items_Con_Existencia[[#This Row],[COSTO]]*Tabla_Items_Con_Existencia[[#This Row],[EXISTENCIA]]</f>
        <v>98.043284240000006</v>
      </c>
      <c r="I2174" s="1">
        <f>IF(ISERROR(MATCH(Tabla_Items_Con_Existencia[[#This Row],[CODIGO]],Tabla_Items_Activos[CODIGO],0)),0,1)</f>
        <v>0</v>
      </c>
    </row>
    <row r="2175" spans="1:9">
      <c r="A2175" s="2" t="s">
        <v>6761</v>
      </c>
      <c r="B2175" s="2" t="s">
        <v>2868</v>
      </c>
      <c r="C2175" s="2" t="s">
        <v>2869</v>
      </c>
      <c r="D2175" s="2" t="s">
        <v>5217</v>
      </c>
      <c r="E2175" s="2" t="s">
        <v>5168</v>
      </c>
      <c r="F2175" s="2">
        <v>12.255410530000001</v>
      </c>
      <c r="G2175" s="2">
        <v>8</v>
      </c>
      <c r="H2175" s="2">
        <f>Tabla_Items_Con_Existencia[[#This Row],[COSTO]]*Tabla_Items_Con_Existencia[[#This Row],[EXISTENCIA]]</f>
        <v>98.043284240000006</v>
      </c>
      <c r="I2175" s="1">
        <f>IF(ISERROR(MATCH(Tabla_Items_Con_Existencia[[#This Row],[CODIGO]],Tabla_Items_Activos[CODIGO],0)),0,1)</f>
        <v>0</v>
      </c>
    </row>
    <row r="2176" spans="1:9">
      <c r="A2176" s="2" t="s">
        <v>6760</v>
      </c>
      <c r="B2176" s="2" t="s">
        <v>2870</v>
      </c>
      <c r="C2176" s="2" t="s">
        <v>2871</v>
      </c>
      <c r="D2176" s="2" t="s">
        <v>5217</v>
      </c>
      <c r="E2176" s="2" t="s">
        <v>5168</v>
      </c>
      <c r="F2176" s="2">
        <v>0</v>
      </c>
      <c r="G2176" s="2">
        <v>4</v>
      </c>
      <c r="H2176" s="2">
        <f>Tabla_Items_Con_Existencia[[#This Row],[COSTO]]*Tabla_Items_Con_Existencia[[#This Row],[EXISTENCIA]]</f>
        <v>0</v>
      </c>
      <c r="I2176" s="1">
        <f>IF(ISERROR(MATCH(Tabla_Items_Con_Existencia[[#This Row],[CODIGO]],Tabla_Items_Activos[CODIGO],0)),0,1)</f>
        <v>0</v>
      </c>
    </row>
    <row r="2177" spans="1:9">
      <c r="A2177" s="2" t="s">
        <v>6760</v>
      </c>
      <c r="B2177" s="2" t="s">
        <v>2872</v>
      </c>
      <c r="C2177" s="2" t="s">
        <v>2873</v>
      </c>
      <c r="D2177" s="2" t="s">
        <v>5217</v>
      </c>
      <c r="E2177" s="2" t="s">
        <v>5168</v>
      </c>
      <c r="F2177" s="2">
        <v>0</v>
      </c>
      <c r="G2177" s="2">
        <v>2</v>
      </c>
      <c r="H2177" s="2">
        <f>Tabla_Items_Con_Existencia[[#This Row],[COSTO]]*Tabla_Items_Con_Existencia[[#This Row],[EXISTENCIA]]</f>
        <v>0</v>
      </c>
      <c r="I2177" s="1">
        <f>IF(ISERROR(MATCH(Tabla_Items_Con_Existencia[[#This Row],[CODIGO]],Tabla_Items_Activos[CODIGO],0)),0,1)</f>
        <v>0</v>
      </c>
    </row>
    <row r="2178" spans="1:9">
      <c r="A2178" s="2" t="s">
        <v>6760</v>
      </c>
      <c r="B2178" s="2" t="s">
        <v>2874</v>
      </c>
      <c r="C2178" s="2" t="s">
        <v>2875</v>
      </c>
      <c r="D2178" s="2" t="s">
        <v>5217</v>
      </c>
      <c r="E2178" s="2" t="s">
        <v>5168</v>
      </c>
      <c r="F2178" s="2">
        <v>0</v>
      </c>
      <c r="G2178" s="2">
        <v>3</v>
      </c>
      <c r="H2178" s="2">
        <f>Tabla_Items_Con_Existencia[[#This Row],[COSTO]]*Tabla_Items_Con_Existencia[[#This Row],[EXISTENCIA]]</f>
        <v>0</v>
      </c>
      <c r="I2178" s="1">
        <f>IF(ISERROR(MATCH(Tabla_Items_Con_Existencia[[#This Row],[CODIGO]],Tabla_Items_Activos[CODIGO],0)),0,1)</f>
        <v>0</v>
      </c>
    </row>
    <row r="2179" spans="1:9">
      <c r="A2179" s="2" t="s">
        <v>6760</v>
      </c>
      <c r="B2179" s="2" t="s">
        <v>2876</v>
      </c>
      <c r="C2179" s="2" t="s">
        <v>2877</v>
      </c>
      <c r="D2179" s="2" t="s">
        <v>5217</v>
      </c>
      <c r="E2179" s="2" t="s">
        <v>5168</v>
      </c>
      <c r="F2179" s="2">
        <v>0</v>
      </c>
      <c r="G2179" s="2">
        <v>1</v>
      </c>
      <c r="H2179" s="2">
        <f>Tabla_Items_Con_Existencia[[#This Row],[COSTO]]*Tabla_Items_Con_Existencia[[#This Row],[EXISTENCIA]]</f>
        <v>0</v>
      </c>
      <c r="I2179" s="1">
        <f>IF(ISERROR(MATCH(Tabla_Items_Con_Existencia[[#This Row],[CODIGO]],Tabla_Items_Activos[CODIGO],0)),0,1)</f>
        <v>0</v>
      </c>
    </row>
    <row r="2180" spans="1:9">
      <c r="A2180" s="2" t="s">
        <v>6760</v>
      </c>
      <c r="B2180" s="2" t="s">
        <v>2878</v>
      </c>
      <c r="C2180" s="2" t="s">
        <v>2879</v>
      </c>
      <c r="D2180" s="2" t="s">
        <v>5217</v>
      </c>
      <c r="E2180" s="2" t="s">
        <v>5168</v>
      </c>
      <c r="F2180" s="2">
        <v>0</v>
      </c>
      <c r="G2180" s="2">
        <v>2</v>
      </c>
      <c r="H2180" s="2">
        <f>Tabla_Items_Con_Existencia[[#This Row],[COSTO]]*Tabla_Items_Con_Existencia[[#This Row],[EXISTENCIA]]</f>
        <v>0</v>
      </c>
      <c r="I2180" s="1">
        <f>IF(ISERROR(MATCH(Tabla_Items_Con_Existencia[[#This Row],[CODIGO]],Tabla_Items_Activos[CODIGO],0)),0,1)</f>
        <v>0</v>
      </c>
    </row>
    <row r="2181" spans="1:9">
      <c r="A2181" s="2" t="s">
        <v>6760</v>
      </c>
      <c r="B2181" s="2" t="s">
        <v>2880</v>
      </c>
      <c r="C2181" s="2" t="s">
        <v>2881</v>
      </c>
      <c r="D2181" s="2" t="s">
        <v>5217</v>
      </c>
      <c r="E2181" s="2" t="s">
        <v>5168</v>
      </c>
      <c r="F2181" s="2">
        <v>13.50868421</v>
      </c>
      <c r="G2181" s="2">
        <v>8</v>
      </c>
      <c r="H2181" s="2">
        <f>Tabla_Items_Con_Existencia[[#This Row],[COSTO]]*Tabla_Items_Con_Existencia[[#This Row],[EXISTENCIA]]</f>
        <v>108.06947368</v>
      </c>
      <c r="I2181" s="1">
        <f>IF(ISERROR(MATCH(Tabla_Items_Con_Existencia[[#This Row],[CODIGO]],Tabla_Items_Activos[CODIGO],0)),0,1)</f>
        <v>0</v>
      </c>
    </row>
    <row r="2182" spans="1:9">
      <c r="A2182" s="2" t="s">
        <v>6761</v>
      </c>
      <c r="B2182" s="2" t="s">
        <v>2880</v>
      </c>
      <c r="C2182" s="2" t="s">
        <v>2881</v>
      </c>
      <c r="D2182" s="2" t="s">
        <v>5217</v>
      </c>
      <c r="E2182" s="2" t="s">
        <v>5168</v>
      </c>
      <c r="F2182" s="2">
        <v>13.50868421</v>
      </c>
      <c r="G2182" s="2">
        <v>8</v>
      </c>
      <c r="H2182" s="2">
        <f>Tabla_Items_Con_Existencia[[#This Row],[COSTO]]*Tabla_Items_Con_Existencia[[#This Row],[EXISTENCIA]]</f>
        <v>108.06947368</v>
      </c>
      <c r="I2182" s="1">
        <f>IF(ISERROR(MATCH(Tabla_Items_Con_Existencia[[#This Row],[CODIGO]],Tabla_Items_Activos[CODIGO],0)),0,1)</f>
        <v>0</v>
      </c>
    </row>
    <row r="2183" spans="1:9">
      <c r="A2183" s="2" t="s">
        <v>6760</v>
      </c>
      <c r="B2183" s="2" t="s">
        <v>2882</v>
      </c>
      <c r="C2183" s="2" t="s">
        <v>7007</v>
      </c>
      <c r="D2183" s="2" t="s">
        <v>5217</v>
      </c>
      <c r="E2183" s="2" t="s">
        <v>5168</v>
      </c>
      <c r="F2183" s="2">
        <v>8.7315789499999994</v>
      </c>
      <c r="G2183" s="2">
        <v>47.5</v>
      </c>
      <c r="H2183" s="2">
        <f>Tabla_Items_Con_Existencia[[#This Row],[COSTO]]*Tabla_Items_Con_Existencia[[#This Row],[EXISTENCIA]]</f>
        <v>414.75000012499999</v>
      </c>
      <c r="I2183" s="1">
        <f>IF(ISERROR(MATCH(Tabla_Items_Con_Existencia[[#This Row],[CODIGO]],Tabla_Items_Activos[CODIGO],0)),0,1)</f>
        <v>0</v>
      </c>
    </row>
    <row r="2184" spans="1:9">
      <c r="A2184" s="2" t="s">
        <v>6761</v>
      </c>
      <c r="B2184" s="2" t="s">
        <v>2882</v>
      </c>
      <c r="C2184" s="2" t="s">
        <v>7007</v>
      </c>
      <c r="D2184" s="2" t="s">
        <v>5217</v>
      </c>
      <c r="E2184" s="2" t="s">
        <v>5168</v>
      </c>
      <c r="F2184" s="2">
        <v>8.7315789499999994</v>
      </c>
      <c r="G2184" s="2">
        <v>47.5</v>
      </c>
      <c r="H2184" s="2">
        <f>Tabla_Items_Con_Existencia[[#This Row],[COSTO]]*Tabla_Items_Con_Existencia[[#This Row],[EXISTENCIA]]</f>
        <v>414.75000012499999</v>
      </c>
      <c r="I2184" s="1">
        <f>IF(ISERROR(MATCH(Tabla_Items_Con_Existencia[[#This Row],[CODIGO]],Tabla_Items_Activos[CODIGO],0)),0,1)</f>
        <v>0</v>
      </c>
    </row>
    <row r="2185" spans="1:9">
      <c r="A2185" s="2" t="s">
        <v>6760</v>
      </c>
      <c r="B2185" s="2" t="s">
        <v>2884</v>
      </c>
      <c r="C2185" s="2" t="s">
        <v>2885</v>
      </c>
      <c r="D2185" s="2" t="s">
        <v>5217</v>
      </c>
      <c r="E2185" s="2" t="s">
        <v>5168</v>
      </c>
      <c r="F2185" s="2">
        <v>9.3000000000000007</v>
      </c>
      <c r="G2185" s="2">
        <v>8</v>
      </c>
      <c r="H2185" s="2">
        <f>Tabla_Items_Con_Existencia[[#This Row],[COSTO]]*Tabla_Items_Con_Existencia[[#This Row],[EXISTENCIA]]</f>
        <v>74.400000000000006</v>
      </c>
      <c r="I2185" s="1">
        <f>IF(ISERROR(MATCH(Tabla_Items_Con_Existencia[[#This Row],[CODIGO]],Tabla_Items_Activos[CODIGO],0)),0,1)</f>
        <v>0</v>
      </c>
    </row>
    <row r="2186" spans="1:9">
      <c r="A2186" s="2" t="s">
        <v>6760</v>
      </c>
      <c r="B2186" s="2" t="s">
        <v>2886</v>
      </c>
      <c r="C2186" s="2" t="s">
        <v>2887</v>
      </c>
      <c r="D2186" s="2" t="s">
        <v>5216</v>
      </c>
      <c r="E2186" s="2" t="s">
        <v>5168</v>
      </c>
      <c r="F2186" s="2">
        <v>7.8547368400000002</v>
      </c>
      <c r="G2186" s="2">
        <v>58</v>
      </c>
      <c r="H2186" s="2">
        <f>Tabla_Items_Con_Existencia[[#This Row],[COSTO]]*Tabla_Items_Con_Existencia[[#This Row],[EXISTENCIA]]</f>
        <v>455.57473672000003</v>
      </c>
      <c r="I2186" s="1">
        <f>IF(ISERROR(MATCH(Tabla_Items_Con_Existencia[[#This Row],[CODIGO]],Tabla_Items_Activos[CODIGO],0)),0,1)</f>
        <v>0</v>
      </c>
    </row>
    <row r="2187" spans="1:9">
      <c r="A2187" s="2" t="s">
        <v>6761</v>
      </c>
      <c r="B2187" s="2" t="s">
        <v>2886</v>
      </c>
      <c r="C2187" s="2" t="s">
        <v>2887</v>
      </c>
      <c r="D2187" s="2" t="s">
        <v>5216</v>
      </c>
      <c r="E2187" s="2" t="s">
        <v>5168</v>
      </c>
      <c r="F2187" s="2">
        <v>7.8547368400000002</v>
      </c>
      <c r="G2187" s="2">
        <v>58</v>
      </c>
      <c r="H2187" s="2">
        <f>Tabla_Items_Con_Existencia[[#This Row],[COSTO]]*Tabla_Items_Con_Existencia[[#This Row],[EXISTENCIA]]</f>
        <v>455.57473672000003</v>
      </c>
      <c r="I2187" s="1">
        <f>IF(ISERROR(MATCH(Tabla_Items_Con_Existencia[[#This Row],[CODIGO]],Tabla_Items_Activos[CODIGO],0)),0,1)</f>
        <v>0</v>
      </c>
    </row>
    <row r="2188" spans="1:9">
      <c r="A2188" s="2" t="s">
        <v>6760</v>
      </c>
      <c r="B2188" s="2" t="s">
        <v>2888</v>
      </c>
      <c r="C2188" s="2" t="s">
        <v>2889</v>
      </c>
      <c r="D2188" s="2" t="s">
        <v>5170</v>
      </c>
      <c r="E2188" s="2" t="s">
        <v>5168</v>
      </c>
      <c r="F2188" s="2">
        <v>14.375</v>
      </c>
      <c r="G2188" s="2">
        <v>2</v>
      </c>
      <c r="H2188" s="2">
        <f>Tabla_Items_Con_Existencia[[#This Row],[COSTO]]*Tabla_Items_Con_Existencia[[#This Row],[EXISTENCIA]]</f>
        <v>28.75</v>
      </c>
      <c r="I2188" s="1">
        <f>IF(ISERROR(MATCH(Tabla_Items_Con_Existencia[[#This Row],[CODIGO]],Tabla_Items_Activos[CODIGO],0)),0,1)</f>
        <v>0</v>
      </c>
    </row>
    <row r="2189" spans="1:9">
      <c r="A2189" s="2" t="s">
        <v>6760</v>
      </c>
      <c r="B2189" s="2" t="s">
        <v>2890</v>
      </c>
      <c r="C2189" s="2" t="s">
        <v>2891</v>
      </c>
      <c r="D2189" s="2" t="s">
        <v>5171</v>
      </c>
      <c r="E2189" s="2" t="s">
        <v>5168</v>
      </c>
      <c r="F2189" s="2">
        <v>231.40799999999999</v>
      </c>
      <c r="G2189" s="2">
        <v>1</v>
      </c>
      <c r="H2189" s="2">
        <f>Tabla_Items_Con_Existencia[[#This Row],[COSTO]]*Tabla_Items_Con_Existencia[[#This Row],[EXISTENCIA]]</f>
        <v>231.40799999999999</v>
      </c>
      <c r="I2189" s="1">
        <f>IF(ISERROR(MATCH(Tabla_Items_Con_Existencia[[#This Row],[CODIGO]],Tabla_Items_Activos[CODIGO],0)),0,1)</f>
        <v>0</v>
      </c>
    </row>
    <row r="2190" spans="1:9">
      <c r="A2190" s="2" t="s">
        <v>6760</v>
      </c>
      <c r="B2190" s="2" t="s">
        <v>2892</v>
      </c>
      <c r="C2190" s="2" t="s">
        <v>2893</v>
      </c>
      <c r="D2190" s="2" t="s">
        <v>5217</v>
      </c>
      <c r="E2190" s="2" t="s">
        <v>5168</v>
      </c>
      <c r="F2190" s="2">
        <v>10</v>
      </c>
      <c r="G2190" s="2">
        <v>6</v>
      </c>
      <c r="H2190" s="2">
        <f>Tabla_Items_Con_Existencia[[#This Row],[COSTO]]*Tabla_Items_Con_Existencia[[#This Row],[EXISTENCIA]]</f>
        <v>60</v>
      </c>
      <c r="I2190" s="1">
        <f>IF(ISERROR(MATCH(Tabla_Items_Con_Existencia[[#This Row],[CODIGO]],Tabla_Items_Activos[CODIGO],0)),0,1)</f>
        <v>0</v>
      </c>
    </row>
    <row r="2191" spans="1:9">
      <c r="A2191" s="2" t="s">
        <v>6760</v>
      </c>
      <c r="B2191" s="2" t="s">
        <v>2894</v>
      </c>
      <c r="C2191" s="2" t="s">
        <v>2895</v>
      </c>
      <c r="D2191" s="2" t="s">
        <v>5217</v>
      </c>
      <c r="E2191" s="2" t="s">
        <v>5168</v>
      </c>
      <c r="F2191" s="2">
        <v>3.4836999999999998</v>
      </c>
      <c r="G2191" s="2">
        <v>8</v>
      </c>
      <c r="H2191" s="2">
        <f>Tabla_Items_Con_Existencia[[#This Row],[COSTO]]*Tabla_Items_Con_Existencia[[#This Row],[EXISTENCIA]]</f>
        <v>27.869599999999998</v>
      </c>
      <c r="I2191" s="1">
        <f>IF(ISERROR(MATCH(Tabla_Items_Con_Existencia[[#This Row],[CODIGO]],Tabla_Items_Activos[CODIGO],0)),0,1)</f>
        <v>0</v>
      </c>
    </row>
    <row r="2192" spans="1:9">
      <c r="A2192" s="2" t="s">
        <v>6760</v>
      </c>
      <c r="B2192" s="2" t="s">
        <v>2896</v>
      </c>
      <c r="C2192" s="2" t="s">
        <v>2897</v>
      </c>
      <c r="D2192" s="2" t="s">
        <v>5217</v>
      </c>
      <c r="E2192" s="2" t="s">
        <v>5168</v>
      </c>
      <c r="F2192" s="2">
        <v>1.6879999999999999</v>
      </c>
      <c r="G2192" s="2">
        <v>5</v>
      </c>
      <c r="H2192" s="2">
        <f>Tabla_Items_Con_Existencia[[#This Row],[COSTO]]*Tabla_Items_Con_Existencia[[#This Row],[EXISTENCIA]]</f>
        <v>8.44</v>
      </c>
      <c r="I2192" s="1">
        <f>IF(ISERROR(MATCH(Tabla_Items_Con_Existencia[[#This Row],[CODIGO]],Tabla_Items_Activos[CODIGO],0)),0,1)</f>
        <v>0</v>
      </c>
    </row>
    <row r="2193" spans="1:9">
      <c r="A2193" s="2" t="s">
        <v>6760</v>
      </c>
      <c r="B2193" s="2" t="s">
        <v>866</v>
      </c>
      <c r="C2193" s="2" t="s">
        <v>2898</v>
      </c>
      <c r="D2193" s="2" t="s">
        <v>5181</v>
      </c>
      <c r="E2193" s="2" t="s">
        <v>5168</v>
      </c>
      <c r="F2193" s="2">
        <v>824.58</v>
      </c>
      <c r="G2193" s="2">
        <v>1</v>
      </c>
      <c r="H2193" s="2">
        <f>Tabla_Items_Con_Existencia[[#This Row],[COSTO]]*Tabla_Items_Con_Existencia[[#This Row],[EXISTENCIA]]</f>
        <v>824.58</v>
      </c>
      <c r="I2193" s="1">
        <f>IF(ISERROR(MATCH(Tabla_Items_Con_Existencia[[#This Row],[CODIGO]],Tabla_Items_Activos[CODIGO],0)),0,1)</f>
        <v>0</v>
      </c>
    </row>
    <row r="2194" spans="1:9">
      <c r="A2194" s="2" t="s">
        <v>6760</v>
      </c>
      <c r="B2194" s="2" t="s">
        <v>867</v>
      </c>
      <c r="C2194" s="2" t="s">
        <v>2899</v>
      </c>
      <c r="D2194" s="2" t="s">
        <v>5181</v>
      </c>
      <c r="E2194" s="2" t="s">
        <v>5168</v>
      </c>
      <c r="F2194" s="2">
        <v>913.7</v>
      </c>
      <c r="G2194" s="2">
        <v>1</v>
      </c>
      <c r="H2194" s="2">
        <f>Tabla_Items_Con_Existencia[[#This Row],[COSTO]]*Tabla_Items_Con_Existencia[[#This Row],[EXISTENCIA]]</f>
        <v>913.7</v>
      </c>
      <c r="I2194" s="1">
        <f>IF(ISERROR(MATCH(Tabla_Items_Con_Existencia[[#This Row],[CODIGO]],Tabla_Items_Activos[CODIGO],0)),0,1)</f>
        <v>0</v>
      </c>
    </row>
    <row r="2195" spans="1:9">
      <c r="A2195" s="2" t="s">
        <v>6760</v>
      </c>
      <c r="B2195" s="2" t="s">
        <v>2901</v>
      </c>
      <c r="C2195" s="2" t="s">
        <v>2902</v>
      </c>
      <c r="D2195" s="2" t="s">
        <v>5217</v>
      </c>
      <c r="E2195" s="2" t="s">
        <v>5168</v>
      </c>
      <c r="F2195" s="2">
        <v>8.59</v>
      </c>
      <c r="G2195" s="2">
        <v>4</v>
      </c>
      <c r="H2195" s="2">
        <f>Tabla_Items_Con_Existencia[[#This Row],[COSTO]]*Tabla_Items_Con_Existencia[[#This Row],[EXISTENCIA]]</f>
        <v>34.36</v>
      </c>
      <c r="I2195" s="1">
        <f>IF(ISERROR(MATCH(Tabla_Items_Con_Existencia[[#This Row],[CODIGO]],Tabla_Items_Activos[CODIGO],0)),0,1)</f>
        <v>0</v>
      </c>
    </row>
    <row r="2196" spans="1:9">
      <c r="A2196" s="2" t="s">
        <v>6760</v>
      </c>
      <c r="B2196" s="2" t="s">
        <v>2903</v>
      </c>
      <c r="C2196" s="2" t="s">
        <v>2904</v>
      </c>
      <c r="D2196" s="2" t="s">
        <v>5217</v>
      </c>
      <c r="E2196" s="2" t="s">
        <v>5168</v>
      </c>
      <c r="F2196" s="2">
        <v>12.65</v>
      </c>
      <c r="G2196" s="2">
        <v>4</v>
      </c>
      <c r="H2196" s="2">
        <f>Tabla_Items_Con_Existencia[[#This Row],[COSTO]]*Tabla_Items_Con_Existencia[[#This Row],[EXISTENCIA]]</f>
        <v>50.6</v>
      </c>
      <c r="I2196" s="1">
        <f>IF(ISERROR(MATCH(Tabla_Items_Con_Existencia[[#This Row],[CODIGO]],Tabla_Items_Activos[CODIGO],0)),0,1)</f>
        <v>0</v>
      </c>
    </row>
    <row r="2197" spans="1:9">
      <c r="A2197" s="2" t="s">
        <v>6760</v>
      </c>
      <c r="B2197" s="2" t="s">
        <v>870</v>
      </c>
      <c r="C2197" s="2" t="s">
        <v>2906</v>
      </c>
      <c r="D2197" s="2" t="s">
        <v>5220</v>
      </c>
      <c r="E2197" s="2" t="s">
        <v>5168</v>
      </c>
      <c r="F2197" s="2">
        <v>950.07</v>
      </c>
      <c r="G2197" s="2">
        <v>1</v>
      </c>
      <c r="H2197" s="2">
        <f>Tabla_Items_Con_Existencia[[#This Row],[COSTO]]*Tabla_Items_Con_Existencia[[#This Row],[EXISTENCIA]]</f>
        <v>950.07</v>
      </c>
      <c r="I2197" s="1">
        <f>IF(ISERROR(MATCH(Tabla_Items_Con_Existencia[[#This Row],[CODIGO]],Tabla_Items_Activos[CODIGO],0)),0,1)</f>
        <v>0</v>
      </c>
    </row>
    <row r="2198" spans="1:9">
      <c r="A2198" s="2" t="s">
        <v>6759</v>
      </c>
      <c r="B2198" s="2" t="s">
        <v>2909</v>
      </c>
      <c r="C2198" s="2" t="s">
        <v>2910</v>
      </c>
      <c r="D2198" s="2" t="s">
        <v>5211</v>
      </c>
      <c r="E2198" s="2" t="s">
        <v>5213</v>
      </c>
      <c r="F2198" s="2">
        <v>3.4851999999999999</v>
      </c>
      <c r="G2198" s="2">
        <v>10</v>
      </c>
      <c r="H2198" s="2">
        <f>Tabla_Items_Con_Existencia[[#This Row],[COSTO]]*Tabla_Items_Con_Existencia[[#This Row],[EXISTENCIA]]</f>
        <v>34.851999999999997</v>
      </c>
      <c r="I2198" s="1">
        <f>IF(ISERROR(MATCH(Tabla_Items_Con_Existencia[[#This Row],[CODIGO]],Tabla_Items_Activos[CODIGO],0)),0,1)</f>
        <v>0</v>
      </c>
    </row>
    <row r="2199" spans="1:9">
      <c r="A2199" s="2" t="s">
        <v>6759</v>
      </c>
      <c r="B2199" s="2" t="s">
        <v>2911</v>
      </c>
      <c r="C2199" s="2" t="s">
        <v>2912</v>
      </c>
      <c r="D2199" s="2" t="s">
        <v>5209</v>
      </c>
      <c r="E2199" s="2" t="s">
        <v>5212</v>
      </c>
      <c r="F2199" s="2">
        <v>22.457000000000001</v>
      </c>
      <c r="G2199" s="2">
        <v>15</v>
      </c>
      <c r="H2199" s="2">
        <f>Tabla_Items_Con_Existencia[[#This Row],[COSTO]]*Tabla_Items_Con_Existencia[[#This Row],[EXISTENCIA]]</f>
        <v>336.85500000000002</v>
      </c>
      <c r="I2199" s="1">
        <f>IF(ISERROR(MATCH(Tabla_Items_Con_Existencia[[#This Row],[CODIGO]],Tabla_Items_Activos[CODIGO],0)),0,1)</f>
        <v>0</v>
      </c>
    </row>
    <row r="2200" spans="1:9">
      <c r="A2200" s="2" t="s">
        <v>6761</v>
      </c>
      <c r="B2200" s="2" t="s">
        <v>2915</v>
      </c>
      <c r="C2200" s="2" t="s">
        <v>2916</v>
      </c>
      <c r="D2200" s="2" t="s">
        <v>5211</v>
      </c>
      <c r="E2200" s="2" t="s">
        <v>5213</v>
      </c>
      <c r="F2200" s="2">
        <v>1.00488</v>
      </c>
      <c r="G2200" s="2">
        <v>242</v>
      </c>
      <c r="H2200" s="2">
        <f>Tabla_Items_Con_Existencia[[#This Row],[COSTO]]*Tabla_Items_Con_Existencia[[#This Row],[EXISTENCIA]]</f>
        <v>243.18096</v>
      </c>
      <c r="I2200" s="1">
        <f>IF(ISERROR(MATCH(Tabla_Items_Con_Existencia[[#This Row],[CODIGO]],Tabla_Items_Activos[CODIGO],0)),0,1)</f>
        <v>0</v>
      </c>
    </row>
    <row r="2201" spans="1:9">
      <c r="A2201" s="2" t="s">
        <v>6759</v>
      </c>
      <c r="B2201" s="2" t="s">
        <v>2915</v>
      </c>
      <c r="C2201" s="2" t="s">
        <v>2916</v>
      </c>
      <c r="D2201" s="2" t="s">
        <v>5211</v>
      </c>
      <c r="E2201" s="2" t="s">
        <v>5213</v>
      </c>
      <c r="F2201" s="2">
        <v>1.00488</v>
      </c>
      <c r="G2201" s="2">
        <v>242</v>
      </c>
      <c r="H2201" s="2">
        <f>Tabla_Items_Con_Existencia[[#This Row],[COSTO]]*Tabla_Items_Con_Existencia[[#This Row],[EXISTENCIA]]</f>
        <v>243.18096</v>
      </c>
      <c r="I2201" s="1">
        <f>IF(ISERROR(MATCH(Tabla_Items_Con_Existencia[[#This Row],[CODIGO]],Tabla_Items_Activos[CODIGO],0)),0,1)</f>
        <v>0</v>
      </c>
    </row>
    <row r="2202" spans="1:9">
      <c r="A2202" s="2" t="s">
        <v>6759</v>
      </c>
      <c r="B2202" s="2" t="s">
        <v>2917</v>
      </c>
      <c r="C2202" s="2" t="s">
        <v>2918</v>
      </c>
      <c r="D2202" s="2" t="s">
        <v>5211</v>
      </c>
      <c r="E2202" s="2" t="s">
        <v>5213</v>
      </c>
      <c r="F2202" s="2">
        <v>11.621</v>
      </c>
      <c r="G2202" s="2">
        <v>9</v>
      </c>
      <c r="H2202" s="2">
        <f>Tabla_Items_Con_Existencia[[#This Row],[COSTO]]*Tabla_Items_Con_Existencia[[#This Row],[EXISTENCIA]]</f>
        <v>104.589</v>
      </c>
      <c r="I2202" s="1">
        <f>IF(ISERROR(MATCH(Tabla_Items_Con_Existencia[[#This Row],[CODIGO]],Tabla_Items_Activos[CODIGO],0)),0,1)</f>
        <v>0</v>
      </c>
    </row>
    <row r="2203" spans="1:9">
      <c r="A2203" s="2" t="s">
        <v>6759</v>
      </c>
      <c r="B2203" s="2" t="s">
        <v>2919</v>
      </c>
      <c r="C2203" s="2" t="s">
        <v>2920</v>
      </c>
      <c r="D2203" s="2" t="s">
        <v>5211</v>
      </c>
      <c r="E2203" s="2" t="s">
        <v>5213</v>
      </c>
      <c r="F2203" s="2">
        <v>0.90300000000000002</v>
      </c>
      <c r="G2203" s="2">
        <v>2</v>
      </c>
      <c r="H2203" s="2">
        <f>Tabla_Items_Con_Existencia[[#This Row],[COSTO]]*Tabla_Items_Con_Existencia[[#This Row],[EXISTENCIA]]</f>
        <v>1.806</v>
      </c>
      <c r="I2203" s="1">
        <f>IF(ISERROR(MATCH(Tabla_Items_Con_Existencia[[#This Row],[CODIGO]],Tabla_Items_Activos[CODIGO],0)),0,1)</f>
        <v>0</v>
      </c>
    </row>
    <row r="2204" spans="1:9">
      <c r="A2204" s="2" t="s">
        <v>6760</v>
      </c>
      <c r="B2204" s="2" t="s">
        <v>2921</v>
      </c>
      <c r="C2204" s="2" t="s">
        <v>2922</v>
      </c>
      <c r="D2204" s="2" t="s">
        <v>5157</v>
      </c>
      <c r="E2204" s="2" t="s">
        <v>5192</v>
      </c>
      <c r="F2204" s="2">
        <v>0.3</v>
      </c>
      <c r="G2204" s="2">
        <v>19</v>
      </c>
      <c r="H2204" s="2">
        <f>Tabla_Items_Con_Existencia[[#This Row],[COSTO]]*Tabla_Items_Con_Existencia[[#This Row],[EXISTENCIA]]</f>
        <v>5.7</v>
      </c>
      <c r="I2204" s="1">
        <f>IF(ISERROR(MATCH(Tabla_Items_Con_Existencia[[#This Row],[CODIGO]],Tabla_Items_Activos[CODIGO],0)),0,1)</f>
        <v>0</v>
      </c>
    </row>
    <row r="2205" spans="1:9">
      <c r="A2205" s="2" t="s">
        <v>6760</v>
      </c>
      <c r="B2205" s="2" t="s">
        <v>2923</v>
      </c>
      <c r="C2205" s="2" t="s">
        <v>2924</v>
      </c>
      <c r="D2205" s="2" t="s">
        <v>5157</v>
      </c>
      <c r="E2205" s="2" t="s">
        <v>5192</v>
      </c>
      <c r="F2205" s="2">
        <v>0.75</v>
      </c>
      <c r="G2205" s="2">
        <v>1</v>
      </c>
      <c r="H2205" s="2">
        <f>Tabla_Items_Con_Existencia[[#This Row],[COSTO]]*Tabla_Items_Con_Existencia[[#This Row],[EXISTENCIA]]</f>
        <v>0.75</v>
      </c>
      <c r="I2205" s="1">
        <f>IF(ISERROR(MATCH(Tabla_Items_Con_Existencia[[#This Row],[CODIGO]],Tabla_Items_Activos[CODIGO],0)),0,1)</f>
        <v>0</v>
      </c>
    </row>
    <row r="2206" spans="1:9">
      <c r="A2206" s="2" t="s">
        <v>6760</v>
      </c>
      <c r="B2206" s="2" t="s">
        <v>2925</v>
      </c>
      <c r="C2206" s="2" t="s">
        <v>2926</v>
      </c>
      <c r="D2206" s="2" t="s">
        <v>5157</v>
      </c>
      <c r="E2206" s="2" t="s">
        <v>5192</v>
      </c>
      <c r="F2206" s="2">
        <v>0.89</v>
      </c>
      <c r="G2206" s="2">
        <v>9</v>
      </c>
      <c r="H2206" s="2">
        <f>Tabla_Items_Con_Existencia[[#This Row],[COSTO]]*Tabla_Items_Con_Existencia[[#This Row],[EXISTENCIA]]</f>
        <v>8.01</v>
      </c>
      <c r="I2206" s="1">
        <f>IF(ISERROR(MATCH(Tabla_Items_Con_Existencia[[#This Row],[CODIGO]],Tabla_Items_Activos[CODIGO],0)),0,1)</f>
        <v>0</v>
      </c>
    </row>
    <row r="2207" spans="1:9">
      <c r="A2207" s="2" t="s">
        <v>6760</v>
      </c>
      <c r="B2207" s="2" t="s">
        <v>2927</v>
      </c>
      <c r="C2207" s="2" t="s">
        <v>2928</v>
      </c>
      <c r="D2207" s="2" t="s">
        <v>5157</v>
      </c>
      <c r="E2207" s="2" t="s">
        <v>5192</v>
      </c>
      <c r="F2207" s="2">
        <v>0.75</v>
      </c>
      <c r="G2207" s="2">
        <v>26</v>
      </c>
      <c r="H2207" s="2">
        <f>Tabla_Items_Con_Existencia[[#This Row],[COSTO]]*Tabla_Items_Con_Existencia[[#This Row],[EXISTENCIA]]</f>
        <v>19.5</v>
      </c>
      <c r="I2207" s="1">
        <f>IF(ISERROR(MATCH(Tabla_Items_Con_Existencia[[#This Row],[CODIGO]],Tabla_Items_Activos[CODIGO],0)),0,1)</f>
        <v>0</v>
      </c>
    </row>
    <row r="2208" spans="1:9">
      <c r="A2208" s="2" t="s">
        <v>6760</v>
      </c>
      <c r="B2208" s="2" t="s">
        <v>2929</v>
      </c>
      <c r="C2208" s="2" t="s">
        <v>2930</v>
      </c>
      <c r="D2208" s="2" t="s">
        <v>5157</v>
      </c>
      <c r="E2208" s="2" t="s">
        <v>5192</v>
      </c>
      <c r="F2208" s="2">
        <v>2.5000000000000001E-2</v>
      </c>
      <c r="G2208" s="2">
        <v>104</v>
      </c>
      <c r="H2208" s="2">
        <f>Tabla_Items_Con_Existencia[[#This Row],[COSTO]]*Tabla_Items_Con_Existencia[[#This Row],[EXISTENCIA]]</f>
        <v>2.6</v>
      </c>
      <c r="I2208" s="1">
        <f>IF(ISERROR(MATCH(Tabla_Items_Con_Existencia[[#This Row],[CODIGO]],Tabla_Items_Activos[CODIGO],0)),0,1)</f>
        <v>0</v>
      </c>
    </row>
    <row r="2209" spans="1:9">
      <c r="A2209" s="2" t="s">
        <v>6760</v>
      </c>
      <c r="B2209" s="2" t="s">
        <v>2931</v>
      </c>
      <c r="C2209" s="2" t="s">
        <v>2932</v>
      </c>
      <c r="D2209" s="2" t="s">
        <v>5157</v>
      </c>
      <c r="E2209" s="2" t="s">
        <v>5192</v>
      </c>
      <c r="F2209" s="2">
        <v>2.7E-2</v>
      </c>
      <c r="G2209" s="2">
        <v>6</v>
      </c>
      <c r="H2209" s="2">
        <f>Tabla_Items_Con_Existencia[[#This Row],[COSTO]]*Tabla_Items_Con_Existencia[[#This Row],[EXISTENCIA]]</f>
        <v>0.16200000000000001</v>
      </c>
      <c r="I2209" s="1">
        <f>IF(ISERROR(MATCH(Tabla_Items_Con_Existencia[[#This Row],[CODIGO]],Tabla_Items_Activos[CODIGO],0)),0,1)</f>
        <v>0</v>
      </c>
    </row>
    <row r="2210" spans="1:9">
      <c r="A2210" s="2" t="s">
        <v>6760</v>
      </c>
      <c r="B2210" s="2" t="s">
        <v>7008</v>
      </c>
      <c r="C2210" s="2" t="s">
        <v>7009</v>
      </c>
      <c r="D2210" s="2" t="s">
        <v>5166</v>
      </c>
      <c r="E2210" s="2" t="s">
        <v>5192</v>
      </c>
      <c r="F2210" s="2">
        <v>0.37298889000000002</v>
      </c>
      <c r="G2210" s="2">
        <v>4542</v>
      </c>
      <c r="H2210" s="2">
        <f>Tabla_Items_Con_Existencia[[#This Row],[COSTO]]*Tabla_Items_Con_Existencia[[#This Row],[EXISTENCIA]]</f>
        <v>1694.1155383800001</v>
      </c>
      <c r="I2210" s="1">
        <f>IF(ISERROR(MATCH(Tabla_Items_Con_Existencia[[#This Row],[CODIGO]],Tabla_Items_Activos[CODIGO],0)),0,1)</f>
        <v>0</v>
      </c>
    </row>
    <row r="2211" spans="1:9">
      <c r="A2211" s="2" t="s">
        <v>6761</v>
      </c>
      <c r="B2211" s="2" t="s">
        <v>7008</v>
      </c>
      <c r="C2211" s="2" t="s">
        <v>7009</v>
      </c>
      <c r="D2211" s="2" t="s">
        <v>5166</v>
      </c>
      <c r="E2211" s="2" t="s">
        <v>5192</v>
      </c>
      <c r="F2211" s="2">
        <v>0.37298889000000002</v>
      </c>
      <c r="G2211" s="2">
        <v>4542</v>
      </c>
      <c r="H2211" s="2">
        <f>Tabla_Items_Con_Existencia[[#This Row],[COSTO]]*Tabla_Items_Con_Existencia[[#This Row],[EXISTENCIA]]</f>
        <v>1694.1155383800001</v>
      </c>
      <c r="I2211" s="1">
        <f>IF(ISERROR(MATCH(Tabla_Items_Con_Existencia[[#This Row],[CODIGO]],Tabla_Items_Activos[CODIGO],0)),0,1)</f>
        <v>0</v>
      </c>
    </row>
    <row r="2212" spans="1:9">
      <c r="A2212" s="2" t="s">
        <v>6759</v>
      </c>
      <c r="B2212" s="2" t="s">
        <v>7008</v>
      </c>
      <c r="C2212" s="2" t="s">
        <v>7009</v>
      </c>
      <c r="D2212" s="2" t="s">
        <v>5166</v>
      </c>
      <c r="E2212" s="2" t="s">
        <v>5192</v>
      </c>
      <c r="F2212" s="2">
        <v>0.37298889000000002</v>
      </c>
      <c r="G2212" s="2">
        <v>4542</v>
      </c>
      <c r="H2212" s="2">
        <f>Tabla_Items_Con_Existencia[[#This Row],[COSTO]]*Tabla_Items_Con_Existencia[[#This Row],[EXISTENCIA]]</f>
        <v>1694.1155383800001</v>
      </c>
      <c r="I2212" s="1">
        <f>IF(ISERROR(MATCH(Tabla_Items_Con_Existencia[[#This Row],[CODIGO]],Tabla_Items_Activos[CODIGO],0)),0,1)</f>
        <v>0</v>
      </c>
    </row>
    <row r="2213" spans="1:9">
      <c r="A2213" s="2" t="s">
        <v>6760</v>
      </c>
      <c r="B2213" s="2" t="s">
        <v>2933</v>
      </c>
      <c r="C2213" s="2" t="s">
        <v>2934</v>
      </c>
      <c r="D2213" s="2" t="s">
        <v>5157</v>
      </c>
      <c r="E2213" s="2" t="s">
        <v>5192</v>
      </c>
      <c r="F2213" s="2">
        <v>48.34</v>
      </c>
      <c r="G2213" s="2">
        <v>2</v>
      </c>
      <c r="H2213" s="2">
        <f>Tabla_Items_Con_Existencia[[#This Row],[COSTO]]*Tabla_Items_Con_Existencia[[#This Row],[EXISTENCIA]]</f>
        <v>96.68</v>
      </c>
      <c r="I2213" s="1">
        <f>IF(ISERROR(MATCH(Tabla_Items_Con_Existencia[[#This Row],[CODIGO]],Tabla_Items_Activos[CODIGO],0)),0,1)</f>
        <v>0</v>
      </c>
    </row>
    <row r="2214" spans="1:9">
      <c r="A2214" s="2" t="s">
        <v>6760</v>
      </c>
      <c r="B2214" s="2" t="s">
        <v>2935</v>
      </c>
      <c r="C2214" s="2" t="s">
        <v>2936</v>
      </c>
      <c r="D2214" s="2" t="s">
        <v>5157</v>
      </c>
      <c r="E2214" s="2" t="s">
        <v>5192</v>
      </c>
      <c r="F2214" s="2">
        <v>158.27000000000001</v>
      </c>
      <c r="G2214" s="2">
        <v>4</v>
      </c>
      <c r="H2214" s="2">
        <f>Tabla_Items_Con_Existencia[[#This Row],[COSTO]]*Tabla_Items_Con_Existencia[[#This Row],[EXISTENCIA]]</f>
        <v>633.08000000000004</v>
      </c>
      <c r="I2214" s="1">
        <f>IF(ISERROR(MATCH(Tabla_Items_Con_Existencia[[#This Row],[CODIGO]],Tabla_Items_Activos[CODIGO],0)),0,1)</f>
        <v>0</v>
      </c>
    </row>
    <row r="2215" spans="1:9">
      <c r="A2215" s="2" t="s">
        <v>6760</v>
      </c>
      <c r="B2215" s="2" t="s">
        <v>2937</v>
      </c>
      <c r="C2215" s="2" t="s">
        <v>2938</v>
      </c>
      <c r="D2215" s="2" t="s">
        <v>5157</v>
      </c>
      <c r="E2215" s="2" t="s">
        <v>5192</v>
      </c>
      <c r="F2215" s="2">
        <v>210</v>
      </c>
      <c r="G2215" s="2">
        <v>2</v>
      </c>
      <c r="H2215" s="2">
        <f>Tabla_Items_Con_Existencia[[#This Row],[COSTO]]*Tabla_Items_Con_Existencia[[#This Row],[EXISTENCIA]]</f>
        <v>420</v>
      </c>
      <c r="I2215" s="1">
        <f>IF(ISERROR(MATCH(Tabla_Items_Con_Existencia[[#This Row],[CODIGO]],Tabla_Items_Activos[CODIGO],0)),0,1)</f>
        <v>0</v>
      </c>
    </row>
    <row r="2216" spans="1:9">
      <c r="A2216" s="2" t="s">
        <v>6760</v>
      </c>
      <c r="B2216" s="2" t="s">
        <v>2939</v>
      </c>
      <c r="C2216" s="2" t="s">
        <v>2940</v>
      </c>
      <c r="D2216" s="2" t="s">
        <v>5157</v>
      </c>
      <c r="E2216" s="2" t="s">
        <v>5192</v>
      </c>
      <c r="F2216" s="2">
        <v>58.68</v>
      </c>
      <c r="G2216" s="2">
        <v>5</v>
      </c>
      <c r="H2216" s="2">
        <f>Tabla_Items_Con_Existencia[[#This Row],[COSTO]]*Tabla_Items_Con_Existencia[[#This Row],[EXISTENCIA]]</f>
        <v>293.39999999999998</v>
      </c>
      <c r="I2216" s="1">
        <f>IF(ISERROR(MATCH(Tabla_Items_Con_Existencia[[#This Row],[CODIGO]],Tabla_Items_Activos[CODIGO],0)),0,1)</f>
        <v>0</v>
      </c>
    </row>
    <row r="2217" spans="1:9">
      <c r="A2217" s="2" t="s">
        <v>6760</v>
      </c>
      <c r="B2217" s="2" t="s">
        <v>2941</v>
      </c>
      <c r="C2217" s="2" t="s">
        <v>2942</v>
      </c>
      <c r="D2217" s="2" t="s">
        <v>5157</v>
      </c>
      <c r="E2217" s="2" t="s">
        <v>5192</v>
      </c>
      <c r="F2217" s="2">
        <v>103.76</v>
      </c>
      <c r="G2217" s="2">
        <v>3</v>
      </c>
      <c r="H2217" s="2">
        <f>Tabla_Items_Con_Existencia[[#This Row],[COSTO]]*Tabla_Items_Con_Existencia[[#This Row],[EXISTENCIA]]</f>
        <v>311.28000000000003</v>
      </c>
      <c r="I2217" s="1">
        <f>IF(ISERROR(MATCH(Tabla_Items_Con_Existencia[[#This Row],[CODIGO]],Tabla_Items_Activos[CODIGO],0)),0,1)</f>
        <v>0</v>
      </c>
    </row>
    <row r="2218" spans="1:9">
      <c r="A2218" s="2" t="s">
        <v>6760</v>
      </c>
      <c r="B2218" s="2" t="s">
        <v>2943</v>
      </c>
      <c r="C2218" s="2" t="s">
        <v>2944</v>
      </c>
      <c r="D2218" s="2" t="s">
        <v>5157</v>
      </c>
      <c r="E2218" s="2" t="s">
        <v>5192</v>
      </c>
      <c r="F2218" s="2">
        <v>107.17736841999999</v>
      </c>
      <c r="G2218" s="2">
        <v>2</v>
      </c>
      <c r="H2218" s="2">
        <f>Tabla_Items_Con_Existencia[[#This Row],[COSTO]]*Tabla_Items_Con_Existencia[[#This Row],[EXISTENCIA]]</f>
        <v>214.35473683999999</v>
      </c>
      <c r="I2218" s="1">
        <f>IF(ISERROR(MATCH(Tabla_Items_Con_Existencia[[#This Row],[CODIGO]],Tabla_Items_Activos[CODIGO],0)),0,1)</f>
        <v>0</v>
      </c>
    </row>
    <row r="2219" spans="1:9">
      <c r="A2219" s="2" t="s">
        <v>6761</v>
      </c>
      <c r="B2219" s="2" t="s">
        <v>2943</v>
      </c>
      <c r="C2219" s="2" t="s">
        <v>2944</v>
      </c>
      <c r="D2219" s="2" t="s">
        <v>5157</v>
      </c>
      <c r="E2219" s="2" t="s">
        <v>5192</v>
      </c>
      <c r="F2219" s="2">
        <v>107.17736841999999</v>
      </c>
      <c r="G2219" s="2">
        <v>2</v>
      </c>
      <c r="H2219" s="2">
        <f>Tabla_Items_Con_Existencia[[#This Row],[COSTO]]*Tabla_Items_Con_Existencia[[#This Row],[EXISTENCIA]]</f>
        <v>214.35473683999999</v>
      </c>
      <c r="I2219" s="1">
        <f>IF(ISERROR(MATCH(Tabla_Items_Con_Existencia[[#This Row],[CODIGO]],Tabla_Items_Activos[CODIGO],0)),0,1)</f>
        <v>0</v>
      </c>
    </row>
    <row r="2220" spans="1:9">
      <c r="A2220" s="2" t="s">
        <v>6760</v>
      </c>
      <c r="B2220" s="2" t="s">
        <v>2945</v>
      </c>
      <c r="C2220" s="2" t="s">
        <v>2946</v>
      </c>
      <c r="D2220" s="2" t="s">
        <v>5230</v>
      </c>
      <c r="E2220" s="2" t="s">
        <v>5168</v>
      </c>
      <c r="F2220" s="2">
        <v>398.19353158000001</v>
      </c>
      <c r="G2220" s="2">
        <v>7</v>
      </c>
      <c r="H2220" s="2">
        <f>Tabla_Items_Con_Existencia[[#This Row],[COSTO]]*Tabla_Items_Con_Existencia[[#This Row],[EXISTENCIA]]</f>
        <v>2787.35472106</v>
      </c>
      <c r="I2220" s="1">
        <f>IF(ISERROR(MATCH(Tabla_Items_Con_Existencia[[#This Row],[CODIGO]],Tabla_Items_Activos[CODIGO],0)),0,1)</f>
        <v>0</v>
      </c>
    </row>
    <row r="2221" spans="1:9">
      <c r="A2221" s="2" t="s">
        <v>6761</v>
      </c>
      <c r="B2221" s="2" t="s">
        <v>2945</v>
      </c>
      <c r="C2221" s="2" t="s">
        <v>2946</v>
      </c>
      <c r="D2221" s="2" t="s">
        <v>5230</v>
      </c>
      <c r="E2221" s="2" t="s">
        <v>5168</v>
      </c>
      <c r="F2221" s="2">
        <v>398.19353158000001</v>
      </c>
      <c r="G2221" s="2">
        <v>7</v>
      </c>
      <c r="H2221" s="2">
        <f>Tabla_Items_Con_Existencia[[#This Row],[COSTO]]*Tabla_Items_Con_Existencia[[#This Row],[EXISTENCIA]]</f>
        <v>2787.35472106</v>
      </c>
      <c r="I2221" s="1">
        <f>IF(ISERROR(MATCH(Tabla_Items_Con_Existencia[[#This Row],[CODIGO]],Tabla_Items_Activos[CODIGO],0)),0,1)</f>
        <v>0</v>
      </c>
    </row>
    <row r="2222" spans="1:9">
      <c r="A2222" s="2" t="s">
        <v>6760</v>
      </c>
      <c r="B2222" s="2" t="s">
        <v>871</v>
      </c>
      <c r="C2222" s="2" t="s">
        <v>2947</v>
      </c>
      <c r="D2222" s="2" t="s">
        <v>5169</v>
      </c>
      <c r="E2222" s="2" t="s">
        <v>5168</v>
      </c>
      <c r="F2222" s="2">
        <v>1415.3097894699999</v>
      </c>
      <c r="G2222" s="2">
        <v>23</v>
      </c>
      <c r="H2222" s="2">
        <f>Tabla_Items_Con_Existencia[[#This Row],[COSTO]]*Tabla_Items_Con_Existencia[[#This Row],[EXISTENCIA]]</f>
        <v>32552.125157809998</v>
      </c>
      <c r="I2222" s="1">
        <f>IF(ISERROR(MATCH(Tabla_Items_Con_Existencia[[#This Row],[CODIGO]],Tabla_Items_Activos[CODIGO],0)),0,1)</f>
        <v>0</v>
      </c>
    </row>
    <row r="2223" spans="1:9">
      <c r="A2223" s="2" t="s">
        <v>6761</v>
      </c>
      <c r="B2223" s="2" t="s">
        <v>871</v>
      </c>
      <c r="C2223" s="2" t="s">
        <v>2947</v>
      </c>
      <c r="D2223" s="2" t="s">
        <v>5169</v>
      </c>
      <c r="E2223" s="2" t="s">
        <v>5168</v>
      </c>
      <c r="F2223" s="2">
        <v>1415.3097894699999</v>
      </c>
      <c r="G2223" s="2">
        <v>23</v>
      </c>
      <c r="H2223" s="2">
        <f>Tabla_Items_Con_Existencia[[#This Row],[COSTO]]*Tabla_Items_Con_Existencia[[#This Row],[EXISTENCIA]]</f>
        <v>32552.125157809998</v>
      </c>
      <c r="I2223" s="1">
        <f>IF(ISERROR(MATCH(Tabla_Items_Con_Existencia[[#This Row],[CODIGO]],Tabla_Items_Activos[CODIGO],0)),0,1)</f>
        <v>0</v>
      </c>
    </row>
    <row r="2224" spans="1:9">
      <c r="A2224" s="2" t="s">
        <v>6760</v>
      </c>
      <c r="B2224" s="2" t="s">
        <v>872</v>
      </c>
      <c r="C2224" s="2" t="s">
        <v>5772</v>
      </c>
      <c r="D2224" s="2" t="s">
        <v>5169</v>
      </c>
      <c r="E2224" s="2" t="s">
        <v>5168</v>
      </c>
      <c r="F2224" s="2">
        <v>675.10105263000003</v>
      </c>
      <c r="G2224" s="2">
        <v>9</v>
      </c>
      <c r="H2224" s="2">
        <f>Tabla_Items_Con_Existencia[[#This Row],[COSTO]]*Tabla_Items_Con_Existencia[[#This Row],[EXISTENCIA]]</f>
        <v>6075.9094736699999</v>
      </c>
      <c r="I2224" s="1">
        <f>IF(ISERROR(MATCH(Tabla_Items_Con_Existencia[[#This Row],[CODIGO]],Tabla_Items_Activos[CODIGO],0)),0,1)</f>
        <v>0</v>
      </c>
    </row>
    <row r="2225" spans="1:9">
      <c r="A2225" s="2" t="s">
        <v>6761</v>
      </c>
      <c r="B2225" s="2" t="s">
        <v>872</v>
      </c>
      <c r="C2225" s="2" t="s">
        <v>5772</v>
      </c>
      <c r="D2225" s="2" t="s">
        <v>5169</v>
      </c>
      <c r="E2225" s="2" t="s">
        <v>5168</v>
      </c>
      <c r="F2225" s="2">
        <v>675.10105263000003</v>
      </c>
      <c r="G2225" s="2">
        <v>9</v>
      </c>
      <c r="H2225" s="2">
        <f>Tabla_Items_Con_Existencia[[#This Row],[COSTO]]*Tabla_Items_Con_Existencia[[#This Row],[EXISTENCIA]]</f>
        <v>6075.9094736699999</v>
      </c>
      <c r="I2225" s="1">
        <f>IF(ISERROR(MATCH(Tabla_Items_Con_Existencia[[#This Row],[CODIGO]],Tabla_Items_Activos[CODIGO],0)),0,1)</f>
        <v>0</v>
      </c>
    </row>
    <row r="2226" spans="1:9">
      <c r="A2226" s="2" t="s">
        <v>6760</v>
      </c>
      <c r="B2226" s="2" t="s">
        <v>873</v>
      </c>
      <c r="C2226" s="2" t="s">
        <v>2948</v>
      </c>
      <c r="D2226" s="2" t="s">
        <v>5174</v>
      </c>
      <c r="E2226" s="2" t="s">
        <v>5168</v>
      </c>
      <c r="F2226" s="2">
        <v>0.73799999999999999</v>
      </c>
      <c r="G2226" s="2">
        <v>70</v>
      </c>
      <c r="H2226" s="2">
        <f>Tabla_Items_Con_Existencia[[#This Row],[COSTO]]*Tabla_Items_Con_Existencia[[#This Row],[EXISTENCIA]]</f>
        <v>51.66</v>
      </c>
      <c r="I2226" s="1">
        <f>IF(ISERROR(MATCH(Tabla_Items_Con_Existencia[[#This Row],[CODIGO]],Tabla_Items_Activos[CODIGO],0)),0,1)</f>
        <v>0</v>
      </c>
    </row>
    <row r="2227" spans="1:9">
      <c r="A2227" s="2" t="s">
        <v>6760</v>
      </c>
      <c r="B2227" s="2" t="s">
        <v>2949</v>
      </c>
      <c r="C2227" s="2" t="s">
        <v>2950</v>
      </c>
      <c r="D2227" s="2" t="s">
        <v>5174</v>
      </c>
      <c r="E2227" s="2" t="s">
        <v>5168</v>
      </c>
      <c r="F2227" s="2">
        <v>1.5880000000000001</v>
      </c>
      <c r="G2227" s="2">
        <v>6</v>
      </c>
      <c r="H2227" s="2">
        <f>Tabla_Items_Con_Existencia[[#This Row],[COSTO]]*Tabla_Items_Con_Existencia[[#This Row],[EXISTENCIA]]</f>
        <v>9.5280000000000005</v>
      </c>
      <c r="I2227" s="1">
        <f>IF(ISERROR(MATCH(Tabla_Items_Con_Existencia[[#This Row],[CODIGO]],Tabla_Items_Activos[CODIGO],0)),0,1)</f>
        <v>0</v>
      </c>
    </row>
    <row r="2228" spans="1:9">
      <c r="A2228" s="2" t="s">
        <v>6760</v>
      </c>
      <c r="B2228" s="2" t="s">
        <v>2951</v>
      </c>
      <c r="C2228" s="2" t="s">
        <v>2952</v>
      </c>
      <c r="D2228" s="2" t="s">
        <v>5170</v>
      </c>
      <c r="E2228" s="2" t="s">
        <v>5168</v>
      </c>
      <c r="F2228" s="2">
        <v>3.6589999999999998</v>
      </c>
      <c r="G2228" s="2">
        <v>9</v>
      </c>
      <c r="H2228" s="2">
        <f>Tabla_Items_Con_Existencia[[#This Row],[COSTO]]*Tabla_Items_Con_Existencia[[#This Row],[EXISTENCIA]]</f>
        <v>32.930999999999997</v>
      </c>
      <c r="I2228" s="1">
        <f>IF(ISERROR(MATCH(Tabla_Items_Con_Existencia[[#This Row],[CODIGO]],Tabla_Items_Activos[CODIGO],0)),0,1)</f>
        <v>0</v>
      </c>
    </row>
    <row r="2229" spans="1:9">
      <c r="A2229" s="2" t="s">
        <v>6760</v>
      </c>
      <c r="B2229" s="2" t="s">
        <v>2953</v>
      </c>
      <c r="C2229" s="2" t="s">
        <v>2954</v>
      </c>
      <c r="D2229" s="2" t="s">
        <v>5170</v>
      </c>
      <c r="E2229" s="2" t="s">
        <v>5168</v>
      </c>
      <c r="F2229" s="2">
        <v>4.41</v>
      </c>
      <c r="G2229" s="2">
        <v>3</v>
      </c>
      <c r="H2229" s="2">
        <f>Tabla_Items_Con_Existencia[[#This Row],[COSTO]]*Tabla_Items_Con_Existencia[[#This Row],[EXISTENCIA]]</f>
        <v>13.23</v>
      </c>
      <c r="I2229" s="1">
        <f>IF(ISERROR(MATCH(Tabla_Items_Con_Existencia[[#This Row],[CODIGO]],Tabla_Items_Activos[CODIGO],0)),0,1)</f>
        <v>0</v>
      </c>
    </row>
    <row r="2230" spans="1:9">
      <c r="A2230" s="2" t="s">
        <v>6760</v>
      </c>
      <c r="B2230" s="2" t="s">
        <v>874</v>
      </c>
      <c r="C2230" s="2" t="s">
        <v>2955</v>
      </c>
      <c r="D2230" s="2" t="s">
        <v>5170</v>
      </c>
      <c r="E2230" s="2" t="s">
        <v>5168</v>
      </c>
      <c r="F2230" s="2">
        <v>4.57</v>
      </c>
      <c r="G2230" s="2">
        <v>3</v>
      </c>
      <c r="H2230" s="2">
        <f>Tabla_Items_Con_Existencia[[#This Row],[COSTO]]*Tabla_Items_Con_Existencia[[#This Row],[EXISTENCIA]]</f>
        <v>13.71</v>
      </c>
      <c r="I2230" s="1">
        <f>IF(ISERROR(MATCH(Tabla_Items_Con_Existencia[[#This Row],[CODIGO]],Tabla_Items_Activos[CODIGO],0)),0,1)</f>
        <v>0</v>
      </c>
    </row>
    <row r="2231" spans="1:9">
      <c r="A2231" s="2" t="s">
        <v>6760</v>
      </c>
      <c r="B2231" s="2" t="s">
        <v>2956</v>
      </c>
      <c r="C2231" s="2" t="s">
        <v>7010</v>
      </c>
      <c r="D2231" s="2" t="s">
        <v>5184</v>
      </c>
      <c r="E2231" s="2" t="s">
        <v>5168</v>
      </c>
      <c r="F2231" s="2">
        <v>4.6890000000000001</v>
      </c>
      <c r="G2231" s="2">
        <v>10</v>
      </c>
      <c r="H2231" s="2">
        <f>Tabla_Items_Con_Existencia[[#This Row],[COSTO]]*Tabla_Items_Con_Existencia[[#This Row],[EXISTENCIA]]</f>
        <v>46.89</v>
      </c>
      <c r="I2231" s="1">
        <f>IF(ISERROR(MATCH(Tabla_Items_Con_Existencia[[#This Row],[CODIGO]],Tabla_Items_Activos[CODIGO],0)),0,1)</f>
        <v>0</v>
      </c>
    </row>
    <row r="2232" spans="1:9">
      <c r="A2232" s="2" t="s">
        <v>6760</v>
      </c>
      <c r="B2232" s="2" t="s">
        <v>875</v>
      </c>
      <c r="C2232" s="2" t="s">
        <v>2958</v>
      </c>
      <c r="D2232" s="2" t="s">
        <v>5170</v>
      </c>
      <c r="E2232" s="2" t="s">
        <v>5168</v>
      </c>
      <c r="F2232" s="2">
        <v>5.556</v>
      </c>
      <c r="G2232" s="2">
        <v>4</v>
      </c>
      <c r="H2232" s="2">
        <f>Tabla_Items_Con_Existencia[[#This Row],[COSTO]]*Tabla_Items_Con_Existencia[[#This Row],[EXISTENCIA]]</f>
        <v>22.224</v>
      </c>
      <c r="I2232" s="1">
        <f>IF(ISERROR(MATCH(Tabla_Items_Con_Existencia[[#This Row],[CODIGO]],Tabla_Items_Activos[CODIGO],0)),0,1)</f>
        <v>0</v>
      </c>
    </row>
    <row r="2233" spans="1:9">
      <c r="A2233" s="2" t="s">
        <v>6760</v>
      </c>
      <c r="B2233" s="2" t="s">
        <v>2959</v>
      </c>
      <c r="C2233" s="2" t="s">
        <v>2960</v>
      </c>
      <c r="D2233" s="2" t="s">
        <v>5174</v>
      </c>
      <c r="E2233" s="2" t="s">
        <v>5168</v>
      </c>
      <c r="F2233" s="2">
        <v>6.625</v>
      </c>
      <c r="G2233" s="2">
        <v>2</v>
      </c>
      <c r="H2233" s="2">
        <f>Tabla_Items_Con_Existencia[[#This Row],[COSTO]]*Tabla_Items_Con_Existencia[[#This Row],[EXISTENCIA]]</f>
        <v>13.25</v>
      </c>
      <c r="I2233" s="1">
        <f>IF(ISERROR(MATCH(Tabla_Items_Con_Existencia[[#This Row],[CODIGO]],Tabla_Items_Activos[CODIGO],0)),0,1)</f>
        <v>0</v>
      </c>
    </row>
    <row r="2234" spans="1:9">
      <c r="A2234" s="2" t="s">
        <v>6760</v>
      </c>
      <c r="B2234" s="2" t="s">
        <v>876</v>
      </c>
      <c r="C2234" s="2" t="s">
        <v>2961</v>
      </c>
      <c r="D2234" s="2" t="s">
        <v>5170</v>
      </c>
      <c r="E2234" s="2" t="s">
        <v>5168</v>
      </c>
      <c r="F2234" s="2">
        <v>15.803800000000001</v>
      </c>
      <c r="G2234" s="2">
        <v>9</v>
      </c>
      <c r="H2234" s="2">
        <f>Tabla_Items_Con_Existencia[[#This Row],[COSTO]]*Tabla_Items_Con_Existencia[[#This Row],[EXISTENCIA]]</f>
        <v>142.23420000000002</v>
      </c>
      <c r="I2234" s="1">
        <f>IF(ISERROR(MATCH(Tabla_Items_Con_Existencia[[#This Row],[CODIGO]],Tabla_Items_Activos[CODIGO],0)),0,1)</f>
        <v>0</v>
      </c>
    </row>
    <row r="2235" spans="1:9">
      <c r="A2235" s="2" t="s">
        <v>6761</v>
      </c>
      <c r="B2235" s="2" t="s">
        <v>877</v>
      </c>
      <c r="C2235" s="2" t="s">
        <v>2962</v>
      </c>
      <c r="D2235" s="2" t="s">
        <v>5170</v>
      </c>
      <c r="E2235" s="2" t="s">
        <v>5168</v>
      </c>
      <c r="F2235" s="2">
        <v>18.807947370000001</v>
      </c>
      <c r="G2235" s="2">
        <v>13</v>
      </c>
      <c r="H2235" s="2">
        <f>Tabla_Items_Con_Existencia[[#This Row],[COSTO]]*Tabla_Items_Con_Existencia[[#This Row],[EXISTENCIA]]</f>
        <v>244.50331581</v>
      </c>
      <c r="I2235" s="1">
        <f>IF(ISERROR(MATCH(Tabla_Items_Con_Existencia[[#This Row],[CODIGO]],Tabla_Items_Activos[CODIGO],0)),0,1)</f>
        <v>0</v>
      </c>
    </row>
    <row r="2236" spans="1:9">
      <c r="A2236" s="2" t="s">
        <v>6760</v>
      </c>
      <c r="B2236" s="2" t="s">
        <v>877</v>
      </c>
      <c r="C2236" s="2" t="s">
        <v>2962</v>
      </c>
      <c r="D2236" s="2" t="s">
        <v>5170</v>
      </c>
      <c r="E2236" s="2" t="s">
        <v>5168</v>
      </c>
      <c r="F2236" s="2">
        <v>18.807947370000001</v>
      </c>
      <c r="G2236" s="2">
        <v>13</v>
      </c>
      <c r="H2236" s="2">
        <f>Tabla_Items_Con_Existencia[[#This Row],[COSTO]]*Tabla_Items_Con_Existencia[[#This Row],[EXISTENCIA]]</f>
        <v>244.50331581</v>
      </c>
      <c r="I2236" s="1">
        <f>IF(ISERROR(MATCH(Tabla_Items_Con_Existencia[[#This Row],[CODIGO]],Tabla_Items_Activos[CODIGO],0)),0,1)</f>
        <v>0</v>
      </c>
    </row>
    <row r="2237" spans="1:9">
      <c r="A2237" s="2" t="s">
        <v>6760</v>
      </c>
      <c r="B2237" s="2" t="s">
        <v>878</v>
      </c>
      <c r="C2237" s="2" t="s">
        <v>2963</v>
      </c>
      <c r="D2237" s="2" t="s">
        <v>5170</v>
      </c>
      <c r="E2237" s="2" t="s">
        <v>5168</v>
      </c>
      <c r="F2237" s="2">
        <v>19.172999999999998</v>
      </c>
      <c r="G2237" s="2">
        <v>3</v>
      </c>
      <c r="H2237" s="2">
        <f>Tabla_Items_Con_Existencia[[#This Row],[COSTO]]*Tabla_Items_Con_Existencia[[#This Row],[EXISTENCIA]]</f>
        <v>57.518999999999991</v>
      </c>
      <c r="I2237" s="1">
        <f>IF(ISERROR(MATCH(Tabla_Items_Con_Existencia[[#This Row],[CODIGO]],Tabla_Items_Activos[CODIGO],0)),0,1)</f>
        <v>0</v>
      </c>
    </row>
    <row r="2238" spans="1:9">
      <c r="A2238" s="2" t="s">
        <v>6760</v>
      </c>
      <c r="B2238" s="2" t="s">
        <v>879</v>
      </c>
      <c r="C2238" s="2" t="s">
        <v>5773</v>
      </c>
      <c r="D2238" s="2" t="s">
        <v>5183</v>
      </c>
      <c r="E2238" s="2" t="s">
        <v>5168</v>
      </c>
      <c r="F2238" s="2">
        <v>8.25</v>
      </c>
      <c r="G2238" s="2">
        <v>2</v>
      </c>
      <c r="H2238" s="2">
        <f>Tabla_Items_Con_Existencia[[#This Row],[COSTO]]*Tabla_Items_Con_Existencia[[#This Row],[EXISTENCIA]]</f>
        <v>16.5</v>
      </c>
      <c r="I2238" s="1">
        <f>IF(ISERROR(MATCH(Tabla_Items_Con_Existencia[[#This Row],[CODIGO]],Tabla_Items_Activos[CODIGO],0)),0,1)</f>
        <v>0</v>
      </c>
    </row>
    <row r="2239" spans="1:9">
      <c r="A2239" s="2" t="s">
        <v>6760</v>
      </c>
      <c r="B2239" s="2" t="s">
        <v>2964</v>
      </c>
      <c r="C2239" s="2" t="s">
        <v>2965</v>
      </c>
      <c r="D2239" s="2" t="s">
        <v>5170</v>
      </c>
      <c r="E2239" s="2" t="s">
        <v>5168</v>
      </c>
      <c r="F2239" s="2">
        <v>18.062999999999999</v>
      </c>
      <c r="G2239" s="2">
        <v>6</v>
      </c>
      <c r="H2239" s="2">
        <f>Tabla_Items_Con_Existencia[[#This Row],[COSTO]]*Tabla_Items_Con_Existencia[[#This Row],[EXISTENCIA]]</f>
        <v>108.37799999999999</v>
      </c>
      <c r="I2239" s="1">
        <f>IF(ISERROR(MATCH(Tabla_Items_Con_Existencia[[#This Row],[CODIGO]],Tabla_Items_Activos[CODIGO],0)),0,1)</f>
        <v>0</v>
      </c>
    </row>
    <row r="2240" spans="1:9">
      <c r="A2240" s="2" t="s">
        <v>6760</v>
      </c>
      <c r="B2240" s="2" t="s">
        <v>880</v>
      </c>
      <c r="C2240" s="2" t="s">
        <v>7011</v>
      </c>
      <c r="D2240" s="2" t="s">
        <v>5170</v>
      </c>
      <c r="E2240" s="2" t="s">
        <v>5168</v>
      </c>
      <c r="F2240" s="2">
        <v>26.295000000000002</v>
      </c>
      <c r="G2240" s="2">
        <v>2</v>
      </c>
      <c r="H2240" s="2">
        <f>Tabla_Items_Con_Existencia[[#This Row],[COSTO]]*Tabla_Items_Con_Existencia[[#This Row],[EXISTENCIA]]</f>
        <v>52.59</v>
      </c>
      <c r="I2240" s="1">
        <f>IF(ISERROR(MATCH(Tabla_Items_Con_Existencia[[#This Row],[CODIGO]],Tabla_Items_Activos[CODIGO],0)),0,1)</f>
        <v>0</v>
      </c>
    </row>
    <row r="2241" spans="1:9">
      <c r="A2241" s="2" t="s">
        <v>6760</v>
      </c>
      <c r="B2241" s="2" t="s">
        <v>881</v>
      </c>
      <c r="C2241" s="2" t="s">
        <v>2967</v>
      </c>
      <c r="D2241" s="2" t="s">
        <v>5170</v>
      </c>
      <c r="E2241" s="2" t="s">
        <v>5168</v>
      </c>
      <c r="F2241" s="2">
        <v>42.392000000000003</v>
      </c>
      <c r="G2241" s="2">
        <v>5</v>
      </c>
      <c r="H2241" s="2">
        <f>Tabla_Items_Con_Existencia[[#This Row],[COSTO]]*Tabla_Items_Con_Existencia[[#This Row],[EXISTENCIA]]</f>
        <v>211.96</v>
      </c>
      <c r="I2241" s="1">
        <f>IF(ISERROR(MATCH(Tabla_Items_Con_Existencia[[#This Row],[CODIGO]],Tabla_Items_Activos[CODIGO],0)),0,1)</f>
        <v>0</v>
      </c>
    </row>
    <row r="2242" spans="1:9">
      <c r="A2242" s="2" t="s">
        <v>6760</v>
      </c>
      <c r="B2242" s="2" t="s">
        <v>882</v>
      </c>
      <c r="C2242" s="2" t="s">
        <v>2968</v>
      </c>
      <c r="D2242" s="2" t="s">
        <v>5170</v>
      </c>
      <c r="E2242" s="2" t="s">
        <v>5168</v>
      </c>
      <c r="F2242" s="2">
        <v>46.344999999999999</v>
      </c>
      <c r="G2242" s="2">
        <v>3</v>
      </c>
      <c r="H2242" s="2">
        <f>Tabla_Items_Con_Existencia[[#This Row],[COSTO]]*Tabla_Items_Con_Existencia[[#This Row],[EXISTENCIA]]</f>
        <v>139.035</v>
      </c>
      <c r="I2242" s="1">
        <f>IF(ISERROR(MATCH(Tabla_Items_Con_Existencia[[#This Row],[CODIGO]],Tabla_Items_Activos[CODIGO],0)),0,1)</f>
        <v>0</v>
      </c>
    </row>
    <row r="2243" spans="1:9">
      <c r="A2243" s="2" t="s">
        <v>6760</v>
      </c>
      <c r="B2243" s="2" t="s">
        <v>2969</v>
      </c>
      <c r="C2243" s="2" t="s">
        <v>2970</v>
      </c>
      <c r="D2243" s="2" t="s">
        <v>5171</v>
      </c>
      <c r="E2243" s="2" t="s">
        <v>5168</v>
      </c>
      <c r="F2243" s="2">
        <v>73.19</v>
      </c>
      <c r="G2243" s="2">
        <v>1</v>
      </c>
      <c r="H2243" s="2">
        <f>Tabla_Items_Con_Existencia[[#This Row],[COSTO]]*Tabla_Items_Con_Existencia[[#This Row],[EXISTENCIA]]</f>
        <v>73.19</v>
      </c>
      <c r="I2243" s="1">
        <f>IF(ISERROR(MATCH(Tabla_Items_Con_Existencia[[#This Row],[CODIGO]],Tabla_Items_Activos[CODIGO],0)),0,1)</f>
        <v>0</v>
      </c>
    </row>
    <row r="2244" spans="1:9">
      <c r="A2244" s="2" t="s">
        <v>6760</v>
      </c>
      <c r="B2244" s="2" t="s">
        <v>883</v>
      </c>
      <c r="C2244" s="2" t="s">
        <v>5774</v>
      </c>
      <c r="D2244" s="2" t="s">
        <v>5170</v>
      </c>
      <c r="E2244" s="2" t="s">
        <v>5168</v>
      </c>
      <c r="F2244" s="2">
        <v>66.37</v>
      </c>
      <c r="G2244" s="2">
        <v>5</v>
      </c>
      <c r="H2244" s="2">
        <f>Tabla_Items_Con_Existencia[[#This Row],[COSTO]]*Tabla_Items_Con_Existencia[[#This Row],[EXISTENCIA]]</f>
        <v>331.85</v>
      </c>
      <c r="I2244" s="1">
        <f>IF(ISERROR(MATCH(Tabla_Items_Con_Existencia[[#This Row],[CODIGO]],Tabla_Items_Activos[CODIGO],0)),0,1)</f>
        <v>0</v>
      </c>
    </row>
    <row r="2245" spans="1:9">
      <c r="A2245" s="2" t="s">
        <v>6760</v>
      </c>
      <c r="B2245" s="2" t="s">
        <v>884</v>
      </c>
      <c r="C2245" s="2" t="s">
        <v>2971</v>
      </c>
      <c r="D2245" s="2" t="s">
        <v>5170</v>
      </c>
      <c r="E2245" s="2" t="s">
        <v>5168</v>
      </c>
      <c r="F2245" s="2">
        <v>75.878600000000006</v>
      </c>
      <c r="G2245" s="2">
        <v>7</v>
      </c>
      <c r="H2245" s="2">
        <f>Tabla_Items_Con_Existencia[[#This Row],[COSTO]]*Tabla_Items_Con_Existencia[[#This Row],[EXISTENCIA]]</f>
        <v>531.15020000000004</v>
      </c>
      <c r="I2245" s="1">
        <f>IF(ISERROR(MATCH(Tabla_Items_Con_Existencia[[#This Row],[CODIGO]],Tabla_Items_Activos[CODIGO],0)),0,1)</f>
        <v>0</v>
      </c>
    </row>
    <row r="2246" spans="1:9">
      <c r="A2246" s="2" t="s">
        <v>6760</v>
      </c>
      <c r="B2246" s="2" t="s">
        <v>2972</v>
      </c>
      <c r="C2246" s="2" t="s">
        <v>2973</v>
      </c>
      <c r="D2246" s="2" t="s">
        <v>5171</v>
      </c>
      <c r="E2246" s="2" t="s">
        <v>5168</v>
      </c>
      <c r="F2246" s="2">
        <v>81.481999999999999</v>
      </c>
      <c r="G2246" s="2">
        <v>2</v>
      </c>
      <c r="H2246" s="2">
        <f>Tabla_Items_Con_Existencia[[#This Row],[COSTO]]*Tabla_Items_Con_Existencia[[#This Row],[EXISTENCIA]]</f>
        <v>162.964</v>
      </c>
      <c r="I2246" s="1">
        <f>IF(ISERROR(MATCH(Tabla_Items_Con_Existencia[[#This Row],[CODIGO]],Tabla_Items_Activos[CODIGO],0)),0,1)</f>
        <v>0</v>
      </c>
    </row>
    <row r="2247" spans="1:9">
      <c r="A2247" s="2" t="s">
        <v>6760</v>
      </c>
      <c r="B2247" s="2" t="s">
        <v>2974</v>
      </c>
      <c r="C2247" s="2" t="s">
        <v>2975</v>
      </c>
      <c r="D2247" s="2" t="s">
        <v>5170</v>
      </c>
      <c r="E2247" s="2" t="s">
        <v>5168</v>
      </c>
      <c r="F2247" s="2">
        <v>70.521000000000001</v>
      </c>
      <c r="G2247" s="2">
        <v>5</v>
      </c>
      <c r="H2247" s="2">
        <f>Tabla_Items_Con_Existencia[[#This Row],[COSTO]]*Tabla_Items_Con_Existencia[[#This Row],[EXISTENCIA]]</f>
        <v>352.60500000000002</v>
      </c>
      <c r="I2247" s="1">
        <f>IF(ISERROR(MATCH(Tabla_Items_Con_Existencia[[#This Row],[CODIGO]],Tabla_Items_Activos[CODIGO],0)),0,1)</f>
        <v>0</v>
      </c>
    </row>
    <row r="2248" spans="1:9">
      <c r="A2248" s="2" t="s">
        <v>6760</v>
      </c>
      <c r="B2248" s="2" t="s">
        <v>885</v>
      </c>
      <c r="C2248" s="2" t="s">
        <v>2976</v>
      </c>
      <c r="D2248" s="2" t="s">
        <v>5170</v>
      </c>
      <c r="E2248" s="2" t="s">
        <v>5168</v>
      </c>
      <c r="F2248" s="2">
        <v>94.597999999999999</v>
      </c>
      <c r="G2248" s="2">
        <v>4</v>
      </c>
      <c r="H2248" s="2">
        <f>Tabla_Items_Con_Existencia[[#This Row],[COSTO]]*Tabla_Items_Con_Existencia[[#This Row],[EXISTENCIA]]</f>
        <v>378.392</v>
      </c>
      <c r="I2248" s="1">
        <f>IF(ISERROR(MATCH(Tabla_Items_Con_Existencia[[#This Row],[CODIGO]],Tabla_Items_Activos[CODIGO],0)),0,1)</f>
        <v>0</v>
      </c>
    </row>
    <row r="2249" spans="1:9">
      <c r="A2249" s="2" t="s">
        <v>6760</v>
      </c>
      <c r="B2249" s="2" t="s">
        <v>2977</v>
      </c>
      <c r="C2249" s="2" t="s">
        <v>2978</v>
      </c>
      <c r="D2249" s="2" t="s">
        <v>5179</v>
      </c>
      <c r="E2249" s="2" t="s">
        <v>5168</v>
      </c>
      <c r="F2249" s="2">
        <v>554.66999999999996</v>
      </c>
      <c r="G2249" s="2">
        <v>1</v>
      </c>
      <c r="H2249" s="2">
        <f>Tabla_Items_Con_Existencia[[#This Row],[COSTO]]*Tabla_Items_Con_Existencia[[#This Row],[EXISTENCIA]]</f>
        <v>554.66999999999996</v>
      </c>
      <c r="I2249" s="1">
        <f>IF(ISERROR(MATCH(Tabla_Items_Con_Existencia[[#This Row],[CODIGO]],Tabla_Items_Activos[CODIGO],0)),0,1)</f>
        <v>0</v>
      </c>
    </row>
    <row r="2250" spans="1:9">
      <c r="A2250" s="2" t="s">
        <v>6760</v>
      </c>
      <c r="B2250" s="2" t="s">
        <v>887</v>
      </c>
      <c r="C2250" s="2" t="s">
        <v>2979</v>
      </c>
      <c r="D2250" s="2" t="s">
        <v>5169</v>
      </c>
      <c r="E2250" s="2" t="s">
        <v>5168</v>
      </c>
      <c r="F2250" s="2">
        <v>760.41610525999999</v>
      </c>
      <c r="G2250" s="2">
        <v>15</v>
      </c>
      <c r="H2250" s="2">
        <f>Tabla_Items_Con_Existencia[[#This Row],[COSTO]]*Tabla_Items_Con_Existencia[[#This Row],[EXISTENCIA]]</f>
        <v>11406.241578900001</v>
      </c>
      <c r="I2250" s="1">
        <f>IF(ISERROR(MATCH(Tabla_Items_Con_Existencia[[#This Row],[CODIGO]],Tabla_Items_Activos[CODIGO],0)),0,1)</f>
        <v>0</v>
      </c>
    </row>
    <row r="2251" spans="1:9">
      <c r="A2251" s="2" t="s">
        <v>6761</v>
      </c>
      <c r="B2251" s="2" t="s">
        <v>887</v>
      </c>
      <c r="C2251" s="2" t="s">
        <v>2979</v>
      </c>
      <c r="D2251" s="2" t="s">
        <v>5169</v>
      </c>
      <c r="E2251" s="2" t="s">
        <v>5168</v>
      </c>
      <c r="F2251" s="2">
        <v>760.41610525999999</v>
      </c>
      <c r="G2251" s="2">
        <v>15</v>
      </c>
      <c r="H2251" s="2">
        <f>Tabla_Items_Con_Existencia[[#This Row],[COSTO]]*Tabla_Items_Con_Existencia[[#This Row],[EXISTENCIA]]</f>
        <v>11406.241578900001</v>
      </c>
      <c r="I2251" s="1">
        <f>IF(ISERROR(MATCH(Tabla_Items_Con_Existencia[[#This Row],[CODIGO]],Tabla_Items_Activos[CODIGO],0)),0,1)</f>
        <v>0</v>
      </c>
    </row>
    <row r="2252" spans="1:9">
      <c r="A2252" s="2" t="s">
        <v>6760</v>
      </c>
      <c r="B2252" s="2" t="s">
        <v>2980</v>
      </c>
      <c r="C2252" s="2" t="s">
        <v>2981</v>
      </c>
      <c r="D2252" s="2" t="s">
        <v>5170</v>
      </c>
      <c r="E2252" s="2" t="s">
        <v>5168</v>
      </c>
      <c r="F2252" s="2">
        <v>0.01</v>
      </c>
      <c r="G2252" s="2">
        <v>1</v>
      </c>
      <c r="H2252" s="2">
        <f>Tabla_Items_Con_Existencia[[#This Row],[COSTO]]*Tabla_Items_Con_Existencia[[#This Row],[EXISTENCIA]]</f>
        <v>0.01</v>
      </c>
      <c r="I2252" s="1">
        <f>IF(ISERROR(MATCH(Tabla_Items_Con_Existencia[[#This Row],[CODIGO]],Tabla_Items_Activos[CODIGO],0)),0,1)</f>
        <v>0</v>
      </c>
    </row>
    <row r="2253" spans="1:9">
      <c r="A2253" s="2" t="s">
        <v>6760</v>
      </c>
      <c r="B2253" s="2" t="s">
        <v>2982</v>
      </c>
      <c r="C2253" s="2" t="s">
        <v>2983</v>
      </c>
      <c r="D2253" s="2" t="s">
        <v>7363</v>
      </c>
      <c r="E2253" s="2" t="s">
        <v>5168</v>
      </c>
      <c r="F2253" s="2">
        <v>40.42</v>
      </c>
      <c r="G2253" s="2">
        <v>2</v>
      </c>
      <c r="H2253" s="2">
        <f>Tabla_Items_Con_Existencia[[#This Row],[COSTO]]*Tabla_Items_Con_Existencia[[#This Row],[EXISTENCIA]]</f>
        <v>80.84</v>
      </c>
      <c r="I2253" s="1">
        <f>IF(ISERROR(MATCH(Tabla_Items_Con_Existencia[[#This Row],[CODIGO]],Tabla_Items_Activos[CODIGO],0)),0,1)</f>
        <v>0</v>
      </c>
    </row>
    <row r="2254" spans="1:9">
      <c r="A2254" s="2" t="s">
        <v>6760</v>
      </c>
      <c r="B2254" s="2" t="s">
        <v>889</v>
      </c>
      <c r="C2254" s="2" t="s">
        <v>2985</v>
      </c>
      <c r="D2254" s="2" t="s">
        <v>5176</v>
      </c>
      <c r="E2254" s="2" t="s">
        <v>5168</v>
      </c>
      <c r="F2254" s="2">
        <v>638.21700525999995</v>
      </c>
      <c r="G2254" s="2">
        <v>2</v>
      </c>
      <c r="H2254" s="2">
        <f>Tabla_Items_Con_Existencia[[#This Row],[COSTO]]*Tabla_Items_Con_Existencia[[#This Row],[EXISTENCIA]]</f>
        <v>1276.4340105199999</v>
      </c>
      <c r="I2254" s="1">
        <f>IF(ISERROR(MATCH(Tabla_Items_Con_Existencia[[#This Row],[CODIGO]],Tabla_Items_Activos[CODIGO],0)),0,1)</f>
        <v>0</v>
      </c>
    </row>
    <row r="2255" spans="1:9">
      <c r="A2255" s="2" t="s">
        <v>6761</v>
      </c>
      <c r="B2255" s="2" t="s">
        <v>889</v>
      </c>
      <c r="C2255" s="2" t="s">
        <v>2985</v>
      </c>
      <c r="D2255" s="2" t="s">
        <v>5176</v>
      </c>
      <c r="E2255" s="2" t="s">
        <v>5168</v>
      </c>
      <c r="F2255" s="2">
        <v>638.21700525999995</v>
      </c>
      <c r="G2255" s="2">
        <v>2</v>
      </c>
      <c r="H2255" s="2">
        <f>Tabla_Items_Con_Existencia[[#This Row],[COSTO]]*Tabla_Items_Con_Existencia[[#This Row],[EXISTENCIA]]</f>
        <v>1276.4340105199999</v>
      </c>
      <c r="I2255" s="1">
        <f>IF(ISERROR(MATCH(Tabla_Items_Con_Existencia[[#This Row],[CODIGO]],Tabla_Items_Activos[CODIGO],0)),0,1)</f>
        <v>0</v>
      </c>
    </row>
    <row r="2256" spans="1:9">
      <c r="A2256" s="2" t="s">
        <v>6760</v>
      </c>
      <c r="B2256" s="2" t="s">
        <v>890</v>
      </c>
      <c r="C2256" s="2" t="s">
        <v>2986</v>
      </c>
      <c r="D2256" s="2" t="s">
        <v>5176</v>
      </c>
      <c r="E2256" s="2" t="s">
        <v>5168</v>
      </c>
      <c r="F2256" s="2">
        <v>526.55810369999995</v>
      </c>
      <c r="G2256" s="2">
        <v>17</v>
      </c>
      <c r="H2256" s="2">
        <f>Tabla_Items_Con_Existencia[[#This Row],[COSTO]]*Tabla_Items_Con_Existencia[[#This Row],[EXISTENCIA]]</f>
        <v>8951.4877628999984</v>
      </c>
      <c r="I2256" s="1">
        <f>IF(ISERROR(MATCH(Tabla_Items_Con_Existencia[[#This Row],[CODIGO]],Tabla_Items_Activos[CODIGO],0)),0,1)</f>
        <v>0</v>
      </c>
    </row>
    <row r="2257" spans="1:9">
      <c r="A2257" s="2" t="s">
        <v>6761</v>
      </c>
      <c r="B2257" s="2" t="s">
        <v>890</v>
      </c>
      <c r="C2257" s="2" t="s">
        <v>2986</v>
      </c>
      <c r="D2257" s="2" t="s">
        <v>5176</v>
      </c>
      <c r="E2257" s="2" t="s">
        <v>5168</v>
      </c>
      <c r="F2257" s="2">
        <v>526.55810369999995</v>
      </c>
      <c r="G2257" s="2">
        <v>17</v>
      </c>
      <c r="H2257" s="2">
        <f>Tabla_Items_Con_Existencia[[#This Row],[COSTO]]*Tabla_Items_Con_Existencia[[#This Row],[EXISTENCIA]]</f>
        <v>8951.4877628999984</v>
      </c>
      <c r="I2257" s="1">
        <f>IF(ISERROR(MATCH(Tabla_Items_Con_Existencia[[#This Row],[CODIGO]],Tabla_Items_Activos[CODIGO],0)),0,1)</f>
        <v>0</v>
      </c>
    </row>
    <row r="2258" spans="1:9">
      <c r="A2258" s="2" t="s">
        <v>6759</v>
      </c>
      <c r="B2258" s="2" t="s">
        <v>890</v>
      </c>
      <c r="C2258" s="2" t="s">
        <v>2986</v>
      </c>
      <c r="D2258" s="2" t="s">
        <v>5176</v>
      </c>
      <c r="E2258" s="2" t="s">
        <v>5168</v>
      </c>
      <c r="F2258" s="2">
        <v>526.55810369999995</v>
      </c>
      <c r="G2258" s="2">
        <v>17</v>
      </c>
      <c r="H2258" s="2">
        <f>Tabla_Items_Con_Existencia[[#This Row],[COSTO]]*Tabla_Items_Con_Existencia[[#This Row],[EXISTENCIA]]</f>
        <v>8951.4877628999984</v>
      </c>
      <c r="I2258" s="1">
        <f>IF(ISERROR(MATCH(Tabla_Items_Con_Existencia[[#This Row],[CODIGO]],Tabla_Items_Activos[CODIGO],0)),0,1)</f>
        <v>0</v>
      </c>
    </row>
    <row r="2259" spans="1:9">
      <c r="A2259" s="2" t="s">
        <v>6760</v>
      </c>
      <c r="B2259" s="2" t="s">
        <v>891</v>
      </c>
      <c r="C2259" s="2" t="s">
        <v>2987</v>
      </c>
      <c r="D2259" s="2" t="s">
        <v>5174</v>
      </c>
      <c r="E2259" s="2" t="s">
        <v>5168</v>
      </c>
      <c r="F2259" s="2">
        <v>6.5670000000000002</v>
      </c>
      <c r="G2259" s="2">
        <v>2</v>
      </c>
      <c r="H2259" s="2">
        <f>Tabla_Items_Con_Existencia[[#This Row],[COSTO]]*Tabla_Items_Con_Existencia[[#This Row],[EXISTENCIA]]</f>
        <v>13.134</v>
      </c>
      <c r="I2259" s="1">
        <f>IF(ISERROR(MATCH(Tabla_Items_Con_Existencia[[#This Row],[CODIGO]],Tabla_Items_Activos[CODIGO],0)),0,1)</f>
        <v>0</v>
      </c>
    </row>
    <row r="2260" spans="1:9">
      <c r="A2260" s="2" t="s">
        <v>6760</v>
      </c>
      <c r="B2260" s="2" t="s">
        <v>2988</v>
      </c>
      <c r="C2260" s="2" t="s">
        <v>2989</v>
      </c>
      <c r="D2260" s="2" t="s">
        <v>5218</v>
      </c>
      <c r="E2260" s="2" t="s">
        <v>5168</v>
      </c>
      <c r="F2260" s="2">
        <v>1282.4639999999999</v>
      </c>
      <c r="G2260" s="2">
        <v>1</v>
      </c>
      <c r="H2260" s="2">
        <f>Tabla_Items_Con_Existencia[[#This Row],[COSTO]]*Tabla_Items_Con_Existencia[[#This Row],[EXISTENCIA]]</f>
        <v>1282.4639999999999</v>
      </c>
      <c r="I2260" s="1">
        <f>IF(ISERROR(MATCH(Tabla_Items_Con_Existencia[[#This Row],[CODIGO]],Tabla_Items_Activos[CODIGO],0)),0,1)</f>
        <v>0</v>
      </c>
    </row>
    <row r="2261" spans="1:9">
      <c r="A2261" s="2" t="s">
        <v>6760</v>
      </c>
      <c r="B2261" s="2" t="s">
        <v>892</v>
      </c>
      <c r="C2261" s="2" t="s">
        <v>2990</v>
      </c>
      <c r="D2261" s="2" t="s">
        <v>5174</v>
      </c>
      <c r="E2261" s="2" t="s">
        <v>5168</v>
      </c>
      <c r="F2261" s="2">
        <v>23.935526320000001</v>
      </c>
      <c r="G2261" s="2">
        <v>7</v>
      </c>
      <c r="H2261" s="2">
        <f>Tabla_Items_Con_Existencia[[#This Row],[COSTO]]*Tabla_Items_Con_Existencia[[#This Row],[EXISTENCIA]]</f>
        <v>167.54868424</v>
      </c>
      <c r="I2261" s="1">
        <f>IF(ISERROR(MATCH(Tabla_Items_Con_Existencia[[#This Row],[CODIGO]],Tabla_Items_Activos[CODIGO],0)),0,1)</f>
        <v>0</v>
      </c>
    </row>
    <row r="2262" spans="1:9">
      <c r="A2262" s="2" t="s">
        <v>6761</v>
      </c>
      <c r="B2262" s="2" t="s">
        <v>892</v>
      </c>
      <c r="C2262" s="2" t="s">
        <v>2990</v>
      </c>
      <c r="D2262" s="2" t="s">
        <v>5174</v>
      </c>
      <c r="E2262" s="2" t="s">
        <v>5168</v>
      </c>
      <c r="F2262" s="2">
        <v>23.935526320000001</v>
      </c>
      <c r="G2262" s="2">
        <v>7</v>
      </c>
      <c r="H2262" s="2">
        <f>Tabla_Items_Con_Existencia[[#This Row],[COSTO]]*Tabla_Items_Con_Existencia[[#This Row],[EXISTENCIA]]</f>
        <v>167.54868424</v>
      </c>
      <c r="I2262" s="1">
        <f>IF(ISERROR(MATCH(Tabla_Items_Con_Existencia[[#This Row],[CODIGO]],Tabla_Items_Activos[CODIGO],0)),0,1)</f>
        <v>0</v>
      </c>
    </row>
    <row r="2263" spans="1:9">
      <c r="A2263" s="2" t="s">
        <v>6760</v>
      </c>
      <c r="B2263" s="2" t="s">
        <v>2991</v>
      </c>
      <c r="C2263" s="2" t="s">
        <v>2992</v>
      </c>
      <c r="D2263" s="2" t="s">
        <v>5170</v>
      </c>
      <c r="E2263" s="2" t="s">
        <v>5168</v>
      </c>
      <c r="F2263" s="2">
        <v>34.737000000000002</v>
      </c>
      <c r="G2263" s="2">
        <v>3</v>
      </c>
      <c r="H2263" s="2">
        <f>Tabla_Items_Con_Existencia[[#This Row],[COSTO]]*Tabla_Items_Con_Existencia[[#This Row],[EXISTENCIA]]</f>
        <v>104.21100000000001</v>
      </c>
      <c r="I2263" s="1">
        <f>IF(ISERROR(MATCH(Tabla_Items_Con_Existencia[[#This Row],[CODIGO]],Tabla_Items_Activos[CODIGO],0)),0,1)</f>
        <v>0</v>
      </c>
    </row>
    <row r="2264" spans="1:9">
      <c r="A2264" s="2" t="s">
        <v>6760</v>
      </c>
      <c r="B2264" s="2" t="s">
        <v>2993</v>
      </c>
      <c r="C2264" s="2" t="s">
        <v>2994</v>
      </c>
      <c r="D2264" s="2" t="s">
        <v>5170</v>
      </c>
      <c r="E2264" s="2" t="s">
        <v>5168</v>
      </c>
      <c r="F2264" s="2">
        <v>61.042999999999999</v>
      </c>
      <c r="G2264" s="2">
        <v>2</v>
      </c>
      <c r="H2264" s="2">
        <f>Tabla_Items_Con_Existencia[[#This Row],[COSTO]]*Tabla_Items_Con_Existencia[[#This Row],[EXISTENCIA]]</f>
        <v>122.086</v>
      </c>
      <c r="I2264" s="1">
        <f>IF(ISERROR(MATCH(Tabla_Items_Con_Existencia[[#This Row],[CODIGO]],Tabla_Items_Activos[CODIGO],0)),0,1)</f>
        <v>0</v>
      </c>
    </row>
    <row r="2265" spans="1:9">
      <c r="A2265" s="2" t="s">
        <v>6760</v>
      </c>
      <c r="B2265" s="2" t="s">
        <v>2995</v>
      </c>
      <c r="C2265" s="2" t="s">
        <v>2996</v>
      </c>
      <c r="D2265" s="2" t="s">
        <v>5170</v>
      </c>
      <c r="E2265" s="2" t="s">
        <v>5168</v>
      </c>
      <c r="F2265" s="2">
        <v>38.515999999999998</v>
      </c>
      <c r="G2265" s="2">
        <v>4</v>
      </c>
      <c r="H2265" s="2">
        <f>Tabla_Items_Con_Existencia[[#This Row],[COSTO]]*Tabla_Items_Con_Existencia[[#This Row],[EXISTENCIA]]</f>
        <v>154.06399999999999</v>
      </c>
      <c r="I2265" s="1">
        <f>IF(ISERROR(MATCH(Tabla_Items_Con_Existencia[[#This Row],[CODIGO]],Tabla_Items_Activos[CODIGO],0)),0,1)</f>
        <v>0</v>
      </c>
    </row>
    <row r="2266" spans="1:9">
      <c r="A2266" s="2" t="s">
        <v>6760</v>
      </c>
      <c r="B2266" s="2" t="s">
        <v>893</v>
      </c>
      <c r="C2266" s="2" t="s">
        <v>2997</v>
      </c>
      <c r="D2266" s="2" t="s">
        <v>5174</v>
      </c>
      <c r="E2266" s="2" t="s">
        <v>5168</v>
      </c>
      <c r="F2266" s="2">
        <v>75.461684210000001</v>
      </c>
      <c r="G2266" s="2">
        <v>2</v>
      </c>
      <c r="H2266" s="2">
        <f>Tabla_Items_Con_Existencia[[#This Row],[COSTO]]*Tabla_Items_Con_Existencia[[#This Row],[EXISTENCIA]]</f>
        <v>150.92336842</v>
      </c>
      <c r="I2266" s="1">
        <f>IF(ISERROR(MATCH(Tabla_Items_Con_Existencia[[#This Row],[CODIGO]],Tabla_Items_Activos[CODIGO],0)),0,1)</f>
        <v>0</v>
      </c>
    </row>
    <row r="2267" spans="1:9">
      <c r="A2267" s="2" t="s">
        <v>6761</v>
      </c>
      <c r="B2267" s="2" t="s">
        <v>893</v>
      </c>
      <c r="C2267" s="2" t="s">
        <v>2997</v>
      </c>
      <c r="D2267" s="2" t="s">
        <v>5174</v>
      </c>
      <c r="E2267" s="2" t="s">
        <v>5168</v>
      </c>
      <c r="F2267" s="2">
        <v>75.461684210000001</v>
      </c>
      <c r="G2267" s="2">
        <v>2</v>
      </c>
      <c r="H2267" s="2">
        <f>Tabla_Items_Con_Existencia[[#This Row],[COSTO]]*Tabla_Items_Con_Existencia[[#This Row],[EXISTENCIA]]</f>
        <v>150.92336842</v>
      </c>
      <c r="I2267" s="1">
        <f>IF(ISERROR(MATCH(Tabla_Items_Con_Existencia[[#This Row],[CODIGO]],Tabla_Items_Activos[CODIGO],0)),0,1)</f>
        <v>0</v>
      </c>
    </row>
    <row r="2268" spans="1:9">
      <c r="A2268" s="2" t="s">
        <v>6760</v>
      </c>
      <c r="B2268" s="2" t="s">
        <v>894</v>
      </c>
      <c r="C2268" s="2" t="s">
        <v>2998</v>
      </c>
      <c r="D2268" s="2" t="s">
        <v>5174</v>
      </c>
      <c r="E2268" s="2" t="s">
        <v>5168</v>
      </c>
      <c r="F2268" s="2">
        <v>63.317999999999998</v>
      </c>
      <c r="G2268" s="2">
        <v>4</v>
      </c>
      <c r="H2268" s="2">
        <f>Tabla_Items_Con_Existencia[[#This Row],[COSTO]]*Tabla_Items_Con_Existencia[[#This Row],[EXISTENCIA]]</f>
        <v>253.27199999999999</v>
      </c>
      <c r="I2268" s="1">
        <f>IF(ISERROR(MATCH(Tabla_Items_Con_Existencia[[#This Row],[CODIGO]],Tabla_Items_Activos[CODIGO],0)),0,1)</f>
        <v>0</v>
      </c>
    </row>
    <row r="2269" spans="1:9">
      <c r="A2269" s="2" t="s">
        <v>6760</v>
      </c>
      <c r="B2269" s="2" t="s">
        <v>2999</v>
      </c>
      <c r="C2269" s="2" t="s">
        <v>3000</v>
      </c>
      <c r="D2269" s="2" t="s">
        <v>5170</v>
      </c>
      <c r="E2269" s="2" t="s">
        <v>5168</v>
      </c>
      <c r="F2269" s="2">
        <v>386.4</v>
      </c>
      <c r="G2269" s="2">
        <v>1</v>
      </c>
      <c r="H2269" s="2">
        <f>Tabla_Items_Con_Existencia[[#This Row],[COSTO]]*Tabla_Items_Con_Existencia[[#This Row],[EXISTENCIA]]</f>
        <v>386.4</v>
      </c>
      <c r="I2269" s="1">
        <f>IF(ISERROR(MATCH(Tabla_Items_Con_Existencia[[#This Row],[CODIGO]],Tabla_Items_Activos[CODIGO],0)),0,1)</f>
        <v>0</v>
      </c>
    </row>
    <row r="2270" spans="1:9">
      <c r="A2270" s="2" t="s">
        <v>6760</v>
      </c>
      <c r="B2270" s="2" t="s">
        <v>3001</v>
      </c>
      <c r="C2270" s="2" t="s">
        <v>3002</v>
      </c>
      <c r="D2270" s="2" t="s">
        <v>5174</v>
      </c>
      <c r="E2270" s="2" t="s">
        <v>5168</v>
      </c>
      <c r="F2270" s="2">
        <v>26.766631579999999</v>
      </c>
      <c r="G2270" s="2">
        <v>3</v>
      </c>
      <c r="H2270" s="2">
        <f>Tabla_Items_Con_Existencia[[#This Row],[COSTO]]*Tabla_Items_Con_Existencia[[#This Row],[EXISTENCIA]]</f>
        <v>80.299894739999999</v>
      </c>
      <c r="I2270" s="1">
        <f>IF(ISERROR(MATCH(Tabla_Items_Con_Existencia[[#This Row],[CODIGO]],Tabla_Items_Activos[CODIGO],0)),0,1)</f>
        <v>0</v>
      </c>
    </row>
    <row r="2271" spans="1:9">
      <c r="A2271" s="2" t="s">
        <v>6761</v>
      </c>
      <c r="B2271" s="2" t="s">
        <v>3001</v>
      </c>
      <c r="C2271" s="2" t="s">
        <v>3002</v>
      </c>
      <c r="D2271" s="2" t="s">
        <v>5174</v>
      </c>
      <c r="E2271" s="2" t="s">
        <v>5168</v>
      </c>
      <c r="F2271" s="2">
        <v>26.766631579999999</v>
      </c>
      <c r="G2271" s="2">
        <v>3</v>
      </c>
      <c r="H2271" s="2">
        <f>Tabla_Items_Con_Existencia[[#This Row],[COSTO]]*Tabla_Items_Con_Existencia[[#This Row],[EXISTENCIA]]</f>
        <v>80.299894739999999</v>
      </c>
      <c r="I2271" s="1">
        <f>IF(ISERROR(MATCH(Tabla_Items_Con_Existencia[[#This Row],[CODIGO]],Tabla_Items_Activos[CODIGO],0)),0,1)</f>
        <v>0</v>
      </c>
    </row>
    <row r="2272" spans="1:9">
      <c r="A2272" s="2" t="s">
        <v>6761</v>
      </c>
      <c r="B2272" s="2" t="s">
        <v>895</v>
      </c>
      <c r="C2272" s="2" t="s">
        <v>3003</v>
      </c>
      <c r="D2272" s="2" t="s">
        <v>5169</v>
      </c>
      <c r="E2272" s="2" t="s">
        <v>5168</v>
      </c>
      <c r="F2272" s="2">
        <v>328.39467367999998</v>
      </c>
      <c r="G2272" s="2">
        <v>6</v>
      </c>
      <c r="H2272" s="2">
        <f>Tabla_Items_Con_Existencia[[#This Row],[COSTO]]*Tabla_Items_Con_Existencia[[#This Row],[EXISTENCIA]]</f>
        <v>1970.3680420799999</v>
      </c>
      <c r="I2272" s="1">
        <f>IF(ISERROR(MATCH(Tabla_Items_Con_Existencia[[#This Row],[CODIGO]],Tabla_Items_Activos[CODIGO],0)),0,1)</f>
        <v>0</v>
      </c>
    </row>
    <row r="2273" spans="1:9">
      <c r="A2273" s="2" t="s">
        <v>6760</v>
      </c>
      <c r="B2273" s="2" t="s">
        <v>895</v>
      </c>
      <c r="C2273" s="2" t="s">
        <v>3003</v>
      </c>
      <c r="D2273" s="2" t="s">
        <v>5169</v>
      </c>
      <c r="E2273" s="2" t="s">
        <v>5168</v>
      </c>
      <c r="F2273" s="2">
        <v>328.39467367999998</v>
      </c>
      <c r="G2273" s="2">
        <v>6</v>
      </c>
      <c r="H2273" s="2">
        <f>Tabla_Items_Con_Existencia[[#This Row],[COSTO]]*Tabla_Items_Con_Existencia[[#This Row],[EXISTENCIA]]</f>
        <v>1970.3680420799999</v>
      </c>
      <c r="I2273" s="1">
        <f>IF(ISERROR(MATCH(Tabla_Items_Con_Existencia[[#This Row],[CODIGO]],Tabla_Items_Activos[CODIGO],0)),0,1)</f>
        <v>0</v>
      </c>
    </row>
    <row r="2274" spans="1:9">
      <c r="A2274" s="2" t="s">
        <v>6760</v>
      </c>
      <c r="B2274" s="2" t="s">
        <v>3004</v>
      </c>
      <c r="C2274" s="2" t="s">
        <v>3005</v>
      </c>
      <c r="D2274" s="2" t="s">
        <v>5174</v>
      </c>
      <c r="E2274" s="2" t="s">
        <v>5168</v>
      </c>
      <c r="F2274" s="2">
        <v>47.92</v>
      </c>
      <c r="G2274" s="2">
        <v>1</v>
      </c>
      <c r="H2274" s="2">
        <f>Tabla_Items_Con_Existencia[[#This Row],[COSTO]]*Tabla_Items_Con_Existencia[[#This Row],[EXISTENCIA]]</f>
        <v>47.92</v>
      </c>
      <c r="I2274" s="1">
        <f>IF(ISERROR(MATCH(Tabla_Items_Con_Existencia[[#This Row],[CODIGO]],Tabla_Items_Activos[CODIGO],0)),0,1)</f>
        <v>0</v>
      </c>
    </row>
    <row r="2275" spans="1:9">
      <c r="A2275" s="2" t="s">
        <v>6760</v>
      </c>
      <c r="B2275" s="2" t="s">
        <v>3006</v>
      </c>
      <c r="C2275" s="2" t="s">
        <v>3007</v>
      </c>
      <c r="D2275" s="2" t="s">
        <v>5174</v>
      </c>
      <c r="E2275" s="2" t="s">
        <v>5168</v>
      </c>
      <c r="F2275" s="2">
        <v>61.295000000000002</v>
      </c>
      <c r="G2275" s="2">
        <v>1</v>
      </c>
      <c r="H2275" s="2">
        <f>Tabla_Items_Con_Existencia[[#This Row],[COSTO]]*Tabla_Items_Con_Existencia[[#This Row],[EXISTENCIA]]</f>
        <v>61.295000000000002</v>
      </c>
      <c r="I2275" s="1">
        <f>IF(ISERROR(MATCH(Tabla_Items_Con_Existencia[[#This Row],[CODIGO]],Tabla_Items_Activos[CODIGO],0)),0,1)</f>
        <v>0</v>
      </c>
    </row>
    <row r="2276" spans="1:9">
      <c r="A2276" s="2" t="s">
        <v>6760</v>
      </c>
      <c r="B2276" s="2" t="s">
        <v>3008</v>
      </c>
      <c r="C2276" s="2" t="s">
        <v>3009</v>
      </c>
      <c r="D2276" s="2" t="s">
        <v>5171</v>
      </c>
      <c r="E2276" s="2" t="s">
        <v>5168</v>
      </c>
      <c r="F2276" s="2">
        <v>83.674999999999997</v>
      </c>
      <c r="G2276" s="2">
        <v>1</v>
      </c>
      <c r="H2276" s="2">
        <f>Tabla_Items_Con_Existencia[[#This Row],[COSTO]]*Tabla_Items_Con_Existencia[[#This Row],[EXISTENCIA]]</f>
        <v>83.674999999999997</v>
      </c>
      <c r="I2276" s="1">
        <f>IF(ISERROR(MATCH(Tabla_Items_Con_Existencia[[#This Row],[CODIGO]],Tabla_Items_Activos[CODIGO],0)),0,1)</f>
        <v>0</v>
      </c>
    </row>
    <row r="2277" spans="1:9">
      <c r="A2277" s="2" t="s">
        <v>6760</v>
      </c>
      <c r="B2277" s="2" t="s">
        <v>3012</v>
      </c>
      <c r="C2277" s="2" t="s">
        <v>3013</v>
      </c>
      <c r="D2277" s="2" t="s">
        <v>5170</v>
      </c>
      <c r="E2277" s="2" t="s">
        <v>5168</v>
      </c>
      <c r="F2277" s="2">
        <v>2.9950000000000001</v>
      </c>
      <c r="G2277" s="2">
        <v>1</v>
      </c>
      <c r="H2277" s="2">
        <f>Tabla_Items_Con_Existencia[[#This Row],[COSTO]]*Tabla_Items_Con_Existencia[[#This Row],[EXISTENCIA]]</f>
        <v>2.9950000000000001</v>
      </c>
      <c r="I2277" s="1">
        <f>IF(ISERROR(MATCH(Tabla_Items_Con_Existencia[[#This Row],[CODIGO]],Tabla_Items_Activos[CODIGO],0)),0,1)</f>
        <v>0</v>
      </c>
    </row>
    <row r="2278" spans="1:9">
      <c r="A2278" s="2" t="s">
        <v>6760</v>
      </c>
      <c r="B2278" s="2" t="s">
        <v>3014</v>
      </c>
      <c r="C2278" s="2" t="s">
        <v>3015</v>
      </c>
      <c r="D2278" s="2" t="s">
        <v>5171</v>
      </c>
      <c r="E2278" s="2" t="s">
        <v>5168</v>
      </c>
      <c r="F2278" s="2">
        <v>2.2639999999999998</v>
      </c>
      <c r="G2278" s="2">
        <v>6</v>
      </c>
      <c r="H2278" s="2">
        <f>Tabla_Items_Con_Existencia[[#This Row],[COSTO]]*Tabla_Items_Con_Existencia[[#This Row],[EXISTENCIA]]</f>
        <v>13.584</v>
      </c>
      <c r="I2278" s="1">
        <f>IF(ISERROR(MATCH(Tabla_Items_Con_Existencia[[#This Row],[CODIGO]],Tabla_Items_Activos[CODIGO],0)),0,1)</f>
        <v>0</v>
      </c>
    </row>
    <row r="2279" spans="1:9">
      <c r="A2279" s="2" t="s">
        <v>6760</v>
      </c>
      <c r="B2279" s="2" t="s">
        <v>3016</v>
      </c>
      <c r="C2279" s="2" t="s">
        <v>3017</v>
      </c>
      <c r="D2279" s="2" t="s">
        <v>5171</v>
      </c>
      <c r="E2279" s="2" t="s">
        <v>5168</v>
      </c>
      <c r="F2279" s="2">
        <v>0.39900000000000002</v>
      </c>
      <c r="G2279" s="2">
        <v>14</v>
      </c>
      <c r="H2279" s="2">
        <f>Tabla_Items_Con_Existencia[[#This Row],[COSTO]]*Tabla_Items_Con_Existencia[[#This Row],[EXISTENCIA]]</f>
        <v>5.5860000000000003</v>
      </c>
      <c r="I2279" s="1">
        <f>IF(ISERROR(MATCH(Tabla_Items_Con_Existencia[[#This Row],[CODIGO]],Tabla_Items_Activos[CODIGO],0)),0,1)</f>
        <v>0</v>
      </c>
    </row>
    <row r="2280" spans="1:9">
      <c r="A2280" s="2" t="s">
        <v>6760</v>
      </c>
      <c r="B2280" s="2" t="s">
        <v>3018</v>
      </c>
      <c r="C2280" s="2" t="s">
        <v>3019</v>
      </c>
      <c r="D2280" s="2" t="s">
        <v>5171</v>
      </c>
      <c r="E2280" s="2" t="s">
        <v>5168</v>
      </c>
      <c r="F2280" s="2">
        <v>0.373</v>
      </c>
      <c r="G2280" s="2">
        <v>11</v>
      </c>
      <c r="H2280" s="2">
        <f>Tabla_Items_Con_Existencia[[#This Row],[COSTO]]*Tabla_Items_Con_Existencia[[#This Row],[EXISTENCIA]]</f>
        <v>4.1029999999999998</v>
      </c>
      <c r="I2280" s="1">
        <f>IF(ISERROR(MATCH(Tabla_Items_Con_Existencia[[#This Row],[CODIGO]],Tabla_Items_Activos[CODIGO],0)),0,1)</f>
        <v>0</v>
      </c>
    </row>
    <row r="2281" spans="1:9">
      <c r="A2281" s="2" t="s">
        <v>6760</v>
      </c>
      <c r="B2281" s="2" t="s">
        <v>3020</v>
      </c>
      <c r="C2281" s="2" t="s">
        <v>3021</v>
      </c>
      <c r="D2281" s="2" t="s">
        <v>5171</v>
      </c>
      <c r="E2281" s="2" t="s">
        <v>5168</v>
      </c>
      <c r="F2281" s="2">
        <v>0.28299999999999997</v>
      </c>
      <c r="G2281" s="2">
        <v>11</v>
      </c>
      <c r="H2281" s="2">
        <f>Tabla_Items_Con_Existencia[[#This Row],[COSTO]]*Tabla_Items_Con_Existencia[[#This Row],[EXISTENCIA]]</f>
        <v>3.1129999999999995</v>
      </c>
      <c r="I2281" s="1">
        <f>IF(ISERROR(MATCH(Tabla_Items_Con_Existencia[[#This Row],[CODIGO]],Tabla_Items_Activos[CODIGO],0)),0,1)</f>
        <v>0</v>
      </c>
    </row>
    <row r="2282" spans="1:9">
      <c r="A2282" s="2" t="s">
        <v>6760</v>
      </c>
      <c r="B2282" s="2" t="s">
        <v>3022</v>
      </c>
      <c r="C2282" s="2" t="s">
        <v>3023</v>
      </c>
      <c r="D2282" s="2" t="s">
        <v>5171</v>
      </c>
      <c r="E2282" s="2" t="s">
        <v>5168</v>
      </c>
      <c r="F2282" s="2">
        <v>0.11799999999999999</v>
      </c>
      <c r="G2282" s="2">
        <v>11</v>
      </c>
      <c r="H2282" s="2">
        <f>Tabla_Items_Con_Existencia[[#This Row],[COSTO]]*Tabla_Items_Con_Existencia[[#This Row],[EXISTENCIA]]</f>
        <v>1.298</v>
      </c>
      <c r="I2282" s="1">
        <f>IF(ISERROR(MATCH(Tabla_Items_Con_Existencia[[#This Row],[CODIGO]],Tabla_Items_Activos[CODIGO],0)),0,1)</f>
        <v>0</v>
      </c>
    </row>
    <row r="2283" spans="1:9">
      <c r="A2283" s="2" t="s">
        <v>6760</v>
      </c>
      <c r="B2283" s="2" t="s">
        <v>3024</v>
      </c>
      <c r="C2283" s="2" t="s">
        <v>3025</v>
      </c>
      <c r="D2283" s="2" t="s">
        <v>5174</v>
      </c>
      <c r="E2283" s="2" t="s">
        <v>5168</v>
      </c>
      <c r="F2283" s="2">
        <v>8.1850000000000005</v>
      </c>
      <c r="G2283" s="2">
        <v>2</v>
      </c>
      <c r="H2283" s="2">
        <f>Tabla_Items_Con_Existencia[[#This Row],[COSTO]]*Tabla_Items_Con_Existencia[[#This Row],[EXISTENCIA]]</f>
        <v>16.37</v>
      </c>
      <c r="I2283" s="1">
        <f>IF(ISERROR(MATCH(Tabla_Items_Con_Existencia[[#This Row],[CODIGO]],Tabla_Items_Activos[CODIGO],0)),0,1)</f>
        <v>0</v>
      </c>
    </row>
    <row r="2284" spans="1:9">
      <c r="A2284" s="2" t="s">
        <v>6760</v>
      </c>
      <c r="B2284" s="2" t="s">
        <v>3026</v>
      </c>
      <c r="C2284" s="2" t="s">
        <v>3027</v>
      </c>
      <c r="D2284" s="2" t="s">
        <v>5173</v>
      </c>
      <c r="E2284" s="2" t="s">
        <v>5168</v>
      </c>
      <c r="F2284" s="2">
        <v>222.88</v>
      </c>
      <c r="G2284" s="2">
        <v>1</v>
      </c>
      <c r="H2284" s="2">
        <f>Tabla_Items_Con_Existencia[[#This Row],[COSTO]]*Tabla_Items_Con_Existencia[[#This Row],[EXISTENCIA]]</f>
        <v>222.88</v>
      </c>
      <c r="I2284" s="1">
        <f>IF(ISERROR(MATCH(Tabla_Items_Con_Existencia[[#This Row],[CODIGO]],Tabla_Items_Activos[CODIGO],0)),0,1)</f>
        <v>0</v>
      </c>
    </row>
    <row r="2285" spans="1:9">
      <c r="A2285" s="2" t="s">
        <v>6760</v>
      </c>
      <c r="B2285" s="2" t="s">
        <v>3028</v>
      </c>
      <c r="C2285" s="2" t="s">
        <v>3029</v>
      </c>
      <c r="D2285" s="2" t="s">
        <v>5171</v>
      </c>
      <c r="E2285" s="2" t="s">
        <v>5168</v>
      </c>
      <c r="F2285" s="2">
        <v>47.947000000000003</v>
      </c>
      <c r="G2285" s="2">
        <v>2</v>
      </c>
      <c r="H2285" s="2">
        <f>Tabla_Items_Con_Existencia[[#This Row],[COSTO]]*Tabla_Items_Con_Existencia[[#This Row],[EXISTENCIA]]</f>
        <v>95.894000000000005</v>
      </c>
      <c r="I2285" s="1">
        <f>IF(ISERROR(MATCH(Tabla_Items_Con_Existencia[[#This Row],[CODIGO]],Tabla_Items_Activos[CODIGO],0)),0,1)</f>
        <v>0</v>
      </c>
    </row>
    <row r="2286" spans="1:9">
      <c r="A2286" s="2" t="s">
        <v>6760</v>
      </c>
      <c r="B2286" s="2" t="s">
        <v>3030</v>
      </c>
      <c r="C2286" s="2" t="s">
        <v>3031</v>
      </c>
      <c r="D2286" s="2" t="s">
        <v>5174</v>
      </c>
      <c r="E2286" s="2" t="s">
        <v>5168</v>
      </c>
      <c r="F2286" s="2">
        <v>48.683</v>
      </c>
      <c r="G2286" s="2">
        <v>2</v>
      </c>
      <c r="H2286" s="2">
        <f>Tabla_Items_Con_Existencia[[#This Row],[COSTO]]*Tabla_Items_Con_Existencia[[#This Row],[EXISTENCIA]]</f>
        <v>97.366</v>
      </c>
      <c r="I2286" s="1">
        <f>IF(ISERROR(MATCH(Tabla_Items_Con_Existencia[[#This Row],[CODIGO]],Tabla_Items_Activos[CODIGO],0)),0,1)</f>
        <v>0</v>
      </c>
    </row>
    <row r="2287" spans="1:9">
      <c r="A2287" s="2" t="s">
        <v>6760</v>
      </c>
      <c r="B2287" s="2" t="s">
        <v>3032</v>
      </c>
      <c r="C2287" s="2" t="s">
        <v>3033</v>
      </c>
      <c r="D2287" s="2" t="s">
        <v>5171</v>
      </c>
      <c r="E2287" s="2" t="s">
        <v>5168</v>
      </c>
      <c r="F2287" s="2">
        <v>36.616999999999997</v>
      </c>
      <c r="G2287" s="2">
        <v>2</v>
      </c>
      <c r="H2287" s="2">
        <f>Tabla_Items_Con_Existencia[[#This Row],[COSTO]]*Tabla_Items_Con_Existencia[[#This Row],[EXISTENCIA]]</f>
        <v>73.233999999999995</v>
      </c>
      <c r="I2287" s="1">
        <f>IF(ISERROR(MATCH(Tabla_Items_Con_Existencia[[#This Row],[CODIGO]],Tabla_Items_Activos[CODIGO],0)),0,1)</f>
        <v>0</v>
      </c>
    </row>
    <row r="2288" spans="1:9">
      <c r="A2288" s="2" t="s">
        <v>6760</v>
      </c>
      <c r="B2288" s="2" t="s">
        <v>3034</v>
      </c>
      <c r="C2288" s="2" t="s">
        <v>3035</v>
      </c>
      <c r="D2288" s="2" t="s">
        <v>5171</v>
      </c>
      <c r="E2288" s="2" t="s">
        <v>5168</v>
      </c>
      <c r="F2288" s="2">
        <v>10.127000000000001</v>
      </c>
      <c r="G2288" s="2">
        <v>2</v>
      </c>
      <c r="H2288" s="2">
        <f>Tabla_Items_Con_Existencia[[#This Row],[COSTO]]*Tabla_Items_Con_Existencia[[#This Row],[EXISTENCIA]]</f>
        <v>20.254000000000001</v>
      </c>
      <c r="I2288" s="1">
        <f>IF(ISERROR(MATCH(Tabla_Items_Con_Existencia[[#This Row],[CODIGO]],Tabla_Items_Activos[CODIGO],0)),0,1)</f>
        <v>0</v>
      </c>
    </row>
    <row r="2289" spans="1:9">
      <c r="A2289" s="2" t="s">
        <v>6760</v>
      </c>
      <c r="B2289" s="2" t="s">
        <v>3036</v>
      </c>
      <c r="C2289" s="2" t="s">
        <v>3037</v>
      </c>
      <c r="D2289" s="2" t="s">
        <v>5171</v>
      </c>
      <c r="E2289" s="2" t="s">
        <v>5168</v>
      </c>
      <c r="F2289" s="2">
        <v>16.542999999999999</v>
      </c>
      <c r="G2289" s="2">
        <v>3</v>
      </c>
      <c r="H2289" s="2">
        <f>Tabla_Items_Con_Existencia[[#This Row],[COSTO]]*Tabla_Items_Con_Existencia[[#This Row],[EXISTENCIA]]</f>
        <v>49.628999999999998</v>
      </c>
      <c r="I2289" s="1">
        <f>IF(ISERROR(MATCH(Tabla_Items_Con_Existencia[[#This Row],[CODIGO]],Tabla_Items_Activos[CODIGO],0)),0,1)</f>
        <v>0</v>
      </c>
    </row>
    <row r="2290" spans="1:9">
      <c r="A2290" s="2" t="s">
        <v>6760</v>
      </c>
      <c r="B2290" s="2" t="s">
        <v>896</v>
      </c>
      <c r="C2290" s="2" t="s">
        <v>3038</v>
      </c>
      <c r="D2290" s="2" t="s">
        <v>5170</v>
      </c>
      <c r="E2290" s="2" t="s">
        <v>5168</v>
      </c>
      <c r="F2290" s="2">
        <v>355.71499999999997</v>
      </c>
      <c r="G2290" s="2">
        <v>3</v>
      </c>
      <c r="H2290" s="2">
        <f>Tabla_Items_Con_Existencia[[#This Row],[COSTO]]*Tabla_Items_Con_Existencia[[#This Row],[EXISTENCIA]]</f>
        <v>1067.145</v>
      </c>
      <c r="I2290" s="1">
        <f>IF(ISERROR(MATCH(Tabla_Items_Con_Existencia[[#This Row],[CODIGO]],Tabla_Items_Activos[CODIGO],0)),0,1)</f>
        <v>0</v>
      </c>
    </row>
    <row r="2291" spans="1:9">
      <c r="A2291" s="2" t="s">
        <v>6760</v>
      </c>
      <c r="B2291" s="2" t="s">
        <v>3039</v>
      </c>
      <c r="C2291" s="2" t="s">
        <v>3040</v>
      </c>
      <c r="D2291" s="2" t="s">
        <v>5170</v>
      </c>
      <c r="E2291" s="2" t="s">
        <v>5168</v>
      </c>
      <c r="F2291" s="2">
        <v>24.367000000000001</v>
      </c>
      <c r="G2291" s="2">
        <v>3</v>
      </c>
      <c r="H2291" s="2">
        <f>Tabla_Items_Con_Existencia[[#This Row],[COSTO]]*Tabla_Items_Con_Existencia[[#This Row],[EXISTENCIA]]</f>
        <v>73.100999999999999</v>
      </c>
      <c r="I2291" s="1">
        <f>IF(ISERROR(MATCH(Tabla_Items_Con_Existencia[[#This Row],[CODIGO]],Tabla_Items_Activos[CODIGO],0)),0,1)</f>
        <v>0</v>
      </c>
    </row>
    <row r="2292" spans="1:9">
      <c r="A2292" s="2" t="s">
        <v>6760</v>
      </c>
      <c r="B2292" s="2" t="s">
        <v>3041</v>
      </c>
      <c r="C2292" s="2" t="s">
        <v>3042</v>
      </c>
      <c r="D2292" s="2" t="s">
        <v>5171</v>
      </c>
      <c r="E2292" s="2" t="s">
        <v>5168</v>
      </c>
      <c r="F2292" s="2">
        <v>17.908000000000001</v>
      </c>
      <c r="G2292" s="2">
        <v>4</v>
      </c>
      <c r="H2292" s="2">
        <f>Tabla_Items_Con_Existencia[[#This Row],[COSTO]]*Tabla_Items_Con_Existencia[[#This Row],[EXISTENCIA]]</f>
        <v>71.632000000000005</v>
      </c>
      <c r="I2292" s="1">
        <f>IF(ISERROR(MATCH(Tabla_Items_Con_Existencia[[#This Row],[CODIGO]],Tabla_Items_Activos[CODIGO],0)),0,1)</f>
        <v>0</v>
      </c>
    </row>
    <row r="2293" spans="1:9">
      <c r="A2293" s="2" t="s">
        <v>6760</v>
      </c>
      <c r="B2293" s="2" t="s">
        <v>3043</v>
      </c>
      <c r="C2293" s="2" t="s">
        <v>3044</v>
      </c>
      <c r="D2293" s="2" t="s">
        <v>5174</v>
      </c>
      <c r="E2293" s="2" t="s">
        <v>5168</v>
      </c>
      <c r="F2293" s="2">
        <v>19.16</v>
      </c>
      <c r="G2293" s="2">
        <v>2</v>
      </c>
      <c r="H2293" s="2">
        <f>Tabla_Items_Con_Existencia[[#This Row],[COSTO]]*Tabla_Items_Con_Existencia[[#This Row],[EXISTENCIA]]</f>
        <v>38.32</v>
      </c>
      <c r="I2293" s="1">
        <f>IF(ISERROR(MATCH(Tabla_Items_Con_Existencia[[#This Row],[CODIGO]],Tabla_Items_Activos[CODIGO],0)),0,1)</f>
        <v>0</v>
      </c>
    </row>
    <row r="2294" spans="1:9">
      <c r="A2294" s="2" t="s">
        <v>6760</v>
      </c>
      <c r="B2294" s="2" t="s">
        <v>3045</v>
      </c>
      <c r="C2294" s="2" t="s">
        <v>3046</v>
      </c>
      <c r="D2294" s="2" t="s">
        <v>5171</v>
      </c>
      <c r="E2294" s="2" t="s">
        <v>5168</v>
      </c>
      <c r="F2294" s="2">
        <v>5.3449999999999998</v>
      </c>
      <c r="G2294" s="2">
        <v>2</v>
      </c>
      <c r="H2294" s="2">
        <f>Tabla_Items_Con_Existencia[[#This Row],[COSTO]]*Tabla_Items_Con_Existencia[[#This Row],[EXISTENCIA]]</f>
        <v>10.69</v>
      </c>
      <c r="I2294" s="1">
        <f>IF(ISERROR(MATCH(Tabla_Items_Con_Existencia[[#This Row],[CODIGO]],Tabla_Items_Activos[CODIGO],0)),0,1)</f>
        <v>0</v>
      </c>
    </row>
    <row r="2295" spans="1:9">
      <c r="A2295" s="2" t="s">
        <v>6760</v>
      </c>
      <c r="B2295" s="2" t="s">
        <v>3047</v>
      </c>
      <c r="C2295" s="2" t="s">
        <v>3048</v>
      </c>
      <c r="D2295" s="2" t="s">
        <v>5171</v>
      </c>
      <c r="E2295" s="2" t="s">
        <v>5168</v>
      </c>
      <c r="F2295" s="2">
        <v>0.22</v>
      </c>
      <c r="G2295" s="2">
        <v>2</v>
      </c>
      <c r="H2295" s="2">
        <f>Tabla_Items_Con_Existencia[[#This Row],[COSTO]]*Tabla_Items_Con_Existencia[[#This Row],[EXISTENCIA]]</f>
        <v>0.44</v>
      </c>
      <c r="I2295" s="1">
        <f>IF(ISERROR(MATCH(Tabla_Items_Con_Existencia[[#This Row],[CODIGO]],Tabla_Items_Activos[CODIGO],0)),0,1)</f>
        <v>0</v>
      </c>
    </row>
    <row r="2296" spans="1:9">
      <c r="A2296" s="2" t="s">
        <v>6760</v>
      </c>
      <c r="B2296" s="2" t="s">
        <v>3049</v>
      </c>
      <c r="C2296" s="2" t="s">
        <v>3050</v>
      </c>
      <c r="D2296" s="2" t="s">
        <v>5171</v>
      </c>
      <c r="E2296" s="2" t="s">
        <v>5168</v>
      </c>
      <c r="F2296" s="2">
        <v>7.0000000000000007E-2</v>
      </c>
      <c r="G2296" s="2">
        <v>4</v>
      </c>
      <c r="H2296" s="2">
        <f>Tabla_Items_Con_Existencia[[#This Row],[COSTO]]*Tabla_Items_Con_Existencia[[#This Row],[EXISTENCIA]]</f>
        <v>0.28000000000000003</v>
      </c>
      <c r="I2296" s="1">
        <f>IF(ISERROR(MATCH(Tabla_Items_Con_Existencia[[#This Row],[CODIGO]],Tabla_Items_Activos[CODIGO],0)),0,1)</f>
        <v>0</v>
      </c>
    </row>
    <row r="2297" spans="1:9">
      <c r="A2297" s="2" t="s">
        <v>6760</v>
      </c>
      <c r="B2297" s="2" t="s">
        <v>3051</v>
      </c>
      <c r="C2297" s="2" t="s">
        <v>3052</v>
      </c>
      <c r="D2297" s="2" t="s">
        <v>5171</v>
      </c>
      <c r="E2297" s="2" t="s">
        <v>5168</v>
      </c>
      <c r="F2297" s="2">
        <v>0.11</v>
      </c>
      <c r="G2297" s="2">
        <v>2</v>
      </c>
      <c r="H2297" s="2">
        <f>Tabla_Items_Con_Existencia[[#This Row],[COSTO]]*Tabla_Items_Con_Existencia[[#This Row],[EXISTENCIA]]</f>
        <v>0.22</v>
      </c>
      <c r="I2297" s="1">
        <f>IF(ISERROR(MATCH(Tabla_Items_Con_Existencia[[#This Row],[CODIGO]],Tabla_Items_Activos[CODIGO],0)),0,1)</f>
        <v>0</v>
      </c>
    </row>
    <row r="2298" spans="1:9">
      <c r="A2298" s="2" t="s">
        <v>6760</v>
      </c>
      <c r="B2298" s="2" t="s">
        <v>3053</v>
      </c>
      <c r="C2298" s="2" t="s">
        <v>3054</v>
      </c>
      <c r="D2298" s="2" t="s">
        <v>5171</v>
      </c>
      <c r="E2298" s="2" t="s">
        <v>5168</v>
      </c>
      <c r="F2298" s="2">
        <v>136.97999999999999</v>
      </c>
      <c r="G2298" s="2">
        <v>1</v>
      </c>
      <c r="H2298" s="2">
        <f>Tabla_Items_Con_Existencia[[#This Row],[COSTO]]*Tabla_Items_Con_Existencia[[#This Row],[EXISTENCIA]]</f>
        <v>136.97999999999999</v>
      </c>
      <c r="I2298" s="1">
        <f>IF(ISERROR(MATCH(Tabla_Items_Con_Existencia[[#This Row],[CODIGO]],Tabla_Items_Activos[CODIGO],0)),0,1)</f>
        <v>0</v>
      </c>
    </row>
    <row r="2299" spans="1:9">
      <c r="A2299" s="2" t="s">
        <v>6760</v>
      </c>
      <c r="B2299" s="2" t="s">
        <v>3055</v>
      </c>
      <c r="C2299" s="2" t="s">
        <v>3056</v>
      </c>
      <c r="D2299" s="2" t="s">
        <v>5170</v>
      </c>
      <c r="E2299" s="2" t="s">
        <v>5168</v>
      </c>
      <c r="F2299" s="2">
        <v>4.335</v>
      </c>
      <c r="G2299" s="2">
        <v>2</v>
      </c>
      <c r="H2299" s="2">
        <f>Tabla_Items_Con_Existencia[[#This Row],[COSTO]]*Tabla_Items_Con_Existencia[[#This Row],[EXISTENCIA]]</f>
        <v>8.67</v>
      </c>
      <c r="I2299" s="1">
        <f>IF(ISERROR(MATCH(Tabla_Items_Con_Existencia[[#This Row],[CODIGO]],Tabla_Items_Activos[CODIGO],0)),0,1)</f>
        <v>0</v>
      </c>
    </row>
    <row r="2300" spans="1:9">
      <c r="A2300" s="2" t="s">
        <v>6761</v>
      </c>
      <c r="B2300" s="2" t="s">
        <v>3057</v>
      </c>
      <c r="C2300" s="2" t="s">
        <v>3058</v>
      </c>
      <c r="D2300" s="2" t="s">
        <v>5184</v>
      </c>
      <c r="E2300" s="2" t="s">
        <v>5168</v>
      </c>
      <c r="F2300" s="2">
        <v>23.36397895</v>
      </c>
      <c r="G2300" s="2">
        <v>6</v>
      </c>
      <c r="H2300" s="2">
        <f>Tabla_Items_Con_Existencia[[#This Row],[COSTO]]*Tabla_Items_Con_Existencia[[#This Row],[EXISTENCIA]]</f>
        <v>140.18387369999999</v>
      </c>
      <c r="I2300" s="1">
        <f>IF(ISERROR(MATCH(Tabla_Items_Con_Existencia[[#This Row],[CODIGO]],Tabla_Items_Activos[CODIGO],0)),0,1)</f>
        <v>0</v>
      </c>
    </row>
    <row r="2301" spans="1:9">
      <c r="A2301" s="2" t="s">
        <v>6760</v>
      </c>
      <c r="B2301" s="2" t="s">
        <v>3057</v>
      </c>
      <c r="C2301" s="2" t="s">
        <v>3058</v>
      </c>
      <c r="D2301" s="2" t="s">
        <v>5184</v>
      </c>
      <c r="E2301" s="2" t="s">
        <v>5168</v>
      </c>
      <c r="F2301" s="2">
        <v>23.36397895</v>
      </c>
      <c r="G2301" s="2">
        <v>6</v>
      </c>
      <c r="H2301" s="2">
        <f>Tabla_Items_Con_Existencia[[#This Row],[COSTO]]*Tabla_Items_Con_Existencia[[#This Row],[EXISTENCIA]]</f>
        <v>140.18387369999999</v>
      </c>
      <c r="I2301" s="1">
        <f>IF(ISERROR(MATCH(Tabla_Items_Con_Existencia[[#This Row],[CODIGO]],Tabla_Items_Activos[CODIGO],0)),0,1)</f>
        <v>0</v>
      </c>
    </row>
    <row r="2302" spans="1:9">
      <c r="A2302" s="2" t="s">
        <v>6760</v>
      </c>
      <c r="B2302" s="2" t="s">
        <v>7012</v>
      </c>
      <c r="C2302" s="2" t="s">
        <v>7013</v>
      </c>
      <c r="D2302" s="2" t="s">
        <v>5183</v>
      </c>
      <c r="E2302" s="2" t="s">
        <v>5168</v>
      </c>
      <c r="F2302" s="2">
        <v>44.65</v>
      </c>
      <c r="G2302" s="2">
        <v>1</v>
      </c>
      <c r="H2302" s="2">
        <f>Tabla_Items_Con_Existencia[[#This Row],[COSTO]]*Tabla_Items_Con_Existencia[[#This Row],[EXISTENCIA]]</f>
        <v>44.65</v>
      </c>
      <c r="I2302" s="1">
        <f>IF(ISERROR(MATCH(Tabla_Items_Con_Existencia[[#This Row],[CODIGO]],Tabla_Items_Activos[CODIGO],0)),0,1)</f>
        <v>0</v>
      </c>
    </row>
    <row r="2303" spans="1:9">
      <c r="A2303" s="2" t="s">
        <v>6760</v>
      </c>
      <c r="B2303" s="2" t="s">
        <v>3059</v>
      </c>
      <c r="C2303" s="2" t="s">
        <v>3060</v>
      </c>
      <c r="D2303" s="2" t="s">
        <v>5157</v>
      </c>
      <c r="E2303" s="2" t="s">
        <v>5192</v>
      </c>
      <c r="F2303" s="2">
        <v>13</v>
      </c>
      <c r="G2303" s="2">
        <v>1</v>
      </c>
      <c r="H2303" s="2">
        <f>Tabla_Items_Con_Existencia[[#This Row],[COSTO]]*Tabla_Items_Con_Existencia[[#This Row],[EXISTENCIA]]</f>
        <v>13</v>
      </c>
      <c r="I2303" s="1">
        <f>IF(ISERROR(MATCH(Tabla_Items_Con_Existencia[[#This Row],[CODIGO]],Tabla_Items_Activos[CODIGO],0)),0,1)</f>
        <v>0</v>
      </c>
    </row>
    <row r="2304" spans="1:9">
      <c r="A2304" s="2" t="s">
        <v>6760</v>
      </c>
      <c r="B2304" s="2" t="s">
        <v>3061</v>
      </c>
      <c r="C2304" s="2" t="s">
        <v>3062</v>
      </c>
      <c r="D2304" s="2" t="s">
        <v>5157</v>
      </c>
      <c r="E2304" s="2" t="s">
        <v>5192</v>
      </c>
      <c r="F2304" s="2">
        <v>12</v>
      </c>
      <c r="G2304" s="2">
        <v>2</v>
      </c>
      <c r="H2304" s="2">
        <f>Tabla_Items_Con_Existencia[[#This Row],[COSTO]]*Tabla_Items_Con_Existencia[[#This Row],[EXISTENCIA]]</f>
        <v>24</v>
      </c>
      <c r="I2304" s="1">
        <f>IF(ISERROR(MATCH(Tabla_Items_Con_Existencia[[#This Row],[CODIGO]],Tabla_Items_Activos[CODIGO],0)),0,1)</f>
        <v>0</v>
      </c>
    </row>
    <row r="2305" spans="1:9">
      <c r="A2305" s="2" t="s">
        <v>6760</v>
      </c>
      <c r="B2305" s="2" t="s">
        <v>3063</v>
      </c>
      <c r="C2305" s="2" t="s">
        <v>3064</v>
      </c>
      <c r="D2305" s="2" t="s">
        <v>5157</v>
      </c>
      <c r="E2305" s="2" t="s">
        <v>5192</v>
      </c>
      <c r="F2305" s="2">
        <v>6.72</v>
      </c>
      <c r="G2305" s="2">
        <v>5</v>
      </c>
      <c r="H2305" s="2">
        <f>Tabla_Items_Con_Existencia[[#This Row],[COSTO]]*Tabla_Items_Con_Existencia[[#This Row],[EXISTENCIA]]</f>
        <v>33.6</v>
      </c>
      <c r="I2305" s="1">
        <f>IF(ISERROR(MATCH(Tabla_Items_Con_Existencia[[#This Row],[CODIGO]],Tabla_Items_Activos[CODIGO],0)),0,1)</f>
        <v>0</v>
      </c>
    </row>
    <row r="2306" spans="1:9">
      <c r="A2306" s="2" t="s">
        <v>6760</v>
      </c>
      <c r="B2306" s="2" t="s">
        <v>3065</v>
      </c>
      <c r="C2306" s="2" t="s">
        <v>3066</v>
      </c>
      <c r="D2306" s="2" t="s">
        <v>5157</v>
      </c>
      <c r="E2306" s="2" t="s">
        <v>5192</v>
      </c>
      <c r="F2306" s="2">
        <v>5.76</v>
      </c>
      <c r="G2306" s="2">
        <v>8</v>
      </c>
      <c r="H2306" s="2">
        <f>Tabla_Items_Con_Existencia[[#This Row],[COSTO]]*Tabla_Items_Con_Existencia[[#This Row],[EXISTENCIA]]</f>
        <v>46.08</v>
      </c>
      <c r="I2306" s="1">
        <f>IF(ISERROR(MATCH(Tabla_Items_Con_Existencia[[#This Row],[CODIGO]],Tabla_Items_Activos[CODIGO],0)),0,1)</f>
        <v>0</v>
      </c>
    </row>
    <row r="2307" spans="1:9">
      <c r="A2307" s="2" t="s">
        <v>6760</v>
      </c>
      <c r="B2307" s="2" t="s">
        <v>3067</v>
      </c>
      <c r="C2307" s="2" t="s">
        <v>3068</v>
      </c>
      <c r="D2307" s="2" t="s">
        <v>5157</v>
      </c>
      <c r="E2307" s="2" t="s">
        <v>5192</v>
      </c>
      <c r="F2307" s="2">
        <v>7.2</v>
      </c>
      <c r="G2307" s="2">
        <v>18</v>
      </c>
      <c r="H2307" s="2">
        <f>Tabla_Items_Con_Existencia[[#This Row],[COSTO]]*Tabla_Items_Con_Existencia[[#This Row],[EXISTENCIA]]</f>
        <v>129.6</v>
      </c>
      <c r="I2307" s="1">
        <f>IF(ISERROR(MATCH(Tabla_Items_Con_Existencia[[#This Row],[CODIGO]],Tabla_Items_Activos[CODIGO],0)),0,1)</f>
        <v>0</v>
      </c>
    </row>
    <row r="2308" spans="1:9">
      <c r="A2308" s="2" t="s">
        <v>6760</v>
      </c>
      <c r="B2308" s="2" t="s">
        <v>3069</v>
      </c>
      <c r="C2308" s="2" t="s">
        <v>3070</v>
      </c>
      <c r="D2308" s="2" t="s">
        <v>5157</v>
      </c>
      <c r="E2308" s="2" t="s">
        <v>5192</v>
      </c>
      <c r="F2308" s="2">
        <v>3.6</v>
      </c>
      <c r="G2308" s="2">
        <v>3</v>
      </c>
      <c r="H2308" s="2">
        <f>Tabla_Items_Con_Existencia[[#This Row],[COSTO]]*Tabla_Items_Con_Existencia[[#This Row],[EXISTENCIA]]</f>
        <v>10.8</v>
      </c>
      <c r="I2308" s="1">
        <f>IF(ISERROR(MATCH(Tabla_Items_Con_Existencia[[#This Row],[CODIGO]],Tabla_Items_Activos[CODIGO],0)),0,1)</f>
        <v>0</v>
      </c>
    </row>
    <row r="2309" spans="1:9">
      <c r="A2309" s="2" t="s">
        <v>6760</v>
      </c>
      <c r="B2309" s="2" t="s">
        <v>3071</v>
      </c>
      <c r="C2309" s="2" t="s">
        <v>3072</v>
      </c>
      <c r="D2309" s="2" t="s">
        <v>5157</v>
      </c>
      <c r="E2309" s="2" t="s">
        <v>5192</v>
      </c>
      <c r="F2309" s="2">
        <v>19.5</v>
      </c>
      <c r="G2309" s="2">
        <v>1</v>
      </c>
      <c r="H2309" s="2">
        <f>Tabla_Items_Con_Existencia[[#This Row],[COSTO]]*Tabla_Items_Con_Existencia[[#This Row],[EXISTENCIA]]</f>
        <v>19.5</v>
      </c>
      <c r="I2309" s="1">
        <f>IF(ISERROR(MATCH(Tabla_Items_Con_Existencia[[#This Row],[CODIGO]],Tabla_Items_Activos[CODIGO],0)),0,1)</f>
        <v>0</v>
      </c>
    </row>
    <row r="2310" spans="1:9">
      <c r="A2310" s="2" t="s">
        <v>6760</v>
      </c>
      <c r="B2310" s="2" t="s">
        <v>3073</v>
      </c>
      <c r="C2310" s="2" t="s">
        <v>3074</v>
      </c>
      <c r="D2310" s="2" t="s">
        <v>5157</v>
      </c>
      <c r="E2310" s="2" t="s">
        <v>5192</v>
      </c>
      <c r="F2310" s="2">
        <v>1.8</v>
      </c>
      <c r="G2310" s="2">
        <v>3</v>
      </c>
      <c r="H2310" s="2">
        <f>Tabla_Items_Con_Existencia[[#This Row],[COSTO]]*Tabla_Items_Con_Existencia[[#This Row],[EXISTENCIA]]</f>
        <v>5.4</v>
      </c>
      <c r="I2310" s="1">
        <f>IF(ISERROR(MATCH(Tabla_Items_Con_Existencia[[#This Row],[CODIGO]],Tabla_Items_Activos[CODIGO],0)),0,1)</f>
        <v>0</v>
      </c>
    </row>
    <row r="2311" spans="1:9">
      <c r="A2311" s="2" t="s">
        <v>6760</v>
      </c>
      <c r="B2311" s="2" t="s">
        <v>3075</v>
      </c>
      <c r="C2311" s="2" t="s">
        <v>3076</v>
      </c>
      <c r="D2311" s="2" t="s">
        <v>5157</v>
      </c>
      <c r="E2311" s="2" t="s">
        <v>5192</v>
      </c>
      <c r="F2311" s="2">
        <v>16.8</v>
      </c>
      <c r="G2311" s="2">
        <v>2</v>
      </c>
      <c r="H2311" s="2">
        <f>Tabla_Items_Con_Existencia[[#This Row],[COSTO]]*Tabla_Items_Con_Existencia[[#This Row],[EXISTENCIA]]</f>
        <v>33.6</v>
      </c>
      <c r="I2311" s="1">
        <f>IF(ISERROR(MATCH(Tabla_Items_Con_Existencia[[#This Row],[CODIGO]],Tabla_Items_Activos[CODIGO],0)),0,1)</f>
        <v>0</v>
      </c>
    </row>
    <row r="2312" spans="1:9">
      <c r="A2312" s="2" t="s">
        <v>6760</v>
      </c>
      <c r="B2312" s="2" t="s">
        <v>3077</v>
      </c>
      <c r="C2312" s="2" t="s">
        <v>3078</v>
      </c>
      <c r="D2312" s="2" t="s">
        <v>5157</v>
      </c>
      <c r="E2312" s="2" t="s">
        <v>5192</v>
      </c>
      <c r="F2312" s="2">
        <v>2.4</v>
      </c>
      <c r="G2312" s="2">
        <v>6</v>
      </c>
      <c r="H2312" s="2">
        <f>Tabla_Items_Con_Existencia[[#This Row],[COSTO]]*Tabla_Items_Con_Existencia[[#This Row],[EXISTENCIA]]</f>
        <v>14.399999999999999</v>
      </c>
      <c r="I2312" s="1">
        <f>IF(ISERROR(MATCH(Tabla_Items_Con_Existencia[[#This Row],[CODIGO]],Tabla_Items_Activos[CODIGO],0)),0,1)</f>
        <v>0</v>
      </c>
    </row>
    <row r="2313" spans="1:9">
      <c r="A2313" s="2" t="s">
        <v>6760</v>
      </c>
      <c r="B2313" s="2" t="s">
        <v>3079</v>
      </c>
      <c r="C2313" s="2" t="s">
        <v>3080</v>
      </c>
      <c r="D2313" s="2" t="s">
        <v>5157</v>
      </c>
      <c r="E2313" s="2" t="s">
        <v>5192</v>
      </c>
      <c r="F2313" s="2">
        <v>24</v>
      </c>
      <c r="G2313" s="2">
        <v>6</v>
      </c>
      <c r="H2313" s="2">
        <f>Tabla_Items_Con_Existencia[[#This Row],[COSTO]]*Tabla_Items_Con_Existencia[[#This Row],[EXISTENCIA]]</f>
        <v>144</v>
      </c>
      <c r="I2313" s="1">
        <f>IF(ISERROR(MATCH(Tabla_Items_Con_Existencia[[#This Row],[CODIGO]],Tabla_Items_Activos[CODIGO],0)),0,1)</f>
        <v>0</v>
      </c>
    </row>
    <row r="2314" spans="1:9">
      <c r="A2314" s="2" t="s">
        <v>6760</v>
      </c>
      <c r="B2314" s="2" t="s">
        <v>3081</v>
      </c>
      <c r="C2314" s="2" t="s">
        <v>3082</v>
      </c>
      <c r="D2314" s="2" t="s">
        <v>5157</v>
      </c>
      <c r="E2314" s="2" t="s">
        <v>5192</v>
      </c>
      <c r="F2314" s="2">
        <v>7.2</v>
      </c>
      <c r="G2314" s="2">
        <v>4</v>
      </c>
      <c r="H2314" s="2">
        <f>Tabla_Items_Con_Existencia[[#This Row],[COSTO]]*Tabla_Items_Con_Existencia[[#This Row],[EXISTENCIA]]</f>
        <v>28.8</v>
      </c>
      <c r="I2314" s="1">
        <f>IF(ISERROR(MATCH(Tabla_Items_Con_Existencia[[#This Row],[CODIGO]],Tabla_Items_Activos[CODIGO],0)),0,1)</f>
        <v>0</v>
      </c>
    </row>
    <row r="2315" spans="1:9">
      <c r="A2315" s="2" t="s">
        <v>6760</v>
      </c>
      <c r="B2315" s="2" t="s">
        <v>3083</v>
      </c>
      <c r="C2315" s="2" t="s">
        <v>3084</v>
      </c>
      <c r="D2315" s="2" t="s">
        <v>5157</v>
      </c>
      <c r="E2315" s="2" t="s">
        <v>5192</v>
      </c>
      <c r="F2315" s="2">
        <v>24</v>
      </c>
      <c r="G2315" s="2">
        <v>2</v>
      </c>
      <c r="H2315" s="2">
        <f>Tabla_Items_Con_Existencia[[#This Row],[COSTO]]*Tabla_Items_Con_Existencia[[#This Row],[EXISTENCIA]]</f>
        <v>48</v>
      </c>
      <c r="I2315" s="1">
        <f>IF(ISERROR(MATCH(Tabla_Items_Con_Existencia[[#This Row],[CODIGO]],Tabla_Items_Activos[CODIGO],0)),0,1)</f>
        <v>0</v>
      </c>
    </row>
    <row r="2316" spans="1:9">
      <c r="A2316" s="2" t="s">
        <v>6760</v>
      </c>
      <c r="B2316" s="2" t="s">
        <v>3085</v>
      </c>
      <c r="C2316" s="2" t="s">
        <v>3086</v>
      </c>
      <c r="D2316" s="2" t="s">
        <v>5157</v>
      </c>
      <c r="E2316" s="2" t="s">
        <v>5192</v>
      </c>
      <c r="F2316" s="2">
        <v>7.2</v>
      </c>
      <c r="G2316" s="2">
        <v>7</v>
      </c>
      <c r="H2316" s="2">
        <f>Tabla_Items_Con_Existencia[[#This Row],[COSTO]]*Tabla_Items_Con_Existencia[[#This Row],[EXISTENCIA]]</f>
        <v>50.4</v>
      </c>
      <c r="I2316" s="1">
        <f>IF(ISERROR(MATCH(Tabla_Items_Con_Existencia[[#This Row],[CODIGO]],Tabla_Items_Activos[CODIGO],0)),0,1)</f>
        <v>0</v>
      </c>
    </row>
    <row r="2317" spans="1:9">
      <c r="A2317" s="2" t="s">
        <v>6760</v>
      </c>
      <c r="B2317" s="2" t="s">
        <v>3087</v>
      </c>
      <c r="C2317" s="2" t="s">
        <v>3088</v>
      </c>
      <c r="D2317" s="2" t="s">
        <v>5157</v>
      </c>
      <c r="E2317" s="2" t="s">
        <v>5192</v>
      </c>
      <c r="F2317" s="2">
        <v>60</v>
      </c>
      <c r="G2317" s="2">
        <v>1</v>
      </c>
      <c r="H2317" s="2">
        <f>Tabla_Items_Con_Existencia[[#This Row],[COSTO]]*Tabla_Items_Con_Existencia[[#This Row],[EXISTENCIA]]</f>
        <v>60</v>
      </c>
      <c r="I2317" s="1">
        <f>IF(ISERROR(MATCH(Tabla_Items_Con_Existencia[[#This Row],[CODIGO]],Tabla_Items_Activos[CODIGO],0)),0,1)</f>
        <v>0</v>
      </c>
    </row>
    <row r="2318" spans="1:9">
      <c r="A2318" s="2" t="s">
        <v>6760</v>
      </c>
      <c r="B2318" s="2" t="s">
        <v>3089</v>
      </c>
      <c r="C2318" s="2" t="s">
        <v>3090</v>
      </c>
      <c r="D2318" s="2" t="s">
        <v>5157</v>
      </c>
      <c r="E2318" s="2" t="s">
        <v>5192</v>
      </c>
      <c r="F2318" s="2">
        <v>192</v>
      </c>
      <c r="G2318" s="2">
        <v>1</v>
      </c>
      <c r="H2318" s="2">
        <f>Tabla_Items_Con_Existencia[[#This Row],[COSTO]]*Tabla_Items_Con_Existencia[[#This Row],[EXISTENCIA]]</f>
        <v>192</v>
      </c>
      <c r="I2318" s="1">
        <f>IF(ISERROR(MATCH(Tabla_Items_Con_Existencia[[#This Row],[CODIGO]],Tabla_Items_Activos[CODIGO],0)),0,1)</f>
        <v>0</v>
      </c>
    </row>
    <row r="2319" spans="1:9">
      <c r="A2319" s="2" t="s">
        <v>6760</v>
      </c>
      <c r="B2319" s="2" t="s">
        <v>3091</v>
      </c>
      <c r="C2319" s="2" t="s">
        <v>3092</v>
      </c>
      <c r="D2319" s="2" t="s">
        <v>5157</v>
      </c>
      <c r="E2319" s="2" t="s">
        <v>5192</v>
      </c>
      <c r="F2319" s="2">
        <v>0.9</v>
      </c>
      <c r="G2319" s="2">
        <v>2</v>
      </c>
      <c r="H2319" s="2">
        <f>Tabla_Items_Con_Existencia[[#This Row],[COSTO]]*Tabla_Items_Con_Existencia[[#This Row],[EXISTENCIA]]</f>
        <v>1.8</v>
      </c>
      <c r="I2319" s="1">
        <f>IF(ISERROR(MATCH(Tabla_Items_Con_Existencia[[#This Row],[CODIGO]],Tabla_Items_Activos[CODIGO],0)),0,1)</f>
        <v>0</v>
      </c>
    </row>
    <row r="2320" spans="1:9">
      <c r="A2320" s="2" t="s">
        <v>6760</v>
      </c>
      <c r="B2320" s="2" t="s">
        <v>3093</v>
      </c>
      <c r="C2320" s="2" t="s">
        <v>3094</v>
      </c>
      <c r="D2320" s="2" t="s">
        <v>5157</v>
      </c>
      <c r="E2320" s="2" t="s">
        <v>5192</v>
      </c>
      <c r="F2320" s="2">
        <v>5.52</v>
      </c>
      <c r="G2320" s="2">
        <v>18</v>
      </c>
      <c r="H2320" s="2">
        <f>Tabla_Items_Con_Existencia[[#This Row],[COSTO]]*Tabla_Items_Con_Existencia[[#This Row],[EXISTENCIA]]</f>
        <v>99.359999999999985</v>
      </c>
      <c r="I2320" s="1">
        <f>IF(ISERROR(MATCH(Tabla_Items_Con_Existencia[[#This Row],[CODIGO]],Tabla_Items_Activos[CODIGO],0)),0,1)</f>
        <v>0</v>
      </c>
    </row>
    <row r="2321" spans="1:9">
      <c r="A2321" s="2" t="s">
        <v>6760</v>
      </c>
      <c r="B2321" s="2" t="s">
        <v>3095</v>
      </c>
      <c r="C2321" s="2" t="s">
        <v>3096</v>
      </c>
      <c r="D2321" s="2" t="s">
        <v>5157</v>
      </c>
      <c r="E2321" s="2" t="s">
        <v>5192</v>
      </c>
      <c r="F2321" s="2">
        <v>21.78</v>
      </c>
      <c r="G2321" s="2">
        <v>2</v>
      </c>
      <c r="H2321" s="2">
        <f>Tabla_Items_Con_Existencia[[#This Row],[COSTO]]*Tabla_Items_Con_Existencia[[#This Row],[EXISTENCIA]]</f>
        <v>43.56</v>
      </c>
      <c r="I2321" s="1">
        <f>IF(ISERROR(MATCH(Tabla_Items_Con_Existencia[[#This Row],[CODIGO]],Tabla_Items_Activos[CODIGO],0)),0,1)</f>
        <v>0</v>
      </c>
    </row>
    <row r="2322" spans="1:9">
      <c r="A2322" s="2" t="s">
        <v>6760</v>
      </c>
      <c r="B2322" s="2" t="s">
        <v>3097</v>
      </c>
      <c r="C2322" s="2" t="s">
        <v>3098</v>
      </c>
      <c r="D2322" s="2" t="s">
        <v>5157</v>
      </c>
      <c r="E2322" s="2" t="s">
        <v>5192</v>
      </c>
      <c r="F2322" s="2">
        <v>22.5</v>
      </c>
      <c r="G2322" s="2">
        <v>1</v>
      </c>
      <c r="H2322" s="2">
        <f>Tabla_Items_Con_Existencia[[#This Row],[COSTO]]*Tabla_Items_Con_Existencia[[#This Row],[EXISTENCIA]]</f>
        <v>22.5</v>
      </c>
      <c r="I2322" s="1">
        <f>IF(ISERROR(MATCH(Tabla_Items_Con_Existencia[[#This Row],[CODIGO]],Tabla_Items_Activos[CODIGO],0)),0,1)</f>
        <v>0</v>
      </c>
    </row>
    <row r="2323" spans="1:9">
      <c r="A2323" s="2" t="s">
        <v>6760</v>
      </c>
      <c r="B2323" s="2" t="s">
        <v>3099</v>
      </c>
      <c r="C2323" s="2" t="s">
        <v>3100</v>
      </c>
      <c r="D2323" s="2" t="s">
        <v>5157</v>
      </c>
      <c r="E2323" s="2" t="s">
        <v>5192</v>
      </c>
      <c r="F2323" s="2">
        <v>22.5</v>
      </c>
      <c r="G2323" s="2">
        <v>1</v>
      </c>
      <c r="H2323" s="2">
        <f>Tabla_Items_Con_Existencia[[#This Row],[COSTO]]*Tabla_Items_Con_Existencia[[#This Row],[EXISTENCIA]]</f>
        <v>22.5</v>
      </c>
      <c r="I2323" s="1">
        <f>IF(ISERROR(MATCH(Tabla_Items_Con_Existencia[[#This Row],[CODIGO]],Tabla_Items_Activos[CODIGO],0)),0,1)</f>
        <v>0</v>
      </c>
    </row>
    <row r="2324" spans="1:9">
      <c r="A2324" s="2" t="s">
        <v>6760</v>
      </c>
      <c r="B2324" s="2" t="s">
        <v>3101</v>
      </c>
      <c r="C2324" s="2" t="s">
        <v>3102</v>
      </c>
      <c r="D2324" s="2" t="s">
        <v>5157</v>
      </c>
      <c r="E2324" s="2" t="s">
        <v>5192</v>
      </c>
      <c r="F2324" s="2">
        <v>22.5</v>
      </c>
      <c r="G2324" s="2">
        <v>3</v>
      </c>
      <c r="H2324" s="2">
        <f>Tabla_Items_Con_Existencia[[#This Row],[COSTO]]*Tabla_Items_Con_Existencia[[#This Row],[EXISTENCIA]]</f>
        <v>67.5</v>
      </c>
      <c r="I2324" s="1">
        <f>IF(ISERROR(MATCH(Tabla_Items_Con_Existencia[[#This Row],[CODIGO]],Tabla_Items_Activos[CODIGO],0)),0,1)</f>
        <v>0</v>
      </c>
    </row>
    <row r="2325" spans="1:9">
      <c r="A2325" s="2" t="s">
        <v>6760</v>
      </c>
      <c r="B2325" s="2" t="s">
        <v>3103</v>
      </c>
      <c r="C2325" s="2" t="s">
        <v>3104</v>
      </c>
      <c r="D2325" s="2" t="s">
        <v>5157</v>
      </c>
      <c r="E2325" s="2" t="s">
        <v>5192</v>
      </c>
      <c r="F2325" s="2">
        <v>15</v>
      </c>
      <c r="G2325" s="2">
        <v>13</v>
      </c>
      <c r="H2325" s="2">
        <f>Tabla_Items_Con_Existencia[[#This Row],[COSTO]]*Tabla_Items_Con_Existencia[[#This Row],[EXISTENCIA]]</f>
        <v>195</v>
      </c>
      <c r="I2325" s="1">
        <f>IF(ISERROR(MATCH(Tabla_Items_Con_Existencia[[#This Row],[CODIGO]],Tabla_Items_Activos[CODIGO],0)),0,1)</f>
        <v>0</v>
      </c>
    </row>
    <row r="2326" spans="1:9">
      <c r="A2326" s="2" t="s">
        <v>6760</v>
      </c>
      <c r="B2326" s="2" t="s">
        <v>3105</v>
      </c>
      <c r="C2326" s="2" t="s">
        <v>3106</v>
      </c>
      <c r="D2326" s="2" t="s">
        <v>5157</v>
      </c>
      <c r="E2326" s="2" t="s">
        <v>5192</v>
      </c>
      <c r="F2326" s="2">
        <v>21</v>
      </c>
      <c r="G2326" s="2">
        <v>13</v>
      </c>
      <c r="H2326" s="2">
        <f>Tabla_Items_Con_Existencia[[#This Row],[COSTO]]*Tabla_Items_Con_Existencia[[#This Row],[EXISTENCIA]]</f>
        <v>273</v>
      </c>
      <c r="I2326" s="1">
        <f>IF(ISERROR(MATCH(Tabla_Items_Con_Existencia[[#This Row],[CODIGO]],Tabla_Items_Activos[CODIGO],0)),0,1)</f>
        <v>0</v>
      </c>
    </row>
    <row r="2327" spans="1:9">
      <c r="A2327" s="2" t="s">
        <v>6760</v>
      </c>
      <c r="B2327" s="2" t="s">
        <v>3107</v>
      </c>
      <c r="C2327" s="2" t="s">
        <v>3108</v>
      </c>
      <c r="D2327" s="2" t="s">
        <v>5157</v>
      </c>
      <c r="E2327" s="2" t="s">
        <v>5192</v>
      </c>
      <c r="F2327" s="2">
        <v>45</v>
      </c>
      <c r="G2327" s="2">
        <v>1</v>
      </c>
      <c r="H2327" s="2">
        <f>Tabla_Items_Con_Existencia[[#This Row],[COSTO]]*Tabla_Items_Con_Existencia[[#This Row],[EXISTENCIA]]</f>
        <v>45</v>
      </c>
      <c r="I2327" s="1">
        <f>IF(ISERROR(MATCH(Tabla_Items_Con_Existencia[[#This Row],[CODIGO]],Tabla_Items_Activos[CODIGO],0)),0,1)</f>
        <v>0</v>
      </c>
    </row>
    <row r="2328" spans="1:9">
      <c r="A2328" s="2" t="s">
        <v>6760</v>
      </c>
      <c r="B2328" s="2" t="s">
        <v>3109</v>
      </c>
      <c r="C2328" s="2" t="s">
        <v>3110</v>
      </c>
      <c r="D2328" s="2" t="s">
        <v>5157</v>
      </c>
      <c r="E2328" s="2" t="s">
        <v>5192</v>
      </c>
      <c r="F2328" s="2">
        <v>15</v>
      </c>
      <c r="G2328" s="2">
        <v>14</v>
      </c>
      <c r="H2328" s="2">
        <f>Tabla_Items_Con_Existencia[[#This Row],[COSTO]]*Tabla_Items_Con_Existencia[[#This Row],[EXISTENCIA]]</f>
        <v>210</v>
      </c>
      <c r="I2328" s="1">
        <f>IF(ISERROR(MATCH(Tabla_Items_Con_Existencia[[#This Row],[CODIGO]],Tabla_Items_Activos[CODIGO],0)),0,1)</f>
        <v>0</v>
      </c>
    </row>
    <row r="2329" spans="1:9">
      <c r="A2329" s="2" t="s">
        <v>6760</v>
      </c>
      <c r="B2329" s="2" t="s">
        <v>3111</v>
      </c>
      <c r="C2329" s="2" t="s">
        <v>3112</v>
      </c>
      <c r="D2329" s="2" t="s">
        <v>5157</v>
      </c>
      <c r="E2329" s="2" t="s">
        <v>5192</v>
      </c>
      <c r="F2329" s="2">
        <v>15</v>
      </c>
      <c r="G2329" s="2">
        <v>2</v>
      </c>
      <c r="H2329" s="2">
        <f>Tabla_Items_Con_Existencia[[#This Row],[COSTO]]*Tabla_Items_Con_Existencia[[#This Row],[EXISTENCIA]]</f>
        <v>30</v>
      </c>
      <c r="I2329" s="1">
        <f>IF(ISERROR(MATCH(Tabla_Items_Con_Existencia[[#This Row],[CODIGO]],Tabla_Items_Activos[CODIGO],0)),0,1)</f>
        <v>0</v>
      </c>
    </row>
    <row r="2330" spans="1:9">
      <c r="A2330" s="2" t="s">
        <v>6760</v>
      </c>
      <c r="B2330" s="2" t="s">
        <v>3113</v>
      </c>
      <c r="C2330" s="2" t="s">
        <v>3114</v>
      </c>
      <c r="D2330" s="2" t="s">
        <v>5157</v>
      </c>
      <c r="E2330" s="2" t="s">
        <v>5192</v>
      </c>
      <c r="F2330" s="2">
        <v>1.5</v>
      </c>
      <c r="G2330" s="2">
        <v>10</v>
      </c>
      <c r="H2330" s="2">
        <f>Tabla_Items_Con_Existencia[[#This Row],[COSTO]]*Tabla_Items_Con_Existencia[[#This Row],[EXISTENCIA]]</f>
        <v>15</v>
      </c>
      <c r="I2330" s="1">
        <f>IF(ISERROR(MATCH(Tabla_Items_Con_Existencia[[#This Row],[CODIGO]],Tabla_Items_Activos[CODIGO],0)),0,1)</f>
        <v>0</v>
      </c>
    </row>
    <row r="2331" spans="1:9">
      <c r="A2331" s="2" t="s">
        <v>6760</v>
      </c>
      <c r="B2331" s="2" t="s">
        <v>3115</v>
      </c>
      <c r="C2331" s="2" t="s">
        <v>3116</v>
      </c>
      <c r="D2331" s="2" t="s">
        <v>5157</v>
      </c>
      <c r="E2331" s="2" t="s">
        <v>5192</v>
      </c>
      <c r="F2331" s="2">
        <v>30</v>
      </c>
      <c r="G2331" s="2">
        <v>6</v>
      </c>
      <c r="H2331" s="2">
        <f>Tabla_Items_Con_Existencia[[#This Row],[COSTO]]*Tabla_Items_Con_Existencia[[#This Row],[EXISTENCIA]]</f>
        <v>180</v>
      </c>
      <c r="I2331" s="1">
        <f>IF(ISERROR(MATCH(Tabla_Items_Con_Existencia[[#This Row],[CODIGO]],Tabla_Items_Activos[CODIGO],0)),0,1)</f>
        <v>0</v>
      </c>
    </row>
    <row r="2332" spans="1:9">
      <c r="A2332" s="2" t="s">
        <v>6760</v>
      </c>
      <c r="B2332" s="2" t="s">
        <v>3117</v>
      </c>
      <c r="C2332" s="2" t="s">
        <v>3118</v>
      </c>
      <c r="D2332" s="2" t="s">
        <v>5157</v>
      </c>
      <c r="E2332" s="2" t="s">
        <v>5192</v>
      </c>
      <c r="F2332" s="2">
        <v>15</v>
      </c>
      <c r="G2332" s="2">
        <v>6</v>
      </c>
      <c r="H2332" s="2">
        <f>Tabla_Items_Con_Existencia[[#This Row],[COSTO]]*Tabla_Items_Con_Existencia[[#This Row],[EXISTENCIA]]</f>
        <v>90</v>
      </c>
      <c r="I2332" s="1">
        <f>IF(ISERROR(MATCH(Tabla_Items_Con_Existencia[[#This Row],[CODIGO]],Tabla_Items_Activos[CODIGO],0)),0,1)</f>
        <v>0</v>
      </c>
    </row>
    <row r="2333" spans="1:9">
      <c r="A2333" s="2" t="s">
        <v>6760</v>
      </c>
      <c r="B2333" s="2" t="s">
        <v>3119</v>
      </c>
      <c r="C2333" s="2" t="s">
        <v>3120</v>
      </c>
      <c r="D2333" s="2" t="s">
        <v>5157</v>
      </c>
      <c r="E2333" s="2" t="s">
        <v>5192</v>
      </c>
      <c r="F2333" s="2">
        <v>109.26</v>
      </c>
      <c r="G2333" s="2">
        <v>1</v>
      </c>
      <c r="H2333" s="2">
        <f>Tabla_Items_Con_Existencia[[#This Row],[COSTO]]*Tabla_Items_Con_Existencia[[#This Row],[EXISTENCIA]]</f>
        <v>109.26</v>
      </c>
      <c r="I2333" s="1">
        <f>IF(ISERROR(MATCH(Tabla_Items_Con_Existencia[[#This Row],[CODIGO]],Tabla_Items_Activos[CODIGO],0)),0,1)</f>
        <v>0</v>
      </c>
    </row>
    <row r="2334" spans="1:9">
      <c r="A2334" s="2" t="s">
        <v>6760</v>
      </c>
      <c r="B2334" s="2" t="s">
        <v>3121</v>
      </c>
      <c r="C2334" s="2" t="s">
        <v>3122</v>
      </c>
      <c r="D2334" s="2" t="s">
        <v>5157</v>
      </c>
      <c r="E2334" s="2" t="s">
        <v>5192</v>
      </c>
      <c r="F2334" s="2">
        <v>49.98</v>
      </c>
      <c r="G2334" s="2">
        <v>2</v>
      </c>
      <c r="H2334" s="2">
        <f>Tabla_Items_Con_Existencia[[#This Row],[COSTO]]*Tabla_Items_Con_Existencia[[#This Row],[EXISTENCIA]]</f>
        <v>99.96</v>
      </c>
      <c r="I2334" s="1">
        <f>IF(ISERROR(MATCH(Tabla_Items_Con_Existencia[[#This Row],[CODIGO]],Tabla_Items_Activos[CODIGO],0)),0,1)</f>
        <v>0</v>
      </c>
    </row>
    <row r="2335" spans="1:9">
      <c r="A2335" s="2" t="s">
        <v>6760</v>
      </c>
      <c r="B2335" s="2" t="s">
        <v>3123</v>
      </c>
      <c r="C2335" s="2" t="s">
        <v>3124</v>
      </c>
      <c r="D2335" s="2" t="s">
        <v>5157</v>
      </c>
      <c r="E2335" s="2" t="s">
        <v>5192</v>
      </c>
      <c r="F2335" s="2">
        <v>9</v>
      </c>
      <c r="G2335" s="2">
        <v>2</v>
      </c>
      <c r="H2335" s="2">
        <f>Tabla_Items_Con_Existencia[[#This Row],[COSTO]]*Tabla_Items_Con_Existencia[[#This Row],[EXISTENCIA]]</f>
        <v>18</v>
      </c>
      <c r="I2335" s="1">
        <f>IF(ISERROR(MATCH(Tabla_Items_Con_Existencia[[#This Row],[CODIGO]],Tabla_Items_Activos[CODIGO],0)),0,1)</f>
        <v>0</v>
      </c>
    </row>
    <row r="2336" spans="1:9">
      <c r="A2336" s="2" t="s">
        <v>6760</v>
      </c>
      <c r="B2336" s="2" t="s">
        <v>3125</v>
      </c>
      <c r="C2336" s="2" t="s">
        <v>3126</v>
      </c>
      <c r="D2336" s="2" t="s">
        <v>5157</v>
      </c>
      <c r="E2336" s="2" t="s">
        <v>5192</v>
      </c>
      <c r="F2336" s="2">
        <v>15.99</v>
      </c>
      <c r="G2336" s="2">
        <v>2</v>
      </c>
      <c r="H2336" s="2">
        <f>Tabla_Items_Con_Existencia[[#This Row],[COSTO]]*Tabla_Items_Con_Existencia[[#This Row],[EXISTENCIA]]</f>
        <v>31.98</v>
      </c>
      <c r="I2336" s="1">
        <f>IF(ISERROR(MATCH(Tabla_Items_Con_Existencia[[#This Row],[CODIGO]],Tabla_Items_Activos[CODIGO],0)),0,1)</f>
        <v>0</v>
      </c>
    </row>
    <row r="2337" spans="1:9">
      <c r="A2337" s="2" t="s">
        <v>6760</v>
      </c>
      <c r="B2337" s="2" t="s">
        <v>3127</v>
      </c>
      <c r="C2337" s="2" t="s">
        <v>3128</v>
      </c>
      <c r="D2337" s="2" t="s">
        <v>5157</v>
      </c>
      <c r="E2337" s="2" t="s">
        <v>5192</v>
      </c>
      <c r="F2337" s="2">
        <v>171.75</v>
      </c>
      <c r="G2337" s="2">
        <v>1</v>
      </c>
      <c r="H2337" s="2">
        <f>Tabla_Items_Con_Existencia[[#This Row],[COSTO]]*Tabla_Items_Con_Existencia[[#This Row],[EXISTENCIA]]</f>
        <v>171.75</v>
      </c>
      <c r="I2337" s="1">
        <f>IF(ISERROR(MATCH(Tabla_Items_Con_Existencia[[#This Row],[CODIGO]],Tabla_Items_Activos[CODIGO],0)),0,1)</f>
        <v>0</v>
      </c>
    </row>
    <row r="2338" spans="1:9">
      <c r="A2338" s="2" t="s">
        <v>6760</v>
      </c>
      <c r="B2338" s="2" t="s">
        <v>3129</v>
      </c>
      <c r="C2338" s="2" t="s">
        <v>3130</v>
      </c>
      <c r="D2338" s="2" t="s">
        <v>5157</v>
      </c>
      <c r="E2338" s="2" t="s">
        <v>5192</v>
      </c>
      <c r="F2338" s="2">
        <v>6.27</v>
      </c>
      <c r="G2338" s="2">
        <v>1</v>
      </c>
      <c r="H2338" s="2">
        <f>Tabla_Items_Con_Existencia[[#This Row],[COSTO]]*Tabla_Items_Con_Existencia[[#This Row],[EXISTENCIA]]</f>
        <v>6.27</v>
      </c>
      <c r="I2338" s="1">
        <f>IF(ISERROR(MATCH(Tabla_Items_Con_Existencia[[#This Row],[CODIGO]],Tabla_Items_Activos[CODIGO],0)),0,1)</f>
        <v>0</v>
      </c>
    </row>
    <row r="2339" spans="1:9">
      <c r="A2339" s="2" t="s">
        <v>6760</v>
      </c>
      <c r="B2339" s="2" t="s">
        <v>3131</v>
      </c>
      <c r="C2339" s="2" t="s">
        <v>3132</v>
      </c>
      <c r="D2339" s="2" t="s">
        <v>5157</v>
      </c>
      <c r="E2339" s="2" t="s">
        <v>5192</v>
      </c>
      <c r="F2339" s="2">
        <v>174.61105262999999</v>
      </c>
      <c r="G2339" s="2">
        <v>3</v>
      </c>
      <c r="H2339" s="2">
        <f>Tabla_Items_Con_Existencia[[#This Row],[COSTO]]*Tabla_Items_Con_Existencia[[#This Row],[EXISTENCIA]]</f>
        <v>523.83315788999994</v>
      </c>
      <c r="I2339" s="1">
        <f>IF(ISERROR(MATCH(Tabla_Items_Con_Existencia[[#This Row],[CODIGO]],Tabla_Items_Activos[CODIGO],0)),0,1)</f>
        <v>0</v>
      </c>
    </row>
    <row r="2340" spans="1:9">
      <c r="A2340" s="2" t="s">
        <v>6761</v>
      </c>
      <c r="B2340" s="2" t="s">
        <v>3131</v>
      </c>
      <c r="C2340" s="2" t="s">
        <v>3132</v>
      </c>
      <c r="D2340" s="2" t="s">
        <v>5157</v>
      </c>
      <c r="E2340" s="2" t="s">
        <v>5192</v>
      </c>
      <c r="F2340" s="2">
        <v>174.61105262999999</v>
      </c>
      <c r="G2340" s="2">
        <v>3</v>
      </c>
      <c r="H2340" s="2">
        <f>Tabla_Items_Con_Existencia[[#This Row],[COSTO]]*Tabla_Items_Con_Existencia[[#This Row],[EXISTENCIA]]</f>
        <v>523.83315788999994</v>
      </c>
      <c r="I2340" s="1">
        <f>IF(ISERROR(MATCH(Tabla_Items_Con_Existencia[[#This Row],[CODIGO]],Tabla_Items_Activos[CODIGO],0)),0,1)</f>
        <v>0</v>
      </c>
    </row>
    <row r="2341" spans="1:9">
      <c r="A2341" s="2" t="s">
        <v>6760</v>
      </c>
      <c r="B2341" s="2" t="s">
        <v>3133</v>
      </c>
      <c r="C2341" s="2" t="s">
        <v>3134</v>
      </c>
      <c r="D2341" s="2" t="s">
        <v>5157</v>
      </c>
      <c r="E2341" s="2" t="s">
        <v>5192</v>
      </c>
      <c r="F2341" s="2">
        <v>9.4499999999999993</v>
      </c>
      <c r="G2341" s="2">
        <v>1</v>
      </c>
      <c r="H2341" s="2">
        <f>Tabla_Items_Con_Existencia[[#This Row],[COSTO]]*Tabla_Items_Con_Existencia[[#This Row],[EXISTENCIA]]</f>
        <v>9.4499999999999993</v>
      </c>
      <c r="I2341" s="1">
        <f>IF(ISERROR(MATCH(Tabla_Items_Con_Existencia[[#This Row],[CODIGO]],Tabla_Items_Activos[CODIGO],0)),0,1)</f>
        <v>0</v>
      </c>
    </row>
    <row r="2342" spans="1:9">
      <c r="A2342" s="2" t="s">
        <v>6760</v>
      </c>
      <c r="B2342" s="2" t="s">
        <v>3135</v>
      </c>
      <c r="C2342" s="2" t="s">
        <v>3136</v>
      </c>
      <c r="D2342" s="2" t="s">
        <v>5157</v>
      </c>
      <c r="E2342" s="2" t="s">
        <v>5192</v>
      </c>
      <c r="F2342" s="2">
        <v>206.61894737</v>
      </c>
      <c r="G2342" s="2">
        <v>2</v>
      </c>
      <c r="H2342" s="2">
        <f>Tabla_Items_Con_Existencia[[#This Row],[COSTO]]*Tabla_Items_Con_Existencia[[#This Row],[EXISTENCIA]]</f>
        <v>413.23789474</v>
      </c>
      <c r="I2342" s="1">
        <f>IF(ISERROR(MATCH(Tabla_Items_Con_Existencia[[#This Row],[CODIGO]],Tabla_Items_Activos[CODIGO],0)),0,1)</f>
        <v>0</v>
      </c>
    </row>
    <row r="2343" spans="1:9">
      <c r="A2343" s="2" t="s">
        <v>6761</v>
      </c>
      <c r="B2343" s="2" t="s">
        <v>3135</v>
      </c>
      <c r="C2343" s="2" t="s">
        <v>3136</v>
      </c>
      <c r="D2343" s="2" t="s">
        <v>5157</v>
      </c>
      <c r="E2343" s="2" t="s">
        <v>5192</v>
      </c>
      <c r="F2343" s="2">
        <v>206.61894737</v>
      </c>
      <c r="G2343" s="2">
        <v>2</v>
      </c>
      <c r="H2343" s="2">
        <f>Tabla_Items_Con_Existencia[[#This Row],[COSTO]]*Tabla_Items_Con_Existencia[[#This Row],[EXISTENCIA]]</f>
        <v>413.23789474</v>
      </c>
      <c r="I2343" s="1">
        <f>IF(ISERROR(MATCH(Tabla_Items_Con_Existencia[[#This Row],[CODIGO]],Tabla_Items_Activos[CODIGO],0)),0,1)</f>
        <v>0</v>
      </c>
    </row>
    <row r="2344" spans="1:9">
      <c r="A2344" s="2" t="s">
        <v>6760</v>
      </c>
      <c r="B2344" s="2" t="s">
        <v>3137</v>
      </c>
      <c r="C2344" s="2" t="s">
        <v>3138</v>
      </c>
      <c r="D2344" s="2" t="s">
        <v>5157</v>
      </c>
      <c r="E2344" s="2" t="s">
        <v>5192</v>
      </c>
      <c r="F2344" s="2">
        <v>14.97</v>
      </c>
      <c r="G2344" s="2">
        <v>2</v>
      </c>
      <c r="H2344" s="2">
        <f>Tabla_Items_Con_Existencia[[#This Row],[COSTO]]*Tabla_Items_Con_Existencia[[#This Row],[EXISTENCIA]]</f>
        <v>29.94</v>
      </c>
      <c r="I2344" s="1">
        <f>IF(ISERROR(MATCH(Tabla_Items_Con_Existencia[[#This Row],[CODIGO]],Tabla_Items_Activos[CODIGO],0)),0,1)</f>
        <v>0</v>
      </c>
    </row>
    <row r="2345" spans="1:9">
      <c r="A2345" s="2" t="s">
        <v>6760</v>
      </c>
      <c r="B2345" s="2" t="s">
        <v>3139</v>
      </c>
      <c r="C2345" s="2" t="s">
        <v>3140</v>
      </c>
      <c r="D2345" s="2" t="s">
        <v>5157</v>
      </c>
      <c r="E2345" s="2" t="s">
        <v>5192</v>
      </c>
      <c r="F2345" s="2">
        <v>7.29</v>
      </c>
      <c r="G2345" s="2">
        <v>2</v>
      </c>
      <c r="H2345" s="2">
        <f>Tabla_Items_Con_Existencia[[#This Row],[COSTO]]*Tabla_Items_Con_Existencia[[#This Row],[EXISTENCIA]]</f>
        <v>14.58</v>
      </c>
      <c r="I2345" s="1">
        <f>IF(ISERROR(MATCH(Tabla_Items_Con_Existencia[[#This Row],[CODIGO]],Tabla_Items_Activos[CODIGO],0)),0,1)</f>
        <v>0</v>
      </c>
    </row>
    <row r="2346" spans="1:9">
      <c r="A2346" s="2" t="s">
        <v>6760</v>
      </c>
      <c r="B2346" s="2" t="s">
        <v>3141</v>
      </c>
      <c r="C2346" s="2" t="s">
        <v>3142</v>
      </c>
      <c r="D2346" s="2" t="s">
        <v>5157</v>
      </c>
      <c r="E2346" s="2" t="s">
        <v>5192</v>
      </c>
      <c r="F2346" s="2">
        <v>15.06</v>
      </c>
      <c r="G2346" s="2">
        <v>1</v>
      </c>
      <c r="H2346" s="2">
        <f>Tabla_Items_Con_Existencia[[#This Row],[COSTO]]*Tabla_Items_Con_Existencia[[#This Row],[EXISTENCIA]]</f>
        <v>15.06</v>
      </c>
      <c r="I2346" s="1">
        <f>IF(ISERROR(MATCH(Tabla_Items_Con_Existencia[[#This Row],[CODIGO]],Tabla_Items_Activos[CODIGO],0)),0,1)</f>
        <v>0</v>
      </c>
    </row>
    <row r="2347" spans="1:9">
      <c r="A2347" s="2" t="s">
        <v>6760</v>
      </c>
      <c r="B2347" s="2" t="s">
        <v>3143</v>
      </c>
      <c r="C2347" s="2" t="s">
        <v>3144</v>
      </c>
      <c r="D2347" s="2" t="s">
        <v>5157</v>
      </c>
      <c r="E2347" s="2" t="s">
        <v>5192</v>
      </c>
      <c r="F2347" s="2">
        <v>18</v>
      </c>
      <c r="G2347" s="2">
        <v>1</v>
      </c>
      <c r="H2347" s="2">
        <f>Tabla_Items_Con_Existencia[[#This Row],[COSTO]]*Tabla_Items_Con_Existencia[[#This Row],[EXISTENCIA]]</f>
        <v>18</v>
      </c>
      <c r="I2347" s="1">
        <f>IF(ISERROR(MATCH(Tabla_Items_Con_Existencia[[#This Row],[CODIGO]],Tabla_Items_Activos[CODIGO],0)),0,1)</f>
        <v>0</v>
      </c>
    </row>
    <row r="2348" spans="1:9">
      <c r="A2348" s="2" t="s">
        <v>6760</v>
      </c>
      <c r="B2348" s="2" t="s">
        <v>3145</v>
      </c>
      <c r="C2348" s="2" t="s">
        <v>3146</v>
      </c>
      <c r="D2348" s="2" t="s">
        <v>5157</v>
      </c>
      <c r="E2348" s="2" t="s">
        <v>5192</v>
      </c>
      <c r="F2348" s="2">
        <v>21.78</v>
      </c>
      <c r="G2348" s="2">
        <v>1</v>
      </c>
      <c r="H2348" s="2">
        <f>Tabla_Items_Con_Existencia[[#This Row],[COSTO]]*Tabla_Items_Con_Existencia[[#This Row],[EXISTENCIA]]</f>
        <v>21.78</v>
      </c>
      <c r="I2348" s="1">
        <f>IF(ISERROR(MATCH(Tabla_Items_Con_Existencia[[#This Row],[CODIGO]],Tabla_Items_Activos[CODIGO],0)),0,1)</f>
        <v>0</v>
      </c>
    </row>
    <row r="2349" spans="1:9">
      <c r="A2349" s="2" t="s">
        <v>6760</v>
      </c>
      <c r="B2349" s="2" t="s">
        <v>3147</v>
      </c>
      <c r="C2349" s="2" t="s">
        <v>3148</v>
      </c>
      <c r="D2349" s="2" t="s">
        <v>5157</v>
      </c>
      <c r="E2349" s="2" t="s">
        <v>5192</v>
      </c>
      <c r="F2349" s="2">
        <v>0.18</v>
      </c>
      <c r="G2349" s="2">
        <v>6</v>
      </c>
      <c r="H2349" s="2">
        <f>Tabla_Items_Con_Existencia[[#This Row],[COSTO]]*Tabla_Items_Con_Existencia[[#This Row],[EXISTENCIA]]</f>
        <v>1.08</v>
      </c>
      <c r="I2349" s="1">
        <f>IF(ISERROR(MATCH(Tabla_Items_Con_Existencia[[#This Row],[CODIGO]],Tabla_Items_Activos[CODIGO],0)),0,1)</f>
        <v>0</v>
      </c>
    </row>
    <row r="2350" spans="1:9">
      <c r="A2350" s="2" t="s">
        <v>6760</v>
      </c>
      <c r="B2350" s="2" t="s">
        <v>3149</v>
      </c>
      <c r="C2350" s="2" t="s">
        <v>3150</v>
      </c>
      <c r="D2350" s="2" t="s">
        <v>5157</v>
      </c>
      <c r="E2350" s="2" t="s">
        <v>5192</v>
      </c>
      <c r="F2350" s="2">
        <v>0.78</v>
      </c>
      <c r="G2350" s="2">
        <v>6</v>
      </c>
      <c r="H2350" s="2">
        <f>Tabla_Items_Con_Existencia[[#This Row],[COSTO]]*Tabla_Items_Con_Existencia[[#This Row],[EXISTENCIA]]</f>
        <v>4.68</v>
      </c>
      <c r="I2350" s="1">
        <f>IF(ISERROR(MATCH(Tabla_Items_Con_Existencia[[#This Row],[CODIGO]],Tabla_Items_Activos[CODIGO],0)),0,1)</f>
        <v>0</v>
      </c>
    </row>
    <row r="2351" spans="1:9">
      <c r="A2351" s="2" t="s">
        <v>6760</v>
      </c>
      <c r="B2351" s="2" t="s">
        <v>3151</v>
      </c>
      <c r="C2351" s="2" t="s">
        <v>3152</v>
      </c>
      <c r="D2351" s="2" t="s">
        <v>5157</v>
      </c>
      <c r="E2351" s="2" t="s">
        <v>5192</v>
      </c>
      <c r="F2351" s="2">
        <v>0.87</v>
      </c>
      <c r="G2351" s="2">
        <v>1</v>
      </c>
      <c r="H2351" s="2">
        <f>Tabla_Items_Con_Existencia[[#This Row],[COSTO]]*Tabla_Items_Con_Existencia[[#This Row],[EXISTENCIA]]</f>
        <v>0.87</v>
      </c>
      <c r="I2351" s="1">
        <f>IF(ISERROR(MATCH(Tabla_Items_Con_Existencia[[#This Row],[CODIGO]],Tabla_Items_Activos[CODIGO],0)),0,1)</f>
        <v>0</v>
      </c>
    </row>
    <row r="2352" spans="1:9">
      <c r="A2352" s="2" t="s">
        <v>6760</v>
      </c>
      <c r="B2352" s="2" t="s">
        <v>3153</v>
      </c>
      <c r="C2352" s="2" t="s">
        <v>3154</v>
      </c>
      <c r="D2352" s="2" t="s">
        <v>5157</v>
      </c>
      <c r="E2352" s="2" t="s">
        <v>5192</v>
      </c>
      <c r="F2352" s="2">
        <v>9.24</v>
      </c>
      <c r="G2352" s="2">
        <v>3</v>
      </c>
      <c r="H2352" s="2">
        <f>Tabla_Items_Con_Existencia[[#This Row],[COSTO]]*Tabla_Items_Con_Existencia[[#This Row],[EXISTENCIA]]</f>
        <v>27.72</v>
      </c>
      <c r="I2352" s="1">
        <f>IF(ISERROR(MATCH(Tabla_Items_Con_Existencia[[#This Row],[CODIGO]],Tabla_Items_Activos[CODIGO],0)),0,1)</f>
        <v>0</v>
      </c>
    </row>
    <row r="2353" spans="1:9">
      <c r="A2353" s="2" t="s">
        <v>6760</v>
      </c>
      <c r="B2353" s="2" t="s">
        <v>3155</v>
      </c>
      <c r="C2353" s="2" t="s">
        <v>3156</v>
      </c>
      <c r="D2353" s="2" t="s">
        <v>5157</v>
      </c>
      <c r="E2353" s="2" t="s">
        <v>5192</v>
      </c>
      <c r="F2353" s="2">
        <v>2.1059999999999999</v>
      </c>
      <c r="G2353" s="2">
        <v>6</v>
      </c>
      <c r="H2353" s="2">
        <f>Tabla_Items_Con_Existencia[[#This Row],[COSTO]]*Tabla_Items_Con_Existencia[[#This Row],[EXISTENCIA]]</f>
        <v>12.635999999999999</v>
      </c>
      <c r="I2353" s="1">
        <f>IF(ISERROR(MATCH(Tabla_Items_Con_Existencia[[#This Row],[CODIGO]],Tabla_Items_Activos[CODIGO],0)),0,1)</f>
        <v>0</v>
      </c>
    </row>
    <row r="2354" spans="1:9">
      <c r="A2354" s="2" t="s">
        <v>6760</v>
      </c>
      <c r="B2354" s="2" t="s">
        <v>3157</v>
      </c>
      <c r="C2354" s="2" t="s">
        <v>3158</v>
      </c>
      <c r="D2354" s="2" t="s">
        <v>5157</v>
      </c>
      <c r="E2354" s="2" t="s">
        <v>5192</v>
      </c>
      <c r="F2354" s="2">
        <v>2.79</v>
      </c>
      <c r="G2354" s="2">
        <v>2</v>
      </c>
      <c r="H2354" s="2">
        <f>Tabla_Items_Con_Existencia[[#This Row],[COSTO]]*Tabla_Items_Con_Existencia[[#This Row],[EXISTENCIA]]</f>
        <v>5.58</v>
      </c>
      <c r="I2354" s="1">
        <f>IF(ISERROR(MATCH(Tabla_Items_Con_Existencia[[#This Row],[CODIGO]],Tabla_Items_Activos[CODIGO],0)),0,1)</f>
        <v>0</v>
      </c>
    </row>
    <row r="2355" spans="1:9">
      <c r="A2355" s="2" t="s">
        <v>6760</v>
      </c>
      <c r="B2355" s="2" t="s">
        <v>3159</v>
      </c>
      <c r="C2355" s="2" t="s">
        <v>3160</v>
      </c>
      <c r="D2355" s="2" t="s">
        <v>5157</v>
      </c>
      <c r="E2355" s="2" t="s">
        <v>5192</v>
      </c>
      <c r="F2355" s="2">
        <v>16.32</v>
      </c>
      <c r="G2355" s="2">
        <v>1</v>
      </c>
      <c r="H2355" s="2">
        <f>Tabla_Items_Con_Existencia[[#This Row],[COSTO]]*Tabla_Items_Con_Existencia[[#This Row],[EXISTENCIA]]</f>
        <v>16.32</v>
      </c>
      <c r="I2355" s="1">
        <f>IF(ISERROR(MATCH(Tabla_Items_Con_Existencia[[#This Row],[CODIGO]],Tabla_Items_Activos[CODIGO],0)),0,1)</f>
        <v>0</v>
      </c>
    </row>
    <row r="2356" spans="1:9">
      <c r="A2356" s="2" t="s">
        <v>6760</v>
      </c>
      <c r="B2356" s="2" t="s">
        <v>3161</v>
      </c>
      <c r="C2356" s="2" t="s">
        <v>3162</v>
      </c>
      <c r="D2356" s="2" t="s">
        <v>5157</v>
      </c>
      <c r="E2356" s="2" t="s">
        <v>5192</v>
      </c>
      <c r="F2356" s="2">
        <v>12.66</v>
      </c>
      <c r="G2356" s="2">
        <v>1</v>
      </c>
      <c r="H2356" s="2">
        <f>Tabla_Items_Con_Existencia[[#This Row],[COSTO]]*Tabla_Items_Con_Existencia[[#This Row],[EXISTENCIA]]</f>
        <v>12.66</v>
      </c>
      <c r="I2356" s="1">
        <f>IF(ISERROR(MATCH(Tabla_Items_Con_Existencia[[#This Row],[CODIGO]],Tabla_Items_Activos[CODIGO],0)),0,1)</f>
        <v>0</v>
      </c>
    </row>
    <row r="2357" spans="1:9">
      <c r="A2357" s="2" t="s">
        <v>6760</v>
      </c>
      <c r="B2357" s="2" t="s">
        <v>3163</v>
      </c>
      <c r="C2357" s="2" t="s">
        <v>3164</v>
      </c>
      <c r="D2357" s="2" t="s">
        <v>5157</v>
      </c>
      <c r="E2357" s="2" t="s">
        <v>5192</v>
      </c>
      <c r="F2357" s="2">
        <v>37.020000000000003</v>
      </c>
      <c r="G2357" s="2">
        <v>1</v>
      </c>
      <c r="H2357" s="2">
        <f>Tabla_Items_Con_Existencia[[#This Row],[COSTO]]*Tabla_Items_Con_Existencia[[#This Row],[EXISTENCIA]]</f>
        <v>37.020000000000003</v>
      </c>
      <c r="I2357" s="1">
        <f>IF(ISERROR(MATCH(Tabla_Items_Con_Existencia[[#This Row],[CODIGO]],Tabla_Items_Activos[CODIGO],0)),0,1)</f>
        <v>0</v>
      </c>
    </row>
    <row r="2358" spans="1:9">
      <c r="A2358" s="2" t="s">
        <v>6761</v>
      </c>
      <c r="B2358" s="2" t="s">
        <v>7014</v>
      </c>
      <c r="C2358" s="2" t="s">
        <v>7015</v>
      </c>
      <c r="D2358" s="2" t="s">
        <v>5226</v>
      </c>
      <c r="E2358" s="2" t="s">
        <v>5192</v>
      </c>
      <c r="F2358" s="2">
        <v>659.29</v>
      </c>
      <c r="G2358" s="2">
        <v>3</v>
      </c>
      <c r="H2358" s="2">
        <f>Tabla_Items_Con_Existencia[[#This Row],[COSTO]]*Tabla_Items_Con_Existencia[[#This Row],[EXISTENCIA]]</f>
        <v>1977.87</v>
      </c>
      <c r="I2358" s="1">
        <f>IF(ISERROR(MATCH(Tabla_Items_Con_Existencia[[#This Row],[CODIGO]],Tabla_Items_Activos[CODIGO],0)),0,1)</f>
        <v>0</v>
      </c>
    </row>
    <row r="2359" spans="1:9">
      <c r="A2359" s="2" t="s">
        <v>6760</v>
      </c>
      <c r="B2359" s="2" t="s">
        <v>3167</v>
      </c>
      <c r="C2359" s="2" t="s">
        <v>3168</v>
      </c>
      <c r="D2359" s="2" t="s">
        <v>5157</v>
      </c>
      <c r="E2359" s="2" t="s">
        <v>5192</v>
      </c>
      <c r="F2359" s="2">
        <v>74.885999999999996</v>
      </c>
      <c r="G2359" s="2">
        <v>1</v>
      </c>
      <c r="H2359" s="2">
        <f>Tabla_Items_Con_Existencia[[#This Row],[COSTO]]*Tabla_Items_Con_Existencia[[#This Row],[EXISTENCIA]]</f>
        <v>74.885999999999996</v>
      </c>
      <c r="I2359" s="1">
        <f>IF(ISERROR(MATCH(Tabla_Items_Con_Existencia[[#This Row],[CODIGO]],Tabla_Items_Activos[CODIGO],0)),0,1)</f>
        <v>0</v>
      </c>
    </row>
    <row r="2360" spans="1:9">
      <c r="A2360" s="2" t="s">
        <v>6760</v>
      </c>
      <c r="B2360" s="2" t="s">
        <v>3169</v>
      </c>
      <c r="C2360" s="2" t="s">
        <v>3170</v>
      </c>
      <c r="D2360" s="2" t="s">
        <v>5157</v>
      </c>
      <c r="E2360" s="2" t="s">
        <v>5192</v>
      </c>
      <c r="F2360" s="2">
        <v>359.55</v>
      </c>
      <c r="G2360" s="2">
        <v>1</v>
      </c>
      <c r="H2360" s="2">
        <f>Tabla_Items_Con_Existencia[[#This Row],[COSTO]]*Tabla_Items_Con_Existencia[[#This Row],[EXISTENCIA]]</f>
        <v>359.55</v>
      </c>
      <c r="I2360" s="1">
        <f>IF(ISERROR(MATCH(Tabla_Items_Con_Existencia[[#This Row],[CODIGO]],Tabla_Items_Activos[CODIGO],0)),0,1)</f>
        <v>0</v>
      </c>
    </row>
    <row r="2361" spans="1:9">
      <c r="A2361" s="2" t="s">
        <v>6760</v>
      </c>
      <c r="B2361" s="2" t="s">
        <v>7364</v>
      </c>
      <c r="C2361" s="2" t="s">
        <v>7365</v>
      </c>
      <c r="D2361" s="2" t="s">
        <v>7286</v>
      </c>
      <c r="E2361" s="2" t="s">
        <v>5192</v>
      </c>
      <c r="F2361" s="2">
        <v>771.6</v>
      </c>
      <c r="G2361" s="2">
        <v>1</v>
      </c>
      <c r="H2361" s="2">
        <f>Tabla_Items_Con_Existencia[[#This Row],[COSTO]]*Tabla_Items_Con_Existencia[[#This Row],[EXISTENCIA]]</f>
        <v>771.6</v>
      </c>
      <c r="I2361" s="1">
        <f>IF(ISERROR(MATCH(Tabla_Items_Con_Existencia[[#This Row],[CODIGO]],Tabla_Items_Activos[CODIGO],0)),0,1)</f>
        <v>0</v>
      </c>
    </row>
    <row r="2362" spans="1:9">
      <c r="A2362" s="2" t="s">
        <v>6760</v>
      </c>
      <c r="B2362" s="2" t="s">
        <v>3171</v>
      </c>
      <c r="C2362" s="2" t="s">
        <v>3172</v>
      </c>
      <c r="D2362" s="2" t="s">
        <v>5157</v>
      </c>
      <c r="E2362" s="2" t="s">
        <v>5192</v>
      </c>
      <c r="F2362" s="2">
        <v>0</v>
      </c>
      <c r="G2362" s="2">
        <v>10</v>
      </c>
      <c r="H2362" s="2">
        <f>Tabla_Items_Con_Existencia[[#This Row],[COSTO]]*Tabla_Items_Con_Existencia[[#This Row],[EXISTENCIA]]</f>
        <v>0</v>
      </c>
      <c r="I2362" s="1">
        <f>IF(ISERROR(MATCH(Tabla_Items_Con_Existencia[[#This Row],[CODIGO]],Tabla_Items_Activos[CODIGO],0)),0,1)</f>
        <v>0</v>
      </c>
    </row>
    <row r="2363" spans="1:9">
      <c r="A2363" s="2" t="s">
        <v>6761</v>
      </c>
      <c r="B2363" s="2" t="s">
        <v>7016</v>
      </c>
      <c r="C2363" s="2" t="s">
        <v>7017</v>
      </c>
      <c r="D2363" s="2" t="s">
        <v>5226</v>
      </c>
      <c r="E2363" s="2" t="s">
        <v>5192</v>
      </c>
      <c r="F2363" s="2">
        <v>272.64</v>
      </c>
      <c r="G2363" s="2">
        <v>3</v>
      </c>
      <c r="H2363" s="2">
        <f>Tabla_Items_Con_Existencia[[#This Row],[COSTO]]*Tabla_Items_Con_Existencia[[#This Row],[EXISTENCIA]]</f>
        <v>817.92</v>
      </c>
      <c r="I2363" s="1">
        <f>IF(ISERROR(MATCH(Tabla_Items_Con_Existencia[[#This Row],[CODIGO]],Tabla_Items_Activos[CODIGO],0)),0,1)</f>
        <v>0</v>
      </c>
    </row>
    <row r="2364" spans="1:9">
      <c r="A2364" s="2" t="s">
        <v>6761</v>
      </c>
      <c r="B2364" s="2" t="s">
        <v>7018</v>
      </c>
      <c r="C2364" s="2" t="s">
        <v>7019</v>
      </c>
      <c r="D2364" s="2" t="s">
        <v>5226</v>
      </c>
      <c r="E2364" s="2" t="s">
        <v>5192</v>
      </c>
      <c r="F2364" s="2">
        <v>174.42500000000001</v>
      </c>
      <c r="G2364" s="2">
        <v>1</v>
      </c>
      <c r="H2364" s="2">
        <f>Tabla_Items_Con_Existencia[[#This Row],[COSTO]]*Tabla_Items_Con_Existencia[[#This Row],[EXISTENCIA]]</f>
        <v>174.42500000000001</v>
      </c>
      <c r="I2364" s="1">
        <f>IF(ISERROR(MATCH(Tabla_Items_Con_Existencia[[#This Row],[CODIGO]],Tabla_Items_Activos[CODIGO],0)),0,1)</f>
        <v>0</v>
      </c>
    </row>
    <row r="2365" spans="1:9">
      <c r="A2365" s="2" t="s">
        <v>6761</v>
      </c>
      <c r="B2365" s="2" t="s">
        <v>7020</v>
      </c>
      <c r="C2365" s="2" t="s">
        <v>7021</v>
      </c>
      <c r="D2365" s="2" t="s">
        <v>5226</v>
      </c>
      <c r="E2365" s="2" t="s">
        <v>5192</v>
      </c>
      <c r="F2365" s="2">
        <v>410.66</v>
      </c>
      <c r="G2365" s="2">
        <v>3</v>
      </c>
      <c r="H2365" s="2">
        <f>Tabla_Items_Con_Existencia[[#This Row],[COSTO]]*Tabla_Items_Con_Existencia[[#This Row],[EXISTENCIA]]</f>
        <v>1231.98</v>
      </c>
      <c r="I2365" s="1">
        <f>IF(ISERROR(MATCH(Tabla_Items_Con_Existencia[[#This Row],[CODIGO]],Tabla_Items_Activos[CODIGO],0)),0,1)</f>
        <v>0</v>
      </c>
    </row>
    <row r="2366" spans="1:9">
      <c r="A2366" s="2" t="s">
        <v>6761</v>
      </c>
      <c r="B2366" s="2" t="s">
        <v>7022</v>
      </c>
      <c r="C2366" s="2" t="s">
        <v>7023</v>
      </c>
      <c r="D2366" s="2" t="s">
        <v>5226</v>
      </c>
      <c r="E2366" s="2" t="s">
        <v>5192</v>
      </c>
      <c r="F2366" s="2">
        <v>160.93</v>
      </c>
      <c r="G2366" s="2">
        <v>1</v>
      </c>
      <c r="H2366" s="2">
        <f>Tabla_Items_Con_Existencia[[#This Row],[COSTO]]*Tabla_Items_Con_Existencia[[#This Row],[EXISTENCIA]]</f>
        <v>160.93</v>
      </c>
      <c r="I2366" s="1">
        <f>IF(ISERROR(MATCH(Tabla_Items_Con_Existencia[[#This Row],[CODIGO]],Tabla_Items_Activos[CODIGO],0)),0,1)</f>
        <v>0</v>
      </c>
    </row>
    <row r="2367" spans="1:9">
      <c r="A2367" s="2" t="s">
        <v>6761</v>
      </c>
      <c r="B2367" s="2" t="s">
        <v>7024</v>
      </c>
      <c r="C2367" s="2" t="s">
        <v>7025</v>
      </c>
      <c r="D2367" s="2" t="s">
        <v>5226</v>
      </c>
      <c r="E2367" s="2" t="s">
        <v>5192</v>
      </c>
      <c r="F2367" s="2">
        <v>117.26</v>
      </c>
      <c r="G2367" s="2">
        <v>3</v>
      </c>
      <c r="H2367" s="2">
        <f>Tabla_Items_Con_Existencia[[#This Row],[COSTO]]*Tabla_Items_Con_Existencia[[#This Row],[EXISTENCIA]]</f>
        <v>351.78000000000003</v>
      </c>
      <c r="I2367" s="1">
        <f>IF(ISERROR(MATCH(Tabla_Items_Con_Existencia[[#This Row],[CODIGO]],Tabla_Items_Activos[CODIGO],0)),0,1)</f>
        <v>0</v>
      </c>
    </row>
    <row r="2368" spans="1:9">
      <c r="A2368" s="2" t="s">
        <v>6761</v>
      </c>
      <c r="B2368" s="2" t="s">
        <v>7026</v>
      </c>
      <c r="C2368" s="2" t="s">
        <v>7027</v>
      </c>
      <c r="D2368" s="2" t="s">
        <v>5226</v>
      </c>
      <c r="E2368" s="2" t="s">
        <v>5192</v>
      </c>
      <c r="F2368" s="2">
        <v>340.64659999999998</v>
      </c>
      <c r="G2368" s="2">
        <v>2</v>
      </c>
      <c r="H2368" s="2">
        <f>Tabla_Items_Con_Existencia[[#This Row],[COSTO]]*Tabla_Items_Con_Existencia[[#This Row],[EXISTENCIA]]</f>
        <v>681.29319999999996</v>
      </c>
      <c r="I2368" s="1">
        <f>IF(ISERROR(MATCH(Tabla_Items_Con_Existencia[[#This Row],[CODIGO]],Tabla_Items_Activos[CODIGO],0)),0,1)</f>
        <v>0</v>
      </c>
    </row>
    <row r="2369" spans="1:9">
      <c r="A2369" s="2" t="s">
        <v>6761</v>
      </c>
      <c r="B2369" s="2" t="s">
        <v>7028</v>
      </c>
      <c r="C2369" s="2" t="s">
        <v>7029</v>
      </c>
      <c r="D2369" s="2" t="s">
        <v>5226</v>
      </c>
      <c r="E2369" s="2" t="s">
        <v>5192</v>
      </c>
      <c r="F2369" s="2">
        <v>250.15</v>
      </c>
      <c r="G2369" s="2">
        <v>3</v>
      </c>
      <c r="H2369" s="2">
        <f>Tabla_Items_Con_Existencia[[#This Row],[COSTO]]*Tabla_Items_Con_Existencia[[#This Row],[EXISTENCIA]]</f>
        <v>750.45</v>
      </c>
      <c r="I2369" s="1">
        <f>IF(ISERROR(MATCH(Tabla_Items_Con_Existencia[[#This Row],[CODIGO]],Tabla_Items_Activos[CODIGO],0)),0,1)</f>
        <v>0</v>
      </c>
    </row>
    <row r="2370" spans="1:9">
      <c r="A2370" s="2" t="s">
        <v>6761</v>
      </c>
      <c r="B2370" s="2" t="s">
        <v>7030</v>
      </c>
      <c r="C2370" s="2" t="s">
        <v>7031</v>
      </c>
      <c r="D2370" s="2" t="s">
        <v>5226</v>
      </c>
      <c r="E2370" s="2" t="s">
        <v>5192</v>
      </c>
      <c r="F2370" s="2">
        <v>269.33999999999997</v>
      </c>
      <c r="G2370" s="2">
        <v>3</v>
      </c>
      <c r="H2370" s="2">
        <f>Tabla_Items_Con_Existencia[[#This Row],[COSTO]]*Tabla_Items_Con_Existencia[[#This Row],[EXISTENCIA]]</f>
        <v>808.02</v>
      </c>
      <c r="I2370" s="1">
        <f>IF(ISERROR(MATCH(Tabla_Items_Con_Existencia[[#This Row],[CODIGO]],Tabla_Items_Activos[CODIGO],0)),0,1)</f>
        <v>0</v>
      </c>
    </row>
    <row r="2371" spans="1:9">
      <c r="A2371" s="2" t="s">
        <v>6761</v>
      </c>
      <c r="B2371" s="2" t="s">
        <v>7032</v>
      </c>
      <c r="C2371" s="2" t="s">
        <v>7033</v>
      </c>
      <c r="D2371" s="2" t="s">
        <v>5226</v>
      </c>
      <c r="E2371" s="2" t="s">
        <v>5192</v>
      </c>
      <c r="F2371" s="2">
        <v>433.34</v>
      </c>
      <c r="G2371" s="2">
        <v>3</v>
      </c>
      <c r="H2371" s="2">
        <f>Tabla_Items_Con_Existencia[[#This Row],[COSTO]]*Tabla_Items_Con_Existencia[[#This Row],[EXISTENCIA]]</f>
        <v>1300.02</v>
      </c>
      <c r="I2371" s="1">
        <f>IF(ISERROR(MATCH(Tabla_Items_Con_Existencia[[#This Row],[CODIGO]],Tabla_Items_Activos[CODIGO],0)),0,1)</f>
        <v>0</v>
      </c>
    </row>
    <row r="2372" spans="1:9">
      <c r="A2372" s="2" t="s">
        <v>6760</v>
      </c>
      <c r="B2372" s="2" t="s">
        <v>3173</v>
      </c>
      <c r="C2372" s="2" t="s">
        <v>3174</v>
      </c>
      <c r="D2372" s="2" t="s">
        <v>5158</v>
      </c>
      <c r="E2372" s="2" t="s">
        <v>5159</v>
      </c>
      <c r="F2372" s="2">
        <v>4.6550526300000001</v>
      </c>
      <c r="G2372" s="2">
        <v>12</v>
      </c>
      <c r="H2372" s="2">
        <f>Tabla_Items_Con_Existencia[[#This Row],[COSTO]]*Tabla_Items_Con_Existencia[[#This Row],[EXISTENCIA]]</f>
        <v>55.860631560000002</v>
      </c>
      <c r="I2372" s="1">
        <f>IF(ISERROR(MATCH(Tabla_Items_Con_Existencia[[#This Row],[CODIGO]],Tabla_Items_Activos[CODIGO],0)),0,1)</f>
        <v>0</v>
      </c>
    </row>
    <row r="2373" spans="1:9">
      <c r="A2373" s="2" t="s">
        <v>6761</v>
      </c>
      <c r="B2373" s="2" t="s">
        <v>3173</v>
      </c>
      <c r="C2373" s="2" t="s">
        <v>3174</v>
      </c>
      <c r="D2373" s="2" t="s">
        <v>5158</v>
      </c>
      <c r="E2373" s="2" t="s">
        <v>5159</v>
      </c>
      <c r="F2373" s="2">
        <v>4.6550526300000001</v>
      </c>
      <c r="G2373" s="2">
        <v>12</v>
      </c>
      <c r="H2373" s="2">
        <f>Tabla_Items_Con_Existencia[[#This Row],[COSTO]]*Tabla_Items_Con_Existencia[[#This Row],[EXISTENCIA]]</f>
        <v>55.860631560000002</v>
      </c>
      <c r="I2373" s="1">
        <f>IF(ISERROR(MATCH(Tabla_Items_Con_Existencia[[#This Row],[CODIGO]],Tabla_Items_Activos[CODIGO],0)),0,1)</f>
        <v>0</v>
      </c>
    </row>
    <row r="2374" spans="1:9">
      <c r="A2374" s="2" t="s">
        <v>6760</v>
      </c>
      <c r="B2374" s="2" t="s">
        <v>3175</v>
      </c>
      <c r="C2374" s="2" t="s">
        <v>3176</v>
      </c>
      <c r="D2374" s="2" t="s">
        <v>5158</v>
      </c>
      <c r="E2374" s="2" t="s">
        <v>5159</v>
      </c>
      <c r="F2374" s="2">
        <v>15.07</v>
      </c>
      <c r="G2374" s="2">
        <v>1</v>
      </c>
      <c r="H2374" s="2">
        <f>Tabla_Items_Con_Existencia[[#This Row],[COSTO]]*Tabla_Items_Con_Existencia[[#This Row],[EXISTENCIA]]</f>
        <v>15.07</v>
      </c>
      <c r="I2374" s="1">
        <f>IF(ISERROR(MATCH(Tabla_Items_Con_Existencia[[#This Row],[CODIGO]],Tabla_Items_Activos[CODIGO],0)),0,1)</f>
        <v>0</v>
      </c>
    </row>
    <row r="2375" spans="1:9">
      <c r="A2375" s="2" t="s">
        <v>6761</v>
      </c>
      <c r="B2375" s="2" t="s">
        <v>7366</v>
      </c>
      <c r="C2375" s="2" t="s">
        <v>7367</v>
      </c>
      <c r="D2375" s="2" t="s">
        <v>5226</v>
      </c>
      <c r="E2375" s="2" t="s">
        <v>5192</v>
      </c>
      <c r="F2375" s="2">
        <v>260.57</v>
      </c>
      <c r="G2375" s="2">
        <v>1</v>
      </c>
      <c r="H2375" s="2">
        <f>Tabla_Items_Con_Existencia[[#This Row],[COSTO]]*Tabla_Items_Con_Existencia[[#This Row],[EXISTENCIA]]</f>
        <v>260.57</v>
      </c>
      <c r="I2375" s="1">
        <f>IF(ISERROR(MATCH(Tabla_Items_Con_Existencia[[#This Row],[CODIGO]],Tabla_Items_Activos[CODIGO],0)),0,1)</f>
        <v>0</v>
      </c>
    </row>
    <row r="2376" spans="1:9">
      <c r="A2376" s="2" t="s">
        <v>6760</v>
      </c>
      <c r="B2376" s="2" t="s">
        <v>3177</v>
      </c>
      <c r="C2376" s="2" t="s">
        <v>3178</v>
      </c>
      <c r="D2376" s="2" t="s">
        <v>5224</v>
      </c>
      <c r="E2376" s="2" t="s">
        <v>5168</v>
      </c>
      <c r="F2376" s="2">
        <v>101.50105263</v>
      </c>
      <c r="G2376" s="2">
        <v>1</v>
      </c>
      <c r="H2376" s="2">
        <f>Tabla_Items_Con_Existencia[[#This Row],[COSTO]]*Tabla_Items_Con_Existencia[[#This Row],[EXISTENCIA]]</f>
        <v>101.50105263</v>
      </c>
      <c r="I2376" s="1">
        <f>IF(ISERROR(MATCH(Tabla_Items_Con_Existencia[[#This Row],[CODIGO]],Tabla_Items_Activos[CODIGO],0)),0,1)</f>
        <v>0</v>
      </c>
    </row>
    <row r="2377" spans="1:9">
      <c r="A2377" s="2" t="s">
        <v>6761</v>
      </c>
      <c r="B2377" s="2" t="s">
        <v>3177</v>
      </c>
      <c r="C2377" s="2" t="s">
        <v>3178</v>
      </c>
      <c r="D2377" s="2" t="s">
        <v>5224</v>
      </c>
      <c r="E2377" s="2" t="s">
        <v>5168</v>
      </c>
      <c r="F2377" s="2">
        <v>101.50105263</v>
      </c>
      <c r="G2377" s="2">
        <v>1</v>
      </c>
      <c r="H2377" s="2">
        <f>Tabla_Items_Con_Existencia[[#This Row],[COSTO]]*Tabla_Items_Con_Existencia[[#This Row],[EXISTENCIA]]</f>
        <v>101.50105263</v>
      </c>
      <c r="I2377" s="1">
        <f>IF(ISERROR(MATCH(Tabla_Items_Con_Existencia[[#This Row],[CODIGO]],Tabla_Items_Activos[CODIGO],0)),0,1)</f>
        <v>0</v>
      </c>
    </row>
    <row r="2378" spans="1:9">
      <c r="A2378" s="2" t="s">
        <v>6760</v>
      </c>
      <c r="B2378" s="2" t="s">
        <v>897</v>
      </c>
      <c r="C2378" s="2" t="s">
        <v>3179</v>
      </c>
      <c r="D2378" s="2" t="s">
        <v>5223</v>
      </c>
      <c r="E2378" s="2" t="s">
        <v>5168</v>
      </c>
      <c r="F2378" s="2">
        <v>355.87378421</v>
      </c>
      <c r="G2378" s="2">
        <v>6</v>
      </c>
      <c r="H2378" s="2">
        <f>Tabla_Items_Con_Existencia[[#This Row],[COSTO]]*Tabla_Items_Con_Existencia[[#This Row],[EXISTENCIA]]</f>
        <v>2135.2427052600001</v>
      </c>
      <c r="I2378" s="1">
        <f>IF(ISERROR(MATCH(Tabla_Items_Con_Existencia[[#This Row],[CODIGO]],Tabla_Items_Activos[CODIGO],0)),0,1)</f>
        <v>0</v>
      </c>
    </row>
    <row r="2379" spans="1:9">
      <c r="A2379" s="2" t="s">
        <v>6761</v>
      </c>
      <c r="B2379" s="2" t="s">
        <v>897</v>
      </c>
      <c r="C2379" s="2" t="s">
        <v>3179</v>
      </c>
      <c r="D2379" s="2" t="s">
        <v>5223</v>
      </c>
      <c r="E2379" s="2" t="s">
        <v>5168</v>
      </c>
      <c r="F2379" s="2">
        <v>355.87378421</v>
      </c>
      <c r="G2379" s="2">
        <v>6</v>
      </c>
      <c r="H2379" s="2">
        <f>Tabla_Items_Con_Existencia[[#This Row],[COSTO]]*Tabla_Items_Con_Existencia[[#This Row],[EXISTENCIA]]</f>
        <v>2135.2427052600001</v>
      </c>
      <c r="I2379" s="1">
        <f>IF(ISERROR(MATCH(Tabla_Items_Con_Existencia[[#This Row],[CODIGO]],Tabla_Items_Activos[CODIGO],0)),0,1)</f>
        <v>0</v>
      </c>
    </row>
    <row r="2380" spans="1:9">
      <c r="A2380" s="2" t="s">
        <v>6760</v>
      </c>
      <c r="B2380" s="2" t="s">
        <v>898</v>
      </c>
      <c r="C2380" s="2" t="s">
        <v>3180</v>
      </c>
      <c r="D2380" s="2" t="s">
        <v>5167</v>
      </c>
      <c r="E2380" s="2" t="s">
        <v>5168</v>
      </c>
      <c r="F2380" s="2">
        <v>204.03221052999999</v>
      </c>
      <c r="G2380" s="2">
        <v>4</v>
      </c>
      <c r="H2380" s="2">
        <f>Tabla_Items_Con_Existencia[[#This Row],[COSTO]]*Tabla_Items_Con_Existencia[[#This Row],[EXISTENCIA]]</f>
        <v>816.12884211999994</v>
      </c>
      <c r="I2380" s="1">
        <f>IF(ISERROR(MATCH(Tabla_Items_Con_Existencia[[#This Row],[CODIGO]],Tabla_Items_Activos[CODIGO],0)),0,1)</f>
        <v>0</v>
      </c>
    </row>
    <row r="2381" spans="1:9">
      <c r="A2381" s="2" t="s">
        <v>6761</v>
      </c>
      <c r="B2381" s="2" t="s">
        <v>898</v>
      </c>
      <c r="C2381" s="2" t="s">
        <v>3180</v>
      </c>
      <c r="D2381" s="2" t="s">
        <v>5167</v>
      </c>
      <c r="E2381" s="2" t="s">
        <v>5168</v>
      </c>
      <c r="F2381" s="2">
        <v>204.03221052999999</v>
      </c>
      <c r="G2381" s="2">
        <v>4</v>
      </c>
      <c r="H2381" s="2">
        <f>Tabla_Items_Con_Existencia[[#This Row],[COSTO]]*Tabla_Items_Con_Existencia[[#This Row],[EXISTENCIA]]</f>
        <v>816.12884211999994</v>
      </c>
      <c r="I2381" s="1">
        <f>IF(ISERROR(MATCH(Tabla_Items_Con_Existencia[[#This Row],[CODIGO]],Tabla_Items_Activos[CODIGO],0)),0,1)</f>
        <v>0</v>
      </c>
    </row>
    <row r="2382" spans="1:9">
      <c r="A2382" s="2" t="s">
        <v>6760</v>
      </c>
      <c r="B2382" s="2" t="s">
        <v>899</v>
      </c>
      <c r="C2382" s="2" t="s">
        <v>3181</v>
      </c>
      <c r="D2382" s="2" t="s">
        <v>5223</v>
      </c>
      <c r="E2382" s="2" t="s">
        <v>5168</v>
      </c>
      <c r="F2382" s="2">
        <v>539.01054737000004</v>
      </c>
      <c r="G2382" s="2">
        <v>2</v>
      </c>
      <c r="H2382" s="2">
        <f>Tabla_Items_Con_Existencia[[#This Row],[COSTO]]*Tabla_Items_Con_Existencia[[#This Row],[EXISTENCIA]]</f>
        <v>1078.0210947400001</v>
      </c>
      <c r="I2382" s="1">
        <f>IF(ISERROR(MATCH(Tabla_Items_Con_Existencia[[#This Row],[CODIGO]],Tabla_Items_Activos[CODIGO],0)),0,1)</f>
        <v>0</v>
      </c>
    </row>
    <row r="2383" spans="1:9">
      <c r="A2383" s="2" t="s">
        <v>6761</v>
      </c>
      <c r="B2383" s="2" t="s">
        <v>899</v>
      </c>
      <c r="C2383" s="2" t="s">
        <v>3181</v>
      </c>
      <c r="D2383" s="2" t="s">
        <v>5223</v>
      </c>
      <c r="E2383" s="2" t="s">
        <v>5168</v>
      </c>
      <c r="F2383" s="2">
        <v>539.01054737000004</v>
      </c>
      <c r="G2383" s="2">
        <v>2</v>
      </c>
      <c r="H2383" s="2">
        <f>Tabla_Items_Con_Existencia[[#This Row],[COSTO]]*Tabla_Items_Con_Existencia[[#This Row],[EXISTENCIA]]</f>
        <v>1078.0210947400001</v>
      </c>
      <c r="I2383" s="1">
        <f>IF(ISERROR(MATCH(Tabla_Items_Con_Existencia[[#This Row],[CODIGO]],Tabla_Items_Activos[CODIGO],0)),0,1)</f>
        <v>0</v>
      </c>
    </row>
    <row r="2384" spans="1:9">
      <c r="A2384" s="2" t="s">
        <v>6760</v>
      </c>
      <c r="B2384" s="2" t="s">
        <v>3184</v>
      </c>
      <c r="C2384" s="2" t="s">
        <v>3185</v>
      </c>
      <c r="D2384" s="2" t="s">
        <v>5224</v>
      </c>
      <c r="E2384" s="2" t="s">
        <v>5168</v>
      </c>
      <c r="F2384" s="2">
        <v>145.80947368</v>
      </c>
      <c r="G2384" s="2">
        <v>2</v>
      </c>
      <c r="H2384" s="2">
        <f>Tabla_Items_Con_Existencia[[#This Row],[COSTO]]*Tabla_Items_Con_Existencia[[#This Row],[EXISTENCIA]]</f>
        <v>291.61894735999999</v>
      </c>
      <c r="I2384" s="1">
        <f>IF(ISERROR(MATCH(Tabla_Items_Con_Existencia[[#This Row],[CODIGO]],Tabla_Items_Activos[CODIGO],0)),0,1)</f>
        <v>0</v>
      </c>
    </row>
    <row r="2385" spans="1:9">
      <c r="A2385" s="2" t="s">
        <v>6761</v>
      </c>
      <c r="B2385" s="2" t="s">
        <v>3184</v>
      </c>
      <c r="C2385" s="2" t="s">
        <v>3185</v>
      </c>
      <c r="D2385" s="2" t="s">
        <v>5224</v>
      </c>
      <c r="E2385" s="2" t="s">
        <v>5168</v>
      </c>
      <c r="F2385" s="2">
        <v>145.80947368</v>
      </c>
      <c r="G2385" s="2">
        <v>2</v>
      </c>
      <c r="H2385" s="2">
        <f>Tabla_Items_Con_Existencia[[#This Row],[COSTO]]*Tabla_Items_Con_Existencia[[#This Row],[EXISTENCIA]]</f>
        <v>291.61894735999999</v>
      </c>
      <c r="I2385" s="1">
        <f>IF(ISERROR(MATCH(Tabla_Items_Con_Existencia[[#This Row],[CODIGO]],Tabla_Items_Activos[CODIGO],0)),0,1)</f>
        <v>0</v>
      </c>
    </row>
    <row r="2386" spans="1:9">
      <c r="A2386" s="2" t="s">
        <v>6760</v>
      </c>
      <c r="B2386" s="2" t="s">
        <v>3186</v>
      </c>
      <c r="C2386" s="2" t="s">
        <v>3187</v>
      </c>
      <c r="D2386" s="2" t="s">
        <v>5223</v>
      </c>
      <c r="E2386" s="2" t="s">
        <v>5168</v>
      </c>
      <c r="F2386" s="2">
        <v>214.28842105000001</v>
      </c>
      <c r="G2386" s="2">
        <v>1</v>
      </c>
      <c r="H2386" s="2">
        <f>Tabla_Items_Con_Existencia[[#This Row],[COSTO]]*Tabla_Items_Con_Existencia[[#This Row],[EXISTENCIA]]</f>
        <v>214.28842105000001</v>
      </c>
      <c r="I2386" s="1">
        <f>IF(ISERROR(MATCH(Tabla_Items_Con_Existencia[[#This Row],[CODIGO]],Tabla_Items_Activos[CODIGO],0)),0,1)</f>
        <v>0</v>
      </c>
    </row>
    <row r="2387" spans="1:9">
      <c r="A2387" s="2" t="s">
        <v>6761</v>
      </c>
      <c r="B2387" s="2" t="s">
        <v>3186</v>
      </c>
      <c r="C2387" s="2" t="s">
        <v>3187</v>
      </c>
      <c r="D2387" s="2" t="s">
        <v>5223</v>
      </c>
      <c r="E2387" s="2" t="s">
        <v>5168</v>
      </c>
      <c r="F2387" s="2">
        <v>214.28842105000001</v>
      </c>
      <c r="G2387" s="2">
        <v>1</v>
      </c>
      <c r="H2387" s="2">
        <f>Tabla_Items_Con_Existencia[[#This Row],[COSTO]]*Tabla_Items_Con_Existencia[[#This Row],[EXISTENCIA]]</f>
        <v>214.28842105000001</v>
      </c>
      <c r="I2387" s="1">
        <f>IF(ISERROR(MATCH(Tabla_Items_Con_Existencia[[#This Row],[CODIGO]],Tabla_Items_Activos[CODIGO],0)),0,1)</f>
        <v>0</v>
      </c>
    </row>
    <row r="2388" spans="1:9">
      <c r="A2388" s="2" t="s">
        <v>6761</v>
      </c>
      <c r="B2388" s="2" t="s">
        <v>7273</v>
      </c>
      <c r="C2388" s="2" t="s">
        <v>7274</v>
      </c>
      <c r="D2388" s="2" t="s">
        <v>5167</v>
      </c>
      <c r="E2388" s="2" t="s">
        <v>5168</v>
      </c>
      <c r="F2388" s="2">
        <v>0</v>
      </c>
      <c r="G2388" s="2">
        <v>5</v>
      </c>
      <c r="H2388" s="2">
        <f>Tabla_Items_Con_Existencia[[#This Row],[COSTO]]*Tabla_Items_Con_Existencia[[#This Row],[EXISTENCIA]]</f>
        <v>0</v>
      </c>
      <c r="I2388" s="1">
        <f>IF(ISERROR(MATCH(Tabla_Items_Con_Existencia[[#This Row],[CODIGO]],Tabla_Items_Activos[CODIGO],0)),0,1)</f>
        <v>0</v>
      </c>
    </row>
    <row r="2389" spans="1:9">
      <c r="A2389" s="2" t="s">
        <v>6761</v>
      </c>
      <c r="B2389" s="2" t="s">
        <v>7275</v>
      </c>
      <c r="C2389" s="2" t="s">
        <v>7276</v>
      </c>
      <c r="D2389" s="2" t="s">
        <v>5167</v>
      </c>
      <c r="E2389" s="2" t="s">
        <v>5168</v>
      </c>
      <c r="F2389" s="2">
        <v>0</v>
      </c>
      <c r="G2389" s="2">
        <v>5</v>
      </c>
      <c r="H2389" s="2">
        <f>Tabla_Items_Con_Existencia[[#This Row],[COSTO]]*Tabla_Items_Con_Existencia[[#This Row],[EXISTENCIA]]</f>
        <v>0</v>
      </c>
      <c r="I2389" s="1">
        <f>IF(ISERROR(MATCH(Tabla_Items_Con_Existencia[[#This Row],[CODIGO]],Tabla_Items_Activos[CODIGO],0)),0,1)</f>
        <v>0</v>
      </c>
    </row>
    <row r="2390" spans="1:9">
      <c r="A2390" s="2" t="s">
        <v>6761</v>
      </c>
      <c r="B2390" s="2" t="s">
        <v>7277</v>
      </c>
      <c r="C2390" s="2" t="s">
        <v>7278</v>
      </c>
      <c r="D2390" s="2" t="s">
        <v>5167</v>
      </c>
      <c r="E2390" s="2" t="s">
        <v>5168</v>
      </c>
      <c r="F2390" s="2">
        <v>0</v>
      </c>
      <c r="G2390" s="2">
        <v>4</v>
      </c>
      <c r="H2390" s="2">
        <f>Tabla_Items_Con_Existencia[[#This Row],[COSTO]]*Tabla_Items_Con_Existencia[[#This Row],[EXISTENCIA]]</f>
        <v>0</v>
      </c>
      <c r="I2390" s="1">
        <f>IF(ISERROR(MATCH(Tabla_Items_Con_Existencia[[#This Row],[CODIGO]],Tabla_Items_Activos[CODIGO],0)),0,1)</f>
        <v>0</v>
      </c>
    </row>
    <row r="2391" spans="1:9">
      <c r="A2391" s="2" t="s">
        <v>6759</v>
      </c>
      <c r="B2391" s="2" t="s">
        <v>7034</v>
      </c>
      <c r="C2391" s="2" t="s">
        <v>7035</v>
      </c>
      <c r="D2391" s="2" t="s">
        <v>5209</v>
      </c>
      <c r="E2391" s="2" t="s">
        <v>5210</v>
      </c>
      <c r="F2391" s="2">
        <v>1.76</v>
      </c>
      <c r="G2391" s="2">
        <v>300.39999999999998</v>
      </c>
      <c r="H2391" s="2">
        <f>Tabla_Items_Con_Existencia[[#This Row],[COSTO]]*Tabla_Items_Con_Existencia[[#This Row],[EXISTENCIA]]</f>
        <v>528.70399999999995</v>
      </c>
      <c r="I2391" s="1">
        <f>IF(ISERROR(MATCH(Tabla_Items_Con_Existencia[[#This Row],[CODIGO]],Tabla_Items_Activos[CODIGO],0)),0,1)</f>
        <v>0</v>
      </c>
    </row>
    <row r="2392" spans="1:9">
      <c r="A2392" s="2" t="s">
        <v>6759</v>
      </c>
      <c r="B2392" s="2" t="s">
        <v>3190</v>
      </c>
      <c r="C2392" s="2" t="s">
        <v>7132</v>
      </c>
      <c r="D2392" s="2" t="s">
        <v>5162</v>
      </c>
      <c r="E2392" s="2" t="s">
        <v>5210</v>
      </c>
      <c r="F2392" s="2">
        <v>2.0438000000000001</v>
      </c>
      <c r="G2392" s="2">
        <v>474.99</v>
      </c>
      <c r="H2392" s="2">
        <f>Tabla_Items_Con_Existencia[[#This Row],[COSTO]]*Tabla_Items_Con_Existencia[[#This Row],[EXISTENCIA]]</f>
        <v>970.78456200000005</v>
      </c>
      <c r="I2392" s="1">
        <f>IF(ISERROR(MATCH(Tabla_Items_Con_Existencia[[#This Row],[CODIGO]],Tabla_Items_Activos[CODIGO],0)),0,1)</f>
        <v>0</v>
      </c>
    </row>
    <row r="2393" spans="1:9">
      <c r="A2393" s="2" t="s">
        <v>6759</v>
      </c>
      <c r="B2393" s="2" t="s">
        <v>3192</v>
      </c>
      <c r="C2393" s="2" t="s">
        <v>3193</v>
      </c>
      <c r="D2393" s="2" t="s">
        <v>5166</v>
      </c>
      <c r="E2393" s="2" t="s">
        <v>5163</v>
      </c>
      <c r="F2393" s="2">
        <v>0.11600000000000001</v>
      </c>
      <c r="G2393" s="2">
        <v>1126</v>
      </c>
      <c r="H2393" s="2">
        <f>Tabla_Items_Con_Existencia[[#This Row],[COSTO]]*Tabla_Items_Con_Existencia[[#This Row],[EXISTENCIA]]</f>
        <v>130.61600000000001</v>
      </c>
      <c r="I2393" s="1">
        <f>IF(ISERROR(MATCH(Tabla_Items_Con_Existencia[[#This Row],[CODIGO]],Tabla_Items_Activos[CODIGO],0)),0,1)</f>
        <v>0</v>
      </c>
    </row>
    <row r="2394" spans="1:9">
      <c r="A2394" s="2" t="s">
        <v>6759</v>
      </c>
      <c r="B2394" s="2" t="s">
        <v>3194</v>
      </c>
      <c r="C2394" s="2" t="s">
        <v>3195</v>
      </c>
      <c r="D2394" s="2" t="s">
        <v>5166</v>
      </c>
      <c r="E2394" s="2" t="s">
        <v>5163</v>
      </c>
      <c r="F2394" s="2">
        <v>0.11799999999999999</v>
      </c>
      <c r="G2394" s="2">
        <v>1116</v>
      </c>
      <c r="H2394" s="2">
        <f>Tabla_Items_Con_Existencia[[#This Row],[COSTO]]*Tabla_Items_Con_Existencia[[#This Row],[EXISTENCIA]]</f>
        <v>131.68799999999999</v>
      </c>
      <c r="I2394" s="1">
        <f>IF(ISERROR(MATCH(Tabla_Items_Con_Existencia[[#This Row],[CODIGO]],Tabla_Items_Activos[CODIGO],0)),0,1)</f>
        <v>0</v>
      </c>
    </row>
    <row r="2395" spans="1:9">
      <c r="A2395" s="2" t="s">
        <v>6759</v>
      </c>
      <c r="B2395" s="2" t="s">
        <v>3196</v>
      </c>
      <c r="C2395" s="2" t="s">
        <v>3197</v>
      </c>
      <c r="D2395" s="2" t="s">
        <v>5166</v>
      </c>
      <c r="E2395" s="2" t="s">
        <v>5163</v>
      </c>
      <c r="F2395" s="2">
        <v>8.0600000000000005E-2</v>
      </c>
      <c r="G2395" s="2">
        <v>351</v>
      </c>
      <c r="H2395" s="2">
        <f>Tabla_Items_Con_Existencia[[#This Row],[COSTO]]*Tabla_Items_Con_Existencia[[#This Row],[EXISTENCIA]]</f>
        <v>28.290600000000001</v>
      </c>
      <c r="I2395" s="1">
        <f>IF(ISERROR(MATCH(Tabla_Items_Con_Existencia[[#This Row],[CODIGO]],Tabla_Items_Activos[CODIGO],0)),0,1)</f>
        <v>0</v>
      </c>
    </row>
    <row r="2396" spans="1:9">
      <c r="A2396" s="2" t="s">
        <v>6759</v>
      </c>
      <c r="B2396" s="2" t="s">
        <v>3198</v>
      </c>
      <c r="C2396" s="2" t="s">
        <v>3199</v>
      </c>
      <c r="D2396" s="2" t="s">
        <v>5162</v>
      </c>
      <c r="E2396" s="2" t="s">
        <v>5210</v>
      </c>
      <c r="F2396" s="2">
        <v>1.3</v>
      </c>
      <c r="G2396" s="2">
        <v>1</v>
      </c>
      <c r="H2396" s="2">
        <f>Tabla_Items_Con_Existencia[[#This Row],[COSTO]]*Tabla_Items_Con_Existencia[[#This Row],[EXISTENCIA]]</f>
        <v>1.3</v>
      </c>
      <c r="I2396" s="1">
        <f>IF(ISERROR(MATCH(Tabla_Items_Con_Existencia[[#This Row],[CODIGO]],Tabla_Items_Activos[CODIGO],0)),0,1)</f>
        <v>0</v>
      </c>
    </row>
    <row r="2397" spans="1:9">
      <c r="A2397" s="2" t="s">
        <v>6759</v>
      </c>
      <c r="B2397" s="2" t="s">
        <v>3200</v>
      </c>
      <c r="C2397" s="2" t="s">
        <v>3201</v>
      </c>
      <c r="D2397" s="2" t="s">
        <v>5162</v>
      </c>
      <c r="E2397" s="2" t="s">
        <v>5210</v>
      </c>
      <c r="F2397" s="2">
        <v>1.3</v>
      </c>
      <c r="G2397" s="2">
        <v>25</v>
      </c>
      <c r="H2397" s="2">
        <f>Tabla_Items_Con_Existencia[[#This Row],[COSTO]]*Tabla_Items_Con_Existencia[[#This Row],[EXISTENCIA]]</f>
        <v>32.5</v>
      </c>
      <c r="I2397" s="1">
        <f>IF(ISERROR(MATCH(Tabla_Items_Con_Existencia[[#This Row],[CODIGO]],Tabla_Items_Activos[CODIGO],0)),0,1)</f>
        <v>0</v>
      </c>
    </row>
    <row r="2398" spans="1:9">
      <c r="A2398" s="2" t="s">
        <v>6759</v>
      </c>
      <c r="B2398" s="2" t="s">
        <v>3202</v>
      </c>
      <c r="C2398" s="2" t="s">
        <v>3203</v>
      </c>
      <c r="D2398" s="2" t="s">
        <v>5162</v>
      </c>
      <c r="E2398" s="2" t="s">
        <v>5210</v>
      </c>
      <c r="F2398" s="2">
        <v>1.56</v>
      </c>
      <c r="G2398" s="2">
        <v>976</v>
      </c>
      <c r="H2398" s="2">
        <f>Tabla_Items_Con_Existencia[[#This Row],[COSTO]]*Tabla_Items_Con_Existencia[[#This Row],[EXISTENCIA]]</f>
        <v>1522.56</v>
      </c>
      <c r="I2398" s="1">
        <f>IF(ISERROR(MATCH(Tabla_Items_Con_Existencia[[#This Row],[CODIGO]],Tabla_Items_Activos[CODIGO],0)),0,1)</f>
        <v>0</v>
      </c>
    </row>
    <row r="2399" spans="1:9">
      <c r="A2399" s="2" t="s">
        <v>6759</v>
      </c>
      <c r="B2399" s="2" t="s">
        <v>3204</v>
      </c>
      <c r="C2399" s="2" t="s">
        <v>3205</v>
      </c>
      <c r="D2399" s="2" t="s">
        <v>5162</v>
      </c>
      <c r="E2399" s="2" t="s">
        <v>5210</v>
      </c>
      <c r="F2399" s="2">
        <v>1.5599000000000001</v>
      </c>
      <c r="G2399" s="2">
        <v>914</v>
      </c>
      <c r="H2399" s="2">
        <f>Tabla_Items_Con_Existencia[[#This Row],[COSTO]]*Tabla_Items_Con_Existencia[[#This Row],[EXISTENCIA]]</f>
        <v>1425.7486000000001</v>
      </c>
      <c r="I2399" s="1">
        <f>IF(ISERROR(MATCH(Tabla_Items_Con_Existencia[[#This Row],[CODIGO]],Tabla_Items_Activos[CODIGO],0)),0,1)</f>
        <v>0</v>
      </c>
    </row>
    <row r="2400" spans="1:9">
      <c r="A2400" s="2" t="s">
        <v>6759</v>
      </c>
      <c r="B2400" s="2" t="s">
        <v>3206</v>
      </c>
      <c r="C2400" s="2" t="s">
        <v>3207</v>
      </c>
      <c r="D2400" s="2" t="s">
        <v>5162</v>
      </c>
      <c r="E2400" s="2" t="s">
        <v>5214</v>
      </c>
      <c r="F2400" s="2">
        <v>20001</v>
      </c>
      <c r="G2400" s="2">
        <v>9.9500000000000005E-2</v>
      </c>
      <c r="H2400" s="2">
        <f>Tabla_Items_Con_Existencia[[#This Row],[COSTO]]*Tabla_Items_Con_Existencia[[#This Row],[EXISTENCIA]]</f>
        <v>1990.0995</v>
      </c>
      <c r="I2400" s="1">
        <f>IF(ISERROR(MATCH(Tabla_Items_Con_Existencia[[#This Row],[CODIGO]],Tabla_Items_Activos[CODIGO],0)),0,1)</f>
        <v>0</v>
      </c>
    </row>
    <row r="2401" spans="1:9">
      <c r="A2401" s="2" t="s">
        <v>6759</v>
      </c>
      <c r="B2401" s="2" t="s">
        <v>3208</v>
      </c>
      <c r="C2401" s="2" t="s">
        <v>3209</v>
      </c>
      <c r="D2401" s="2" t="s">
        <v>5162</v>
      </c>
      <c r="E2401" s="2" t="s">
        <v>5210</v>
      </c>
      <c r="F2401" s="2">
        <v>1.5720000000000001</v>
      </c>
      <c r="G2401" s="2">
        <v>1</v>
      </c>
      <c r="H2401" s="2">
        <f>Tabla_Items_Con_Existencia[[#This Row],[COSTO]]*Tabla_Items_Con_Existencia[[#This Row],[EXISTENCIA]]</f>
        <v>1.5720000000000001</v>
      </c>
      <c r="I2401" s="1">
        <f>IF(ISERROR(MATCH(Tabla_Items_Con_Existencia[[#This Row],[CODIGO]],Tabla_Items_Activos[CODIGO],0)),0,1)</f>
        <v>0</v>
      </c>
    </row>
    <row r="2402" spans="1:9">
      <c r="A2402" s="2" t="s">
        <v>6759</v>
      </c>
      <c r="B2402" s="2" t="s">
        <v>3210</v>
      </c>
      <c r="C2402" s="2" t="s">
        <v>3211</v>
      </c>
      <c r="D2402" s="2" t="s">
        <v>5162</v>
      </c>
      <c r="E2402" s="2" t="s">
        <v>5210</v>
      </c>
      <c r="F2402" s="2">
        <v>1.6359999999999999</v>
      </c>
      <c r="G2402" s="2">
        <v>1</v>
      </c>
      <c r="H2402" s="2">
        <f>Tabla_Items_Con_Existencia[[#This Row],[COSTO]]*Tabla_Items_Con_Existencia[[#This Row],[EXISTENCIA]]</f>
        <v>1.6359999999999999</v>
      </c>
      <c r="I2402" s="1">
        <f>IF(ISERROR(MATCH(Tabla_Items_Con_Existencia[[#This Row],[CODIGO]],Tabla_Items_Activos[CODIGO],0)),0,1)</f>
        <v>0</v>
      </c>
    </row>
    <row r="2403" spans="1:9">
      <c r="A2403" s="2" t="s">
        <v>6759</v>
      </c>
      <c r="B2403" s="2" t="s">
        <v>5792</v>
      </c>
      <c r="C2403" s="2" t="s">
        <v>5793</v>
      </c>
      <c r="D2403" s="2" t="s">
        <v>5162</v>
      </c>
      <c r="E2403" s="2" t="s">
        <v>5210</v>
      </c>
      <c r="F2403" s="2">
        <v>37</v>
      </c>
      <c r="G2403" s="2">
        <v>0.04</v>
      </c>
      <c r="H2403" s="2">
        <f>Tabla_Items_Con_Existencia[[#This Row],[COSTO]]*Tabla_Items_Con_Existencia[[#This Row],[EXISTENCIA]]</f>
        <v>1.48</v>
      </c>
      <c r="I2403" s="1">
        <f>IF(ISERROR(MATCH(Tabla_Items_Con_Existencia[[#This Row],[CODIGO]],Tabla_Items_Activos[CODIGO],0)),0,1)</f>
        <v>0</v>
      </c>
    </row>
    <row r="2404" spans="1:9">
      <c r="A2404" s="2" t="s">
        <v>6759</v>
      </c>
      <c r="B2404" s="2" t="s">
        <v>3212</v>
      </c>
      <c r="C2404" s="2" t="s">
        <v>3213</v>
      </c>
      <c r="D2404" s="2" t="s">
        <v>5162</v>
      </c>
      <c r="E2404" s="2" t="s">
        <v>5210</v>
      </c>
      <c r="F2404" s="2">
        <v>1.56</v>
      </c>
      <c r="G2404" s="2">
        <v>231</v>
      </c>
      <c r="H2404" s="2">
        <f>Tabla_Items_Con_Existencia[[#This Row],[COSTO]]*Tabla_Items_Con_Existencia[[#This Row],[EXISTENCIA]]</f>
        <v>360.36</v>
      </c>
      <c r="I2404" s="1">
        <f>IF(ISERROR(MATCH(Tabla_Items_Con_Existencia[[#This Row],[CODIGO]],Tabla_Items_Activos[CODIGO],0)),0,1)</f>
        <v>0</v>
      </c>
    </row>
    <row r="2405" spans="1:9">
      <c r="A2405" s="2" t="s">
        <v>6759</v>
      </c>
      <c r="B2405" s="2" t="s">
        <v>7036</v>
      </c>
      <c r="C2405" s="2" t="s">
        <v>7037</v>
      </c>
      <c r="D2405" s="2" t="s">
        <v>5162</v>
      </c>
      <c r="E2405" s="2" t="s">
        <v>5163</v>
      </c>
      <c r="F2405" s="2">
        <v>0.20649999999999999</v>
      </c>
      <c r="G2405" s="2">
        <v>1165</v>
      </c>
      <c r="H2405" s="2">
        <f>Tabla_Items_Con_Existencia[[#This Row],[COSTO]]*Tabla_Items_Con_Existencia[[#This Row],[EXISTENCIA]]</f>
        <v>240.57249999999999</v>
      </c>
      <c r="I2405" s="1">
        <f>IF(ISERROR(MATCH(Tabla_Items_Con_Existencia[[#This Row],[CODIGO]],Tabla_Items_Activos[CODIGO],0)),0,1)</f>
        <v>0</v>
      </c>
    </row>
    <row r="2406" spans="1:9">
      <c r="A2406" s="2" t="s">
        <v>6759</v>
      </c>
      <c r="B2406" s="2" t="s">
        <v>7038</v>
      </c>
      <c r="C2406" s="2" t="s">
        <v>7039</v>
      </c>
      <c r="D2406" s="2" t="s">
        <v>5166</v>
      </c>
      <c r="E2406" s="2" t="s">
        <v>5163</v>
      </c>
      <c r="F2406" s="2">
        <v>0.2185</v>
      </c>
      <c r="G2406" s="2">
        <v>289</v>
      </c>
      <c r="H2406" s="2">
        <f>Tabla_Items_Con_Existencia[[#This Row],[COSTO]]*Tabla_Items_Con_Existencia[[#This Row],[EXISTENCIA]]</f>
        <v>63.146500000000003</v>
      </c>
      <c r="I2406" s="1">
        <f>IF(ISERROR(MATCH(Tabla_Items_Con_Existencia[[#This Row],[CODIGO]],Tabla_Items_Activos[CODIGO],0)),0,1)</f>
        <v>0</v>
      </c>
    </row>
    <row r="2407" spans="1:9">
      <c r="A2407" s="2" t="s">
        <v>6759</v>
      </c>
      <c r="B2407" s="2" t="s">
        <v>5796</v>
      </c>
      <c r="C2407" s="2" t="s">
        <v>5797</v>
      </c>
      <c r="D2407" s="2" t="s">
        <v>5162</v>
      </c>
      <c r="E2407" s="2" t="s">
        <v>5210</v>
      </c>
      <c r="F2407" s="2">
        <v>86.56</v>
      </c>
      <c r="G2407" s="2">
        <v>5</v>
      </c>
      <c r="H2407" s="2">
        <f>Tabla_Items_Con_Existencia[[#This Row],[COSTO]]*Tabla_Items_Con_Existencia[[#This Row],[EXISTENCIA]]</f>
        <v>432.8</v>
      </c>
      <c r="I2407" s="1">
        <f>IF(ISERROR(MATCH(Tabla_Items_Con_Existencia[[#This Row],[CODIGO]],Tabla_Items_Activos[CODIGO],0)),0,1)</f>
        <v>0</v>
      </c>
    </row>
    <row r="2408" spans="1:9">
      <c r="A2408" s="2" t="s">
        <v>6759</v>
      </c>
      <c r="B2408" s="2" t="s">
        <v>3214</v>
      </c>
      <c r="C2408" s="2" t="s">
        <v>3215</v>
      </c>
      <c r="D2408" s="2" t="s">
        <v>5162</v>
      </c>
      <c r="E2408" s="2" t="s">
        <v>5210</v>
      </c>
      <c r="F2408" s="2">
        <v>773.87030000000004</v>
      </c>
      <c r="G2408" s="2">
        <v>1.8306</v>
      </c>
      <c r="H2408" s="2">
        <f>Tabla_Items_Con_Existencia[[#This Row],[COSTO]]*Tabla_Items_Con_Existencia[[#This Row],[EXISTENCIA]]</f>
        <v>1416.64697118</v>
      </c>
      <c r="I2408" s="1">
        <f>IF(ISERROR(MATCH(Tabla_Items_Con_Existencia[[#This Row],[CODIGO]],Tabla_Items_Activos[CODIGO],0)),0,1)</f>
        <v>0</v>
      </c>
    </row>
    <row r="2409" spans="1:9">
      <c r="A2409" s="2" t="s">
        <v>6759</v>
      </c>
      <c r="B2409" s="2" t="s">
        <v>3216</v>
      </c>
      <c r="C2409" s="2" t="s">
        <v>3217</v>
      </c>
      <c r="D2409" s="2" t="s">
        <v>5162</v>
      </c>
      <c r="E2409" s="2" t="s">
        <v>5210</v>
      </c>
      <c r="F2409" s="2">
        <v>539.34249999999997</v>
      </c>
      <c r="G2409" s="2">
        <v>0.79659999999999997</v>
      </c>
      <c r="H2409" s="2">
        <f>Tabla_Items_Con_Existencia[[#This Row],[COSTO]]*Tabla_Items_Con_Existencia[[#This Row],[EXISTENCIA]]</f>
        <v>429.64023549999996</v>
      </c>
      <c r="I2409" s="1">
        <f>IF(ISERROR(MATCH(Tabla_Items_Con_Existencia[[#This Row],[CODIGO]],Tabla_Items_Activos[CODIGO],0)),0,1)</f>
        <v>0</v>
      </c>
    </row>
    <row r="2410" spans="1:9">
      <c r="A2410" s="2" t="s">
        <v>6759</v>
      </c>
      <c r="B2410" s="2" t="s">
        <v>3218</v>
      </c>
      <c r="C2410" s="2" t="s">
        <v>3219</v>
      </c>
      <c r="D2410" s="2" t="s">
        <v>5166</v>
      </c>
      <c r="E2410" s="2" t="s">
        <v>5163</v>
      </c>
      <c r="F2410" s="2">
        <v>8.7300000000000003E-2</v>
      </c>
      <c r="G2410" s="2">
        <v>1319</v>
      </c>
      <c r="H2410" s="2">
        <f>Tabla_Items_Con_Existencia[[#This Row],[COSTO]]*Tabla_Items_Con_Existencia[[#This Row],[EXISTENCIA]]</f>
        <v>115.14870000000001</v>
      </c>
      <c r="I2410" s="1">
        <f>IF(ISERROR(MATCH(Tabla_Items_Con_Existencia[[#This Row],[CODIGO]],Tabla_Items_Activos[CODIGO],0)),0,1)</f>
        <v>0</v>
      </c>
    </row>
    <row r="2411" spans="1:9">
      <c r="A2411" s="2" t="s">
        <v>6759</v>
      </c>
      <c r="B2411" s="2" t="s">
        <v>3220</v>
      </c>
      <c r="C2411" s="2" t="s">
        <v>7133</v>
      </c>
      <c r="D2411" s="2" t="s">
        <v>5162</v>
      </c>
      <c r="E2411" s="2" t="s">
        <v>5210</v>
      </c>
      <c r="F2411" s="2">
        <v>8.2921999999999993</v>
      </c>
      <c r="G2411" s="2">
        <v>400.10250000000002</v>
      </c>
      <c r="H2411" s="2">
        <f>Tabla_Items_Con_Existencia[[#This Row],[COSTO]]*Tabla_Items_Con_Existencia[[#This Row],[EXISTENCIA]]</f>
        <v>3317.7299505000001</v>
      </c>
      <c r="I2411" s="1">
        <f>IF(ISERROR(MATCH(Tabla_Items_Con_Existencia[[#This Row],[CODIGO]],Tabla_Items_Activos[CODIGO],0)),0,1)</f>
        <v>0</v>
      </c>
    </row>
    <row r="2412" spans="1:9">
      <c r="A2412" s="2" t="s">
        <v>6759</v>
      </c>
      <c r="B2412" s="2" t="s">
        <v>7040</v>
      </c>
      <c r="C2412" s="2" t="s">
        <v>7134</v>
      </c>
      <c r="D2412" s="2" t="s">
        <v>5162</v>
      </c>
      <c r="E2412" s="2" t="s">
        <v>5163</v>
      </c>
      <c r="F2412" s="2">
        <v>0.57779999999999998</v>
      </c>
      <c r="G2412" s="2">
        <v>317</v>
      </c>
      <c r="H2412" s="2">
        <f>Tabla_Items_Con_Existencia[[#This Row],[COSTO]]*Tabla_Items_Con_Existencia[[#This Row],[EXISTENCIA]]</f>
        <v>183.1626</v>
      </c>
      <c r="I2412" s="1">
        <f>IF(ISERROR(MATCH(Tabla_Items_Con_Existencia[[#This Row],[CODIGO]],Tabla_Items_Activos[CODIGO],0)),0,1)</f>
        <v>0</v>
      </c>
    </row>
    <row r="2413" spans="1:9">
      <c r="A2413" s="2" t="s">
        <v>6759</v>
      </c>
      <c r="B2413" s="2" t="s">
        <v>3222</v>
      </c>
      <c r="C2413" s="2" t="s">
        <v>3223</v>
      </c>
      <c r="D2413" s="2" t="s">
        <v>5162</v>
      </c>
      <c r="E2413" s="2" t="s">
        <v>5210</v>
      </c>
      <c r="F2413" s="2">
        <v>459.6121</v>
      </c>
      <c r="G2413" s="2">
        <v>0.81610000000000005</v>
      </c>
      <c r="H2413" s="2">
        <f>Tabla_Items_Con_Existencia[[#This Row],[COSTO]]*Tabla_Items_Con_Existencia[[#This Row],[EXISTENCIA]]</f>
        <v>375.08943481</v>
      </c>
      <c r="I2413" s="1">
        <f>IF(ISERROR(MATCH(Tabla_Items_Con_Existencia[[#This Row],[CODIGO]],Tabla_Items_Activos[CODIGO],0)),0,1)</f>
        <v>0</v>
      </c>
    </row>
    <row r="2414" spans="1:9">
      <c r="A2414" s="2" t="s">
        <v>6759</v>
      </c>
      <c r="B2414" s="2" t="s">
        <v>3224</v>
      </c>
      <c r="C2414" s="2" t="s">
        <v>3225</v>
      </c>
      <c r="D2414" s="2" t="s">
        <v>5162</v>
      </c>
      <c r="E2414" s="2" t="s">
        <v>5210</v>
      </c>
      <c r="F2414" s="2">
        <v>250.28800000000001</v>
      </c>
      <c r="G2414" s="2">
        <v>1.01E-2</v>
      </c>
      <c r="H2414" s="2">
        <f>Tabla_Items_Con_Existencia[[#This Row],[COSTO]]*Tabla_Items_Con_Existencia[[#This Row],[EXISTENCIA]]</f>
        <v>2.5279088000000001</v>
      </c>
      <c r="I2414" s="1">
        <f>IF(ISERROR(MATCH(Tabla_Items_Con_Existencia[[#This Row],[CODIGO]],Tabla_Items_Activos[CODIGO],0)),0,1)</f>
        <v>0</v>
      </c>
    </row>
    <row r="2415" spans="1:9">
      <c r="A2415" s="2" t="s">
        <v>6759</v>
      </c>
      <c r="B2415" s="2" t="s">
        <v>3226</v>
      </c>
      <c r="C2415" s="2" t="s">
        <v>3227</v>
      </c>
      <c r="D2415" s="2" t="s">
        <v>5162</v>
      </c>
      <c r="E2415" s="2" t="s">
        <v>5210</v>
      </c>
      <c r="F2415" s="2">
        <v>2.4220999999999999</v>
      </c>
      <c r="G2415" s="2">
        <v>442.286</v>
      </c>
      <c r="H2415" s="2">
        <f>Tabla_Items_Con_Existencia[[#This Row],[COSTO]]*Tabla_Items_Con_Existencia[[#This Row],[EXISTENCIA]]</f>
        <v>1071.2609206</v>
      </c>
      <c r="I2415" s="1">
        <f>IF(ISERROR(MATCH(Tabla_Items_Con_Existencia[[#This Row],[CODIGO]],Tabla_Items_Activos[CODIGO],0)),0,1)</f>
        <v>0</v>
      </c>
    </row>
    <row r="2416" spans="1:9">
      <c r="A2416" s="2" t="s">
        <v>6759</v>
      </c>
      <c r="B2416" s="2" t="s">
        <v>7144</v>
      </c>
      <c r="C2416" s="2" t="s">
        <v>7145</v>
      </c>
      <c r="D2416" s="2" t="s">
        <v>5162</v>
      </c>
      <c r="E2416" s="2" t="s">
        <v>5210</v>
      </c>
      <c r="F2416" s="2">
        <v>48</v>
      </c>
      <c r="G2416" s="2">
        <v>5</v>
      </c>
      <c r="H2416" s="2">
        <f>Tabla_Items_Con_Existencia[[#This Row],[COSTO]]*Tabla_Items_Con_Existencia[[#This Row],[EXISTENCIA]]</f>
        <v>240</v>
      </c>
      <c r="I2416" s="1">
        <f>IF(ISERROR(MATCH(Tabla_Items_Con_Existencia[[#This Row],[CODIGO]],Tabla_Items_Activos[CODIGO],0)),0,1)</f>
        <v>0</v>
      </c>
    </row>
    <row r="2417" spans="1:9">
      <c r="A2417" s="2" t="s">
        <v>6759</v>
      </c>
      <c r="B2417" s="2" t="s">
        <v>3228</v>
      </c>
      <c r="C2417" s="2" t="s">
        <v>3229</v>
      </c>
      <c r="D2417" s="2" t="s">
        <v>7368</v>
      </c>
      <c r="E2417" s="2" t="s">
        <v>7368</v>
      </c>
      <c r="F2417" s="2">
        <v>4511.0967733300004</v>
      </c>
      <c r="G2417" s="2">
        <v>13.0825</v>
      </c>
      <c r="H2417" s="2">
        <f>Tabla_Items_Con_Existencia[[#This Row],[COSTO]]*Tabla_Items_Con_Existencia[[#This Row],[EXISTENCIA]]</f>
        <v>59016.42353708973</v>
      </c>
      <c r="I2417" s="1">
        <f>IF(ISERROR(MATCH(Tabla_Items_Con_Existencia[[#This Row],[CODIGO]],Tabla_Items_Activos[CODIGO],0)),0,1)</f>
        <v>0</v>
      </c>
    </row>
    <row r="2418" spans="1:9">
      <c r="A2418" s="2" t="s">
        <v>6760</v>
      </c>
      <c r="B2418" s="2" t="s">
        <v>3228</v>
      </c>
      <c r="C2418" s="2" t="s">
        <v>3229</v>
      </c>
      <c r="D2418" s="2" t="s">
        <v>7368</v>
      </c>
      <c r="E2418" s="2" t="s">
        <v>7368</v>
      </c>
      <c r="F2418" s="2">
        <v>4511.0967733300004</v>
      </c>
      <c r="G2418" s="2">
        <v>13.0825</v>
      </c>
      <c r="H2418" s="2">
        <f>Tabla_Items_Con_Existencia[[#This Row],[COSTO]]*Tabla_Items_Con_Existencia[[#This Row],[EXISTENCIA]]</f>
        <v>59016.42353708973</v>
      </c>
      <c r="I2418" s="1">
        <f>IF(ISERROR(MATCH(Tabla_Items_Con_Existencia[[#This Row],[CODIGO]],Tabla_Items_Activos[CODIGO],0)),0,1)</f>
        <v>0</v>
      </c>
    </row>
    <row r="2419" spans="1:9">
      <c r="A2419" s="2" t="s">
        <v>6760</v>
      </c>
      <c r="B2419" s="2" t="s">
        <v>3230</v>
      </c>
      <c r="C2419" s="2" t="s">
        <v>3231</v>
      </c>
      <c r="D2419" s="2" t="s">
        <v>7368</v>
      </c>
      <c r="E2419" s="2" t="s">
        <v>7368</v>
      </c>
      <c r="F2419" s="2">
        <v>2559.5674800000002</v>
      </c>
      <c r="G2419" s="2">
        <v>4.1566000000000001</v>
      </c>
      <c r="H2419" s="2">
        <f>Tabla_Items_Con_Existencia[[#This Row],[COSTO]]*Tabla_Items_Con_Existencia[[#This Row],[EXISTENCIA]]</f>
        <v>10639.098187368001</v>
      </c>
      <c r="I2419" s="1">
        <f>IF(ISERROR(MATCH(Tabla_Items_Con_Existencia[[#This Row],[CODIGO]],Tabla_Items_Activos[CODIGO],0)),0,1)</f>
        <v>0</v>
      </c>
    </row>
    <row r="2420" spans="1:9">
      <c r="A2420" s="2" t="s">
        <v>6759</v>
      </c>
      <c r="B2420" s="2" t="s">
        <v>3230</v>
      </c>
      <c r="C2420" s="2" t="s">
        <v>3231</v>
      </c>
      <c r="D2420" s="2" t="s">
        <v>7368</v>
      </c>
      <c r="E2420" s="2" t="s">
        <v>7368</v>
      </c>
      <c r="F2420" s="2">
        <v>2559.5674800000002</v>
      </c>
      <c r="G2420" s="2">
        <v>4.1566000000000001</v>
      </c>
      <c r="H2420" s="2">
        <f>Tabla_Items_Con_Existencia[[#This Row],[COSTO]]*Tabla_Items_Con_Existencia[[#This Row],[EXISTENCIA]]</f>
        <v>10639.098187368001</v>
      </c>
      <c r="I2420" s="1">
        <f>IF(ISERROR(MATCH(Tabla_Items_Con_Existencia[[#This Row],[CODIGO]],Tabla_Items_Activos[CODIGO],0)),0,1)</f>
        <v>0</v>
      </c>
    </row>
    <row r="2421" spans="1:9">
      <c r="A2421" s="2" t="s">
        <v>6759</v>
      </c>
      <c r="B2421" s="2" t="s">
        <v>3232</v>
      </c>
      <c r="C2421" s="2" t="s">
        <v>3233</v>
      </c>
      <c r="D2421" s="2" t="s">
        <v>5162</v>
      </c>
      <c r="E2421" s="2" t="s">
        <v>5213</v>
      </c>
      <c r="F2421" s="2">
        <v>4.6479999999999997</v>
      </c>
      <c r="G2421" s="2">
        <v>1802</v>
      </c>
      <c r="H2421" s="2">
        <f>Tabla_Items_Con_Existencia[[#This Row],[COSTO]]*Tabla_Items_Con_Existencia[[#This Row],[EXISTENCIA]]</f>
        <v>8375.6959999999999</v>
      </c>
      <c r="I2421" s="1">
        <f>IF(ISERROR(MATCH(Tabla_Items_Con_Existencia[[#This Row],[CODIGO]],Tabla_Items_Activos[CODIGO],0)),0,1)</f>
        <v>0</v>
      </c>
    </row>
    <row r="2422" spans="1:9">
      <c r="A2422" s="2" t="s">
        <v>6760</v>
      </c>
      <c r="B2422" s="2" t="s">
        <v>3234</v>
      </c>
      <c r="C2422" s="2" t="s">
        <v>6723</v>
      </c>
      <c r="D2422" s="2" t="s">
        <v>7368</v>
      </c>
      <c r="E2422" s="2" t="s">
        <v>7368</v>
      </c>
      <c r="F2422" s="2">
        <v>3588.1633200000001</v>
      </c>
      <c r="G2422" s="2">
        <v>0.33150000000000002</v>
      </c>
      <c r="H2422" s="2">
        <f>Tabla_Items_Con_Existencia[[#This Row],[COSTO]]*Tabla_Items_Con_Existencia[[#This Row],[EXISTENCIA]]</f>
        <v>1189.47614058</v>
      </c>
      <c r="I2422" s="1">
        <f>IF(ISERROR(MATCH(Tabla_Items_Con_Existencia[[#This Row],[CODIGO]],Tabla_Items_Activos[CODIGO],0)),0,1)</f>
        <v>0</v>
      </c>
    </row>
    <row r="2423" spans="1:9">
      <c r="A2423" s="2" t="s">
        <v>6759</v>
      </c>
      <c r="B2423" s="2" t="s">
        <v>3234</v>
      </c>
      <c r="C2423" s="2" t="s">
        <v>6723</v>
      </c>
      <c r="D2423" s="2" t="s">
        <v>7368</v>
      </c>
      <c r="E2423" s="2" t="s">
        <v>7368</v>
      </c>
      <c r="F2423" s="2">
        <v>3588.1633200000001</v>
      </c>
      <c r="G2423" s="2">
        <v>0.33150000000000002</v>
      </c>
      <c r="H2423" s="2">
        <f>Tabla_Items_Con_Existencia[[#This Row],[COSTO]]*Tabla_Items_Con_Existencia[[#This Row],[EXISTENCIA]]</f>
        <v>1189.47614058</v>
      </c>
      <c r="I2423" s="1">
        <f>IF(ISERROR(MATCH(Tabla_Items_Con_Existencia[[#This Row],[CODIGO]],Tabla_Items_Activos[CODIGO],0)),0,1)</f>
        <v>0</v>
      </c>
    </row>
    <row r="2424" spans="1:9">
      <c r="A2424" s="2" t="s">
        <v>6759</v>
      </c>
      <c r="B2424" s="2" t="s">
        <v>3236</v>
      </c>
      <c r="C2424" s="2" t="s">
        <v>3237</v>
      </c>
      <c r="D2424" s="2" t="s">
        <v>5162</v>
      </c>
      <c r="E2424" s="2" t="s">
        <v>5213</v>
      </c>
      <c r="F2424" s="2">
        <v>5.7009999999999996</v>
      </c>
      <c r="G2424" s="2">
        <v>75</v>
      </c>
      <c r="H2424" s="2">
        <f>Tabla_Items_Con_Existencia[[#This Row],[COSTO]]*Tabla_Items_Con_Existencia[[#This Row],[EXISTENCIA]]</f>
        <v>427.57499999999999</v>
      </c>
      <c r="I2424" s="1">
        <f>IF(ISERROR(MATCH(Tabla_Items_Con_Existencia[[#This Row],[CODIGO]],Tabla_Items_Activos[CODIGO],0)),0,1)</f>
        <v>0</v>
      </c>
    </row>
    <row r="2425" spans="1:9">
      <c r="A2425" s="2" t="s">
        <v>6759</v>
      </c>
      <c r="B2425" s="2" t="s">
        <v>3238</v>
      </c>
      <c r="C2425" s="2" t="s">
        <v>3239</v>
      </c>
      <c r="D2425" s="2" t="s">
        <v>5162</v>
      </c>
      <c r="E2425" s="2" t="s">
        <v>5213</v>
      </c>
      <c r="F2425" s="2">
        <v>1200.9903999999999</v>
      </c>
      <c r="G2425" s="2">
        <v>1.1468</v>
      </c>
      <c r="H2425" s="2">
        <f>Tabla_Items_Con_Existencia[[#This Row],[COSTO]]*Tabla_Items_Con_Existencia[[#This Row],[EXISTENCIA]]</f>
        <v>1377.29579072</v>
      </c>
      <c r="I2425" s="1">
        <f>IF(ISERROR(MATCH(Tabla_Items_Con_Existencia[[#This Row],[CODIGO]],Tabla_Items_Activos[CODIGO],0)),0,1)</f>
        <v>0</v>
      </c>
    </row>
    <row r="2426" spans="1:9">
      <c r="A2426" s="2" t="s">
        <v>6760</v>
      </c>
      <c r="B2426" s="2" t="s">
        <v>3240</v>
      </c>
      <c r="C2426" s="2" t="s">
        <v>3241</v>
      </c>
      <c r="D2426" s="2" t="s">
        <v>5162</v>
      </c>
      <c r="E2426" s="2" t="s">
        <v>5213</v>
      </c>
      <c r="F2426" s="2">
        <v>604.36856</v>
      </c>
      <c r="G2426" s="2">
        <v>10.321300000000001</v>
      </c>
      <c r="H2426" s="2">
        <f>Tabla_Items_Con_Existencia[[#This Row],[COSTO]]*Tabla_Items_Con_Existencia[[#This Row],[EXISTENCIA]]</f>
        <v>6237.8692183280009</v>
      </c>
      <c r="I2426" s="1">
        <f>IF(ISERROR(MATCH(Tabla_Items_Con_Existencia[[#This Row],[CODIGO]],Tabla_Items_Activos[CODIGO],0)),0,1)</f>
        <v>0</v>
      </c>
    </row>
    <row r="2427" spans="1:9">
      <c r="A2427" s="2" t="s">
        <v>6759</v>
      </c>
      <c r="B2427" s="2" t="s">
        <v>3240</v>
      </c>
      <c r="C2427" s="2" t="s">
        <v>3241</v>
      </c>
      <c r="D2427" s="2" t="s">
        <v>5162</v>
      </c>
      <c r="E2427" s="2" t="s">
        <v>5213</v>
      </c>
      <c r="F2427" s="2">
        <v>604.36856</v>
      </c>
      <c r="G2427" s="2">
        <v>10.321300000000001</v>
      </c>
      <c r="H2427" s="2">
        <f>Tabla_Items_Con_Existencia[[#This Row],[COSTO]]*Tabla_Items_Con_Existencia[[#This Row],[EXISTENCIA]]</f>
        <v>6237.8692183280009</v>
      </c>
      <c r="I2427" s="1">
        <f>IF(ISERROR(MATCH(Tabla_Items_Con_Existencia[[#This Row],[CODIGO]],Tabla_Items_Activos[CODIGO],0)),0,1)</f>
        <v>0</v>
      </c>
    </row>
    <row r="2428" spans="1:9">
      <c r="A2428" s="2" t="s">
        <v>6759</v>
      </c>
      <c r="B2428" s="2" t="s">
        <v>3242</v>
      </c>
      <c r="C2428" s="2" t="s">
        <v>3243</v>
      </c>
      <c r="D2428" s="2" t="s">
        <v>5162</v>
      </c>
      <c r="E2428" s="2" t="s">
        <v>5213</v>
      </c>
      <c r="F2428" s="2">
        <v>6.2270000000000003</v>
      </c>
      <c r="G2428" s="2">
        <v>151</v>
      </c>
      <c r="H2428" s="2">
        <f>Tabla_Items_Con_Existencia[[#This Row],[COSTO]]*Tabla_Items_Con_Existencia[[#This Row],[EXISTENCIA]]</f>
        <v>940.27700000000004</v>
      </c>
      <c r="I2428" s="1">
        <f>IF(ISERROR(MATCH(Tabla_Items_Con_Existencia[[#This Row],[CODIGO]],Tabla_Items_Activos[CODIGO],0)),0,1)</f>
        <v>0</v>
      </c>
    </row>
    <row r="2429" spans="1:9">
      <c r="A2429" s="2" t="s">
        <v>6760</v>
      </c>
      <c r="B2429" s="2" t="s">
        <v>3244</v>
      </c>
      <c r="C2429" s="2" t="s">
        <v>3245</v>
      </c>
      <c r="D2429" s="2" t="s">
        <v>5162</v>
      </c>
      <c r="E2429" s="2" t="s">
        <v>5213</v>
      </c>
      <c r="F2429" s="2">
        <v>0.68344000000000005</v>
      </c>
      <c r="G2429" s="2">
        <v>5604</v>
      </c>
      <c r="H2429" s="2">
        <f>Tabla_Items_Con_Existencia[[#This Row],[COSTO]]*Tabla_Items_Con_Existencia[[#This Row],[EXISTENCIA]]</f>
        <v>3829.9977600000002</v>
      </c>
      <c r="I2429" s="1">
        <f>IF(ISERROR(MATCH(Tabla_Items_Con_Existencia[[#This Row],[CODIGO]],Tabla_Items_Activos[CODIGO],0)),0,1)</f>
        <v>0</v>
      </c>
    </row>
    <row r="2430" spans="1:9">
      <c r="A2430" s="2" t="s">
        <v>6759</v>
      </c>
      <c r="B2430" s="2" t="s">
        <v>3244</v>
      </c>
      <c r="C2430" s="2" t="s">
        <v>3245</v>
      </c>
      <c r="D2430" s="2" t="s">
        <v>5162</v>
      </c>
      <c r="E2430" s="2" t="s">
        <v>5213</v>
      </c>
      <c r="F2430" s="2">
        <v>0.68344000000000005</v>
      </c>
      <c r="G2430" s="2">
        <v>5604</v>
      </c>
      <c r="H2430" s="2">
        <f>Tabla_Items_Con_Existencia[[#This Row],[COSTO]]*Tabla_Items_Con_Existencia[[#This Row],[EXISTENCIA]]</f>
        <v>3829.9977600000002</v>
      </c>
      <c r="I2430" s="1">
        <f>IF(ISERROR(MATCH(Tabla_Items_Con_Existencia[[#This Row],[CODIGO]],Tabla_Items_Activos[CODIGO],0)),0,1)</f>
        <v>0</v>
      </c>
    </row>
    <row r="2431" spans="1:9">
      <c r="A2431" s="2" t="s">
        <v>6759</v>
      </c>
      <c r="B2431" s="2" t="s">
        <v>3246</v>
      </c>
      <c r="C2431" s="2" t="s">
        <v>3247</v>
      </c>
      <c r="D2431" s="2" t="s">
        <v>5162</v>
      </c>
      <c r="E2431" s="2" t="s">
        <v>5213</v>
      </c>
      <c r="F2431" s="2">
        <v>794.00139999999999</v>
      </c>
      <c r="G2431" s="2">
        <v>1.0378000000000001</v>
      </c>
      <c r="H2431" s="2">
        <f>Tabla_Items_Con_Existencia[[#This Row],[COSTO]]*Tabla_Items_Con_Existencia[[#This Row],[EXISTENCIA]]</f>
        <v>824.01465292</v>
      </c>
      <c r="I2431" s="1">
        <f>IF(ISERROR(MATCH(Tabla_Items_Con_Existencia[[#This Row],[CODIGO]],Tabla_Items_Activos[CODIGO],0)),0,1)</f>
        <v>0</v>
      </c>
    </row>
    <row r="2432" spans="1:9">
      <c r="A2432" s="2" t="s">
        <v>6759</v>
      </c>
      <c r="B2432" s="2" t="s">
        <v>3248</v>
      </c>
      <c r="C2432" s="2" t="s">
        <v>7135</v>
      </c>
      <c r="D2432" s="2" t="s">
        <v>5162</v>
      </c>
      <c r="E2432" s="2" t="s">
        <v>5213</v>
      </c>
      <c r="F2432" s="2">
        <v>5.6</v>
      </c>
      <c r="G2432" s="2">
        <v>23.25</v>
      </c>
      <c r="H2432" s="2">
        <f>Tabla_Items_Con_Existencia[[#This Row],[COSTO]]*Tabla_Items_Con_Existencia[[#This Row],[EXISTENCIA]]</f>
        <v>130.19999999999999</v>
      </c>
      <c r="I2432" s="1">
        <f>IF(ISERROR(MATCH(Tabla_Items_Con_Existencia[[#This Row],[CODIGO]],Tabla_Items_Activos[CODIGO],0)),0,1)</f>
        <v>0</v>
      </c>
    </row>
    <row r="2433" spans="1:9">
      <c r="A2433" s="2" t="s">
        <v>6759</v>
      </c>
      <c r="B2433" s="2" t="s">
        <v>3250</v>
      </c>
      <c r="C2433" s="2" t="s">
        <v>3251</v>
      </c>
      <c r="D2433" s="2" t="s">
        <v>5162</v>
      </c>
      <c r="E2433" s="2" t="s">
        <v>5214</v>
      </c>
      <c r="F2433" s="2">
        <v>518.0145</v>
      </c>
      <c r="G2433" s="2">
        <v>0.49740000000000001</v>
      </c>
      <c r="H2433" s="2">
        <f>Tabla_Items_Con_Existencia[[#This Row],[COSTO]]*Tabla_Items_Con_Existencia[[#This Row],[EXISTENCIA]]</f>
        <v>257.66041230000002</v>
      </c>
      <c r="I2433" s="1">
        <f>IF(ISERROR(MATCH(Tabla_Items_Con_Existencia[[#This Row],[CODIGO]],Tabla_Items_Activos[CODIGO],0)),0,1)</f>
        <v>0</v>
      </c>
    </row>
    <row r="2434" spans="1:9">
      <c r="A2434" s="2" t="s">
        <v>6759</v>
      </c>
      <c r="B2434" s="2" t="s">
        <v>5848</v>
      </c>
      <c r="C2434" s="2" t="s">
        <v>5849</v>
      </c>
      <c r="D2434" s="2" t="s">
        <v>5162</v>
      </c>
      <c r="E2434" s="2" t="s">
        <v>5214</v>
      </c>
      <c r="F2434" s="2">
        <v>59.72</v>
      </c>
      <c r="G2434" s="2">
        <v>4</v>
      </c>
      <c r="H2434" s="2">
        <f>Tabla_Items_Con_Existencia[[#This Row],[COSTO]]*Tabla_Items_Con_Existencia[[#This Row],[EXISTENCIA]]</f>
        <v>238.88</v>
      </c>
      <c r="I2434" s="1">
        <f>IF(ISERROR(MATCH(Tabla_Items_Con_Existencia[[#This Row],[CODIGO]],Tabla_Items_Activos[CODIGO],0)),0,1)</f>
        <v>0</v>
      </c>
    </row>
    <row r="2435" spans="1:9">
      <c r="A2435" s="2" t="s">
        <v>6759</v>
      </c>
      <c r="B2435" s="2" t="s">
        <v>7041</v>
      </c>
      <c r="C2435" s="2" t="s">
        <v>7042</v>
      </c>
      <c r="D2435" s="2" t="s">
        <v>5162</v>
      </c>
      <c r="E2435" s="2" t="s">
        <v>5214</v>
      </c>
      <c r="F2435" s="2">
        <v>3.3275999999999999</v>
      </c>
      <c r="G2435" s="2">
        <v>30</v>
      </c>
      <c r="H2435" s="2">
        <f>Tabla_Items_Con_Existencia[[#This Row],[COSTO]]*Tabla_Items_Con_Existencia[[#This Row],[EXISTENCIA]]</f>
        <v>99.828000000000003</v>
      </c>
      <c r="I2435" s="1">
        <f>IF(ISERROR(MATCH(Tabla_Items_Con_Existencia[[#This Row],[CODIGO]],Tabla_Items_Activos[CODIGO],0)),0,1)</f>
        <v>0</v>
      </c>
    </row>
    <row r="2436" spans="1:9">
      <c r="A2436" s="2" t="s">
        <v>6759</v>
      </c>
      <c r="B2436" s="2" t="s">
        <v>3252</v>
      </c>
      <c r="C2436" s="2" t="s">
        <v>3253</v>
      </c>
      <c r="D2436" s="2" t="s">
        <v>5166</v>
      </c>
      <c r="E2436" s="2" t="s">
        <v>5215</v>
      </c>
      <c r="F2436" s="2">
        <v>298.58370000000002</v>
      </c>
      <c r="G2436" s="2">
        <v>0.17630000000000001</v>
      </c>
      <c r="H2436" s="2">
        <f>Tabla_Items_Con_Existencia[[#This Row],[COSTO]]*Tabla_Items_Con_Existencia[[#This Row],[EXISTENCIA]]</f>
        <v>52.640306310000007</v>
      </c>
      <c r="I2436" s="1">
        <f>IF(ISERROR(MATCH(Tabla_Items_Con_Existencia[[#This Row],[CODIGO]],Tabla_Items_Activos[CODIGO],0)),0,1)</f>
        <v>0</v>
      </c>
    </row>
    <row r="2437" spans="1:9">
      <c r="A2437" s="2" t="s">
        <v>6760</v>
      </c>
      <c r="B2437" s="2" t="s">
        <v>3254</v>
      </c>
      <c r="C2437" s="2" t="s">
        <v>3255</v>
      </c>
      <c r="D2437" s="2" t="s">
        <v>5162</v>
      </c>
      <c r="E2437" s="2" t="s">
        <v>5212</v>
      </c>
      <c r="F2437" s="2">
        <v>800.27854666999997</v>
      </c>
      <c r="G2437" s="2">
        <v>0.78280000000000005</v>
      </c>
      <c r="H2437" s="2">
        <f>Tabla_Items_Con_Existencia[[#This Row],[COSTO]]*Tabla_Items_Con_Existencia[[#This Row],[EXISTENCIA]]</f>
        <v>626.458046333276</v>
      </c>
      <c r="I2437" s="1">
        <f>IF(ISERROR(MATCH(Tabla_Items_Con_Existencia[[#This Row],[CODIGO]],Tabla_Items_Activos[CODIGO],0)),0,1)</f>
        <v>0</v>
      </c>
    </row>
    <row r="2438" spans="1:9">
      <c r="A2438" s="2" t="s">
        <v>6759</v>
      </c>
      <c r="B2438" s="2" t="s">
        <v>3254</v>
      </c>
      <c r="C2438" s="2" t="s">
        <v>3255</v>
      </c>
      <c r="D2438" s="2" t="s">
        <v>5162</v>
      </c>
      <c r="E2438" s="2" t="s">
        <v>5212</v>
      </c>
      <c r="F2438" s="2">
        <v>800.27854666999997</v>
      </c>
      <c r="G2438" s="2">
        <v>0.78280000000000005</v>
      </c>
      <c r="H2438" s="2">
        <f>Tabla_Items_Con_Existencia[[#This Row],[COSTO]]*Tabla_Items_Con_Existencia[[#This Row],[EXISTENCIA]]</f>
        <v>626.458046333276</v>
      </c>
      <c r="I2438" s="1">
        <f>IF(ISERROR(MATCH(Tabla_Items_Con_Existencia[[#This Row],[CODIGO]],Tabla_Items_Activos[CODIGO],0)),0,1)</f>
        <v>0</v>
      </c>
    </row>
    <row r="2439" spans="1:9">
      <c r="A2439" s="2" t="s">
        <v>6760</v>
      </c>
      <c r="B2439" s="2" t="s">
        <v>3256</v>
      </c>
      <c r="C2439" s="2" t="s">
        <v>3257</v>
      </c>
      <c r="D2439" s="2" t="s">
        <v>5162</v>
      </c>
      <c r="E2439" s="2" t="s">
        <v>5212</v>
      </c>
      <c r="F2439" s="2">
        <v>0.96796000000000004</v>
      </c>
      <c r="G2439" s="2">
        <v>599</v>
      </c>
      <c r="H2439" s="2">
        <f>Tabla_Items_Con_Existencia[[#This Row],[COSTO]]*Tabla_Items_Con_Existencia[[#This Row],[EXISTENCIA]]</f>
        <v>579.80804000000001</v>
      </c>
      <c r="I2439" s="1">
        <f>IF(ISERROR(MATCH(Tabla_Items_Con_Existencia[[#This Row],[CODIGO]],Tabla_Items_Activos[CODIGO],0)),0,1)</f>
        <v>0</v>
      </c>
    </row>
    <row r="2440" spans="1:9">
      <c r="A2440" s="2" t="s">
        <v>6759</v>
      </c>
      <c r="B2440" s="2" t="s">
        <v>3256</v>
      </c>
      <c r="C2440" s="2" t="s">
        <v>3257</v>
      </c>
      <c r="D2440" s="2" t="s">
        <v>5162</v>
      </c>
      <c r="E2440" s="2" t="s">
        <v>5212</v>
      </c>
      <c r="F2440" s="2">
        <v>0.96796000000000004</v>
      </c>
      <c r="G2440" s="2">
        <v>599</v>
      </c>
      <c r="H2440" s="2">
        <f>Tabla_Items_Con_Existencia[[#This Row],[COSTO]]*Tabla_Items_Con_Existencia[[#This Row],[EXISTENCIA]]</f>
        <v>579.80804000000001</v>
      </c>
      <c r="I2440" s="1">
        <f>IF(ISERROR(MATCH(Tabla_Items_Con_Existencia[[#This Row],[CODIGO]],Tabla_Items_Activos[CODIGO],0)),0,1)</f>
        <v>0</v>
      </c>
    </row>
    <row r="2441" spans="1:9">
      <c r="A2441" s="2" t="s">
        <v>6760</v>
      </c>
      <c r="B2441" s="2" t="s">
        <v>3258</v>
      </c>
      <c r="C2441" s="2" t="s">
        <v>3259</v>
      </c>
      <c r="D2441" s="2" t="s">
        <v>5162</v>
      </c>
      <c r="E2441" s="2" t="s">
        <v>5212</v>
      </c>
      <c r="F2441" s="2">
        <v>2.4341066699999998</v>
      </c>
      <c r="G2441" s="2">
        <v>5762</v>
      </c>
      <c r="H2441" s="2">
        <f>Tabla_Items_Con_Existencia[[#This Row],[COSTO]]*Tabla_Items_Con_Existencia[[#This Row],[EXISTENCIA]]</f>
        <v>14025.322632539999</v>
      </c>
      <c r="I2441" s="1">
        <f>IF(ISERROR(MATCH(Tabla_Items_Con_Existencia[[#This Row],[CODIGO]],Tabla_Items_Activos[CODIGO],0)),0,1)</f>
        <v>0</v>
      </c>
    </row>
    <row r="2442" spans="1:9">
      <c r="A2442" s="2" t="s">
        <v>6759</v>
      </c>
      <c r="B2442" s="2" t="s">
        <v>3258</v>
      </c>
      <c r="C2442" s="2" t="s">
        <v>3259</v>
      </c>
      <c r="D2442" s="2" t="s">
        <v>5162</v>
      </c>
      <c r="E2442" s="2" t="s">
        <v>5212</v>
      </c>
      <c r="F2442" s="2">
        <v>2.4341066699999998</v>
      </c>
      <c r="G2442" s="2">
        <v>5762</v>
      </c>
      <c r="H2442" s="2">
        <f>Tabla_Items_Con_Existencia[[#This Row],[COSTO]]*Tabla_Items_Con_Existencia[[#This Row],[EXISTENCIA]]</f>
        <v>14025.322632539999</v>
      </c>
      <c r="I2442" s="1">
        <f>IF(ISERROR(MATCH(Tabla_Items_Con_Existencia[[#This Row],[CODIGO]],Tabla_Items_Activos[CODIGO],0)),0,1)</f>
        <v>0</v>
      </c>
    </row>
    <row r="2443" spans="1:9">
      <c r="A2443" s="2" t="s">
        <v>6760</v>
      </c>
      <c r="B2443" s="2" t="s">
        <v>3260</v>
      </c>
      <c r="C2443" s="2" t="s">
        <v>3261</v>
      </c>
      <c r="D2443" s="2" t="s">
        <v>5162</v>
      </c>
      <c r="E2443" s="2" t="s">
        <v>5212</v>
      </c>
      <c r="F2443" s="2">
        <v>1.2474133300000001</v>
      </c>
      <c r="G2443" s="2">
        <v>3900</v>
      </c>
      <c r="H2443" s="2">
        <f>Tabla_Items_Con_Existencia[[#This Row],[COSTO]]*Tabla_Items_Con_Existencia[[#This Row],[EXISTENCIA]]</f>
        <v>4864.9119870000004</v>
      </c>
      <c r="I2443" s="1">
        <f>IF(ISERROR(MATCH(Tabla_Items_Con_Existencia[[#This Row],[CODIGO]],Tabla_Items_Activos[CODIGO],0)),0,1)</f>
        <v>0</v>
      </c>
    </row>
    <row r="2444" spans="1:9">
      <c r="A2444" s="2" t="s">
        <v>6759</v>
      </c>
      <c r="B2444" s="2" t="s">
        <v>3260</v>
      </c>
      <c r="C2444" s="2" t="s">
        <v>3261</v>
      </c>
      <c r="D2444" s="2" t="s">
        <v>5162</v>
      </c>
      <c r="E2444" s="2" t="s">
        <v>5212</v>
      </c>
      <c r="F2444" s="2">
        <v>1.2474133300000001</v>
      </c>
      <c r="G2444" s="2">
        <v>3900</v>
      </c>
      <c r="H2444" s="2">
        <f>Tabla_Items_Con_Existencia[[#This Row],[COSTO]]*Tabla_Items_Con_Existencia[[#This Row],[EXISTENCIA]]</f>
        <v>4864.9119870000004</v>
      </c>
      <c r="I2444" s="1">
        <f>IF(ISERROR(MATCH(Tabla_Items_Con_Existencia[[#This Row],[CODIGO]],Tabla_Items_Activos[CODIGO],0)),0,1)</f>
        <v>0</v>
      </c>
    </row>
    <row r="2445" spans="1:9">
      <c r="A2445" s="2" t="s">
        <v>6760</v>
      </c>
      <c r="B2445" s="2" t="s">
        <v>3262</v>
      </c>
      <c r="C2445" s="2" t="s">
        <v>3263</v>
      </c>
      <c r="D2445" s="2" t="s">
        <v>5162</v>
      </c>
      <c r="E2445" s="2" t="s">
        <v>5212</v>
      </c>
      <c r="F2445" s="2">
        <v>715.19925333000003</v>
      </c>
      <c r="G2445" s="2">
        <v>13.0702</v>
      </c>
      <c r="H2445" s="2">
        <f>Tabla_Items_Con_Existencia[[#This Row],[COSTO]]*Tabla_Items_Con_Existencia[[#This Row],[EXISTENCIA]]</f>
        <v>9347.7972808737668</v>
      </c>
      <c r="I2445" s="1">
        <f>IF(ISERROR(MATCH(Tabla_Items_Con_Existencia[[#This Row],[CODIGO]],Tabla_Items_Activos[CODIGO],0)),0,1)</f>
        <v>0</v>
      </c>
    </row>
    <row r="2446" spans="1:9">
      <c r="A2446" s="2" t="s">
        <v>6759</v>
      </c>
      <c r="B2446" s="2" t="s">
        <v>3262</v>
      </c>
      <c r="C2446" s="2" t="s">
        <v>3263</v>
      </c>
      <c r="D2446" s="2" t="s">
        <v>5162</v>
      </c>
      <c r="E2446" s="2" t="s">
        <v>5212</v>
      </c>
      <c r="F2446" s="2">
        <v>715.19925333000003</v>
      </c>
      <c r="G2446" s="2">
        <v>13.0702</v>
      </c>
      <c r="H2446" s="2">
        <f>Tabla_Items_Con_Existencia[[#This Row],[COSTO]]*Tabla_Items_Con_Existencia[[#This Row],[EXISTENCIA]]</f>
        <v>9347.7972808737668</v>
      </c>
      <c r="I2446" s="1">
        <f>IF(ISERROR(MATCH(Tabla_Items_Con_Existencia[[#This Row],[CODIGO]],Tabla_Items_Activos[CODIGO],0)),0,1)</f>
        <v>0</v>
      </c>
    </row>
    <row r="2447" spans="1:9">
      <c r="A2447" s="2" t="s">
        <v>6759</v>
      </c>
      <c r="B2447" s="2" t="s">
        <v>3264</v>
      </c>
      <c r="C2447" s="2" t="s">
        <v>3265</v>
      </c>
      <c r="D2447" s="2" t="s">
        <v>5162</v>
      </c>
      <c r="E2447" s="2" t="s">
        <v>5212</v>
      </c>
      <c r="F2447" s="2">
        <v>30.09706667</v>
      </c>
      <c r="G2447" s="2">
        <v>350</v>
      </c>
      <c r="H2447" s="2">
        <f>Tabla_Items_Con_Existencia[[#This Row],[COSTO]]*Tabla_Items_Con_Existencia[[#This Row],[EXISTENCIA]]</f>
        <v>10533.9733345</v>
      </c>
      <c r="I2447" s="1">
        <f>IF(ISERROR(MATCH(Tabla_Items_Con_Existencia[[#This Row],[CODIGO]],Tabla_Items_Activos[CODIGO],0)),0,1)</f>
        <v>0</v>
      </c>
    </row>
    <row r="2448" spans="1:9">
      <c r="A2448" s="2" t="s">
        <v>6760</v>
      </c>
      <c r="B2448" s="2" t="s">
        <v>3264</v>
      </c>
      <c r="C2448" s="2" t="s">
        <v>3265</v>
      </c>
      <c r="D2448" s="2" t="s">
        <v>5162</v>
      </c>
      <c r="E2448" s="2" t="s">
        <v>5212</v>
      </c>
      <c r="F2448" s="2">
        <v>30.09706667</v>
      </c>
      <c r="G2448" s="2">
        <v>350</v>
      </c>
      <c r="H2448" s="2">
        <f>Tabla_Items_Con_Existencia[[#This Row],[COSTO]]*Tabla_Items_Con_Existencia[[#This Row],[EXISTENCIA]]</f>
        <v>10533.9733345</v>
      </c>
      <c r="I2448" s="1">
        <f>IF(ISERROR(MATCH(Tabla_Items_Con_Existencia[[#This Row],[CODIGO]],Tabla_Items_Activos[CODIGO],0)),0,1)</f>
        <v>0</v>
      </c>
    </row>
    <row r="2449" spans="1:9">
      <c r="A2449" s="2" t="s">
        <v>6759</v>
      </c>
      <c r="B2449" s="2" t="s">
        <v>3266</v>
      </c>
      <c r="C2449" s="2" t="s">
        <v>3267</v>
      </c>
      <c r="D2449" s="2" t="s">
        <v>5166</v>
      </c>
      <c r="E2449" s="2" t="s">
        <v>5163</v>
      </c>
      <c r="F2449" s="2">
        <v>0.17119999999999999</v>
      </c>
      <c r="G2449" s="2">
        <v>211</v>
      </c>
      <c r="H2449" s="2">
        <f>Tabla_Items_Con_Existencia[[#This Row],[COSTO]]*Tabla_Items_Con_Existencia[[#This Row],[EXISTENCIA]]</f>
        <v>36.123199999999997</v>
      </c>
      <c r="I2449" s="1">
        <f>IF(ISERROR(MATCH(Tabla_Items_Con_Existencia[[#This Row],[CODIGO]],Tabla_Items_Activos[CODIGO],0)),0,1)</f>
        <v>0</v>
      </c>
    </row>
    <row r="2450" spans="1:9">
      <c r="A2450" s="2" t="s">
        <v>6759</v>
      </c>
      <c r="B2450" s="2" t="s">
        <v>3270</v>
      </c>
      <c r="C2450" s="2" t="s">
        <v>3271</v>
      </c>
      <c r="D2450" s="2" t="s">
        <v>5166</v>
      </c>
      <c r="E2450" s="2" t="s">
        <v>5163</v>
      </c>
      <c r="F2450" s="2">
        <v>0.252</v>
      </c>
      <c r="G2450" s="2">
        <v>380</v>
      </c>
      <c r="H2450" s="2">
        <f>Tabla_Items_Con_Existencia[[#This Row],[COSTO]]*Tabla_Items_Con_Existencia[[#This Row],[EXISTENCIA]]</f>
        <v>95.76</v>
      </c>
      <c r="I2450" s="1">
        <f>IF(ISERROR(MATCH(Tabla_Items_Con_Existencia[[#This Row],[CODIGO]],Tabla_Items_Activos[CODIGO],0)),0,1)</f>
        <v>0</v>
      </c>
    </row>
    <row r="2451" spans="1:9">
      <c r="A2451" s="2" t="s">
        <v>6759</v>
      </c>
      <c r="B2451" s="2" t="s">
        <v>3272</v>
      </c>
      <c r="C2451" s="2" t="s">
        <v>3273</v>
      </c>
      <c r="D2451" s="2" t="s">
        <v>5166</v>
      </c>
      <c r="E2451" s="2" t="s">
        <v>5163</v>
      </c>
      <c r="F2451" s="2">
        <v>0.248</v>
      </c>
      <c r="G2451" s="2">
        <v>526</v>
      </c>
      <c r="H2451" s="2">
        <f>Tabla_Items_Con_Existencia[[#This Row],[COSTO]]*Tabla_Items_Con_Existencia[[#This Row],[EXISTENCIA]]</f>
        <v>130.44800000000001</v>
      </c>
      <c r="I2451" s="1">
        <f>IF(ISERROR(MATCH(Tabla_Items_Con_Existencia[[#This Row],[CODIGO]],Tabla_Items_Activos[CODIGO],0)),0,1)</f>
        <v>0</v>
      </c>
    </row>
    <row r="2452" spans="1:9">
      <c r="A2452" s="2" t="s">
        <v>6759</v>
      </c>
      <c r="B2452" s="2" t="s">
        <v>3274</v>
      </c>
      <c r="C2452" s="2" t="s">
        <v>3275</v>
      </c>
      <c r="D2452" s="2" t="s">
        <v>5166</v>
      </c>
      <c r="E2452" s="2" t="s">
        <v>5163</v>
      </c>
      <c r="F2452" s="2">
        <v>0.249</v>
      </c>
      <c r="G2452" s="2">
        <v>675</v>
      </c>
      <c r="H2452" s="2">
        <f>Tabla_Items_Con_Existencia[[#This Row],[COSTO]]*Tabla_Items_Con_Existencia[[#This Row],[EXISTENCIA]]</f>
        <v>168.07499999999999</v>
      </c>
      <c r="I2452" s="1">
        <f>IF(ISERROR(MATCH(Tabla_Items_Con_Existencia[[#This Row],[CODIGO]],Tabla_Items_Activos[CODIGO],0)),0,1)</f>
        <v>0</v>
      </c>
    </row>
    <row r="2453" spans="1:9">
      <c r="A2453" s="2" t="s">
        <v>6759</v>
      </c>
      <c r="B2453" s="2" t="s">
        <v>3276</v>
      </c>
      <c r="C2453" s="2" t="s">
        <v>7369</v>
      </c>
      <c r="D2453" s="2" t="s">
        <v>5166</v>
      </c>
      <c r="E2453" s="2" t="s">
        <v>5163</v>
      </c>
      <c r="F2453" s="2">
        <v>0.26719999999999999</v>
      </c>
      <c r="G2453" s="2">
        <v>94</v>
      </c>
      <c r="H2453" s="2">
        <f>Tabla_Items_Con_Existencia[[#This Row],[COSTO]]*Tabla_Items_Con_Existencia[[#This Row],[EXISTENCIA]]</f>
        <v>25.116799999999998</v>
      </c>
      <c r="I2453" s="1">
        <f>IF(ISERROR(MATCH(Tabla_Items_Con_Existencia[[#This Row],[CODIGO]],Tabla_Items_Activos[CODIGO],0)),0,1)</f>
        <v>0</v>
      </c>
    </row>
    <row r="2454" spans="1:9">
      <c r="A2454" s="2" t="s">
        <v>6759</v>
      </c>
      <c r="B2454" s="2" t="s">
        <v>3278</v>
      </c>
      <c r="C2454" s="2" t="s">
        <v>3279</v>
      </c>
      <c r="D2454" s="2" t="s">
        <v>5166</v>
      </c>
      <c r="E2454" s="2" t="s">
        <v>5163</v>
      </c>
      <c r="F2454" s="2">
        <v>0.106</v>
      </c>
      <c r="G2454" s="2">
        <v>900</v>
      </c>
      <c r="H2454" s="2">
        <f>Tabla_Items_Con_Existencia[[#This Row],[COSTO]]*Tabla_Items_Con_Existencia[[#This Row],[EXISTENCIA]]</f>
        <v>95.399999999999991</v>
      </c>
      <c r="I2454" s="1">
        <f>IF(ISERROR(MATCH(Tabla_Items_Con_Existencia[[#This Row],[CODIGO]],Tabla_Items_Activos[CODIGO],0)),0,1)</f>
        <v>0</v>
      </c>
    </row>
    <row r="2455" spans="1:9">
      <c r="A2455" s="2" t="s">
        <v>6759</v>
      </c>
      <c r="B2455" s="2" t="s">
        <v>3280</v>
      </c>
      <c r="C2455" s="2" t="s">
        <v>3281</v>
      </c>
      <c r="D2455" s="2" t="s">
        <v>5166</v>
      </c>
      <c r="E2455" s="2" t="s">
        <v>5163</v>
      </c>
      <c r="F2455" s="2">
        <v>0.153</v>
      </c>
      <c r="G2455" s="2">
        <v>500</v>
      </c>
      <c r="H2455" s="2">
        <f>Tabla_Items_Con_Existencia[[#This Row],[COSTO]]*Tabla_Items_Con_Existencia[[#This Row],[EXISTENCIA]]</f>
        <v>76.5</v>
      </c>
      <c r="I2455" s="1">
        <f>IF(ISERROR(MATCH(Tabla_Items_Con_Existencia[[#This Row],[CODIGO]],Tabla_Items_Activos[CODIGO],0)),0,1)</f>
        <v>0</v>
      </c>
    </row>
    <row r="2456" spans="1:9">
      <c r="A2456" s="2" t="s">
        <v>6759</v>
      </c>
      <c r="B2456" s="2" t="s">
        <v>3282</v>
      </c>
      <c r="C2456" s="2" t="s">
        <v>3283</v>
      </c>
      <c r="D2456" s="2" t="s">
        <v>5166</v>
      </c>
      <c r="E2456" s="2" t="s">
        <v>5163</v>
      </c>
      <c r="F2456" s="2">
        <v>0.1013</v>
      </c>
      <c r="G2456" s="2">
        <v>1218</v>
      </c>
      <c r="H2456" s="2">
        <f>Tabla_Items_Con_Existencia[[#This Row],[COSTO]]*Tabla_Items_Con_Existencia[[#This Row],[EXISTENCIA]]</f>
        <v>123.38339999999999</v>
      </c>
      <c r="I2456" s="1">
        <f>IF(ISERROR(MATCH(Tabla_Items_Con_Existencia[[#This Row],[CODIGO]],Tabla_Items_Activos[CODIGO],0)),0,1)</f>
        <v>0</v>
      </c>
    </row>
    <row r="2457" spans="1:9">
      <c r="A2457" s="2" t="s">
        <v>6759</v>
      </c>
      <c r="B2457" s="2" t="s">
        <v>3284</v>
      </c>
      <c r="C2457" s="2" t="s">
        <v>3285</v>
      </c>
      <c r="D2457" s="2" t="s">
        <v>5166</v>
      </c>
      <c r="E2457" s="2" t="s">
        <v>5163</v>
      </c>
      <c r="F2457" s="2">
        <v>6.2700000000000006E-2</v>
      </c>
      <c r="G2457" s="2">
        <v>897</v>
      </c>
      <c r="H2457" s="2">
        <f>Tabla_Items_Con_Existencia[[#This Row],[COSTO]]*Tabla_Items_Con_Existencia[[#This Row],[EXISTENCIA]]</f>
        <v>56.241900000000008</v>
      </c>
      <c r="I2457" s="1">
        <f>IF(ISERROR(MATCH(Tabla_Items_Con_Existencia[[#This Row],[CODIGO]],Tabla_Items_Activos[CODIGO],0)),0,1)</f>
        <v>0</v>
      </c>
    </row>
    <row r="2458" spans="1:9">
      <c r="A2458" s="2" t="s">
        <v>6759</v>
      </c>
      <c r="B2458" s="2" t="s">
        <v>7370</v>
      </c>
      <c r="C2458" s="2" t="s">
        <v>7371</v>
      </c>
      <c r="D2458" s="2" t="s">
        <v>5166</v>
      </c>
      <c r="E2458" s="2" t="s">
        <v>5163</v>
      </c>
      <c r="F2458" s="2">
        <v>6.54E-2</v>
      </c>
      <c r="G2458" s="2">
        <v>1150</v>
      </c>
      <c r="H2458" s="2">
        <f>Tabla_Items_Con_Existencia[[#This Row],[COSTO]]*Tabla_Items_Con_Existencia[[#This Row],[EXISTENCIA]]</f>
        <v>75.209999999999994</v>
      </c>
      <c r="I2458" s="1">
        <f>IF(ISERROR(MATCH(Tabla_Items_Con_Existencia[[#This Row],[CODIGO]],Tabla_Items_Activos[CODIGO],0)),0,1)</f>
        <v>0</v>
      </c>
    </row>
    <row r="2459" spans="1:9">
      <c r="A2459" s="2" t="s">
        <v>6759</v>
      </c>
      <c r="B2459" s="2" t="s">
        <v>3286</v>
      </c>
      <c r="C2459" s="2" t="s">
        <v>3287</v>
      </c>
      <c r="D2459" s="2" t="s">
        <v>5166</v>
      </c>
      <c r="E2459" s="2" t="s">
        <v>5163</v>
      </c>
      <c r="F2459" s="2">
        <v>0.246</v>
      </c>
      <c r="G2459" s="2">
        <v>424</v>
      </c>
      <c r="H2459" s="2">
        <f>Tabla_Items_Con_Existencia[[#This Row],[COSTO]]*Tabla_Items_Con_Existencia[[#This Row],[EXISTENCIA]]</f>
        <v>104.304</v>
      </c>
      <c r="I2459" s="1">
        <f>IF(ISERROR(MATCH(Tabla_Items_Con_Existencia[[#This Row],[CODIGO]],Tabla_Items_Activos[CODIGO],0)),0,1)</f>
        <v>0</v>
      </c>
    </row>
    <row r="2460" spans="1:9">
      <c r="A2460" s="2" t="s">
        <v>6759</v>
      </c>
      <c r="B2460" s="2" t="s">
        <v>3288</v>
      </c>
      <c r="C2460" s="2" t="s">
        <v>3289</v>
      </c>
      <c r="D2460" s="2" t="s">
        <v>5166</v>
      </c>
      <c r="E2460" s="2" t="s">
        <v>5163</v>
      </c>
      <c r="F2460" s="2">
        <v>0.10340000000000001</v>
      </c>
      <c r="G2460" s="2">
        <v>723</v>
      </c>
      <c r="H2460" s="2">
        <f>Tabla_Items_Con_Existencia[[#This Row],[COSTO]]*Tabla_Items_Con_Existencia[[#This Row],[EXISTENCIA]]</f>
        <v>74.758200000000002</v>
      </c>
      <c r="I2460" s="1">
        <f>IF(ISERROR(MATCH(Tabla_Items_Con_Existencia[[#This Row],[CODIGO]],Tabla_Items_Activos[CODIGO],0)),0,1)</f>
        <v>0</v>
      </c>
    </row>
    <row r="2461" spans="1:9">
      <c r="A2461" s="2" t="s">
        <v>6759</v>
      </c>
      <c r="B2461" s="2" t="s">
        <v>3290</v>
      </c>
      <c r="C2461" s="2" t="s">
        <v>3291</v>
      </c>
      <c r="D2461" s="2" t="s">
        <v>5166</v>
      </c>
      <c r="E2461" s="2" t="s">
        <v>5163</v>
      </c>
      <c r="F2461" s="2">
        <v>6.54E-2</v>
      </c>
      <c r="G2461" s="2">
        <v>1164</v>
      </c>
      <c r="H2461" s="2">
        <f>Tabla_Items_Con_Existencia[[#This Row],[COSTO]]*Tabla_Items_Con_Existencia[[#This Row],[EXISTENCIA]]</f>
        <v>76.125600000000006</v>
      </c>
      <c r="I2461" s="1">
        <f>IF(ISERROR(MATCH(Tabla_Items_Con_Existencia[[#This Row],[CODIGO]],Tabla_Items_Activos[CODIGO],0)),0,1)</f>
        <v>0</v>
      </c>
    </row>
    <row r="2462" spans="1:9">
      <c r="A2462" s="2" t="s">
        <v>6759</v>
      </c>
      <c r="B2462" s="2" t="s">
        <v>3292</v>
      </c>
      <c r="C2462" s="2" t="s">
        <v>3293</v>
      </c>
      <c r="D2462" s="2" t="s">
        <v>5166</v>
      </c>
      <c r="E2462" s="2" t="s">
        <v>5163</v>
      </c>
      <c r="F2462" s="2">
        <v>7.4700000000000003E-2</v>
      </c>
      <c r="G2462" s="2">
        <v>763</v>
      </c>
      <c r="H2462" s="2">
        <f>Tabla_Items_Con_Existencia[[#This Row],[COSTO]]*Tabla_Items_Con_Existencia[[#This Row],[EXISTENCIA]]</f>
        <v>56.996099999999998</v>
      </c>
      <c r="I2462" s="1">
        <f>IF(ISERROR(MATCH(Tabla_Items_Con_Existencia[[#This Row],[CODIGO]],Tabla_Items_Activos[CODIGO],0)),0,1)</f>
        <v>0</v>
      </c>
    </row>
    <row r="2463" spans="1:9">
      <c r="A2463" s="2" t="s">
        <v>6759</v>
      </c>
      <c r="B2463" s="2" t="s">
        <v>3294</v>
      </c>
      <c r="C2463" s="2" t="s">
        <v>3295</v>
      </c>
      <c r="D2463" s="2" t="s">
        <v>5166</v>
      </c>
      <c r="E2463" s="2" t="s">
        <v>5163</v>
      </c>
      <c r="F2463" s="2">
        <v>9.5799999999999996E-2</v>
      </c>
      <c r="G2463" s="2">
        <v>765</v>
      </c>
      <c r="H2463" s="2">
        <f>Tabla_Items_Con_Existencia[[#This Row],[COSTO]]*Tabla_Items_Con_Existencia[[#This Row],[EXISTENCIA]]</f>
        <v>73.286999999999992</v>
      </c>
      <c r="I2463" s="1">
        <f>IF(ISERROR(MATCH(Tabla_Items_Con_Existencia[[#This Row],[CODIGO]],Tabla_Items_Activos[CODIGO],0)),0,1)</f>
        <v>0</v>
      </c>
    </row>
    <row r="2464" spans="1:9">
      <c r="A2464" s="2" t="s">
        <v>6759</v>
      </c>
      <c r="B2464" s="2" t="s">
        <v>3296</v>
      </c>
      <c r="C2464" s="2" t="s">
        <v>3297</v>
      </c>
      <c r="D2464" s="2" t="s">
        <v>5166</v>
      </c>
      <c r="E2464" s="2" t="s">
        <v>5163</v>
      </c>
      <c r="F2464" s="2">
        <v>0.19400000000000001</v>
      </c>
      <c r="G2464" s="2">
        <v>715</v>
      </c>
      <c r="H2464" s="2">
        <f>Tabla_Items_Con_Existencia[[#This Row],[COSTO]]*Tabla_Items_Con_Existencia[[#This Row],[EXISTENCIA]]</f>
        <v>138.71</v>
      </c>
      <c r="I2464" s="1">
        <f>IF(ISERROR(MATCH(Tabla_Items_Con_Existencia[[#This Row],[CODIGO]],Tabla_Items_Activos[CODIGO],0)),0,1)</f>
        <v>0</v>
      </c>
    </row>
    <row r="2465" spans="1:9">
      <c r="A2465" s="2" t="s">
        <v>6759</v>
      </c>
      <c r="B2465" s="2" t="s">
        <v>3298</v>
      </c>
      <c r="C2465" s="2" t="s">
        <v>3299</v>
      </c>
      <c r="D2465" s="2" t="s">
        <v>5166</v>
      </c>
      <c r="E2465" s="2" t="s">
        <v>5163</v>
      </c>
      <c r="F2465" s="2">
        <v>0.2203</v>
      </c>
      <c r="G2465" s="2">
        <v>655</v>
      </c>
      <c r="H2465" s="2">
        <f>Tabla_Items_Con_Existencia[[#This Row],[COSTO]]*Tabla_Items_Con_Existencia[[#This Row],[EXISTENCIA]]</f>
        <v>144.29650000000001</v>
      </c>
      <c r="I2465" s="1">
        <f>IF(ISERROR(MATCH(Tabla_Items_Con_Existencia[[#This Row],[CODIGO]],Tabla_Items_Activos[CODIGO],0)),0,1)</f>
        <v>0</v>
      </c>
    </row>
    <row r="2466" spans="1:9">
      <c r="A2466" s="2" t="s">
        <v>6759</v>
      </c>
      <c r="B2466" s="2" t="s">
        <v>3300</v>
      </c>
      <c r="C2466" s="2" t="s">
        <v>3301</v>
      </c>
      <c r="D2466" s="2" t="s">
        <v>5166</v>
      </c>
      <c r="E2466" s="2" t="s">
        <v>5163</v>
      </c>
      <c r="F2466" s="2">
        <v>6.7599999999999993E-2</v>
      </c>
      <c r="G2466" s="2">
        <v>2731</v>
      </c>
      <c r="H2466" s="2">
        <f>Tabla_Items_Con_Existencia[[#This Row],[COSTO]]*Tabla_Items_Con_Existencia[[#This Row],[EXISTENCIA]]</f>
        <v>184.61559999999997</v>
      </c>
      <c r="I2466" s="1">
        <f>IF(ISERROR(MATCH(Tabla_Items_Con_Existencia[[#This Row],[CODIGO]],Tabla_Items_Activos[CODIGO],0)),0,1)</f>
        <v>0</v>
      </c>
    </row>
    <row r="2467" spans="1:9">
      <c r="A2467" s="2" t="s">
        <v>6759</v>
      </c>
      <c r="B2467" s="2" t="s">
        <v>3302</v>
      </c>
      <c r="C2467" s="2" t="s">
        <v>3303</v>
      </c>
      <c r="D2467" s="2" t="s">
        <v>5166</v>
      </c>
      <c r="E2467" s="2" t="s">
        <v>5163</v>
      </c>
      <c r="F2467" s="2">
        <v>0.188</v>
      </c>
      <c r="G2467" s="2">
        <v>129</v>
      </c>
      <c r="H2467" s="2">
        <f>Tabla_Items_Con_Existencia[[#This Row],[COSTO]]*Tabla_Items_Con_Existencia[[#This Row],[EXISTENCIA]]</f>
        <v>24.251999999999999</v>
      </c>
      <c r="I2467" s="1">
        <f>IF(ISERROR(MATCH(Tabla_Items_Con_Existencia[[#This Row],[CODIGO]],Tabla_Items_Activos[CODIGO],0)),0,1)</f>
        <v>0</v>
      </c>
    </row>
    <row r="2468" spans="1:9">
      <c r="A2468" s="2" t="s">
        <v>6759</v>
      </c>
      <c r="B2468" s="2" t="s">
        <v>3304</v>
      </c>
      <c r="C2468" s="2" t="s">
        <v>3305</v>
      </c>
      <c r="D2468" s="2" t="s">
        <v>5166</v>
      </c>
      <c r="E2468" s="2" t="s">
        <v>5163</v>
      </c>
      <c r="F2468" s="2">
        <v>0.10150000000000001</v>
      </c>
      <c r="G2468" s="2">
        <v>993.00009999999997</v>
      </c>
      <c r="H2468" s="2">
        <f>Tabla_Items_Con_Existencia[[#This Row],[COSTO]]*Tabla_Items_Con_Existencia[[#This Row],[EXISTENCIA]]</f>
        <v>100.78951015</v>
      </c>
      <c r="I2468" s="1">
        <f>IF(ISERROR(MATCH(Tabla_Items_Con_Existencia[[#This Row],[CODIGO]],Tabla_Items_Activos[CODIGO],0)),0,1)</f>
        <v>0</v>
      </c>
    </row>
    <row r="2469" spans="1:9">
      <c r="A2469" s="2" t="s">
        <v>6759</v>
      </c>
      <c r="B2469" s="2" t="s">
        <v>7043</v>
      </c>
      <c r="C2469" s="2" t="s">
        <v>7044</v>
      </c>
      <c r="D2469" s="2" t="s">
        <v>5162</v>
      </c>
      <c r="E2469" s="2" t="s">
        <v>5210</v>
      </c>
      <c r="F2469" s="2">
        <v>1.76</v>
      </c>
      <c r="G2469" s="2">
        <v>250</v>
      </c>
      <c r="H2469" s="2">
        <f>Tabla_Items_Con_Existencia[[#This Row],[COSTO]]*Tabla_Items_Con_Existencia[[#This Row],[EXISTENCIA]]</f>
        <v>440</v>
      </c>
      <c r="I2469" s="1">
        <f>IF(ISERROR(MATCH(Tabla_Items_Con_Existencia[[#This Row],[CODIGO]],Tabla_Items_Activos[CODIGO],0)),0,1)</f>
        <v>0</v>
      </c>
    </row>
    <row r="2470" spans="1:9">
      <c r="A2470" s="2" t="s">
        <v>6759</v>
      </c>
      <c r="B2470" s="2" t="s">
        <v>3306</v>
      </c>
      <c r="C2470" s="2" t="s">
        <v>3307</v>
      </c>
      <c r="D2470" s="2" t="s">
        <v>5166</v>
      </c>
      <c r="E2470" s="2" t="s">
        <v>5163</v>
      </c>
      <c r="F2470" s="2">
        <v>9.8000000000000004E-2</v>
      </c>
      <c r="G2470" s="2">
        <v>751</v>
      </c>
      <c r="H2470" s="2">
        <f>Tabla_Items_Con_Existencia[[#This Row],[COSTO]]*Tabla_Items_Con_Existencia[[#This Row],[EXISTENCIA]]</f>
        <v>73.597999999999999</v>
      </c>
      <c r="I2470" s="1">
        <f>IF(ISERROR(MATCH(Tabla_Items_Con_Existencia[[#This Row],[CODIGO]],Tabla_Items_Activos[CODIGO],0)),0,1)</f>
        <v>0</v>
      </c>
    </row>
    <row r="2471" spans="1:9">
      <c r="A2471" s="2" t="s">
        <v>6759</v>
      </c>
      <c r="B2471" s="2" t="s">
        <v>3308</v>
      </c>
      <c r="C2471" s="2" t="s">
        <v>3309</v>
      </c>
      <c r="D2471" s="2" t="s">
        <v>5166</v>
      </c>
      <c r="E2471" s="2" t="s">
        <v>5163</v>
      </c>
      <c r="F2471" s="2">
        <v>0.156</v>
      </c>
      <c r="G2471" s="2">
        <v>469</v>
      </c>
      <c r="H2471" s="2">
        <f>Tabla_Items_Con_Existencia[[#This Row],[COSTO]]*Tabla_Items_Con_Existencia[[#This Row],[EXISTENCIA]]</f>
        <v>73.164000000000001</v>
      </c>
      <c r="I2471" s="1">
        <f>IF(ISERROR(MATCH(Tabla_Items_Con_Existencia[[#This Row],[CODIGO]],Tabla_Items_Activos[CODIGO],0)),0,1)</f>
        <v>0</v>
      </c>
    </row>
    <row r="2472" spans="1:9">
      <c r="A2472" s="2" t="s">
        <v>6759</v>
      </c>
      <c r="B2472" s="2" t="s">
        <v>3312</v>
      </c>
      <c r="C2472" s="2" t="s">
        <v>3313</v>
      </c>
      <c r="D2472" s="2" t="s">
        <v>5166</v>
      </c>
      <c r="E2472" s="2" t="s">
        <v>5163</v>
      </c>
      <c r="F2472" s="2">
        <v>0.255</v>
      </c>
      <c r="G2472" s="2">
        <v>824</v>
      </c>
      <c r="H2472" s="2">
        <f>Tabla_Items_Con_Existencia[[#This Row],[COSTO]]*Tabla_Items_Con_Existencia[[#This Row],[EXISTENCIA]]</f>
        <v>210.12</v>
      </c>
      <c r="I2472" s="1">
        <f>IF(ISERROR(MATCH(Tabla_Items_Con_Existencia[[#This Row],[CODIGO]],Tabla_Items_Activos[CODIGO],0)),0,1)</f>
        <v>0</v>
      </c>
    </row>
    <row r="2473" spans="1:9">
      <c r="A2473" s="2" t="s">
        <v>6759</v>
      </c>
      <c r="B2473" s="2" t="s">
        <v>3314</v>
      </c>
      <c r="C2473" s="2" t="s">
        <v>3315</v>
      </c>
      <c r="D2473" s="2" t="s">
        <v>5166</v>
      </c>
      <c r="E2473" s="2" t="s">
        <v>5163</v>
      </c>
      <c r="F2473" s="2">
        <v>4.7800000000000002E-2</v>
      </c>
      <c r="G2473" s="2">
        <v>5198</v>
      </c>
      <c r="H2473" s="2">
        <f>Tabla_Items_Con_Existencia[[#This Row],[COSTO]]*Tabla_Items_Con_Existencia[[#This Row],[EXISTENCIA]]</f>
        <v>248.46440000000001</v>
      </c>
      <c r="I2473" s="1">
        <f>IF(ISERROR(MATCH(Tabla_Items_Con_Existencia[[#This Row],[CODIGO]],Tabla_Items_Activos[CODIGO],0)),0,1)</f>
        <v>0</v>
      </c>
    </row>
    <row r="2474" spans="1:9">
      <c r="A2474" s="2" t="s">
        <v>6759</v>
      </c>
      <c r="B2474" s="2" t="s">
        <v>3316</v>
      </c>
      <c r="C2474" s="2" t="s">
        <v>3317</v>
      </c>
      <c r="D2474" s="2" t="s">
        <v>5166</v>
      </c>
      <c r="E2474" s="2" t="s">
        <v>5163</v>
      </c>
      <c r="F2474" s="2">
        <v>9.0999999999999998E-2</v>
      </c>
      <c r="G2474" s="2">
        <v>1166</v>
      </c>
      <c r="H2474" s="2">
        <f>Tabla_Items_Con_Existencia[[#This Row],[COSTO]]*Tabla_Items_Con_Existencia[[#This Row],[EXISTENCIA]]</f>
        <v>106.10599999999999</v>
      </c>
      <c r="I2474" s="1">
        <f>IF(ISERROR(MATCH(Tabla_Items_Con_Existencia[[#This Row],[CODIGO]],Tabla_Items_Activos[CODIGO],0)),0,1)</f>
        <v>0</v>
      </c>
    </row>
    <row r="2475" spans="1:9">
      <c r="A2475" s="2" t="s">
        <v>6759</v>
      </c>
      <c r="B2475" s="2" t="s">
        <v>3318</v>
      </c>
      <c r="C2475" s="2" t="s">
        <v>3319</v>
      </c>
      <c r="D2475" s="2" t="s">
        <v>5166</v>
      </c>
      <c r="E2475" s="2" t="s">
        <v>5163</v>
      </c>
      <c r="F2475" s="2">
        <v>0.1132</v>
      </c>
      <c r="G2475" s="2">
        <v>3464</v>
      </c>
      <c r="H2475" s="2">
        <f>Tabla_Items_Con_Existencia[[#This Row],[COSTO]]*Tabla_Items_Con_Existencia[[#This Row],[EXISTENCIA]]</f>
        <v>392.12479999999999</v>
      </c>
      <c r="I2475" s="1">
        <f>IF(ISERROR(MATCH(Tabla_Items_Con_Existencia[[#This Row],[CODIGO]],Tabla_Items_Activos[CODIGO],0)),0,1)</f>
        <v>0</v>
      </c>
    </row>
    <row r="2476" spans="1:9">
      <c r="A2476" s="2" t="s">
        <v>6759</v>
      </c>
      <c r="B2476" s="2" t="s">
        <v>3320</v>
      </c>
      <c r="C2476" s="2" t="s">
        <v>3321</v>
      </c>
      <c r="D2476" s="2" t="s">
        <v>5162</v>
      </c>
      <c r="E2476" s="2" t="s">
        <v>5210</v>
      </c>
      <c r="F2476" s="2">
        <v>930</v>
      </c>
      <c r="G2476" s="2">
        <v>0.38250000000000001</v>
      </c>
      <c r="H2476" s="2">
        <f>Tabla_Items_Con_Existencia[[#This Row],[COSTO]]*Tabla_Items_Con_Existencia[[#This Row],[EXISTENCIA]]</f>
        <v>355.72500000000002</v>
      </c>
      <c r="I2476" s="1">
        <f>IF(ISERROR(MATCH(Tabla_Items_Con_Existencia[[#This Row],[CODIGO]],Tabla_Items_Activos[CODIGO],0)),0,1)</f>
        <v>0</v>
      </c>
    </row>
    <row r="2477" spans="1:9">
      <c r="A2477" s="2" t="s">
        <v>6759</v>
      </c>
      <c r="B2477" s="2" t="s">
        <v>3322</v>
      </c>
      <c r="C2477" s="2" t="s">
        <v>3323</v>
      </c>
      <c r="D2477" s="2" t="s">
        <v>5166</v>
      </c>
      <c r="E2477" s="2" t="s">
        <v>5163</v>
      </c>
      <c r="F2477" s="2">
        <v>8.2400000000000001E-2</v>
      </c>
      <c r="G2477" s="2">
        <v>2111</v>
      </c>
      <c r="H2477" s="2">
        <f>Tabla_Items_Con_Existencia[[#This Row],[COSTO]]*Tabla_Items_Con_Existencia[[#This Row],[EXISTENCIA]]</f>
        <v>173.94640000000001</v>
      </c>
      <c r="I2477" s="1">
        <f>IF(ISERROR(MATCH(Tabla_Items_Con_Existencia[[#This Row],[CODIGO]],Tabla_Items_Activos[CODIGO],0)),0,1)</f>
        <v>0</v>
      </c>
    </row>
    <row r="2478" spans="1:9">
      <c r="A2478" s="2" t="s">
        <v>6759</v>
      </c>
      <c r="B2478" s="2" t="s">
        <v>3324</v>
      </c>
      <c r="C2478" s="2" t="s">
        <v>3325</v>
      </c>
      <c r="D2478" s="2" t="s">
        <v>5166</v>
      </c>
      <c r="E2478" s="2" t="s">
        <v>5163</v>
      </c>
      <c r="F2478" s="2">
        <v>7.1900000000000006E-2</v>
      </c>
      <c r="G2478" s="2">
        <v>2775</v>
      </c>
      <c r="H2478" s="2">
        <f>Tabla_Items_Con_Existencia[[#This Row],[COSTO]]*Tabla_Items_Con_Existencia[[#This Row],[EXISTENCIA]]</f>
        <v>199.52250000000001</v>
      </c>
      <c r="I2478" s="1">
        <f>IF(ISERROR(MATCH(Tabla_Items_Con_Existencia[[#This Row],[CODIGO]],Tabla_Items_Activos[CODIGO],0)),0,1)</f>
        <v>0</v>
      </c>
    </row>
    <row r="2479" spans="1:9">
      <c r="A2479" s="2" t="s">
        <v>6759</v>
      </c>
      <c r="B2479" s="2" t="s">
        <v>3326</v>
      </c>
      <c r="C2479" s="2" t="s">
        <v>3327</v>
      </c>
      <c r="D2479" s="2" t="s">
        <v>5166</v>
      </c>
      <c r="E2479" s="2" t="s">
        <v>5163</v>
      </c>
      <c r="F2479" s="2">
        <v>0.15529999999999999</v>
      </c>
      <c r="G2479" s="2">
        <v>9</v>
      </c>
      <c r="H2479" s="2">
        <f>Tabla_Items_Con_Existencia[[#This Row],[COSTO]]*Tabla_Items_Con_Existencia[[#This Row],[EXISTENCIA]]</f>
        <v>1.3976999999999999</v>
      </c>
      <c r="I2479" s="1">
        <f>IF(ISERROR(MATCH(Tabla_Items_Con_Existencia[[#This Row],[CODIGO]],Tabla_Items_Activos[CODIGO],0)),0,1)</f>
        <v>0</v>
      </c>
    </row>
    <row r="2480" spans="1:9">
      <c r="A2480" s="2" t="s">
        <v>6759</v>
      </c>
      <c r="B2480" s="2" t="s">
        <v>3328</v>
      </c>
      <c r="C2480" s="2" t="s">
        <v>7279</v>
      </c>
      <c r="D2480" s="2" t="s">
        <v>5162</v>
      </c>
      <c r="E2480" s="2" t="s">
        <v>5210</v>
      </c>
      <c r="F2480" s="2">
        <v>3.28</v>
      </c>
      <c r="G2480" s="2">
        <v>1</v>
      </c>
      <c r="H2480" s="2">
        <f>Tabla_Items_Con_Existencia[[#This Row],[COSTO]]*Tabla_Items_Con_Existencia[[#This Row],[EXISTENCIA]]</f>
        <v>3.28</v>
      </c>
      <c r="I2480" s="1">
        <f>IF(ISERROR(MATCH(Tabla_Items_Con_Existencia[[#This Row],[CODIGO]],Tabla_Items_Activos[CODIGO],0)),0,1)</f>
        <v>0</v>
      </c>
    </row>
    <row r="2481" spans="1:9">
      <c r="A2481" s="2" t="s">
        <v>6759</v>
      </c>
      <c r="B2481" s="2" t="s">
        <v>3330</v>
      </c>
      <c r="C2481" s="2" t="s">
        <v>3331</v>
      </c>
      <c r="D2481" s="2" t="s">
        <v>5162</v>
      </c>
      <c r="E2481" s="2" t="s">
        <v>5210</v>
      </c>
      <c r="F2481" s="2">
        <v>11.7</v>
      </c>
      <c r="G2481" s="2">
        <v>20.024000000000001</v>
      </c>
      <c r="H2481" s="2">
        <f>Tabla_Items_Con_Existencia[[#This Row],[COSTO]]*Tabla_Items_Con_Existencia[[#This Row],[EXISTENCIA]]</f>
        <v>234.2808</v>
      </c>
      <c r="I2481" s="1">
        <f>IF(ISERROR(MATCH(Tabla_Items_Con_Existencia[[#This Row],[CODIGO]],Tabla_Items_Activos[CODIGO],0)),0,1)</f>
        <v>0</v>
      </c>
    </row>
    <row r="2482" spans="1:9">
      <c r="A2482" s="2" t="s">
        <v>6759</v>
      </c>
      <c r="B2482" s="2" t="s">
        <v>3332</v>
      </c>
      <c r="C2482" s="2" t="s">
        <v>3333</v>
      </c>
      <c r="D2482" s="2" t="s">
        <v>5166</v>
      </c>
      <c r="E2482" s="2" t="s">
        <v>5163</v>
      </c>
      <c r="F2482" s="2">
        <v>0.122</v>
      </c>
      <c r="G2482" s="2">
        <v>19</v>
      </c>
      <c r="H2482" s="2">
        <f>Tabla_Items_Con_Existencia[[#This Row],[COSTO]]*Tabla_Items_Con_Existencia[[#This Row],[EXISTENCIA]]</f>
        <v>2.3180000000000001</v>
      </c>
      <c r="I2482" s="1">
        <f>IF(ISERROR(MATCH(Tabla_Items_Con_Existencia[[#This Row],[CODIGO]],Tabla_Items_Activos[CODIGO],0)),0,1)</f>
        <v>0</v>
      </c>
    </row>
    <row r="2483" spans="1:9">
      <c r="A2483" s="2" t="s">
        <v>6759</v>
      </c>
      <c r="B2483" s="2" t="s">
        <v>3334</v>
      </c>
      <c r="C2483" s="2" t="s">
        <v>3335</v>
      </c>
      <c r="D2483" s="2" t="s">
        <v>5166</v>
      </c>
      <c r="E2483" s="2" t="s">
        <v>5163</v>
      </c>
      <c r="F2483" s="2">
        <v>8.8999999999999996E-2</v>
      </c>
      <c r="G2483" s="2">
        <v>469</v>
      </c>
      <c r="H2483" s="2">
        <f>Tabla_Items_Con_Existencia[[#This Row],[COSTO]]*Tabla_Items_Con_Existencia[[#This Row],[EXISTENCIA]]</f>
        <v>41.741</v>
      </c>
      <c r="I2483" s="1">
        <f>IF(ISERROR(MATCH(Tabla_Items_Con_Existencia[[#This Row],[CODIGO]],Tabla_Items_Activos[CODIGO],0)),0,1)</f>
        <v>0</v>
      </c>
    </row>
    <row r="2484" spans="1:9">
      <c r="A2484" s="2" t="s">
        <v>6759</v>
      </c>
      <c r="B2484" s="2" t="s">
        <v>3336</v>
      </c>
      <c r="C2484" s="2" t="s">
        <v>3337</v>
      </c>
      <c r="D2484" s="2" t="s">
        <v>5166</v>
      </c>
      <c r="E2484" s="2" t="s">
        <v>5163</v>
      </c>
      <c r="F2484" s="2">
        <v>0.16900000000000001</v>
      </c>
      <c r="G2484" s="2">
        <v>325</v>
      </c>
      <c r="H2484" s="2">
        <f>Tabla_Items_Con_Existencia[[#This Row],[COSTO]]*Tabla_Items_Con_Existencia[[#This Row],[EXISTENCIA]]</f>
        <v>54.925000000000004</v>
      </c>
      <c r="I2484" s="1">
        <f>IF(ISERROR(MATCH(Tabla_Items_Con_Existencia[[#This Row],[CODIGO]],Tabla_Items_Activos[CODIGO],0)),0,1)</f>
        <v>0</v>
      </c>
    </row>
    <row r="2485" spans="1:9">
      <c r="A2485" s="2" t="s">
        <v>6759</v>
      </c>
      <c r="B2485" s="2" t="s">
        <v>3338</v>
      </c>
      <c r="C2485" s="2" t="s">
        <v>3339</v>
      </c>
      <c r="D2485" s="2" t="s">
        <v>5166</v>
      </c>
      <c r="E2485" s="2" t="s">
        <v>5163</v>
      </c>
      <c r="F2485" s="2">
        <v>0.112</v>
      </c>
      <c r="G2485" s="2">
        <v>78</v>
      </c>
      <c r="H2485" s="2">
        <f>Tabla_Items_Con_Existencia[[#This Row],[COSTO]]*Tabla_Items_Con_Existencia[[#This Row],[EXISTENCIA]]</f>
        <v>8.7360000000000007</v>
      </c>
      <c r="I2485" s="1">
        <f>IF(ISERROR(MATCH(Tabla_Items_Con_Existencia[[#This Row],[CODIGO]],Tabla_Items_Activos[CODIGO],0)),0,1)</f>
        <v>0</v>
      </c>
    </row>
    <row r="2486" spans="1:9">
      <c r="A2486" s="2" t="s">
        <v>6759</v>
      </c>
      <c r="B2486" s="2" t="s">
        <v>3340</v>
      </c>
      <c r="C2486" s="2" t="s">
        <v>3341</v>
      </c>
      <c r="D2486" s="2" t="s">
        <v>5166</v>
      </c>
      <c r="E2486" s="2" t="s">
        <v>5163</v>
      </c>
      <c r="F2486" s="2">
        <v>0.125</v>
      </c>
      <c r="G2486" s="2">
        <v>594</v>
      </c>
      <c r="H2486" s="2">
        <f>Tabla_Items_Con_Existencia[[#This Row],[COSTO]]*Tabla_Items_Con_Existencia[[#This Row],[EXISTENCIA]]</f>
        <v>74.25</v>
      </c>
      <c r="I2486" s="1">
        <f>IF(ISERROR(MATCH(Tabla_Items_Con_Existencia[[#This Row],[CODIGO]],Tabla_Items_Activos[CODIGO],0)),0,1)</f>
        <v>0</v>
      </c>
    </row>
    <row r="2487" spans="1:9">
      <c r="A2487" s="2" t="s">
        <v>6759</v>
      </c>
      <c r="B2487" s="2" t="s">
        <v>3342</v>
      </c>
      <c r="C2487" s="2" t="s">
        <v>3343</v>
      </c>
      <c r="D2487" s="2" t="s">
        <v>5166</v>
      </c>
      <c r="E2487" s="2" t="s">
        <v>5163</v>
      </c>
      <c r="F2487" s="2">
        <v>0.1128</v>
      </c>
      <c r="G2487" s="2">
        <v>3526</v>
      </c>
      <c r="H2487" s="2">
        <f>Tabla_Items_Con_Existencia[[#This Row],[COSTO]]*Tabla_Items_Con_Existencia[[#This Row],[EXISTENCIA]]</f>
        <v>397.7328</v>
      </c>
      <c r="I2487" s="1">
        <f>IF(ISERROR(MATCH(Tabla_Items_Con_Existencia[[#This Row],[CODIGO]],Tabla_Items_Activos[CODIGO],0)),0,1)</f>
        <v>0</v>
      </c>
    </row>
    <row r="2488" spans="1:9">
      <c r="A2488" s="2" t="s">
        <v>6759</v>
      </c>
      <c r="B2488" s="2" t="s">
        <v>3344</v>
      </c>
      <c r="C2488" s="2" t="s">
        <v>3345</v>
      </c>
      <c r="D2488" s="2" t="s">
        <v>5166</v>
      </c>
      <c r="E2488" s="2" t="s">
        <v>5163</v>
      </c>
      <c r="F2488" s="2">
        <v>7.0000000000000007E-2</v>
      </c>
      <c r="G2488" s="2">
        <v>1235</v>
      </c>
      <c r="H2488" s="2">
        <f>Tabla_Items_Con_Existencia[[#This Row],[COSTO]]*Tabla_Items_Con_Existencia[[#This Row],[EXISTENCIA]]</f>
        <v>86.45</v>
      </c>
      <c r="I2488" s="1">
        <f>IF(ISERROR(MATCH(Tabla_Items_Con_Existencia[[#This Row],[CODIGO]],Tabla_Items_Activos[CODIGO],0)),0,1)</f>
        <v>0</v>
      </c>
    </row>
    <row r="2489" spans="1:9">
      <c r="A2489" s="2" t="s">
        <v>6759</v>
      </c>
      <c r="B2489" s="2" t="s">
        <v>3346</v>
      </c>
      <c r="C2489" s="2" t="s">
        <v>3347</v>
      </c>
      <c r="D2489" s="2" t="s">
        <v>5166</v>
      </c>
      <c r="E2489" s="2" t="s">
        <v>5163</v>
      </c>
      <c r="F2489" s="2">
        <v>6.4899999999999999E-2</v>
      </c>
      <c r="G2489" s="2">
        <v>2799</v>
      </c>
      <c r="H2489" s="2">
        <f>Tabla_Items_Con_Existencia[[#This Row],[COSTO]]*Tabla_Items_Con_Existencia[[#This Row],[EXISTENCIA]]</f>
        <v>181.6551</v>
      </c>
      <c r="I2489" s="1">
        <f>IF(ISERROR(MATCH(Tabla_Items_Con_Existencia[[#This Row],[CODIGO]],Tabla_Items_Activos[CODIGO],0)),0,1)</f>
        <v>0</v>
      </c>
    </row>
    <row r="2490" spans="1:9">
      <c r="A2490" s="2" t="s">
        <v>6759</v>
      </c>
      <c r="B2490" s="2" t="s">
        <v>3348</v>
      </c>
      <c r="C2490" s="2" t="s">
        <v>3349</v>
      </c>
      <c r="D2490" s="2" t="s">
        <v>5166</v>
      </c>
      <c r="E2490" s="2" t="s">
        <v>5163</v>
      </c>
      <c r="F2490" s="2">
        <v>7.1900000000000006E-2</v>
      </c>
      <c r="G2490" s="2">
        <v>2928</v>
      </c>
      <c r="H2490" s="2">
        <f>Tabla_Items_Con_Existencia[[#This Row],[COSTO]]*Tabla_Items_Con_Existencia[[#This Row],[EXISTENCIA]]</f>
        <v>210.5232</v>
      </c>
      <c r="I2490" s="1">
        <f>IF(ISERROR(MATCH(Tabla_Items_Con_Existencia[[#This Row],[CODIGO]],Tabla_Items_Activos[CODIGO],0)),0,1)</f>
        <v>0</v>
      </c>
    </row>
    <row r="2491" spans="1:9">
      <c r="A2491" s="2" t="s">
        <v>6759</v>
      </c>
      <c r="B2491" s="2" t="s">
        <v>3350</v>
      </c>
      <c r="C2491" s="2" t="s">
        <v>3351</v>
      </c>
      <c r="D2491" s="2" t="s">
        <v>5166</v>
      </c>
      <c r="E2491" s="2" t="s">
        <v>5163</v>
      </c>
      <c r="F2491" s="2">
        <v>0.108</v>
      </c>
      <c r="G2491" s="2">
        <v>840</v>
      </c>
      <c r="H2491" s="2">
        <f>Tabla_Items_Con_Existencia[[#This Row],[COSTO]]*Tabla_Items_Con_Existencia[[#This Row],[EXISTENCIA]]</f>
        <v>90.72</v>
      </c>
      <c r="I2491" s="1">
        <f>IF(ISERROR(MATCH(Tabla_Items_Con_Existencia[[#This Row],[CODIGO]],Tabla_Items_Activos[CODIGO],0)),0,1)</f>
        <v>0</v>
      </c>
    </row>
    <row r="2492" spans="1:9">
      <c r="A2492" s="2" t="s">
        <v>6759</v>
      </c>
      <c r="B2492" s="2" t="s">
        <v>3352</v>
      </c>
      <c r="C2492" s="2" t="s">
        <v>3353</v>
      </c>
      <c r="D2492" s="2" t="s">
        <v>5166</v>
      </c>
      <c r="E2492" s="2" t="s">
        <v>5163</v>
      </c>
      <c r="F2492" s="2">
        <v>0.48399999999999999</v>
      </c>
      <c r="G2492" s="2">
        <v>67</v>
      </c>
      <c r="H2492" s="2">
        <f>Tabla_Items_Con_Existencia[[#This Row],[COSTO]]*Tabla_Items_Con_Existencia[[#This Row],[EXISTENCIA]]</f>
        <v>32.427999999999997</v>
      </c>
      <c r="I2492" s="1">
        <f>IF(ISERROR(MATCH(Tabla_Items_Con_Existencia[[#This Row],[CODIGO]],Tabla_Items_Activos[CODIGO],0)),0,1)</f>
        <v>0</v>
      </c>
    </row>
    <row r="2493" spans="1:9">
      <c r="A2493" s="2" t="s">
        <v>6759</v>
      </c>
      <c r="B2493" s="2" t="s">
        <v>3354</v>
      </c>
      <c r="C2493" s="2" t="s">
        <v>3355</v>
      </c>
      <c r="D2493" s="2" t="s">
        <v>5166</v>
      </c>
      <c r="E2493" s="2" t="s">
        <v>5163</v>
      </c>
      <c r="F2493" s="2">
        <v>0.48599999999999999</v>
      </c>
      <c r="G2493" s="2">
        <v>143</v>
      </c>
      <c r="H2493" s="2">
        <f>Tabla_Items_Con_Existencia[[#This Row],[COSTO]]*Tabla_Items_Con_Existencia[[#This Row],[EXISTENCIA]]</f>
        <v>69.498000000000005</v>
      </c>
      <c r="I2493" s="1">
        <f>IF(ISERROR(MATCH(Tabla_Items_Con_Existencia[[#This Row],[CODIGO]],Tabla_Items_Activos[CODIGO],0)),0,1)</f>
        <v>0</v>
      </c>
    </row>
    <row r="2494" spans="1:9">
      <c r="A2494" s="2" t="s">
        <v>6759</v>
      </c>
      <c r="B2494" s="2" t="s">
        <v>3356</v>
      </c>
      <c r="C2494" s="2" t="s">
        <v>3357</v>
      </c>
      <c r="D2494" s="2" t="s">
        <v>5166</v>
      </c>
      <c r="E2494" s="2" t="s">
        <v>5163</v>
      </c>
      <c r="F2494" s="2">
        <v>0.1258</v>
      </c>
      <c r="G2494" s="2">
        <v>1075</v>
      </c>
      <c r="H2494" s="2">
        <f>Tabla_Items_Con_Existencia[[#This Row],[COSTO]]*Tabla_Items_Con_Existencia[[#This Row],[EXISTENCIA]]</f>
        <v>135.23499999999999</v>
      </c>
      <c r="I2494" s="1">
        <f>IF(ISERROR(MATCH(Tabla_Items_Con_Existencia[[#This Row],[CODIGO]],Tabla_Items_Activos[CODIGO],0)),0,1)</f>
        <v>0</v>
      </c>
    </row>
    <row r="2495" spans="1:9">
      <c r="A2495" s="2" t="s">
        <v>6759</v>
      </c>
      <c r="B2495" s="2" t="s">
        <v>3358</v>
      </c>
      <c r="C2495" s="2" t="s">
        <v>3359</v>
      </c>
      <c r="D2495" s="2" t="s">
        <v>5166</v>
      </c>
      <c r="E2495" s="2" t="s">
        <v>5163</v>
      </c>
      <c r="F2495" s="2">
        <v>0.17780000000000001</v>
      </c>
      <c r="G2495" s="2">
        <v>745</v>
      </c>
      <c r="H2495" s="2">
        <f>Tabla_Items_Con_Existencia[[#This Row],[COSTO]]*Tabla_Items_Con_Existencia[[#This Row],[EXISTENCIA]]</f>
        <v>132.46100000000001</v>
      </c>
      <c r="I2495" s="1">
        <f>IF(ISERROR(MATCH(Tabla_Items_Con_Existencia[[#This Row],[CODIGO]],Tabla_Items_Activos[CODIGO],0)),0,1)</f>
        <v>0</v>
      </c>
    </row>
    <row r="2496" spans="1:9">
      <c r="A2496" s="2" t="s">
        <v>6759</v>
      </c>
      <c r="B2496" s="2" t="s">
        <v>3360</v>
      </c>
      <c r="C2496" s="2" t="s">
        <v>3361</v>
      </c>
      <c r="D2496" s="2" t="s">
        <v>5166</v>
      </c>
      <c r="E2496" s="2" t="s">
        <v>5163</v>
      </c>
      <c r="F2496" s="2">
        <v>0.151</v>
      </c>
      <c r="G2496" s="2">
        <v>405</v>
      </c>
      <c r="H2496" s="2">
        <f>Tabla_Items_Con_Existencia[[#This Row],[COSTO]]*Tabla_Items_Con_Existencia[[#This Row],[EXISTENCIA]]</f>
        <v>61.155000000000001</v>
      </c>
      <c r="I2496" s="1">
        <f>IF(ISERROR(MATCH(Tabla_Items_Con_Existencia[[#This Row],[CODIGO]],Tabla_Items_Activos[CODIGO],0)),0,1)</f>
        <v>0</v>
      </c>
    </row>
    <row r="2497" spans="1:9">
      <c r="A2497" s="2" t="s">
        <v>6759</v>
      </c>
      <c r="B2497" s="2" t="s">
        <v>3362</v>
      </c>
      <c r="C2497" s="2" t="s">
        <v>3363</v>
      </c>
      <c r="D2497" s="2" t="s">
        <v>5166</v>
      </c>
      <c r="E2497" s="2" t="s">
        <v>5163</v>
      </c>
      <c r="F2497" s="2">
        <v>0.161</v>
      </c>
      <c r="G2497" s="2">
        <v>306</v>
      </c>
      <c r="H2497" s="2">
        <f>Tabla_Items_Con_Existencia[[#This Row],[COSTO]]*Tabla_Items_Con_Existencia[[#This Row],[EXISTENCIA]]</f>
        <v>49.265999999999998</v>
      </c>
      <c r="I2497" s="1">
        <f>IF(ISERROR(MATCH(Tabla_Items_Con_Existencia[[#This Row],[CODIGO]],Tabla_Items_Activos[CODIGO],0)),0,1)</f>
        <v>0</v>
      </c>
    </row>
    <row r="2498" spans="1:9">
      <c r="A2498" s="2" t="s">
        <v>6759</v>
      </c>
      <c r="B2498" s="2" t="s">
        <v>3364</v>
      </c>
      <c r="C2498" s="2" t="s">
        <v>3365</v>
      </c>
      <c r="D2498" s="2" t="s">
        <v>5166</v>
      </c>
      <c r="E2498" s="2" t="s">
        <v>5163</v>
      </c>
      <c r="F2498" s="2">
        <v>6.8199999999999997E-2</v>
      </c>
      <c r="G2498" s="2">
        <v>1154</v>
      </c>
      <c r="H2498" s="2">
        <f>Tabla_Items_Con_Existencia[[#This Row],[COSTO]]*Tabla_Items_Con_Existencia[[#This Row],[EXISTENCIA]]</f>
        <v>78.702799999999996</v>
      </c>
      <c r="I2498" s="1">
        <f>IF(ISERROR(MATCH(Tabla_Items_Con_Existencia[[#This Row],[CODIGO]],Tabla_Items_Activos[CODIGO],0)),0,1)</f>
        <v>0</v>
      </c>
    </row>
    <row r="2499" spans="1:9">
      <c r="A2499" s="2" t="s">
        <v>6759</v>
      </c>
      <c r="B2499" s="2" t="s">
        <v>3366</v>
      </c>
      <c r="C2499" s="2" t="s">
        <v>6341</v>
      </c>
      <c r="D2499" s="2" t="s">
        <v>5166</v>
      </c>
      <c r="E2499" s="2" t="s">
        <v>5163</v>
      </c>
      <c r="F2499" s="2">
        <v>0.1077</v>
      </c>
      <c r="G2499" s="2">
        <v>1749</v>
      </c>
      <c r="H2499" s="2">
        <f>Tabla_Items_Con_Existencia[[#This Row],[COSTO]]*Tabla_Items_Con_Existencia[[#This Row],[EXISTENCIA]]</f>
        <v>188.3673</v>
      </c>
      <c r="I2499" s="1">
        <f>IF(ISERROR(MATCH(Tabla_Items_Con_Existencia[[#This Row],[CODIGO]],Tabla_Items_Activos[CODIGO],0)),0,1)</f>
        <v>0</v>
      </c>
    </row>
    <row r="2500" spans="1:9">
      <c r="A2500" s="2" t="s">
        <v>6759</v>
      </c>
      <c r="B2500" s="2" t="s">
        <v>3368</v>
      </c>
      <c r="C2500" s="2" t="s">
        <v>3369</v>
      </c>
      <c r="D2500" s="2" t="s">
        <v>5166</v>
      </c>
      <c r="E2500" s="2" t="s">
        <v>5163</v>
      </c>
      <c r="F2500" s="2">
        <v>5.1400000000000001E-2</v>
      </c>
      <c r="G2500" s="2">
        <v>746</v>
      </c>
      <c r="H2500" s="2">
        <f>Tabla_Items_Con_Existencia[[#This Row],[COSTO]]*Tabla_Items_Con_Existencia[[#This Row],[EXISTENCIA]]</f>
        <v>38.3444</v>
      </c>
      <c r="I2500" s="1">
        <f>IF(ISERROR(MATCH(Tabla_Items_Con_Existencia[[#This Row],[CODIGO]],Tabla_Items_Activos[CODIGO],0)),0,1)</f>
        <v>0</v>
      </c>
    </row>
    <row r="2501" spans="1:9">
      <c r="A2501" s="2" t="s">
        <v>6759</v>
      </c>
      <c r="B2501" s="2" t="s">
        <v>3370</v>
      </c>
      <c r="C2501" s="2" t="s">
        <v>3371</v>
      </c>
      <c r="D2501" s="2" t="s">
        <v>5166</v>
      </c>
      <c r="E2501" s="2" t="s">
        <v>5163</v>
      </c>
      <c r="F2501" s="2">
        <v>0.2016</v>
      </c>
      <c r="G2501" s="2">
        <v>641</v>
      </c>
      <c r="H2501" s="2">
        <f>Tabla_Items_Con_Existencia[[#This Row],[COSTO]]*Tabla_Items_Con_Existencia[[#This Row],[EXISTENCIA]]</f>
        <v>129.22560000000001</v>
      </c>
      <c r="I2501" s="1">
        <f>IF(ISERROR(MATCH(Tabla_Items_Con_Existencia[[#This Row],[CODIGO]],Tabla_Items_Activos[CODIGO],0)),0,1)</f>
        <v>0</v>
      </c>
    </row>
    <row r="2502" spans="1:9">
      <c r="A2502" s="2" t="s">
        <v>6759</v>
      </c>
      <c r="B2502" s="2" t="s">
        <v>3372</v>
      </c>
      <c r="C2502" s="2" t="s">
        <v>3373</v>
      </c>
      <c r="D2502" s="2" t="s">
        <v>5166</v>
      </c>
      <c r="E2502" s="2" t="s">
        <v>5163</v>
      </c>
      <c r="F2502" s="2">
        <v>0.13</v>
      </c>
      <c r="G2502" s="2">
        <v>770</v>
      </c>
      <c r="H2502" s="2">
        <f>Tabla_Items_Con_Existencia[[#This Row],[COSTO]]*Tabla_Items_Con_Existencia[[#This Row],[EXISTENCIA]]</f>
        <v>100.10000000000001</v>
      </c>
      <c r="I2502" s="1">
        <f>IF(ISERROR(MATCH(Tabla_Items_Con_Existencia[[#This Row],[CODIGO]],Tabla_Items_Activos[CODIGO],0)),0,1)</f>
        <v>0</v>
      </c>
    </row>
    <row r="2503" spans="1:9">
      <c r="A2503" s="2" t="s">
        <v>6759</v>
      </c>
      <c r="B2503" s="2" t="s">
        <v>3374</v>
      </c>
      <c r="C2503" s="2" t="s">
        <v>3375</v>
      </c>
      <c r="D2503" s="2" t="s">
        <v>5166</v>
      </c>
      <c r="E2503" s="2" t="s">
        <v>5163</v>
      </c>
      <c r="F2503" s="2">
        <v>0.22600000000000001</v>
      </c>
      <c r="G2503" s="2">
        <v>1031</v>
      </c>
      <c r="H2503" s="2">
        <f>Tabla_Items_Con_Existencia[[#This Row],[COSTO]]*Tabla_Items_Con_Existencia[[#This Row],[EXISTENCIA]]</f>
        <v>233.006</v>
      </c>
      <c r="I2503" s="1">
        <f>IF(ISERROR(MATCH(Tabla_Items_Con_Existencia[[#This Row],[CODIGO]],Tabla_Items_Activos[CODIGO],0)),0,1)</f>
        <v>0</v>
      </c>
    </row>
    <row r="2504" spans="1:9">
      <c r="A2504" s="2" t="s">
        <v>6759</v>
      </c>
      <c r="B2504" s="2" t="s">
        <v>3376</v>
      </c>
      <c r="C2504" s="2" t="s">
        <v>3377</v>
      </c>
      <c r="D2504" s="2" t="s">
        <v>5166</v>
      </c>
      <c r="E2504" s="2" t="s">
        <v>5163</v>
      </c>
      <c r="F2504" s="2">
        <v>0.121</v>
      </c>
      <c r="G2504" s="2">
        <v>3</v>
      </c>
      <c r="H2504" s="2">
        <f>Tabla_Items_Con_Existencia[[#This Row],[COSTO]]*Tabla_Items_Con_Existencia[[#This Row],[EXISTENCIA]]</f>
        <v>0.36299999999999999</v>
      </c>
      <c r="I2504" s="1">
        <f>IF(ISERROR(MATCH(Tabla_Items_Con_Existencia[[#This Row],[CODIGO]],Tabla_Items_Activos[CODIGO],0)),0,1)</f>
        <v>0</v>
      </c>
    </row>
    <row r="2505" spans="1:9">
      <c r="A2505" s="2" t="s">
        <v>6759</v>
      </c>
      <c r="B2505" s="2" t="s">
        <v>3378</v>
      </c>
      <c r="C2505" s="2" t="s">
        <v>3379</v>
      </c>
      <c r="D2505" s="2" t="s">
        <v>5166</v>
      </c>
      <c r="E2505" s="2" t="s">
        <v>5163</v>
      </c>
      <c r="F2505" s="2">
        <v>0.187</v>
      </c>
      <c r="G2505" s="2">
        <v>515</v>
      </c>
      <c r="H2505" s="2">
        <f>Tabla_Items_Con_Existencia[[#This Row],[COSTO]]*Tabla_Items_Con_Existencia[[#This Row],[EXISTENCIA]]</f>
        <v>96.305000000000007</v>
      </c>
      <c r="I2505" s="1">
        <f>IF(ISERROR(MATCH(Tabla_Items_Con_Existencia[[#This Row],[CODIGO]],Tabla_Items_Activos[CODIGO],0)),0,1)</f>
        <v>0</v>
      </c>
    </row>
    <row r="2506" spans="1:9">
      <c r="A2506" s="2" t="s">
        <v>6759</v>
      </c>
      <c r="B2506" s="2" t="s">
        <v>3380</v>
      </c>
      <c r="C2506" s="2" t="s">
        <v>3381</v>
      </c>
      <c r="D2506" s="2" t="s">
        <v>5166</v>
      </c>
      <c r="E2506" s="2" t="s">
        <v>5163</v>
      </c>
      <c r="F2506" s="2">
        <v>7.6399999999999996E-2</v>
      </c>
      <c r="G2506" s="2">
        <v>1569</v>
      </c>
      <c r="H2506" s="2">
        <f>Tabla_Items_Con_Existencia[[#This Row],[COSTO]]*Tabla_Items_Con_Existencia[[#This Row],[EXISTENCIA]]</f>
        <v>119.87159999999999</v>
      </c>
      <c r="I2506" s="1">
        <f>IF(ISERROR(MATCH(Tabla_Items_Con_Existencia[[#This Row],[CODIGO]],Tabla_Items_Activos[CODIGO],0)),0,1)</f>
        <v>0</v>
      </c>
    </row>
    <row r="2507" spans="1:9">
      <c r="A2507" s="2" t="s">
        <v>6759</v>
      </c>
      <c r="B2507" s="2" t="s">
        <v>3382</v>
      </c>
      <c r="C2507" s="2" t="s">
        <v>3383</v>
      </c>
      <c r="D2507" s="2" t="s">
        <v>5166</v>
      </c>
      <c r="E2507" s="2" t="s">
        <v>5163</v>
      </c>
      <c r="F2507" s="2">
        <v>0.12870000000000001</v>
      </c>
      <c r="G2507" s="2">
        <v>1362</v>
      </c>
      <c r="H2507" s="2">
        <f>Tabla_Items_Con_Existencia[[#This Row],[COSTO]]*Tabla_Items_Con_Existencia[[#This Row],[EXISTENCIA]]</f>
        <v>175.2894</v>
      </c>
      <c r="I2507" s="1">
        <f>IF(ISERROR(MATCH(Tabla_Items_Con_Existencia[[#This Row],[CODIGO]],Tabla_Items_Activos[CODIGO],0)),0,1)</f>
        <v>0</v>
      </c>
    </row>
    <row r="2508" spans="1:9">
      <c r="A2508" s="2" t="s">
        <v>6759</v>
      </c>
      <c r="B2508" s="2" t="s">
        <v>3384</v>
      </c>
      <c r="C2508" s="2" t="s">
        <v>3385</v>
      </c>
      <c r="D2508" s="2" t="s">
        <v>5166</v>
      </c>
      <c r="E2508" s="2" t="s">
        <v>5163</v>
      </c>
      <c r="F2508" s="2">
        <v>7.2300000000000003E-2</v>
      </c>
      <c r="G2508" s="2">
        <v>3282</v>
      </c>
      <c r="H2508" s="2">
        <f>Tabla_Items_Con_Existencia[[#This Row],[COSTO]]*Tabla_Items_Con_Existencia[[#This Row],[EXISTENCIA]]</f>
        <v>237.2886</v>
      </c>
      <c r="I2508" s="1">
        <f>IF(ISERROR(MATCH(Tabla_Items_Con_Existencia[[#This Row],[CODIGO]],Tabla_Items_Activos[CODIGO],0)),0,1)</f>
        <v>0</v>
      </c>
    </row>
    <row r="2509" spans="1:9">
      <c r="A2509" s="2" t="s">
        <v>6759</v>
      </c>
      <c r="B2509" s="2" t="s">
        <v>3386</v>
      </c>
      <c r="C2509" s="2" t="s">
        <v>3387</v>
      </c>
      <c r="D2509" s="2" t="s">
        <v>5162</v>
      </c>
      <c r="E2509" s="2" t="s">
        <v>5163</v>
      </c>
      <c r="F2509" s="2">
        <v>0.14799999999999999</v>
      </c>
      <c r="G2509" s="2">
        <v>1040</v>
      </c>
      <c r="H2509" s="2">
        <f>Tabla_Items_Con_Existencia[[#This Row],[COSTO]]*Tabla_Items_Con_Existencia[[#This Row],[EXISTENCIA]]</f>
        <v>153.91999999999999</v>
      </c>
      <c r="I2509" s="1">
        <f>IF(ISERROR(MATCH(Tabla_Items_Con_Existencia[[#This Row],[CODIGO]],Tabla_Items_Activos[CODIGO],0)),0,1)</f>
        <v>0</v>
      </c>
    </row>
    <row r="2510" spans="1:9">
      <c r="A2510" s="2" t="s">
        <v>6759</v>
      </c>
      <c r="B2510" s="2" t="s">
        <v>3388</v>
      </c>
      <c r="C2510" s="2" t="s">
        <v>3389</v>
      </c>
      <c r="D2510" s="2" t="s">
        <v>5166</v>
      </c>
      <c r="E2510" s="2" t="s">
        <v>5163</v>
      </c>
      <c r="F2510" s="2">
        <v>0.157</v>
      </c>
      <c r="G2510" s="2">
        <v>561</v>
      </c>
      <c r="H2510" s="2">
        <f>Tabla_Items_Con_Existencia[[#This Row],[COSTO]]*Tabla_Items_Con_Existencia[[#This Row],[EXISTENCIA]]</f>
        <v>88.076999999999998</v>
      </c>
      <c r="I2510" s="1">
        <f>IF(ISERROR(MATCH(Tabla_Items_Con_Existencia[[#This Row],[CODIGO]],Tabla_Items_Activos[CODIGO],0)),0,1)</f>
        <v>0</v>
      </c>
    </row>
    <row r="2511" spans="1:9">
      <c r="A2511" s="2" t="s">
        <v>6759</v>
      </c>
      <c r="B2511" s="2" t="s">
        <v>3390</v>
      </c>
      <c r="C2511" s="2" t="s">
        <v>3391</v>
      </c>
      <c r="D2511" s="2" t="s">
        <v>5166</v>
      </c>
      <c r="E2511" s="2" t="s">
        <v>5163</v>
      </c>
      <c r="F2511" s="2">
        <v>0.158</v>
      </c>
      <c r="G2511" s="2">
        <v>1137</v>
      </c>
      <c r="H2511" s="2">
        <f>Tabla_Items_Con_Existencia[[#This Row],[COSTO]]*Tabla_Items_Con_Existencia[[#This Row],[EXISTENCIA]]</f>
        <v>179.64600000000002</v>
      </c>
      <c r="I2511" s="1">
        <f>IF(ISERROR(MATCH(Tabla_Items_Con_Existencia[[#This Row],[CODIGO]],Tabla_Items_Activos[CODIGO],0)),0,1)</f>
        <v>0</v>
      </c>
    </row>
    <row r="2512" spans="1:9">
      <c r="A2512" s="2" t="s">
        <v>6759</v>
      </c>
      <c r="B2512" s="2" t="s">
        <v>3392</v>
      </c>
      <c r="C2512" s="2" t="s">
        <v>3393</v>
      </c>
      <c r="D2512" s="2" t="s">
        <v>5166</v>
      </c>
      <c r="E2512" s="2" t="s">
        <v>5163</v>
      </c>
      <c r="F2512" s="2">
        <v>0.192</v>
      </c>
      <c r="G2512" s="2">
        <v>586</v>
      </c>
      <c r="H2512" s="2">
        <f>Tabla_Items_Con_Existencia[[#This Row],[COSTO]]*Tabla_Items_Con_Existencia[[#This Row],[EXISTENCIA]]</f>
        <v>112.512</v>
      </c>
      <c r="I2512" s="1">
        <f>IF(ISERROR(MATCH(Tabla_Items_Con_Existencia[[#This Row],[CODIGO]],Tabla_Items_Activos[CODIGO],0)),0,1)</f>
        <v>0</v>
      </c>
    </row>
    <row r="2513" spans="1:9">
      <c r="A2513" s="2" t="s">
        <v>6759</v>
      </c>
      <c r="B2513" s="2" t="s">
        <v>3394</v>
      </c>
      <c r="C2513" s="2" t="s">
        <v>3395</v>
      </c>
      <c r="D2513" s="2" t="s">
        <v>5166</v>
      </c>
      <c r="E2513" s="2" t="s">
        <v>5163</v>
      </c>
      <c r="F2513" s="2">
        <v>0.128</v>
      </c>
      <c r="G2513" s="2">
        <v>1815</v>
      </c>
      <c r="H2513" s="2">
        <f>Tabla_Items_Con_Existencia[[#This Row],[COSTO]]*Tabla_Items_Con_Existencia[[#This Row],[EXISTENCIA]]</f>
        <v>232.32</v>
      </c>
      <c r="I2513" s="1">
        <f>IF(ISERROR(MATCH(Tabla_Items_Con_Existencia[[#This Row],[CODIGO]],Tabla_Items_Activos[CODIGO],0)),0,1)</f>
        <v>0</v>
      </c>
    </row>
    <row r="2514" spans="1:9">
      <c r="A2514" s="2" t="s">
        <v>6759</v>
      </c>
      <c r="B2514" s="2" t="s">
        <v>3396</v>
      </c>
      <c r="C2514" s="2" t="s">
        <v>3397</v>
      </c>
      <c r="D2514" s="2" t="s">
        <v>5166</v>
      </c>
      <c r="E2514" s="2" t="s">
        <v>5163</v>
      </c>
      <c r="F2514" s="2">
        <v>0.11310000000000001</v>
      </c>
      <c r="G2514" s="2">
        <v>652</v>
      </c>
      <c r="H2514" s="2">
        <f>Tabla_Items_Con_Existencia[[#This Row],[COSTO]]*Tabla_Items_Con_Existencia[[#This Row],[EXISTENCIA]]</f>
        <v>73.741200000000006</v>
      </c>
      <c r="I2514" s="1">
        <f>IF(ISERROR(MATCH(Tabla_Items_Con_Existencia[[#This Row],[CODIGO]],Tabla_Items_Activos[CODIGO],0)),0,1)</f>
        <v>0</v>
      </c>
    </row>
    <row r="2515" spans="1:9">
      <c r="A2515" s="2" t="s">
        <v>6759</v>
      </c>
      <c r="B2515" s="2" t="s">
        <v>3398</v>
      </c>
      <c r="C2515" s="2" t="s">
        <v>3399</v>
      </c>
      <c r="D2515" s="2" t="s">
        <v>5166</v>
      </c>
      <c r="E2515" s="2" t="s">
        <v>5163</v>
      </c>
      <c r="F2515" s="2">
        <v>0.15</v>
      </c>
      <c r="G2515" s="2">
        <v>50</v>
      </c>
      <c r="H2515" s="2">
        <f>Tabla_Items_Con_Existencia[[#This Row],[COSTO]]*Tabla_Items_Con_Existencia[[#This Row],[EXISTENCIA]]</f>
        <v>7.5</v>
      </c>
      <c r="I2515" s="1">
        <f>IF(ISERROR(MATCH(Tabla_Items_Con_Existencia[[#This Row],[CODIGO]],Tabla_Items_Activos[CODIGO],0)),0,1)</f>
        <v>0</v>
      </c>
    </row>
    <row r="2516" spans="1:9">
      <c r="A2516" s="2" t="s">
        <v>6759</v>
      </c>
      <c r="B2516" s="2" t="s">
        <v>3400</v>
      </c>
      <c r="C2516" s="2" t="s">
        <v>3401</v>
      </c>
      <c r="D2516" s="2" t="s">
        <v>5166</v>
      </c>
      <c r="E2516" s="2" t="s">
        <v>5163</v>
      </c>
      <c r="F2516" s="2">
        <v>0.126</v>
      </c>
      <c r="G2516" s="2">
        <v>916</v>
      </c>
      <c r="H2516" s="2">
        <f>Tabla_Items_Con_Existencia[[#This Row],[COSTO]]*Tabla_Items_Con_Existencia[[#This Row],[EXISTENCIA]]</f>
        <v>115.416</v>
      </c>
      <c r="I2516" s="1">
        <f>IF(ISERROR(MATCH(Tabla_Items_Con_Existencia[[#This Row],[CODIGO]],Tabla_Items_Activos[CODIGO],0)),0,1)</f>
        <v>0</v>
      </c>
    </row>
    <row r="2517" spans="1:9">
      <c r="A2517" s="2" t="s">
        <v>6759</v>
      </c>
      <c r="B2517" s="2" t="s">
        <v>3402</v>
      </c>
      <c r="C2517" s="2" t="s">
        <v>3403</v>
      </c>
      <c r="D2517" s="2" t="s">
        <v>5166</v>
      </c>
      <c r="E2517" s="2" t="s">
        <v>5163</v>
      </c>
      <c r="F2517" s="2">
        <v>0.17499999999999999</v>
      </c>
      <c r="G2517" s="2">
        <v>360</v>
      </c>
      <c r="H2517" s="2">
        <f>Tabla_Items_Con_Existencia[[#This Row],[COSTO]]*Tabla_Items_Con_Existencia[[#This Row],[EXISTENCIA]]</f>
        <v>62.999999999999993</v>
      </c>
      <c r="I2517" s="1">
        <f>IF(ISERROR(MATCH(Tabla_Items_Con_Existencia[[#This Row],[CODIGO]],Tabla_Items_Activos[CODIGO],0)),0,1)</f>
        <v>0</v>
      </c>
    </row>
    <row r="2518" spans="1:9">
      <c r="A2518" s="2" t="s">
        <v>6759</v>
      </c>
      <c r="B2518" s="2" t="s">
        <v>3404</v>
      </c>
      <c r="C2518" s="2" t="s">
        <v>3405</v>
      </c>
      <c r="D2518" s="2" t="s">
        <v>5166</v>
      </c>
      <c r="E2518" s="2" t="s">
        <v>5163</v>
      </c>
      <c r="F2518" s="2">
        <v>9.4500000000000001E-2</v>
      </c>
      <c r="G2518" s="2">
        <v>1388</v>
      </c>
      <c r="H2518" s="2">
        <f>Tabla_Items_Con_Existencia[[#This Row],[COSTO]]*Tabla_Items_Con_Existencia[[#This Row],[EXISTENCIA]]</f>
        <v>131.166</v>
      </c>
      <c r="I2518" s="1">
        <f>IF(ISERROR(MATCH(Tabla_Items_Con_Existencia[[#This Row],[CODIGO]],Tabla_Items_Activos[CODIGO],0)),0,1)</f>
        <v>0</v>
      </c>
    </row>
    <row r="2519" spans="1:9">
      <c r="A2519" s="2" t="s">
        <v>6759</v>
      </c>
      <c r="B2519" s="2" t="s">
        <v>3406</v>
      </c>
      <c r="C2519" s="2" t="s">
        <v>3407</v>
      </c>
      <c r="D2519" s="2" t="s">
        <v>5166</v>
      </c>
      <c r="E2519" s="2" t="s">
        <v>5163</v>
      </c>
      <c r="F2519" s="2">
        <v>0.20300000000000001</v>
      </c>
      <c r="G2519" s="2">
        <v>1</v>
      </c>
      <c r="H2519" s="2">
        <f>Tabla_Items_Con_Existencia[[#This Row],[COSTO]]*Tabla_Items_Con_Existencia[[#This Row],[EXISTENCIA]]</f>
        <v>0.20300000000000001</v>
      </c>
      <c r="I2519" s="1">
        <f>IF(ISERROR(MATCH(Tabla_Items_Con_Existencia[[#This Row],[CODIGO]],Tabla_Items_Activos[CODIGO],0)),0,1)</f>
        <v>0</v>
      </c>
    </row>
    <row r="2520" spans="1:9">
      <c r="A2520" s="2" t="s">
        <v>6759</v>
      </c>
      <c r="B2520" s="2" t="s">
        <v>3408</v>
      </c>
      <c r="C2520" s="2" t="s">
        <v>3409</v>
      </c>
      <c r="D2520" s="2" t="s">
        <v>5166</v>
      </c>
      <c r="E2520" s="2" t="s">
        <v>5163</v>
      </c>
      <c r="F2520" s="2">
        <v>0.154</v>
      </c>
      <c r="G2520" s="2">
        <v>738</v>
      </c>
      <c r="H2520" s="2">
        <f>Tabla_Items_Con_Existencia[[#This Row],[COSTO]]*Tabla_Items_Con_Existencia[[#This Row],[EXISTENCIA]]</f>
        <v>113.652</v>
      </c>
      <c r="I2520" s="1">
        <f>IF(ISERROR(MATCH(Tabla_Items_Con_Existencia[[#This Row],[CODIGO]],Tabla_Items_Activos[CODIGO],0)),0,1)</f>
        <v>0</v>
      </c>
    </row>
    <row r="2521" spans="1:9">
      <c r="A2521" s="2" t="s">
        <v>6759</v>
      </c>
      <c r="B2521" s="2" t="s">
        <v>3410</v>
      </c>
      <c r="C2521" s="2" t="s">
        <v>3411</v>
      </c>
      <c r="D2521" s="2" t="s">
        <v>5166</v>
      </c>
      <c r="E2521" s="2" t="s">
        <v>5163</v>
      </c>
      <c r="F2521" s="2">
        <v>0.1938</v>
      </c>
      <c r="G2521" s="2">
        <v>671</v>
      </c>
      <c r="H2521" s="2">
        <f>Tabla_Items_Con_Existencia[[#This Row],[COSTO]]*Tabla_Items_Con_Existencia[[#This Row],[EXISTENCIA]]</f>
        <v>130.03980000000001</v>
      </c>
      <c r="I2521" s="1">
        <f>IF(ISERROR(MATCH(Tabla_Items_Con_Existencia[[#This Row],[CODIGO]],Tabla_Items_Activos[CODIGO],0)),0,1)</f>
        <v>0</v>
      </c>
    </row>
    <row r="2522" spans="1:9">
      <c r="A2522" s="2" t="s">
        <v>6759</v>
      </c>
      <c r="B2522" s="2" t="s">
        <v>3412</v>
      </c>
      <c r="C2522" s="2" t="s">
        <v>3413</v>
      </c>
      <c r="D2522" s="2" t="s">
        <v>5166</v>
      </c>
      <c r="E2522" s="2" t="s">
        <v>5163</v>
      </c>
      <c r="F2522" s="2">
        <v>6.0900000000000003E-2</v>
      </c>
      <c r="G2522" s="2">
        <v>4407</v>
      </c>
      <c r="H2522" s="2">
        <f>Tabla_Items_Con_Existencia[[#This Row],[COSTO]]*Tabla_Items_Con_Existencia[[#This Row],[EXISTENCIA]]</f>
        <v>268.38630000000001</v>
      </c>
      <c r="I2522" s="1">
        <f>IF(ISERROR(MATCH(Tabla_Items_Con_Existencia[[#This Row],[CODIGO]],Tabla_Items_Activos[CODIGO],0)),0,1)</f>
        <v>0</v>
      </c>
    </row>
    <row r="2523" spans="1:9">
      <c r="A2523" s="2" t="s">
        <v>6759</v>
      </c>
      <c r="B2523" s="2" t="s">
        <v>3414</v>
      </c>
      <c r="C2523" s="2" t="s">
        <v>3415</v>
      </c>
      <c r="D2523" s="2" t="s">
        <v>5166</v>
      </c>
      <c r="E2523" s="2" t="s">
        <v>5163</v>
      </c>
      <c r="F2523" s="2">
        <v>0.154</v>
      </c>
      <c r="G2523" s="2">
        <v>638</v>
      </c>
      <c r="H2523" s="2">
        <f>Tabla_Items_Con_Existencia[[#This Row],[COSTO]]*Tabla_Items_Con_Existencia[[#This Row],[EXISTENCIA]]</f>
        <v>98.251999999999995</v>
      </c>
      <c r="I2523" s="1">
        <f>IF(ISERROR(MATCH(Tabla_Items_Con_Existencia[[#This Row],[CODIGO]],Tabla_Items_Activos[CODIGO],0)),0,1)</f>
        <v>0</v>
      </c>
    </row>
    <row r="2524" spans="1:9">
      <c r="A2524" s="2" t="s">
        <v>6759</v>
      </c>
      <c r="B2524" s="2" t="s">
        <v>3416</v>
      </c>
      <c r="C2524" s="2" t="s">
        <v>3417</v>
      </c>
      <c r="D2524" s="2" t="s">
        <v>5162</v>
      </c>
      <c r="E2524" s="2" t="s">
        <v>5213</v>
      </c>
      <c r="F2524" s="2">
        <v>4.7309999999999999</v>
      </c>
      <c r="G2524" s="2">
        <v>1760</v>
      </c>
      <c r="H2524" s="2">
        <f>Tabla_Items_Con_Existencia[[#This Row],[COSTO]]*Tabla_Items_Con_Existencia[[#This Row],[EXISTENCIA]]</f>
        <v>8326.56</v>
      </c>
      <c r="I2524" s="1">
        <f>IF(ISERROR(MATCH(Tabla_Items_Con_Existencia[[#This Row],[CODIGO]],Tabla_Items_Activos[CODIGO],0)),0,1)</f>
        <v>0</v>
      </c>
    </row>
    <row r="2525" spans="1:9">
      <c r="A2525" s="2" t="s">
        <v>6759</v>
      </c>
      <c r="B2525" s="2" t="s">
        <v>3418</v>
      </c>
      <c r="C2525" s="2" t="s">
        <v>3419</v>
      </c>
      <c r="D2525" s="2" t="s">
        <v>5166</v>
      </c>
      <c r="E2525" s="2" t="s">
        <v>5163</v>
      </c>
      <c r="F2525" s="2">
        <v>0.16270000000000001</v>
      </c>
      <c r="G2525" s="2">
        <v>820</v>
      </c>
      <c r="H2525" s="2">
        <f>Tabla_Items_Con_Existencia[[#This Row],[COSTO]]*Tabla_Items_Con_Existencia[[#This Row],[EXISTENCIA]]</f>
        <v>133.41400000000002</v>
      </c>
      <c r="I2525" s="1">
        <f>IF(ISERROR(MATCH(Tabla_Items_Con_Existencia[[#This Row],[CODIGO]],Tabla_Items_Activos[CODIGO],0)),0,1)</f>
        <v>0</v>
      </c>
    </row>
    <row r="2526" spans="1:9">
      <c r="A2526" s="2" t="s">
        <v>6759</v>
      </c>
      <c r="B2526" s="2" t="s">
        <v>3420</v>
      </c>
      <c r="C2526" s="2" t="s">
        <v>3421</v>
      </c>
      <c r="D2526" s="2" t="s">
        <v>5166</v>
      </c>
      <c r="E2526" s="2" t="s">
        <v>5163</v>
      </c>
      <c r="F2526" s="2">
        <v>9.5600000000000004E-2</v>
      </c>
      <c r="G2526" s="2">
        <v>2165</v>
      </c>
      <c r="H2526" s="2">
        <f>Tabla_Items_Con_Existencia[[#This Row],[COSTO]]*Tabla_Items_Con_Existencia[[#This Row],[EXISTENCIA]]</f>
        <v>206.97400000000002</v>
      </c>
      <c r="I2526" s="1">
        <f>IF(ISERROR(MATCH(Tabla_Items_Con_Existencia[[#This Row],[CODIGO]],Tabla_Items_Activos[CODIGO],0)),0,1)</f>
        <v>0</v>
      </c>
    </row>
    <row r="2527" spans="1:9">
      <c r="A2527" s="2" t="s">
        <v>6759</v>
      </c>
      <c r="B2527" s="2" t="s">
        <v>3422</v>
      </c>
      <c r="C2527" s="2" t="s">
        <v>3423</v>
      </c>
      <c r="D2527" s="2" t="s">
        <v>5166</v>
      </c>
      <c r="E2527" s="2" t="s">
        <v>5163</v>
      </c>
      <c r="F2527" s="2">
        <v>8.6499999999999994E-2</v>
      </c>
      <c r="G2527" s="2">
        <v>1979</v>
      </c>
      <c r="H2527" s="2">
        <f>Tabla_Items_Con_Existencia[[#This Row],[COSTO]]*Tabla_Items_Con_Existencia[[#This Row],[EXISTENCIA]]</f>
        <v>171.18349999999998</v>
      </c>
      <c r="I2527" s="1">
        <f>IF(ISERROR(MATCH(Tabla_Items_Con_Existencia[[#This Row],[CODIGO]],Tabla_Items_Activos[CODIGO],0)),0,1)</f>
        <v>0</v>
      </c>
    </row>
    <row r="2528" spans="1:9">
      <c r="A2528" s="2" t="s">
        <v>6759</v>
      </c>
      <c r="B2528" s="2" t="s">
        <v>3424</v>
      </c>
      <c r="C2528" s="2" t="s">
        <v>3425</v>
      </c>
      <c r="D2528" s="2" t="s">
        <v>5166</v>
      </c>
      <c r="E2528" s="2" t="s">
        <v>5163</v>
      </c>
      <c r="F2528" s="2">
        <v>0.12889999999999999</v>
      </c>
      <c r="G2528" s="2">
        <v>443</v>
      </c>
      <c r="H2528" s="2">
        <f>Tabla_Items_Con_Existencia[[#This Row],[COSTO]]*Tabla_Items_Con_Existencia[[#This Row],[EXISTENCIA]]</f>
        <v>57.102699999999992</v>
      </c>
      <c r="I2528" s="1">
        <f>IF(ISERROR(MATCH(Tabla_Items_Con_Existencia[[#This Row],[CODIGO]],Tabla_Items_Activos[CODIGO],0)),0,1)</f>
        <v>0</v>
      </c>
    </row>
    <row r="2529" spans="1:9">
      <c r="A2529" s="2" t="s">
        <v>6759</v>
      </c>
      <c r="B2529" s="2" t="s">
        <v>3426</v>
      </c>
      <c r="C2529" s="2" t="s">
        <v>3427</v>
      </c>
      <c r="D2529" s="2" t="s">
        <v>5166</v>
      </c>
      <c r="E2529" s="2" t="s">
        <v>5163</v>
      </c>
      <c r="F2529" s="2">
        <v>0.1125</v>
      </c>
      <c r="G2529" s="2">
        <v>620</v>
      </c>
      <c r="H2529" s="2">
        <f>Tabla_Items_Con_Existencia[[#This Row],[COSTO]]*Tabla_Items_Con_Existencia[[#This Row],[EXISTENCIA]]</f>
        <v>69.75</v>
      </c>
      <c r="I2529" s="1">
        <f>IF(ISERROR(MATCH(Tabla_Items_Con_Existencia[[#This Row],[CODIGO]],Tabla_Items_Activos[CODIGO],0)),0,1)</f>
        <v>0</v>
      </c>
    </row>
    <row r="2530" spans="1:9">
      <c r="A2530" s="2" t="s">
        <v>6759</v>
      </c>
      <c r="B2530" s="2" t="s">
        <v>3428</v>
      </c>
      <c r="C2530" s="2" t="s">
        <v>3429</v>
      </c>
      <c r="D2530" s="2" t="s">
        <v>5166</v>
      </c>
      <c r="E2530" s="2" t="s">
        <v>5163</v>
      </c>
      <c r="F2530" s="2">
        <v>9.7900000000000001E-2</v>
      </c>
      <c r="G2530" s="2">
        <v>1150</v>
      </c>
      <c r="H2530" s="2">
        <f>Tabla_Items_Con_Existencia[[#This Row],[COSTO]]*Tabla_Items_Con_Existencia[[#This Row],[EXISTENCIA]]</f>
        <v>112.58500000000001</v>
      </c>
      <c r="I2530" s="1">
        <f>IF(ISERROR(MATCH(Tabla_Items_Con_Existencia[[#This Row],[CODIGO]],Tabla_Items_Activos[CODIGO],0)),0,1)</f>
        <v>0</v>
      </c>
    </row>
    <row r="2531" spans="1:9">
      <c r="A2531" s="2" t="s">
        <v>6759</v>
      </c>
      <c r="B2531" s="2" t="s">
        <v>3430</v>
      </c>
      <c r="C2531" s="2" t="s">
        <v>3431</v>
      </c>
      <c r="D2531" s="2" t="s">
        <v>5166</v>
      </c>
      <c r="E2531" s="2" t="s">
        <v>5163</v>
      </c>
      <c r="F2531" s="2">
        <v>0.10929999999999999</v>
      </c>
      <c r="G2531" s="2">
        <v>1654</v>
      </c>
      <c r="H2531" s="2">
        <f>Tabla_Items_Con_Existencia[[#This Row],[COSTO]]*Tabla_Items_Con_Existencia[[#This Row],[EXISTENCIA]]</f>
        <v>180.78219999999999</v>
      </c>
      <c r="I2531" s="1">
        <f>IF(ISERROR(MATCH(Tabla_Items_Con_Existencia[[#This Row],[CODIGO]],Tabla_Items_Activos[CODIGO],0)),0,1)</f>
        <v>0</v>
      </c>
    </row>
    <row r="2532" spans="1:9">
      <c r="A2532" s="2" t="s">
        <v>6759</v>
      </c>
      <c r="B2532" s="2" t="s">
        <v>3432</v>
      </c>
      <c r="C2532" s="2" t="s">
        <v>3433</v>
      </c>
      <c r="D2532" s="2" t="s">
        <v>5166</v>
      </c>
      <c r="E2532" s="2" t="s">
        <v>5163</v>
      </c>
      <c r="F2532" s="2">
        <v>5.28E-2</v>
      </c>
      <c r="G2532" s="2">
        <v>1339</v>
      </c>
      <c r="H2532" s="2">
        <f>Tabla_Items_Con_Existencia[[#This Row],[COSTO]]*Tabla_Items_Con_Existencia[[#This Row],[EXISTENCIA]]</f>
        <v>70.699200000000005</v>
      </c>
      <c r="I2532" s="1">
        <f>IF(ISERROR(MATCH(Tabla_Items_Con_Existencia[[#This Row],[CODIGO]],Tabla_Items_Activos[CODIGO],0)),0,1)</f>
        <v>0</v>
      </c>
    </row>
    <row r="2533" spans="1:9">
      <c r="A2533" s="2" t="s">
        <v>6759</v>
      </c>
      <c r="B2533" s="2" t="s">
        <v>7045</v>
      </c>
      <c r="C2533" s="2" t="s">
        <v>7372</v>
      </c>
      <c r="D2533" s="2" t="s">
        <v>5162</v>
      </c>
      <c r="E2533" s="2" t="s">
        <v>5210</v>
      </c>
      <c r="F2533" s="2">
        <v>49</v>
      </c>
      <c r="G2533" s="2">
        <v>20</v>
      </c>
      <c r="H2533" s="2">
        <f>Tabla_Items_Con_Existencia[[#This Row],[COSTO]]*Tabla_Items_Con_Existencia[[#This Row],[EXISTENCIA]]</f>
        <v>980</v>
      </c>
      <c r="I2533" s="1">
        <f>IF(ISERROR(MATCH(Tabla_Items_Con_Existencia[[#This Row],[CODIGO]],Tabla_Items_Activos[CODIGO],0)),0,1)</f>
        <v>0</v>
      </c>
    </row>
    <row r="2534" spans="1:9">
      <c r="A2534" s="2" t="s">
        <v>6759</v>
      </c>
      <c r="B2534" s="2" t="s">
        <v>3434</v>
      </c>
      <c r="C2534" s="2" t="s">
        <v>3435</v>
      </c>
      <c r="D2534" s="2" t="s">
        <v>5166</v>
      </c>
      <c r="E2534" s="2" t="s">
        <v>5163</v>
      </c>
      <c r="F2534" s="2">
        <v>5.28E-2</v>
      </c>
      <c r="G2534" s="2">
        <v>1339</v>
      </c>
      <c r="H2534" s="2">
        <f>Tabla_Items_Con_Existencia[[#This Row],[COSTO]]*Tabla_Items_Con_Existencia[[#This Row],[EXISTENCIA]]</f>
        <v>70.699200000000005</v>
      </c>
      <c r="I2534" s="1">
        <f>IF(ISERROR(MATCH(Tabla_Items_Con_Existencia[[#This Row],[CODIGO]],Tabla_Items_Activos[CODIGO],0)),0,1)</f>
        <v>0</v>
      </c>
    </row>
    <row r="2535" spans="1:9">
      <c r="A2535" s="2" t="s">
        <v>6759</v>
      </c>
      <c r="B2535" s="2" t="s">
        <v>3436</v>
      </c>
      <c r="C2535" s="2" t="s">
        <v>3437</v>
      </c>
      <c r="D2535" s="2" t="s">
        <v>5162</v>
      </c>
      <c r="E2535" s="2" t="s">
        <v>5212</v>
      </c>
      <c r="F2535" s="2">
        <v>2.4388999999999998</v>
      </c>
      <c r="G2535" s="2">
        <v>1334</v>
      </c>
      <c r="H2535" s="2">
        <f>Tabla_Items_Con_Existencia[[#This Row],[COSTO]]*Tabla_Items_Con_Existencia[[#This Row],[EXISTENCIA]]</f>
        <v>3253.4925999999996</v>
      </c>
      <c r="I2535" s="1">
        <f>IF(ISERROR(MATCH(Tabla_Items_Con_Existencia[[#This Row],[CODIGO]],Tabla_Items_Activos[CODIGO],0)),0,1)</f>
        <v>0</v>
      </c>
    </row>
    <row r="2536" spans="1:9">
      <c r="A2536" s="2" t="s">
        <v>6759</v>
      </c>
      <c r="B2536" s="2" t="s">
        <v>6724</v>
      </c>
      <c r="C2536" s="2" t="s">
        <v>6725</v>
      </c>
      <c r="D2536" s="2" t="s">
        <v>5166</v>
      </c>
      <c r="E2536" s="2" t="s">
        <v>5163</v>
      </c>
      <c r="F2536" s="2">
        <v>0.19470000000000001</v>
      </c>
      <c r="G2536" s="2">
        <v>441</v>
      </c>
      <c r="H2536" s="2">
        <f>Tabla_Items_Con_Existencia[[#This Row],[COSTO]]*Tabla_Items_Con_Existencia[[#This Row],[EXISTENCIA]]</f>
        <v>85.862700000000004</v>
      </c>
      <c r="I2536" s="1">
        <f>IF(ISERROR(MATCH(Tabla_Items_Con_Existencia[[#This Row],[CODIGO]],Tabla_Items_Activos[CODIGO],0)),0,1)</f>
        <v>0</v>
      </c>
    </row>
    <row r="2537" spans="1:9">
      <c r="A2537" s="2" t="s">
        <v>6759</v>
      </c>
      <c r="B2537" s="2" t="s">
        <v>3438</v>
      </c>
      <c r="C2537" s="2" t="s">
        <v>3439</v>
      </c>
      <c r="D2537" s="2" t="s">
        <v>5166</v>
      </c>
      <c r="E2537" s="2" t="s">
        <v>5163</v>
      </c>
      <c r="F2537" s="2">
        <v>0.16</v>
      </c>
      <c r="G2537" s="2">
        <v>496</v>
      </c>
      <c r="H2537" s="2">
        <f>Tabla_Items_Con_Existencia[[#This Row],[COSTO]]*Tabla_Items_Con_Existencia[[#This Row],[EXISTENCIA]]</f>
        <v>79.36</v>
      </c>
      <c r="I2537" s="1">
        <f>IF(ISERROR(MATCH(Tabla_Items_Con_Existencia[[#This Row],[CODIGO]],Tabla_Items_Activos[CODIGO],0)),0,1)</f>
        <v>0</v>
      </c>
    </row>
    <row r="2538" spans="1:9">
      <c r="A2538" s="2" t="s">
        <v>6759</v>
      </c>
      <c r="B2538" s="2" t="s">
        <v>3440</v>
      </c>
      <c r="C2538" s="2" t="s">
        <v>3441</v>
      </c>
      <c r="D2538" s="2" t="s">
        <v>5166</v>
      </c>
      <c r="E2538" s="2" t="s">
        <v>5163</v>
      </c>
      <c r="F2538" s="2">
        <v>0.12</v>
      </c>
      <c r="G2538" s="2">
        <v>529</v>
      </c>
      <c r="H2538" s="2">
        <f>Tabla_Items_Con_Existencia[[#This Row],[COSTO]]*Tabla_Items_Con_Existencia[[#This Row],[EXISTENCIA]]</f>
        <v>63.48</v>
      </c>
      <c r="I2538" s="1">
        <f>IF(ISERROR(MATCH(Tabla_Items_Con_Existencia[[#This Row],[CODIGO]],Tabla_Items_Activos[CODIGO],0)),0,1)</f>
        <v>0</v>
      </c>
    </row>
    <row r="2539" spans="1:9">
      <c r="A2539" s="2" t="s">
        <v>6759</v>
      </c>
      <c r="B2539" s="2" t="s">
        <v>3442</v>
      </c>
      <c r="C2539" s="2" t="s">
        <v>3443</v>
      </c>
      <c r="D2539" s="2" t="s">
        <v>5166</v>
      </c>
      <c r="E2539" s="2" t="s">
        <v>5163</v>
      </c>
      <c r="F2539" s="2">
        <v>0.158</v>
      </c>
      <c r="G2539" s="2">
        <v>562</v>
      </c>
      <c r="H2539" s="2">
        <f>Tabla_Items_Con_Existencia[[#This Row],[COSTO]]*Tabla_Items_Con_Existencia[[#This Row],[EXISTENCIA]]</f>
        <v>88.796000000000006</v>
      </c>
      <c r="I2539" s="1">
        <f>IF(ISERROR(MATCH(Tabla_Items_Con_Existencia[[#This Row],[CODIGO]],Tabla_Items_Activos[CODIGO],0)),0,1)</f>
        <v>0</v>
      </c>
    </row>
    <row r="2540" spans="1:9">
      <c r="A2540" s="2" t="s">
        <v>6759</v>
      </c>
      <c r="B2540" s="2" t="s">
        <v>3444</v>
      </c>
      <c r="C2540" s="2" t="s">
        <v>3445</v>
      </c>
      <c r="D2540" s="2" t="s">
        <v>5166</v>
      </c>
      <c r="E2540" s="2" t="s">
        <v>5163</v>
      </c>
      <c r="F2540" s="2">
        <v>0.11899999999999999</v>
      </c>
      <c r="G2540" s="2">
        <v>1076</v>
      </c>
      <c r="H2540" s="2">
        <f>Tabla_Items_Con_Existencia[[#This Row],[COSTO]]*Tabla_Items_Con_Existencia[[#This Row],[EXISTENCIA]]</f>
        <v>128.04399999999998</v>
      </c>
      <c r="I2540" s="1">
        <f>IF(ISERROR(MATCH(Tabla_Items_Con_Existencia[[#This Row],[CODIGO]],Tabla_Items_Activos[CODIGO],0)),0,1)</f>
        <v>0</v>
      </c>
    </row>
    <row r="2541" spans="1:9">
      <c r="A2541" s="2" t="s">
        <v>6759</v>
      </c>
      <c r="B2541" s="2" t="s">
        <v>3446</v>
      </c>
      <c r="C2541" s="2" t="s">
        <v>3447</v>
      </c>
      <c r="D2541" s="2" t="s">
        <v>5166</v>
      </c>
      <c r="E2541" s="2" t="s">
        <v>5163</v>
      </c>
      <c r="F2541" s="2">
        <v>0.112</v>
      </c>
      <c r="G2541" s="2">
        <v>2060</v>
      </c>
      <c r="H2541" s="2">
        <f>Tabla_Items_Con_Existencia[[#This Row],[COSTO]]*Tabla_Items_Con_Existencia[[#This Row],[EXISTENCIA]]</f>
        <v>230.72</v>
      </c>
      <c r="I2541" s="1">
        <f>IF(ISERROR(MATCH(Tabla_Items_Con_Existencia[[#This Row],[CODIGO]],Tabla_Items_Activos[CODIGO],0)),0,1)</f>
        <v>0</v>
      </c>
    </row>
    <row r="2542" spans="1:9">
      <c r="A2542" s="2" t="s">
        <v>6759</v>
      </c>
      <c r="B2542" s="2" t="s">
        <v>7046</v>
      </c>
      <c r="C2542" s="2" t="s">
        <v>7047</v>
      </c>
      <c r="D2542" s="2" t="s">
        <v>5166</v>
      </c>
      <c r="E2542" s="2" t="s">
        <v>5163</v>
      </c>
      <c r="F2542" s="2">
        <v>2.6599999999999999E-2</v>
      </c>
      <c r="G2542" s="2">
        <v>505</v>
      </c>
      <c r="H2542" s="2">
        <f>Tabla_Items_Con_Existencia[[#This Row],[COSTO]]*Tabla_Items_Con_Existencia[[#This Row],[EXISTENCIA]]</f>
        <v>13.433</v>
      </c>
      <c r="I2542" s="1">
        <f>IF(ISERROR(MATCH(Tabla_Items_Con_Existencia[[#This Row],[CODIGO]],Tabla_Items_Activos[CODIGO],0)),0,1)</f>
        <v>0</v>
      </c>
    </row>
    <row r="2543" spans="1:9">
      <c r="A2543" s="2" t="s">
        <v>6759</v>
      </c>
      <c r="B2543" s="2" t="s">
        <v>7048</v>
      </c>
      <c r="C2543" s="2" t="s">
        <v>7049</v>
      </c>
      <c r="D2543" s="2" t="s">
        <v>5162</v>
      </c>
      <c r="E2543" s="2" t="s">
        <v>5163</v>
      </c>
      <c r="F2543" s="2">
        <v>0.153</v>
      </c>
      <c r="G2543" s="2">
        <v>5620</v>
      </c>
      <c r="H2543" s="2">
        <f>Tabla_Items_Con_Existencia[[#This Row],[COSTO]]*Tabla_Items_Con_Existencia[[#This Row],[EXISTENCIA]]</f>
        <v>859.86</v>
      </c>
      <c r="I2543" s="1">
        <f>IF(ISERROR(MATCH(Tabla_Items_Con_Existencia[[#This Row],[CODIGO]],Tabla_Items_Activos[CODIGO],0)),0,1)</f>
        <v>0</v>
      </c>
    </row>
    <row r="2544" spans="1:9">
      <c r="A2544" s="2" t="s">
        <v>6759</v>
      </c>
      <c r="B2544" s="2" t="s">
        <v>7050</v>
      </c>
      <c r="C2544" s="2" t="s">
        <v>7051</v>
      </c>
      <c r="D2544" s="2" t="s">
        <v>5162</v>
      </c>
      <c r="E2544" s="2" t="s">
        <v>5163</v>
      </c>
      <c r="F2544" s="2">
        <v>8.5300000000000001E-2</v>
      </c>
      <c r="G2544" s="2">
        <v>2418</v>
      </c>
      <c r="H2544" s="2">
        <f>Tabla_Items_Con_Existencia[[#This Row],[COSTO]]*Tabla_Items_Con_Existencia[[#This Row],[EXISTENCIA]]</f>
        <v>206.25540000000001</v>
      </c>
      <c r="I2544" s="1">
        <f>IF(ISERROR(MATCH(Tabla_Items_Con_Existencia[[#This Row],[CODIGO]],Tabla_Items_Activos[CODIGO],0)),0,1)</f>
        <v>0</v>
      </c>
    </row>
    <row r="2545" spans="1:9">
      <c r="A2545" s="2" t="s">
        <v>6759</v>
      </c>
      <c r="B2545" s="2" t="s">
        <v>3448</v>
      </c>
      <c r="C2545" s="2" t="s">
        <v>3449</v>
      </c>
      <c r="D2545" s="2" t="s">
        <v>5166</v>
      </c>
      <c r="E2545" s="2" t="s">
        <v>5163</v>
      </c>
      <c r="F2545" s="2">
        <v>0.14360000000000001</v>
      </c>
      <c r="G2545" s="2">
        <v>2300</v>
      </c>
      <c r="H2545" s="2">
        <f>Tabla_Items_Con_Existencia[[#This Row],[COSTO]]*Tabla_Items_Con_Existencia[[#This Row],[EXISTENCIA]]</f>
        <v>330.28000000000003</v>
      </c>
      <c r="I2545" s="1">
        <f>IF(ISERROR(MATCH(Tabla_Items_Con_Existencia[[#This Row],[CODIGO]],Tabla_Items_Activos[CODIGO],0)),0,1)</f>
        <v>0</v>
      </c>
    </row>
    <row r="2546" spans="1:9">
      <c r="A2546" s="2" t="s">
        <v>6759</v>
      </c>
      <c r="B2546" s="2" t="s">
        <v>3450</v>
      </c>
      <c r="C2546" s="2" t="s">
        <v>3451</v>
      </c>
      <c r="D2546" s="2" t="s">
        <v>5166</v>
      </c>
      <c r="E2546" s="2" t="s">
        <v>5163</v>
      </c>
      <c r="F2546" s="2">
        <v>0.152</v>
      </c>
      <c r="G2546" s="2">
        <v>48</v>
      </c>
      <c r="H2546" s="2">
        <f>Tabla_Items_Con_Existencia[[#This Row],[COSTO]]*Tabla_Items_Con_Existencia[[#This Row],[EXISTENCIA]]</f>
        <v>7.2959999999999994</v>
      </c>
      <c r="I2546" s="1">
        <f>IF(ISERROR(MATCH(Tabla_Items_Con_Existencia[[#This Row],[CODIGO]],Tabla_Items_Activos[CODIGO],0)),0,1)</f>
        <v>0</v>
      </c>
    </row>
    <row r="2547" spans="1:9">
      <c r="A2547" s="2" t="s">
        <v>6759</v>
      </c>
      <c r="B2547" s="2" t="s">
        <v>3452</v>
      </c>
      <c r="C2547" s="2" t="s">
        <v>3453</v>
      </c>
      <c r="D2547" s="2" t="s">
        <v>5166</v>
      </c>
      <c r="E2547" s="2" t="s">
        <v>5163</v>
      </c>
      <c r="F2547" s="2">
        <v>0.1016</v>
      </c>
      <c r="G2547" s="2">
        <v>2838</v>
      </c>
      <c r="H2547" s="2">
        <f>Tabla_Items_Con_Existencia[[#This Row],[COSTO]]*Tabla_Items_Con_Existencia[[#This Row],[EXISTENCIA]]</f>
        <v>288.3408</v>
      </c>
      <c r="I2547" s="1">
        <f>IF(ISERROR(MATCH(Tabla_Items_Con_Existencia[[#This Row],[CODIGO]],Tabla_Items_Activos[CODIGO],0)),0,1)</f>
        <v>0</v>
      </c>
    </row>
    <row r="2548" spans="1:9">
      <c r="A2548" s="2" t="s">
        <v>6759</v>
      </c>
      <c r="B2548" s="2" t="s">
        <v>3454</v>
      </c>
      <c r="C2548" s="2" t="s">
        <v>3455</v>
      </c>
      <c r="D2548" s="2" t="s">
        <v>5166</v>
      </c>
      <c r="E2548" s="2" t="s">
        <v>5163</v>
      </c>
      <c r="F2548" s="2">
        <v>7.7399999999999997E-2</v>
      </c>
      <c r="G2548" s="2">
        <v>4200</v>
      </c>
      <c r="H2548" s="2">
        <f>Tabla_Items_Con_Existencia[[#This Row],[COSTO]]*Tabla_Items_Con_Existencia[[#This Row],[EXISTENCIA]]</f>
        <v>325.08</v>
      </c>
      <c r="I2548" s="1">
        <f>IF(ISERROR(MATCH(Tabla_Items_Con_Existencia[[#This Row],[CODIGO]],Tabla_Items_Activos[CODIGO],0)),0,1)</f>
        <v>0</v>
      </c>
    </row>
    <row r="2549" spans="1:9">
      <c r="A2549" s="2" t="s">
        <v>6759</v>
      </c>
      <c r="B2549" s="2" t="s">
        <v>3456</v>
      </c>
      <c r="C2549" s="2" t="s">
        <v>3457</v>
      </c>
      <c r="D2549" s="2" t="s">
        <v>5166</v>
      </c>
      <c r="E2549" s="2" t="s">
        <v>5163</v>
      </c>
      <c r="F2549" s="2">
        <v>5.5E-2</v>
      </c>
      <c r="G2549" s="2">
        <v>3370</v>
      </c>
      <c r="H2549" s="2">
        <f>Tabla_Items_Con_Existencia[[#This Row],[COSTO]]*Tabla_Items_Con_Existencia[[#This Row],[EXISTENCIA]]</f>
        <v>185.35</v>
      </c>
      <c r="I2549" s="1">
        <f>IF(ISERROR(MATCH(Tabla_Items_Con_Existencia[[#This Row],[CODIGO]],Tabla_Items_Activos[CODIGO],0)),0,1)</f>
        <v>0</v>
      </c>
    </row>
    <row r="2550" spans="1:9">
      <c r="A2550" s="2" t="s">
        <v>6759</v>
      </c>
      <c r="B2550" s="2" t="s">
        <v>3458</v>
      </c>
      <c r="C2550" s="2" t="s">
        <v>3459</v>
      </c>
      <c r="D2550" s="2" t="s">
        <v>5166</v>
      </c>
      <c r="E2550" s="2" t="s">
        <v>5163</v>
      </c>
      <c r="F2550" s="2">
        <v>0.15040000000000001</v>
      </c>
      <c r="G2550" s="2">
        <v>2208</v>
      </c>
      <c r="H2550" s="2">
        <f>Tabla_Items_Con_Existencia[[#This Row],[COSTO]]*Tabla_Items_Con_Existencia[[#This Row],[EXISTENCIA]]</f>
        <v>332.08320000000003</v>
      </c>
      <c r="I2550" s="1">
        <f>IF(ISERROR(MATCH(Tabla_Items_Con_Existencia[[#This Row],[CODIGO]],Tabla_Items_Activos[CODIGO],0)),0,1)</f>
        <v>0</v>
      </c>
    </row>
    <row r="2551" spans="1:9">
      <c r="A2551" s="2" t="s">
        <v>6759</v>
      </c>
      <c r="B2551" s="2" t="s">
        <v>3460</v>
      </c>
      <c r="C2551" s="2" t="s">
        <v>3461</v>
      </c>
      <c r="D2551" s="2" t="s">
        <v>5166</v>
      </c>
      <c r="E2551" s="2" t="s">
        <v>5163</v>
      </c>
      <c r="F2551" s="2">
        <v>9.1300000000000006E-2</v>
      </c>
      <c r="G2551" s="2">
        <v>1660</v>
      </c>
      <c r="H2551" s="2">
        <f>Tabla_Items_Con_Existencia[[#This Row],[COSTO]]*Tabla_Items_Con_Existencia[[#This Row],[EXISTENCIA]]</f>
        <v>151.55800000000002</v>
      </c>
      <c r="I2551" s="1">
        <f>IF(ISERROR(MATCH(Tabla_Items_Con_Existencia[[#This Row],[CODIGO]],Tabla_Items_Activos[CODIGO],0)),0,1)</f>
        <v>0</v>
      </c>
    </row>
    <row r="2552" spans="1:9">
      <c r="A2552" s="2" t="s">
        <v>6759</v>
      </c>
      <c r="B2552" s="2" t="s">
        <v>3462</v>
      </c>
      <c r="C2552" s="2" t="s">
        <v>3463</v>
      </c>
      <c r="D2552" s="2" t="s">
        <v>5162</v>
      </c>
      <c r="E2552" s="2" t="s">
        <v>5163</v>
      </c>
      <c r="F2552" s="2">
        <v>0.3997</v>
      </c>
      <c r="G2552" s="2">
        <v>2883</v>
      </c>
      <c r="H2552" s="2">
        <f>Tabla_Items_Con_Existencia[[#This Row],[COSTO]]*Tabla_Items_Con_Existencia[[#This Row],[EXISTENCIA]]</f>
        <v>1152.3351</v>
      </c>
      <c r="I2552" s="1">
        <f>IF(ISERROR(MATCH(Tabla_Items_Con_Existencia[[#This Row],[CODIGO]],Tabla_Items_Activos[CODIGO],0)),0,1)</f>
        <v>0</v>
      </c>
    </row>
    <row r="2553" spans="1:9">
      <c r="A2553" s="2" t="s">
        <v>6759</v>
      </c>
      <c r="B2553" s="2" t="s">
        <v>3464</v>
      </c>
      <c r="C2553" s="2" t="s">
        <v>3465</v>
      </c>
      <c r="D2553" s="2" t="s">
        <v>5162</v>
      </c>
      <c r="E2553" s="2" t="s">
        <v>5163</v>
      </c>
      <c r="F2553" s="2">
        <v>0.30370000000000003</v>
      </c>
      <c r="G2553" s="2">
        <v>1997</v>
      </c>
      <c r="H2553" s="2">
        <f>Tabla_Items_Con_Existencia[[#This Row],[COSTO]]*Tabla_Items_Con_Existencia[[#This Row],[EXISTENCIA]]</f>
        <v>606.48890000000006</v>
      </c>
      <c r="I2553" s="1">
        <f>IF(ISERROR(MATCH(Tabla_Items_Con_Existencia[[#This Row],[CODIGO]],Tabla_Items_Activos[CODIGO],0)),0,1)</f>
        <v>0</v>
      </c>
    </row>
    <row r="2554" spans="1:9">
      <c r="A2554" s="2" t="s">
        <v>6759</v>
      </c>
      <c r="B2554" s="2" t="s">
        <v>3466</v>
      </c>
      <c r="C2554" s="2" t="s">
        <v>3467</v>
      </c>
      <c r="D2554" s="2" t="s">
        <v>5162</v>
      </c>
      <c r="E2554" s="2" t="s">
        <v>5163</v>
      </c>
      <c r="F2554" s="2">
        <v>0.28139999999999998</v>
      </c>
      <c r="G2554" s="2">
        <v>11596</v>
      </c>
      <c r="H2554" s="2">
        <f>Tabla_Items_Con_Existencia[[#This Row],[COSTO]]*Tabla_Items_Con_Existencia[[#This Row],[EXISTENCIA]]</f>
        <v>3263.1143999999999</v>
      </c>
      <c r="I2554" s="1">
        <f>IF(ISERROR(MATCH(Tabla_Items_Con_Existencia[[#This Row],[CODIGO]],Tabla_Items_Activos[CODIGO],0)),0,1)</f>
        <v>0</v>
      </c>
    </row>
    <row r="2555" spans="1:9">
      <c r="A2555" s="2" t="s">
        <v>6759</v>
      </c>
      <c r="B2555" s="2" t="s">
        <v>3468</v>
      </c>
      <c r="C2555" s="2" t="s">
        <v>3469</v>
      </c>
      <c r="D2555" s="2" t="s">
        <v>5162</v>
      </c>
      <c r="E2555" s="2" t="s">
        <v>5163</v>
      </c>
      <c r="F2555" s="2">
        <v>1.143</v>
      </c>
      <c r="G2555" s="2">
        <v>1</v>
      </c>
      <c r="H2555" s="2">
        <f>Tabla_Items_Con_Existencia[[#This Row],[COSTO]]*Tabla_Items_Con_Existencia[[#This Row],[EXISTENCIA]]</f>
        <v>1.143</v>
      </c>
      <c r="I2555" s="1">
        <f>IF(ISERROR(MATCH(Tabla_Items_Con_Existencia[[#This Row],[CODIGO]],Tabla_Items_Activos[CODIGO],0)),0,1)</f>
        <v>0</v>
      </c>
    </row>
    <row r="2556" spans="1:9">
      <c r="A2556" s="2" t="s">
        <v>6759</v>
      </c>
      <c r="B2556" s="2" t="s">
        <v>3470</v>
      </c>
      <c r="C2556" s="2" t="s">
        <v>3471</v>
      </c>
      <c r="D2556" s="2" t="s">
        <v>5162</v>
      </c>
      <c r="E2556" s="2" t="s">
        <v>5163</v>
      </c>
      <c r="F2556" s="2">
        <v>0.313</v>
      </c>
      <c r="G2556" s="2">
        <v>8</v>
      </c>
      <c r="H2556" s="2">
        <f>Tabla_Items_Con_Existencia[[#This Row],[COSTO]]*Tabla_Items_Con_Existencia[[#This Row],[EXISTENCIA]]</f>
        <v>2.504</v>
      </c>
      <c r="I2556" s="1">
        <f>IF(ISERROR(MATCH(Tabla_Items_Con_Existencia[[#This Row],[CODIGO]],Tabla_Items_Activos[CODIGO],0)),0,1)</f>
        <v>0</v>
      </c>
    </row>
    <row r="2557" spans="1:9">
      <c r="A2557" s="2" t="s">
        <v>6759</v>
      </c>
      <c r="B2557" s="2" t="s">
        <v>3472</v>
      </c>
      <c r="C2557" s="2" t="s">
        <v>3473</v>
      </c>
      <c r="D2557" s="2" t="s">
        <v>5162</v>
      </c>
      <c r="E2557" s="2" t="s">
        <v>5163</v>
      </c>
      <c r="F2557" s="2">
        <v>0.26900000000000002</v>
      </c>
      <c r="G2557" s="2">
        <v>1</v>
      </c>
      <c r="H2557" s="2">
        <f>Tabla_Items_Con_Existencia[[#This Row],[COSTO]]*Tabla_Items_Con_Existencia[[#This Row],[EXISTENCIA]]</f>
        <v>0.26900000000000002</v>
      </c>
      <c r="I2557" s="1">
        <f>IF(ISERROR(MATCH(Tabla_Items_Con_Existencia[[#This Row],[CODIGO]],Tabla_Items_Activos[CODIGO],0)),0,1)</f>
        <v>0</v>
      </c>
    </row>
    <row r="2558" spans="1:9">
      <c r="A2558" s="2" t="s">
        <v>6759</v>
      </c>
      <c r="B2558" s="2" t="s">
        <v>3474</v>
      </c>
      <c r="C2558" s="2" t="s">
        <v>3475</v>
      </c>
      <c r="D2558" s="2" t="s">
        <v>5162</v>
      </c>
      <c r="E2558" s="2" t="s">
        <v>5163</v>
      </c>
      <c r="F2558" s="2">
        <v>0.1512</v>
      </c>
      <c r="G2558" s="2">
        <v>12307</v>
      </c>
      <c r="H2558" s="2">
        <f>Tabla_Items_Con_Existencia[[#This Row],[COSTO]]*Tabla_Items_Con_Existencia[[#This Row],[EXISTENCIA]]</f>
        <v>1860.8184000000001</v>
      </c>
      <c r="I2558" s="1">
        <f>IF(ISERROR(MATCH(Tabla_Items_Con_Existencia[[#This Row],[CODIGO]],Tabla_Items_Activos[CODIGO],0)),0,1)</f>
        <v>0</v>
      </c>
    </row>
    <row r="2559" spans="1:9">
      <c r="A2559" s="2" t="s">
        <v>6759</v>
      </c>
      <c r="B2559" s="2" t="s">
        <v>3476</v>
      </c>
      <c r="C2559" s="2" t="s">
        <v>3477</v>
      </c>
      <c r="D2559" s="2" t="s">
        <v>5162</v>
      </c>
      <c r="E2559" s="2" t="s">
        <v>5163</v>
      </c>
      <c r="F2559" s="2">
        <v>7.9000000000000001E-2</v>
      </c>
      <c r="G2559" s="2">
        <v>2173</v>
      </c>
      <c r="H2559" s="2">
        <f>Tabla_Items_Con_Existencia[[#This Row],[COSTO]]*Tabla_Items_Con_Existencia[[#This Row],[EXISTENCIA]]</f>
        <v>171.667</v>
      </c>
      <c r="I2559" s="1">
        <f>IF(ISERROR(MATCH(Tabla_Items_Con_Existencia[[#This Row],[CODIGO]],Tabla_Items_Activos[CODIGO],0)),0,1)</f>
        <v>0</v>
      </c>
    </row>
    <row r="2560" spans="1:9">
      <c r="A2560" s="2" t="s">
        <v>6759</v>
      </c>
      <c r="B2560" s="2" t="s">
        <v>3478</v>
      </c>
      <c r="C2560" s="2" t="s">
        <v>3479</v>
      </c>
      <c r="D2560" s="2" t="s">
        <v>5166</v>
      </c>
      <c r="E2560" s="2" t="s">
        <v>5163</v>
      </c>
      <c r="F2560" s="2">
        <v>0.18</v>
      </c>
      <c r="G2560" s="2">
        <v>7230</v>
      </c>
      <c r="H2560" s="2">
        <f>Tabla_Items_Con_Existencia[[#This Row],[COSTO]]*Tabla_Items_Con_Existencia[[#This Row],[EXISTENCIA]]</f>
        <v>1301.3999999999999</v>
      </c>
      <c r="I2560" s="1">
        <f>IF(ISERROR(MATCH(Tabla_Items_Con_Existencia[[#This Row],[CODIGO]],Tabla_Items_Activos[CODIGO],0)),0,1)</f>
        <v>0</v>
      </c>
    </row>
    <row r="2561" spans="1:9">
      <c r="A2561" s="2" t="s">
        <v>6759</v>
      </c>
      <c r="B2561" s="2" t="s">
        <v>3480</v>
      </c>
      <c r="C2561" s="2" t="s">
        <v>3481</v>
      </c>
      <c r="D2561" s="2" t="s">
        <v>5166</v>
      </c>
      <c r="E2561" s="2" t="s">
        <v>5163</v>
      </c>
      <c r="F2561" s="2">
        <v>0.156</v>
      </c>
      <c r="G2561" s="2">
        <v>8320</v>
      </c>
      <c r="H2561" s="2">
        <f>Tabla_Items_Con_Existencia[[#This Row],[COSTO]]*Tabla_Items_Con_Existencia[[#This Row],[EXISTENCIA]]</f>
        <v>1297.92</v>
      </c>
      <c r="I2561" s="1">
        <f>IF(ISERROR(MATCH(Tabla_Items_Con_Existencia[[#This Row],[CODIGO]],Tabla_Items_Activos[CODIGO],0)),0,1)</f>
        <v>0</v>
      </c>
    </row>
    <row r="2562" spans="1:9">
      <c r="A2562" s="2" t="s">
        <v>6759</v>
      </c>
      <c r="B2562" s="2" t="s">
        <v>3482</v>
      </c>
      <c r="C2562" s="2" t="s">
        <v>3483</v>
      </c>
      <c r="D2562" s="2" t="s">
        <v>5166</v>
      </c>
      <c r="E2562" s="2" t="s">
        <v>5163</v>
      </c>
      <c r="F2562" s="2">
        <v>0.34200000000000003</v>
      </c>
      <c r="G2562" s="2">
        <v>465</v>
      </c>
      <c r="H2562" s="2">
        <f>Tabla_Items_Con_Existencia[[#This Row],[COSTO]]*Tabla_Items_Con_Existencia[[#This Row],[EXISTENCIA]]</f>
        <v>159.03</v>
      </c>
      <c r="I2562" s="1">
        <f>IF(ISERROR(MATCH(Tabla_Items_Con_Existencia[[#This Row],[CODIGO]],Tabla_Items_Activos[CODIGO],0)),0,1)</f>
        <v>0</v>
      </c>
    </row>
    <row r="2563" spans="1:9">
      <c r="A2563" s="2" t="s">
        <v>6759</v>
      </c>
      <c r="B2563" s="2" t="s">
        <v>3484</v>
      </c>
      <c r="C2563" s="2" t="s">
        <v>3485</v>
      </c>
      <c r="D2563" s="2" t="s">
        <v>5166</v>
      </c>
      <c r="E2563" s="2" t="s">
        <v>5163</v>
      </c>
      <c r="F2563" s="2">
        <v>0.08</v>
      </c>
      <c r="G2563" s="2">
        <v>14008</v>
      </c>
      <c r="H2563" s="2">
        <f>Tabla_Items_Con_Existencia[[#This Row],[COSTO]]*Tabla_Items_Con_Existencia[[#This Row],[EXISTENCIA]]</f>
        <v>1120.6400000000001</v>
      </c>
      <c r="I2563" s="1">
        <f>IF(ISERROR(MATCH(Tabla_Items_Con_Existencia[[#This Row],[CODIGO]],Tabla_Items_Activos[CODIGO],0)),0,1)</f>
        <v>0</v>
      </c>
    </row>
    <row r="2564" spans="1:9">
      <c r="A2564" s="2" t="s">
        <v>6759</v>
      </c>
      <c r="B2564" s="2" t="s">
        <v>3486</v>
      </c>
      <c r="C2564" s="2" t="s">
        <v>3487</v>
      </c>
      <c r="D2564" s="2" t="s">
        <v>5166</v>
      </c>
      <c r="E2564" s="2" t="s">
        <v>5163</v>
      </c>
      <c r="F2564" s="2">
        <v>0.114</v>
      </c>
      <c r="G2564" s="2">
        <v>500</v>
      </c>
      <c r="H2564" s="2">
        <f>Tabla_Items_Con_Existencia[[#This Row],[COSTO]]*Tabla_Items_Con_Existencia[[#This Row],[EXISTENCIA]]</f>
        <v>57</v>
      </c>
      <c r="I2564" s="1">
        <f>IF(ISERROR(MATCH(Tabla_Items_Con_Existencia[[#This Row],[CODIGO]],Tabla_Items_Activos[CODIGO],0)),0,1)</f>
        <v>0</v>
      </c>
    </row>
    <row r="2565" spans="1:9">
      <c r="A2565" s="2" t="s">
        <v>6759</v>
      </c>
      <c r="B2565" s="2" t="s">
        <v>3488</v>
      </c>
      <c r="C2565" s="2" t="s">
        <v>3489</v>
      </c>
      <c r="D2565" s="2" t="s">
        <v>5166</v>
      </c>
      <c r="E2565" s="2" t="s">
        <v>5163</v>
      </c>
      <c r="F2565" s="2">
        <v>0.115</v>
      </c>
      <c r="G2565" s="2">
        <v>613</v>
      </c>
      <c r="H2565" s="2">
        <f>Tabla_Items_Con_Existencia[[#This Row],[COSTO]]*Tabla_Items_Con_Existencia[[#This Row],[EXISTENCIA]]</f>
        <v>70.495000000000005</v>
      </c>
      <c r="I2565" s="1">
        <f>IF(ISERROR(MATCH(Tabla_Items_Con_Existencia[[#This Row],[CODIGO]],Tabla_Items_Activos[CODIGO],0)),0,1)</f>
        <v>0</v>
      </c>
    </row>
    <row r="2566" spans="1:9">
      <c r="A2566" s="2" t="s">
        <v>6759</v>
      </c>
      <c r="B2566" s="2" t="s">
        <v>3490</v>
      </c>
      <c r="C2566" s="2" t="s">
        <v>6726</v>
      </c>
      <c r="D2566" s="2" t="s">
        <v>5166</v>
      </c>
      <c r="E2566" s="2" t="s">
        <v>5163</v>
      </c>
      <c r="F2566" s="2">
        <v>6.0999999999999999E-2</v>
      </c>
      <c r="G2566" s="2">
        <v>2238</v>
      </c>
      <c r="H2566" s="2">
        <f>Tabla_Items_Con_Existencia[[#This Row],[COSTO]]*Tabla_Items_Con_Existencia[[#This Row],[EXISTENCIA]]</f>
        <v>136.518</v>
      </c>
      <c r="I2566" s="1">
        <f>IF(ISERROR(MATCH(Tabla_Items_Con_Existencia[[#This Row],[CODIGO]],Tabla_Items_Activos[CODIGO],0)),0,1)</f>
        <v>0</v>
      </c>
    </row>
    <row r="2567" spans="1:9">
      <c r="A2567" s="2" t="s">
        <v>6759</v>
      </c>
      <c r="B2567" s="2" t="s">
        <v>3492</v>
      </c>
      <c r="C2567" s="2" t="s">
        <v>3493</v>
      </c>
      <c r="D2567" s="2" t="s">
        <v>5166</v>
      </c>
      <c r="E2567" s="2" t="s">
        <v>5163</v>
      </c>
      <c r="F2567" s="2">
        <v>0.23599999999999999</v>
      </c>
      <c r="G2567" s="2">
        <v>380</v>
      </c>
      <c r="H2567" s="2">
        <f>Tabla_Items_Con_Existencia[[#This Row],[COSTO]]*Tabla_Items_Con_Existencia[[#This Row],[EXISTENCIA]]</f>
        <v>89.679999999999993</v>
      </c>
      <c r="I2567" s="1">
        <f>IF(ISERROR(MATCH(Tabla_Items_Con_Existencia[[#This Row],[CODIGO]],Tabla_Items_Activos[CODIGO],0)),0,1)</f>
        <v>0</v>
      </c>
    </row>
    <row r="2568" spans="1:9">
      <c r="A2568" s="2" t="s">
        <v>6759</v>
      </c>
      <c r="B2568" s="2" t="s">
        <v>3494</v>
      </c>
      <c r="C2568" s="2" t="s">
        <v>3495</v>
      </c>
      <c r="D2568" s="2" t="s">
        <v>5166</v>
      </c>
      <c r="E2568" s="2" t="s">
        <v>5163</v>
      </c>
      <c r="F2568" s="2">
        <v>0.1552</v>
      </c>
      <c r="G2568" s="2">
        <v>1165</v>
      </c>
      <c r="H2568" s="2">
        <f>Tabla_Items_Con_Existencia[[#This Row],[COSTO]]*Tabla_Items_Con_Existencia[[#This Row],[EXISTENCIA]]</f>
        <v>180.80799999999999</v>
      </c>
      <c r="I2568" s="1">
        <f>IF(ISERROR(MATCH(Tabla_Items_Con_Existencia[[#This Row],[CODIGO]],Tabla_Items_Activos[CODIGO],0)),0,1)</f>
        <v>0</v>
      </c>
    </row>
    <row r="2569" spans="1:9">
      <c r="A2569" s="2" t="s">
        <v>6759</v>
      </c>
      <c r="B2569" s="2" t="s">
        <v>3496</v>
      </c>
      <c r="C2569" s="2" t="s">
        <v>3497</v>
      </c>
      <c r="D2569" s="2" t="s">
        <v>5166</v>
      </c>
      <c r="E2569" s="2" t="s">
        <v>5163</v>
      </c>
      <c r="F2569" s="2">
        <v>0.11700000000000001</v>
      </c>
      <c r="G2569" s="2">
        <v>11125</v>
      </c>
      <c r="H2569" s="2">
        <f>Tabla_Items_Con_Existencia[[#This Row],[COSTO]]*Tabla_Items_Con_Existencia[[#This Row],[EXISTENCIA]]</f>
        <v>1301.625</v>
      </c>
      <c r="I2569" s="1">
        <f>IF(ISERROR(MATCH(Tabla_Items_Con_Existencia[[#This Row],[CODIGO]],Tabla_Items_Activos[CODIGO],0)),0,1)</f>
        <v>0</v>
      </c>
    </row>
    <row r="2570" spans="1:9">
      <c r="A2570" s="2" t="s">
        <v>6759</v>
      </c>
      <c r="B2570" s="2" t="s">
        <v>7093</v>
      </c>
      <c r="C2570" s="2" t="s">
        <v>7116</v>
      </c>
      <c r="D2570" s="2" t="s">
        <v>5162</v>
      </c>
      <c r="E2570" s="2" t="s">
        <v>5163</v>
      </c>
      <c r="F2570" s="2">
        <v>0.64219999999999999</v>
      </c>
      <c r="G2570" s="2">
        <v>3327</v>
      </c>
      <c r="H2570" s="2">
        <f>Tabla_Items_Con_Existencia[[#This Row],[COSTO]]*Tabla_Items_Con_Existencia[[#This Row],[EXISTENCIA]]</f>
        <v>2136.5994000000001</v>
      </c>
      <c r="I2570" s="1">
        <f>IF(ISERROR(MATCH(Tabla_Items_Con_Existencia[[#This Row],[CODIGO]],Tabla_Items_Activos[CODIGO],0)),0,1)</f>
        <v>0</v>
      </c>
    </row>
    <row r="2571" spans="1:9">
      <c r="A2571" s="2" t="s">
        <v>6759</v>
      </c>
      <c r="B2571" s="2" t="s">
        <v>3498</v>
      </c>
      <c r="C2571" s="2" t="s">
        <v>3499</v>
      </c>
      <c r="D2571" s="2" t="s">
        <v>5166</v>
      </c>
      <c r="E2571" s="2" t="s">
        <v>5163</v>
      </c>
      <c r="F2571" s="2">
        <v>0.14480000000000001</v>
      </c>
      <c r="G2571" s="2">
        <v>1104</v>
      </c>
      <c r="H2571" s="2">
        <f>Tabla_Items_Con_Existencia[[#This Row],[COSTO]]*Tabla_Items_Con_Existencia[[#This Row],[EXISTENCIA]]</f>
        <v>159.85920000000002</v>
      </c>
      <c r="I2571" s="1">
        <f>IF(ISERROR(MATCH(Tabla_Items_Con_Existencia[[#This Row],[CODIGO]],Tabla_Items_Activos[CODIGO],0)),0,1)</f>
        <v>0</v>
      </c>
    </row>
    <row r="2572" spans="1:9">
      <c r="A2572" s="2" t="s">
        <v>6759</v>
      </c>
      <c r="B2572" s="2" t="s">
        <v>3500</v>
      </c>
      <c r="C2572" s="2" t="s">
        <v>3501</v>
      </c>
      <c r="D2572" s="2" t="s">
        <v>5166</v>
      </c>
      <c r="E2572" s="2" t="s">
        <v>5163</v>
      </c>
      <c r="F2572" s="2">
        <v>0.111</v>
      </c>
      <c r="G2572" s="2">
        <v>568</v>
      </c>
      <c r="H2572" s="2">
        <f>Tabla_Items_Con_Existencia[[#This Row],[COSTO]]*Tabla_Items_Con_Existencia[[#This Row],[EXISTENCIA]]</f>
        <v>63.048000000000002</v>
      </c>
      <c r="I2572" s="1">
        <f>IF(ISERROR(MATCH(Tabla_Items_Con_Existencia[[#This Row],[CODIGO]],Tabla_Items_Activos[CODIGO],0)),0,1)</f>
        <v>0</v>
      </c>
    </row>
    <row r="2573" spans="1:9">
      <c r="A2573" s="2" t="s">
        <v>6759</v>
      </c>
      <c r="B2573" s="2" t="s">
        <v>3502</v>
      </c>
      <c r="C2573" s="2" t="s">
        <v>3503</v>
      </c>
      <c r="D2573" s="2" t="s">
        <v>5166</v>
      </c>
      <c r="E2573" s="2" t="s">
        <v>5163</v>
      </c>
      <c r="F2573" s="2">
        <v>4.5100000000000001E-2</v>
      </c>
      <c r="G2573" s="2">
        <v>1771</v>
      </c>
      <c r="H2573" s="2">
        <f>Tabla_Items_Con_Existencia[[#This Row],[COSTO]]*Tabla_Items_Con_Existencia[[#This Row],[EXISTENCIA]]</f>
        <v>79.872100000000003</v>
      </c>
      <c r="I2573" s="1">
        <f>IF(ISERROR(MATCH(Tabla_Items_Con_Existencia[[#This Row],[CODIGO]],Tabla_Items_Activos[CODIGO],0)),0,1)</f>
        <v>0</v>
      </c>
    </row>
    <row r="2574" spans="1:9">
      <c r="A2574" s="2" t="s">
        <v>6760</v>
      </c>
      <c r="B2574" s="2" t="s">
        <v>7052</v>
      </c>
      <c r="C2574" s="2" t="s">
        <v>7053</v>
      </c>
      <c r="D2574" s="2" t="s">
        <v>5162</v>
      </c>
      <c r="E2574" s="2" t="s">
        <v>5212</v>
      </c>
      <c r="F2574" s="2">
        <v>1.1599999999999999</v>
      </c>
      <c r="G2574" s="2">
        <v>2934</v>
      </c>
      <c r="H2574" s="2">
        <f>Tabla_Items_Con_Existencia[[#This Row],[COSTO]]*Tabla_Items_Con_Existencia[[#This Row],[EXISTENCIA]]</f>
        <v>3403.4399999999996</v>
      </c>
      <c r="I2574" s="1">
        <f>IF(ISERROR(MATCH(Tabla_Items_Con_Existencia[[#This Row],[CODIGO]],Tabla_Items_Activos[CODIGO],0)),0,1)</f>
        <v>0</v>
      </c>
    </row>
    <row r="2575" spans="1:9">
      <c r="A2575" s="2" t="s">
        <v>6759</v>
      </c>
      <c r="B2575" s="2" t="s">
        <v>7052</v>
      </c>
      <c r="C2575" s="2" t="s">
        <v>7053</v>
      </c>
      <c r="D2575" s="2" t="s">
        <v>5162</v>
      </c>
      <c r="E2575" s="2" t="s">
        <v>5212</v>
      </c>
      <c r="F2575" s="2">
        <v>1.1599999999999999</v>
      </c>
      <c r="G2575" s="2">
        <v>2934</v>
      </c>
      <c r="H2575" s="2">
        <f>Tabla_Items_Con_Existencia[[#This Row],[COSTO]]*Tabla_Items_Con_Existencia[[#This Row],[EXISTENCIA]]</f>
        <v>3403.4399999999996</v>
      </c>
      <c r="I2575" s="1">
        <f>IF(ISERROR(MATCH(Tabla_Items_Con_Existencia[[#This Row],[CODIGO]],Tabla_Items_Activos[CODIGO],0)),0,1)</f>
        <v>0</v>
      </c>
    </row>
    <row r="2576" spans="1:9">
      <c r="A2576" s="2" t="s">
        <v>6759</v>
      </c>
      <c r="B2576" s="2" t="s">
        <v>3504</v>
      </c>
      <c r="C2576" s="2" t="s">
        <v>3505</v>
      </c>
      <c r="D2576" s="2" t="s">
        <v>5162</v>
      </c>
      <c r="E2576" s="2" t="s">
        <v>5213</v>
      </c>
      <c r="F2576" s="2">
        <v>2400</v>
      </c>
      <c r="G2576" s="2">
        <v>0.4541</v>
      </c>
      <c r="H2576" s="2">
        <f>Tabla_Items_Con_Existencia[[#This Row],[COSTO]]*Tabla_Items_Con_Existencia[[#This Row],[EXISTENCIA]]</f>
        <v>1089.8399999999999</v>
      </c>
      <c r="I2576" s="1">
        <f>IF(ISERROR(MATCH(Tabla_Items_Con_Existencia[[#This Row],[CODIGO]],Tabla_Items_Activos[CODIGO],0)),0,1)</f>
        <v>0</v>
      </c>
    </row>
    <row r="2577" spans="1:9">
      <c r="A2577" s="2" t="s">
        <v>6759</v>
      </c>
      <c r="B2577" s="2" t="s">
        <v>3506</v>
      </c>
      <c r="C2577" s="2" t="s">
        <v>3507</v>
      </c>
      <c r="D2577" s="2" t="s">
        <v>5166</v>
      </c>
      <c r="E2577" s="2" t="s">
        <v>5163</v>
      </c>
      <c r="F2577" s="2">
        <v>9.5000000000000001E-2</v>
      </c>
      <c r="G2577" s="2">
        <v>2687</v>
      </c>
      <c r="H2577" s="2">
        <f>Tabla_Items_Con_Existencia[[#This Row],[COSTO]]*Tabla_Items_Con_Existencia[[#This Row],[EXISTENCIA]]</f>
        <v>255.26500000000001</v>
      </c>
      <c r="I2577" s="1">
        <f>IF(ISERROR(MATCH(Tabla_Items_Con_Existencia[[#This Row],[CODIGO]],Tabla_Items_Activos[CODIGO],0)),0,1)</f>
        <v>0</v>
      </c>
    </row>
    <row r="2578" spans="1:9">
      <c r="A2578" s="2" t="s">
        <v>6759</v>
      </c>
      <c r="B2578" s="2" t="s">
        <v>3508</v>
      </c>
      <c r="C2578" s="2" t="s">
        <v>3509</v>
      </c>
      <c r="D2578" s="2" t="s">
        <v>5166</v>
      </c>
      <c r="E2578" s="2" t="s">
        <v>5163</v>
      </c>
      <c r="F2578" s="2">
        <v>4.7300000000000002E-2</v>
      </c>
      <c r="G2578" s="2">
        <v>2873</v>
      </c>
      <c r="H2578" s="2">
        <f>Tabla_Items_Con_Existencia[[#This Row],[COSTO]]*Tabla_Items_Con_Existencia[[#This Row],[EXISTENCIA]]</f>
        <v>135.8929</v>
      </c>
      <c r="I2578" s="1">
        <f>IF(ISERROR(MATCH(Tabla_Items_Con_Existencia[[#This Row],[CODIGO]],Tabla_Items_Activos[CODIGO],0)),0,1)</f>
        <v>0</v>
      </c>
    </row>
    <row r="2579" spans="1:9">
      <c r="A2579" s="2" t="s">
        <v>6759</v>
      </c>
      <c r="B2579" s="2" t="s">
        <v>3510</v>
      </c>
      <c r="C2579" s="2" t="s">
        <v>3511</v>
      </c>
      <c r="D2579" s="2" t="s">
        <v>5166</v>
      </c>
      <c r="E2579" s="2" t="s">
        <v>5163</v>
      </c>
      <c r="F2579" s="2">
        <v>4.7300000000000002E-2</v>
      </c>
      <c r="G2579" s="2">
        <v>2882</v>
      </c>
      <c r="H2579" s="2">
        <f>Tabla_Items_Con_Existencia[[#This Row],[COSTO]]*Tabla_Items_Con_Existencia[[#This Row],[EXISTENCIA]]</f>
        <v>136.3186</v>
      </c>
      <c r="I2579" s="1">
        <f>IF(ISERROR(MATCH(Tabla_Items_Con_Existencia[[#This Row],[CODIGO]],Tabla_Items_Activos[CODIGO],0)),0,1)</f>
        <v>0</v>
      </c>
    </row>
    <row r="2580" spans="1:9">
      <c r="A2580" s="2" t="s">
        <v>6759</v>
      </c>
      <c r="B2580" s="2" t="s">
        <v>3512</v>
      </c>
      <c r="C2580" s="2" t="s">
        <v>3513</v>
      </c>
      <c r="D2580" s="2" t="s">
        <v>5166</v>
      </c>
      <c r="E2580" s="2" t="s">
        <v>5163</v>
      </c>
      <c r="F2580" s="2">
        <v>0.1065</v>
      </c>
      <c r="G2580" s="2">
        <v>442</v>
      </c>
      <c r="H2580" s="2">
        <f>Tabla_Items_Con_Existencia[[#This Row],[COSTO]]*Tabla_Items_Con_Existencia[[#This Row],[EXISTENCIA]]</f>
        <v>47.073</v>
      </c>
      <c r="I2580" s="1">
        <f>IF(ISERROR(MATCH(Tabla_Items_Con_Existencia[[#This Row],[CODIGO]],Tabla_Items_Activos[CODIGO],0)),0,1)</f>
        <v>0</v>
      </c>
    </row>
    <row r="2581" spans="1:9">
      <c r="A2581" s="2" t="s">
        <v>6759</v>
      </c>
      <c r="B2581" s="2" t="s">
        <v>3514</v>
      </c>
      <c r="C2581" s="2" t="s">
        <v>3515</v>
      </c>
      <c r="D2581" s="2" t="s">
        <v>5166</v>
      </c>
      <c r="E2581" s="2" t="s">
        <v>5163</v>
      </c>
      <c r="F2581" s="2">
        <v>9.2700000000000005E-2</v>
      </c>
      <c r="G2581" s="2">
        <v>1392</v>
      </c>
      <c r="H2581" s="2">
        <f>Tabla_Items_Con_Existencia[[#This Row],[COSTO]]*Tabla_Items_Con_Existencia[[#This Row],[EXISTENCIA]]</f>
        <v>129.0384</v>
      </c>
      <c r="I2581" s="1">
        <f>IF(ISERROR(MATCH(Tabla_Items_Con_Existencia[[#This Row],[CODIGO]],Tabla_Items_Activos[CODIGO],0)),0,1)</f>
        <v>0</v>
      </c>
    </row>
    <row r="2582" spans="1:9">
      <c r="A2582" s="2" t="s">
        <v>6759</v>
      </c>
      <c r="B2582" s="2" t="s">
        <v>3516</v>
      </c>
      <c r="C2582" s="2" t="s">
        <v>3517</v>
      </c>
      <c r="D2582" s="2" t="s">
        <v>5162</v>
      </c>
      <c r="E2582" s="2" t="s">
        <v>5210</v>
      </c>
      <c r="F2582" s="2">
        <v>1.86</v>
      </c>
      <c r="G2582" s="2">
        <v>300</v>
      </c>
      <c r="H2582" s="2">
        <f>Tabla_Items_Con_Existencia[[#This Row],[COSTO]]*Tabla_Items_Con_Existencia[[#This Row],[EXISTENCIA]]</f>
        <v>558</v>
      </c>
      <c r="I2582" s="1">
        <f>IF(ISERROR(MATCH(Tabla_Items_Con_Existencia[[#This Row],[CODIGO]],Tabla_Items_Activos[CODIGO],0)),0,1)</f>
        <v>0</v>
      </c>
    </row>
    <row r="2583" spans="1:9">
      <c r="A2583" s="2" t="s">
        <v>6759</v>
      </c>
      <c r="B2583" s="2" t="s">
        <v>3518</v>
      </c>
      <c r="C2583" s="2" t="s">
        <v>7136</v>
      </c>
      <c r="D2583" s="2" t="s">
        <v>5162</v>
      </c>
      <c r="E2583" s="2" t="s">
        <v>5210</v>
      </c>
      <c r="F2583" s="2">
        <v>2.6002999999999998</v>
      </c>
      <c r="G2583" s="2">
        <v>915.1</v>
      </c>
      <c r="H2583" s="2">
        <f>Tabla_Items_Con_Existencia[[#This Row],[COSTO]]*Tabla_Items_Con_Existencia[[#This Row],[EXISTENCIA]]</f>
        <v>2379.5345299999999</v>
      </c>
      <c r="I2583" s="1">
        <f>IF(ISERROR(MATCH(Tabla_Items_Con_Existencia[[#This Row],[CODIGO]],Tabla_Items_Activos[CODIGO],0)),0,1)</f>
        <v>0</v>
      </c>
    </row>
    <row r="2584" spans="1:9">
      <c r="A2584" s="2" t="s">
        <v>6759</v>
      </c>
      <c r="B2584" s="2" t="s">
        <v>3520</v>
      </c>
      <c r="C2584" s="2" t="s">
        <v>3521</v>
      </c>
      <c r="D2584" s="2" t="s">
        <v>5166</v>
      </c>
      <c r="E2584" s="2" t="s">
        <v>5163</v>
      </c>
      <c r="F2584" s="2">
        <v>0.13900000000000001</v>
      </c>
      <c r="G2584" s="2">
        <v>545</v>
      </c>
      <c r="H2584" s="2">
        <f>Tabla_Items_Con_Existencia[[#This Row],[COSTO]]*Tabla_Items_Con_Existencia[[#This Row],[EXISTENCIA]]</f>
        <v>75.75500000000001</v>
      </c>
      <c r="I2584" s="1">
        <f>IF(ISERROR(MATCH(Tabla_Items_Con_Existencia[[#This Row],[CODIGO]],Tabla_Items_Activos[CODIGO],0)),0,1)</f>
        <v>0</v>
      </c>
    </row>
    <row r="2585" spans="1:9">
      <c r="A2585" s="2" t="s">
        <v>6760</v>
      </c>
      <c r="B2585" s="2" t="s">
        <v>3522</v>
      </c>
      <c r="C2585" s="2" t="s">
        <v>3523</v>
      </c>
      <c r="D2585" s="2" t="s">
        <v>5162</v>
      </c>
      <c r="E2585" s="2" t="s">
        <v>5213</v>
      </c>
      <c r="F2585" s="2">
        <v>143.904</v>
      </c>
      <c r="G2585" s="2">
        <v>7.0004999999999997</v>
      </c>
      <c r="H2585" s="2">
        <f>Tabla_Items_Con_Existencia[[#This Row],[COSTO]]*Tabla_Items_Con_Existencia[[#This Row],[EXISTENCIA]]</f>
        <v>1007.399952</v>
      </c>
      <c r="I2585" s="1">
        <f>IF(ISERROR(MATCH(Tabla_Items_Con_Existencia[[#This Row],[CODIGO]],Tabla_Items_Activos[CODIGO],0)),0,1)</f>
        <v>0</v>
      </c>
    </row>
    <row r="2586" spans="1:9">
      <c r="A2586" s="2" t="s">
        <v>6759</v>
      </c>
      <c r="B2586" s="2" t="s">
        <v>3522</v>
      </c>
      <c r="C2586" s="2" t="s">
        <v>3523</v>
      </c>
      <c r="D2586" s="2" t="s">
        <v>5162</v>
      </c>
      <c r="E2586" s="2" t="s">
        <v>5213</v>
      </c>
      <c r="F2586" s="2">
        <v>143.904</v>
      </c>
      <c r="G2586" s="2">
        <v>7.0004999999999997</v>
      </c>
      <c r="H2586" s="2">
        <f>Tabla_Items_Con_Existencia[[#This Row],[COSTO]]*Tabla_Items_Con_Existencia[[#This Row],[EXISTENCIA]]</f>
        <v>1007.399952</v>
      </c>
      <c r="I2586" s="1">
        <f>IF(ISERROR(MATCH(Tabla_Items_Con_Existencia[[#This Row],[CODIGO]],Tabla_Items_Activos[CODIGO],0)),0,1)</f>
        <v>0</v>
      </c>
    </row>
    <row r="2587" spans="1:9">
      <c r="A2587" s="2" t="s">
        <v>6759</v>
      </c>
      <c r="B2587" s="2" t="s">
        <v>3524</v>
      </c>
      <c r="C2587" s="2" t="s">
        <v>3525</v>
      </c>
      <c r="D2587" s="2" t="s">
        <v>5166</v>
      </c>
      <c r="E2587" s="2" t="s">
        <v>5163</v>
      </c>
      <c r="F2587" s="2">
        <v>6.2399999999999997E-2</v>
      </c>
      <c r="G2587" s="2">
        <v>1296</v>
      </c>
      <c r="H2587" s="2">
        <f>Tabla_Items_Con_Existencia[[#This Row],[COSTO]]*Tabla_Items_Con_Existencia[[#This Row],[EXISTENCIA]]</f>
        <v>80.870399999999989</v>
      </c>
      <c r="I2587" s="1">
        <f>IF(ISERROR(MATCH(Tabla_Items_Con_Existencia[[#This Row],[CODIGO]],Tabla_Items_Activos[CODIGO],0)),0,1)</f>
        <v>0</v>
      </c>
    </row>
    <row r="2588" spans="1:9">
      <c r="A2588" s="2" t="s">
        <v>6759</v>
      </c>
      <c r="B2588" s="2" t="s">
        <v>3526</v>
      </c>
      <c r="C2588" s="2" t="s">
        <v>3527</v>
      </c>
      <c r="D2588" s="2" t="s">
        <v>5166</v>
      </c>
      <c r="E2588" s="2" t="s">
        <v>5163</v>
      </c>
      <c r="F2588" s="2">
        <v>7.3300000000000004E-2</v>
      </c>
      <c r="G2588" s="2">
        <v>2373</v>
      </c>
      <c r="H2588" s="2">
        <f>Tabla_Items_Con_Existencia[[#This Row],[COSTO]]*Tabla_Items_Con_Existencia[[#This Row],[EXISTENCIA]]</f>
        <v>173.9409</v>
      </c>
      <c r="I2588" s="1">
        <f>IF(ISERROR(MATCH(Tabla_Items_Con_Existencia[[#This Row],[CODIGO]],Tabla_Items_Activos[CODIGO],0)),0,1)</f>
        <v>0</v>
      </c>
    </row>
    <row r="2589" spans="1:9">
      <c r="A2589" s="2" t="s">
        <v>6759</v>
      </c>
      <c r="B2589" s="2" t="s">
        <v>3528</v>
      </c>
      <c r="C2589" s="2" t="s">
        <v>3529</v>
      </c>
      <c r="D2589" s="2" t="s">
        <v>5166</v>
      </c>
      <c r="E2589" s="2" t="s">
        <v>5163</v>
      </c>
      <c r="F2589" s="2">
        <v>0.17699999999999999</v>
      </c>
      <c r="G2589" s="2">
        <v>380</v>
      </c>
      <c r="H2589" s="2">
        <f>Tabla_Items_Con_Existencia[[#This Row],[COSTO]]*Tabla_Items_Con_Existencia[[#This Row],[EXISTENCIA]]</f>
        <v>67.259999999999991</v>
      </c>
      <c r="I2589" s="1">
        <f>IF(ISERROR(MATCH(Tabla_Items_Con_Existencia[[#This Row],[CODIGO]],Tabla_Items_Activos[CODIGO],0)),0,1)</f>
        <v>0</v>
      </c>
    </row>
    <row r="2590" spans="1:9">
      <c r="A2590" s="2" t="s">
        <v>6759</v>
      </c>
      <c r="B2590" s="2" t="s">
        <v>3530</v>
      </c>
      <c r="C2590" s="2" t="s">
        <v>3531</v>
      </c>
      <c r="D2590" s="2" t="s">
        <v>5166</v>
      </c>
      <c r="E2590" s="2" t="s">
        <v>5163</v>
      </c>
      <c r="F2590" s="2">
        <v>8.4000000000000005E-2</v>
      </c>
      <c r="G2590" s="2">
        <v>436</v>
      </c>
      <c r="H2590" s="2">
        <f>Tabla_Items_Con_Existencia[[#This Row],[COSTO]]*Tabla_Items_Con_Existencia[[#This Row],[EXISTENCIA]]</f>
        <v>36.624000000000002</v>
      </c>
      <c r="I2590" s="1">
        <f>IF(ISERROR(MATCH(Tabla_Items_Con_Existencia[[#This Row],[CODIGO]],Tabla_Items_Activos[CODIGO],0)),0,1)</f>
        <v>0</v>
      </c>
    </row>
    <row r="2591" spans="1:9">
      <c r="A2591" s="2" t="s">
        <v>6759</v>
      </c>
      <c r="B2591" s="2" t="s">
        <v>3532</v>
      </c>
      <c r="C2591" s="2" t="s">
        <v>3533</v>
      </c>
      <c r="D2591" s="2" t="s">
        <v>5162</v>
      </c>
      <c r="E2591" s="2" t="s">
        <v>5163</v>
      </c>
      <c r="F2591" s="2">
        <v>0.12</v>
      </c>
      <c r="G2591" s="2">
        <v>865</v>
      </c>
      <c r="H2591" s="2">
        <f>Tabla_Items_Con_Existencia[[#This Row],[COSTO]]*Tabla_Items_Con_Existencia[[#This Row],[EXISTENCIA]]</f>
        <v>103.8</v>
      </c>
      <c r="I2591" s="1">
        <f>IF(ISERROR(MATCH(Tabla_Items_Con_Existencia[[#This Row],[CODIGO]],Tabla_Items_Activos[CODIGO],0)),0,1)</f>
        <v>0</v>
      </c>
    </row>
    <row r="2592" spans="1:9">
      <c r="A2592" s="2" t="s">
        <v>6759</v>
      </c>
      <c r="B2592" s="2" t="s">
        <v>3534</v>
      </c>
      <c r="C2592" s="2" t="s">
        <v>3535</v>
      </c>
      <c r="D2592" s="2" t="s">
        <v>5166</v>
      </c>
      <c r="E2592" s="2" t="s">
        <v>5163</v>
      </c>
      <c r="F2592" s="2">
        <v>9.98E-2</v>
      </c>
      <c r="G2592" s="2">
        <v>1442</v>
      </c>
      <c r="H2592" s="2">
        <f>Tabla_Items_Con_Existencia[[#This Row],[COSTO]]*Tabla_Items_Con_Existencia[[#This Row],[EXISTENCIA]]</f>
        <v>143.91159999999999</v>
      </c>
      <c r="I2592" s="1">
        <f>IF(ISERROR(MATCH(Tabla_Items_Con_Existencia[[#This Row],[CODIGO]],Tabla_Items_Activos[CODIGO],0)),0,1)</f>
        <v>0</v>
      </c>
    </row>
    <row r="2593" spans="1:9">
      <c r="A2593" s="2" t="s">
        <v>6759</v>
      </c>
      <c r="B2593" s="2" t="s">
        <v>3536</v>
      </c>
      <c r="C2593" s="2" t="s">
        <v>3537</v>
      </c>
      <c r="D2593" s="2" t="s">
        <v>5166</v>
      </c>
      <c r="E2593" s="2" t="s">
        <v>5163</v>
      </c>
      <c r="F2593" s="2">
        <v>1.238</v>
      </c>
      <c r="G2593" s="2">
        <v>230</v>
      </c>
      <c r="H2593" s="2">
        <f>Tabla_Items_Con_Existencia[[#This Row],[COSTO]]*Tabla_Items_Con_Existencia[[#This Row],[EXISTENCIA]]</f>
        <v>284.74</v>
      </c>
      <c r="I2593" s="1">
        <f>IF(ISERROR(MATCH(Tabla_Items_Con_Existencia[[#This Row],[CODIGO]],Tabla_Items_Activos[CODIGO],0)),0,1)</f>
        <v>0</v>
      </c>
    </row>
    <row r="2594" spans="1:9">
      <c r="A2594" s="2" t="s">
        <v>6759</v>
      </c>
      <c r="B2594" s="2" t="s">
        <v>3538</v>
      </c>
      <c r="C2594" s="2" t="s">
        <v>3539</v>
      </c>
      <c r="D2594" s="2" t="s">
        <v>5166</v>
      </c>
      <c r="E2594" s="2" t="s">
        <v>5163</v>
      </c>
      <c r="F2594" s="2">
        <v>0.11799999999999999</v>
      </c>
      <c r="G2594" s="2">
        <v>874</v>
      </c>
      <c r="H2594" s="2">
        <f>Tabla_Items_Con_Existencia[[#This Row],[COSTO]]*Tabla_Items_Con_Existencia[[#This Row],[EXISTENCIA]]</f>
        <v>103.13199999999999</v>
      </c>
      <c r="I2594" s="1">
        <f>IF(ISERROR(MATCH(Tabla_Items_Con_Existencia[[#This Row],[CODIGO]],Tabla_Items_Activos[CODIGO],0)),0,1)</f>
        <v>0</v>
      </c>
    </row>
    <row r="2595" spans="1:9">
      <c r="A2595" s="2" t="s">
        <v>6759</v>
      </c>
      <c r="B2595" s="2" t="s">
        <v>3540</v>
      </c>
      <c r="C2595" s="2" t="s">
        <v>3541</v>
      </c>
      <c r="D2595" s="2" t="s">
        <v>5166</v>
      </c>
      <c r="E2595" s="2" t="s">
        <v>5163</v>
      </c>
      <c r="F2595" s="2">
        <v>0.16400000000000001</v>
      </c>
      <c r="G2595" s="2">
        <v>417</v>
      </c>
      <c r="H2595" s="2">
        <f>Tabla_Items_Con_Existencia[[#This Row],[COSTO]]*Tabla_Items_Con_Existencia[[#This Row],[EXISTENCIA]]</f>
        <v>68.388000000000005</v>
      </c>
      <c r="I2595" s="1">
        <f>IF(ISERROR(MATCH(Tabla_Items_Con_Existencia[[#This Row],[CODIGO]],Tabla_Items_Activos[CODIGO],0)),0,1)</f>
        <v>0</v>
      </c>
    </row>
    <row r="2596" spans="1:9">
      <c r="A2596" s="2" t="s">
        <v>6759</v>
      </c>
      <c r="B2596" s="2" t="s">
        <v>3542</v>
      </c>
      <c r="C2596" s="2" t="s">
        <v>3543</v>
      </c>
      <c r="D2596" s="2" t="s">
        <v>5166</v>
      </c>
      <c r="E2596" s="2" t="s">
        <v>5163</v>
      </c>
      <c r="F2596" s="2">
        <v>0.10199999999999999</v>
      </c>
      <c r="G2596" s="2">
        <v>594</v>
      </c>
      <c r="H2596" s="2">
        <f>Tabla_Items_Con_Existencia[[#This Row],[COSTO]]*Tabla_Items_Con_Existencia[[#This Row],[EXISTENCIA]]</f>
        <v>60.587999999999994</v>
      </c>
      <c r="I2596" s="1">
        <f>IF(ISERROR(MATCH(Tabla_Items_Con_Existencia[[#This Row],[CODIGO]],Tabla_Items_Activos[CODIGO],0)),0,1)</f>
        <v>0</v>
      </c>
    </row>
    <row r="2597" spans="1:9">
      <c r="A2597" s="2" t="s">
        <v>6759</v>
      </c>
      <c r="B2597" s="2" t="s">
        <v>3544</v>
      </c>
      <c r="C2597" s="2" t="s">
        <v>3545</v>
      </c>
      <c r="D2597" s="2" t="s">
        <v>5166</v>
      </c>
      <c r="E2597" s="2" t="s">
        <v>5163</v>
      </c>
      <c r="F2597" s="2">
        <v>7.7600000000000002E-2</v>
      </c>
      <c r="G2597" s="2">
        <v>979</v>
      </c>
      <c r="H2597" s="2">
        <f>Tabla_Items_Con_Existencia[[#This Row],[COSTO]]*Tabla_Items_Con_Existencia[[#This Row],[EXISTENCIA]]</f>
        <v>75.970399999999998</v>
      </c>
      <c r="I2597" s="1">
        <f>IF(ISERROR(MATCH(Tabla_Items_Con_Existencia[[#This Row],[CODIGO]],Tabla_Items_Activos[CODIGO],0)),0,1)</f>
        <v>0</v>
      </c>
    </row>
    <row r="2598" spans="1:9">
      <c r="A2598" s="2" t="s">
        <v>6759</v>
      </c>
      <c r="B2598" s="2" t="s">
        <v>3546</v>
      </c>
      <c r="C2598" s="2" t="s">
        <v>3547</v>
      </c>
      <c r="D2598" s="2" t="s">
        <v>5166</v>
      </c>
      <c r="E2598" s="2" t="s">
        <v>5163</v>
      </c>
      <c r="F2598" s="2">
        <v>7.7600000000000002E-2</v>
      </c>
      <c r="G2598" s="2">
        <v>978</v>
      </c>
      <c r="H2598" s="2">
        <f>Tabla_Items_Con_Existencia[[#This Row],[COSTO]]*Tabla_Items_Con_Existencia[[#This Row],[EXISTENCIA]]</f>
        <v>75.892800000000008</v>
      </c>
      <c r="I2598" s="1">
        <f>IF(ISERROR(MATCH(Tabla_Items_Con_Existencia[[#This Row],[CODIGO]],Tabla_Items_Activos[CODIGO],0)),0,1)</f>
        <v>0</v>
      </c>
    </row>
    <row r="2599" spans="1:9">
      <c r="A2599" s="2" t="s">
        <v>6759</v>
      </c>
      <c r="B2599" s="2" t="s">
        <v>7137</v>
      </c>
      <c r="C2599" s="2" t="s">
        <v>7138</v>
      </c>
      <c r="D2599" s="2" t="s">
        <v>5162</v>
      </c>
      <c r="E2599" s="2" t="s">
        <v>5210</v>
      </c>
      <c r="F2599" s="2">
        <v>1.0900000000000001</v>
      </c>
      <c r="G2599" s="2">
        <v>200</v>
      </c>
      <c r="H2599" s="2">
        <f>Tabla_Items_Con_Existencia[[#This Row],[COSTO]]*Tabla_Items_Con_Existencia[[#This Row],[EXISTENCIA]]</f>
        <v>218.00000000000003</v>
      </c>
      <c r="I2599" s="1">
        <f>IF(ISERROR(MATCH(Tabla_Items_Con_Existencia[[#This Row],[CODIGO]],Tabla_Items_Activos[CODIGO],0)),0,1)</f>
        <v>0</v>
      </c>
    </row>
    <row r="2600" spans="1:9">
      <c r="A2600" s="2" t="s">
        <v>6759</v>
      </c>
      <c r="B2600" s="2" t="s">
        <v>7146</v>
      </c>
      <c r="C2600" s="2" t="s">
        <v>7147</v>
      </c>
      <c r="D2600" s="2" t="s">
        <v>5209</v>
      </c>
      <c r="E2600" s="2" t="s">
        <v>5215</v>
      </c>
      <c r="F2600" s="2">
        <v>0.10979999999999999</v>
      </c>
      <c r="G2600" s="2">
        <v>702</v>
      </c>
      <c r="H2600" s="2">
        <f>Tabla_Items_Con_Existencia[[#This Row],[COSTO]]*Tabla_Items_Con_Existencia[[#This Row],[EXISTENCIA]]</f>
        <v>77.079599999999999</v>
      </c>
      <c r="I2600" s="1">
        <f>IF(ISERROR(MATCH(Tabla_Items_Con_Existencia[[#This Row],[CODIGO]],Tabla_Items_Activos[CODIGO],0)),0,1)</f>
        <v>0</v>
      </c>
    </row>
    <row r="2601" spans="1:9">
      <c r="A2601" s="2" t="s">
        <v>6759</v>
      </c>
      <c r="B2601" s="2" t="s">
        <v>7148</v>
      </c>
      <c r="C2601" s="2" t="s">
        <v>7149</v>
      </c>
      <c r="D2601" s="2" t="s">
        <v>5157</v>
      </c>
      <c r="E2601" s="2" t="s">
        <v>5157</v>
      </c>
      <c r="F2601" s="2">
        <v>7.1300000000000002E-2</v>
      </c>
      <c r="G2601" s="2">
        <v>1574</v>
      </c>
      <c r="H2601" s="2">
        <f>Tabla_Items_Con_Existencia[[#This Row],[COSTO]]*Tabla_Items_Con_Existencia[[#This Row],[EXISTENCIA]]</f>
        <v>112.22620000000001</v>
      </c>
      <c r="I2601" s="1">
        <f>IF(ISERROR(MATCH(Tabla_Items_Con_Existencia[[#This Row],[CODIGO]],Tabla_Items_Activos[CODIGO],0)),0,1)</f>
        <v>0</v>
      </c>
    </row>
    <row r="2602" spans="1:9">
      <c r="A2602" s="2" t="s">
        <v>6759</v>
      </c>
      <c r="B2602" s="2" t="s">
        <v>3548</v>
      </c>
      <c r="C2602" s="2" t="s">
        <v>3549</v>
      </c>
      <c r="D2602" s="2" t="s">
        <v>5166</v>
      </c>
      <c r="E2602" s="2" t="s">
        <v>5163</v>
      </c>
      <c r="F2602" s="2">
        <v>0.252</v>
      </c>
      <c r="G2602" s="2">
        <v>441</v>
      </c>
      <c r="H2602" s="2">
        <f>Tabla_Items_Con_Existencia[[#This Row],[COSTO]]*Tabla_Items_Con_Existencia[[#This Row],[EXISTENCIA]]</f>
        <v>111.13200000000001</v>
      </c>
      <c r="I2602" s="1">
        <f>IF(ISERROR(MATCH(Tabla_Items_Con_Existencia[[#This Row],[CODIGO]],Tabla_Items_Activos[CODIGO],0)),0,1)</f>
        <v>0</v>
      </c>
    </row>
    <row r="2603" spans="1:9">
      <c r="A2603" s="2" t="s">
        <v>6759</v>
      </c>
      <c r="B2603" s="2" t="s">
        <v>3550</v>
      </c>
      <c r="C2603" s="2" t="s">
        <v>3551</v>
      </c>
      <c r="D2603" s="2" t="s">
        <v>5166</v>
      </c>
      <c r="E2603" s="2" t="s">
        <v>5163</v>
      </c>
      <c r="F2603" s="2">
        <v>0.14130000000000001</v>
      </c>
      <c r="G2603" s="2">
        <v>764</v>
      </c>
      <c r="H2603" s="2">
        <f>Tabla_Items_Con_Existencia[[#This Row],[COSTO]]*Tabla_Items_Con_Existencia[[#This Row],[EXISTENCIA]]</f>
        <v>107.95320000000001</v>
      </c>
      <c r="I2603" s="1">
        <f>IF(ISERROR(MATCH(Tabla_Items_Con_Existencia[[#This Row],[CODIGO]],Tabla_Items_Activos[CODIGO],0)),0,1)</f>
        <v>0</v>
      </c>
    </row>
    <row r="2604" spans="1:9">
      <c r="A2604" s="2" t="s">
        <v>6759</v>
      </c>
      <c r="B2604" s="2" t="s">
        <v>3552</v>
      </c>
      <c r="C2604" s="2" t="s">
        <v>6342</v>
      </c>
      <c r="D2604" s="2" t="s">
        <v>5166</v>
      </c>
      <c r="E2604" s="2" t="s">
        <v>5163</v>
      </c>
      <c r="F2604" s="2">
        <v>9.0999999999999998E-2</v>
      </c>
      <c r="G2604" s="2">
        <v>699</v>
      </c>
      <c r="H2604" s="2">
        <f>Tabla_Items_Con_Existencia[[#This Row],[COSTO]]*Tabla_Items_Con_Existencia[[#This Row],[EXISTENCIA]]</f>
        <v>63.609000000000002</v>
      </c>
      <c r="I2604" s="1">
        <f>IF(ISERROR(MATCH(Tabla_Items_Con_Existencia[[#This Row],[CODIGO]],Tabla_Items_Activos[CODIGO],0)),0,1)</f>
        <v>0</v>
      </c>
    </row>
    <row r="2605" spans="1:9">
      <c r="A2605" s="2" t="s">
        <v>6759</v>
      </c>
      <c r="B2605" s="2" t="s">
        <v>3554</v>
      </c>
      <c r="C2605" s="2" t="s">
        <v>3555</v>
      </c>
      <c r="D2605" s="2" t="s">
        <v>5166</v>
      </c>
      <c r="E2605" s="2" t="s">
        <v>5163</v>
      </c>
      <c r="F2605" s="2">
        <v>6.9000000000000006E-2</v>
      </c>
      <c r="G2605" s="2">
        <v>1046</v>
      </c>
      <c r="H2605" s="2">
        <f>Tabla_Items_Con_Existencia[[#This Row],[COSTO]]*Tabla_Items_Con_Existencia[[#This Row],[EXISTENCIA]]</f>
        <v>72.174000000000007</v>
      </c>
      <c r="I2605" s="1">
        <f>IF(ISERROR(MATCH(Tabla_Items_Con_Existencia[[#This Row],[CODIGO]],Tabla_Items_Activos[CODIGO],0)),0,1)</f>
        <v>0</v>
      </c>
    </row>
    <row r="2606" spans="1:9">
      <c r="A2606" s="2" t="s">
        <v>6760</v>
      </c>
      <c r="B2606" s="2" t="s">
        <v>3556</v>
      </c>
      <c r="C2606" s="2" t="s">
        <v>3557</v>
      </c>
      <c r="D2606" s="2" t="s">
        <v>7373</v>
      </c>
      <c r="E2606" s="2" t="s">
        <v>7368</v>
      </c>
      <c r="F2606" s="2">
        <v>0.96960000000000002</v>
      </c>
      <c r="G2606" s="2">
        <v>52</v>
      </c>
      <c r="H2606" s="2">
        <f>Tabla_Items_Con_Existencia[[#This Row],[COSTO]]*Tabla_Items_Con_Existencia[[#This Row],[EXISTENCIA]]</f>
        <v>50.419200000000004</v>
      </c>
      <c r="I2606" s="1">
        <f>IF(ISERROR(MATCH(Tabla_Items_Con_Existencia[[#This Row],[CODIGO]],Tabla_Items_Activos[CODIGO],0)),0,1)</f>
        <v>0</v>
      </c>
    </row>
    <row r="2607" spans="1:9">
      <c r="A2607" s="2" t="s">
        <v>6759</v>
      </c>
      <c r="B2607" s="2" t="s">
        <v>3556</v>
      </c>
      <c r="C2607" s="2" t="s">
        <v>3557</v>
      </c>
      <c r="D2607" s="2" t="s">
        <v>7373</v>
      </c>
      <c r="E2607" s="2" t="s">
        <v>7368</v>
      </c>
      <c r="F2607" s="2">
        <v>0.96960000000000002</v>
      </c>
      <c r="G2607" s="2">
        <v>52</v>
      </c>
      <c r="H2607" s="2">
        <f>Tabla_Items_Con_Existencia[[#This Row],[COSTO]]*Tabla_Items_Con_Existencia[[#This Row],[EXISTENCIA]]</f>
        <v>50.419200000000004</v>
      </c>
      <c r="I2607" s="1">
        <f>IF(ISERROR(MATCH(Tabla_Items_Con_Existencia[[#This Row],[CODIGO]],Tabla_Items_Activos[CODIGO],0)),0,1)</f>
        <v>0</v>
      </c>
    </row>
    <row r="2608" spans="1:9">
      <c r="A2608" s="2" t="s">
        <v>6759</v>
      </c>
      <c r="B2608" s="2" t="s">
        <v>3558</v>
      </c>
      <c r="C2608" s="2" t="s">
        <v>3559</v>
      </c>
      <c r="D2608" s="2" t="s">
        <v>5166</v>
      </c>
      <c r="E2608" s="2" t="s">
        <v>5163</v>
      </c>
      <c r="F2608" s="2">
        <v>0.13700000000000001</v>
      </c>
      <c r="G2608" s="2">
        <v>11607</v>
      </c>
      <c r="H2608" s="2">
        <f>Tabla_Items_Con_Existencia[[#This Row],[COSTO]]*Tabla_Items_Con_Existencia[[#This Row],[EXISTENCIA]]</f>
        <v>1590.1590000000001</v>
      </c>
      <c r="I2608" s="1">
        <f>IF(ISERROR(MATCH(Tabla_Items_Con_Existencia[[#This Row],[CODIGO]],Tabla_Items_Activos[CODIGO],0)),0,1)</f>
        <v>0</v>
      </c>
    </row>
    <row r="2609" spans="1:9">
      <c r="A2609" s="2" t="s">
        <v>6759</v>
      </c>
      <c r="B2609" s="2" t="s">
        <v>3560</v>
      </c>
      <c r="C2609" s="2" t="s">
        <v>3561</v>
      </c>
      <c r="D2609" s="2" t="s">
        <v>5162</v>
      </c>
      <c r="E2609" s="2" t="s">
        <v>5213</v>
      </c>
      <c r="F2609" s="2">
        <v>147.39169999999999</v>
      </c>
      <c r="G2609" s="2">
        <v>1.1200000000000001</v>
      </c>
      <c r="H2609" s="2">
        <f>Tabla_Items_Con_Existencia[[#This Row],[COSTO]]*Tabla_Items_Con_Existencia[[#This Row],[EXISTENCIA]]</f>
        <v>165.07870399999999</v>
      </c>
      <c r="I2609" s="1">
        <f>IF(ISERROR(MATCH(Tabla_Items_Con_Existencia[[#This Row],[CODIGO]],Tabla_Items_Activos[CODIGO],0)),0,1)</f>
        <v>0</v>
      </c>
    </row>
    <row r="2610" spans="1:9">
      <c r="A2610" s="2" t="s">
        <v>6759</v>
      </c>
      <c r="B2610" s="2" t="s">
        <v>3562</v>
      </c>
      <c r="C2610" s="2" t="s">
        <v>3563</v>
      </c>
      <c r="D2610" s="2" t="s">
        <v>5166</v>
      </c>
      <c r="E2610" s="2" t="s">
        <v>5163</v>
      </c>
      <c r="F2610" s="2">
        <v>0.19700000000000001</v>
      </c>
      <c r="G2610" s="2">
        <v>11012</v>
      </c>
      <c r="H2610" s="2">
        <f>Tabla_Items_Con_Existencia[[#This Row],[COSTO]]*Tabla_Items_Con_Existencia[[#This Row],[EXISTENCIA]]</f>
        <v>2169.364</v>
      </c>
      <c r="I2610" s="1">
        <f>IF(ISERROR(MATCH(Tabla_Items_Con_Existencia[[#This Row],[CODIGO]],Tabla_Items_Activos[CODIGO],0)),0,1)</f>
        <v>0</v>
      </c>
    </row>
    <row r="2611" spans="1:9">
      <c r="A2611" s="2" t="s">
        <v>6759</v>
      </c>
      <c r="B2611" s="2" t="s">
        <v>3564</v>
      </c>
      <c r="C2611" s="2" t="s">
        <v>3565</v>
      </c>
      <c r="D2611" s="2" t="s">
        <v>5166</v>
      </c>
      <c r="E2611" s="2" t="s">
        <v>5163</v>
      </c>
      <c r="F2611" s="2">
        <v>0.187</v>
      </c>
      <c r="G2611" s="2">
        <v>11343</v>
      </c>
      <c r="H2611" s="2">
        <f>Tabla_Items_Con_Existencia[[#This Row],[COSTO]]*Tabla_Items_Con_Existencia[[#This Row],[EXISTENCIA]]</f>
        <v>2121.1410000000001</v>
      </c>
      <c r="I2611" s="1">
        <f>IF(ISERROR(MATCH(Tabla_Items_Con_Existencia[[#This Row],[CODIGO]],Tabla_Items_Activos[CODIGO],0)),0,1)</f>
        <v>0</v>
      </c>
    </row>
    <row r="2612" spans="1:9">
      <c r="A2612" s="2" t="s">
        <v>6759</v>
      </c>
      <c r="B2612" s="2" t="s">
        <v>3566</v>
      </c>
      <c r="C2612" s="2" t="s">
        <v>3567</v>
      </c>
      <c r="D2612" s="2" t="s">
        <v>5166</v>
      </c>
      <c r="E2612" s="2" t="s">
        <v>5163</v>
      </c>
      <c r="F2612" s="2">
        <v>0.14499999999999999</v>
      </c>
      <c r="G2612" s="2">
        <v>722</v>
      </c>
      <c r="H2612" s="2">
        <f>Tabla_Items_Con_Existencia[[#This Row],[COSTO]]*Tabla_Items_Con_Existencia[[#This Row],[EXISTENCIA]]</f>
        <v>104.69</v>
      </c>
      <c r="I2612" s="1">
        <f>IF(ISERROR(MATCH(Tabla_Items_Con_Existencia[[#This Row],[CODIGO]],Tabla_Items_Activos[CODIGO],0)),0,1)</f>
        <v>0</v>
      </c>
    </row>
    <row r="2613" spans="1:9">
      <c r="A2613" s="2" t="s">
        <v>6759</v>
      </c>
      <c r="B2613" s="2" t="s">
        <v>3568</v>
      </c>
      <c r="C2613" s="2" t="s">
        <v>3569</v>
      </c>
      <c r="D2613" s="2" t="s">
        <v>5166</v>
      </c>
      <c r="E2613" s="2" t="s">
        <v>5163</v>
      </c>
      <c r="F2613" s="2">
        <v>0.14000000000000001</v>
      </c>
      <c r="G2613" s="2">
        <v>392</v>
      </c>
      <c r="H2613" s="2">
        <f>Tabla_Items_Con_Existencia[[#This Row],[COSTO]]*Tabla_Items_Con_Existencia[[#This Row],[EXISTENCIA]]</f>
        <v>54.88</v>
      </c>
      <c r="I2613" s="1">
        <f>IF(ISERROR(MATCH(Tabla_Items_Con_Existencia[[#This Row],[CODIGO]],Tabla_Items_Activos[CODIGO],0)),0,1)</f>
        <v>0</v>
      </c>
    </row>
    <row r="2614" spans="1:9">
      <c r="A2614" s="2" t="s">
        <v>6759</v>
      </c>
      <c r="B2614" s="2" t="s">
        <v>3570</v>
      </c>
      <c r="C2614" s="2" t="s">
        <v>3571</v>
      </c>
      <c r="D2614" s="2" t="s">
        <v>5166</v>
      </c>
      <c r="E2614" s="2" t="s">
        <v>5163</v>
      </c>
      <c r="F2614" s="2">
        <v>0.30299999999999999</v>
      </c>
      <c r="G2614" s="2">
        <v>506</v>
      </c>
      <c r="H2614" s="2">
        <f>Tabla_Items_Con_Existencia[[#This Row],[COSTO]]*Tabla_Items_Con_Existencia[[#This Row],[EXISTENCIA]]</f>
        <v>153.31799999999998</v>
      </c>
      <c r="I2614" s="1">
        <f>IF(ISERROR(MATCH(Tabla_Items_Con_Existencia[[#This Row],[CODIGO]],Tabla_Items_Activos[CODIGO],0)),0,1)</f>
        <v>0</v>
      </c>
    </row>
    <row r="2615" spans="1:9">
      <c r="A2615" s="2" t="s">
        <v>6759</v>
      </c>
      <c r="B2615" s="2" t="s">
        <v>3572</v>
      </c>
      <c r="C2615" s="2" t="s">
        <v>3573</v>
      </c>
      <c r="D2615" s="2" t="s">
        <v>5166</v>
      </c>
      <c r="E2615" s="2" t="s">
        <v>5163</v>
      </c>
      <c r="F2615" s="2">
        <v>0.14000000000000001</v>
      </c>
      <c r="G2615" s="2">
        <v>288</v>
      </c>
      <c r="H2615" s="2">
        <f>Tabla_Items_Con_Existencia[[#This Row],[COSTO]]*Tabla_Items_Con_Existencia[[#This Row],[EXISTENCIA]]</f>
        <v>40.320000000000007</v>
      </c>
      <c r="I2615" s="1">
        <f>IF(ISERROR(MATCH(Tabla_Items_Con_Existencia[[#This Row],[CODIGO]],Tabla_Items_Activos[CODIGO],0)),0,1)</f>
        <v>0</v>
      </c>
    </row>
    <row r="2616" spans="1:9">
      <c r="A2616" s="2" t="s">
        <v>6760</v>
      </c>
      <c r="B2616" s="2" t="s">
        <v>3574</v>
      </c>
      <c r="C2616" s="2" t="s">
        <v>6727</v>
      </c>
      <c r="D2616" s="2" t="s">
        <v>5162</v>
      </c>
      <c r="E2616" s="2" t="s">
        <v>5214</v>
      </c>
      <c r="F2616" s="2">
        <v>1.7965599999999999</v>
      </c>
      <c r="G2616" s="2">
        <v>1283</v>
      </c>
      <c r="H2616" s="2">
        <f>Tabla_Items_Con_Existencia[[#This Row],[COSTO]]*Tabla_Items_Con_Existencia[[#This Row],[EXISTENCIA]]</f>
        <v>2304.98648</v>
      </c>
      <c r="I2616" s="1">
        <f>IF(ISERROR(MATCH(Tabla_Items_Con_Existencia[[#This Row],[CODIGO]],Tabla_Items_Activos[CODIGO],0)),0,1)</f>
        <v>0</v>
      </c>
    </row>
    <row r="2617" spans="1:9">
      <c r="A2617" s="2" t="s">
        <v>6759</v>
      </c>
      <c r="B2617" s="2" t="s">
        <v>3574</v>
      </c>
      <c r="C2617" s="2" t="s">
        <v>6727</v>
      </c>
      <c r="D2617" s="2" t="s">
        <v>5162</v>
      </c>
      <c r="E2617" s="2" t="s">
        <v>5214</v>
      </c>
      <c r="F2617" s="2">
        <v>1.7965599999999999</v>
      </c>
      <c r="G2617" s="2">
        <v>1283</v>
      </c>
      <c r="H2617" s="2">
        <f>Tabla_Items_Con_Existencia[[#This Row],[COSTO]]*Tabla_Items_Con_Existencia[[#This Row],[EXISTENCIA]]</f>
        <v>2304.98648</v>
      </c>
      <c r="I2617" s="1">
        <f>IF(ISERROR(MATCH(Tabla_Items_Con_Existencia[[#This Row],[CODIGO]],Tabla_Items_Activos[CODIGO],0)),0,1)</f>
        <v>0</v>
      </c>
    </row>
    <row r="2618" spans="1:9">
      <c r="A2618" s="2" t="s">
        <v>6759</v>
      </c>
      <c r="B2618" s="2" t="s">
        <v>3576</v>
      </c>
      <c r="C2618" s="2" t="s">
        <v>3577</v>
      </c>
      <c r="D2618" s="2" t="s">
        <v>5166</v>
      </c>
      <c r="E2618" s="2" t="s">
        <v>5163</v>
      </c>
      <c r="F2618" s="2">
        <v>0.1</v>
      </c>
      <c r="G2618" s="2">
        <v>258</v>
      </c>
      <c r="H2618" s="2">
        <f>Tabla_Items_Con_Existencia[[#This Row],[COSTO]]*Tabla_Items_Con_Existencia[[#This Row],[EXISTENCIA]]</f>
        <v>25.8</v>
      </c>
      <c r="I2618" s="1">
        <f>IF(ISERROR(MATCH(Tabla_Items_Con_Existencia[[#This Row],[CODIGO]],Tabla_Items_Activos[CODIGO],0)),0,1)</f>
        <v>0</v>
      </c>
    </row>
    <row r="2619" spans="1:9">
      <c r="A2619" s="2" t="s">
        <v>6759</v>
      </c>
      <c r="B2619" s="2" t="s">
        <v>3578</v>
      </c>
      <c r="C2619" s="2" t="s">
        <v>3579</v>
      </c>
      <c r="D2619" s="2" t="s">
        <v>5166</v>
      </c>
      <c r="E2619" s="2" t="s">
        <v>5163</v>
      </c>
      <c r="F2619" s="2">
        <v>9.9000000000000005E-2</v>
      </c>
      <c r="G2619" s="2">
        <v>288</v>
      </c>
      <c r="H2619" s="2">
        <f>Tabla_Items_Con_Existencia[[#This Row],[COSTO]]*Tabla_Items_Con_Existencia[[#This Row],[EXISTENCIA]]</f>
        <v>28.512</v>
      </c>
      <c r="I2619" s="1">
        <f>IF(ISERROR(MATCH(Tabla_Items_Con_Existencia[[#This Row],[CODIGO]],Tabla_Items_Activos[CODIGO],0)),0,1)</f>
        <v>0</v>
      </c>
    </row>
    <row r="2620" spans="1:9">
      <c r="A2620" s="2" t="s">
        <v>6759</v>
      </c>
      <c r="B2620" s="2" t="s">
        <v>3580</v>
      </c>
      <c r="C2620" s="2" t="s">
        <v>3581</v>
      </c>
      <c r="D2620" s="2" t="s">
        <v>5166</v>
      </c>
      <c r="E2620" s="2" t="s">
        <v>5163</v>
      </c>
      <c r="F2620" s="2">
        <v>0.215</v>
      </c>
      <c r="G2620" s="2">
        <v>831</v>
      </c>
      <c r="H2620" s="2">
        <f>Tabla_Items_Con_Existencia[[#This Row],[COSTO]]*Tabla_Items_Con_Existencia[[#This Row],[EXISTENCIA]]</f>
        <v>178.66499999999999</v>
      </c>
      <c r="I2620" s="1">
        <f>IF(ISERROR(MATCH(Tabla_Items_Con_Existencia[[#This Row],[CODIGO]],Tabla_Items_Activos[CODIGO],0)),0,1)</f>
        <v>0</v>
      </c>
    </row>
    <row r="2621" spans="1:9">
      <c r="A2621" s="2" t="s">
        <v>6759</v>
      </c>
      <c r="B2621" s="2" t="s">
        <v>7054</v>
      </c>
      <c r="C2621" s="2" t="s">
        <v>7055</v>
      </c>
      <c r="D2621" s="2" t="s">
        <v>5166</v>
      </c>
      <c r="E2621" s="2" t="s">
        <v>5163</v>
      </c>
      <c r="F2621" s="2">
        <v>9.5200000000000007E-2</v>
      </c>
      <c r="G2621" s="2">
        <v>2242</v>
      </c>
      <c r="H2621" s="2">
        <f>Tabla_Items_Con_Existencia[[#This Row],[COSTO]]*Tabla_Items_Con_Existencia[[#This Row],[EXISTENCIA]]</f>
        <v>213.4384</v>
      </c>
      <c r="I2621" s="1">
        <f>IF(ISERROR(MATCH(Tabla_Items_Con_Existencia[[#This Row],[CODIGO]],Tabla_Items_Activos[CODIGO],0)),0,1)</f>
        <v>0</v>
      </c>
    </row>
    <row r="2622" spans="1:9">
      <c r="A2622" s="2" t="s">
        <v>6759</v>
      </c>
      <c r="B2622" s="2" t="s">
        <v>7056</v>
      </c>
      <c r="C2622" s="2" t="s">
        <v>7057</v>
      </c>
      <c r="D2622" s="2" t="s">
        <v>5166</v>
      </c>
      <c r="E2622" s="2" t="s">
        <v>5163</v>
      </c>
      <c r="F2622" s="2">
        <v>9.5500000000000002E-2</v>
      </c>
      <c r="G2622" s="2">
        <v>2231</v>
      </c>
      <c r="H2622" s="2">
        <f>Tabla_Items_Con_Existencia[[#This Row],[COSTO]]*Tabla_Items_Con_Existencia[[#This Row],[EXISTENCIA]]</f>
        <v>213.06049999999999</v>
      </c>
      <c r="I2622" s="1">
        <f>IF(ISERROR(MATCH(Tabla_Items_Con_Existencia[[#This Row],[CODIGO]],Tabla_Items_Activos[CODIGO],0)),0,1)</f>
        <v>0</v>
      </c>
    </row>
    <row r="2623" spans="1:9">
      <c r="A2623" s="2" t="s">
        <v>6759</v>
      </c>
      <c r="B2623" s="2" t="s">
        <v>3584</v>
      </c>
      <c r="C2623" s="2" t="s">
        <v>3585</v>
      </c>
      <c r="D2623" s="2" t="s">
        <v>5166</v>
      </c>
      <c r="E2623" s="2" t="s">
        <v>5163</v>
      </c>
      <c r="F2623" s="2">
        <v>9.69E-2</v>
      </c>
      <c r="G2623" s="2">
        <v>723</v>
      </c>
      <c r="H2623" s="2">
        <f>Tabla_Items_Con_Existencia[[#This Row],[COSTO]]*Tabla_Items_Con_Existencia[[#This Row],[EXISTENCIA]]</f>
        <v>70.058700000000002</v>
      </c>
      <c r="I2623" s="1">
        <f>IF(ISERROR(MATCH(Tabla_Items_Con_Existencia[[#This Row],[CODIGO]],Tabla_Items_Activos[CODIGO],0)),0,1)</f>
        <v>0</v>
      </c>
    </row>
    <row r="2624" spans="1:9">
      <c r="A2624" s="2" t="s">
        <v>6759</v>
      </c>
      <c r="B2624" s="2" t="s">
        <v>3588</v>
      </c>
      <c r="C2624" s="2" t="s">
        <v>3589</v>
      </c>
      <c r="D2624" s="2" t="s">
        <v>5166</v>
      </c>
      <c r="E2624" s="2" t="s">
        <v>5163</v>
      </c>
      <c r="F2624" s="2">
        <v>0.19600000000000001</v>
      </c>
      <c r="G2624" s="2">
        <v>907</v>
      </c>
      <c r="H2624" s="2">
        <f>Tabla_Items_Con_Existencia[[#This Row],[COSTO]]*Tabla_Items_Con_Existencia[[#This Row],[EXISTENCIA]]</f>
        <v>177.77200000000002</v>
      </c>
      <c r="I2624" s="1">
        <f>IF(ISERROR(MATCH(Tabla_Items_Con_Existencia[[#This Row],[CODIGO]],Tabla_Items_Activos[CODIGO],0)),0,1)</f>
        <v>0</v>
      </c>
    </row>
    <row r="2625" spans="1:9">
      <c r="A2625" s="2" t="s">
        <v>6759</v>
      </c>
      <c r="B2625" s="2" t="s">
        <v>3590</v>
      </c>
      <c r="C2625" s="2" t="s">
        <v>3591</v>
      </c>
      <c r="D2625" s="2" t="s">
        <v>5166</v>
      </c>
      <c r="E2625" s="2" t="s">
        <v>5163</v>
      </c>
      <c r="F2625" s="2">
        <v>0.36</v>
      </c>
      <c r="G2625" s="2">
        <v>396</v>
      </c>
      <c r="H2625" s="2">
        <f>Tabla_Items_Con_Existencia[[#This Row],[COSTO]]*Tabla_Items_Con_Existencia[[#This Row],[EXISTENCIA]]</f>
        <v>142.56</v>
      </c>
      <c r="I2625" s="1">
        <f>IF(ISERROR(MATCH(Tabla_Items_Con_Existencia[[#This Row],[CODIGO]],Tabla_Items_Activos[CODIGO],0)),0,1)</f>
        <v>0</v>
      </c>
    </row>
    <row r="2626" spans="1:9">
      <c r="A2626" s="2" t="s">
        <v>6759</v>
      </c>
      <c r="B2626" s="2" t="s">
        <v>3592</v>
      </c>
      <c r="C2626" s="2" t="s">
        <v>3593</v>
      </c>
      <c r="D2626" s="2" t="s">
        <v>5162</v>
      </c>
      <c r="E2626" s="2" t="s">
        <v>5213</v>
      </c>
      <c r="F2626" s="2">
        <v>217.96199999999999</v>
      </c>
      <c r="G2626" s="2">
        <v>79.06</v>
      </c>
      <c r="H2626" s="2">
        <f>Tabla_Items_Con_Existencia[[#This Row],[COSTO]]*Tabla_Items_Con_Existencia[[#This Row],[EXISTENCIA]]</f>
        <v>17232.075720000001</v>
      </c>
      <c r="I2626" s="1">
        <f>IF(ISERROR(MATCH(Tabla_Items_Con_Existencia[[#This Row],[CODIGO]],Tabla_Items_Activos[CODIGO],0)),0,1)</f>
        <v>0</v>
      </c>
    </row>
    <row r="2627" spans="1:9">
      <c r="A2627" s="2" t="s">
        <v>6760</v>
      </c>
      <c r="B2627" s="2" t="s">
        <v>3596</v>
      </c>
      <c r="C2627" s="2" t="s">
        <v>3597</v>
      </c>
      <c r="D2627" s="2" t="s">
        <v>5162</v>
      </c>
      <c r="E2627" s="2" t="s">
        <v>5212</v>
      </c>
      <c r="F2627" s="2">
        <v>1.2458800000000001</v>
      </c>
      <c r="G2627" s="2">
        <v>4320</v>
      </c>
      <c r="H2627" s="2">
        <f>Tabla_Items_Con_Existencia[[#This Row],[COSTO]]*Tabla_Items_Con_Existencia[[#This Row],[EXISTENCIA]]</f>
        <v>5382.2016000000003</v>
      </c>
      <c r="I2627" s="1">
        <f>IF(ISERROR(MATCH(Tabla_Items_Con_Existencia[[#This Row],[CODIGO]],Tabla_Items_Activos[CODIGO],0)),0,1)</f>
        <v>0</v>
      </c>
    </row>
    <row r="2628" spans="1:9">
      <c r="A2628" s="2" t="s">
        <v>6759</v>
      </c>
      <c r="B2628" s="2" t="s">
        <v>3596</v>
      </c>
      <c r="C2628" s="2" t="s">
        <v>3597</v>
      </c>
      <c r="D2628" s="2" t="s">
        <v>5162</v>
      </c>
      <c r="E2628" s="2" t="s">
        <v>5212</v>
      </c>
      <c r="F2628" s="2">
        <v>1.2458800000000001</v>
      </c>
      <c r="G2628" s="2">
        <v>4320</v>
      </c>
      <c r="H2628" s="2">
        <f>Tabla_Items_Con_Existencia[[#This Row],[COSTO]]*Tabla_Items_Con_Existencia[[#This Row],[EXISTENCIA]]</f>
        <v>5382.2016000000003</v>
      </c>
      <c r="I2628" s="1">
        <f>IF(ISERROR(MATCH(Tabla_Items_Con_Existencia[[#This Row],[CODIGO]],Tabla_Items_Activos[CODIGO],0)),0,1)</f>
        <v>0</v>
      </c>
    </row>
    <row r="2629" spans="1:9">
      <c r="A2629" s="2" t="s">
        <v>6759</v>
      </c>
      <c r="B2629" s="2" t="s">
        <v>3598</v>
      </c>
      <c r="C2629" s="2" t="s">
        <v>3599</v>
      </c>
      <c r="D2629" s="2" t="s">
        <v>5162</v>
      </c>
      <c r="E2629" s="2" t="s">
        <v>5212</v>
      </c>
      <c r="F2629" s="2">
        <v>0.23680000000000001</v>
      </c>
      <c r="G2629" s="2">
        <v>1004</v>
      </c>
      <c r="H2629" s="2">
        <f>Tabla_Items_Con_Existencia[[#This Row],[COSTO]]*Tabla_Items_Con_Existencia[[#This Row],[EXISTENCIA]]</f>
        <v>237.74720000000002</v>
      </c>
      <c r="I2629" s="1">
        <f>IF(ISERROR(MATCH(Tabla_Items_Con_Existencia[[#This Row],[CODIGO]],Tabla_Items_Activos[CODIGO],0)),0,1)</f>
        <v>0</v>
      </c>
    </row>
    <row r="2630" spans="1:9">
      <c r="A2630" s="2" t="s">
        <v>6760</v>
      </c>
      <c r="B2630" s="2" t="s">
        <v>3598</v>
      </c>
      <c r="C2630" s="2" t="s">
        <v>3599</v>
      </c>
      <c r="D2630" s="2" t="s">
        <v>5162</v>
      </c>
      <c r="E2630" s="2" t="s">
        <v>5212</v>
      </c>
      <c r="F2630" s="2">
        <v>0.23680000000000001</v>
      </c>
      <c r="G2630" s="2">
        <v>1004</v>
      </c>
      <c r="H2630" s="2">
        <f>Tabla_Items_Con_Existencia[[#This Row],[COSTO]]*Tabla_Items_Con_Existencia[[#This Row],[EXISTENCIA]]</f>
        <v>237.74720000000002</v>
      </c>
      <c r="I2630" s="1">
        <f>IF(ISERROR(MATCH(Tabla_Items_Con_Existencia[[#This Row],[CODIGO]],Tabla_Items_Activos[CODIGO],0)),0,1)</f>
        <v>0</v>
      </c>
    </row>
    <row r="2631" spans="1:9">
      <c r="A2631" s="2" t="s">
        <v>6759</v>
      </c>
      <c r="B2631" s="2" t="s">
        <v>5988</v>
      </c>
      <c r="C2631" s="2" t="s">
        <v>5989</v>
      </c>
      <c r="D2631" s="2" t="s">
        <v>5162</v>
      </c>
      <c r="E2631" s="2" t="s">
        <v>5213</v>
      </c>
      <c r="F2631" s="2">
        <v>1.1608000000000001</v>
      </c>
      <c r="G2631" s="2">
        <v>763</v>
      </c>
      <c r="H2631" s="2">
        <f>Tabla_Items_Con_Existencia[[#This Row],[COSTO]]*Tabla_Items_Con_Existencia[[#This Row],[EXISTENCIA]]</f>
        <v>885.69040000000007</v>
      </c>
      <c r="I2631" s="1">
        <f>IF(ISERROR(MATCH(Tabla_Items_Con_Existencia[[#This Row],[CODIGO]],Tabla_Items_Activos[CODIGO],0)),0,1)</f>
        <v>0</v>
      </c>
    </row>
    <row r="2632" spans="1:9">
      <c r="A2632" s="2" t="s">
        <v>6759</v>
      </c>
      <c r="B2632" s="2" t="s">
        <v>3600</v>
      </c>
      <c r="C2632" s="2" t="s">
        <v>3601</v>
      </c>
      <c r="D2632" s="2" t="s">
        <v>5162</v>
      </c>
      <c r="E2632" s="2" t="s">
        <v>5213</v>
      </c>
      <c r="F2632" s="2">
        <v>24</v>
      </c>
      <c r="G2632" s="2">
        <v>118</v>
      </c>
      <c r="H2632" s="2">
        <f>Tabla_Items_Con_Existencia[[#This Row],[COSTO]]*Tabla_Items_Con_Existencia[[#This Row],[EXISTENCIA]]</f>
        <v>2832</v>
      </c>
      <c r="I2632" s="1">
        <f>IF(ISERROR(MATCH(Tabla_Items_Con_Existencia[[#This Row],[CODIGO]],Tabla_Items_Activos[CODIGO],0)),0,1)</f>
        <v>0</v>
      </c>
    </row>
    <row r="2633" spans="1:9">
      <c r="A2633" s="2" t="s">
        <v>6759</v>
      </c>
      <c r="B2633" s="2" t="s">
        <v>3602</v>
      </c>
      <c r="C2633" s="2" t="s">
        <v>6343</v>
      </c>
      <c r="D2633" s="2" t="s">
        <v>5166</v>
      </c>
      <c r="E2633" s="2" t="s">
        <v>5163</v>
      </c>
      <c r="F2633" s="2">
        <v>0.13800000000000001</v>
      </c>
      <c r="G2633" s="2">
        <v>901</v>
      </c>
      <c r="H2633" s="2">
        <f>Tabla_Items_Con_Existencia[[#This Row],[COSTO]]*Tabla_Items_Con_Existencia[[#This Row],[EXISTENCIA]]</f>
        <v>124.33800000000001</v>
      </c>
      <c r="I2633" s="1">
        <f>IF(ISERROR(MATCH(Tabla_Items_Con_Existencia[[#This Row],[CODIGO]],Tabla_Items_Activos[CODIGO],0)),0,1)</f>
        <v>0</v>
      </c>
    </row>
    <row r="2634" spans="1:9">
      <c r="A2634" s="2" t="s">
        <v>6759</v>
      </c>
      <c r="B2634" s="2" t="s">
        <v>3604</v>
      </c>
      <c r="C2634" s="2" t="s">
        <v>3605</v>
      </c>
      <c r="D2634" s="2" t="s">
        <v>5166</v>
      </c>
      <c r="E2634" s="2" t="s">
        <v>5163</v>
      </c>
      <c r="F2634" s="2">
        <v>0.19</v>
      </c>
      <c r="G2634" s="2">
        <v>1569</v>
      </c>
      <c r="H2634" s="2">
        <f>Tabla_Items_Con_Existencia[[#This Row],[COSTO]]*Tabla_Items_Con_Existencia[[#This Row],[EXISTENCIA]]</f>
        <v>298.11</v>
      </c>
      <c r="I2634" s="1">
        <f>IF(ISERROR(MATCH(Tabla_Items_Con_Existencia[[#This Row],[CODIGO]],Tabla_Items_Activos[CODIGO],0)),0,1)</f>
        <v>0</v>
      </c>
    </row>
    <row r="2635" spans="1:9">
      <c r="A2635" s="2" t="s">
        <v>6759</v>
      </c>
      <c r="B2635" s="2" t="s">
        <v>3606</v>
      </c>
      <c r="C2635" s="2" t="s">
        <v>3607</v>
      </c>
      <c r="D2635" s="2" t="s">
        <v>5166</v>
      </c>
      <c r="E2635" s="2" t="s">
        <v>5163</v>
      </c>
      <c r="F2635" s="2">
        <v>7.6999999999999999E-2</v>
      </c>
      <c r="G2635" s="2">
        <v>625</v>
      </c>
      <c r="H2635" s="2">
        <f>Tabla_Items_Con_Existencia[[#This Row],[COSTO]]*Tabla_Items_Con_Existencia[[#This Row],[EXISTENCIA]]</f>
        <v>48.125</v>
      </c>
      <c r="I2635" s="1">
        <f>IF(ISERROR(MATCH(Tabla_Items_Con_Existencia[[#This Row],[CODIGO]],Tabla_Items_Activos[CODIGO],0)),0,1)</f>
        <v>0</v>
      </c>
    </row>
    <row r="2636" spans="1:9">
      <c r="A2636" s="2" t="s">
        <v>6759</v>
      </c>
      <c r="B2636" s="2" t="s">
        <v>3608</v>
      </c>
      <c r="C2636" s="2" t="s">
        <v>3609</v>
      </c>
      <c r="D2636" s="2" t="s">
        <v>5166</v>
      </c>
      <c r="E2636" s="2" t="s">
        <v>5163</v>
      </c>
      <c r="F2636" s="2">
        <v>0.17810000000000001</v>
      </c>
      <c r="G2636" s="2">
        <v>1119</v>
      </c>
      <c r="H2636" s="2">
        <f>Tabla_Items_Con_Existencia[[#This Row],[COSTO]]*Tabla_Items_Con_Existencia[[#This Row],[EXISTENCIA]]</f>
        <v>199.29390000000001</v>
      </c>
      <c r="I2636" s="1">
        <f>IF(ISERROR(MATCH(Tabla_Items_Con_Existencia[[#This Row],[CODIGO]],Tabla_Items_Activos[CODIGO],0)),0,1)</f>
        <v>0</v>
      </c>
    </row>
    <row r="2637" spans="1:9">
      <c r="A2637" s="2" t="s">
        <v>6759</v>
      </c>
      <c r="B2637" s="2" t="s">
        <v>3610</v>
      </c>
      <c r="C2637" s="2" t="s">
        <v>3611</v>
      </c>
      <c r="D2637" s="2" t="s">
        <v>5166</v>
      </c>
      <c r="E2637" s="2" t="s">
        <v>5163</v>
      </c>
      <c r="F2637" s="2">
        <v>9.4899999999999998E-2</v>
      </c>
      <c r="G2637" s="2">
        <v>1738</v>
      </c>
      <c r="H2637" s="2">
        <f>Tabla_Items_Con_Existencia[[#This Row],[COSTO]]*Tabla_Items_Con_Existencia[[#This Row],[EXISTENCIA]]</f>
        <v>164.93619999999999</v>
      </c>
      <c r="I2637" s="1">
        <f>IF(ISERROR(MATCH(Tabla_Items_Con_Existencia[[#This Row],[CODIGO]],Tabla_Items_Activos[CODIGO],0)),0,1)</f>
        <v>0</v>
      </c>
    </row>
    <row r="2638" spans="1:9">
      <c r="A2638" s="2" t="s">
        <v>6759</v>
      </c>
      <c r="B2638" s="2" t="s">
        <v>3612</v>
      </c>
      <c r="C2638" s="2" t="s">
        <v>3613</v>
      </c>
      <c r="D2638" s="2" t="s">
        <v>5166</v>
      </c>
      <c r="E2638" s="2" t="s">
        <v>5163</v>
      </c>
      <c r="F2638" s="2">
        <v>0.13</v>
      </c>
      <c r="G2638" s="2">
        <v>252</v>
      </c>
      <c r="H2638" s="2">
        <f>Tabla_Items_Con_Existencia[[#This Row],[COSTO]]*Tabla_Items_Con_Existencia[[#This Row],[EXISTENCIA]]</f>
        <v>32.76</v>
      </c>
      <c r="I2638" s="1">
        <f>IF(ISERROR(MATCH(Tabla_Items_Con_Existencia[[#This Row],[CODIGO]],Tabla_Items_Activos[CODIGO],0)),0,1)</f>
        <v>0</v>
      </c>
    </row>
    <row r="2639" spans="1:9">
      <c r="A2639" s="2" t="s">
        <v>6759</v>
      </c>
      <c r="B2639" s="2" t="s">
        <v>3614</v>
      </c>
      <c r="C2639" s="2" t="s">
        <v>3615</v>
      </c>
      <c r="D2639" s="2" t="s">
        <v>5166</v>
      </c>
      <c r="E2639" s="2" t="s">
        <v>5163</v>
      </c>
      <c r="F2639" s="2">
        <v>8.0100000000000005E-2</v>
      </c>
      <c r="G2639" s="2">
        <v>1204</v>
      </c>
      <c r="H2639" s="2">
        <f>Tabla_Items_Con_Existencia[[#This Row],[COSTO]]*Tabla_Items_Con_Existencia[[#This Row],[EXISTENCIA]]</f>
        <v>96.440400000000011</v>
      </c>
      <c r="I2639" s="1">
        <f>IF(ISERROR(MATCH(Tabla_Items_Con_Existencia[[#This Row],[CODIGO]],Tabla_Items_Activos[CODIGO],0)),0,1)</f>
        <v>0</v>
      </c>
    </row>
    <row r="2640" spans="1:9">
      <c r="A2640" s="2" t="s">
        <v>6759</v>
      </c>
      <c r="B2640" s="2" t="s">
        <v>3616</v>
      </c>
      <c r="C2640" s="2" t="s">
        <v>3617</v>
      </c>
      <c r="D2640" s="2" t="s">
        <v>5166</v>
      </c>
      <c r="E2640" s="2" t="s">
        <v>5163</v>
      </c>
      <c r="F2640" s="2">
        <v>0.27300000000000002</v>
      </c>
      <c r="G2640" s="2">
        <v>394</v>
      </c>
      <c r="H2640" s="2">
        <f>Tabla_Items_Con_Existencia[[#This Row],[COSTO]]*Tabla_Items_Con_Existencia[[#This Row],[EXISTENCIA]]</f>
        <v>107.56200000000001</v>
      </c>
      <c r="I2640" s="1">
        <f>IF(ISERROR(MATCH(Tabla_Items_Con_Existencia[[#This Row],[CODIGO]],Tabla_Items_Activos[CODIGO],0)),0,1)</f>
        <v>0</v>
      </c>
    </row>
    <row r="2641" spans="1:9">
      <c r="A2641" s="2" t="s">
        <v>6759</v>
      </c>
      <c r="B2641" s="2" t="s">
        <v>3618</v>
      </c>
      <c r="C2641" s="2" t="s">
        <v>3619</v>
      </c>
      <c r="D2641" s="2" t="s">
        <v>5166</v>
      </c>
      <c r="E2641" s="2" t="s">
        <v>5163</v>
      </c>
      <c r="F2641" s="2">
        <v>0.11700000000000001</v>
      </c>
      <c r="G2641" s="2">
        <v>2028</v>
      </c>
      <c r="H2641" s="2">
        <f>Tabla_Items_Con_Existencia[[#This Row],[COSTO]]*Tabla_Items_Con_Existencia[[#This Row],[EXISTENCIA]]</f>
        <v>237.27600000000001</v>
      </c>
      <c r="I2641" s="1">
        <f>IF(ISERROR(MATCH(Tabla_Items_Con_Existencia[[#This Row],[CODIGO]],Tabla_Items_Activos[CODIGO],0)),0,1)</f>
        <v>0</v>
      </c>
    </row>
    <row r="2642" spans="1:9">
      <c r="A2642" s="2" t="s">
        <v>6759</v>
      </c>
      <c r="B2642" s="2" t="s">
        <v>3620</v>
      </c>
      <c r="C2642" s="2" t="s">
        <v>3621</v>
      </c>
      <c r="D2642" s="2" t="s">
        <v>5162</v>
      </c>
      <c r="E2642" s="2" t="s">
        <v>5210</v>
      </c>
      <c r="F2642" s="2">
        <v>65.599999999999994</v>
      </c>
      <c r="G2642" s="2">
        <v>6.0250000000000004</v>
      </c>
      <c r="H2642" s="2">
        <f>Tabla_Items_Con_Existencia[[#This Row],[COSTO]]*Tabla_Items_Con_Existencia[[#This Row],[EXISTENCIA]]</f>
        <v>395.24</v>
      </c>
      <c r="I2642" s="1">
        <f>IF(ISERROR(MATCH(Tabla_Items_Con_Existencia[[#This Row],[CODIGO]],Tabla_Items_Activos[CODIGO],0)),0,1)</f>
        <v>0</v>
      </c>
    </row>
    <row r="2643" spans="1:9">
      <c r="A2643" s="2" t="s">
        <v>6759</v>
      </c>
      <c r="B2643" s="2" t="s">
        <v>3622</v>
      </c>
      <c r="C2643" s="2" t="s">
        <v>3623</v>
      </c>
      <c r="D2643" s="2" t="s">
        <v>5162</v>
      </c>
      <c r="E2643" s="2" t="s">
        <v>5210</v>
      </c>
      <c r="F2643" s="2">
        <v>81.599999999999994</v>
      </c>
      <c r="G2643" s="2">
        <v>31</v>
      </c>
      <c r="H2643" s="2">
        <f>Tabla_Items_Con_Existencia[[#This Row],[COSTO]]*Tabla_Items_Con_Existencia[[#This Row],[EXISTENCIA]]</f>
        <v>2529.6</v>
      </c>
      <c r="I2643" s="1">
        <f>IF(ISERROR(MATCH(Tabla_Items_Con_Existencia[[#This Row],[CODIGO]],Tabla_Items_Activos[CODIGO],0)),0,1)</f>
        <v>0</v>
      </c>
    </row>
    <row r="2644" spans="1:9">
      <c r="A2644" s="2" t="s">
        <v>6759</v>
      </c>
      <c r="B2644" s="2" t="s">
        <v>3624</v>
      </c>
      <c r="C2644" s="2" t="s">
        <v>3625</v>
      </c>
      <c r="D2644" s="2" t="s">
        <v>5166</v>
      </c>
      <c r="E2644" s="2" t="s">
        <v>5163</v>
      </c>
      <c r="F2644" s="2">
        <v>0.224</v>
      </c>
      <c r="G2644" s="2">
        <v>873</v>
      </c>
      <c r="H2644" s="2">
        <f>Tabla_Items_Con_Existencia[[#This Row],[COSTO]]*Tabla_Items_Con_Existencia[[#This Row],[EXISTENCIA]]</f>
        <v>195.55199999999999</v>
      </c>
      <c r="I2644" s="1">
        <f>IF(ISERROR(MATCH(Tabla_Items_Con_Existencia[[#This Row],[CODIGO]],Tabla_Items_Activos[CODIGO],0)),0,1)</f>
        <v>0</v>
      </c>
    </row>
    <row r="2645" spans="1:9">
      <c r="A2645" s="2" t="s">
        <v>6759</v>
      </c>
      <c r="B2645" s="2" t="s">
        <v>3626</v>
      </c>
      <c r="C2645" s="2" t="s">
        <v>3627</v>
      </c>
      <c r="D2645" s="2" t="s">
        <v>5162</v>
      </c>
      <c r="E2645" s="2" t="s">
        <v>5212</v>
      </c>
      <c r="F2645" s="2">
        <v>2376.0922</v>
      </c>
      <c r="G2645" s="2">
        <v>1.17E-2</v>
      </c>
      <c r="H2645" s="2">
        <f>Tabla_Items_Con_Existencia[[#This Row],[COSTO]]*Tabla_Items_Con_Existencia[[#This Row],[EXISTENCIA]]</f>
        <v>27.800278740000003</v>
      </c>
      <c r="I2645" s="1">
        <f>IF(ISERROR(MATCH(Tabla_Items_Con_Existencia[[#This Row],[CODIGO]],Tabla_Items_Activos[CODIGO],0)),0,1)</f>
        <v>0</v>
      </c>
    </row>
    <row r="2646" spans="1:9">
      <c r="A2646" s="2" t="s">
        <v>6760</v>
      </c>
      <c r="B2646" s="2" t="s">
        <v>3626</v>
      </c>
      <c r="C2646" s="2" t="s">
        <v>3627</v>
      </c>
      <c r="D2646" s="2" t="s">
        <v>5162</v>
      </c>
      <c r="E2646" s="2" t="s">
        <v>5212</v>
      </c>
      <c r="F2646" s="2">
        <v>2376.0922</v>
      </c>
      <c r="G2646" s="2">
        <v>1.17E-2</v>
      </c>
      <c r="H2646" s="2">
        <f>Tabla_Items_Con_Existencia[[#This Row],[COSTO]]*Tabla_Items_Con_Existencia[[#This Row],[EXISTENCIA]]</f>
        <v>27.800278740000003</v>
      </c>
      <c r="I2646" s="1">
        <f>IF(ISERROR(MATCH(Tabla_Items_Con_Existencia[[#This Row],[CODIGO]],Tabla_Items_Activos[CODIGO],0)),0,1)</f>
        <v>0</v>
      </c>
    </row>
    <row r="2647" spans="1:9">
      <c r="A2647" s="2" t="s">
        <v>6759</v>
      </c>
      <c r="B2647" s="2" t="s">
        <v>3630</v>
      </c>
      <c r="C2647" s="2" t="s">
        <v>3631</v>
      </c>
      <c r="D2647" s="2" t="s">
        <v>5162</v>
      </c>
      <c r="E2647" s="2" t="s">
        <v>5210</v>
      </c>
      <c r="F2647" s="2">
        <v>123</v>
      </c>
      <c r="G2647" s="2">
        <v>2</v>
      </c>
      <c r="H2647" s="2">
        <f>Tabla_Items_Con_Existencia[[#This Row],[COSTO]]*Tabla_Items_Con_Existencia[[#This Row],[EXISTENCIA]]</f>
        <v>246</v>
      </c>
      <c r="I2647" s="1">
        <f>IF(ISERROR(MATCH(Tabla_Items_Con_Existencia[[#This Row],[CODIGO]],Tabla_Items_Activos[CODIGO],0)),0,1)</f>
        <v>0</v>
      </c>
    </row>
    <row r="2648" spans="1:9">
      <c r="A2648" s="2" t="s">
        <v>6759</v>
      </c>
      <c r="B2648" s="2" t="s">
        <v>3638</v>
      </c>
      <c r="C2648" s="2" t="s">
        <v>3639</v>
      </c>
      <c r="D2648" s="2" t="s">
        <v>5211</v>
      </c>
      <c r="E2648" s="2" t="s">
        <v>5214</v>
      </c>
      <c r="F2648" s="2">
        <v>21.52</v>
      </c>
      <c r="G2648" s="2">
        <v>1</v>
      </c>
      <c r="H2648" s="2">
        <f>Tabla_Items_Con_Existencia[[#This Row],[COSTO]]*Tabla_Items_Con_Existencia[[#This Row],[EXISTENCIA]]</f>
        <v>21.52</v>
      </c>
      <c r="I2648" s="1">
        <f>IF(ISERROR(MATCH(Tabla_Items_Con_Existencia[[#This Row],[CODIGO]],Tabla_Items_Activos[CODIGO],0)),0,1)</f>
        <v>0</v>
      </c>
    </row>
    <row r="2649" spans="1:9">
      <c r="A2649" s="2" t="s">
        <v>6759</v>
      </c>
      <c r="B2649" s="2" t="s">
        <v>3642</v>
      </c>
      <c r="C2649" s="2" t="s">
        <v>3643</v>
      </c>
      <c r="D2649" s="2" t="s">
        <v>5166</v>
      </c>
      <c r="E2649" s="2" t="s">
        <v>5163</v>
      </c>
      <c r="F2649" s="2">
        <v>0.105</v>
      </c>
      <c r="G2649" s="2">
        <v>4274</v>
      </c>
      <c r="H2649" s="2">
        <f>Tabla_Items_Con_Existencia[[#This Row],[COSTO]]*Tabla_Items_Con_Existencia[[#This Row],[EXISTENCIA]]</f>
        <v>448.77</v>
      </c>
      <c r="I2649" s="1">
        <f>IF(ISERROR(MATCH(Tabla_Items_Con_Existencia[[#This Row],[CODIGO]],Tabla_Items_Activos[CODIGO],0)),0,1)</f>
        <v>0</v>
      </c>
    </row>
    <row r="2650" spans="1:9">
      <c r="A2650" s="2" t="s">
        <v>6759</v>
      </c>
      <c r="B2650" s="2" t="s">
        <v>3644</v>
      </c>
      <c r="C2650" s="2" t="s">
        <v>3645</v>
      </c>
      <c r="D2650" s="2" t="s">
        <v>5162</v>
      </c>
      <c r="E2650" s="2" t="s">
        <v>5212</v>
      </c>
      <c r="F2650" s="2">
        <v>248.5301</v>
      </c>
      <c r="G2650" s="2">
        <v>0.6</v>
      </c>
      <c r="H2650" s="2">
        <f>Tabla_Items_Con_Existencia[[#This Row],[COSTO]]*Tabla_Items_Con_Existencia[[#This Row],[EXISTENCIA]]</f>
        <v>149.11805999999999</v>
      </c>
      <c r="I2650" s="1">
        <f>IF(ISERROR(MATCH(Tabla_Items_Con_Existencia[[#This Row],[CODIGO]],Tabla_Items_Activos[CODIGO],0)),0,1)</f>
        <v>0</v>
      </c>
    </row>
    <row r="2651" spans="1:9">
      <c r="A2651" s="2" t="s">
        <v>6759</v>
      </c>
      <c r="B2651" s="2" t="s">
        <v>3646</v>
      </c>
      <c r="C2651" s="2" t="s">
        <v>3647</v>
      </c>
      <c r="D2651" s="2" t="s">
        <v>5162</v>
      </c>
      <c r="E2651" s="2" t="s">
        <v>5213</v>
      </c>
      <c r="F2651" s="2">
        <v>286.15800000000002</v>
      </c>
      <c r="G2651" s="2">
        <v>16</v>
      </c>
      <c r="H2651" s="2">
        <f>Tabla_Items_Con_Existencia[[#This Row],[COSTO]]*Tabla_Items_Con_Existencia[[#This Row],[EXISTENCIA]]</f>
        <v>4578.5280000000002</v>
      </c>
      <c r="I2651" s="1">
        <f>IF(ISERROR(MATCH(Tabla_Items_Con_Existencia[[#This Row],[CODIGO]],Tabla_Items_Activos[CODIGO],0)),0,1)</f>
        <v>0</v>
      </c>
    </row>
    <row r="2652" spans="1:9">
      <c r="A2652" s="2" t="s">
        <v>6760</v>
      </c>
      <c r="B2652" s="2" t="s">
        <v>3646</v>
      </c>
      <c r="C2652" s="2" t="s">
        <v>3647</v>
      </c>
      <c r="D2652" s="2" t="s">
        <v>5162</v>
      </c>
      <c r="E2652" s="2" t="s">
        <v>5213</v>
      </c>
      <c r="F2652" s="2">
        <v>286.15800000000002</v>
      </c>
      <c r="G2652" s="2">
        <v>16</v>
      </c>
      <c r="H2652" s="2">
        <f>Tabla_Items_Con_Existencia[[#This Row],[COSTO]]*Tabla_Items_Con_Existencia[[#This Row],[EXISTENCIA]]</f>
        <v>4578.5280000000002</v>
      </c>
      <c r="I2652" s="1">
        <f>IF(ISERROR(MATCH(Tabla_Items_Con_Existencia[[#This Row],[CODIGO]],Tabla_Items_Activos[CODIGO],0)),0,1)</f>
        <v>0</v>
      </c>
    </row>
    <row r="2653" spans="1:9">
      <c r="A2653" s="2" t="s">
        <v>6759</v>
      </c>
      <c r="B2653" s="2" t="s">
        <v>3648</v>
      </c>
      <c r="C2653" s="2" t="s">
        <v>3649</v>
      </c>
      <c r="D2653" s="2" t="s">
        <v>5166</v>
      </c>
      <c r="E2653" s="2" t="s">
        <v>5163</v>
      </c>
      <c r="F2653" s="2">
        <v>0.13100000000000001</v>
      </c>
      <c r="G2653" s="2">
        <v>511</v>
      </c>
      <c r="H2653" s="2">
        <f>Tabla_Items_Con_Existencia[[#This Row],[COSTO]]*Tabla_Items_Con_Existencia[[#This Row],[EXISTENCIA]]</f>
        <v>66.941000000000003</v>
      </c>
      <c r="I2653" s="1">
        <f>IF(ISERROR(MATCH(Tabla_Items_Con_Existencia[[#This Row],[CODIGO]],Tabla_Items_Activos[CODIGO],0)),0,1)</f>
        <v>0</v>
      </c>
    </row>
    <row r="2654" spans="1:9">
      <c r="A2654" s="2" t="s">
        <v>6759</v>
      </c>
      <c r="B2654" s="2" t="s">
        <v>3650</v>
      </c>
      <c r="C2654" s="2" t="s">
        <v>3651</v>
      </c>
      <c r="D2654" s="2" t="s">
        <v>5162</v>
      </c>
      <c r="E2654" s="2" t="s">
        <v>5214</v>
      </c>
      <c r="F2654" s="2">
        <v>11.4183</v>
      </c>
      <c r="G2654" s="2">
        <v>27</v>
      </c>
      <c r="H2654" s="2">
        <f>Tabla_Items_Con_Existencia[[#This Row],[COSTO]]*Tabla_Items_Con_Existencia[[#This Row],[EXISTENCIA]]</f>
        <v>308.29410000000001</v>
      </c>
      <c r="I2654" s="1">
        <f>IF(ISERROR(MATCH(Tabla_Items_Con_Existencia[[#This Row],[CODIGO]],Tabla_Items_Activos[CODIGO],0)),0,1)</f>
        <v>0</v>
      </c>
    </row>
    <row r="2655" spans="1:9">
      <c r="A2655" s="2" t="s">
        <v>6759</v>
      </c>
      <c r="B2655" s="2" t="s">
        <v>3652</v>
      </c>
      <c r="C2655" s="2" t="s">
        <v>3653</v>
      </c>
      <c r="D2655" s="2" t="s">
        <v>5162</v>
      </c>
      <c r="E2655" s="2" t="s">
        <v>5163</v>
      </c>
      <c r="F2655" s="2">
        <v>0.98199999999999998</v>
      </c>
      <c r="G2655" s="2">
        <v>1135</v>
      </c>
      <c r="H2655" s="2">
        <f>Tabla_Items_Con_Existencia[[#This Row],[COSTO]]*Tabla_Items_Con_Existencia[[#This Row],[EXISTENCIA]]</f>
        <v>1114.57</v>
      </c>
      <c r="I2655" s="1">
        <f>IF(ISERROR(MATCH(Tabla_Items_Con_Existencia[[#This Row],[CODIGO]],Tabla_Items_Activos[CODIGO],0)),0,1)</f>
        <v>0</v>
      </c>
    </row>
    <row r="2656" spans="1:9">
      <c r="A2656" s="2" t="s">
        <v>6759</v>
      </c>
      <c r="B2656" s="2" t="s">
        <v>3654</v>
      </c>
      <c r="C2656" s="2" t="s">
        <v>3655</v>
      </c>
      <c r="D2656" s="2" t="s">
        <v>5162</v>
      </c>
      <c r="E2656" s="2" t="s">
        <v>5210</v>
      </c>
      <c r="F2656" s="2">
        <v>60.31</v>
      </c>
      <c r="G2656" s="2">
        <v>3.0000000000000001E-3</v>
      </c>
      <c r="H2656" s="2">
        <f>Tabla_Items_Con_Existencia[[#This Row],[COSTO]]*Tabla_Items_Con_Existencia[[#This Row],[EXISTENCIA]]</f>
        <v>0.18093000000000001</v>
      </c>
      <c r="I2656" s="1">
        <f>IF(ISERROR(MATCH(Tabla_Items_Con_Existencia[[#This Row],[CODIGO]],Tabla_Items_Activos[CODIGO],0)),0,1)</f>
        <v>0</v>
      </c>
    </row>
    <row r="2657" spans="1:9">
      <c r="A2657" s="2" t="s">
        <v>6759</v>
      </c>
      <c r="B2657" s="2" t="s">
        <v>3656</v>
      </c>
      <c r="C2657" s="2" t="s">
        <v>3657</v>
      </c>
      <c r="D2657" s="2" t="s">
        <v>5166</v>
      </c>
      <c r="E2657" s="2" t="s">
        <v>5163</v>
      </c>
      <c r="F2657" s="2">
        <v>6.4299999999999996E-2</v>
      </c>
      <c r="G2657" s="2">
        <v>1259</v>
      </c>
      <c r="H2657" s="2">
        <f>Tabla_Items_Con_Existencia[[#This Row],[COSTO]]*Tabla_Items_Con_Existencia[[#This Row],[EXISTENCIA]]</f>
        <v>80.953699999999998</v>
      </c>
      <c r="I2657" s="1">
        <f>IF(ISERROR(MATCH(Tabla_Items_Con_Existencia[[#This Row],[CODIGO]],Tabla_Items_Activos[CODIGO],0)),0,1)</f>
        <v>0</v>
      </c>
    </row>
    <row r="2658" spans="1:9">
      <c r="A2658" s="2" t="s">
        <v>6759</v>
      </c>
      <c r="B2658" s="2" t="s">
        <v>3658</v>
      </c>
      <c r="C2658" s="2" t="s">
        <v>3659</v>
      </c>
      <c r="D2658" s="2" t="s">
        <v>5166</v>
      </c>
      <c r="E2658" s="2" t="s">
        <v>5163</v>
      </c>
      <c r="F2658" s="2">
        <v>0.189</v>
      </c>
      <c r="G2658" s="2">
        <v>797</v>
      </c>
      <c r="H2658" s="2">
        <f>Tabla_Items_Con_Existencia[[#This Row],[COSTO]]*Tabla_Items_Con_Existencia[[#This Row],[EXISTENCIA]]</f>
        <v>150.63300000000001</v>
      </c>
      <c r="I2658" s="1">
        <f>IF(ISERROR(MATCH(Tabla_Items_Con_Existencia[[#This Row],[CODIGO]],Tabla_Items_Activos[CODIGO],0)),0,1)</f>
        <v>0</v>
      </c>
    </row>
    <row r="2659" spans="1:9">
      <c r="A2659" s="2" t="s">
        <v>6759</v>
      </c>
      <c r="B2659" s="2" t="s">
        <v>3660</v>
      </c>
      <c r="C2659" s="2" t="s">
        <v>3661</v>
      </c>
      <c r="D2659" s="2" t="s">
        <v>5166</v>
      </c>
      <c r="E2659" s="2" t="s">
        <v>5163</v>
      </c>
      <c r="F2659" s="2">
        <v>0.123</v>
      </c>
      <c r="G2659" s="2">
        <v>381</v>
      </c>
      <c r="H2659" s="2">
        <f>Tabla_Items_Con_Existencia[[#This Row],[COSTO]]*Tabla_Items_Con_Existencia[[#This Row],[EXISTENCIA]]</f>
        <v>46.863</v>
      </c>
      <c r="I2659" s="1">
        <f>IF(ISERROR(MATCH(Tabla_Items_Con_Existencia[[#This Row],[CODIGO]],Tabla_Items_Activos[CODIGO],0)),0,1)</f>
        <v>0</v>
      </c>
    </row>
    <row r="2660" spans="1:9">
      <c r="A2660" s="2" t="s">
        <v>6759</v>
      </c>
      <c r="B2660" s="2" t="s">
        <v>7058</v>
      </c>
      <c r="C2660" s="2" t="s">
        <v>3663</v>
      </c>
      <c r="D2660" s="2" t="s">
        <v>5166</v>
      </c>
      <c r="E2660" s="2" t="s">
        <v>5163</v>
      </c>
      <c r="F2660" s="2">
        <v>0.13700000000000001</v>
      </c>
      <c r="G2660" s="2">
        <v>744</v>
      </c>
      <c r="H2660" s="2">
        <f>Tabla_Items_Con_Existencia[[#This Row],[COSTO]]*Tabla_Items_Con_Existencia[[#This Row],[EXISTENCIA]]</f>
        <v>101.92800000000001</v>
      </c>
      <c r="I2660" s="1">
        <f>IF(ISERROR(MATCH(Tabla_Items_Con_Existencia[[#This Row],[CODIGO]],Tabla_Items_Activos[CODIGO],0)),0,1)</f>
        <v>0</v>
      </c>
    </row>
    <row r="2661" spans="1:9">
      <c r="A2661" s="2" t="s">
        <v>6759</v>
      </c>
      <c r="B2661" s="2" t="s">
        <v>3664</v>
      </c>
      <c r="C2661" s="2" t="s">
        <v>3665</v>
      </c>
      <c r="D2661" s="2" t="s">
        <v>5166</v>
      </c>
      <c r="E2661" s="2" t="s">
        <v>5163</v>
      </c>
      <c r="F2661" s="2">
        <v>0.1009</v>
      </c>
      <c r="G2661" s="2">
        <v>251</v>
      </c>
      <c r="H2661" s="2">
        <f>Tabla_Items_Con_Existencia[[#This Row],[COSTO]]*Tabla_Items_Con_Existencia[[#This Row],[EXISTENCIA]]</f>
        <v>25.325900000000001</v>
      </c>
      <c r="I2661" s="1">
        <f>IF(ISERROR(MATCH(Tabla_Items_Con_Existencia[[#This Row],[CODIGO]],Tabla_Items_Activos[CODIGO],0)),0,1)</f>
        <v>0</v>
      </c>
    </row>
    <row r="2662" spans="1:9">
      <c r="A2662" s="2" t="s">
        <v>6759</v>
      </c>
      <c r="B2662" s="2" t="s">
        <v>3666</v>
      </c>
      <c r="C2662" s="2" t="s">
        <v>3667</v>
      </c>
      <c r="D2662" s="2" t="s">
        <v>5166</v>
      </c>
      <c r="E2662" s="2" t="s">
        <v>5163</v>
      </c>
      <c r="F2662" s="2">
        <v>0.10299999999999999</v>
      </c>
      <c r="G2662" s="2">
        <v>627</v>
      </c>
      <c r="H2662" s="2">
        <f>Tabla_Items_Con_Existencia[[#This Row],[COSTO]]*Tabla_Items_Con_Existencia[[#This Row],[EXISTENCIA]]</f>
        <v>64.581000000000003</v>
      </c>
      <c r="I2662" s="1">
        <f>IF(ISERROR(MATCH(Tabla_Items_Con_Existencia[[#This Row],[CODIGO]],Tabla_Items_Activos[CODIGO],0)),0,1)</f>
        <v>0</v>
      </c>
    </row>
    <row r="2663" spans="1:9">
      <c r="A2663" s="2" t="s">
        <v>6759</v>
      </c>
      <c r="B2663" s="2" t="s">
        <v>3668</v>
      </c>
      <c r="C2663" s="2" t="s">
        <v>3669</v>
      </c>
      <c r="D2663" s="2" t="s">
        <v>5166</v>
      </c>
      <c r="E2663" s="2" t="s">
        <v>5163</v>
      </c>
      <c r="F2663" s="2">
        <v>8.8300000000000003E-2</v>
      </c>
      <c r="G2663" s="2">
        <v>1093</v>
      </c>
      <c r="H2663" s="2">
        <f>Tabla_Items_Con_Existencia[[#This Row],[COSTO]]*Tabla_Items_Con_Existencia[[#This Row],[EXISTENCIA]]</f>
        <v>96.511899999999997</v>
      </c>
      <c r="I2663" s="1">
        <f>IF(ISERROR(MATCH(Tabla_Items_Con_Existencia[[#This Row],[CODIGO]],Tabla_Items_Activos[CODIGO],0)),0,1)</f>
        <v>0</v>
      </c>
    </row>
    <row r="2664" spans="1:9">
      <c r="A2664" s="2" t="s">
        <v>6759</v>
      </c>
      <c r="B2664" s="2" t="s">
        <v>3670</v>
      </c>
      <c r="C2664" s="2" t="s">
        <v>3671</v>
      </c>
      <c r="D2664" s="2" t="s">
        <v>5162</v>
      </c>
      <c r="E2664" s="2" t="s">
        <v>5213</v>
      </c>
      <c r="F2664" s="2">
        <v>2040.29</v>
      </c>
      <c r="G2664" s="2">
        <v>0.99</v>
      </c>
      <c r="H2664" s="2">
        <f>Tabla_Items_Con_Existencia[[#This Row],[COSTO]]*Tabla_Items_Con_Existencia[[#This Row],[EXISTENCIA]]</f>
        <v>2019.8870999999999</v>
      </c>
      <c r="I2664" s="1">
        <f>IF(ISERROR(MATCH(Tabla_Items_Con_Existencia[[#This Row],[CODIGO]],Tabla_Items_Activos[CODIGO],0)),0,1)</f>
        <v>0</v>
      </c>
    </row>
    <row r="2665" spans="1:9">
      <c r="A2665" s="2" t="s">
        <v>6759</v>
      </c>
      <c r="B2665" s="2" t="s">
        <v>3672</v>
      </c>
      <c r="C2665" s="2" t="s">
        <v>3673</v>
      </c>
      <c r="D2665" s="2" t="s">
        <v>5166</v>
      </c>
      <c r="E2665" s="2" t="s">
        <v>5163</v>
      </c>
      <c r="F2665" s="2">
        <v>0.10199999999999999</v>
      </c>
      <c r="G2665" s="2">
        <v>654</v>
      </c>
      <c r="H2665" s="2">
        <f>Tabla_Items_Con_Existencia[[#This Row],[COSTO]]*Tabla_Items_Con_Existencia[[#This Row],[EXISTENCIA]]</f>
        <v>66.707999999999998</v>
      </c>
      <c r="I2665" s="1">
        <f>IF(ISERROR(MATCH(Tabla_Items_Con_Existencia[[#This Row],[CODIGO]],Tabla_Items_Activos[CODIGO],0)),0,1)</f>
        <v>0</v>
      </c>
    </row>
    <row r="2666" spans="1:9">
      <c r="A2666" s="2" t="s">
        <v>6759</v>
      </c>
      <c r="B2666" s="2" t="s">
        <v>3674</v>
      </c>
      <c r="C2666" s="2" t="s">
        <v>3675</v>
      </c>
      <c r="D2666" s="2" t="s">
        <v>5166</v>
      </c>
      <c r="E2666" s="2" t="s">
        <v>5163</v>
      </c>
      <c r="F2666" s="2">
        <v>0.2387</v>
      </c>
      <c r="G2666" s="2">
        <v>344</v>
      </c>
      <c r="H2666" s="2">
        <f>Tabla_Items_Con_Existencia[[#This Row],[COSTO]]*Tabla_Items_Con_Existencia[[#This Row],[EXISTENCIA]]</f>
        <v>82.112799999999993</v>
      </c>
      <c r="I2666" s="1">
        <f>IF(ISERROR(MATCH(Tabla_Items_Con_Existencia[[#This Row],[CODIGO]],Tabla_Items_Activos[CODIGO],0)),0,1)</f>
        <v>0</v>
      </c>
    </row>
    <row r="2667" spans="1:9">
      <c r="A2667" s="2" t="s">
        <v>6759</v>
      </c>
      <c r="B2667" s="2" t="s">
        <v>3676</v>
      </c>
      <c r="C2667" s="2" t="s">
        <v>3677</v>
      </c>
      <c r="D2667" s="2" t="s">
        <v>5166</v>
      </c>
      <c r="E2667" s="2" t="s">
        <v>5163</v>
      </c>
      <c r="F2667" s="2">
        <v>0.154</v>
      </c>
      <c r="G2667" s="2">
        <v>38</v>
      </c>
      <c r="H2667" s="2">
        <f>Tabla_Items_Con_Existencia[[#This Row],[COSTO]]*Tabla_Items_Con_Existencia[[#This Row],[EXISTENCIA]]</f>
        <v>5.8520000000000003</v>
      </c>
      <c r="I2667" s="1">
        <f>IF(ISERROR(MATCH(Tabla_Items_Con_Existencia[[#This Row],[CODIGO]],Tabla_Items_Activos[CODIGO],0)),0,1)</f>
        <v>0</v>
      </c>
    </row>
    <row r="2668" spans="1:9">
      <c r="A2668" s="2" t="s">
        <v>6759</v>
      </c>
      <c r="B2668" s="2" t="s">
        <v>3678</v>
      </c>
      <c r="C2668" s="2" t="s">
        <v>3679</v>
      </c>
      <c r="D2668" s="2" t="s">
        <v>5166</v>
      </c>
      <c r="E2668" s="2" t="s">
        <v>5163</v>
      </c>
      <c r="F2668" s="2">
        <v>0.254</v>
      </c>
      <c r="G2668" s="2">
        <v>604</v>
      </c>
      <c r="H2668" s="2">
        <f>Tabla_Items_Con_Existencia[[#This Row],[COSTO]]*Tabla_Items_Con_Existencia[[#This Row],[EXISTENCIA]]</f>
        <v>153.416</v>
      </c>
      <c r="I2668" s="1">
        <f>IF(ISERROR(MATCH(Tabla_Items_Con_Existencia[[#This Row],[CODIGO]],Tabla_Items_Activos[CODIGO],0)),0,1)</f>
        <v>0</v>
      </c>
    </row>
    <row r="2669" spans="1:9">
      <c r="A2669" s="2" t="s">
        <v>6759</v>
      </c>
      <c r="B2669" s="2" t="s">
        <v>7280</v>
      </c>
      <c r="C2669" s="2" t="s">
        <v>7281</v>
      </c>
      <c r="D2669" s="2" t="s">
        <v>5166</v>
      </c>
      <c r="E2669" s="2" t="s">
        <v>5163</v>
      </c>
      <c r="F2669" s="2">
        <v>4.8899999999999999E-2</v>
      </c>
      <c r="G2669" s="2">
        <v>1650</v>
      </c>
      <c r="H2669" s="2">
        <f>Tabla_Items_Con_Existencia[[#This Row],[COSTO]]*Tabla_Items_Con_Existencia[[#This Row],[EXISTENCIA]]</f>
        <v>80.685000000000002</v>
      </c>
      <c r="I2669" s="1">
        <f>IF(ISERROR(MATCH(Tabla_Items_Con_Existencia[[#This Row],[CODIGO]],Tabla_Items_Activos[CODIGO],0)),0,1)</f>
        <v>0</v>
      </c>
    </row>
    <row r="2670" spans="1:9">
      <c r="A2670" s="2" t="s">
        <v>6760</v>
      </c>
      <c r="B2670" s="2" t="s">
        <v>3680</v>
      </c>
      <c r="C2670" s="2" t="s">
        <v>3681</v>
      </c>
      <c r="D2670" s="2" t="s">
        <v>7373</v>
      </c>
      <c r="E2670" s="2" t="s">
        <v>7368</v>
      </c>
      <c r="F2670" s="2">
        <v>0.54308000000000001</v>
      </c>
      <c r="G2670" s="2">
        <v>3413</v>
      </c>
      <c r="H2670" s="2">
        <f>Tabla_Items_Con_Existencia[[#This Row],[COSTO]]*Tabla_Items_Con_Existencia[[#This Row],[EXISTENCIA]]</f>
        <v>1853.5320400000001</v>
      </c>
      <c r="I2670" s="1">
        <f>IF(ISERROR(MATCH(Tabla_Items_Con_Existencia[[#This Row],[CODIGO]],Tabla_Items_Activos[CODIGO],0)),0,1)</f>
        <v>0</v>
      </c>
    </row>
    <row r="2671" spans="1:9">
      <c r="A2671" s="2" t="s">
        <v>6759</v>
      </c>
      <c r="B2671" s="2" t="s">
        <v>3680</v>
      </c>
      <c r="C2671" s="2" t="s">
        <v>3681</v>
      </c>
      <c r="D2671" s="2" t="s">
        <v>7373</v>
      </c>
      <c r="E2671" s="2" t="s">
        <v>7368</v>
      </c>
      <c r="F2671" s="2">
        <v>0.54308000000000001</v>
      </c>
      <c r="G2671" s="2">
        <v>3413</v>
      </c>
      <c r="H2671" s="2">
        <f>Tabla_Items_Con_Existencia[[#This Row],[COSTO]]*Tabla_Items_Con_Existencia[[#This Row],[EXISTENCIA]]</f>
        <v>1853.5320400000001</v>
      </c>
      <c r="I2671" s="1">
        <f>IF(ISERROR(MATCH(Tabla_Items_Con_Existencia[[#This Row],[CODIGO]],Tabla_Items_Activos[CODIGO],0)),0,1)</f>
        <v>0</v>
      </c>
    </row>
    <row r="2672" spans="1:9">
      <c r="A2672" s="2" t="s">
        <v>6759</v>
      </c>
      <c r="B2672" s="2" t="s">
        <v>7374</v>
      </c>
      <c r="C2672" s="2" t="s">
        <v>7375</v>
      </c>
      <c r="D2672" s="2" t="s">
        <v>5166</v>
      </c>
      <c r="E2672" s="2" t="s">
        <v>5163</v>
      </c>
      <c r="F2672" s="2">
        <v>5.74E-2</v>
      </c>
      <c r="G2672" s="2">
        <v>1212</v>
      </c>
      <c r="H2672" s="2">
        <f>Tabla_Items_Con_Existencia[[#This Row],[COSTO]]*Tabla_Items_Con_Existencia[[#This Row],[EXISTENCIA]]</f>
        <v>69.568799999999996</v>
      </c>
      <c r="I2672" s="1">
        <f>IF(ISERROR(MATCH(Tabla_Items_Con_Existencia[[#This Row],[CODIGO]],Tabla_Items_Activos[CODIGO],0)),0,1)</f>
        <v>0</v>
      </c>
    </row>
    <row r="2673" spans="1:9">
      <c r="A2673" s="2" t="s">
        <v>6759</v>
      </c>
      <c r="B2673" s="2" t="s">
        <v>3682</v>
      </c>
      <c r="C2673" s="2" t="s">
        <v>3683</v>
      </c>
      <c r="D2673" s="2" t="s">
        <v>5166</v>
      </c>
      <c r="E2673" s="2" t="s">
        <v>5163</v>
      </c>
      <c r="F2673" s="2">
        <v>0.1198</v>
      </c>
      <c r="G2673" s="2">
        <v>1619</v>
      </c>
      <c r="H2673" s="2">
        <f>Tabla_Items_Con_Existencia[[#This Row],[COSTO]]*Tabla_Items_Con_Existencia[[#This Row],[EXISTENCIA]]</f>
        <v>193.9562</v>
      </c>
      <c r="I2673" s="1">
        <f>IF(ISERROR(MATCH(Tabla_Items_Con_Existencia[[#This Row],[CODIGO]],Tabla_Items_Activos[CODIGO],0)),0,1)</f>
        <v>0</v>
      </c>
    </row>
    <row r="2674" spans="1:9">
      <c r="A2674" s="2" t="s">
        <v>6761</v>
      </c>
      <c r="B2674" s="2" t="s">
        <v>6728</v>
      </c>
      <c r="C2674" s="2" t="s">
        <v>6729</v>
      </c>
      <c r="D2674" s="2" t="s">
        <v>5209</v>
      </c>
      <c r="E2674" s="2" t="s">
        <v>5212</v>
      </c>
      <c r="F2674" s="2">
        <v>2.0204</v>
      </c>
      <c r="G2674" s="2">
        <v>257</v>
      </c>
      <c r="H2674" s="2">
        <f>Tabla_Items_Con_Existencia[[#This Row],[COSTO]]*Tabla_Items_Con_Existencia[[#This Row],[EXISTENCIA]]</f>
        <v>519.24279999999999</v>
      </c>
      <c r="I2674" s="1">
        <f>IF(ISERROR(MATCH(Tabla_Items_Con_Existencia[[#This Row],[CODIGO]],Tabla_Items_Activos[CODIGO],0)),0,1)</f>
        <v>0</v>
      </c>
    </row>
    <row r="2675" spans="1:9">
      <c r="A2675" s="2" t="s">
        <v>6759</v>
      </c>
      <c r="B2675" s="2" t="s">
        <v>6728</v>
      </c>
      <c r="C2675" s="2" t="s">
        <v>6729</v>
      </c>
      <c r="D2675" s="2" t="s">
        <v>5209</v>
      </c>
      <c r="E2675" s="2" t="s">
        <v>5212</v>
      </c>
      <c r="F2675" s="2">
        <v>2.0204</v>
      </c>
      <c r="G2675" s="2">
        <v>257</v>
      </c>
      <c r="H2675" s="2">
        <f>Tabla_Items_Con_Existencia[[#This Row],[COSTO]]*Tabla_Items_Con_Existencia[[#This Row],[EXISTENCIA]]</f>
        <v>519.24279999999999</v>
      </c>
      <c r="I2675" s="1">
        <f>IF(ISERROR(MATCH(Tabla_Items_Con_Existencia[[#This Row],[CODIGO]],Tabla_Items_Activos[CODIGO],0)),0,1)</f>
        <v>0</v>
      </c>
    </row>
    <row r="2676" spans="1:9">
      <c r="A2676" s="2" t="s">
        <v>6759</v>
      </c>
      <c r="B2676" s="2" t="s">
        <v>3684</v>
      </c>
      <c r="C2676" s="2" t="s">
        <v>3685</v>
      </c>
      <c r="D2676" s="2" t="s">
        <v>5166</v>
      </c>
      <c r="E2676" s="2" t="s">
        <v>5163</v>
      </c>
      <c r="F2676" s="2">
        <v>0.17649999999999999</v>
      </c>
      <c r="G2676" s="2">
        <v>1101</v>
      </c>
      <c r="H2676" s="2">
        <f>Tabla_Items_Con_Existencia[[#This Row],[COSTO]]*Tabla_Items_Con_Existencia[[#This Row],[EXISTENCIA]]</f>
        <v>194.32649999999998</v>
      </c>
      <c r="I2676" s="1">
        <f>IF(ISERROR(MATCH(Tabla_Items_Con_Existencia[[#This Row],[CODIGO]],Tabla_Items_Activos[CODIGO],0)),0,1)</f>
        <v>0</v>
      </c>
    </row>
    <row r="2677" spans="1:9">
      <c r="A2677" s="2" t="s">
        <v>6759</v>
      </c>
      <c r="B2677" s="2" t="s">
        <v>3686</v>
      </c>
      <c r="C2677" s="2" t="s">
        <v>3687</v>
      </c>
      <c r="D2677" s="2" t="s">
        <v>5166</v>
      </c>
      <c r="E2677" s="2" t="s">
        <v>5215</v>
      </c>
      <c r="F2677" s="2">
        <v>0.68910000000000005</v>
      </c>
      <c r="G2677" s="2">
        <v>857</v>
      </c>
      <c r="H2677" s="2">
        <f>Tabla_Items_Con_Existencia[[#This Row],[COSTO]]*Tabla_Items_Con_Existencia[[#This Row],[EXISTENCIA]]</f>
        <v>590.55870000000004</v>
      </c>
      <c r="I2677" s="1">
        <f>IF(ISERROR(MATCH(Tabla_Items_Con_Existencia[[#This Row],[CODIGO]],Tabla_Items_Activos[CODIGO],0)),0,1)</f>
        <v>0</v>
      </c>
    </row>
    <row r="2678" spans="1:9">
      <c r="A2678" s="2" t="s">
        <v>6759</v>
      </c>
      <c r="B2678" s="2" t="s">
        <v>3688</v>
      </c>
      <c r="C2678" s="2" t="s">
        <v>3689</v>
      </c>
      <c r="D2678" s="2" t="s">
        <v>5162</v>
      </c>
      <c r="E2678" s="2" t="s">
        <v>5210</v>
      </c>
      <c r="F2678" s="2">
        <v>1.96</v>
      </c>
      <c r="G2678" s="2">
        <v>296</v>
      </c>
      <c r="H2678" s="2">
        <f>Tabla_Items_Con_Existencia[[#This Row],[COSTO]]*Tabla_Items_Con_Existencia[[#This Row],[EXISTENCIA]]</f>
        <v>580.16</v>
      </c>
      <c r="I2678" s="1">
        <f>IF(ISERROR(MATCH(Tabla_Items_Con_Existencia[[#This Row],[CODIGO]],Tabla_Items_Activos[CODIGO],0)),0,1)</f>
        <v>0</v>
      </c>
    </row>
    <row r="2679" spans="1:9">
      <c r="A2679" s="2" t="s">
        <v>6760</v>
      </c>
      <c r="B2679" s="2" t="s">
        <v>3692</v>
      </c>
      <c r="C2679" s="2" t="s">
        <v>3693</v>
      </c>
      <c r="D2679" s="2" t="s">
        <v>7373</v>
      </c>
      <c r="E2679" s="2" t="s">
        <v>7368</v>
      </c>
      <c r="F2679" s="2">
        <v>0.71</v>
      </c>
      <c r="G2679" s="2">
        <v>8397</v>
      </c>
      <c r="H2679" s="2">
        <f>Tabla_Items_Con_Existencia[[#This Row],[COSTO]]*Tabla_Items_Con_Existencia[[#This Row],[EXISTENCIA]]</f>
        <v>5961.87</v>
      </c>
      <c r="I2679" s="1">
        <f>IF(ISERROR(MATCH(Tabla_Items_Con_Existencia[[#This Row],[CODIGO]],Tabla_Items_Activos[CODIGO],0)),0,1)</f>
        <v>0</v>
      </c>
    </row>
    <row r="2680" spans="1:9">
      <c r="A2680" s="2" t="s">
        <v>6759</v>
      </c>
      <c r="B2680" s="2" t="s">
        <v>3692</v>
      </c>
      <c r="C2680" s="2" t="s">
        <v>3693</v>
      </c>
      <c r="D2680" s="2" t="s">
        <v>7373</v>
      </c>
      <c r="E2680" s="2" t="s">
        <v>7368</v>
      </c>
      <c r="F2680" s="2">
        <v>0.71</v>
      </c>
      <c r="G2680" s="2">
        <v>8397</v>
      </c>
      <c r="H2680" s="2">
        <f>Tabla_Items_Con_Existencia[[#This Row],[COSTO]]*Tabla_Items_Con_Existencia[[#This Row],[EXISTENCIA]]</f>
        <v>5961.87</v>
      </c>
      <c r="I2680" s="1">
        <f>IF(ISERROR(MATCH(Tabla_Items_Con_Existencia[[#This Row],[CODIGO]],Tabla_Items_Activos[CODIGO],0)),0,1)</f>
        <v>0</v>
      </c>
    </row>
    <row r="2681" spans="1:9">
      <c r="A2681" s="2" t="s">
        <v>6760</v>
      </c>
      <c r="B2681" s="2" t="s">
        <v>3694</v>
      </c>
      <c r="C2681" s="2" t="s">
        <v>3695</v>
      </c>
      <c r="D2681" s="2" t="s">
        <v>7373</v>
      </c>
      <c r="E2681" s="2" t="s">
        <v>7368</v>
      </c>
      <c r="F2681" s="2">
        <v>0.55000000000000004</v>
      </c>
      <c r="G2681" s="2">
        <v>480</v>
      </c>
      <c r="H2681" s="2">
        <f>Tabla_Items_Con_Existencia[[#This Row],[COSTO]]*Tabla_Items_Con_Existencia[[#This Row],[EXISTENCIA]]</f>
        <v>264</v>
      </c>
      <c r="I2681" s="1">
        <f>IF(ISERROR(MATCH(Tabla_Items_Con_Existencia[[#This Row],[CODIGO]],Tabla_Items_Activos[CODIGO],0)),0,1)</f>
        <v>0</v>
      </c>
    </row>
    <row r="2682" spans="1:9">
      <c r="A2682" s="2" t="s">
        <v>6759</v>
      </c>
      <c r="B2682" s="2" t="s">
        <v>3694</v>
      </c>
      <c r="C2682" s="2" t="s">
        <v>3695</v>
      </c>
      <c r="D2682" s="2" t="s">
        <v>7373</v>
      </c>
      <c r="E2682" s="2" t="s">
        <v>7368</v>
      </c>
      <c r="F2682" s="2">
        <v>0.55000000000000004</v>
      </c>
      <c r="G2682" s="2">
        <v>480</v>
      </c>
      <c r="H2682" s="2">
        <f>Tabla_Items_Con_Existencia[[#This Row],[COSTO]]*Tabla_Items_Con_Existencia[[#This Row],[EXISTENCIA]]</f>
        <v>264</v>
      </c>
      <c r="I2682" s="1">
        <f>IF(ISERROR(MATCH(Tabla_Items_Con_Existencia[[#This Row],[CODIGO]],Tabla_Items_Activos[CODIGO],0)),0,1)</f>
        <v>0</v>
      </c>
    </row>
    <row r="2683" spans="1:9">
      <c r="A2683" s="2" t="s">
        <v>6759</v>
      </c>
      <c r="B2683" s="2" t="s">
        <v>3696</v>
      </c>
      <c r="C2683" s="2" t="s">
        <v>3697</v>
      </c>
      <c r="D2683" s="2" t="s">
        <v>7373</v>
      </c>
      <c r="E2683" s="2" t="s">
        <v>7368</v>
      </c>
      <c r="F2683" s="2">
        <v>0.44</v>
      </c>
      <c r="G2683" s="2">
        <v>3</v>
      </c>
      <c r="H2683" s="2">
        <f>Tabla_Items_Con_Existencia[[#This Row],[COSTO]]*Tabla_Items_Con_Existencia[[#This Row],[EXISTENCIA]]</f>
        <v>1.32</v>
      </c>
      <c r="I2683" s="1">
        <f>IF(ISERROR(MATCH(Tabla_Items_Con_Existencia[[#This Row],[CODIGO]],Tabla_Items_Activos[CODIGO],0)),0,1)</f>
        <v>0</v>
      </c>
    </row>
    <row r="2684" spans="1:9">
      <c r="A2684" s="2" t="s">
        <v>6760</v>
      </c>
      <c r="B2684" s="2" t="s">
        <v>3696</v>
      </c>
      <c r="C2684" s="2" t="s">
        <v>3697</v>
      </c>
      <c r="D2684" s="2" t="s">
        <v>7373</v>
      </c>
      <c r="E2684" s="2" t="s">
        <v>7368</v>
      </c>
      <c r="F2684" s="2">
        <v>0.44</v>
      </c>
      <c r="G2684" s="2">
        <v>3</v>
      </c>
      <c r="H2684" s="2">
        <f>Tabla_Items_Con_Existencia[[#This Row],[COSTO]]*Tabla_Items_Con_Existencia[[#This Row],[EXISTENCIA]]</f>
        <v>1.32</v>
      </c>
      <c r="I2684" s="1">
        <f>IF(ISERROR(MATCH(Tabla_Items_Con_Existencia[[#This Row],[CODIGO]],Tabla_Items_Activos[CODIGO],0)),0,1)</f>
        <v>0</v>
      </c>
    </row>
    <row r="2685" spans="1:9">
      <c r="A2685" s="2" t="s">
        <v>6760</v>
      </c>
      <c r="B2685" s="2" t="s">
        <v>3698</v>
      </c>
      <c r="C2685" s="2" t="s">
        <v>3699</v>
      </c>
      <c r="D2685" s="2" t="s">
        <v>7373</v>
      </c>
      <c r="E2685" s="2" t="s">
        <v>7368</v>
      </c>
      <c r="F2685" s="2">
        <v>0.36</v>
      </c>
      <c r="G2685" s="2">
        <v>1947</v>
      </c>
      <c r="H2685" s="2">
        <f>Tabla_Items_Con_Existencia[[#This Row],[COSTO]]*Tabla_Items_Con_Existencia[[#This Row],[EXISTENCIA]]</f>
        <v>700.92</v>
      </c>
      <c r="I2685" s="1">
        <f>IF(ISERROR(MATCH(Tabla_Items_Con_Existencia[[#This Row],[CODIGO]],Tabla_Items_Activos[CODIGO],0)),0,1)</f>
        <v>0</v>
      </c>
    </row>
    <row r="2686" spans="1:9">
      <c r="A2686" s="2" t="s">
        <v>6759</v>
      </c>
      <c r="B2686" s="2" t="s">
        <v>3698</v>
      </c>
      <c r="C2686" s="2" t="s">
        <v>3699</v>
      </c>
      <c r="D2686" s="2" t="s">
        <v>7373</v>
      </c>
      <c r="E2686" s="2" t="s">
        <v>7368</v>
      </c>
      <c r="F2686" s="2">
        <v>0.36</v>
      </c>
      <c r="G2686" s="2">
        <v>1947</v>
      </c>
      <c r="H2686" s="2">
        <f>Tabla_Items_Con_Existencia[[#This Row],[COSTO]]*Tabla_Items_Con_Existencia[[#This Row],[EXISTENCIA]]</f>
        <v>700.92</v>
      </c>
      <c r="I2686" s="1">
        <f>IF(ISERROR(MATCH(Tabla_Items_Con_Existencia[[#This Row],[CODIGO]],Tabla_Items_Activos[CODIGO],0)),0,1)</f>
        <v>0</v>
      </c>
    </row>
    <row r="2687" spans="1:9">
      <c r="A2687" s="2" t="s">
        <v>6759</v>
      </c>
      <c r="B2687" s="2" t="s">
        <v>3700</v>
      </c>
      <c r="C2687" s="2" t="s">
        <v>3701</v>
      </c>
      <c r="D2687" s="2" t="s">
        <v>5166</v>
      </c>
      <c r="E2687" s="2" t="s">
        <v>5163</v>
      </c>
      <c r="F2687" s="2">
        <v>0.09</v>
      </c>
      <c r="G2687" s="2">
        <v>168</v>
      </c>
      <c r="H2687" s="2">
        <f>Tabla_Items_Con_Existencia[[#This Row],[COSTO]]*Tabla_Items_Con_Existencia[[#This Row],[EXISTENCIA]]</f>
        <v>15.12</v>
      </c>
      <c r="I2687" s="1">
        <f>IF(ISERROR(MATCH(Tabla_Items_Con_Existencia[[#This Row],[CODIGO]],Tabla_Items_Activos[CODIGO],0)),0,1)</f>
        <v>0</v>
      </c>
    </row>
    <row r="2688" spans="1:9">
      <c r="A2688" s="2" t="s">
        <v>6759</v>
      </c>
      <c r="B2688" s="2" t="s">
        <v>3702</v>
      </c>
      <c r="C2688" s="2" t="s">
        <v>3703</v>
      </c>
      <c r="D2688" s="2" t="s">
        <v>5166</v>
      </c>
      <c r="E2688" s="2" t="s">
        <v>5163</v>
      </c>
      <c r="F2688" s="2">
        <v>5.8599999999999999E-2</v>
      </c>
      <c r="G2688" s="2">
        <v>2171</v>
      </c>
      <c r="H2688" s="2">
        <f>Tabla_Items_Con_Existencia[[#This Row],[COSTO]]*Tabla_Items_Con_Existencia[[#This Row],[EXISTENCIA]]</f>
        <v>127.2206</v>
      </c>
      <c r="I2688" s="1">
        <f>IF(ISERROR(MATCH(Tabla_Items_Con_Existencia[[#This Row],[CODIGO]],Tabla_Items_Activos[CODIGO],0)),0,1)</f>
        <v>0</v>
      </c>
    </row>
    <row r="2689" spans="1:9">
      <c r="A2689" s="2" t="s">
        <v>6759</v>
      </c>
      <c r="B2689" s="2" t="s">
        <v>3704</v>
      </c>
      <c r="C2689" s="2" t="s">
        <v>3705</v>
      </c>
      <c r="D2689" s="2" t="s">
        <v>5166</v>
      </c>
      <c r="E2689" s="2" t="s">
        <v>5163</v>
      </c>
      <c r="F2689" s="2">
        <v>0.1</v>
      </c>
      <c r="G2689" s="2">
        <v>92</v>
      </c>
      <c r="H2689" s="2">
        <f>Tabla_Items_Con_Existencia[[#This Row],[COSTO]]*Tabla_Items_Con_Existencia[[#This Row],[EXISTENCIA]]</f>
        <v>9.2000000000000011</v>
      </c>
      <c r="I2689" s="1">
        <f>IF(ISERROR(MATCH(Tabla_Items_Con_Existencia[[#This Row],[CODIGO]],Tabla_Items_Activos[CODIGO],0)),0,1)</f>
        <v>0</v>
      </c>
    </row>
    <row r="2690" spans="1:9">
      <c r="A2690" s="2" t="s">
        <v>6759</v>
      </c>
      <c r="B2690" s="2" t="s">
        <v>3706</v>
      </c>
      <c r="C2690" s="2" t="s">
        <v>3707</v>
      </c>
      <c r="D2690" s="2" t="s">
        <v>5166</v>
      </c>
      <c r="E2690" s="2" t="s">
        <v>5163</v>
      </c>
      <c r="F2690" s="2">
        <v>0.1</v>
      </c>
      <c r="G2690" s="2">
        <v>561</v>
      </c>
      <c r="H2690" s="2">
        <f>Tabla_Items_Con_Existencia[[#This Row],[COSTO]]*Tabla_Items_Con_Existencia[[#This Row],[EXISTENCIA]]</f>
        <v>56.1</v>
      </c>
      <c r="I2690" s="1">
        <f>IF(ISERROR(MATCH(Tabla_Items_Con_Existencia[[#This Row],[CODIGO]],Tabla_Items_Activos[CODIGO],0)),0,1)</f>
        <v>0</v>
      </c>
    </row>
    <row r="2691" spans="1:9">
      <c r="A2691" s="2" t="s">
        <v>6759</v>
      </c>
      <c r="B2691" s="2" t="s">
        <v>3708</v>
      </c>
      <c r="C2691" s="2" t="s">
        <v>3709</v>
      </c>
      <c r="D2691" s="2" t="s">
        <v>5166</v>
      </c>
      <c r="E2691" s="2" t="s">
        <v>5163</v>
      </c>
      <c r="F2691" s="2">
        <v>0.24</v>
      </c>
      <c r="G2691" s="2">
        <v>1027</v>
      </c>
      <c r="H2691" s="2">
        <f>Tabla_Items_Con_Existencia[[#This Row],[COSTO]]*Tabla_Items_Con_Existencia[[#This Row],[EXISTENCIA]]</f>
        <v>246.48</v>
      </c>
      <c r="I2691" s="1">
        <f>IF(ISERROR(MATCH(Tabla_Items_Con_Existencia[[#This Row],[CODIGO]],Tabla_Items_Activos[CODIGO],0)),0,1)</f>
        <v>0</v>
      </c>
    </row>
    <row r="2692" spans="1:9">
      <c r="A2692" s="2" t="s">
        <v>6760</v>
      </c>
      <c r="B2692" s="2" t="s">
        <v>3710</v>
      </c>
      <c r="C2692" s="2" t="s">
        <v>3711</v>
      </c>
      <c r="D2692" s="2" t="s">
        <v>5162</v>
      </c>
      <c r="E2692" s="2" t="s">
        <v>5213</v>
      </c>
      <c r="F2692" s="2">
        <v>209.43517333</v>
      </c>
      <c r="G2692" s="2">
        <v>3</v>
      </c>
      <c r="H2692" s="2">
        <f>Tabla_Items_Con_Existencia[[#This Row],[COSTO]]*Tabla_Items_Con_Existencia[[#This Row],[EXISTENCIA]]</f>
        <v>628.30551998999999</v>
      </c>
      <c r="I2692" s="1">
        <f>IF(ISERROR(MATCH(Tabla_Items_Con_Existencia[[#This Row],[CODIGO]],Tabla_Items_Activos[CODIGO],0)),0,1)</f>
        <v>0</v>
      </c>
    </row>
    <row r="2693" spans="1:9">
      <c r="A2693" s="2" t="s">
        <v>6759</v>
      </c>
      <c r="B2693" s="2" t="s">
        <v>3710</v>
      </c>
      <c r="C2693" s="2" t="s">
        <v>3711</v>
      </c>
      <c r="D2693" s="2" t="s">
        <v>5162</v>
      </c>
      <c r="E2693" s="2" t="s">
        <v>5213</v>
      </c>
      <c r="F2693" s="2">
        <v>209.43517333</v>
      </c>
      <c r="G2693" s="2">
        <v>3</v>
      </c>
      <c r="H2693" s="2">
        <f>Tabla_Items_Con_Existencia[[#This Row],[COSTO]]*Tabla_Items_Con_Existencia[[#This Row],[EXISTENCIA]]</f>
        <v>628.30551998999999</v>
      </c>
      <c r="I2693" s="1">
        <f>IF(ISERROR(MATCH(Tabla_Items_Con_Existencia[[#This Row],[CODIGO]],Tabla_Items_Activos[CODIGO],0)),0,1)</f>
        <v>0</v>
      </c>
    </row>
    <row r="2694" spans="1:9">
      <c r="A2694" s="2" t="s">
        <v>6759</v>
      </c>
      <c r="B2694" s="2" t="s">
        <v>3712</v>
      </c>
      <c r="C2694" s="2" t="s">
        <v>3713</v>
      </c>
      <c r="D2694" s="2" t="s">
        <v>5166</v>
      </c>
      <c r="E2694" s="2" t="s">
        <v>5163</v>
      </c>
      <c r="F2694" s="2">
        <v>0.14149999999999999</v>
      </c>
      <c r="G2694" s="2">
        <v>579</v>
      </c>
      <c r="H2694" s="2">
        <f>Tabla_Items_Con_Existencia[[#This Row],[COSTO]]*Tabla_Items_Con_Existencia[[#This Row],[EXISTENCIA]]</f>
        <v>81.928499999999985</v>
      </c>
      <c r="I2694" s="1">
        <f>IF(ISERROR(MATCH(Tabla_Items_Con_Existencia[[#This Row],[CODIGO]],Tabla_Items_Activos[CODIGO],0)),0,1)</f>
        <v>0</v>
      </c>
    </row>
    <row r="2695" spans="1:9">
      <c r="A2695" s="2" t="s">
        <v>6759</v>
      </c>
      <c r="B2695" s="2" t="s">
        <v>7282</v>
      </c>
      <c r="C2695" s="2" t="s">
        <v>7283</v>
      </c>
      <c r="D2695" s="2" t="s">
        <v>5162</v>
      </c>
      <c r="E2695" s="2" t="s">
        <v>5163</v>
      </c>
      <c r="F2695" s="2">
        <v>0.78920000000000001</v>
      </c>
      <c r="G2695" s="2">
        <v>852</v>
      </c>
      <c r="H2695" s="2">
        <f>Tabla_Items_Con_Existencia[[#This Row],[COSTO]]*Tabla_Items_Con_Existencia[[#This Row],[EXISTENCIA]]</f>
        <v>672.39840000000004</v>
      </c>
      <c r="I2695" s="1">
        <f>IF(ISERROR(MATCH(Tabla_Items_Con_Existencia[[#This Row],[CODIGO]],Tabla_Items_Activos[CODIGO],0)),0,1)</f>
        <v>0</v>
      </c>
    </row>
    <row r="2696" spans="1:9">
      <c r="A2696" s="2" t="s">
        <v>6759</v>
      </c>
      <c r="B2696" s="2" t="s">
        <v>3714</v>
      </c>
      <c r="C2696" s="2" t="s">
        <v>3715</v>
      </c>
      <c r="D2696" s="2" t="s">
        <v>5166</v>
      </c>
      <c r="E2696" s="2" t="s">
        <v>5163</v>
      </c>
      <c r="F2696" s="2">
        <v>0.04</v>
      </c>
      <c r="G2696" s="2">
        <v>3242</v>
      </c>
      <c r="H2696" s="2">
        <f>Tabla_Items_Con_Existencia[[#This Row],[COSTO]]*Tabla_Items_Con_Existencia[[#This Row],[EXISTENCIA]]</f>
        <v>129.68</v>
      </c>
      <c r="I2696" s="1">
        <f>IF(ISERROR(MATCH(Tabla_Items_Con_Existencia[[#This Row],[CODIGO]],Tabla_Items_Activos[CODIGO],0)),0,1)</f>
        <v>0</v>
      </c>
    </row>
    <row r="2697" spans="1:9">
      <c r="A2697" s="2" t="s">
        <v>6760</v>
      </c>
      <c r="B2697" s="2" t="s">
        <v>3716</v>
      </c>
      <c r="C2697" s="2" t="s">
        <v>3717</v>
      </c>
      <c r="D2697" s="2" t="s">
        <v>5158</v>
      </c>
      <c r="E2697" s="2" t="s">
        <v>5159</v>
      </c>
      <c r="F2697" s="2">
        <v>68</v>
      </c>
      <c r="G2697" s="2">
        <v>1</v>
      </c>
      <c r="H2697" s="2">
        <f>Tabla_Items_Con_Existencia[[#This Row],[COSTO]]*Tabla_Items_Con_Existencia[[#This Row],[EXISTENCIA]]</f>
        <v>68</v>
      </c>
      <c r="I2697" s="1">
        <f>IF(ISERROR(MATCH(Tabla_Items_Con_Existencia[[#This Row],[CODIGO]],Tabla_Items_Activos[CODIGO],0)),0,1)</f>
        <v>0</v>
      </c>
    </row>
    <row r="2698" spans="1:9">
      <c r="A2698" s="2" t="s">
        <v>6760</v>
      </c>
      <c r="B2698" s="2" t="s">
        <v>3718</v>
      </c>
      <c r="C2698" s="2" t="s">
        <v>3719</v>
      </c>
      <c r="D2698" s="2" t="s">
        <v>5157</v>
      </c>
      <c r="E2698" s="2" t="s">
        <v>5192</v>
      </c>
      <c r="F2698" s="2">
        <v>0.55800000000000005</v>
      </c>
      <c r="G2698" s="2">
        <v>10</v>
      </c>
      <c r="H2698" s="2">
        <f>Tabla_Items_Con_Existencia[[#This Row],[COSTO]]*Tabla_Items_Con_Existencia[[#This Row],[EXISTENCIA]]</f>
        <v>5.58</v>
      </c>
      <c r="I2698" s="1">
        <f>IF(ISERROR(MATCH(Tabla_Items_Con_Existencia[[#This Row],[CODIGO]],Tabla_Items_Activos[CODIGO],0)),0,1)</f>
        <v>0</v>
      </c>
    </row>
    <row r="2699" spans="1:9">
      <c r="A2699" s="2" t="s">
        <v>6760</v>
      </c>
      <c r="B2699" s="2" t="s">
        <v>3720</v>
      </c>
      <c r="C2699" s="2" t="s">
        <v>3721</v>
      </c>
      <c r="D2699" s="2" t="s">
        <v>5158</v>
      </c>
      <c r="E2699" s="2" t="s">
        <v>5159</v>
      </c>
      <c r="F2699" s="2">
        <v>1.6</v>
      </c>
      <c r="G2699" s="2">
        <v>6</v>
      </c>
      <c r="H2699" s="2">
        <f>Tabla_Items_Con_Existencia[[#This Row],[COSTO]]*Tabla_Items_Con_Existencia[[#This Row],[EXISTENCIA]]</f>
        <v>9.6000000000000014</v>
      </c>
      <c r="I2699" s="1">
        <f>IF(ISERROR(MATCH(Tabla_Items_Con_Existencia[[#This Row],[CODIGO]],Tabla_Items_Activos[CODIGO],0)),0,1)</f>
        <v>0</v>
      </c>
    </row>
    <row r="2700" spans="1:9">
      <c r="A2700" s="2" t="s">
        <v>6760</v>
      </c>
      <c r="B2700" s="2" t="s">
        <v>3722</v>
      </c>
      <c r="C2700" s="2" t="s">
        <v>3723</v>
      </c>
      <c r="D2700" s="2" t="s">
        <v>5158</v>
      </c>
      <c r="E2700" s="2" t="s">
        <v>5159</v>
      </c>
      <c r="F2700" s="2">
        <v>31.2</v>
      </c>
      <c r="G2700" s="2">
        <v>1</v>
      </c>
      <c r="H2700" s="2">
        <f>Tabla_Items_Con_Existencia[[#This Row],[COSTO]]*Tabla_Items_Con_Existencia[[#This Row],[EXISTENCIA]]</f>
        <v>31.2</v>
      </c>
      <c r="I2700" s="1">
        <f>IF(ISERROR(MATCH(Tabla_Items_Con_Existencia[[#This Row],[CODIGO]],Tabla_Items_Activos[CODIGO],0)),0,1)</f>
        <v>0</v>
      </c>
    </row>
    <row r="2701" spans="1:9">
      <c r="A2701" s="2" t="s">
        <v>6760</v>
      </c>
      <c r="B2701" s="2" t="s">
        <v>3724</v>
      </c>
      <c r="C2701" s="2" t="s">
        <v>3725</v>
      </c>
      <c r="D2701" s="2" t="s">
        <v>5158</v>
      </c>
      <c r="E2701" s="2" t="s">
        <v>5159</v>
      </c>
      <c r="F2701" s="2">
        <v>4.8</v>
      </c>
      <c r="G2701" s="2">
        <v>1</v>
      </c>
      <c r="H2701" s="2">
        <f>Tabla_Items_Con_Existencia[[#This Row],[COSTO]]*Tabla_Items_Con_Existencia[[#This Row],[EXISTENCIA]]</f>
        <v>4.8</v>
      </c>
      <c r="I2701" s="1">
        <f>IF(ISERROR(MATCH(Tabla_Items_Con_Existencia[[#This Row],[CODIGO]],Tabla_Items_Activos[CODIGO],0)),0,1)</f>
        <v>0</v>
      </c>
    </row>
    <row r="2702" spans="1:9">
      <c r="A2702" s="2" t="s">
        <v>6760</v>
      </c>
      <c r="B2702" s="2" t="s">
        <v>3726</v>
      </c>
      <c r="C2702" s="2" t="s">
        <v>3727</v>
      </c>
      <c r="D2702" s="2" t="s">
        <v>5158</v>
      </c>
      <c r="E2702" s="2" t="s">
        <v>5159</v>
      </c>
      <c r="F2702" s="2">
        <v>8.8000000000000007</v>
      </c>
      <c r="G2702" s="2">
        <v>1</v>
      </c>
      <c r="H2702" s="2">
        <f>Tabla_Items_Con_Existencia[[#This Row],[COSTO]]*Tabla_Items_Con_Existencia[[#This Row],[EXISTENCIA]]</f>
        <v>8.8000000000000007</v>
      </c>
      <c r="I2702" s="1">
        <f>IF(ISERROR(MATCH(Tabla_Items_Con_Existencia[[#This Row],[CODIGO]],Tabla_Items_Activos[CODIGO],0)),0,1)</f>
        <v>0</v>
      </c>
    </row>
    <row r="2703" spans="1:9">
      <c r="A2703" s="2" t="s">
        <v>6760</v>
      </c>
      <c r="B2703" s="2" t="s">
        <v>3728</v>
      </c>
      <c r="C2703" s="2" t="s">
        <v>3729</v>
      </c>
      <c r="D2703" s="2" t="s">
        <v>5158</v>
      </c>
      <c r="E2703" s="2" t="s">
        <v>5159</v>
      </c>
      <c r="F2703" s="2">
        <v>25.6</v>
      </c>
      <c r="G2703" s="2">
        <v>1</v>
      </c>
      <c r="H2703" s="2">
        <f>Tabla_Items_Con_Existencia[[#This Row],[COSTO]]*Tabla_Items_Con_Existencia[[#This Row],[EXISTENCIA]]</f>
        <v>25.6</v>
      </c>
      <c r="I2703" s="1">
        <f>IF(ISERROR(MATCH(Tabla_Items_Con_Existencia[[#This Row],[CODIGO]],Tabla_Items_Activos[CODIGO],0)),0,1)</f>
        <v>0</v>
      </c>
    </row>
    <row r="2704" spans="1:9">
      <c r="A2704" s="2" t="s">
        <v>6760</v>
      </c>
      <c r="B2704" s="2" t="s">
        <v>3730</v>
      </c>
      <c r="C2704" s="2" t="s">
        <v>3731</v>
      </c>
      <c r="D2704" s="2" t="s">
        <v>5157</v>
      </c>
      <c r="E2704" s="2" t="s">
        <v>5192</v>
      </c>
      <c r="F2704" s="2">
        <v>5.6</v>
      </c>
      <c r="G2704" s="2">
        <v>1</v>
      </c>
      <c r="H2704" s="2">
        <f>Tabla_Items_Con_Existencia[[#This Row],[COSTO]]*Tabla_Items_Con_Existencia[[#This Row],[EXISTENCIA]]</f>
        <v>5.6</v>
      </c>
      <c r="I2704" s="1">
        <f>IF(ISERROR(MATCH(Tabla_Items_Con_Existencia[[#This Row],[CODIGO]],Tabla_Items_Activos[CODIGO],0)),0,1)</f>
        <v>0</v>
      </c>
    </row>
    <row r="2705" spans="1:9">
      <c r="A2705" s="2" t="s">
        <v>6760</v>
      </c>
      <c r="B2705" s="2" t="s">
        <v>3732</v>
      </c>
      <c r="C2705" s="2" t="s">
        <v>3733</v>
      </c>
      <c r="D2705" s="2" t="s">
        <v>5157</v>
      </c>
      <c r="E2705" s="2" t="s">
        <v>5192</v>
      </c>
      <c r="F2705" s="2">
        <v>15.2</v>
      </c>
      <c r="G2705" s="2">
        <v>1</v>
      </c>
      <c r="H2705" s="2">
        <f>Tabla_Items_Con_Existencia[[#This Row],[COSTO]]*Tabla_Items_Con_Existencia[[#This Row],[EXISTENCIA]]</f>
        <v>15.2</v>
      </c>
      <c r="I2705" s="1">
        <f>IF(ISERROR(MATCH(Tabla_Items_Con_Existencia[[#This Row],[CODIGO]],Tabla_Items_Activos[CODIGO],0)),0,1)</f>
        <v>0</v>
      </c>
    </row>
    <row r="2706" spans="1:9">
      <c r="A2706" s="2" t="s">
        <v>6760</v>
      </c>
      <c r="B2706" s="2" t="s">
        <v>3734</v>
      </c>
      <c r="C2706" s="2" t="s">
        <v>3735</v>
      </c>
      <c r="D2706" s="2" t="s">
        <v>5158</v>
      </c>
      <c r="E2706" s="2" t="s">
        <v>5159</v>
      </c>
      <c r="F2706" s="2">
        <v>4.8</v>
      </c>
      <c r="G2706" s="2">
        <v>2</v>
      </c>
      <c r="H2706" s="2">
        <f>Tabla_Items_Con_Existencia[[#This Row],[COSTO]]*Tabla_Items_Con_Existencia[[#This Row],[EXISTENCIA]]</f>
        <v>9.6</v>
      </c>
      <c r="I2706" s="1">
        <f>IF(ISERROR(MATCH(Tabla_Items_Con_Existencia[[#This Row],[CODIGO]],Tabla_Items_Activos[CODIGO],0)),0,1)</f>
        <v>0</v>
      </c>
    </row>
    <row r="2707" spans="1:9">
      <c r="A2707" s="2" t="s">
        <v>6760</v>
      </c>
      <c r="B2707" s="2" t="s">
        <v>3736</v>
      </c>
      <c r="C2707" s="2" t="s">
        <v>3737</v>
      </c>
      <c r="D2707" s="2" t="s">
        <v>5161</v>
      </c>
      <c r="E2707" s="2" t="s">
        <v>5159</v>
      </c>
      <c r="F2707" s="2">
        <v>76.8</v>
      </c>
      <c r="G2707" s="2">
        <v>1</v>
      </c>
      <c r="H2707" s="2">
        <f>Tabla_Items_Con_Existencia[[#This Row],[COSTO]]*Tabla_Items_Con_Existencia[[#This Row],[EXISTENCIA]]</f>
        <v>76.8</v>
      </c>
      <c r="I2707" s="1">
        <f>IF(ISERROR(MATCH(Tabla_Items_Con_Existencia[[#This Row],[CODIGO]],Tabla_Items_Activos[CODIGO],0)),0,1)</f>
        <v>0</v>
      </c>
    </row>
    <row r="2708" spans="1:9">
      <c r="A2708" s="2" t="s">
        <v>6760</v>
      </c>
      <c r="B2708" s="2" t="s">
        <v>3738</v>
      </c>
      <c r="C2708" s="2" t="s">
        <v>3739</v>
      </c>
      <c r="D2708" s="2" t="s">
        <v>5158</v>
      </c>
      <c r="E2708" s="2" t="s">
        <v>5159</v>
      </c>
      <c r="F2708" s="2">
        <v>1.2</v>
      </c>
      <c r="G2708" s="2">
        <v>1</v>
      </c>
      <c r="H2708" s="2">
        <f>Tabla_Items_Con_Existencia[[#This Row],[COSTO]]*Tabla_Items_Con_Existencia[[#This Row],[EXISTENCIA]]</f>
        <v>1.2</v>
      </c>
      <c r="I2708" s="1">
        <f>IF(ISERROR(MATCH(Tabla_Items_Con_Existencia[[#This Row],[CODIGO]],Tabla_Items_Activos[CODIGO],0)),0,1)</f>
        <v>0</v>
      </c>
    </row>
    <row r="2709" spans="1:9">
      <c r="A2709" s="2" t="s">
        <v>6760</v>
      </c>
      <c r="B2709" s="2" t="s">
        <v>3740</v>
      </c>
      <c r="C2709" s="2" t="s">
        <v>3741</v>
      </c>
      <c r="D2709" s="2" t="s">
        <v>5157</v>
      </c>
      <c r="E2709" s="2" t="s">
        <v>5192</v>
      </c>
      <c r="F2709" s="2">
        <v>4.4000000000000004</v>
      </c>
      <c r="G2709" s="2">
        <v>2</v>
      </c>
      <c r="H2709" s="2">
        <f>Tabla_Items_Con_Existencia[[#This Row],[COSTO]]*Tabla_Items_Con_Existencia[[#This Row],[EXISTENCIA]]</f>
        <v>8.8000000000000007</v>
      </c>
      <c r="I2709" s="1">
        <f>IF(ISERROR(MATCH(Tabla_Items_Con_Existencia[[#This Row],[CODIGO]],Tabla_Items_Activos[CODIGO],0)),0,1)</f>
        <v>0</v>
      </c>
    </row>
    <row r="2710" spans="1:9">
      <c r="A2710" s="2" t="s">
        <v>6760</v>
      </c>
      <c r="B2710" s="2" t="s">
        <v>3742</v>
      </c>
      <c r="C2710" s="2" t="s">
        <v>3743</v>
      </c>
      <c r="D2710" s="2" t="s">
        <v>5157</v>
      </c>
      <c r="E2710" s="2" t="s">
        <v>5192</v>
      </c>
      <c r="F2710" s="2">
        <v>3.95</v>
      </c>
      <c r="G2710" s="2">
        <v>1</v>
      </c>
      <c r="H2710" s="2">
        <f>Tabla_Items_Con_Existencia[[#This Row],[COSTO]]*Tabla_Items_Con_Existencia[[#This Row],[EXISTENCIA]]</f>
        <v>3.95</v>
      </c>
      <c r="I2710" s="1">
        <f>IF(ISERROR(MATCH(Tabla_Items_Con_Existencia[[#This Row],[CODIGO]],Tabla_Items_Activos[CODIGO],0)),0,1)</f>
        <v>0</v>
      </c>
    </row>
    <row r="2711" spans="1:9">
      <c r="A2711" s="2" t="s">
        <v>6760</v>
      </c>
      <c r="B2711" s="2" t="s">
        <v>3744</v>
      </c>
      <c r="C2711" s="2" t="s">
        <v>3745</v>
      </c>
      <c r="D2711" s="2" t="s">
        <v>5158</v>
      </c>
      <c r="E2711" s="2" t="s">
        <v>5159</v>
      </c>
      <c r="F2711" s="2">
        <v>47.94</v>
      </c>
      <c r="G2711" s="2">
        <v>1</v>
      </c>
      <c r="H2711" s="2">
        <f>Tabla_Items_Con_Existencia[[#This Row],[COSTO]]*Tabla_Items_Con_Existencia[[#This Row],[EXISTENCIA]]</f>
        <v>47.94</v>
      </c>
      <c r="I2711" s="1">
        <f>IF(ISERROR(MATCH(Tabla_Items_Con_Existencia[[#This Row],[CODIGO]],Tabla_Items_Activos[CODIGO],0)),0,1)</f>
        <v>0</v>
      </c>
    </row>
    <row r="2712" spans="1:9">
      <c r="A2712" s="2" t="s">
        <v>6760</v>
      </c>
      <c r="B2712" s="2" t="s">
        <v>3746</v>
      </c>
      <c r="C2712" s="2" t="s">
        <v>3747</v>
      </c>
      <c r="D2712" s="2" t="s">
        <v>5157</v>
      </c>
      <c r="E2712" s="2" t="s">
        <v>5192</v>
      </c>
      <c r="F2712" s="2">
        <v>18.34</v>
      </c>
      <c r="G2712" s="2">
        <v>1</v>
      </c>
      <c r="H2712" s="2">
        <f>Tabla_Items_Con_Existencia[[#This Row],[COSTO]]*Tabla_Items_Con_Existencia[[#This Row],[EXISTENCIA]]</f>
        <v>18.34</v>
      </c>
      <c r="I2712" s="1">
        <f>IF(ISERROR(MATCH(Tabla_Items_Con_Existencia[[#This Row],[CODIGO]],Tabla_Items_Activos[CODIGO],0)),0,1)</f>
        <v>0</v>
      </c>
    </row>
    <row r="2713" spans="1:9">
      <c r="A2713" s="2" t="s">
        <v>6759</v>
      </c>
      <c r="B2713" s="2" t="s">
        <v>3748</v>
      </c>
      <c r="C2713" s="2" t="s">
        <v>3749</v>
      </c>
      <c r="D2713" s="2" t="s">
        <v>5162</v>
      </c>
      <c r="E2713" s="2" t="s">
        <v>5210</v>
      </c>
      <c r="F2713" s="2">
        <v>2.5632000000000001</v>
      </c>
      <c r="G2713" s="2">
        <v>8</v>
      </c>
      <c r="H2713" s="2">
        <f>Tabla_Items_Con_Existencia[[#This Row],[COSTO]]*Tabla_Items_Con_Existencia[[#This Row],[EXISTENCIA]]</f>
        <v>20.505600000000001</v>
      </c>
      <c r="I2713" s="1">
        <f>IF(ISERROR(MATCH(Tabla_Items_Con_Existencia[[#This Row],[CODIGO]],Tabla_Items_Activos[CODIGO],0)),0,1)</f>
        <v>0</v>
      </c>
    </row>
    <row r="2714" spans="1:9">
      <c r="A2714" s="2" t="s">
        <v>6760</v>
      </c>
      <c r="B2714" s="2" t="s">
        <v>3750</v>
      </c>
      <c r="C2714" s="2" t="s">
        <v>3751</v>
      </c>
      <c r="D2714" s="2" t="s">
        <v>5157</v>
      </c>
      <c r="E2714" s="2" t="s">
        <v>5192</v>
      </c>
      <c r="F2714" s="2">
        <v>234</v>
      </c>
      <c r="G2714" s="2">
        <v>4</v>
      </c>
      <c r="H2714" s="2">
        <f>Tabla_Items_Con_Existencia[[#This Row],[COSTO]]*Tabla_Items_Con_Existencia[[#This Row],[EXISTENCIA]]</f>
        <v>936</v>
      </c>
      <c r="I2714" s="1">
        <f>IF(ISERROR(MATCH(Tabla_Items_Con_Existencia[[#This Row],[CODIGO]],Tabla_Items_Activos[CODIGO],0)),0,1)</f>
        <v>0</v>
      </c>
    </row>
    <row r="2715" spans="1:9">
      <c r="A2715" s="2" t="s">
        <v>6760</v>
      </c>
      <c r="B2715" s="2" t="s">
        <v>3752</v>
      </c>
      <c r="C2715" s="2" t="s">
        <v>3753</v>
      </c>
      <c r="D2715" s="2" t="s">
        <v>5157</v>
      </c>
      <c r="E2715" s="2" t="s">
        <v>5192</v>
      </c>
      <c r="F2715" s="2">
        <v>53.76</v>
      </c>
      <c r="G2715" s="2">
        <v>1</v>
      </c>
      <c r="H2715" s="2">
        <f>Tabla_Items_Con_Existencia[[#This Row],[COSTO]]*Tabla_Items_Con_Existencia[[#This Row],[EXISTENCIA]]</f>
        <v>53.76</v>
      </c>
      <c r="I2715" s="1">
        <f>IF(ISERROR(MATCH(Tabla_Items_Con_Existencia[[#This Row],[CODIGO]],Tabla_Items_Activos[CODIGO],0)),0,1)</f>
        <v>0</v>
      </c>
    </row>
    <row r="2716" spans="1:9">
      <c r="A2716" s="2" t="s">
        <v>6760</v>
      </c>
      <c r="B2716" s="2" t="s">
        <v>3754</v>
      </c>
      <c r="C2716" s="2" t="s">
        <v>3755</v>
      </c>
      <c r="D2716" s="2" t="s">
        <v>5157</v>
      </c>
      <c r="E2716" s="2" t="s">
        <v>5192</v>
      </c>
      <c r="F2716" s="2">
        <v>43.5</v>
      </c>
      <c r="G2716" s="2">
        <v>1</v>
      </c>
      <c r="H2716" s="2">
        <f>Tabla_Items_Con_Existencia[[#This Row],[COSTO]]*Tabla_Items_Con_Existencia[[#This Row],[EXISTENCIA]]</f>
        <v>43.5</v>
      </c>
      <c r="I2716" s="1">
        <f>IF(ISERROR(MATCH(Tabla_Items_Con_Existencia[[#This Row],[CODIGO]],Tabla_Items_Activos[CODIGO],0)),0,1)</f>
        <v>0</v>
      </c>
    </row>
    <row r="2717" spans="1:9">
      <c r="A2717" s="2" t="s">
        <v>6760</v>
      </c>
      <c r="B2717" s="2" t="s">
        <v>900</v>
      </c>
      <c r="C2717" s="2" t="s">
        <v>3756</v>
      </c>
      <c r="D2717" s="2" t="s">
        <v>5195</v>
      </c>
      <c r="E2717" s="2" t="s">
        <v>5159</v>
      </c>
      <c r="F2717" s="2">
        <v>0.50452631999999997</v>
      </c>
      <c r="G2717" s="2">
        <v>3418</v>
      </c>
      <c r="H2717" s="2">
        <f>Tabla_Items_Con_Existencia[[#This Row],[COSTO]]*Tabla_Items_Con_Existencia[[#This Row],[EXISTENCIA]]</f>
        <v>1724.4709617599999</v>
      </c>
      <c r="I2717" s="1">
        <f>IF(ISERROR(MATCH(Tabla_Items_Con_Existencia[[#This Row],[CODIGO]],Tabla_Items_Activos[CODIGO],0)),0,1)</f>
        <v>0</v>
      </c>
    </row>
    <row r="2718" spans="1:9">
      <c r="A2718" s="2" t="s">
        <v>6761</v>
      </c>
      <c r="B2718" s="2" t="s">
        <v>900</v>
      </c>
      <c r="C2718" s="2" t="s">
        <v>3756</v>
      </c>
      <c r="D2718" s="2" t="s">
        <v>5195</v>
      </c>
      <c r="E2718" s="2" t="s">
        <v>5159</v>
      </c>
      <c r="F2718" s="2">
        <v>0.50452631999999997</v>
      </c>
      <c r="G2718" s="2">
        <v>3418</v>
      </c>
      <c r="H2718" s="2">
        <f>Tabla_Items_Con_Existencia[[#This Row],[COSTO]]*Tabla_Items_Con_Existencia[[#This Row],[EXISTENCIA]]</f>
        <v>1724.4709617599999</v>
      </c>
      <c r="I2718" s="1">
        <f>IF(ISERROR(MATCH(Tabla_Items_Con_Existencia[[#This Row],[CODIGO]],Tabla_Items_Activos[CODIGO],0)),0,1)</f>
        <v>0</v>
      </c>
    </row>
    <row r="2719" spans="1:9">
      <c r="A2719" s="2" t="s">
        <v>6760</v>
      </c>
      <c r="B2719" s="2" t="s">
        <v>901</v>
      </c>
      <c r="C2719" s="2" t="s">
        <v>3757</v>
      </c>
      <c r="D2719" s="2" t="s">
        <v>5158</v>
      </c>
      <c r="E2719" s="2" t="s">
        <v>5159</v>
      </c>
      <c r="F2719" s="2">
        <v>53.403799999999997</v>
      </c>
      <c r="G2719" s="2">
        <v>22</v>
      </c>
      <c r="H2719" s="2">
        <f>Tabla_Items_Con_Existencia[[#This Row],[COSTO]]*Tabla_Items_Con_Existencia[[#This Row],[EXISTENCIA]]</f>
        <v>1174.8835999999999</v>
      </c>
      <c r="I2719" s="1">
        <f>IF(ISERROR(MATCH(Tabla_Items_Con_Existencia[[#This Row],[CODIGO]],Tabla_Items_Activos[CODIGO],0)),0,1)</f>
        <v>0</v>
      </c>
    </row>
    <row r="2720" spans="1:9">
      <c r="A2720" s="2" t="s">
        <v>6761</v>
      </c>
      <c r="B2720" s="2" t="s">
        <v>901</v>
      </c>
      <c r="C2720" s="2" t="s">
        <v>3757</v>
      </c>
      <c r="D2720" s="2" t="s">
        <v>5158</v>
      </c>
      <c r="E2720" s="2" t="s">
        <v>5159</v>
      </c>
      <c r="F2720" s="2">
        <v>53.403799999999997</v>
      </c>
      <c r="G2720" s="2">
        <v>22</v>
      </c>
      <c r="H2720" s="2">
        <f>Tabla_Items_Con_Existencia[[#This Row],[COSTO]]*Tabla_Items_Con_Existencia[[#This Row],[EXISTENCIA]]</f>
        <v>1174.8835999999999</v>
      </c>
      <c r="I2720" s="1">
        <f>IF(ISERROR(MATCH(Tabla_Items_Con_Existencia[[#This Row],[CODIGO]],Tabla_Items_Activos[CODIGO],0)),0,1)</f>
        <v>0</v>
      </c>
    </row>
    <row r="2721" spans="1:9">
      <c r="A2721" s="2" t="s">
        <v>6760</v>
      </c>
      <c r="B2721" s="2" t="s">
        <v>902</v>
      </c>
      <c r="C2721" s="2" t="s">
        <v>3758</v>
      </c>
      <c r="D2721" s="2" t="s">
        <v>5195</v>
      </c>
      <c r="E2721" s="2" t="s">
        <v>5159</v>
      </c>
      <c r="F2721" s="2">
        <v>0.53178946999999999</v>
      </c>
      <c r="G2721" s="2">
        <v>302</v>
      </c>
      <c r="H2721" s="2">
        <f>Tabla_Items_Con_Existencia[[#This Row],[COSTO]]*Tabla_Items_Con_Existencia[[#This Row],[EXISTENCIA]]</f>
        <v>160.60041993999999</v>
      </c>
      <c r="I2721" s="1">
        <f>IF(ISERROR(MATCH(Tabla_Items_Con_Existencia[[#This Row],[CODIGO]],Tabla_Items_Activos[CODIGO],0)),0,1)</f>
        <v>0</v>
      </c>
    </row>
    <row r="2722" spans="1:9">
      <c r="A2722" s="2" t="s">
        <v>6761</v>
      </c>
      <c r="B2722" s="2" t="s">
        <v>902</v>
      </c>
      <c r="C2722" s="2" t="s">
        <v>3758</v>
      </c>
      <c r="D2722" s="2" t="s">
        <v>5195</v>
      </c>
      <c r="E2722" s="2" t="s">
        <v>5159</v>
      </c>
      <c r="F2722" s="2">
        <v>0.53178946999999999</v>
      </c>
      <c r="G2722" s="2">
        <v>302</v>
      </c>
      <c r="H2722" s="2">
        <f>Tabla_Items_Con_Existencia[[#This Row],[COSTO]]*Tabla_Items_Con_Existencia[[#This Row],[EXISTENCIA]]</f>
        <v>160.60041993999999</v>
      </c>
      <c r="I2722" s="1">
        <f>IF(ISERROR(MATCH(Tabla_Items_Con_Existencia[[#This Row],[CODIGO]],Tabla_Items_Activos[CODIGO],0)),0,1)</f>
        <v>0</v>
      </c>
    </row>
    <row r="2723" spans="1:9">
      <c r="A2723" s="2" t="s">
        <v>6760</v>
      </c>
      <c r="B2723" s="2" t="s">
        <v>903</v>
      </c>
      <c r="C2723" s="2" t="s">
        <v>3759</v>
      </c>
      <c r="D2723" s="2" t="s">
        <v>5157</v>
      </c>
      <c r="E2723" s="2" t="s">
        <v>5192</v>
      </c>
      <c r="F2723" s="2">
        <v>3.8739947400000001</v>
      </c>
      <c r="G2723" s="2">
        <v>18</v>
      </c>
      <c r="H2723" s="2">
        <f>Tabla_Items_Con_Existencia[[#This Row],[COSTO]]*Tabla_Items_Con_Existencia[[#This Row],[EXISTENCIA]]</f>
        <v>69.731905319999996</v>
      </c>
      <c r="I2723" s="1">
        <f>IF(ISERROR(MATCH(Tabla_Items_Con_Existencia[[#This Row],[CODIGO]],Tabla_Items_Activos[CODIGO],0)),0,1)</f>
        <v>0</v>
      </c>
    </row>
    <row r="2724" spans="1:9">
      <c r="A2724" s="2" t="s">
        <v>6761</v>
      </c>
      <c r="B2724" s="2" t="s">
        <v>903</v>
      </c>
      <c r="C2724" s="2" t="s">
        <v>3759</v>
      </c>
      <c r="D2724" s="2" t="s">
        <v>5157</v>
      </c>
      <c r="E2724" s="2" t="s">
        <v>5192</v>
      </c>
      <c r="F2724" s="2">
        <v>3.8739947400000001</v>
      </c>
      <c r="G2724" s="2">
        <v>18</v>
      </c>
      <c r="H2724" s="2">
        <f>Tabla_Items_Con_Existencia[[#This Row],[COSTO]]*Tabla_Items_Con_Existencia[[#This Row],[EXISTENCIA]]</f>
        <v>69.731905319999996</v>
      </c>
      <c r="I2724" s="1">
        <f>IF(ISERROR(MATCH(Tabla_Items_Con_Existencia[[#This Row],[CODIGO]],Tabla_Items_Activos[CODIGO],0)),0,1)</f>
        <v>0</v>
      </c>
    </row>
    <row r="2725" spans="1:9">
      <c r="A2725" s="2" t="s">
        <v>6760</v>
      </c>
      <c r="B2725" s="2" t="s">
        <v>3760</v>
      </c>
      <c r="C2725" s="2" t="s">
        <v>3761</v>
      </c>
      <c r="D2725" s="2" t="s">
        <v>5157</v>
      </c>
      <c r="E2725" s="2" t="s">
        <v>5192</v>
      </c>
      <c r="F2725" s="2">
        <v>0.05</v>
      </c>
      <c r="G2725" s="2">
        <v>6</v>
      </c>
      <c r="H2725" s="2">
        <f>Tabla_Items_Con_Existencia[[#This Row],[COSTO]]*Tabla_Items_Con_Existencia[[#This Row],[EXISTENCIA]]</f>
        <v>0.30000000000000004</v>
      </c>
      <c r="I2725" s="1">
        <f>IF(ISERROR(MATCH(Tabla_Items_Con_Existencia[[#This Row],[CODIGO]],Tabla_Items_Activos[CODIGO],0)),0,1)</f>
        <v>0</v>
      </c>
    </row>
    <row r="2726" spans="1:9">
      <c r="A2726" s="2" t="s">
        <v>6760</v>
      </c>
      <c r="B2726" s="2" t="s">
        <v>3762</v>
      </c>
      <c r="C2726" s="2" t="s">
        <v>3763</v>
      </c>
      <c r="D2726" s="2" t="s">
        <v>5195</v>
      </c>
      <c r="E2726" s="2" t="s">
        <v>5159</v>
      </c>
      <c r="F2726" s="2">
        <v>36.547405259999998</v>
      </c>
      <c r="G2726" s="2">
        <v>2</v>
      </c>
      <c r="H2726" s="2">
        <f>Tabla_Items_Con_Existencia[[#This Row],[COSTO]]*Tabla_Items_Con_Existencia[[#This Row],[EXISTENCIA]]</f>
        <v>73.094810519999996</v>
      </c>
      <c r="I2726" s="1">
        <f>IF(ISERROR(MATCH(Tabla_Items_Con_Existencia[[#This Row],[CODIGO]],Tabla_Items_Activos[CODIGO],0)),0,1)</f>
        <v>0</v>
      </c>
    </row>
    <row r="2727" spans="1:9">
      <c r="A2727" s="2" t="s">
        <v>6761</v>
      </c>
      <c r="B2727" s="2" t="s">
        <v>3762</v>
      </c>
      <c r="C2727" s="2" t="s">
        <v>3763</v>
      </c>
      <c r="D2727" s="2" t="s">
        <v>5195</v>
      </c>
      <c r="E2727" s="2" t="s">
        <v>5159</v>
      </c>
      <c r="F2727" s="2">
        <v>36.547405259999998</v>
      </c>
      <c r="G2727" s="2">
        <v>2</v>
      </c>
      <c r="H2727" s="2">
        <f>Tabla_Items_Con_Existencia[[#This Row],[COSTO]]*Tabla_Items_Con_Existencia[[#This Row],[EXISTENCIA]]</f>
        <v>73.094810519999996</v>
      </c>
      <c r="I2727" s="1">
        <f>IF(ISERROR(MATCH(Tabla_Items_Con_Existencia[[#This Row],[CODIGO]],Tabla_Items_Activos[CODIGO],0)),0,1)</f>
        <v>0</v>
      </c>
    </row>
    <row r="2728" spans="1:9">
      <c r="A2728" s="2" t="s">
        <v>6760</v>
      </c>
      <c r="B2728" s="2" t="s">
        <v>3764</v>
      </c>
      <c r="C2728" s="2" t="s">
        <v>3765</v>
      </c>
      <c r="D2728" s="2" t="s">
        <v>5158</v>
      </c>
      <c r="E2728" s="2" t="s">
        <v>5159</v>
      </c>
      <c r="F2728" s="2">
        <v>0.5</v>
      </c>
      <c r="G2728" s="2">
        <v>48</v>
      </c>
      <c r="H2728" s="2">
        <f>Tabla_Items_Con_Existencia[[#This Row],[COSTO]]*Tabla_Items_Con_Existencia[[#This Row],[EXISTENCIA]]</f>
        <v>24</v>
      </c>
      <c r="I2728" s="1">
        <f>IF(ISERROR(MATCH(Tabla_Items_Con_Existencia[[#This Row],[CODIGO]],Tabla_Items_Activos[CODIGO],0)),0,1)</f>
        <v>0</v>
      </c>
    </row>
    <row r="2729" spans="1:9">
      <c r="A2729" s="2" t="s">
        <v>6760</v>
      </c>
      <c r="B2729" s="2" t="s">
        <v>3766</v>
      </c>
      <c r="C2729" s="2" t="s">
        <v>3767</v>
      </c>
      <c r="D2729" s="2" t="s">
        <v>6730</v>
      </c>
      <c r="E2729" s="2" t="s">
        <v>5159</v>
      </c>
      <c r="F2729" s="2">
        <v>41.88</v>
      </c>
      <c r="G2729" s="2">
        <v>26</v>
      </c>
      <c r="H2729" s="2">
        <f>Tabla_Items_Con_Existencia[[#This Row],[COSTO]]*Tabla_Items_Con_Existencia[[#This Row],[EXISTENCIA]]</f>
        <v>1088.8800000000001</v>
      </c>
      <c r="I2729" s="1">
        <f>IF(ISERROR(MATCH(Tabla_Items_Con_Existencia[[#This Row],[CODIGO]],Tabla_Items_Activos[CODIGO],0)),0,1)</f>
        <v>0</v>
      </c>
    </row>
    <row r="2730" spans="1:9">
      <c r="A2730" s="2" t="s">
        <v>6761</v>
      </c>
      <c r="B2730" s="2" t="s">
        <v>3768</v>
      </c>
      <c r="C2730" s="2" t="s">
        <v>3769</v>
      </c>
      <c r="D2730" s="2" t="s">
        <v>6035</v>
      </c>
      <c r="E2730" s="2" t="s">
        <v>5168</v>
      </c>
      <c r="F2730" s="2">
        <v>343.28273683999998</v>
      </c>
      <c r="G2730" s="2">
        <v>1</v>
      </c>
      <c r="H2730" s="2">
        <f>Tabla_Items_Con_Existencia[[#This Row],[COSTO]]*Tabla_Items_Con_Existencia[[#This Row],[EXISTENCIA]]</f>
        <v>343.28273683999998</v>
      </c>
      <c r="I2730" s="1">
        <f>IF(ISERROR(MATCH(Tabla_Items_Con_Existencia[[#This Row],[CODIGO]],Tabla_Items_Activos[CODIGO],0)),0,1)</f>
        <v>0</v>
      </c>
    </row>
    <row r="2731" spans="1:9">
      <c r="A2731" s="2" t="s">
        <v>6760</v>
      </c>
      <c r="B2731" s="2" t="s">
        <v>3768</v>
      </c>
      <c r="C2731" s="2" t="s">
        <v>3769</v>
      </c>
      <c r="D2731" s="2" t="s">
        <v>6035</v>
      </c>
      <c r="E2731" s="2" t="s">
        <v>5168</v>
      </c>
      <c r="F2731" s="2">
        <v>343.28273683999998</v>
      </c>
      <c r="G2731" s="2">
        <v>1</v>
      </c>
      <c r="H2731" s="2">
        <f>Tabla_Items_Con_Existencia[[#This Row],[COSTO]]*Tabla_Items_Con_Existencia[[#This Row],[EXISTENCIA]]</f>
        <v>343.28273683999998</v>
      </c>
      <c r="I2731" s="1">
        <f>IF(ISERROR(MATCH(Tabla_Items_Con_Existencia[[#This Row],[CODIGO]],Tabla_Items_Activos[CODIGO],0)),0,1)</f>
        <v>0</v>
      </c>
    </row>
    <row r="2732" spans="1:9">
      <c r="A2732" s="2" t="s">
        <v>6761</v>
      </c>
      <c r="B2732" s="2" t="s">
        <v>904</v>
      </c>
      <c r="C2732" s="2" t="s">
        <v>3770</v>
      </c>
      <c r="D2732" s="2" t="s">
        <v>5158</v>
      </c>
      <c r="E2732" s="2" t="s">
        <v>5159</v>
      </c>
      <c r="F2732" s="2">
        <v>2.0413157900000001</v>
      </c>
      <c r="G2732" s="2">
        <v>2</v>
      </c>
      <c r="H2732" s="2">
        <f>Tabla_Items_Con_Existencia[[#This Row],[COSTO]]*Tabla_Items_Con_Existencia[[#This Row],[EXISTENCIA]]</f>
        <v>4.0826315800000001</v>
      </c>
      <c r="I2732" s="1">
        <f>IF(ISERROR(MATCH(Tabla_Items_Con_Existencia[[#This Row],[CODIGO]],Tabla_Items_Activos[CODIGO],0)),0,1)</f>
        <v>0</v>
      </c>
    </row>
    <row r="2733" spans="1:9">
      <c r="A2733" s="2" t="s">
        <v>6760</v>
      </c>
      <c r="B2733" s="2" t="s">
        <v>904</v>
      </c>
      <c r="C2733" s="2" t="s">
        <v>3770</v>
      </c>
      <c r="D2733" s="2" t="s">
        <v>5158</v>
      </c>
      <c r="E2733" s="2" t="s">
        <v>5159</v>
      </c>
      <c r="F2733" s="2">
        <v>2.0413157900000001</v>
      </c>
      <c r="G2733" s="2">
        <v>2</v>
      </c>
      <c r="H2733" s="2">
        <f>Tabla_Items_Con_Existencia[[#This Row],[COSTO]]*Tabla_Items_Con_Existencia[[#This Row],[EXISTENCIA]]</f>
        <v>4.0826315800000001</v>
      </c>
      <c r="I2733" s="1">
        <f>IF(ISERROR(MATCH(Tabla_Items_Con_Existencia[[#This Row],[CODIGO]],Tabla_Items_Activos[CODIGO],0)),0,1)</f>
        <v>0</v>
      </c>
    </row>
    <row r="2734" spans="1:9">
      <c r="A2734" s="2" t="s">
        <v>6760</v>
      </c>
      <c r="B2734" s="2" t="s">
        <v>905</v>
      </c>
      <c r="C2734" s="2" t="s">
        <v>3771</v>
      </c>
      <c r="D2734" s="2" t="s">
        <v>5158</v>
      </c>
      <c r="E2734" s="2" t="s">
        <v>5159</v>
      </c>
      <c r="F2734" s="2">
        <v>2.0819999999999999</v>
      </c>
      <c r="G2734" s="2">
        <v>18</v>
      </c>
      <c r="H2734" s="2">
        <f>Tabla_Items_Con_Existencia[[#This Row],[COSTO]]*Tabla_Items_Con_Existencia[[#This Row],[EXISTENCIA]]</f>
        <v>37.475999999999999</v>
      </c>
      <c r="I2734" s="1">
        <f>IF(ISERROR(MATCH(Tabla_Items_Con_Existencia[[#This Row],[CODIGO]],Tabla_Items_Activos[CODIGO],0)),0,1)</f>
        <v>0</v>
      </c>
    </row>
    <row r="2735" spans="1:9">
      <c r="A2735" s="2" t="s">
        <v>6760</v>
      </c>
      <c r="B2735" s="2" t="s">
        <v>3772</v>
      </c>
      <c r="C2735" s="2" t="s">
        <v>3773</v>
      </c>
      <c r="D2735" s="2" t="s">
        <v>5157</v>
      </c>
      <c r="E2735" s="2" t="s">
        <v>5192</v>
      </c>
      <c r="F2735" s="2">
        <v>714.28499999999997</v>
      </c>
      <c r="G2735" s="2">
        <v>1</v>
      </c>
      <c r="H2735" s="2">
        <f>Tabla_Items_Con_Existencia[[#This Row],[COSTO]]*Tabla_Items_Con_Existencia[[#This Row],[EXISTENCIA]]</f>
        <v>714.28499999999997</v>
      </c>
      <c r="I2735" s="1">
        <f>IF(ISERROR(MATCH(Tabla_Items_Con_Existencia[[#This Row],[CODIGO]],Tabla_Items_Activos[CODIGO],0)),0,1)</f>
        <v>0</v>
      </c>
    </row>
    <row r="2736" spans="1:9">
      <c r="A2736" s="2" t="s">
        <v>6760</v>
      </c>
      <c r="B2736" s="2" t="s">
        <v>3774</v>
      </c>
      <c r="C2736" s="2" t="s">
        <v>3775</v>
      </c>
      <c r="D2736" s="2" t="s">
        <v>5157</v>
      </c>
      <c r="E2736" s="2" t="s">
        <v>5168</v>
      </c>
      <c r="F2736" s="2">
        <v>798.38300000000004</v>
      </c>
      <c r="G2736" s="2">
        <v>1</v>
      </c>
      <c r="H2736" s="2">
        <f>Tabla_Items_Con_Existencia[[#This Row],[COSTO]]*Tabla_Items_Con_Existencia[[#This Row],[EXISTENCIA]]</f>
        <v>798.38300000000004</v>
      </c>
      <c r="I2736" s="1">
        <f>IF(ISERROR(MATCH(Tabla_Items_Con_Existencia[[#This Row],[CODIGO]],Tabla_Items_Activos[CODIGO],0)),0,1)</f>
        <v>0</v>
      </c>
    </row>
    <row r="2737" spans="1:9">
      <c r="A2737" s="2" t="s">
        <v>6760</v>
      </c>
      <c r="B2737" s="2" t="s">
        <v>3776</v>
      </c>
      <c r="C2737" s="2" t="s">
        <v>3777</v>
      </c>
      <c r="D2737" s="2" t="s">
        <v>5157</v>
      </c>
      <c r="E2737" s="2" t="s">
        <v>5192</v>
      </c>
      <c r="F2737" s="2">
        <v>9</v>
      </c>
      <c r="G2737" s="2">
        <v>1</v>
      </c>
      <c r="H2737" s="2">
        <f>Tabla_Items_Con_Existencia[[#This Row],[COSTO]]*Tabla_Items_Con_Existencia[[#This Row],[EXISTENCIA]]</f>
        <v>9</v>
      </c>
      <c r="I2737" s="1">
        <f>IF(ISERROR(MATCH(Tabla_Items_Con_Existencia[[#This Row],[CODIGO]],Tabla_Items_Activos[CODIGO],0)),0,1)</f>
        <v>0</v>
      </c>
    </row>
    <row r="2738" spans="1:9">
      <c r="A2738" s="2" t="s">
        <v>6760</v>
      </c>
      <c r="B2738" s="2" t="s">
        <v>3778</v>
      </c>
      <c r="C2738" s="2" t="s">
        <v>3779</v>
      </c>
      <c r="D2738" s="2" t="s">
        <v>5157</v>
      </c>
      <c r="E2738" s="2" t="s">
        <v>5192</v>
      </c>
      <c r="F2738" s="2">
        <v>8.0749999999999993</v>
      </c>
      <c r="G2738" s="2">
        <v>3</v>
      </c>
      <c r="H2738" s="2">
        <f>Tabla_Items_Con_Existencia[[#This Row],[COSTO]]*Tabla_Items_Con_Existencia[[#This Row],[EXISTENCIA]]</f>
        <v>24.224999999999998</v>
      </c>
      <c r="I2738" s="1">
        <f>IF(ISERROR(MATCH(Tabla_Items_Con_Existencia[[#This Row],[CODIGO]],Tabla_Items_Activos[CODIGO],0)),0,1)</f>
        <v>0</v>
      </c>
    </row>
    <row r="2739" spans="1:9">
      <c r="A2739" s="2" t="s">
        <v>6760</v>
      </c>
      <c r="B2739" s="2" t="s">
        <v>3780</v>
      </c>
      <c r="C2739" s="2" t="s">
        <v>3781</v>
      </c>
      <c r="D2739" s="2" t="s">
        <v>5157</v>
      </c>
      <c r="E2739" s="2" t="s">
        <v>5192</v>
      </c>
      <c r="F2739" s="2">
        <v>15</v>
      </c>
      <c r="G2739" s="2">
        <v>2</v>
      </c>
      <c r="H2739" s="2">
        <f>Tabla_Items_Con_Existencia[[#This Row],[COSTO]]*Tabla_Items_Con_Existencia[[#This Row],[EXISTENCIA]]</f>
        <v>30</v>
      </c>
      <c r="I2739" s="1">
        <f>IF(ISERROR(MATCH(Tabla_Items_Con_Existencia[[#This Row],[CODIGO]],Tabla_Items_Activos[CODIGO],0)),0,1)</f>
        <v>0</v>
      </c>
    </row>
    <row r="2740" spans="1:9">
      <c r="A2740" s="2" t="s">
        <v>6760</v>
      </c>
      <c r="B2740" s="2" t="s">
        <v>3782</v>
      </c>
      <c r="C2740" s="2" t="s">
        <v>3783</v>
      </c>
      <c r="D2740" s="2" t="s">
        <v>5157</v>
      </c>
      <c r="E2740" s="2" t="s">
        <v>5192</v>
      </c>
      <c r="F2740" s="2">
        <v>0.5</v>
      </c>
      <c r="G2740" s="2">
        <v>1</v>
      </c>
      <c r="H2740" s="2">
        <f>Tabla_Items_Con_Existencia[[#This Row],[COSTO]]*Tabla_Items_Con_Existencia[[#This Row],[EXISTENCIA]]</f>
        <v>0.5</v>
      </c>
      <c r="I2740" s="1">
        <f>IF(ISERROR(MATCH(Tabla_Items_Con_Existencia[[#This Row],[CODIGO]],Tabla_Items_Activos[CODIGO],0)),0,1)</f>
        <v>0</v>
      </c>
    </row>
    <row r="2741" spans="1:9">
      <c r="A2741" s="2" t="s">
        <v>6760</v>
      </c>
      <c r="B2741" s="2" t="s">
        <v>3784</v>
      </c>
      <c r="C2741" s="2" t="s">
        <v>3785</v>
      </c>
      <c r="D2741" s="2" t="s">
        <v>5157</v>
      </c>
      <c r="E2741" s="2" t="s">
        <v>5192</v>
      </c>
      <c r="F2741" s="2">
        <v>100</v>
      </c>
      <c r="G2741" s="2">
        <v>1</v>
      </c>
      <c r="H2741" s="2">
        <f>Tabla_Items_Con_Existencia[[#This Row],[COSTO]]*Tabla_Items_Con_Existencia[[#This Row],[EXISTENCIA]]</f>
        <v>100</v>
      </c>
      <c r="I2741" s="1">
        <f>IF(ISERROR(MATCH(Tabla_Items_Con_Existencia[[#This Row],[CODIGO]],Tabla_Items_Activos[CODIGO],0)),0,1)</f>
        <v>0</v>
      </c>
    </row>
    <row r="2742" spans="1:9">
      <c r="A2742" s="2" t="s">
        <v>6760</v>
      </c>
      <c r="B2742" s="2" t="s">
        <v>3788</v>
      </c>
      <c r="C2742" s="2" t="s">
        <v>3789</v>
      </c>
      <c r="D2742" s="2" t="s">
        <v>5157</v>
      </c>
      <c r="E2742" s="2" t="s">
        <v>5192</v>
      </c>
      <c r="F2742" s="2">
        <v>40</v>
      </c>
      <c r="G2742" s="2">
        <v>1</v>
      </c>
      <c r="H2742" s="2">
        <f>Tabla_Items_Con_Existencia[[#This Row],[COSTO]]*Tabla_Items_Con_Existencia[[#This Row],[EXISTENCIA]]</f>
        <v>40</v>
      </c>
      <c r="I2742" s="1">
        <f>IF(ISERROR(MATCH(Tabla_Items_Con_Existencia[[#This Row],[CODIGO]],Tabla_Items_Activos[CODIGO],0)),0,1)</f>
        <v>0</v>
      </c>
    </row>
    <row r="2743" spans="1:9">
      <c r="A2743" s="2" t="s">
        <v>6760</v>
      </c>
      <c r="B2743" s="2" t="s">
        <v>3808</v>
      </c>
      <c r="C2743" s="2" t="s">
        <v>3809</v>
      </c>
      <c r="D2743" s="2" t="s">
        <v>5157</v>
      </c>
      <c r="E2743" s="2" t="s">
        <v>5192</v>
      </c>
      <c r="F2743" s="2">
        <v>6</v>
      </c>
      <c r="G2743" s="2">
        <v>1</v>
      </c>
      <c r="H2743" s="2">
        <f>Tabla_Items_Con_Existencia[[#This Row],[COSTO]]*Tabla_Items_Con_Existencia[[#This Row],[EXISTENCIA]]</f>
        <v>6</v>
      </c>
      <c r="I2743" s="1">
        <f>IF(ISERROR(MATCH(Tabla_Items_Con_Existencia[[#This Row],[CODIGO]],Tabla_Items_Activos[CODIGO],0)),0,1)</f>
        <v>0</v>
      </c>
    </row>
    <row r="2744" spans="1:9">
      <c r="A2744" s="2" t="s">
        <v>6760</v>
      </c>
      <c r="B2744" s="2" t="s">
        <v>3814</v>
      </c>
      <c r="C2744" s="2" t="s">
        <v>3815</v>
      </c>
      <c r="D2744" s="2" t="s">
        <v>5157</v>
      </c>
      <c r="E2744" s="2" t="s">
        <v>5192</v>
      </c>
      <c r="F2744" s="2">
        <v>3.5</v>
      </c>
      <c r="G2744" s="2">
        <v>1</v>
      </c>
      <c r="H2744" s="2">
        <f>Tabla_Items_Con_Existencia[[#This Row],[COSTO]]*Tabla_Items_Con_Existencia[[#This Row],[EXISTENCIA]]</f>
        <v>3.5</v>
      </c>
      <c r="I2744" s="1">
        <f>IF(ISERROR(MATCH(Tabla_Items_Con_Existencia[[#This Row],[CODIGO]],Tabla_Items_Activos[CODIGO],0)),0,1)</f>
        <v>0</v>
      </c>
    </row>
    <row r="2745" spans="1:9">
      <c r="A2745" s="2" t="s">
        <v>6760</v>
      </c>
      <c r="B2745" s="2" t="s">
        <v>3824</v>
      </c>
      <c r="C2745" s="2" t="s">
        <v>3825</v>
      </c>
      <c r="D2745" s="2" t="s">
        <v>5157</v>
      </c>
      <c r="E2745" s="2" t="s">
        <v>5192</v>
      </c>
      <c r="F2745" s="2">
        <v>0</v>
      </c>
      <c r="G2745" s="2">
        <v>1</v>
      </c>
      <c r="H2745" s="2">
        <f>Tabla_Items_Con_Existencia[[#This Row],[COSTO]]*Tabla_Items_Con_Existencia[[#This Row],[EXISTENCIA]]</f>
        <v>0</v>
      </c>
      <c r="I2745" s="1">
        <f>IF(ISERROR(MATCH(Tabla_Items_Con_Existencia[[#This Row],[CODIGO]],Tabla_Items_Activos[CODIGO],0)),0,1)</f>
        <v>0</v>
      </c>
    </row>
    <row r="2746" spans="1:9">
      <c r="A2746" s="2" t="s">
        <v>6760</v>
      </c>
      <c r="B2746" s="2" t="s">
        <v>3826</v>
      </c>
      <c r="C2746" s="2" t="s">
        <v>3827</v>
      </c>
      <c r="D2746" s="2" t="s">
        <v>5157</v>
      </c>
      <c r="E2746" s="2" t="s">
        <v>5192</v>
      </c>
      <c r="F2746" s="2">
        <v>3.7440000000000002</v>
      </c>
      <c r="G2746" s="2">
        <v>4</v>
      </c>
      <c r="H2746" s="2">
        <f>Tabla_Items_Con_Existencia[[#This Row],[COSTO]]*Tabla_Items_Con_Existencia[[#This Row],[EXISTENCIA]]</f>
        <v>14.976000000000001</v>
      </c>
      <c r="I2746" s="1">
        <f>IF(ISERROR(MATCH(Tabla_Items_Con_Existencia[[#This Row],[CODIGO]],Tabla_Items_Activos[CODIGO],0)),0,1)</f>
        <v>0</v>
      </c>
    </row>
    <row r="2747" spans="1:9">
      <c r="A2747" s="2" t="s">
        <v>6760</v>
      </c>
      <c r="B2747" s="2" t="s">
        <v>3828</v>
      </c>
      <c r="C2747" s="2" t="s">
        <v>3829</v>
      </c>
      <c r="D2747" s="2" t="s">
        <v>5157</v>
      </c>
      <c r="E2747" s="2" t="s">
        <v>5192</v>
      </c>
      <c r="F2747" s="2">
        <v>2.99</v>
      </c>
      <c r="G2747" s="2">
        <v>3</v>
      </c>
      <c r="H2747" s="2">
        <f>Tabla_Items_Con_Existencia[[#This Row],[COSTO]]*Tabla_Items_Con_Existencia[[#This Row],[EXISTENCIA]]</f>
        <v>8.9700000000000006</v>
      </c>
      <c r="I2747" s="1">
        <f>IF(ISERROR(MATCH(Tabla_Items_Con_Existencia[[#This Row],[CODIGO]],Tabla_Items_Activos[CODIGO],0)),0,1)</f>
        <v>0</v>
      </c>
    </row>
    <row r="2748" spans="1:9">
      <c r="A2748" s="2" t="s">
        <v>6760</v>
      </c>
      <c r="B2748" s="2" t="s">
        <v>3830</v>
      </c>
      <c r="C2748" s="2" t="s">
        <v>3831</v>
      </c>
      <c r="D2748" s="2" t="s">
        <v>5157</v>
      </c>
      <c r="E2748" s="2" t="s">
        <v>5192</v>
      </c>
      <c r="F2748" s="2">
        <v>135.44999999999999</v>
      </c>
      <c r="G2748" s="2">
        <v>1</v>
      </c>
      <c r="H2748" s="2">
        <f>Tabla_Items_Con_Existencia[[#This Row],[COSTO]]*Tabla_Items_Con_Existencia[[#This Row],[EXISTENCIA]]</f>
        <v>135.44999999999999</v>
      </c>
      <c r="I2748" s="1">
        <f>IF(ISERROR(MATCH(Tabla_Items_Con_Existencia[[#This Row],[CODIGO]],Tabla_Items_Activos[CODIGO],0)),0,1)</f>
        <v>0</v>
      </c>
    </row>
    <row r="2749" spans="1:9">
      <c r="A2749" s="2" t="s">
        <v>6760</v>
      </c>
      <c r="B2749" s="2" t="s">
        <v>3832</v>
      </c>
      <c r="C2749" s="2" t="s">
        <v>3833</v>
      </c>
      <c r="D2749" s="2" t="s">
        <v>5157</v>
      </c>
      <c r="E2749" s="2" t="s">
        <v>5192</v>
      </c>
      <c r="F2749" s="2">
        <v>400</v>
      </c>
      <c r="G2749" s="2">
        <v>1</v>
      </c>
      <c r="H2749" s="2">
        <f>Tabla_Items_Con_Existencia[[#This Row],[COSTO]]*Tabla_Items_Con_Existencia[[#This Row],[EXISTENCIA]]</f>
        <v>400</v>
      </c>
      <c r="I2749" s="1">
        <f>IF(ISERROR(MATCH(Tabla_Items_Con_Existencia[[#This Row],[CODIGO]],Tabla_Items_Activos[CODIGO],0)),0,1)</f>
        <v>0</v>
      </c>
    </row>
    <row r="2750" spans="1:9">
      <c r="A2750" s="2" t="s">
        <v>6760</v>
      </c>
      <c r="B2750" s="2" t="s">
        <v>3834</v>
      </c>
      <c r="C2750" s="2" t="s">
        <v>3835</v>
      </c>
      <c r="D2750" s="2" t="s">
        <v>5230</v>
      </c>
      <c r="E2750" s="2" t="s">
        <v>5168</v>
      </c>
      <c r="F2750" s="2">
        <v>408.07894736999998</v>
      </c>
      <c r="G2750" s="2">
        <v>1</v>
      </c>
      <c r="H2750" s="2">
        <f>Tabla_Items_Con_Existencia[[#This Row],[COSTO]]*Tabla_Items_Con_Existencia[[#This Row],[EXISTENCIA]]</f>
        <v>408.07894736999998</v>
      </c>
      <c r="I2750" s="1">
        <f>IF(ISERROR(MATCH(Tabla_Items_Con_Existencia[[#This Row],[CODIGO]],Tabla_Items_Activos[CODIGO],0)),0,1)</f>
        <v>0</v>
      </c>
    </row>
    <row r="2751" spans="1:9">
      <c r="A2751" s="2" t="s">
        <v>6761</v>
      </c>
      <c r="B2751" s="2" t="s">
        <v>3834</v>
      </c>
      <c r="C2751" s="2" t="s">
        <v>3835</v>
      </c>
      <c r="D2751" s="2" t="s">
        <v>5230</v>
      </c>
      <c r="E2751" s="2" t="s">
        <v>5168</v>
      </c>
      <c r="F2751" s="2">
        <v>408.07894736999998</v>
      </c>
      <c r="G2751" s="2">
        <v>1</v>
      </c>
      <c r="H2751" s="2">
        <f>Tabla_Items_Con_Existencia[[#This Row],[COSTO]]*Tabla_Items_Con_Existencia[[#This Row],[EXISTENCIA]]</f>
        <v>408.07894736999998</v>
      </c>
      <c r="I2751" s="1">
        <f>IF(ISERROR(MATCH(Tabla_Items_Con_Existencia[[#This Row],[CODIGO]],Tabla_Items_Activos[CODIGO],0)),0,1)</f>
        <v>0</v>
      </c>
    </row>
    <row r="2752" spans="1:9">
      <c r="A2752" s="2" t="s">
        <v>6760</v>
      </c>
      <c r="B2752" s="2" t="s">
        <v>3836</v>
      </c>
      <c r="C2752" s="2" t="s">
        <v>3837</v>
      </c>
      <c r="D2752" s="2" t="s">
        <v>5157</v>
      </c>
      <c r="E2752" s="2" t="s">
        <v>5192</v>
      </c>
      <c r="F2752" s="2">
        <v>0</v>
      </c>
      <c r="G2752" s="2">
        <v>1</v>
      </c>
      <c r="H2752" s="2">
        <f>Tabla_Items_Con_Existencia[[#This Row],[COSTO]]*Tabla_Items_Con_Existencia[[#This Row],[EXISTENCIA]]</f>
        <v>0</v>
      </c>
      <c r="I2752" s="1">
        <f>IF(ISERROR(MATCH(Tabla_Items_Con_Existencia[[#This Row],[CODIGO]],Tabla_Items_Activos[CODIGO],0)),0,1)</f>
        <v>0</v>
      </c>
    </row>
    <row r="2753" spans="1:9">
      <c r="A2753" s="2" t="s">
        <v>6760</v>
      </c>
      <c r="B2753" s="2" t="s">
        <v>3838</v>
      </c>
      <c r="C2753" s="2" t="s">
        <v>3839</v>
      </c>
      <c r="D2753" s="2" t="s">
        <v>5167</v>
      </c>
      <c r="E2753" s="2" t="s">
        <v>5168</v>
      </c>
      <c r="F2753" s="2">
        <v>843.47368420999999</v>
      </c>
      <c r="G2753" s="2">
        <v>1</v>
      </c>
      <c r="H2753" s="2">
        <f>Tabla_Items_Con_Existencia[[#This Row],[COSTO]]*Tabla_Items_Con_Existencia[[#This Row],[EXISTENCIA]]</f>
        <v>843.47368420999999</v>
      </c>
      <c r="I2753" s="1">
        <f>IF(ISERROR(MATCH(Tabla_Items_Con_Existencia[[#This Row],[CODIGO]],Tabla_Items_Activos[CODIGO],0)),0,1)</f>
        <v>0</v>
      </c>
    </row>
    <row r="2754" spans="1:9">
      <c r="A2754" s="2" t="s">
        <v>6761</v>
      </c>
      <c r="B2754" s="2" t="s">
        <v>3838</v>
      </c>
      <c r="C2754" s="2" t="s">
        <v>3839</v>
      </c>
      <c r="D2754" s="2" t="s">
        <v>5167</v>
      </c>
      <c r="E2754" s="2" t="s">
        <v>5168</v>
      </c>
      <c r="F2754" s="2">
        <v>843.47368420999999</v>
      </c>
      <c r="G2754" s="2">
        <v>1</v>
      </c>
      <c r="H2754" s="2">
        <f>Tabla_Items_Con_Existencia[[#This Row],[COSTO]]*Tabla_Items_Con_Existencia[[#This Row],[EXISTENCIA]]</f>
        <v>843.47368420999999</v>
      </c>
      <c r="I2754" s="1">
        <f>IF(ISERROR(MATCH(Tabla_Items_Con_Existencia[[#This Row],[CODIGO]],Tabla_Items_Activos[CODIGO],0)),0,1)</f>
        <v>0</v>
      </c>
    </row>
    <row r="2755" spans="1:9">
      <c r="A2755" s="2" t="s">
        <v>6760</v>
      </c>
      <c r="B2755" s="2" t="s">
        <v>3840</v>
      </c>
      <c r="C2755" s="2" t="s">
        <v>3841</v>
      </c>
      <c r="D2755" s="2" t="s">
        <v>5224</v>
      </c>
      <c r="E2755" s="2" t="s">
        <v>5168</v>
      </c>
      <c r="F2755" s="2">
        <v>780.58715788999996</v>
      </c>
      <c r="G2755" s="2">
        <v>4</v>
      </c>
      <c r="H2755" s="2">
        <f>Tabla_Items_Con_Existencia[[#This Row],[COSTO]]*Tabla_Items_Con_Existencia[[#This Row],[EXISTENCIA]]</f>
        <v>3122.3486315599998</v>
      </c>
      <c r="I2755" s="1">
        <f>IF(ISERROR(MATCH(Tabla_Items_Con_Existencia[[#This Row],[CODIGO]],Tabla_Items_Activos[CODIGO],0)),0,1)</f>
        <v>0</v>
      </c>
    </row>
    <row r="2756" spans="1:9">
      <c r="A2756" s="2" t="s">
        <v>6761</v>
      </c>
      <c r="B2756" s="2" t="s">
        <v>3840</v>
      </c>
      <c r="C2756" s="2" t="s">
        <v>3841</v>
      </c>
      <c r="D2756" s="2" t="s">
        <v>5224</v>
      </c>
      <c r="E2756" s="2" t="s">
        <v>5168</v>
      </c>
      <c r="F2756" s="2">
        <v>780.58715788999996</v>
      </c>
      <c r="G2756" s="2">
        <v>4</v>
      </c>
      <c r="H2756" s="2">
        <f>Tabla_Items_Con_Existencia[[#This Row],[COSTO]]*Tabla_Items_Con_Existencia[[#This Row],[EXISTENCIA]]</f>
        <v>3122.3486315599998</v>
      </c>
      <c r="I2756" s="1">
        <f>IF(ISERROR(MATCH(Tabla_Items_Con_Existencia[[#This Row],[CODIGO]],Tabla_Items_Activos[CODIGO],0)),0,1)</f>
        <v>0</v>
      </c>
    </row>
    <row r="2757" spans="1:9">
      <c r="A2757" s="2" t="s">
        <v>6760</v>
      </c>
      <c r="B2757" s="2" t="s">
        <v>907</v>
      </c>
      <c r="C2757" s="2" t="s">
        <v>3842</v>
      </c>
      <c r="D2757" s="2" t="s">
        <v>5769</v>
      </c>
      <c r="E2757" s="2" t="s">
        <v>5168</v>
      </c>
      <c r="F2757" s="2">
        <v>25.631578950000002</v>
      </c>
      <c r="G2757" s="2">
        <v>2</v>
      </c>
      <c r="H2757" s="2">
        <f>Tabla_Items_Con_Existencia[[#This Row],[COSTO]]*Tabla_Items_Con_Existencia[[#This Row],[EXISTENCIA]]</f>
        <v>51.263157900000003</v>
      </c>
      <c r="I2757" s="1">
        <f>IF(ISERROR(MATCH(Tabla_Items_Con_Existencia[[#This Row],[CODIGO]],Tabla_Items_Activos[CODIGO],0)),0,1)</f>
        <v>0</v>
      </c>
    </row>
    <row r="2758" spans="1:9">
      <c r="A2758" s="2" t="s">
        <v>6761</v>
      </c>
      <c r="B2758" s="2" t="s">
        <v>907</v>
      </c>
      <c r="C2758" s="2" t="s">
        <v>3842</v>
      </c>
      <c r="D2758" s="2" t="s">
        <v>5769</v>
      </c>
      <c r="E2758" s="2" t="s">
        <v>5168</v>
      </c>
      <c r="F2758" s="2">
        <v>25.631578950000002</v>
      </c>
      <c r="G2758" s="2">
        <v>2</v>
      </c>
      <c r="H2758" s="2">
        <f>Tabla_Items_Con_Existencia[[#This Row],[COSTO]]*Tabla_Items_Con_Existencia[[#This Row],[EXISTENCIA]]</f>
        <v>51.263157900000003</v>
      </c>
      <c r="I2758" s="1">
        <f>IF(ISERROR(MATCH(Tabla_Items_Con_Existencia[[#This Row],[CODIGO]],Tabla_Items_Activos[CODIGO],0)),0,1)</f>
        <v>0</v>
      </c>
    </row>
    <row r="2759" spans="1:9">
      <c r="A2759" s="2" t="s">
        <v>6760</v>
      </c>
      <c r="B2759" s="2" t="s">
        <v>908</v>
      </c>
      <c r="C2759" s="2" t="s">
        <v>3843</v>
      </c>
      <c r="D2759" s="2" t="s">
        <v>5224</v>
      </c>
      <c r="E2759" s="2" t="s">
        <v>5168</v>
      </c>
      <c r="F2759" s="2">
        <v>428.02842105000002</v>
      </c>
      <c r="G2759" s="2">
        <v>5</v>
      </c>
      <c r="H2759" s="2">
        <f>Tabla_Items_Con_Existencia[[#This Row],[COSTO]]*Tabla_Items_Con_Existencia[[#This Row],[EXISTENCIA]]</f>
        <v>2140.14210525</v>
      </c>
      <c r="I2759" s="1">
        <f>IF(ISERROR(MATCH(Tabla_Items_Con_Existencia[[#This Row],[CODIGO]],Tabla_Items_Activos[CODIGO],0)),0,1)</f>
        <v>0</v>
      </c>
    </row>
    <row r="2760" spans="1:9">
      <c r="A2760" s="2" t="s">
        <v>6761</v>
      </c>
      <c r="B2760" s="2" t="s">
        <v>908</v>
      </c>
      <c r="C2760" s="2" t="s">
        <v>3843</v>
      </c>
      <c r="D2760" s="2" t="s">
        <v>5224</v>
      </c>
      <c r="E2760" s="2" t="s">
        <v>5168</v>
      </c>
      <c r="F2760" s="2">
        <v>428.02842105000002</v>
      </c>
      <c r="G2760" s="2">
        <v>5</v>
      </c>
      <c r="H2760" s="2">
        <f>Tabla_Items_Con_Existencia[[#This Row],[COSTO]]*Tabla_Items_Con_Existencia[[#This Row],[EXISTENCIA]]</f>
        <v>2140.14210525</v>
      </c>
      <c r="I2760" s="1">
        <f>IF(ISERROR(MATCH(Tabla_Items_Con_Existencia[[#This Row],[CODIGO]],Tabla_Items_Activos[CODIGO],0)),0,1)</f>
        <v>0</v>
      </c>
    </row>
    <row r="2761" spans="1:9">
      <c r="A2761" s="2" t="s">
        <v>6760</v>
      </c>
      <c r="B2761" s="2" t="s">
        <v>909</v>
      </c>
      <c r="C2761" s="2" t="s">
        <v>3845</v>
      </c>
      <c r="D2761" s="2" t="s">
        <v>5224</v>
      </c>
      <c r="E2761" s="2" t="s">
        <v>5168</v>
      </c>
      <c r="F2761" s="2">
        <v>230.34814814999999</v>
      </c>
      <c r="G2761" s="2">
        <v>6</v>
      </c>
      <c r="H2761" s="2">
        <f>Tabla_Items_Con_Existencia[[#This Row],[COSTO]]*Tabla_Items_Con_Existencia[[#This Row],[EXISTENCIA]]</f>
        <v>1382.0888888999998</v>
      </c>
      <c r="I2761" s="1">
        <f>IF(ISERROR(MATCH(Tabla_Items_Con_Existencia[[#This Row],[CODIGO]],Tabla_Items_Activos[CODIGO],0)),0,1)</f>
        <v>0</v>
      </c>
    </row>
    <row r="2762" spans="1:9">
      <c r="A2762" s="2" t="s">
        <v>6761</v>
      </c>
      <c r="B2762" s="2" t="s">
        <v>909</v>
      </c>
      <c r="C2762" s="2" t="s">
        <v>3845</v>
      </c>
      <c r="D2762" s="2" t="s">
        <v>5224</v>
      </c>
      <c r="E2762" s="2" t="s">
        <v>5168</v>
      </c>
      <c r="F2762" s="2">
        <v>230.34814814999999</v>
      </c>
      <c r="G2762" s="2">
        <v>6</v>
      </c>
      <c r="H2762" s="2">
        <f>Tabla_Items_Con_Existencia[[#This Row],[COSTO]]*Tabla_Items_Con_Existencia[[#This Row],[EXISTENCIA]]</f>
        <v>1382.0888888999998</v>
      </c>
      <c r="I2762" s="1">
        <f>IF(ISERROR(MATCH(Tabla_Items_Con_Existencia[[#This Row],[CODIGO]],Tabla_Items_Activos[CODIGO],0)),0,1)</f>
        <v>0</v>
      </c>
    </row>
    <row r="2763" spans="1:9">
      <c r="A2763" s="2" t="s">
        <v>6759</v>
      </c>
      <c r="B2763" s="2" t="s">
        <v>909</v>
      </c>
      <c r="C2763" s="2" t="s">
        <v>3845</v>
      </c>
      <c r="D2763" s="2" t="s">
        <v>5224</v>
      </c>
      <c r="E2763" s="2" t="s">
        <v>5168</v>
      </c>
      <c r="F2763" s="2">
        <v>230.34814814999999</v>
      </c>
      <c r="G2763" s="2">
        <v>6</v>
      </c>
      <c r="H2763" s="2">
        <f>Tabla_Items_Con_Existencia[[#This Row],[COSTO]]*Tabla_Items_Con_Existencia[[#This Row],[EXISTENCIA]]</f>
        <v>1382.0888888999998</v>
      </c>
      <c r="I2763" s="1">
        <f>IF(ISERROR(MATCH(Tabla_Items_Con_Existencia[[#This Row],[CODIGO]],Tabla_Items_Activos[CODIGO],0)),0,1)</f>
        <v>0</v>
      </c>
    </row>
    <row r="2764" spans="1:9">
      <c r="A2764" s="2" t="s">
        <v>6760</v>
      </c>
      <c r="B2764" s="2" t="s">
        <v>3846</v>
      </c>
      <c r="C2764" s="2" t="s">
        <v>3847</v>
      </c>
      <c r="D2764" s="2" t="s">
        <v>5220</v>
      </c>
      <c r="E2764" s="2" t="s">
        <v>5168</v>
      </c>
      <c r="F2764" s="2">
        <v>1033.49552632</v>
      </c>
      <c r="G2764" s="2">
        <v>3</v>
      </c>
      <c r="H2764" s="2">
        <f>Tabla_Items_Con_Existencia[[#This Row],[COSTO]]*Tabla_Items_Con_Existencia[[#This Row],[EXISTENCIA]]</f>
        <v>3100.4865789599999</v>
      </c>
      <c r="I2764" s="1">
        <f>IF(ISERROR(MATCH(Tabla_Items_Con_Existencia[[#This Row],[CODIGO]],Tabla_Items_Activos[CODIGO],0)),0,1)</f>
        <v>0</v>
      </c>
    </row>
    <row r="2765" spans="1:9">
      <c r="A2765" s="2" t="s">
        <v>6761</v>
      </c>
      <c r="B2765" s="2" t="s">
        <v>3846</v>
      </c>
      <c r="C2765" s="2" t="s">
        <v>3847</v>
      </c>
      <c r="D2765" s="2" t="s">
        <v>5220</v>
      </c>
      <c r="E2765" s="2" t="s">
        <v>5168</v>
      </c>
      <c r="F2765" s="2">
        <v>1033.49552632</v>
      </c>
      <c r="G2765" s="2">
        <v>3</v>
      </c>
      <c r="H2765" s="2">
        <f>Tabla_Items_Con_Existencia[[#This Row],[COSTO]]*Tabla_Items_Con_Existencia[[#This Row],[EXISTENCIA]]</f>
        <v>3100.4865789599999</v>
      </c>
      <c r="I2765" s="1">
        <f>IF(ISERROR(MATCH(Tabla_Items_Con_Existencia[[#This Row],[CODIGO]],Tabla_Items_Activos[CODIGO],0)),0,1)</f>
        <v>0</v>
      </c>
    </row>
    <row r="2766" spans="1:9">
      <c r="A2766" s="2" t="s">
        <v>6760</v>
      </c>
      <c r="B2766" s="2" t="s">
        <v>3848</v>
      </c>
      <c r="C2766" s="2" t="s">
        <v>3849</v>
      </c>
      <c r="D2766" s="2" t="s">
        <v>5157</v>
      </c>
      <c r="E2766" s="2" t="s">
        <v>5192</v>
      </c>
      <c r="F2766" s="2">
        <v>100</v>
      </c>
      <c r="G2766" s="2">
        <v>1</v>
      </c>
      <c r="H2766" s="2">
        <f>Tabla_Items_Con_Existencia[[#This Row],[COSTO]]*Tabla_Items_Con_Existencia[[#This Row],[EXISTENCIA]]</f>
        <v>100</v>
      </c>
      <c r="I2766" s="1">
        <f>IF(ISERROR(MATCH(Tabla_Items_Con_Existencia[[#This Row],[CODIGO]],Tabla_Items_Activos[CODIGO],0)),0,1)</f>
        <v>0</v>
      </c>
    </row>
    <row r="2767" spans="1:9">
      <c r="A2767" s="2" t="s">
        <v>6760</v>
      </c>
      <c r="B2767" s="2" t="s">
        <v>3850</v>
      </c>
      <c r="C2767" s="2" t="s">
        <v>3851</v>
      </c>
      <c r="D2767" s="2" t="s">
        <v>5157</v>
      </c>
      <c r="E2767" s="2" t="s">
        <v>5192</v>
      </c>
      <c r="F2767" s="2">
        <v>60</v>
      </c>
      <c r="G2767" s="2">
        <v>2</v>
      </c>
      <c r="H2767" s="2">
        <f>Tabla_Items_Con_Existencia[[#This Row],[COSTO]]*Tabla_Items_Con_Existencia[[#This Row],[EXISTENCIA]]</f>
        <v>120</v>
      </c>
      <c r="I2767" s="1">
        <f>IF(ISERROR(MATCH(Tabla_Items_Con_Existencia[[#This Row],[CODIGO]],Tabla_Items_Activos[CODIGO],0)),0,1)</f>
        <v>0</v>
      </c>
    </row>
    <row r="2768" spans="1:9">
      <c r="A2768" s="2" t="s">
        <v>6760</v>
      </c>
      <c r="B2768" s="2" t="s">
        <v>3852</v>
      </c>
      <c r="C2768" s="2" t="s">
        <v>3853</v>
      </c>
      <c r="D2768" s="2" t="s">
        <v>5157</v>
      </c>
      <c r="E2768" s="2" t="s">
        <v>5192</v>
      </c>
      <c r="F2768" s="2">
        <v>50</v>
      </c>
      <c r="G2768" s="2">
        <v>1</v>
      </c>
      <c r="H2768" s="2">
        <f>Tabla_Items_Con_Existencia[[#This Row],[COSTO]]*Tabla_Items_Con_Existencia[[#This Row],[EXISTENCIA]]</f>
        <v>50</v>
      </c>
      <c r="I2768" s="1">
        <f>IF(ISERROR(MATCH(Tabla_Items_Con_Existencia[[#This Row],[CODIGO]],Tabla_Items_Activos[CODIGO],0)),0,1)</f>
        <v>0</v>
      </c>
    </row>
    <row r="2769" spans="1:9">
      <c r="A2769" s="2" t="s">
        <v>6760</v>
      </c>
      <c r="B2769" s="2" t="s">
        <v>3854</v>
      </c>
      <c r="C2769" s="2" t="s">
        <v>3855</v>
      </c>
      <c r="D2769" s="2" t="s">
        <v>5157</v>
      </c>
      <c r="E2769" s="2" t="s">
        <v>5192</v>
      </c>
      <c r="F2769" s="2">
        <v>100</v>
      </c>
      <c r="G2769" s="2">
        <v>1</v>
      </c>
      <c r="H2769" s="2">
        <f>Tabla_Items_Con_Existencia[[#This Row],[COSTO]]*Tabla_Items_Con_Existencia[[#This Row],[EXISTENCIA]]</f>
        <v>100</v>
      </c>
      <c r="I2769" s="1">
        <f>IF(ISERROR(MATCH(Tabla_Items_Con_Existencia[[#This Row],[CODIGO]],Tabla_Items_Activos[CODIGO],0)),0,1)</f>
        <v>0</v>
      </c>
    </row>
    <row r="2770" spans="1:9">
      <c r="A2770" s="2" t="s">
        <v>6760</v>
      </c>
      <c r="B2770" s="2" t="s">
        <v>3856</v>
      </c>
      <c r="C2770" s="2" t="s">
        <v>3857</v>
      </c>
      <c r="D2770" s="2" t="s">
        <v>5157</v>
      </c>
      <c r="E2770" s="2" t="s">
        <v>5168</v>
      </c>
      <c r="F2770" s="2">
        <v>0</v>
      </c>
      <c r="G2770" s="2">
        <v>11</v>
      </c>
      <c r="H2770" s="2">
        <f>Tabla_Items_Con_Existencia[[#This Row],[COSTO]]*Tabla_Items_Con_Existencia[[#This Row],[EXISTENCIA]]</f>
        <v>0</v>
      </c>
      <c r="I2770" s="1">
        <f>IF(ISERROR(MATCH(Tabla_Items_Con_Existencia[[#This Row],[CODIGO]],Tabla_Items_Activos[CODIGO],0)),0,1)</f>
        <v>0</v>
      </c>
    </row>
    <row r="2771" spans="1:9">
      <c r="A2771" s="2" t="s">
        <v>6760</v>
      </c>
      <c r="B2771" s="2" t="s">
        <v>3858</v>
      </c>
      <c r="C2771" s="2" t="s">
        <v>3859</v>
      </c>
      <c r="D2771" s="2" t="s">
        <v>5230</v>
      </c>
      <c r="E2771" s="2" t="s">
        <v>5168</v>
      </c>
      <c r="F2771" s="2">
        <v>9.2105263199999996</v>
      </c>
      <c r="G2771" s="2">
        <v>3</v>
      </c>
      <c r="H2771" s="2">
        <f>Tabla_Items_Con_Existencia[[#This Row],[COSTO]]*Tabla_Items_Con_Existencia[[#This Row],[EXISTENCIA]]</f>
        <v>27.631578959999999</v>
      </c>
      <c r="I2771" s="1">
        <f>IF(ISERROR(MATCH(Tabla_Items_Con_Existencia[[#This Row],[CODIGO]],Tabla_Items_Activos[CODIGO],0)),0,1)</f>
        <v>0</v>
      </c>
    </row>
    <row r="2772" spans="1:9">
      <c r="A2772" s="2" t="s">
        <v>6761</v>
      </c>
      <c r="B2772" s="2" t="s">
        <v>3858</v>
      </c>
      <c r="C2772" s="2" t="s">
        <v>3859</v>
      </c>
      <c r="D2772" s="2" t="s">
        <v>5230</v>
      </c>
      <c r="E2772" s="2" t="s">
        <v>5168</v>
      </c>
      <c r="F2772" s="2">
        <v>9.2105263199999996</v>
      </c>
      <c r="G2772" s="2">
        <v>3</v>
      </c>
      <c r="H2772" s="2">
        <f>Tabla_Items_Con_Existencia[[#This Row],[COSTO]]*Tabla_Items_Con_Existencia[[#This Row],[EXISTENCIA]]</f>
        <v>27.631578959999999</v>
      </c>
      <c r="I2772" s="1">
        <f>IF(ISERROR(MATCH(Tabla_Items_Con_Existencia[[#This Row],[CODIGO]],Tabla_Items_Activos[CODIGO],0)),0,1)</f>
        <v>0</v>
      </c>
    </row>
    <row r="2773" spans="1:9">
      <c r="A2773" s="2" t="s">
        <v>6761</v>
      </c>
      <c r="B2773" s="2" t="s">
        <v>910</v>
      </c>
      <c r="C2773" s="2" t="s">
        <v>3860</v>
      </c>
      <c r="D2773" s="2" t="s">
        <v>5190</v>
      </c>
      <c r="E2773" s="2" t="s">
        <v>5159</v>
      </c>
      <c r="F2773" s="2">
        <v>30.517962959999998</v>
      </c>
      <c r="G2773" s="2">
        <v>16</v>
      </c>
      <c r="H2773" s="2">
        <f>Tabla_Items_Con_Existencia[[#This Row],[COSTO]]*Tabla_Items_Con_Existencia[[#This Row],[EXISTENCIA]]</f>
        <v>488.28740735999997</v>
      </c>
      <c r="I2773" s="1">
        <f>IF(ISERROR(MATCH(Tabla_Items_Con_Existencia[[#This Row],[CODIGO]],Tabla_Items_Activos[CODIGO],0)),0,1)</f>
        <v>0</v>
      </c>
    </row>
    <row r="2774" spans="1:9">
      <c r="A2774" s="2" t="s">
        <v>6759</v>
      </c>
      <c r="B2774" s="2" t="s">
        <v>910</v>
      </c>
      <c r="C2774" s="2" t="s">
        <v>3860</v>
      </c>
      <c r="D2774" s="2" t="s">
        <v>5190</v>
      </c>
      <c r="E2774" s="2" t="s">
        <v>5159</v>
      </c>
      <c r="F2774" s="2">
        <v>30.517962959999998</v>
      </c>
      <c r="G2774" s="2">
        <v>16</v>
      </c>
      <c r="H2774" s="2">
        <f>Tabla_Items_Con_Existencia[[#This Row],[COSTO]]*Tabla_Items_Con_Existencia[[#This Row],[EXISTENCIA]]</f>
        <v>488.28740735999997</v>
      </c>
      <c r="I2774" s="1">
        <f>IF(ISERROR(MATCH(Tabla_Items_Con_Existencia[[#This Row],[CODIGO]],Tabla_Items_Activos[CODIGO],0)),0,1)</f>
        <v>0</v>
      </c>
    </row>
    <row r="2775" spans="1:9">
      <c r="A2775" s="2" t="s">
        <v>6760</v>
      </c>
      <c r="B2775" s="2" t="s">
        <v>910</v>
      </c>
      <c r="C2775" s="2" t="s">
        <v>3860</v>
      </c>
      <c r="D2775" s="2" t="s">
        <v>5190</v>
      </c>
      <c r="E2775" s="2" t="s">
        <v>5159</v>
      </c>
      <c r="F2775" s="2">
        <v>30.517962959999998</v>
      </c>
      <c r="G2775" s="2">
        <v>16</v>
      </c>
      <c r="H2775" s="2">
        <f>Tabla_Items_Con_Existencia[[#This Row],[COSTO]]*Tabla_Items_Con_Existencia[[#This Row],[EXISTENCIA]]</f>
        <v>488.28740735999997</v>
      </c>
      <c r="I2775" s="1">
        <f>IF(ISERROR(MATCH(Tabla_Items_Con_Existencia[[#This Row],[CODIGO]],Tabla_Items_Activos[CODIGO],0)),0,1)</f>
        <v>0</v>
      </c>
    </row>
    <row r="2776" spans="1:9">
      <c r="A2776" s="2" t="s">
        <v>6760</v>
      </c>
      <c r="B2776" s="2" t="s">
        <v>3861</v>
      </c>
      <c r="C2776" s="2" t="s">
        <v>3862</v>
      </c>
      <c r="D2776" s="2" t="s">
        <v>5157</v>
      </c>
      <c r="E2776" s="2" t="s">
        <v>5192</v>
      </c>
      <c r="F2776" s="2">
        <v>1.4359999999999999</v>
      </c>
      <c r="G2776" s="2">
        <v>260</v>
      </c>
      <c r="H2776" s="2">
        <f>Tabla_Items_Con_Existencia[[#This Row],[COSTO]]*Tabla_Items_Con_Existencia[[#This Row],[EXISTENCIA]]</f>
        <v>373.36</v>
      </c>
      <c r="I2776" s="1">
        <f>IF(ISERROR(MATCH(Tabla_Items_Con_Existencia[[#This Row],[CODIGO]],Tabla_Items_Activos[CODIGO],0)),0,1)</f>
        <v>0</v>
      </c>
    </row>
    <row r="2777" spans="1:9">
      <c r="A2777" s="2" t="s">
        <v>6760</v>
      </c>
      <c r="B2777" s="2" t="s">
        <v>3863</v>
      </c>
      <c r="C2777" s="2" t="s">
        <v>3864</v>
      </c>
      <c r="D2777" s="2" t="s">
        <v>5157</v>
      </c>
      <c r="E2777" s="2" t="s">
        <v>5192</v>
      </c>
      <c r="F2777" s="2">
        <v>3.976</v>
      </c>
      <c r="G2777" s="2">
        <v>130</v>
      </c>
      <c r="H2777" s="2">
        <f>Tabla_Items_Con_Existencia[[#This Row],[COSTO]]*Tabla_Items_Con_Existencia[[#This Row],[EXISTENCIA]]</f>
        <v>516.88</v>
      </c>
      <c r="I2777" s="1">
        <f>IF(ISERROR(MATCH(Tabla_Items_Con_Existencia[[#This Row],[CODIGO]],Tabla_Items_Activos[CODIGO],0)),0,1)</f>
        <v>0</v>
      </c>
    </row>
    <row r="2778" spans="1:9">
      <c r="A2778" s="2" t="s">
        <v>6760</v>
      </c>
      <c r="B2778" s="2" t="s">
        <v>3865</v>
      </c>
      <c r="C2778" s="2" t="s">
        <v>3866</v>
      </c>
      <c r="D2778" s="2" t="s">
        <v>5157</v>
      </c>
      <c r="E2778" s="2" t="s">
        <v>5192</v>
      </c>
      <c r="F2778" s="2">
        <v>4.2859999999999996</v>
      </c>
      <c r="G2778" s="2">
        <v>30</v>
      </c>
      <c r="H2778" s="2">
        <f>Tabla_Items_Con_Existencia[[#This Row],[COSTO]]*Tabla_Items_Con_Existencia[[#This Row],[EXISTENCIA]]</f>
        <v>128.57999999999998</v>
      </c>
      <c r="I2778" s="1">
        <f>IF(ISERROR(MATCH(Tabla_Items_Con_Existencia[[#This Row],[CODIGO]],Tabla_Items_Activos[CODIGO],0)),0,1)</f>
        <v>0</v>
      </c>
    </row>
    <row r="2779" spans="1:9">
      <c r="A2779" s="2" t="s">
        <v>6760</v>
      </c>
      <c r="B2779" s="2" t="s">
        <v>3867</v>
      </c>
      <c r="C2779" s="2" t="s">
        <v>3868</v>
      </c>
      <c r="D2779" s="2" t="s">
        <v>5157</v>
      </c>
      <c r="E2779" s="2" t="s">
        <v>5192</v>
      </c>
      <c r="F2779" s="2">
        <v>0</v>
      </c>
      <c r="G2779" s="2">
        <v>3</v>
      </c>
      <c r="H2779" s="2">
        <f>Tabla_Items_Con_Existencia[[#This Row],[COSTO]]*Tabla_Items_Con_Existencia[[#This Row],[EXISTENCIA]]</f>
        <v>0</v>
      </c>
      <c r="I2779" s="1">
        <f>IF(ISERROR(MATCH(Tabla_Items_Con_Existencia[[#This Row],[CODIGO]],Tabla_Items_Activos[CODIGO],0)),0,1)</f>
        <v>0</v>
      </c>
    </row>
    <row r="2780" spans="1:9">
      <c r="A2780" s="2" t="s">
        <v>6760</v>
      </c>
      <c r="B2780" s="2" t="s">
        <v>3869</v>
      </c>
      <c r="C2780" s="2" t="s">
        <v>3870</v>
      </c>
      <c r="D2780" s="2" t="s">
        <v>6731</v>
      </c>
      <c r="E2780" s="2" t="s">
        <v>5168</v>
      </c>
      <c r="F2780" s="2">
        <v>40</v>
      </c>
      <c r="G2780" s="2">
        <v>7</v>
      </c>
      <c r="H2780" s="2">
        <f>Tabla_Items_Con_Existencia[[#This Row],[COSTO]]*Tabla_Items_Con_Existencia[[#This Row],[EXISTENCIA]]</f>
        <v>280</v>
      </c>
      <c r="I2780" s="1">
        <f>IF(ISERROR(MATCH(Tabla_Items_Con_Existencia[[#This Row],[CODIGO]],Tabla_Items_Activos[CODIGO],0)),0,1)</f>
        <v>0</v>
      </c>
    </row>
    <row r="2781" spans="1:9">
      <c r="A2781" s="2" t="s">
        <v>6760</v>
      </c>
      <c r="B2781" s="2" t="s">
        <v>3871</v>
      </c>
      <c r="C2781" s="2" t="s">
        <v>3872</v>
      </c>
      <c r="D2781" s="2" t="s">
        <v>5157</v>
      </c>
      <c r="E2781" s="2" t="s">
        <v>5192</v>
      </c>
      <c r="F2781" s="2">
        <v>50</v>
      </c>
      <c r="G2781" s="2">
        <v>1</v>
      </c>
      <c r="H2781" s="2">
        <f>Tabla_Items_Con_Existencia[[#This Row],[COSTO]]*Tabla_Items_Con_Existencia[[#This Row],[EXISTENCIA]]</f>
        <v>50</v>
      </c>
      <c r="I2781" s="1">
        <f>IF(ISERROR(MATCH(Tabla_Items_Con_Existencia[[#This Row],[CODIGO]],Tabla_Items_Activos[CODIGO],0)),0,1)</f>
        <v>0</v>
      </c>
    </row>
    <row r="2782" spans="1:9">
      <c r="A2782" s="2" t="s">
        <v>6760</v>
      </c>
      <c r="B2782" s="2" t="s">
        <v>7284</v>
      </c>
      <c r="C2782" s="2" t="s">
        <v>7285</v>
      </c>
      <c r="D2782" s="2" t="s">
        <v>5769</v>
      </c>
      <c r="E2782" s="2" t="s">
        <v>5168</v>
      </c>
      <c r="F2782" s="2">
        <v>25.263157889999999</v>
      </c>
      <c r="G2782" s="2">
        <v>2</v>
      </c>
      <c r="H2782" s="2">
        <f>Tabla_Items_Con_Existencia[[#This Row],[COSTO]]*Tabla_Items_Con_Existencia[[#This Row],[EXISTENCIA]]</f>
        <v>50.526315779999997</v>
      </c>
      <c r="I2782" s="1">
        <f>IF(ISERROR(MATCH(Tabla_Items_Con_Existencia[[#This Row],[CODIGO]],Tabla_Items_Activos[CODIGO],0)),0,1)</f>
        <v>0</v>
      </c>
    </row>
    <row r="2783" spans="1:9">
      <c r="A2783" s="2" t="s">
        <v>6761</v>
      </c>
      <c r="B2783" s="2" t="s">
        <v>7284</v>
      </c>
      <c r="C2783" s="2" t="s">
        <v>7285</v>
      </c>
      <c r="D2783" s="2" t="s">
        <v>5769</v>
      </c>
      <c r="E2783" s="2" t="s">
        <v>5168</v>
      </c>
      <c r="F2783" s="2">
        <v>25.263157889999999</v>
      </c>
      <c r="G2783" s="2">
        <v>2</v>
      </c>
      <c r="H2783" s="2">
        <f>Tabla_Items_Con_Existencia[[#This Row],[COSTO]]*Tabla_Items_Con_Existencia[[#This Row],[EXISTENCIA]]</f>
        <v>50.526315779999997</v>
      </c>
      <c r="I2783" s="1">
        <f>IF(ISERROR(MATCH(Tabla_Items_Con_Existencia[[#This Row],[CODIGO]],Tabla_Items_Activos[CODIGO],0)),0,1)</f>
        <v>0</v>
      </c>
    </row>
    <row r="2784" spans="1:9">
      <c r="A2784" s="2" t="s">
        <v>6760</v>
      </c>
      <c r="B2784" s="2" t="s">
        <v>3873</v>
      </c>
      <c r="C2784" s="2" t="s">
        <v>3874</v>
      </c>
      <c r="D2784" s="2" t="s">
        <v>5223</v>
      </c>
      <c r="E2784" s="2" t="s">
        <v>5168</v>
      </c>
      <c r="F2784" s="2">
        <v>453.54105263000002</v>
      </c>
      <c r="G2784" s="2">
        <v>1</v>
      </c>
      <c r="H2784" s="2">
        <f>Tabla_Items_Con_Existencia[[#This Row],[COSTO]]*Tabla_Items_Con_Existencia[[#This Row],[EXISTENCIA]]</f>
        <v>453.54105263000002</v>
      </c>
      <c r="I2784" s="1">
        <f>IF(ISERROR(MATCH(Tabla_Items_Con_Existencia[[#This Row],[CODIGO]],Tabla_Items_Activos[CODIGO],0)),0,1)</f>
        <v>0</v>
      </c>
    </row>
    <row r="2785" spans="1:9">
      <c r="A2785" s="2" t="s">
        <v>6761</v>
      </c>
      <c r="B2785" s="2" t="s">
        <v>3873</v>
      </c>
      <c r="C2785" s="2" t="s">
        <v>3874</v>
      </c>
      <c r="D2785" s="2" t="s">
        <v>5223</v>
      </c>
      <c r="E2785" s="2" t="s">
        <v>5168</v>
      </c>
      <c r="F2785" s="2">
        <v>453.54105263000002</v>
      </c>
      <c r="G2785" s="2">
        <v>1</v>
      </c>
      <c r="H2785" s="2">
        <f>Tabla_Items_Con_Existencia[[#This Row],[COSTO]]*Tabla_Items_Con_Existencia[[#This Row],[EXISTENCIA]]</f>
        <v>453.54105263000002</v>
      </c>
      <c r="I2785" s="1">
        <f>IF(ISERROR(MATCH(Tabla_Items_Con_Existencia[[#This Row],[CODIGO]],Tabla_Items_Activos[CODIGO],0)),0,1)</f>
        <v>0</v>
      </c>
    </row>
    <row r="2786" spans="1:9">
      <c r="A2786" s="2" t="s">
        <v>6760</v>
      </c>
      <c r="B2786" s="2" t="s">
        <v>911</v>
      </c>
      <c r="C2786" s="2" t="s">
        <v>3875</v>
      </c>
      <c r="D2786" s="2" t="s">
        <v>5216</v>
      </c>
      <c r="E2786" s="2" t="s">
        <v>5168</v>
      </c>
      <c r="F2786" s="2">
        <v>14.523368420000001</v>
      </c>
      <c r="G2786" s="2">
        <v>9</v>
      </c>
      <c r="H2786" s="2">
        <f>Tabla_Items_Con_Existencia[[#This Row],[COSTO]]*Tabla_Items_Con_Existencia[[#This Row],[EXISTENCIA]]</f>
        <v>130.71031578</v>
      </c>
      <c r="I2786" s="1">
        <f>IF(ISERROR(MATCH(Tabla_Items_Con_Existencia[[#This Row],[CODIGO]],Tabla_Items_Activos[CODIGO],0)),0,1)</f>
        <v>0</v>
      </c>
    </row>
    <row r="2787" spans="1:9">
      <c r="A2787" s="2" t="s">
        <v>6761</v>
      </c>
      <c r="B2787" s="2" t="s">
        <v>911</v>
      </c>
      <c r="C2787" s="2" t="s">
        <v>3875</v>
      </c>
      <c r="D2787" s="2" t="s">
        <v>5216</v>
      </c>
      <c r="E2787" s="2" t="s">
        <v>5168</v>
      </c>
      <c r="F2787" s="2">
        <v>14.523368420000001</v>
      </c>
      <c r="G2787" s="2">
        <v>9</v>
      </c>
      <c r="H2787" s="2">
        <f>Tabla_Items_Con_Existencia[[#This Row],[COSTO]]*Tabla_Items_Con_Existencia[[#This Row],[EXISTENCIA]]</f>
        <v>130.71031578</v>
      </c>
      <c r="I2787" s="1">
        <f>IF(ISERROR(MATCH(Tabla_Items_Con_Existencia[[#This Row],[CODIGO]],Tabla_Items_Activos[CODIGO],0)),0,1)</f>
        <v>0</v>
      </c>
    </row>
    <row r="2788" spans="1:9">
      <c r="A2788" s="2" t="s">
        <v>6760</v>
      </c>
      <c r="B2788" s="2" t="s">
        <v>3876</v>
      </c>
      <c r="C2788" s="2" t="s">
        <v>3877</v>
      </c>
      <c r="D2788" s="2" t="s">
        <v>5157</v>
      </c>
      <c r="E2788" s="2" t="s">
        <v>5192</v>
      </c>
      <c r="F2788" s="2">
        <v>95.004999999999995</v>
      </c>
      <c r="G2788" s="2">
        <v>2</v>
      </c>
      <c r="H2788" s="2">
        <f>Tabla_Items_Con_Existencia[[#This Row],[COSTO]]*Tabla_Items_Con_Existencia[[#This Row],[EXISTENCIA]]</f>
        <v>190.01</v>
      </c>
      <c r="I2788" s="1">
        <f>IF(ISERROR(MATCH(Tabla_Items_Con_Existencia[[#This Row],[CODIGO]],Tabla_Items_Activos[CODIGO],0)),0,1)</f>
        <v>0</v>
      </c>
    </row>
    <row r="2789" spans="1:9">
      <c r="A2789" s="2" t="s">
        <v>6760</v>
      </c>
      <c r="B2789" s="2" t="s">
        <v>3878</v>
      </c>
      <c r="C2789" s="2" t="s">
        <v>3879</v>
      </c>
      <c r="D2789" s="2" t="s">
        <v>5157</v>
      </c>
      <c r="E2789" s="2" t="s">
        <v>5192</v>
      </c>
      <c r="F2789" s="2">
        <v>93.984736839999997</v>
      </c>
      <c r="G2789" s="2">
        <v>2</v>
      </c>
      <c r="H2789" s="2">
        <f>Tabla_Items_Con_Existencia[[#This Row],[COSTO]]*Tabla_Items_Con_Existencia[[#This Row],[EXISTENCIA]]</f>
        <v>187.96947367999999</v>
      </c>
      <c r="I2789" s="1">
        <f>IF(ISERROR(MATCH(Tabla_Items_Con_Existencia[[#This Row],[CODIGO]],Tabla_Items_Activos[CODIGO],0)),0,1)</f>
        <v>0</v>
      </c>
    </row>
    <row r="2790" spans="1:9">
      <c r="A2790" s="2" t="s">
        <v>6761</v>
      </c>
      <c r="B2790" s="2" t="s">
        <v>3878</v>
      </c>
      <c r="C2790" s="2" t="s">
        <v>3879</v>
      </c>
      <c r="D2790" s="2" t="s">
        <v>5157</v>
      </c>
      <c r="E2790" s="2" t="s">
        <v>5192</v>
      </c>
      <c r="F2790" s="2">
        <v>93.984736839999997</v>
      </c>
      <c r="G2790" s="2">
        <v>2</v>
      </c>
      <c r="H2790" s="2">
        <f>Tabla_Items_Con_Existencia[[#This Row],[COSTO]]*Tabla_Items_Con_Existencia[[#This Row],[EXISTENCIA]]</f>
        <v>187.96947367999999</v>
      </c>
      <c r="I2790" s="1">
        <f>IF(ISERROR(MATCH(Tabla_Items_Con_Existencia[[#This Row],[CODIGO]],Tabla_Items_Activos[CODIGO],0)),0,1)</f>
        <v>0</v>
      </c>
    </row>
    <row r="2791" spans="1:9">
      <c r="A2791" s="2" t="s">
        <v>6760</v>
      </c>
      <c r="B2791" s="2" t="s">
        <v>3880</v>
      </c>
      <c r="C2791" s="2" t="s">
        <v>3881</v>
      </c>
      <c r="D2791" s="2" t="s">
        <v>5157</v>
      </c>
      <c r="E2791" s="2" t="s">
        <v>5192</v>
      </c>
      <c r="F2791" s="2">
        <v>362.03</v>
      </c>
      <c r="G2791" s="2">
        <v>1</v>
      </c>
      <c r="H2791" s="2">
        <f>Tabla_Items_Con_Existencia[[#This Row],[COSTO]]*Tabla_Items_Con_Existencia[[#This Row],[EXISTENCIA]]</f>
        <v>362.03</v>
      </c>
      <c r="I2791" s="1">
        <f>IF(ISERROR(MATCH(Tabla_Items_Con_Existencia[[#This Row],[CODIGO]],Tabla_Items_Activos[CODIGO],0)),0,1)</f>
        <v>0</v>
      </c>
    </row>
    <row r="2792" spans="1:9">
      <c r="A2792" s="2" t="s">
        <v>6760</v>
      </c>
      <c r="B2792" s="2" t="s">
        <v>3882</v>
      </c>
      <c r="C2792" s="2" t="s">
        <v>3883</v>
      </c>
      <c r="D2792" s="2" t="s">
        <v>5157</v>
      </c>
      <c r="E2792" s="2" t="s">
        <v>5192</v>
      </c>
      <c r="F2792" s="2">
        <v>5.5</v>
      </c>
      <c r="G2792" s="2">
        <v>1</v>
      </c>
      <c r="H2792" s="2">
        <f>Tabla_Items_Con_Existencia[[#This Row],[COSTO]]*Tabla_Items_Con_Existencia[[#This Row],[EXISTENCIA]]</f>
        <v>5.5</v>
      </c>
      <c r="I2792" s="1">
        <f>IF(ISERROR(MATCH(Tabla_Items_Con_Existencia[[#This Row],[CODIGO]],Tabla_Items_Activos[CODIGO],0)),0,1)</f>
        <v>0</v>
      </c>
    </row>
    <row r="2793" spans="1:9">
      <c r="A2793" s="2" t="s">
        <v>6760</v>
      </c>
      <c r="B2793" s="2" t="s">
        <v>912</v>
      </c>
      <c r="C2793" s="2" t="s">
        <v>3884</v>
      </c>
      <c r="D2793" s="2" t="s">
        <v>5769</v>
      </c>
      <c r="E2793" s="2" t="s">
        <v>5168</v>
      </c>
      <c r="F2793" s="2">
        <v>38.232631580000003</v>
      </c>
      <c r="G2793" s="2">
        <v>2</v>
      </c>
      <c r="H2793" s="2">
        <f>Tabla_Items_Con_Existencia[[#This Row],[COSTO]]*Tabla_Items_Con_Existencia[[#This Row],[EXISTENCIA]]</f>
        <v>76.465263160000006</v>
      </c>
      <c r="I2793" s="1">
        <f>IF(ISERROR(MATCH(Tabla_Items_Con_Existencia[[#This Row],[CODIGO]],Tabla_Items_Activos[CODIGO],0)),0,1)</f>
        <v>0</v>
      </c>
    </row>
    <row r="2794" spans="1:9">
      <c r="A2794" s="2" t="s">
        <v>6761</v>
      </c>
      <c r="B2794" s="2" t="s">
        <v>912</v>
      </c>
      <c r="C2794" s="2" t="s">
        <v>3884</v>
      </c>
      <c r="D2794" s="2" t="s">
        <v>5769</v>
      </c>
      <c r="E2794" s="2" t="s">
        <v>5168</v>
      </c>
      <c r="F2794" s="2">
        <v>38.232631580000003</v>
      </c>
      <c r="G2794" s="2">
        <v>2</v>
      </c>
      <c r="H2794" s="2">
        <f>Tabla_Items_Con_Existencia[[#This Row],[COSTO]]*Tabla_Items_Con_Existencia[[#This Row],[EXISTENCIA]]</f>
        <v>76.465263160000006</v>
      </c>
      <c r="I2794" s="1">
        <f>IF(ISERROR(MATCH(Tabla_Items_Con_Existencia[[#This Row],[CODIGO]],Tabla_Items_Activos[CODIGO],0)),0,1)</f>
        <v>0</v>
      </c>
    </row>
    <row r="2795" spans="1:9">
      <c r="A2795" s="2" t="s">
        <v>6760</v>
      </c>
      <c r="B2795" s="2" t="s">
        <v>913</v>
      </c>
      <c r="C2795" s="2" t="s">
        <v>3885</v>
      </c>
      <c r="D2795" s="2" t="s">
        <v>5769</v>
      </c>
      <c r="E2795" s="2" t="s">
        <v>5168</v>
      </c>
      <c r="F2795" s="2">
        <v>19.649210530000001</v>
      </c>
      <c r="G2795" s="2">
        <v>5</v>
      </c>
      <c r="H2795" s="2">
        <f>Tabla_Items_Con_Existencia[[#This Row],[COSTO]]*Tabla_Items_Con_Existencia[[#This Row],[EXISTENCIA]]</f>
        <v>98.24605265000001</v>
      </c>
      <c r="I2795" s="1">
        <f>IF(ISERROR(MATCH(Tabla_Items_Con_Existencia[[#This Row],[CODIGO]],Tabla_Items_Activos[CODIGO],0)),0,1)</f>
        <v>0</v>
      </c>
    </row>
    <row r="2796" spans="1:9">
      <c r="A2796" s="2" t="s">
        <v>6761</v>
      </c>
      <c r="B2796" s="2" t="s">
        <v>913</v>
      </c>
      <c r="C2796" s="2" t="s">
        <v>3885</v>
      </c>
      <c r="D2796" s="2" t="s">
        <v>5769</v>
      </c>
      <c r="E2796" s="2" t="s">
        <v>5168</v>
      </c>
      <c r="F2796" s="2">
        <v>19.649210530000001</v>
      </c>
      <c r="G2796" s="2">
        <v>5</v>
      </c>
      <c r="H2796" s="2">
        <f>Tabla_Items_Con_Existencia[[#This Row],[COSTO]]*Tabla_Items_Con_Existencia[[#This Row],[EXISTENCIA]]</f>
        <v>98.24605265000001</v>
      </c>
      <c r="I2796" s="1">
        <f>IF(ISERROR(MATCH(Tabla_Items_Con_Existencia[[#This Row],[CODIGO]],Tabla_Items_Activos[CODIGO],0)),0,1)</f>
        <v>0</v>
      </c>
    </row>
    <row r="2797" spans="1:9">
      <c r="A2797" s="2" t="s">
        <v>6760</v>
      </c>
      <c r="B2797" s="2" t="s">
        <v>3886</v>
      </c>
      <c r="C2797" s="2" t="s">
        <v>3887</v>
      </c>
      <c r="D2797" s="2" t="s">
        <v>5157</v>
      </c>
      <c r="E2797" s="2" t="s">
        <v>5168</v>
      </c>
      <c r="F2797" s="2">
        <v>40</v>
      </c>
      <c r="G2797" s="2">
        <v>1</v>
      </c>
      <c r="H2797" s="2">
        <f>Tabla_Items_Con_Existencia[[#This Row],[COSTO]]*Tabla_Items_Con_Existencia[[#This Row],[EXISTENCIA]]</f>
        <v>40</v>
      </c>
      <c r="I2797" s="1">
        <f>IF(ISERROR(MATCH(Tabla_Items_Con_Existencia[[#This Row],[CODIGO]],Tabla_Items_Activos[CODIGO],0)),0,1)</f>
        <v>0</v>
      </c>
    </row>
    <row r="2798" spans="1:9">
      <c r="A2798" s="2" t="s">
        <v>6760</v>
      </c>
      <c r="B2798" s="2" t="s">
        <v>914</v>
      </c>
      <c r="C2798" s="2" t="s">
        <v>3888</v>
      </c>
      <c r="D2798" s="2" t="s">
        <v>5183</v>
      </c>
      <c r="E2798" s="2" t="s">
        <v>5168</v>
      </c>
      <c r="F2798" s="2">
        <v>14.608947369999999</v>
      </c>
      <c r="G2798" s="2">
        <v>7</v>
      </c>
      <c r="H2798" s="2">
        <f>Tabla_Items_Con_Existencia[[#This Row],[COSTO]]*Tabla_Items_Con_Existencia[[#This Row],[EXISTENCIA]]</f>
        <v>102.26263159</v>
      </c>
      <c r="I2798" s="1">
        <f>IF(ISERROR(MATCH(Tabla_Items_Con_Existencia[[#This Row],[CODIGO]],Tabla_Items_Activos[CODIGO],0)),0,1)</f>
        <v>0</v>
      </c>
    </row>
    <row r="2799" spans="1:9">
      <c r="A2799" s="2" t="s">
        <v>6761</v>
      </c>
      <c r="B2799" s="2" t="s">
        <v>914</v>
      </c>
      <c r="C2799" s="2" t="s">
        <v>3888</v>
      </c>
      <c r="D2799" s="2" t="s">
        <v>5183</v>
      </c>
      <c r="E2799" s="2" t="s">
        <v>5168</v>
      </c>
      <c r="F2799" s="2">
        <v>14.608947369999999</v>
      </c>
      <c r="G2799" s="2">
        <v>7</v>
      </c>
      <c r="H2799" s="2">
        <f>Tabla_Items_Con_Existencia[[#This Row],[COSTO]]*Tabla_Items_Con_Existencia[[#This Row],[EXISTENCIA]]</f>
        <v>102.26263159</v>
      </c>
      <c r="I2799" s="1">
        <f>IF(ISERROR(MATCH(Tabla_Items_Con_Existencia[[#This Row],[CODIGO]],Tabla_Items_Activos[CODIGO],0)),0,1)</f>
        <v>0</v>
      </c>
    </row>
    <row r="2800" spans="1:9">
      <c r="A2800" s="2" t="s">
        <v>6760</v>
      </c>
      <c r="B2800" s="2" t="s">
        <v>3889</v>
      </c>
      <c r="C2800" s="2" t="s">
        <v>3890</v>
      </c>
      <c r="D2800" s="2" t="s">
        <v>5225</v>
      </c>
      <c r="E2800" s="2" t="s">
        <v>5168</v>
      </c>
      <c r="F2800" s="2">
        <v>24.65789474</v>
      </c>
      <c r="G2800" s="2">
        <v>6</v>
      </c>
      <c r="H2800" s="2">
        <f>Tabla_Items_Con_Existencia[[#This Row],[COSTO]]*Tabla_Items_Con_Existencia[[#This Row],[EXISTENCIA]]</f>
        <v>147.94736843999999</v>
      </c>
      <c r="I2800" s="1">
        <f>IF(ISERROR(MATCH(Tabla_Items_Con_Existencia[[#This Row],[CODIGO]],Tabla_Items_Activos[CODIGO],0)),0,1)</f>
        <v>0</v>
      </c>
    </row>
    <row r="2801" spans="1:9">
      <c r="A2801" s="2" t="s">
        <v>6761</v>
      </c>
      <c r="B2801" s="2" t="s">
        <v>3889</v>
      </c>
      <c r="C2801" s="2" t="s">
        <v>3890</v>
      </c>
      <c r="D2801" s="2" t="s">
        <v>5225</v>
      </c>
      <c r="E2801" s="2" t="s">
        <v>5168</v>
      </c>
      <c r="F2801" s="2">
        <v>24.65789474</v>
      </c>
      <c r="G2801" s="2">
        <v>6</v>
      </c>
      <c r="H2801" s="2">
        <f>Tabla_Items_Con_Existencia[[#This Row],[COSTO]]*Tabla_Items_Con_Existencia[[#This Row],[EXISTENCIA]]</f>
        <v>147.94736843999999</v>
      </c>
      <c r="I2801" s="1">
        <f>IF(ISERROR(MATCH(Tabla_Items_Con_Existencia[[#This Row],[CODIGO]],Tabla_Items_Activos[CODIGO],0)),0,1)</f>
        <v>0</v>
      </c>
    </row>
    <row r="2802" spans="1:9">
      <c r="A2802" s="2" t="s">
        <v>6760</v>
      </c>
      <c r="B2802" s="2" t="s">
        <v>3891</v>
      </c>
      <c r="C2802" s="2" t="s">
        <v>3892</v>
      </c>
      <c r="D2802" s="2" t="s">
        <v>5769</v>
      </c>
      <c r="E2802" s="2" t="s">
        <v>5168</v>
      </c>
      <c r="F2802" s="2">
        <v>32.815789469999999</v>
      </c>
      <c r="G2802" s="2">
        <v>3</v>
      </c>
      <c r="H2802" s="2">
        <f>Tabla_Items_Con_Existencia[[#This Row],[COSTO]]*Tabla_Items_Con_Existencia[[#This Row],[EXISTENCIA]]</f>
        <v>98.447368409999996</v>
      </c>
      <c r="I2802" s="1">
        <f>IF(ISERROR(MATCH(Tabla_Items_Con_Existencia[[#This Row],[CODIGO]],Tabla_Items_Activos[CODIGO],0)),0,1)</f>
        <v>0</v>
      </c>
    </row>
    <row r="2803" spans="1:9">
      <c r="A2803" s="2" t="s">
        <v>6761</v>
      </c>
      <c r="B2803" s="2" t="s">
        <v>3891</v>
      </c>
      <c r="C2803" s="2" t="s">
        <v>3892</v>
      </c>
      <c r="D2803" s="2" t="s">
        <v>5769</v>
      </c>
      <c r="E2803" s="2" t="s">
        <v>5168</v>
      </c>
      <c r="F2803" s="2">
        <v>32.815789469999999</v>
      </c>
      <c r="G2803" s="2">
        <v>3</v>
      </c>
      <c r="H2803" s="2">
        <f>Tabla_Items_Con_Existencia[[#This Row],[COSTO]]*Tabla_Items_Con_Existencia[[#This Row],[EXISTENCIA]]</f>
        <v>98.447368409999996</v>
      </c>
      <c r="I2803" s="1">
        <f>IF(ISERROR(MATCH(Tabla_Items_Con_Existencia[[#This Row],[CODIGO]],Tabla_Items_Activos[CODIGO],0)),0,1)</f>
        <v>0</v>
      </c>
    </row>
    <row r="2804" spans="1:9">
      <c r="A2804" s="2" t="s">
        <v>6761</v>
      </c>
      <c r="B2804" s="2" t="s">
        <v>3901</v>
      </c>
      <c r="C2804" s="2" t="s">
        <v>3902</v>
      </c>
      <c r="D2804" s="2" t="s">
        <v>6035</v>
      </c>
      <c r="E2804" s="2" t="s">
        <v>5168</v>
      </c>
      <c r="F2804" s="2">
        <v>70.490526320000001</v>
      </c>
      <c r="G2804" s="2">
        <v>1</v>
      </c>
      <c r="H2804" s="2">
        <f>Tabla_Items_Con_Existencia[[#This Row],[COSTO]]*Tabla_Items_Con_Existencia[[#This Row],[EXISTENCIA]]</f>
        <v>70.490526320000001</v>
      </c>
      <c r="I2804" s="1">
        <f>IF(ISERROR(MATCH(Tabla_Items_Con_Existencia[[#This Row],[CODIGO]],Tabla_Items_Activos[CODIGO],0)),0,1)</f>
        <v>0</v>
      </c>
    </row>
    <row r="2805" spans="1:9">
      <c r="A2805" s="2" t="s">
        <v>6760</v>
      </c>
      <c r="B2805" s="2" t="s">
        <v>3901</v>
      </c>
      <c r="C2805" s="2" t="s">
        <v>3902</v>
      </c>
      <c r="D2805" s="2" t="s">
        <v>6035</v>
      </c>
      <c r="E2805" s="2" t="s">
        <v>5168</v>
      </c>
      <c r="F2805" s="2">
        <v>70.490526320000001</v>
      </c>
      <c r="G2805" s="2">
        <v>1</v>
      </c>
      <c r="H2805" s="2">
        <f>Tabla_Items_Con_Existencia[[#This Row],[COSTO]]*Tabla_Items_Con_Existencia[[#This Row],[EXISTENCIA]]</f>
        <v>70.490526320000001</v>
      </c>
      <c r="I2805" s="1">
        <f>IF(ISERROR(MATCH(Tabla_Items_Con_Existencia[[#This Row],[CODIGO]],Tabla_Items_Activos[CODIGO],0)),0,1)</f>
        <v>0</v>
      </c>
    </row>
    <row r="2806" spans="1:9">
      <c r="A2806" s="2" t="s">
        <v>6760</v>
      </c>
      <c r="B2806" s="2" t="s">
        <v>6057</v>
      </c>
      <c r="C2806" s="2" t="s">
        <v>6058</v>
      </c>
      <c r="D2806" s="2" t="s">
        <v>6035</v>
      </c>
      <c r="E2806" s="2" t="s">
        <v>5168</v>
      </c>
      <c r="F2806" s="2">
        <v>215.81052632000001</v>
      </c>
      <c r="G2806" s="2">
        <v>1</v>
      </c>
      <c r="H2806" s="2">
        <f>Tabla_Items_Con_Existencia[[#This Row],[COSTO]]*Tabla_Items_Con_Existencia[[#This Row],[EXISTENCIA]]</f>
        <v>215.81052632000001</v>
      </c>
      <c r="I2806" s="1">
        <f>IF(ISERROR(MATCH(Tabla_Items_Con_Existencia[[#This Row],[CODIGO]],Tabla_Items_Activos[CODIGO],0)),0,1)</f>
        <v>0</v>
      </c>
    </row>
    <row r="2807" spans="1:9">
      <c r="A2807" s="2" t="s">
        <v>6761</v>
      </c>
      <c r="B2807" s="2" t="s">
        <v>6057</v>
      </c>
      <c r="C2807" s="2" t="s">
        <v>6058</v>
      </c>
      <c r="D2807" s="2" t="s">
        <v>6035</v>
      </c>
      <c r="E2807" s="2" t="s">
        <v>5168</v>
      </c>
      <c r="F2807" s="2">
        <v>215.81052632000001</v>
      </c>
      <c r="G2807" s="2">
        <v>1</v>
      </c>
      <c r="H2807" s="2">
        <f>Tabla_Items_Con_Existencia[[#This Row],[COSTO]]*Tabla_Items_Con_Existencia[[#This Row],[EXISTENCIA]]</f>
        <v>215.81052632000001</v>
      </c>
      <c r="I2807" s="1">
        <f>IF(ISERROR(MATCH(Tabla_Items_Con_Existencia[[#This Row],[CODIGO]],Tabla_Items_Activos[CODIGO],0)),0,1)</f>
        <v>0</v>
      </c>
    </row>
    <row r="2808" spans="1:9">
      <c r="A2808" s="2" t="s">
        <v>6760</v>
      </c>
      <c r="B2808" s="2" t="s">
        <v>915</v>
      </c>
      <c r="C2808" s="2" t="s">
        <v>3903</v>
      </c>
      <c r="D2808" s="2" t="s">
        <v>5157</v>
      </c>
      <c r="E2808" s="2" t="s">
        <v>5192</v>
      </c>
      <c r="F2808" s="2">
        <v>0.13400000000000001</v>
      </c>
      <c r="G2808" s="2">
        <v>3</v>
      </c>
      <c r="H2808" s="2">
        <f>Tabla_Items_Con_Existencia[[#This Row],[COSTO]]*Tabla_Items_Con_Existencia[[#This Row],[EXISTENCIA]]</f>
        <v>0.40200000000000002</v>
      </c>
      <c r="I2808" s="1">
        <f>IF(ISERROR(MATCH(Tabla_Items_Con_Existencia[[#This Row],[CODIGO]],Tabla_Items_Activos[CODIGO],0)),0,1)</f>
        <v>0</v>
      </c>
    </row>
    <row r="2809" spans="1:9">
      <c r="A2809" s="2" t="s">
        <v>6760</v>
      </c>
      <c r="B2809" s="2" t="s">
        <v>3904</v>
      </c>
      <c r="C2809" s="2" t="s">
        <v>3905</v>
      </c>
      <c r="D2809" s="2" t="s">
        <v>5157</v>
      </c>
      <c r="E2809" s="2" t="s">
        <v>5192</v>
      </c>
      <c r="F2809" s="2">
        <v>2</v>
      </c>
      <c r="G2809" s="2">
        <v>1</v>
      </c>
      <c r="H2809" s="2">
        <f>Tabla_Items_Con_Existencia[[#This Row],[COSTO]]*Tabla_Items_Con_Existencia[[#This Row],[EXISTENCIA]]</f>
        <v>2</v>
      </c>
      <c r="I2809" s="1">
        <f>IF(ISERROR(MATCH(Tabla_Items_Con_Existencia[[#This Row],[CODIGO]],Tabla_Items_Activos[CODIGO],0)),0,1)</f>
        <v>0</v>
      </c>
    </row>
    <row r="2810" spans="1:9">
      <c r="A2810" s="2" t="s">
        <v>6760</v>
      </c>
      <c r="B2810" s="2" t="s">
        <v>3906</v>
      </c>
      <c r="C2810" s="2" t="s">
        <v>3907</v>
      </c>
      <c r="D2810" s="2" t="s">
        <v>5769</v>
      </c>
      <c r="E2810" s="2" t="s">
        <v>5168</v>
      </c>
      <c r="F2810" s="2">
        <v>25.263157889999999</v>
      </c>
      <c r="G2810" s="2">
        <v>9</v>
      </c>
      <c r="H2810" s="2">
        <f>Tabla_Items_Con_Existencia[[#This Row],[COSTO]]*Tabla_Items_Con_Existencia[[#This Row],[EXISTENCIA]]</f>
        <v>227.36842100999999</v>
      </c>
      <c r="I2810" s="1">
        <f>IF(ISERROR(MATCH(Tabla_Items_Con_Existencia[[#This Row],[CODIGO]],Tabla_Items_Activos[CODIGO],0)),0,1)</f>
        <v>0</v>
      </c>
    </row>
    <row r="2811" spans="1:9">
      <c r="A2811" s="2" t="s">
        <v>6761</v>
      </c>
      <c r="B2811" s="2" t="s">
        <v>3906</v>
      </c>
      <c r="C2811" s="2" t="s">
        <v>3907</v>
      </c>
      <c r="D2811" s="2" t="s">
        <v>5769</v>
      </c>
      <c r="E2811" s="2" t="s">
        <v>5168</v>
      </c>
      <c r="F2811" s="2">
        <v>25.263157889999999</v>
      </c>
      <c r="G2811" s="2">
        <v>9</v>
      </c>
      <c r="H2811" s="2">
        <f>Tabla_Items_Con_Existencia[[#This Row],[COSTO]]*Tabla_Items_Con_Existencia[[#This Row],[EXISTENCIA]]</f>
        <v>227.36842100999999</v>
      </c>
      <c r="I2811" s="1">
        <f>IF(ISERROR(MATCH(Tabla_Items_Con_Existencia[[#This Row],[CODIGO]],Tabla_Items_Activos[CODIGO],0)),0,1)</f>
        <v>0</v>
      </c>
    </row>
    <row r="2812" spans="1:9">
      <c r="A2812" s="2" t="s">
        <v>6761</v>
      </c>
      <c r="B2812" s="2" t="s">
        <v>3908</v>
      </c>
      <c r="C2812" s="2" t="s">
        <v>3909</v>
      </c>
      <c r="D2812" s="2" t="s">
        <v>5769</v>
      </c>
      <c r="E2812" s="2" t="s">
        <v>5168</v>
      </c>
      <c r="F2812" s="2">
        <v>17.777777780000001</v>
      </c>
      <c r="G2812" s="2">
        <v>10</v>
      </c>
      <c r="H2812" s="2">
        <f>Tabla_Items_Con_Existencia[[#This Row],[COSTO]]*Tabla_Items_Con_Existencia[[#This Row],[EXISTENCIA]]</f>
        <v>177.77777780000002</v>
      </c>
      <c r="I2812" s="1">
        <f>IF(ISERROR(MATCH(Tabla_Items_Con_Existencia[[#This Row],[CODIGO]],Tabla_Items_Activos[CODIGO],0)),0,1)</f>
        <v>0</v>
      </c>
    </row>
    <row r="2813" spans="1:9">
      <c r="A2813" s="2" t="s">
        <v>6759</v>
      </c>
      <c r="B2813" s="2" t="s">
        <v>3908</v>
      </c>
      <c r="C2813" s="2" t="s">
        <v>3909</v>
      </c>
      <c r="D2813" s="2" t="s">
        <v>5769</v>
      </c>
      <c r="E2813" s="2" t="s">
        <v>5168</v>
      </c>
      <c r="F2813" s="2">
        <v>17.777777780000001</v>
      </c>
      <c r="G2813" s="2">
        <v>10</v>
      </c>
      <c r="H2813" s="2">
        <f>Tabla_Items_Con_Existencia[[#This Row],[COSTO]]*Tabla_Items_Con_Existencia[[#This Row],[EXISTENCIA]]</f>
        <v>177.77777780000002</v>
      </c>
      <c r="I2813" s="1">
        <f>IF(ISERROR(MATCH(Tabla_Items_Con_Existencia[[#This Row],[CODIGO]],Tabla_Items_Activos[CODIGO],0)),0,1)</f>
        <v>0</v>
      </c>
    </row>
    <row r="2814" spans="1:9">
      <c r="A2814" s="2" t="s">
        <v>6760</v>
      </c>
      <c r="B2814" s="2" t="s">
        <v>3908</v>
      </c>
      <c r="C2814" s="2" t="s">
        <v>3909</v>
      </c>
      <c r="D2814" s="2" t="s">
        <v>5769</v>
      </c>
      <c r="E2814" s="2" t="s">
        <v>5168</v>
      </c>
      <c r="F2814" s="2">
        <v>17.777777780000001</v>
      </c>
      <c r="G2814" s="2">
        <v>10</v>
      </c>
      <c r="H2814" s="2">
        <f>Tabla_Items_Con_Existencia[[#This Row],[COSTO]]*Tabla_Items_Con_Existencia[[#This Row],[EXISTENCIA]]</f>
        <v>177.77777780000002</v>
      </c>
      <c r="I2814" s="1">
        <f>IF(ISERROR(MATCH(Tabla_Items_Con_Existencia[[#This Row],[CODIGO]],Tabla_Items_Activos[CODIGO],0)),0,1)</f>
        <v>0</v>
      </c>
    </row>
    <row r="2815" spans="1:9">
      <c r="A2815" s="2" t="s">
        <v>6760</v>
      </c>
      <c r="B2815" s="2" t="s">
        <v>3910</v>
      </c>
      <c r="C2815" s="2" t="s">
        <v>3911</v>
      </c>
      <c r="D2815" s="2" t="s">
        <v>5769</v>
      </c>
      <c r="E2815" s="2" t="s">
        <v>5168</v>
      </c>
      <c r="F2815" s="2">
        <v>19.01753158</v>
      </c>
      <c r="G2815" s="2">
        <v>10</v>
      </c>
      <c r="H2815" s="2">
        <f>Tabla_Items_Con_Existencia[[#This Row],[COSTO]]*Tabla_Items_Con_Existencia[[#This Row],[EXISTENCIA]]</f>
        <v>190.17531579999999</v>
      </c>
      <c r="I2815" s="1">
        <f>IF(ISERROR(MATCH(Tabla_Items_Con_Existencia[[#This Row],[CODIGO]],Tabla_Items_Activos[CODIGO],0)),0,1)</f>
        <v>0</v>
      </c>
    </row>
    <row r="2816" spans="1:9">
      <c r="A2816" s="2" t="s">
        <v>6761</v>
      </c>
      <c r="B2816" s="2" t="s">
        <v>3910</v>
      </c>
      <c r="C2816" s="2" t="s">
        <v>3911</v>
      </c>
      <c r="D2816" s="2" t="s">
        <v>5769</v>
      </c>
      <c r="E2816" s="2" t="s">
        <v>5168</v>
      </c>
      <c r="F2816" s="2">
        <v>19.01753158</v>
      </c>
      <c r="G2816" s="2">
        <v>10</v>
      </c>
      <c r="H2816" s="2">
        <f>Tabla_Items_Con_Existencia[[#This Row],[COSTO]]*Tabla_Items_Con_Existencia[[#This Row],[EXISTENCIA]]</f>
        <v>190.17531579999999</v>
      </c>
      <c r="I2816" s="1">
        <f>IF(ISERROR(MATCH(Tabla_Items_Con_Existencia[[#This Row],[CODIGO]],Tabla_Items_Activos[CODIGO],0)),0,1)</f>
        <v>0</v>
      </c>
    </row>
    <row r="2817" spans="1:9">
      <c r="A2817" s="2" t="s">
        <v>6760</v>
      </c>
      <c r="B2817" s="2" t="s">
        <v>3914</v>
      </c>
      <c r="C2817" s="2" t="s">
        <v>3915</v>
      </c>
      <c r="D2817" s="2" t="s">
        <v>5157</v>
      </c>
      <c r="E2817" s="2" t="s">
        <v>5192</v>
      </c>
      <c r="F2817" s="2">
        <v>0.89300000000000002</v>
      </c>
      <c r="G2817" s="2">
        <v>6</v>
      </c>
      <c r="H2817" s="2">
        <f>Tabla_Items_Con_Existencia[[#This Row],[COSTO]]*Tabla_Items_Con_Existencia[[#This Row],[EXISTENCIA]]</f>
        <v>5.3580000000000005</v>
      </c>
      <c r="I2817" s="1">
        <f>IF(ISERROR(MATCH(Tabla_Items_Con_Existencia[[#This Row],[CODIGO]],Tabla_Items_Activos[CODIGO],0)),0,1)</f>
        <v>0</v>
      </c>
    </row>
    <row r="2818" spans="1:9">
      <c r="A2818" s="2" t="s">
        <v>6761</v>
      </c>
      <c r="B2818" s="2" t="s">
        <v>916</v>
      </c>
      <c r="C2818" s="2" t="s">
        <v>3916</v>
      </c>
      <c r="D2818" s="2" t="s">
        <v>5158</v>
      </c>
      <c r="E2818" s="2" t="s">
        <v>5159</v>
      </c>
      <c r="F2818" s="2">
        <v>1.4515684200000001</v>
      </c>
      <c r="G2818" s="2">
        <v>32</v>
      </c>
      <c r="H2818" s="2">
        <f>Tabla_Items_Con_Existencia[[#This Row],[COSTO]]*Tabla_Items_Con_Existencia[[#This Row],[EXISTENCIA]]</f>
        <v>46.450189440000003</v>
      </c>
      <c r="I2818" s="1">
        <f>IF(ISERROR(MATCH(Tabla_Items_Con_Existencia[[#This Row],[CODIGO]],Tabla_Items_Activos[CODIGO],0)),0,1)</f>
        <v>0</v>
      </c>
    </row>
    <row r="2819" spans="1:9">
      <c r="A2819" s="2" t="s">
        <v>6760</v>
      </c>
      <c r="B2819" s="2" t="s">
        <v>916</v>
      </c>
      <c r="C2819" s="2" t="s">
        <v>3916</v>
      </c>
      <c r="D2819" s="2" t="s">
        <v>5158</v>
      </c>
      <c r="E2819" s="2" t="s">
        <v>5159</v>
      </c>
      <c r="F2819" s="2">
        <v>1.4515684200000001</v>
      </c>
      <c r="G2819" s="2">
        <v>32</v>
      </c>
      <c r="H2819" s="2">
        <f>Tabla_Items_Con_Existencia[[#This Row],[COSTO]]*Tabla_Items_Con_Existencia[[#This Row],[EXISTENCIA]]</f>
        <v>46.450189440000003</v>
      </c>
      <c r="I2819" s="1">
        <f>IF(ISERROR(MATCH(Tabla_Items_Con_Existencia[[#This Row],[CODIGO]],Tabla_Items_Activos[CODIGO],0)),0,1)</f>
        <v>0</v>
      </c>
    </row>
    <row r="2820" spans="1:9">
      <c r="A2820" s="2" t="s">
        <v>6760</v>
      </c>
      <c r="B2820" s="2" t="s">
        <v>3917</v>
      </c>
      <c r="C2820" s="2" t="s">
        <v>3918</v>
      </c>
      <c r="D2820" s="2" t="s">
        <v>5186</v>
      </c>
      <c r="E2820" s="2" t="s">
        <v>5159</v>
      </c>
      <c r="F2820" s="2">
        <v>1.43</v>
      </c>
      <c r="G2820" s="2">
        <v>15</v>
      </c>
      <c r="H2820" s="2">
        <f>Tabla_Items_Con_Existencia[[#This Row],[COSTO]]*Tabla_Items_Con_Existencia[[#This Row],[EXISTENCIA]]</f>
        <v>21.45</v>
      </c>
      <c r="I2820" s="1">
        <f>IF(ISERROR(MATCH(Tabla_Items_Con_Existencia[[#This Row],[CODIGO]],Tabla_Items_Activos[CODIGO],0)),0,1)</f>
        <v>0</v>
      </c>
    </row>
    <row r="2821" spans="1:9">
      <c r="A2821" s="2" t="s">
        <v>6760</v>
      </c>
      <c r="B2821" s="2" t="s">
        <v>3919</v>
      </c>
      <c r="C2821" s="2" t="s">
        <v>3920</v>
      </c>
      <c r="D2821" s="2" t="s">
        <v>5157</v>
      </c>
      <c r="E2821" s="2" t="s">
        <v>5192</v>
      </c>
      <c r="F2821" s="2">
        <v>132.52000000000001</v>
      </c>
      <c r="G2821" s="2">
        <v>1</v>
      </c>
      <c r="H2821" s="2">
        <f>Tabla_Items_Con_Existencia[[#This Row],[COSTO]]*Tabla_Items_Con_Existencia[[#This Row],[EXISTENCIA]]</f>
        <v>132.52000000000001</v>
      </c>
      <c r="I2821" s="1">
        <f>IF(ISERROR(MATCH(Tabla_Items_Con_Existencia[[#This Row],[CODIGO]],Tabla_Items_Activos[CODIGO],0)),0,1)</f>
        <v>0</v>
      </c>
    </row>
    <row r="2822" spans="1:9">
      <c r="A2822" s="2" t="s">
        <v>6760</v>
      </c>
      <c r="B2822" s="2" t="s">
        <v>3921</v>
      </c>
      <c r="C2822" s="2" t="s">
        <v>3922</v>
      </c>
      <c r="D2822" s="2" t="s">
        <v>5157</v>
      </c>
      <c r="E2822" s="2" t="s">
        <v>5192</v>
      </c>
      <c r="F2822" s="2">
        <v>6.48</v>
      </c>
      <c r="G2822" s="2">
        <v>1</v>
      </c>
      <c r="H2822" s="2">
        <f>Tabla_Items_Con_Existencia[[#This Row],[COSTO]]*Tabla_Items_Con_Existencia[[#This Row],[EXISTENCIA]]</f>
        <v>6.48</v>
      </c>
      <c r="I2822" s="1">
        <f>IF(ISERROR(MATCH(Tabla_Items_Con_Existencia[[#This Row],[CODIGO]],Tabla_Items_Activos[CODIGO],0)),0,1)</f>
        <v>0</v>
      </c>
    </row>
    <row r="2823" spans="1:9">
      <c r="A2823" s="2" t="s">
        <v>6760</v>
      </c>
      <c r="B2823" s="2" t="s">
        <v>917</v>
      </c>
      <c r="C2823" s="2" t="s">
        <v>3923</v>
      </c>
      <c r="D2823" s="2" t="s">
        <v>5769</v>
      </c>
      <c r="E2823" s="2" t="s">
        <v>5168</v>
      </c>
      <c r="F2823" s="2">
        <v>22.222200000000001</v>
      </c>
      <c r="G2823" s="2">
        <v>2</v>
      </c>
      <c r="H2823" s="2">
        <f>Tabla_Items_Con_Existencia[[#This Row],[COSTO]]*Tabla_Items_Con_Existencia[[#This Row],[EXISTENCIA]]</f>
        <v>44.444400000000002</v>
      </c>
      <c r="I2823" s="1">
        <f>IF(ISERROR(MATCH(Tabla_Items_Con_Existencia[[#This Row],[CODIGO]],Tabla_Items_Activos[CODIGO],0)),0,1)</f>
        <v>0</v>
      </c>
    </row>
    <row r="2824" spans="1:9">
      <c r="A2824" s="2" t="s">
        <v>6760</v>
      </c>
      <c r="B2824" s="2" t="s">
        <v>3924</v>
      </c>
      <c r="C2824" s="2" t="s">
        <v>3925</v>
      </c>
      <c r="D2824" s="2" t="s">
        <v>5157</v>
      </c>
      <c r="E2824" s="2" t="s">
        <v>5192</v>
      </c>
      <c r="F2824" s="2">
        <v>16.829999999999998</v>
      </c>
      <c r="G2824" s="2">
        <v>1</v>
      </c>
      <c r="H2824" s="2">
        <f>Tabla_Items_Con_Existencia[[#This Row],[COSTO]]*Tabla_Items_Con_Existencia[[#This Row],[EXISTENCIA]]</f>
        <v>16.829999999999998</v>
      </c>
      <c r="I2824" s="1">
        <f>IF(ISERROR(MATCH(Tabla_Items_Con_Existencia[[#This Row],[CODIGO]],Tabla_Items_Activos[CODIGO],0)),0,1)</f>
        <v>0</v>
      </c>
    </row>
    <row r="2825" spans="1:9">
      <c r="A2825" s="2" t="s">
        <v>6760</v>
      </c>
      <c r="B2825" s="2" t="s">
        <v>3926</v>
      </c>
      <c r="C2825" s="2" t="s">
        <v>3927</v>
      </c>
      <c r="D2825" s="2" t="s">
        <v>5157</v>
      </c>
      <c r="E2825" s="2" t="s">
        <v>5192</v>
      </c>
      <c r="F2825" s="2">
        <v>76.150000000000006</v>
      </c>
      <c r="G2825" s="2">
        <v>1</v>
      </c>
      <c r="H2825" s="2">
        <f>Tabla_Items_Con_Existencia[[#This Row],[COSTO]]*Tabla_Items_Con_Existencia[[#This Row],[EXISTENCIA]]</f>
        <v>76.150000000000006</v>
      </c>
      <c r="I2825" s="1">
        <f>IF(ISERROR(MATCH(Tabla_Items_Con_Existencia[[#This Row],[CODIGO]],Tabla_Items_Activos[CODIGO],0)),0,1)</f>
        <v>0</v>
      </c>
    </row>
    <row r="2826" spans="1:9">
      <c r="A2826" s="2" t="s">
        <v>6760</v>
      </c>
      <c r="B2826" s="2" t="s">
        <v>3928</v>
      </c>
      <c r="C2826" s="2" t="s">
        <v>3929</v>
      </c>
      <c r="D2826" s="2" t="s">
        <v>5190</v>
      </c>
      <c r="E2826" s="2" t="s">
        <v>5159</v>
      </c>
      <c r="F2826" s="2">
        <v>5.53</v>
      </c>
      <c r="G2826" s="2">
        <v>1</v>
      </c>
      <c r="H2826" s="2">
        <f>Tabla_Items_Con_Existencia[[#This Row],[COSTO]]*Tabla_Items_Con_Existencia[[#This Row],[EXISTENCIA]]</f>
        <v>5.53</v>
      </c>
      <c r="I2826" s="1">
        <f>IF(ISERROR(MATCH(Tabla_Items_Con_Existencia[[#This Row],[CODIGO]],Tabla_Items_Activos[CODIGO],0)),0,1)</f>
        <v>0</v>
      </c>
    </row>
    <row r="2827" spans="1:9">
      <c r="A2827" s="2" t="s">
        <v>6761</v>
      </c>
      <c r="B2827" s="2" t="s">
        <v>3930</v>
      </c>
      <c r="C2827" s="2" t="s">
        <v>3931</v>
      </c>
      <c r="D2827" s="2" t="s">
        <v>5209</v>
      </c>
      <c r="E2827" s="2" t="s">
        <v>5210</v>
      </c>
      <c r="F2827" s="2">
        <v>4.1188000000000002</v>
      </c>
      <c r="G2827" s="2">
        <v>205</v>
      </c>
      <c r="H2827" s="2">
        <f>Tabla_Items_Con_Existencia[[#This Row],[COSTO]]*Tabla_Items_Con_Existencia[[#This Row],[EXISTENCIA]]</f>
        <v>844.35400000000004</v>
      </c>
      <c r="I2827" s="1">
        <f>IF(ISERROR(MATCH(Tabla_Items_Con_Existencia[[#This Row],[CODIGO]],Tabla_Items_Activos[CODIGO],0)),0,1)</f>
        <v>0</v>
      </c>
    </row>
    <row r="2828" spans="1:9">
      <c r="A2828" s="2" t="s">
        <v>6759</v>
      </c>
      <c r="B2828" s="2" t="s">
        <v>3930</v>
      </c>
      <c r="C2828" s="2" t="s">
        <v>3931</v>
      </c>
      <c r="D2828" s="2" t="s">
        <v>5209</v>
      </c>
      <c r="E2828" s="2" t="s">
        <v>5210</v>
      </c>
      <c r="F2828" s="2">
        <v>4.1188000000000002</v>
      </c>
      <c r="G2828" s="2">
        <v>205</v>
      </c>
      <c r="H2828" s="2">
        <f>Tabla_Items_Con_Existencia[[#This Row],[COSTO]]*Tabla_Items_Con_Existencia[[#This Row],[EXISTENCIA]]</f>
        <v>844.35400000000004</v>
      </c>
      <c r="I2828" s="1">
        <f>IF(ISERROR(MATCH(Tabla_Items_Con_Existencia[[#This Row],[CODIGO]],Tabla_Items_Activos[CODIGO],0)),0,1)</f>
        <v>0</v>
      </c>
    </row>
    <row r="2829" spans="1:9">
      <c r="A2829" s="2" t="s">
        <v>6760</v>
      </c>
      <c r="B2829" s="2" t="s">
        <v>918</v>
      </c>
      <c r="C2829" s="2" t="s">
        <v>3932</v>
      </c>
      <c r="D2829" s="2" t="s">
        <v>5190</v>
      </c>
      <c r="E2829" s="2" t="s">
        <v>5159</v>
      </c>
      <c r="F2829" s="2">
        <v>3.0641105300000002</v>
      </c>
      <c r="G2829" s="2">
        <v>109</v>
      </c>
      <c r="H2829" s="2">
        <f>Tabla_Items_Con_Existencia[[#This Row],[COSTO]]*Tabla_Items_Con_Existencia[[#This Row],[EXISTENCIA]]</f>
        <v>333.98804777000004</v>
      </c>
      <c r="I2829" s="1">
        <f>IF(ISERROR(MATCH(Tabla_Items_Con_Existencia[[#This Row],[CODIGO]],Tabla_Items_Activos[CODIGO],0)),0,1)</f>
        <v>0</v>
      </c>
    </row>
    <row r="2830" spans="1:9">
      <c r="A2830" s="2" t="s">
        <v>6761</v>
      </c>
      <c r="B2830" s="2" t="s">
        <v>918</v>
      </c>
      <c r="C2830" s="2" t="s">
        <v>3932</v>
      </c>
      <c r="D2830" s="2" t="s">
        <v>5190</v>
      </c>
      <c r="E2830" s="2" t="s">
        <v>5159</v>
      </c>
      <c r="F2830" s="2">
        <v>3.0641105300000002</v>
      </c>
      <c r="G2830" s="2">
        <v>109</v>
      </c>
      <c r="H2830" s="2">
        <f>Tabla_Items_Con_Existencia[[#This Row],[COSTO]]*Tabla_Items_Con_Existencia[[#This Row],[EXISTENCIA]]</f>
        <v>333.98804777000004</v>
      </c>
      <c r="I2830" s="1">
        <f>IF(ISERROR(MATCH(Tabla_Items_Con_Existencia[[#This Row],[CODIGO]],Tabla_Items_Activos[CODIGO],0)),0,1)</f>
        <v>0</v>
      </c>
    </row>
    <row r="2831" spans="1:9">
      <c r="A2831" s="2" t="s">
        <v>6760</v>
      </c>
      <c r="B2831" s="2" t="s">
        <v>919</v>
      </c>
      <c r="C2831" s="2" t="s">
        <v>3933</v>
      </c>
      <c r="D2831" s="2" t="s">
        <v>6035</v>
      </c>
      <c r="E2831" s="2" t="s">
        <v>5168</v>
      </c>
      <c r="F2831" s="2">
        <v>675.47320000000002</v>
      </c>
      <c r="G2831" s="2">
        <v>2</v>
      </c>
      <c r="H2831" s="2">
        <f>Tabla_Items_Con_Existencia[[#This Row],[COSTO]]*Tabla_Items_Con_Existencia[[#This Row],[EXISTENCIA]]</f>
        <v>1350.9464</v>
      </c>
      <c r="I2831" s="1">
        <f>IF(ISERROR(MATCH(Tabla_Items_Con_Existencia[[#This Row],[CODIGO]],Tabla_Items_Activos[CODIGO],0)),0,1)</f>
        <v>0</v>
      </c>
    </row>
    <row r="2832" spans="1:9">
      <c r="A2832" s="2" t="s">
        <v>6761</v>
      </c>
      <c r="B2832" s="2" t="s">
        <v>919</v>
      </c>
      <c r="C2832" s="2" t="s">
        <v>3933</v>
      </c>
      <c r="D2832" s="2" t="s">
        <v>6035</v>
      </c>
      <c r="E2832" s="2" t="s">
        <v>5168</v>
      </c>
      <c r="F2832" s="2">
        <v>675.47320000000002</v>
      </c>
      <c r="G2832" s="2">
        <v>2</v>
      </c>
      <c r="H2832" s="2">
        <f>Tabla_Items_Con_Existencia[[#This Row],[COSTO]]*Tabla_Items_Con_Existencia[[#This Row],[EXISTENCIA]]</f>
        <v>1350.9464</v>
      </c>
      <c r="I2832" s="1">
        <f>IF(ISERROR(MATCH(Tabla_Items_Con_Existencia[[#This Row],[CODIGO]],Tabla_Items_Activos[CODIGO],0)),0,1)</f>
        <v>0</v>
      </c>
    </row>
    <row r="2833" spans="1:9">
      <c r="A2833" s="2" t="s">
        <v>6760</v>
      </c>
      <c r="B2833" s="2" t="s">
        <v>3934</v>
      </c>
      <c r="C2833" s="2" t="s">
        <v>3935</v>
      </c>
      <c r="D2833" s="2" t="s">
        <v>5167</v>
      </c>
      <c r="E2833" s="2" t="s">
        <v>5168</v>
      </c>
      <c r="F2833" s="2">
        <v>16.68884211</v>
      </c>
      <c r="G2833" s="2">
        <v>1</v>
      </c>
      <c r="H2833" s="2">
        <f>Tabla_Items_Con_Existencia[[#This Row],[COSTO]]*Tabla_Items_Con_Existencia[[#This Row],[EXISTENCIA]]</f>
        <v>16.68884211</v>
      </c>
      <c r="I2833" s="1">
        <f>IF(ISERROR(MATCH(Tabla_Items_Con_Existencia[[#This Row],[CODIGO]],Tabla_Items_Activos[CODIGO],0)),0,1)</f>
        <v>0</v>
      </c>
    </row>
    <row r="2834" spans="1:9">
      <c r="A2834" s="2" t="s">
        <v>6761</v>
      </c>
      <c r="B2834" s="2" t="s">
        <v>3934</v>
      </c>
      <c r="C2834" s="2" t="s">
        <v>3935</v>
      </c>
      <c r="D2834" s="2" t="s">
        <v>5167</v>
      </c>
      <c r="E2834" s="2" t="s">
        <v>5168</v>
      </c>
      <c r="F2834" s="2">
        <v>16.68884211</v>
      </c>
      <c r="G2834" s="2">
        <v>1</v>
      </c>
      <c r="H2834" s="2">
        <f>Tabla_Items_Con_Existencia[[#This Row],[COSTO]]*Tabla_Items_Con_Existencia[[#This Row],[EXISTENCIA]]</f>
        <v>16.68884211</v>
      </c>
      <c r="I2834" s="1">
        <f>IF(ISERROR(MATCH(Tabla_Items_Con_Existencia[[#This Row],[CODIGO]],Tabla_Items_Activos[CODIGO],0)),0,1)</f>
        <v>0</v>
      </c>
    </row>
    <row r="2835" spans="1:9">
      <c r="A2835" s="2" t="s">
        <v>6760</v>
      </c>
      <c r="B2835" s="2" t="s">
        <v>3936</v>
      </c>
      <c r="C2835" s="2" t="s">
        <v>3937</v>
      </c>
      <c r="D2835" s="2" t="s">
        <v>5224</v>
      </c>
      <c r="E2835" s="2" t="s">
        <v>5168</v>
      </c>
      <c r="F2835" s="2">
        <v>20.26673684</v>
      </c>
      <c r="G2835" s="2">
        <v>1</v>
      </c>
      <c r="H2835" s="2">
        <f>Tabla_Items_Con_Existencia[[#This Row],[COSTO]]*Tabla_Items_Con_Existencia[[#This Row],[EXISTENCIA]]</f>
        <v>20.26673684</v>
      </c>
      <c r="I2835" s="1">
        <f>IF(ISERROR(MATCH(Tabla_Items_Con_Existencia[[#This Row],[CODIGO]],Tabla_Items_Activos[CODIGO],0)),0,1)</f>
        <v>0</v>
      </c>
    </row>
    <row r="2836" spans="1:9">
      <c r="A2836" s="2" t="s">
        <v>6761</v>
      </c>
      <c r="B2836" s="2" t="s">
        <v>3936</v>
      </c>
      <c r="C2836" s="2" t="s">
        <v>3937</v>
      </c>
      <c r="D2836" s="2" t="s">
        <v>5224</v>
      </c>
      <c r="E2836" s="2" t="s">
        <v>5168</v>
      </c>
      <c r="F2836" s="2">
        <v>20.26673684</v>
      </c>
      <c r="G2836" s="2">
        <v>1</v>
      </c>
      <c r="H2836" s="2">
        <f>Tabla_Items_Con_Existencia[[#This Row],[COSTO]]*Tabla_Items_Con_Existencia[[#This Row],[EXISTENCIA]]</f>
        <v>20.26673684</v>
      </c>
      <c r="I2836" s="1">
        <f>IF(ISERROR(MATCH(Tabla_Items_Con_Existencia[[#This Row],[CODIGO]],Tabla_Items_Activos[CODIGO],0)),0,1)</f>
        <v>0</v>
      </c>
    </row>
    <row r="2837" spans="1:9">
      <c r="A2837" s="2" t="s">
        <v>6760</v>
      </c>
      <c r="B2837" s="2" t="s">
        <v>3938</v>
      </c>
      <c r="C2837" s="2" t="s">
        <v>3939</v>
      </c>
      <c r="D2837" s="2" t="s">
        <v>5224</v>
      </c>
      <c r="E2837" s="2" t="s">
        <v>5168</v>
      </c>
      <c r="F2837" s="2">
        <v>13.30357895</v>
      </c>
      <c r="G2837" s="2">
        <v>1</v>
      </c>
      <c r="H2837" s="2">
        <f>Tabla_Items_Con_Existencia[[#This Row],[COSTO]]*Tabla_Items_Con_Existencia[[#This Row],[EXISTENCIA]]</f>
        <v>13.30357895</v>
      </c>
      <c r="I2837" s="1">
        <f>IF(ISERROR(MATCH(Tabla_Items_Con_Existencia[[#This Row],[CODIGO]],Tabla_Items_Activos[CODIGO],0)),0,1)</f>
        <v>0</v>
      </c>
    </row>
    <row r="2838" spans="1:9">
      <c r="A2838" s="2" t="s">
        <v>6761</v>
      </c>
      <c r="B2838" s="2" t="s">
        <v>3938</v>
      </c>
      <c r="C2838" s="2" t="s">
        <v>3939</v>
      </c>
      <c r="D2838" s="2" t="s">
        <v>5224</v>
      </c>
      <c r="E2838" s="2" t="s">
        <v>5168</v>
      </c>
      <c r="F2838" s="2">
        <v>13.30357895</v>
      </c>
      <c r="G2838" s="2">
        <v>1</v>
      </c>
      <c r="H2838" s="2">
        <f>Tabla_Items_Con_Existencia[[#This Row],[COSTO]]*Tabla_Items_Con_Existencia[[#This Row],[EXISTENCIA]]</f>
        <v>13.30357895</v>
      </c>
      <c r="I2838" s="1">
        <f>IF(ISERROR(MATCH(Tabla_Items_Con_Existencia[[#This Row],[CODIGO]],Tabla_Items_Activos[CODIGO],0)),0,1)</f>
        <v>0</v>
      </c>
    </row>
    <row r="2839" spans="1:9">
      <c r="A2839" s="2" t="s">
        <v>6760</v>
      </c>
      <c r="B2839" s="2" t="s">
        <v>3940</v>
      </c>
      <c r="C2839" s="2" t="s">
        <v>3941</v>
      </c>
      <c r="D2839" s="2" t="s">
        <v>5186</v>
      </c>
      <c r="E2839" s="2" t="s">
        <v>5159</v>
      </c>
      <c r="F2839" s="2">
        <v>0.33403684</v>
      </c>
      <c r="G2839" s="2">
        <v>4006</v>
      </c>
      <c r="H2839" s="2">
        <f>Tabla_Items_Con_Existencia[[#This Row],[COSTO]]*Tabla_Items_Con_Existencia[[#This Row],[EXISTENCIA]]</f>
        <v>1338.1515810400001</v>
      </c>
      <c r="I2839" s="1">
        <f>IF(ISERROR(MATCH(Tabla_Items_Con_Existencia[[#This Row],[CODIGO]],Tabla_Items_Activos[CODIGO],0)),0,1)</f>
        <v>0</v>
      </c>
    </row>
    <row r="2840" spans="1:9">
      <c r="A2840" s="2" t="s">
        <v>6761</v>
      </c>
      <c r="B2840" s="2" t="s">
        <v>3940</v>
      </c>
      <c r="C2840" s="2" t="s">
        <v>3941</v>
      </c>
      <c r="D2840" s="2" t="s">
        <v>5186</v>
      </c>
      <c r="E2840" s="2" t="s">
        <v>5159</v>
      </c>
      <c r="F2840" s="2">
        <v>0.33403684</v>
      </c>
      <c r="G2840" s="2">
        <v>4006</v>
      </c>
      <c r="H2840" s="2">
        <f>Tabla_Items_Con_Existencia[[#This Row],[COSTO]]*Tabla_Items_Con_Existencia[[#This Row],[EXISTENCIA]]</f>
        <v>1338.1515810400001</v>
      </c>
      <c r="I2840" s="1">
        <f>IF(ISERROR(MATCH(Tabla_Items_Con_Existencia[[#This Row],[CODIGO]],Tabla_Items_Activos[CODIGO],0)),0,1)</f>
        <v>0</v>
      </c>
    </row>
    <row r="2841" spans="1:9">
      <c r="A2841" s="2" t="s">
        <v>6760</v>
      </c>
      <c r="B2841" s="2" t="s">
        <v>3942</v>
      </c>
      <c r="C2841" s="2" t="s">
        <v>3943</v>
      </c>
      <c r="D2841" s="2" t="s">
        <v>5157</v>
      </c>
      <c r="E2841" s="2" t="s">
        <v>5192</v>
      </c>
      <c r="F2841" s="2">
        <v>45.67</v>
      </c>
      <c r="G2841" s="2">
        <v>1</v>
      </c>
      <c r="H2841" s="2">
        <f>Tabla_Items_Con_Existencia[[#This Row],[COSTO]]*Tabla_Items_Con_Existencia[[#This Row],[EXISTENCIA]]</f>
        <v>45.67</v>
      </c>
      <c r="I2841" s="1">
        <f>IF(ISERROR(MATCH(Tabla_Items_Con_Existencia[[#This Row],[CODIGO]],Tabla_Items_Activos[CODIGO],0)),0,1)</f>
        <v>0</v>
      </c>
    </row>
    <row r="2842" spans="1:9">
      <c r="A2842" s="2" t="s">
        <v>6760</v>
      </c>
      <c r="B2842" s="2" t="s">
        <v>3944</v>
      </c>
      <c r="C2842" s="2" t="s">
        <v>3945</v>
      </c>
      <c r="D2842" s="2" t="s">
        <v>5157</v>
      </c>
      <c r="E2842" s="2" t="s">
        <v>5192</v>
      </c>
      <c r="F2842" s="2">
        <v>19.63</v>
      </c>
      <c r="G2842" s="2">
        <v>1</v>
      </c>
      <c r="H2842" s="2">
        <f>Tabla_Items_Con_Existencia[[#This Row],[COSTO]]*Tabla_Items_Con_Existencia[[#This Row],[EXISTENCIA]]</f>
        <v>19.63</v>
      </c>
      <c r="I2842" s="1">
        <f>IF(ISERROR(MATCH(Tabla_Items_Con_Existencia[[#This Row],[CODIGO]],Tabla_Items_Activos[CODIGO],0)),0,1)</f>
        <v>0</v>
      </c>
    </row>
    <row r="2843" spans="1:9">
      <c r="A2843" s="2" t="s">
        <v>6760</v>
      </c>
      <c r="B2843" s="2" t="s">
        <v>3946</v>
      </c>
      <c r="C2843" s="2" t="s">
        <v>3947</v>
      </c>
      <c r="D2843" s="2" t="s">
        <v>5157</v>
      </c>
      <c r="E2843" s="2" t="s">
        <v>5192</v>
      </c>
      <c r="F2843" s="2">
        <v>147.773</v>
      </c>
      <c r="G2843" s="2">
        <v>1</v>
      </c>
      <c r="H2843" s="2">
        <f>Tabla_Items_Con_Existencia[[#This Row],[COSTO]]*Tabla_Items_Con_Existencia[[#This Row],[EXISTENCIA]]</f>
        <v>147.773</v>
      </c>
      <c r="I2843" s="1">
        <f>IF(ISERROR(MATCH(Tabla_Items_Con_Existencia[[#This Row],[CODIGO]],Tabla_Items_Activos[CODIGO],0)),0,1)</f>
        <v>0</v>
      </c>
    </row>
    <row r="2844" spans="1:9">
      <c r="A2844" s="2" t="s">
        <v>6760</v>
      </c>
      <c r="B2844" s="2" t="s">
        <v>3948</v>
      </c>
      <c r="C2844" s="2" t="s">
        <v>3949</v>
      </c>
      <c r="D2844" s="2" t="s">
        <v>5157</v>
      </c>
      <c r="E2844" s="2" t="s">
        <v>5192</v>
      </c>
      <c r="F2844" s="2">
        <v>19.63</v>
      </c>
      <c r="G2844" s="2">
        <v>1</v>
      </c>
      <c r="H2844" s="2">
        <f>Tabla_Items_Con_Existencia[[#This Row],[COSTO]]*Tabla_Items_Con_Existencia[[#This Row],[EXISTENCIA]]</f>
        <v>19.63</v>
      </c>
      <c r="I2844" s="1">
        <f>IF(ISERROR(MATCH(Tabla_Items_Con_Existencia[[#This Row],[CODIGO]],Tabla_Items_Activos[CODIGO],0)),0,1)</f>
        <v>0</v>
      </c>
    </row>
    <row r="2845" spans="1:9">
      <c r="A2845" s="2" t="s">
        <v>6760</v>
      </c>
      <c r="B2845" s="2" t="s">
        <v>3952</v>
      </c>
      <c r="C2845" s="2" t="s">
        <v>3953</v>
      </c>
      <c r="D2845" s="2" t="s">
        <v>5157</v>
      </c>
      <c r="E2845" s="2" t="s">
        <v>5192</v>
      </c>
      <c r="F2845" s="2">
        <v>40</v>
      </c>
      <c r="G2845" s="2">
        <v>1</v>
      </c>
      <c r="H2845" s="2">
        <f>Tabla_Items_Con_Existencia[[#This Row],[COSTO]]*Tabla_Items_Con_Existencia[[#This Row],[EXISTENCIA]]</f>
        <v>40</v>
      </c>
      <c r="I2845" s="1">
        <f>IF(ISERROR(MATCH(Tabla_Items_Con_Existencia[[#This Row],[CODIGO]],Tabla_Items_Activos[CODIGO],0)),0,1)</f>
        <v>0</v>
      </c>
    </row>
    <row r="2846" spans="1:9">
      <c r="A2846" s="2" t="s">
        <v>6760</v>
      </c>
      <c r="B2846" s="2" t="s">
        <v>7059</v>
      </c>
      <c r="C2846" s="2" t="s">
        <v>7060</v>
      </c>
      <c r="D2846" s="2" t="s">
        <v>5190</v>
      </c>
      <c r="E2846" s="2" t="s">
        <v>5159</v>
      </c>
      <c r="F2846" s="2">
        <v>6.0926315799999999</v>
      </c>
      <c r="G2846" s="2">
        <v>2</v>
      </c>
      <c r="H2846" s="2">
        <f>Tabla_Items_Con_Existencia[[#This Row],[COSTO]]*Tabla_Items_Con_Existencia[[#This Row],[EXISTENCIA]]</f>
        <v>12.18526316</v>
      </c>
      <c r="I2846" s="1">
        <f>IF(ISERROR(MATCH(Tabla_Items_Con_Existencia[[#This Row],[CODIGO]],Tabla_Items_Activos[CODIGO],0)),0,1)</f>
        <v>0</v>
      </c>
    </row>
    <row r="2847" spans="1:9">
      <c r="A2847" s="2" t="s">
        <v>6761</v>
      </c>
      <c r="B2847" s="2" t="s">
        <v>7059</v>
      </c>
      <c r="C2847" s="2" t="s">
        <v>7060</v>
      </c>
      <c r="D2847" s="2" t="s">
        <v>5190</v>
      </c>
      <c r="E2847" s="2" t="s">
        <v>5159</v>
      </c>
      <c r="F2847" s="2">
        <v>6.0926315799999999</v>
      </c>
      <c r="G2847" s="2">
        <v>2</v>
      </c>
      <c r="H2847" s="2">
        <f>Tabla_Items_Con_Existencia[[#This Row],[COSTO]]*Tabla_Items_Con_Existencia[[#This Row],[EXISTENCIA]]</f>
        <v>12.18526316</v>
      </c>
      <c r="I2847" s="1">
        <f>IF(ISERROR(MATCH(Tabla_Items_Con_Existencia[[#This Row],[CODIGO]],Tabla_Items_Activos[CODIGO],0)),0,1)</f>
        <v>0</v>
      </c>
    </row>
    <row r="2848" spans="1:9">
      <c r="A2848" s="2" t="s">
        <v>6760</v>
      </c>
      <c r="B2848" s="2" t="s">
        <v>3954</v>
      </c>
      <c r="C2848" s="2" t="s">
        <v>3955</v>
      </c>
      <c r="D2848" s="2" t="s">
        <v>5157</v>
      </c>
      <c r="E2848" s="2" t="s">
        <v>5192</v>
      </c>
      <c r="F2848" s="2">
        <v>39.462000000000003</v>
      </c>
      <c r="G2848" s="2">
        <v>2</v>
      </c>
      <c r="H2848" s="2">
        <f>Tabla_Items_Con_Existencia[[#This Row],[COSTO]]*Tabla_Items_Con_Existencia[[#This Row],[EXISTENCIA]]</f>
        <v>78.924000000000007</v>
      </c>
      <c r="I2848" s="1">
        <f>IF(ISERROR(MATCH(Tabla_Items_Con_Existencia[[#This Row],[CODIGO]],Tabla_Items_Activos[CODIGO],0)),0,1)</f>
        <v>0</v>
      </c>
    </row>
    <row r="2849" spans="1:9">
      <c r="A2849" s="2" t="s">
        <v>6759</v>
      </c>
      <c r="B2849" s="2" t="s">
        <v>3956</v>
      </c>
      <c r="C2849" s="2" t="s">
        <v>3957</v>
      </c>
      <c r="D2849" s="2" t="s">
        <v>5769</v>
      </c>
      <c r="E2849" s="2" t="s">
        <v>5168</v>
      </c>
      <c r="F2849" s="2">
        <v>16.507955559999999</v>
      </c>
      <c r="G2849" s="2">
        <v>34</v>
      </c>
      <c r="H2849" s="2">
        <f>Tabla_Items_Con_Existencia[[#This Row],[COSTO]]*Tabla_Items_Con_Existencia[[#This Row],[EXISTENCIA]]</f>
        <v>561.27048904000003</v>
      </c>
      <c r="I2849" s="1">
        <f>IF(ISERROR(MATCH(Tabla_Items_Con_Existencia[[#This Row],[CODIGO]],Tabla_Items_Activos[CODIGO],0)),0,1)</f>
        <v>0</v>
      </c>
    </row>
    <row r="2850" spans="1:9">
      <c r="A2850" s="2" t="s">
        <v>6760</v>
      </c>
      <c r="B2850" s="2" t="s">
        <v>3956</v>
      </c>
      <c r="C2850" s="2" t="s">
        <v>3957</v>
      </c>
      <c r="D2850" s="2" t="s">
        <v>5769</v>
      </c>
      <c r="E2850" s="2" t="s">
        <v>5168</v>
      </c>
      <c r="F2850" s="2">
        <v>16.507955559999999</v>
      </c>
      <c r="G2850" s="2">
        <v>34</v>
      </c>
      <c r="H2850" s="2">
        <f>Tabla_Items_Con_Existencia[[#This Row],[COSTO]]*Tabla_Items_Con_Existencia[[#This Row],[EXISTENCIA]]</f>
        <v>561.27048904000003</v>
      </c>
      <c r="I2850" s="1">
        <f>IF(ISERROR(MATCH(Tabla_Items_Con_Existencia[[#This Row],[CODIGO]],Tabla_Items_Activos[CODIGO],0)),0,1)</f>
        <v>0</v>
      </c>
    </row>
    <row r="2851" spans="1:9">
      <c r="A2851" s="2" t="s">
        <v>6761</v>
      </c>
      <c r="B2851" s="2" t="s">
        <v>3956</v>
      </c>
      <c r="C2851" s="2" t="s">
        <v>3957</v>
      </c>
      <c r="D2851" s="2" t="s">
        <v>5769</v>
      </c>
      <c r="E2851" s="2" t="s">
        <v>5168</v>
      </c>
      <c r="F2851" s="2">
        <v>16.507955559999999</v>
      </c>
      <c r="G2851" s="2">
        <v>34</v>
      </c>
      <c r="H2851" s="2">
        <f>Tabla_Items_Con_Existencia[[#This Row],[COSTO]]*Tabla_Items_Con_Existencia[[#This Row],[EXISTENCIA]]</f>
        <v>561.27048904000003</v>
      </c>
      <c r="I2851" s="1">
        <f>IF(ISERROR(MATCH(Tabla_Items_Con_Existencia[[#This Row],[CODIGO]],Tabla_Items_Activos[CODIGO],0)),0,1)</f>
        <v>0</v>
      </c>
    </row>
    <row r="2852" spans="1:9">
      <c r="A2852" s="2" t="s">
        <v>6760</v>
      </c>
      <c r="B2852" s="2" t="s">
        <v>3960</v>
      </c>
      <c r="C2852" s="2" t="s">
        <v>7061</v>
      </c>
      <c r="D2852" s="2" t="s">
        <v>5157</v>
      </c>
      <c r="E2852" s="2" t="s">
        <v>5192</v>
      </c>
      <c r="F2852" s="2">
        <v>6.6618421100000003</v>
      </c>
      <c r="G2852" s="2">
        <v>2</v>
      </c>
      <c r="H2852" s="2">
        <f>Tabla_Items_Con_Existencia[[#This Row],[COSTO]]*Tabla_Items_Con_Existencia[[#This Row],[EXISTENCIA]]</f>
        <v>13.323684220000001</v>
      </c>
      <c r="I2852" s="1">
        <f>IF(ISERROR(MATCH(Tabla_Items_Con_Existencia[[#This Row],[CODIGO]],Tabla_Items_Activos[CODIGO],0)),0,1)</f>
        <v>0</v>
      </c>
    </row>
    <row r="2853" spans="1:9">
      <c r="A2853" s="2" t="s">
        <v>6761</v>
      </c>
      <c r="B2853" s="2" t="s">
        <v>3960</v>
      </c>
      <c r="C2853" s="2" t="s">
        <v>7061</v>
      </c>
      <c r="D2853" s="2" t="s">
        <v>5157</v>
      </c>
      <c r="E2853" s="2" t="s">
        <v>5192</v>
      </c>
      <c r="F2853" s="2">
        <v>6.6618421100000003</v>
      </c>
      <c r="G2853" s="2">
        <v>2</v>
      </c>
      <c r="H2853" s="2">
        <f>Tabla_Items_Con_Existencia[[#This Row],[COSTO]]*Tabla_Items_Con_Existencia[[#This Row],[EXISTENCIA]]</f>
        <v>13.323684220000001</v>
      </c>
      <c r="I2853" s="1">
        <f>IF(ISERROR(MATCH(Tabla_Items_Con_Existencia[[#This Row],[CODIGO]],Tabla_Items_Activos[CODIGO],0)),0,1)</f>
        <v>0</v>
      </c>
    </row>
    <row r="2854" spans="1:9">
      <c r="A2854" s="2" t="s">
        <v>6760</v>
      </c>
      <c r="B2854" s="2" t="s">
        <v>3962</v>
      </c>
      <c r="C2854" s="2" t="s">
        <v>3963</v>
      </c>
      <c r="D2854" s="2" t="s">
        <v>5157</v>
      </c>
      <c r="E2854" s="2" t="s">
        <v>5192</v>
      </c>
      <c r="F2854" s="2">
        <v>10.68</v>
      </c>
      <c r="G2854" s="2">
        <v>1</v>
      </c>
      <c r="H2854" s="2">
        <f>Tabla_Items_Con_Existencia[[#This Row],[COSTO]]*Tabla_Items_Con_Existencia[[#This Row],[EXISTENCIA]]</f>
        <v>10.68</v>
      </c>
      <c r="I2854" s="1">
        <f>IF(ISERROR(MATCH(Tabla_Items_Con_Existencia[[#This Row],[CODIGO]],Tabla_Items_Activos[CODIGO],0)),0,1)</f>
        <v>0</v>
      </c>
    </row>
    <row r="2855" spans="1:9">
      <c r="A2855" s="2" t="s">
        <v>6760</v>
      </c>
      <c r="B2855" s="2" t="s">
        <v>3964</v>
      </c>
      <c r="C2855" s="2" t="s">
        <v>3965</v>
      </c>
      <c r="D2855" s="2" t="s">
        <v>5157</v>
      </c>
      <c r="E2855" s="2" t="s">
        <v>5192</v>
      </c>
      <c r="F2855" s="2">
        <v>1.84</v>
      </c>
      <c r="G2855" s="2">
        <v>1</v>
      </c>
      <c r="H2855" s="2">
        <f>Tabla_Items_Con_Existencia[[#This Row],[COSTO]]*Tabla_Items_Con_Existencia[[#This Row],[EXISTENCIA]]</f>
        <v>1.84</v>
      </c>
      <c r="I2855" s="1">
        <f>IF(ISERROR(MATCH(Tabla_Items_Con_Existencia[[#This Row],[CODIGO]],Tabla_Items_Activos[CODIGO],0)),0,1)</f>
        <v>0</v>
      </c>
    </row>
    <row r="2856" spans="1:9">
      <c r="A2856" s="2" t="s">
        <v>6760</v>
      </c>
      <c r="B2856" s="2" t="s">
        <v>3966</v>
      </c>
      <c r="C2856" s="2" t="s">
        <v>3967</v>
      </c>
      <c r="D2856" s="2" t="s">
        <v>5157</v>
      </c>
      <c r="E2856" s="2" t="s">
        <v>5192</v>
      </c>
      <c r="F2856" s="2">
        <v>18.850000000000001</v>
      </c>
      <c r="G2856" s="2">
        <v>1</v>
      </c>
      <c r="H2856" s="2">
        <f>Tabla_Items_Con_Existencia[[#This Row],[COSTO]]*Tabla_Items_Con_Existencia[[#This Row],[EXISTENCIA]]</f>
        <v>18.850000000000001</v>
      </c>
      <c r="I2856" s="1">
        <f>IF(ISERROR(MATCH(Tabla_Items_Con_Existencia[[#This Row],[CODIGO]],Tabla_Items_Activos[CODIGO],0)),0,1)</f>
        <v>0</v>
      </c>
    </row>
    <row r="2857" spans="1:9">
      <c r="A2857" s="2" t="s">
        <v>6760</v>
      </c>
      <c r="B2857" s="2" t="s">
        <v>3968</v>
      </c>
      <c r="C2857" s="2" t="s">
        <v>3969</v>
      </c>
      <c r="D2857" s="2" t="s">
        <v>5157</v>
      </c>
      <c r="E2857" s="2" t="s">
        <v>5192</v>
      </c>
      <c r="F2857" s="2">
        <v>2.5499999999999998</v>
      </c>
      <c r="G2857" s="2">
        <v>565</v>
      </c>
      <c r="H2857" s="2">
        <f>Tabla_Items_Con_Existencia[[#This Row],[COSTO]]*Tabla_Items_Con_Existencia[[#This Row],[EXISTENCIA]]</f>
        <v>1440.75</v>
      </c>
      <c r="I2857" s="1">
        <f>IF(ISERROR(MATCH(Tabla_Items_Con_Existencia[[#This Row],[CODIGO]],Tabla_Items_Activos[CODIGO],0)),0,1)</f>
        <v>0</v>
      </c>
    </row>
    <row r="2858" spans="1:9">
      <c r="A2858" s="2" t="s">
        <v>6760</v>
      </c>
      <c r="B2858" s="2" t="s">
        <v>3970</v>
      </c>
      <c r="C2858" s="2" t="s">
        <v>3971</v>
      </c>
      <c r="D2858" s="2" t="s">
        <v>5157</v>
      </c>
      <c r="E2858" s="2" t="s">
        <v>5192</v>
      </c>
      <c r="F2858" s="2">
        <v>336.61</v>
      </c>
      <c r="G2858" s="2">
        <v>1</v>
      </c>
      <c r="H2858" s="2">
        <f>Tabla_Items_Con_Existencia[[#This Row],[COSTO]]*Tabla_Items_Con_Existencia[[#This Row],[EXISTENCIA]]</f>
        <v>336.61</v>
      </c>
      <c r="I2858" s="1">
        <f>IF(ISERROR(MATCH(Tabla_Items_Con_Existencia[[#This Row],[CODIGO]],Tabla_Items_Activos[CODIGO],0)),0,1)</f>
        <v>0</v>
      </c>
    </row>
    <row r="2859" spans="1:9">
      <c r="A2859" s="2" t="s">
        <v>6760</v>
      </c>
      <c r="B2859" s="2" t="s">
        <v>3972</v>
      </c>
      <c r="C2859" s="2" t="s">
        <v>3973</v>
      </c>
      <c r="D2859" s="2" t="s">
        <v>5191</v>
      </c>
      <c r="E2859" s="2" t="s">
        <v>5192</v>
      </c>
      <c r="F2859" s="2">
        <v>3.4180000000000001</v>
      </c>
      <c r="G2859" s="2">
        <v>1</v>
      </c>
      <c r="H2859" s="2">
        <f>Tabla_Items_Con_Existencia[[#This Row],[COSTO]]*Tabla_Items_Con_Existencia[[#This Row],[EXISTENCIA]]</f>
        <v>3.4180000000000001</v>
      </c>
      <c r="I2859" s="1">
        <f>IF(ISERROR(MATCH(Tabla_Items_Con_Existencia[[#This Row],[CODIGO]],Tabla_Items_Activos[CODIGO],0)),0,1)</f>
        <v>0</v>
      </c>
    </row>
    <row r="2860" spans="1:9">
      <c r="A2860" s="2" t="s">
        <v>6760</v>
      </c>
      <c r="B2860" s="2" t="s">
        <v>3976</v>
      </c>
      <c r="C2860" s="2" t="s">
        <v>3977</v>
      </c>
      <c r="D2860" s="2" t="s">
        <v>5157</v>
      </c>
      <c r="E2860" s="2" t="s">
        <v>5192</v>
      </c>
      <c r="F2860" s="2">
        <v>9</v>
      </c>
      <c r="G2860" s="2">
        <v>1</v>
      </c>
      <c r="H2860" s="2">
        <f>Tabla_Items_Con_Existencia[[#This Row],[COSTO]]*Tabla_Items_Con_Existencia[[#This Row],[EXISTENCIA]]</f>
        <v>9</v>
      </c>
      <c r="I2860" s="1">
        <f>IF(ISERROR(MATCH(Tabla_Items_Con_Existencia[[#This Row],[CODIGO]],Tabla_Items_Activos[CODIGO],0)),0,1)</f>
        <v>0</v>
      </c>
    </row>
    <row r="2861" spans="1:9">
      <c r="A2861" s="2" t="s">
        <v>6760</v>
      </c>
      <c r="B2861" s="2" t="s">
        <v>3978</v>
      </c>
      <c r="C2861" s="2" t="s">
        <v>3979</v>
      </c>
      <c r="D2861" s="2" t="s">
        <v>5157</v>
      </c>
      <c r="E2861" s="2" t="s">
        <v>5168</v>
      </c>
      <c r="F2861" s="2">
        <v>4</v>
      </c>
      <c r="G2861" s="2">
        <v>1</v>
      </c>
      <c r="H2861" s="2">
        <f>Tabla_Items_Con_Existencia[[#This Row],[COSTO]]*Tabla_Items_Con_Existencia[[#This Row],[EXISTENCIA]]</f>
        <v>4</v>
      </c>
      <c r="I2861" s="1">
        <f>IF(ISERROR(MATCH(Tabla_Items_Con_Existencia[[#This Row],[CODIGO]],Tabla_Items_Activos[CODIGO],0)),0,1)</f>
        <v>0</v>
      </c>
    </row>
    <row r="2862" spans="1:9">
      <c r="A2862" s="2" t="s">
        <v>6760</v>
      </c>
      <c r="B2862" s="2" t="s">
        <v>3980</v>
      </c>
      <c r="C2862" s="2" t="s">
        <v>3981</v>
      </c>
      <c r="D2862" s="2" t="s">
        <v>5157</v>
      </c>
      <c r="E2862" s="2" t="s">
        <v>5168</v>
      </c>
      <c r="F2862" s="2">
        <v>4</v>
      </c>
      <c r="G2862" s="2">
        <v>1</v>
      </c>
      <c r="H2862" s="2">
        <f>Tabla_Items_Con_Existencia[[#This Row],[COSTO]]*Tabla_Items_Con_Existencia[[#This Row],[EXISTENCIA]]</f>
        <v>4</v>
      </c>
      <c r="I2862" s="1">
        <f>IF(ISERROR(MATCH(Tabla_Items_Con_Existencia[[#This Row],[CODIGO]],Tabla_Items_Activos[CODIGO],0)),0,1)</f>
        <v>0</v>
      </c>
    </row>
    <row r="2863" spans="1:9">
      <c r="A2863" s="2" t="s">
        <v>6760</v>
      </c>
      <c r="B2863" s="2" t="s">
        <v>3982</v>
      </c>
      <c r="C2863" s="2" t="s">
        <v>3983</v>
      </c>
      <c r="D2863" s="2" t="s">
        <v>5157</v>
      </c>
      <c r="E2863" s="2" t="s">
        <v>5168</v>
      </c>
      <c r="F2863" s="2">
        <v>4</v>
      </c>
      <c r="G2863" s="2">
        <v>1</v>
      </c>
      <c r="H2863" s="2">
        <f>Tabla_Items_Con_Existencia[[#This Row],[COSTO]]*Tabla_Items_Con_Existencia[[#This Row],[EXISTENCIA]]</f>
        <v>4</v>
      </c>
      <c r="I2863" s="1">
        <f>IF(ISERROR(MATCH(Tabla_Items_Con_Existencia[[#This Row],[CODIGO]],Tabla_Items_Activos[CODIGO],0)),0,1)</f>
        <v>0</v>
      </c>
    </row>
    <row r="2864" spans="1:9">
      <c r="A2864" s="2" t="s">
        <v>6760</v>
      </c>
      <c r="B2864" s="2" t="s">
        <v>3984</v>
      </c>
      <c r="C2864" s="2" t="s">
        <v>3985</v>
      </c>
      <c r="D2864" s="2" t="s">
        <v>5157</v>
      </c>
      <c r="E2864" s="2" t="s">
        <v>5168</v>
      </c>
      <c r="F2864" s="2">
        <v>4</v>
      </c>
      <c r="G2864" s="2">
        <v>1</v>
      </c>
      <c r="H2864" s="2">
        <f>Tabla_Items_Con_Existencia[[#This Row],[COSTO]]*Tabla_Items_Con_Existencia[[#This Row],[EXISTENCIA]]</f>
        <v>4</v>
      </c>
      <c r="I2864" s="1">
        <f>IF(ISERROR(MATCH(Tabla_Items_Con_Existencia[[#This Row],[CODIGO]],Tabla_Items_Activos[CODIGO],0)),0,1)</f>
        <v>0</v>
      </c>
    </row>
    <row r="2865" spans="1:9">
      <c r="A2865" s="2" t="s">
        <v>6760</v>
      </c>
      <c r="B2865" s="2" t="s">
        <v>920</v>
      </c>
      <c r="C2865" s="2" t="s">
        <v>3986</v>
      </c>
      <c r="D2865" s="2" t="s">
        <v>7001</v>
      </c>
      <c r="E2865" s="2" t="s">
        <v>5168</v>
      </c>
      <c r="F2865" s="2">
        <v>0.95048889000000003</v>
      </c>
      <c r="G2865" s="2">
        <v>12</v>
      </c>
      <c r="H2865" s="2">
        <f>Tabla_Items_Con_Existencia[[#This Row],[COSTO]]*Tabla_Items_Con_Existencia[[#This Row],[EXISTENCIA]]</f>
        <v>11.405866680000001</v>
      </c>
      <c r="I2865" s="1">
        <f>IF(ISERROR(MATCH(Tabla_Items_Con_Existencia[[#This Row],[CODIGO]],Tabla_Items_Activos[CODIGO],0)),0,1)</f>
        <v>0</v>
      </c>
    </row>
    <row r="2866" spans="1:9">
      <c r="A2866" s="2" t="s">
        <v>6761</v>
      </c>
      <c r="B2866" s="2" t="s">
        <v>920</v>
      </c>
      <c r="C2866" s="2" t="s">
        <v>3986</v>
      </c>
      <c r="D2866" s="2" t="s">
        <v>7001</v>
      </c>
      <c r="E2866" s="2" t="s">
        <v>5168</v>
      </c>
      <c r="F2866" s="2">
        <v>0.95048889000000003</v>
      </c>
      <c r="G2866" s="2">
        <v>12</v>
      </c>
      <c r="H2866" s="2">
        <f>Tabla_Items_Con_Existencia[[#This Row],[COSTO]]*Tabla_Items_Con_Existencia[[#This Row],[EXISTENCIA]]</f>
        <v>11.405866680000001</v>
      </c>
      <c r="I2866" s="1">
        <f>IF(ISERROR(MATCH(Tabla_Items_Con_Existencia[[#This Row],[CODIGO]],Tabla_Items_Activos[CODIGO],0)),0,1)</f>
        <v>0</v>
      </c>
    </row>
    <row r="2867" spans="1:9">
      <c r="A2867" s="2" t="s">
        <v>6759</v>
      </c>
      <c r="B2867" s="2" t="s">
        <v>920</v>
      </c>
      <c r="C2867" s="2" t="s">
        <v>3986</v>
      </c>
      <c r="D2867" s="2" t="s">
        <v>7001</v>
      </c>
      <c r="E2867" s="2" t="s">
        <v>5168</v>
      </c>
      <c r="F2867" s="2">
        <v>0.95048889000000003</v>
      </c>
      <c r="G2867" s="2">
        <v>12</v>
      </c>
      <c r="H2867" s="2">
        <f>Tabla_Items_Con_Existencia[[#This Row],[COSTO]]*Tabla_Items_Con_Existencia[[#This Row],[EXISTENCIA]]</f>
        <v>11.405866680000001</v>
      </c>
      <c r="I2867" s="1">
        <f>IF(ISERROR(MATCH(Tabla_Items_Con_Existencia[[#This Row],[CODIGO]],Tabla_Items_Activos[CODIGO],0)),0,1)</f>
        <v>0</v>
      </c>
    </row>
    <row r="2868" spans="1:9">
      <c r="A2868" s="2" t="s">
        <v>6760</v>
      </c>
      <c r="B2868" s="2" t="s">
        <v>3987</v>
      </c>
      <c r="C2868" s="2" t="s">
        <v>3988</v>
      </c>
      <c r="D2868" s="2" t="s">
        <v>5157</v>
      </c>
      <c r="E2868" s="2" t="s">
        <v>5168</v>
      </c>
      <c r="F2868" s="2">
        <v>4</v>
      </c>
      <c r="G2868" s="2">
        <v>1</v>
      </c>
      <c r="H2868" s="2">
        <f>Tabla_Items_Con_Existencia[[#This Row],[COSTO]]*Tabla_Items_Con_Existencia[[#This Row],[EXISTENCIA]]</f>
        <v>4</v>
      </c>
      <c r="I2868" s="1">
        <f>IF(ISERROR(MATCH(Tabla_Items_Con_Existencia[[#This Row],[CODIGO]],Tabla_Items_Activos[CODIGO],0)),0,1)</f>
        <v>0</v>
      </c>
    </row>
    <row r="2869" spans="1:9">
      <c r="A2869" s="2" t="s">
        <v>6760</v>
      </c>
      <c r="B2869" s="2" t="s">
        <v>3989</v>
      </c>
      <c r="C2869" s="2" t="s">
        <v>3990</v>
      </c>
      <c r="D2869" s="2" t="s">
        <v>5157</v>
      </c>
      <c r="E2869" s="2" t="s">
        <v>5168</v>
      </c>
      <c r="F2869" s="2">
        <v>4</v>
      </c>
      <c r="G2869" s="2">
        <v>1</v>
      </c>
      <c r="H2869" s="2">
        <f>Tabla_Items_Con_Existencia[[#This Row],[COSTO]]*Tabla_Items_Con_Existencia[[#This Row],[EXISTENCIA]]</f>
        <v>4</v>
      </c>
      <c r="I2869" s="1">
        <f>IF(ISERROR(MATCH(Tabla_Items_Con_Existencia[[#This Row],[CODIGO]],Tabla_Items_Activos[CODIGO],0)),0,1)</f>
        <v>0</v>
      </c>
    </row>
    <row r="2870" spans="1:9">
      <c r="A2870" s="2" t="s">
        <v>6760</v>
      </c>
      <c r="B2870" s="2" t="s">
        <v>3991</v>
      </c>
      <c r="C2870" s="2" t="s">
        <v>3992</v>
      </c>
      <c r="D2870" s="2" t="s">
        <v>5157</v>
      </c>
      <c r="E2870" s="2" t="s">
        <v>5168</v>
      </c>
      <c r="F2870" s="2">
        <v>4</v>
      </c>
      <c r="G2870" s="2">
        <v>1</v>
      </c>
      <c r="H2870" s="2">
        <f>Tabla_Items_Con_Existencia[[#This Row],[COSTO]]*Tabla_Items_Con_Existencia[[#This Row],[EXISTENCIA]]</f>
        <v>4</v>
      </c>
      <c r="I2870" s="1">
        <f>IF(ISERROR(MATCH(Tabla_Items_Con_Existencia[[#This Row],[CODIGO]],Tabla_Items_Activos[CODIGO],0)),0,1)</f>
        <v>0</v>
      </c>
    </row>
    <row r="2871" spans="1:9">
      <c r="A2871" s="2" t="s">
        <v>6760</v>
      </c>
      <c r="B2871" s="2" t="s">
        <v>3993</v>
      </c>
      <c r="C2871" s="2" t="s">
        <v>3994</v>
      </c>
      <c r="D2871" s="2" t="s">
        <v>5157</v>
      </c>
      <c r="E2871" s="2" t="s">
        <v>5192</v>
      </c>
      <c r="F2871" s="2">
        <v>0</v>
      </c>
      <c r="G2871" s="2">
        <v>1</v>
      </c>
      <c r="H2871" s="2">
        <f>Tabla_Items_Con_Existencia[[#This Row],[COSTO]]*Tabla_Items_Con_Existencia[[#This Row],[EXISTENCIA]]</f>
        <v>0</v>
      </c>
      <c r="I2871" s="1">
        <f>IF(ISERROR(MATCH(Tabla_Items_Con_Existencia[[#This Row],[CODIGO]],Tabla_Items_Activos[CODIGO],0)),0,1)</f>
        <v>0</v>
      </c>
    </row>
    <row r="2872" spans="1:9">
      <c r="A2872" s="2" t="s">
        <v>6760</v>
      </c>
      <c r="B2872" s="2" t="s">
        <v>921</v>
      </c>
      <c r="C2872" s="2" t="s">
        <v>3995</v>
      </c>
      <c r="D2872" s="2" t="s">
        <v>7001</v>
      </c>
      <c r="E2872" s="2" t="s">
        <v>5168</v>
      </c>
      <c r="F2872" s="2">
        <v>1.8385263199999999</v>
      </c>
      <c r="G2872" s="2">
        <v>17</v>
      </c>
      <c r="H2872" s="2">
        <f>Tabla_Items_Con_Existencia[[#This Row],[COSTO]]*Tabla_Items_Con_Existencia[[#This Row],[EXISTENCIA]]</f>
        <v>31.254947439999999</v>
      </c>
      <c r="I2872" s="1">
        <f>IF(ISERROR(MATCH(Tabla_Items_Con_Existencia[[#This Row],[CODIGO]],Tabla_Items_Activos[CODIGO],0)),0,1)</f>
        <v>0</v>
      </c>
    </row>
    <row r="2873" spans="1:9">
      <c r="A2873" s="2" t="s">
        <v>6761</v>
      </c>
      <c r="B2873" s="2" t="s">
        <v>921</v>
      </c>
      <c r="C2873" s="2" t="s">
        <v>3995</v>
      </c>
      <c r="D2873" s="2" t="s">
        <v>7001</v>
      </c>
      <c r="E2873" s="2" t="s">
        <v>5168</v>
      </c>
      <c r="F2873" s="2">
        <v>1.8385263199999999</v>
      </c>
      <c r="G2873" s="2">
        <v>17</v>
      </c>
      <c r="H2873" s="2">
        <f>Tabla_Items_Con_Existencia[[#This Row],[COSTO]]*Tabla_Items_Con_Existencia[[#This Row],[EXISTENCIA]]</f>
        <v>31.254947439999999</v>
      </c>
      <c r="I2873" s="1">
        <f>IF(ISERROR(MATCH(Tabla_Items_Con_Existencia[[#This Row],[CODIGO]],Tabla_Items_Activos[CODIGO],0)),0,1)</f>
        <v>0</v>
      </c>
    </row>
    <row r="2874" spans="1:9">
      <c r="A2874" s="2" t="s">
        <v>6760</v>
      </c>
      <c r="B2874" s="2" t="s">
        <v>3998</v>
      </c>
      <c r="C2874" s="2" t="s">
        <v>3999</v>
      </c>
      <c r="D2874" s="2" t="s">
        <v>5157</v>
      </c>
      <c r="E2874" s="2" t="s">
        <v>5168</v>
      </c>
      <c r="F2874" s="2">
        <v>7</v>
      </c>
      <c r="G2874" s="2">
        <v>1</v>
      </c>
      <c r="H2874" s="2">
        <f>Tabla_Items_Con_Existencia[[#This Row],[COSTO]]*Tabla_Items_Con_Existencia[[#This Row],[EXISTENCIA]]</f>
        <v>7</v>
      </c>
      <c r="I2874" s="1">
        <f>IF(ISERROR(MATCH(Tabla_Items_Con_Existencia[[#This Row],[CODIGO]],Tabla_Items_Activos[CODIGO],0)),0,1)</f>
        <v>0</v>
      </c>
    </row>
    <row r="2875" spans="1:9">
      <c r="A2875" s="2" t="s">
        <v>6760</v>
      </c>
      <c r="B2875" s="2" t="s">
        <v>4000</v>
      </c>
      <c r="C2875" s="2" t="s">
        <v>4001</v>
      </c>
      <c r="D2875" s="2" t="s">
        <v>5157</v>
      </c>
      <c r="E2875" s="2" t="s">
        <v>5168</v>
      </c>
      <c r="F2875" s="2">
        <v>8</v>
      </c>
      <c r="G2875" s="2">
        <v>3</v>
      </c>
      <c r="H2875" s="2">
        <f>Tabla_Items_Con_Existencia[[#This Row],[COSTO]]*Tabla_Items_Con_Existencia[[#This Row],[EXISTENCIA]]</f>
        <v>24</v>
      </c>
      <c r="I2875" s="1">
        <f>IF(ISERROR(MATCH(Tabla_Items_Con_Existencia[[#This Row],[CODIGO]],Tabla_Items_Activos[CODIGO],0)),0,1)</f>
        <v>0</v>
      </c>
    </row>
    <row r="2876" spans="1:9">
      <c r="A2876" s="2" t="s">
        <v>6760</v>
      </c>
      <c r="B2876" s="2" t="s">
        <v>4002</v>
      </c>
      <c r="C2876" s="2" t="s">
        <v>4003</v>
      </c>
      <c r="D2876" s="2" t="s">
        <v>5157</v>
      </c>
      <c r="E2876" s="2" t="s">
        <v>5168</v>
      </c>
      <c r="F2876" s="2">
        <v>8</v>
      </c>
      <c r="G2876" s="2">
        <v>1</v>
      </c>
      <c r="H2876" s="2">
        <f>Tabla_Items_Con_Existencia[[#This Row],[COSTO]]*Tabla_Items_Con_Existencia[[#This Row],[EXISTENCIA]]</f>
        <v>8</v>
      </c>
      <c r="I2876" s="1">
        <f>IF(ISERROR(MATCH(Tabla_Items_Con_Existencia[[#This Row],[CODIGO]],Tabla_Items_Activos[CODIGO],0)),0,1)</f>
        <v>0</v>
      </c>
    </row>
    <row r="2877" spans="1:9">
      <c r="A2877" s="2" t="s">
        <v>6760</v>
      </c>
      <c r="B2877" s="2" t="s">
        <v>4004</v>
      </c>
      <c r="C2877" s="2" t="s">
        <v>4005</v>
      </c>
      <c r="D2877" s="2" t="s">
        <v>5157</v>
      </c>
      <c r="E2877" s="2" t="s">
        <v>5168</v>
      </c>
      <c r="F2877" s="2">
        <v>8</v>
      </c>
      <c r="G2877" s="2">
        <v>1</v>
      </c>
      <c r="H2877" s="2">
        <f>Tabla_Items_Con_Existencia[[#This Row],[COSTO]]*Tabla_Items_Con_Existencia[[#This Row],[EXISTENCIA]]</f>
        <v>8</v>
      </c>
      <c r="I2877" s="1">
        <f>IF(ISERROR(MATCH(Tabla_Items_Con_Existencia[[#This Row],[CODIGO]],Tabla_Items_Activos[CODIGO],0)),0,1)</f>
        <v>0</v>
      </c>
    </row>
    <row r="2878" spans="1:9">
      <c r="A2878" s="2" t="s">
        <v>6761</v>
      </c>
      <c r="B2878" s="2" t="s">
        <v>4006</v>
      </c>
      <c r="C2878" s="2" t="s">
        <v>4007</v>
      </c>
      <c r="D2878" s="2" t="s">
        <v>7001</v>
      </c>
      <c r="E2878" s="2" t="s">
        <v>5168</v>
      </c>
      <c r="F2878" s="2">
        <v>2.9962736799999998</v>
      </c>
      <c r="G2878" s="2">
        <v>29</v>
      </c>
      <c r="H2878" s="2">
        <f>Tabla_Items_Con_Existencia[[#This Row],[COSTO]]*Tabla_Items_Con_Existencia[[#This Row],[EXISTENCIA]]</f>
        <v>86.89193671999999</v>
      </c>
      <c r="I2878" s="1">
        <f>IF(ISERROR(MATCH(Tabla_Items_Con_Existencia[[#This Row],[CODIGO]],Tabla_Items_Activos[CODIGO],0)),0,1)</f>
        <v>0</v>
      </c>
    </row>
    <row r="2879" spans="1:9">
      <c r="A2879" s="2" t="s">
        <v>6760</v>
      </c>
      <c r="B2879" s="2" t="s">
        <v>4006</v>
      </c>
      <c r="C2879" s="2" t="s">
        <v>4007</v>
      </c>
      <c r="D2879" s="2" t="s">
        <v>7001</v>
      </c>
      <c r="E2879" s="2" t="s">
        <v>5168</v>
      </c>
      <c r="F2879" s="2">
        <v>2.9962736799999998</v>
      </c>
      <c r="G2879" s="2">
        <v>29</v>
      </c>
      <c r="H2879" s="2">
        <f>Tabla_Items_Con_Existencia[[#This Row],[COSTO]]*Tabla_Items_Con_Existencia[[#This Row],[EXISTENCIA]]</f>
        <v>86.89193671999999</v>
      </c>
      <c r="I2879" s="1">
        <f>IF(ISERROR(MATCH(Tabla_Items_Con_Existencia[[#This Row],[CODIGO]],Tabla_Items_Activos[CODIGO],0)),0,1)</f>
        <v>0</v>
      </c>
    </row>
    <row r="2880" spans="1:9">
      <c r="A2880" s="2" t="s">
        <v>6760</v>
      </c>
      <c r="B2880" s="2" t="s">
        <v>4008</v>
      </c>
      <c r="C2880" s="2" t="s">
        <v>4009</v>
      </c>
      <c r="D2880" s="2" t="s">
        <v>5157</v>
      </c>
      <c r="E2880" s="2" t="s">
        <v>5168</v>
      </c>
      <c r="F2880" s="2">
        <v>8</v>
      </c>
      <c r="G2880" s="2">
        <v>1</v>
      </c>
      <c r="H2880" s="2">
        <f>Tabla_Items_Con_Existencia[[#This Row],[COSTO]]*Tabla_Items_Con_Existencia[[#This Row],[EXISTENCIA]]</f>
        <v>8</v>
      </c>
      <c r="I2880" s="1">
        <f>IF(ISERROR(MATCH(Tabla_Items_Con_Existencia[[#This Row],[CODIGO]],Tabla_Items_Activos[CODIGO],0)),0,1)</f>
        <v>0</v>
      </c>
    </row>
    <row r="2881" spans="1:9">
      <c r="A2881" s="2" t="s">
        <v>6760</v>
      </c>
      <c r="B2881" s="2" t="s">
        <v>4010</v>
      </c>
      <c r="C2881" s="2" t="s">
        <v>4011</v>
      </c>
      <c r="D2881" s="2" t="s">
        <v>5157</v>
      </c>
      <c r="E2881" s="2" t="s">
        <v>5168</v>
      </c>
      <c r="F2881" s="2">
        <v>10</v>
      </c>
      <c r="G2881" s="2">
        <v>4</v>
      </c>
      <c r="H2881" s="2">
        <f>Tabla_Items_Con_Existencia[[#This Row],[COSTO]]*Tabla_Items_Con_Existencia[[#This Row],[EXISTENCIA]]</f>
        <v>40</v>
      </c>
      <c r="I2881" s="1">
        <f>IF(ISERROR(MATCH(Tabla_Items_Con_Existencia[[#This Row],[CODIGO]],Tabla_Items_Activos[CODIGO],0)),0,1)</f>
        <v>0</v>
      </c>
    </row>
    <row r="2882" spans="1:9">
      <c r="A2882" s="2" t="s">
        <v>6760</v>
      </c>
      <c r="B2882" s="2" t="s">
        <v>922</v>
      </c>
      <c r="C2882" s="2" t="s">
        <v>4012</v>
      </c>
      <c r="D2882" s="2" t="s">
        <v>7001</v>
      </c>
      <c r="E2882" s="2" t="s">
        <v>5168</v>
      </c>
      <c r="F2882" s="2">
        <v>3.3631578900000001</v>
      </c>
      <c r="G2882" s="2">
        <v>7</v>
      </c>
      <c r="H2882" s="2">
        <f>Tabla_Items_Con_Existencia[[#This Row],[COSTO]]*Tabla_Items_Con_Existencia[[#This Row],[EXISTENCIA]]</f>
        <v>23.542105230000001</v>
      </c>
      <c r="I2882" s="1">
        <f>IF(ISERROR(MATCH(Tabla_Items_Con_Existencia[[#This Row],[CODIGO]],Tabla_Items_Activos[CODIGO],0)),0,1)</f>
        <v>0</v>
      </c>
    </row>
    <row r="2883" spans="1:9">
      <c r="A2883" s="2" t="s">
        <v>6761</v>
      </c>
      <c r="B2883" s="2" t="s">
        <v>922</v>
      </c>
      <c r="C2883" s="2" t="s">
        <v>4012</v>
      </c>
      <c r="D2883" s="2" t="s">
        <v>7001</v>
      </c>
      <c r="E2883" s="2" t="s">
        <v>5168</v>
      </c>
      <c r="F2883" s="2">
        <v>3.3631578900000001</v>
      </c>
      <c r="G2883" s="2">
        <v>7</v>
      </c>
      <c r="H2883" s="2">
        <f>Tabla_Items_Con_Existencia[[#This Row],[COSTO]]*Tabla_Items_Con_Existencia[[#This Row],[EXISTENCIA]]</f>
        <v>23.542105230000001</v>
      </c>
      <c r="I2883" s="1">
        <f>IF(ISERROR(MATCH(Tabla_Items_Con_Existencia[[#This Row],[CODIGO]],Tabla_Items_Activos[CODIGO],0)),0,1)</f>
        <v>0</v>
      </c>
    </row>
    <row r="2884" spans="1:9">
      <c r="A2884" s="2" t="s">
        <v>6760</v>
      </c>
      <c r="B2884" s="2" t="s">
        <v>924</v>
      </c>
      <c r="C2884" s="2" t="s">
        <v>4013</v>
      </c>
      <c r="D2884" s="2" t="s">
        <v>7001</v>
      </c>
      <c r="E2884" s="2" t="s">
        <v>5168</v>
      </c>
      <c r="F2884" s="2">
        <v>3.3963999999999999</v>
      </c>
      <c r="G2884" s="2">
        <v>26</v>
      </c>
      <c r="H2884" s="2">
        <f>Tabla_Items_Con_Existencia[[#This Row],[COSTO]]*Tabla_Items_Con_Existencia[[#This Row],[EXISTENCIA]]</f>
        <v>88.306399999999996</v>
      </c>
      <c r="I2884" s="1">
        <f>IF(ISERROR(MATCH(Tabla_Items_Con_Existencia[[#This Row],[CODIGO]],Tabla_Items_Activos[CODIGO],0)),0,1)</f>
        <v>0</v>
      </c>
    </row>
    <row r="2885" spans="1:9">
      <c r="A2885" s="2" t="s">
        <v>6761</v>
      </c>
      <c r="B2885" s="2" t="s">
        <v>924</v>
      </c>
      <c r="C2885" s="2" t="s">
        <v>4013</v>
      </c>
      <c r="D2885" s="2" t="s">
        <v>7001</v>
      </c>
      <c r="E2885" s="2" t="s">
        <v>5168</v>
      </c>
      <c r="F2885" s="2">
        <v>3.3963999999999999</v>
      </c>
      <c r="G2885" s="2">
        <v>26</v>
      </c>
      <c r="H2885" s="2">
        <f>Tabla_Items_Con_Existencia[[#This Row],[COSTO]]*Tabla_Items_Con_Existencia[[#This Row],[EXISTENCIA]]</f>
        <v>88.306399999999996</v>
      </c>
      <c r="I2885" s="1">
        <f>IF(ISERROR(MATCH(Tabla_Items_Con_Existencia[[#This Row],[CODIGO]],Tabla_Items_Activos[CODIGO],0)),0,1)</f>
        <v>0</v>
      </c>
    </row>
    <row r="2886" spans="1:9">
      <c r="A2886" s="2" t="s">
        <v>6759</v>
      </c>
      <c r="B2886" s="2" t="s">
        <v>924</v>
      </c>
      <c r="C2886" s="2" t="s">
        <v>4013</v>
      </c>
      <c r="D2886" s="2" t="s">
        <v>7001</v>
      </c>
      <c r="E2886" s="2" t="s">
        <v>5168</v>
      </c>
      <c r="F2886" s="2">
        <v>3.3963999999999999</v>
      </c>
      <c r="G2886" s="2">
        <v>26</v>
      </c>
      <c r="H2886" s="2">
        <f>Tabla_Items_Con_Existencia[[#This Row],[COSTO]]*Tabla_Items_Con_Existencia[[#This Row],[EXISTENCIA]]</f>
        <v>88.306399999999996</v>
      </c>
      <c r="I2886" s="1">
        <f>IF(ISERROR(MATCH(Tabla_Items_Con_Existencia[[#This Row],[CODIGO]],Tabla_Items_Activos[CODIGO],0)),0,1)</f>
        <v>0</v>
      </c>
    </row>
    <row r="2887" spans="1:9">
      <c r="A2887" s="2" t="s">
        <v>6760</v>
      </c>
      <c r="B2887" s="2" t="s">
        <v>4014</v>
      </c>
      <c r="C2887" s="2" t="s">
        <v>4015</v>
      </c>
      <c r="D2887" s="2" t="s">
        <v>7001</v>
      </c>
      <c r="E2887" s="2" t="s">
        <v>5168</v>
      </c>
      <c r="F2887" s="2">
        <v>8.3684210500000002</v>
      </c>
      <c r="G2887" s="2">
        <v>1</v>
      </c>
      <c r="H2887" s="2">
        <f>Tabla_Items_Con_Existencia[[#This Row],[COSTO]]*Tabla_Items_Con_Existencia[[#This Row],[EXISTENCIA]]</f>
        <v>8.3684210500000002</v>
      </c>
      <c r="I2887" s="1">
        <f>IF(ISERROR(MATCH(Tabla_Items_Con_Existencia[[#This Row],[CODIGO]],Tabla_Items_Activos[CODIGO],0)),0,1)</f>
        <v>0</v>
      </c>
    </row>
    <row r="2888" spans="1:9">
      <c r="A2888" s="2" t="s">
        <v>6761</v>
      </c>
      <c r="B2888" s="2" t="s">
        <v>4014</v>
      </c>
      <c r="C2888" s="2" t="s">
        <v>4015</v>
      </c>
      <c r="D2888" s="2" t="s">
        <v>7001</v>
      </c>
      <c r="E2888" s="2" t="s">
        <v>5168</v>
      </c>
      <c r="F2888" s="2">
        <v>8.3684210500000002</v>
      </c>
      <c r="G2888" s="2">
        <v>1</v>
      </c>
      <c r="H2888" s="2">
        <f>Tabla_Items_Con_Existencia[[#This Row],[COSTO]]*Tabla_Items_Con_Existencia[[#This Row],[EXISTENCIA]]</f>
        <v>8.3684210500000002</v>
      </c>
      <c r="I2888" s="1">
        <f>IF(ISERROR(MATCH(Tabla_Items_Con_Existencia[[#This Row],[CODIGO]],Tabla_Items_Activos[CODIGO],0)),0,1)</f>
        <v>0</v>
      </c>
    </row>
    <row r="2889" spans="1:9">
      <c r="A2889" s="2" t="s">
        <v>6760</v>
      </c>
      <c r="B2889" s="2" t="s">
        <v>4016</v>
      </c>
      <c r="C2889" s="2" t="s">
        <v>4017</v>
      </c>
      <c r="D2889" s="2" t="s">
        <v>5157</v>
      </c>
      <c r="E2889" s="2" t="s">
        <v>5192</v>
      </c>
      <c r="F2889" s="2">
        <v>93.81</v>
      </c>
      <c r="G2889" s="2">
        <v>1</v>
      </c>
      <c r="H2889" s="2">
        <f>Tabla_Items_Con_Existencia[[#This Row],[COSTO]]*Tabla_Items_Con_Existencia[[#This Row],[EXISTENCIA]]</f>
        <v>93.81</v>
      </c>
      <c r="I2889" s="1">
        <f>IF(ISERROR(MATCH(Tabla_Items_Con_Existencia[[#This Row],[CODIGO]],Tabla_Items_Activos[CODIGO],0)),0,1)</f>
        <v>0</v>
      </c>
    </row>
    <row r="2890" spans="1:9">
      <c r="A2890" s="2" t="s">
        <v>6760</v>
      </c>
      <c r="B2890" s="2" t="s">
        <v>4018</v>
      </c>
      <c r="C2890" s="2" t="s">
        <v>4019</v>
      </c>
      <c r="D2890" s="2" t="s">
        <v>5157</v>
      </c>
      <c r="E2890" s="2" t="s">
        <v>5192</v>
      </c>
      <c r="F2890" s="2">
        <v>4.9400000000000004</v>
      </c>
      <c r="G2890" s="2">
        <v>2</v>
      </c>
      <c r="H2890" s="2">
        <f>Tabla_Items_Con_Existencia[[#This Row],[COSTO]]*Tabla_Items_Con_Existencia[[#This Row],[EXISTENCIA]]</f>
        <v>9.8800000000000008</v>
      </c>
      <c r="I2890" s="1">
        <f>IF(ISERROR(MATCH(Tabla_Items_Con_Existencia[[#This Row],[CODIGO]],Tabla_Items_Activos[CODIGO],0)),0,1)</f>
        <v>0</v>
      </c>
    </row>
    <row r="2891" spans="1:9">
      <c r="A2891" s="2" t="s">
        <v>6760</v>
      </c>
      <c r="B2891" s="2" t="s">
        <v>7139</v>
      </c>
      <c r="C2891" s="2" t="s">
        <v>7140</v>
      </c>
      <c r="D2891" s="2" t="s">
        <v>5166</v>
      </c>
      <c r="E2891" s="2" t="s">
        <v>5192</v>
      </c>
      <c r="F2891" s="2">
        <v>30</v>
      </c>
      <c r="G2891" s="2">
        <v>1</v>
      </c>
      <c r="H2891" s="2">
        <f>Tabla_Items_Con_Existencia[[#This Row],[COSTO]]*Tabla_Items_Con_Existencia[[#This Row],[EXISTENCIA]]</f>
        <v>30</v>
      </c>
      <c r="I2891" s="1">
        <f>IF(ISERROR(MATCH(Tabla_Items_Con_Existencia[[#This Row],[CODIGO]],Tabla_Items_Activos[CODIGO],0)),0,1)</f>
        <v>0</v>
      </c>
    </row>
    <row r="2892" spans="1:9">
      <c r="A2892" s="2" t="s">
        <v>6760</v>
      </c>
      <c r="B2892" s="2" t="s">
        <v>7062</v>
      </c>
      <c r="C2892" s="2" t="s">
        <v>7063</v>
      </c>
      <c r="D2892" s="2" t="s">
        <v>6035</v>
      </c>
      <c r="E2892" s="2" t="s">
        <v>5168</v>
      </c>
      <c r="F2892" s="2">
        <v>270.89</v>
      </c>
      <c r="G2892" s="2">
        <v>1</v>
      </c>
      <c r="H2892" s="2">
        <f>Tabla_Items_Con_Existencia[[#This Row],[COSTO]]*Tabla_Items_Con_Existencia[[#This Row],[EXISTENCIA]]</f>
        <v>270.89</v>
      </c>
      <c r="I2892" s="1">
        <f>IF(ISERROR(MATCH(Tabla_Items_Con_Existencia[[#This Row],[CODIGO]],Tabla_Items_Activos[CODIGO],0)),0,1)</f>
        <v>0</v>
      </c>
    </row>
    <row r="2893" spans="1:9">
      <c r="A2893" s="2" t="s">
        <v>6760</v>
      </c>
      <c r="B2893" s="2" t="s">
        <v>4020</v>
      </c>
      <c r="C2893" s="2" t="s">
        <v>4021</v>
      </c>
      <c r="D2893" s="2" t="s">
        <v>5216</v>
      </c>
      <c r="E2893" s="2" t="s">
        <v>5168</v>
      </c>
      <c r="F2893" s="2">
        <v>74.275000000000006</v>
      </c>
      <c r="G2893" s="2">
        <v>8</v>
      </c>
      <c r="H2893" s="2">
        <f>Tabla_Items_Con_Existencia[[#This Row],[COSTO]]*Tabla_Items_Con_Existencia[[#This Row],[EXISTENCIA]]</f>
        <v>594.20000000000005</v>
      </c>
      <c r="I2893" s="1">
        <f>IF(ISERROR(MATCH(Tabla_Items_Con_Existencia[[#This Row],[CODIGO]],Tabla_Items_Activos[CODIGO],0)),0,1)</f>
        <v>0</v>
      </c>
    </row>
    <row r="2894" spans="1:9">
      <c r="A2894" s="2" t="s">
        <v>6760</v>
      </c>
      <c r="B2894" s="2" t="s">
        <v>4022</v>
      </c>
      <c r="C2894" s="2" t="s">
        <v>4023</v>
      </c>
      <c r="D2894" s="2" t="s">
        <v>5190</v>
      </c>
      <c r="E2894" s="2" t="s">
        <v>5159</v>
      </c>
      <c r="F2894" s="2">
        <v>2.5</v>
      </c>
      <c r="G2894" s="2">
        <v>5</v>
      </c>
      <c r="H2894" s="2">
        <f>Tabla_Items_Con_Existencia[[#This Row],[COSTO]]*Tabla_Items_Con_Existencia[[#This Row],[EXISTENCIA]]</f>
        <v>12.5</v>
      </c>
      <c r="I2894" s="1">
        <f>IF(ISERROR(MATCH(Tabla_Items_Con_Existencia[[#This Row],[CODIGO]],Tabla_Items_Activos[CODIGO],0)),0,1)</f>
        <v>0</v>
      </c>
    </row>
    <row r="2895" spans="1:9">
      <c r="A2895" s="2" t="s">
        <v>6760</v>
      </c>
      <c r="B2895" s="2" t="s">
        <v>4024</v>
      </c>
      <c r="C2895" s="2" t="s">
        <v>4025</v>
      </c>
      <c r="D2895" s="2" t="s">
        <v>5224</v>
      </c>
      <c r="E2895" s="2" t="s">
        <v>5168</v>
      </c>
      <c r="F2895" s="2">
        <v>465.47368420999999</v>
      </c>
      <c r="G2895" s="2">
        <v>2</v>
      </c>
      <c r="H2895" s="2">
        <f>Tabla_Items_Con_Existencia[[#This Row],[COSTO]]*Tabla_Items_Con_Existencia[[#This Row],[EXISTENCIA]]</f>
        <v>930.94736841999998</v>
      </c>
      <c r="I2895" s="1">
        <f>IF(ISERROR(MATCH(Tabla_Items_Con_Existencia[[#This Row],[CODIGO]],Tabla_Items_Activos[CODIGO],0)),0,1)</f>
        <v>0</v>
      </c>
    </row>
    <row r="2896" spans="1:9">
      <c r="A2896" s="2" t="s">
        <v>6761</v>
      </c>
      <c r="B2896" s="2" t="s">
        <v>4024</v>
      </c>
      <c r="C2896" s="2" t="s">
        <v>4025</v>
      </c>
      <c r="D2896" s="2" t="s">
        <v>5224</v>
      </c>
      <c r="E2896" s="2" t="s">
        <v>5168</v>
      </c>
      <c r="F2896" s="2">
        <v>465.47368420999999</v>
      </c>
      <c r="G2896" s="2">
        <v>2</v>
      </c>
      <c r="H2896" s="2">
        <f>Tabla_Items_Con_Existencia[[#This Row],[COSTO]]*Tabla_Items_Con_Existencia[[#This Row],[EXISTENCIA]]</f>
        <v>930.94736841999998</v>
      </c>
      <c r="I2896" s="1">
        <f>IF(ISERROR(MATCH(Tabla_Items_Con_Existencia[[#This Row],[CODIGO]],Tabla_Items_Activos[CODIGO],0)),0,1)</f>
        <v>0</v>
      </c>
    </row>
    <row r="2897" spans="1:9">
      <c r="A2897" s="2" t="s">
        <v>6759</v>
      </c>
      <c r="B2897" s="2" t="s">
        <v>4026</v>
      </c>
      <c r="C2897" s="2" t="s">
        <v>4027</v>
      </c>
      <c r="D2897" s="2" t="s">
        <v>5162</v>
      </c>
      <c r="E2897" s="2" t="s">
        <v>5163</v>
      </c>
      <c r="F2897" s="2">
        <v>1.1499999999999999</v>
      </c>
      <c r="G2897" s="2">
        <v>800</v>
      </c>
      <c r="H2897" s="2">
        <f>Tabla_Items_Con_Existencia[[#This Row],[COSTO]]*Tabla_Items_Con_Existencia[[#This Row],[EXISTENCIA]]</f>
        <v>919.99999999999989</v>
      </c>
      <c r="I2897" s="1">
        <f>IF(ISERROR(MATCH(Tabla_Items_Con_Existencia[[#This Row],[CODIGO]],Tabla_Items_Activos[CODIGO],0)),0,1)</f>
        <v>0</v>
      </c>
    </row>
    <row r="2898" spans="1:9">
      <c r="A2898" s="2" t="s">
        <v>6759</v>
      </c>
      <c r="B2898" s="2" t="s">
        <v>4028</v>
      </c>
      <c r="C2898" s="2" t="s">
        <v>4029</v>
      </c>
      <c r="D2898" s="2" t="s">
        <v>5162</v>
      </c>
      <c r="E2898" s="2" t="s">
        <v>5163</v>
      </c>
      <c r="F2898" s="2">
        <v>0.9375</v>
      </c>
      <c r="G2898" s="2">
        <v>1469</v>
      </c>
      <c r="H2898" s="2">
        <f>Tabla_Items_Con_Existencia[[#This Row],[COSTO]]*Tabla_Items_Con_Existencia[[#This Row],[EXISTENCIA]]</f>
        <v>1377.1875</v>
      </c>
      <c r="I2898" s="1">
        <f>IF(ISERROR(MATCH(Tabla_Items_Con_Existencia[[#This Row],[CODIGO]],Tabla_Items_Activos[CODIGO],0)),0,1)</f>
        <v>0</v>
      </c>
    </row>
    <row r="2899" spans="1:9">
      <c r="A2899" s="2" t="s">
        <v>6759</v>
      </c>
      <c r="B2899" s="2" t="s">
        <v>4030</v>
      </c>
      <c r="C2899" s="2" t="s">
        <v>4031</v>
      </c>
      <c r="D2899" s="2" t="s">
        <v>5162</v>
      </c>
      <c r="E2899" s="2" t="s">
        <v>5163</v>
      </c>
      <c r="F2899" s="2">
        <v>0.83930000000000005</v>
      </c>
      <c r="G2899" s="2">
        <v>3354</v>
      </c>
      <c r="H2899" s="2">
        <f>Tabla_Items_Con_Existencia[[#This Row],[COSTO]]*Tabla_Items_Con_Existencia[[#This Row],[EXISTENCIA]]</f>
        <v>2815.0122000000001</v>
      </c>
      <c r="I2899" s="1">
        <f>IF(ISERROR(MATCH(Tabla_Items_Con_Existencia[[#This Row],[CODIGO]],Tabla_Items_Activos[CODIGO],0)),0,1)</f>
        <v>0</v>
      </c>
    </row>
    <row r="2900" spans="1:9">
      <c r="A2900" s="2" t="s">
        <v>6759</v>
      </c>
      <c r="B2900" s="2" t="s">
        <v>4032</v>
      </c>
      <c r="C2900" s="2" t="s">
        <v>4033</v>
      </c>
      <c r="D2900" s="2" t="s">
        <v>5162</v>
      </c>
      <c r="E2900" s="2" t="s">
        <v>5163</v>
      </c>
      <c r="F2900" s="2">
        <v>0.92020000000000002</v>
      </c>
      <c r="G2900" s="2">
        <v>2459</v>
      </c>
      <c r="H2900" s="2">
        <f>Tabla_Items_Con_Existencia[[#This Row],[COSTO]]*Tabla_Items_Con_Existencia[[#This Row],[EXISTENCIA]]</f>
        <v>2262.7718</v>
      </c>
      <c r="I2900" s="1">
        <f>IF(ISERROR(MATCH(Tabla_Items_Con_Existencia[[#This Row],[CODIGO]],Tabla_Items_Activos[CODIGO],0)),0,1)</f>
        <v>0</v>
      </c>
    </row>
    <row r="2901" spans="1:9">
      <c r="A2901" s="2" t="s">
        <v>6759</v>
      </c>
      <c r="B2901" s="2" t="s">
        <v>4034</v>
      </c>
      <c r="C2901" s="2" t="s">
        <v>4035</v>
      </c>
      <c r="D2901" s="2" t="s">
        <v>5162</v>
      </c>
      <c r="E2901" s="2" t="s">
        <v>5163</v>
      </c>
      <c r="F2901" s="2">
        <v>0.73899999999999999</v>
      </c>
      <c r="G2901" s="2">
        <v>406</v>
      </c>
      <c r="H2901" s="2">
        <f>Tabla_Items_Con_Existencia[[#This Row],[COSTO]]*Tabla_Items_Con_Existencia[[#This Row],[EXISTENCIA]]</f>
        <v>300.03399999999999</v>
      </c>
      <c r="I2901" s="1">
        <f>IF(ISERROR(MATCH(Tabla_Items_Con_Existencia[[#This Row],[CODIGO]],Tabla_Items_Activos[CODIGO],0)),0,1)</f>
        <v>0</v>
      </c>
    </row>
    <row r="2902" spans="1:9">
      <c r="A2902" s="2" t="s">
        <v>6759</v>
      </c>
      <c r="B2902" s="2" t="s">
        <v>4036</v>
      </c>
      <c r="C2902" s="2" t="s">
        <v>4037</v>
      </c>
      <c r="D2902" s="2" t="s">
        <v>5162</v>
      </c>
      <c r="E2902" s="2" t="s">
        <v>5163</v>
      </c>
      <c r="F2902" s="2">
        <v>0.65700000000000003</v>
      </c>
      <c r="G2902" s="2">
        <v>788</v>
      </c>
      <c r="H2902" s="2">
        <f>Tabla_Items_Con_Existencia[[#This Row],[COSTO]]*Tabla_Items_Con_Existencia[[#This Row],[EXISTENCIA]]</f>
        <v>517.71600000000001</v>
      </c>
      <c r="I2902" s="1">
        <f>IF(ISERROR(MATCH(Tabla_Items_Con_Existencia[[#This Row],[CODIGO]],Tabla_Items_Activos[CODIGO],0)),0,1)</f>
        <v>0</v>
      </c>
    </row>
    <row r="2903" spans="1:9">
      <c r="A2903" s="2" t="s">
        <v>6759</v>
      </c>
      <c r="B2903" s="2" t="s">
        <v>6732</v>
      </c>
      <c r="C2903" s="2" t="s">
        <v>6733</v>
      </c>
      <c r="D2903" s="2" t="s">
        <v>5162</v>
      </c>
      <c r="E2903" s="2" t="s">
        <v>5163</v>
      </c>
      <c r="F2903" s="2">
        <v>0.64080000000000004</v>
      </c>
      <c r="G2903" s="2">
        <v>1541</v>
      </c>
      <c r="H2903" s="2">
        <f>Tabla_Items_Con_Existencia[[#This Row],[COSTO]]*Tabla_Items_Con_Existencia[[#This Row],[EXISTENCIA]]</f>
        <v>987.47280000000001</v>
      </c>
      <c r="I2903" s="1">
        <f>IF(ISERROR(MATCH(Tabla_Items_Con_Existencia[[#This Row],[CODIGO]],Tabla_Items_Activos[CODIGO],0)),0,1)</f>
        <v>0</v>
      </c>
    </row>
    <row r="2904" spans="1:9">
      <c r="A2904" s="2" t="s">
        <v>6759</v>
      </c>
      <c r="B2904" s="2" t="s">
        <v>7064</v>
      </c>
      <c r="C2904" s="2" t="s">
        <v>7065</v>
      </c>
      <c r="D2904" s="2" t="s">
        <v>5162</v>
      </c>
      <c r="E2904" s="2" t="s">
        <v>5163</v>
      </c>
      <c r="F2904" s="2">
        <v>0.97</v>
      </c>
      <c r="G2904" s="2">
        <v>394</v>
      </c>
      <c r="H2904" s="2">
        <f>Tabla_Items_Con_Existencia[[#This Row],[COSTO]]*Tabla_Items_Con_Existencia[[#This Row],[EXISTENCIA]]</f>
        <v>382.18</v>
      </c>
      <c r="I2904" s="1">
        <f>IF(ISERROR(MATCH(Tabla_Items_Con_Existencia[[#This Row],[CODIGO]],Tabla_Items_Activos[CODIGO],0)),0,1)</f>
        <v>0</v>
      </c>
    </row>
    <row r="2905" spans="1:9">
      <c r="A2905" s="2" t="s">
        <v>6759</v>
      </c>
      <c r="B2905" s="2" t="s">
        <v>4038</v>
      </c>
      <c r="C2905" s="2" t="s">
        <v>4039</v>
      </c>
      <c r="D2905" s="2" t="s">
        <v>5162</v>
      </c>
      <c r="E2905" s="2" t="s">
        <v>5163</v>
      </c>
      <c r="F2905" s="2">
        <v>0.86</v>
      </c>
      <c r="G2905" s="2">
        <v>379</v>
      </c>
      <c r="H2905" s="2">
        <f>Tabla_Items_Con_Existencia[[#This Row],[COSTO]]*Tabla_Items_Con_Existencia[[#This Row],[EXISTENCIA]]</f>
        <v>325.94</v>
      </c>
      <c r="I2905" s="1">
        <f>IF(ISERROR(MATCH(Tabla_Items_Con_Existencia[[#This Row],[CODIGO]],Tabla_Items_Activos[CODIGO],0)),0,1)</f>
        <v>0</v>
      </c>
    </row>
    <row r="2906" spans="1:9">
      <c r="A2906" s="2" t="s">
        <v>6759</v>
      </c>
      <c r="B2906" s="2" t="s">
        <v>4040</v>
      </c>
      <c r="C2906" s="2" t="s">
        <v>4041</v>
      </c>
      <c r="D2906" s="2" t="s">
        <v>5162</v>
      </c>
      <c r="E2906" s="2" t="s">
        <v>5163</v>
      </c>
      <c r="F2906" s="2">
        <v>0.86</v>
      </c>
      <c r="G2906" s="2">
        <v>940</v>
      </c>
      <c r="H2906" s="2">
        <f>Tabla_Items_Con_Existencia[[#This Row],[COSTO]]*Tabla_Items_Con_Existencia[[#This Row],[EXISTENCIA]]</f>
        <v>808.4</v>
      </c>
      <c r="I2906" s="1">
        <f>IF(ISERROR(MATCH(Tabla_Items_Con_Existencia[[#This Row],[CODIGO]],Tabla_Items_Activos[CODIGO],0)),0,1)</f>
        <v>0</v>
      </c>
    </row>
    <row r="2907" spans="1:9">
      <c r="A2907" s="2" t="s">
        <v>6759</v>
      </c>
      <c r="B2907" s="2" t="s">
        <v>4042</v>
      </c>
      <c r="C2907" s="2" t="s">
        <v>4043</v>
      </c>
      <c r="D2907" s="2" t="s">
        <v>5162</v>
      </c>
      <c r="E2907" s="2" t="s">
        <v>5163</v>
      </c>
      <c r="F2907" s="2">
        <v>0.66400000000000003</v>
      </c>
      <c r="G2907" s="2">
        <v>1028</v>
      </c>
      <c r="H2907" s="2">
        <f>Tabla_Items_Con_Existencia[[#This Row],[COSTO]]*Tabla_Items_Con_Existencia[[#This Row],[EXISTENCIA]]</f>
        <v>682.59199999999998</v>
      </c>
      <c r="I2907" s="1">
        <f>IF(ISERROR(MATCH(Tabla_Items_Con_Existencia[[#This Row],[CODIGO]],Tabla_Items_Activos[CODIGO],0)),0,1)</f>
        <v>0</v>
      </c>
    </row>
    <row r="2908" spans="1:9">
      <c r="A2908" s="2" t="s">
        <v>6759</v>
      </c>
      <c r="B2908" s="2" t="s">
        <v>4044</v>
      </c>
      <c r="C2908" s="2" t="s">
        <v>4045</v>
      </c>
      <c r="D2908" s="2" t="s">
        <v>5162</v>
      </c>
      <c r="E2908" s="2" t="s">
        <v>5163</v>
      </c>
      <c r="F2908" s="2">
        <v>0.50180000000000002</v>
      </c>
      <c r="G2908" s="2">
        <v>2896</v>
      </c>
      <c r="H2908" s="2">
        <f>Tabla_Items_Con_Existencia[[#This Row],[COSTO]]*Tabla_Items_Con_Existencia[[#This Row],[EXISTENCIA]]</f>
        <v>1453.2128</v>
      </c>
      <c r="I2908" s="1">
        <f>IF(ISERROR(MATCH(Tabla_Items_Con_Existencia[[#This Row],[CODIGO]],Tabla_Items_Activos[CODIGO],0)),0,1)</f>
        <v>0</v>
      </c>
    </row>
    <row r="2909" spans="1:9">
      <c r="A2909" s="2" t="s">
        <v>6759</v>
      </c>
      <c r="B2909" s="2" t="s">
        <v>4046</v>
      </c>
      <c r="C2909" s="2" t="s">
        <v>7066</v>
      </c>
      <c r="D2909" s="2" t="s">
        <v>5162</v>
      </c>
      <c r="E2909" s="2" t="s">
        <v>5163</v>
      </c>
      <c r="F2909" s="2">
        <v>0.745</v>
      </c>
      <c r="G2909" s="2">
        <v>2128</v>
      </c>
      <c r="H2909" s="2">
        <f>Tabla_Items_Con_Existencia[[#This Row],[COSTO]]*Tabla_Items_Con_Existencia[[#This Row],[EXISTENCIA]]</f>
        <v>1585.36</v>
      </c>
      <c r="I2909" s="1">
        <f>IF(ISERROR(MATCH(Tabla_Items_Con_Existencia[[#This Row],[CODIGO]],Tabla_Items_Activos[CODIGO],0)),0,1)</f>
        <v>0</v>
      </c>
    </row>
    <row r="2910" spans="1:9">
      <c r="A2910" s="2" t="s">
        <v>6759</v>
      </c>
      <c r="B2910" s="2" t="s">
        <v>6072</v>
      </c>
      <c r="C2910" s="2" t="s">
        <v>6073</v>
      </c>
      <c r="D2910" s="2" t="s">
        <v>5162</v>
      </c>
      <c r="E2910" s="2" t="s">
        <v>5163</v>
      </c>
      <c r="F2910" s="2">
        <v>0.37159999999999999</v>
      </c>
      <c r="G2910" s="2">
        <v>5709</v>
      </c>
      <c r="H2910" s="2">
        <f>Tabla_Items_Con_Existencia[[#This Row],[COSTO]]*Tabla_Items_Con_Existencia[[#This Row],[EXISTENCIA]]</f>
        <v>2121.4643999999998</v>
      </c>
      <c r="I2910" s="1">
        <f>IF(ISERROR(MATCH(Tabla_Items_Con_Existencia[[#This Row],[CODIGO]],Tabla_Items_Activos[CODIGO],0)),0,1)</f>
        <v>0</v>
      </c>
    </row>
    <row r="2911" spans="1:9">
      <c r="A2911" s="2" t="s">
        <v>6759</v>
      </c>
      <c r="B2911" s="2" t="s">
        <v>4048</v>
      </c>
      <c r="C2911" s="2" t="s">
        <v>4049</v>
      </c>
      <c r="D2911" s="2" t="s">
        <v>5162</v>
      </c>
      <c r="E2911" s="2" t="s">
        <v>5163</v>
      </c>
      <c r="F2911" s="2">
        <v>0.879</v>
      </c>
      <c r="G2911" s="2">
        <v>2092</v>
      </c>
      <c r="H2911" s="2">
        <f>Tabla_Items_Con_Existencia[[#This Row],[COSTO]]*Tabla_Items_Con_Existencia[[#This Row],[EXISTENCIA]]</f>
        <v>1838.8679999999999</v>
      </c>
      <c r="I2911" s="1">
        <f>IF(ISERROR(MATCH(Tabla_Items_Con_Existencia[[#This Row],[CODIGO]],Tabla_Items_Activos[CODIGO],0)),0,1)</f>
        <v>0</v>
      </c>
    </row>
    <row r="2912" spans="1:9">
      <c r="A2912" s="2" t="s">
        <v>6760</v>
      </c>
      <c r="B2912" s="2" t="s">
        <v>7150</v>
      </c>
      <c r="C2912" s="2" t="s">
        <v>7151</v>
      </c>
      <c r="D2912" s="2" t="s">
        <v>5158</v>
      </c>
      <c r="E2912" s="2" t="s">
        <v>5159</v>
      </c>
      <c r="F2912" s="2">
        <v>0.27</v>
      </c>
      <c r="G2912" s="2">
        <v>1</v>
      </c>
      <c r="H2912" s="2">
        <f>Tabla_Items_Con_Existencia[[#This Row],[COSTO]]*Tabla_Items_Con_Existencia[[#This Row],[EXISTENCIA]]</f>
        <v>0.27</v>
      </c>
      <c r="I2912" s="1">
        <f>IF(ISERROR(MATCH(Tabla_Items_Con_Existencia[[#This Row],[CODIGO]],Tabla_Items_Activos[CODIGO],0)),0,1)</f>
        <v>0</v>
      </c>
    </row>
    <row r="2913" spans="1:9">
      <c r="A2913" s="2" t="s">
        <v>6761</v>
      </c>
      <c r="B2913" s="2" t="s">
        <v>7287</v>
      </c>
      <c r="C2913" s="2" t="s">
        <v>7288</v>
      </c>
      <c r="D2913" s="2" t="s">
        <v>7289</v>
      </c>
      <c r="E2913" s="2" t="s">
        <v>7194</v>
      </c>
      <c r="F2913" s="2">
        <v>0</v>
      </c>
      <c r="G2913" s="2">
        <v>1</v>
      </c>
      <c r="H2913" s="2">
        <f>Tabla_Items_Con_Existencia[[#This Row],[COSTO]]*Tabla_Items_Con_Existencia[[#This Row],[EXISTENCIA]]</f>
        <v>0</v>
      </c>
      <c r="I2913" s="1">
        <f>IF(ISERROR(MATCH(Tabla_Items_Con_Existencia[[#This Row],[CODIGO]],Tabla_Items_Activos[CODIGO],0)),0,1)</f>
        <v>0</v>
      </c>
    </row>
    <row r="2914" spans="1:9">
      <c r="A2914" s="2" t="s">
        <v>6761</v>
      </c>
      <c r="B2914" s="2" t="s">
        <v>7067</v>
      </c>
      <c r="C2914" s="2" t="s">
        <v>7068</v>
      </c>
      <c r="D2914" s="2" t="s">
        <v>5226</v>
      </c>
      <c r="E2914" s="2" t="s">
        <v>5192</v>
      </c>
      <c r="F2914" s="2">
        <v>33.08</v>
      </c>
      <c r="G2914" s="2">
        <v>3</v>
      </c>
      <c r="H2914" s="2">
        <f>Tabla_Items_Con_Existencia[[#This Row],[COSTO]]*Tabla_Items_Con_Existencia[[#This Row],[EXISTENCIA]]</f>
        <v>99.24</v>
      </c>
      <c r="I2914" s="1">
        <f>IF(ISERROR(MATCH(Tabla_Items_Con_Existencia[[#This Row],[CODIGO]],Tabla_Items_Activos[CODIGO],0)),0,1)</f>
        <v>0</v>
      </c>
    </row>
    <row r="2915" spans="1:9">
      <c r="A2915" s="2" t="s">
        <v>6761</v>
      </c>
      <c r="B2915" s="2" t="s">
        <v>7069</v>
      </c>
      <c r="C2915" s="2" t="s">
        <v>7070</v>
      </c>
      <c r="D2915" s="2" t="s">
        <v>5226</v>
      </c>
      <c r="E2915" s="2" t="s">
        <v>5192</v>
      </c>
      <c r="F2915" s="2">
        <v>85.71</v>
      </c>
      <c r="G2915" s="2">
        <v>3</v>
      </c>
      <c r="H2915" s="2">
        <f>Tabla_Items_Con_Existencia[[#This Row],[COSTO]]*Tabla_Items_Con_Existencia[[#This Row],[EXISTENCIA]]</f>
        <v>257.13</v>
      </c>
      <c r="I2915" s="1">
        <f>IF(ISERROR(MATCH(Tabla_Items_Con_Existencia[[#This Row],[CODIGO]],Tabla_Items_Activos[CODIGO],0)),0,1)</f>
        <v>0</v>
      </c>
    </row>
    <row r="2916" spans="1:9">
      <c r="A2916" s="2" t="s">
        <v>6760</v>
      </c>
      <c r="B2916" s="2" t="s">
        <v>925</v>
      </c>
      <c r="C2916" s="2" t="s">
        <v>4050</v>
      </c>
      <c r="D2916" s="2" t="s">
        <v>6035</v>
      </c>
      <c r="E2916" s="2" t="s">
        <v>5168</v>
      </c>
      <c r="F2916" s="2">
        <v>130.29366315999999</v>
      </c>
      <c r="G2916" s="2">
        <v>2</v>
      </c>
      <c r="H2916" s="2">
        <f>Tabla_Items_Con_Existencia[[#This Row],[COSTO]]*Tabla_Items_Con_Existencia[[#This Row],[EXISTENCIA]]</f>
        <v>260.58732631999999</v>
      </c>
      <c r="I2916" s="1">
        <f>IF(ISERROR(MATCH(Tabla_Items_Con_Existencia[[#This Row],[CODIGO]],Tabla_Items_Activos[CODIGO],0)),0,1)</f>
        <v>0</v>
      </c>
    </row>
    <row r="2917" spans="1:9">
      <c r="A2917" s="2" t="s">
        <v>6761</v>
      </c>
      <c r="B2917" s="2" t="s">
        <v>925</v>
      </c>
      <c r="C2917" s="2" t="s">
        <v>4050</v>
      </c>
      <c r="D2917" s="2" t="s">
        <v>6035</v>
      </c>
      <c r="E2917" s="2" t="s">
        <v>5168</v>
      </c>
      <c r="F2917" s="2">
        <v>130.29366315999999</v>
      </c>
      <c r="G2917" s="2">
        <v>2</v>
      </c>
      <c r="H2917" s="2">
        <f>Tabla_Items_Con_Existencia[[#This Row],[COSTO]]*Tabla_Items_Con_Existencia[[#This Row],[EXISTENCIA]]</f>
        <v>260.58732631999999</v>
      </c>
      <c r="I2917" s="1">
        <f>IF(ISERROR(MATCH(Tabla_Items_Con_Existencia[[#This Row],[CODIGO]],Tabla_Items_Activos[CODIGO],0)),0,1)</f>
        <v>0</v>
      </c>
    </row>
    <row r="2918" spans="1:9">
      <c r="A2918" s="2" t="s">
        <v>6760</v>
      </c>
      <c r="B2918" s="2" t="s">
        <v>926</v>
      </c>
      <c r="C2918" s="2" t="s">
        <v>4051</v>
      </c>
      <c r="D2918" s="2" t="s">
        <v>6035</v>
      </c>
      <c r="E2918" s="2" t="s">
        <v>5168</v>
      </c>
      <c r="F2918" s="2">
        <v>507.57551579</v>
      </c>
      <c r="G2918" s="2">
        <v>2</v>
      </c>
      <c r="H2918" s="2">
        <f>Tabla_Items_Con_Existencia[[#This Row],[COSTO]]*Tabla_Items_Con_Existencia[[#This Row],[EXISTENCIA]]</f>
        <v>1015.15103158</v>
      </c>
      <c r="I2918" s="1">
        <f>IF(ISERROR(MATCH(Tabla_Items_Con_Existencia[[#This Row],[CODIGO]],Tabla_Items_Activos[CODIGO],0)),0,1)</f>
        <v>0</v>
      </c>
    </row>
    <row r="2919" spans="1:9">
      <c r="A2919" s="2" t="s">
        <v>6761</v>
      </c>
      <c r="B2919" s="2" t="s">
        <v>926</v>
      </c>
      <c r="C2919" s="2" t="s">
        <v>4051</v>
      </c>
      <c r="D2919" s="2" t="s">
        <v>6035</v>
      </c>
      <c r="E2919" s="2" t="s">
        <v>5168</v>
      </c>
      <c r="F2919" s="2">
        <v>507.57551579</v>
      </c>
      <c r="G2919" s="2">
        <v>2</v>
      </c>
      <c r="H2919" s="2">
        <f>Tabla_Items_Con_Existencia[[#This Row],[COSTO]]*Tabla_Items_Con_Existencia[[#This Row],[EXISTENCIA]]</f>
        <v>1015.15103158</v>
      </c>
      <c r="I2919" s="1">
        <f>IF(ISERROR(MATCH(Tabla_Items_Con_Existencia[[#This Row],[CODIGO]],Tabla_Items_Activos[CODIGO],0)),0,1)</f>
        <v>0</v>
      </c>
    </row>
    <row r="2920" spans="1:9">
      <c r="A2920" s="2" t="s">
        <v>6759</v>
      </c>
      <c r="B2920" s="2" t="s">
        <v>4052</v>
      </c>
      <c r="C2920" s="2" t="s">
        <v>4053</v>
      </c>
      <c r="D2920" s="2" t="s">
        <v>5209</v>
      </c>
      <c r="E2920" s="2" t="s">
        <v>5210</v>
      </c>
      <c r="F2920" s="2">
        <v>38.896999999999998</v>
      </c>
      <c r="G2920" s="2">
        <v>20</v>
      </c>
      <c r="H2920" s="2">
        <f>Tabla_Items_Con_Existencia[[#This Row],[COSTO]]*Tabla_Items_Con_Existencia[[#This Row],[EXISTENCIA]]</f>
        <v>777.93999999999994</v>
      </c>
      <c r="I2920" s="1">
        <f>IF(ISERROR(MATCH(Tabla_Items_Con_Existencia[[#This Row],[CODIGO]],Tabla_Items_Activos[CODIGO],0)),0,1)</f>
        <v>0</v>
      </c>
    </row>
    <row r="2921" spans="1:9">
      <c r="A2921" s="2" t="s">
        <v>6759</v>
      </c>
      <c r="B2921" s="2" t="s">
        <v>4054</v>
      </c>
      <c r="C2921" s="2" t="s">
        <v>4055</v>
      </c>
      <c r="D2921" s="2" t="s">
        <v>5162</v>
      </c>
      <c r="E2921" s="2" t="s">
        <v>5210</v>
      </c>
      <c r="F2921" s="2">
        <v>4.7009999999999996</v>
      </c>
      <c r="G2921" s="2">
        <v>1</v>
      </c>
      <c r="H2921" s="2">
        <f>Tabla_Items_Con_Existencia[[#This Row],[COSTO]]*Tabla_Items_Con_Existencia[[#This Row],[EXISTENCIA]]</f>
        <v>4.7009999999999996</v>
      </c>
      <c r="I2921" s="1">
        <f>IF(ISERROR(MATCH(Tabla_Items_Con_Existencia[[#This Row],[CODIGO]],Tabla_Items_Activos[CODIGO],0)),0,1)</f>
        <v>0</v>
      </c>
    </row>
    <row r="2922" spans="1:9">
      <c r="A2922" s="2" t="s">
        <v>6759</v>
      </c>
      <c r="B2922" s="2" t="s">
        <v>4056</v>
      </c>
      <c r="C2922" s="2" t="s">
        <v>4057</v>
      </c>
      <c r="D2922" s="2" t="s">
        <v>5162</v>
      </c>
      <c r="E2922" s="2" t="s">
        <v>5210</v>
      </c>
      <c r="F2922" s="2">
        <v>23.504000000000001</v>
      </c>
      <c r="G2922" s="2">
        <v>7</v>
      </c>
      <c r="H2922" s="2">
        <f>Tabla_Items_Con_Existencia[[#This Row],[COSTO]]*Tabla_Items_Con_Existencia[[#This Row],[EXISTENCIA]]</f>
        <v>164.52800000000002</v>
      </c>
      <c r="I2922" s="1">
        <f>IF(ISERROR(MATCH(Tabla_Items_Con_Existencia[[#This Row],[CODIGO]],Tabla_Items_Activos[CODIGO],0)),0,1)</f>
        <v>0</v>
      </c>
    </row>
    <row r="2923" spans="1:9">
      <c r="A2923" s="2" t="s">
        <v>6761</v>
      </c>
      <c r="B2923" s="2" t="s">
        <v>4058</v>
      </c>
      <c r="C2923" s="2" t="s">
        <v>4059</v>
      </c>
      <c r="D2923" s="2" t="s">
        <v>5209</v>
      </c>
      <c r="E2923" s="2" t="s">
        <v>5212</v>
      </c>
      <c r="F2923" s="2">
        <v>2.89610667</v>
      </c>
      <c r="G2923" s="2">
        <v>182</v>
      </c>
      <c r="H2923" s="2">
        <f>Tabla_Items_Con_Existencia[[#This Row],[COSTO]]*Tabla_Items_Con_Existencia[[#This Row],[EXISTENCIA]]</f>
        <v>527.09141394000005</v>
      </c>
      <c r="I2923" s="1">
        <f>IF(ISERROR(MATCH(Tabla_Items_Con_Existencia[[#This Row],[CODIGO]],Tabla_Items_Activos[CODIGO],0)),0,1)</f>
        <v>0</v>
      </c>
    </row>
    <row r="2924" spans="1:9">
      <c r="A2924" s="2" t="s">
        <v>6759</v>
      </c>
      <c r="B2924" s="2" t="s">
        <v>4058</v>
      </c>
      <c r="C2924" s="2" t="s">
        <v>4059</v>
      </c>
      <c r="D2924" s="2" t="s">
        <v>5209</v>
      </c>
      <c r="E2924" s="2" t="s">
        <v>5212</v>
      </c>
      <c r="F2924" s="2">
        <v>2.89610667</v>
      </c>
      <c r="G2924" s="2">
        <v>182</v>
      </c>
      <c r="H2924" s="2">
        <f>Tabla_Items_Con_Existencia[[#This Row],[COSTO]]*Tabla_Items_Con_Existencia[[#This Row],[EXISTENCIA]]</f>
        <v>527.09141394000005</v>
      </c>
      <c r="I2924" s="1">
        <f>IF(ISERROR(MATCH(Tabla_Items_Con_Existencia[[#This Row],[CODIGO]],Tabla_Items_Activos[CODIGO],0)),0,1)</f>
        <v>0</v>
      </c>
    </row>
    <row r="2925" spans="1:9">
      <c r="A2925" s="2" t="s">
        <v>6761</v>
      </c>
      <c r="B2925" s="2" t="s">
        <v>4060</v>
      </c>
      <c r="C2925" s="2" t="s">
        <v>4061</v>
      </c>
      <c r="D2925" s="2" t="s">
        <v>5209</v>
      </c>
      <c r="E2925" s="2" t="s">
        <v>5212</v>
      </c>
      <c r="F2925" s="2">
        <v>4.13322667</v>
      </c>
      <c r="G2925" s="2">
        <v>67</v>
      </c>
      <c r="H2925" s="2">
        <f>Tabla_Items_Con_Existencia[[#This Row],[COSTO]]*Tabla_Items_Con_Existencia[[#This Row],[EXISTENCIA]]</f>
        <v>276.92618689</v>
      </c>
      <c r="I2925" s="1">
        <f>IF(ISERROR(MATCH(Tabla_Items_Con_Existencia[[#This Row],[CODIGO]],Tabla_Items_Activos[CODIGO],0)),0,1)</f>
        <v>0</v>
      </c>
    </row>
    <row r="2926" spans="1:9">
      <c r="A2926" s="2" t="s">
        <v>6759</v>
      </c>
      <c r="B2926" s="2" t="s">
        <v>4060</v>
      </c>
      <c r="C2926" s="2" t="s">
        <v>4061</v>
      </c>
      <c r="D2926" s="2" t="s">
        <v>5209</v>
      </c>
      <c r="E2926" s="2" t="s">
        <v>5212</v>
      </c>
      <c r="F2926" s="2">
        <v>4.13322667</v>
      </c>
      <c r="G2926" s="2">
        <v>67</v>
      </c>
      <c r="H2926" s="2">
        <f>Tabla_Items_Con_Existencia[[#This Row],[COSTO]]*Tabla_Items_Con_Existencia[[#This Row],[EXISTENCIA]]</f>
        <v>276.92618689</v>
      </c>
      <c r="I2926" s="1">
        <f>IF(ISERROR(MATCH(Tabla_Items_Con_Existencia[[#This Row],[CODIGO]],Tabla_Items_Activos[CODIGO],0)),0,1)</f>
        <v>0</v>
      </c>
    </row>
    <row r="2927" spans="1:9">
      <c r="A2927" s="2" t="s">
        <v>6761</v>
      </c>
      <c r="B2927" s="2" t="s">
        <v>4062</v>
      </c>
      <c r="C2927" s="2" t="s">
        <v>7071</v>
      </c>
      <c r="D2927" s="2" t="s">
        <v>5211</v>
      </c>
      <c r="E2927" s="2" t="s">
        <v>5213</v>
      </c>
      <c r="F2927" s="2">
        <v>7.7084266699999997</v>
      </c>
      <c r="G2927" s="2">
        <v>97</v>
      </c>
      <c r="H2927" s="2">
        <f>Tabla_Items_Con_Existencia[[#This Row],[COSTO]]*Tabla_Items_Con_Existencia[[#This Row],[EXISTENCIA]]</f>
        <v>747.71738699000002</v>
      </c>
      <c r="I2927" s="1">
        <f>IF(ISERROR(MATCH(Tabla_Items_Con_Existencia[[#This Row],[CODIGO]],Tabla_Items_Activos[CODIGO],0)),0,1)</f>
        <v>0</v>
      </c>
    </row>
    <row r="2928" spans="1:9">
      <c r="A2928" s="2" t="s">
        <v>6759</v>
      </c>
      <c r="B2928" s="2" t="s">
        <v>4062</v>
      </c>
      <c r="C2928" s="2" t="s">
        <v>7071</v>
      </c>
      <c r="D2928" s="2" t="s">
        <v>5211</v>
      </c>
      <c r="E2928" s="2" t="s">
        <v>5213</v>
      </c>
      <c r="F2928" s="2">
        <v>7.7084266699999997</v>
      </c>
      <c r="G2928" s="2">
        <v>97</v>
      </c>
      <c r="H2928" s="2">
        <f>Tabla_Items_Con_Existencia[[#This Row],[COSTO]]*Tabla_Items_Con_Existencia[[#This Row],[EXISTENCIA]]</f>
        <v>747.71738699000002</v>
      </c>
      <c r="I2928" s="1">
        <f>IF(ISERROR(MATCH(Tabla_Items_Con_Existencia[[#This Row],[CODIGO]],Tabla_Items_Activos[CODIGO],0)),0,1)</f>
        <v>0</v>
      </c>
    </row>
    <row r="2929" spans="1:9">
      <c r="A2929" s="2" t="s">
        <v>6761</v>
      </c>
      <c r="B2929" s="2" t="s">
        <v>4064</v>
      </c>
      <c r="C2929" s="2" t="s">
        <v>4065</v>
      </c>
      <c r="D2929" s="2" t="s">
        <v>5211</v>
      </c>
      <c r="E2929" s="2" t="s">
        <v>5213</v>
      </c>
      <c r="F2929" s="2">
        <v>3.95293333</v>
      </c>
      <c r="G2929" s="2">
        <v>402</v>
      </c>
      <c r="H2929" s="2">
        <f>Tabla_Items_Con_Existencia[[#This Row],[COSTO]]*Tabla_Items_Con_Existencia[[#This Row],[EXISTENCIA]]</f>
        <v>1589.07919866</v>
      </c>
      <c r="I2929" s="1">
        <f>IF(ISERROR(MATCH(Tabla_Items_Con_Existencia[[#This Row],[CODIGO]],Tabla_Items_Activos[CODIGO],0)),0,1)</f>
        <v>0</v>
      </c>
    </row>
    <row r="2930" spans="1:9">
      <c r="A2930" s="2" t="s">
        <v>6759</v>
      </c>
      <c r="B2930" s="2" t="s">
        <v>4064</v>
      </c>
      <c r="C2930" s="2" t="s">
        <v>4065</v>
      </c>
      <c r="D2930" s="2" t="s">
        <v>5211</v>
      </c>
      <c r="E2930" s="2" t="s">
        <v>5213</v>
      </c>
      <c r="F2930" s="2">
        <v>3.95293333</v>
      </c>
      <c r="G2930" s="2">
        <v>402</v>
      </c>
      <c r="H2930" s="2">
        <f>Tabla_Items_Con_Existencia[[#This Row],[COSTO]]*Tabla_Items_Con_Existencia[[#This Row],[EXISTENCIA]]</f>
        <v>1589.07919866</v>
      </c>
      <c r="I2930" s="1">
        <f>IF(ISERROR(MATCH(Tabla_Items_Con_Existencia[[#This Row],[CODIGO]],Tabla_Items_Activos[CODIGO],0)),0,1)</f>
        <v>0</v>
      </c>
    </row>
    <row r="2931" spans="1:9">
      <c r="A2931" s="2" t="s">
        <v>6761</v>
      </c>
      <c r="B2931" s="2" t="s">
        <v>4066</v>
      </c>
      <c r="C2931" s="2" t="s">
        <v>4067</v>
      </c>
      <c r="D2931" s="2" t="s">
        <v>5209</v>
      </c>
      <c r="E2931" s="2" t="s">
        <v>5212</v>
      </c>
      <c r="F2931" s="2">
        <v>3.5794133299999999</v>
      </c>
      <c r="G2931" s="2">
        <v>299</v>
      </c>
      <c r="H2931" s="2">
        <f>Tabla_Items_Con_Existencia[[#This Row],[COSTO]]*Tabla_Items_Con_Existencia[[#This Row],[EXISTENCIA]]</f>
        <v>1070.2445856699999</v>
      </c>
      <c r="I2931" s="1">
        <f>IF(ISERROR(MATCH(Tabla_Items_Con_Existencia[[#This Row],[CODIGO]],Tabla_Items_Activos[CODIGO],0)),0,1)</f>
        <v>0</v>
      </c>
    </row>
    <row r="2932" spans="1:9">
      <c r="A2932" s="2" t="s">
        <v>6759</v>
      </c>
      <c r="B2932" s="2" t="s">
        <v>4066</v>
      </c>
      <c r="C2932" s="2" t="s">
        <v>4067</v>
      </c>
      <c r="D2932" s="2" t="s">
        <v>5209</v>
      </c>
      <c r="E2932" s="2" t="s">
        <v>5212</v>
      </c>
      <c r="F2932" s="2">
        <v>3.5794133299999999</v>
      </c>
      <c r="G2932" s="2">
        <v>299</v>
      </c>
      <c r="H2932" s="2">
        <f>Tabla_Items_Con_Existencia[[#This Row],[COSTO]]*Tabla_Items_Con_Existencia[[#This Row],[EXISTENCIA]]</f>
        <v>1070.2445856699999</v>
      </c>
      <c r="I2932" s="1">
        <f>IF(ISERROR(MATCH(Tabla_Items_Con_Existencia[[#This Row],[CODIGO]],Tabla_Items_Activos[CODIGO],0)),0,1)</f>
        <v>0</v>
      </c>
    </row>
    <row r="2933" spans="1:9">
      <c r="A2933" s="2" t="s">
        <v>6761</v>
      </c>
      <c r="B2933" s="2" t="s">
        <v>4068</v>
      </c>
      <c r="C2933" s="2" t="s">
        <v>4069</v>
      </c>
      <c r="D2933" s="2" t="s">
        <v>5211</v>
      </c>
      <c r="E2933" s="2" t="s">
        <v>5213</v>
      </c>
      <c r="F2933" s="2">
        <v>3.9065866699999998</v>
      </c>
      <c r="G2933" s="2">
        <v>313</v>
      </c>
      <c r="H2933" s="2">
        <f>Tabla_Items_Con_Existencia[[#This Row],[COSTO]]*Tabla_Items_Con_Existencia[[#This Row],[EXISTENCIA]]</f>
        <v>1222.7616277099999</v>
      </c>
      <c r="I2933" s="1">
        <f>IF(ISERROR(MATCH(Tabla_Items_Con_Existencia[[#This Row],[CODIGO]],Tabla_Items_Activos[CODIGO],0)),0,1)</f>
        <v>0</v>
      </c>
    </row>
    <row r="2934" spans="1:9">
      <c r="A2934" s="2" t="s">
        <v>6759</v>
      </c>
      <c r="B2934" s="2" t="s">
        <v>4068</v>
      </c>
      <c r="C2934" s="2" t="s">
        <v>4069</v>
      </c>
      <c r="D2934" s="2" t="s">
        <v>5211</v>
      </c>
      <c r="E2934" s="2" t="s">
        <v>5213</v>
      </c>
      <c r="F2934" s="2">
        <v>3.9065866699999998</v>
      </c>
      <c r="G2934" s="2">
        <v>313</v>
      </c>
      <c r="H2934" s="2">
        <f>Tabla_Items_Con_Existencia[[#This Row],[COSTO]]*Tabla_Items_Con_Existencia[[#This Row],[EXISTENCIA]]</f>
        <v>1222.7616277099999</v>
      </c>
      <c r="I2934" s="1">
        <f>IF(ISERROR(MATCH(Tabla_Items_Con_Existencia[[#This Row],[CODIGO]],Tabla_Items_Activos[CODIGO],0)),0,1)</f>
        <v>0</v>
      </c>
    </row>
    <row r="2935" spans="1:9">
      <c r="A2935" s="2" t="s">
        <v>6759</v>
      </c>
      <c r="B2935" s="2" t="s">
        <v>4070</v>
      </c>
      <c r="C2935" s="2" t="s">
        <v>4071</v>
      </c>
      <c r="D2935" s="2" t="s">
        <v>5211</v>
      </c>
      <c r="E2935" s="2" t="s">
        <v>5213</v>
      </c>
      <c r="F2935" s="2">
        <v>6.0670999999999999</v>
      </c>
      <c r="G2935" s="2">
        <v>387</v>
      </c>
      <c r="H2935" s="2">
        <f>Tabla_Items_Con_Existencia[[#This Row],[COSTO]]*Tabla_Items_Con_Existencia[[#This Row],[EXISTENCIA]]</f>
        <v>2347.9677000000001</v>
      </c>
      <c r="I2935" s="1">
        <f>IF(ISERROR(MATCH(Tabla_Items_Con_Existencia[[#This Row],[CODIGO]],Tabla_Items_Activos[CODIGO],0)),0,1)</f>
        <v>0</v>
      </c>
    </row>
    <row r="2936" spans="1:9">
      <c r="A2936" s="2" t="s">
        <v>6759</v>
      </c>
      <c r="B2936" s="2" t="s">
        <v>4072</v>
      </c>
      <c r="C2936" s="2" t="s">
        <v>4073</v>
      </c>
      <c r="D2936" s="2" t="s">
        <v>5209</v>
      </c>
      <c r="E2936" s="2" t="s">
        <v>5212</v>
      </c>
      <c r="F2936" s="2">
        <v>6.1135000000000002</v>
      </c>
      <c r="G2936" s="2">
        <v>55</v>
      </c>
      <c r="H2936" s="2">
        <f>Tabla_Items_Con_Existencia[[#This Row],[COSTO]]*Tabla_Items_Con_Existencia[[#This Row],[EXISTENCIA]]</f>
        <v>336.24250000000001</v>
      </c>
      <c r="I2936" s="1">
        <f>IF(ISERROR(MATCH(Tabla_Items_Con_Existencia[[#This Row],[CODIGO]],Tabla_Items_Activos[CODIGO],0)),0,1)</f>
        <v>0</v>
      </c>
    </row>
    <row r="2937" spans="1:9">
      <c r="A2937" s="2" t="s">
        <v>6761</v>
      </c>
      <c r="B2937" s="2" t="s">
        <v>4074</v>
      </c>
      <c r="C2937" s="2" t="s">
        <v>4075</v>
      </c>
      <c r="D2937" s="2" t="s">
        <v>5209</v>
      </c>
      <c r="E2937" s="2" t="s">
        <v>5212</v>
      </c>
      <c r="F2937" s="2">
        <v>2.47954667</v>
      </c>
      <c r="G2937" s="2">
        <v>1276</v>
      </c>
      <c r="H2937" s="2">
        <f>Tabla_Items_Con_Existencia[[#This Row],[COSTO]]*Tabla_Items_Con_Existencia[[#This Row],[EXISTENCIA]]</f>
        <v>3163.9015509199999</v>
      </c>
      <c r="I2937" s="1">
        <f>IF(ISERROR(MATCH(Tabla_Items_Con_Existencia[[#This Row],[CODIGO]],Tabla_Items_Activos[CODIGO],0)),0,1)</f>
        <v>0</v>
      </c>
    </row>
    <row r="2938" spans="1:9">
      <c r="A2938" s="2" t="s">
        <v>6759</v>
      </c>
      <c r="B2938" s="2" t="s">
        <v>4074</v>
      </c>
      <c r="C2938" s="2" t="s">
        <v>4075</v>
      </c>
      <c r="D2938" s="2" t="s">
        <v>5209</v>
      </c>
      <c r="E2938" s="2" t="s">
        <v>5212</v>
      </c>
      <c r="F2938" s="2">
        <v>2.47954667</v>
      </c>
      <c r="G2938" s="2">
        <v>1276</v>
      </c>
      <c r="H2938" s="2">
        <f>Tabla_Items_Con_Existencia[[#This Row],[COSTO]]*Tabla_Items_Con_Existencia[[#This Row],[EXISTENCIA]]</f>
        <v>3163.9015509199999</v>
      </c>
      <c r="I2938" s="1">
        <f>IF(ISERROR(MATCH(Tabla_Items_Con_Existencia[[#This Row],[CODIGO]],Tabla_Items_Activos[CODIGO],0)),0,1)</f>
        <v>0</v>
      </c>
    </row>
    <row r="2939" spans="1:9">
      <c r="A2939" s="2" t="s">
        <v>6761</v>
      </c>
      <c r="B2939" s="2" t="s">
        <v>4076</v>
      </c>
      <c r="C2939" s="2" t="s">
        <v>4077</v>
      </c>
      <c r="D2939" s="2" t="s">
        <v>5209</v>
      </c>
      <c r="E2939" s="2" t="s">
        <v>5212</v>
      </c>
      <c r="F2939" s="2">
        <v>10.913919999999999</v>
      </c>
      <c r="G2939" s="2">
        <v>290</v>
      </c>
      <c r="H2939" s="2">
        <f>Tabla_Items_Con_Existencia[[#This Row],[COSTO]]*Tabla_Items_Con_Existencia[[#This Row],[EXISTENCIA]]</f>
        <v>3165.0367999999999</v>
      </c>
      <c r="I2939" s="1">
        <f>IF(ISERROR(MATCH(Tabla_Items_Con_Existencia[[#This Row],[CODIGO]],Tabla_Items_Activos[CODIGO],0)),0,1)</f>
        <v>0</v>
      </c>
    </row>
    <row r="2940" spans="1:9">
      <c r="A2940" s="2" t="s">
        <v>6759</v>
      </c>
      <c r="B2940" s="2" t="s">
        <v>4076</v>
      </c>
      <c r="C2940" s="2" t="s">
        <v>4077</v>
      </c>
      <c r="D2940" s="2" t="s">
        <v>5209</v>
      </c>
      <c r="E2940" s="2" t="s">
        <v>5212</v>
      </c>
      <c r="F2940" s="2">
        <v>10.913919999999999</v>
      </c>
      <c r="G2940" s="2">
        <v>290</v>
      </c>
      <c r="H2940" s="2">
        <f>Tabla_Items_Con_Existencia[[#This Row],[COSTO]]*Tabla_Items_Con_Existencia[[#This Row],[EXISTENCIA]]</f>
        <v>3165.0367999999999</v>
      </c>
      <c r="I2940" s="1">
        <f>IF(ISERROR(MATCH(Tabla_Items_Con_Existencia[[#This Row],[CODIGO]],Tabla_Items_Activos[CODIGO],0)),0,1)</f>
        <v>0</v>
      </c>
    </row>
    <row r="2941" spans="1:9">
      <c r="A2941" s="2" t="s">
        <v>6759</v>
      </c>
      <c r="B2941" s="2" t="s">
        <v>4078</v>
      </c>
      <c r="C2941" s="2" t="s">
        <v>4079</v>
      </c>
      <c r="D2941" s="2" t="s">
        <v>5209</v>
      </c>
      <c r="E2941" s="2" t="s">
        <v>5212</v>
      </c>
      <c r="F2941" s="2">
        <v>1.3337866700000001</v>
      </c>
      <c r="G2941" s="2">
        <v>769</v>
      </c>
      <c r="H2941" s="2">
        <f>Tabla_Items_Con_Existencia[[#This Row],[COSTO]]*Tabla_Items_Con_Existencia[[#This Row],[EXISTENCIA]]</f>
        <v>1025.6819492300001</v>
      </c>
      <c r="I2941" s="1">
        <f>IF(ISERROR(MATCH(Tabla_Items_Con_Existencia[[#This Row],[CODIGO]],Tabla_Items_Activos[CODIGO],0)),0,1)</f>
        <v>0</v>
      </c>
    </row>
    <row r="2942" spans="1:9">
      <c r="A2942" s="2" t="s">
        <v>6761</v>
      </c>
      <c r="B2942" s="2" t="s">
        <v>4078</v>
      </c>
      <c r="C2942" s="2" t="s">
        <v>4079</v>
      </c>
      <c r="D2942" s="2" t="s">
        <v>5209</v>
      </c>
      <c r="E2942" s="2" t="s">
        <v>5212</v>
      </c>
      <c r="F2942" s="2">
        <v>1.3337866700000001</v>
      </c>
      <c r="G2942" s="2">
        <v>769</v>
      </c>
      <c r="H2942" s="2">
        <f>Tabla_Items_Con_Existencia[[#This Row],[COSTO]]*Tabla_Items_Con_Existencia[[#This Row],[EXISTENCIA]]</f>
        <v>1025.6819492300001</v>
      </c>
      <c r="I2942" s="1">
        <f>IF(ISERROR(MATCH(Tabla_Items_Con_Existencia[[#This Row],[CODIGO]],Tabla_Items_Activos[CODIGO],0)),0,1)</f>
        <v>0</v>
      </c>
    </row>
    <row r="2943" spans="1:9">
      <c r="A2943" s="2" t="s">
        <v>6761</v>
      </c>
      <c r="B2943" s="2" t="s">
        <v>4080</v>
      </c>
      <c r="C2943" s="2" t="s">
        <v>4081</v>
      </c>
      <c r="D2943" s="2" t="s">
        <v>5209</v>
      </c>
      <c r="E2943" s="2" t="s">
        <v>5212</v>
      </c>
      <c r="F2943" s="2">
        <v>5.9234933300000003</v>
      </c>
      <c r="G2943" s="2">
        <v>486</v>
      </c>
      <c r="H2943" s="2">
        <f>Tabla_Items_Con_Existencia[[#This Row],[COSTO]]*Tabla_Items_Con_Existencia[[#This Row],[EXISTENCIA]]</f>
        <v>2878.8177583800002</v>
      </c>
      <c r="I2943" s="1">
        <f>IF(ISERROR(MATCH(Tabla_Items_Con_Existencia[[#This Row],[CODIGO]],Tabla_Items_Activos[CODIGO],0)),0,1)</f>
        <v>0</v>
      </c>
    </row>
    <row r="2944" spans="1:9">
      <c r="A2944" s="2" t="s">
        <v>6759</v>
      </c>
      <c r="B2944" s="2" t="s">
        <v>4080</v>
      </c>
      <c r="C2944" s="2" t="s">
        <v>4081</v>
      </c>
      <c r="D2944" s="2" t="s">
        <v>5209</v>
      </c>
      <c r="E2944" s="2" t="s">
        <v>5212</v>
      </c>
      <c r="F2944" s="2">
        <v>5.9234933300000003</v>
      </c>
      <c r="G2944" s="2">
        <v>486</v>
      </c>
      <c r="H2944" s="2">
        <f>Tabla_Items_Con_Existencia[[#This Row],[COSTO]]*Tabla_Items_Con_Existencia[[#This Row],[EXISTENCIA]]</f>
        <v>2878.8177583800002</v>
      </c>
      <c r="I2944" s="1">
        <f>IF(ISERROR(MATCH(Tabla_Items_Con_Existencia[[#This Row],[CODIGO]],Tabla_Items_Activos[CODIGO],0)),0,1)</f>
        <v>0</v>
      </c>
    </row>
    <row r="2945" spans="1:9">
      <c r="A2945" s="2" t="s">
        <v>6761</v>
      </c>
      <c r="B2945" s="2" t="s">
        <v>4082</v>
      </c>
      <c r="C2945" s="2" t="s">
        <v>4083</v>
      </c>
      <c r="D2945" s="2" t="s">
        <v>5209</v>
      </c>
      <c r="E2945" s="2" t="s">
        <v>5212</v>
      </c>
      <c r="F2945" s="2">
        <v>2.8092266700000001</v>
      </c>
      <c r="G2945" s="2">
        <v>303</v>
      </c>
      <c r="H2945" s="2">
        <f>Tabla_Items_Con_Existencia[[#This Row],[COSTO]]*Tabla_Items_Con_Existencia[[#This Row],[EXISTENCIA]]</f>
        <v>851.19568101000004</v>
      </c>
      <c r="I2945" s="1">
        <f>IF(ISERROR(MATCH(Tabla_Items_Con_Existencia[[#This Row],[CODIGO]],Tabla_Items_Activos[CODIGO],0)),0,1)</f>
        <v>0</v>
      </c>
    </row>
    <row r="2946" spans="1:9">
      <c r="A2946" s="2" t="s">
        <v>6759</v>
      </c>
      <c r="B2946" s="2" t="s">
        <v>4082</v>
      </c>
      <c r="C2946" s="2" t="s">
        <v>4083</v>
      </c>
      <c r="D2946" s="2" t="s">
        <v>5209</v>
      </c>
      <c r="E2946" s="2" t="s">
        <v>5212</v>
      </c>
      <c r="F2946" s="2">
        <v>2.8092266700000001</v>
      </c>
      <c r="G2946" s="2">
        <v>303</v>
      </c>
      <c r="H2946" s="2">
        <f>Tabla_Items_Con_Existencia[[#This Row],[COSTO]]*Tabla_Items_Con_Existencia[[#This Row],[EXISTENCIA]]</f>
        <v>851.19568101000004</v>
      </c>
      <c r="I2946" s="1">
        <f>IF(ISERROR(MATCH(Tabla_Items_Con_Existencia[[#This Row],[CODIGO]],Tabla_Items_Activos[CODIGO],0)),0,1)</f>
        <v>0</v>
      </c>
    </row>
    <row r="2947" spans="1:9">
      <c r="A2947" s="2" t="s">
        <v>6759</v>
      </c>
      <c r="B2947" s="2" t="s">
        <v>4084</v>
      </c>
      <c r="C2947" s="2" t="s">
        <v>4085</v>
      </c>
      <c r="D2947" s="2" t="s">
        <v>5209</v>
      </c>
      <c r="E2947" s="2" t="s">
        <v>5212</v>
      </c>
      <c r="F2947" s="2">
        <v>1.5729866699999999</v>
      </c>
      <c r="G2947" s="2">
        <v>1323</v>
      </c>
      <c r="H2947" s="2">
        <f>Tabla_Items_Con_Existencia[[#This Row],[COSTO]]*Tabla_Items_Con_Existencia[[#This Row],[EXISTENCIA]]</f>
        <v>2081.0613644099999</v>
      </c>
      <c r="I2947" s="1">
        <f>IF(ISERROR(MATCH(Tabla_Items_Con_Existencia[[#This Row],[CODIGO]],Tabla_Items_Activos[CODIGO],0)),0,1)</f>
        <v>0</v>
      </c>
    </row>
    <row r="2948" spans="1:9">
      <c r="A2948" s="2" t="s">
        <v>6761</v>
      </c>
      <c r="B2948" s="2" t="s">
        <v>4084</v>
      </c>
      <c r="C2948" s="2" t="s">
        <v>4085</v>
      </c>
      <c r="D2948" s="2" t="s">
        <v>5209</v>
      </c>
      <c r="E2948" s="2" t="s">
        <v>5212</v>
      </c>
      <c r="F2948" s="2">
        <v>1.5729866699999999</v>
      </c>
      <c r="G2948" s="2">
        <v>1323</v>
      </c>
      <c r="H2948" s="2">
        <f>Tabla_Items_Con_Existencia[[#This Row],[COSTO]]*Tabla_Items_Con_Existencia[[#This Row],[EXISTENCIA]]</f>
        <v>2081.0613644099999</v>
      </c>
      <c r="I2948" s="1">
        <f>IF(ISERROR(MATCH(Tabla_Items_Con_Existencia[[#This Row],[CODIGO]],Tabla_Items_Activos[CODIGO],0)),0,1)</f>
        <v>0</v>
      </c>
    </row>
    <row r="2949" spans="1:9">
      <c r="A2949" s="2" t="s">
        <v>6761</v>
      </c>
      <c r="B2949" s="2" t="s">
        <v>4086</v>
      </c>
      <c r="C2949" s="2" t="s">
        <v>4087</v>
      </c>
      <c r="D2949" s="2" t="s">
        <v>5209</v>
      </c>
      <c r="E2949" s="2" t="s">
        <v>5212</v>
      </c>
      <c r="F2949" s="2">
        <v>0.87170667000000002</v>
      </c>
      <c r="G2949" s="2">
        <v>243</v>
      </c>
      <c r="H2949" s="2">
        <f>Tabla_Items_Con_Existencia[[#This Row],[COSTO]]*Tabla_Items_Con_Existencia[[#This Row],[EXISTENCIA]]</f>
        <v>211.82472081</v>
      </c>
      <c r="I2949" s="1">
        <f>IF(ISERROR(MATCH(Tabla_Items_Con_Existencia[[#This Row],[CODIGO]],Tabla_Items_Activos[CODIGO],0)),0,1)</f>
        <v>0</v>
      </c>
    </row>
    <row r="2950" spans="1:9">
      <c r="A2950" s="2" t="s">
        <v>6759</v>
      </c>
      <c r="B2950" s="2" t="s">
        <v>4086</v>
      </c>
      <c r="C2950" s="2" t="s">
        <v>4087</v>
      </c>
      <c r="D2950" s="2" t="s">
        <v>5209</v>
      </c>
      <c r="E2950" s="2" t="s">
        <v>5212</v>
      </c>
      <c r="F2950" s="2">
        <v>0.87170667000000002</v>
      </c>
      <c r="G2950" s="2">
        <v>243</v>
      </c>
      <c r="H2950" s="2">
        <f>Tabla_Items_Con_Existencia[[#This Row],[COSTO]]*Tabla_Items_Con_Existencia[[#This Row],[EXISTENCIA]]</f>
        <v>211.82472081</v>
      </c>
      <c r="I2950" s="1">
        <f>IF(ISERROR(MATCH(Tabla_Items_Con_Existencia[[#This Row],[CODIGO]],Tabla_Items_Activos[CODIGO],0)),0,1)</f>
        <v>0</v>
      </c>
    </row>
    <row r="2951" spans="1:9">
      <c r="A2951" s="2" t="s">
        <v>6761</v>
      </c>
      <c r="B2951" s="2" t="s">
        <v>4088</v>
      </c>
      <c r="C2951" s="2" t="s">
        <v>4089</v>
      </c>
      <c r="D2951" s="2" t="s">
        <v>5211</v>
      </c>
      <c r="E2951" s="2" t="s">
        <v>5213</v>
      </c>
      <c r="F2951" s="2">
        <v>1.7827733299999999</v>
      </c>
      <c r="G2951" s="2">
        <v>1103</v>
      </c>
      <c r="H2951" s="2">
        <f>Tabla_Items_Con_Existencia[[#This Row],[COSTO]]*Tabla_Items_Con_Existencia[[#This Row],[EXISTENCIA]]</f>
        <v>1966.3989829899999</v>
      </c>
      <c r="I2951" s="1">
        <f>IF(ISERROR(MATCH(Tabla_Items_Con_Existencia[[#This Row],[CODIGO]],Tabla_Items_Activos[CODIGO],0)),0,1)</f>
        <v>0</v>
      </c>
    </row>
    <row r="2952" spans="1:9">
      <c r="A2952" s="2" t="s">
        <v>6759</v>
      </c>
      <c r="B2952" s="2" t="s">
        <v>4088</v>
      </c>
      <c r="C2952" s="2" t="s">
        <v>4089</v>
      </c>
      <c r="D2952" s="2" t="s">
        <v>5211</v>
      </c>
      <c r="E2952" s="2" t="s">
        <v>5213</v>
      </c>
      <c r="F2952" s="2">
        <v>1.7827733299999999</v>
      </c>
      <c r="G2952" s="2">
        <v>1103</v>
      </c>
      <c r="H2952" s="2">
        <f>Tabla_Items_Con_Existencia[[#This Row],[COSTO]]*Tabla_Items_Con_Existencia[[#This Row],[EXISTENCIA]]</f>
        <v>1966.3989829899999</v>
      </c>
      <c r="I2952" s="1">
        <f>IF(ISERROR(MATCH(Tabla_Items_Con_Existencia[[#This Row],[CODIGO]],Tabla_Items_Activos[CODIGO],0)),0,1)</f>
        <v>0</v>
      </c>
    </row>
    <row r="2953" spans="1:9">
      <c r="A2953" s="2" t="s">
        <v>6759</v>
      </c>
      <c r="B2953" s="2" t="s">
        <v>4090</v>
      </c>
      <c r="C2953" s="2" t="s">
        <v>4091</v>
      </c>
      <c r="D2953" s="2" t="s">
        <v>5211</v>
      </c>
      <c r="E2953" s="2" t="s">
        <v>5213</v>
      </c>
      <c r="F2953" s="2">
        <v>13.443199999999999</v>
      </c>
      <c r="G2953" s="2">
        <v>94</v>
      </c>
      <c r="H2953" s="2">
        <f>Tabla_Items_Con_Existencia[[#This Row],[COSTO]]*Tabla_Items_Con_Existencia[[#This Row],[EXISTENCIA]]</f>
        <v>1263.6607999999999</v>
      </c>
      <c r="I2953" s="1">
        <f>IF(ISERROR(MATCH(Tabla_Items_Con_Existencia[[#This Row],[CODIGO]],Tabla_Items_Activos[CODIGO],0)),0,1)</f>
        <v>0</v>
      </c>
    </row>
    <row r="2954" spans="1:9">
      <c r="A2954" s="2" t="s">
        <v>6759</v>
      </c>
      <c r="B2954" s="2" t="s">
        <v>4092</v>
      </c>
      <c r="C2954" s="2" t="s">
        <v>4093</v>
      </c>
      <c r="D2954" s="2" t="s">
        <v>5209</v>
      </c>
      <c r="E2954" s="2" t="s">
        <v>5212</v>
      </c>
      <c r="F2954" s="2">
        <v>2.9874133299999999</v>
      </c>
      <c r="G2954" s="2">
        <v>735</v>
      </c>
      <c r="H2954" s="2">
        <f>Tabla_Items_Con_Existencia[[#This Row],[COSTO]]*Tabla_Items_Con_Existencia[[#This Row],[EXISTENCIA]]</f>
        <v>2195.7487975499998</v>
      </c>
      <c r="I2954" s="1">
        <f>IF(ISERROR(MATCH(Tabla_Items_Con_Existencia[[#This Row],[CODIGO]],Tabla_Items_Activos[CODIGO],0)),0,1)</f>
        <v>0</v>
      </c>
    </row>
    <row r="2955" spans="1:9">
      <c r="A2955" s="2" t="s">
        <v>6761</v>
      </c>
      <c r="B2955" s="2" t="s">
        <v>4092</v>
      </c>
      <c r="C2955" s="2" t="s">
        <v>4093</v>
      </c>
      <c r="D2955" s="2" t="s">
        <v>5209</v>
      </c>
      <c r="E2955" s="2" t="s">
        <v>5212</v>
      </c>
      <c r="F2955" s="2">
        <v>2.9874133299999999</v>
      </c>
      <c r="G2955" s="2">
        <v>735</v>
      </c>
      <c r="H2955" s="2">
        <f>Tabla_Items_Con_Existencia[[#This Row],[COSTO]]*Tabla_Items_Con_Existencia[[#This Row],[EXISTENCIA]]</f>
        <v>2195.7487975499998</v>
      </c>
      <c r="I2955" s="1">
        <f>IF(ISERROR(MATCH(Tabla_Items_Con_Existencia[[#This Row],[CODIGO]],Tabla_Items_Activos[CODIGO],0)),0,1)</f>
        <v>0</v>
      </c>
    </row>
    <row r="2956" spans="1:9">
      <c r="A2956" s="2" t="s">
        <v>6761</v>
      </c>
      <c r="B2956" s="2" t="s">
        <v>4094</v>
      </c>
      <c r="C2956" s="2" t="s">
        <v>4095</v>
      </c>
      <c r="D2956" s="2" t="s">
        <v>5209</v>
      </c>
      <c r="E2956" s="2" t="s">
        <v>5212</v>
      </c>
      <c r="F2956" s="2">
        <v>1.2918666700000001</v>
      </c>
      <c r="G2956" s="2">
        <v>608</v>
      </c>
      <c r="H2956" s="2">
        <f>Tabla_Items_Con_Existencia[[#This Row],[COSTO]]*Tabla_Items_Con_Existencia[[#This Row],[EXISTENCIA]]</f>
        <v>785.45493536000004</v>
      </c>
      <c r="I2956" s="1">
        <f>IF(ISERROR(MATCH(Tabla_Items_Con_Existencia[[#This Row],[CODIGO]],Tabla_Items_Activos[CODIGO],0)),0,1)</f>
        <v>0</v>
      </c>
    </row>
    <row r="2957" spans="1:9">
      <c r="A2957" s="2" t="s">
        <v>6759</v>
      </c>
      <c r="B2957" s="2" t="s">
        <v>4094</v>
      </c>
      <c r="C2957" s="2" t="s">
        <v>4095</v>
      </c>
      <c r="D2957" s="2" t="s">
        <v>5209</v>
      </c>
      <c r="E2957" s="2" t="s">
        <v>5212</v>
      </c>
      <c r="F2957" s="2">
        <v>1.2918666700000001</v>
      </c>
      <c r="G2957" s="2">
        <v>608</v>
      </c>
      <c r="H2957" s="2">
        <f>Tabla_Items_Con_Existencia[[#This Row],[COSTO]]*Tabla_Items_Con_Existencia[[#This Row],[EXISTENCIA]]</f>
        <v>785.45493536000004</v>
      </c>
      <c r="I2957" s="1">
        <f>IF(ISERROR(MATCH(Tabla_Items_Con_Existencia[[#This Row],[CODIGO]],Tabla_Items_Activos[CODIGO],0)),0,1)</f>
        <v>0</v>
      </c>
    </row>
    <row r="2958" spans="1:9">
      <c r="A2958" s="2" t="s">
        <v>6761</v>
      </c>
      <c r="B2958" s="2" t="s">
        <v>4096</v>
      </c>
      <c r="C2958" s="2" t="s">
        <v>4097</v>
      </c>
      <c r="D2958" s="2" t="s">
        <v>5209</v>
      </c>
      <c r="E2958" s="2" t="s">
        <v>5212</v>
      </c>
      <c r="F2958" s="2">
        <v>3.5702133300000001</v>
      </c>
      <c r="G2958" s="2">
        <v>337</v>
      </c>
      <c r="H2958" s="2">
        <f>Tabla_Items_Con_Existencia[[#This Row],[COSTO]]*Tabla_Items_Con_Existencia[[#This Row],[EXISTENCIA]]</f>
        <v>1203.1618922100001</v>
      </c>
      <c r="I2958" s="1">
        <f>IF(ISERROR(MATCH(Tabla_Items_Con_Existencia[[#This Row],[CODIGO]],Tabla_Items_Activos[CODIGO],0)),0,1)</f>
        <v>0</v>
      </c>
    </row>
    <row r="2959" spans="1:9">
      <c r="A2959" s="2" t="s">
        <v>6759</v>
      </c>
      <c r="B2959" s="2" t="s">
        <v>4096</v>
      </c>
      <c r="C2959" s="2" t="s">
        <v>4097</v>
      </c>
      <c r="D2959" s="2" t="s">
        <v>5209</v>
      </c>
      <c r="E2959" s="2" t="s">
        <v>5212</v>
      </c>
      <c r="F2959" s="2">
        <v>3.5702133300000001</v>
      </c>
      <c r="G2959" s="2">
        <v>337</v>
      </c>
      <c r="H2959" s="2">
        <f>Tabla_Items_Con_Existencia[[#This Row],[COSTO]]*Tabla_Items_Con_Existencia[[#This Row],[EXISTENCIA]]</f>
        <v>1203.1618922100001</v>
      </c>
      <c r="I2959" s="1">
        <f>IF(ISERROR(MATCH(Tabla_Items_Con_Existencia[[#This Row],[CODIGO]],Tabla_Items_Activos[CODIGO],0)),0,1)</f>
        <v>0</v>
      </c>
    </row>
    <row r="2960" spans="1:9">
      <c r="A2960" s="2" t="s">
        <v>6759</v>
      </c>
      <c r="B2960" s="2" t="s">
        <v>4098</v>
      </c>
      <c r="C2960" s="2" t="s">
        <v>4099</v>
      </c>
      <c r="D2960" s="2" t="s">
        <v>5211</v>
      </c>
      <c r="E2960" s="2" t="s">
        <v>5213</v>
      </c>
      <c r="F2960" s="2">
        <v>5.15858667</v>
      </c>
      <c r="G2960" s="2">
        <v>511</v>
      </c>
      <c r="H2960" s="2">
        <f>Tabla_Items_Con_Existencia[[#This Row],[COSTO]]*Tabla_Items_Con_Existencia[[#This Row],[EXISTENCIA]]</f>
        <v>2636.0377883699998</v>
      </c>
      <c r="I2960" s="1">
        <f>IF(ISERROR(MATCH(Tabla_Items_Con_Existencia[[#This Row],[CODIGO]],Tabla_Items_Activos[CODIGO],0)),0,1)</f>
        <v>0</v>
      </c>
    </row>
    <row r="2961" spans="1:9">
      <c r="A2961" s="2" t="s">
        <v>6761</v>
      </c>
      <c r="B2961" s="2" t="s">
        <v>4098</v>
      </c>
      <c r="C2961" s="2" t="s">
        <v>4099</v>
      </c>
      <c r="D2961" s="2" t="s">
        <v>5211</v>
      </c>
      <c r="E2961" s="2" t="s">
        <v>5213</v>
      </c>
      <c r="F2961" s="2">
        <v>5.15858667</v>
      </c>
      <c r="G2961" s="2">
        <v>511</v>
      </c>
      <c r="H2961" s="2">
        <f>Tabla_Items_Con_Existencia[[#This Row],[COSTO]]*Tabla_Items_Con_Existencia[[#This Row],[EXISTENCIA]]</f>
        <v>2636.0377883699998</v>
      </c>
      <c r="I2961" s="1">
        <f>IF(ISERROR(MATCH(Tabla_Items_Con_Existencia[[#This Row],[CODIGO]],Tabla_Items_Activos[CODIGO],0)),0,1)</f>
        <v>0</v>
      </c>
    </row>
    <row r="2962" spans="1:9">
      <c r="A2962" s="2" t="s">
        <v>6761</v>
      </c>
      <c r="B2962" s="2" t="s">
        <v>4100</v>
      </c>
      <c r="C2962" s="2" t="s">
        <v>4101</v>
      </c>
      <c r="D2962" s="2" t="s">
        <v>5211</v>
      </c>
      <c r="E2962" s="2" t="s">
        <v>5213</v>
      </c>
      <c r="F2962" s="2">
        <v>2.7452000000000001</v>
      </c>
      <c r="G2962" s="2">
        <v>683</v>
      </c>
      <c r="H2962" s="2">
        <f>Tabla_Items_Con_Existencia[[#This Row],[COSTO]]*Tabla_Items_Con_Existencia[[#This Row],[EXISTENCIA]]</f>
        <v>1874.9716000000001</v>
      </c>
      <c r="I2962" s="1">
        <f>IF(ISERROR(MATCH(Tabla_Items_Con_Existencia[[#This Row],[CODIGO]],Tabla_Items_Activos[CODIGO],0)),0,1)</f>
        <v>0</v>
      </c>
    </row>
    <row r="2963" spans="1:9">
      <c r="A2963" s="2" t="s">
        <v>6759</v>
      </c>
      <c r="B2963" s="2" t="s">
        <v>4100</v>
      </c>
      <c r="C2963" s="2" t="s">
        <v>4101</v>
      </c>
      <c r="D2963" s="2" t="s">
        <v>5211</v>
      </c>
      <c r="E2963" s="2" t="s">
        <v>5213</v>
      </c>
      <c r="F2963" s="2">
        <v>2.7452000000000001</v>
      </c>
      <c r="G2963" s="2">
        <v>683</v>
      </c>
      <c r="H2963" s="2">
        <f>Tabla_Items_Con_Existencia[[#This Row],[COSTO]]*Tabla_Items_Con_Existencia[[#This Row],[EXISTENCIA]]</f>
        <v>1874.9716000000001</v>
      </c>
      <c r="I2963" s="1">
        <f>IF(ISERROR(MATCH(Tabla_Items_Con_Existencia[[#This Row],[CODIGO]],Tabla_Items_Activos[CODIGO],0)),0,1)</f>
        <v>0</v>
      </c>
    </row>
    <row r="2964" spans="1:9">
      <c r="A2964" s="2" t="s">
        <v>6759</v>
      </c>
      <c r="B2964" s="2" t="s">
        <v>4102</v>
      </c>
      <c r="C2964" s="2" t="s">
        <v>4103</v>
      </c>
      <c r="D2964" s="2" t="s">
        <v>5209</v>
      </c>
      <c r="E2964" s="2" t="s">
        <v>5212</v>
      </c>
      <c r="F2964" s="2">
        <v>11.8254</v>
      </c>
      <c r="G2964" s="2">
        <v>39</v>
      </c>
      <c r="H2964" s="2">
        <f>Tabla_Items_Con_Existencia[[#This Row],[COSTO]]*Tabla_Items_Con_Existencia[[#This Row],[EXISTENCIA]]</f>
        <v>461.19060000000002</v>
      </c>
      <c r="I2964" s="1">
        <f>IF(ISERROR(MATCH(Tabla_Items_Con_Existencia[[#This Row],[CODIGO]],Tabla_Items_Activos[CODIGO],0)),0,1)</f>
        <v>0</v>
      </c>
    </row>
    <row r="2965" spans="1:9">
      <c r="A2965" s="2" t="s">
        <v>6759</v>
      </c>
      <c r="B2965" s="2" t="s">
        <v>4104</v>
      </c>
      <c r="C2965" s="2" t="s">
        <v>4105</v>
      </c>
      <c r="D2965" s="2" t="s">
        <v>5209</v>
      </c>
      <c r="E2965" s="2" t="s">
        <v>5212</v>
      </c>
      <c r="F2965" s="2">
        <v>5.0270000000000001</v>
      </c>
      <c r="G2965" s="2">
        <v>10</v>
      </c>
      <c r="H2965" s="2">
        <f>Tabla_Items_Con_Existencia[[#This Row],[COSTO]]*Tabla_Items_Con_Existencia[[#This Row],[EXISTENCIA]]</f>
        <v>50.27</v>
      </c>
      <c r="I2965" s="1">
        <f>IF(ISERROR(MATCH(Tabla_Items_Con_Existencia[[#This Row],[CODIGO]],Tabla_Items_Activos[CODIGO],0)),0,1)</f>
        <v>0</v>
      </c>
    </row>
    <row r="2966" spans="1:9">
      <c r="A2966" s="2" t="s">
        <v>6760</v>
      </c>
      <c r="B2966" s="2" t="s">
        <v>7376</v>
      </c>
      <c r="C2966" s="2" t="s">
        <v>7377</v>
      </c>
      <c r="D2966" s="2" t="s">
        <v>7286</v>
      </c>
      <c r="E2966" s="2" t="s">
        <v>5192</v>
      </c>
      <c r="F2966" s="2">
        <v>721.79</v>
      </c>
      <c r="G2966" s="2">
        <v>1</v>
      </c>
      <c r="H2966" s="2">
        <f>Tabla_Items_Con_Existencia[[#This Row],[COSTO]]*Tabla_Items_Con_Existencia[[#This Row],[EXISTENCIA]]</f>
        <v>721.79</v>
      </c>
      <c r="I2966" s="1">
        <f>IF(ISERROR(MATCH(Tabla_Items_Con_Existencia[[#This Row],[CODIGO]],Tabla_Items_Activos[CODIGO],0)),0,1)</f>
        <v>0</v>
      </c>
    </row>
    <row r="2967" spans="1:9">
      <c r="A2967" s="2" t="s">
        <v>6760</v>
      </c>
      <c r="B2967" s="2" t="s">
        <v>4106</v>
      </c>
      <c r="C2967" s="2" t="s">
        <v>4107</v>
      </c>
      <c r="D2967" s="2" t="s">
        <v>5174</v>
      </c>
      <c r="E2967" s="2" t="s">
        <v>5168</v>
      </c>
      <c r="F2967" s="2">
        <v>0.375</v>
      </c>
      <c r="G2967" s="2">
        <v>29</v>
      </c>
      <c r="H2967" s="2">
        <f>Tabla_Items_Con_Existencia[[#This Row],[COSTO]]*Tabla_Items_Con_Existencia[[#This Row],[EXISTENCIA]]</f>
        <v>10.875</v>
      </c>
      <c r="I2967" s="1">
        <f>IF(ISERROR(MATCH(Tabla_Items_Con_Existencia[[#This Row],[CODIGO]],Tabla_Items_Activos[CODIGO],0)),0,1)</f>
        <v>0</v>
      </c>
    </row>
    <row r="2968" spans="1:9">
      <c r="A2968" s="2" t="s">
        <v>6760</v>
      </c>
      <c r="B2968" s="2" t="s">
        <v>4108</v>
      </c>
      <c r="C2968" s="2" t="s">
        <v>4109</v>
      </c>
      <c r="D2968" s="2" t="s">
        <v>5158</v>
      </c>
      <c r="E2968" s="2" t="s">
        <v>5159</v>
      </c>
      <c r="F2968" s="2">
        <v>0.47599999999999998</v>
      </c>
      <c r="G2968" s="2">
        <v>26</v>
      </c>
      <c r="H2968" s="2">
        <f>Tabla_Items_Con_Existencia[[#This Row],[COSTO]]*Tabla_Items_Con_Existencia[[#This Row],[EXISTENCIA]]</f>
        <v>12.375999999999999</v>
      </c>
      <c r="I2968" s="1">
        <f>IF(ISERROR(MATCH(Tabla_Items_Con_Existencia[[#This Row],[CODIGO]],Tabla_Items_Activos[CODIGO],0)),0,1)</f>
        <v>0</v>
      </c>
    </row>
    <row r="2969" spans="1:9">
      <c r="A2969" s="2" t="s">
        <v>6760</v>
      </c>
      <c r="B2969" s="2" t="s">
        <v>4110</v>
      </c>
      <c r="C2969" s="2" t="s">
        <v>4111</v>
      </c>
      <c r="D2969" s="2" t="s">
        <v>5158</v>
      </c>
      <c r="E2969" s="2" t="s">
        <v>5159</v>
      </c>
      <c r="F2969" s="2">
        <v>0.46899999999999997</v>
      </c>
      <c r="G2969" s="2">
        <v>39</v>
      </c>
      <c r="H2969" s="2">
        <f>Tabla_Items_Con_Existencia[[#This Row],[COSTO]]*Tabla_Items_Con_Existencia[[#This Row],[EXISTENCIA]]</f>
        <v>18.291</v>
      </c>
      <c r="I2969" s="1">
        <f>IF(ISERROR(MATCH(Tabla_Items_Con_Existencia[[#This Row],[CODIGO]],Tabla_Items_Activos[CODIGO],0)),0,1)</f>
        <v>0</v>
      </c>
    </row>
    <row r="2970" spans="1:9">
      <c r="A2970" s="2" t="s">
        <v>6760</v>
      </c>
      <c r="B2970" s="2" t="s">
        <v>4112</v>
      </c>
      <c r="C2970" s="2" t="s">
        <v>4113</v>
      </c>
      <c r="D2970" s="2" t="s">
        <v>5183</v>
      </c>
      <c r="E2970" s="2" t="s">
        <v>5168</v>
      </c>
      <c r="F2970" s="2">
        <v>0.78487368000000002</v>
      </c>
      <c r="G2970" s="2">
        <v>19</v>
      </c>
      <c r="H2970" s="2">
        <f>Tabla_Items_Con_Existencia[[#This Row],[COSTO]]*Tabla_Items_Con_Existencia[[#This Row],[EXISTENCIA]]</f>
        <v>14.91259992</v>
      </c>
      <c r="I2970" s="1">
        <f>IF(ISERROR(MATCH(Tabla_Items_Con_Existencia[[#This Row],[CODIGO]],Tabla_Items_Activos[CODIGO],0)),0,1)</f>
        <v>0</v>
      </c>
    </row>
    <row r="2971" spans="1:9">
      <c r="A2971" s="2" t="s">
        <v>6761</v>
      </c>
      <c r="B2971" s="2" t="s">
        <v>4112</v>
      </c>
      <c r="C2971" s="2" t="s">
        <v>4113</v>
      </c>
      <c r="D2971" s="2" t="s">
        <v>5183</v>
      </c>
      <c r="E2971" s="2" t="s">
        <v>5168</v>
      </c>
      <c r="F2971" s="2">
        <v>0.78487368000000002</v>
      </c>
      <c r="G2971" s="2">
        <v>19</v>
      </c>
      <c r="H2971" s="2">
        <f>Tabla_Items_Con_Existencia[[#This Row],[COSTO]]*Tabla_Items_Con_Existencia[[#This Row],[EXISTENCIA]]</f>
        <v>14.91259992</v>
      </c>
      <c r="I2971" s="1">
        <f>IF(ISERROR(MATCH(Tabla_Items_Con_Existencia[[#This Row],[CODIGO]],Tabla_Items_Activos[CODIGO],0)),0,1)</f>
        <v>0</v>
      </c>
    </row>
    <row r="2972" spans="1:9">
      <c r="A2972" s="2" t="s">
        <v>6760</v>
      </c>
      <c r="B2972" s="2" t="s">
        <v>4114</v>
      </c>
      <c r="C2972" s="2" t="s">
        <v>4115</v>
      </c>
      <c r="D2972" s="2" t="s">
        <v>5158</v>
      </c>
      <c r="E2972" s="2" t="s">
        <v>5159</v>
      </c>
      <c r="F2972" s="2">
        <v>1.0476894699999999</v>
      </c>
      <c r="G2972" s="2">
        <v>47</v>
      </c>
      <c r="H2972" s="2">
        <f>Tabla_Items_Con_Existencia[[#This Row],[COSTO]]*Tabla_Items_Con_Existencia[[#This Row],[EXISTENCIA]]</f>
        <v>49.241405089999994</v>
      </c>
      <c r="I2972" s="1">
        <f>IF(ISERROR(MATCH(Tabla_Items_Con_Existencia[[#This Row],[CODIGO]],Tabla_Items_Activos[CODIGO],0)),0,1)</f>
        <v>0</v>
      </c>
    </row>
    <row r="2973" spans="1:9">
      <c r="A2973" s="2" t="s">
        <v>6761</v>
      </c>
      <c r="B2973" s="2" t="s">
        <v>4114</v>
      </c>
      <c r="C2973" s="2" t="s">
        <v>4115</v>
      </c>
      <c r="D2973" s="2" t="s">
        <v>5158</v>
      </c>
      <c r="E2973" s="2" t="s">
        <v>5159</v>
      </c>
      <c r="F2973" s="2">
        <v>1.0476894699999999</v>
      </c>
      <c r="G2973" s="2">
        <v>47</v>
      </c>
      <c r="H2973" s="2">
        <f>Tabla_Items_Con_Existencia[[#This Row],[COSTO]]*Tabla_Items_Con_Existencia[[#This Row],[EXISTENCIA]]</f>
        <v>49.241405089999994</v>
      </c>
      <c r="I2973" s="1">
        <f>IF(ISERROR(MATCH(Tabla_Items_Con_Existencia[[#This Row],[CODIGO]],Tabla_Items_Activos[CODIGO],0)),0,1)</f>
        <v>0</v>
      </c>
    </row>
    <row r="2974" spans="1:9">
      <c r="A2974" s="2" t="s">
        <v>6761</v>
      </c>
      <c r="B2974" s="2" t="s">
        <v>7117</v>
      </c>
      <c r="C2974" s="2" t="s">
        <v>7118</v>
      </c>
      <c r="D2974" s="2" t="s">
        <v>5170</v>
      </c>
      <c r="E2974" s="2" t="s">
        <v>5168</v>
      </c>
      <c r="F2974" s="2">
        <v>5.8</v>
      </c>
      <c r="G2974" s="2">
        <v>4</v>
      </c>
      <c r="H2974" s="2">
        <f>Tabla_Items_Con_Existencia[[#This Row],[COSTO]]*Tabla_Items_Con_Existencia[[#This Row],[EXISTENCIA]]</f>
        <v>23.2</v>
      </c>
      <c r="I2974" s="1">
        <f>IF(ISERROR(MATCH(Tabla_Items_Con_Existencia[[#This Row],[CODIGO]],Tabla_Items_Activos[CODIGO],0)),0,1)</f>
        <v>0</v>
      </c>
    </row>
    <row r="2975" spans="1:9">
      <c r="A2975" s="2" t="s">
        <v>6761</v>
      </c>
      <c r="B2975" s="2" t="s">
        <v>7119</v>
      </c>
      <c r="C2975" s="2" t="s">
        <v>7120</v>
      </c>
      <c r="D2975" s="2" t="s">
        <v>5170</v>
      </c>
      <c r="E2975" s="2" t="s">
        <v>5168</v>
      </c>
      <c r="F2975" s="2">
        <v>11</v>
      </c>
      <c r="G2975" s="2">
        <v>2</v>
      </c>
      <c r="H2975" s="2">
        <f>Tabla_Items_Con_Existencia[[#This Row],[COSTO]]*Tabla_Items_Con_Existencia[[#This Row],[EXISTENCIA]]</f>
        <v>22</v>
      </c>
      <c r="I2975" s="1">
        <f>IF(ISERROR(MATCH(Tabla_Items_Con_Existencia[[#This Row],[CODIGO]],Tabla_Items_Activos[CODIGO],0)),0,1)</f>
        <v>0</v>
      </c>
    </row>
    <row r="2976" spans="1:9">
      <c r="A2976" s="2" t="s">
        <v>6760</v>
      </c>
      <c r="B2976" s="2" t="s">
        <v>4116</v>
      </c>
      <c r="C2976" s="2" t="s">
        <v>4117</v>
      </c>
      <c r="D2976" s="2" t="s">
        <v>5157</v>
      </c>
      <c r="E2976" s="2" t="s">
        <v>5168</v>
      </c>
      <c r="F2976" s="2">
        <v>10.967000000000001</v>
      </c>
      <c r="G2976" s="2">
        <v>1</v>
      </c>
      <c r="H2976" s="2">
        <f>Tabla_Items_Con_Existencia[[#This Row],[COSTO]]*Tabla_Items_Con_Existencia[[#This Row],[EXISTENCIA]]</f>
        <v>10.967000000000001</v>
      </c>
      <c r="I2976" s="1">
        <f>IF(ISERROR(MATCH(Tabla_Items_Con_Existencia[[#This Row],[CODIGO]],Tabla_Items_Activos[CODIGO],0)),0,1)</f>
        <v>0</v>
      </c>
    </row>
    <row r="2977" spans="1:9">
      <c r="A2977" s="2" t="s">
        <v>6760</v>
      </c>
      <c r="B2977" s="2" t="s">
        <v>4118</v>
      </c>
      <c r="C2977" s="2" t="s">
        <v>4119</v>
      </c>
      <c r="D2977" s="2" t="s">
        <v>5158</v>
      </c>
      <c r="E2977" s="2" t="s">
        <v>5159</v>
      </c>
      <c r="F2977" s="2">
        <v>2.5</v>
      </c>
      <c r="G2977" s="2">
        <v>2</v>
      </c>
      <c r="H2977" s="2">
        <f>Tabla_Items_Con_Existencia[[#This Row],[COSTO]]*Tabla_Items_Con_Existencia[[#This Row],[EXISTENCIA]]</f>
        <v>5</v>
      </c>
      <c r="I2977" s="1">
        <f>IF(ISERROR(MATCH(Tabla_Items_Con_Existencia[[#This Row],[CODIGO]],Tabla_Items_Activos[CODIGO],0)),0,1)</f>
        <v>0</v>
      </c>
    </row>
    <row r="2978" spans="1:9">
      <c r="A2978" s="2" t="s">
        <v>6760</v>
      </c>
      <c r="B2978" s="2" t="s">
        <v>4120</v>
      </c>
      <c r="C2978" s="2" t="s">
        <v>4121</v>
      </c>
      <c r="D2978" s="2" t="s">
        <v>5157</v>
      </c>
      <c r="E2978" s="2" t="s">
        <v>5168</v>
      </c>
      <c r="F2978" s="2">
        <v>23</v>
      </c>
      <c r="G2978" s="2">
        <v>2</v>
      </c>
      <c r="H2978" s="2">
        <f>Tabla_Items_Con_Existencia[[#This Row],[COSTO]]*Tabla_Items_Con_Existencia[[#This Row],[EXISTENCIA]]</f>
        <v>46</v>
      </c>
      <c r="I2978" s="1">
        <f>IF(ISERROR(MATCH(Tabla_Items_Con_Existencia[[#This Row],[CODIGO]],Tabla_Items_Activos[CODIGO],0)),0,1)</f>
        <v>0</v>
      </c>
    </row>
    <row r="2979" spans="1:9">
      <c r="A2979" s="2" t="s">
        <v>6760</v>
      </c>
      <c r="B2979" s="2" t="s">
        <v>4122</v>
      </c>
      <c r="C2979" s="2" t="s">
        <v>4123</v>
      </c>
      <c r="D2979" s="2" t="s">
        <v>7001</v>
      </c>
      <c r="E2979" s="2" t="s">
        <v>5168</v>
      </c>
      <c r="F2979" s="2">
        <v>7.75</v>
      </c>
      <c r="G2979" s="2">
        <v>11</v>
      </c>
      <c r="H2979" s="2">
        <f>Tabla_Items_Con_Existencia[[#This Row],[COSTO]]*Tabla_Items_Con_Existencia[[#This Row],[EXISTENCIA]]</f>
        <v>85.25</v>
      </c>
      <c r="I2979" s="1">
        <f>IF(ISERROR(MATCH(Tabla_Items_Con_Existencia[[#This Row],[CODIGO]],Tabla_Items_Activos[CODIGO],0)),0,1)</f>
        <v>0</v>
      </c>
    </row>
    <row r="2980" spans="1:9">
      <c r="A2980" s="2" t="s">
        <v>6760</v>
      </c>
      <c r="B2980" s="2" t="s">
        <v>4124</v>
      </c>
      <c r="C2980" s="2" t="s">
        <v>4125</v>
      </c>
      <c r="D2980" s="2" t="s">
        <v>5172</v>
      </c>
      <c r="E2980" s="2" t="s">
        <v>5168</v>
      </c>
      <c r="F2980" s="2">
        <v>9</v>
      </c>
      <c r="G2980" s="2">
        <v>6</v>
      </c>
      <c r="H2980" s="2">
        <f>Tabla_Items_Con_Existencia[[#This Row],[COSTO]]*Tabla_Items_Con_Existencia[[#This Row],[EXISTENCIA]]</f>
        <v>54</v>
      </c>
      <c r="I2980" s="1">
        <f>IF(ISERROR(MATCH(Tabla_Items_Con_Existencia[[#This Row],[CODIGO]],Tabla_Items_Activos[CODIGO],0)),0,1)</f>
        <v>0</v>
      </c>
    </row>
    <row r="2981" spans="1:9">
      <c r="A2981" s="2" t="s">
        <v>6760</v>
      </c>
      <c r="B2981" s="2" t="s">
        <v>4126</v>
      </c>
      <c r="C2981" s="2" t="s">
        <v>4127</v>
      </c>
      <c r="D2981" s="2" t="s">
        <v>7001</v>
      </c>
      <c r="E2981" s="2" t="s">
        <v>5168</v>
      </c>
      <c r="F2981" s="2">
        <v>2.3631578900000001</v>
      </c>
      <c r="G2981" s="2">
        <v>2</v>
      </c>
      <c r="H2981" s="2">
        <f>Tabla_Items_Con_Existencia[[#This Row],[COSTO]]*Tabla_Items_Con_Existencia[[#This Row],[EXISTENCIA]]</f>
        <v>4.7263157800000002</v>
      </c>
      <c r="I2981" s="1">
        <f>IF(ISERROR(MATCH(Tabla_Items_Con_Existencia[[#This Row],[CODIGO]],Tabla_Items_Activos[CODIGO],0)),0,1)</f>
        <v>0</v>
      </c>
    </row>
    <row r="2982" spans="1:9">
      <c r="A2982" s="2" t="s">
        <v>6761</v>
      </c>
      <c r="B2982" s="2" t="s">
        <v>4126</v>
      </c>
      <c r="C2982" s="2" t="s">
        <v>4127</v>
      </c>
      <c r="D2982" s="2" t="s">
        <v>7001</v>
      </c>
      <c r="E2982" s="2" t="s">
        <v>5168</v>
      </c>
      <c r="F2982" s="2">
        <v>2.3631578900000001</v>
      </c>
      <c r="G2982" s="2">
        <v>2</v>
      </c>
      <c r="H2982" s="2">
        <f>Tabla_Items_Con_Existencia[[#This Row],[COSTO]]*Tabla_Items_Con_Existencia[[#This Row],[EXISTENCIA]]</f>
        <v>4.7263157800000002</v>
      </c>
      <c r="I2982" s="1">
        <f>IF(ISERROR(MATCH(Tabla_Items_Con_Existencia[[#This Row],[CODIGO]],Tabla_Items_Activos[CODIGO],0)),0,1)</f>
        <v>0</v>
      </c>
    </row>
    <row r="2983" spans="1:9">
      <c r="A2983" s="2" t="s">
        <v>6760</v>
      </c>
      <c r="B2983" s="2" t="s">
        <v>4128</v>
      </c>
      <c r="C2983" s="2" t="s">
        <v>4129</v>
      </c>
      <c r="D2983" s="2" t="s">
        <v>7001</v>
      </c>
      <c r="E2983" s="2" t="s">
        <v>5168</v>
      </c>
      <c r="F2983" s="2">
        <v>6.9640000000000004</v>
      </c>
      <c r="G2983" s="2">
        <v>9</v>
      </c>
      <c r="H2983" s="2">
        <f>Tabla_Items_Con_Existencia[[#This Row],[COSTO]]*Tabla_Items_Con_Existencia[[#This Row],[EXISTENCIA]]</f>
        <v>62.676000000000002</v>
      </c>
      <c r="I2983" s="1">
        <f>IF(ISERROR(MATCH(Tabla_Items_Con_Existencia[[#This Row],[CODIGO]],Tabla_Items_Activos[CODIGO],0)),0,1)</f>
        <v>0</v>
      </c>
    </row>
    <row r="2984" spans="1:9">
      <c r="A2984" s="2" t="s">
        <v>6760</v>
      </c>
      <c r="B2984" s="2" t="s">
        <v>927</v>
      </c>
      <c r="C2984" s="2" t="s">
        <v>4130</v>
      </c>
      <c r="D2984" s="2" t="s">
        <v>7001</v>
      </c>
      <c r="E2984" s="2" t="s">
        <v>5168</v>
      </c>
      <c r="F2984" s="2">
        <v>3.42357895</v>
      </c>
      <c r="G2984" s="2">
        <v>26</v>
      </c>
      <c r="H2984" s="2">
        <f>Tabla_Items_Con_Existencia[[#This Row],[COSTO]]*Tabla_Items_Con_Existencia[[#This Row],[EXISTENCIA]]</f>
        <v>89.013052700000003</v>
      </c>
      <c r="I2984" s="1">
        <f>IF(ISERROR(MATCH(Tabla_Items_Con_Existencia[[#This Row],[CODIGO]],Tabla_Items_Activos[CODIGO],0)),0,1)</f>
        <v>0</v>
      </c>
    </row>
    <row r="2985" spans="1:9">
      <c r="A2985" s="2" t="s">
        <v>6761</v>
      </c>
      <c r="B2985" s="2" t="s">
        <v>927</v>
      </c>
      <c r="C2985" s="2" t="s">
        <v>4130</v>
      </c>
      <c r="D2985" s="2" t="s">
        <v>7001</v>
      </c>
      <c r="E2985" s="2" t="s">
        <v>5168</v>
      </c>
      <c r="F2985" s="2">
        <v>3.42357895</v>
      </c>
      <c r="G2985" s="2">
        <v>26</v>
      </c>
      <c r="H2985" s="2">
        <f>Tabla_Items_Con_Existencia[[#This Row],[COSTO]]*Tabla_Items_Con_Existencia[[#This Row],[EXISTENCIA]]</f>
        <v>89.013052700000003</v>
      </c>
      <c r="I2985" s="1">
        <f>IF(ISERROR(MATCH(Tabla_Items_Con_Existencia[[#This Row],[CODIGO]],Tabla_Items_Activos[CODIGO],0)),0,1)</f>
        <v>0</v>
      </c>
    </row>
    <row r="2986" spans="1:9">
      <c r="A2986" s="2" t="s">
        <v>6761</v>
      </c>
      <c r="B2986" s="2" t="s">
        <v>7290</v>
      </c>
      <c r="C2986" s="2" t="s">
        <v>7291</v>
      </c>
      <c r="D2986" s="2" t="s">
        <v>5211</v>
      </c>
      <c r="E2986" s="2" t="s">
        <v>5213</v>
      </c>
      <c r="F2986" s="2">
        <v>0</v>
      </c>
      <c r="G2986" s="2">
        <v>30</v>
      </c>
      <c r="H2986" s="2">
        <f>Tabla_Items_Con_Existencia[[#This Row],[COSTO]]*Tabla_Items_Con_Existencia[[#This Row],[EXISTENCIA]]</f>
        <v>0</v>
      </c>
      <c r="I2986" s="1">
        <f>IF(ISERROR(MATCH(Tabla_Items_Con_Existencia[[#This Row],[CODIGO]],Tabla_Items_Activos[CODIGO],0)),0,1)</f>
        <v>0</v>
      </c>
    </row>
    <row r="2987" spans="1:9">
      <c r="A2987" s="2" t="s">
        <v>6760</v>
      </c>
      <c r="B2987" s="2" t="s">
        <v>4131</v>
      </c>
      <c r="C2987" s="2" t="s">
        <v>4132</v>
      </c>
      <c r="D2987" s="2" t="s">
        <v>5190</v>
      </c>
      <c r="E2987" s="2" t="s">
        <v>5159</v>
      </c>
      <c r="F2987" s="2">
        <v>20.57</v>
      </c>
      <c r="G2987" s="2">
        <v>1</v>
      </c>
      <c r="H2987" s="2">
        <f>Tabla_Items_Con_Existencia[[#This Row],[COSTO]]*Tabla_Items_Con_Existencia[[#This Row],[EXISTENCIA]]</f>
        <v>20.57</v>
      </c>
      <c r="I2987" s="1">
        <f>IF(ISERROR(MATCH(Tabla_Items_Con_Existencia[[#This Row],[CODIGO]],Tabla_Items_Activos[CODIGO],0)),0,1)</f>
        <v>0</v>
      </c>
    </row>
    <row r="2988" spans="1:9">
      <c r="A2988" s="2" t="s">
        <v>6760</v>
      </c>
      <c r="B2988" s="2" t="s">
        <v>4133</v>
      </c>
      <c r="C2988" s="2" t="s">
        <v>4134</v>
      </c>
      <c r="D2988" s="2" t="s">
        <v>5157</v>
      </c>
      <c r="E2988" s="2" t="s">
        <v>5192</v>
      </c>
      <c r="F2988" s="2">
        <v>318</v>
      </c>
      <c r="G2988" s="2">
        <v>1</v>
      </c>
      <c r="H2988" s="2">
        <f>Tabla_Items_Con_Existencia[[#This Row],[COSTO]]*Tabla_Items_Con_Existencia[[#This Row],[EXISTENCIA]]</f>
        <v>318</v>
      </c>
      <c r="I2988" s="1">
        <f>IF(ISERROR(MATCH(Tabla_Items_Con_Existencia[[#This Row],[CODIGO]],Tabla_Items_Activos[CODIGO],0)),0,1)</f>
        <v>0</v>
      </c>
    </row>
    <row r="2989" spans="1:9">
      <c r="A2989" s="2" t="s">
        <v>6760</v>
      </c>
      <c r="B2989" s="2" t="s">
        <v>4135</v>
      </c>
      <c r="C2989" s="2" t="s">
        <v>4136</v>
      </c>
      <c r="D2989" s="2" t="s">
        <v>5157</v>
      </c>
      <c r="E2989" s="2" t="s">
        <v>5192</v>
      </c>
      <c r="F2989" s="2">
        <v>3.6970000000000001</v>
      </c>
      <c r="G2989" s="2">
        <v>1</v>
      </c>
      <c r="H2989" s="2">
        <f>Tabla_Items_Con_Existencia[[#This Row],[COSTO]]*Tabla_Items_Con_Existencia[[#This Row],[EXISTENCIA]]</f>
        <v>3.6970000000000001</v>
      </c>
      <c r="I2989" s="1">
        <f>IF(ISERROR(MATCH(Tabla_Items_Con_Existencia[[#This Row],[CODIGO]],Tabla_Items_Activos[CODIGO],0)),0,1)</f>
        <v>0</v>
      </c>
    </row>
    <row r="2990" spans="1:9">
      <c r="A2990" s="2" t="s">
        <v>6760</v>
      </c>
      <c r="B2990" s="2" t="s">
        <v>4137</v>
      </c>
      <c r="C2990" s="2" t="s">
        <v>4138</v>
      </c>
      <c r="D2990" s="2" t="s">
        <v>5157</v>
      </c>
      <c r="E2990" s="2" t="s">
        <v>5192</v>
      </c>
      <c r="F2990" s="2">
        <v>257.92</v>
      </c>
      <c r="G2990" s="2">
        <v>2</v>
      </c>
      <c r="H2990" s="2">
        <f>Tabla_Items_Con_Existencia[[#This Row],[COSTO]]*Tabla_Items_Con_Existencia[[#This Row],[EXISTENCIA]]</f>
        <v>515.84</v>
      </c>
      <c r="I2990" s="1">
        <f>IF(ISERROR(MATCH(Tabla_Items_Con_Existencia[[#This Row],[CODIGO]],Tabla_Items_Activos[CODIGO],0)),0,1)</f>
        <v>0</v>
      </c>
    </row>
    <row r="2991" spans="1:9">
      <c r="A2991" s="2" t="s">
        <v>6760</v>
      </c>
      <c r="B2991" s="2" t="s">
        <v>4139</v>
      </c>
      <c r="C2991" s="2" t="s">
        <v>4140</v>
      </c>
      <c r="D2991" s="2" t="s">
        <v>5157</v>
      </c>
      <c r="E2991" s="2" t="s">
        <v>5192</v>
      </c>
      <c r="F2991" s="2">
        <v>6.1749999999999998</v>
      </c>
      <c r="G2991" s="2">
        <v>4</v>
      </c>
      <c r="H2991" s="2">
        <f>Tabla_Items_Con_Existencia[[#This Row],[COSTO]]*Tabla_Items_Con_Existencia[[#This Row],[EXISTENCIA]]</f>
        <v>24.7</v>
      </c>
      <c r="I2991" s="1">
        <f>IF(ISERROR(MATCH(Tabla_Items_Con_Existencia[[#This Row],[CODIGO]],Tabla_Items_Activos[CODIGO],0)),0,1)</f>
        <v>0</v>
      </c>
    </row>
    <row r="2992" spans="1:9">
      <c r="A2992" s="2" t="s">
        <v>6760</v>
      </c>
      <c r="B2992" s="2" t="s">
        <v>4141</v>
      </c>
      <c r="C2992" s="2" t="s">
        <v>4142</v>
      </c>
      <c r="D2992" s="2" t="s">
        <v>5157</v>
      </c>
      <c r="E2992" s="2" t="s">
        <v>5192</v>
      </c>
      <c r="F2992" s="2">
        <v>1.17</v>
      </c>
      <c r="G2992" s="2">
        <v>2</v>
      </c>
      <c r="H2992" s="2">
        <f>Tabla_Items_Con_Existencia[[#This Row],[COSTO]]*Tabla_Items_Con_Existencia[[#This Row],[EXISTENCIA]]</f>
        <v>2.34</v>
      </c>
      <c r="I2992" s="1">
        <f>IF(ISERROR(MATCH(Tabla_Items_Con_Existencia[[#This Row],[CODIGO]],Tabla_Items_Activos[CODIGO],0)),0,1)</f>
        <v>0</v>
      </c>
    </row>
    <row r="2993" spans="1:9">
      <c r="A2993" s="2" t="s">
        <v>6760</v>
      </c>
      <c r="B2993" s="2" t="s">
        <v>4143</v>
      </c>
      <c r="C2993" s="2" t="s">
        <v>4144</v>
      </c>
      <c r="D2993" s="2" t="s">
        <v>5157</v>
      </c>
      <c r="E2993" s="2" t="s">
        <v>5192</v>
      </c>
      <c r="F2993" s="2">
        <v>8.9380000000000006</v>
      </c>
      <c r="G2993" s="2">
        <v>1</v>
      </c>
      <c r="H2993" s="2">
        <f>Tabla_Items_Con_Existencia[[#This Row],[COSTO]]*Tabla_Items_Con_Existencia[[#This Row],[EXISTENCIA]]</f>
        <v>8.9380000000000006</v>
      </c>
      <c r="I2993" s="1">
        <f>IF(ISERROR(MATCH(Tabla_Items_Con_Existencia[[#This Row],[CODIGO]],Tabla_Items_Activos[CODIGO],0)),0,1)</f>
        <v>0</v>
      </c>
    </row>
    <row r="2994" spans="1:9">
      <c r="A2994" s="2" t="s">
        <v>6760</v>
      </c>
      <c r="B2994" s="2" t="s">
        <v>4145</v>
      </c>
      <c r="C2994" s="2" t="s">
        <v>4146</v>
      </c>
      <c r="D2994" s="2" t="s">
        <v>5157</v>
      </c>
      <c r="E2994" s="2" t="s">
        <v>5192</v>
      </c>
      <c r="F2994" s="2">
        <v>1.403</v>
      </c>
      <c r="G2994" s="2">
        <v>2</v>
      </c>
      <c r="H2994" s="2">
        <f>Tabla_Items_Con_Existencia[[#This Row],[COSTO]]*Tabla_Items_Con_Existencia[[#This Row],[EXISTENCIA]]</f>
        <v>2.806</v>
      </c>
      <c r="I2994" s="1">
        <f>IF(ISERROR(MATCH(Tabla_Items_Con_Existencia[[#This Row],[CODIGO]],Tabla_Items_Activos[CODIGO],0)),0,1)</f>
        <v>0</v>
      </c>
    </row>
    <row r="2995" spans="1:9">
      <c r="A2995" s="2" t="s">
        <v>6760</v>
      </c>
      <c r="B2995" s="2" t="s">
        <v>4147</v>
      </c>
      <c r="C2995" s="2" t="s">
        <v>4148</v>
      </c>
      <c r="D2995" s="2" t="s">
        <v>5208</v>
      </c>
      <c r="E2995" s="2" t="s">
        <v>5159</v>
      </c>
      <c r="F2995" s="2">
        <v>137.863</v>
      </c>
      <c r="G2995" s="2">
        <v>1</v>
      </c>
      <c r="H2995" s="2">
        <f>Tabla_Items_Con_Existencia[[#This Row],[COSTO]]*Tabla_Items_Con_Existencia[[#This Row],[EXISTENCIA]]</f>
        <v>137.863</v>
      </c>
      <c r="I2995" s="1">
        <f>IF(ISERROR(MATCH(Tabla_Items_Con_Existencia[[#This Row],[CODIGO]],Tabla_Items_Activos[CODIGO],0)),0,1)</f>
        <v>0</v>
      </c>
    </row>
    <row r="2996" spans="1:9">
      <c r="A2996" s="2" t="s">
        <v>6760</v>
      </c>
      <c r="B2996" s="2" t="s">
        <v>4149</v>
      </c>
      <c r="C2996" s="2" t="s">
        <v>4150</v>
      </c>
      <c r="D2996" s="2" t="s">
        <v>5157</v>
      </c>
      <c r="E2996" s="2" t="s">
        <v>5192</v>
      </c>
      <c r="F2996" s="2">
        <v>24.68</v>
      </c>
      <c r="G2996" s="2">
        <v>2</v>
      </c>
      <c r="H2996" s="2">
        <f>Tabla_Items_Con_Existencia[[#This Row],[COSTO]]*Tabla_Items_Con_Existencia[[#This Row],[EXISTENCIA]]</f>
        <v>49.36</v>
      </c>
      <c r="I2996" s="1">
        <f>IF(ISERROR(MATCH(Tabla_Items_Con_Existencia[[#This Row],[CODIGO]],Tabla_Items_Activos[CODIGO],0)),0,1)</f>
        <v>0</v>
      </c>
    </row>
    <row r="2997" spans="1:9">
      <c r="A2997" s="2" t="s">
        <v>6760</v>
      </c>
      <c r="B2997" s="2" t="s">
        <v>4151</v>
      </c>
      <c r="C2997" s="2" t="s">
        <v>4152</v>
      </c>
      <c r="D2997" s="2" t="s">
        <v>5157</v>
      </c>
      <c r="E2997" s="2" t="s">
        <v>5192</v>
      </c>
      <c r="F2997" s="2">
        <v>5.3440000000000003</v>
      </c>
      <c r="G2997" s="2">
        <v>2</v>
      </c>
      <c r="H2997" s="2">
        <f>Tabla_Items_Con_Existencia[[#This Row],[COSTO]]*Tabla_Items_Con_Existencia[[#This Row],[EXISTENCIA]]</f>
        <v>10.688000000000001</v>
      </c>
      <c r="I2997" s="1">
        <f>IF(ISERROR(MATCH(Tabla_Items_Con_Existencia[[#This Row],[CODIGO]],Tabla_Items_Activos[CODIGO],0)),0,1)</f>
        <v>0</v>
      </c>
    </row>
    <row r="2998" spans="1:9">
      <c r="A2998" s="2" t="s">
        <v>6760</v>
      </c>
      <c r="B2998" s="2" t="s">
        <v>4153</v>
      </c>
      <c r="C2998" s="2" t="s">
        <v>4154</v>
      </c>
      <c r="D2998" s="2" t="s">
        <v>5157</v>
      </c>
      <c r="E2998" s="2" t="s">
        <v>5192</v>
      </c>
      <c r="F2998" s="2">
        <v>0.75</v>
      </c>
      <c r="G2998" s="2">
        <v>1</v>
      </c>
      <c r="H2998" s="2">
        <f>Tabla_Items_Con_Existencia[[#This Row],[COSTO]]*Tabla_Items_Con_Existencia[[#This Row],[EXISTENCIA]]</f>
        <v>0.75</v>
      </c>
      <c r="I2998" s="1">
        <f>IF(ISERROR(MATCH(Tabla_Items_Con_Existencia[[#This Row],[CODIGO]],Tabla_Items_Activos[CODIGO],0)),0,1)</f>
        <v>0</v>
      </c>
    </row>
    <row r="2999" spans="1:9">
      <c r="A2999" s="2" t="s">
        <v>6760</v>
      </c>
      <c r="B2999" s="2" t="s">
        <v>4155</v>
      </c>
      <c r="C2999" s="2" t="s">
        <v>4156</v>
      </c>
      <c r="D2999" s="2" t="s">
        <v>5157</v>
      </c>
      <c r="E2999" s="2" t="s">
        <v>5192</v>
      </c>
      <c r="F2999" s="2">
        <v>9.74</v>
      </c>
      <c r="G2999" s="2">
        <v>2</v>
      </c>
      <c r="H2999" s="2">
        <f>Tabla_Items_Con_Existencia[[#This Row],[COSTO]]*Tabla_Items_Con_Existencia[[#This Row],[EXISTENCIA]]</f>
        <v>19.48</v>
      </c>
      <c r="I2999" s="1">
        <f>IF(ISERROR(MATCH(Tabla_Items_Con_Existencia[[#This Row],[CODIGO]],Tabla_Items_Activos[CODIGO],0)),0,1)</f>
        <v>0</v>
      </c>
    </row>
    <row r="3000" spans="1:9">
      <c r="A3000" s="2" t="s">
        <v>6760</v>
      </c>
      <c r="B3000" s="2" t="s">
        <v>4157</v>
      </c>
      <c r="C3000" s="2" t="s">
        <v>4158</v>
      </c>
      <c r="D3000" s="2" t="s">
        <v>5157</v>
      </c>
      <c r="E3000" s="2" t="s">
        <v>5192</v>
      </c>
      <c r="F3000" s="2">
        <v>5.2619999999999996</v>
      </c>
      <c r="G3000" s="2">
        <v>1</v>
      </c>
      <c r="H3000" s="2">
        <f>Tabla_Items_Con_Existencia[[#This Row],[COSTO]]*Tabla_Items_Con_Existencia[[#This Row],[EXISTENCIA]]</f>
        <v>5.2619999999999996</v>
      </c>
      <c r="I3000" s="1">
        <f>IF(ISERROR(MATCH(Tabla_Items_Con_Existencia[[#This Row],[CODIGO]],Tabla_Items_Activos[CODIGO],0)),0,1)</f>
        <v>0</v>
      </c>
    </row>
    <row r="3001" spans="1:9">
      <c r="A3001" s="2" t="s">
        <v>6760</v>
      </c>
      <c r="B3001" s="2" t="s">
        <v>4159</v>
      </c>
      <c r="C3001" s="2" t="s">
        <v>4160</v>
      </c>
      <c r="D3001" s="2" t="s">
        <v>5157</v>
      </c>
      <c r="E3001" s="2" t="s">
        <v>5192</v>
      </c>
      <c r="F3001" s="2">
        <v>318</v>
      </c>
      <c r="G3001" s="2">
        <v>1</v>
      </c>
      <c r="H3001" s="2">
        <f>Tabla_Items_Con_Existencia[[#This Row],[COSTO]]*Tabla_Items_Con_Existencia[[#This Row],[EXISTENCIA]]</f>
        <v>318</v>
      </c>
      <c r="I3001" s="1">
        <f>IF(ISERROR(MATCH(Tabla_Items_Con_Existencia[[#This Row],[CODIGO]],Tabla_Items_Activos[CODIGO],0)),0,1)</f>
        <v>0</v>
      </c>
    </row>
    <row r="3002" spans="1:9">
      <c r="A3002" s="2" t="s">
        <v>6760</v>
      </c>
      <c r="B3002" s="2" t="s">
        <v>4170</v>
      </c>
      <c r="C3002" s="2" t="s">
        <v>4171</v>
      </c>
      <c r="D3002" s="2" t="s">
        <v>5158</v>
      </c>
      <c r="E3002" s="2" t="s">
        <v>5159</v>
      </c>
      <c r="F3002" s="2">
        <v>0.29399999999999998</v>
      </c>
      <c r="G3002" s="2">
        <v>6</v>
      </c>
      <c r="H3002" s="2">
        <f>Tabla_Items_Con_Existencia[[#This Row],[COSTO]]*Tabla_Items_Con_Existencia[[#This Row],[EXISTENCIA]]</f>
        <v>1.7639999999999998</v>
      </c>
      <c r="I3002" s="1">
        <f>IF(ISERROR(MATCH(Tabla_Items_Con_Existencia[[#This Row],[CODIGO]],Tabla_Items_Activos[CODIGO],0)),0,1)</f>
        <v>0</v>
      </c>
    </row>
    <row r="3003" spans="1:9">
      <c r="A3003" s="2" t="s">
        <v>6760</v>
      </c>
      <c r="B3003" s="2" t="s">
        <v>4172</v>
      </c>
      <c r="C3003" s="2" t="s">
        <v>4173</v>
      </c>
      <c r="D3003" s="2" t="s">
        <v>5158</v>
      </c>
      <c r="E3003" s="2" t="s">
        <v>5159</v>
      </c>
      <c r="F3003" s="2">
        <v>0.56100000000000005</v>
      </c>
      <c r="G3003" s="2">
        <v>15</v>
      </c>
      <c r="H3003" s="2">
        <f>Tabla_Items_Con_Existencia[[#This Row],[COSTO]]*Tabla_Items_Con_Existencia[[#This Row],[EXISTENCIA]]</f>
        <v>8.4150000000000009</v>
      </c>
      <c r="I3003" s="1">
        <f>IF(ISERROR(MATCH(Tabla_Items_Con_Existencia[[#This Row],[CODIGO]],Tabla_Items_Activos[CODIGO],0)),0,1)</f>
        <v>0</v>
      </c>
    </row>
    <row r="3004" spans="1:9">
      <c r="A3004" s="2" t="s">
        <v>6760</v>
      </c>
      <c r="B3004" s="2" t="s">
        <v>4176</v>
      </c>
      <c r="C3004" s="2" t="s">
        <v>4177</v>
      </c>
      <c r="D3004" s="2" t="s">
        <v>6365</v>
      </c>
      <c r="E3004" s="2" t="s">
        <v>5159</v>
      </c>
      <c r="F3004" s="2">
        <v>39.76</v>
      </c>
      <c r="G3004" s="2">
        <v>13</v>
      </c>
      <c r="H3004" s="2">
        <f>Tabla_Items_Con_Existencia[[#This Row],[COSTO]]*Tabla_Items_Con_Existencia[[#This Row],[EXISTENCIA]]</f>
        <v>516.88</v>
      </c>
      <c r="I3004" s="1">
        <f>IF(ISERROR(MATCH(Tabla_Items_Con_Existencia[[#This Row],[CODIGO]],Tabla_Items_Activos[CODIGO],0)),0,1)</f>
        <v>0</v>
      </c>
    </row>
    <row r="3005" spans="1:9">
      <c r="A3005" s="2" t="s">
        <v>6760</v>
      </c>
      <c r="B3005" s="2" t="s">
        <v>929</v>
      </c>
      <c r="C3005" s="2" t="s">
        <v>4178</v>
      </c>
      <c r="D3005" s="2" t="s">
        <v>5227</v>
      </c>
      <c r="E3005" s="2" t="s">
        <v>5192</v>
      </c>
      <c r="F3005" s="2">
        <v>29.27913684</v>
      </c>
      <c r="G3005" s="2">
        <v>129</v>
      </c>
      <c r="H3005" s="2">
        <f>Tabla_Items_Con_Existencia[[#This Row],[COSTO]]*Tabla_Items_Con_Existencia[[#This Row],[EXISTENCIA]]</f>
        <v>3777.0086523599998</v>
      </c>
      <c r="I3005" s="1">
        <f>IF(ISERROR(MATCH(Tabla_Items_Con_Existencia[[#This Row],[CODIGO]],Tabla_Items_Activos[CODIGO],0)),0,1)</f>
        <v>0</v>
      </c>
    </row>
    <row r="3006" spans="1:9">
      <c r="A3006" s="2" t="s">
        <v>6761</v>
      </c>
      <c r="B3006" s="2" t="s">
        <v>929</v>
      </c>
      <c r="C3006" s="2" t="s">
        <v>4178</v>
      </c>
      <c r="D3006" s="2" t="s">
        <v>5227</v>
      </c>
      <c r="E3006" s="2" t="s">
        <v>5192</v>
      </c>
      <c r="F3006" s="2">
        <v>29.27913684</v>
      </c>
      <c r="G3006" s="2">
        <v>129</v>
      </c>
      <c r="H3006" s="2">
        <f>Tabla_Items_Con_Existencia[[#This Row],[COSTO]]*Tabla_Items_Con_Existencia[[#This Row],[EXISTENCIA]]</f>
        <v>3777.0086523599998</v>
      </c>
      <c r="I3006" s="1">
        <f>IF(ISERROR(MATCH(Tabla_Items_Con_Existencia[[#This Row],[CODIGO]],Tabla_Items_Activos[CODIGO],0)),0,1)</f>
        <v>0</v>
      </c>
    </row>
    <row r="3007" spans="1:9">
      <c r="A3007" s="2" t="s">
        <v>6760</v>
      </c>
      <c r="B3007" s="2" t="s">
        <v>934</v>
      </c>
      <c r="C3007" s="2" t="s">
        <v>4183</v>
      </c>
      <c r="D3007" s="2" t="s">
        <v>5195</v>
      </c>
      <c r="E3007" s="2" t="s">
        <v>5159</v>
      </c>
      <c r="F3007" s="2">
        <v>38.991052629999999</v>
      </c>
      <c r="G3007" s="2">
        <v>14</v>
      </c>
      <c r="H3007" s="2">
        <f>Tabla_Items_Con_Existencia[[#This Row],[COSTO]]*Tabla_Items_Con_Existencia[[#This Row],[EXISTENCIA]]</f>
        <v>545.87473681999995</v>
      </c>
      <c r="I3007" s="1">
        <f>IF(ISERROR(MATCH(Tabla_Items_Con_Existencia[[#This Row],[CODIGO]],Tabla_Items_Activos[CODIGO],0)),0,1)</f>
        <v>0</v>
      </c>
    </row>
    <row r="3008" spans="1:9">
      <c r="A3008" s="2" t="s">
        <v>6761</v>
      </c>
      <c r="B3008" s="2" t="s">
        <v>934</v>
      </c>
      <c r="C3008" s="2" t="s">
        <v>4183</v>
      </c>
      <c r="D3008" s="2" t="s">
        <v>5195</v>
      </c>
      <c r="E3008" s="2" t="s">
        <v>5159</v>
      </c>
      <c r="F3008" s="2">
        <v>38.991052629999999</v>
      </c>
      <c r="G3008" s="2">
        <v>14</v>
      </c>
      <c r="H3008" s="2">
        <f>Tabla_Items_Con_Existencia[[#This Row],[COSTO]]*Tabla_Items_Con_Existencia[[#This Row],[EXISTENCIA]]</f>
        <v>545.87473681999995</v>
      </c>
      <c r="I3008" s="1">
        <f>IF(ISERROR(MATCH(Tabla_Items_Con_Existencia[[#This Row],[CODIGO]],Tabla_Items_Activos[CODIGO],0)),0,1)</f>
        <v>0</v>
      </c>
    </row>
    <row r="3009" spans="1:9">
      <c r="A3009" s="2" t="s">
        <v>6760</v>
      </c>
      <c r="B3009" s="2" t="s">
        <v>935</v>
      </c>
      <c r="C3009" s="2" t="s">
        <v>4184</v>
      </c>
      <c r="D3009" s="2" t="s">
        <v>5195</v>
      </c>
      <c r="E3009" s="2" t="s">
        <v>5159</v>
      </c>
      <c r="F3009" s="2">
        <v>29.866237040000001</v>
      </c>
      <c r="G3009" s="2">
        <v>44</v>
      </c>
      <c r="H3009" s="2">
        <f>Tabla_Items_Con_Existencia[[#This Row],[COSTO]]*Tabla_Items_Con_Existencia[[#This Row],[EXISTENCIA]]</f>
        <v>1314.1144297600001</v>
      </c>
      <c r="I3009" s="1">
        <f>IF(ISERROR(MATCH(Tabla_Items_Con_Existencia[[#This Row],[CODIGO]],Tabla_Items_Activos[CODIGO],0)),0,1)</f>
        <v>0</v>
      </c>
    </row>
    <row r="3010" spans="1:9">
      <c r="A3010" s="2" t="s">
        <v>6761</v>
      </c>
      <c r="B3010" s="2" t="s">
        <v>935</v>
      </c>
      <c r="C3010" s="2" t="s">
        <v>4184</v>
      </c>
      <c r="D3010" s="2" t="s">
        <v>5195</v>
      </c>
      <c r="E3010" s="2" t="s">
        <v>5159</v>
      </c>
      <c r="F3010" s="2">
        <v>29.866237040000001</v>
      </c>
      <c r="G3010" s="2">
        <v>44</v>
      </c>
      <c r="H3010" s="2">
        <f>Tabla_Items_Con_Existencia[[#This Row],[COSTO]]*Tabla_Items_Con_Existencia[[#This Row],[EXISTENCIA]]</f>
        <v>1314.1144297600001</v>
      </c>
      <c r="I3010" s="1">
        <f>IF(ISERROR(MATCH(Tabla_Items_Con_Existencia[[#This Row],[CODIGO]],Tabla_Items_Activos[CODIGO],0)),0,1)</f>
        <v>0</v>
      </c>
    </row>
    <row r="3011" spans="1:9">
      <c r="A3011" s="2" t="s">
        <v>6759</v>
      </c>
      <c r="B3011" s="2" t="s">
        <v>935</v>
      </c>
      <c r="C3011" s="2" t="s">
        <v>4184</v>
      </c>
      <c r="D3011" s="2" t="s">
        <v>5195</v>
      </c>
      <c r="E3011" s="2" t="s">
        <v>5159</v>
      </c>
      <c r="F3011" s="2">
        <v>29.866237040000001</v>
      </c>
      <c r="G3011" s="2">
        <v>44</v>
      </c>
      <c r="H3011" s="2">
        <f>Tabla_Items_Con_Existencia[[#This Row],[COSTO]]*Tabla_Items_Con_Existencia[[#This Row],[EXISTENCIA]]</f>
        <v>1314.1144297600001</v>
      </c>
      <c r="I3011" s="1">
        <f>IF(ISERROR(MATCH(Tabla_Items_Con_Existencia[[#This Row],[CODIGO]],Tabla_Items_Activos[CODIGO],0)),0,1)</f>
        <v>0</v>
      </c>
    </row>
    <row r="3012" spans="1:9">
      <c r="A3012" s="2" t="s">
        <v>6760</v>
      </c>
      <c r="B3012" s="2" t="s">
        <v>6734</v>
      </c>
      <c r="C3012" s="2" t="s">
        <v>6735</v>
      </c>
      <c r="D3012" s="2" t="s">
        <v>5158</v>
      </c>
      <c r="E3012" s="2" t="s">
        <v>5159</v>
      </c>
      <c r="F3012" s="2">
        <v>0.1</v>
      </c>
      <c r="G3012" s="2">
        <v>28</v>
      </c>
      <c r="H3012" s="2">
        <f>Tabla_Items_Con_Existencia[[#This Row],[COSTO]]*Tabla_Items_Con_Existencia[[#This Row],[EXISTENCIA]]</f>
        <v>2.8000000000000003</v>
      </c>
      <c r="I3012" s="1">
        <f>IF(ISERROR(MATCH(Tabla_Items_Con_Existencia[[#This Row],[CODIGO]],Tabla_Items_Activos[CODIGO],0)),0,1)</f>
        <v>0</v>
      </c>
    </row>
    <row r="3013" spans="1:9">
      <c r="A3013" s="2" t="s">
        <v>6760</v>
      </c>
      <c r="B3013" s="2" t="s">
        <v>4188</v>
      </c>
      <c r="C3013" s="2" t="s">
        <v>4189</v>
      </c>
      <c r="D3013" s="2" t="s">
        <v>5158</v>
      </c>
      <c r="E3013" s="2" t="s">
        <v>5159</v>
      </c>
      <c r="F3013" s="2">
        <v>2.0310000000000001</v>
      </c>
      <c r="G3013" s="2">
        <v>9</v>
      </c>
      <c r="H3013" s="2">
        <f>Tabla_Items_Con_Existencia[[#This Row],[COSTO]]*Tabla_Items_Con_Existencia[[#This Row],[EXISTENCIA]]</f>
        <v>18.279</v>
      </c>
      <c r="I3013" s="1">
        <f>IF(ISERROR(MATCH(Tabla_Items_Con_Existencia[[#This Row],[CODIGO]],Tabla_Items_Activos[CODIGO],0)),0,1)</f>
        <v>0</v>
      </c>
    </row>
    <row r="3014" spans="1:9">
      <c r="A3014" s="2" t="s">
        <v>6760</v>
      </c>
      <c r="B3014" s="2" t="s">
        <v>4194</v>
      </c>
      <c r="C3014" s="2" t="s">
        <v>1497</v>
      </c>
      <c r="D3014" s="2" t="s">
        <v>5158</v>
      </c>
      <c r="E3014" s="2" t="s">
        <v>5159</v>
      </c>
      <c r="F3014" s="2">
        <v>1.3320000000000001</v>
      </c>
      <c r="G3014" s="2">
        <v>6</v>
      </c>
      <c r="H3014" s="2">
        <f>Tabla_Items_Con_Existencia[[#This Row],[COSTO]]*Tabla_Items_Con_Existencia[[#This Row],[EXISTENCIA]]</f>
        <v>7.9920000000000009</v>
      </c>
      <c r="I3014" s="1">
        <f>IF(ISERROR(MATCH(Tabla_Items_Con_Existencia[[#This Row],[CODIGO]],Tabla_Items_Activos[CODIGO],0)),0,1)</f>
        <v>0</v>
      </c>
    </row>
    <row r="3015" spans="1:9">
      <c r="A3015" s="2" t="s">
        <v>6760</v>
      </c>
      <c r="B3015" s="2" t="s">
        <v>4197</v>
      </c>
      <c r="C3015" s="2" t="s">
        <v>4198</v>
      </c>
      <c r="D3015" s="2" t="s">
        <v>5194</v>
      </c>
      <c r="E3015" s="2" t="s">
        <v>5159</v>
      </c>
      <c r="F3015" s="2">
        <v>15.58</v>
      </c>
      <c r="G3015" s="2">
        <v>1</v>
      </c>
      <c r="H3015" s="2">
        <f>Tabla_Items_Con_Existencia[[#This Row],[COSTO]]*Tabla_Items_Con_Existencia[[#This Row],[EXISTENCIA]]</f>
        <v>15.58</v>
      </c>
      <c r="I3015" s="1">
        <f>IF(ISERROR(MATCH(Tabla_Items_Con_Existencia[[#This Row],[CODIGO]],Tabla_Items_Activos[CODIGO],0)),0,1)</f>
        <v>0</v>
      </c>
    </row>
    <row r="3016" spans="1:9">
      <c r="A3016" s="2" t="s">
        <v>6760</v>
      </c>
      <c r="B3016" s="2" t="s">
        <v>4199</v>
      </c>
      <c r="C3016" s="2" t="s">
        <v>4200</v>
      </c>
      <c r="D3016" s="2" t="s">
        <v>5194</v>
      </c>
      <c r="E3016" s="2" t="s">
        <v>5159</v>
      </c>
      <c r="F3016" s="2">
        <v>23.03</v>
      </c>
      <c r="G3016" s="2">
        <v>1</v>
      </c>
      <c r="H3016" s="2">
        <f>Tabla_Items_Con_Existencia[[#This Row],[COSTO]]*Tabla_Items_Con_Existencia[[#This Row],[EXISTENCIA]]</f>
        <v>23.03</v>
      </c>
      <c r="I3016" s="1">
        <f>IF(ISERROR(MATCH(Tabla_Items_Con_Existencia[[#This Row],[CODIGO]],Tabla_Items_Activos[CODIGO],0)),0,1)</f>
        <v>0</v>
      </c>
    </row>
    <row r="3017" spans="1:9">
      <c r="A3017" s="2" t="s">
        <v>6760</v>
      </c>
      <c r="B3017" s="2" t="s">
        <v>4201</v>
      </c>
      <c r="C3017" s="2" t="s">
        <v>4202</v>
      </c>
      <c r="D3017" s="2" t="s">
        <v>5194</v>
      </c>
      <c r="E3017" s="2" t="s">
        <v>5159</v>
      </c>
      <c r="F3017" s="2">
        <v>39.768999999999998</v>
      </c>
      <c r="G3017" s="2">
        <v>2</v>
      </c>
      <c r="H3017" s="2">
        <f>Tabla_Items_Con_Existencia[[#This Row],[COSTO]]*Tabla_Items_Con_Existencia[[#This Row],[EXISTENCIA]]</f>
        <v>79.537999999999997</v>
      </c>
      <c r="I3017" s="1">
        <f>IF(ISERROR(MATCH(Tabla_Items_Con_Existencia[[#This Row],[CODIGO]],Tabla_Items_Activos[CODIGO],0)),0,1)</f>
        <v>0</v>
      </c>
    </row>
    <row r="3018" spans="1:9">
      <c r="A3018" s="2" t="s">
        <v>6760</v>
      </c>
      <c r="B3018" s="2" t="s">
        <v>4203</v>
      </c>
      <c r="C3018" s="2" t="s">
        <v>4204</v>
      </c>
      <c r="D3018" s="2" t="s">
        <v>5194</v>
      </c>
      <c r="E3018" s="2" t="s">
        <v>5159</v>
      </c>
      <c r="F3018" s="2">
        <v>40.033000000000001</v>
      </c>
      <c r="G3018" s="2">
        <v>3</v>
      </c>
      <c r="H3018" s="2">
        <f>Tabla_Items_Con_Existencia[[#This Row],[COSTO]]*Tabla_Items_Con_Existencia[[#This Row],[EXISTENCIA]]</f>
        <v>120.099</v>
      </c>
      <c r="I3018" s="1">
        <f>IF(ISERROR(MATCH(Tabla_Items_Con_Existencia[[#This Row],[CODIGO]],Tabla_Items_Activos[CODIGO],0)),0,1)</f>
        <v>0</v>
      </c>
    </row>
    <row r="3019" spans="1:9">
      <c r="A3019" s="2" t="s">
        <v>6760</v>
      </c>
      <c r="B3019" s="2" t="s">
        <v>4205</v>
      </c>
      <c r="C3019" s="2" t="s">
        <v>2390</v>
      </c>
      <c r="D3019" s="2" t="s">
        <v>5158</v>
      </c>
      <c r="E3019" s="2" t="s">
        <v>5159</v>
      </c>
      <c r="F3019" s="2">
        <v>1.01647368</v>
      </c>
      <c r="G3019" s="2">
        <v>6</v>
      </c>
      <c r="H3019" s="2">
        <f>Tabla_Items_Con_Existencia[[#This Row],[COSTO]]*Tabla_Items_Con_Existencia[[#This Row],[EXISTENCIA]]</f>
        <v>6.0988420800000007</v>
      </c>
      <c r="I3019" s="1">
        <f>IF(ISERROR(MATCH(Tabla_Items_Con_Existencia[[#This Row],[CODIGO]],Tabla_Items_Activos[CODIGO],0)),0,1)</f>
        <v>0</v>
      </c>
    </row>
    <row r="3020" spans="1:9">
      <c r="A3020" s="2" t="s">
        <v>6761</v>
      </c>
      <c r="B3020" s="2" t="s">
        <v>4205</v>
      </c>
      <c r="C3020" s="2" t="s">
        <v>2390</v>
      </c>
      <c r="D3020" s="2" t="s">
        <v>5158</v>
      </c>
      <c r="E3020" s="2" t="s">
        <v>5159</v>
      </c>
      <c r="F3020" s="2">
        <v>1.01647368</v>
      </c>
      <c r="G3020" s="2">
        <v>6</v>
      </c>
      <c r="H3020" s="2">
        <f>Tabla_Items_Con_Existencia[[#This Row],[COSTO]]*Tabla_Items_Con_Existencia[[#This Row],[EXISTENCIA]]</f>
        <v>6.0988420800000007</v>
      </c>
      <c r="I3020" s="1">
        <f>IF(ISERROR(MATCH(Tabla_Items_Con_Existencia[[#This Row],[CODIGO]],Tabla_Items_Activos[CODIGO],0)),0,1)</f>
        <v>0</v>
      </c>
    </row>
    <row r="3021" spans="1:9">
      <c r="A3021" s="2" t="s">
        <v>6761</v>
      </c>
      <c r="B3021" s="2" t="s">
        <v>4206</v>
      </c>
      <c r="C3021" s="2" t="s">
        <v>6522</v>
      </c>
      <c r="D3021" s="2" t="s">
        <v>5158</v>
      </c>
      <c r="E3021" s="2" t="s">
        <v>5159</v>
      </c>
      <c r="F3021" s="2">
        <v>3.2211578900000002</v>
      </c>
      <c r="G3021" s="2">
        <v>9</v>
      </c>
      <c r="H3021" s="2">
        <f>Tabla_Items_Con_Existencia[[#This Row],[COSTO]]*Tabla_Items_Con_Existencia[[#This Row],[EXISTENCIA]]</f>
        <v>28.990421010000002</v>
      </c>
      <c r="I3021" s="1">
        <f>IF(ISERROR(MATCH(Tabla_Items_Con_Existencia[[#This Row],[CODIGO]],Tabla_Items_Activos[CODIGO],0)),0,1)</f>
        <v>0</v>
      </c>
    </row>
    <row r="3022" spans="1:9">
      <c r="A3022" s="2" t="s">
        <v>6760</v>
      </c>
      <c r="B3022" s="2" t="s">
        <v>4206</v>
      </c>
      <c r="C3022" s="2" t="s">
        <v>6522</v>
      </c>
      <c r="D3022" s="2" t="s">
        <v>5158</v>
      </c>
      <c r="E3022" s="2" t="s">
        <v>5159</v>
      </c>
      <c r="F3022" s="2">
        <v>3.2211578900000002</v>
      </c>
      <c r="G3022" s="2">
        <v>9</v>
      </c>
      <c r="H3022" s="2">
        <f>Tabla_Items_Con_Existencia[[#This Row],[COSTO]]*Tabla_Items_Con_Existencia[[#This Row],[EXISTENCIA]]</f>
        <v>28.990421010000002</v>
      </c>
      <c r="I3022" s="1">
        <f>IF(ISERROR(MATCH(Tabla_Items_Con_Existencia[[#This Row],[CODIGO]],Tabla_Items_Activos[CODIGO],0)),0,1)</f>
        <v>0</v>
      </c>
    </row>
    <row r="3023" spans="1:9">
      <c r="A3023" s="2" t="s">
        <v>6760</v>
      </c>
      <c r="B3023" s="2" t="s">
        <v>4208</v>
      </c>
      <c r="C3023" s="2" t="s">
        <v>4209</v>
      </c>
      <c r="D3023" s="2" t="s">
        <v>5158</v>
      </c>
      <c r="E3023" s="2" t="s">
        <v>5159</v>
      </c>
      <c r="F3023" s="2">
        <v>0.43194737</v>
      </c>
      <c r="G3023" s="2">
        <v>59</v>
      </c>
      <c r="H3023" s="2">
        <f>Tabla_Items_Con_Existencia[[#This Row],[COSTO]]*Tabla_Items_Con_Existencia[[#This Row],[EXISTENCIA]]</f>
        <v>25.484894829999998</v>
      </c>
      <c r="I3023" s="1">
        <f>IF(ISERROR(MATCH(Tabla_Items_Con_Existencia[[#This Row],[CODIGO]],Tabla_Items_Activos[CODIGO],0)),0,1)</f>
        <v>0</v>
      </c>
    </row>
    <row r="3024" spans="1:9">
      <c r="A3024" s="2" t="s">
        <v>6761</v>
      </c>
      <c r="B3024" s="2" t="s">
        <v>4208</v>
      </c>
      <c r="C3024" s="2" t="s">
        <v>4209</v>
      </c>
      <c r="D3024" s="2" t="s">
        <v>5158</v>
      </c>
      <c r="E3024" s="2" t="s">
        <v>5159</v>
      </c>
      <c r="F3024" s="2">
        <v>0.43194737</v>
      </c>
      <c r="G3024" s="2">
        <v>59</v>
      </c>
      <c r="H3024" s="2">
        <f>Tabla_Items_Con_Existencia[[#This Row],[COSTO]]*Tabla_Items_Con_Existencia[[#This Row],[EXISTENCIA]]</f>
        <v>25.484894829999998</v>
      </c>
      <c r="I3024" s="1">
        <f>IF(ISERROR(MATCH(Tabla_Items_Con_Existencia[[#This Row],[CODIGO]],Tabla_Items_Activos[CODIGO],0)),0,1)</f>
        <v>0</v>
      </c>
    </row>
    <row r="3025" spans="1:9">
      <c r="A3025" s="2" t="s">
        <v>6760</v>
      </c>
      <c r="B3025" s="2" t="s">
        <v>4210</v>
      </c>
      <c r="C3025" s="2" t="s">
        <v>4211</v>
      </c>
      <c r="D3025" s="2" t="s">
        <v>5158</v>
      </c>
      <c r="E3025" s="2" t="s">
        <v>5159</v>
      </c>
      <c r="F3025" s="2">
        <v>0.49</v>
      </c>
      <c r="G3025" s="2">
        <v>29</v>
      </c>
      <c r="H3025" s="2">
        <f>Tabla_Items_Con_Existencia[[#This Row],[COSTO]]*Tabla_Items_Con_Existencia[[#This Row],[EXISTENCIA]]</f>
        <v>14.209999999999999</v>
      </c>
      <c r="I3025" s="1">
        <f>IF(ISERROR(MATCH(Tabla_Items_Con_Existencia[[#This Row],[CODIGO]],Tabla_Items_Activos[CODIGO],0)),0,1)</f>
        <v>0</v>
      </c>
    </row>
    <row r="3026" spans="1:9">
      <c r="A3026" s="2" t="s">
        <v>6760</v>
      </c>
      <c r="B3026" s="2" t="s">
        <v>4212</v>
      </c>
      <c r="C3026" s="2" t="s">
        <v>4213</v>
      </c>
      <c r="D3026" s="2" t="s">
        <v>5158</v>
      </c>
      <c r="E3026" s="2" t="s">
        <v>5159</v>
      </c>
      <c r="F3026" s="2">
        <v>0.95784210999999997</v>
      </c>
      <c r="G3026" s="2">
        <v>36</v>
      </c>
      <c r="H3026" s="2">
        <f>Tabla_Items_Con_Existencia[[#This Row],[COSTO]]*Tabla_Items_Con_Existencia[[#This Row],[EXISTENCIA]]</f>
        <v>34.482315960000001</v>
      </c>
      <c r="I3026" s="1">
        <f>IF(ISERROR(MATCH(Tabla_Items_Con_Existencia[[#This Row],[CODIGO]],Tabla_Items_Activos[CODIGO],0)),0,1)</f>
        <v>0</v>
      </c>
    </row>
    <row r="3027" spans="1:9">
      <c r="A3027" s="2" t="s">
        <v>6761</v>
      </c>
      <c r="B3027" s="2" t="s">
        <v>4212</v>
      </c>
      <c r="C3027" s="2" t="s">
        <v>4213</v>
      </c>
      <c r="D3027" s="2" t="s">
        <v>5158</v>
      </c>
      <c r="E3027" s="2" t="s">
        <v>5159</v>
      </c>
      <c r="F3027" s="2">
        <v>0.95784210999999997</v>
      </c>
      <c r="G3027" s="2">
        <v>36</v>
      </c>
      <c r="H3027" s="2">
        <f>Tabla_Items_Con_Existencia[[#This Row],[COSTO]]*Tabla_Items_Con_Existencia[[#This Row],[EXISTENCIA]]</f>
        <v>34.482315960000001</v>
      </c>
      <c r="I3027" s="1">
        <f>IF(ISERROR(MATCH(Tabla_Items_Con_Existencia[[#This Row],[CODIGO]],Tabla_Items_Activos[CODIGO],0)),0,1)</f>
        <v>0</v>
      </c>
    </row>
    <row r="3028" spans="1:9">
      <c r="A3028" s="2" t="s">
        <v>6760</v>
      </c>
      <c r="B3028" s="2" t="s">
        <v>4215</v>
      </c>
      <c r="C3028" s="2" t="s">
        <v>4216</v>
      </c>
      <c r="D3028" s="2" t="s">
        <v>5158</v>
      </c>
      <c r="E3028" s="2" t="s">
        <v>5159</v>
      </c>
      <c r="F3028" s="2">
        <v>1.29</v>
      </c>
      <c r="G3028" s="2">
        <v>10</v>
      </c>
      <c r="H3028" s="2">
        <f>Tabla_Items_Con_Existencia[[#This Row],[COSTO]]*Tabla_Items_Con_Existencia[[#This Row],[EXISTENCIA]]</f>
        <v>12.9</v>
      </c>
      <c r="I3028" s="1">
        <f>IF(ISERROR(MATCH(Tabla_Items_Con_Existencia[[#This Row],[CODIGO]],Tabla_Items_Activos[CODIGO],0)),0,1)</f>
        <v>0</v>
      </c>
    </row>
    <row r="3029" spans="1:9">
      <c r="A3029" s="2" t="s">
        <v>6761</v>
      </c>
      <c r="B3029" s="2" t="s">
        <v>4217</v>
      </c>
      <c r="C3029" s="2" t="s">
        <v>4218</v>
      </c>
      <c r="D3029" s="2" t="s">
        <v>5158</v>
      </c>
      <c r="E3029" s="2" t="s">
        <v>5159</v>
      </c>
      <c r="F3029" s="2">
        <v>0.65884211000000004</v>
      </c>
      <c r="G3029" s="2">
        <v>1</v>
      </c>
      <c r="H3029" s="2">
        <f>Tabla_Items_Con_Existencia[[#This Row],[COSTO]]*Tabla_Items_Con_Existencia[[#This Row],[EXISTENCIA]]</f>
        <v>0.65884211000000004</v>
      </c>
      <c r="I3029" s="1">
        <f>IF(ISERROR(MATCH(Tabla_Items_Con_Existencia[[#This Row],[CODIGO]],Tabla_Items_Activos[CODIGO],0)),0,1)</f>
        <v>0</v>
      </c>
    </row>
    <row r="3030" spans="1:9">
      <c r="A3030" s="2" t="s">
        <v>6760</v>
      </c>
      <c r="B3030" s="2" t="s">
        <v>4217</v>
      </c>
      <c r="C3030" s="2" t="s">
        <v>4218</v>
      </c>
      <c r="D3030" s="2" t="s">
        <v>5158</v>
      </c>
      <c r="E3030" s="2" t="s">
        <v>5159</v>
      </c>
      <c r="F3030" s="2">
        <v>0.65884211000000004</v>
      </c>
      <c r="G3030" s="2">
        <v>1</v>
      </c>
      <c r="H3030" s="2">
        <f>Tabla_Items_Con_Existencia[[#This Row],[COSTO]]*Tabla_Items_Con_Existencia[[#This Row],[EXISTENCIA]]</f>
        <v>0.65884211000000004</v>
      </c>
      <c r="I3030" s="1">
        <f>IF(ISERROR(MATCH(Tabla_Items_Con_Existencia[[#This Row],[CODIGO]],Tabla_Items_Activos[CODIGO],0)),0,1)</f>
        <v>0</v>
      </c>
    </row>
    <row r="3031" spans="1:9">
      <c r="A3031" s="2" t="s">
        <v>6760</v>
      </c>
      <c r="B3031" s="2" t="s">
        <v>4219</v>
      </c>
      <c r="C3031" s="2" t="s">
        <v>1480</v>
      </c>
      <c r="D3031" s="2" t="s">
        <v>5158</v>
      </c>
      <c r="E3031" s="2" t="s">
        <v>5159</v>
      </c>
      <c r="F3031" s="2">
        <v>0.42526315999999997</v>
      </c>
      <c r="G3031" s="2">
        <v>11</v>
      </c>
      <c r="H3031" s="2">
        <f>Tabla_Items_Con_Existencia[[#This Row],[COSTO]]*Tabla_Items_Con_Existencia[[#This Row],[EXISTENCIA]]</f>
        <v>4.67789476</v>
      </c>
      <c r="I3031" s="1">
        <f>IF(ISERROR(MATCH(Tabla_Items_Con_Existencia[[#This Row],[CODIGO]],Tabla_Items_Activos[CODIGO],0)),0,1)</f>
        <v>0</v>
      </c>
    </row>
    <row r="3032" spans="1:9">
      <c r="A3032" s="2" t="s">
        <v>6761</v>
      </c>
      <c r="B3032" s="2" t="s">
        <v>4219</v>
      </c>
      <c r="C3032" s="2" t="s">
        <v>1480</v>
      </c>
      <c r="D3032" s="2" t="s">
        <v>5158</v>
      </c>
      <c r="E3032" s="2" t="s">
        <v>5159</v>
      </c>
      <c r="F3032" s="2">
        <v>0.42526315999999997</v>
      </c>
      <c r="G3032" s="2">
        <v>11</v>
      </c>
      <c r="H3032" s="2">
        <f>Tabla_Items_Con_Existencia[[#This Row],[COSTO]]*Tabla_Items_Con_Existencia[[#This Row],[EXISTENCIA]]</f>
        <v>4.67789476</v>
      </c>
      <c r="I3032" s="1">
        <f>IF(ISERROR(MATCH(Tabla_Items_Con_Existencia[[#This Row],[CODIGO]],Tabla_Items_Activos[CODIGO],0)),0,1)</f>
        <v>0</v>
      </c>
    </row>
    <row r="3033" spans="1:9">
      <c r="A3033" s="2" t="s">
        <v>6760</v>
      </c>
      <c r="B3033" s="2" t="s">
        <v>4220</v>
      </c>
      <c r="C3033" s="2" t="s">
        <v>4221</v>
      </c>
      <c r="D3033" s="2" t="s">
        <v>5158</v>
      </c>
      <c r="E3033" s="2" t="s">
        <v>5159</v>
      </c>
      <c r="F3033" s="2">
        <v>0.68</v>
      </c>
      <c r="G3033" s="2">
        <v>5</v>
      </c>
      <c r="H3033" s="2">
        <f>Tabla_Items_Con_Existencia[[#This Row],[COSTO]]*Tabla_Items_Con_Existencia[[#This Row],[EXISTENCIA]]</f>
        <v>3.4000000000000004</v>
      </c>
      <c r="I3033" s="1">
        <f>IF(ISERROR(MATCH(Tabla_Items_Con_Existencia[[#This Row],[CODIGO]],Tabla_Items_Activos[CODIGO],0)),0,1)</f>
        <v>0</v>
      </c>
    </row>
    <row r="3034" spans="1:9">
      <c r="A3034" s="2" t="s">
        <v>6760</v>
      </c>
      <c r="B3034" s="2" t="s">
        <v>4222</v>
      </c>
      <c r="C3034" s="2" t="s">
        <v>4223</v>
      </c>
      <c r="D3034" s="2" t="s">
        <v>5158</v>
      </c>
      <c r="E3034" s="2" t="s">
        <v>5159</v>
      </c>
      <c r="F3034" s="2">
        <v>1.1319999999999999</v>
      </c>
      <c r="G3034" s="2">
        <v>7</v>
      </c>
      <c r="H3034" s="2">
        <f>Tabla_Items_Con_Existencia[[#This Row],[COSTO]]*Tabla_Items_Con_Existencia[[#This Row],[EXISTENCIA]]</f>
        <v>7.9239999999999995</v>
      </c>
      <c r="I3034" s="1">
        <f>IF(ISERROR(MATCH(Tabla_Items_Con_Existencia[[#This Row],[CODIGO]],Tabla_Items_Activos[CODIGO],0)),0,1)</f>
        <v>0</v>
      </c>
    </row>
    <row r="3035" spans="1:9">
      <c r="A3035" s="2" t="s">
        <v>6761</v>
      </c>
      <c r="B3035" s="2" t="s">
        <v>4222</v>
      </c>
      <c r="C3035" s="2" t="s">
        <v>4223</v>
      </c>
      <c r="D3035" s="2" t="s">
        <v>5158</v>
      </c>
      <c r="E3035" s="2" t="s">
        <v>5159</v>
      </c>
      <c r="F3035" s="2">
        <v>1.1319999999999999</v>
      </c>
      <c r="G3035" s="2">
        <v>7</v>
      </c>
      <c r="H3035" s="2">
        <f>Tabla_Items_Con_Existencia[[#This Row],[COSTO]]*Tabla_Items_Con_Existencia[[#This Row],[EXISTENCIA]]</f>
        <v>7.9239999999999995</v>
      </c>
      <c r="I3035" s="1">
        <f>IF(ISERROR(MATCH(Tabla_Items_Con_Existencia[[#This Row],[CODIGO]],Tabla_Items_Activos[CODIGO],0)),0,1)</f>
        <v>0</v>
      </c>
    </row>
    <row r="3036" spans="1:9">
      <c r="A3036" s="2" t="s">
        <v>6760</v>
      </c>
      <c r="B3036" s="2" t="s">
        <v>4224</v>
      </c>
      <c r="C3036" s="2" t="s">
        <v>4225</v>
      </c>
      <c r="D3036" s="2" t="s">
        <v>5158</v>
      </c>
      <c r="E3036" s="2" t="s">
        <v>5159</v>
      </c>
      <c r="F3036" s="2">
        <v>0.28499999999999998</v>
      </c>
      <c r="G3036" s="2">
        <v>10</v>
      </c>
      <c r="H3036" s="2">
        <f>Tabla_Items_Con_Existencia[[#This Row],[COSTO]]*Tabla_Items_Con_Existencia[[#This Row],[EXISTENCIA]]</f>
        <v>2.8499999999999996</v>
      </c>
      <c r="I3036" s="1">
        <f>IF(ISERROR(MATCH(Tabla_Items_Con_Existencia[[#This Row],[CODIGO]],Tabla_Items_Activos[CODIGO],0)),0,1)</f>
        <v>0</v>
      </c>
    </row>
    <row r="3037" spans="1:9">
      <c r="A3037" s="2" t="s">
        <v>6760</v>
      </c>
      <c r="B3037" s="2" t="s">
        <v>4226</v>
      </c>
      <c r="C3037" s="2" t="s">
        <v>4227</v>
      </c>
      <c r="D3037" s="2" t="s">
        <v>5158</v>
      </c>
      <c r="E3037" s="2" t="s">
        <v>5159</v>
      </c>
      <c r="F3037" s="2">
        <v>3.1890000000000001</v>
      </c>
      <c r="G3037" s="2">
        <v>2</v>
      </c>
      <c r="H3037" s="2">
        <f>Tabla_Items_Con_Existencia[[#This Row],[COSTO]]*Tabla_Items_Con_Existencia[[#This Row],[EXISTENCIA]]</f>
        <v>6.3780000000000001</v>
      </c>
      <c r="I3037" s="1">
        <f>IF(ISERROR(MATCH(Tabla_Items_Con_Existencia[[#This Row],[CODIGO]],Tabla_Items_Activos[CODIGO],0)),0,1)</f>
        <v>0</v>
      </c>
    </row>
    <row r="3038" spans="1:9">
      <c r="A3038" s="2" t="s">
        <v>6760</v>
      </c>
      <c r="B3038" s="2" t="s">
        <v>4228</v>
      </c>
      <c r="C3038" s="2" t="s">
        <v>4229</v>
      </c>
      <c r="D3038" s="2" t="s">
        <v>5158</v>
      </c>
      <c r="E3038" s="2" t="s">
        <v>5159</v>
      </c>
      <c r="F3038" s="2">
        <v>0.248</v>
      </c>
      <c r="G3038" s="2">
        <v>15</v>
      </c>
      <c r="H3038" s="2">
        <f>Tabla_Items_Con_Existencia[[#This Row],[COSTO]]*Tabla_Items_Con_Existencia[[#This Row],[EXISTENCIA]]</f>
        <v>3.7199999999999998</v>
      </c>
      <c r="I3038" s="1">
        <f>IF(ISERROR(MATCH(Tabla_Items_Con_Existencia[[#This Row],[CODIGO]],Tabla_Items_Activos[CODIGO],0)),0,1)</f>
        <v>0</v>
      </c>
    </row>
    <row r="3039" spans="1:9">
      <c r="A3039" s="2" t="s">
        <v>6760</v>
      </c>
      <c r="B3039" s="2" t="s">
        <v>4230</v>
      </c>
      <c r="C3039" s="2" t="s">
        <v>4231</v>
      </c>
      <c r="D3039" s="2" t="s">
        <v>5158</v>
      </c>
      <c r="E3039" s="2" t="s">
        <v>5159</v>
      </c>
      <c r="F3039" s="2">
        <v>2.8889999999999998</v>
      </c>
      <c r="G3039" s="2">
        <v>1</v>
      </c>
      <c r="H3039" s="2">
        <f>Tabla_Items_Con_Existencia[[#This Row],[COSTO]]*Tabla_Items_Con_Existencia[[#This Row],[EXISTENCIA]]</f>
        <v>2.8889999999999998</v>
      </c>
      <c r="I3039" s="1">
        <f>IF(ISERROR(MATCH(Tabla_Items_Con_Existencia[[#This Row],[CODIGO]],Tabla_Items_Activos[CODIGO],0)),0,1)</f>
        <v>0</v>
      </c>
    </row>
    <row r="3040" spans="1:9">
      <c r="A3040" s="2" t="s">
        <v>6760</v>
      </c>
      <c r="B3040" s="2" t="s">
        <v>4233</v>
      </c>
      <c r="C3040" s="2" t="s">
        <v>4234</v>
      </c>
      <c r="D3040" s="2" t="s">
        <v>5158</v>
      </c>
      <c r="E3040" s="2" t="s">
        <v>5159</v>
      </c>
      <c r="F3040" s="2">
        <v>1.8720000000000001</v>
      </c>
      <c r="G3040" s="2">
        <v>5</v>
      </c>
      <c r="H3040" s="2">
        <f>Tabla_Items_Con_Existencia[[#This Row],[COSTO]]*Tabla_Items_Con_Existencia[[#This Row],[EXISTENCIA]]</f>
        <v>9.3600000000000012</v>
      </c>
      <c r="I3040" s="1">
        <f>IF(ISERROR(MATCH(Tabla_Items_Con_Existencia[[#This Row],[CODIGO]],Tabla_Items_Activos[CODIGO],0)),0,1)</f>
        <v>0</v>
      </c>
    </row>
    <row r="3041" spans="1:9">
      <c r="A3041" s="2" t="s">
        <v>6761</v>
      </c>
      <c r="B3041" s="2" t="s">
        <v>939</v>
      </c>
      <c r="C3041" s="2" t="s">
        <v>4235</v>
      </c>
      <c r="D3041" s="2" t="s">
        <v>5158</v>
      </c>
      <c r="E3041" s="2" t="s">
        <v>5159</v>
      </c>
      <c r="F3041" s="2">
        <v>17.114842110000001</v>
      </c>
      <c r="G3041" s="2">
        <v>13</v>
      </c>
      <c r="H3041" s="2">
        <f>Tabla_Items_Con_Existencia[[#This Row],[COSTO]]*Tabla_Items_Con_Existencia[[#This Row],[EXISTENCIA]]</f>
        <v>222.49294743000002</v>
      </c>
      <c r="I3041" s="1">
        <f>IF(ISERROR(MATCH(Tabla_Items_Con_Existencia[[#This Row],[CODIGO]],Tabla_Items_Activos[CODIGO],0)),0,1)</f>
        <v>0</v>
      </c>
    </row>
    <row r="3042" spans="1:9">
      <c r="A3042" s="2" t="s">
        <v>6760</v>
      </c>
      <c r="B3042" s="2" t="s">
        <v>939</v>
      </c>
      <c r="C3042" s="2" t="s">
        <v>4235</v>
      </c>
      <c r="D3042" s="2" t="s">
        <v>5158</v>
      </c>
      <c r="E3042" s="2" t="s">
        <v>5159</v>
      </c>
      <c r="F3042" s="2">
        <v>17.114842110000001</v>
      </c>
      <c r="G3042" s="2">
        <v>13</v>
      </c>
      <c r="H3042" s="2">
        <f>Tabla_Items_Con_Existencia[[#This Row],[COSTO]]*Tabla_Items_Con_Existencia[[#This Row],[EXISTENCIA]]</f>
        <v>222.49294743000002</v>
      </c>
      <c r="I3042" s="1">
        <f>IF(ISERROR(MATCH(Tabla_Items_Con_Existencia[[#This Row],[CODIGO]],Tabla_Items_Activos[CODIGO],0)),0,1)</f>
        <v>0</v>
      </c>
    </row>
    <row r="3043" spans="1:9">
      <c r="A3043" s="2" t="s">
        <v>6760</v>
      </c>
      <c r="B3043" s="2" t="s">
        <v>4237</v>
      </c>
      <c r="C3043" s="2" t="s">
        <v>4238</v>
      </c>
      <c r="D3043" s="2" t="s">
        <v>5158</v>
      </c>
      <c r="E3043" s="2" t="s">
        <v>5159</v>
      </c>
      <c r="F3043" s="2">
        <v>0.68878947000000001</v>
      </c>
      <c r="G3043" s="2">
        <v>6</v>
      </c>
      <c r="H3043" s="2">
        <f>Tabla_Items_Con_Existencia[[#This Row],[COSTO]]*Tabla_Items_Con_Existencia[[#This Row],[EXISTENCIA]]</f>
        <v>4.1327368199999999</v>
      </c>
      <c r="I3043" s="1">
        <f>IF(ISERROR(MATCH(Tabla_Items_Con_Existencia[[#This Row],[CODIGO]],Tabla_Items_Activos[CODIGO],0)),0,1)</f>
        <v>0</v>
      </c>
    </row>
    <row r="3044" spans="1:9">
      <c r="A3044" s="2" t="s">
        <v>6761</v>
      </c>
      <c r="B3044" s="2" t="s">
        <v>4237</v>
      </c>
      <c r="C3044" s="2" t="s">
        <v>4238</v>
      </c>
      <c r="D3044" s="2" t="s">
        <v>5158</v>
      </c>
      <c r="E3044" s="2" t="s">
        <v>5159</v>
      </c>
      <c r="F3044" s="2">
        <v>0.68878947000000001</v>
      </c>
      <c r="G3044" s="2">
        <v>6</v>
      </c>
      <c r="H3044" s="2">
        <f>Tabla_Items_Con_Existencia[[#This Row],[COSTO]]*Tabla_Items_Con_Existencia[[#This Row],[EXISTENCIA]]</f>
        <v>4.1327368199999999</v>
      </c>
      <c r="I3044" s="1">
        <f>IF(ISERROR(MATCH(Tabla_Items_Con_Existencia[[#This Row],[CODIGO]],Tabla_Items_Activos[CODIGO],0)),0,1)</f>
        <v>0</v>
      </c>
    </row>
    <row r="3045" spans="1:9">
      <c r="A3045" s="2" t="s">
        <v>6761</v>
      </c>
      <c r="B3045" s="2" t="s">
        <v>4241</v>
      </c>
      <c r="C3045" s="2" t="s">
        <v>4242</v>
      </c>
      <c r="D3045" s="2" t="s">
        <v>5158</v>
      </c>
      <c r="E3045" s="2" t="s">
        <v>5159</v>
      </c>
      <c r="F3045" s="2">
        <v>1.5735789499999999</v>
      </c>
      <c r="G3045" s="2">
        <v>4</v>
      </c>
      <c r="H3045" s="2">
        <f>Tabla_Items_Con_Existencia[[#This Row],[COSTO]]*Tabla_Items_Con_Existencia[[#This Row],[EXISTENCIA]]</f>
        <v>6.2943157999999997</v>
      </c>
      <c r="I3045" s="1">
        <f>IF(ISERROR(MATCH(Tabla_Items_Con_Existencia[[#This Row],[CODIGO]],Tabla_Items_Activos[CODIGO],0)),0,1)</f>
        <v>0</v>
      </c>
    </row>
    <row r="3046" spans="1:9">
      <c r="A3046" s="2" t="s">
        <v>6760</v>
      </c>
      <c r="B3046" s="2" t="s">
        <v>4241</v>
      </c>
      <c r="C3046" s="2" t="s">
        <v>4242</v>
      </c>
      <c r="D3046" s="2" t="s">
        <v>5158</v>
      </c>
      <c r="E3046" s="2" t="s">
        <v>5159</v>
      </c>
      <c r="F3046" s="2">
        <v>1.5735789499999999</v>
      </c>
      <c r="G3046" s="2">
        <v>4</v>
      </c>
      <c r="H3046" s="2">
        <f>Tabla_Items_Con_Existencia[[#This Row],[COSTO]]*Tabla_Items_Con_Existencia[[#This Row],[EXISTENCIA]]</f>
        <v>6.2943157999999997</v>
      </c>
      <c r="I3046" s="1">
        <f>IF(ISERROR(MATCH(Tabla_Items_Con_Existencia[[#This Row],[CODIGO]],Tabla_Items_Activos[CODIGO],0)),0,1)</f>
        <v>0</v>
      </c>
    </row>
    <row r="3047" spans="1:9">
      <c r="A3047" s="2" t="s">
        <v>6760</v>
      </c>
      <c r="B3047" s="2" t="s">
        <v>4243</v>
      </c>
      <c r="C3047" s="2" t="s">
        <v>7072</v>
      </c>
      <c r="D3047" s="2" t="s">
        <v>5158</v>
      </c>
      <c r="E3047" s="2" t="s">
        <v>5159</v>
      </c>
      <c r="F3047" s="2">
        <v>2.774</v>
      </c>
      <c r="G3047" s="2">
        <v>2</v>
      </c>
      <c r="H3047" s="2">
        <f>Tabla_Items_Con_Existencia[[#This Row],[COSTO]]*Tabla_Items_Con_Existencia[[#This Row],[EXISTENCIA]]</f>
        <v>5.548</v>
      </c>
      <c r="I3047" s="1">
        <f>IF(ISERROR(MATCH(Tabla_Items_Con_Existencia[[#This Row],[CODIGO]],Tabla_Items_Activos[CODIGO],0)),0,1)</f>
        <v>0</v>
      </c>
    </row>
    <row r="3048" spans="1:9">
      <c r="A3048" s="2" t="s">
        <v>6760</v>
      </c>
      <c r="B3048" s="2" t="s">
        <v>4244</v>
      </c>
      <c r="C3048" s="2" t="s">
        <v>4245</v>
      </c>
      <c r="D3048" s="2" t="s">
        <v>5158</v>
      </c>
      <c r="E3048" s="2" t="s">
        <v>5159</v>
      </c>
      <c r="F3048" s="2">
        <v>3.1160000000000001</v>
      </c>
      <c r="G3048" s="2">
        <v>9</v>
      </c>
      <c r="H3048" s="2">
        <f>Tabla_Items_Con_Existencia[[#This Row],[COSTO]]*Tabla_Items_Con_Existencia[[#This Row],[EXISTENCIA]]</f>
        <v>28.044</v>
      </c>
      <c r="I3048" s="1">
        <f>IF(ISERROR(MATCH(Tabla_Items_Con_Existencia[[#This Row],[CODIGO]],Tabla_Items_Activos[CODIGO],0)),0,1)</f>
        <v>0</v>
      </c>
    </row>
    <row r="3049" spans="1:9">
      <c r="A3049" s="2" t="s">
        <v>6760</v>
      </c>
      <c r="B3049" s="2" t="s">
        <v>4246</v>
      </c>
      <c r="C3049" s="2" t="s">
        <v>2370</v>
      </c>
      <c r="D3049" s="2" t="s">
        <v>5158</v>
      </c>
      <c r="E3049" s="2" t="s">
        <v>5159</v>
      </c>
      <c r="F3049" s="2">
        <v>0.503</v>
      </c>
      <c r="G3049" s="2">
        <v>1</v>
      </c>
      <c r="H3049" s="2">
        <f>Tabla_Items_Con_Existencia[[#This Row],[COSTO]]*Tabla_Items_Con_Existencia[[#This Row],[EXISTENCIA]]</f>
        <v>0.503</v>
      </c>
      <c r="I3049" s="1">
        <f>IF(ISERROR(MATCH(Tabla_Items_Con_Existencia[[#This Row],[CODIGO]],Tabla_Items_Activos[CODIGO],0)),0,1)</f>
        <v>0</v>
      </c>
    </row>
    <row r="3050" spans="1:9">
      <c r="A3050" s="2" t="s">
        <v>6761</v>
      </c>
      <c r="B3050" s="2" t="s">
        <v>4249</v>
      </c>
      <c r="C3050" s="2" t="s">
        <v>4250</v>
      </c>
      <c r="D3050" s="2" t="s">
        <v>5158</v>
      </c>
      <c r="E3050" s="2" t="s">
        <v>5159</v>
      </c>
      <c r="F3050" s="2">
        <v>1.3281052600000001</v>
      </c>
      <c r="G3050" s="2">
        <v>4</v>
      </c>
      <c r="H3050" s="2">
        <f>Tabla_Items_Con_Existencia[[#This Row],[COSTO]]*Tabla_Items_Con_Existencia[[#This Row],[EXISTENCIA]]</f>
        <v>5.3124210400000003</v>
      </c>
      <c r="I3050" s="1">
        <f>IF(ISERROR(MATCH(Tabla_Items_Con_Existencia[[#This Row],[CODIGO]],Tabla_Items_Activos[CODIGO],0)),0,1)</f>
        <v>0</v>
      </c>
    </row>
    <row r="3051" spans="1:9">
      <c r="A3051" s="2" t="s">
        <v>6760</v>
      </c>
      <c r="B3051" s="2" t="s">
        <v>4249</v>
      </c>
      <c r="C3051" s="2" t="s">
        <v>4250</v>
      </c>
      <c r="D3051" s="2" t="s">
        <v>5158</v>
      </c>
      <c r="E3051" s="2" t="s">
        <v>5159</v>
      </c>
      <c r="F3051" s="2">
        <v>1.3281052600000001</v>
      </c>
      <c r="G3051" s="2">
        <v>4</v>
      </c>
      <c r="H3051" s="2">
        <f>Tabla_Items_Con_Existencia[[#This Row],[COSTO]]*Tabla_Items_Con_Existencia[[#This Row],[EXISTENCIA]]</f>
        <v>5.3124210400000003</v>
      </c>
      <c r="I3051" s="1">
        <f>IF(ISERROR(MATCH(Tabla_Items_Con_Existencia[[#This Row],[CODIGO]],Tabla_Items_Activos[CODIGO],0)),0,1)</f>
        <v>0</v>
      </c>
    </row>
    <row r="3052" spans="1:9">
      <c r="A3052" s="2" t="s">
        <v>6760</v>
      </c>
      <c r="B3052" s="2" t="s">
        <v>4251</v>
      </c>
      <c r="C3052" s="2" t="s">
        <v>4252</v>
      </c>
      <c r="D3052" s="2" t="s">
        <v>5158</v>
      </c>
      <c r="E3052" s="2" t="s">
        <v>5159</v>
      </c>
      <c r="F3052" s="2">
        <v>1.5209999999999999</v>
      </c>
      <c r="G3052" s="2">
        <v>6</v>
      </c>
      <c r="H3052" s="2">
        <f>Tabla_Items_Con_Existencia[[#This Row],[COSTO]]*Tabla_Items_Con_Existencia[[#This Row],[EXISTENCIA]]</f>
        <v>9.1259999999999994</v>
      </c>
      <c r="I3052" s="1">
        <f>IF(ISERROR(MATCH(Tabla_Items_Con_Existencia[[#This Row],[CODIGO]],Tabla_Items_Activos[CODIGO],0)),0,1)</f>
        <v>0</v>
      </c>
    </row>
    <row r="3053" spans="1:9">
      <c r="A3053" s="2" t="s">
        <v>6760</v>
      </c>
      <c r="B3053" s="2" t="s">
        <v>4253</v>
      </c>
      <c r="C3053" s="2" t="s">
        <v>4254</v>
      </c>
      <c r="D3053" s="2" t="s">
        <v>5158</v>
      </c>
      <c r="E3053" s="2" t="s">
        <v>5159</v>
      </c>
      <c r="F3053" s="2">
        <v>2.3410000000000002</v>
      </c>
      <c r="G3053" s="2">
        <v>1</v>
      </c>
      <c r="H3053" s="2">
        <f>Tabla_Items_Con_Existencia[[#This Row],[COSTO]]*Tabla_Items_Con_Existencia[[#This Row],[EXISTENCIA]]</f>
        <v>2.3410000000000002</v>
      </c>
      <c r="I3053" s="1">
        <f>IF(ISERROR(MATCH(Tabla_Items_Con_Existencia[[#This Row],[CODIGO]],Tabla_Items_Activos[CODIGO],0)),0,1)</f>
        <v>0</v>
      </c>
    </row>
    <row r="3054" spans="1:9">
      <c r="A3054" s="2" t="s">
        <v>6760</v>
      </c>
      <c r="B3054" s="2" t="s">
        <v>4255</v>
      </c>
      <c r="C3054" s="2" t="s">
        <v>4256</v>
      </c>
      <c r="D3054" s="2" t="s">
        <v>5158</v>
      </c>
      <c r="E3054" s="2" t="s">
        <v>5159</v>
      </c>
      <c r="F3054" s="2">
        <v>0.46521053000000001</v>
      </c>
      <c r="G3054" s="2">
        <v>63</v>
      </c>
      <c r="H3054" s="2">
        <f>Tabla_Items_Con_Existencia[[#This Row],[COSTO]]*Tabla_Items_Con_Existencia[[#This Row],[EXISTENCIA]]</f>
        <v>29.30826339</v>
      </c>
      <c r="I3054" s="1">
        <f>IF(ISERROR(MATCH(Tabla_Items_Con_Existencia[[#This Row],[CODIGO]],Tabla_Items_Activos[CODIGO],0)),0,1)</f>
        <v>0</v>
      </c>
    </row>
    <row r="3055" spans="1:9">
      <c r="A3055" s="2" t="s">
        <v>6761</v>
      </c>
      <c r="B3055" s="2" t="s">
        <v>4255</v>
      </c>
      <c r="C3055" s="2" t="s">
        <v>4256</v>
      </c>
      <c r="D3055" s="2" t="s">
        <v>5158</v>
      </c>
      <c r="E3055" s="2" t="s">
        <v>5159</v>
      </c>
      <c r="F3055" s="2">
        <v>0.46521053000000001</v>
      </c>
      <c r="G3055" s="2">
        <v>63</v>
      </c>
      <c r="H3055" s="2">
        <f>Tabla_Items_Con_Existencia[[#This Row],[COSTO]]*Tabla_Items_Con_Existencia[[#This Row],[EXISTENCIA]]</f>
        <v>29.30826339</v>
      </c>
      <c r="I3055" s="1">
        <f>IF(ISERROR(MATCH(Tabla_Items_Con_Existencia[[#This Row],[CODIGO]],Tabla_Items_Activos[CODIGO],0)),0,1)</f>
        <v>0</v>
      </c>
    </row>
    <row r="3056" spans="1:9">
      <c r="A3056" s="2" t="s">
        <v>6760</v>
      </c>
      <c r="B3056" s="2" t="s">
        <v>4257</v>
      </c>
      <c r="C3056" s="2" t="s">
        <v>4258</v>
      </c>
      <c r="D3056" s="2" t="s">
        <v>5158</v>
      </c>
      <c r="E3056" s="2" t="s">
        <v>5159</v>
      </c>
      <c r="F3056" s="2">
        <v>0.39326316</v>
      </c>
      <c r="G3056" s="2">
        <v>2</v>
      </c>
      <c r="H3056" s="2">
        <f>Tabla_Items_Con_Existencia[[#This Row],[COSTO]]*Tabla_Items_Con_Existencia[[#This Row],[EXISTENCIA]]</f>
        <v>0.78652632</v>
      </c>
      <c r="I3056" s="1">
        <f>IF(ISERROR(MATCH(Tabla_Items_Con_Existencia[[#This Row],[CODIGO]],Tabla_Items_Activos[CODIGO],0)),0,1)</f>
        <v>0</v>
      </c>
    </row>
    <row r="3057" spans="1:9">
      <c r="A3057" s="2" t="s">
        <v>6761</v>
      </c>
      <c r="B3057" s="2" t="s">
        <v>4257</v>
      </c>
      <c r="C3057" s="2" t="s">
        <v>4258</v>
      </c>
      <c r="D3057" s="2" t="s">
        <v>5158</v>
      </c>
      <c r="E3057" s="2" t="s">
        <v>5159</v>
      </c>
      <c r="F3057" s="2">
        <v>0.39326316</v>
      </c>
      <c r="G3057" s="2">
        <v>2</v>
      </c>
      <c r="H3057" s="2">
        <f>Tabla_Items_Con_Existencia[[#This Row],[COSTO]]*Tabla_Items_Con_Existencia[[#This Row],[EXISTENCIA]]</f>
        <v>0.78652632</v>
      </c>
      <c r="I3057" s="1">
        <f>IF(ISERROR(MATCH(Tabla_Items_Con_Existencia[[#This Row],[CODIGO]],Tabla_Items_Activos[CODIGO],0)),0,1)</f>
        <v>0</v>
      </c>
    </row>
    <row r="3058" spans="1:9">
      <c r="A3058" s="2" t="s">
        <v>6760</v>
      </c>
      <c r="B3058" s="2" t="s">
        <v>4267</v>
      </c>
      <c r="C3058" s="2" t="s">
        <v>4268</v>
      </c>
      <c r="D3058" s="2" t="s">
        <v>5158</v>
      </c>
      <c r="E3058" s="2" t="s">
        <v>5159</v>
      </c>
      <c r="F3058" s="2">
        <v>1.6080000000000001</v>
      </c>
      <c r="G3058" s="2">
        <v>5</v>
      </c>
      <c r="H3058" s="2">
        <f>Tabla_Items_Con_Existencia[[#This Row],[COSTO]]*Tabla_Items_Con_Existencia[[#This Row],[EXISTENCIA]]</f>
        <v>8.0400000000000009</v>
      </c>
      <c r="I3058" s="1">
        <f>IF(ISERROR(MATCH(Tabla_Items_Con_Existencia[[#This Row],[CODIGO]],Tabla_Items_Activos[CODIGO],0)),0,1)</f>
        <v>0</v>
      </c>
    </row>
    <row r="3059" spans="1:9">
      <c r="A3059" s="2" t="s">
        <v>6760</v>
      </c>
      <c r="B3059" s="2" t="s">
        <v>4269</v>
      </c>
      <c r="C3059" s="2" t="s">
        <v>4270</v>
      </c>
      <c r="D3059" s="2" t="s">
        <v>5158</v>
      </c>
      <c r="E3059" s="2" t="s">
        <v>5159</v>
      </c>
      <c r="F3059" s="2">
        <v>7.5031315799999998</v>
      </c>
      <c r="G3059" s="2">
        <v>30</v>
      </c>
      <c r="H3059" s="2">
        <f>Tabla_Items_Con_Existencia[[#This Row],[COSTO]]*Tabla_Items_Con_Existencia[[#This Row],[EXISTENCIA]]</f>
        <v>225.09394739999999</v>
      </c>
      <c r="I3059" s="1">
        <f>IF(ISERROR(MATCH(Tabla_Items_Con_Existencia[[#This Row],[CODIGO]],Tabla_Items_Activos[CODIGO],0)),0,1)</f>
        <v>0</v>
      </c>
    </row>
    <row r="3060" spans="1:9">
      <c r="A3060" s="2" t="s">
        <v>6761</v>
      </c>
      <c r="B3060" s="2" t="s">
        <v>4269</v>
      </c>
      <c r="C3060" s="2" t="s">
        <v>4270</v>
      </c>
      <c r="D3060" s="2" t="s">
        <v>5158</v>
      </c>
      <c r="E3060" s="2" t="s">
        <v>5159</v>
      </c>
      <c r="F3060" s="2">
        <v>7.5031315799999998</v>
      </c>
      <c r="G3060" s="2">
        <v>30</v>
      </c>
      <c r="H3060" s="2">
        <f>Tabla_Items_Con_Existencia[[#This Row],[COSTO]]*Tabla_Items_Con_Existencia[[#This Row],[EXISTENCIA]]</f>
        <v>225.09394739999999</v>
      </c>
      <c r="I3060" s="1">
        <f>IF(ISERROR(MATCH(Tabla_Items_Con_Existencia[[#This Row],[CODIGO]],Tabla_Items_Activos[CODIGO],0)),0,1)</f>
        <v>0</v>
      </c>
    </row>
    <row r="3061" spans="1:9">
      <c r="A3061" s="2" t="s">
        <v>6760</v>
      </c>
      <c r="B3061" s="2" t="s">
        <v>4271</v>
      </c>
      <c r="C3061" s="2" t="s">
        <v>4272</v>
      </c>
      <c r="D3061" s="2" t="s">
        <v>5158</v>
      </c>
      <c r="E3061" s="2" t="s">
        <v>5159</v>
      </c>
      <c r="F3061" s="2">
        <v>0.77700000000000002</v>
      </c>
      <c r="G3061" s="2">
        <v>9</v>
      </c>
      <c r="H3061" s="2">
        <f>Tabla_Items_Con_Existencia[[#This Row],[COSTO]]*Tabla_Items_Con_Existencia[[#This Row],[EXISTENCIA]]</f>
        <v>6.9930000000000003</v>
      </c>
      <c r="I3061" s="1">
        <f>IF(ISERROR(MATCH(Tabla_Items_Con_Existencia[[#This Row],[CODIGO]],Tabla_Items_Activos[CODIGO],0)),0,1)</f>
        <v>0</v>
      </c>
    </row>
    <row r="3062" spans="1:9">
      <c r="A3062" s="2" t="s">
        <v>6760</v>
      </c>
      <c r="B3062" s="2" t="s">
        <v>4274</v>
      </c>
      <c r="C3062" s="2" t="s">
        <v>4275</v>
      </c>
      <c r="D3062" s="2" t="s">
        <v>5158</v>
      </c>
      <c r="E3062" s="2" t="s">
        <v>5159</v>
      </c>
      <c r="F3062" s="2">
        <v>11.477052629999999</v>
      </c>
      <c r="G3062" s="2">
        <v>13</v>
      </c>
      <c r="H3062" s="2">
        <f>Tabla_Items_Con_Existencia[[#This Row],[COSTO]]*Tabla_Items_Con_Existencia[[#This Row],[EXISTENCIA]]</f>
        <v>149.20168418999998</v>
      </c>
      <c r="I3062" s="1">
        <f>IF(ISERROR(MATCH(Tabla_Items_Con_Existencia[[#This Row],[CODIGO]],Tabla_Items_Activos[CODIGO],0)),0,1)</f>
        <v>0</v>
      </c>
    </row>
    <row r="3063" spans="1:9">
      <c r="A3063" s="2" t="s">
        <v>6761</v>
      </c>
      <c r="B3063" s="2" t="s">
        <v>4274</v>
      </c>
      <c r="C3063" s="2" t="s">
        <v>4275</v>
      </c>
      <c r="D3063" s="2" t="s">
        <v>5158</v>
      </c>
      <c r="E3063" s="2" t="s">
        <v>5159</v>
      </c>
      <c r="F3063" s="2">
        <v>11.477052629999999</v>
      </c>
      <c r="G3063" s="2">
        <v>13</v>
      </c>
      <c r="H3063" s="2">
        <f>Tabla_Items_Con_Existencia[[#This Row],[COSTO]]*Tabla_Items_Con_Existencia[[#This Row],[EXISTENCIA]]</f>
        <v>149.20168418999998</v>
      </c>
      <c r="I3063" s="1">
        <f>IF(ISERROR(MATCH(Tabla_Items_Con_Existencia[[#This Row],[CODIGO]],Tabla_Items_Activos[CODIGO],0)),0,1)</f>
        <v>0</v>
      </c>
    </row>
    <row r="3064" spans="1:9">
      <c r="A3064" s="2" t="s">
        <v>6761</v>
      </c>
      <c r="B3064" s="2" t="s">
        <v>4276</v>
      </c>
      <c r="C3064" s="2" t="s">
        <v>4277</v>
      </c>
      <c r="D3064" s="2" t="s">
        <v>5158</v>
      </c>
      <c r="E3064" s="2" t="s">
        <v>5159</v>
      </c>
      <c r="F3064" s="2">
        <v>0.70999473999999996</v>
      </c>
      <c r="G3064" s="2">
        <v>10</v>
      </c>
      <c r="H3064" s="2">
        <f>Tabla_Items_Con_Existencia[[#This Row],[COSTO]]*Tabla_Items_Con_Existencia[[#This Row],[EXISTENCIA]]</f>
        <v>7.0999473999999996</v>
      </c>
      <c r="I3064" s="1">
        <f>IF(ISERROR(MATCH(Tabla_Items_Con_Existencia[[#This Row],[CODIGO]],Tabla_Items_Activos[CODIGO],0)),0,1)</f>
        <v>0</v>
      </c>
    </row>
    <row r="3065" spans="1:9">
      <c r="A3065" s="2" t="s">
        <v>6760</v>
      </c>
      <c r="B3065" s="2" t="s">
        <v>4276</v>
      </c>
      <c r="C3065" s="2" t="s">
        <v>4277</v>
      </c>
      <c r="D3065" s="2" t="s">
        <v>5158</v>
      </c>
      <c r="E3065" s="2" t="s">
        <v>5159</v>
      </c>
      <c r="F3065" s="2">
        <v>0.70999473999999996</v>
      </c>
      <c r="G3065" s="2">
        <v>10</v>
      </c>
      <c r="H3065" s="2">
        <f>Tabla_Items_Con_Existencia[[#This Row],[COSTO]]*Tabla_Items_Con_Existencia[[#This Row],[EXISTENCIA]]</f>
        <v>7.0999473999999996</v>
      </c>
      <c r="I3065" s="1">
        <f>IF(ISERROR(MATCH(Tabla_Items_Con_Existencia[[#This Row],[CODIGO]],Tabla_Items_Activos[CODIGO],0)),0,1)</f>
        <v>0</v>
      </c>
    </row>
    <row r="3066" spans="1:9">
      <c r="A3066" s="2" t="s">
        <v>6760</v>
      </c>
      <c r="B3066" s="2" t="s">
        <v>4278</v>
      </c>
      <c r="C3066" s="2" t="s">
        <v>4279</v>
      </c>
      <c r="D3066" s="2" t="s">
        <v>5158</v>
      </c>
      <c r="E3066" s="2" t="s">
        <v>5159</v>
      </c>
      <c r="F3066" s="2">
        <v>0.42347368000000002</v>
      </c>
      <c r="G3066" s="2">
        <v>15</v>
      </c>
      <c r="H3066" s="2">
        <f>Tabla_Items_Con_Existencia[[#This Row],[COSTO]]*Tabla_Items_Con_Existencia[[#This Row],[EXISTENCIA]]</f>
        <v>6.3521052000000005</v>
      </c>
      <c r="I3066" s="1">
        <f>IF(ISERROR(MATCH(Tabla_Items_Con_Existencia[[#This Row],[CODIGO]],Tabla_Items_Activos[CODIGO],0)),0,1)</f>
        <v>0</v>
      </c>
    </row>
    <row r="3067" spans="1:9">
      <c r="A3067" s="2" t="s">
        <v>6761</v>
      </c>
      <c r="B3067" s="2" t="s">
        <v>4278</v>
      </c>
      <c r="C3067" s="2" t="s">
        <v>4279</v>
      </c>
      <c r="D3067" s="2" t="s">
        <v>5158</v>
      </c>
      <c r="E3067" s="2" t="s">
        <v>5159</v>
      </c>
      <c r="F3067" s="2">
        <v>0.42347368000000002</v>
      </c>
      <c r="G3067" s="2">
        <v>15</v>
      </c>
      <c r="H3067" s="2">
        <f>Tabla_Items_Con_Existencia[[#This Row],[COSTO]]*Tabla_Items_Con_Existencia[[#This Row],[EXISTENCIA]]</f>
        <v>6.3521052000000005</v>
      </c>
      <c r="I3067" s="1">
        <f>IF(ISERROR(MATCH(Tabla_Items_Con_Existencia[[#This Row],[CODIGO]],Tabla_Items_Activos[CODIGO],0)),0,1)</f>
        <v>0</v>
      </c>
    </row>
    <row r="3068" spans="1:9">
      <c r="A3068" s="2" t="s">
        <v>6760</v>
      </c>
      <c r="B3068" s="2" t="s">
        <v>4284</v>
      </c>
      <c r="C3068" s="2" t="s">
        <v>6345</v>
      </c>
      <c r="D3068" s="2" t="s">
        <v>5158</v>
      </c>
      <c r="E3068" s="2" t="s">
        <v>5159</v>
      </c>
      <c r="F3068" s="2">
        <v>16.452999999999999</v>
      </c>
      <c r="G3068" s="2">
        <v>7</v>
      </c>
      <c r="H3068" s="2">
        <f>Tabla_Items_Con_Existencia[[#This Row],[COSTO]]*Tabla_Items_Con_Existencia[[#This Row],[EXISTENCIA]]</f>
        <v>115.17099999999999</v>
      </c>
      <c r="I3068" s="1">
        <f>IF(ISERROR(MATCH(Tabla_Items_Con_Existencia[[#This Row],[CODIGO]],Tabla_Items_Activos[CODIGO],0)),0,1)</f>
        <v>0</v>
      </c>
    </row>
    <row r="3069" spans="1:9">
      <c r="A3069" s="2" t="s">
        <v>6760</v>
      </c>
      <c r="B3069" s="2" t="s">
        <v>4286</v>
      </c>
      <c r="C3069" s="2" t="s">
        <v>4287</v>
      </c>
      <c r="D3069" s="2" t="s">
        <v>5158</v>
      </c>
      <c r="E3069" s="2" t="s">
        <v>5159</v>
      </c>
      <c r="F3069" s="2">
        <v>21.486947369999999</v>
      </c>
      <c r="G3069" s="2">
        <v>2</v>
      </c>
      <c r="H3069" s="2">
        <f>Tabla_Items_Con_Existencia[[#This Row],[COSTO]]*Tabla_Items_Con_Existencia[[#This Row],[EXISTENCIA]]</f>
        <v>42.973894739999999</v>
      </c>
      <c r="I3069" s="1">
        <f>IF(ISERROR(MATCH(Tabla_Items_Con_Existencia[[#This Row],[CODIGO]],Tabla_Items_Activos[CODIGO],0)),0,1)</f>
        <v>0</v>
      </c>
    </row>
    <row r="3070" spans="1:9">
      <c r="A3070" s="2" t="s">
        <v>6761</v>
      </c>
      <c r="B3070" s="2" t="s">
        <v>4286</v>
      </c>
      <c r="C3070" s="2" t="s">
        <v>4287</v>
      </c>
      <c r="D3070" s="2" t="s">
        <v>5158</v>
      </c>
      <c r="E3070" s="2" t="s">
        <v>5159</v>
      </c>
      <c r="F3070" s="2">
        <v>21.486947369999999</v>
      </c>
      <c r="G3070" s="2">
        <v>2</v>
      </c>
      <c r="H3070" s="2">
        <f>Tabla_Items_Con_Existencia[[#This Row],[COSTO]]*Tabla_Items_Con_Existencia[[#This Row],[EXISTENCIA]]</f>
        <v>42.973894739999999</v>
      </c>
      <c r="I3070" s="1">
        <f>IF(ISERROR(MATCH(Tabla_Items_Con_Existencia[[#This Row],[CODIGO]],Tabla_Items_Activos[CODIGO],0)),0,1)</f>
        <v>0</v>
      </c>
    </row>
    <row r="3071" spans="1:9">
      <c r="A3071" s="2" t="s">
        <v>6760</v>
      </c>
      <c r="B3071" s="2" t="s">
        <v>4290</v>
      </c>
      <c r="C3071" s="2" t="s">
        <v>4291</v>
      </c>
      <c r="D3071" s="2" t="s">
        <v>5161</v>
      </c>
      <c r="E3071" s="2" t="s">
        <v>5159</v>
      </c>
      <c r="F3071" s="2">
        <v>0.56000000000000005</v>
      </c>
      <c r="G3071" s="2">
        <v>1</v>
      </c>
      <c r="H3071" s="2">
        <f>Tabla_Items_Con_Existencia[[#This Row],[COSTO]]*Tabla_Items_Con_Existencia[[#This Row],[EXISTENCIA]]</f>
        <v>0.56000000000000005</v>
      </c>
      <c r="I3071" s="1">
        <f>IF(ISERROR(MATCH(Tabla_Items_Con_Existencia[[#This Row],[CODIGO]],Tabla_Items_Activos[CODIGO],0)),0,1)</f>
        <v>0</v>
      </c>
    </row>
    <row r="3072" spans="1:9">
      <c r="A3072" s="2" t="s">
        <v>6760</v>
      </c>
      <c r="B3072" s="2" t="s">
        <v>4294</v>
      </c>
      <c r="C3072" s="2" t="s">
        <v>4295</v>
      </c>
      <c r="D3072" s="2" t="s">
        <v>5158</v>
      </c>
      <c r="E3072" s="2" t="s">
        <v>5159</v>
      </c>
      <c r="F3072" s="2">
        <v>0.68710526000000005</v>
      </c>
      <c r="G3072" s="2">
        <v>103</v>
      </c>
      <c r="H3072" s="2">
        <f>Tabla_Items_Con_Existencia[[#This Row],[COSTO]]*Tabla_Items_Con_Existencia[[#This Row],[EXISTENCIA]]</f>
        <v>70.771841780000003</v>
      </c>
      <c r="I3072" s="1">
        <f>IF(ISERROR(MATCH(Tabla_Items_Con_Existencia[[#This Row],[CODIGO]],Tabla_Items_Activos[CODIGO],0)),0,1)</f>
        <v>0</v>
      </c>
    </row>
    <row r="3073" spans="1:9">
      <c r="A3073" s="2" t="s">
        <v>6761</v>
      </c>
      <c r="B3073" s="2" t="s">
        <v>4294</v>
      </c>
      <c r="C3073" s="2" t="s">
        <v>4295</v>
      </c>
      <c r="D3073" s="2" t="s">
        <v>5158</v>
      </c>
      <c r="E3073" s="2" t="s">
        <v>5159</v>
      </c>
      <c r="F3073" s="2">
        <v>0.68710526000000005</v>
      </c>
      <c r="G3073" s="2">
        <v>103</v>
      </c>
      <c r="H3073" s="2">
        <f>Tabla_Items_Con_Existencia[[#This Row],[COSTO]]*Tabla_Items_Con_Existencia[[#This Row],[EXISTENCIA]]</f>
        <v>70.771841780000003</v>
      </c>
      <c r="I3073" s="1">
        <f>IF(ISERROR(MATCH(Tabla_Items_Con_Existencia[[#This Row],[CODIGO]],Tabla_Items_Activos[CODIGO],0)),0,1)</f>
        <v>0</v>
      </c>
    </row>
    <row r="3074" spans="1:9">
      <c r="A3074" s="2" t="s">
        <v>6760</v>
      </c>
      <c r="B3074" s="2" t="s">
        <v>948</v>
      </c>
      <c r="C3074" s="2" t="s">
        <v>4296</v>
      </c>
      <c r="D3074" s="2" t="s">
        <v>5158</v>
      </c>
      <c r="E3074" s="2" t="s">
        <v>5159</v>
      </c>
      <c r="F3074" s="2">
        <v>3.3660000000000001</v>
      </c>
      <c r="G3074" s="2">
        <v>1</v>
      </c>
      <c r="H3074" s="2">
        <f>Tabla_Items_Con_Existencia[[#This Row],[COSTO]]*Tabla_Items_Con_Existencia[[#This Row],[EXISTENCIA]]</f>
        <v>3.3660000000000001</v>
      </c>
      <c r="I3074" s="1">
        <f>IF(ISERROR(MATCH(Tabla_Items_Con_Existencia[[#This Row],[CODIGO]],Tabla_Items_Activos[CODIGO],0)),0,1)</f>
        <v>0</v>
      </c>
    </row>
    <row r="3075" spans="1:9">
      <c r="A3075" s="2" t="s">
        <v>6761</v>
      </c>
      <c r="B3075" s="2" t="s">
        <v>4301</v>
      </c>
      <c r="C3075" s="2" t="s">
        <v>4302</v>
      </c>
      <c r="D3075" s="2" t="s">
        <v>5158</v>
      </c>
      <c r="E3075" s="2" t="s">
        <v>5159</v>
      </c>
      <c r="F3075" s="2">
        <v>3.3817368399999999</v>
      </c>
      <c r="G3075" s="2">
        <v>9</v>
      </c>
      <c r="H3075" s="2">
        <f>Tabla_Items_Con_Existencia[[#This Row],[COSTO]]*Tabla_Items_Con_Existencia[[#This Row],[EXISTENCIA]]</f>
        <v>30.435631559999997</v>
      </c>
      <c r="I3075" s="1">
        <f>IF(ISERROR(MATCH(Tabla_Items_Con_Existencia[[#This Row],[CODIGO]],Tabla_Items_Activos[CODIGO],0)),0,1)</f>
        <v>0</v>
      </c>
    </row>
    <row r="3076" spans="1:9">
      <c r="A3076" s="2" t="s">
        <v>6760</v>
      </c>
      <c r="B3076" s="2" t="s">
        <v>4301</v>
      </c>
      <c r="C3076" s="2" t="s">
        <v>4302</v>
      </c>
      <c r="D3076" s="2" t="s">
        <v>5158</v>
      </c>
      <c r="E3076" s="2" t="s">
        <v>5159</v>
      </c>
      <c r="F3076" s="2">
        <v>3.3817368399999999</v>
      </c>
      <c r="G3076" s="2">
        <v>9</v>
      </c>
      <c r="H3076" s="2">
        <f>Tabla_Items_Con_Existencia[[#This Row],[COSTO]]*Tabla_Items_Con_Existencia[[#This Row],[EXISTENCIA]]</f>
        <v>30.435631559999997</v>
      </c>
      <c r="I3076" s="1">
        <f>IF(ISERROR(MATCH(Tabla_Items_Con_Existencia[[#This Row],[CODIGO]],Tabla_Items_Activos[CODIGO],0)),0,1)</f>
        <v>0</v>
      </c>
    </row>
    <row r="3077" spans="1:9">
      <c r="A3077" s="2" t="s">
        <v>6760</v>
      </c>
      <c r="B3077" s="2" t="s">
        <v>4303</v>
      </c>
      <c r="C3077" s="2" t="s">
        <v>4304</v>
      </c>
      <c r="D3077" s="2" t="s">
        <v>5158</v>
      </c>
      <c r="E3077" s="2" t="s">
        <v>5159</v>
      </c>
      <c r="F3077" s="2">
        <v>2.9922578899999999</v>
      </c>
      <c r="G3077" s="2">
        <v>108</v>
      </c>
      <c r="H3077" s="2">
        <f>Tabla_Items_Con_Existencia[[#This Row],[COSTO]]*Tabla_Items_Con_Existencia[[#This Row],[EXISTENCIA]]</f>
        <v>323.16385212</v>
      </c>
      <c r="I3077" s="1">
        <f>IF(ISERROR(MATCH(Tabla_Items_Con_Existencia[[#This Row],[CODIGO]],Tabla_Items_Activos[CODIGO],0)),0,1)</f>
        <v>0</v>
      </c>
    </row>
    <row r="3078" spans="1:9">
      <c r="A3078" s="2" t="s">
        <v>6761</v>
      </c>
      <c r="B3078" s="2" t="s">
        <v>4303</v>
      </c>
      <c r="C3078" s="2" t="s">
        <v>4304</v>
      </c>
      <c r="D3078" s="2" t="s">
        <v>5158</v>
      </c>
      <c r="E3078" s="2" t="s">
        <v>5159</v>
      </c>
      <c r="F3078" s="2">
        <v>2.9922578899999999</v>
      </c>
      <c r="G3078" s="2">
        <v>108</v>
      </c>
      <c r="H3078" s="2">
        <f>Tabla_Items_Con_Existencia[[#This Row],[COSTO]]*Tabla_Items_Con_Existencia[[#This Row],[EXISTENCIA]]</f>
        <v>323.16385212</v>
      </c>
      <c r="I3078" s="1">
        <f>IF(ISERROR(MATCH(Tabla_Items_Con_Existencia[[#This Row],[CODIGO]],Tabla_Items_Activos[CODIGO],0)),0,1)</f>
        <v>0</v>
      </c>
    </row>
    <row r="3079" spans="1:9">
      <c r="A3079" s="2" t="s">
        <v>6760</v>
      </c>
      <c r="B3079" s="2" t="s">
        <v>4305</v>
      </c>
      <c r="C3079" s="2" t="s">
        <v>4306</v>
      </c>
      <c r="D3079" s="2" t="s">
        <v>5158</v>
      </c>
      <c r="E3079" s="2" t="s">
        <v>5159</v>
      </c>
      <c r="F3079" s="2">
        <v>0.35599999999999998</v>
      </c>
      <c r="G3079" s="2">
        <v>6</v>
      </c>
      <c r="H3079" s="2">
        <f>Tabla_Items_Con_Existencia[[#This Row],[COSTO]]*Tabla_Items_Con_Existencia[[#This Row],[EXISTENCIA]]</f>
        <v>2.1360000000000001</v>
      </c>
      <c r="I3079" s="1">
        <f>IF(ISERROR(MATCH(Tabla_Items_Con_Existencia[[#This Row],[CODIGO]],Tabla_Items_Activos[CODIGO],0)),0,1)</f>
        <v>0</v>
      </c>
    </row>
    <row r="3080" spans="1:9">
      <c r="A3080" s="2" t="s">
        <v>6760</v>
      </c>
      <c r="B3080" s="2" t="s">
        <v>4307</v>
      </c>
      <c r="C3080" s="2" t="s">
        <v>4308</v>
      </c>
      <c r="D3080" s="2" t="s">
        <v>5158</v>
      </c>
      <c r="E3080" s="2" t="s">
        <v>5159</v>
      </c>
      <c r="F3080" s="2">
        <v>1.34415789</v>
      </c>
      <c r="G3080" s="2">
        <v>10</v>
      </c>
      <c r="H3080" s="2">
        <f>Tabla_Items_Con_Existencia[[#This Row],[COSTO]]*Tabla_Items_Con_Existencia[[#This Row],[EXISTENCIA]]</f>
        <v>13.4415789</v>
      </c>
      <c r="I3080" s="1">
        <f>IF(ISERROR(MATCH(Tabla_Items_Con_Existencia[[#This Row],[CODIGO]],Tabla_Items_Activos[CODIGO],0)),0,1)</f>
        <v>0</v>
      </c>
    </row>
    <row r="3081" spans="1:9">
      <c r="A3081" s="2" t="s">
        <v>6761</v>
      </c>
      <c r="B3081" s="2" t="s">
        <v>4307</v>
      </c>
      <c r="C3081" s="2" t="s">
        <v>4308</v>
      </c>
      <c r="D3081" s="2" t="s">
        <v>5158</v>
      </c>
      <c r="E3081" s="2" t="s">
        <v>5159</v>
      </c>
      <c r="F3081" s="2">
        <v>1.34415789</v>
      </c>
      <c r="G3081" s="2">
        <v>10</v>
      </c>
      <c r="H3081" s="2">
        <f>Tabla_Items_Con_Existencia[[#This Row],[COSTO]]*Tabla_Items_Con_Existencia[[#This Row],[EXISTENCIA]]</f>
        <v>13.4415789</v>
      </c>
      <c r="I3081" s="1">
        <f>IF(ISERROR(MATCH(Tabla_Items_Con_Existencia[[#This Row],[CODIGO]],Tabla_Items_Activos[CODIGO],0)),0,1)</f>
        <v>0</v>
      </c>
    </row>
    <row r="3082" spans="1:9">
      <c r="A3082" s="2" t="s">
        <v>6760</v>
      </c>
      <c r="B3082" s="2" t="s">
        <v>4311</v>
      </c>
      <c r="C3082" s="2" t="s">
        <v>6736</v>
      </c>
      <c r="D3082" s="2" t="s">
        <v>5158</v>
      </c>
      <c r="E3082" s="2" t="s">
        <v>5159</v>
      </c>
      <c r="F3082" s="2">
        <v>3.085</v>
      </c>
      <c r="G3082" s="2">
        <v>24</v>
      </c>
      <c r="H3082" s="2">
        <f>Tabla_Items_Con_Existencia[[#This Row],[COSTO]]*Tabla_Items_Con_Existencia[[#This Row],[EXISTENCIA]]</f>
        <v>74.039999999999992</v>
      </c>
      <c r="I3082" s="1">
        <f>IF(ISERROR(MATCH(Tabla_Items_Con_Existencia[[#This Row],[CODIGO]],Tabla_Items_Activos[CODIGO],0)),0,1)</f>
        <v>0</v>
      </c>
    </row>
    <row r="3083" spans="1:9">
      <c r="A3083" s="2" t="s">
        <v>6760</v>
      </c>
      <c r="B3083" s="2" t="s">
        <v>4315</v>
      </c>
      <c r="C3083" s="2" t="s">
        <v>2239</v>
      </c>
      <c r="D3083" s="2" t="s">
        <v>5158</v>
      </c>
      <c r="E3083" s="2" t="s">
        <v>5159</v>
      </c>
      <c r="F3083" s="2">
        <v>18.466421050000001</v>
      </c>
      <c r="G3083" s="2">
        <v>12</v>
      </c>
      <c r="H3083" s="2">
        <f>Tabla_Items_Con_Existencia[[#This Row],[COSTO]]*Tabla_Items_Con_Existencia[[#This Row],[EXISTENCIA]]</f>
        <v>221.59705260000001</v>
      </c>
      <c r="I3083" s="1">
        <f>IF(ISERROR(MATCH(Tabla_Items_Con_Existencia[[#This Row],[CODIGO]],Tabla_Items_Activos[CODIGO],0)),0,1)</f>
        <v>0</v>
      </c>
    </row>
    <row r="3084" spans="1:9">
      <c r="A3084" s="2" t="s">
        <v>6761</v>
      </c>
      <c r="B3084" s="2" t="s">
        <v>4315</v>
      </c>
      <c r="C3084" s="2" t="s">
        <v>2239</v>
      </c>
      <c r="D3084" s="2" t="s">
        <v>5158</v>
      </c>
      <c r="E3084" s="2" t="s">
        <v>5159</v>
      </c>
      <c r="F3084" s="2">
        <v>18.466421050000001</v>
      </c>
      <c r="G3084" s="2">
        <v>12</v>
      </c>
      <c r="H3084" s="2">
        <f>Tabla_Items_Con_Existencia[[#This Row],[COSTO]]*Tabla_Items_Con_Existencia[[#This Row],[EXISTENCIA]]</f>
        <v>221.59705260000001</v>
      </c>
      <c r="I3084" s="1">
        <f>IF(ISERROR(MATCH(Tabla_Items_Con_Existencia[[#This Row],[CODIGO]],Tabla_Items_Activos[CODIGO],0)),0,1)</f>
        <v>0</v>
      </c>
    </row>
    <row r="3085" spans="1:9">
      <c r="A3085" s="2" t="s">
        <v>6760</v>
      </c>
      <c r="B3085" s="2" t="s">
        <v>951</v>
      </c>
      <c r="C3085" s="2" t="s">
        <v>4320</v>
      </c>
      <c r="D3085" s="2" t="s">
        <v>5158</v>
      </c>
      <c r="E3085" s="2" t="s">
        <v>5159</v>
      </c>
      <c r="F3085" s="2">
        <v>15.398999999999999</v>
      </c>
      <c r="G3085" s="2">
        <v>12</v>
      </c>
      <c r="H3085" s="2">
        <f>Tabla_Items_Con_Existencia[[#This Row],[COSTO]]*Tabla_Items_Con_Existencia[[#This Row],[EXISTENCIA]]</f>
        <v>184.78799999999998</v>
      </c>
      <c r="I3085" s="1">
        <f>IF(ISERROR(MATCH(Tabla_Items_Con_Existencia[[#This Row],[CODIGO]],Tabla_Items_Activos[CODIGO],0)),0,1)</f>
        <v>0</v>
      </c>
    </row>
    <row r="3086" spans="1:9">
      <c r="A3086" s="2" t="s">
        <v>6760</v>
      </c>
      <c r="B3086" s="2" t="s">
        <v>4321</v>
      </c>
      <c r="C3086" s="2" t="s">
        <v>4322</v>
      </c>
      <c r="D3086" s="2" t="s">
        <v>5158</v>
      </c>
      <c r="E3086" s="2" t="s">
        <v>5159</v>
      </c>
      <c r="F3086" s="2">
        <v>1.1659999999999999</v>
      </c>
      <c r="G3086" s="2">
        <v>7</v>
      </c>
      <c r="H3086" s="2">
        <f>Tabla_Items_Con_Existencia[[#This Row],[COSTO]]*Tabla_Items_Con_Existencia[[#This Row],[EXISTENCIA]]</f>
        <v>8.161999999999999</v>
      </c>
      <c r="I3086" s="1">
        <f>IF(ISERROR(MATCH(Tabla_Items_Con_Existencia[[#This Row],[CODIGO]],Tabla_Items_Activos[CODIGO],0)),0,1)</f>
        <v>0</v>
      </c>
    </row>
    <row r="3087" spans="1:9">
      <c r="A3087" s="2" t="s">
        <v>6760</v>
      </c>
      <c r="B3087" s="2" t="s">
        <v>4324</v>
      </c>
      <c r="C3087" s="2" t="s">
        <v>4325</v>
      </c>
      <c r="D3087" s="2" t="s">
        <v>5158</v>
      </c>
      <c r="E3087" s="2" t="s">
        <v>5159</v>
      </c>
      <c r="F3087" s="2">
        <v>1.3979999999999999</v>
      </c>
      <c r="G3087" s="2">
        <v>11</v>
      </c>
      <c r="H3087" s="2">
        <f>Tabla_Items_Con_Existencia[[#This Row],[COSTO]]*Tabla_Items_Con_Existencia[[#This Row],[EXISTENCIA]]</f>
        <v>15.377999999999998</v>
      </c>
      <c r="I3087" s="1">
        <f>IF(ISERROR(MATCH(Tabla_Items_Con_Existencia[[#This Row],[CODIGO]],Tabla_Items_Activos[CODIGO],0)),0,1)</f>
        <v>0</v>
      </c>
    </row>
    <row r="3088" spans="1:9">
      <c r="A3088" s="2" t="s">
        <v>6760</v>
      </c>
      <c r="B3088" s="2" t="s">
        <v>953</v>
      </c>
      <c r="C3088" s="2" t="s">
        <v>4326</v>
      </c>
      <c r="D3088" s="2" t="s">
        <v>5158</v>
      </c>
      <c r="E3088" s="2" t="s">
        <v>5159</v>
      </c>
      <c r="F3088" s="2">
        <v>32.72121053</v>
      </c>
      <c r="G3088" s="2">
        <v>20</v>
      </c>
      <c r="H3088" s="2">
        <f>Tabla_Items_Con_Existencia[[#This Row],[COSTO]]*Tabla_Items_Con_Existencia[[#This Row],[EXISTENCIA]]</f>
        <v>654.42421060000004</v>
      </c>
      <c r="I3088" s="1">
        <f>IF(ISERROR(MATCH(Tabla_Items_Con_Existencia[[#This Row],[CODIGO]],Tabla_Items_Activos[CODIGO],0)),0,1)</f>
        <v>0</v>
      </c>
    </row>
    <row r="3089" spans="1:9">
      <c r="A3089" s="2" t="s">
        <v>6761</v>
      </c>
      <c r="B3089" s="2" t="s">
        <v>953</v>
      </c>
      <c r="C3089" s="2" t="s">
        <v>4326</v>
      </c>
      <c r="D3089" s="2" t="s">
        <v>5158</v>
      </c>
      <c r="E3089" s="2" t="s">
        <v>5159</v>
      </c>
      <c r="F3089" s="2">
        <v>32.72121053</v>
      </c>
      <c r="G3089" s="2">
        <v>20</v>
      </c>
      <c r="H3089" s="2">
        <f>Tabla_Items_Con_Existencia[[#This Row],[COSTO]]*Tabla_Items_Con_Existencia[[#This Row],[EXISTENCIA]]</f>
        <v>654.42421060000004</v>
      </c>
      <c r="I3089" s="1">
        <f>IF(ISERROR(MATCH(Tabla_Items_Con_Existencia[[#This Row],[CODIGO]],Tabla_Items_Activos[CODIGO],0)),0,1)</f>
        <v>0</v>
      </c>
    </row>
    <row r="3090" spans="1:9">
      <c r="A3090" s="2" t="s">
        <v>6760</v>
      </c>
      <c r="B3090" s="2" t="s">
        <v>4329</v>
      </c>
      <c r="C3090" s="2" t="s">
        <v>2035</v>
      </c>
      <c r="D3090" s="2" t="s">
        <v>5158</v>
      </c>
      <c r="E3090" s="2" t="s">
        <v>5159</v>
      </c>
      <c r="F3090" s="2">
        <v>21.594999999999999</v>
      </c>
      <c r="G3090" s="2">
        <v>2</v>
      </c>
      <c r="H3090" s="2">
        <f>Tabla_Items_Con_Existencia[[#This Row],[COSTO]]*Tabla_Items_Con_Existencia[[#This Row],[EXISTENCIA]]</f>
        <v>43.19</v>
      </c>
      <c r="I3090" s="1">
        <f>IF(ISERROR(MATCH(Tabla_Items_Con_Existencia[[#This Row],[CODIGO]],Tabla_Items_Activos[CODIGO],0)),0,1)</f>
        <v>0</v>
      </c>
    </row>
    <row r="3091" spans="1:9">
      <c r="A3091" s="2" t="s">
        <v>6760</v>
      </c>
      <c r="B3091" s="2" t="s">
        <v>4330</v>
      </c>
      <c r="C3091" s="2" t="s">
        <v>4331</v>
      </c>
      <c r="D3091" s="2" t="s">
        <v>5158</v>
      </c>
      <c r="E3091" s="2" t="s">
        <v>5159</v>
      </c>
      <c r="F3091" s="2">
        <v>5.5138947399999996</v>
      </c>
      <c r="G3091" s="2">
        <v>9</v>
      </c>
      <c r="H3091" s="2">
        <f>Tabla_Items_Con_Existencia[[#This Row],[COSTO]]*Tabla_Items_Con_Existencia[[#This Row],[EXISTENCIA]]</f>
        <v>49.625052659999994</v>
      </c>
      <c r="I3091" s="1">
        <f>IF(ISERROR(MATCH(Tabla_Items_Con_Existencia[[#This Row],[CODIGO]],Tabla_Items_Activos[CODIGO],0)),0,1)</f>
        <v>0</v>
      </c>
    </row>
    <row r="3092" spans="1:9">
      <c r="A3092" s="2" t="s">
        <v>6761</v>
      </c>
      <c r="B3092" s="2" t="s">
        <v>4330</v>
      </c>
      <c r="C3092" s="2" t="s">
        <v>4331</v>
      </c>
      <c r="D3092" s="2" t="s">
        <v>5158</v>
      </c>
      <c r="E3092" s="2" t="s">
        <v>5159</v>
      </c>
      <c r="F3092" s="2">
        <v>5.5138947399999996</v>
      </c>
      <c r="G3092" s="2">
        <v>9</v>
      </c>
      <c r="H3092" s="2">
        <f>Tabla_Items_Con_Existencia[[#This Row],[COSTO]]*Tabla_Items_Con_Existencia[[#This Row],[EXISTENCIA]]</f>
        <v>49.625052659999994</v>
      </c>
      <c r="I3092" s="1">
        <f>IF(ISERROR(MATCH(Tabla_Items_Con_Existencia[[#This Row],[CODIGO]],Tabla_Items_Activos[CODIGO],0)),0,1)</f>
        <v>0</v>
      </c>
    </row>
    <row r="3093" spans="1:9">
      <c r="A3093" s="2" t="s">
        <v>6760</v>
      </c>
      <c r="B3093" s="2" t="s">
        <v>4332</v>
      </c>
      <c r="C3093" s="2" t="s">
        <v>6737</v>
      </c>
      <c r="D3093" s="2" t="s">
        <v>5158</v>
      </c>
      <c r="E3093" s="2" t="s">
        <v>5159</v>
      </c>
      <c r="F3093" s="2">
        <v>0.85821053000000003</v>
      </c>
      <c r="G3093" s="2">
        <v>8</v>
      </c>
      <c r="H3093" s="2">
        <f>Tabla_Items_Con_Existencia[[#This Row],[COSTO]]*Tabla_Items_Con_Existencia[[#This Row],[EXISTENCIA]]</f>
        <v>6.8656842400000002</v>
      </c>
      <c r="I3093" s="1">
        <f>IF(ISERROR(MATCH(Tabla_Items_Con_Existencia[[#This Row],[CODIGO]],Tabla_Items_Activos[CODIGO],0)),0,1)</f>
        <v>0</v>
      </c>
    </row>
    <row r="3094" spans="1:9">
      <c r="A3094" s="2" t="s">
        <v>6761</v>
      </c>
      <c r="B3094" s="2" t="s">
        <v>4332</v>
      </c>
      <c r="C3094" s="2" t="s">
        <v>6737</v>
      </c>
      <c r="D3094" s="2" t="s">
        <v>5158</v>
      </c>
      <c r="E3094" s="2" t="s">
        <v>5159</v>
      </c>
      <c r="F3094" s="2">
        <v>0.85821053000000003</v>
      </c>
      <c r="G3094" s="2">
        <v>8</v>
      </c>
      <c r="H3094" s="2">
        <f>Tabla_Items_Con_Existencia[[#This Row],[COSTO]]*Tabla_Items_Con_Existencia[[#This Row],[EXISTENCIA]]</f>
        <v>6.8656842400000002</v>
      </c>
      <c r="I3094" s="1">
        <f>IF(ISERROR(MATCH(Tabla_Items_Con_Existencia[[#This Row],[CODIGO]],Tabla_Items_Activos[CODIGO],0)),0,1)</f>
        <v>0</v>
      </c>
    </row>
    <row r="3095" spans="1:9">
      <c r="A3095" s="2" t="s">
        <v>6760</v>
      </c>
      <c r="B3095" s="2" t="s">
        <v>4334</v>
      </c>
      <c r="C3095" s="2" t="s">
        <v>4335</v>
      </c>
      <c r="D3095" s="2" t="s">
        <v>5158</v>
      </c>
      <c r="E3095" s="2" t="s">
        <v>5159</v>
      </c>
      <c r="F3095" s="2">
        <v>28.734999999999999</v>
      </c>
      <c r="G3095" s="2">
        <v>2</v>
      </c>
      <c r="H3095" s="2">
        <f>Tabla_Items_Con_Existencia[[#This Row],[COSTO]]*Tabla_Items_Con_Existencia[[#This Row],[EXISTENCIA]]</f>
        <v>57.47</v>
      </c>
      <c r="I3095" s="1">
        <f>IF(ISERROR(MATCH(Tabla_Items_Con_Existencia[[#This Row],[CODIGO]],Tabla_Items_Activos[CODIGO],0)),0,1)</f>
        <v>0</v>
      </c>
    </row>
    <row r="3096" spans="1:9">
      <c r="A3096" s="2" t="s">
        <v>6760</v>
      </c>
      <c r="B3096" s="2" t="s">
        <v>4336</v>
      </c>
      <c r="C3096" s="2" t="s">
        <v>4337</v>
      </c>
      <c r="D3096" s="2" t="s">
        <v>5158</v>
      </c>
      <c r="E3096" s="2" t="s">
        <v>5159</v>
      </c>
      <c r="F3096" s="2">
        <v>8.577</v>
      </c>
      <c r="G3096" s="2">
        <v>3</v>
      </c>
      <c r="H3096" s="2">
        <f>Tabla_Items_Con_Existencia[[#This Row],[COSTO]]*Tabla_Items_Con_Existencia[[#This Row],[EXISTENCIA]]</f>
        <v>25.731000000000002</v>
      </c>
      <c r="I3096" s="1">
        <f>IF(ISERROR(MATCH(Tabla_Items_Con_Existencia[[#This Row],[CODIGO]],Tabla_Items_Activos[CODIGO],0)),0,1)</f>
        <v>0</v>
      </c>
    </row>
    <row r="3097" spans="1:9">
      <c r="A3097" s="2" t="s">
        <v>6760</v>
      </c>
      <c r="B3097" s="2" t="s">
        <v>4338</v>
      </c>
      <c r="C3097" s="2" t="s">
        <v>4339</v>
      </c>
      <c r="D3097" s="2" t="s">
        <v>5158</v>
      </c>
      <c r="E3097" s="2" t="s">
        <v>5159</v>
      </c>
      <c r="F3097" s="2">
        <v>0.36299999999999999</v>
      </c>
      <c r="G3097" s="2">
        <v>10</v>
      </c>
      <c r="H3097" s="2">
        <f>Tabla_Items_Con_Existencia[[#This Row],[COSTO]]*Tabla_Items_Con_Existencia[[#This Row],[EXISTENCIA]]</f>
        <v>3.63</v>
      </c>
      <c r="I3097" s="1">
        <f>IF(ISERROR(MATCH(Tabla_Items_Con_Existencia[[#This Row],[CODIGO]],Tabla_Items_Activos[CODIGO],0)),0,1)</f>
        <v>0</v>
      </c>
    </row>
    <row r="3098" spans="1:9">
      <c r="A3098" s="2" t="s">
        <v>6760</v>
      </c>
      <c r="B3098" s="2" t="s">
        <v>4340</v>
      </c>
      <c r="C3098" s="2" t="s">
        <v>4341</v>
      </c>
      <c r="D3098" s="2" t="s">
        <v>5158</v>
      </c>
      <c r="E3098" s="2" t="s">
        <v>5159</v>
      </c>
      <c r="F3098" s="2">
        <v>0</v>
      </c>
      <c r="G3098" s="2">
        <v>1</v>
      </c>
      <c r="H3098" s="2">
        <f>Tabla_Items_Con_Existencia[[#This Row],[COSTO]]*Tabla_Items_Con_Existencia[[#This Row],[EXISTENCIA]]</f>
        <v>0</v>
      </c>
      <c r="I3098" s="1">
        <f>IF(ISERROR(MATCH(Tabla_Items_Con_Existencia[[#This Row],[CODIGO]],Tabla_Items_Activos[CODIGO],0)),0,1)</f>
        <v>0</v>
      </c>
    </row>
    <row r="3099" spans="1:9">
      <c r="A3099" s="2" t="s">
        <v>6760</v>
      </c>
      <c r="B3099" s="2" t="s">
        <v>4342</v>
      </c>
      <c r="C3099" s="2" t="s">
        <v>4343</v>
      </c>
      <c r="D3099" s="2" t="s">
        <v>5158</v>
      </c>
      <c r="E3099" s="2" t="s">
        <v>5159</v>
      </c>
      <c r="F3099" s="2">
        <v>1.8160000000000001</v>
      </c>
      <c r="G3099" s="2">
        <v>4</v>
      </c>
      <c r="H3099" s="2">
        <f>Tabla_Items_Con_Existencia[[#This Row],[COSTO]]*Tabla_Items_Con_Existencia[[#This Row],[EXISTENCIA]]</f>
        <v>7.2640000000000002</v>
      </c>
      <c r="I3099" s="1">
        <f>IF(ISERROR(MATCH(Tabla_Items_Con_Existencia[[#This Row],[CODIGO]],Tabla_Items_Activos[CODIGO],0)),0,1)</f>
        <v>0</v>
      </c>
    </row>
    <row r="3100" spans="1:9">
      <c r="A3100" s="2" t="s">
        <v>6760</v>
      </c>
      <c r="B3100" s="2" t="s">
        <v>4344</v>
      </c>
      <c r="C3100" s="2" t="s">
        <v>4345</v>
      </c>
      <c r="D3100" s="2" t="s">
        <v>5158</v>
      </c>
      <c r="E3100" s="2" t="s">
        <v>5159</v>
      </c>
      <c r="F3100" s="2">
        <v>0.25600000000000001</v>
      </c>
      <c r="G3100" s="2">
        <v>3</v>
      </c>
      <c r="H3100" s="2">
        <f>Tabla_Items_Con_Existencia[[#This Row],[COSTO]]*Tabla_Items_Con_Existencia[[#This Row],[EXISTENCIA]]</f>
        <v>0.76800000000000002</v>
      </c>
      <c r="I3100" s="1">
        <f>IF(ISERROR(MATCH(Tabla_Items_Con_Existencia[[#This Row],[CODIGO]],Tabla_Items_Activos[CODIGO],0)),0,1)</f>
        <v>0</v>
      </c>
    </row>
    <row r="3101" spans="1:9">
      <c r="A3101" s="2" t="s">
        <v>6760</v>
      </c>
      <c r="B3101" s="2" t="s">
        <v>4347</v>
      </c>
      <c r="C3101" s="2" t="s">
        <v>6373</v>
      </c>
      <c r="D3101" s="2" t="s">
        <v>5158</v>
      </c>
      <c r="E3101" s="2" t="s">
        <v>5159</v>
      </c>
      <c r="F3101" s="2">
        <v>0.443</v>
      </c>
      <c r="G3101" s="2">
        <v>27</v>
      </c>
      <c r="H3101" s="2">
        <f>Tabla_Items_Con_Existencia[[#This Row],[COSTO]]*Tabla_Items_Con_Existencia[[#This Row],[EXISTENCIA]]</f>
        <v>11.961</v>
      </c>
      <c r="I3101" s="1">
        <f>IF(ISERROR(MATCH(Tabla_Items_Con_Existencia[[#This Row],[CODIGO]],Tabla_Items_Activos[CODIGO],0)),0,1)</f>
        <v>0</v>
      </c>
    </row>
    <row r="3102" spans="1:9">
      <c r="A3102" s="2" t="s">
        <v>6760</v>
      </c>
      <c r="B3102" s="2" t="s">
        <v>4349</v>
      </c>
      <c r="C3102" s="2" t="s">
        <v>7141</v>
      </c>
      <c r="D3102" s="2" t="s">
        <v>5158</v>
      </c>
      <c r="E3102" s="2" t="s">
        <v>5159</v>
      </c>
      <c r="F3102" s="2">
        <v>29.396999999999998</v>
      </c>
      <c r="G3102" s="2">
        <v>1</v>
      </c>
      <c r="H3102" s="2">
        <f>Tabla_Items_Con_Existencia[[#This Row],[COSTO]]*Tabla_Items_Con_Existencia[[#This Row],[EXISTENCIA]]</f>
        <v>29.396999999999998</v>
      </c>
      <c r="I3102" s="1">
        <f>IF(ISERROR(MATCH(Tabla_Items_Con_Existencia[[#This Row],[CODIGO]],Tabla_Items_Activos[CODIGO],0)),0,1)</f>
        <v>0</v>
      </c>
    </row>
    <row r="3103" spans="1:9">
      <c r="A3103" s="2" t="s">
        <v>6760</v>
      </c>
      <c r="B3103" s="2" t="s">
        <v>4355</v>
      </c>
      <c r="C3103" s="2" t="s">
        <v>4356</v>
      </c>
      <c r="D3103" s="2" t="s">
        <v>5158</v>
      </c>
      <c r="E3103" s="2" t="s">
        <v>5159</v>
      </c>
      <c r="F3103" s="2">
        <v>0.70947368</v>
      </c>
      <c r="G3103" s="2">
        <v>1</v>
      </c>
      <c r="H3103" s="2">
        <f>Tabla_Items_Con_Existencia[[#This Row],[COSTO]]*Tabla_Items_Con_Existencia[[#This Row],[EXISTENCIA]]</f>
        <v>0.70947368</v>
      </c>
      <c r="I3103" s="1">
        <f>IF(ISERROR(MATCH(Tabla_Items_Con_Existencia[[#This Row],[CODIGO]],Tabla_Items_Activos[CODIGO],0)),0,1)</f>
        <v>0</v>
      </c>
    </row>
    <row r="3104" spans="1:9">
      <c r="A3104" s="2" t="s">
        <v>6761</v>
      </c>
      <c r="B3104" s="2" t="s">
        <v>4355</v>
      </c>
      <c r="C3104" s="2" t="s">
        <v>4356</v>
      </c>
      <c r="D3104" s="2" t="s">
        <v>5158</v>
      </c>
      <c r="E3104" s="2" t="s">
        <v>5159</v>
      </c>
      <c r="F3104" s="2">
        <v>0.70947368</v>
      </c>
      <c r="G3104" s="2">
        <v>1</v>
      </c>
      <c r="H3104" s="2">
        <f>Tabla_Items_Con_Existencia[[#This Row],[COSTO]]*Tabla_Items_Con_Existencia[[#This Row],[EXISTENCIA]]</f>
        <v>0.70947368</v>
      </c>
      <c r="I3104" s="1">
        <f>IF(ISERROR(MATCH(Tabla_Items_Con_Existencia[[#This Row],[CODIGO]],Tabla_Items_Activos[CODIGO],0)),0,1)</f>
        <v>0</v>
      </c>
    </row>
    <row r="3105" spans="1:9">
      <c r="A3105" s="2" t="s">
        <v>6760</v>
      </c>
      <c r="B3105" s="2" t="s">
        <v>4357</v>
      </c>
      <c r="C3105" s="2" t="s">
        <v>4358</v>
      </c>
      <c r="D3105" s="2" t="s">
        <v>5158</v>
      </c>
      <c r="E3105" s="2" t="s">
        <v>5159</v>
      </c>
      <c r="F3105" s="2">
        <v>3.9974210499999998</v>
      </c>
      <c r="G3105" s="2">
        <v>8</v>
      </c>
      <c r="H3105" s="2">
        <f>Tabla_Items_Con_Existencia[[#This Row],[COSTO]]*Tabla_Items_Con_Existencia[[#This Row],[EXISTENCIA]]</f>
        <v>31.979368399999998</v>
      </c>
      <c r="I3105" s="1">
        <f>IF(ISERROR(MATCH(Tabla_Items_Con_Existencia[[#This Row],[CODIGO]],Tabla_Items_Activos[CODIGO],0)),0,1)</f>
        <v>0</v>
      </c>
    </row>
    <row r="3106" spans="1:9">
      <c r="A3106" s="2" t="s">
        <v>6761</v>
      </c>
      <c r="B3106" s="2" t="s">
        <v>4357</v>
      </c>
      <c r="C3106" s="2" t="s">
        <v>4358</v>
      </c>
      <c r="D3106" s="2" t="s">
        <v>5158</v>
      </c>
      <c r="E3106" s="2" t="s">
        <v>5159</v>
      </c>
      <c r="F3106" s="2">
        <v>3.9974210499999998</v>
      </c>
      <c r="G3106" s="2">
        <v>8</v>
      </c>
      <c r="H3106" s="2">
        <f>Tabla_Items_Con_Existencia[[#This Row],[COSTO]]*Tabla_Items_Con_Existencia[[#This Row],[EXISTENCIA]]</f>
        <v>31.979368399999998</v>
      </c>
      <c r="I3106" s="1">
        <f>IF(ISERROR(MATCH(Tabla_Items_Con_Existencia[[#This Row],[CODIGO]],Tabla_Items_Activos[CODIGO],0)),0,1)</f>
        <v>0</v>
      </c>
    </row>
    <row r="3107" spans="1:9">
      <c r="A3107" s="2" t="s">
        <v>6760</v>
      </c>
      <c r="B3107" s="2" t="s">
        <v>955</v>
      </c>
      <c r="C3107" s="2" t="s">
        <v>4359</v>
      </c>
      <c r="D3107" s="2" t="s">
        <v>5158</v>
      </c>
      <c r="E3107" s="2" t="s">
        <v>5159</v>
      </c>
      <c r="F3107" s="2">
        <v>2.9079999999999999</v>
      </c>
      <c r="G3107" s="2">
        <v>4</v>
      </c>
      <c r="H3107" s="2">
        <f>Tabla_Items_Con_Existencia[[#This Row],[COSTO]]*Tabla_Items_Con_Existencia[[#This Row],[EXISTENCIA]]</f>
        <v>11.632</v>
      </c>
      <c r="I3107" s="1">
        <f>IF(ISERROR(MATCH(Tabla_Items_Con_Existencia[[#This Row],[CODIGO]],Tabla_Items_Activos[CODIGO],0)),0,1)</f>
        <v>0</v>
      </c>
    </row>
    <row r="3108" spans="1:9">
      <c r="A3108" s="2" t="s">
        <v>6760</v>
      </c>
      <c r="B3108" s="2" t="s">
        <v>4360</v>
      </c>
      <c r="C3108" s="2" t="s">
        <v>4361</v>
      </c>
      <c r="D3108" s="2" t="s">
        <v>5158</v>
      </c>
      <c r="E3108" s="2" t="s">
        <v>5159</v>
      </c>
      <c r="F3108" s="2">
        <v>1.19</v>
      </c>
      <c r="G3108" s="2">
        <v>1</v>
      </c>
      <c r="H3108" s="2">
        <f>Tabla_Items_Con_Existencia[[#This Row],[COSTO]]*Tabla_Items_Con_Existencia[[#This Row],[EXISTENCIA]]</f>
        <v>1.19</v>
      </c>
      <c r="I3108" s="1">
        <f>IF(ISERROR(MATCH(Tabla_Items_Con_Existencia[[#This Row],[CODIGO]],Tabla_Items_Activos[CODIGO],0)),0,1)</f>
        <v>0</v>
      </c>
    </row>
    <row r="3109" spans="1:9">
      <c r="A3109" s="2" t="s">
        <v>6760</v>
      </c>
      <c r="B3109" s="2" t="s">
        <v>4365</v>
      </c>
      <c r="C3109" s="2" t="s">
        <v>4366</v>
      </c>
      <c r="D3109" s="2" t="s">
        <v>5158</v>
      </c>
      <c r="E3109" s="2" t="s">
        <v>5159</v>
      </c>
      <c r="F3109" s="2">
        <v>2.00115789</v>
      </c>
      <c r="G3109" s="2">
        <v>4</v>
      </c>
      <c r="H3109" s="2">
        <f>Tabla_Items_Con_Existencia[[#This Row],[COSTO]]*Tabla_Items_Con_Existencia[[#This Row],[EXISTENCIA]]</f>
        <v>8.00463156</v>
      </c>
      <c r="I3109" s="1">
        <f>IF(ISERROR(MATCH(Tabla_Items_Con_Existencia[[#This Row],[CODIGO]],Tabla_Items_Activos[CODIGO],0)),0,1)</f>
        <v>0</v>
      </c>
    </row>
    <row r="3110" spans="1:9">
      <c r="A3110" s="2" t="s">
        <v>6761</v>
      </c>
      <c r="B3110" s="2" t="s">
        <v>4365</v>
      </c>
      <c r="C3110" s="2" t="s">
        <v>4366</v>
      </c>
      <c r="D3110" s="2" t="s">
        <v>5158</v>
      </c>
      <c r="E3110" s="2" t="s">
        <v>5159</v>
      </c>
      <c r="F3110" s="2">
        <v>2.00115789</v>
      </c>
      <c r="G3110" s="2">
        <v>4</v>
      </c>
      <c r="H3110" s="2">
        <f>Tabla_Items_Con_Existencia[[#This Row],[COSTO]]*Tabla_Items_Con_Existencia[[#This Row],[EXISTENCIA]]</f>
        <v>8.00463156</v>
      </c>
      <c r="I3110" s="1">
        <f>IF(ISERROR(MATCH(Tabla_Items_Con_Existencia[[#This Row],[CODIGO]],Tabla_Items_Activos[CODIGO],0)),0,1)</f>
        <v>0</v>
      </c>
    </row>
    <row r="3111" spans="1:9">
      <c r="A3111" s="2" t="s">
        <v>6760</v>
      </c>
      <c r="B3111" s="2" t="s">
        <v>4372</v>
      </c>
      <c r="C3111" s="2" t="s">
        <v>4373</v>
      </c>
      <c r="D3111" s="2" t="s">
        <v>5158</v>
      </c>
      <c r="E3111" s="2" t="s">
        <v>5159</v>
      </c>
      <c r="F3111" s="2">
        <v>19.690000000000001</v>
      </c>
      <c r="G3111" s="2">
        <v>2</v>
      </c>
      <c r="H3111" s="2">
        <f>Tabla_Items_Con_Existencia[[#This Row],[COSTO]]*Tabla_Items_Con_Existencia[[#This Row],[EXISTENCIA]]</f>
        <v>39.380000000000003</v>
      </c>
      <c r="I3111" s="1">
        <f>IF(ISERROR(MATCH(Tabla_Items_Con_Existencia[[#This Row],[CODIGO]],Tabla_Items_Activos[CODIGO],0)),0,1)</f>
        <v>0</v>
      </c>
    </row>
    <row r="3112" spans="1:9">
      <c r="A3112" s="2" t="s">
        <v>6760</v>
      </c>
      <c r="B3112" s="2" t="s">
        <v>4377</v>
      </c>
      <c r="C3112" s="2" t="s">
        <v>4378</v>
      </c>
      <c r="D3112" s="2" t="s">
        <v>5188</v>
      </c>
      <c r="E3112" s="2" t="s">
        <v>5159</v>
      </c>
      <c r="F3112" s="2">
        <v>17.875</v>
      </c>
      <c r="G3112" s="2">
        <v>3</v>
      </c>
      <c r="H3112" s="2">
        <f>Tabla_Items_Con_Existencia[[#This Row],[COSTO]]*Tabla_Items_Con_Existencia[[#This Row],[EXISTENCIA]]</f>
        <v>53.625</v>
      </c>
      <c r="I3112" s="1">
        <f>IF(ISERROR(MATCH(Tabla_Items_Con_Existencia[[#This Row],[CODIGO]],Tabla_Items_Activos[CODIGO],0)),0,1)</f>
        <v>0</v>
      </c>
    </row>
    <row r="3113" spans="1:9">
      <c r="A3113" s="2" t="s">
        <v>6760</v>
      </c>
      <c r="B3113" s="2" t="s">
        <v>6148</v>
      </c>
      <c r="C3113" s="2" t="s">
        <v>6149</v>
      </c>
      <c r="D3113" s="2" t="s">
        <v>5158</v>
      </c>
      <c r="E3113" s="2" t="s">
        <v>5159</v>
      </c>
      <c r="F3113" s="2">
        <v>7.5449999999999999</v>
      </c>
      <c r="G3113" s="2">
        <v>1</v>
      </c>
      <c r="H3113" s="2">
        <f>Tabla_Items_Con_Existencia[[#This Row],[COSTO]]*Tabla_Items_Con_Existencia[[#This Row],[EXISTENCIA]]</f>
        <v>7.5449999999999999</v>
      </c>
      <c r="I3113" s="1">
        <f>IF(ISERROR(MATCH(Tabla_Items_Con_Existencia[[#This Row],[CODIGO]],Tabla_Items_Activos[CODIGO],0)),0,1)</f>
        <v>0</v>
      </c>
    </row>
    <row r="3114" spans="1:9">
      <c r="A3114" s="2" t="s">
        <v>6760</v>
      </c>
      <c r="B3114" s="2" t="s">
        <v>962</v>
      </c>
      <c r="C3114" s="2" t="s">
        <v>7073</v>
      </c>
      <c r="D3114" s="2" t="s">
        <v>5158</v>
      </c>
      <c r="E3114" s="2" t="s">
        <v>5159</v>
      </c>
      <c r="F3114" s="2">
        <v>0.86</v>
      </c>
      <c r="G3114" s="2">
        <v>1</v>
      </c>
      <c r="H3114" s="2">
        <f>Tabla_Items_Con_Existencia[[#This Row],[COSTO]]*Tabla_Items_Con_Existencia[[#This Row],[EXISTENCIA]]</f>
        <v>0.86</v>
      </c>
      <c r="I3114" s="1">
        <f>IF(ISERROR(MATCH(Tabla_Items_Con_Existencia[[#This Row],[CODIGO]],Tabla_Items_Activos[CODIGO],0)),0,1)</f>
        <v>0</v>
      </c>
    </row>
    <row r="3115" spans="1:9">
      <c r="A3115" s="2" t="s">
        <v>6760</v>
      </c>
      <c r="B3115" s="2" t="s">
        <v>4381</v>
      </c>
      <c r="C3115" s="2" t="s">
        <v>4382</v>
      </c>
      <c r="D3115" s="2" t="s">
        <v>5158</v>
      </c>
      <c r="E3115" s="2" t="s">
        <v>5159</v>
      </c>
      <c r="F3115" s="2">
        <v>0.71215788999999996</v>
      </c>
      <c r="G3115" s="2">
        <v>2</v>
      </c>
      <c r="H3115" s="2">
        <f>Tabla_Items_Con_Existencia[[#This Row],[COSTO]]*Tabla_Items_Con_Existencia[[#This Row],[EXISTENCIA]]</f>
        <v>1.4243157799999999</v>
      </c>
      <c r="I3115" s="1">
        <f>IF(ISERROR(MATCH(Tabla_Items_Con_Existencia[[#This Row],[CODIGO]],Tabla_Items_Activos[CODIGO],0)),0,1)</f>
        <v>0</v>
      </c>
    </row>
    <row r="3116" spans="1:9">
      <c r="A3116" s="2" t="s">
        <v>6761</v>
      </c>
      <c r="B3116" s="2" t="s">
        <v>4381</v>
      </c>
      <c r="C3116" s="2" t="s">
        <v>4382</v>
      </c>
      <c r="D3116" s="2" t="s">
        <v>5158</v>
      </c>
      <c r="E3116" s="2" t="s">
        <v>5159</v>
      </c>
      <c r="F3116" s="2">
        <v>0.71215788999999996</v>
      </c>
      <c r="G3116" s="2">
        <v>2</v>
      </c>
      <c r="H3116" s="2">
        <f>Tabla_Items_Con_Existencia[[#This Row],[COSTO]]*Tabla_Items_Con_Existencia[[#This Row],[EXISTENCIA]]</f>
        <v>1.4243157799999999</v>
      </c>
      <c r="I3116" s="1">
        <f>IF(ISERROR(MATCH(Tabla_Items_Con_Existencia[[#This Row],[CODIGO]],Tabla_Items_Activos[CODIGO],0)),0,1)</f>
        <v>0</v>
      </c>
    </row>
    <row r="3117" spans="1:9">
      <c r="A3117" s="2" t="s">
        <v>6761</v>
      </c>
      <c r="B3117" s="2" t="s">
        <v>4383</v>
      </c>
      <c r="C3117" s="2" t="s">
        <v>4384</v>
      </c>
      <c r="D3117" s="2" t="s">
        <v>5158</v>
      </c>
      <c r="E3117" s="2" t="s">
        <v>5159</v>
      </c>
      <c r="F3117" s="2">
        <v>0.69552632000000003</v>
      </c>
      <c r="G3117" s="2">
        <v>2</v>
      </c>
      <c r="H3117" s="2">
        <f>Tabla_Items_Con_Existencia[[#This Row],[COSTO]]*Tabla_Items_Con_Existencia[[#This Row],[EXISTENCIA]]</f>
        <v>1.3910526400000001</v>
      </c>
      <c r="I3117" s="1">
        <f>IF(ISERROR(MATCH(Tabla_Items_Con_Existencia[[#This Row],[CODIGO]],Tabla_Items_Activos[CODIGO],0)),0,1)</f>
        <v>0</v>
      </c>
    </row>
    <row r="3118" spans="1:9">
      <c r="A3118" s="2" t="s">
        <v>6760</v>
      </c>
      <c r="B3118" s="2" t="s">
        <v>4383</v>
      </c>
      <c r="C3118" s="2" t="s">
        <v>4384</v>
      </c>
      <c r="D3118" s="2" t="s">
        <v>5158</v>
      </c>
      <c r="E3118" s="2" t="s">
        <v>5159</v>
      </c>
      <c r="F3118" s="2">
        <v>0.69552632000000003</v>
      </c>
      <c r="G3118" s="2">
        <v>2</v>
      </c>
      <c r="H3118" s="2">
        <f>Tabla_Items_Con_Existencia[[#This Row],[COSTO]]*Tabla_Items_Con_Existencia[[#This Row],[EXISTENCIA]]</f>
        <v>1.3910526400000001</v>
      </c>
      <c r="I3118" s="1">
        <f>IF(ISERROR(MATCH(Tabla_Items_Con_Existencia[[#This Row],[CODIGO]],Tabla_Items_Activos[CODIGO],0)),0,1)</f>
        <v>0</v>
      </c>
    </row>
    <row r="3119" spans="1:9">
      <c r="A3119" s="2" t="s">
        <v>6760</v>
      </c>
      <c r="B3119" s="2" t="s">
        <v>4385</v>
      </c>
      <c r="C3119" s="2" t="s">
        <v>7378</v>
      </c>
      <c r="D3119" s="2" t="s">
        <v>5190</v>
      </c>
      <c r="E3119" s="2" t="s">
        <v>5159</v>
      </c>
      <c r="F3119" s="2">
        <v>6.57431579</v>
      </c>
      <c r="G3119" s="2">
        <v>1</v>
      </c>
      <c r="H3119" s="2">
        <f>Tabla_Items_Con_Existencia[[#This Row],[COSTO]]*Tabla_Items_Con_Existencia[[#This Row],[EXISTENCIA]]</f>
        <v>6.57431579</v>
      </c>
      <c r="I3119" s="1">
        <f>IF(ISERROR(MATCH(Tabla_Items_Con_Existencia[[#This Row],[CODIGO]],Tabla_Items_Activos[CODIGO],0)),0,1)</f>
        <v>0</v>
      </c>
    </row>
    <row r="3120" spans="1:9">
      <c r="A3120" s="2" t="s">
        <v>6761</v>
      </c>
      <c r="B3120" s="2" t="s">
        <v>4385</v>
      </c>
      <c r="C3120" s="2" t="s">
        <v>7378</v>
      </c>
      <c r="D3120" s="2" t="s">
        <v>5190</v>
      </c>
      <c r="E3120" s="2" t="s">
        <v>5159</v>
      </c>
      <c r="F3120" s="2">
        <v>6.57431579</v>
      </c>
      <c r="G3120" s="2">
        <v>1</v>
      </c>
      <c r="H3120" s="2">
        <f>Tabla_Items_Con_Existencia[[#This Row],[COSTO]]*Tabla_Items_Con_Existencia[[#This Row],[EXISTENCIA]]</f>
        <v>6.57431579</v>
      </c>
      <c r="I3120" s="1">
        <f>IF(ISERROR(MATCH(Tabla_Items_Con_Existencia[[#This Row],[CODIGO]],Tabla_Items_Activos[CODIGO],0)),0,1)</f>
        <v>0</v>
      </c>
    </row>
    <row r="3121" spans="1:9">
      <c r="A3121" s="2" t="s">
        <v>6760</v>
      </c>
      <c r="B3121" s="2" t="s">
        <v>963</v>
      </c>
      <c r="C3121" s="2" t="s">
        <v>4387</v>
      </c>
      <c r="D3121" s="2" t="s">
        <v>5190</v>
      </c>
      <c r="E3121" s="2" t="s">
        <v>5159</v>
      </c>
      <c r="F3121" s="2">
        <v>5.3621052599999999</v>
      </c>
      <c r="G3121" s="2">
        <v>1</v>
      </c>
      <c r="H3121" s="2">
        <f>Tabla_Items_Con_Existencia[[#This Row],[COSTO]]*Tabla_Items_Con_Existencia[[#This Row],[EXISTENCIA]]</f>
        <v>5.3621052599999999</v>
      </c>
      <c r="I3121" s="1">
        <f>IF(ISERROR(MATCH(Tabla_Items_Con_Existencia[[#This Row],[CODIGO]],Tabla_Items_Activos[CODIGO],0)),0,1)</f>
        <v>0</v>
      </c>
    </row>
    <row r="3122" spans="1:9">
      <c r="A3122" s="2" t="s">
        <v>6761</v>
      </c>
      <c r="B3122" s="2" t="s">
        <v>963</v>
      </c>
      <c r="C3122" s="2" t="s">
        <v>4387</v>
      </c>
      <c r="D3122" s="2" t="s">
        <v>5190</v>
      </c>
      <c r="E3122" s="2" t="s">
        <v>5159</v>
      </c>
      <c r="F3122" s="2">
        <v>5.3621052599999999</v>
      </c>
      <c r="G3122" s="2">
        <v>1</v>
      </c>
      <c r="H3122" s="2">
        <f>Tabla_Items_Con_Existencia[[#This Row],[COSTO]]*Tabla_Items_Con_Existencia[[#This Row],[EXISTENCIA]]</f>
        <v>5.3621052599999999</v>
      </c>
      <c r="I3122" s="1">
        <f>IF(ISERROR(MATCH(Tabla_Items_Con_Existencia[[#This Row],[CODIGO]],Tabla_Items_Activos[CODIGO],0)),0,1)</f>
        <v>0</v>
      </c>
    </row>
    <row r="3123" spans="1:9">
      <c r="A3123" s="2" t="s">
        <v>6760</v>
      </c>
      <c r="B3123" s="2" t="s">
        <v>964</v>
      </c>
      <c r="C3123" s="2" t="s">
        <v>7379</v>
      </c>
      <c r="D3123" s="2" t="s">
        <v>5190</v>
      </c>
      <c r="E3123" s="2" t="s">
        <v>5159</v>
      </c>
      <c r="F3123" s="2">
        <v>4.48515789</v>
      </c>
      <c r="G3123" s="2">
        <v>1</v>
      </c>
      <c r="H3123" s="2">
        <f>Tabla_Items_Con_Existencia[[#This Row],[COSTO]]*Tabla_Items_Con_Existencia[[#This Row],[EXISTENCIA]]</f>
        <v>4.48515789</v>
      </c>
      <c r="I3123" s="1">
        <f>IF(ISERROR(MATCH(Tabla_Items_Con_Existencia[[#This Row],[CODIGO]],Tabla_Items_Activos[CODIGO],0)),0,1)</f>
        <v>0</v>
      </c>
    </row>
    <row r="3124" spans="1:9">
      <c r="A3124" s="2" t="s">
        <v>6761</v>
      </c>
      <c r="B3124" s="2" t="s">
        <v>964</v>
      </c>
      <c r="C3124" s="2" t="s">
        <v>7379</v>
      </c>
      <c r="D3124" s="2" t="s">
        <v>5190</v>
      </c>
      <c r="E3124" s="2" t="s">
        <v>5159</v>
      </c>
      <c r="F3124" s="2">
        <v>4.48515789</v>
      </c>
      <c r="G3124" s="2">
        <v>1</v>
      </c>
      <c r="H3124" s="2">
        <f>Tabla_Items_Con_Existencia[[#This Row],[COSTO]]*Tabla_Items_Con_Existencia[[#This Row],[EXISTENCIA]]</f>
        <v>4.48515789</v>
      </c>
      <c r="I3124" s="1">
        <f>IF(ISERROR(MATCH(Tabla_Items_Con_Existencia[[#This Row],[CODIGO]],Tabla_Items_Activos[CODIGO],0)),0,1)</f>
        <v>0</v>
      </c>
    </row>
    <row r="3125" spans="1:9">
      <c r="A3125" s="2" t="s">
        <v>6760</v>
      </c>
      <c r="B3125" s="2" t="s">
        <v>4388</v>
      </c>
      <c r="C3125" s="2" t="s">
        <v>4389</v>
      </c>
      <c r="D3125" s="2" t="s">
        <v>5158</v>
      </c>
      <c r="E3125" s="2" t="s">
        <v>5159</v>
      </c>
      <c r="F3125" s="2">
        <v>1.1850000000000001</v>
      </c>
      <c r="G3125" s="2">
        <v>5</v>
      </c>
      <c r="H3125" s="2">
        <f>Tabla_Items_Con_Existencia[[#This Row],[COSTO]]*Tabla_Items_Con_Existencia[[#This Row],[EXISTENCIA]]</f>
        <v>5.9250000000000007</v>
      </c>
      <c r="I3125" s="1">
        <f>IF(ISERROR(MATCH(Tabla_Items_Con_Existencia[[#This Row],[CODIGO]],Tabla_Items_Activos[CODIGO],0)),0,1)</f>
        <v>0</v>
      </c>
    </row>
    <row r="3126" spans="1:9">
      <c r="A3126" s="2" t="s">
        <v>6760</v>
      </c>
      <c r="B3126" s="2" t="s">
        <v>4392</v>
      </c>
      <c r="C3126" s="2" t="s">
        <v>2395</v>
      </c>
      <c r="D3126" s="2" t="s">
        <v>5158</v>
      </c>
      <c r="E3126" s="2" t="s">
        <v>5159</v>
      </c>
      <c r="F3126" s="2">
        <v>1.4890000000000001</v>
      </c>
      <c r="G3126" s="2">
        <v>1</v>
      </c>
      <c r="H3126" s="2">
        <f>Tabla_Items_Con_Existencia[[#This Row],[COSTO]]*Tabla_Items_Con_Existencia[[#This Row],[EXISTENCIA]]</f>
        <v>1.4890000000000001</v>
      </c>
      <c r="I3126" s="1">
        <f>IF(ISERROR(MATCH(Tabla_Items_Con_Existencia[[#This Row],[CODIGO]],Tabla_Items_Activos[CODIGO],0)),0,1)</f>
        <v>0</v>
      </c>
    </row>
    <row r="3127" spans="1:9">
      <c r="A3127" s="2" t="s">
        <v>6760</v>
      </c>
      <c r="B3127" s="2" t="s">
        <v>4393</v>
      </c>
      <c r="C3127" s="2" t="s">
        <v>7074</v>
      </c>
      <c r="D3127" s="2" t="s">
        <v>5158</v>
      </c>
      <c r="E3127" s="2" t="s">
        <v>5159</v>
      </c>
      <c r="F3127" s="2">
        <v>9.1379999999999999</v>
      </c>
      <c r="G3127" s="2">
        <v>4</v>
      </c>
      <c r="H3127" s="2">
        <f>Tabla_Items_Con_Existencia[[#This Row],[COSTO]]*Tabla_Items_Con_Existencia[[#This Row],[EXISTENCIA]]</f>
        <v>36.552</v>
      </c>
      <c r="I3127" s="1">
        <f>IF(ISERROR(MATCH(Tabla_Items_Con_Existencia[[#This Row],[CODIGO]],Tabla_Items_Activos[CODIGO],0)),0,1)</f>
        <v>0</v>
      </c>
    </row>
    <row r="3128" spans="1:9">
      <c r="A3128" s="2" t="s">
        <v>6760</v>
      </c>
      <c r="B3128" s="2" t="s">
        <v>4395</v>
      </c>
      <c r="C3128" s="2" t="s">
        <v>4396</v>
      </c>
      <c r="D3128" s="2" t="s">
        <v>5158</v>
      </c>
      <c r="E3128" s="2" t="s">
        <v>5159</v>
      </c>
      <c r="F3128" s="2">
        <v>1.38225789</v>
      </c>
      <c r="G3128" s="2">
        <v>10</v>
      </c>
      <c r="H3128" s="2">
        <f>Tabla_Items_Con_Existencia[[#This Row],[COSTO]]*Tabla_Items_Con_Existencia[[#This Row],[EXISTENCIA]]</f>
        <v>13.8225789</v>
      </c>
      <c r="I3128" s="1">
        <f>IF(ISERROR(MATCH(Tabla_Items_Con_Existencia[[#This Row],[CODIGO]],Tabla_Items_Activos[CODIGO],0)),0,1)</f>
        <v>0</v>
      </c>
    </row>
    <row r="3129" spans="1:9">
      <c r="A3129" s="2" t="s">
        <v>6761</v>
      </c>
      <c r="B3129" s="2" t="s">
        <v>4395</v>
      </c>
      <c r="C3129" s="2" t="s">
        <v>4396</v>
      </c>
      <c r="D3129" s="2" t="s">
        <v>5158</v>
      </c>
      <c r="E3129" s="2" t="s">
        <v>5159</v>
      </c>
      <c r="F3129" s="2">
        <v>1.38225789</v>
      </c>
      <c r="G3129" s="2">
        <v>10</v>
      </c>
      <c r="H3129" s="2">
        <f>Tabla_Items_Con_Existencia[[#This Row],[COSTO]]*Tabla_Items_Con_Existencia[[#This Row],[EXISTENCIA]]</f>
        <v>13.8225789</v>
      </c>
      <c r="I3129" s="1">
        <f>IF(ISERROR(MATCH(Tabla_Items_Con_Existencia[[#This Row],[CODIGO]],Tabla_Items_Activos[CODIGO],0)),0,1)</f>
        <v>0</v>
      </c>
    </row>
    <row r="3130" spans="1:9">
      <c r="A3130" s="2" t="s">
        <v>6760</v>
      </c>
      <c r="B3130" s="2" t="s">
        <v>4397</v>
      </c>
      <c r="C3130" s="2" t="s">
        <v>7075</v>
      </c>
      <c r="D3130" s="2" t="s">
        <v>5158</v>
      </c>
      <c r="E3130" s="2" t="s">
        <v>5159</v>
      </c>
      <c r="F3130" s="2">
        <v>10.361000000000001</v>
      </c>
      <c r="G3130" s="2">
        <v>33</v>
      </c>
      <c r="H3130" s="2">
        <f>Tabla_Items_Con_Existencia[[#This Row],[COSTO]]*Tabla_Items_Con_Existencia[[#This Row],[EXISTENCIA]]</f>
        <v>341.91300000000001</v>
      </c>
      <c r="I3130" s="1">
        <f>IF(ISERROR(MATCH(Tabla_Items_Con_Existencia[[#This Row],[CODIGO]],Tabla_Items_Activos[CODIGO],0)),0,1)</f>
        <v>0</v>
      </c>
    </row>
    <row r="3131" spans="1:9">
      <c r="A3131" s="2" t="s">
        <v>6760</v>
      </c>
      <c r="B3131" s="2" t="s">
        <v>4399</v>
      </c>
      <c r="C3131" s="2" t="s">
        <v>4400</v>
      </c>
      <c r="D3131" s="2" t="s">
        <v>5158</v>
      </c>
      <c r="E3131" s="2" t="s">
        <v>5159</v>
      </c>
      <c r="F3131" s="2">
        <v>0.69873684000000003</v>
      </c>
      <c r="G3131" s="2">
        <v>2</v>
      </c>
      <c r="H3131" s="2">
        <f>Tabla_Items_Con_Existencia[[#This Row],[COSTO]]*Tabla_Items_Con_Existencia[[#This Row],[EXISTENCIA]]</f>
        <v>1.3974736800000001</v>
      </c>
      <c r="I3131" s="1">
        <f>IF(ISERROR(MATCH(Tabla_Items_Con_Existencia[[#This Row],[CODIGO]],Tabla_Items_Activos[CODIGO],0)),0,1)</f>
        <v>0</v>
      </c>
    </row>
    <row r="3132" spans="1:9">
      <c r="A3132" s="2" t="s">
        <v>6761</v>
      </c>
      <c r="B3132" s="2" t="s">
        <v>4399</v>
      </c>
      <c r="C3132" s="2" t="s">
        <v>4400</v>
      </c>
      <c r="D3132" s="2" t="s">
        <v>5158</v>
      </c>
      <c r="E3132" s="2" t="s">
        <v>5159</v>
      </c>
      <c r="F3132" s="2">
        <v>0.69873684000000003</v>
      </c>
      <c r="G3132" s="2">
        <v>2</v>
      </c>
      <c r="H3132" s="2">
        <f>Tabla_Items_Con_Existencia[[#This Row],[COSTO]]*Tabla_Items_Con_Existencia[[#This Row],[EXISTENCIA]]</f>
        <v>1.3974736800000001</v>
      </c>
      <c r="I3132" s="1">
        <f>IF(ISERROR(MATCH(Tabla_Items_Con_Existencia[[#This Row],[CODIGO]],Tabla_Items_Activos[CODIGO],0)),0,1)</f>
        <v>0</v>
      </c>
    </row>
    <row r="3133" spans="1:9">
      <c r="A3133" s="2" t="s">
        <v>6760</v>
      </c>
      <c r="B3133" s="2" t="s">
        <v>4403</v>
      </c>
      <c r="C3133" s="2" t="s">
        <v>4404</v>
      </c>
      <c r="D3133" s="2" t="s">
        <v>5158</v>
      </c>
      <c r="E3133" s="2" t="s">
        <v>5159</v>
      </c>
      <c r="F3133" s="2">
        <v>0.81936841999999999</v>
      </c>
      <c r="G3133" s="2">
        <v>2</v>
      </c>
      <c r="H3133" s="2">
        <f>Tabla_Items_Con_Existencia[[#This Row],[COSTO]]*Tabla_Items_Con_Existencia[[#This Row],[EXISTENCIA]]</f>
        <v>1.63873684</v>
      </c>
      <c r="I3133" s="1">
        <f>IF(ISERROR(MATCH(Tabla_Items_Con_Existencia[[#This Row],[CODIGO]],Tabla_Items_Activos[CODIGO],0)),0,1)</f>
        <v>0</v>
      </c>
    </row>
    <row r="3134" spans="1:9">
      <c r="A3134" s="2" t="s">
        <v>6761</v>
      </c>
      <c r="B3134" s="2" t="s">
        <v>4403</v>
      </c>
      <c r="C3134" s="2" t="s">
        <v>4404</v>
      </c>
      <c r="D3134" s="2" t="s">
        <v>5158</v>
      </c>
      <c r="E3134" s="2" t="s">
        <v>5159</v>
      </c>
      <c r="F3134" s="2">
        <v>0.81936841999999999</v>
      </c>
      <c r="G3134" s="2">
        <v>2</v>
      </c>
      <c r="H3134" s="2">
        <f>Tabla_Items_Con_Existencia[[#This Row],[COSTO]]*Tabla_Items_Con_Existencia[[#This Row],[EXISTENCIA]]</f>
        <v>1.63873684</v>
      </c>
      <c r="I3134" s="1">
        <f>IF(ISERROR(MATCH(Tabla_Items_Con_Existencia[[#This Row],[CODIGO]],Tabla_Items_Activos[CODIGO],0)),0,1)</f>
        <v>0</v>
      </c>
    </row>
    <row r="3135" spans="1:9">
      <c r="A3135" s="2" t="s">
        <v>6760</v>
      </c>
      <c r="B3135" s="2" t="s">
        <v>4405</v>
      </c>
      <c r="C3135" s="2" t="s">
        <v>4406</v>
      </c>
      <c r="D3135" s="2" t="s">
        <v>5158</v>
      </c>
      <c r="E3135" s="2" t="s">
        <v>5159</v>
      </c>
      <c r="F3135" s="2">
        <v>8.0239999999999991</v>
      </c>
      <c r="G3135" s="2">
        <v>10</v>
      </c>
      <c r="H3135" s="2">
        <f>Tabla_Items_Con_Existencia[[#This Row],[COSTO]]*Tabla_Items_Con_Existencia[[#This Row],[EXISTENCIA]]</f>
        <v>80.239999999999995</v>
      </c>
      <c r="I3135" s="1">
        <f>IF(ISERROR(MATCH(Tabla_Items_Con_Existencia[[#This Row],[CODIGO]],Tabla_Items_Activos[CODIGO],0)),0,1)</f>
        <v>0</v>
      </c>
    </row>
    <row r="3136" spans="1:9">
      <c r="A3136" s="2" t="s">
        <v>6761</v>
      </c>
      <c r="B3136" s="2" t="s">
        <v>965</v>
      </c>
      <c r="C3136" s="2" t="s">
        <v>7076</v>
      </c>
      <c r="D3136" s="2" t="s">
        <v>5158</v>
      </c>
      <c r="E3136" s="2" t="s">
        <v>5159</v>
      </c>
      <c r="F3136" s="2">
        <v>0.44504210999999999</v>
      </c>
      <c r="G3136" s="2">
        <v>126</v>
      </c>
      <c r="H3136" s="2">
        <f>Tabla_Items_Con_Existencia[[#This Row],[COSTO]]*Tabla_Items_Con_Existencia[[#This Row],[EXISTENCIA]]</f>
        <v>56.07530586</v>
      </c>
      <c r="I3136" s="1">
        <f>IF(ISERROR(MATCH(Tabla_Items_Con_Existencia[[#This Row],[CODIGO]],Tabla_Items_Activos[CODIGO],0)),0,1)</f>
        <v>0</v>
      </c>
    </row>
    <row r="3137" spans="1:9">
      <c r="A3137" s="2" t="s">
        <v>6760</v>
      </c>
      <c r="B3137" s="2" t="s">
        <v>965</v>
      </c>
      <c r="C3137" s="2" t="s">
        <v>7076</v>
      </c>
      <c r="D3137" s="2" t="s">
        <v>5158</v>
      </c>
      <c r="E3137" s="2" t="s">
        <v>5159</v>
      </c>
      <c r="F3137" s="2">
        <v>0.44504210999999999</v>
      </c>
      <c r="G3137" s="2">
        <v>126</v>
      </c>
      <c r="H3137" s="2">
        <f>Tabla_Items_Con_Existencia[[#This Row],[COSTO]]*Tabla_Items_Con_Existencia[[#This Row],[EXISTENCIA]]</f>
        <v>56.07530586</v>
      </c>
      <c r="I3137" s="1">
        <f>IF(ISERROR(MATCH(Tabla_Items_Con_Existencia[[#This Row],[CODIGO]],Tabla_Items_Activos[CODIGO],0)),0,1)</f>
        <v>0</v>
      </c>
    </row>
    <row r="3138" spans="1:9">
      <c r="A3138" s="2" t="s">
        <v>6760</v>
      </c>
      <c r="B3138" s="2" t="s">
        <v>4408</v>
      </c>
      <c r="C3138" s="2" t="s">
        <v>4409</v>
      </c>
      <c r="D3138" s="2" t="s">
        <v>5158</v>
      </c>
      <c r="E3138" s="2" t="s">
        <v>5159</v>
      </c>
      <c r="F3138" s="2">
        <v>0.45761579000000002</v>
      </c>
      <c r="G3138" s="2">
        <v>17</v>
      </c>
      <c r="H3138" s="2">
        <f>Tabla_Items_Con_Existencia[[#This Row],[COSTO]]*Tabla_Items_Con_Existencia[[#This Row],[EXISTENCIA]]</f>
        <v>7.7794684300000005</v>
      </c>
      <c r="I3138" s="1">
        <f>IF(ISERROR(MATCH(Tabla_Items_Con_Existencia[[#This Row],[CODIGO]],Tabla_Items_Activos[CODIGO],0)),0,1)</f>
        <v>0</v>
      </c>
    </row>
    <row r="3139" spans="1:9">
      <c r="A3139" s="2" t="s">
        <v>6761</v>
      </c>
      <c r="B3139" s="2" t="s">
        <v>4408</v>
      </c>
      <c r="C3139" s="2" t="s">
        <v>4409</v>
      </c>
      <c r="D3139" s="2" t="s">
        <v>5158</v>
      </c>
      <c r="E3139" s="2" t="s">
        <v>5159</v>
      </c>
      <c r="F3139" s="2">
        <v>0.45761579000000002</v>
      </c>
      <c r="G3139" s="2">
        <v>17</v>
      </c>
      <c r="H3139" s="2">
        <f>Tabla_Items_Con_Existencia[[#This Row],[COSTO]]*Tabla_Items_Con_Existencia[[#This Row],[EXISTENCIA]]</f>
        <v>7.7794684300000005</v>
      </c>
      <c r="I3139" s="1">
        <f>IF(ISERROR(MATCH(Tabla_Items_Con_Existencia[[#This Row],[CODIGO]],Tabla_Items_Activos[CODIGO],0)),0,1)</f>
        <v>0</v>
      </c>
    </row>
    <row r="3140" spans="1:9">
      <c r="A3140" s="2" t="s">
        <v>6760</v>
      </c>
      <c r="B3140" s="2" t="s">
        <v>4410</v>
      </c>
      <c r="C3140" s="2" t="s">
        <v>4411</v>
      </c>
      <c r="D3140" s="2" t="s">
        <v>5158</v>
      </c>
      <c r="E3140" s="2" t="s">
        <v>5159</v>
      </c>
      <c r="F3140" s="2">
        <v>7.58</v>
      </c>
      <c r="G3140" s="2">
        <v>3</v>
      </c>
      <c r="H3140" s="2">
        <f>Tabla_Items_Con_Existencia[[#This Row],[COSTO]]*Tabla_Items_Con_Existencia[[#This Row],[EXISTENCIA]]</f>
        <v>22.740000000000002</v>
      </c>
      <c r="I3140" s="1">
        <f>IF(ISERROR(MATCH(Tabla_Items_Con_Existencia[[#This Row],[CODIGO]],Tabla_Items_Activos[CODIGO],0)),0,1)</f>
        <v>0</v>
      </c>
    </row>
    <row r="3141" spans="1:9">
      <c r="A3141" s="2" t="s">
        <v>6760</v>
      </c>
      <c r="B3141" s="2" t="s">
        <v>966</v>
      </c>
      <c r="C3141" s="2" t="s">
        <v>4414</v>
      </c>
      <c r="D3141" s="2" t="s">
        <v>5158</v>
      </c>
      <c r="E3141" s="2" t="s">
        <v>5159</v>
      </c>
      <c r="F3141" s="2">
        <v>8.0573684199999995</v>
      </c>
      <c r="G3141" s="2">
        <v>8</v>
      </c>
      <c r="H3141" s="2">
        <f>Tabla_Items_Con_Existencia[[#This Row],[COSTO]]*Tabla_Items_Con_Existencia[[#This Row],[EXISTENCIA]]</f>
        <v>64.458947359999996</v>
      </c>
      <c r="I3141" s="1">
        <f>IF(ISERROR(MATCH(Tabla_Items_Con_Existencia[[#This Row],[CODIGO]],Tabla_Items_Activos[CODIGO],0)),0,1)</f>
        <v>0</v>
      </c>
    </row>
    <row r="3142" spans="1:9">
      <c r="A3142" s="2" t="s">
        <v>6761</v>
      </c>
      <c r="B3142" s="2" t="s">
        <v>966</v>
      </c>
      <c r="C3142" s="2" t="s">
        <v>4414</v>
      </c>
      <c r="D3142" s="2" t="s">
        <v>5158</v>
      </c>
      <c r="E3142" s="2" t="s">
        <v>5159</v>
      </c>
      <c r="F3142" s="2">
        <v>8.0573684199999995</v>
      </c>
      <c r="G3142" s="2">
        <v>8</v>
      </c>
      <c r="H3142" s="2">
        <f>Tabla_Items_Con_Existencia[[#This Row],[COSTO]]*Tabla_Items_Con_Existencia[[#This Row],[EXISTENCIA]]</f>
        <v>64.458947359999996</v>
      </c>
      <c r="I3142" s="1">
        <f>IF(ISERROR(MATCH(Tabla_Items_Con_Existencia[[#This Row],[CODIGO]],Tabla_Items_Activos[CODIGO],0)),0,1)</f>
        <v>0</v>
      </c>
    </row>
    <row r="3143" spans="1:9">
      <c r="A3143" s="2" t="s">
        <v>6760</v>
      </c>
      <c r="B3143" s="2" t="s">
        <v>967</v>
      </c>
      <c r="C3143" s="2" t="s">
        <v>4415</v>
      </c>
      <c r="D3143" s="2" t="s">
        <v>5158</v>
      </c>
      <c r="E3143" s="2" t="s">
        <v>5159</v>
      </c>
      <c r="F3143" s="2">
        <v>6.7923684199999999</v>
      </c>
      <c r="G3143" s="2">
        <v>7</v>
      </c>
      <c r="H3143" s="2">
        <f>Tabla_Items_Con_Existencia[[#This Row],[COSTO]]*Tabla_Items_Con_Existencia[[#This Row],[EXISTENCIA]]</f>
        <v>47.546578939999996</v>
      </c>
      <c r="I3143" s="1">
        <f>IF(ISERROR(MATCH(Tabla_Items_Con_Existencia[[#This Row],[CODIGO]],Tabla_Items_Activos[CODIGO],0)),0,1)</f>
        <v>0</v>
      </c>
    </row>
    <row r="3144" spans="1:9">
      <c r="A3144" s="2" t="s">
        <v>6761</v>
      </c>
      <c r="B3144" s="2" t="s">
        <v>967</v>
      </c>
      <c r="C3144" s="2" t="s">
        <v>4415</v>
      </c>
      <c r="D3144" s="2" t="s">
        <v>5158</v>
      </c>
      <c r="E3144" s="2" t="s">
        <v>5159</v>
      </c>
      <c r="F3144" s="2">
        <v>6.7923684199999999</v>
      </c>
      <c r="G3144" s="2">
        <v>7</v>
      </c>
      <c r="H3144" s="2">
        <f>Tabla_Items_Con_Existencia[[#This Row],[COSTO]]*Tabla_Items_Con_Existencia[[#This Row],[EXISTENCIA]]</f>
        <v>47.546578939999996</v>
      </c>
      <c r="I3144" s="1">
        <f>IF(ISERROR(MATCH(Tabla_Items_Con_Existencia[[#This Row],[CODIGO]],Tabla_Items_Activos[CODIGO],0)),0,1)</f>
        <v>0</v>
      </c>
    </row>
    <row r="3145" spans="1:9">
      <c r="A3145" s="2" t="s">
        <v>6760</v>
      </c>
      <c r="B3145" s="2" t="s">
        <v>4421</v>
      </c>
      <c r="C3145" s="2" t="s">
        <v>4422</v>
      </c>
      <c r="D3145" s="2" t="s">
        <v>5158</v>
      </c>
      <c r="E3145" s="2" t="s">
        <v>5159</v>
      </c>
      <c r="F3145" s="2">
        <v>26.954999999999998</v>
      </c>
      <c r="G3145" s="2">
        <v>1</v>
      </c>
      <c r="H3145" s="2">
        <f>Tabla_Items_Con_Existencia[[#This Row],[COSTO]]*Tabla_Items_Con_Existencia[[#This Row],[EXISTENCIA]]</f>
        <v>26.954999999999998</v>
      </c>
      <c r="I3145" s="1">
        <f>IF(ISERROR(MATCH(Tabla_Items_Con_Existencia[[#This Row],[CODIGO]],Tabla_Items_Activos[CODIGO],0)),0,1)</f>
        <v>0</v>
      </c>
    </row>
    <row r="3146" spans="1:9">
      <c r="A3146" s="2" t="s">
        <v>6760</v>
      </c>
      <c r="B3146" s="2" t="s">
        <v>4425</v>
      </c>
      <c r="C3146" s="2" t="s">
        <v>4426</v>
      </c>
      <c r="D3146" s="2" t="s">
        <v>5158</v>
      </c>
      <c r="E3146" s="2" t="s">
        <v>5159</v>
      </c>
      <c r="F3146" s="2">
        <v>7.3867894700000001</v>
      </c>
      <c r="G3146" s="2">
        <v>4</v>
      </c>
      <c r="H3146" s="2">
        <f>Tabla_Items_Con_Existencia[[#This Row],[COSTO]]*Tabla_Items_Con_Existencia[[#This Row],[EXISTENCIA]]</f>
        <v>29.54715788</v>
      </c>
      <c r="I3146" s="1">
        <f>IF(ISERROR(MATCH(Tabla_Items_Con_Existencia[[#This Row],[CODIGO]],Tabla_Items_Activos[CODIGO],0)),0,1)</f>
        <v>0</v>
      </c>
    </row>
    <row r="3147" spans="1:9">
      <c r="A3147" s="2" t="s">
        <v>6761</v>
      </c>
      <c r="B3147" s="2" t="s">
        <v>4425</v>
      </c>
      <c r="C3147" s="2" t="s">
        <v>4426</v>
      </c>
      <c r="D3147" s="2" t="s">
        <v>5158</v>
      </c>
      <c r="E3147" s="2" t="s">
        <v>5159</v>
      </c>
      <c r="F3147" s="2">
        <v>7.3867894700000001</v>
      </c>
      <c r="G3147" s="2">
        <v>4</v>
      </c>
      <c r="H3147" s="2">
        <f>Tabla_Items_Con_Existencia[[#This Row],[COSTO]]*Tabla_Items_Con_Existencia[[#This Row],[EXISTENCIA]]</f>
        <v>29.54715788</v>
      </c>
      <c r="I3147" s="1">
        <f>IF(ISERROR(MATCH(Tabla_Items_Con_Existencia[[#This Row],[CODIGO]],Tabla_Items_Activos[CODIGO],0)),0,1)</f>
        <v>0</v>
      </c>
    </row>
    <row r="3148" spans="1:9">
      <c r="A3148" s="2" t="s">
        <v>6760</v>
      </c>
      <c r="B3148" s="2" t="s">
        <v>4427</v>
      </c>
      <c r="C3148" s="2" t="s">
        <v>4428</v>
      </c>
      <c r="D3148" s="2" t="s">
        <v>5158</v>
      </c>
      <c r="E3148" s="2" t="s">
        <v>5159</v>
      </c>
      <c r="F3148" s="2">
        <v>1.55857895</v>
      </c>
      <c r="G3148" s="2">
        <v>3</v>
      </c>
      <c r="H3148" s="2">
        <f>Tabla_Items_Con_Existencia[[#This Row],[COSTO]]*Tabla_Items_Con_Existencia[[#This Row],[EXISTENCIA]]</f>
        <v>4.6757368499999998</v>
      </c>
      <c r="I3148" s="1">
        <f>IF(ISERROR(MATCH(Tabla_Items_Con_Existencia[[#This Row],[CODIGO]],Tabla_Items_Activos[CODIGO],0)),0,1)</f>
        <v>0</v>
      </c>
    </row>
    <row r="3149" spans="1:9">
      <c r="A3149" s="2" t="s">
        <v>6761</v>
      </c>
      <c r="B3149" s="2" t="s">
        <v>4427</v>
      </c>
      <c r="C3149" s="2" t="s">
        <v>4428</v>
      </c>
      <c r="D3149" s="2" t="s">
        <v>5158</v>
      </c>
      <c r="E3149" s="2" t="s">
        <v>5159</v>
      </c>
      <c r="F3149" s="2">
        <v>1.55857895</v>
      </c>
      <c r="G3149" s="2">
        <v>3</v>
      </c>
      <c r="H3149" s="2">
        <f>Tabla_Items_Con_Existencia[[#This Row],[COSTO]]*Tabla_Items_Con_Existencia[[#This Row],[EXISTENCIA]]</f>
        <v>4.6757368499999998</v>
      </c>
      <c r="I3149" s="1">
        <f>IF(ISERROR(MATCH(Tabla_Items_Con_Existencia[[#This Row],[CODIGO]],Tabla_Items_Activos[CODIGO],0)),0,1)</f>
        <v>0</v>
      </c>
    </row>
    <row r="3150" spans="1:9">
      <c r="A3150" s="2" t="s">
        <v>6761</v>
      </c>
      <c r="B3150" s="2" t="s">
        <v>4429</v>
      </c>
      <c r="C3150" s="2" t="s">
        <v>4430</v>
      </c>
      <c r="D3150" s="2" t="s">
        <v>5158</v>
      </c>
      <c r="E3150" s="2" t="s">
        <v>5159</v>
      </c>
      <c r="F3150" s="2">
        <v>8.6181578900000009</v>
      </c>
      <c r="G3150" s="2">
        <v>2</v>
      </c>
      <c r="H3150" s="2">
        <f>Tabla_Items_Con_Existencia[[#This Row],[COSTO]]*Tabla_Items_Con_Existencia[[#This Row],[EXISTENCIA]]</f>
        <v>17.236315780000002</v>
      </c>
      <c r="I3150" s="1">
        <f>IF(ISERROR(MATCH(Tabla_Items_Con_Existencia[[#This Row],[CODIGO]],Tabla_Items_Activos[CODIGO],0)),0,1)</f>
        <v>0</v>
      </c>
    </row>
    <row r="3151" spans="1:9">
      <c r="A3151" s="2" t="s">
        <v>6760</v>
      </c>
      <c r="B3151" s="2" t="s">
        <v>4429</v>
      </c>
      <c r="C3151" s="2" t="s">
        <v>4430</v>
      </c>
      <c r="D3151" s="2" t="s">
        <v>5158</v>
      </c>
      <c r="E3151" s="2" t="s">
        <v>5159</v>
      </c>
      <c r="F3151" s="2">
        <v>8.6181578900000009</v>
      </c>
      <c r="G3151" s="2">
        <v>2</v>
      </c>
      <c r="H3151" s="2">
        <f>Tabla_Items_Con_Existencia[[#This Row],[COSTO]]*Tabla_Items_Con_Existencia[[#This Row],[EXISTENCIA]]</f>
        <v>17.236315780000002</v>
      </c>
      <c r="I3151" s="1">
        <f>IF(ISERROR(MATCH(Tabla_Items_Con_Existencia[[#This Row],[CODIGO]],Tabla_Items_Activos[CODIGO],0)),0,1)</f>
        <v>0</v>
      </c>
    </row>
    <row r="3152" spans="1:9">
      <c r="A3152" s="2" t="s">
        <v>6760</v>
      </c>
      <c r="B3152" s="2" t="s">
        <v>4431</v>
      </c>
      <c r="C3152" s="2" t="s">
        <v>4432</v>
      </c>
      <c r="D3152" s="2" t="s">
        <v>5158</v>
      </c>
      <c r="E3152" s="2" t="s">
        <v>5159</v>
      </c>
      <c r="F3152" s="2">
        <v>1.1783157900000001</v>
      </c>
      <c r="G3152" s="2">
        <v>9</v>
      </c>
      <c r="H3152" s="2">
        <f>Tabla_Items_Con_Existencia[[#This Row],[COSTO]]*Tabla_Items_Con_Existencia[[#This Row],[EXISTENCIA]]</f>
        <v>10.60484211</v>
      </c>
      <c r="I3152" s="1">
        <f>IF(ISERROR(MATCH(Tabla_Items_Con_Existencia[[#This Row],[CODIGO]],Tabla_Items_Activos[CODIGO],0)),0,1)</f>
        <v>0</v>
      </c>
    </row>
    <row r="3153" spans="1:9">
      <c r="A3153" s="2" t="s">
        <v>6761</v>
      </c>
      <c r="B3153" s="2" t="s">
        <v>4431</v>
      </c>
      <c r="C3153" s="2" t="s">
        <v>4432</v>
      </c>
      <c r="D3153" s="2" t="s">
        <v>5158</v>
      </c>
      <c r="E3153" s="2" t="s">
        <v>5159</v>
      </c>
      <c r="F3153" s="2">
        <v>1.1783157900000001</v>
      </c>
      <c r="G3153" s="2">
        <v>9</v>
      </c>
      <c r="H3153" s="2">
        <f>Tabla_Items_Con_Existencia[[#This Row],[COSTO]]*Tabla_Items_Con_Existencia[[#This Row],[EXISTENCIA]]</f>
        <v>10.60484211</v>
      </c>
      <c r="I3153" s="1">
        <f>IF(ISERROR(MATCH(Tabla_Items_Con_Existencia[[#This Row],[CODIGO]],Tabla_Items_Activos[CODIGO],0)),0,1)</f>
        <v>0</v>
      </c>
    </row>
    <row r="3154" spans="1:9">
      <c r="A3154" s="2" t="s">
        <v>6760</v>
      </c>
      <c r="B3154" s="2" t="s">
        <v>4433</v>
      </c>
      <c r="C3154" s="2" t="s">
        <v>4434</v>
      </c>
      <c r="D3154" s="2" t="s">
        <v>5158</v>
      </c>
      <c r="E3154" s="2" t="s">
        <v>5159</v>
      </c>
      <c r="F3154" s="2">
        <v>5.6159999999999997</v>
      </c>
      <c r="G3154" s="2">
        <v>2</v>
      </c>
      <c r="H3154" s="2">
        <f>Tabla_Items_Con_Existencia[[#This Row],[COSTO]]*Tabla_Items_Con_Existencia[[#This Row],[EXISTENCIA]]</f>
        <v>11.231999999999999</v>
      </c>
      <c r="I3154" s="1">
        <f>IF(ISERROR(MATCH(Tabla_Items_Con_Existencia[[#This Row],[CODIGO]],Tabla_Items_Activos[CODIGO],0)),0,1)</f>
        <v>0</v>
      </c>
    </row>
    <row r="3155" spans="1:9">
      <c r="A3155" s="2" t="s">
        <v>6761</v>
      </c>
      <c r="B3155" s="2" t="s">
        <v>4433</v>
      </c>
      <c r="C3155" s="2" t="s">
        <v>4434</v>
      </c>
      <c r="D3155" s="2" t="s">
        <v>5158</v>
      </c>
      <c r="E3155" s="2" t="s">
        <v>5159</v>
      </c>
      <c r="F3155" s="2">
        <v>5.6159999999999997</v>
      </c>
      <c r="G3155" s="2">
        <v>2</v>
      </c>
      <c r="H3155" s="2">
        <f>Tabla_Items_Con_Existencia[[#This Row],[COSTO]]*Tabla_Items_Con_Existencia[[#This Row],[EXISTENCIA]]</f>
        <v>11.231999999999999</v>
      </c>
      <c r="I3155" s="1">
        <f>IF(ISERROR(MATCH(Tabla_Items_Con_Existencia[[#This Row],[CODIGO]],Tabla_Items_Activos[CODIGO],0)),0,1)</f>
        <v>0</v>
      </c>
    </row>
    <row r="3156" spans="1:9">
      <c r="A3156" s="2" t="s">
        <v>6760</v>
      </c>
      <c r="B3156" s="2" t="s">
        <v>4435</v>
      </c>
      <c r="C3156" s="2" t="s">
        <v>4436</v>
      </c>
      <c r="D3156" s="2" t="s">
        <v>5158</v>
      </c>
      <c r="E3156" s="2" t="s">
        <v>5159</v>
      </c>
      <c r="F3156" s="2">
        <v>0.85457894999999995</v>
      </c>
      <c r="G3156" s="2">
        <v>11</v>
      </c>
      <c r="H3156" s="2">
        <f>Tabla_Items_Con_Existencia[[#This Row],[COSTO]]*Tabla_Items_Con_Existencia[[#This Row],[EXISTENCIA]]</f>
        <v>9.4003684500000002</v>
      </c>
      <c r="I3156" s="1">
        <f>IF(ISERROR(MATCH(Tabla_Items_Con_Existencia[[#This Row],[CODIGO]],Tabla_Items_Activos[CODIGO],0)),0,1)</f>
        <v>0</v>
      </c>
    </row>
    <row r="3157" spans="1:9">
      <c r="A3157" s="2" t="s">
        <v>6761</v>
      </c>
      <c r="B3157" s="2" t="s">
        <v>4435</v>
      </c>
      <c r="C3157" s="2" t="s">
        <v>4436</v>
      </c>
      <c r="D3157" s="2" t="s">
        <v>5158</v>
      </c>
      <c r="E3157" s="2" t="s">
        <v>5159</v>
      </c>
      <c r="F3157" s="2">
        <v>0.85457894999999995</v>
      </c>
      <c r="G3157" s="2">
        <v>11</v>
      </c>
      <c r="H3157" s="2">
        <f>Tabla_Items_Con_Existencia[[#This Row],[COSTO]]*Tabla_Items_Con_Existencia[[#This Row],[EXISTENCIA]]</f>
        <v>9.4003684500000002</v>
      </c>
      <c r="I3157" s="1">
        <f>IF(ISERROR(MATCH(Tabla_Items_Con_Existencia[[#This Row],[CODIGO]],Tabla_Items_Activos[CODIGO],0)),0,1)</f>
        <v>0</v>
      </c>
    </row>
    <row r="3158" spans="1:9">
      <c r="A3158" s="2" t="s">
        <v>6761</v>
      </c>
      <c r="B3158" s="2" t="s">
        <v>4437</v>
      </c>
      <c r="C3158" s="2" t="s">
        <v>4438</v>
      </c>
      <c r="D3158" s="2" t="s">
        <v>5158</v>
      </c>
      <c r="E3158" s="2" t="s">
        <v>5159</v>
      </c>
      <c r="F3158" s="2">
        <v>1.14489474</v>
      </c>
      <c r="G3158" s="2">
        <v>2</v>
      </c>
      <c r="H3158" s="2">
        <f>Tabla_Items_Con_Existencia[[#This Row],[COSTO]]*Tabla_Items_Con_Existencia[[#This Row],[EXISTENCIA]]</f>
        <v>2.28978948</v>
      </c>
      <c r="I3158" s="1">
        <f>IF(ISERROR(MATCH(Tabla_Items_Con_Existencia[[#This Row],[CODIGO]],Tabla_Items_Activos[CODIGO],0)),0,1)</f>
        <v>0</v>
      </c>
    </row>
    <row r="3159" spans="1:9">
      <c r="A3159" s="2" t="s">
        <v>6760</v>
      </c>
      <c r="B3159" s="2" t="s">
        <v>4437</v>
      </c>
      <c r="C3159" s="2" t="s">
        <v>4438</v>
      </c>
      <c r="D3159" s="2" t="s">
        <v>5158</v>
      </c>
      <c r="E3159" s="2" t="s">
        <v>5159</v>
      </c>
      <c r="F3159" s="2">
        <v>1.14489474</v>
      </c>
      <c r="G3159" s="2">
        <v>2</v>
      </c>
      <c r="H3159" s="2">
        <f>Tabla_Items_Con_Existencia[[#This Row],[COSTO]]*Tabla_Items_Con_Existencia[[#This Row],[EXISTENCIA]]</f>
        <v>2.28978948</v>
      </c>
      <c r="I3159" s="1">
        <f>IF(ISERROR(MATCH(Tabla_Items_Con_Existencia[[#This Row],[CODIGO]],Tabla_Items_Activos[CODIGO],0)),0,1)</f>
        <v>0</v>
      </c>
    </row>
    <row r="3160" spans="1:9">
      <c r="A3160" s="2" t="s">
        <v>6760</v>
      </c>
      <c r="B3160" s="2" t="s">
        <v>4443</v>
      </c>
      <c r="C3160" s="2" t="s">
        <v>4444</v>
      </c>
      <c r="D3160" s="2" t="s">
        <v>5158</v>
      </c>
      <c r="E3160" s="2" t="s">
        <v>5159</v>
      </c>
      <c r="F3160" s="2">
        <v>14.679842109999999</v>
      </c>
      <c r="G3160" s="2">
        <v>9</v>
      </c>
      <c r="H3160" s="2">
        <f>Tabla_Items_Con_Existencia[[#This Row],[COSTO]]*Tabla_Items_Con_Existencia[[#This Row],[EXISTENCIA]]</f>
        <v>132.11857899</v>
      </c>
      <c r="I3160" s="1">
        <f>IF(ISERROR(MATCH(Tabla_Items_Con_Existencia[[#This Row],[CODIGO]],Tabla_Items_Activos[CODIGO],0)),0,1)</f>
        <v>0</v>
      </c>
    </row>
    <row r="3161" spans="1:9">
      <c r="A3161" s="2" t="s">
        <v>6761</v>
      </c>
      <c r="B3161" s="2" t="s">
        <v>4443</v>
      </c>
      <c r="C3161" s="2" t="s">
        <v>4444</v>
      </c>
      <c r="D3161" s="2" t="s">
        <v>5158</v>
      </c>
      <c r="E3161" s="2" t="s">
        <v>5159</v>
      </c>
      <c r="F3161" s="2">
        <v>14.679842109999999</v>
      </c>
      <c r="G3161" s="2">
        <v>9</v>
      </c>
      <c r="H3161" s="2">
        <f>Tabla_Items_Con_Existencia[[#This Row],[COSTO]]*Tabla_Items_Con_Existencia[[#This Row],[EXISTENCIA]]</f>
        <v>132.11857899</v>
      </c>
      <c r="I3161" s="1">
        <f>IF(ISERROR(MATCH(Tabla_Items_Con_Existencia[[#This Row],[CODIGO]],Tabla_Items_Activos[CODIGO],0)),0,1)</f>
        <v>0</v>
      </c>
    </row>
    <row r="3162" spans="1:9">
      <c r="A3162" s="2" t="s">
        <v>6760</v>
      </c>
      <c r="B3162" s="2" t="s">
        <v>4447</v>
      </c>
      <c r="C3162" s="2" t="s">
        <v>4448</v>
      </c>
      <c r="D3162" s="2" t="s">
        <v>5158</v>
      </c>
      <c r="E3162" s="2" t="s">
        <v>5159</v>
      </c>
      <c r="F3162" s="2">
        <v>0.254</v>
      </c>
      <c r="G3162" s="2">
        <v>23</v>
      </c>
      <c r="H3162" s="2">
        <f>Tabla_Items_Con_Existencia[[#This Row],[COSTO]]*Tabla_Items_Con_Existencia[[#This Row],[EXISTENCIA]]</f>
        <v>5.8420000000000005</v>
      </c>
      <c r="I3162" s="1">
        <f>IF(ISERROR(MATCH(Tabla_Items_Con_Existencia[[#This Row],[CODIGO]],Tabla_Items_Activos[CODIGO],0)),0,1)</f>
        <v>0</v>
      </c>
    </row>
    <row r="3163" spans="1:9">
      <c r="A3163" s="2" t="s">
        <v>6760</v>
      </c>
      <c r="B3163" s="2" t="s">
        <v>4449</v>
      </c>
      <c r="C3163" s="2" t="s">
        <v>4450</v>
      </c>
      <c r="D3163" s="2" t="s">
        <v>5158</v>
      </c>
      <c r="E3163" s="2" t="s">
        <v>5159</v>
      </c>
      <c r="F3163" s="2">
        <v>0.37</v>
      </c>
      <c r="G3163" s="2">
        <v>17</v>
      </c>
      <c r="H3163" s="2">
        <f>Tabla_Items_Con_Existencia[[#This Row],[COSTO]]*Tabla_Items_Con_Existencia[[#This Row],[EXISTENCIA]]</f>
        <v>6.29</v>
      </c>
      <c r="I3163" s="1">
        <f>IF(ISERROR(MATCH(Tabla_Items_Con_Existencia[[#This Row],[CODIGO]],Tabla_Items_Activos[CODIGO],0)),0,1)</f>
        <v>0</v>
      </c>
    </row>
    <row r="3164" spans="1:9">
      <c r="A3164" s="2" t="s">
        <v>6760</v>
      </c>
      <c r="B3164" s="2" t="s">
        <v>4451</v>
      </c>
      <c r="C3164" s="2" t="s">
        <v>4452</v>
      </c>
      <c r="D3164" s="2" t="s">
        <v>5158</v>
      </c>
      <c r="E3164" s="2" t="s">
        <v>5159</v>
      </c>
      <c r="F3164" s="2">
        <v>0.48499999999999999</v>
      </c>
      <c r="G3164" s="2">
        <v>14</v>
      </c>
      <c r="H3164" s="2">
        <f>Tabla_Items_Con_Existencia[[#This Row],[COSTO]]*Tabla_Items_Con_Existencia[[#This Row],[EXISTENCIA]]</f>
        <v>6.79</v>
      </c>
      <c r="I3164" s="1">
        <f>IF(ISERROR(MATCH(Tabla_Items_Con_Existencia[[#This Row],[CODIGO]],Tabla_Items_Activos[CODIGO],0)),0,1)</f>
        <v>0</v>
      </c>
    </row>
    <row r="3165" spans="1:9">
      <c r="A3165" s="2" t="s">
        <v>6760</v>
      </c>
      <c r="B3165" s="2" t="s">
        <v>6157</v>
      </c>
      <c r="C3165" s="2" t="s">
        <v>6158</v>
      </c>
      <c r="D3165" s="2" t="s">
        <v>5186</v>
      </c>
      <c r="E3165" s="2" t="s">
        <v>5159</v>
      </c>
      <c r="F3165" s="2">
        <v>5.0279999999999996</v>
      </c>
      <c r="G3165" s="2">
        <v>2</v>
      </c>
      <c r="H3165" s="2">
        <f>Tabla_Items_Con_Existencia[[#This Row],[COSTO]]*Tabla_Items_Con_Existencia[[#This Row],[EXISTENCIA]]</f>
        <v>10.055999999999999</v>
      </c>
      <c r="I3165" s="1">
        <f>IF(ISERROR(MATCH(Tabla_Items_Con_Existencia[[#This Row],[CODIGO]],Tabla_Items_Activos[CODIGO],0)),0,1)</f>
        <v>0</v>
      </c>
    </row>
    <row r="3166" spans="1:9">
      <c r="A3166" s="2" t="s">
        <v>6760</v>
      </c>
      <c r="B3166" s="2" t="s">
        <v>4471</v>
      </c>
      <c r="C3166" s="2" t="s">
        <v>4472</v>
      </c>
      <c r="D3166" s="2" t="s">
        <v>5158</v>
      </c>
      <c r="E3166" s="2" t="s">
        <v>5159</v>
      </c>
      <c r="F3166" s="2">
        <v>0.24199999999999999</v>
      </c>
      <c r="G3166" s="2">
        <v>24</v>
      </c>
      <c r="H3166" s="2">
        <f>Tabla_Items_Con_Existencia[[#This Row],[COSTO]]*Tabla_Items_Con_Existencia[[#This Row],[EXISTENCIA]]</f>
        <v>5.8079999999999998</v>
      </c>
      <c r="I3166" s="1">
        <f>IF(ISERROR(MATCH(Tabla_Items_Con_Existencia[[#This Row],[CODIGO]],Tabla_Items_Activos[CODIGO],0)),0,1)</f>
        <v>0</v>
      </c>
    </row>
    <row r="3167" spans="1:9">
      <c r="A3167" s="2" t="s">
        <v>6761</v>
      </c>
      <c r="B3167" s="2" t="s">
        <v>4473</v>
      </c>
      <c r="C3167" s="2" t="s">
        <v>4474</v>
      </c>
      <c r="D3167" s="2" t="s">
        <v>5186</v>
      </c>
      <c r="E3167" s="2" t="s">
        <v>5159</v>
      </c>
      <c r="F3167" s="2">
        <v>0.38571053</v>
      </c>
      <c r="G3167" s="2">
        <v>3</v>
      </c>
      <c r="H3167" s="2">
        <f>Tabla_Items_Con_Existencia[[#This Row],[COSTO]]*Tabla_Items_Con_Existencia[[#This Row],[EXISTENCIA]]</f>
        <v>1.1571315900000001</v>
      </c>
      <c r="I3167" s="1">
        <f>IF(ISERROR(MATCH(Tabla_Items_Con_Existencia[[#This Row],[CODIGO]],Tabla_Items_Activos[CODIGO],0)),0,1)</f>
        <v>0</v>
      </c>
    </row>
    <row r="3168" spans="1:9">
      <c r="A3168" s="2" t="s">
        <v>6760</v>
      </c>
      <c r="B3168" s="2" t="s">
        <v>4473</v>
      </c>
      <c r="C3168" s="2" t="s">
        <v>4474</v>
      </c>
      <c r="D3168" s="2" t="s">
        <v>5186</v>
      </c>
      <c r="E3168" s="2" t="s">
        <v>5159</v>
      </c>
      <c r="F3168" s="2">
        <v>0.38571053</v>
      </c>
      <c r="G3168" s="2">
        <v>3</v>
      </c>
      <c r="H3168" s="2">
        <f>Tabla_Items_Con_Existencia[[#This Row],[COSTO]]*Tabla_Items_Con_Existencia[[#This Row],[EXISTENCIA]]</f>
        <v>1.1571315900000001</v>
      </c>
      <c r="I3168" s="1">
        <f>IF(ISERROR(MATCH(Tabla_Items_Con_Existencia[[#This Row],[CODIGO]],Tabla_Items_Activos[CODIGO],0)),0,1)</f>
        <v>0</v>
      </c>
    </row>
    <row r="3169" spans="1:9">
      <c r="A3169" s="2" t="s">
        <v>6760</v>
      </c>
      <c r="B3169" s="2" t="s">
        <v>4475</v>
      </c>
      <c r="C3169" s="2" t="s">
        <v>4476</v>
      </c>
      <c r="D3169" s="2" t="s">
        <v>5186</v>
      </c>
      <c r="E3169" s="2" t="s">
        <v>5159</v>
      </c>
      <c r="F3169" s="2">
        <v>0.55500000000000005</v>
      </c>
      <c r="G3169" s="2">
        <v>1</v>
      </c>
      <c r="H3169" s="2">
        <f>Tabla_Items_Con_Existencia[[#This Row],[COSTO]]*Tabla_Items_Con_Existencia[[#This Row],[EXISTENCIA]]</f>
        <v>0.55500000000000005</v>
      </c>
      <c r="I3169" s="1">
        <f>IF(ISERROR(MATCH(Tabla_Items_Con_Existencia[[#This Row],[CODIGO]],Tabla_Items_Activos[CODIGO],0)),0,1)</f>
        <v>0</v>
      </c>
    </row>
    <row r="3170" spans="1:9">
      <c r="A3170" s="2" t="s">
        <v>6760</v>
      </c>
      <c r="B3170" s="2" t="s">
        <v>4479</v>
      </c>
      <c r="C3170" s="2" t="s">
        <v>4480</v>
      </c>
      <c r="D3170" s="2" t="s">
        <v>5186</v>
      </c>
      <c r="E3170" s="2" t="s">
        <v>5159</v>
      </c>
      <c r="F3170" s="2">
        <v>29.638000000000002</v>
      </c>
      <c r="G3170" s="2">
        <v>1</v>
      </c>
      <c r="H3170" s="2">
        <f>Tabla_Items_Con_Existencia[[#This Row],[COSTO]]*Tabla_Items_Con_Existencia[[#This Row],[EXISTENCIA]]</f>
        <v>29.638000000000002</v>
      </c>
      <c r="I3170" s="1">
        <f>IF(ISERROR(MATCH(Tabla_Items_Con_Existencia[[#This Row],[CODIGO]],Tabla_Items_Activos[CODIGO],0)),0,1)</f>
        <v>0</v>
      </c>
    </row>
    <row r="3171" spans="1:9">
      <c r="A3171" s="2" t="s">
        <v>6760</v>
      </c>
      <c r="B3171" s="2" t="s">
        <v>976</v>
      </c>
      <c r="C3171" s="2" t="s">
        <v>6347</v>
      </c>
      <c r="D3171" s="2" t="s">
        <v>5186</v>
      </c>
      <c r="E3171" s="2" t="s">
        <v>5159</v>
      </c>
      <c r="F3171" s="2">
        <v>2.5720000000000001</v>
      </c>
      <c r="G3171" s="2">
        <v>2</v>
      </c>
      <c r="H3171" s="2">
        <f>Tabla_Items_Con_Existencia[[#This Row],[COSTO]]*Tabla_Items_Con_Existencia[[#This Row],[EXISTENCIA]]</f>
        <v>5.1440000000000001</v>
      </c>
      <c r="I3171" s="1">
        <f>IF(ISERROR(MATCH(Tabla_Items_Con_Existencia[[#This Row],[CODIGO]],Tabla_Items_Activos[CODIGO],0)),0,1)</f>
        <v>0</v>
      </c>
    </row>
    <row r="3172" spans="1:9">
      <c r="A3172" s="2" t="s">
        <v>6761</v>
      </c>
      <c r="B3172" s="2" t="s">
        <v>976</v>
      </c>
      <c r="C3172" s="2" t="s">
        <v>6347</v>
      </c>
      <c r="D3172" s="2" t="s">
        <v>5186</v>
      </c>
      <c r="E3172" s="2" t="s">
        <v>5159</v>
      </c>
      <c r="F3172" s="2">
        <v>2.5720000000000001</v>
      </c>
      <c r="G3172" s="2">
        <v>2</v>
      </c>
      <c r="H3172" s="2">
        <f>Tabla_Items_Con_Existencia[[#This Row],[COSTO]]*Tabla_Items_Con_Existencia[[#This Row],[EXISTENCIA]]</f>
        <v>5.1440000000000001</v>
      </c>
      <c r="I3172" s="1">
        <f>IF(ISERROR(MATCH(Tabla_Items_Con_Existencia[[#This Row],[CODIGO]],Tabla_Items_Activos[CODIGO],0)),0,1)</f>
        <v>0</v>
      </c>
    </row>
    <row r="3173" spans="1:9">
      <c r="A3173" s="2" t="s">
        <v>6760</v>
      </c>
      <c r="B3173" s="2" t="s">
        <v>982</v>
      </c>
      <c r="C3173" s="2" t="s">
        <v>4487</v>
      </c>
      <c r="D3173" s="2" t="s">
        <v>5186</v>
      </c>
      <c r="E3173" s="2" t="s">
        <v>5159</v>
      </c>
      <c r="F3173" s="2">
        <v>4.9922105300000004</v>
      </c>
      <c r="G3173" s="2">
        <v>7</v>
      </c>
      <c r="H3173" s="2">
        <f>Tabla_Items_Con_Existencia[[#This Row],[COSTO]]*Tabla_Items_Con_Existencia[[#This Row],[EXISTENCIA]]</f>
        <v>34.945473710000002</v>
      </c>
      <c r="I3173" s="1">
        <f>IF(ISERROR(MATCH(Tabla_Items_Con_Existencia[[#This Row],[CODIGO]],Tabla_Items_Activos[CODIGO],0)),0,1)</f>
        <v>0</v>
      </c>
    </row>
    <row r="3174" spans="1:9">
      <c r="A3174" s="2" t="s">
        <v>6761</v>
      </c>
      <c r="B3174" s="2" t="s">
        <v>982</v>
      </c>
      <c r="C3174" s="2" t="s">
        <v>4487</v>
      </c>
      <c r="D3174" s="2" t="s">
        <v>5186</v>
      </c>
      <c r="E3174" s="2" t="s">
        <v>5159</v>
      </c>
      <c r="F3174" s="2">
        <v>4.9922105300000004</v>
      </c>
      <c r="G3174" s="2">
        <v>7</v>
      </c>
      <c r="H3174" s="2">
        <f>Tabla_Items_Con_Existencia[[#This Row],[COSTO]]*Tabla_Items_Con_Existencia[[#This Row],[EXISTENCIA]]</f>
        <v>34.945473710000002</v>
      </c>
      <c r="I3174" s="1">
        <f>IF(ISERROR(MATCH(Tabla_Items_Con_Existencia[[#This Row],[CODIGO]],Tabla_Items_Activos[CODIGO],0)),0,1)</f>
        <v>0</v>
      </c>
    </row>
    <row r="3175" spans="1:9">
      <c r="A3175" s="2" t="s">
        <v>6760</v>
      </c>
      <c r="B3175" s="2" t="s">
        <v>4491</v>
      </c>
      <c r="C3175" s="2" t="s">
        <v>4492</v>
      </c>
      <c r="D3175" s="2" t="s">
        <v>5186</v>
      </c>
      <c r="E3175" s="2" t="s">
        <v>5159</v>
      </c>
      <c r="F3175" s="2">
        <v>7.0359999999999996</v>
      </c>
      <c r="G3175" s="2">
        <v>7</v>
      </c>
      <c r="H3175" s="2">
        <f>Tabla_Items_Con_Existencia[[#This Row],[COSTO]]*Tabla_Items_Con_Existencia[[#This Row],[EXISTENCIA]]</f>
        <v>49.251999999999995</v>
      </c>
      <c r="I3175" s="1">
        <f>IF(ISERROR(MATCH(Tabla_Items_Con_Existencia[[#This Row],[CODIGO]],Tabla_Items_Activos[CODIGO],0)),0,1)</f>
        <v>0</v>
      </c>
    </row>
    <row r="3176" spans="1:9">
      <c r="A3176" s="2" t="s">
        <v>6760</v>
      </c>
      <c r="B3176" s="2" t="s">
        <v>4495</v>
      </c>
      <c r="C3176" s="2" t="s">
        <v>4496</v>
      </c>
      <c r="D3176" s="2" t="s">
        <v>5186</v>
      </c>
      <c r="E3176" s="2" t="s">
        <v>5159</v>
      </c>
      <c r="F3176" s="2">
        <v>0.4</v>
      </c>
      <c r="G3176" s="2">
        <v>3</v>
      </c>
      <c r="H3176" s="2">
        <f>Tabla_Items_Con_Existencia[[#This Row],[COSTO]]*Tabla_Items_Con_Existencia[[#This Row],[EXISTENCIA]]</f>
        <v>1.2000000000000002</v>
      </c>
      <c r="I3176" s="1">
        <f>IF(ISERROR(MATCH(Tabla_Items_Con_Existencia[[#This Row],[CODIGO]],Tabla_Items_Activos[CODIGO],0)),0,1)</f>
        <v>0</v>
      </c>
    </row>
    <row r="3177" spans="1:9">
      <c r="A3177" s="2" t="s">
        <v>6760</v>
      </c>
      <c r="B3177" s="2" t="s">
        <v>4497</v>
      </c>
      <c r="C3177" s="2" t="s">
        <v>4498</v>
      </c>
      <c r="D3177" s="2" t="s">
        <v>5186</v>
      </c>
      <c r="E3177" s="2" t="s">
        <v>5159</v>
      </c>
      <c r="F3177" s="2">
        <v>3.7250000000000001</v>
      </c>
      <c r="G3177" s="2">
        <v>6</v>
      </c>
      <c r="H3177" s="2">
        <f>Tabla_Items_Con_Existencia[[#This Row],[COSTO]]*Tabla_Items_Con_Existencia[[#This Row],[EXISTENCIA]]</f>
        <v>22.35</v>
      </c>
      <c r="I3177" s="1">
        <f>IF(ISERROR(MATCH(Tabla_Items_Con_Existencia[[#This Row],[CODIGO]],Tabla_Items_Activos[CODIGO],0)),0,1)</f>
        <v>0</v>
      </c>
    </row>
    <row r="3178" spans="1:9">
      <c r="A3178" s="2" t="s">
        <v>6760</v>
      </c>
      <c r="B3178" s="2" t="s">
        <v>4501</v>
      </c>
      <c r="C3178" s="2" t="s">
        <v>4502</v>
      </c>
      <c r="D3178" s="2" t="s">
        <v>5186</v>
      </c>
      <c r="E3178" s="2" t="s">
        <v>5159</v>
      </c>
      <c r="F3178" s="2">
        <v>9.9670000000000005</v>
      </c>
      <c r="G3178" s="2">
        <v>5</v>
      </c>
      <c r="H3178" s="2">
        <f>Tabla_Items_Con_Existencia[[#This Row],[COSTO]]*Tabla_Items_Con_Existencia[[#This Row],[EXISTENCIA]]</f>
        <v>49.835000000000001</v>
      </c>
      <c r="I3178" s="1">
        <f>IF(ISERROR(MATCH(Tabla_Items_Con_Existencia[[#This Row],[CODIGO]],Tabla_Items_Activos[CODIGO],0)),0,1)</f>
        <v>0</v>
      </c>
    </row>
    <row r="3179" spans="1:9">
      <c r="A3179" s="2" t="s">
        <v>6760</v>
      </c>
      <c r="B3179" s="2" t="s">
        <v>4508</v>
      </c>
      <c r="C3179" s="2" t="s">
        <v>4509</v>
      </c>
      <c r="D3179" s="2" t="s">
        <v>5186</v>
      </c>
      <c r="E3179" s="2" t="s">
        <v>5159</v>
      </c>
      <c r="F3179" s="2">
        <v>34.207999999999998</v>
      </c>
      <c r="G3179" s="2">
        <v>3</v>
      </c>
      <c r="H3179" s="2">
        <f>Tabla_Items_Con_Existencia[[#This Row],[COSTO]]*Tabla_Items_Con_Existencia[[#This Row],[EXISTENCIA]]</f>
        <v>102.624</v>
      </c>
      <c r="I3179" s="1">
        <f>IF(ISERROR(MATCH(Tabla_Items_Con_Existencia[[#This Row],[CODIGO]],Tabla_Items_Activos[CODIGO],0)),0,1)</f>
        <v>0</v>
      </c>
    </row>
    <row r="3180" spans="1:9">
      <c r="A3180" s="2" t="s">
        <v>6760</v>
      </c>
      <c r="B3180" s="2" t="s">
        <v>4512</v>
      </c>
      <c r="C3180" s="2" t="s">
        <v>4513</v>
      </c>
      <c r="D3180" s="2" t="s">
        <v>5186</v>
      </c>
      <c r="E3180" s="2" t="s">
        <v>5159</v>
      </c>
      <c r="F3180" s="2">
        <v>26.45</v>
      </c>
      <c r="G3180" s="2">
        <v>1</v>
      </c>
      <c r="H3180" s="2">
        <f>Tabla_Items_Con_Existencia[[#This Row],[COSTO]]*Tabla_Items_Con_Existencia[[#This Row],[EXISTENCIA]]</f>
        <v>26.45</v>
      </c>
      <c r="I3180" s="1">
        <f>IF(ISERROR(MATCH(Tabla_Items_Con_Existencia[[#This Row],[CODIGO]],Tabla_Items_Activos[CODIGO],0)),0,1)</f>
        <v>0</v>
      </c>
    </row>
    <row r="3181" spans="1:9">
      <c r="A3181" s="2" t="s">
        <v>6760</v>
      </c>
      <c r="B3181" s="2" t="s">
        <v>988</v>
      </c>
      <c r="C3181" s="2" t="s">
        <v>4521</v>
      </c>
      <c r="D3181" s="2" t="s">
        <v>5186</v>
      </c>
      <c r="E3181" s="2" t="s">
        <v>5159</v>
      </c>
      <c r="F3181" s="2">
        <v>30.135000000000002</v>
      </c>
      <c r="G3181" s="2">
        <v>1</v>
      </c>
      <c r="H3181" s="2">
        <f>Tabla_Items_Con_Existencia[[#This Row],[COSTO]]*Tabla_Items_Con_Existencia[[#This Row],[EXISTENCIA]]</f>
        <v>30.135000000000002</v>
      </c>
      <c r="I3181" s="1">
        <f>IF(ISERROR(MATCH(Tabla_Items_Con_Existencia[[#This Row],[CODIGO]],Tabla_Items_Activos[CODIGO],0)),0,1)</f>
        <v>0</v>
      </c>
    </row>
    <row r="3182" spans="1:9">
      <c r="A3182" s="2" t="s">
        <v>6760</v>
      </c>
      <c r="B3182" s="2" t="s">
        <v>4524</v>
      </c>
      <c r="C3182" s="2" t="s">
        <v>4525</v>
      </c>
      <c r="D3182" s="2" t="s">
        <v>5202</v>
      </c>
      <c r="E3182" s="2" t="s">
        <v>5159</v>
      </c>
      <c r="F3182" s="2">
        <v>34.5</v>
      </c>
      <c r="G3182" s="2">
        <v>1</v>
      </c>
      <c r="H3182" s="2">
        <f>Tabla_Items_Con_Existencia[[#This Row],[COSTO]]*Tabla_Items_Con_Existencia[[#This Row],[EXISTENCIA]]</f>
        <v>34.5</v>
      </c>
      <c r="I3182" s="1">
        <f>IF(ISERROR(MATCH(Tabla_Items_Con_Existencia[[#This Row],[CODIGO]],Tabla_Items_Activos[CODIGO],0)),0,1)</f>
        <v>0</v>
      </c>
    </row>
    <row r="3183" spans="1:9">
      <c r="A3183" s="2" t="s">
        <v>6760</v>
      </c>
      <c r="B3183" s="2" t="s">
        <v>4528</v>
      </c>
      <c r="C3183" s="2" t="s">
        <v>4529</v>
      </c>
      <c r="D3183" s="2" t="s">
        <v>5186</v>
      </c>
      <c r="E3183" s="2" t="s">
        <v>5159</v>
      </c>
      <c r="F3183" s="2">
        <v>3.718</v>
      </c>
      <c r="G3183" s="2">
        <v>7</v>
      </c>
      <c r="H3183" s="2">
        <f>Tabla_Items_Con_Existencia[[#This Row],[COSTO]]*Tabla_Items_Con_Existencia[[#This Row],[EXISTENCIA]]</f>
        <v>26.026</v>
      </c>
      <c r="I3183" s="1">
        <f>IF(ISERROR(MATCH(Tabla_Items_Con_Existencia[[#This Row],[CODIGO]],Tabla_Items_Activos[CODIGO],0)),0,1)</f>
        <v>0</v>
      </c>
    </row>
    <row r="3184" spans="1:9">
      <c r="A3184" s="2" t="s">
        <v>6760</v>
      </c>
      <c r="B3184" s="2" t="s">
        <v>4530</v>
      </c>
      <c r="C3184" s="2" t="s">
        <v>6348</v>
      </c>
      <c r="D3184" s="2" t="s">
        <v>5186</v>
      </c>
      <c r="E3184" s="2" t="s">
        <v>5159</v>
      </c>
      <c r="F3184" s="2">
        <v>6.31021579</v>
      </c>
      <c r="G3184" s="2">
        <v>50</v>
      </c>
      <c r="H3184" s="2">
        <f>Tabla_Items_Con_Existencia[[#This Row],[COSTO]]*Tabla_Items_Con_Existencia[[#This Row],[EXISTENCIA]]</f>
        <v>315.51078949999999</v>
      </c>
      <c r="I3184" s="1">
        <f>IF(ISERROR(MATCH(Tabla_Items_Con_Existencia[[#This Row],[CODIGO]],Tabla_Items_Activos[CODIGO],0)),0,1)</f>
        <v>0</v>
      </c>
    </row>
    <row r="3185" spans="1:9">
      <c r="A3185" s="2" t="s">
        <v>6761</v>
      </c>
      <c r="B3185" s="2" t="s">
        <v>4530</v>
      </c>
      <c r="C3185" s="2" t="s">
        <v>6348</v>
      </c>
      <c r="D3185" s="2" t="s">
        <v>5186</v>
      </c>
      <c r="E3185" s="2" t="s">
        <v>5159</v>
      </c>
      <c r="F3185" s="2">
        <v>6.31021579</v>
      </c>
      <c r="G3185" s="2">
        <v>50</v>
      </c>
      <c r="H3185" s="2">
        <f>Tabla_Items_Con_Existencia[[#This Row],[COSTO]]*Tabla_Items_Con_Existencia[[#This Row],[EXISTENCIA]]</f>
        <v>315.51078949999999</v>
      </c>
      <c r="I3185" s="1">
        <f>IF(ISERROR(MATCH(Tabla_Items_Con_Existencia[[#This Row],[CODIGO]],Tabla_Items_Activos[CODIGO],0)),0,1)</f>
        <v>0</v>
      </c>
    </row>
    <row r="3186" spans="1:9">
      <c r="A3186" s="2" t="s">
        <v>6760</v>
      </c>
      <c r="B3186" s="2" t="s">
        <v>993</v>
      </c>
      <c r="C3186" s="2" t="s">
        <v>4538</v>
      </c>
      <c r="D3186" s="2" t="s">
        <v>5186</v>
      </c>
      <c r="E3186" s="2" t="s">
        <v>5159</v>
      </c>
      <c r="F3186" s="2">
        <v>1.93</v>
      </c>
      <c r="G3186" s="2">
        <v>5</v>
      </c>
      <c r="H3186" s="2">
        <f>Tabla_Items_Con_Existencia[[#This Row],[COSTO]]*Tabla_Items_Con_Existencia[[#This Row],[EXISTENCIA]]</f>
        <v>9.65</v>
      </c>
      <c r="I3186" s="1">
        <f>IF(ISERROR(MATCH(Tabla_Items_Con_Existencia[[#This Row],[CODIGO]],Tabla_Items_Activos[CODIGO],0)),0,1)</f>
        <v>0</v>
      </c>
    </row>
    <row r="3187" spans="1:9">
      <c r="A3187" s="2" t="s">
        <v>6760</v>
      </c>
      <c r="B3187" s="2" t="s">
        <v>4545</v>
      </c>
      <c r="C3187" s="2" t="s">
        <v>4546</v>
      </c>
      <c r="D3187" s="2" t="s">
        <v>5186</v>
      </c>
      <c r="E3187" s="2" t="s">
        <v>5159</v>
      </c>
      <c r="F3187" s="2">
        <v>3.87689474</v>
      </c>
      <c r="G3187" s="2">
        <v>14</v>
      </c>
      <c r="H3187" s="2">
        <f>Tabla_Items_Con_Existencia[[#This Row],[COSTO]]*Tabla_Items_Con_Existencia[[#This Row],[EXISTENCIA]]</f>
        <v>54.276526359999998</v>
      </c>
      <c r="I3187" s="1">
        <f>IF(ISERROR(MATCH(Tabla_Items_Con_Existencia[[#This Row],[CODIGO]],Tabla_Items_Activos[CODIGO],0)),0,1)</f>
        <v>0</v>
      </c>
    </row>
    <row r="3188" spans="1:9">
      <c r="A3188" s="2" t="s">
        <v>6761</v>
      </c>
      <c r="B3188" s="2" t="s">
        <v>4545</v>
      </c>
      <c r="C3188" s="2" t="s">
        <v>4546</v>
      </c>
      <c r="D3188" s="2" t="s">
        <v>5186</v>
      </c>
      <c r="E3188" s="2" t="s">
        <v>5159</v>
      </c>
      <c r="F3188" s="2">
        <v>3.87689474</v>
      </c>
      <c r="G3188" s="2">
        <v>14</v>
      </c>
      <c r="H3188" s="2">
        <f>Tabla_Items_Con_Existencia[[#This Row],[COSTO]]*Tabla_Items_Con_Existencia[[#This Row],[EXISTENCIA]]</f>
        <v>54.276526359999998</v>
      </c>
      <c r="I3188" s="1">
        <f>IF(ISERROR(MATCH(Tabla_Items_Con_Existencia[[#This Row],[CODIGO]],Tabla_Items_Activos[CODIGO],0)),0,1)</f>
        <v>0</v>
      </c>
    </row>
    <row r="3189" spans="1:9">
      <c r="A3189" s="2" t="s">
        <v>6760</v>
      </c>
      <c r="B3189" s="2" t="s">
        <v>4548</v>
      </c>
      <c r="C3189" s="2" t="s">
        <v>4549</v>
      </c>
      <c r="D3189" s="2" t="s">
        <v>5186</v>
      </c>
      <c r="E3189" s="2" t="s">
        <v>5159</v>
      </c>
      <c r="F3189" s="2">
        <v>15.93715789</v>
      </c>
      <c r="G3189" s="2">
        <v>2</v>
      </c>
      <c r="H3189" s="2">
        <f>Tabla_Items_Con_Existencia[[#This Row],[COSTO]]*Tabla_Items_Con_Existencia[[#This Row],[EXISTENCIA]]</f>
        <v>31.87431578</v>
      </c>
      <c r="I3189" s="1">
        <f>IF(ISERROR(MATCH(Tabla_Items_Con_Existencia[[#This Row],[CODIGO]],Tabla_Items_Activos[CODIGO],0)),0,1)</f>
        <v>0</v>
      </c>
    </row>
    <row r="3190" spans="1:9">
      <c r="A3190" s="2" t="s">
        <v>6761</v>
      </c>
      <c r="B3190" s="2" t="s">
        <v>4548</v>
      </c>
      <c r="C3190" s="2" t="s">
        <v>4549</v>
      </c>
      <c r="D3190" s="2" t="s">
        <v>5186</v>
      </c>
      <c r="E3190" s="2" t="s">
        <v>5159</v>
      </c>
      <c r="F3190" s="2">
        <v>15.93715789</v>
      </c>
      <c r="G3190" s="2">
        <v>2</v>
      </c>
      <c r="H3190" s="2">
        <f>Tabla_Items_Con_Existencia[[#This Row],[COSTO]]*Tabla_Items_Con_Existencia[[#This Row],[EXISTENCIA]]</f>
        <v>31.87431578</v>
      </c>
      <c r="I3190" s="1">
        <f>IF(ISERROR(MATCH(Tabla_Items_Con_Existencia[[#This Row],[CODIGO]],Tabla_Items_Activos[CODIGO],0)),0,1)</f>
        <v>0</v>
      </c>
    </row>
    <row r="3191" spans="1:9">
      <c r="A3191" s="2" t="s">
        <v>6760</v>
      </c>
      <c r="B3191" s="2" t="s">
        <v>4552</v>
      </c>
      <c r="C3191" s="2" t="s">
        <v>2023</v>
      </c>
      <c r="D3191" s="2" t="s">
        <v>5186</v>
      </c>
      <c r="E3191" s="2" t="s">
        <v>5159</v>
      </c>
      <c r="F3191" s="2">
        <v>38.666526320000003</v>
      </c>
      <c r="G3191" s="2">
        <v>1</v>
      </c>
      <c r="H3191" s="2">
        <f>Tabla_Items_Con_Existencia[[#This Row],[COSTO]]*Tabla_Items_Con_Existencia[[#This Row],[EXISTENCIA]]</f>
        <v>38.666526320000003</v>
      </c>
      <c r="I3191" s="1">
        <f>IF(ISERROR(MATCH(Tabla_Items_Con_Existencia[[#This Row],[CODIGO]],Tabla_Items_Activos[CODIGO],0)),0,1)</f>
        <v>0</v>
      </c>
    </row>
    <row r="3192" spans="1:9">
      <c r="A3192" s="2" t="s">
        <v>6761</v>
      </c>
      <c r="B3192" s="2" t="s">
        <v>4552</v>
      </c>
      <c r="C3192" s="2" t="s">
        <v>2023</v>
      </c>
      <c r="D3192" s="2" t="s">
        <v>5186</v>
      </c>
      <c r="E3192" s="2" t="s">
        <v>5159</v>
      </c>
      <c r="F3192" s="2">
        <v>38.666526320000003</v>
      </c>
      <c r="G3192" s="2">
        <v>1</v>
      </c>
      <c r="H3192" s="2">
        <f>Tabla_Items_Con_Existencia[[#This Row],[COSTO]]*Tabla_Items_Con_Existencia[[#This Row],[EXISTENCIA]]</f>
        <v>38.666526320000003</v>
      </c>
      <c r="I3192" s="1">
        <f>IF(ISERROR(MATCH(Tabla_Items_Con_Existencia[[#This Row],[CODIGO]],Tabla_Items_Activos[CODIGO],0)),0,1)</f>
        <v>0</v>
      </c>
    </row>
    <row r="3193" spans="1:9">
      <c r="A3193" s="2" t="s">
        <v>6760</v>
      </c>
      <c r="B3193" s="2" t="s">
        <v>4553</v>
      </c>
      <c r="C3193" s="2" t="s">
        <v>4554</v>
      </c>
      <c r="D3193" s="2" t="s">
        <v>5186</v>
      </c>
      <c r="E3193" s="2" t="s">
        <v>5159</v>
      </c>
      <c r="F3193" s="2">
        <v>13.132999999999999</v>
      </c>
      <c r="G3193" s="2">
        <v>5</v>
      </c>
      <c r="H3193" s="2">
        <f>Tabla_Items_Con_Existencia[[#This Row],[COSTO]]*Tabla_Items_Con_Existencia[[#This Row],[EXISTENCIA]]</f>
        <v>65.664999999999992</v>
      </c>
      <c r="I3193" s="1">
        <f>IF(ISERROR(MATCH(Tabla_Items_Con_Existencia[[#This Row],[CODIGO]],Tabla_Items_Activos[CODIGO],0)),0,1)</f>
        <v>0</v>
      </c>
    </row>
    <row r="3194" spans="1:9">
      <c r="A3194" s="2" t="s">
        <v>6761</v>
      </c>
      <c r="B3194" s="2" t="s">
        <v>1003</v>
      </c>
      <c r="C3194" s="2" t="s">
        <v>4561</v>
      </c>
      <c r="D3194" s="2" t="s">
        <v>5186</v>
      </c>
      <c r="E3194" s="2" t="s">
        <v>5159</v>
      </c>
      <c r="F3194" s="2">
        <v>15.313631579999999</v>
      </c>
      <c r="G3194" s="2">
        <v>10</v>
      </c>
      <c r="H3194" s="2">
        <f>Tabla_Items_Con_Existencia[[#This Row],[COSTO]]*Tabla_Items_Con_Existencia[[#This Row],[EXISTENCIA]]</f>
        <v>153.13631579999998</v>
      </c>
      <c r="I3194" s="1">
        <f>IF(ISERROR(MATCH(Tabla_Items_Con_Existencia[[#This Row],[CODIGO]],Tabla_Items_Activos[CODIGO],0)),0,1)</f>
        <v>0</v>
      </c>
    </row>
    <row r="3195" spans="1:9">
      <c r="A3195" s="2" t="s">
        <v>6760</v>
      </c>
      <c r="B3195" s="2" t="s">
        <v>1003</v>
      </c>
      <c r="C3195" s="2" t="s">
        <v>4561</v>
      </c>
      <c r="D3195" s="2" t="s">
        <v>5186</v>
      </c>
      <c r="E3195" s="2" t="s">
        <v>5159</v>
      </c>
      <c r="F3195" s="2">
        <v>15.313631579999999</v>
      </c>
      <c r="G3195" s="2">
        <v>10</v>
      </c>
      <c r="H3195" s="2">
        <f>Tabla_Items_Con_Existencia[[#This Row],[COSTO]]*Tabla_Items_Con_Existencia[[#This Row],[EXISTENCIA]]</f>
        <v>153.13631579999998</v>
      </c>
      <c r="I3195" s="1">
        <f>IF(ISERROR(MATCH(Tabla_Items_Con_Existencia[[#This Row],[CODIGO]],Tabla_Items_Activos[CODIGO],0)),0,1)</f>
        <v>0</v>
      </c>
    </row>
    <row r="3196" spans="1:9">
      <c r="A3196" s="2" t="s">
        <v>6760</v>
      </c>
      <c r="B3196" s="2" t="s">
        <v>1004</v>
      </c>
      <c r="C3196" s="2" t="s">
        <v>4562</v>
      </c>
      <c r="D3196" s="2" t="s">
        <v>5186</v>
      </c>
      <c r="E3196" s="2" t="s">
        <v>5159</v>
      </c>
      <c r="F3196" s="2">
        <v>36.616999999999997</v>
      </c>
      <c r="G3196" s="2">
        <v>6</v>
      </c>
      <c r="H3196" s="2">
        <f>Tabla_Items_Con_Existencia[[#This Row],[COSTO]]*Tabla_Items_Con_Existencia[[#This Row],[EXISTENCIA]]</f>
        <v>219.702</v>
      </c>
      <c r="I3196" s="1">
        <f>IF(ISERROR(MATCH(Tabla_Items_Con_Existencia[[#This Row],[CODIGO]],Tabla_Items_Activos[CODIGO],0)),0,1)</f>
        <v>0</v>
      </c>
    </row>
    <row r="3197" spans="1:9">
      <c r="A3197" s="2" t="s">
        <v>6760</v>
      </c>
      <c r="B3197" s="2" t="s">
        <v>4573</v>
      </c>
      <c r="C3197" s="2" t="s">
        <v>6520</v>
      </c>
      <c r="D3197" s="2" t="s">
        <v>5158</v>
      </c>
      <c r="E3197" s="2" t="s">
        <v>5159</v>
      </c>
      <c r="F3197" s="2">
        <v>6.47</v>
      </c>
      <c r="G3197" s="2">
        <v>1</v>
      </c>
      <c r="H3197" s="2">
        <f>Tabla_Items_Con_Existencia[[#This Row],[COSTO]]*Tabla_Items_Con_Existencia[[#This Row],[EXISTENCIA]]</f>
        <v>6.47</v>
      </c>
      <c r="I3197" s="1">
        <f>IF(ISERROR(MATCH(Tabla_Items_Con_Existencia[[#This Row],[CODIGO]],Tabla_Items_Activos[CODIGO],0)),0,1)</f>
        <v>0</v>
      </c>
    </row>
    <row r="3198" spans="1:9">
      <c r="A3198" s="2" t="s">
        <v>6760</v>
      </c>
      <c r="B3198" s="2" t="s">
        <v>1009</v>
      </c>
      <c r="C3198" s="2" t="s">
        <v>6349</v>
      </c>
      <c r="D3198" s="2" t="s">
        <v>5186</v>
      </c>
      <c r="E3198" s="2" t="s">
        <v>5159</v>
      </c>
      <c r="F3198" s="2">
        <v>15.923999999999999</v>
      </c>
      <c r="G3198" s="2">
        <v>3</v>
      </c>
      <c r="H3198" s="2">
        <f>Tabla_Items_Con_Existencia[[#This Row],[COSTO]]*Tabla_Items_Con_Existencia[[#This Row],[EXISTENCIA]]</f>
        <v>47.771999999999998</v>
      </c>
      <c r="I3198" s="1">
        <f>IF(ISERROR(MATCH(Tabla_Items_Con_Existencia[[#This Row],[CODIGO]],Tabla_Items_Activos[CODIGO],0)),0,1)</f>
        <v>0</v>
      </c>
    </row>
    <row r="3199" spans="1:9">
      <c r="A3199" s="2" t="s">
        <v>6761</v>
      </c>
      <c r="B3199" s="2" t="s">
        <v>4577</v>
      </c>
      <c r="C3199" s="2" t="s">
        <v>4578</v>
      </c>
      <c r="D3199" s="2" t="s">
        <v>5158</v>
      </c>
      <c r="E3199" s="2" t="s">
        <v>5159</v>
      </c>
      <c r="F3199" s="2">
        <v>2.83421053</v>
      </c>
      <c r="G3199" s="2">
        <v>3</v>
      </c>
      <c r="H3199" s="2">
        <f>Tabla_Items_Con_Existencia[[#This Row],[COSTO]]*Tabla_Items_Con_Existencia[[#This Row],[EXISTENCIA]]</f>
        <v>8.50263159</v>
      </c>
      <c r="I3199" s="1">
        <f>IF(ISERROR(MATCH(Tabla_Items_Con_Existencia[[#This Row],[CODIGO]],Tabla_Items_Activos[CODIGO],0)),0,1)</f>
        <v>0</v>
      </c>
    </row>
    <row r="3200" spans="1:9">
      <c r="A3200" s="2" t="s">
        <v>6760</v>
      </c>
      <c r="B3200" s="2" t="s">
        <v>4577</v>
      </c>
      <c r="C3200" s="2" t="s">
        <v>4578</v>
      </c>
      <c r="D3200" s="2" t="s">
        <v>5158</v>
      </c>
      <c r="E3200" s="2" t="s">
        <v>5159</v>
      </c>
      <c r="F3200" s="2">
        <v>2.83421053</v>
      </c>
      <c r="G3200" s="2">
        <v>3</v>
      </c>
      <c r="H3200" s="2">
        <f>Tabla_Items_Con_Existencia[[#This Row],[COSTO]]*Tabla_Items_Con_Existencia[[#This Row],[EXISTENCIA]]</f>
        <v>8.50263159</v>
      </c>
      <c r="I3200" s="1">
        <f>IF(ISERROR(MATCH(Tabla_Items_Con_Existencia[[#This Row],[CODIGO]],Tabla_Items_Activos[CODIGO],0)),0,1)</f>
        <v>0</v>
      </c>
    </row>
    <row r="3201" spans="1:9">
      <c r="A3201" s="2" t="s">
        <v>6760</v>
      </c>
      <c r="B3201" s="2" t="s">
        <v>4579</v>
      </c>
      <c r="C3201" s="2" t="s">
        <v>4580</v>
      </c>
      <c r="D3201" s="2" t="s">
        <v>5158</v>
      </c>
      <c r="E3201" s="2" t="s">
        <v>5159</v>
      </c>
      <c r="F3201" s="2">
        <v>0.64278946999999997</v>
      </c>
      <c r="G3201" s="2">
        <v>8</v>
      </c>
      <c r="H3201" s="2">
        <f>Tabla_Items_Con_Existencia[[#This Row],[COSTO]]*Tabla_Items_Con_Existencia[[#This Row],[EXISTENCIA]]</f>
        <v>5.1423157599999998</v>
      </c>
      <c r="I3201" s="1">
        <f>IF(ISERROR(MATCH(Tabla_Items_Con_Existencia[[#This Row],[CODIGO]],Tabla_Items_Activos[CODIGO],0)),0,1)</f>
        <v>0</v>
      </c>
    </row>
    <row r="3202" spans="1:9">
      <c r="A3202" s="2" t="s">
        <v>6761</v>
      </c>
      <c r="B3202" s="2" t="s">
        <v>4579</v>
      </c>
      <c r="C3202" s="2" t="s">
        <v>4580</v>
      </c>
      <c r="D3202" s="2" t="s">
        <v>5158</v>
      </c>
      <c r="E3202" s="2" t="s">
        <v>5159</v>
      </c>
      <c r="F3202" s="2">
        <v>0.64278946999999997</v>
      </c>
      <c r="G3202" s="2">
        <v>8</v>
      </c>
      <c r="H3202" s="2">
        <f>Tabla_Items_Con_Existencia[[#This Row],[COSTO]]*Tabla_Items_Con_Existencia[[#This Row],[EXISTENCIA]]</f>
        <v>5.1423157599999998</v>
      </c>
      <c r="I3202" s="1">
        <f>IF(ISERROR(MATCH(Tabla_Items_Con_Existencia[[#This Row],[CODIGO]],Tabla_Items_Activos[CODIGO],0)),0,1)</f>
        <v>0</v>
      </c>
    </row>
    <row r="3203" spans="1:9">
      <c r="A3203" s="2" t="s">
        <v>6760</v>
      </c>
      <c r="B3203" s="2" t="s">
        <v>1010</v>
      </c>
      <c r="C3203" s="2" t="s">
        <v>4587</v>
      </c>
      <c r="D3203" s="2" t="s">
        <v>5161</v>
      </c>
      <c r="E3203" s="2" t="s">
        <v>5159</v>
      </c>
      <c r="F3203" s="2">
        <v>0.2944</v>
      </c>
      <c r="G3203" s="2">
        <v>58</v>
      </c>
      <c r="H3203" s="2">
        <f>Tabla_Items_Con_Existencia[[#This Row],[COSTO]]*Tabla_Items_Con_Existencia[[#This Row],[EXISTENCIA]]</f>
        <v>17.075199999999999</v>
      </c>
      <c r="I3203" s="1">
        <f>IF(ISERROR(MATCH(Tabla_Items_Con_Existencia[[#This Row],[CODIGO]],Tabla_Items_Activos[CODIGO],0)),0,1)</f>
        <v>0</v>
      </c>
    </row>
    <row r="3204" spans="1:9">
      <c r="A3204" s="2" t="s">
        <v>6760</v>
      </c>
      <c r="B3204" s="2" t="s">
        <v>4588</v>
      </c>
      <c r="C3204" s="2" t="s">
        <v>6738</v>
      </c>
      <c r="D3204" s="2" t="s">
        <v>5161</v>
      </c>
      <c r="E3204" s="2" t="s">
        <v>5159</v>
      </c>
      <c r="F3204" s="2">
        <v>31.7</v>
      </c>
      <c r="G3204" s="2">
        <v>4</v>
      </c>
      <c r="H3204" s="2">
        <f>Tabla_Items_Con_Existencia[[#This Row],[COSTO]]*Tabla_Items_Con_Existencia[[#This Row],[EXISTENCIA]]</f>
        <v>126.8</v>
      </c>
      <c r="I3204" s="1">
        <f>IF(ISERROR(MATCH(Tabla_Items_Con_Existencia[[#This Row],[CODIGO]],Tabla_Items_Activos[CODIGO],0)),0,1)</f>
        <v>0</v>
      </c>
    </row>
    <row r="3205" spans="1:9">
      <c r="A3205" s="2" t="s">
        <v>6760</v>
      </c>
      <c r="B3205" s="2" t="s">
        <v>4590</v>
      </c>
      <c r="C3205" s="2" t="s">
        <v>4591</v>
      </c>
      <c r="D3205" s="2" t="s">
        <v>5188</v>
      </c>
      <c r="E3205" s="2" t="s">
        <v>5159</v>
      </c>
      <c r="F3205" s="2">
        <v>32.036999999999999</v>
      </c>
      <c r="G3205" s="2">
        <v>3</v>
      </c>
      <c r="H3205" s="2">
        <f>Tabla_Items_Con_Existencia[[#This Row],[COSTO]]*Tabla_Items_Con_Existencia[[#This Row],[EXISTENCIA]]</f>
        <v>96.11099999999999</v>
      </c>
      <c r="I3205" s="1">
        <f>IF(ISERROR(MATCH(Tabla_Items_Con_Existencia[[#This Row],[CODIGO]],Tabla_Items_Activos[CODIGO],0)),0,1)</f>
        <v>0</v>
      </c>
    </row>
    <row r="3206" spans="1:9">
      <c r="A3206" s="2" t="s">
        <v>6761</v>
      </c>
      <c r="B3206" s="2" t="s">
        <v>1011</v>
      </c>
      <c r="C3206" s="2" t="s">
        <v>4592</v>
      </c>
      <c r="D3206" s="2" t="s">
        <v>5190</v>
      </c>
      <c r="E3206" s="2" t="s">
        <v>5159</v>
      </c>
      <c r="F3206" s="2">
        <v>9.6882947399999999</v>
      </c>
      <c r="G3206" s="2">
        <v>8</v>
      </c>
      <c r="H3206" s="2">
        <f>Tabla_Items_Con_Existencia[[#This Row],[COSTO]]*Tabla_Items_Con_Existencia[[#This Row],[EXISTENCIA]]</f>
        <v>77.506357919999999</v>
      </c>
      <c r="I3206" s="1">
        <f>IF(ISERROR(MATCH(Tabla_Items_Con_Existencia[[#This Row],[CODIGO]],Tabla_Items_Activos[CODIGO],0)),0,1)</f>
        <v>0</v>
      </c>
    </row>
    <row r="3207" spans="1:9">
      <c r="A3207" s="2" t="s">
        <v>6760</v>
      </c>
      <c r="B3207" s="2" t="s">
        <v>1011</v>
      </c>
      <c r="C3207" s="2" t="s">
        <v>4592</v>
      </c>
      <c r="D3207" s="2" t="s">
        <v>5190</v>
      </c>
      <c r="E3207" s="2" t="s">
        <v>5159</v>
      </c>
      <c r="F3207" s="2">
        <v>9.6882947399999999</v>
      </c>
      <c r="G3207" s="2">
        <v>8</v>
      </c>
      <c r="H3207" s="2">
        <f>Tabla_Items_Con_Existencia[[#This Row],[COSTO]]*Tabla_Items_Con_Existencia[[#This Row],[EXISTENCIA]]</f>
        <v>77.506357919999999</v>
      </c>
      <c r="I3207" s="1">
        <f>IF(ISERROR(MATCH(Tabla_Items_Con_Existencia[[#This Row],[CODIGO]],Tabla_Items_Activos[CODIGO],0)),0,1)</f>
        <v>0</v>
      </c>
    </row>
    <row r="3208" spans="1:9">
      <c r="A3208" s="2" t="s">
        <v>6760</v>
      </c>
      <c r="B3208" s="2" t="s">
        <v>4595</v>
      </c>
      <c r="C3208" s="2" t="s">
        <v>4596</v>
      </c>
      <c r="D3208" s="2" t="s">
        <v>5161</v>
      </c>
      <c r="E3208" s="2" t="s">
        <v>5159</v>
      </c>
      <c r="F3208" s="2">
        <v>3.83</v>
      </c>
      <c r="G3208" s="2">
        <v>2</v>
      </c>
      <c r="H3208" s="2">
        <f>Tabla_Items_Con_Existencia[[#This Row],[COSTO]]*Tabla_Items_Con_Existencia[[#This Row],[EXISTENCIA]]</f>
        <v>7.66</v>
      </c>
      <c r="I3208" s="1">
        <f>IF(ISERROR(MATCH(Tabla_Items_Con_Existencia[[#This Row],[CODIGO]],Tabla_Items_Activos[CODIGO],0)),0,1)</f>
        <v>0</v>
      </c>
    </row>
    <row r="3209" spans="1:9">
      <c r="A3209" s="2" t="s">
        <v>6760</v>
      </c>
      <c r="B3209" s="2" t="s">
        <v>4598</v>
      </c>
      <c r="C3209" s="2" t="s">
        <v>4599</v>
      </c>
      <c r="D3209" s="2" t="s">
        <v>5158</v>
      </c>
      <c r="E3209" s="2" t="s">
        <v>5159</v>
      </c>
      <c r="F3209" s="2">
        <v>4.875</v>
      </c>
      <c r="G3209" s="2">
        <v>36</v>
      </c>
      <c r="H3209" s="2">
        <f>Tabla_Items_Con_Existencia[[#This Row],[COSTO]]*Tabla_Items_Con_Existencia[[#This Row],[EXISTENCIA]]</f>
        <v>175.5</v>
      </c>
      <c r="I3209" s="1">
        <f>IF(ISERROR(MATCH(Tabla_Items_Con_Existencia[[#This Row],[CODIGO]],Tabla_Items_Activos[CODIGO],0)),0,1)</f>
        <v>0</v>
      </c>
    </row>
    <row r="3210" spans="1:9">
      <c r="A3210" s="2" t="s">
        <v>6760</v>
      </c>
      <c r="B3210" s="2" t="s">
        <v>1013</v>
      </c>
      <c r="C3210" s="2" t="s">
        <v>4600</v>
      </c>
      <c r="D3210" s="2" t="s">
        <v>5195</v>
      </c>
      <c r="E3210" s="2" t="s">
        <v>5159</v>
      </c>
      <c r="F3210" s="2">
        <v>26.73458947</v>
      </c>
      <c r="G3210" s="2">
        <v>26</v>
      </c>
      <c r="H3210" s="2">
        <f>Tabla_Items_Con_Existencia[[#This Row],[COSTO]]*Tabla_Items_Con_Existencia[[#This Row],[EXISTENCIA]]</f>
        <v>695.09932621999997</v>
      </c>
      <c r="I3210" s="1">
        <f>IF(ISERROR(MATCH(Tabla_Items_Con_Existencia[[#This Row],[CODIGO]],Tabla_Items_Activos[CODIGO],0)),0,1)</f>
        <v>0</v>
      </c>
    </row>
    <row r="3211" spans="1:9">
      <c r="A3211" s="2" t="s">
        <v>6761</v>
      </c>
      <c r="B3211" s="2" t="s">
        <v>1013</v>
      </c>
      <c r="C3211" s="2" t="s">
        <v>4600</v>
      </c>
      <c r="D3211" s="2" t="s">
        <v>5195</v>
      </c>
      <c r="E3211" s="2" t="s">
        <v>5159</v>
      </c>
      <c r="F3211" s="2">
        <v>26.73458947</v>
      </c>
      <c r="G3211" s="2">
        <v>26</v>
      </c>
      <c r="H3211" s="2">
        <f>Tabla_Items_Con_Existencia[[#This Row],[COSTO]]*Tabla_Items_Con_Existencia[[#This Row],[EXISTENCIA]]</f>
        <v>695.09932621999997</v>
      </c>
      <c r="I3211" s="1">
        <f>IF(ISERROR(MATCH(Tabla_Items_Con_Existencia[[#This Row],[CODIGO]],Tabla_Items_Activos[CODIGO],0)),0,1)</f>
        <v>0</v>
      </c>
    </row>
    <row r="3212" spans="1:9">
      <c r="A3212" s="2" t="s">
        <v>6760</v>
      </c>
      <c r="B3212" s="2" t="s">
        <v>4601</v>
      </c>
      <c r="C3212" s="2" t="s">
        <v>4602</v>
      </c>
      <c r="D3212" s="2" t="s">
        <v>5158</v>
      </c>
      <c r="E3212" s="2" t="s">
        <v>5159</v>
      </c>
      <c r="F3212" s="2">
        <v>0</v>
      </c>
      <c r="G3212" s="2">
        <v>1</v>
      </c>
      <c r="H3212" s="2">
        <f>Tabla_Items_Con_Existencia[[#This Row],[COSTO]]*Tabla_Items_Con_Existencia[[#This Row],[EXISTENCIA]]</f>
        <v>0</v>
      </c>
      <c r="I3212" s="1">
        <f>IF(ISERROR(MATCH(Tabla_Items_Con_Existencia[[#This Row],[CODIGO]],Tabla_Items_Activos[CODIGO],0)),0,1)</f>
        <v>0</v>
      </c>
    </row>
    <row r="3213" spans="1:9">
      <c r="A3213" s="2" t="s">
        <v>6760</v>
      </c>
      <c r="B3213" s="2" t="s">
        <v>4607</v>
      </c>
      <c r="C3213" s="2" t="s">
        <v>4608</v>
      </c>
      <c r="D3213" s="2" t="s">
        <v>5161</v>
      </c>
      <c r="E3213" s="2" t="s">
        <v>5159</v>
      </c>
      <c r="F3213" s="2">
        <v>2.11</v>
      </c>
      <c r="G3213" s="2">
        <v>2</v>
      </c>
      <c r="H3213" s="2">
        <f>Tabla_Items_Con_Existencia[[#This Row],[COSTO]]*Tabla_Items_Con_Existencia[[#This Row],[EXISTENCIA]]</f>
        <v>4.22</v>
      </c>
      <c r="I3213" s="1">
        <f>IF(ISERROR(MATCH(Tabla_Items_Con_Existencia[[#This Row],[CODIGO]],Tabla_Items_Activos[CODIGO],0)),0,1)</f>
        <v>0</v>
      </c>
    </row>
    <row r="3214" spans="1:9">
      <c r="A3214" s="2" t="s">
        <v>6761</v>
      </c>
      <c r="B3214" s="2" t="s">
        <v>4645</v>
      </c>
      <c r="C3214" s="2" t="s">
        <v>2242</v>
      </c>
      <c r="D3214" s="2" t="s">
        <v>5158</v>
      </c>
      <c r="E3214" s="2" t="s">
        <v>5159</v>
      </c>
      <c r="F3214" s="2">
        <v>36.433947369999999</v>
      </c>
      <c r="G3214" s="2">
        <v>2</v>
      </c>
      <c r="H3214" s="2">
        <f>Tabla_Items_Con_Existencia[[#This Row],[COSTO]]*Tabla_Items_Con_Existencia[[#This Row],[EXISTENCIA]]</f>
        <v>72.867894739999997</v>
      </c>
      <c r="I3214" s="1">
        <f>IF(ISERROR(MATCH(Tabla_Items_Con_Existencia[[#This Row],[CODIGO]],Tabla_Items_Activos[CODIGO],0)),0,1)</f>
        <v>0</v>
      </c>
    </row>
    <row r="3215" spans="1:9">
      <c r="A3215" s="2" t="s">
        <v>6760</v>
      </c>
      <c r="B3215" s="2" t="s">
        <v>4645</v>
      </c>
      <c r="C3215" s="2" t="s">
        <v>2242</v>
      </c>
      <c r="D3215" s="2" t="s">
        <v>5158</v>
      </c>
      <c r="E3215" s="2" t="s">
        <v>5159</v>
      </c>
      <c r="F3215" s="2">
        <v>36.433947369999999</v>
      </c>
      <c r="G3215" s="2">
        <v>2</v>
      </c>
      <c r="H3215" s="2">
        <f>Tabla_Items_Con_Existencia[[#This Row],[COSTO]]*Tabla_Items_Con_Existencia[[#This Row],[EXISTENCIA]]</f>
        <v>72.867894739999997</v>
      </c>
      <c r="I3215" s="1">
        <f>IF(ISERROR(MATCH(Tabla_Items_Con_Existencia[[#This Row],[CODIGO]],Tabla_Items_Activos[CODIGO],0)),0,1)</f>
        <v>0</v>
      </c>
    </row>
    <row r="3216" spans="1:9">
      <c r="A3216" s="2" t="s">
        <v>6760</v>
      </c>
      <c r="B3216" s="2" t="s">
        <v>4647</v>
      </c>
      <c r="C3216" s="2" t="s">
        <v>4648</v>
      </c>
      <c r="D3216" s="2" t="s">
        <v>5202</v>
      </c>
      <c r="E3216" s="2" t="s">
        <v>5159</v>
      </c>
      <c r="F3216" s="2">
        <v>0.83052632000000004</v>
      </c>
      <c r="G3216" s="2">
        <v>8</v>
      </c>
      <c r="H3216" s="2">
        <f>Tabla_Items_Con_Existencia[[#This Row],[COSTO]]*Tabla_Items_Con_Existencia[[#This Row],[EXISTENCIA]]</f>
        <v>6.6442105600000003</v>
      </c>
      <c r="I3216" s="1">
        <f>IF(ISERROR(MATCH(Tabla_Items_Con_Existencia[[#This Row],[CODIGO]],Tabla_Items_Activos[CODIGO],0)),0,1)</f>
        <v>0</v>
      </c>
    </row>
    <row r="3217" spans="1:9">
      <c r="A3217" s="2" t="s">
        <v>6761</v>
      </c>
      <c r="B3217" s="2" t="s">
        <v>4647</v>
      </c>
      <c r="C3217" s="2" t="s">
        <v>4648</v>
      </c>
      <c r="D3217" s="2" t="s">
        <v>5202</v>
      </c>
      <c r="E3217" s="2" t="s">
        <v>5159</v>
      </c>
      <c r="F3217" s="2">
        <v>0.83052632000000004</v>
      </c>
      <c r="G3217" s="2">
        <v>8</v>
      </c>
      <c r="H3217" s="2">
        <f>Tabla_Items_Con_Existencia[[#This Row],[COSTO]]*Tabla_Items_Con_Existencia[[#This Row],[EXISTENCIA]]</f>
        <v>6.6442105600000003</v>
      </c>
      <c r="I3217" s="1">
        <f>IF(ISERROR(MATCH(Tabla_Items_Con_Existencia[[#This Row],[CODIGO]],Tabla_Items_Activos[CODIGO],0)),0,1)</f>
        <v>0</v>
      </c>
    </row>
    <row r="3218" spans="1:9">
      <c r="A3218" s="2" t="s">
        <v>6760</v>
      </c>
      <c r="B3218" s="2" t="s">
        <v>4649</v>
      </c>
      <c r="C3218" s="2" t="s">
        <v>2243</v>
      </c>
      <c r="D3218" s="2" t="s">
        <v>5158</v>
      </c>
      <c r="E3218" s="2" t="s">
        <v>5159</v>
      </c>
      <c r="F3218" s="2">
        <v>24.59021053</v>
      </c>
      <c r="G3218" s="2">
        <v>29</v>
      </c>
      <c r="H3218" s="2">
        <f>Tabla_Items_Con_Existencia[[#This Row],[COSTO]]*Tabla_Items_Con_Existencia[[#This Row],[EXISTENCIA]]</f>
        <v>713.11610537000001</v>
      </c>
      <c r="I3218" s="1">
        <f>IF(ISERROR(MATCH(Tabla_Items_Con_Existencia[[#This Row],[CODIGO]],Tabla_Items_Activos[CODIGO],0)),0,1)</f>
        <v>0</v>
      </c>
    </row>
    <row r="3219" spans="1:9">
      <c r="A3219" s="2" t="s">
        <v>6761</v>
      </c>
      <c r="B3219" s="2" t="s">
        <v>4649</v>
      </c>
      <c r="C3219" s="2" t="s">
        <v>2243</v>
      </c>
      <c r="D3219" s="2" t="s">
        <v>5158</v>
      </c>
      <c r="E3219" s="2" t="s">
        <v>5159</v>
      </c>
      <c r="F3219" s="2">
        <v>24.59021053</v>
      </c>
      <c r="G3219" s="2">
        <v>29</v>
      </c>
      <c r="H3219" s="2">
        <f>Tabla_Items_Con_Existencia[[#This Row],[COSTO]]*Tabla_Items_Con_Existencia[[#This Row],[EXISTENCIA]]</f>
        <v>713.11610537000001</v>
      </c>
      <c r="I3219" s="1">
        <f>IF(ISERROR(MATCH(Tabla_Items_Con_Existencia[[#This Row],[CODIGO]],Tabla_Items_Activos[CODIGO],0)),0,1)</f>
        <v>0</v>
      </c>
    </row>
    <row r="3220" spans="1:9">
      <c r="A3220" s="2" t="s">
        <v>6760</v>
      </c>
      <c r="B3220" s="2" t="s">
        <v>1034</v>
      </c>
      <c r="C3220" s="2" t="s">
        <v>4651</v>
      </c>
      <c r="D3220" s="2" t="s">
        <v>5158</v>
      </c>
      <c r="E3220" s="2" t="s">
        <v>5159</v>
      </c>
      <c r="F3220" s="2">
        <v>11.71</v>
      </c>
      <c r="G3220" s="2">
        <v>12</v>
      </c>
      <c r="H3220" s="2">
        <f>Tabla_Items_Con_Existencia[[#This Row],[COSTO]]*Tabla_Items_Con_Existencia[[#This Row],[EXISTENCIA]]</f>
        <v>140.52000000000001</v>
      </c>
      <c r="I3220" s="1">
        <f>IF(ISERROR(MATCH(Tabla_Items_Con_Existencia[[#This Row],[CODIGO]],Tabla_Items_Activos[CODIGO],0)),0,1)</f>
        <v>0</v>
      </c>
    </row>
    <row r="3221" spans="1:9">
      <c r="A3221" s="2" t="s">
        <v>6760</v>
      </c>
      <c r="B3221" s="2" t="s">
        <v>4659</v>
      </c>
      <c r="C3221" s="2" t="s">
        <v>4660</v>
      </c>
      <c r="D3221" s="2" t="s">
        <v>5158</v>
      </c>
      <c r="E3221" s="2" t="s">
        <v>5159</v>
      </c>
      <c r="F3221" s="2">
        <v>39.884</v>
      </c>
      <c r="G3221" s="2">
        <v>4</v>
      </c>
      <c r="H3221" s="2">
        <f>Tabla_Items_Con_Existencia[[#This Row],[COSTO]]*Tabla_Items_Con_Existencia[[#This Row],[EXISTENCIA]]</f>
        <v>159.536</v>
      </c>
      <c r="I3221" s="1">
        <f>IF(ISERROR(MATCH(Tabla_Items_Con_Existencia[[#This Row],[CODIGO]],Tabla_Items_Activos[CODIGO],0)),0,1)</f>
        <v>0</v>
      </c>
    </row>
    <row r="3222" spans="1:9">
      <c r="A3222" s="2" t="s">
        <v>6760</v>
      </c>
      <c r="B3222" s="2" t="s">
        <v>4661</v>
      </c>
      <c r="C3222" s="2" t="s">
        <v>4662</v>
      </c>
      <c r="D3222" s="2" t="s">
        <v>5158</v>
      </c>
      <c r="E3222" s="2" t="s">
        <v>5159</v>
      </c>
      <c r="F3222" s="2">
        <v>2.0237368400000002</v>
      </c>
      <c r="G3222" s="2">
        <v>16</v>
      </c>
      <c r="H3222" s="2">
        <f>Tabla_Items_Con_Existencia[[#This Row],[COSTO]]*Tabla_Items_Con_Existencia[[#This Row],[EXISTENCIA]]</f>
        <v>32.379789440000003</v>
      </c>
      <c r="I3222" s="1">
        <f>IF(ISERROR(MATCH(Tabla_Items_Con_Existencia[[#This Row],[CODIGO]],Tabla_Items_Activos[CODIGO],0)),0,1)</f>
        <v>0</v>
      </c>
    </row>
    <row r="3223" spans="1:9">
      <c r="A3223" s="2" t="s">
        <v>6761</v>
      </c>
      <c r="B3223" s="2" t="s">
        <v>4661</v>
      </c>
      <c r="C3223" s="2" t="s">
        <v>4662</v>
      </c>
      <c r="D3223" s="2" t="s">
        <v>5158</v>
      </c>
      <c r="E3223" s="2" t="s">
        <v>5159</v>
      </c>
      <c r="F3223" s="2">
        <v>2.0237368400000002</v>
      </c>
      <c r="G3223" s="2">
        <v>16</v>
      </c>
      <c r="H3223" s="2">
        <f>Tabla_Items_Con_Existencia[[#This Row],[COSTO]]*Tabla_Items_Con_Existencia[[#This Row],[EXISTENCIA]]</f>
        <v>32.379789440000003</v>
      </c>
      <c r="I3223" s="1">
        <f>IF(ISERROR(MATCH(Tabla_Items_Con_Existencia[[#This Row],[CODIGO]],Tabla_Items_Activos[CODIGO],0)),0,1)</f>
        <v>0</v>
      </c>
    </row>
    <row r="3224" spans="1:9">
      <c r="A3224" s="2" t="s">
        <v>6760</v>
      </c>
      <c r="B3224" s="2" t="s">
        <v>1038</v>
      </c>
      <c r="C3224" s="2" t="s">
        <v>7077</v>
      </c>
      <c r="D3224" s="2" t="s">
        <v>5158</v>
      </c>
      <c r="E3224" s="2" t="s">
        <v>5159</v>
      </c>
      <c r="F3224" s="2">
        <v>1.80442105</v>
      </c>
      <c r="G3224" s="2">
        <v>2</v>
      </c>
      <c r="H3224" s="2">
        <f>Tabla_Items_Con_Existencia[[#This Row],[COSTO]]*Tabla_Items_Con_Existencia[[#This Row],[EXISTENCIA]]</f>
        <v>3.6088420999999999</v>
      </c>
      <c r="I3224" s="1">
        <f>IF(ISERROR(MATCH(Tabla_Items_Con_Existencia[[#This Row],[CODIGO]],Tabla_Items_Activos[CODIGO],0)),0,1)</f>
        <v>0</v>
      </c>
    </row>
    <row r="3225" spans="1:9">
      <c r="A3225" s="2" t="s">
        <v>6761</v>
      </c>
      <c r="B3225" s="2" t="s">
        <v>1038</v>
      </c>
      <c r="C3225" s="2" t="s">
        <v>7077</v>
      </c>
      <c r="D3225" s="2" t="s">
        <v>5158</v>
      </c>
      <c r="E3225" s="2" t="s">
        <v>5159</v>
      </c>
      <c r="F3225" s="2">
        <v>1.80442105</v>
      </c>
      <c r="G3225" s="2">
        <v>2</v>
      </c>
      <c r="H3225" s="2">
        <f>Tabla_Items_Con_Existencia[[#This Row],[COSTO]]*Tabla_Items_Con_Existencia[[#This Row],[EXISTENCIA]]</f>
        <v>3.6088420999999999</v>
      </c>
      <c r="I3225" s="1">
        <f>IF(ISERROR(MATCH(Tabla_Items_Con_Existencia[[#This Row],[CODIGO]],Tabla_Items_Activos[CODIGO],0)),0,1)</f>
        <v>0</v>
      </c>
    </row>
    <row r="3226" spans="1:9">
      <c r="A3226" s="2" t="s">
        <v>6760</v>
      </c>
      <c r="B3226" s="2" t="s">
        <v>4667</v>
      </c>
      <c r="C3226" s="2" t="s">
        <v>4668</v>
      </c>
      <c r="D3226" s="2" t="s">
        <v>5158</v>
      </c>
      <c r="E3226" s="2" t="s">
        <v>5159</v>
      </c>
      <c r="F3226" s="2">
        <v>24.446999999999999</v>
      </c>
      <c r="G3226" s="2">
        <v>3</v>
      </c>
      <c r="H3226" s="2">
        <f>Tabla_Items_Con_Existencia[[#This Row],[COSTO]]*Tabla_Items_Con_Existencia[[#This Row],[EXISTENCIA]]</f>
        <v>73.340999999999994</v>
      </c>
      <c r="I3226" s="1">
        <f>IF(ISERROR(MATCH(Tabla_Items_Con_Existencia[[#This Row],[CODIGO]],Tabla_Items_Activos[CODIGO],0)),0,1)</f>
        <v>0</v>
      </c>
    </row>
    <row r="3227" spans="1:9">
      <c r="A3227" s="2" t="s">
        <v>6760</v>
      </c>
      <c r="B3227" s="2" t="s">
        <v>4669</v>
      </c>
      <c r="C3227" s="2" t="s">
        <v>6309</v>
      </c>
      <c r="D3227" s="2" t="s">
        <v>5158</v>
      </c>
      <c r="E3227" s="2" t="s">
        <v>5159</v>
      </c>
      <c r="F3227" s="2">
        <v>7.7627368399999996</v>
      </c>
      <c r="G3227" s="2">
        <v>5</v>
      </c>
      <c r="H3227" s="2">
        <f>Tabla_Items_Con_Existencia[[#This Row],[COSTO]]*Tabla_Items_Con_Existencia[[#This Row],[EXISTENCIA]]</f>
        <v>38.813684199999997</v>
      </c>
      <c r="I3227" s="1">
        <f>IF(ISERROR(MATCH(Tabla_Items_Con_Existencia[[#This Row],[CODIGO]],Tabla_Items_Activos[CODIGO],0)),0,1)</f>
        <v>0</v>
      </c>
    </row>
    <row r="3228" spans="1:9">
      <c r="A3228" s="2" t="s">
        <v>6761</v>
      </c>
      <c r="B3228" s="2" t="s">
        <v>4669</v>
      </c>
      <c r="C3228" s="2" t="s">
        <v>6309</v>
      </c>
      <c r="D3228" s="2" t="s">
        <v>5158</v>
      </c>
      <c r="E3228" s="2" t="s">
        <v>5159</v>
      </c>
      <c r="F3228" s="2">
        <v>7.7627368399999996</v>
      </c>
      <c r="G3228" s="2">
        <v>5</v>
      </c>
      <c r="H3228" s="2">
        <f>Tabla_Items_Con_Existencia[[#This Row],[COSTO]]*Tabla_Items_Con_Existencia[[#This Row],[EXISTENCIA]]</f>
        <v>38.813684199999997</v>
      </c>
      <c r="I3228" s="1">
        <f>IF(ISERROR(MATCH(Tabla_Items_Con_Existencia[[#This Row],[CODIGO]],Tabla_Items_Activos[CODIGO],0)),0,1)</f>
        <v>0</v>
      </c>
    </row>
    <row r="3229" spans="1:9">
      <c r="A3229" s="2" t="s">
        <v>6760</v>
      </c>
      <c r="B3229" s="2" t="s">
        <v>4670</v>
      </c>
      <c r="C3229" s="2" t="s">
        <v>4671</v>
      </c>
      <c r="D3229" s="2" t="s">
        <v>5158</v>
      </c>
      <c r="E3229" s="2" t="s">
        <v>5159</v>
      </c>
      <c r="F3229" s="2">
        <v>6.4790000000000001</v>
      </c>
      <c r="G3229" s="2">
        <v>5</v>
      </c>
      <c r="H3229" s="2">
        <f>Tabla_Items_Con_Existencia[[#This Row],[COSTO]]*Tabla_Items_Con_Existencia[[#This Row],[EXISTENCIA]]</f>
        <v>32.395000000000003</v>
      </c>
      <c r="I3229" s="1">
        <f>IF(ISERROR(MATCH(Tabla_Items_Con_Existencia[[#This Row],[CODIGO]],Tabla_Items_Activos[CODIGO],0)),0,1)</f>
        <v>0</v>
      </c>
    </row>
    <row r="3230" spans="1:9">
      <c r="A3230" s="2" t="s">
        <v>6760</v>
      </c>
      <c r="B3230" s="2" t="s">
        <v>4672</v>
      </c>
      <c r="C3230" s="2" t="s">
        <v>4673</v>
      </c>
      <c r="D3230" s="2" t="s">
        <v>5158</v>
      </c>
      <c r="E3230" s="2" t="s">
        <v>5159</v>
      </c>
      <c r="F3230" s="2">
        <v>7.9580000000000002</v>
      </c>
      <c r="G3230" s="2">
        <v>3</v>
      </c>
      <c r="H3230" s="2">
        <f>Tabla_Items_Con_Existencia[[#This Row],[COSTO]]*Tabla_Items_Con_Existencia[[#This Row],[EXISTENCIA]]</f>
        <v>23.874000000000002</v>
      </c>
      <c r="I3230" s="1">
        <f>IF(ISERROR(MATCH(Tabla_Items_Con_Existencia[[#This Row],[CODIGO]],Tabla_Items_Activos[CODIGO],0)),0,1)</f>
        <v>0</v>
      </c>
    </row>
    <row r="3231" spans="1:9">
      <c r="A3231" s="2" t="s">
        <v>6761</v>
      </c>
      <c r="B3231" s="2" t="s">
        <v>4674</v>
      </c>
      <c r="C3231" s="2" t="s">
        <v>2042</v>
      </c>
      <c r="D3231" s="2" t="s">
        <v>5158</v>
      </c>
      <c r="E3231" s="2" t="s">
        <v>5159</v>
      </c>
      <c r="F3231" s="2">
        <v>2.81231579</v>
      </c>
      <c r="G3231" s="2">
        <v>10</v>
      </c>
      <c r="H3231" s="2">
        <f>Tabla_Items_Con_Existencia[[#This Row],[COSTO]]*Tabla_Items_Con_Existencia[[#This Row],[EXISTENCIA]]</f>
        <v>28.123157899999999</v>
      </c>
      <c r="I3231" s="1">
        <f>IF(ISERROR(MATCH(Tabla_Items_Con_Existencia[[#This Row],[CODIGO]],Tabla_Items_Activos[CODIGO],0)),0,1)</f>
        <v>0</v>
      </c>
    </row>
    <row r="3232" spans="1:9">
      <c r="A3232" s="2" t="s">
        <v>6760</v>
      </c>
      <c r="B3232" s="2" t="s">
        <v>4674</v>
      </c>
      <c r="C3232" s="2" t="s">
        <v>2042</v>
      </c>
      <c r="D3232" s="2" t="s">
        <v>5158</v>
      </c>
      <c r="E3232" s="2" t="s">
        <v>5159</v>
      </c>
      <c r="F3232" s="2">
        <v>2.81231579</v>
      </c>
      <c r="G3232" s="2">
        <v>10</v>
      </c>
      <c r="H3232" s="2">
        <f>Tabla_Items_Con_Existencia[[#This Row],[COSTO]]*Tabla_Items_Con_Existencia[[#This Row],[EXISTENCIA]]</f>
        <v>28.123157899999999</v>
      </c>
      <c r="I3232" s="1">
        <f>IF(ISERROR(MATCH(Tabla_Items_Con_Existencia[[#This Row],[CODIGO]],Tabla_Items_Activos[CODIGO],0)),0,1)</f>
        <v>0</v>
      </c>
    </row>
    <row r="3233" spans="1:9">
      <c r="A3233" s="2" t="s">
        <v>6760</v>
      </c>
      <c r="B3233" s="2" t="s">
        <v>4680</v>
      </c>
      <c r="C3233" s="2" t="s">
        <v>7121</v>
      </c>
      <c r="D3233" s="2" t="s">
        <v>5158</v>
      </c>
      <c r="E3233" s="2" t="s">
        <v>5159</v>
      </c>
      <c r="F3233" s="2">
        <v>6.9000315800000003</v>
      </c>
      <c r="G3233" s="2">
        <v>17</v>
      </c>
      <c r="H3233" s="2">
        <f>Tabla_Items_Con_Existencia[[#This Row],[COSTO]]*Tabla_Items_Con_Existencia[[#This Row],[EXISTENCIA]]</f>
        <v>117.30053686000001</v>
      </c>
      <c r="I3233" s="1">
        <f>IF(ISERROR(MATCH(Tabla_Items_Con_Existencia[[#This Row],[CODIGO]],Tabla_Items_Activos[CODIGO],0)),0,1)</f>
        <v>0</v>
      </c>
    </row>
    <row r="3234" spans="1:9">
      <c r="A3234" s="2" t="s">
        <v>6761</v>
      </c>
      <c r="B3234" s="2" t="s">
        <v>4680</v>
      </c>
      <c r="C3234" s="2" t="s">
        <v>7121</v>
      </c>
      <c r="D3234" s="2" t="s">
        <v>5158</v>
      </c>
      <c r="E3234" s="2" t="s">
        <v>5159</v>
      </c>
      <c r="F3234" s="2">
        <v>6.9000315800000003</v>
      </c>
      <c r="G3234" s="2">
        <v>17</v>
      </c>
      <c r="H3234" s="2">
        <f>Tabla_Items_Con_Existencia[[#This Row],[COSTO]]*Tabla_Items_Con_Existencia[[#This Row],[EXISTENCIA]]</f>
        <v>117.30053686000001</v>
      </c>
      <c r="I3234" s="1">
        <f>IF(ISERROR(MATCH(Tabla_Items_Con_Existencia[[#This Row],[CODIGO]],Tabla_Items_Activos[CODIGO],0)),0,1)</f>
        <v>0</v>
      </c>
    </row>
    <row r="3235" spans="1:9">
      <c r="A3235" s="2" t="s">
        <v>6760</v>
      </c>
      <c r="B3235" s="2" t="s">
        <v>4684</v>
      </c>
      <c r="C3235" s="2" t="s">
        <v>4685</v>
      </c>
      <c r="D3235" s="2" t="s">
        <v>5158</v>
      </c>
      <c r="E3235" s="2" t="s">
        <v>5159</v>
      </c>
      <c r="F3235" s="2">
        <v>30.077684210000001</v>
      </c>
      <c r="G3235" s="2">
        <v>4</v>
      </c>
      <c r="H3235" s="2">
        <f>Tabla_Items_Con_Existencia[[#This Row],[COSTO]]*Tabla_Items_Con_Existencia[[#This Row],[EXISTENCIA]]</f>
        <v>120.31073684</v>
      </c>
      <c r="I3235" s="1">
        <f>IF(ISERROR(MATCH(Tabla_Items_Con_Existencia[[#This Row],[CODIGO]],Tabla_Items_Activos[CODIGO],0)),0,1)</f>
        <v>0</v>
      </c>
    </row>
    <row r="3236" spans="1:9">
      <c r="A3236" s="2" t="s">
        <v>6761</v>
      </c>
      <c r="B3236" s="2" t="s">
        <v>4684</v>
      </c>
      <c r="C3236" s="2" t="s">
        <v>4685</v>
      </c>
      <c r="D3236" s="2" t="s">
        <v>5158</v>
      </c>
      <c r="E3236" s="2" t="s">
        <v>5159</v>
      </c>
      <c r="F3236" s="2">
        <v>30.077684210000001</v>
      </c>
      <c r="G3236" s="2">
        <v>4</v>
      </c>
      <c r="H3236" s="2">
        <f>Tabla_Items_Con_Existencia[[#This Row],[COSTO]]*Tabla_Items_Con_Existencia[[#This Row],[EXISTENCIA]]</f>
        <v>120.31073684</v>
      </c>
      <c r="I3236" s="1">
        <f>IF(ISERROR(MATCH(Tabla_Items_Con_Existencia[[#This Row],[CODIGO]],Tabla_Items_Activos[CODIGO],0)),0,1)</f>
        <v>0</v>
      </c>
    </row>
    <row r="3237" spans="1:9">
      <c r="A3237" s="2" t="s">
        <v>6761</v>
      </c>
      <c r="B3237" s="2" t="s">
        <v>4686</v>
      </c>
      <c r="C3237" s="2" t="s">
        <v>2033</v>
      </c>
      <c r="D3237" s="2" t="s">
        <v>5158</v>
      </c>
      <c r="E3237" s="2" t="s">
        <v>5159</v>
      </c>
      <c r="F3237" s="2">
        <v>19.772210529999999</v>
      </c>
      <c r="G3237" s="2">
        <v>14</v>
      </c>
      <c r="H3237" s="2">
        <f>Tabla_Items_Con_Existencia[[#This Row],[COSTO]]*Tabla_Items_Con_Existencia[[#This Row],[EXISTENCIA]]</f>
        <v>276.81094741999999</v>
      </c>
      <c r="I3237" s="1">
        <f>IF(ISERROR(MATCH(Tabla_Items_Con_Existencia[[#This Row],[CODIGO]],Tabla_Items_Activos[CODIGO],0)),0,1)</f>
        <v>0</v>
      </c>
    </row>
    <row r="3238" spans="1:9">
      <c r="A3238" s="2" t="s">
        <v>6760</v>
      </c>
      <c r="B3238" s="2" t="s">
        <v>4686</v>
      </c>
      <c r="C3238" s="2" t="s">
        <v>2033</v>
      </c>
      <c r="D3238" s="2" t="s">
        <v>5158</v>
      </c>
      <c r="E3238" s="2" t="s">
        <v>5159</v>
      </c>
      <c r="F3238" s="2">
        <v>19.772210529999999</v>
      </c>
      <c r="G3238" s="2">
        <v>14</v>
      </c>
      <c r="H3238" s="2">
        <f>Tabla_Items_Con_Existencia[[#This Row],[COSTO]]*Tabla_Items_Con_Existencia[[#This Row],[EXISTENCIA]]</f>
        <v>276.81094741999999</v>
      </c>
      <c r="I3238" s="1">
        <f>IF(ISERROR(MATCH(Tabla_Items_Con_Existencia[[#This Row],[CODIGO]],Tabla_Items_Activos[CODIGO],0)),0,1)</f>
        <v>0</v>
      </c>
    </row>
    <row r="3239" spans="1:9">
      <c r="A3239" s="2" t="s">
        <v>6760</v>
      </c>
      <c r="B3239" s="2" t="s">
        <v>4687</v>
      </c>
      <c r="C3239" s="2" t="s">
        <v>4688</v>
      </c>
      <c r="D3239" s="2" t="s">
        <v>5158</v>
      </c>
      <c r="E3239" s="2" t="s">
        <v>5159</v>
      </c>
      <c r="F3239" s="2">
        <v>2.06231579</v>
      </c>
      <c r="G3239" s="2">
        <v>2</v>
      </c>
      <c r="H3239" s="2">
        <f>Tabla_Items_Con_Existencia[[#This Row],[COSTO]]*Tabla_Items_Con_Existencia[[#This Row],[EXISTENCIA]]</f>
        <v>4.12463158</v>
      </c>
      <c r="I3239" s="1">
        <f>IF(ISERROR(MATCH(Tabla_Items_Con_Existencia[[#This Row],[CODIGO]],Tabla_Items_Activos[CODIGO],0)),0,1)</f>
        <v>0</v>
      </c>
    </row>
    <row r="3240" spans="1:9">
      <c r="A3240" s="2" t="s">
        <v>6761</v>
      </c>
      <c r="B3240" s="2" t="s">
        <v>4687</v>
      </c>
      <c r="C3240" s="2" t="s">
        <v>4688</v>
      </c>
      <c r="D3240" s="2" t="s">
        <v>5158</v>
      </c>
      <c r="E3240" s="2" t="s">
        <v>5159</v>
      </c>
      <c r="F3240" s="2">
        <v>2.06231579</v>
      </c>
      <c r="G3240" s="2">
        <v>2</v>
      </c>
      <c r="H3240" s="2">
        <f>Tabla_Items_Con_Existencia[[#This Row],[COSTO]]*Tabla_Items_Con_Existencia[[#This Row],[EXISTENCIA]]</f>
        <v>4.12463158</v>
      </c>
      <c r="I3240" s="1">
        <f>IF(ISERROR(MATCH(Tabla_Items_Con_Existencia[[#This Row],[CODIGO]],Tabla_Items_Activos[CODIGO],0)),0,1)</f>
        <v>0</v>
      </c>
    </row>
    <row r="3241" spans="1:9">
      <c r="A3241" s="2" t="s">
        <v>6760</v>
      </c>
      <c r="B3241" s="2" t="s">
        <v>4689</v>
      </c>
      <c r="C3241" s="2" t="s">
        <v>2058</v>
      </c>
      <c r="D3241" s="2" t="s">
        <v>5158</v>
      </c>
      <c r="E3241" s="2" t="s">
        <v>5159</v>
      </c>
      <c r="F3241" s="2">
        <v>0.96968421000000005</v>
      </c>
      <c r="G3241" s="2">
        <v>4</v>
      </c>
      <c r="H3241" s="2">
        <f>Tabla_Items_Con_Existencia[[#This Row],[COSTO]]*Tabla_Items_Con_Existencia[[#This Row],[EXISTENCIA]]</f>
        <v>3.8787368400000002</v>
      </c>
      <c r="I3241" s="1">
        <f>IF(ISERROR(MATCH(Tabla_Items_Con_Existencia[[#This Row],[CODIGO]],Tabla_Items_Activos[CODIGO],0)),0,1)</f>
        <v>0</v>
      </c>
    </row>
    <row r="3242" spans="1:9">
      <c r="A3242" s="2" t="s">
        <v>6761</v>
      </c>
      <c r="B3242" s="2" t="s">
        <v>4689</v>
      </c>
      <c r="C3242" s="2" t="s">
        <v>2058</v>
      </c>
      <c r="D3242" s="2" t="s">
        <v>5158</v>
      </c>
      <c r="E3242" s="2" t="s">
        <v>5159</v>
      </c>
      <c r="F3242" s="2">
        <v>0.96968421000000005</v>
      </c>
      <c r="G3242" s="2">
        <v>4</v>
      </c>
      <c r="H3242" s="2">
        <f>Tabla_Items_Con_Existencia[[#This Row],[COSTO]]*Tabla_Items_Con_Existencia[[#This Row],[EXISTENCIA]]</f>
        <v>3.8787368400000002</v>
      </c>
      <c r="I3242" s="1">
        <f>IF(ISERROR(MATCH(Tabla_Items_Con_Existencia[[#This Row],[CODIGO]],Tabla_Items_Activos[CODIGO],0)),0,1)</f>
        <v>0</v>
      </c>
    </row>
    <row r="3243" spans="1:9">
      <c r="A3243" s="2" t="s">
        <v>6760</v>
      </c>
      <c r="B3243" s="2" t="s">
        <v>4690</v>
      </c>
      <c r="C3243" s="2" t="s">
        <v>6350</v>
      </c>
      <c r="D3243" s="2" t="s">
        <v>5158</v>
      </c>
      <c r="E3243" s="2" t="s">
        <v>5159</v>
      </c>
      <c r="F3243" s="2">
        <v>30.669631580000001</v>
      </c>
      <c r="G3243" s="2">
        <v>9</v>
      </c>
      <c r="H3243" s="2">
        <f>Tabla_Items_Con_Existencia[[#This Row],[COSTO]]*Tabla_Items_Con_Existencia[[#This Row],[EXISTENCIA]]</f>
        <v>276.02668421999999</v>
      </c>
      <c r="I3243" s="1">
        <f>IF(ISERROR(MATCH(Tabla_Items_Con_Existencia[[#This Row],[CODIGO]],Tabla_Items_Activos[CODIGO],0)),0,1)</f>
        <v>0</v>
      </c>
    </row>
    <row r="3244" spans="1:9">
      <c r="A3244" s="2" t="s">
        <v>6761</v>
      </c>
      <c r="B3244" s="2" t="s">
        <v>4690</v>
      </c>
      <c r="C3244" s="2" t="s">
        <v>6350</v>
      </c>
      <c r="D3244" s="2" t="s">
        <v>5158</v>
      </c>
      <c r="E3244" s="2" t="s">
        <v>5159</v>
      </c>
      <c r="F3244" s="2">
        <v>30.669631580000001</v>
      </c>
      <c r="G3244" s="2">
        <v>9</v>
      </c>
      <c r="H3244" s="2">
        <f>Tabla_Items_Con_Existencia[[#This Row],[COSTO]]*Tabla_Items_Con_Existencia[[#This Row],[EXISTENCIA]]</f>
        <v>276.02668421999999</v>
      </c>
      <c r="I3244" s="1">
        <f>IF(ISERROR(MATCH(Tabla_Items_Con_Existencia[[#This Row],[CODIGO]],Tabla_Items_Activos[CODIGO],0)),0,1)</f>
        <v>0</v>
      </c>
    </row>
    <row r="3245" spans="1:9">
      <c r="A3245" s="2" t="s">
        <v>6760</v>
      </c>
      <c r="B3245" s="2" t="s">
        <v>4692</v>
      </c>
      <c r="C3245" s="2" t="s">
        <v>4693</v>
      </c>
      <c r="D3245" s="2" t="s">
        <v>5158</v>
      </c>
      <c r="E3245" s="2" t="s">
        <v>5159</v>
      </c>
      <c r="F3245" s="2">
        <v>0.28799999999999998</v>
      </c>
      <c r="G3245" s="2">
        <v>18</v>
      </c>
      <c r="H3245" s="2">
        <f>Tabla_Items_Con_Existencia[[#This Row],[COSTO]]*Tabla_Items_Con_Existencia[[#This Row],[EXISTENCIA]]</f>
        <v>5.1839999999999993</v>
      </c>
      <c r="I3245" s="1">
        <f>IF(ISERROR(MATCH(Tabla_Items_Con_Existencia[[#This Row],[CODIGO]],Tabla_Items_Activos[CODIGO],0)),0,1)</f>
        <v>0</v>
      </c>
    </row>
    <row r="3246" spans="1:9">
      <c r="A3246" s="2" t="s">
        <v>6760</v>
      </c>
      <c r="B3246" s="2" t="s">
        <v>4695</v>
      </c>
      <c r="C3246" s="2" t="s">
        <v>4696</v>
      </c>
      <c r="D3246" s="2" t="s">
        <v>5158</v>
      </c>
      <c r="E3246" s="2" t="s">
        <v>5159</v>
      </c>
      <c r="F3246" s="2">
        <v>12.663815789999999</v>
      </c>
      <c r="G3246" s="2">
        <v>3</v>
      </c>
      <c r="H3246" s="2">
        <f>Tabla_Items_Con_Existencia[[#This Row],[COSTO]]*Tabla_Items_Con_Existencia[[#This Row],[EXISTENCIA]]</f>
        <v>37.991447369999996</v>
      </c>
      <c r="I3246" s="1">
        <f>IF(ISERROR(MATCH(Tabla_Items_Con_Existencia[[#This Row],[CODIGO]],Tabla_Items_Activos[CODIGO],0)),0,1)</f>
        <v>0</v>
      </c>
    </row>
    <row r="3247" spans="1:9">
      <c r="A3247" s="2" t="s">
        <v>6761</v>
      </c>
      <c r="B3247" s="2" t="s">
        <v>4695</v>
      </c>
      <c r="C3247" s="2" t="s">
        <v>4696</v>
      </c>
      <c r="D3247" s="2" t="s">
        <v>5158</v>
      </c>
      <c r="E3247" s="2" t="s">
        <v>5159</v>
      </c>
      <c r="F3247" s="2">
        <v>12.663815789999999</v>
      </c>
      <c r="G3247" s="2">
        <v>3</v>
      </c>
      <c r="H3247" s="2">
        <f>Tabla_Items_Con_Existencia[[#This Row],[COSTO]]*Tabla_Items_Con_Existencia[[#This Row],[EXISTENCIA]]</f>
        <v>37.991447369999996</v>
      </c>
      <c r="I3247" s="1">
        <f>IF(ISERROR(MATCH(Tabla_Items_Con_Existencia[[#This Row],[CODIGO]],Tabla_Items_Activos[CODIGO],0)),0,1)</f>
        <v>0</v>
      </c>
    </row>
    <row r="3248" spans="1:9">
      <c r="A3248" s="2" t="s">
        <v>6760</v>
      </c>
      <c r="B3248" s="2" t="s">
        <v>4697</v>
      </c>
      <c r="C3248" s="2" t="s">
        <v>7078</v>
      </c>
      <c r="D3248" s="2" t="s">
        <v>5158</v>
      </c>
      <c r="E3248" s="2" t="s">
        <v>5159</v>
      </c>
      <c r="F3248" s="2">
        <v>0.26900000000000002</v>
      </c>
      <c r="G3248" s="2">
        <v>2</v>
      </c>
      <c r="H3248" s="2">
        <f>Tabla_Items_Con_Existencia[[#This Row],[COSTO]]*Tabla_Items_Con_Existencia[[#This Row],[EXISTENCIA]]</f>
        <v>0.53800000000000003</v>
      </c>
      <c r="I3248" s="1">
        <f>IF(ISERROR(MATCH(Tabla_Items_Con_Existencia[[#This Row],[CODIGO]],Tabla_Items_Activos[CODIGO],0)),0,1)</f>
        <v>0</v>
      </c>
    </row>
    <row r="3249" spans="1:9">
      <c r="A3249" s="2" t="s">
        <v>6760</v>
      </c>
      <c r="B3249" s="2" t="s">
        <v>4699</v>
      </c>
      <c r="C3249" s="2" t="s">
        <v>4700</v>
      </c>
      <c r="D3249" s="2" t="s">
        <v>5158</v>
      </c>
      <c r="E3249" s="2" t="s">
        <v>5159</v>
      </c>
      <c r="F3249" s="2">
        <v>0.88578946999999997</v>
      </c>
      <c r="G3249" s="2">
        <v>4</v>
      </c>
      <c r="H3249" s="2">
        <f>Tabla_Items_Con_Existencia[[#This Row],[COSTO]]*Tabla_Items_Con_Existencia[[#This Row],[EXISTENCIA]]</f>
        <v>3.5431578799999999</v>
      </c>
      <c r="I3249" s="1">
        <f>IF(ISERROR(MATCH(Tabla_Items_Con_Existencia[[#This Row],[CODIGO]],Tabla_Items_Activos[CODIGO],0)),0,1)</f>
        <v>0</v>
      </c>
    </row>
    <row r="3250" spans="1:9">
      <c r="A3250" s="2" t="s">
        <v>6761</v>
      </c>
      <c r="B3250" s="2" t="s">
        <v>4699</v>
      </c>
      <c r="C3250" s="2" t="s">
        <v>4700</v>
      </c>
      <c r="D3250" s="2" t="s">
        <v>5158</v>
      </c>
      <c r="E3250" s="2" t="s">
        <v>5159</v>
      </c>
      <c r="F3250" s="2">
        <v>0.88578946999999997</v>
      </c>
      <c r="G3250" s="2">
        <v>4</v>
      </c>
      <c r="H3250" s="2">
        <f>Tabla_Items_Con_Existencia[[#This Row],[COSTO]]*Tabla_Items_Con_Existencia[[#This Row],[EXISTENCIA]]</f>
        <v>3.5431578799999999</v>
      </c>
      <c r="I3250" s="1">
        <f>IF(ISERROR(MATCH(Tabla_Items_Con_Existencia[[#This Row],[CODIGO]],Tabla_Items_Activos[CODIGO],0)),0,1)</f>
        <v>0</v>
      </c>
    </row>
    <row r="3251" spans="1:9">
      <c r="A3251" s="2" t="s">
        <v>6761</v>
      </c>
      <c r="B3251" s="2" t="s">
        <v>1045</v>
      </c>
      <c r="C3251" s="2" t="s">
        <v>7380</v>
      </c>
      <c r="D3251" s="2" t="s">
        <v>5158</v>
      </c>
      <c r="E3251" s="2" t="s">
        <v>5159</v>
      </c>
      <c r="F3251" s="2">
        <v>2.4805789499999999</v>
      </c>
      <c r="G3251" s="2">
        <v>27</v>
      </c>
      <c r="H3251" s="2">
        <f>Tabla_Items_Con_Existencia[[#This Row],[COSTO]]*Tabla_Items_Con_Existencia[[#This Row],[EXISTENCIA]]</f>
        <v>66.975631649999997</v>
      </c>
      <c r="I3251" s="1">
        <f>IF(ISERROR(MATCH(Tabla_Items_Con_Existencia[[#This Row],[CODIGO]],Tabla_Items_Activos[CODIGO],0)),0,1)</f>
        <v>0</v>
      </c>
    </row>
    <row r="3252" spans="1:9">
      <c r="A3252" s="2" t="s">
        <v>6760</v>
      </c>
      <c r="B3252" s="2" t="s">
        <v>1045</v>
      </c>
      <c r="C3252" s="2" t="s">
        <v>7380</v>
      </c>
      <c r="D3252" s="2" t="s">
        <v>5158</v>
      </c>
      <c r="E3252" s="2" t="s">
        <v>5159</v>
      </c>
      <c r="F3252" s="2">
        <v>2.4805789499999999</v>
      </c>
      <c r="G3252" s="2">
        <v>27</v>
      </c>
      <c r="H3252" s="2">
        <f>Tabla_Items_Con_Existencia[[#This Row],[COSTO]]*Tabla_Items_Con_Existencia[[#This Row],[EXISTENCIA]]</f>
        <v>66.975631649999997</v>
      </c>
      <c r="I3252" s="1">
        <f>IF(ISERROR(MATCH(Tabla_Items_Con_Existencia[[#This Row],[CODIGO]],Tabla_Items_Activos[CODIGO],0)),0,1)</f>
        <v>0</v>
      </c>
    </row>
    <row r="3253" spans="1:9">
      <c r="A3253" s="2" t="s">
        <v>6760</v>
      </c>
      <c r="B3253" s="2" t="s">
        <v>4704</v>
      </c>
      <c r="C3253" s="2" t="s">
        <v>4705</v>
      </c>
      <c r="D3253" s="2" t="s">
        <v>5158</v>
      </c>
      <c r="E3253" s="2" t="s">
        <v>5159</v>
      </c>
      <c r="F3253" s="2">
        <v>21.002421049999999</v>
      </c>
      <c r="G3253" s="2">
        <v>5</v>
      </c>
      <c r="H3253" s="2">
        <f>Tabla_Items_Con_Existencia[[#This Row],[COSTO]]*Tabla_Items_Con_Existencia[[#This Row],[EXISTENCIA]]</f>
        <v>105.01210524999999</v>
      </c>
      <c r="I3253" s="1">
        <f>IF(ISERROR(MATCH(Tabla_Items_Con_Existencia[[#This Row],[CODIGO]],Tabla_Items_Activos[CODIGO],0)),0,1)</f>
        <v>0</v>
      </c>
    </row>
    <row r="3254" spans="1:9">
      <c r="A3254" s="2" t="s">
        <v>6761</v>
      </c>
      <c r="B3254" s="2" t="s">
        <v>4704</v>
      </c>
      <c r="C3254" s="2" t="s">
        <v>4705</v>
      </c>
      <c r="D3254" s="2" t="s">
        <v>5158</v>
      </c>
      <c r="E3254" s="2" t="s">
        <v>5159</v>
      </c>
      <c r="F3254" s="2">
        <v>21.002421049999999</v>
      </c>
      <c r="G3254" s="2">
        <v>5</v>
      </c>
      <c r="H3254" s="2">
        <f>Tabla_Items_Con_Existencia[[#This Row],[COSTO]]*Tabla_Items_Con_Existencia[[#This Row],[EXISTENCIA]]</f>
        <v>105.01210524999999</v>
      </c>
      <c r="I3254" s="1">
        <f>IF(ISERROR(MATCH(Tabla_Items_Con_Existencia[[#This Row],[CODIGO]],Tabla_Items_Activos[CODIGO],0)),0,1)</f>
        <v>0</v>
      </c>
    </row>
    <row r="3255" spans="1:9">
      <c r="A3255" s="2" t="s">
        <v>6760</v>
      </c>
      <c r="B3255" s="2" t="s">
        <v>4706</v>
      </c>
      <c r="C3255" s="2" t="s">
        <v>4707</v>
      </c>
      <c r="D3255" s="2" t="s">
        <v>5158</v>
      </c>
      <c r="E3255" s="2" t="s">
        <v>5159</v>
      </c>
      <c r="F3255" s="2">
        <v>22.556000000000001</v>
      </c>
      <c r="G3255" s="2">
        <v>1</v>
      </c>
      <c r="H3255" s="2">
        <f>Tabla_Items_Con_Existencia[[#This Row],[COSTO]]*Tabla_Items_Con_Existencia[[#This Row],[EXISTENCIA]]</f>
        <v>22.556000000000001</v>
      </c>
      <c r="I3255" s="1">
        <f>IF(ISERROR(MATCH(Tabla_Items_Con_Existencia[[#This Row],[CODIGO]],Tabla_Items_Activos[CODIGO],0)),0,1)</f>
        <v>0</v>
      </c>
    </row>
    <row r="3256" spans="1:9">
      <c r="A3256" s="2" t="s">
        <v>6760</v>
      </c>
      <c r="B3256" s="2" t="s">
        <v>4708</v>
      </c>
      <c r="C3256" s="2" t="s">
        <v>4709</v>
      </c>
      <c r="D3256" s="2" t="s">
        <v>5158</v>
      </c>
      <c r="E3256" s="2" t="s">
        <v>5159</v>
      </c>
      <c r="F3256" s="2">
        <v>0.48399999999999999</v>
      </c>
      <c r="G3256" s="2">
        <v>4</v>
      </c>
      <c r="H3256" s="2">
        <f>Tabla_Items_Con_Existencia[[#This Row],[COSTO]]*Tabla_Items_Con_Existencia[[#This Row],[EXISTENCIA]]</f>
        <v>1.9359999999999999</v>
      </c>
      <c r="I3256" s="1">
        <f>IF(ISERROR(MATCH(Tabla_Items_Con_Existencia[[#This Row],[CODIGO]],Tabla_Items_Activos[CODIGO],0)),0,1)</f>
        <v>0</v>
      </c>
    </row>
    <row r="3257" spans="1:9">
      <c r="A3257" s="2" t="s">
        <v>6760</v>
      </c>
      <c r="B3257" s="2" t="s">
        <v>4711</v>
      </c>
      <c r="C3257" s="2" t="s">
        <v>4712</v>
      </c>
      <c r="D3257" s="2" t="s">
        <v>5158</v>
      </c>
      <c r="E3257" s="2" t="s">
        <v>5159</v>
      </c>
      <c r="F3257" s="2">
        <v>3.282</v>
      </c>
      <c r="G3257" s="2">
        <v>5</v>
      </c>
      <c r="H3257" s="2">
        <f>Tabla_Items_Con_Existencia[[#This Row],[COSTO]]*Tabla_Items_Con_Existencia[[#This Row],[EXISTENCIA]]</f>
        <v>16.41</v>
      </c>
      <c r="I3257" s="1">
        <f>IF(ISERROR(MATCH(Tabla_Items_Con_Existencia[[#This Row],[CODIGO]],Tabla_Items_Activos[CODIGO],0)),0,1)</f>
        <v>0</v>
      </c>
    </row>
    <row r="3258" spans="1:9">
      <c r="A3258" s="2" t="s">
        <v>6760</v>
      </c>
      <c r="B3258" s="2" t="s">
        <v>4714</v>
      </c>
      <c r="C3258" s="2" t="s">
        <v>4715</v>
      </c>
      <c r="D3258" s="2" t="s">
        <v>5158</v>
      </c>
      <c r="E3258" s="2" t="s">
        <v>5159</v>
      </c>
      <c r="F3258" s="2">
        <v>21.7</v>
      </c>
      <c r="G3258" s="2">
        <v>4</v>
      </c>
      <c r="H3258" s="2">
        <f>Tabla_Items_Con_Existencia[[#This Row],[COSTO]]*Tabla_Items_Con_Existencia[[#This Row],[EXISTENCIA]]</f>
        <v>86.8</v>
      </c>
      <c r="I3258" s="1">
        <f>IF(ISERROR(MATCH(Tabla_Items_Con_Existencia[[#This Row],[CODIGO]],Tabla_Items_Activos[CODIGO],0)),0,1)</f>
        <v>0</v>
      </c>
    </row>
    <row r="3259" spans="1:9">
      <c r="A3259" s="2" t="s">
        <v>6760</v>
      </c>
      <c r="B3259" s="2" t="s">
        <v>4718</v>
      </c>
      <c r="C3259" s="2" t="s">
        <v>7122</v>
      </c>
      <c r="D3259" s="2" t="s">
        <v>5158</v>
      </c>
      <c r="E3259" s="2" t="s">
        <v>5159</v>
      </c>
      <c r="F3259" s="2">
        <v>12.86031579</v>
      </c>
      <c r="G3259" s="2">
        <v>7</v>
      </c>
      <c r="H3259" s="2">
        <f>Tabla_Items_Con_Existencia[[#This Row],[COSTO]]*Tabla_Items_Con_Existencia[[#This Row],[EXISTENCIA]]</f>
        <v>90.022210529999995</v>
      </c>
      <c r="I3259" s="1">
        <f>IF(ISERROR(MATCH(Tabla_Items_Con_Existencia[[#This Row],[CODIGO]],Tabla_Items_Activos[CODIGO],0)),0,1)</f>
        <v>0</v>
      </c>
    </row>
    <row r="3260" spans="1:9">
      <c r="A3260" s="2" t="s">
        <v>6761</v>
      </c>
      <c r="B3260" s="2" t="s">
        <v>4718</v>
      </c>
      <c r="C3260" s="2" t="s">
        <v>7122</v>
      </c>
      <c r="D3260" s="2" t="s">
        <v>5158</v>
      </c>
      <c r="E3260" s="2" t="s">
        <v>5159</v>
      </c>
      <c r="F3260" s="2">
        <v>12.86031579</v>
      </c>
      <c r="G3260" s="2">
        <v>7</v>
      </c>
      <c r="H3260" s="2">
        <f>Tabla_Items_Con_Existencia[[#This Row],[COSTO]]*Tabla_Items_Con_Existencia[[#This Row],[EXISTENCIA]]</f>
        <v>90.022210529999995</v>
      </c>
      <c r="I3260" s="1">
        <f>IF(ISERROR(MATCH(Tabla_Items_Con_Existencia[[#This Row],[CODIGO]],Tabla_Items_Activos[CODIGO],0)),0,1)</f>
        <v>0</v>
      </c>
    </row>
    <row r="3261" spans="1:9">
      <c r="A3261" s="2" t="s">
        <v>6760</v>
      </c>
      <c r="B3261" s="2" t="s">
        <v>4724</v>
      </c>
      <c r="C3261" s="2" t="s">
        <v>4725</v>
      </c>
      <c r="D3261" s="2" t="s">
        <v>5158</v>
      </c>
      <c r="E3261" s="2" t="s">
        <v>5159</v>
      </c>
      <c r="F3261" s="2">
        <v>28.98</v>
      </c>
      <c r="G3261" s="2">
        <v>10</v>
      </c>
      <c r="H3261" s="2">
        <f>Tabla_Items_Con_Existencia[[#This Row],[COSTO]]*Tabla_Items_Con_Existencia[[#This Row],[EXISTENCIA]]</f>
        <v>289.8</v>
      </c>
      <c r="I3261" s="1">
        <f>IF(ISERROR(MATCH(Tabla_Items_Con_Existencia[[#This Row],[CODIGO]],Tabla_Items_Activos[CODIGO],0)),0,1)</f>
        <v>0</v>
      </c>
    </row>
    <row r="3262" spans="1:9">
      <c r="A3262" s="2" t="s">
        <v>6760</v>
      </c>
      <c r="B3262" s="2" t="s">
        <v>4726</v>
      </c>
      <c r="C3262" s="2" t="s">
        <v>7079</v>
      </c>
      <c r="D3262" s="2" t="s">
        <v>5158</v>
      </c>
      <c r="E3262" s="2" t="s">
        <v>5159</v>
      </c>
      <c r="F3262" s="2">
        <v>17.445</v>
      </c>
      <c r="G3262" s="2">
        <v>24</v>
      </c>
      <c r="H3262" s="2">
        <f>Tabla_Items_Con_Existencia[[#This Row],[COSTO]]*Tabla_Items_Con_Existencia[[#This Row],[EXISTENCIA]]</f>
        <v>418.68</v>
      </c>
      <c r="I3262" s="1">
        <f>IF(ISERROR(MATCH(Tabla_Items_Con_Existencia[[#This Row],[CODIGO]],Tabla_Items_Activos[CODIGO],0)),0,1)</f>
        <v>0</v>
      </c>
    </row>
    <row r="3263" spans="1:9">
      <c r="A3263" s="2" t="s">
        <v>6760</v>
      </c>
      <c r="B3263" s="2" t="s">
        <v>4728</v>
      </c>
      <c r="C3263" s="2" t="s">
        <v>4729</v>
      </c>
      <c r="D3263" s="2" t="s">
        <v>5158</v>
      </c>
      <c r="E3263" s="2" t="s">
        <v>5159</v>
      </c>
      <c r="F3263" s="2">
        <v>15.061</v>
      </c>
      <c r="G3263" s="2">
        <v>10</v>
      </c>
      <c r="H3263" s="2">
        <f>Tabla_Items_Con_Existencia[[#This Row],[COSTO]]*Tabla_Items_Con_Existencia[[#This Row],[EXISTENCIA]]</f>
        <v>150.61000000000001</v>
      </c>
      <c r="I3263" s="1">
        <f>IF(ISERROR(MATCH(Tabla_Items_Con_Existencia[[#This Row],[CODIGO]],Tabla_Items_Activos[CODIGO],0)),0,1)</f>
        <v>0</v>
      </c>
    </row>
    <row r="3264" spans="1:9">
      <c r="A3264" s="2" t="s">
        <v>6760</v>
      </c>
      <c r="B3264" s="2" t="s">
        <v>1052</v>
      </c>
      <c r="C3264" s="2" t="s">
        <v>4730</v>
      </c>
      <c r="D3264" s="2" t="s">
        <v>5190</v>
      </c>
      <c r="E3264" s="2" t="s">
        <v>5159</v>
      </c>
      <c r="F3264" s="2">
        <v>19.308270369999999</v>
      </c>
      <c r="G3264" s="2">
        <v>38</v>
      </c>
      <c r="H3264" s="2">
        <f>Tabla_Items_Con_Existencia[[#This Row],[COSTO]]*Tabla_Items_Con_Existencia[[#This Row],[EXISTENCIA]]</f>
        <v>733.71427405999998</v>
      </c>
      <c r="I3264" s="1">
        <f>IF(ISERROR(MATCH(Tabla_Items_Con_Existencia[[#This Row],[CODIGO]],Tabla_Items_Activos[CODIGO],0)),0,1)</f>
        <v>0</v>
      </c>
    </row>
    <row r="3265" spans="1:9">
      <c r="A3265" s="2" t="s">
        <v>6761</v>
      </c>
      <c r="B3265" s="2" t="s">
        <v>1052</v>
      </c>
      <c r="C3265" s="2" t="s">
        <v>4730</v>
      </c>
      <c r="D3265" s="2" t="s">
        <v>5190</v>
      </c>
      <c r="E3265" s="2" t="s">
        <v>5159</v>
      </c>
      <c r="F3265" s="2">
        <v>19.308270369999999</v>
      </c>
      <c r="G3265" s="2">
        <v>38</v>
      </c>
      <c r="H3265" s="2">
        <f>Tabla_Items_Con_Existencia[[#This Row],[COSTO]]*Tabla_Items_Con_Existencia[[#This Row],[EXISTENCIA]]</f>
        <v>733.71427405999998</v>
      </c>
      <c r="I3265" s="1">
        <f>IF(ISERROR(MATCH(Tabla_Items_Con_Existencia[[#This Row],[CODIGO]],Tabla_Items_Activos[CODIGO],0)),0,1)</f>
        <v>0</v>
      </c>
    </row>
    <row r="3266" spans="1:9">
      <c r="A3266" s="2" t="s">
        <v>6759</v>
      </c>
      <c r="B3266" s="2" t="s">
        <v>1052</v>
      </c>
      <c r="C3266" s="2" t="s">
        <v>4730</v>
      </c>
      <c r="D3266" s="2" t="s">
        <v>5190</v>
      </c>
      <c r="E3266" s="2" t="s">
        <v>5159</v>
      </c>
      <c r="F3266" s="2">
        <v>19.308270369999999</v>
      </c>
      <c r="G3266" s="2">
        <v>38</v>
      </c>
      <c r="H3266" s="2">
        <f>Tabla_Items_Con_Existencia[[#This Row],[COSTO]]*Tabla_Items_Con_Existencia[[#This Row],[EXISTENCIA]]</f>
        <v>733.71427405999998</v>
      </c>
      <c r="I3266" s="1">
        <f>IF(ISERROR(MATCH(Tabla_Items_Con_Existencia[[#This Row],[CODIGO]],Tabla_Items_Activos[CODIGO],0)),0,1)</f>
        <v>0</v>
      </c>
    </row>
    <row r="3267" spans="1:9">
      <c r="A3267" s="2" t="s">
        <v>6760</v>
      </c>
      <c r="B3267" s="2" t="s">
        <v>1053</v>
      </c>
      <c r="C3267" s="2" t="s">
        <v>4735</v>
      </c>
      <c r="D3267" s="2" t="s">
        <v>5158</v>
      </c>
      <c r="E3267" s="2" t="s">
        <v>5159</v>
      </c>
      <c r="F3267" s="2">
        <v>20.344999999999999</v>
      </c>
      <c r="G3267" s="2">
        <v>1</v>
      </c>
      <c r="H3267" s="2">
        <f>Tabla_Items_Con_Existencia[[#This Row],[COSTO]]*Tabla_Items_Con_Existencia[[#This Row],[EXISTENCIA]]</f>
        <v>20.344999999999999</v>
      </c>
      <c r="I3267" s="1">
        <f>IF(ISERROR(MATCH(Tabla_Items_Con_Existencia[[#This Row],[CODIGO]],Tabla_Items_Activos[CODIGO],0)),0,1)</f>
        <v>0</v>
      </c>
    </row>
    <row r="3268" spans="1:9">
      <c r="A3268" s="2" t="s">
        <v>6760</v>
      </c>
      <c r="B3268" s="2" t="s">
        <v>4736</v>
      </c>
      <c r="C3268" s="2" t="s">
        <v>4737</v>
      </c>
      <c r="D3268" s="2" t="s">
        <v>5158</v>
      </c>
      <c r="E3268" s="2" t="s">
        <v>5159</v>
      </c>
      <c r="F3268" s="2">
        <v>21.66</v>
      </c>
      <c r="G3268" s="2">
        <v>1</v>
      </c>
      <c r="H3268" s="2">
        <f>Tabla_Items_Con_Existencia[[#This Row],[COSTO]]*Tabla_Items_Con_Existencia[[#This Row],[EXISTENCIA]]</f>
        <v>21.66</v>
      </c>
      <c r="I3268" s="1">
        <f>IF(ISERROR(MATCH(Tabla_Items_Con_Existencia[[#This Row],[CODIGO]],Tabla_Items_Activos[CODIGO],0)),0,1)</f>
        <v>0</v>
      </c>
    </row>
    <row r="3269" spans="1:9">
      <c r="A3269" s="2" t="s">
        <v>6760</v>
      </c>
      <c r="B3269" s="2" t="s">
        <v>4738</v>
      </c>
      <c r="C3269" s="2" t="s">
        <v>4739</v>
      </c>
      <c r="D3269" s="2" t="s">
        <v>5187</v>
      </c>
      <c r="E3269" s="2" t="s">
        <v>5159</v>
      </c>
      <c r="F3269" s="2">
        <v>11.654</v>
      </c>
      <c r="G3269" s="2">
        <v>2</v>
      </c>
      <c r="H3269" s="2">
        <f>Tabla_Items_Con_Existencia[[#This Row],[COSTO]]*Tabla_Items_Con_Existencia[[#This Row],[EXISTENCIA]]</f>
        <v>23.308</v>
      </c>
      <c r="I3269" s="1">
        <f>IF(ISERROR(MATCH(Tabla_Items_Con_Existencia[[#This Row],[CODIGO]],Tabla_Items_Activos[CODIGO],0)),0,1)</f>
        <v>0</v>
      </c>
    </row>
    <row r="3270" spans="1:9">
      <c r="A3270" s="2" t="s">
        <v>6760</v>
      </c>
      <c r="B3270" s="2" t="s">
        <v>4740</v>
      </c>
      <c r="C3270" s="2" t="s">
        <v>7080</v>
      </c>
      <c r="D3270" s="2" t="s">
        <v>5161</v>
      </c>
      <c r="E3270" s="2" t="s">
        <v>5159</v>
      </c>
      <c r="F3270" s="2">
        <v>0</v>
      </c>
      <c r="G3270" s="2">
        <v>1</v>
      </c>
      <c r="H3270" s="2">
        <f>Tabla_Items_Con_Existencia[[#This Row],[COSTO]]*Tabla_Items_Con_Existencia[[#This Row],[EXISTENCIA]]</f>
        <v>0</v>
      </c>
      <c r="I3270" s="1">
        <f>IF(ISERROR(MATCH(Tabla_Items_Con_Existencia[[#This Row],[CODIGO]],Tabla_Items_Activos[CODIGO],0)),0,1)</f>
        <v>0</v>
      </c>
    </row>
    <row r="3271" spans="1:9">
      <c r="A3271" s="2" t="s">
        <v>6760</v>
      </c>
      <c r="B3271" s="2" t="s">
        <v>4744</v>
      </c>
      <c r="C3271" s="2" t="s">
        <v>4745</v>
      </c>
      <c r="D3271" s="2" t="s">
        <v>5161</v>
      </c>
      <c r="E3271" s="2" t="s">
        <v>5159</v>
      </c>
      <c r="F3271" s="2">
        <v>2.99</v>
      </c>
      <c r="G3271" s="2">
        <v>6</v>
      </c>
      <c r="H3271" s="2">
        <f>Tabla_Items_Con_Existencia[[#This Row],[COSTO]]*Tabla_Items_Con_Existencia[[#This Row],[EXISTENCIA]]</f>
        <v>17.940000000000001</v>
      </c>
      <c r="I3271" s="1">
        <f>IF(ISERROR(MATCH(Tabla_Items_Con_Existencia[[#This Row],[CODIGO]],Tabla_Items_Activos[CODIGO],0)),0,1)</f>
        <v>0</v>
      </c>
    </row>
    <row r="3272" spans="1:9">
      <c r="A3272" s="2" t="s">
        <v>6760</v>
      </c>
      <c r="B3272" s="2" t="s">
        <v>4748</v>
      </c>
      <c r="C3272" s="2" t="s">
        <v>4749</v>
      </c>
      <c r="D3272" s="2" t="s">
        <v>5158</v>
      </c>
      <c r="E3272" s="2" t="s">
        <v>5159</v>
      </c>
      <c r="F3272" s="2">
        <v>17.475000000000001</v>
      </c>
      <c r="G3272" s="2">
        <v>1</v>
      </c>
      <c r="H3272" s="2">
        <f>Tabla_Items_Con_Existencia[[#This Row],[COSTO]]*Tabla_Items_Con_Existencia[[#This Row],[EXISTENCIA]]</f>
        <v>17.475000000000001</v>
      </c>
      <c r="I3272" s="1">
        <f>IF(ISERROR(MATCH(Tabla_Items_Con_Existencia[[#This Row],[CODIGO]],Tabla_Items_Activos[CODIGO],0)),0,1)</f>
        <v>0</v>
      </c>
    </row>
    <row r="3273" spans="1:9">
      <c r="A3273" s="2" t="s">
        <v>6760</v>
      </c>
      <c r="B3273" s="2" t="s">
        <v>4755</v>
      </c>
      <c r="C3273" s="2" t="s">
        <v>4756</v>
      </c>
      <c r="D3273" s="2" t="s">
        <v>5158</v>
      </c>
      <c r="E3273" s="2" t="s">
        <v>5159</v>
      </c>
      <c r="F3273" s="2">
        <v>0.28999999999999998</v>
      </c>
      <c r="G3273" s="2">
        <v>10</v>
      </c>
      <c r="H3273" s="2">
        <f>Tabla_Items_Con_Existencia[[#This Row],[COSTO]]*Tabla_Items_Con_Existencia[[#This Row],[EXISTENCIA]]</f>
        <v>2.9</v>
      </c>
      <c r="I3273" s="1">
        <f>IF(ISERROR(MATCH(Tabla_Items_Con_Existencia[[#This Row],[CODIGO]],Tabla_Items_Activos[CODIGO],0)),0,1)</f>
        <v>0</v>
      </c>
    </row>
    <row r="3274" spans="1:9">
      <c r="A3274" s="2" t="s">
        <v>6760</v>
      </c>
      <c r="B3274" s="2" t="s">
        <v>4757</v>
      </c>
      <c r="C3274" s="2" t="s">
        <v>4758</v>
      </c>
      <c r="D3274" s="2" t="s">
        <v>5158</v>
      </c>
      <c r="E3274" s="2" t="s">
        <v>5159</v>
      </c>
      <c r="F3274" s="2">
        <v>9.7430000000000003</v>
      </c>
      <c r="G3274" s="2">
        <v>5</v>
      </c>
      <c r="H3274" s="2">
        <f>Tabla_Items_Con_Existencia[[#This Row],[COSTO]]*Tabla_Items_Con_Existencia[[#This Row],[EXISTENCIA]]</f>
        <v>48.715000000000003</v>
      </c>
      <c r="I3274" s="1">
        <f>IF(ISERROR(MATCH(Tabla_Items_Con_Existencia[[#This Row],[CODIGO]],Tabla_Items_Activos[CODIGO],0)),0,1)</f>
        <v>0</v>
      </c>
    </row>
    <row r="3275" spans="1:9">
      <c r="A3275" s="2" t="s">
        <v>6760</v>
      </c>
      <c r="B3275" s="2" t="s">
        <v>4759</v>
      </c>
      <c r="C3275" s="2" t="s">
        <v>2072</v>
      </c>
      <c r="D3275" s="2" t="s">
        <v>5158</v>
      </c>
      <c r="E3275" s="2" t="s">
        <v>5159</v>
      </c>
      <c r="F3275" s="2">
        <v>12.94989474</v>
      </c>
      <c r="G3275" s="2">
        <v>7</v>
      </c>
      <c r="H3275" s="2">
        <f>Tabla_Items_Con_Existencia[[#This Row],[COSTO]]*Tabla_Items_Con_Existencia[[#This Row],[EXISTENCIA]]</f>
        <v>90.649263179999991</v>
      </c>
      <c r="I3275" s="1">
        <f>IF(ISERROR(MATCH(Tabla_Items_Con_Existencia[[#This Row],[CODIGO]],Tabla_Items_Activos[CODIGO],0)),0,1)</f>
        <v>0</v>
      </c>
    </row>
    <row r="3276" spans="1:9">
      <c r="A3276" s="2" t="s">
        <v>6761</v>
      </c>
      <c r="B3276" s="2" t="s">
        <v>4759</v>
      </c>
      <c r="C3276" s="2" t="s">
        <v>2072</v>
      </c>
      <c r="D3276" s="2" t="s">
        <v>5158</v>
      </c>
      <c r="E3276" s="2" t="s">
        <v>5159</v>
      </c>
      <c r="F3276" s="2">
        <v>12.94989474</v>
      </c>
      <c r="G3276" s="2">
        <v>7</v>
      </c>
      <c r="H3276" s="2">
        <f>Tabla_Items_Con_Existencia[[#This Row],[COSTO]]*Tabla_Items_Con_Existencia[[#This Row],[EXISTENCIA]]</f>
        <v>90.649263179999991</v>
      </c>
      <c r="I3276" s="1">
        <f>IF(ISERROR(MATCH(Tabla_Items_Con_Existencia[[#This Row],[CODIGO]],Tabla_Items_Activos[CODIGO],0)),0,1)</f>
        <v>0</v>
      </c>
    </row>
    <row r="3277" spans="1:9">
      <c r="A3277" s="2" t="s">
        <v>6760</v>
      </c>
      <c r="B3277" s="2" t="s">
        <v>4760</v>
      </c>
      <c r="C3277" s="2" t="s">
        <v>4761</v>
      </c>
      <c r="D3277" s="2" t="s">
        <v>5158</v>
      </c>
      <c r="E3277" s="2" t="s">
        <v>5159</v>
      </c>
      <c r="F3277" s="2">
        <v>0.98199999999999998</v>
      </c>
      <c r="G3277" s="2">
        <v>1</v>
      </c>
      <c r="H3277" s="2">
        <f>Tabla_Items_Con_Existencia[[#This Row],[COSTO]]*Tabla_Items_Con_Existencia[[#This Row],[EXISTENCIA]]</f>
        <v>0.98199999999999998</v>
      </c>
      <c r="I3277" s="1">
        <f>IF(ISERROR(MATCH(Tabla_Items_Con_Existencia[[#This Row],[CODIGO]],Tabla_Items_Activos[CODIGO],0)),0,1)</f>
        <v>0</v>
      </c>
    </row>
    <row r="3278" spans="1:9">
      <c r="A3278" s="2" t="s">
        <v>6760</v>
      </c>
      <c r="B3278" s="2" t="s">
        <v>4772</v>
      </c>
      <c r="C3278" s="2" t="s">
        <v>4773</v>
      </c>
      <c r="D3278" s="2" t="s">
        <v>5194</v>
      </c>
      <c r="E3278" s="2" t="s">
        <v>5159</v>
      </c>
      <c r="F3278" s="2">
        <v>0.55200000000000005</v>
      </c>
      <c r="G3278" s="2">
        <v>2</v>
      </c>
      <c r="H3278" s="2">
        <f>Tabla_Items_Con_Existencia[[#This Row],[COSTO]]*Tabla_Items_Con_Existencia[[#This Row],[EXISTENCIA]]</f>
        <v>1.1040000000000001</v>
      </c>
      <c r="I3278" s="1">
        <f>IF(ISERROR(MATCH(Tabla_Items_Con_Existencia[[#This Row],[CODIGO]],Tabla_Items_Activos[CODIGO],0)),0,1)</f>
        <v>0</v>
      </c>
    </row>
    <row r="3279" spans="1:9">
      <c r="A3279" s="2" t="s">
        <v>6760</v>
      </c>
      <c r="B3279" s="2" t="s">
        <v>4774</v>
      </c>
      <c r="C3279" s="2" t="s">
        <v>4775</v>
      </c>
      <c r="D3279" s="2" t="s">
        <v>5158</v>
      </c>
      <c r="E3279" s="2" t="s">
        <v>5159</v>
      </c>
      <c r="F3279" s="2">
        <v>1.994</v>
      </c>
      <c r="G3279" s="2">
        <v>8</v>
      </c>
      <c r="H3279" s="2">
        <f>Tabla_Items_Con_Existencia[[#This Row],[COSTO]]*Tabla_Items_Con_Existencia[[#This Row],[EXISTENCIA]]</f>
        <v>15.952</v>
      </c>
      <c r="I3279" s="1">
        <f>IF(ISERROR(MATCH(Tabla_Items_Con_Existencia[[#This Row],[CODIGO]],Tabla_Items_Activos[CODIGO],0)),0,1)</f>
        <v>0</v>
      </c>
    </row>
    <row r="3280" spans="1:9">
      <c r="A3280" s="2" t="s">
        <v>6760</v>
      </c>
      <c r="B3280" s="2" t="s">
        <v>4786</v>
      </c>
      <c r="C3280" s="2" t="s">
        <v>4787</v>
      </c>
      <c r="D3280" s="2" t="s">
        <v>5158</v>
      </c>
      <c r="E3280" s="2" t="s">
        <v>5159</v>
      </c>
      <c r="F3280" s="2">
        <v>3.4054736800000001</v>
      </c>
      <c r="G3280" s="2">
        <v>2</v>
      </c>
      <c r="H3280" s="2">
        <f>Tabla_Items_Con_Existencia[[#This Row],[COSTO]]*Tabla_Items_Con_Existencia[[#This Row],[EXISTENCIA]]</f>
        <v>6.8109473600000001</v>
      </c>
      <c r="I3280" s="1">
        <f>IF(ISERROR(MATCH(Tabla_Items_Con_Existencia[[#This Row],[CODIGO]],Tabla_Items_Activos[CODIGO],0)),0,1)</f>
        <v>0</v>
      </c>
    </row>
    <row r="3281" spans="1:9">
      <c r="A3281" s="2" t="s">
        <v>6761</v>
      </c>
      <c r="B3281" s="2" t="s">
        <v>4786</v>
      </c>
      <c r="C3281" s="2" t="s">
        <v>4787</v>
      </c>
      <c r="D3281" s="2" t="s">
        <v>5158</v>
      </c>
      <c r="E3281" s="2" t="s">
        <v>5159</v>
      </c>
      <c r="F3281" s="2">
        <v>3.4054736800000001</v>
      </c>
      <c r="G3281" s="2">
        <v>2</v>
      </c>
      <c r="H3281" s="2">
        <f>Tabla_Items_Con_Existencia[[#This Row],[COSTO]]*Tabla_Items_Con_Existencia[[#This Row],[EXISTENCIA]]</f>
        <v>6.8109473600000001</v>
      </c>
      <c r="I3281" s="1">
        <f>IF(ISERROR(MATCH(Tabla_Items_Con_Existencia[[#This Row],[CODIGO]],Tabla_Items_Activos[CODIGO],0)),0,1)</f>
        <v>0</v>
      </c>
    </row>
    <row r="3282" spans="1:9">
      <c r="A3282" s="2" t="s">
        <v>6760</v>
      </c>
      <c r="B3282" s="2" t="s">
        <v>4788</v>
      </c>
      <c r="C3282" s="2" t="s">
        <v>4789</v>
      </c>
      <c r="D3282" s="2" t="s">
        <v>5158</v>
      </c>
      <c r="E3282" s="2" t="s">
        <v>5159</v>
      </c>
      <c r="F3282" s="2">
        <v>15.25</v>
      </c>
      <c r="G3282" s="2">
        <v>1</v>
      </c>
      <c r="H3282" s="2">
        <f>Tabla_Items_Con_Existencia[[#This Row],[COSTO]]*Tabla_Items_Con_Existencia[[#This Row],[EXISTENCIA]]</f>
        <v>15.25</v>
      </c>
      <c r="I3282" s="1">
        <f>IF(ISERROR(MATCH(Tabla_Items_Con_Existencia[[#This Row],[CODIGO]],Tabla_Items_Activos[CODIGO],0)),0,1)</f>
        <v>0</v>
      </c>
    </row>
    <row r="3283" spans="1:9">
      <c r="A3283" s="2" t="s">
        <v>6760</v>
      </c>
      <c r="B3283" s="2" t="s">
        <v>4790</v>
      </c>
      <c r="C3283" s="2" t="s">
        <v>4791</v>
      </c>
      <c r="D3283" s="2" t="s">
        <v>5158</v>
      </c>
      <c r="E3283" s="2" t="s">
        <v>5159</v>
      </c>
      <c r="F3283" s="2">
        <v>20.369</v>
      </c>
      <c r="G3283" s="2">
        <v>1</v>
      </c>
      <c r="H3283" s="2">
        <f>Tabla_Items_Con_Existencia[[#This Row],[COSTO]]*Tabla_Items_Con_Existencia[[#This Row],[EXISTENCIA]]</f>
        <v>20.369</v>
      </c>
      <c r="I3283" s="1">
        <f>IF(ISERROR(MATCH(Tabla_Items_Con_Existencia[[#This Row],[CODIGO]],Tabla_Items_Activos[CODIGO],0)),0,1)</f>
        <v>0</v>
      </c>
    </row>
    <row r="3284" spans="1:9">
      <c r="A3284" s="2" t="s">
        <v>6760</v>
      </c>
      <c r="B3284" s="2" t="s">
        <v>4794</v>
      </c>
      <c r="C3284" s="2" t="s">
        <v>4795</v>
      </c>
      <c r="D3284" s="2" t="s">
        <v>5158</v>
      </c>
      <c r="E3284" s="2" t="s">
        <v>5159</v>
      </c>
      <c r="F3284" s="2">
        <v>24.457999999999998</v>
      </c>
      <c r="G3284" s="2">
        <v>2</v>
      </c>
      <c r="H3284" s="2">
        <f>Tabla_Items_Con_Existencia[[#This Row],[COSTO]]*Tabla_Items_Con_Existencia[[#This Row],[EXISTENCIA]]</f>
        <v>48.915999999999997</v>
      </c>
      <c r="I3284" s="1">
        <f>IF(ISERROR(MATCH(Tabla_Items_Con_Existencia[[#This Row],[CODIGO]],Tabla_Items_Activos[CODIGO],0)),0,1)</f>
        <v>0</v>
      </c>
    </row>
    <row r="3285" spans="1:9">
      <c r="A3285" s="2" t="s">
        <v>6760</v>
      </c>
      <c r="B3285" s="2" t="s">
        <v>4796</v>
      </c>
      <c r="C3285" s="2" t="s">
        <v>4797</v>
      </c>
      <c r="D3285" s="2" t="s">
        <v>5158</v>
      </c>
      <c r="E3285" s="2" t="s">
        <v>5159</v>
      </c>
      <c r="F3285" s="2">
        <v>2.6311578899999999</v>
      </c>
      <c r="G3285" s="2">
        <v>3</v>
      </c>
      <c r="H3285" s="2">
        <f>Tabla_Items_Con_Existencia[[#This Row],[COSTO]]*Tabla_Items_Con_Existencia[[#This Row],[EXISTENCIA]]</f>
        <v>7.8934736699999997</v>
      </c>
      <c r="I3285" s="1">
        <f>IF(ISERROR(MATCH(Tabla_Items_Con_Existencia[[#This Row],[CODIGO]],Tabla_Items_Activos[CODIGO],0)),0,1)</f>
        <v>0</v>
      </c>
    </row>
    <row r="3286" spans="1:9">
      <c r="A3286" s="2" t="s">
        <v>6761</v>
      </c>
      <c r="B3286" s="2" t="s">
        <v>4796</v>
      </c>
      <c r="C3286" s="2" t="s">
        <v>4797</v>
      </c>
      <c r="D3286" s="2" t="s">
        <v>5158</v>
      </c>
      <c r="E3286" s="2" t="s">
        <v>5159</v>
      </c>
      <c r="F3286" s="2">
        <v>2.6311578899999999</v>
      </c>
      <c r="G3286" s="2">
        <v>3</v>
      </c>
      <c r="H3286" s="2">
        <f>Tabla_Items_Con_Existencia[[#This Row],[COSTO]]*Tabla_Items_Con_Existencia[[#This Row],[EXISTENCIA]]</f>
        <v>7.8934736699999997</v>
      </c>
      <c r="I3286" s="1">
        <f>IF(ISERROR(MATCH(Tabla_Items_Con_Existencia[[#This Row],[CODIGO]],Tabla_Items_Activos[CODIGO],0)),0,1)</f>
        <v>0</v>
      </c>
    </row>
    <row r="3287" spans="1:9">
      <c r="A3287" s="2" t="s">
        <v>6760</v>
      </c>
      <c r="B3287" s="2" t="s">
        <v>4801</v>
      </c>
      <c r="C3287" s="2" t="s">
        <v>4802</v>
      </c>
      <c r="D3287" s="2" t="s">
        <v>5158</v>
      </c>
      <c r="E3287" s="2" t="s">
        <v>5159</v>
      </c>
      <c r="F3287" s="2">
        <v>36.149000000000001</v>
      </c>
      <c r="G3287" s="2">
        <v>4</v>
      </c>
      <c r="H3287" s="2">
        <f>Tabla_Items_Con_Existencia[[#This Row],[COSTO]]*Tabla_Items_Con_Existencia[[#This Row],[EXISTENCIA]]</f>
        <v>144.596</v>
      </c>
      <c r="I3287" s="1">
        <f>IF(ISERROR(MATCH(Tabla_Items_Con_Existencia[[#This Row],[CODIGO]],Tabla_Items_Activos[CODIGO],0)),0,1)</f>
        <v>0</v>
      </c>
    </row>
    <row r="3288" spans="1:9">
      <c r="A3288" s="2" t="s">
        <v>6760</v>
      </c>
      <c r="B3288" s="2" t="s">
        <v>4805</v>
      </c>
      <c r="C3288" s="2" t="s">
        <v>4806</v>
      </c>
      <c r="D3288" s="2" t="s">
        <v>5158</v>
      </c>
      <c r="E3288" s="2" t="s">
        <v>5159</v>
      </c>
      <c r="F3288" s="2">
        <v>2.6339999999999999</v>
      </c>
      <c r="G3288" s="2">
        <v>8</v>
      </c>
      <c r="H3288" s="2">
        <f>Tabla_Items_Con_Existencia[[#This Row],[COSTO]]*Tabla_Items_Con_Existencia[[#This Row],[EXISTENCIA]]</f>
        <v>21.071999999999999</v>
      </c>
      <c r="I3288" s="1">
        <f>IF(ISERROR(MATCH(Tabla_Items_Con_Existencia[[#This Row],[CODIGO]],Tabla_Items_Activos[CODIGO],0)),0,1)</f>
        <v>0</v>
      </c>
    </row>
    <row r="3289" spans="1:9">
      <c r="A3289" s="2" t="s">
        <v>6760</v>
      </c>
      <c r="B3289" s="2" t="s">
        <v>1061</v>
      </c>
      <c r="C3289" s="2" t="s">
        <v>4807</v>
      </c>
      <c r="D3289" s="2" t="s">
        <v>5158</v>
      </c>
      <c r="E3289" s="2" t="s">
        <v>5159</v>
      </c>
      <c r="F3289" s="2">
        <v>16.996968420000002</v>
      </c>
      <c r="G3289" s="2">
        <v>27</v>
      </c>
      <c r="H3289" s="2">
        <f>Tabla_Items_Con_Existencia[[#This Row],[COSTO]]*Tabla_Items_Con_Existencia[[#This Row],[EXISTENCIA]]</f>
        <v>458.91814734000002</v>
      </c>
      <c r="I3289" s="1">
        <f>IF(ISERROR(MATCH(Tabla_Items_Con_Existencia[[#This Row],[CODIGO]],Tabla_Items_Activos[CODIGO],0)),0,1)</f>
        <v>0</v>
      </c>
    </row>
    <row r="3290" spans="1:9">
      <c r="A3290" s="2" t="s">
        <v>6761</v>
      </c>
      <c r="B3290" s="2" t="s">
        <v>1061</v>
      </c>
      <c r="C3290" s="2" t="s">
        <v>4807</v>
      </c>
      <c r="D3290" s="2" t="s">
        <v>5158</v>
      </c>
      <c r="E3290" s="2" t="s">
        <v>5159</v>
      </c>
      <c r="F3290" s="2">
        <v>16.996968420000002</v>
      </c>
      <c r="G3290" s="2">
        <v>27</v>
      </c>
      <c r="H3290" s="2">
        <f>Tabla_Items_Con_Existencia[[#This Row],[COSTO]]*Tabla_Items_Con_Existencia[[#This Row],[EXISTENCIA]]</f>
        <v>458.91814734000002</v>
      </c>
      <c r="I3290" s="1">
        <f>IF(ISERROR(MATCH(Tabla_Items_Con_Existencia[[#This Row],[CODIGO]],Tabla_Items_Activos[CODIGO],0)),0,1)</f>
        <v>0</v>
      </c>
    </row>
    <row r="3291" spans="1:9">
      <c r="A3291" s="2" t="s">
        <v>6760</v>
      </c>
      <c r="B3291" s="2" t="s">
        <v>4808</v>
      </c>
      <c r="C3291" s="2" t="s">
        <v>6740</v>
      </c>
      <c r="D3291" s="2" t="s">
        <v>5161</v>
      </c>
      <c r="E3291" s="2" t="s">
        <v>5159</v>
      </c>
      <c r="F3291" s="2">
        <v>15.81884211</v>
      </c>
      <c r="G3291" s="2">
        <v>14</v>
      </c>
      <c r="H3291" s="2">
        <f>Tabla_Items_Con_Existencia[[#This Row],[COSTO]]*Tabla_Items_Con_Existencia[[#This Row],[EXISTENCIA]]</f>
        <v>221.46378953999999</v>
      </c>
      <c r="I3291" s="1">
        <f>IF(ISERROR(MATCH(Tabla_Items_Con_Existencia[[#This Row],[CODIGO]],Tabla_Items_Activos[CODIGO],0)),0,1)</f>
        <v>0</v>
      </c>
    </row>
    <row r="3292" spans="1:9">
      <c r="A3292" s="2" t="s">
        <v>6761</v>
      </c>
      <c r="B3292" s="2" t="s">
        <v>4808</v>
      </c>
      <c r="C3292" s="2" t="s">
        <v>6740</v>
      </c>
      <c r="D3292" s="2" t="s">
        <v>5161</v>
      </c>
      <c r="E3292" s="2" t="s">
        <v>5159</v>
      </c>
      <c r="F3292" s="2">
        <v>15.81884211</v>
      </c>
      <c r="G3292" s="2">
        <v>14</v>
      </c>
      <c r="H3292" s="2">
        <f>Tabla_Items_Con_Existencia[[#This Row],[COSTO]]*Tabla_Items_Con_Existencia[[#This Row],[EXISTENCIA]]</f>
        <v>221.46378953999999</v>
      </c>
      <c r="I3292" s="1">
        <f>IF(ISERROR(MATCH(Tabla_Items_Con_Existencia[[#This Row],[CODIGO]],Tabla_Items_Activos[CODIGO],0)),0,1)</f>
        <v>0</v>
      </c>
    </row>
    <row r="3293" spans="1:9">
      <c r="A3293" s="2" t="s">
        <v>6760</v>
      </c>
      <c r="B3293" s="2" t="s">
        <v>1062</v>
      </c>
      <c r="C3293" s="2" t="s">
        <v>4810</v>
      </c>
      <c r="D3293" s="2" t="s">
        <v>5194</v>
      </c>
      <c r="E3293" s="2" t="s">
        <v>5159</v>
      </c>
      <c r="F3293" s="2">
        <v>12.606999999999999</v>
      </c>
      <c r="G3293" s="2">
        <v>3</v>
      </c>
      <c r="H3293" s="2">
        <f>Tabla_Items_Con_Existencia[[#This Row],[COSTO]]*Tabla_Items_Con_Existencia[[#This Row],[EXISTENCIA]]</f>
        <v>37.820999999999998</v>
      </c>
      <c r="I3293" s="1">
        <f>IF(ISERROR(MATCH(Tabla_Items_Con_Existencia[[#This Row],[CODIGO]],Tabla_Items_Activos[CODIGO],0)),0,1)</f>
        <v>0</v>
      </c>
    </row>
    <row r="3294" spans="1:9">
      <c r="A3294" s="2" t="s">
        <v>6760</v>
      </c>
      <c r="B3294" s="2" t="s">
        <v>4813</v>
      </c>
      <c r="C3294" s="2" t="s">
        <v>4814</v>
      </c>
      <c r="D3294" s="2" t="s">
        <v>5190</v>
      </c>
      <c r="E3294" s="2" t="s">
        <v>5159</v>
      </c>
      <c r="F3294" s="2">
        <v>2.2229999999999999</v>
      </c>
      <c r="G3294" s="2">
        <v>11</v>
      </c>
      <c r="H3294" s="2">
        <f>Tabla_Items_Con_Existencia[[#This Row],[COSTO]]*Tabla_Items_Con_Existencia[[#This Row],[EXISTENCIA]]</f>
        <v>24.452999999999999</v>
      </c>
      <c r="I3294" s="1">
        <f>IF(ISERROR(MATCH(Tabla_Items_Con_Existencia[[#This Row],[CODIGO]],Tabla_Items_Activos[CODIGO],0)),0,1)</f>
        <v>0</v>
      </c>
    </row>
    <row r="3295" spans="1:9">
      <c r="A3295" s="2" t="s">
        <v>6760</v>
      </c>
      <c r="B3295" s="2" t="s">
        <v>4815</v>
      </c>
      <c r="C3295" s="2" t="s">
        <v>4816</v>
      </c>
      <c r="D3295" s="2" t="s">
        <v>5158</v>
      </c>
      <c r="E3295" s="2" t="s">
        <v>5159</v>
      </c>
      <c r="F3295" s="2">
        <v>78.229100000000003</v>
      </c>
      <c r="G3295" s="2">
        <v>3</v>
      </c>
      <c r="H3295" s="2">
        <f>Tabla_Items_Con_Existencia[[#This Row],[COSTO]]*Tabla_Items_Con_Existencia[[#This Row],[EXISTENCIA]]</f>
        <v>234.68729999999999</v>
      </c>
      <c r="I3295" s="1">
        <f>IF(ISERROR(MATCH(Tabla_Items_Con_Existencia[[#This Row],[CODIGO]],Tabla_Items_Activos[CODIGO],0)),0,1)</f>
        <v>0</v>
      </c>
    </row>
    <row r="3296" spans="1:9">
      <c r="A3296" s="2" t="s">
        <v>6760</v>
      </c>
      <c r="B3296" s="2" t="s">
        <v>1063</v>
      </c>
      <c r="C3296" s="2" t="s">
        <v>4817</v>
      </c>
      <c r="D3296" s="2" t="s">
        <v>5158</v>
      </c>
      <c r="E3296" s="2" t="s">
        <v>5159</v>
      </c>
      <c r="F3296" s="2">
        <v>0.68032632000000004</v>
      </c>
      <c r="G3296" s="2">
        <v>212</v>
      </c>
      <c r="H3296" s="2">
        <f>Tabla_Items_Con_Existencia[[#This Row],[COSTO]]*Tabla_Items_Con_Existencia[[#This Row],[EXISTENCIA]]</f>
        <v>144.22917984</v>
      </c>
      <c r="I3296" s="1">
        <f>IF(ISERROR(MATCH(Tabla_Items_Con_Existencia[[#This Row],[CODIGO]],Tabla_Items_Activos[CODIGO],0)),0,1)</f>
        <v>0</v>
      </c>
    </row>
    <row r="3297" spans="1:9">
      <c r="A3297" s="2" t="s">
        <v>6761</v>
      </c>
      <c r="B3297" s="2" t="s">
        <v>1063</v>
      </c>
      <c r="C3297" s="2" t="s">
        <v>4817</v>
      </c>
      <c r="D3297" s="2" t="s">
        <v>5158</v>
      </c>
      <c r="E3297" s="2" t="s">
        <v>5159</v>
      </c>
      <c r="F3297" s="2">
        <v>0.68032632000000004</v>
      </c>
      <c r="G3297" s="2">
        <v>212</v>
      </c>
      <c r="H3297" s="2">
        <f>Tabla_Items_Con_Existencia[[#This Row],[COSTO]]*Tabla_Items_Con_Existencia[[#This Row],[EXISTENCIA]]</f>
        <v>144.22917984</v>
      </c>
      <c r="I3297" s="1">
        <f>IF(ISERROR(MATCH(Tabla_Items_Con_Existencia[[#This Row],[CODIGO]],Tabla_Items_Activos[CODIGO],0)),0,1)</f>
        <v>0</v>
      </c>
    </row>
    <row r="3298" spans="1:9">
      <c r="A3298" s="2" t="s">
        <v>6760</v>
      </c>
      <c r="B3298" s="2" t="s">
        <v>6228</v>
      </c>
      <c r="C3298" s="2" t="s">
        <v>6229</v>
      </c>
      <c r="D3298" s="2" t="s">
        <v>5158</v>
      </c>
      <c r="E3298" s="2" t="s">
        <v>5159</v>
      </c>
      <c r="F3298" s="2">
        <v>9.9600000000000009</v>
      </c>
      <c r="G3298" s="2">
        <v>1</v>
      </c>
      <c r="H3298" s="2">
        <f>Tabla_Items_Con_Existencia[[#This Row],[COSTO]]*Tabla_Items_Con_Existencia[[#This Row],[EXISTENCIA]]</f>
        <v>9.9600000000000009</v>
      </c>
      <c r="I3298" s="1">
        <f>IF(ISERROR(MATCH(Tabla_Items_Con_Existencia[[#This Row],[CODIGO]],Tabla_Items_Activos[CODIGO],0)),0,1)</f>
        <v>0</v>
      </c>
    </row>
    <row r="3299" spans="1:9">
      <c r="A3299" s="2" t="s">
        <v>6760</v>
      </c>
      <c r="B3299" s="2" t="s">
        <v>4822</v>
      </c>
      <c r="C3299" s="2" t="s">
        <v>7081</v>
      </c>
      <c r="D3299" s="2" t="s">
        <v>5158</v>
      </c>
      <c r="E3299" s="2" t="s">
        <v>5159</v>
      </c>
      <c r="F3299" s="2">
        <v>19.419578949999998</v>
      </c>
      <c r="G3299" s="2">
        <v>2</v>
      </c>
      <c r="H3299" s="2">
        <f>Tabla_Items_Con_Existencia[[#This Row],[COSTO]]*Tabla_Items_Con_Existencia[[#This Row],[EXISTENCIA]]</f>
        <v>38.839157899999996</v>
      </c>
      <c r="I3299" s="1">
        <f>IF(ISERROR(MATCH(Tabla_Items_Con_Existencia[[#This Row],[CODIGO]],Tabla_Items_Activos[CODIGO],0)),0,1)</f>
        <v>0</v>
      </c>
    </row>
    <row r="3300" spans="1:9">
      <c r="A3300" s="2" t="s">
        <v>6761</v>
      </c>
      <c r="B3300" s="2" t="s">
        <v>4822</v>
      </c>
      <c r="C3300" s="2" t="s">
        <v>7081</v>
      </c>
      <c r="D3300" s="2" t="s">
        <v>5158</v>
      </c>
      <c r="E3300" s="2" t="s">
        <v>5159</v>
      </c>
      <c r="F3300" s="2">
        <v>19.419578949999998</v>
      </c>
      <c r="G3300" s="2">
        <v>2</v>
      </c>
      <c r="H3300" s="2">
        <f>Tabla_Items_Con_Existencia[[#This Row],[COSTO]]*Tabla_Items_Con_Existencia[[#This Row],[EXISTENCIA]]</f>
        <v>38.839157899999996</v>
      </c>
      <c r="I3300" s="1">
        <f>IF(ISERROR(MATCH(Tabla_Items_Con_Existencia[[#This Row],[CODIGO]],Tabla_Items_Activos[CODIGO],0)),0,1)</f>
        <v>0</v>
      </c>
    </row>
    <row r="3301" spans="1:9">
      <c r="A3301" s="2" t="s">
        <v>6760</v>
      </c>
      <c r="B3301" s="2" t="s">
        <v>4826</v>
      </c>
      <c r="C3301" s="2" t="s">
        <v>7123</v>
      </c>
      <c r="D3301" s="2" t="s">
        <v>5158</v>
      </c>
      <c r="E3301" s="2" t="s">
        <v>5159</v>
      </c>
      <c r="F3301" s="2">
        <v>51.442</v>
      </c>
      <c r="G3301" s="2">
        <v>1</v>
      </c>
      <c r="H3301" s="2">
        <f>Tabla_Items_Con_Existencia[[#This Row],[COSTO]]*Tabla_Items_Con_Existencia[[#This Row],[EXISTENCIA]]</f>
        <v>51.442</v>
      </c>
      <c r="I3301" s="1">
        <f>IF(ISERROR(MATCH(Tabla_Items_Con_Existencia[[#This Row],[CODIGO]],Tabla_Items_Activos[CODIGO],0)),0,1)</f>
        <v>0</v>
      </c>
    </row>
    <row r="3302" spans="1:9">
      <c r="A3302" s="2" t="s">
        <v>6760</v>
      </c>
      <c r="B3302" s="2" t="s">
        <v>4828</v>
      </c>
      <c r="C3302" s="2" t="s">
        <v>7082</v>
      </c>
      <c r="D3302" s="2" t="s">
        <v>5158</v>
      </c>
      <c r="E3302" s="2" t="s">
        <v>5159</v>
      </c>
      <c r="F3302" s="2">
        <v>21.555</v>
      </c>
      <c r="G3302" s="2">
        <v>19</v>
      </c>
      <c r="H3302" s="2">
        <f>Tabla_Items_Con_Existencia[[#This Row],[COSTO]]*Tabla_Items_Con_Existencia[[#This Row],[EXISTENCIA]]</f>
        <v>409.54500000000002</v>
      </c>
      <c r="I3302" s="1">
        <f>IF(ISERROR(MATCH(Tabla_Items_Con_Existencia[[#This Row],[CODIGO]],Tabla_Items_Activos[CODIGO],0)),0,1)</f>
        <v>0</v>
      </c>
    </row>
    <row r="3303" spans="1:9">
      <c r="A3303" s="2" t="s">
        <v>6760</v>
      </c>
      <c r="B3303" s="2" t="s">
        <v>1068</v>
      </c>
      <c r="C3303" s="2" t="s">
        <v>7083</v>
      </c>
      <c r="D3303" s="2" t="s">
        <v>5158</v>
      </c>
      <c r="E3303" s="2" t="s">
        <v>5159</v>
      </c>
      <c r="F3303" s="2">
        <v>14.624189469999999</v>
      </c>
      <c r="G3303" s="2">
        <v>7</v>
      </c>
      <c r="H3303" s="2">
        <f>Tabla_Items_Con_Existencia[[#This Row],[COSTO]]*Tabla_Items_Con_Existencia[[#This Row],[EXISTENCIA]]</f>
        <v>102.36932628999999</v>
      </c>
      <c r="I3303" s="1">
        <f>IF(ISERROR(MATCH(Tabla_Items_Con_Existencia[[#This Row],[CODIGO]],Tabla_Items_Activos[CODIGO],0)),0,1)</f>
        <v>0</v>
      </c>
    </row>
    <row r="3304" spans="1:9">
      <c r="A3304" s="2" t="s">
        <v>6761</v>
      </c>
      <c r="B3304" s="2" t="s">
        <v>1068</v>
      </c>
      <c r="C3304" s="2" t="s">
        <v>7083</v>
      </c>
      <c r="D3304" s="2" t="s">
        <v>5158</v>
      </c>
      <c r="E3304" s="2" t="s">
        <v>5159</v>
      </c>
      <c r="F3304" s="2">
        <v>14.624189469999999</v>
      </c>
      <c r="G3304" s="2">
        <v>7</v>
      </c>
      <c r="H3304" s="2">
        <f>Tabla_Items_Con_Existencia[[#This Row],[COSTO]]*Tabla_Items_Con_Existencia[[#This Row],[EXISTENCIA]]</f>
        <v>102.36932628999999</v>
      </c>
      <c r="I3304" s="1">
        <f>IF(ISERROR(MATCH(Tabla_Items_Con_Existencia[[#This Row],[CODIGO]],Tabla_Items_Activos[CODIGO],0)),0,1)</f>
        <v>0</v>
      </c>
    </row>
    <row r="3305" spans="1:9">
      <c r="A3305" s="2" t="s">
        <v>6760</v>
      </c>
      <c r="B3305" s="2" t="s">
        <v>4831</v>
      </c>
      <c r="C3305" s="2" t="s">
        <v>7381</v>
      </c>
      <c r="D3305" s="2" t="s">
        <v>6459</v>
      </c>
      <c r="E3305" s="2" t="s">
        <v>5159</v>
      </c>
      <c r="F3305" s="2">
        <v>86.486999999999995</v>
      </c>
      <c r="G3305" s="2">
        <v>5</v>
      </c>
      <c r="H3305" s="2">
        <f>Tabla_Items_Con_Existencia[[#This Row],[COSTO]]*Tabla_Items_Con_Existencia[[#This Row],[EXISTENCIA]]</f>
        <v>432.43499999999995</v>
      </c>
      <c r="I3305" s="1">
        <f>IF(ISERROR(MATCH(Tabla_Items_Con_Existencia[[#This Row],[CODIGO]],Tabla_Items_Activos[CODIGO],0)),0,1)</f>
        <v>0</v>
      </c>
    </row>
    <row r="3306" spans="1:9">
      <c r="A3306" s="2" t="s">
        <v>6761</v>
      </c>
      <c r="B3306" s="2" t="s">
        <v>4838</v>
      </c>
      <c r="C3306" s="2" t="s">
        <v>2376</v>
      </c>
      <c r="D3306" s="2" t="s">
        <v>5186</v>
      </c>
      <c r="E3306" s="2" t="s">
        <v>5159</v>
      </c>
      <c r="F3306" s="2">
        <v>2.3815789500000002</v>
      </c>
      <c r="G3306" s="2">
        <v>8</v>
      </c>
      <c r="H3306" s="2">
        <f>Tabla_Items_Con_Existencia[[#This Row],[COSTO]]*Tabla_Items_Con_Existencia[[#This Row],[EXISTENCIA]]</f>
        <v>19.052631600000002</v>
      </c>
      <c r="I3306" s="1">
        <f>IF(ISERROR(MATCH(Tabla_Items_Con_Existencia[[#This Row],[CODIGO]],Tabla_Items_Activos[CODIGO],0)),0,1)</f>
        <v>0</v>
      </c>
    </row>
    <row r="3307" spans="1:9">
      <c r="A3307" s="2" t="s">
        <v>6760</v>
      </c>
      <c r="B3307" s="2" t="s">
        <v>4838</v>
      </c>
      <c r="C3307" s="2" t="s">
        <v>2376</v>
      </c>
      <c r="D3307" s="2" t="s">
        <v>5186</v>
      </c>
      <c r="E3307" s="2" t="s">
        <v>5159</v>
      </c>
      <c r="F3307" s="2">
        <v>2.3815789500000002</v>
      </c>
      <c r="G3307" s="2">
        <v>8</v>
      </c>
      <c r="H3307" s="2">
        <f>Tabla_Items_Con_Existencia[[#This Row],[COSTO]]*Tabla_Items_Con_Existencia[[#This Row],[EXISTENCIA]]</f>
        <v>19.052631600000002</v>
      </c>
      <c r="I3307" s="1">
        <f>IF(ISERROR(MATCH(Tabla_Items_Con_Existencia[[#This Row],[CODIGO]],Tabla_Items_Activos[CODIGO],0)),0,1)</f>
        <v>0</v>
      </c>
    </row>
    <row r="3308" spans="1:9">
      <c r="A3308" s="2" t="s">
        <v>6760</v>
      </c>
      <c r="B3308" s="2" t="s">
        <v>4846</v>
      </c>
      <c r="C3308" s="2" t="s">
        <v>2137</v>
      </c>
      <c r="D3308" s="2" t="s">
        <v>5158</v>
      </c>
      <c r="E3308" s="2" t="s">
        <v>5159</v>
      </c>
      <c r="F3308" s="2">
        <v>4.8386842100000003</v>
      </c>
      <c r="G3308" s="2">
        <v>2</v>
      </c>
      <c r="H3308" s="2">
        <f>Tabla_Items_Con_Existencia[[#This Row],[COSTO]]*Tabla_Items_Con_Existencia[[#This Row],[EXISTENCIA]]</f>
        <v>9.6773684200000005</v>
      </c>
      <c r="I3308" s="1">
        <f>IF(ISERROR(MATCH(Tabla_Items_Con_Existencia[[#This Row],[CODIGO]],Tabla_Items_Activos[CODIGO],0)),0,1)</f>
        <v>0</v>
      </c>
    </row>
    <row r="3309" spans="1:9">
      <c r="A3309" s="2" t="s">
        <v>6761</v>
      </c>
      <c r="B3309" s="2" t="s">
        <v>4846</v>
      </c>
      <c r="C3309" s="2" t="s">
        <v>2137</v>
      </c>
      <c r="D3309" s="2" t="s">
        <v>5158</v>
      </c>
      <c r="E3309" s="2" t="s">
        <v>5159</v>
      </c>
      <c r="F3309" s="2">
        <v>4.8386842100000003</v>
      </c>
      <c r="G3309" s="2">
        <v>2</v>
      </c>
      <c r="H3309" s="2">
        <f>Tabla_Items_Con_Existencia[[#This Row],[COSTO]]*Tabla_Items_Con_Existencia[[#This Row],[EXISTENCIA]]</f>
        <v>9.6773684200000005</v>
      </c>
      <c r="I3309" s="1">
        <f>IF(ISERROR(MATCH(Tabla_Items_Con_Existencia[[#This Row],[CODIGO]],Tabla_Items_Activos[CODIGO],0)),0,1)</f>
        <v>0</v>
      </c>
    </row>
    <row r="3310" spans="1:9">
      <c r="A3310" s="2" t="s">
        <v>6760</v>
      </c>
      <c r="B3310" s="2" t="s">
        <v>1072</v>
      </c>
      <c r="C3310" s="2" t="s">
        <v>4850</v>
      </c>
      <c r="D3310" s="2" t="s">
        <v>5158</v>
      </c>
      <c r="E3310" s="2" t="s">
        <v>5159</v>
      </c>
      <c r="F3310" s="2">
        <v>1.77989474</v>
      </c>
      <c r="G3310" s="2">
        <v>16</v>
      </c>
      <c r="H3310" s="2">
        <f>Tabla_Items_Con_Existencia[[#This Row],[COSTO]]*Tabla_Items_Con_Existencia[[#This Row],[EXISTENCIA]]</f>
        <v>28.47831584</v>
      </c>
      <c r="I3310" s="1">
        <f>IF(ISERROR(MATCH(Tabla_Items_Con_Existencia[[#This Row],[CODIGO]],Tabla_Items_Activos[CODIGO],0)),0,1)</f>
        <v>0</v>
      </c>
    </row>
    <row r="3311" spans="1:9">
      <c r="A3311" s="2" t="s">
        <v>6761</v>
      </c>
      <c r="B3311" s="2" t="s">
        <v>1072</v>
      </c>
      <c r="C3311" s="2" t="s">
        <v>4850</v>
      </c>
      <c r="D3311" s="2" t="s">
        <v>5158</v>
      </c>
      <c r="E3311" s="2" t="s">
        <v>5159</v>
      </c>
      <c r="F3311" s="2">
        <v>1.77989474</v>
      </c>
      <c r="G3311" s="2">
        <v>16</v>
      </c>
      <c r="H3311" s="2">
        <f>Tabla_Items_Con_Existencia[[#This Row],[COSTO]]*Tabla_Items_Con_Existencia[[#This Row],[EXISTENCIA]]</f>
        <v>28.47831584</v>
      </c>
      <c r="I3311" s="1">
        <f>IF(ISERROR(MATCH(Tabla_Items_Con_Existencia[[#This Row],[CODIGO]],Tabla_Items_Activos[CODIGO],0)),0,1)</f>
        <v>0</v>
      </c>
    </row>
    <row r="3312" spans="1:9">
      <c r="A3312" s="2" t="s">
        <v>6760</v>
      </c>
      <c r="B3312" s="2" t="s">
        <v>4852</v>
      </c>
      <c r="C3312" s="2" t="s">
        <v>4853</v>
      </c>
      <c r="D3312" s="2" t="s">
        <v>5158</v>
      </c>
      <c r="E3312" s="2" t="s">
        <v>5159</v>
      </c>
      <c r="F3312" s="2">
        <v>34.456000000000003</v>
      </c>
      <c r="G3312" s="2">
        <v>6</v>
      </c>
      <c r="H3312" s="2">
        <f>Tabla_Items_Con_Existencia[[#This Row],[COSTO]]*Tabla_Items_Con_Existencia[[#This Row],[EXISTENCIA]]</f>
        <v>206.73600000000002</v>
      </c>
      <c r="I3312" s="1">
        <f>IF(ISERROR(MATCH(Tabla_Items_Con_Existencia[[#This Row],[CODIGO]],Tabla_Items_Activos[CODIGO],0)),0,1)</f>
        <v>0</v>
      </c>
    </row>
    <row r="3313" spans="1:9">
      <c r="A3313" s="2" t="s">
        <v>6760</v>
      </c>
      <c r="B3313" s="2" t="s">
        <v>4856</v>
      </c>
      <c r="C3313" s="2" t="s">
        <v>4857</v>
      </c>
      <c r="D3313" s="2" t="s">
        <v>5158</v>
      </c>
      <c r="E3313" s="2" t="s">
        <v>5159</v>
      </c>
      <c r="F3313" s="2">
        <v>15.132894739999999</v>
      </c>
      <c r="G3313" s="2">
        <v>4</v>
      </c>
      <c r="H3313" s="2">
        <f>Tabla_Items_Con_Existencia[[#This Row],[COSTO]]*Tabla_Items_Con_Existencia[[#This Row],[EXISTENCIA]]</f>
        <v>60.531578959999997</v>
      </c>
      <c r="I3313" s="1">
        <f>IF(ISERROR(MATCH(Tabla_Items_Con_Existencia[[#This Row],[CODIGO]],Tabla_Items_Activos[CODIGO],0)),0,1)</f>
        <v>0</v>
      </c>
    </row>
    <row r="3314" spans="1:9">
      <c r="A3314" s="2" t="s">
        <v>6761</v>
      </c>
      <c r="B3314" s="2" t="s">
        <v>4856</v>
      </c>
      <c r="C3314" s="2" t="s">
        <v>4857</v>
      </c>
      <c r="D3314" s="2" t="s">
        <v>5158</v>
      </c>
      <c r="E3314" s="2" t="s">
        <v>5159</v>
      </c>
      <c r="F3314" s="2">
        <v>15.132894739999999</v>
      </c>
      <c r="G3314" s="2">
        <v>4</v>
      </c>
      <c r="H3314" s="2">
        <f>Tabla_Items_Con_Existencia[[#This Row],[COSTO]]*Tabla_Items_Con_Existencia[[#This Row],[EXISTENCIA]]</f>
        <v>60.531578959999997</v>
      </c>
      <c r="I3314" s="1">
        <f>IF(ISERROR(MATCH(Tabla_Items_Con_Existencia[[#This Row],[CODIGO]],Tabla_Items_Activos[CODIGO],0)),0,1)</f>
        <v>0</v>
      </c>
    </row>
    <row r="3315" spans="1:9">
      <c r="A3315" s="2" t="s">
        <v>6760</v>
      </c>
      <c r="B3315" s="2" t="s">
        <v>4859</v>
      </c>
      <c r="C3315" s="2" t="s">
        <v>4860</v>
      </c>
      <c r="D3315" s="2" t="s">
        <v>5158</v>
      </c>
      <c r="E3315" s="2" t="s">
        <v>5159</v>
      </c>
      <c r="F3315" s="2">
        <v>24.428736839999999</v>
      </c>
      <c r="G3315" s="2">
        <v>16</v>
      </c>
      <c r="H3315" s="2">
        <f>Tabla_Items_Con_Existencia[[#This Row],[COSTO]]*Tabla_Items_Con_Existencia[[#This Row],[EXISTENCIA]]</f>
        <v>390.85978943999999</v>
      </c>
      <c r="I3315" s="1">
        <f>IF(ISERROR(MATCH(Tabla_Items_Con_Existencia[[#This Row],[CODIGO]],Tabla_Items_Activos[CODIGO],0)),0,1)</f>
        <v>0</v>
      </c>
    </row>
    <row r="3316" spans="1:9">
      <c r="A3316" s="2" t="s">
        <v>6761</v>
      </c>
      <c r="B3316" s="2" t="s">
        <v>4859</v>
      </c>
      <c r="C3316" s="2" t="s">
        <v>4860</v>
      </c>
      <c r="D3316" s="2" t="s">
        <v>5158</v>
      </c>
      <c r="E3316" s="2" t="s">
        <v>5159</v>
      </c>
      <c r="F3316" s="2">
        <v>24.428736839999999</v>
      </c>
      <c r="G3316" s="2">
        <v>16</v>
      </c>
      <c r="H3316" s="2">
        <f>Tabla_Items_Con_Existencia[[#This Row],[COSTO]]*Tabla_Items_Con_Existencia[[#This Row],[EXISTENCIA]]</f>
        <v>390.85978943999999</v>
      </c>
      <c r="I3316" s="1">
        <f>IF(ISERROR(MATCH(Tabla_Items_Con_Existencia[[#This Row],[CODIGO]],Tabla_Items_Activos[CODIGO],0)),0,1)</f>
        <v>0</v>
      </c>
    </row>
    <row r="3317" spans="1:9">
      <c r="A3317" s="2" t="s">
        <v>6760</v>
      </c>
      <c r="B3317" s="2" t="s">
        <v>4863</v>
      </c>
      <c r="C3317" s="2" t="s">
        <v>6351</v>
      </c>
      <c r="D3317" s="2" t="s">
        <v>5158</v>
      </c>
      <c r="E3317" s="2" t="s">
        <v>5159</v>
      </c>
      <c r="F3317" s="2">
        <v>1.9194736800000001</v>
      </c>
      <c r="G3317" s="2">
        <v>4</v>
      </c>
      <c r="H3317" s="2">
        <f>Tabla_Items_Con_Existencia[[#This Row],[COSTO]]*Tabla_Items_Con_Existencia[[#This Row],[EXISTENCIA]]</f>
        <v>7.6778947200000003</v>
      </c>
      <c r="I3317" s="1">
        <f>IF(ISERROR(MATCH(Tabla_Items_Con_Existencia[[#This Row],[CODIGO]],Tabla_Items_Activos[CODIGO],0)),0,1)</f>
        <v>0</v>
      </c>
    </row>
    <row r="3318" spans="1:9">
      <c r="A3318" s="2" t="s">
        <v>6761</v>
      </c>
      <c r="B3318" s="2" t="s">
        <v>4863</v>
      </c>
      <c r="C3318" s="2" t="s">
        <v>6351</v>
      </c>
      <c r="D3318" s="2" t="s">
        <v>5158</v>
      </c>
      <c r="E3318" s="2" t="s">
        <v>5159</v>
      </c>
      <c r="F3318" s="2">
        <v>1.9194736800000001</v>
      </c>
      <c r="G3318" s="2">
        <v>4</v>
      </c>
      <c r="H3318" s="2">
        <f>Tabla_Items_Con_Existencia[[#This Row],[COSTO]]*Tabla_Items_Con_Existencia[[#This Row],[EXISTENCIA]]</f>
        <v>7.6778947200000003</v>
      </c>
      <c r="I3318" s="1">
        <f>IF(ISERROR(MATCH(Tabla_Items_Con_Existencia[[#This Row],[CODIGO]],Tabla_Items_Activos[CODIGO],0)),0,1)</f>
        <v>0</v>
      </c>
    </row>
    <row r="3319" spans="1:9">
      <c r="A3319" s="2" t="s">
        <v>6760</v>
      </c>
      <c r="B3319" s="2" t="s">
        <v>4867</v>
      </c>
      <c r="C3319" s="2" t="s">
        <v>4868</v>
      </c>
      <c r="D3319" s="2" t="s">
        <v>5158</v>
      </c>
      <c r="E3319" s="2" t="s">
        <v>5159</v>
      </c>
      <c r="F3319" s="2">
        <v>19.776</v>
      </c>
      <c r="G3319" s="2">
        <v>2</v>
      </c>
      <c r="H3319" s="2">
        <f>Tabla_Items_Con_Existencia[[#This Row],[COSTO]]*Tabla_Items_Con_Existencia[[#This Row],[EXISTENCIA]]</f>
        <v>39.552</v>
      </c>
      <c r="I3319" s="1">
        <f>IF(ISERROR(MATCH(Tabla_Items_Con_Existencia[[#This Row],[CODIGO]],Tabla_Items_Activos[CODIGO],0)),0,1)</f>
        <v>0</v>
      </c>
    </row>
    <row r="3320" spans="1:9">
      <c r="A3320" s="2" t="s">
        <v>6760</v>
      </c>
      <c r="B3320" s="2" t="s">
        <v>4878</v>
      </c>
      <c r="C3320" s="2" t="s">
        <v>4879</v>
      </c>
      <c r="D3320" s="2" t="s">
        <v>5195</v>
      </c>
      <c r="E3320" s="2" t="s">
        <v>5159</v>
      </c>
      <c r="F3320" s="2">
        <v>14.141</v>
      </c>
      <c r="G3320" s="2">
        <v>2</v>
      </c>
      <c r="H3320" s="2">
        <f>Tabla_Items_Con_Existencia[[#This Row],[COSTO]]*Tabla_Items_Con_Existencia[[#This Row],[EXISTENCIA]]</f>
        <v>28.282</v>
      </c>
      <c r="I3320" s="1">
        <f>IF(ISERROR(MATCH(Tabla_Items_Con_Existencia[[#This Row],[CODIGO]],Tabla_Items_Activos[CODIGO],0)),0,1)</f>
        <v>0</v>
      </c>
    </row>
    <row r="3321" spans="1:9">
      <c r="A3321" s="2" t="s">
        <v>6760</v>
      </c>
      <c r="B3321" s="2" t="s">
        <v>6741</v>
      </c>
      <c r="C3321" s="2" t="s">
        <v>4881</v>
      </c>
      <c r="D3321" s="2" t="s">
        <v>5195</v>
      </c>
      <c r="E3321" s="2" t="s">
        <v>5159</v>
      </c>
      <c r="F3321" s="2">
        <v>13.356</v>
      </c>
      <c r="G3321" s="2">
        <v>1</v>
      </c>
      <c r="H3321" s="2">
        <f>Tabla_Items_Con_Existencia[[#This Row],[COSTO]]*Tabla_Items_Con_Existencia[[#This Row],[EXISTENCIA]]</f>
        <v>13.356</v>
      </c>
      <c r="I3321" s="1">
        <f>IF(ISERROR(MATCH(Tabla_Items_Con_Existencia[[#This Row],[CODIGO]],Tabla_Items_Activos[CODIGO],0)),0,1)</f>
        <v>0</v>
      </c>
    </row>
    <row r="3322" spans="1:9">
      <c r="A3322" s="2" t="s">
        <v>6759</v>
      </c>
      <c r="B3322" s="2" t="s">
        <v>1080</v>
      </c>
      <c r="C3322" s="2" t="s">
        <v>4882</v>
      </c>
      <c r="D3322" s="2" t="s">
        <v>5195</v>
      </c>
      <c r="E3322" s="2" t="s">
        <v>5159</v>
      </c>
      <c r="F3322" s="2">
        <v>9.6980518500000006</v>
      </c>
      <c r="G3322" s="2">
        <v>38</v>
      </c>
      <c r="H3322" s="2">
        <f>Tabla_Items_Con_Existencia[[#This Row],[COSTO]]*Tabla_Items_Con_Existencia[[#This Row],[EXISTENCIA]]</f>
        <v>368.52597030000004</v>
      </c>
      <c r="I3322" s="1">
        <f>IF(ISERROR(MATCH(Tabla_Items_Con_Existencia[[#This Row],[CODIGO]],Tabla_Items_Activos[CODIGO],0)),0,1)</f>
        <v>0</v>
      </c>
    </row>
    <row r="3323" spans="1:9">
      <c r="A3323" s="2" t="s">
        <v>6760</v>
      </c>
      <c r="B3323" s="2" t="s">
        <v>1080</v>
      </c>
      <c r="C3323" s="2" t="s">
        <v>4882</v>
      </c>
      <c r="D3323" s="2" t="s">
        <v>5195</v>
      </c>
      <c r="E3323" s="2" t="s">
        <v>5159</v>
      </c>
      <c r="F3323" s="2">
        <v>9.6980518500000006</v>
      </c>
      <c r="G3323" s="2">
        <v>38</v>
      </c>
      <c r="H3323" s="2">
        <f>Tabla_Items_Con_Existencia[[#This Row],[COSTO]]*Tabla_Items_Con_Existencia[[#This Row],[EXISTENCIA]]</f>
        <v>368.52597030000004</v>
      </c>
      <c r="I3323" s="1">
        <f>IF(ISERROR(MATCH(Tabla_Items_Con_Existencia[[#This Row],[CODIGO]],Tabla_Items_Activos[CODIGO],0)),0,1)</f>
        <v>0</v>
      </c>
    </row>
    <row r="3324" spans="1:9">
      <c r="A3324" s="2" t="s">
        <v>6761</v>
      </c>
      <c r="B3324" s="2" t="s">
        <v>1080</v>
      </c>
      <c r="C3324" s="2" t="s">
        <v>4882</v>
      </c>
      <c r="D3324" s="2" t="s">
        <v>5195</v>
      </c>
      <c r="E3324" s="2" t="s">
        <v>5159</v>
      </c>
      <c r="F3324" s="2">
        <v>9.6980518500000006</v>
      </c>
      <c r="G3324" s="2">
        <v>38</v>
      </c>
      <c r="H3324" s="2">
        <f>Tabla_Items_Con_Existencia[[#This Row],[COSTO]]*Tabla_Items_Con_Existencia[[#This Row],[EXISTENCIA]]</f>
        <v>368.52597030000004</v>
      </c>
      <c r="I3324" s="1">
        <f>IF(ISERROR(MATCH(Tabla_Items_Con_Existencia[[#This Row],[CODIGO]],Tabla_Items_Activos[CODIGO],0)),0,1)</f>
        <v>0</v>
      </c>
    </row>
    <row r="3325" spans="1:9">
      <c r="A3325" s="2" t="s">
        <v>6759</v>
      </c>
      <c r="B3325" s="2" t="s">
        <v>4883</v>
      </c>
      <c r="C3325" s="2" t="s">
        <v>7084</v>
      </c>
      <c r="D3325" s="2" t="s">
        <v>5190</v>
      </c>
      <c r="E3325" s="2" t="s">
        <v>5159</v>
      </c>
      <c r="F3325" s="2">
        <v>10.9682963</v>
      </c>
      <c r="G3325" s="2">
        <v>3</v>
      </c>
      <c r="H3325" s="2">
        <f>Tabla_Items_Con_Existencia[[#This Row],[COSTO]]*Tabla_Items_Con_Existencia[[#This Row],[EXISTENCIA]]</f>
        <v>32.904888900000003</v>
      </c>
      <c r="I3325" s="1">
        <f>IF(ISERROR(MATCH(Tabla_Items_Con_Existencia[[#This Row],[CODIGO]],Tabla_Items_Activos[CODIGO],0)),0,1)</f>
        <v>0</v>
      </c>
    </row>
    <row r="3326" spans="1:9">
      <c r="A3326" s="2" t="s">
        <v>6760</v>
      </c>
      <c r="B3326" s="2" t="s">
        <v>4883</v>
      </c>
      <c r="C3326" s="2" t="s">
        <v>7084</v>
      </c>
      <c r="D3326" s="2" t="s">
        <v>5190</v>
      </c>
      <c r="E3326" s="2" t="s">
        <v>5159</v>
      </c>
      <c r="F3326" s="2">
        <v>10.9682963</v>
      </c>
      <c r="G3326" s="2">
        <v>3</v>
      </c>
      <c r="H3326" s="2">
        <f>Tabla_Items_Con_Existencia[[#This Row],[COSTO]]*Tabla_Items_Con_Existencia[[#This Row],[EXISTENCIA]]</f>
        <v>32.904888900000003</v>
      </c>
      <c r="I3326" s="1">
        <f>IF(ISERROR(MATCH(Tabla_Items_Con_Existencia[[#This Row],[CODIGO]],Tabla_Items_Activos[CODIGO],0)),0,1)</f>
        <v>0</v>
      </c>
    </row>
    <row r="3327" spans="1:9">
      <c r="A3327" s="2" t="s">
        <v>6761</v>
      </c>
      <c r="B3327" s="2" t="s">
        <v>4883</v>
      </c>
      <c r="C3327" s="2" t="s">
        <v>7084</v>
      </c>
      <c r="D3327" s="2" t="s">
        <v>5190</v>
      </c>
      <c r="E3327" s="2" t="s">
        <v>5159</v>
      </c>
      <c r="F3327" s="2">
        <v>10.9682963</v>
      </c>
      <c r="G3327" s="2">
        <v>3</v>
      </c>
      <c r="H3327" s="2">
        <f>Tabla_Items_Con_Existencia[[#This Row],[COSTO]]*Tabla_Items_Con_Existencia[[#This Row],[EXISTENCIA]]</f>
        <v>32.904888900000003</v>
      </c>
      <c r="I3327" s="1">
        <f>IF(ISERROR(MATCH(Tabla_Items_Con_Existencia[[#This Row],[CODIGO]],Tabla_Items_Activos[CODIGO],0)),0,1)</f>
        <v>0</v>
      </c>
    </row>
    <row r="3328" spans="1:9">
      <c r="A3328" s="2" t="s">
        <v>6760</v>
      </c>
      <c r="B3328" s="2" t="s">
        <v>1084</v>
      </c>
      <c r="C3328" s="2" t="s">
        <v>4890</v>
      </c>
      <c r="D3328" s="2" t="s">
        <v>5161</v>
      </c>
      <c r="E3328" s="2" t="s">
        <v>5159</v>
      </c>
      <c r="F3328" s="2">
        <v>2.7589999999999999</v>
      </c>
      <c r="G3328" s="2">
        <v>2</v>
      </c>
      <c r="H3328" s="2">
        <f>Tabla_Items_Con_Existencia[[#This Row],[COSTO]]*Tabla_Items_Con_Existencia[[#This Row],[EXISTENCIA]]</f>
        <v>5.5179999999999998</v>
      </c>
      <c r="I3328" s="1">
        <f>IF(ISERROR(MATCH(Tabla_Items_Con_Existencia[[#This Row],[CODIGO]],Tabla_Items_Activos[CODIGO],0)),0,1)</f>
        <v>0</v>
      </c>
    </row>
    <row r="3329" spans="1:9">
      <c r="A3329" s="2" t="s">
        <v>6760</v>
      </c>
      <c r="B3329" s="2" t="s">
        <v>1087</v>
      </c>
      <c r="C3329" s="2" t="s">
        <v>7085</v>
      </c>
      <c r="D3329" s="2" t="s">
        <v>5161</v>
      </c>
      <c r="E3329" s="2" t="s">
        <v>5159</v>
      </c>
      <c r="F3329" s="2">
        <v>31.625</v>
      </c>
      <c r="G3329" s="2">
        <v>2</v>
      </c>
      <c r="H3329" s="2">
        <f>Tabla_Items_Con_Existencia[[#This Row],[COSTO]]*Tabla_Items_Con_Existencia[[#This Row],[EXISTENCIA]]</f>
        <v>63.25</v>
      </c>
      <c r="I3329" s="1">
        <f>IF(ISERROR(MATCH(Tabla_Items_Con_Existencia[[#This Row],[CODIGO]],Tabla_Items_Activos[CODIGO],0)),0,1)</f>
        <v>0</v>
      </c>
    </row>
    <row r="3330" spans="1:9">
      <c r="A3330" s="2" t="s">
        <v>6760</v>
      </c>
      <c r="B3330" s="2" t="s">
        <v>1089</v>
      </c>
      <c r="C3330" s="2" t="s">
        <v>4896</v>
      </c>
      <c r="D3330" s="2" t="s">
        <v>5161</v>
      </c>
      <c r="E3330" s="2" t="s">
        <v>5159</v>
      </c>
      <c r="F3330" s="2">
        <v>5.62</v>
      </c>
      <c r="G3330" s="2">
        <v>1</v>
      </c>
      <c r="H3330" s="2">
        <f>Tabla_Items_Con_Existencia[[#This Row],[COSTO]]*Tabla_Items_Con_Existencia[[#This Row],[EXISTENCIA]]</f>
        <v>5.62</v>
      </c>
      <c r="I3330" s="1">
        <f>IF(ISERROR(MATCH(Tabla_Items_Con_Existencia[[#This Row],[CODIGO]],Tabla_Items_Activos[CODIGO],0)),0,1)</f>
        <v>0</v>
      </c>
    </row>
    <row r="3331" spans="1:9">
      <c r="A3331" s="2" t="s">
        <v>6760</v>
      </c>
      <c r="B3331" s="2" t="s">
        <v>4897</v>
      </c>
      <c r="C3331" s="2" t="s">
        <v>4898</v>
      </c>
      <c r="D3331" s="2" t="s">
        <v>5227</v>
      </c>
      <c r="E3331" s="2" t="s">
        <v>5192</v>
      </c>
      <c r="F3331" s="2">
        <v>469.87</v>
      </c>
      <c r="G3331" s="2">
        <v>2</v>
      </c>
      <c r="H3331" s="2">
        <f>Tabla_Items_Con_Existencia[[#This Row],[COSTO]]*Tabla_Items_Con_Existencia[[#This Row],[EXISTENCIA]]</f>
        <v>939.74</v>
      </c>
      <c r="I3331" s="1">
        <f>IF(ISERROR(MATCH(Tabla_Items_Con_Existencia[[#This Row],[CODIGO]],Tabla_Items_Activos[CODIGO],0)),0,1)</f>
        <v>0</v>
      </c>
    </row>
    <row r="3332" spans="1:9">
      <c r="A3332" s="2" t="s">
        <v>6760</v>
      </c>
      <c r="B3332" s="2" t="s">
        <v>1091</v>
      </c>
      <c r="C3332" s="2" t="s">
        <v>7382</v>
      </c>
      <c r="D3332" s="2" t="s">
        <v>5190</v>
      </c>
      <c r="E3332" s="2" t="s">
        <v>5159</v>
      </c>
      <c r="F3332" s="2">
        <v>5.3128421100000001</v>
      </c>
      <c r="G3332" s="2">
        <v>1</v>
      </c>
      <c r="H3332" s="2">
        <f>Tabla_Items_Con_Existencia[[#This Row],[COSTO]]*Tabla_Items_Con_Existencia[[#This Row],[EXISTENCIA]]</f>
        <v>5.3128421100000001</v>
      </c>
      <c r="I3332" s="1">
        <f>IF(ISERROR(MATCH(Tabla_Items_Con_Existencia[[#This Row],[CODIGO]],Tabla_Items_Activos[CODIGO],0)),0,1)</f>
        <v>0</v>
      </c>
    </row>
    <row r="3333" spans="1:9">
      <c r="A3333" s="2" t="s">
        <v>6761</v>
      </c>
      <c r="B3333" s="2" t="s">
        <v>1091</v>
      </c>
      <c r="C3333" s="2" t="s">
        <v>7382</v>
      </c>
      <c r="D3333" s="2" t="s">
        <v>5190</v>
      </c>
      <c r="E3333" s="2" t="s">
        <v>5159</v>
      </c>
      <c r="F3333" s="2">
        <v>5.3128421100000001</v>
      </c>
      <c r="G3333" s="2">
        <v>1</v>
      </c>
      <c r="H3333" s="2">
        <f>Tabla_Items_Con_Existencia[[#This Row],[COSTO]]*Tabla_Items_Con_Existencia[[#This Row],[EXISTENCIA]]</f>
        <v>5.3128421100000001</v>
      </c>
      <c r="I3333" s="1">
        <f>IF(ISERROR(MATCH(Tabla_Items_Con_Existencia[[#This Row],[CODIGO]],Tabla_Items_Activos[CODIGO],0)),0,1)</f>
        <v>0</v>
      </c>
    </row>
    <row r="3334" spans="1:9">
      <c r="A3334" s="2" t="s">
        <v>6760</v>
      </c>
      <c r="B3334" s="2" t="s">
        <v>1093</v>
      </c>
      <c r="C3334" s="2" t="s">
        <v>4901</v>
      </c>
      <c r="D3334" s="2" t="s">
        <v>5190</v>
      </c>
      <c r="E3334" s="2" t="s">
        <v>5159</v>
      </c>
      <c r="F3334" s="2">
        <v>16.886963160000001</v>
      </c>
      <c r="G3334" s="2">
        <v>39</v>
      </c>
      <c r="H3334" s="2">
        <f>Tabla_Items_Con_Existencia[[#This Row],[COSTO]]*Tabla_Items_Con_Existencia[[#This Row],[EXISTENCIA]]</f>
        <v>658.59156324000003</v>
      </c>
      <c r="I3334" s="1">
        <f>IF(ISERROR(MATCH(Tabla_Items_Con_Existencia[[#This Row],[CODIGO]],Tabla_Items_Activos[CODIGO],0)),0,1)</f>
        <v>0</v>
      </c>
    </row>
    <row r="3335" spans="1:9">
      <c r="A3335" s="2" t="s">
        <v>6761</v>
      </c>
      <c r="B3335" s="2" t="s">
        <v>1093</v>
      </c>
      <c r="C3335" s="2" t="s">
        <v>4901</v>
      </c>
      <c r="D3335" s="2" t="s">
        <v>5190</v>
      </c>
      <c r="E3335" s="2" t="s">
        <v>5159</v>
      </c>
      <c r="F3335" s="2">
        <v>16.886963160000001</v>
      </c>
      <c r="G3335" s="2">
        <v>39</v>
      </c>
      <c r="H3335" s="2">
        <f>Tabla_Items_Con_Existencia[[#This Row],[COSTO]]*Tabla_Items_Con_Existencia[[#This Row],[EXISTENCIA]]</f>
        <v>658.59156324000003</v>
      </c>
      <c r="I3335" s="1">
        <f>IF(ISERROR(MATCH(Tabla_Items_Con_Existencia[[#This Row],[CODIGO]],Tabla_Items_Activos[CODIGO],0)),0,1)</f>
        <v>0</v>
      </c>
    </row>
    <row r="3336" spans="1:9">
      <c r="A3336" s="2" t="s">
        <v>6760</v>
      </c>
      <c r="B3336" s="2" t="s">
        <v>4908</v>
      </c>
      <c r="C3336" s="2" t="s">
        <v>7383</v>
      </c>
      <c r="D3336" s="2" t="s">
        <v>5190</v>
      </c>
      <c r="E3336" s="2" t="s">
        <v>5159</v>
      </c>
      <c r="F3336" s="2">
        <v>9.8905263199999993</v>
      </c>
      <c r="G3336" s="2">
        <v>5</v>
      </c>
      <c r="H3336" s="2">
        <f>Tabla_Items_Con_Existencia[[#This Row],[COSTO]]*Tabla_Items_Con_Existencia[[#This Row],[EXISTENCIA]]</f>
        <v>49.452631599999997</v>
      </c>
      <c r="I3336" s="1">
        <f>IF(ISERROR(MATCH(Tabla_Items_Con_Existencia[[#This Row],[CODIGO]],Tabla_Items_Activos[CODIGO],0)),0,1)</f>
        <v>0</v>
      </c>
    </row>
    <row r="3337" spans="1:9">
      <c r="A3337" s="2" t="s">
        <v>6761</v>
      </c>
      <c r="B3337" s="2" t="s">
        <v>4908</v>
      </c>
      <c r="C3337" s="2" t="s">
        <v>7383</v>
      </c>
      <c r="D3337" s="2" t="s">
        <v>5190</v>
      </c>
      <c r="E3337" s="2" t="s">
        <v>5159</v>
      </c>
      <c r="F3337" s="2">
        <v>9.8905263199999993</v>
      </c>
      <c r="G3337" s="2">
        <v>5</v>
      </c>
      <c r="H3337" s="2">
        <f>Tabla_Items_Con_Existencia[[#This Row],[COSTO]]*Tabla_Items_Con_Existencia[[#This Row],[EXISTENCIA]]</f>
        <v>49.452631599999997</v>
      </c>
      <c r="I3337" s="1">
        <f>IF(ISERROR(MATCH(Tabla_Items_Con_Existencia[[#This Row],[CODIGO]],Tabla_Items_Activos[CODIGO],0)),0,1)</f>
        <v>0</v>
      </c>
    </row>
    <row r="3338" spans="1:9">
      <c r="A3338" s="2" t="s">
        <v>6760</v>
      </c>
      <c r="B3338" s="2" t="s">
        <v>1098</v>
      </c>
      <c r="C3338" s="2" t="s">
        <v>4910</v>
      </c>
      <c r="D3338" s="2" t="s">
        <v>5190</v>
      </c>
      <c r="E3338" s="2" t="s">
        <v>5159</v>
      </c>
      <c r="F3338" s="2">
        <v>16.6253037</v>
      </c>
      <c r="G3338" s="2">
        <v>260</v>
      </c>
      <c r="H3338" s="2">
        <f>Tabla_Items_Con_Existencia[[#This Row],[COSTO]]*Tabla_Items_Con_Existencia[[#This Row],[EXISTENCIA]]</f>
        <v>4322.5789619999996</v>
      </c>
      <c r="I3338" s="1">
        <f>IF(ISERROR(MATCH(Tabla_Items_Con_Existencia[[#This Row],[CODIGO]],Tabla_Items_Activos[CODIGO],0)),0,1)</f>
        <v>0</v>
      </c>
    </row>
    <row r="3339" spans="1:9">
      <c r="A3339" s="2" t="s">
        <v>6761</v>
      </c>
      <c r="B3339" s="2" t="s">
        <v>1098</v>
      </c>
      <c r="C3339" s="2" t="s">
        <v>4910</v>
      </c>
      <c r="D3339" s="2" t="s">
        <v>5190</v>
      </c>
      <c r="E3339" s="2" t="s">
        <v>5159</v>
      </c>
      <c r="F3339" s="2">
        <v>16.6253037</v>
      </c>
      <c r="G3339" s="2">
        <v>260</v>
      </c>
      <c r="H3339" s="2">
        <f>Tabla_Items_Con_Existencia[[#This Row],[COSTO]]*Tabla_Items_Con_Existencia[[#This Row],[EXISTENCIA]]</f>
        <v>4322.5789619999996</v>
      </c>
      <c r="I3339" s="1">
        <f>IF(ISERROR(MATCH(Tabla_Items_Con_Existencia[[#This Row],[CODIGO]],Tabla_Items_Activos[CODIGO],0)),0,1)</f>
        <v>0</v>
      </c>
    </row>
    <row r="3340" spans="1:9">
      <c r="A3340" s="2" t="s">
        <v>6759</v>
      </c>
      <c r="B3340" s="2" t="s">
        <v>1098</v>
      </c>
      <c r="C3340" s="2" t="s">
        <v>4910</v>
      </c>
      <c r="D3340" s="2" t="s">
        <v>5190</v>
      </c>
      <c r="E3340" s="2" t="s">
        <v>5159</v>
      </c>
      <c r="F3340" s="2">
        <v>16.6253037</v>
      </c>
      <c r="G3340" s="2">
        <v>260</v>
      </c>
      <c r="H3340" s="2">
        <f>Tabla_Items_Con_Existencia[[#This Row],[COSTO]]*Tabla_Items_Con_Existencia[[#This Row],[EXISTENCIA]]</f>
        <v>4322.5789619999996</v>
      </c>
      <c r="I3340" s="1">
        <f>IF(ISERROR(MATCH(Tabla_Items_Con_Existencia[[#This Row],[CODIGO]],Tabla_Items_Activos[CODIGO],0)),0,1)</f>
        <v>0</v>
      </c>
    </row>
    <row r="3341" spans="1:9">
      <c r="A3341" s="2" t="s">
        <v>6761</v>
      </c>
      <c r="B3341" s="2" t="s">
        <v>4911</v>
      </c>
      <c r="C3341" s="2" t="s">
        <v>7384</v>
      </c>
      <c r="D3341" s="2" t="s">
        <v>5190</v>
      </c>
      <c r="E3341" s="2" t="s">
        <v>5159</v>
      </c>
      <c r="F3341" s="2">
        <v>30.95621053</v>
      </c>
      <c r="G3341" s="2">
        <v>5</v>
      </c>
      <c r="H3341" s="2">
        <f>Tabla_Items_Con_Existencia[[#This Row],[COSTO]]*Tabla_Items_Con_Existencia[[#This Row],[EXISTENCIA]]</f>
        <v>154.78105264999999</v>
      </c>
      <c r="I3341" s="1">
        <f>IF(ISERROR(MATCH(Tabla_Items_Con_Existencia[[#This Row],[CODIGO]],Tabla_Items_Activos[CODIGO],0)),0,1)</f>
        <v>0</v>
      </c>
    </row>
    <row r="3342" spans="1:9">
      <c r="A3342" s="2" t="s">
        <v>6760</v>
      </c>
      <c r="B3342" s="2" t="s">
        <v>4911</v>
      </c>
      <c r="C3342" s="2" t="s">
        <v>7384</v>
      </c>
      <c r="D3342" s="2" t="s">
        <v>5190</v>
      </c>
      <c r="E3342" s="2" t="s">
        <v>5159</v>
      </c>
      <c r="F3342" s="2">
        <v>30.95621053</v>
      </c>
      <c r="G3342" s="2">
        <v>5</v>
      </c>
      <c r="H3342" s="2">
        <f>Tabla_Items_Con_Existencia[[#This Row],[COSTO]]*Tabla_Items_Con_Existencia[[#This Row],[EXISTENCIA]]</f>
        <v>154.78105264999999</v>
      </c>
      <c r="I3342" s="1">
        <f>IF(ISERROR(MATCH(Tabla_Items_Con_Existencia[[#This Row],[CODIGO]],Tabla_Items_Activos[CODIGO],0)),0,1)</f>
        <v>0</v>
      </c>
    </row>
    <row r="3343" spans="1:9">
      <c r="A3343" s="2" t="s">
        <v>6761</v>
      </c>
      <c r="B3343" s="2" t="s">
        <v>1099</v>
      </c>
      <c r="C3343" s="2" t="s">
        <v>4913</v>
      </c>
      <c r="D3343" s="2" t="s">
        <v>5190</v>
      </c>
      <c r="E3343" s="2" t="s">
        <v>5159</v>
      </c>
      <c r="F3343" s="2">
        <v>43.202252629999997</v>
      </c>
      <c r="G3343" s="2">
        <v>18</v>
      </c>
      <c r="H3343" s="2">
        <f>Tabla_Items_Con_Existencia[[#This Row],[COSTO]]*Tabla_Items_Con_Existencia[[#This Row],[EXISTENCIA]]</f>
        <v>777.6405473399999</v>
      </c>
      <c r="I3343" s="1">
        <f>IF(ISERROR(MATCH(Tabla_Items_Con_Existencia[[#This Row],[CODIGO]],Tabla_Items_Activos[CODIGO],0)),0,1)</f>
        <v>0</v>
      </c>
    </row>
    <row r="3344" spans="1:9">
      <c r="A3344" s="2" t="s">
        <v>6760</v>
      </c>
      <c r="B3344" s="2" t="s">
        <v>1099</v>
      </c>
      <c r="C3344" s="2" t="s">
        <v>4913</v>
      </c>
      <c r="D3344" s="2" t="s">
        <v>5190</v>
      </c>
      <c r="E3344" s="2" t="s">
        <v>5159</v>
      </c>
      <c r="F3344" s="2">
        <v>43.202252629999997</v>
      </c>
      <c r="G3344" s="2">
        <v>18</v>
      </c>
      <c r="H3344" s="2">
        <f>Tabla_Items_Con_Existencia[[#This Row],[COSTO]]*Tabla_Items_Con_Existencia[[#This Row],[EXISTENCIA]]</f>
        <v>777.6405473399999</v>
      </c>
      <c r="I3344" s="1">
        <f>IF(ISERROR(MATCH(Tabla_Items_Con_Existencia[[#This Row],[CODIGO]],Tabla_Items_Activos[CODIGO],0)),0,1)</f>
        <v>0</v>
      </c>
    </row>
    <row r="3345" spans="1:9">
      <c r="A3345" s="2" t="s">
        <v>6760</v>
      </c>
      <c r="B3345" s="2" t="s">
        <v>4916</v>
      </c>
      <c r="C3345" s="2" t="s">
        <v>4917</v>
      </c>
      <c r="D3345" s="2" t="s">
        <v>5161</v>
      </c>
      <c r="E3345" s="2" t="s">
        <v>5159</v>
      </c>
      <c r="F3345" s="2">
        <v>0</v>
      </c>
      <c r="G3345" s="2">
        <v>1</v>
      </c>
      <c r="H3345" s="2">
        <f>Tabla_Items_Con_Existencia[[#This Row],[COSTO]]*Tabla_Items_Con_Existencia[[#This Row],[EXISTENCIA]]</f>
        <v>0</v>
      </c>
      <c r="I3345" s="1">
        <f>IF(ISERROR(MATCH(Tabla_Items_Con_Existencia[[#This Row],[CODIGO]],Tabla_Items_Activos[CODIGO],0)),0,1)</f>
        <v>0</v>
      </c>
    </row>
    <row r="3346" spans="1:9">
      <c r="A3346" s="2" t="s">
        <v>6760</v>
      </c>
      <c r="B3346" s="2" t="s">
        <v>1103</v>
      </c>
      <c r="C3346" s="2" t="s">
        <v>6742</v>
      </c>
      <c r="D3346" s="2" t="s">
        <v>5185</v>
      </c>
      <c r="E3346" s="2" t="s">
        <v>5159</v>
      </c>
      <c r="F3346" s="2">
        <v>46.312503700000001</v>
      </c>
      <c r="G3346" s="2">
        <v>6</v>
      </c>
      <c r="H3346" s="2">
        <f>Tabla_Items_Con_Existencia[[#This Row],[COSTO]]*Tabla_Items_Con_Existencia[[#This Row],[EXISTENCIA]]</f>
        <v>277.87502219999999</v>
      </c>
      <c r="I3346" s="1">
        <f>IF(ISERROR(MATCH(Tabla_Items_Con_Existencia[[#This Row],[CODIGO]],Tabla_Items_Activos[CODIGO],0)),0,1)</f>
        <v>0</v>
      </c>
    </row>
    <row r="3347" spans="1:9">
      <c r="A3347" s="2" t="s">
        <v>6761</v>
      </c>
      <c r="B3347" s="2" t="s">
        <v>1103</v>
      </c>
      <c r="C3347" s="2" t="s">
        <v>6742</v>
      </c>
      <c r="D3347" s="2" t="s">
        <v>5185</v>
      </c>
      <c r="E3347" s="2" t="s">
        <v>5159</v>
      </c>
      <c r="F3347" s="2">
        <v>46.312503700000001</v>
      </c>
      <c r="G3347" s="2">
        <v>6</v>
      </c>
      <c r="H3347" s="2">
        <f>Tabla_Items_Con_Existencia[[#This Row],[COSTO]]*Tabla_Items_Con_Existencia[[#This Row],[EXISTENCIA]]</f>
        <v>277.87502219999999</v>
      </c>
      <c r="I3347" s="1">
        <f>IF(ISERROR(MATCH(Tabla_Items_Con_Existencia[[#This Row],[CODIGO]],Tabla_Items_Activos[CODIGO],0)),0,1)</f>
        <v>0</v>
      </c>
    </row>
    <row r="3348" spans="1:9">
      <c r="A3348" s="2" t="s">
        <v>6759</v>
      </c>
      <c r="B3348" s="2" t="s">
        <v>1103</v>
      </c>
      <c r="C3348" s="2" t="s">
        <v>6742</v>
      </c>
      <c r="D3348" s="2" t="s">
        <v>5185</v>
      </c>
      <c r="E3348" s="2" t="s">
        <v>5159</v>
      </c>
      <c r="F3348" s="2">
        <v>46.312503700000001</v>
      </c>
      <c r="G3348" s="2">
        <v>6</v>
      </c>
      <c r="H3348" s="2">
        <f>Tabla_Items_Con_Existencia[[#This Row],[COSTO]]*Tabla_Items_Con_Existencia[[#This Row],[EXISTENCIA]]</f>
        <v>277.87502219999999</v>
      </c>
      <c r="I3348" s="1">
        <f>IF(ISERROR(MATCH(Tabla_Items_Con_Existencia[[#This Row],[CODIGO]],Tabla_Items_Activos[CODIGO],0)),0,1)</f>
        <v>0</v>
      </c>
    </row>
    <row r="3349" spans="1:9">
      <c r="A3349" s="2" t="s">
        <v>6760</v>
      </c>
      <c r="B3349" s="2" t="s">
        <v>1104</v>
      </c>
      <c r="C3349" s="2" t="s">
        <v>4930</v>
      </c>
      <c r="D3349" s="2" t="s">
        <v>5161</v>
      </c>
      <c r="E3349" s="2" t="s">
        <v>5159</v>
      </c>
      <c r="F3349" s="2">
        <v>5.4240000000000004</v>
      </c>
      <c r="G3349" s="2">
        <v>3</v>
      </c>
      <c r="H3349" s="2">
        <f>Tabla_Items_Con_Existencia[[#This Row],[COSTO]]*Tabla_Items_Con_Existencia[[#This Row],[EXISTENCIA]]</f>
        <v>16.272000000000002</v>
      </c>
      <c r="I3349" s="1">
        <f>IF(ISERROR(MATCH(Tabla_Items_Con_Existencia[[#This Row],[CODIGO]],Tabla_Items_Activos[CODIGO],0)),0,1)</f>
        <v>0</v>
      </c>
    </row>
    <row r="3350" spans="1:9">
      <c r="A3350" s="2" t="s">
        <v>6760</v>
      </c>
      <c r="B3350" s="2" t="s">
        <v>4931</v>
      </c>
      <c r="C3350" s="2" t="s">
        <v>4932</v>
      </c>
      <c r="D3350" s="2" t="s">
        <v>5205</v>
      </c>
      <c r="E3350" s="2" t="s">
        <v>5159</v>
      </c>
      <c r="F3350" s="2">
        <v>306.08269999999999</v>
      </c>
      <c r="G3350" s="2">
        <v>1</v>
      </c>
      <c r="H3350" s="2">
        <f>Tabla_Items_Con_Existencia[[#This Row],[COSTO]]*Tabla_Items_Con_Existencia[[#This Row],[EXISTENCIA]]</f>
        <v>306.08269999999999</v>
      </c>
      <c r="I3350" s="1">
        <f>IF(ISERROR(MATCH(Tabla_Items_Con_Existencia[[#This Row],[CODIGO]],Tabla_Items_Activos[CODIGO],0)),0,1)</f>
        <v>0</v>
      </c>
    </row>
    <row r="3351" spans="1:9">
      <c r="A3351" s="2" t="s">
        <v>6760</v>
      </c>
      <c r="B3351" s="2" t="s">
        <v>4936</v>
      </c>
      <c r="C3351" s="2" t="s">
        <v>6743</v>
      </c>
      <c r="D3351" s="2" t="s">
        <v>5195</v>
      </c>
      <c r="E3351" s="2" t="s">
        <v>5159</v>
      </c>
      <c r="F3351" s="2">
        <v>5.2919999999999998</v>
      </c>
      <c r="G3351" s="2">
        <v>5</v>
      </c>
      <c r="H3351" s="2">
        <f>Tabla_Items_Con_Existencia[[#This Row],[COSTO]]*Tabla_Items_Con_Existencia[[#This Row],[EXISTENCIA]]</f>
        <v>26.46</v>
      </c>
      <c r="I3351" s="1">
        <f>IF(ISERROR(MATCH(Tabla_Items_Con_Existencia[[#This Row],[CODIGO]],Tabla_Items_Activos[CODIGO],0)),0,1)</f>
        <v>0</v>
      </c>
    </row>
    <row r="3352" spans="1:9">
      <c r="A3352" s="2" t="s">
        <v>6760</v>
      </c>
      <c r="B3352" s="2" t="s">
        <v>4939</v>
      </c>
      <c r="C3352" s="2" t="s">
        <v>7385</v>
      </c>
      <c r="D3352" s="2" t="s">
        <v>5195</v>
      </c>
      <c r="E3352" s="2" t="s">
        <v>5159</v>
      </c>
      <c r="F3352" s="2">
        <v>33.103999999999999</v>
      </c>
      <c r="G3352" s="2">
        <v>2</v>
      </c>
      <c r="H3352" s="2">
        <f>Tabla_Items_Con_Existencia[[#This Row],[COSTO]]*Tabla_Items_Con_Existencia[[#This Row],[EXISTENCIA]]</f>
        <v>66.207999999999998</v>
      </c>
      <c r="I3352" s="1">
        <f>IF(ISERROR(MATCH(Tabla_Items_Con_Existencia[[#This Row],[CODIGO]],Tabla_Items_Activos[CODIGO],0)),0,1)</f>
        <v>0</v>
      </c>
    </row>
    <row r="3353" spans="1:9">
      <c r="A3353" s="2" t="s">
        <v>6760</v>
      </c>
      <c r="B3353" s="2" t="s">
        <v>1110</v>
      </c>
      <c r="C3353" s="2" t="s">
        <v>4949</v>
      </c>
      <c r="D3353" s="2" t="s">
        <v>5158</v>
      </c>
      <c r="E3353" s="2" t="s">
        <v>5159</v>
      </c>
      <c r="F3353" s="2">
        <v>3.3650000000000002</v>
      </c>
      <c r="G3353" s="2">
        <v>6</v>
      </c>
      <c r="H3353" s="2">
        <f>Tabla_Items_Con_Existencia[[#This Row],[COSTO]]*Tabla_Items_Con_Existencia[[#This Row],[EXISTENCIA]]</f>
        <v>20.190000000000001</v>
      </c>
      <c r="I3353" s="1">
        <f>IF(ISERROR(MATCH(Tabla_Items_Con_Existencia[[#This Row],[CODIGO]],Tabla_Items_Activos[CODIGO],0)),0,1)</f>
        <v>0</v>
      </c>
    </row>
    <row r="3354" spans="1:9">
      <c r="A3354" s="2" t="s">
        <v>6761</v>
      </c>
      <c r="B3354" s="2" t="s">
        <v>1121</v>
      </c>
      <c r="C3354" s="2" t="s">
        <v>4960</v>
      </c>
      <c r="D3354" s="2" t="s">
        <v>6426</v>
      </c>
      <c r="E3354" s="2" t="s">
        <v>5159</v>
      </c>
      <c r="F3354" s="2">
        <v>2.91655789</v>
      </c>
      <c r="G3354" s="2">
        <v>13</v>
      </c>
      <c r="H3354" s="2">
        <f>Tabla_Items_Con_Existencia[[#This Row],[COSTO]]*Tabla_Items_Con_Existencia[[#This Row],[EXISTENCIA]]</f>
        <v>37.91525257</v>
      </c>
      <c r="I3354" s="1">
        <f>IF(ISERROR(MATCH(Tabla_Items_Con_Existencia[[#This Row],[CODIGO]],Tabla_Items_Activos[CODIGO],0)),0,1)</f>
        <v>0</v>
      </c>
    </row>
    <row r="3355" spans="1:9">
      <c r="A3355" s="2" t="s">
        <v>6760</v>
      </c>
      <c r="B3355" s="2" t="s">
        <v>1121</v>
      </c>
      <c r="C3355" s="2" t="s">
        <v>4960</v>
      </c>
      <c r="D3355" s="2" t="s">
        <v>6426</v>
      </c>
      <c r="E3355" s="2" t="s">
        <v>5159</v>
      </c>
      <c r="F3355" s="2">
        <v>2.91655789</v>
      </c>
      <c r="G3355" s="2">
        <v>13</v>
      </c>
      <c r="H3355" s="2">
        <f>Tabla_Items_Con_Existencia[[#This Row],[COSTO]]*Tabla_Items_Con_Existencia[[#This Row],[EXISTENCIA]]</f>
        <v>37.91525257</v>
      </c>
      <c r="I3355" s="1">
        <f>IF(ISERROR(MATCH(Tabla_Items_Con_Existencia[[#This Row],[CODIGO]],Tabla_Items_Activos[CODIGO],0)),0,1)</f>
        <v>0</v>
      </c>
    </row>
    <row r="3356" spans="1:9">
      <c r="A3356" s="2" t="s">
        <v>6760</v>
      </c>
      <c r="B3356" s="2" t="s">
        <v>1122</v>
      </c>
      <c r="C3356" s="2" t="s">
        <v>7086</v>
      </c>
      <c r="D3356" s="2" t="s">
        <v>6426</v>
      </c>
      <c r="E3356" s="2" t="s">
        <v>5159</v>
      </c>
      <c r="F3356" s="2">
        <v>4.18991852</v>
      </c>
      <c r="G3356" s="2">
        <v>232</v>
      </c>
      <c r="H3356" s="2">
        <f>Tabla_Items_Con_Existencia[[#This Row],[COSTO]]*Tabla_Items_Con_Existencia[[#This Row],[EXISTENCIA]]</f>
        <v>972.06109663999996</v>
      </c>
      <c r="I3356" s="1">
        <f>IF(ISERROR(MATCH(Tabla_Items_Con_Existencia[[#This Row],[CODIGO]],Tabla_Items_Activos[CODIGO],0)),0,1)</f>
        <v>0</v>
      </c>
    </row>
    <row r="3357" spans="1:9">
      <c r="A3357" s="2" t="s">
        <v>6761</v>
      </c>
      <c r="B3357" s="2" t="s">
        <v>1122</v>
      </c>
      <c r="C3357" s="2" t="s">
        <v>7086</v>
      </c>
      <c r="D3357" s="2" t="s">
        <v>6426</v>
      </c>
      <c r="E3357" s="2" t="s">
        <v>5159</v>
      </c>
      <c r="F3357" s="2">
        <v>4.18991852</v>
      </c>
      <c r="G3357" s="2">
        <v>232</v>
      </c>
      <c r="H3357" s="2">
        <f>Tabla_Items_Con_Existencia[[#This Row],[COSTO]]*Tabla_Items_Con_Existencia[[#This Row],[EXISTENCIA]]</f>
        <v>972.06109663999996</v>
      </c>
      <c r="I3357" s="1">
        <f>IF(ISERROR(MATCH(Tabla_Items_Con_Existencia[[#This Row],[CODIGO]],Tabla_Items_Activos[CODIGO],0)),0,1)</f>
        <v>0</v>
      </c>
    </row>
    <row r="3358" spans="1:9">
      <c r="A3358" s="2" t="s">
        <v>6759</v>
      </c>
      <c r="B3358" s="2" t="s">
        <v>1122</v>
      </c>
      <c r="C3358" s="2" t="s">
        <v>7086</v>
      </c>
      <c r="D3358" s="2" t="s">
        <v>6426</v>
      </c>
      <c r="E3358" s="2" t="s">
        <v>5159</v>
      </c>
      <c r="F3358" s="2">
        <v>4.18991852</v>
      </c>
      <c r="G3358" s="2">
        <v>232</v>
      </c>
      <c r="H3358" s="2">
        <f>Tabla_Items_Con_Existencia[[#This Row],[COSTO]]*Tabla_Items_Con_Existencia[[#This Row],[EXISTENCIA]]</f>
        <v>972.06109663999996</v>
      </c>
      <c r="I3358" s="1">
        <f>IF(ISERROR(MATCH(Tabla_Items_Con_Existencia[[#This Row],[CODIGO]],Tabla_Items_Activos[CODIGO],0)),0,1)</f>
        <v>0</v>
      </c>
    </row>
    <row r="3359" spans="1:9">
      <c r="A3359" s="2" t="s">
        <v>6760</v>
      </c>
      <c r="B3359" s="2" t="s">
        <v>1123</v>
      </c>
      <c r="C3359" s="2" t="s">
        <v>4962</v>
      </c>
      <c r="D3359" s="2" t="s">
        <v>5158</v>
      </c>
      <c r="E3359" s="2" t="s">
        <v>5159</v>
      </c>
      <c r="F3359" s="2">
        <v>2.526316E-2</v>
      </c>
      <c r="G3359" s="2">
        <v>800</v>
      </c>
      <c r="H3359" s="2">
        <f>Tabla_Items_Con_Existencia[[#This Row],[COSTO]]*Tabla_Items_Con_Existencia[[#This Row],[EXISTENCIA]]</f>
        <v>20.210528</v>
      </c>
      <c r="I3359" s="1">
        <f>IF(ISERROR(MATCH(Tabla_Items_Con_Existencia[[#This Row],[CODIGO]],Tabla_Items_Activos[CODIGO],0)),0,1)</f>
        <v>0</v>
      </c>
    </row>
    <row r="3360" spans="1:9">
      <c r="A3360" s="2" t="s">
        <v>6761</v>
      </c>
      <c r="B3360" s="2" t="s">
        <v>1123</v>
      </c>
      <c r="C3360" s="2" t="s">
        <v>4962</v>
      </c>
      <c r="D3360" s="2" t="s">
        <v>5158</v>
      </c>
      <c r="E3360" s="2" t="s">
        <v>5159</v>
      </c>
      <c r="F3360" s="2">
        <v>2.526316E-2</v>
      </c>
      <c r="G3360" s="2">
        <v>800</v>
      </c>
      <c r="H3360" s="2">
        <f>Tabla_Items_Con_Existencia[[#This Row],[COSTO]]*Tabla_Items_Con_Existencia[[#This Row],[EXISTENCIA]]</f>
        <v>20.210528</v>
      </c>
      <c r="I3360" s="1">
        <f>IF(ISERROR(MATCH(Tabla_Items_Con_Existencia[[#This Row],[CODIGO]],Tabla_Items_Activos[CODIGO],0)),0,1)</f>
        <v>0</v>
      </c>
    </row>
    <row r="3361" spans="1:9">
      <c r="A3361" s="2" t="s">
        <v>6760</v>
      </c>
      <c r="B3361" s="2" t="s">
        <v>1135</v>
      </c>
      <c r="C3361" s="2" t="s">
        <v>4963</v>
      </c>
      <c r="D3361" s="2" t="s">
        <v>5205</v>
      </c>
      <c r="E3361" s="2" t="s">
        <v>5159</v>
      </c>
      <c r="F3361" s="2">
        <v>267.91059999999999</v>
      </c>
      <c r="G3361" s="2">
        <v>7</v>
      </c>
      <c r="H3361" s="2">
        <f>Tabla_Items_Con_Existencia[[#This Row],[COSTO]]*Tabla_Items_Con_Existencia[[#This Row],[EXISTENCIA]]</f>
        <v>1875.3742</v>
      </c>
      <c r="I3361" s="1">
        <f>IF(ISERROR(MATCH(Tabla_Items_Con_Existencia[[#This Row],[CODIGO]],Tabla_Items_Activos[CODIGO],0)),0,1)</f>
        <v>0</v>
      </c>
    </row>
    <row r="3362" spans="1:9">
      <c r="A3362" s="2" t="s">
        <v>6761</v>
      </c>
      <c r="B3362" s="2" t="s">
        <v>1135</v>
      </c>
      <c r="C3362" s="2" t="s">
        <v>4963</v>
      </c>
      <c r="D3362" s="2" t="s">
        <v>5205</v>
      </c>
      <c r="E3362" s="2" t="s">
        <v>5159</v>
      </c>
      <c r="F3362" s="2">
        <v>267.91059999999999</v>
      </c>
      <c r="G3362" s="2">
        <v>7</v>
      </c>
      <c r="H3362" s="2">
        <f>Tabla_Items_Con_Existencia[[#This Row],[COSTO]]*Tabla_Items_Con_Existencia[[#This Row],[EXISTENCIA]]</f>
        <v>1875.3742</v>
      </c>
      <c r="I3362" s="1">
        <f>IF(ISERROR(MATCH(Tabla_Items_Con_Existencia[[#This Row],[CODIGO]],Tabla_Items_Activos[CODIGO],0)),0,1)</f>
        <v>0</v>
      </c>
    </row>
    <row r="3363" spans="1:9">
      <c r="A3363" s="2" t="s">
        <v>6760</v>
      </c>
      <c r="B3363" s="2" t="s">
        <v>4966</v>
      </c>
      <c r="C3363" s="2" t="s">
        <v>4967</v>
      </c>
      <c r="D3363" s="2" t="s">
        <v>5160</v>
      </c>
      <c r="E3363" s="2" t="s">
        <v>5159</v>
      </c>
      <c r="F3363" s="2">
        <v>335.89260000000002</v>
      </c>
      <c r="G3363" s="2">
        <v>1</v>
      </c>
      <c r="H3363" s="2">
        <f>Tabla_Items_Con_Existencia[[#This Row],[COSTO]]*Tabla_Items_Con_Existencia[[#This Row],[EXISTENCIA]]</f>
        <v>335.89260000000002</v>
      </c>
      <c r="I3363" s="1">
        <f>IF(ISERROR(MATCH(Tabla_Items_Con_Existencia[[#This Row],[CODIGO]],Tabla_Items_Activos[CODIGO],0)),0,1)</f>
        <v>0</v>
      </c>
    </row>
    <row r="3364" spans="1:9">
      <c r="A3364" s="2" t="s">
        <v>6760</v>
      </c>
      <c r="B3364" s="2" t="s">
        <v>1136</v>
      </c>
      <c r="C3364" s="2" t="s">
        <v>4968</v>
      </c>
      <c r="D3364" s="2" t="s">
        <v>5190</v>
      </c>
      <c r="E3364" s="2" t="s">
        <v>5159</v>
      </c>
      <c r="F3364" s="2">
        <v>40.769210530000002</v>
      </c>
      <c r="G3364" s="2">
        <v>14</v>
      </c>
      <c r="H3364" s="2">
        <f>Tabla_Items_Con_Existencia[[#This Row],[COSTO]]*Tabla_Items_Con_Existencia[[#This Row],[EXISTENCIA]]</f>
        <v>570.76894742000002</v>
      </c>
      <c r="I3364" s="1">
        <f>IF(ISERROR(MATCH(Tabla_Items_Con_Existencia[[#This Row],[CODIGO]],Tabla_Items_Activos[CODIGO],0)),0,1)</f>
        <v>0</v>
      </c>
    </row>
    <row r="3365" spans="1:9">
      <c r="A3365" s="2" t="s">
        <v>6761</v>
      </c>
      <c r="B3365" s="2" t="s">
        <v>1136</v>
      </c>
      <c r="C3365" s="2" t="s">
        <v>4968</v>
      </c>
      <c r="D3365" s="2" t="s">
        <v>5190</v>
      </c>
      <c r="E3365" s="2" t="s">
        <v>5159</v>
      </c>
      <c r="F3365" s="2">
        <v>40.769210530000002</v>
      </c>
      <c r="G3365" s="2">
        <v>14</v>
      </c>
      <c r="H3365" s="2">
        <f>Tabla_Items_Con_Existencia[[#This Row],[COSTO]]*Tabla_Items_Con_Existencia[[#This Row],[EXISTENCIA]]</f>
        <v>570.76894742000002</v>
      </c>
      <c r="I3365" s="1">
        <f>IF(ISERROR(MATCH(Tabla_Items_Con_Existencia[[#This Row],[CODIGO]],Tabla_Items_Activos[CODIGO],0)),0,1)</f>
        <v>0</v>
      </c>
    </row>
    <row r="3366" spans="1:9">
      <c r="A3366" s="2" t="s">
        <v>6760</v>
      </c>
      <c r="B3366" s="2" t="s">
        <v>4969</v>
      </c>
      <c r="C3366" s="2" t="s">
        <v>4970</v>
      </c>
      <c r="D3366" s="2" t="s">
        <v>5190</v>
      </c>
      <c r="E3366" s="2" t="s">
        <v>5159</v>
      </c>
      <c r="F3366" s="2">
        <v>14.164</v>
      </c>
      <c r="G3366" s="2">
        <v>1</v>
      </c>
      <c r="H3366" s="2">
        <f>Tabla_Items_Con_Existencia[[#This Row],[COSTO]]*Tabla_Items_Con_Existencia[[#This Row],[EXISTENCIA]]</f>
        <v>14.164</v>
      </c>
      <c r="I3366" s="1">
        <f>IF(ISERROR(MATCH(Tabla_Items_Con_Existencia[[#This Row],[CODIGO]],Tabla_Items_Activos[CODIGO],0)),0,1)</f>
        <v>0</v>
      </c>
    </row>
    <row r="3367" spans="1:9">
      <c r="A3367" s="2" t="s">
        <v>6760</v>
      </c>
      <c r="B3367" s="2" t="s">
        <v>4972</v>
      </c>
      <c r="C3367" s="2" t="s">
        <v>4973</v>
      </c>
      <c r="D3367" s="2" t="s">
        <v>5190</v>
      </c>
      <c r="E3367" s="2" t="s">
        <v>5159</v>
      </c>
      <c r="F3367" s="2">
        <v>8.4126320000000004E-2</v>
      </c>
      <c r="G3367" s="2">
        <v>2278</v>
      </c>
      <c r="H3367" s="2">
        <f>Tabla_Items_Con_Existencia[[#This Row],[COSTO]]*Tabla_Items_Con_Existencia[[#This Row],[EXISTENCIA]]</f>
        <v>191.63975696</v>
      </c>
      <c r="I3367" s="1">
        <f>IF(ISERROR(MATCH(Tabla_Items_Con_Existencia[[#This Row],[CODIGO]],Tabla_Items_Activos[CODIGO],0)),0,1)</f>
        <v>0</v>
      </c>
    </row>
    <row r="3368" spans="1:9">
      <c r="A3368" s="2" t="s">
        <v>6761</v>
      </c>
      <c r="B3368" s="2" t="s">
        <v>4972</v>
      </c>
      <c r="C3368" s="2" t="s">
        <v>4973</v>
      </c>
      <c r="D3368" s="2" t="s">
        <v>5190</v>
      </c>
      <c r="E3368" s="2" t="s">
        <v>5159</v>
      </c>
      <c r="F3368" s="2">
        <v>8.4126320000000004E-2</v>
      </c>
      <c r="G3368" s="2">
        <v>2278</v>
      </c>
      <c r="H3368" s="2">
        <f>Tabla_Items_Con_Existencia[[#This Row],[COSTO]]*Tabla_Items_Con_Existencia[[#This Row],[EXISTENCIA]]</f>
        <v>191.63975696</v>
      </c>
      <c r="I3368" s="1">
        <f>IF(ISERROR(MATCH(Tabla_Items_Con_Existencia[[#This Row],[CODIGO]],Tabla_Items_Activos[CODIGO],0)),0,1)</f>
        <v>0</v>
      </c>
    </row>
    <row r="3369" spans="1:9">
      <c r="A3369" s="2" t="s">
        <v>6760</v>
      </c>
      <c r="B3369" s="2" t="s">
        <v>4974</v>
      </c>
      <c r="C3369" s="2" t="s">
        <v>6744</v>
      </c>
      <c r="D3369" s="2" t="s">
        <v>5190</v>
      </c>
      <c r="E3369" s="2" t="s">
        <v>5159</v>
      </c>
      <c r="F3369" s="2">
        <v>0.18911053</v>
      </c>
      <c r="G3369" s="2">
        <v>1854.78</v>
      </c>
      <c r="H3369" s="2">
        <f>Tabla_Items_Con_Existencia[[#This Row],[COSTO]]*Tabla_Items_Con_Existencia[[#This Row],[EXISTENCIA]]</f>
        <v>350.75842883339999</v>
      </c>
      <c r="I3369" s="1">
        <f>IF(ISERROR(MATCH(Tabla_Items_Con_Existencia[[#This Row],[CODIGO]],Tabla_Items_Activos[CODIGO],0)),0,1)</f>
        <v>0</v>
      </c>
    </row>
    <row r="3370" spans="1:9">
      <c r="A3370" s="2" t="s">
        <v>6761</v>
      </c>
      <c r="B3370" s="2" t="s">
        <v>4974</v>
      </c>
      <c r="C3370" s="2" t="s">
        <v>6744</v>
      </c>
      <c r="D3370" s="2" t="s">
        <v>5190</v>
      </c>
      <c r="E3370" s="2" t="s">
        <v>5159</v>
      </c>
      <c r="F3370" s="2">
        <v>0.18911053</v>
      </c>
      <c r="G3370" s="2">
        <v>1854.78</v>
      </c>
      <c r="H3370" s="2">
        <f>Tabla_Items_Con_Existencia[[#This Row],[COSTO]]*Tabla_Items_Con_Existencia[[#This Row],[EXISTENCIA]]</f>
        <v>350.75842883339999</v>
      </c>
      <c r="I3370" s="1">
        <f>IF(ISERROR(MATCH(Tabla_Items_Con_Existencia[[#This Row],[CODIGO]],Tabla_Items_Activos[CODIGO],0)),0,1)</f>
        <v>0</v>
      </c>
    </row>
    <row r="3371" spans="1:9">
      <c r="A3371" s="2" t="s">
        <v>6760</v>
      </c>
      <c r="B3371" s="2" t="s">
        <v>6745</v>
      </c>
      <c r="C3371" s="2" t="s">
        <v>1515</v>
      </c>
      <c r="D3371" s="2" t="s">
        <v>5190</v>
      </c>
      <c r="E3371" s="2" t="s">
        <v>5159</v>
      </c>
      <c r="F3371" s="2">
        <v>0.88900526000000002</v>
      </c>
      <c r="G3371" s="2">
        <v>1976</v>
      </c>
      <c r="H3371" s="2">
        <f>Tabla_Items_Con_Existencia[[#This Row],[COSTO]]*Tabla_Items_Con_Existencia[[#This Row],[EXISTENCIA]]</f>
        <v>1756.6743937599999</v>
      </c>
      <c r="I3371" s="1">
        <f>IF(ISERROR(MATCH(Tabla_Items_Con_Existencia[[#This Row],[CODIGO]],Tabla_Items_Activos[CODIGO],0)),0,1)</f>
        <v>0</v>
      </c>
    </row>
    <row r="3372" spans="1:9">
      <c r="A3372" s="2" t="s">
        <v>6761</v>
      </c>
      <c r="B3372" s="2" t="s">
        <v>6745</v>
      </c>
      <c r="C3372" s="2" t="s">
        <v>1515</v>
      </c>
      <c r="D3372" s="2" t="s">
        <v>5190</v>
      </c>
      <c r="E3372" s="2" t="s">
        <v>5159</v>
      </c>
      <c r="F3372" s="2">
        <v>0.88900526000000002</v>
      </c>
      <c r="G3372" s="2">
        <v>1976</v>
      </c>
      <c r="H3372" s="2">
        <f>Tabla_Items_Con_Existencia[[#This Row],[COSTO]]*Tabla_Items_Con_Existencia[[#This Row],[EXISTENCIA]]</f>
        <v>1756.6743937599999</v>
      </c>
      <c r="I3372" s="1">
        <f>IF(ISERROR(MATCH(Tabla_Items_Con_Existencia[[#This Row],[CODIGO]],Tabla_Items_Activos[CODIGO],0)),0,1)</f>
        <v>0</v>
      </c>
    </row>
    <row r="3373" spans="1:9">
      <c r="A3373" s="2" t="s">
        <v>6760</v>
      </c>
      <c r="B3373" s="2" t="s">
        <v>4976</v>
      </c>
      <c r="C3373" s="2" t="s">
        <v>4977</v>
      </c>
      <c r="D3373" s="2" t="s">
        <v>5190</v>
      </c>
      <c r="E3373" s="2" t="s">
        <v>5159</v>
      </c>
      <c r="F3373" s="2">
        <v>1.216</v>
      </c>
      <c r="G3373" s="2">
        <v>23</v>
      </c>
      <c r="H3373" s="2">
        <f>Tabla_Items_Con_Existencia[[#This Row],[COSTO]]*Tabla_Items_Con_Existencia[[#This Row],[EXISTENCIA]]</f>
        <v>27.968</v>
      </c>
      <c r="I3373" s="1">
        <f>IF(ISERROR(MATCH(Tabla_Items_Con_Existencia[[#This Row],[CODIGO]],Tabla_Items_Activos[CODIGO],0)),0,1)</f>
        <v>0</v>
      </c>
    </row>
    <row r="3374" spans="1:9">
      <c r="A3374" s="2" t="s">
        <v>6760</v>
      </c>
      <c r="B3374" s="2" t="s">
        <v>1126</v>
      </c>
      <c r="C3374" s="2" t="s">
        <v>4978</v>
      </c>
      <c r="D3374" s="2" t="s">
        <v>5190</v>
      </c>
      <c r="E3374" s="2" t="s">
        <v>5159</v>
      </c>
      <c r="F3374" s="2">
        <v>18.91596316</v>
      </c>
      <c r="G3374" s="2">
        <v>427</v>
      </c>
      <c r="H3374" s="2">
        <f>Tabla_Items_Con_Existencia[[#This Row],[COSTO]]*Tabla_Items_Con_Existencia[[#This Row],[EXISTENCIA]]</f>
        <v>8077.1162693200004</v>
      </c>
      <c r="I3374" s="1">
        <f>IF(ISERROR(MATCH(Tabla_Items_Con_Existencia[[#This Row],[CODIGO]],Tabla_Items_Activos[CODIGO],0)),0,1)</f>
        <v>0</v>
      </c>
    </row>
    <row r="3375" spans="1:9">
      <c r="A3375" s="2" t="s">
        <v>6761</v>
      </c>
      <c r="B3375" s="2" t="s">
        <v>1126</v>
      </c>
      <c r="C3375" s="2" t="s">
        <v>4978</v>
      </c>
      <c r="D3375" s="2" t="s">
        <v>5190</v>
      </c>
      <c r="E3375" s="2" t="s">
        <v>5159</v>
      </c>
      <c r="F3375" s="2">
        <v>18.91596316</v>
      </c>
      <c r="G3375" s="2">
        <v>427</v>
      </c>
      <c r="H3375" s="2">
        <f>Tabla_Items_Con_Existencia[[#This Row],[COSTO]]*Tabla_Items_Con_Existencia[[#This Row],[EXISTENCIA]]</f>
        <v>8077.1162693200004</v>
      </c>
      <c r="I3375" s="1">
        <f>IF(ISERROR(MATCH(Tabla_Items_Con_Existencia[[#This Row],[CODIGO]],Tabla_Items_Activos[CODIGO],0)),0,1)</f>
        <v>0</v>
      </c>
    </row>
    <row r="3376" spans="1:9">
      <c r="A3376" s="2" t="s">
        <v>6760</v>
      </c>
      <c r="B3376" s="2" t="s">
        <v>1131</v>
      </c>
      <c r="C3376" s="2" t="s">
        <v>4983</v>
      </c>
      <c r="D3376" s="2" t="s">
        <v>5190</v>
      </c>
      <c r="E3376" s="2" t="s">
        <v>5159</v>
      </c>
      <c r="F3376" s="2">
        <v>1.36865185</v>
      </c>
      <c r="G3376" s="2">
        <v>1236</v>
      </c>
      <c r="H3376" s="2">
        <f>Tabla_Items_Con_Existencia[[#This Row],[COSTO]]*Tabla_Items_Con_Existencia[[#This Row],[EXISTENCIA]]</f>
        <v>1691.6536865999999</v>
      </c>
      <c r="I3376" s="1">
        <f>IF(ISERROR(MATCH(Tabla_Items_Con_Existencia[[#This Row],[CODIGO]],Tabla_Items_Activos[CODIGO],0)),0,1)</f>
        <v>0</v>
      </c>
    </row>
    <row r="3377" spans="1:9">
      <c r="A3377" s="2" t="s">
        <v>6761</v>
      </c>
      <c r="B3377" s="2" t="s">
        <v>1131</v>
      </c>
      <c r="C3377" s="2" t="s">
        <v>4983</v>
      </c>
      <c r="D3377" s="2" t="s">
        <v>5190</v>
      </c>
      <c r="E3377" s="2" t="s">
        <v>5159</v>
      </c>
      <c r="F3377" s="2">
        <v>1.36865185</v>
      </c>
      <c r="G3377" s="2">
        <v>1236</v>
      </c>
      <c r="H3377" s="2">
        <f>Tabla_Items_Con_Existencia[[#This Row],[COSTO]]*Tabla_Items_Con_Existencia[[#This Row],[EXISTENCIA]]</f>
        <v>1691.6536865999999</v>
      </c>
      <c r="I3377" s="1">
        <f>IF(ISERROR(MATCH(Tabla_Items_Con_Existencia[[#This Row],[CODIGO]],Tabla_Items_Activos[CODIGO],0)),0,1)</f>
        <v>0</v>
      </c>
    </row>
    <row r="3378" spans="1:9">
      <c r="A3378" s="2" t="s">
        <v>6759</v>
      </c>
      <c r="B3378" s="2" t="s">
        <v>1131</v>
      </c>
      <c r="C3378" s="2" t="s">
        <v>4983</v>
      </c>
      <c r="D3378" s="2" t="s">
        <v>5190</v>
      </c>
      <c r="E3378" s="2" t="s">
        <v>5159</v>
      </c>
      <c r="F3378" s="2">
        <v>1.36865185</v>
      </c>
      <c r="G3378" s="2">
        <v>1236</v>
      </c>
      <c r="H3378" s="2">
        <f>Tabla_Items_Con_Existencia[[#This Row],[COSTO]]*Tabla_Items_Con_Existencia[[#This Row],[EXISTENCIA]]</f>
        <v>1691.6536865999999</v>
      </c>
      <c r="I3378" s="1">
        <f>IF(ISERROR(MATCH(Tabla_Items_Con_Existencia[[#This Row],[CODIGO]],Tabla_Items_Activos[CODIGO],0)),0,1)</f>
        <v>0</v>
      </c>
    </row>
    <row r="3379" spans="1:9">
      <c r="A3379" s="2" t="s">
        <v>6760</v>
      </c>
      <c r="B3379" s="2" t="s">
        <v>4984</v>
      </c>
      <c r="C3379" s="2" t="s">
        <v>4985</v>
      </c>
      <c r="D3379" s="2" t="s">
        <v>5190</v>
      </c>
      <c r="E3379" s="2" t="s">
        <v>5159</v>
      </c>
      <c r="F3379" s="2">
        <v>12</v>
      </c>
      <c r="G3379" s="2">
        <v>4</v>
      </c>
      <c r="H3379" s="2">
        <f>Tabla_Items_Con_Existencia[[#This Row],[COSTO]]*Tabla_Items_Con_Existencia[[#This Row],[EXISTENCIA]]</f>
        <v>48</v>
      </c>
      <c r="I3379" s="1">
        <f>IF(ISERROR(MATCH(Tabla_Items_Con_Existencia[[#This Row],[CODIGO]],Tabla_Items_Activos[CODIGO],0)),0,1)</f>
        <v>0</v>
      </c>
    </row>
    <row r="3380" spans="1:9">
      <c r="A3380" s="2" t="s">
        <v>6761</v>
      </c>
      <c r="B3380" s="2" t="s">
        <v>4984</v>
      </c>
      <c r="C3380" s="2" t="s">
        <v>4985</v>
      </c>
      <c r="D3380" s="2" t="s">
        <v>5190</v>
      </c>
      <c r="E3380" s="2" t="s">
        <v>5159</v>
      </c>
      <c r="F3380" s="2">
        <v>12</v>
      </c>
      <c r="G3380" s="2">
        <v>4</v>
      </c>
      <c r="H3380" s="2">
        <f>Tabla_Items_Con_Existencia[[#This Row],[COSTO]]*Tabla_Items_Con_Existencia[[#This Row],[EXISTENCIA]]</f>
        <v>48</v>
      </c>
      <c r="I3380" s="1">
        <f>IF(ISERROR(MATCH(Tabla_Items_Con_Existencia[[#This Row],[CODIGO]],Tabla_Items_Activos[CODIGO],0)),0,1)</f>
        <v>0</v>
      </c>
    </row>
    <row r="3381" spans="1:9">
      <c r="A3381" s="2" t="s">
        <v>6760</v>
      </c>
      <c r="B3381" s="2" t="s">
        <v>1132</v>
      </c>
      <c r="C3381" s="2" t="s">
        <v>4986</v>
      </c>
      <c r="D3381" s="2" t="s">
        <v>5190</v>
      </c>
      <c r="E3381" s="2" t="s">
        <v>5159</v>
      </c>
      <c r="F3381" s="2">
        <v>8.49682593</v>
      </c>
      <c r="G3381" s="2">
        <v>10</v>
      </c>
      <c r="H3381" s="2">
        <f>Tabla_Items_Con_Existencia[[#This Row],[COSTO]]*Tabla_Items_Con_Existencia[[#This Row],[EXISTENCIA]]</f>
        <v>84.9682593</v>
      </c>
      <c r="I3381" s="1">
        <f>IF(ISERROR(MATCH(Tabla_Items_Con_Existencia[[#This Row],[CODIGO]],Tabla_Items_Activos[CODIGO],0)),0,1)</f>
        <v>0</v>
      </c>
    </row>
    <row r="3382" spans="1:9">
      <c r="A3382" s="2" t="s">
        <v>6761</v>
      </c>
      <c r="B3382" s="2" t="s">
        <v>1132</v>
      </c>
      <c r="C3382" s="2" t="s">
        <v>4986</v>
      </c>
      <c r="D3382" s="2" t="s">
        <v>5190</v>
      </c>
      <c r="E3382" s="2" t="s">
        <v>5159</v>
      </c>
      <c r="F3382" s="2">
        <v>8.49682593</v>
      </c>
      <c r="G3382" s="2">
        <v>10</v>
      </c>
      <c r="H3382" s="2">
        <f>Tabla_Items_Con_Existencia[[#This Row],[COSTO]]*Tabla_Items_Con_Existencia[[#This Row],[EXISTENCIA]]</f>
        <v>84.9682593</v>
      </c>
      <c r="I3382" s="1">
        <f>IF(ISERROR(MATCH(Tabla_Items_Con_Existencia[[#This Row],[CODIGO]],Tabla_Items_Activos[CODIGO],0)),0,1)</f>
        <v>0</v>
      </c>
    </row>
    <row r="3383" spans="1:9">
      <c r="A3383" s="2" t="s">
        <v>6759</v>
      </c>
      <c r="B3383" s="2" t="s">
        <v>1132</v>
      </c>
      <c r="C3383" s="2" t="s">
        <v>4986</v>
      </c>
      <c r="D3383" s="2" t="s">
        <v>5190</v>
      </c>
      <c r="E3383" s="2" t="s">
        <v>5159</v>
      </c>
      <c r="F3383" s="2">
        <v>8.49682593</v>
      </c>
      <c r="G3383" s="2">
        <v>10</v>
      </c>
      <c r="H3383" s="2">
        <f>Tabla_Items_Con_Existencia[[#This Row],[COSTO]]*Tabla_Items_Con_Existencia[[#This Row],[EXISTENCIA]]</f>
        <v>84.9682593</v>
      </c>
      <c r="I3383" s="1">
        <f>IF(ISERROR(MATCH(Tabla_Items_Con_Existencia[[#This Row],[CODIGO]],Tabla_Items_Activos[CODIGO],0)),0,1)</f>
        <v>0</v>
      </c>
    </row>
    <row r="3384" spans="1:9">
      <c r="A3384" s="2" t="s">
        <v>6760</v>
      </c>
      <c r="B3384" s="2" t="s">
        <v>4987</v>
      </c>
      <c r="C3384" s="2" t="s">
        <v>4988</v>
      </c>
      <c r="D3384" s="2" t="s">
        <v>6365</v>
      </c>
      <c r="E3384" s="2" t="s">
        <v>5159</v>
      </c>
      <c r="F3384" s="2">
        <v>0.54484211000000005</v>
      </c>
      <c r="G3384" s="2">
        <v>2</v>
      </c>
      <c r="H3384" s="2">
        <f>Tabla_Items_Con_Existencia[[#This Row],[COSTO]]*Tabla_Items_Con_Existencia[[#This Row],[EXISTENCIA]]</f>
        <v>1.0896842200000001</v>
      </c>
      <c r="I3384" s="1">
        <f>IF(ISERROR(MATCH(Tabla_Items_Con_Existencia[[#This Row],[CODIGO]],Tabla_Items_Activos[CODIGO],0)),0,1)</f>
        <v>0</v>
      </c>
    </row>
    <row r="3385" spans="1:9">
      <c r="A3385" s="2" t="s">
        <v>6761</v>
      </c>
      <c r="B3385" s="2" t="s">
        <v>4987</v>
      </c>
      <c r="C3385" s="2" t="s">
        <v>4988</v>
      </c>
      <c r="D3385" s="2" t="s">
        <v>6365</v>
      </c>
      <c r="E3385" s="2" t="s">
        <v>5159</v>
      </c>
      <c r="F3385" s="2">
        <v>0.54484211000000005</v>
      </c>
      <c r="G3385" s="2">
        <v>2</v>
      </c>
      <c r="H3385" s="2">
        <f>Tabla_Items_Con_Existencia[[#This Row],[COSTO]]*Tabla_Items_Con_Existencia[[#This Row],[EXISTENCIA]]</f>
        <v>1.0896842200000001</v>
      </c>
      <c r="I3385" s="1">
        <f>IF(ISERROR(MATCH(Tabla_Items_Con_Existencia[[#This Row],[CODIGO]],Tabla_Items_Activos[CODIGO],0)),0,1)</f>
        <v>0</v>
      </c>
    </row>
    <row r="3386" spans="1:9">
      <c r="A3386" s="2" t="s">
        <v>6761</v>
      </c>
      <c r="B3386" s="2" t="s">
        <v>1133</v>
      </c>
      <c r="C3386" s="2" t="s">
        <v>6746</v>
      </c>
      <c r="D3386" s="2" t="s">
        <v>5190</v>
      </c>
      <c r="E3386" s="2" t="s">
        <v>5159</v>
      </c>
      <c r="F3386" s="2">
        <v>0.43537777999999999</v>
      </c>
      <c r="G3386" s="2">
        <v>82</v>
      </c>
      <c r="H3386" s="2">
        <f>Tabla_Items_Con_Existencia[[#This Row],[COSTO]]*Tabla_Items_Con_Existencia[[#This Row],[EXISTENCIA]]</f>
        <v>35.700977959999996</v>
      </c>
      <c r="I3386" s="1">
        <f>IF(ISERROR(MATCH(Tabla_Items_Con_Existencia[[#This Row],[CODIGO]],Tabla_Items_Activos[CODIGO],0)),0,1)</f>
        <v>0</v>
      </c>
    </row>
    <row r="3387" spans="1:9">
      <c r="A3387" s="2" t="s">
        <v>6759</v>
      </c>
      <c r="B3387" s="2" t="s">
        <v>1133</v>
      </c>
      <c r="C3387" s="2" t="s">
        <v>6746</v>
      </c>
      <c r="D3387" s="2" t="s">
        <v>5190</v>
      </c>
      <c r="E3387" s="2" t="s">
        <v>5159</v>
      </c>
      <c r="F3387" s="2">
        <v>0.43537777999999999</v>
      </c>
      <c r="G3387" s="2">
        <v>82</v>
      </c>
      <c r="H3387" s="2">
        <f>Tabla_Items_Con_Existencia[[#This Row],[COSTO]]*Tabla_Items_Con_Existencia[[#This Row],[EXISTENCIA]]</f>
        <v>35.700977959999996</v>
      </c>
      <c r="I3387" s="1">
        <f>IF(ISERROR(MATCH(Tabla_Items_Con_Existencia[[#This Row],[CODIGO]],Tabla_Items_Activos[CODIGO],0)),0,1)</f>
        <v>0</v>
      </c>
    </row>
    <row r="3388" spans="1:9">
      <c r="A3388" s="2" t="s">
        <v>6760</v>
      </c>
      <c r="B3388" s="2" t="s">
        <v>1133</v>
      </c>
      <c r="C3388" s="2" t="s">
        <v>6746</v>
      </c>
      <c r="D3388" s="2" t="s">
        <v>5190</v>
      </c>
      <c r="E3388" s="2" t="s">
        <v>5159</v>
      </c>
      <c r="F3388" s="2">
        <v>0.43537777999999999</v>
      </c>
      <c r="G3388" s="2">
        <v>82</v>
      </c>
      <c r="H3388" s="2">
        <f>Tabla_Items_Con_Existencia[[#This Row],[COSTO]]*Tabla_Items_Con_Existencia[[#This Row],[EXISTENCIA]]</f>
        <v>35.700977959999996</v>
      </c>
      <c r="I3388" s="1">
        <f>IF(ISERROR(MATCH(Tabla_Items_Con_Existencia[[#This Row],[CODIGO]],Tabla_Items_Activos[CODIGO],0)),0,1)</f>
        <v>0</v>
      </c>
    </row>
    <row r="3389" spans="1:9">
      <c r="A3389" s="2" t="s">
        <v>6760</v>
      </c>
      <c r="B3389" s="2" t="s">
        <v>1134</v>
      </c>
      <c r="C3389" s="2" t="s">
        <v>6747</v>
      </c>
      <c r="D3389" s="2" t="s">
        <v>5190</v>
      </c>
      <c r="E3389" s="2" t="s">
        <v>5159</v>
      </c>
      <c r="F3389" s="2">
        <v>1.5860000000000001</v>
      </c>
      <c r="G3389" s="2">
        <v>52</v>
      </c>
      <c r="H3389" s="2">
        <f>Tabla_Items_Con_Existencia[[#This Row],[COSTO]]*Tabla_Items_Con_Existencia[[#This Row],[EXISTENCIA]]</f>
        <v>82.472000000000008</v>
      </c>
      <c r="I3389" s="1">
        <f>IF(ISERROR(MATCH(Tabla_Items_Con_Existencia[[#This Row],[CODIGO]],Tabla_Items_Activos[CODIGO],0)),0,1)</f>
        <v>0</v>
      </c>
    </row>
    <row r="3390" spans="1:9">
      <c r="A3390" s="2" t="s">
        <v>6761</v>
      </c>
      <c r="B3390" s="2" t="s">
        <v>7094</v>
      </c>
      <c r="C3390" s="2" t="s">
        <v>7095</v>
      </c>
      <c r="D3390" s="2" t="s">
        <v>5158</v>
      </c>
      <c r="E3390" s="2" t="s">
        <v>5159</v>
      </c>
      <c r="F3390" s="2">
        <v>3.9</v>
      </c>
      <c r="G3390" s="2">
        <v>1</v>
      </c>
      <c r="H3390" s="2">
        <f>Tabla_Items_Con_Existencia[[#This Row],[COSTO]]*Tabla_Items_Con_Existencia[[#This Row],[EXISTENCIA]]</f>
        <v>3.9</v>
      </c>
      <c r="I3390" s="1">
        <f>IF(ISERROR(MATCH(Tabla_Items_Con_Existencia[[#This Row],[CODIGO]],Tabla_Items_Activos[CODIGO],0)),0,1)</f>
        <v>0</v>
      </c>
    </row>
    <row r="3391" spans="1:9">
      <c r="A3391" s="2" t="s">
        <v>6760</v>
      </c>
      <c r="B3391" s="2" t="s">
        <v>4991</v>
      </c>
      <c r="C3391" s="2" t="s">
        <v>4992</v>
      </c>
      <c r="D3391" s="2" t="s">
        <v>5158</v>
      </c>
      <c r="E3391" s="2" t="s">
        <v>5159</v>
      </c>
      <c r="F3391" s="2">
        <v>7.92</v>
      </c>
      <c r="G3391" s="2">
        <v>1</v>
      </c>
      <c r="H3391" s="2">
        <f>Tabla_Items_Con_Existencia[[#This Row],[COSTO]]*Tabla_Items_Con_Existencia[[#This Row],[EXISTENCIA]]</f>
        <v>7.92</v>
      </c>
      <c r="I3391" s="1">
        <f>IF(ISERROR(MATCH(Tabla_Items_Con_Existencia[[#This Row],[CODIGO]],Tabla_Items_Activos[CODIGO],0)),0,1)</f>
        <v>0</v>
      </c>
    </row>
    <row r="3392" spans="1:9">
      <c r="A3392" s="2" t="s">
        <v>6761</v>
      </c>
      <c r="B3392" s="2" t="s">
        <v>7096</v>
      </c>
      <c r="C3392" s="2" t="s">
        <v>7097</v>
      </c>
      <c r="D3392" s="2" t="s">
        <v>5158</v>
      </c>
      <c r="E3392" s="2" t="s">
        <v>5159</v>
      </c>
      <c r="F3392" s="2">
        <v>0.97</v>
      </c>
      <c r="G3392" s="2">
        <v>1</v>
      </c>
      <c r="H3392" s="2">
        <f>Tabla_Items_Con_Existencia[[#This Row],[COSTO]]*Tabla_Items_Con_Existencia[[#This Row],[EXISTENCIA]]</f>
        <v>0.97</v>
      </c>
      <c r="I3392" s="1">
        <f>IF(ISERROR(MATCH(Tabla_Items_Con_Existencia[[#This Row],[CODIGO]],Tabla_Items_Activos[CODIGO],0)),0,1)</f>
        <v>0</v>
      </c>
    </row>
    <row r="3393" spans="1:9">
      <c r="A3393" s="2" t="s">
        <v>6761</v>
      </c>
      <c r="B3393" s="2" t="s">
        <v>7098</v>
      </c>
      <c r="C3393" s="2" t="s">
        <v>7099</v>
      </c>
      <c r="D3393" s="2" t="s">
        <v>5158</v>
      </c>
      <c r="E3393" s="2" t="s">
        <v>5159</v>
      </c>
      <c r="F3393" s="2">
        <v>7.02</v>
      </c>
      <c r="G3393" s="2">
        <v>1</v>
      </c>
      <c r="H3393" s="2">
        <f>Tabla_Items_Con_Existencia[[#This Row],[COSTO]]*Tabla_Items_Con_Existencia[[#This Row],[EXISTENCIA]]</f>
        <v>7.02</v>
      </c>
      <c r="I3393" s="1">
        <f>IF(ISERROR(MATCH(Tabla_Items_Con_Existencia[[#This Row],[CODIGO]],Tabla_Items_Activos[CODIGO],0)),0,1)</f>
        <v>0</v>
      </c>
    </row>
    <row r="3394" spans="1:9">
      <c r="A3394" s="2" t="s">
        <v>6760</v>
      </c>
      <c r="B3394" s="2" t="s">
        <v>7100</v>
      </c>
      <c r="C3394" s="2" t="s">
        <v>7101</v>
      </c>
      <c r="D3394" s="2" t="s">
        <v>5158</v>
      </c>
      <c r="E3394" s="2" t="s">
        <v>5159</v>
      </c>
      <c r="F3394" s="2">
        <v>6.8249473700000003</v>
      </c>
      <c r="G3394" s="2">
        <v>2</v>
      </c>
      <c r="H3394" s="2">
        <f>Tabla_Items_Con_Existencia[[#This Row],[COSTO]]*Tabla_Items_Con_Existencia[[#This Row],[EXISTENCIA]]</f>
        <v>13.649894740000001</v>
      </c>
      <c r="I3394" s="1">
        <f>IF(ISERROR(MATCH(Tabla_Items_Con_Existencia[[#This Row],[CODIGO]],Tabla_Items_Activos[CODIGO],0)),0,1)</f>
        <v>0</v>
      </c>
    </row>
    <row r="3395" spans="1:9">
      <c r="A3395" s="2" t="s">
        <v>6761</v>
      </c>
      <c r="B3395" s="2" t="s">
        <v>7100</v>
      </c>
      <c r="C3395" s="2" t="s">
        <v>7101</v>
      </c>
      <c r="D3395" s="2" t="s">
        <v>5158</v>
      </c>
      <c r="E3395" s="2" t="s">
        <v>5159</v>
      </c>
      <c r="F3395" s="2">
        <v>6.8249473700000003</v>
      </c>
      <c r="G3395" s="2">
        <v>2</v>
      </c>
      <c r="H3395" s="2">
        <f>Tabla_Items_Con_Existencia[[#This Row],[COSTO]]*Tabla_Items_Con_Existencia[[#This Row],[EXISTENCIA]]</f>
        <v>13.649894740000001</v>
      </c>
      <c r="I3395" s="1">
        <f>IF(ISERROR(MATCH(Tabla_Items_Con_Existencia[[#This Row],[CODIGO]],Tabla_Items_Activos[CODIGO],0)),0,1)</f>
        <v>0</v>
      </c>
    </row>
    <row r="3396" spans="1:9">
      <c r="A3396" s="2" t="s">
        <v>6761</v>
      </c>
      <c r="B3396" s="2" t="s">
        <v>7102</v>
      </c>
      <c r="C3396" s="2" t="s">
        <v>7103</v>
      </c>
      <c r="D3396" s="2" t="s">
        <v>5158</v>
      </c>
      <c r="E3396" s="2" t="s">
        <v>5159</v>
      </c>
      <c r="F3396" s="2">
        <v>1.94</v>
      </c>
      <c r="G3396" s="2">
        <v>2</v>
      </c>
      <c r="H3396" s="2">
        <f>Tabla_Items_Con_Existencia[[#This Row],[COSTO]]*Tabla_Items_Con_Existencia[[#This Row],[EXISTENCIA]]</f>
        <v>3.88</v>
      </c>
      <c r="I3396" s="1">
        <f>IF(ISERROR(MATCH(Tabla_Items_Con_Existencia[[#This Row],[CODIGO]],Tabla_Items_Activos[CODIGO],0)),0,1)</f>
        <v>0</v>
      </c>
    </row>
    <row r="3397" spans="1:9">
      <c r="A3397" s="2" t="s">
        <v>6761</v>
      </c>
      <c r="B3397" s="2" t="s">
        <v>7104</v>
      </c>
      <c r="C3397" s="2" t="s">
        <v>7105</v>
      </c>
      <c r="D3397" s="2" t="s">
        <v>5158</v>
      </c>
      <c r="E3397" s="2" t="s">
        <v>5159</v>
      </c>
      <c r="F3397" s="2">
        <v>5.83</v>
      </c>
      <c r="G3397" s="2">
        <v>1</v>
      </c>
      <c r="H3397" s="2">
        <f>Tabla_Items_Con_Existencia[[#This Row],[COSTO]]*Tabla_Items_Con_Existencia[[#This Row],[EXISTENCIA]]</f>
        <v>5.83</v>
      </c>
      <c r="I3397" s="1">
        <f>IF(ISERROR(MATCH(Tabla_Items_Con_Existencia[[#This Row],[CODIGO]],Tabla_Items_Activos[CODIGO],0)),0,1)</f>
        <v>0</v>
      </c>
    </row>
    <row r="3398" spans="1:9">
      <c r="A3398" s="2" t="s">
        <v>6760</v>
      </c>
      <c r="B3398" s="2" t="s">
        <v>4993</v>
      </c>
      <c r="C3398" s="2" t="s">
        <v>4994</v>
      </c>
      <c r="D3398" s="2" t="s">
        <v>5158</v>
      </c>
      <c r="E3398" s="2" t="s">
        <v>5159</v>
      </c>
      <c r="F3398" s="2">
        <v>60.06</v>
      </c>
      <c r="G3398" s="2">
        <v>1</v>
      </c>
      <c r="H3398" s="2">
        <f>Tabla_Items_Con_Existencia[[#This Row],[COSTO]]*Tabla_Items_Con_Existencia[[#This Row],[EXISTENCIA]]</f>
        <v>60.06</v>
      </c>
      <c r="I3398" s="1">
        <f>IF(ISERROR(MATCH(Tabla_Items_Con_Existencia[[#This Row],[CODIGO]],Tabla_Items_Activos[CODIGO],0)),0,1)</f>
        <v>0</v>
      </c>
    </row>
    <row r="3399" spans="1:9">
      <c r="A3399" s="2" t="s">
        <v>6760</v>
      </c>
      <c r="B3399" s="2" t="s">
        <v>4995</v>
      </c>
      <c r="C3399" s="2" t="s">
        <v>4996</v>
      </c>
      <c r="D3399" s="2" t="s">
        <v>5157</v>
      </c>
      <c r="E3399" s="2" t="s">
        <v>5192</v>
      </c>
      <c r="F3399" s="2">
        <v>37.774999999999999</v>
      </c>
      <c r="G3399" s="2">
        <v>1</v>
      </c>
      <c r="H3399" s="2">
        <f>Tabla_Items_Con_Existencia[[#This Row],[COSTO]]*Tabla_Items_Con_Existencia[[#This Row],[EXISTENCIA]]</f>
        <v>37.774999999999999</v>
      </c>
      <c r="I3399" s="1">
        <f>IF(ISERROR(MATCH(Tabla_Items_Con_Existencia[[#This Row],[CODIGO]],Tabla_Items_Activos[CODIGO],0)),0,1)</f>
        <v>0</v>
      </c>
    </row>
    <row r="3400" spans="1:9">
      <c r="A3400" s="2" t="s">
        <v>6761</v>
      </c>
      <c r="B3400" s="2" t="s">
        <v>7106</v>
      </c>
      <c r="C3400" s="2" t="s">
        <v>7107</v>
      </c>
      <c r="D3400" s="2" t="s">
        <v>5158</v>
      </c>
      <c r="E3400" s="2" t="s">
        <v>5159</v>
      </c>
      <c r="F3400" s="2">
        <v>13.24</v>
      </c>
      <c r="G3400" s="2">
        <v>1</v>
      </c>
      <c r="H3400" s="2">
        <f>Tabla_Items_Con_Existencia[[#This Row],[COSTO]]*Tabla_Items_Con_Existencia[[#This Row],[EXISTENCIA]]</f>
        <v>13.24</v>
      </c>
      <c r="I3400" s="1">
        <f>IF(ISERROR(MATCH(Tabla_Items_Con_Existencia[[#This Row],[CODIGO]],Tabla_Items_Activos[CODIGO],0)),0,1)</f>
        <v>0</v>
      </c>
    </row>
    <row r="3401" spans="1:9">
      <c r="A3401" s="2" t="s">
        <v>6761</v>
      </c>
      <c r="B3401" s="2" t="s">
        <v>4997</v>
      </c>
      <c r="C3401" s="2" t="s">
        <v>4998</v>
      </c>
      <c r="D3401" s="2" t="s">
        <v>7001</v>
      </c>
      <c r="E3401" s="2" t="s">
        <v>5168</v>
      </c>
      <c r="F3401" s="2">
        <v>2.8947368400000002</v>
      </c>
      <c r="G3401" s="2">
        <v>1</v>
      </c>
      <c r="H3401" s="2">
        <f>Tabla_Items_Con_Existencia[[#This Row],[COSTO]]*Tabla_Items_Con_Existencia[[#This Row],[EXISTENCIA]]</f>
        <v>2.8947368400000002</v>
      </c>
      <c r="I3401" s="1">
        <f>IF(ISERROR(MATCH(Tabla_Items_Con_Existencia[[#This Row],[CODIGO]],Tabla_Items_Activos[CODIGO],0)),0,1)</f>
        <v>0</v>
      </c>
    </row>
    <row r="3402" spans="1:9">
      <c r="A3402" s="2" t="s">
        <v>6760</v>
      </c>
      <c r="B3402" s="2" t="s">
        <v>4997</v>
      </c>
      <c r="C3402" s="2" t="s">
        <v>4998</v>
      </c>
      <c r="D3402" s="2" t="s">
        <v>7001</v>
      </c>
      <c r="E3402" s="2" t="s">
        <v>5168</v>
      </c>
      <c r="F3402" s="2">
        <v>2.8947368400000002</v>
      </c>
      <c r="G3402" s="2">
        <v>1</v>
      </c>
      <c r="H3402" s="2">
        <f>Tabla_Items_Con_Existencia[[#This Row],[COSTO]]*Tabla_Items_Con_Existencia[[#This Row],[EXISTENCIA]]</f>
        <v>2.8947368400000002</v>
      </c>
      <c r="I3402" s="1">
        <f>IF(ISERROR(MATCH(Tabla_Items_Con_Existencia[[#This Row],[CODIGO]],Tabla_Items_Activos[CODIGO],0)),0,1)</f>
        <v>0</v>
      </c>
    </row>
    <row r="3403" spans="1:9">
      <c r="A3403" s="2" t="s">
        <v>6761</v>
      </c>
      <c r="B3403" s="2" t="s">
        <v>7108</v>
      </c>
      <c r="C3403" s="2" t="s">
        <v>7109</v>
      </c>
      <c r="D3403" s="2" t="s">
        <v>5158</v>
      </c>
      <c r="E3403" s="2" t="s">
        <v>5159</v>
      </c>
      <c r="F3403" s="2">
        <v>5.24</v>
      </c>
      <c r="G3403" s="2">
        <v>1</v>
      </c>
      <c r="H3403" s="2">
        <f>Tabla_Items_Con_Existencia[[#This Row],[COSTO]]*Tabla_Items_Con_Existencia[[#This Row],[EXISTENCIA]]</f>
        <v>5.24</v>
      </c>
      <c r="I3403" s="1">
        <f>IF(ISERROR(MATCH(Tabla_Items_Con_Existencia[[#This Row],[CODIGO]],Tabla_Items_Activos[CODIGO],0)),0,1)</f>
        <v>0</v>
      </c>
    </row>
    <row r="3404" spans="1:9">
      <c r="A3404" s="2" t="s">
        <v>6760</v>
      </c>
      <c r="B3404" s="2" t="s">
        <v>4999</v>
      </c>
      <c r="C3404" s="2" t="s">
        <v>5000</v>
      </c>
      <c r="D3404" s="2" t="s">
        <v>5157</v>
      </c>
      <c r="E3404" s="2" t="s">
        <v>5192</v>
      </c>
      <c r="F3404" s="2">
        <v>27.276</v>
      </c>
      <c r="G3404" s="2">
        <v>1</v>
      </c>
      <c r="H3404" s="2">
        <f>Tabla_Items_Con_Existencia[[#This Row],[COSTO]]*Tabla_Items_Con_Existencia[[#This Row],[EXISTENCIA]]</f>
        <v>27.276</v>
      </c>
      <c r="I3404" s="1">
        <f>IF(ISERROR(MATCH(Tabla_Items_Con_Existencia[[#This Row],[CODIGO]],Tabla_Items_Activos[CODIGO],0)),0,1)</f>
        <v>0</v>
      </c>
    </row>
    <row r="3405" spans="1:9">
      <c r="A3405" s="2" t="s">
        <v>6760</v>
      </c>
      <c r="B3405" s="2" t="s">
        <v>5001</v>
      </c>
      <c r="C3405" s="2" t="s">
        <v>5002</v>
      </c>
      <c r="D3405" s="2" t="s">
        <v>6035</v>
      </c>
      <c r="E3405" s="2" t="s">
        <v>5168</v>
      </c>
      <c r="F3405" s="2">
        <v>63.865263159999998</v>
      </c>
      <c r="G3405" s="2">
        <v>2</v>
      </c>
      <c r="H3405" s="2">
        <f>Tabla_Items_Con_Existencia[[#This Row],[COSTO]]*Tabla_Items_Con_Existencia[[#This Row],[EXISTENCIA]]</f>
        <v>127.73052632</v>
      </c>
      <c r="I3405" s="1">
        <f>IF(ISERROR(MATCH(Tabla_Items_Con_Existencia[[#This Row],[CODIGO]],Tabla_Items_Activos[CODIGO],0)),0,1)</f>
        <v>0</v>
      </c>
    </row>
    <row r="3406" spans="1:9">
      <c r="A3406" s="2" t="s">
        <v>6761</v>
      </c>
      <c r="B3406" s="2" t="s">
        <v>5001</v>
      </c>
      <c r="C3406" s="2" t="s">
        <v>5002</v>
      </c>
      <c r="D3406" s="2" t="s">
        <v>6035</v>
      </c>
      <c r="E3406" s="2" t="s">
        <v>5168</v>
      </c>
      <c r="F3406" s="2">
        <v>63.865263159999998</v>
      </c>
      <c r="G3406" s="2">
        <v>2</v>
      </c>
      <c r="H3406" s="2">
        <f>Tabla_Items_Con_Existencia[[#This Row],[COSTO]]*Tabla_Items_Con_Existencia[[#This Row],[EXISTENCIA]]</f>
        <v>127.73052632</v>
      </c>
      <c r="I3406" s="1">
        <f>IF(ISERROR(MATCH(Tabla_Items_Con_Existencia[[#This Row],[CODIGO]],Tabla_Items_Activos[CODIGO],0)),0,1)</f>
        <v>0</v>
      </c>
    </row>
    <row r="3407" spans="1:9">
      <c r="A3407" s="2" t="s">
        <v>6761</v>
      </c>
      <c r="B3407" s="2" t="s">
        <v>6748</v>
      </c>
      <c r="C3407" s="2" t="s">
        <v>5004</v>
      </c>
      <c r="D3407" s="2" t="s">
        <v>6035</v>
      </c>
      <c r="E3407" s="2" t="s">
        <v>5168</v>
      </c>
      <c r="F3407" s="2">
        <v>44.355789469999998</v>
      </c>
      <c r="G3407" s="2">
        <v>4</v>
      </c>
      <c r="H3407" s="2">
        <f>Tabla_Items_Con_Existencia[[#This Row],[COSTO]]*Tabla_Items_Con_Existencia[[#This Row],[EXISTENCIA]]</f>
        <v>177.42315787999999</v>
      </c>
      <c r="I3407" s="1">
        <f>IF(ISERROR(MATCH(Tabla_Items_Con_Existencia[[#This Row],[CODIGO]],Tabla_Items_Activos[CODIGO],0)),0,1)</f>
        <v>0</v>
      </c>
    </row>
    <row r="3408" spans="1:9">
      <c r="A3408" s="2" t="s">
        <v>6760</v>
      </c>
      <c r="B3408" s="2" t="s">
        <v>6748</v>
      </c>
      <c r="C3408" s="2" t="s">
        <v>5004</v>
      </c>
      <c r="D3408" s="2" t="s">
        <v>6035</v>
      </c>
      <c r="E3408" s="2" t="s">
        <v>5168</v>
      </c>
      <c r="F3408" s="2">
        <v>44.355789469999998</v>
      </c>
      <c r="G3408" s="2">
        <v>4</v>
      </c>
      <c r="H3408" s="2">
        <f>Tabla_Items_Con_Existencia[[#This Row],[COSTO]]*Tabla_Items_Con_Existencia[[#This Row],[EXISTENCIA]]</f>
        <v>177.42315787999999</v>
      </c>
      <c r="I3408" s="1">
        <f>IF(ISERROR(MATCH(Tabla_Items_Con_Existencia[[#This Row],[CODIGO]],Tabla_Items_Activos[CODIGO],0)),0,1)</f>
        <v>0</v>
      </c>
    </row>
    <row r="3409" spans="1:9">
      <c r="A3409" s="2" t="s">
        <v>6760</v>
      </c>
      <c r="B3409" s="2" t="s">
        <v>5005</v>
      </c>
      <c r="C3409" s="2" t="s">
        <v>5006</v>
      </c>
      <c r="D3409" s="2" t="s">
        <v>5157</v>
      </c>
      <c r="E3409" s="2" t="s">
        <v>5192</v>
      </c>
      <c r="F3409" s="2">
        <v>132.31</v>
      </c>
      <c r="G3409" s="2">
        <v>1</v>
      </c>
      <c r="H3409" s="2">
        <f>Tabla_Items_Con_Existencia[[#This Row],[COSTO]]*Tabla_Items_Con_Existencia[[#This Row],[EXISTENCIA]]</f>
        <v>132.31</v>
      </c>
      <c r="I3409" s="1">
        <f>IF(ISERROR(MATCH(Tabla_Items_Con_Existencia[[#This Row],[CODIGO]],Tabla_Items_Activos[CODIGO],0)),0,1)</f>
        <v>0</v>
      </c>
    </row>
    <row r="3410" spans="1:9">
      <c r="A3410" s="2" t="s">
        <v>6760</v>
      </c>
      <c r="B3410" s="2" t="s">
        <v>5007</v>
      </c>
      <c r="C3410" s="2" t="s">
        <v>5008</v>
      </c>
      <c r="D3410" s="2" t="s">
        <v>6035</v>
      </c>
      <c r="E3410" s="2" t="s">
        <v>5168</v>
      </c>
      <c r="F3410" s="2">
        <v>107.55157895000001</v>
      </c>
      <c r="G3410" s="2">
        <v>1</v>
      </c>
      <c r="H3410" s="2">
        <f>Tabla_Items_Con_Existencia[[#This Row],[COSTO]]*Tabla_Items_Con_Existencia[[#This Row],[EXISTENCIA]]</f>
        <v>107.55157895000001</v>
      </c>
      <c r="I3410" s="1">
        <f>IF(ISERROR(MATCH(Tabla_Items_Con_Existencia[[#This Row],[CODIGO]],Tabla_Items_Activos[CODIGO],0)),0,1)</f>
        <v>0</v>
      </c>
    </row>
    <row r="3411" spans="1:9">
      <c r="A3411" s="2" t="s">
        <v>6761</v>
      </c>
      <c r="B3411" s="2" t="s">
        <v>5007</v>
      </c>
      <c r="C3411" s="2" t="s">
        <v>5008</v>
      </c>
      <c r="D3411" s="2" t="s">
        <v>6035</v>
      </c>
      <c r="E3411" s="2" t="s">
        <v>5168</v>
      </c>
      <c r="F3411" s="2">
        <v>107.55157895000001</v>
      </c>
      <c r="G3411" s="2">
        <v>1</v>
      </c>
      <c r="H3411" s="2">
        <f>Tabla_Items_Con_Existencia[[#This Row],[COSTO]]*Tabla_Items_Con_Existencia[[#This Row],[EXISTENCIA]]</f>
        <v>107.55157895000001</v>
      </c>
      <c r="I3411" s="1">
        <f>IF(ISERROR(MATCH(Tabla_Items_Con_Existencia[[#This Row],[CODIGO]],Tabla_Items_Activos[CODIGO],0)),0,1)</f>
        <v>0</v>
      </c>
    </row>
    <row r="3412" spans="1:9">
      <c r="A3412" s="2" t="s">
        <v>6760</v>
      </c>
      <c r="B3412" s="2" t="s">
        <v>5009</v>
      </c>
      <c r="C3412" s="2" t="s">
        <v>5010</v>
      </c>
      <c r="D3412" s="2" t="s">
        <v>6035</v>
      </c>
      <c r="E3412" s="2" t="s">
        <v>5168</v>
      </c>
      <c r="F3412" s="2">
        <v>116.24084211</v>
      </c>
      <c r="G3412" s="2">
        <v>2</v>
      </c>
      <c r="H3412" s="2">
        <f>Tabla_Items_Con_Existencia[[#This Row],[COSTO]]*Tabla_Items_Con_Existencia[[#This Row],[EXISTENCIA]]</f>
        <v>232.48168422000001</v>
      </c>
      <c r="I3412" s="1">
        <f>IF(ISERROR(MATCH(Tabla_Items_Con_Existencia[[#This Row],[CODIGO]],Tabla_Items_Activos[CODIGO],0)),0,1)</f>
        <v>0</v>
      </c>
    </row>
    <row r="3413" spans="1:9">
      <c r="A3413" s="2" t="s">
        <v>6761</v>
      </c>
      <c r="B3413" s="2" t="s">
        <v>5009</v>
      </c>
      <c r="C3413" s="2" t="s">
        <v>5010</v>
      </c>
      <c r="D3413" s="2" t="s">
        <v>6035</v>
      </c>
      <c r="E3413" s="2" t="s">
        <v>5168</v>
      </c>
      <c r="F3413" s="2">
        <v>116.24084211</v>
      </c>
      <c r="G3413" s="2">
        <v>2</v>
      </c>
      <c r="H3413" s="2">
        <f>Tabla_Items_Con_Existencia[[#This Row],[COSTO]]*Tabla_Items_Con_Existencia[[#This Row],[EXISTENCIA]]</f>
        <v>232.48168422000001</v>
      </c>
      <c r="I3413" s="1">
        <f>IF(ISERROR(MATCH(Tabla_Items_Con_Existencia[[#This Row],[CODIGO]],Tabla_Items_Activos[CODIGO],0)),0,1)</f>
        <v>0</v>
      </c>
    </row>
    <row r="3414" spans="1:9">
      <c r="A3414" s="2" t="s">
        <v>6760</v>
      </c>
      <c r="B3414" s="2" t="s">
        <v>5013</v>
      </c>
      <c r="C3414" s="2" t="s">
        <v>5014</v>
      </c>
      <c r="D3414" s="2" t="s">
        <v>5157</v>
      </c>
      <c r="E3414" s="2" t="s">
        <v>5192</v>
      </c>
      <c r="F3414" s="2">
        <v>2.74</v>
      </c>
      <c r="G3414" s="2">
        <v>4</v>
      </c>
      <c r="H3414" s="2">
        <f>Tabla_Items_Con_Existencia[[#This Row],[COSTO]]*Tabla_Items_Con_Existencia[[#This Row],[EXISTENCIA]]</f>
        <v>10.96</v>
      </c>
      <c r="I3414" s="1">
        <f>IF(ISERROR(MATCH(Tabla_Items_Con_Existencia[[#This Row],[CODIGO]],Tabla_Items_Activos[CODIGO],0)),0,1)</f>
        <v>0</v>
      </c>
    </row>
    <row r="3415" spans="1:9">
      <c r="A3415" s="2" t="s">
        <v>6760</v>
      </c>
      <c r="B3415" s="2" t="s">
        <v>5015</v>
      </c>
      <c r="C3415" s="2" t="s">
        <v>5016</v>
      </c>
      <c r="D3415" s="2" t="s">
        <v>5222</v>
      </c>
      <c r="E3415" s="2" t="s">
        <v>5168</v>
      </c>
      <c r="F3415" s="2">
        <v>9.41</v>
      </c>
      <c r="G3415" s="2">
        <v>4</v>
      </c>
      <c r="H3415" s="2">
        <f>Tabla_Items_Con_Existencia[[#This Row],[COSTO]]*Tabla_Items_Con_Existencia[[#This Row],[EXISTENCIA]]</f>
        <v>37.64</v>
      </c>
      <c r="I3415" s="1">
        <f>IF(ISERROR(MATCH(Tabla_Items_Con_Existencia[[#This Row],[CODIGO]],Tabla_Items_Activos[CODIGO],0)),0,1)</f>
        <v>0</v>
      </c>
    </row>
    <row r="3416" spans="1:9">
      <c r="A3416" s="2" t="s">
        <v>6760</v>
      </c>
      <c r="B3416" s="2" t="s">
        <v>5017</v>
      </c>
      <c r="C3416" s="2" t="s">
        <v>5018</v>
      </c>
      <c r="D3416" s="2" t="s">
        <v>5157</v>
      </c>
      <c r="E3416" s="2" t="s">
        <v>5192</v>
      </c>
      <c r="F3416" s="2">
        <v>22.66</v>
      </c>
      <c r="G3416" s="2">
        <v>1</v>
      </c>
      <c r="H3416" s="2">
        <f>Tabla_Items_Con_Existencia[[#This Row],[COSTO]]*Tabla_Items_Con_Existencia[[#This Row],[EXISTENCIA]]</f>
        <v>22.66</v>
      </c>
      <c r="I3416" s="1">
        <f>IF(ISERROR(MATCH(Tabla_Items_Con_Existencia[[#This Row],[CODIGO]],Tabla_Items_Activos[CODIGO],0)),0,1)</f>
        <v>0</v>
      </c>
    </row>
    <row r="3417" spans="1:9">
      <c r="A3417" s="2" t="s">
        <v>6760</v>
      </c>
      <c r="B3417" s="2" t="s">
        <v>5019</v>
      </c>
      <c r="C3417" s="2" t="s">
        <v>5020</v>
      </c>
      <c r="D3417" s="2" t="s">
        <v>5222</v>
      </c>
      <c r="E3417" s="2" t="s">
        <v>5168</v>
      </c>
      <c r="F3417" s="2">
        <v>34.18</v>
      </c>
      <c r="G3417" s="2">
        <v>1</v>
      </c>
      <c r="H3417" s="2">
        <f>Tabla_Items_Con_Existencia[[#This Row],[COSTO]]*Tabla_Items_Con_Existencia[[#This Row],[EXISTENCIA]]</f>
        <v>34.18</v>
      </c>
      <c r="I3417" s="1">
        <f>IF(ISERROR(MATCH(Tabla_Items_Con_Existencia[[#This Row],[CODIGO]],Tabla_Items_Activos[CODIGO],0)),0,1)</f>
        <v>0</v>
      </c>
    </row>
    <row r="3418" spans="1:9">
      <c r="A3418" s="2" t="s">
        <v>6760</v>
      </c>
      <c r="B3418" s="2" t="s">
        <v>5021</v>
      </c>
      <c r="C3418" s="2" t="s">
        <v>5022</v>
      </c>
      <c r="D3418" s="2" t="s">
        <v>5222</v>
      </c>
      <c r="E3418" s="2" t="s">
        <v>5168</v>
      </c>
      <c r="F3418" s="2">
        <v>15</v>
      </c>
      <c r="G3418" s="2">
        <v>1</v>
      </c>
      <c r="H3418" s="2">
        <f>Tabla_Items_Con_Existencia[[#This Row],[COSTO]]*Tabla_Items_Con_Existencia[[#This Row],[EXISTENCIA]]</f>
        <v>15</v>
      </c>
      <c r="I3418" s="1">
        <f>IF(ISERROR(MATCH(Tabla_Items_Con_Existencia[[#This Row],[CODIGO]],Tabla_Items_Activos[CODIGO],0)),0,1)</f>
        <v>0</v>
      </c>
    </row>
    <row r="3419" spans="1:9">
      <c r="A3419" s="2" t="s">
        <v>6760</v>
      </c>
      <c r="B3419" s="2" t="s">
        <v>5023</v>
      </c>
      <c r="C3419" s="2" t="s">
        <v>5024</v>
      </c>
      <c r="D3419" s="2" t="s">
        <v>5222</v>
      </c>
      <c r="E3419" s="2" t="s">
        <v>5168</v>
      </c>
      <c r="F3419" s="2">
        <v>1</v>
      </c>
      <c r="G3419" s="2">
        <v>3</v>
      </c>
      <c r="H3419" s="2">
        <f>Tabla_Items_Con_Existencia[[#This Row],[COSTO]]*Tabla_Items_Con_Existencia[[#This Row],[EXISTENCIA]]</f>
        <v>3</v>
      </c>
      <c r="I3419" s="1">
        <f>IF(ISERROR(MATCH(Tabla_Items_Con_Existencia[[#This Row],[CODIGO]],Tabla_Items_Activos[CODIGO],0)),0,1)</f>
        <v>0</v>
      </c>
    </row>
    <row r="3420" spans="1:9">
      <c r="A3420" s="2" t="s">
        <v>6760</v>
      </c>
      <c r="B3420" s="2" t="s">
        <v>5025</v>
      </c>
      <c r="C3420" s="2" t="s">
        <v>5026</v>
      </c>
      <c r="D3420" s="2" t="s">
        <v>5157</v>
      </c>
      <c r="E3420" s="2" t="s">
        <v>5192</v>
      </c>
      <c r="F3420" s="2">
        <v>6</v>
      </c>
      <c r="G3420" s="2">
        <v>2</v>
      </c>
      <c r="H3420" s="2">
        <f>Tabla_Items_Con_Existencia[[#This Row],[COSTO]]*Tabla_Items_Con_Existencia[[#This Row],[EXISTENCIA]]</f>
        <v>12</v>
      </c>
      <c r="I3420" s="1">
        <f>IF(ISERROR(MATCH(Tabla_Items_Con_Existencia[[#This Row],[CODIGO]],Tabla_Items_Activos[CODIGO],0)),0,1)</f>
        <v>0</v>
      </c>
    </row>
    <row r="3421" spans="1:9">
      <c r="A3421" s="2" t="s">
        <v>6760</v>
      </c>
      <c r="B3421" s="2" t="s">
        <v>5027</v>
      </c>
      <c r="C3421" s="2" t="s">
        <v>5028</v>
      </c>
      <c r="D3421" s="2" t="s">
        <v>5157</v>
      </c>
      <c r="E3421" s="2" t="s">
        <v>5192</v>
      </c>
      <c r="F3421" s="2">
        <v>2</v>
      </c>
      <c r="G3421" s="2">
        <v>16</v>
      </c>
      <c r="H3421" s="2">
        <f>Tabla_Items_Con_Existencia[[#This Row],[COSTO]]*Tabla_Items_Con_Existencia[[#This Row],[EXISTENCIA]]</f>
        <v>32</v>
      </c>
      <c r="I3421" s="1">
        <f>IF(ISERROR(MATCH(Tabla_Items_Con_Existencia[[#This Row],[CODIGO]],Tabla_Items_Activos[CODIGO],0)),0,1)</f>
        <v>0</v>
      </c>
    </row>
    <row r="3422" spans="1:9">
      <c r="A3422" s="2" t="s">
        <v>6760</v>
      </c>
      <c r="B3422" s="2" t="s">
        <v>5029</v>
      </c>
      <c r="C3422" s="2" t="s">
        <v>5030</v>
      </c>
      <c r="D3422" s="2" t="s">
        <v>5228</v>
      </c>
      <c r="E3422" s="2" t="s">
        <v>5168</v>
      </c>
      <c r="F3422" s="2">
        <v>16.53</v>
      </c>
      <c r="G3422" s="2">
        <v>4</v>
      </c>
      <c r="H3422" s="2">
        <f>Tabla_Items_Con_Existencia[[#This Row],[COSTO]]*Tabla_Items_Con_Existencia[[#This Row],[EXISTENCIA]]</f>
        <v>66.12</v>
      </c>
      <c r="I3422" s="1">
        <f>IF(ISERROR(MATCH(Tabla_Items_Con_Existencia[[#This Row],[CODIGO]],Tabla_Items_Activos[CODIGO],0)),0,1)</f>
        <v>0</v>
      </c>
    </row>
    <row r="3423" spans="1:9">
      <c r="A3423" s="2" t="s">
        <v>6760</v>
      </c>
      <c r="B3423" s="2" t="s">
        <v>5031</v>
      </c>
      <c r="C3423" s="2" t="s">
        <v>5032</v>
      </c>
      <c r="D3423" s="2" t="s">
        <v>5222</v>
      </c>
      <c r="E3423" s="2" t="s">
        <v>5168</v>
      </c>
      <c r="F3423" s="2">
        <v>2</v>
      </c>
      <c r="G3423" s="2">
        <v>36</v>
      </c>
      <c r="H3423" s="2">
        <f>Tabla_Items_Con_Existencia[[#This Row],[COSTO]]*Tabla_Items_Con_Existencia[[#This Row],[EXISTENCIA]]</f>
        <v>72</v>
      </c>
      <c r="I3423" s="1">
        <f>IF(ISERROR(MATCH(Tabla_Items_Con_Existencia[[#This Row],[CODIGO]],Tabla_Items_Activos[CODIGO],0)),0,1)</f>
        <v>0</v>
      </c>
    </row>
    <row r="3424" spans="1:9">
      <c r="A3424" s="2" t="s">
        <v>6760</v>
      </c>
      <c r="B3424" s="2" t="s">
        <v>5033</v>
      </c>
      <c r="C3424" s="2" t="s">
        <v>5034</v>
      </c>
      <c r="D3424" s="2" t="s">
        <v>5157</v>
      </c>
      <c r="E3424" s="2" t="s">
        <v>5192</v>
      </c>
      <c r="F3424" s="2">
        <v>1</v>
      </c>
      <c r="G3424" s="2">
        <v>9</v>
      </c>
      <c r="H3424" s="2">
        <f>Tabla_Items_Con_Existencia[[#This Row],[COSTO]]*Tabla_Items_Con_Existencia[[#This Row],[EXISTENCIA]]</f>
        <v>9</v>
      </c>
      <c r="I3424" s="1">
        <f>IF(ISERROR(MATCH(Tabla_Items_Con_Existencia[[#This Row],[CODIGO]],Tabla_Items_Activos[CODIGO],0)),0,1)</f>
        <v>0</v>
      </c>
    </row>
    <row r="3425" spans="1:9">
      <c r="A3425" s="2" t="s">
        <v>6760</v>
      </c>
      <c r="B3425" s="2" t="s">
        <v>5035</v>
      </c>
      <c r="C3425" s="2" t="s">
        <v>5036</v>
      </c>
      <c r="D3425" s="2" t="s">
        <v>5222</v>
      </c>
      <c r="E3425" s="2" t="s">
        <v>5168</v>
      </c>
      <c r="F3425" s="2">
        <v>6.25</v>
      </c>
      <c r="G3425" s="2">
        <v>7</v>
      </c>
      <c r="H3425" s="2">
        <f>Tabla_Items_Con_Existencia[[#This Row],[COSTO]]*Tabla_Items_Con_Existencia[[#This Row],[EXISTENCIA]]</f>
        <v>43.75</v>
      </c>
      <c r="I3425" s="1">
        <f>IF(ISERROR(MATCH(Tabla_Items_Con_Existencia[[#This Row],[CODIGO]],Tabla_Items_Activos[CODIGO],0)),0,1)</f>
        <v>0</v>
      </c>
    </row>
    <row r="3426" spans="1:9">
      <c r="A3426" s="2" t="s">
        <v>6760</v>
      </c>
      <c r="B3426" s="2" t="s">
        <v>5037</v>
      </c>
      <c r="C3426" s="2" t="s">
        <v>5038</v>
      </c>
      <c r="D3426" s="2" t="s">
        <v>5157</v>
      </c>
      <c r="E3426" s="2" t="s">
        <v>5192</v>
      </c>
      <c r="F3426" s="2">
        <v>436.8</v>
      </c>
      <c r="G3426" s="2">
        <v>1</v>
      </c>
      <c r="H3426" s="2">
        <f>Tabla_Items_Con_Existencia[[#This Row],[COSTO]]*Tabla_Items_Con_Existencia[[#This Row],[EXISTENCIA]]</f>
        <v>436.8</v>
      </c>
      <c r="I3426" s="1">
        <f>IF(ISERROR(MATCH(Tabla_Items_Con_Existencia[[#This Row],[CODIGO]],Tabla_Items_Activos[CODIGO],0)),0,1)</f>
        <v>0</v>
      </c>
    </row>
    <row r="3427" spans="1:9">
      <c r="A3427" s="2" t="s">
        <v>6760</v>
      </c>
      <c r="B3427" s="2" t="s">
        <v>5041</v>
      </c>
      <c r="C3427" s="2" t="s">
        <v>5042</v>
      </c>
      <c r="D3427" s="2" t="s">
        <v>5166</v>
      </c>
      <c r="E3427" s="2" t="s">
        <v>5192</v>
      </c>
      <c r="F3427" s="2">
        <v>40.65</v>
      </c>
      <c r="G3427" s="2">
        <v>1</v>
      </c>
      <c r="H3427" s="2">
        <f>Tabla_Items_Con_Existencia[[#This Row],[COSTO]]*Tabla_Items_Con_Existencia[[#This Row],[EXISTENCIA]]</f>
        <v>40.65</v>
      </c>
      <c r="I3427" s="1">
        <f>IF(ISERROR(MATCH(Tabla_Items_Con_Existencia[[#This Row],[CODIGO]],Tabla_Items_Activos[CODIGO],0)),0,1)</f>
        <v>0</v>
      </c>
    </row>
    <row r="3428" spans="1:9">
      <c r="A3428" s="2" t="s">
        <v>6760</v>
      </c>
      <c r="B3428" s="2" t="s">
        <v>5043</v>
      </c>
      <c r="C3428" s="2" t="s">
        <v>5044</v>
      </c>
      <c r="D3428" s="2" t="s">
        <v>5158</v>
      </c>
      <c r="E3428" s="2" t="s">
        <v>5159</v>
      </c>
      <c r="F3428" s="2">
        <v>0.23699999999999999</v>
      </c>
      <c r="G3428" s="2">
        <v>15</v>
      </c>
      <c r="H3428" s="2">
        <f>Tabla_Items_Con_Existencia[[#This Row],[COSTO]]*Tabla_Items_Con_Existencia[[#This Row],[EXISTENCIA]]</f>
        <v>3.5549999999999997</v>
      </c>
      <c r="I3428" s="1">
        <f>IF(ISERROR(MATCH(Tabla_Items_Con_Existencia[[#This Row],[CODIGO]],Tabla_Items_Activos[CODIGO],0)),0,1)</f>
        <v>0</v>
      </c>
    </row>
    <row r="3429" spans="1:9">
      <c r="A3429" s="2" t="s">
        <v>6761</v>
      </c>
      <c r="B3429" s="2" t="s">
        <v>7292</v>
      </c>
      <c r="C3429" s="2" t="s">
        <v>7293</v>
      </c>
      <c r="D3429" s="2" t="s">
        <v>7289</v>
      </c>
      <c r="E3429" s="2" t="s">
        <v>7194</v>
      </c>
      <c r="F3429" s="2">
        <v>0</v>
      </c>
      <c r="G3429" s="2">
        <v>1</v>
      </c>
      <c r="H3429" s="2">
        <f>Tabla_Items_Con_Existencia[[#This Row],[COSTO]]*Tabla_Items_Con_Existencia[[#This Row],[EXISTENCIA]]</f>
        <v>0</v>
      </c>
      <c r="I3429" s="1">
        <f>IF(ISERROR(MATCH(Tabla_Items_Con_Existencia[[#This Row],[CODIGO]],Tabla_Items_Activos[CODIGO],0)),0,1)</f>
        <v>0</v>
      </c>
    </row>
    <row r="3430" spans="1:9">
      <c r="A3430" s="2" t="s">
        <v>6760</v>
      </c>
      <c r="B3430" s="2" t="s">
        <v>7386</v>
      </c>
      <c r="C3430" s="2" t="s">
        <v>7387</v>
      </c>
      <c r="D3430" s="2" t="s">
        <v>7286</v>
      </c>
      <c r="E3430" s="2" t="s">
        <v>5192</v>
      </c>
      <c r="F3430" s="2">
        <v>383.75299999999999</v>
      </c>
      <c r="G3430" s="2">
        <v>1</v>
      </c>
      <c r="H3430" s="2">
        <f>Tabla_Items_Con_Existencia[[#This Row],[COSTO]]*Tabla_Items_Con_Existencia[[#This Row],[EXISTENCIA]]</f>
        <v>383.75299999999999</v>
      </c>
      <c r="I3430" s="1">
        <f>IF(ISERROR(MATCH(Tabla_Items_Con_Existencia[[#This Row],[CODIGO]],Tabla_Items_Activos[CODIGO],0)),0,1)</f>
        <v>0</v>
      </c>
    </row>
    <row r="3431" spans="1:9">
      <c r="A3431" s="2" t="s">
        <v>6761</v>
      </c>
      <c r="B3431" s="2" t="s">
        <v>7087</v>
      </c>
      <c r="C3431" s="2" t="s">
        <v>7088</v>
      </c>
      <c r="D3431" s="2" t="s">
        <v>5226</v>
      </c>
      <c r="E3431" s="2" t="s">
        <v>5192</v>
      </c>
      <c r="F3431" s="2">
        <v>218.43</v>
      </c>
      <c r="G3431" s="2">
        <v>3</v>
      </c>
      <c r="H3431" s="2">
        <f>Tabla_Items_Con_Existencia[[#This Row],[COSTO]]*Tabla_Items_Con_Existencia[[#This Row],[EXISTENCIA]]</f>
        <v>655.29</v>
      </c>
      <c r="I3431" s="1">
        <f>IF(ISERROR(MATCH(Tabla_Items_Con_Existencia[[#This Row],[CODIGO]],Tabla_Items_Activos[CODIGO],0)),0,1)</f>
        <v>0</v>
      </c>
    </row>
    <row r="3432" spans="1:9">
      <c r="A3432" s="2" t="s">
        <v>6760</v>
      </c>
      <c r="B3432" s="2" t="s">
        <v>1137</v>
      </c>
      <c r="C3432" s="2" t="s">
        <v>6276</v>
      </c>
      <c r="D3432" s="2" t="s">
        <v>6751</v>
      </c>
      <c r="E3432" s="2" t="s">
        <v>5168</v>
      </c>
      <c r="F3432" s="2">
        <v>526.47794737000004</v>
      </c>
      <c r="G3432" s="2">
        <v>2</v>
      </c>
      <c r="H3432" s="2">
        <f>Tabla_Items_Con_Existencia[[#This Row],[COSTO]]*Tabla_Items_Con_Existencia[[#This Row],[EXISTENCIA]]</f>
        <v>1052.9558947400001</v>
      </c>
      <c r="I3432" s="1">
        <f>IF(ISERROR(MATCH(Tabla_Items_Con_Existencia[[#This Row],[CODIGO]],Tabla_Items_Activos[CODIGO],0)),0,1)</f>
        <v>0</v>
      </c>
    </row>
    <row r="3433" spans="1:9">
      <c r="A3433" s="2" t="s">
        <v>6761</v>
      </c>
      <c r="B3433" s="2" t="s">
        <v>1137</v>
      </c>
      <c r="C3433" s="2" t="s">
        <v>6276</v>
      </c>
      <c r="D3433" s="2" t="s">
        <v>6751</v>
      </c>
      <c r="E3433" s="2" t="s">
        <v>5168</v>
      </c>
      <c r="F3433" s="2">
        <v>526.47794737000004</v>
      </c>
      <c r="G3433" s="2">
        <v>2</v>
      </c>
      <c r="H3433" s="2">
        <f>Tabla_Items_Con_Existencia[[#This Row],[COSTO]]*Tabla_Items_Con_Existencia[[#This Row],[EXISTENCIA]]</f>
        <v>1052.9558947400001</v>
      </c>
      <c r="I3433" s="1">
        <f>IF(ISERROR(MATCH(Tabla_Items_Con_Existencia[[#This Row],[CODIGO]],Tabla_Items_Activos[CODIGO],0)),0,1)</f>
        <v>0</v>
      </c>
    </row>
    <row r="3434" spans="1:9">
      <c r="A3434" s="2" t="s">
        <v>6760</v>
      </c>
      <c r="B3434" s="2" t="s">
        <v>5047</v>
      </c>
      <c r="C3434" s="2" t="s">
        <v>5048</v>
      </c>
      <c r="D3434" s="2" t="s">
        <v>6751</v>
      </c>
      <c r="E3434" s="2" t="s">
        <v>5168</v>
      </c>
      <c r="F3434" s="2">
        <v>986.26499999999999</v>
      </c>
      <c r="G3434" s="2">
        <v>1</v>
      </c>
      <c r="H3434" s="2">
        <f>Tabla_Items_Con_Existencia[[#This Row],[COSTO]]*Tabla_Items_Con_Existencia[[#This Row],[EXISTENCIA]]</f>
        <v>986.26499999999999</v>
      </c>
      <c r="I3434" s="1">
        <f>IF(ISERROR(MATCH(Tabla_Items_Con_Existencia[[#This Row],[CODIGO]],Tabla_Items_Activos[CODIGO],0)),0,1)</f>
        <v>0</v>
      </c>
    </row>
    <row r="3435" spans="1:9">
      <c r="A3435" s="2" t="s">
        <v>6760</v>
      </c>
      <c r="B3435" s="2" t="s">
        <v>5049</v>
      </c>
      <c r="C3435" s="2" t="s">
        <v>5050</v>
      </c>
      <c r="D3435" s="2" t="s">
        <v>6752</v>
      </c>
      <c r="E3435" s="2" t="s">
        <v>5168</v>
      </c>
      <c r="F3435" s="2">
        <v>4.1360000000000001</v>
      </c>
      <c r="G3435" s="2">
        <v>28</v>
      </c>
      <c r="H3435" s="2">
        <f>Tabla_Items_Con_Existencia[[#This Row],[COSTO]]*Tabla_Items_Con_Existencia[[#This Row],[EXISTENCIA]]</f>
        <v>115.80800000000001</v>
      </c>
      <c r="I3435" s="1">
        <f>IF(ISERROR(MATCH(Tabla_Items_Con_Existencia[[#This Row],[CODIGO]],Tabla_Items_Activos[CODIGO],0)),0,1)</f>
        <v>0</v>
      </c>
    </row>
    <row r="3436" spans="1:9">
      <c r="A3436" s="2" t="s">
        <v>6760</v>
      </c>
      <c r="B3436" s="2" t="s">
        <v>7142</v>
      </c>
      <c r="C3436" s="2" t="s">
        <v>7143</v>
      </c>
      <c r="D3436" s="2" t="s">
        <v>6752</v>
      </c>
      <c r="E3436" s="2" t="s">
        <v>5168</v>
      </c>
      <c r="F3436" s="2">
        <v>0</v>
      </c>
      <c r="G3436" s="2">
        <v>17</v>
      </c>
      <c r="H3436" s="2">
        <f>Tabla_Items_Con_Existencia[[#This Row],[COSTO]]*Tabla_Items_Con_Existencia[[#This Row],[EXISTENCIA]]</f>
        <v>0</v>
      </c>
      <c r="I3436" s="1">
        <f>IF(ISERROR(MATCH(Tabla_Items_Con_Existencia[[#This Row],[CODIGO]],Tabla_Items_Activos[CODIGO],0)),0,1)</f>
        <v>0</v>
      </c>
    </row>
    <row r="3437" spans="1:9">
      <c r="A3437" s="2" t="s">
        <v>6760</v>
      </c>
      <c r="B3437" s="2" t="s">
        <v>5051</v>
      </c>
      <c r="C3437" s="2" t="s">
        <v>5052</v>
      </c>
      <c r="D3437" s="2" t="s">
        <v>6752</v>
      </c>
      <c r="E3437" s="2" t="s">
        <v>5168</v>
      </c>
      <c r="F3437" s="2">
        <v>28.456</v>
      </c>
      <c r="G3437" s="2">
        <v>5</v>
      </c>
      <c r="H3437" s="2">
        <f>Tabla_Items_Con_Existencia[[#This Row],[COSTO]]*Tabla_Items_Con_Existencia[[#This Row],[EXISTENCIA]]</f>
        <v>142.28</v>
      </c>
      <c r="I3437" s="1">
        <f>IF(ISERROR(MATCH(Tabla_Items_Con_Existencia[[#This Row],[CODIGO]],Tabla_Items_Activos[CODIGO],0)),0,1)</f>
        <v>0</v>
      </c>
    </row>
    <row r="3438" spans="1:9">
      <c r="A3438" s="2" t="s">
        <v>6760</v>
      </c>
      <c r="B3438" s="2" t="s">
        <v>5053</v>
      </c>
      <c r="C3438" s="2" t="s">
        <v>5054</v>
      </c>
      <c r="D3438" s="2" t="s">
        <v>6752</v>
      </c>
      <c r="E3438" s="2" t="s">
        <v>5168</v>
      </c>
      <c r="F3438" s="2">
        <v>9.1059999999999999</v>
      </c>
      <c r="G3438" s="2">
        <v>41</v>
      </c>
      <c r="H3438" s="2">
        <f>Tabla_Items_Con_Existencia[[#This Row],[COSTO]]*Tabla_Items_Con_Existencia[[#This Row],[EXISTENCIA]]</f>
        <v>373.346</v>
      </c>
      <c r="I3438" s="1">
        <f>IF(ISERROR(MATCH(Tabla_Items_Con_Existencia[[#This Row],[CODIGO]],Tabla_Items_Activos[CODIGO],0)),0,1)</f>
        <v>0</v>
      </c>
    </row>
    <row r="3439" spans="1:9">
      <c r="A3439" s="2" t="s">
        <v>6760</v>
      </c>
      <c r="B3439" s="2" t="s">
        <v>5055</v>
      </c>
      <c r="C3439" s="2" t="s">
        <v>5056</v>
      </c>
      <c r="D3439" s="2" t="s">
        <v>6752</v>
      </c>
      <c r="E3439" s="2" t="s">
        <v>5168</v>
      </c>
      <c r="F3439" s="2">
        <v>5.8970000000000002</v>
      </c>
      <c r="G3439" s="2">
        <v>4</v>
      </c>
      <c r="H3439" s="2">
        <f>Tabla_Items_Con_Existencia[[#This Row],[COSTO]]*Tabla_Items_Con_Existencia[[#This Row],[EXISTENCIA]]</f>
        <v>23.588000000000001</v>
      </c>
      <c r="I3439" s="1">
        <f>IF(ISERROR(MATCH(Tabla_Items_Con_Existencia[[#This Row],[CODIGO]],Tabla_Items_Activos[CODIGO],0)),0,1)</f>
        <v>0</v>
      </c>
    </row>
    <row r="3440" spans="1:9">
      <c r="A3440" s="2" t="s">
        <v>6760</v>
      </c>
      <c r="B3440" s="2" t="s">
        <v>5057</v>
      </c>
      <c r="C3440" s="2" t="s">
        <v>5058</v>
      </c>
      <c r="D3440" s="2" t="s">
        <v>6752</v>
      </c>
      <c r="E3440" s="2" t="s">
        <v>5168</v>
      </c>
      <c r="F3440" s="2">
        <v>4.4530000000000003</v>
      </c>
      <c r="G3440" s="2">
        <v>3</v>
      </c>
      <c r="H3440" s="2">
        <f>Tabla_Items_Con_Existencia[[#This Row],[COSTO]]*Tabla_Items_Con_Existencia[[#This Row],[EXISTENCIA]]</f>
        <v>13.359000000000002</v>
      </c>
      <c r="I3440" s="1">
        <f>IF(ISERROR(MATCH(Tabla_Items_Con_Existencia[[#This Row],[CODIGO]],Tabla_Items_Activos[CODIGO],0)),0,1)</f>
        <v>0</v>
      </c>
    </row>
    <row r="3441" spans="1:9">
      <c r="A3441" s="2" t="s">
        <v>6760</v>
      </c>
      <c r="B3441" s="2" t="s">
        <v>5059</v>
      </c>
      <c r="C3441" s="2" t="s">
        <v>5060</v>
      </c>
      <c r="D3441" s="2" t="s">
        <v>6752</v>
      </c>
      <c r="E3441" s="2" t="s">
        <v>5168</v>
      </c>
      <c r="F3441" s="2">
        <v>1.7030000000000001</v>
      </c>
      <c r="G3441" s="2">
        <v>10</v>
      </c>
      <c r="H3441" s="2">
        <f>Tabla_Items_Con_Existencia[[#This Row],[COSTO]]*Tabla_Items_Con_Existencia[[#This Row],[EXISTENCIA]]</f>
        <v>17.03</v>
      </c>
      <c r="I3441" s="1">
        <f>IF(ISERROR(MATCH(Tabla_Items_Con_Existencia[[#This Row],[CODIGO]],Tabla_Items_Activos[CODIGO],0)),0,1)</f>
        <v>0</v>
      </c>
    </row>
    <row r="3442" spans="1:9">
      <c r="A3442" s="2" t="s">
        <v>6760</v>
      </c>
      <c r="B3442" s="2" t="s">
        <v>5061</v>
      </c>
      <c r="C3442" s="2" t="s">
        <v>5062</v>
      </c>
      <c r="D3442" s="2" t="s">
        <v>6752</v>
      </c>
      <c r="E3442" s="2" t="s">
        <v>5168</v>
      </c>
      <c r="F3442" s="2">
        <v>1.65</v>
      </c>
      <c r="G3442" s="2">
        <v>8</v>
      </c>
      <c r="H3442" s="2">
        <f>Tabla_Items_Con_Existencia[[#This Row],[COSTO]]*Tabla_Items_Con_Existencia[[#This Row],[EXISTENCIA]]</f>
        <v>13.2</v>
      </c>
      <c r="I3442" s="1">
        <f>IF(ISERROR(MATCH(Tabla_Items_Con_Existencia[[#This Row],[CODIGO]],Tabla_Items_Activos[CODIGO],0)),0,1)</f>
        <v>0</v>
      </c>
    </row>
    <row r="3443" spans="1:9">
      <c r="A3443" s="2" t="s">
        <v>6760</v>
      </c>
      <c r="B3443" s="2" t="s">
        <v>5063</v>
      </c>
      <c r="C3443" s="2" t="s">
        <v>5064</v>
      </c>
      <c r="D3443" s="2" t="s">
        <v>6752</v>
      </c>
      <c r="E3443" s="2" t="s">
        <v>5168</v>
      </c>
      <c r="F3443" s="2">
        <v>1.8080000000000001</v>
      </c>
      <c r="G3443" s="2">
        <v>2</v>
      </c>
      <c r="H3443" s="2">
        <f>Tabla_Items_Con_Existencia[[#This Row],[COSTO]]*Tabla_Items_Con_Existencia[[#This Row],[EXISTENCIA]]</f>
        <v>3.6160000000000001</v>
      </c>
      <c r="I3443" s="1">
        <f>IF(ISERROR(MATCH(Tabla_Items_Con_Existencia[[#This Row],[CODIGO]],Tabla_Items_Activos[CODIGO],0)),0,1)</f>
        <v>0</v>
      </c>
    </row>
    <row r="3444" spans="1:9">
      <c r="A3444" s="2" t="s">
        <v>6760</v>
      </c>
      <c r="B3444" s="2" t="s">
        <v>5065</v>
      </c>
      <c r="C3444" s="2" t="s">
        <v>5066</v>
      </c>
      <c r="D3444" s="2" t="s">
        <v>6752</v>
      </c>
      <c r="E3444" s="2" t="s">
        <v>5168</v>
      </c>
      <c r="F3444" s="2">
        <v>1.8080000000000001</v>
      </c>
      <c r="G3444" s="2">
        <v>3</v>
      </c>
      <c r="H3444" s="2">
        <f>Tabla_Items_Con_Existencia[[#This Row],[COSTO]]*Tabla_Items_Con_Existencia[[#This Row],[EXISTENCIA]]</f>
        <v>5.4240000000000004</v>
      </c>
      <c r="I3444" s="1">
        <f>IF(ISERROR(MATCH(Tabla_Items_Con_Existencia[[#This Row],[CODIGO]],Tabla_Items_Activos[CODIGO],0)),0,1)</f>
        <v>0</v>
      </c>
    </row>
    <row r="3445" spans="1:9">
      <c r="A3445" s="2" t="s">
        <v>6760</v>
      </c>
      <c r="B3445" s="2" t="s">
        <v>5069</v>
      </c>
      <c r="C3445" s="2" t="s">
        <v>5070</v>
      </c>
      <c r="D3445" s="2" t="s">
        <v>6752</v>
      </c>
      <c r="E3445" s="2" t="s">
        <v>5168</v>
      </c>
      <c r="F3445" s="2">
        <v>12.385</v>
      </c>
      <c r="G3445" s="2">
        <v>1</v>
      </c>
      <c r="H3445" s="2">
        <f>Tabla_Items_Con_Existencia[[#This Row],[COSTO]]*Tabla_Items_Con_Existencia[[#This Row],[EXISTENCIA]]</f>
        <v>12.385</v>
      </c>
      <c r="I3445" s="1">
        <f>IF(ISERROR(MATCH(Tabla_Items_Con_Existencia[[#This Row],[CODIGO]],Tabla_Items_Activos[CODIGO],0)),0,1)</f>
        <v>0</v>
      </c>
    </row>
    <row r="3446" spans="1:9">
      <c r="A3446" s="2" t="s">
        <v>6760</v>
      </c>
      <c r="B3446" s="2" t="s">
        <v>5071</v>
      </c>
      <c r="C3446" s="2" t="s">
        <v>5072</v>
      </c>
      <c r="D3446" s="2" t="s">
        <v>6752</v>
      </c>
      <c r="E3446" s="2" t="s">
        <v>5168</v>
      </c>
      <c r="F3446" s="2">
        <v>2.9169999999999998</v>
      </c>
      <c r="G3446" s="2">
        <v>3</v>
      </c>
      <c r="H3446" s="2">
        <f>Tabla_Items_Con_Existencia[[#This Row],[COSTO]]*Tabla_Items_Con_Existencia[[#This Row],[EXISTENCIA]]</f>
        <v>8.7509999999999994</v>
      </c>
      <c r="I3446" s="1">
        <f>IF(ISERROR(MATCH(Tabla_Items_Con_Existencia[[#This Row],[CODIGO]],Tabla_Items_Activos[CODIGO],0)),0,1)</f>
        <v>0</v>
      </c>
    </row>
    <row r="3447" spans="1:9">
      <c r="A3447" s="2" t="s">
        <v>6760</v>
      </c>
      <c r="B3447" s="2" t="s">
        <v>5075</v>
      </c>
      <c r="C3447" s="2" t="s">
        <v>5076</v>
      </c>
      <c r="D3447" s="2" t="s">
        <v>6752</v>
      </c>
      <c r="E3447" s="2" t="s">
        <v>5168</v>
      </c>
      <c r="F3447" s="2">
        <v>44.81</v>
      </c>
      <c r="G3447" s="2">
        <v>1</v>
      </c>
      <c r="H3447" s="2">
        <f>Tabla_Items_Con_Existencia[[#This Row],[COSTO]]*Tabla_Items_Con_Existencia[[#This Row],[EXISTENCIA]]</f>
        <v>44.81</v>
      </c>
      <c r="I3447" s="1">
        <f>IF(ISERROR(MATCH(Tabla_Items_Con_Existencia[[#This Row],[CODIGO]],Tabla_Items_Activos[CODIGO],0)),0,1)</f>
        <v>0</v>
      </c>
    </row>
    <row r="3448" spans="1:9">
      <c r="A3448" s="2" t="s">
        <v>6760</v>
      </c>
      <c r="B3448" s="2" t="s">
        <v>5077</v>
      </c>
      <c r="C3448" s="2" t="s">
        <v>5078</v>
      </c>
      <c r="D3448" s="2" t="s">
        <v>6752</v>
      </c>
      <c r="E3448" s="2" t="s">
        <v>5168</v>
      </c>
      <c r="F3448" s="2">
        <v>34.6</v>
      </c>
      <c r="G3448" s="2">
        <v>1</v>
      </c>
      <c r="H3448" s="2">
        <f>Tabla_Items_Con_Existencia[[#This Row],[COSTO]]*Tabla_Items_Con_Existencia[[#This Row],[EXISTENCIA]]</f>
        <v>34.6</v>
      </c>
      <c r="I3448" s="1">
        <f>IF(ISERROR(MATCH(Tabla_Items_Con_Existencia[[#This Row],[CODIGO]],Tabla_Items_Activos[CODIGO],0)),0,1)</f>
        <v>0</v>
      </c>
    </row>
    <row r="3449" spans="1:9">
      <c r="A3449" s="2" t="s">
        <v>6760</v>
      </c>
      <c r="B3449" s="2" t="s">
        <v>5079</v>
      </c>
      <c r="C3449" s="2" t="s">
        <v>5080</v>
      </c>
      <c r="D3449" s="2" t="s">
        <v>6752</v>
      </c>
      <c r="E3449" s="2" t="s">
        <v>5168</v>
      </c>
      <c r="F3449" s="2">
        <v>15.45</v>
      </c>
      <c r="G3449" s="2">
        <v>1</v>
      </c>
      <c r="H3449" s="2">
        <f>Tabla_Items_Con_Existencia[[#This Row],[COSTO]]*Tabla_Items_Con_Existencia[[#This Row],[EXISTENCIA]]</f>
        <v>15.45</v>
      </c>
      <c r="I3449" s="1">
        <f>IF(ISERROR(MATCH(Tabla_Items_Con_Existencia[[#This Row],[CODIGO]],Tabla_Items_Activos[CODIGO],0)),0,1)</f>
        <v>0</v>
      </c>
    </row>
    <row r="3450" spans="1:9">
      <c r="A3450" s="2" t="s">
        <v>6760</v>
      </c>
      <c r="B3450" s="2" t="s">
        <v>5081</v>
      </c>
      <c r="C3450" s="2" t="s">
        <v>5082</v>
      </c>
      <c r="D3450" s="2" t="s">
        <v>6752</v>
      </c>
      <c r="E3450" s="2" t="s">
        <v>5168</v>
      </c>
      <c r="F3450" s="2">
        <v>10.06</v>
      </c>
      <c r="G3450" s="2">
        <v>1</v>
      </c>
      <c r="H3450" s="2">
        <f>Tabla_Items_Con_Existencia[[#This Row],[COSTO]]*Tabla_Items_Con_Existencia[[#This Row],[EXISTENCIA]]</f>
        <v>10.06</v>
      </c>
      <c r="I3450" s="1">
        <f>IF(ISERROR(MATCH(Tabla_Items_Con_Existencia[[#This Row],[CODIGO]],Tabla_Items_Activos[CODIGO],0)),0,1)</f>
        <v>0</v>
      </c>
    </row>
    <row r="3451" spans="1:9">
      <c r="A3451" s="2" t="s">
        <v>6760</v>
      </c>
      <c r="B3451" s="2" t="s">
        <v>5083</v>
      </c>
      <c r="C3451" s="2" t="s">
        <v>5084</v>
      </c>
      <c r="D3451" s="2" t="s">
        <v>6752</v>
      </c>
      <c r="E3451" s="2" t="s">
        <v>5168</v>
      </c>
      <c r="F3451" s="2">
        <v>2.496</v>
      </c>
      <c r="G3451" s="2">
        <v>9</v>
      </c>
      <c r="H3451" s="2">
        <f>Tabla_Items_Con_Existencia[[#This Row],[COSTO]]*Tabla_Items_Con_Existencia[[#This Row],[EXISTENCIA]]</f>
        <v>22.463999999999999</v>
      </c>
      <c r="I3451" s="1">
        <f>IF(ISERROR(MATCH(Tabla_Items_Con_Existencia[[#This Row],[CODIGO]],Tabla_Items_Activos[CODIGO],0)),0,1)</f>
        <v>0</v>
      </c>
    </row>
    <row r="3452" spans="1:9">
      <c r="A3452" s="2" t="s">
        <v>6760</v>
      </c>
      <c r="B3452" s="2" t="s">
        <v>5085</v>
      </c>
      <c r="C3452" s="2" t="s">
        <v>5086</v>
      </c>
      <c r="D3452" s="2" t="s">
        <v>6752</v>
      </c>
      <c r="E3452" s="2" t="s">
        <v>5168</v>
      </c>
      <c r="F3452" s="2">
        <v>2.4950000000000001</v>
      </c>
      <c r="G3452" s="2">
        <v>2</v>
      </c>
      <c r="H3452" s="2">
        <f>Tabla_Items_Con_Existencia[[#This Row],[COSTO]]*Tabla_Items_Con_Existencia[[#This Row],[EXISTENCIA]]</f>
        <v>4.99</v>
      </c>
      <c r="I3452" s="1">
        <f>IF(ISERROR(MATCH(Tabla_Items_Con_Existencia[[#This Row],[CODIGO]],Tabla_Items_Activos[CODIGO],0)),0,1)</f>
        <v>0</v>
      </c>
    </row>
    <row r="3453" spans="1:9">
      <c r="A3453" s="2" t="s">
        <v>6760</v>
      </c>
      <c r="B3453" s="2" t="s">
        <v>5087</v>
      </c>
      <c r="C3453" s="2" t="s">
        <v>5088</v>
      </c>
      <c r="D3453" s="2" t="s">
        <v>6752</v>
      </c>
      <c r="E3453" s="2" t="s">
        <v>5168</v>
      </c>
      <c r="F3453" s="2">
        <v>2.6549999999999998</v>
      </c>
      <c r="G3453" s="2">
        <v>2</v>
      </c>
      <c r="H3453" s="2">
        <f>Tabla_Items_Con_Existencia[[#This Row],[COSTO]]*Tabla_Items_Con_Existencia[[#This Row],[EXISTENCIA]]</f>
        <v>5.31</v>
      </c>
      <c r="I3453" s="1">
        <f>IF(ISERROR(MATCH(Tabla_Items_Con_Existencia[[#This Row],[CODIGO]],Tabla_Items_Activos[CODIGO],0)),0,1)</f>
        <v>0</v>
      </c>
    </row>
    <row r="3454" spans="1:9">
      <c r="A3454" s="2" t="s">
        <v>6761</v>
      </c>
      <c r="B3454" s="2" t="s">
        <v>1138</v>
      </c>
      <c r="C3454" s="2" t="s">
        <v>5089</v>
      </c>
      <c r="D3454" s="2" t="s">
        <v>6751</v>
      </c>
      <c r="E3454" s="2" t="s">
        <v>5168</v>
      </c>
      <c r="F3454" s="2">
        <v>1886.4924210500001</v>
      </c>
      <c r="G3454" s="2">
        <v>2</v>
      </c>
      <c r="H3454" s="2">
        <f>Tabla_Items_Con_Existencia[[#This Row],[COSTO]]*Tabla_Items_Con_Existencia[[#This Row],[EXISTENCIA]]</f>
        <v>3772.9848421000002</v>
      </c>
      <c r="I3454" s="1">
        <f>IF(ISERROR(MATCH(Tabla_Items_Con_Existencia[[#This Row],[CODIGO]],Tabla_Items_Activos[CODIGO],0)),0,1)</f>
        <v>0</v>
      </c>
    </row>
    <row r="3455" spans="1:9">
      <c r="A3455" s="2" t="s">
        <v>6760</v>
      </c>
      <c r="B3455" s="2" t="s">
        <v>1138</v>
      </c>
      <c r="C3455" s="2" t="s">
        <v>5089</v>
      </c>
      <c r="D3455" s="2" t="s">
        <v>6751</v>
      </c>
      <c r="E3455" s="2" t="s">
        <v>5168</v>
      </c>
      <c r="F3455" s="2">
        <v>1886.4924210500001</v>
      </c>
      <c r="G3455" s="2">
        <v>2</v>
      </c>
      <c r="H3455" s="2">
        <f>Tabla_Items_Con_Existencia[[#This Row],[COSTO]]*Tabla_Items_Con_Existencia[[#This Row],[EXISTENCIA]]</f>
        <v>3772.9848421000002</v>
      </c>
      <c r="I3455" s="1">
        <f>IF(ISERROR(MATCH(Tabla_Items_Con_Existencia[[#This Row],[CODIGO]],Tabla_Items_Activos[CODIGO],0)),0,1)</f>
        <v>0</v>
      </c>
    </row>
    <row r="3456" spans="1:9">
      <c r="A3456" s="2" t="s">
        <v>6760</v>
      </c>
      <c r="B3456" s="2" t="s">
        <v>5091</v>
      </c>
      <c r="C3456" s="2" t="s">
        <v>5092</v>
      </c>
      <c r="D3456" s="2" t="s">
        <v>6750</v>
      </c>
      <c r="E3456" s="2" t="s">
        <v>5168</v>
      </c>
      <c r="F3456" s="2">
        <v>281.55200000000002</v>
      </c>
      <c r="G3456" s="2">
        <v>1</v>
      </c>
      <c r="H3456" s="2">
        <f>Tabla_Items_Con_Existencia[[#This Row],[COSTO]]*Tabla_Items_Con_Existencia[[#This Row],[EXISTENCIA]]</f>
        <v>281.55200000000002</v>
      </c>
      <c r="I3456" s="1">
        <f>IF(ISERROR(MATCH(Tabla_Items_Con_Existencia[[#This Row],[CODIGO]],Tabla_Items_Activos[CODIGO],0)),0,1)</f>
        <v>0</v>
      </c>
    </row>
    <row r="3457" spans="1:9">
      <c r="A3457" s="2" t="s">
        <v>6760</v>
      </c>
      <c r="B3457" s="2" t="s">
        <v>5093</v>
      </c>
      <c r="C3457" s="2" t="s">
        <v>5094</v>
      </c>
      <c r="D3457" s="2" t="s">
        <v>6750</v>
      </c>
      <c r="E3457" s="2" t="s">
        <v>5168</v>
      </c>
      <c r="F3457" s="2">
        <v>442.96</v>
      </c>
      <c r="G3457" s="2">
        <v>4</v>
      </c>
      <c r="H3457" s="2">
        <f>Tabla_Items_Con_Existencia[[#This Row],[COSTO]]*Tabla_Items_Con_Existencia[[#This Row],[EXISTENCIA]]</f>
        <v>1771.84</v>
      </c>
      <c r="I3457" s="1">
        <f>IF(ISERROR(MATCH(Tabla_Items_Con_Existencia[[#This Row],[CODIGO]],Tabla_Items_Activos[CODIGO],0)),0,1)</f>
        <v>0</v>
      </c>
    </row>
    <row r="3458" spans="1:9">
      <c r="A3458" s="2" t="s">
        <v>6760</v>
      </c>
      <c r="B3458" s="2" t="s">
        <v>7089</v>
      </c>
      <c r="C3458" s="2" t="s">
        <v>5096</v>
      </c>
      <c r="D3458" s="2" t="s">
        <v>6750</v>
      </c>
      <c r="E3458" s="2" t="s">
        <v>5168</v>
      </c>
      <c r="F3458" s="2">
        <v>462.99599999999998</v>
      </c>
      <c r="G3458" s="2">
        <v>1</v>
      </c>
      <c r="H3458" s="2">
        <f>Tabla_Items_Con_Existencia[[#This Row],[COSTO]]*Tabla_Items_Con_Existencia[[#This Row],[EXISTENCIA]]</f>
        <v>462.99599999999998</v>
      </c>
      <c r="I3458" s="1">
        <f>IF(ISERROR(MATCH(Tabla_Items_Con_Existencia[[#This Row],[CODIGO]],Tabla_Items_Activos[CODIGO],0)),0,1)</f>
        <v>0</v>
      </c>
    </row>
    <row r="3459" spans="1:9">
      <c r="A3459" s="2" t="s">
        <v>6760</v>
      </c>
      <c r="B3459" s="2" t="s">
        <v>5097</v>
      </c>
      <c r="C3459" s="2" t="s">
        <v>5098</v>
      </c>
      <c r="D3459" s="2" t="s">
        <v>6750</v>
      </c>
      <c r="E3459" s="2" t="s">
        <v>5168</v>
      </c>
      <c r="F3459" s="2">
        <v>152.88810526</v>
      </c>
      <c r="G3459" s="2">
        <v>2</v>
      </c>
      <c r="H3459" s="2">
        <f>Tabla_Items_Con_Existencia[[#This Row],[COSTO]]*Tabla_Items_Con_Existencia[[#This Row],[EXISTENCIA]]</f>
        <v>305.77621052000001</v>
      </c>
      <c r="I3459" s="1">
        <f>IF(ISERROR(MATCH(Tabla_Items_Con_Existencia[[#This Row],[CODIGO]],Tabla_Items_Activos[CODIGO],0)),0,1)</f>
        <v>0</v>
      </c>
    </row>
    <row r="3460" spans="1:9">
      <c r="A3460" s="2" t="s">
        <v>6761</v>
      </c>
      <c r="B3460" s="2" t="s">
        <v>5097</v>
      </c>
      <c r="C3460" s="2" t="s">
        <v>5098</v>
      </c>
      <c r="D3460" s="2" t="s">
        <v>6750</v>
      </c>
      <c r="E3460" s="2" t="s">
        <v>5168</v>
      </c>
      <c r="F3460" s="2">
        <v>152.88810526</v>
      </c>
      <c r="G3460" s="2">
        <v>2</v>
      </c>
      <c r="H3460" s="2">
        <f>Tabla_Items_Con_Existencia[[#This Row],[COSTO]]*Tabla_Items_Con_Existencia[[#This Row],[EXISTENCIA]]</f>
        <v>305.77621052000001</v>
      </c>
      <c r="I3460" s="1">
        <f>IF(ISERROR(MATCH(Tabla_Items_Con_Existencia[[#This Row],[CODIGO]],Tabla_Items_Activos[CODIGO],0)),0,1)</f>
        <v>0</v>
      </c>
    </row>
    <row r="3461" spans="1:9">
      <c r="A3461" s="2" t="s">
        <v>6760</v>
      </c>
      <c r="B3461" s="2" t="s">
        <v>5099</v>
      </c>
      <c r="C3461" s="2" t="s">
        <v>5100</v>
      </c>
      <c r="D3461" s="2" t="s">
        <v>5232</v>
      </c>
      <c r="E3461" s="2" t="s">
        <v>5168</v>
      </c>
      <c r="F3461" s="2">
        <v>54.979631580000003</v>
      </c>
      <c r="G3461" s="2">
        <v>2</v>
      </c>
      <c r="H3461" s="2">
        <f>Tabla_Items_Con_Existencia[[#This Row],[COSTO]]*Tabla_Items_Con_Existencia[[#This Row],[EXISTENCIA]]</f>
        <v>109.95926316000001</v>
      </c>
      <c r="I3461" s="1">
        <f>IF(ISERROR(MATCH(Tabla_Items_Con_Existencia[[#This Row],[CODIGO]],Tabla_Items_Activos[CODIGO],0)),0,1)</f>
        <v>0</v>
      </c>
    </row>
    <row r="3462" spans="1:9">
      <c r="A3462" s="2" t="s">
        <v>6761</v>
      </c>
      <c r="B3462" s="2" t="s">
        <v>5099</v>
      </c>
      <c r="C3462" s="2" t="s">
        <v>5100</v>
      </c>
      <c r="D3462" s="2" t="s">
        <v>5232</v>
      </c>
      <c r="E3462" s="2" t="s">
        <v>5168</v>
      </c>
      <c r="F3462" s="2">
        <v>54.979631580000003</v>
      </c>
      <c r="G3462" s="2">
        <v>2</v>
      </c>
      <c r="H3462" s="2">
        <f>Tabla_Items_Con_Existencia[[#This Row],[COSTO]]*Tabla_Items_Con_Existencia[[#This Row],[EXISTENCIA]]</f>
        <v>109.95926316000001</v>
      </c>
      <c r="I3462" s="1">
        <f>IF(ISERROR(MATCH(Tabla_Items_Con_Existencia[[#This Row],[CODIGO]],Tabla_Items_Activos[CODIGO],0)),0,1)</f>
        <v>0</v>
      </c>
    </row>
    <row r="3463" spans="1:9">
      <c r="A3463" s="2" t="s">
        <v>6760</v>
      </c>
      <c r="B3463" s="2" t="s">
        <v>5101</v>
      </c>
      <c r="C3463" s="2" t="s">
        <v>5102</v>
      </c>
      <c r="D3463" s="2" t="s">
        <v>6751</v>
      </c>
      <c r="E3463" s="2" t="s">
        <v>5168</v>
      </c>
      <c r="F3463" s="2">
        <v>475.72699999999998</v>
      </c>
      <c r="G3463" s="2">
        <v>1</v>
      </c>
      <c r="H3463" s="2">
        <f>Tabla_Items_Con_Existencia[[#This Row],[COSTO]]*Tabla_Items_Con_Existencia[[#This Row],[EXISTENCIA]]</f>
        <v>475.72699999999998</v>
      </c>
      <c r="I3463" s="1">
        <f>IF(ISERROR(MATCH(Tabla_Items_Con_Existencia[[#This Row],[CODIGO]],Tabla_Items_Activos[CODIGO],0)),0,1)</f>
        <v>0</v>
      </c>
    </row>
    <row r="3464" spans="1:9">
      <c r="A3464" s="2" t="s">
        <v>6760</v>
      </c>
      <c r="B3464" s="2" t="s">
        <v>1140</v>
      </c>
      <c r="C3464" s="2" t="s">
        <v>5103</v>
      </c>
      <c r="D3464" s="2" t="s">
        <v>6752</v>
      </c>
      <c r="E3464" s="2" t="s">
        <v>5168</v>
      </c>
      <c r="F3464" s="2">
        <v>34.97205263</v>
      </c>
      <c r="G3464" s="2">
        <v>4</v>
      </c>
      <c r="H3464" s="2">
        <f>Tabla_Items_Con_Existencia[[#This Row],[COSTO]]*Tabla_Items_Con_Existencia[[#This Row],[EXISTENCIA]]</f>
        <v>139.88821052</v>
      </c>
      <c r="I3464" s="1">
        <f>IF(ISERROR(MATCH(Tabla_Items_Con_Existencia[[#This Row],[CODIGO]],Tabla_Items_Activos[CODIGO],0)),0,1)</f>
        <v>0</v>
      </c>
    </row>
    <row r="3465" spans="1:9">
      <c r="A3465" s="2" t="s">
        <v>6761</v>
      </c>
      <c r="B3465" s="2" t="s">
        <v>1140</v>
      </c>
      <c r="C3465" s="2" t="s">
        <v>5103</v>
      </c>
      <c r="D3465" s="2" t="s">
        <v>6752</v>
      </c>
      <c r="E3465" s="2" t="s">
        <v>5168</v>
      </c>
      <c r="F3465" s="2">
        <v>34.97205263</v>
      </c>
      <c r="G3465" s="2">
        <v>4</v>
      </c>
      <c r="H3465" s="2">
        <f>Tabla_Items_Con_Existencia[[#This Row],[COSTO]]*Tabla_Items_Con_Existencia[[#This Row],[EXISTENCIA]]</f>
        <v>139.88821052</v>
      </c>
      <c r="I3465" s="1">
        <f>IF(ISERROR(MATCH(Tabla_Items_Con_Existencia[[#This Row],[CODIGO]],Tabla_Items_Activos[CODIGO],0)),0,1)</f>
        <v>0</v>
      </c>
    </row>
    <row r="3466" spans="1:9">
      <c r="A3466" s="2" t="s">
        <v>6760</v>
      </c>
      <c r="B3466" s="2" t="s">
        <v>7090</v>
      </c>
      <c r="C3466" s="2" t="s">
        <v>5105</v>
      </c>
      <c r="D3466" s="2" t="s">
        <v>6750</v>
      </c>
      <c r="E3466" s="2" t="s">
        <v>5168</v>
      </c>
      <c r="F3466" s="2">
        <v>936.82</v>
      </c>
      <c r="G3466" s="2">
        <v>1</v>
      </c>
      <c r="H3466" s="2">
        <f>Tabla_Items_Con_Existencia[[#This Row],[COSTO]]*Tabla_Items_Con_Existencia[[#This Row],[EXISTENCIA]]</f>
        <v>936.82</v>
      </c>
      <c r="I3466" s="1">
        <f>IF(ISERROR(MATCH(Tabla_Items_Con_Existencia[[#This Row],[CODIGO]],Tabla_Items_Activos[CODIGO],0)),0,1)</f>
        <v>0</v>
      </c>
    </row>
    <row r="3467" spans="1:9">
      <c r="A3467" s="2" t="s">
        <v>6760</v>
      </c>
      <c r="B3467" s="2" t="s">
        <v>5106</v>
      </c>
      <c r="C3467" s="2" t="s">
        <v>5107</v>
      </c>
      <c r="D3467" s="2" t="s">
        <v>6752</v>
      </c>
      <c r="E3467" s="2" t="s">
        <v>5168</v>
      </c>
      <c r="F3467" s="2">
        <v>77.108000000000004</v>
      </c>
      <c r="G3467" s="2">
        <v>4</v>
      </c>
      <c r="H3467" s="2">
        <f>Tabla_Items_Con_Existencia[[#This Row],[COSTO]]*Tabla_Items_Con_Existencia[[#This Row],[EXISTENCIA]]</f>
        <v>308.43200000000002</v>
      </c>
      <c r="I3467" s="1">
        <f>IF(ISERROR(MATCH(Tabla_Items_Con_Existencia[[#This Row],[CODIGO]],Tabla_Items_Activos[CODIGO],0)),0,1)</f>
        <v>0</v>
      </c>
    </row>
    <row r="3468" spans="1:9">
      <c r="A3468" s="2" t="s">
        <v>6760</v>
      </c>
      <c r="B3468" s="2" t="s">
        <v>1141</v>
      </c>
      <c r="C3468" s="2" t="s">
        <v>5108</v>
      </c>
      <c r="D3468" s="2" t="s">
        <v>6750</v>
      </c>
      <c r="E3468" s="2" t="s">
        <v>5168</v>
      </c>
      <c r="F3468" s="2">
        <v>530.79</v>
      </c>
      <c r="G3468" s="2">
        <v>1</v>
      </c>
      <c r="H3468" s="2">
        <f>Tabla_Items_Con_Existencia[[#This Row],[COSTO]]*Tabla_Items_Con_Existencia[[#This Row],[EXISTENCIA]]</f>
        <v>530.79</v>
      </c>
      <c r="I3468" s="1">
        <f>IF(ISERROR(MATCH(Tabla_Items_Con_Existencia[[#This Row],[CODIGO]],Tabla_Items_Activos[CODIGO],0)),0,1)</f>
        <v>0</v>
      </c>
    </row>
    <row r="3469" spans="1:9">
      <c r="A3469" s="2" t="s">
        <v>6760</v>
      </c>
      <c r="B3469" s="2" t="s">
        <v>1142</v>
      </c>
      <c r="C3469" s="2" t="s">
        <v>5109</v>
      </c>
      <c r="D3469" s="2" t="s">
        <v>6752</v>
      </c>
      <c r="E3469" s="2" t="s">
        <v>5168</v>
      </c>
      <c r="F3469" s="2">
        <v>119.24</v>
      </c>
      <c r="G3469" s="2">
        <v>1</v>
      </c>
      <c r="H3469" s="2">
        <f>Tabla_Items_Con_Existencia[[#This Row],[COSTO]]*Tabla_Items_Con_Existencia[[#This Row],[EXISTENCIA]]</f>
        <v>119.24</v>
      </c>
      <c r="I3469" s="1">
        <f>IF(ISERROR(MATCH(Tabla_Items_Con_Existencia[[#This Row],[CODIGO]],Tabla_Items_Activos[CODIGO],0)),0,1)</f>
        <v>0</v>
      </c>
    </row>
    <row r="3470" spans="1:9">
      <c r="A3470" s="2" t="s">
        <v>6760</v>
      </c>
      <c r="B3470" s="2" t="s">
        <v>5110</v>
      </c>
      <c r="C3470" s="2" t="s">
        <v>5111</v>
      </c>
      <c r="D3470" s="2" t="s">
        <v>6752</v>
      </c>
      <c r="E3470" s="2" t="s">
        <v>5168</v>
      </c>
      <c r="F3470" s="2">
        <v>9.1020000000000003</v>
      </c>
      <c r="G3470" s="2">
        <v>12</v>
      </c>
      <c r="H3470" s="2">
        <f>Tabla_Items_Con_Existencia[[#This Row],[COSTO]]*Tabla_Items_Con_Existencia[[#This Row],[EXISTENCIA]]</f>
        <v>109.224</v>
      </c>
      <c r="I3470" s="1">
        <f>IF(ISERROR(MATCH(Tabla_Items_Con_Existencia[[#This Row],[CODIGO]],Tabla_Items_Activos[CODIGO],0)),0,1)</f>
        <v>0</v>
      </c>
    </row>
    <row r="3471" spans="1:9">
      <c r="A3471" s="2" t="s">
        <v>6760</v>
      </c>
      <c r="B3471" s="2" t="s">
        <v>5112</v>
      </c>
      <c r="C3471" s="2" t="s">
        <v>5113</v>
      </c>
      <c r="D3471" s="2" t="s">
        <v>6752</v>
      </c>
      <c r="E3471" s="2" t="s">
        <v>5168</v>
      </c>
      <c r="F3471" s="2">
        <v>7.258</v>
      </c>
      <c r="G3471" s="2">
        <v>4</v>
      </c>
      <c r="H3471" s="2">
        <f>Tabla_Items_Con_Existencia[[#This Row],[COSTO]]*Tabla_Items_Con_Existencia[[#This Row],[EXISTENCIA]]</f>
        <v>29.032</v>
      </c>
      <c r="I3471" s="1">
        <f>IF(ISERROR(MATCH(Tabla_Items_Con_Existencia[[#This Row],[CODIGO]],Tabla_Items_Activos[CODIGO],0)),0,1)</f>
        <v>0</v>
      </c>
    </row>
    <row r="3472" spans="1:9">
      <c r="A3472" s="2" t="s">
        <v>6760</v>
      </c>
      <c r="B3472" s="2" t="s">
        <v>7091</v>
      </c>
      <c r="C3472" s="2" t="s">
        <v>5115</v>
      </c>
      <c r="D3472" s="2" t="s">
        <v>6750</v>
      </c>
      <c r="E3472" s="2" t="s">
        <v>5168</v>
      </c>
      <c r="F3472" s="2">
        <v>240</v>
      </c>
      <c r="G3472" s="2">
        <v>1</v>
      </c>
      <c r="H3472" s="2">
        <f>Tabla_Items_Con_Existencia[[#This Row],[COSTO]]*Tabla_Items_Con_Existencia[[#This Row],[EXISTENCIA]]</f>
        <v>240</v>
      </c>
      <c r="I3472" s="1">
        <f>IF(ISERROR(MATCH(Tabla_Items_Con_Existencia[[#This Row],[CODIGO]],Tabla_Items_Activos[CODIGO],0)),0,1)</f>
        <v>0</v>
      </c>
    </row>
    <row r="3473" spans="1:9">
      <c r="A3473" s="2" t="s">
        <v>6760</v>
      </c>
      <c r="B3473" s="2" t="s">
        <v>5116</v>
      </c>
      <c r="C3473" s="2" t="s">
        <v>5117</v>
      </c>
      <c r="D3473" s="2" t="s">
        <v>6752</v>
      </c>
      <c r="E3473" s="2" t="s">
        <v>5168</v>
      </c>
      <c r="F3473" s="2">
        <v>169.48</v>
      </c>
      <c r="G3473" s="2">
        <v>2</v>
      </c>
      <c r="H3473" s="2">
        <f>Tabla_Items_Con_Existencia[[#This Row],[COSTO]]*Tabla_Items_Con_Existencia[[#This Row],[EXISTENCIA]]</f>
        <v>338.96</v>
      </c>
      <c r="I3473" s="1">
        <f>IF(ISERROR(MATCH(Tabla_Items_Con_Existencia[[#This Row],[CODIGO]],Tabla_Items_Activos[CODIGO],0)),0,1)</f>
        <v>0</v>
      </c>
    </row>
    <row r="3474" spans="1:9">
      <c r="A3474" s="2" t="s">
        <v>6760</v>
      </c>
      <c r="B3474" s="2" t="s">
        <v>5118</v>
      </c>
      <c r="C3474" s="2" t="s">
        <v>5119</v>
      </c>
      <c r="D3474" s="2" t="s">
        <v>6752</v>
      </c>
      <c r="E3474" s="2" t="s">
        <v>5168</v>
      </c>
      <c r="F3474" s="2">
        <v>46.024999999999999</v>
      </c>
      <c r="G3474" s="2">
        <v>6</v>
      </c>
      <c r="H3474" s="2">
        <f>Tabla_Items_Con_Existencia[[#This Row],[COSTO]]*Tabla_Items_Con_Existencia[[#This Row],[EXISTENCIA]]</f>
        <v>276.14999999999998</v>
      </c>
      <c r="I3474" s="1">
        <f>IF(ISERROR(MATCH(Tabla_Items_Con_Existencia[[#This Row],[CODIGO]],Tabla_Items_Activos[CODIGO],0)),0,1)</f>
        <v>0</v>
      </c>
    </row>
    <row r="3475" spans="1:9">
      <c r="A3475" s="2" t="s">
        <v>6760</v>
      </c>
      <c r="B3475" s="2" t="s">
        <v>5120</v>
      </c>
      <c r="C3475" s="2" t="s">
        <v>5121</v>
      </c>
      <c r="D3475" s="2" t="s">
        <v>6752</v>
      </c>
      <c r="E3475" s="2" t="s">
        <v>5168</v>
      </c>
      <c r="F3475" s="2">
        <v>10.029999999999999</v>
      </c>
      <c r="G3475" s="2">
        <v>2</v>
      </c>
      <c r="H3475" s="2">
        <f>Tabla_Items_Con_Existencia[[#This Row],[COSTO]]*Tabla_Items_Con_Existencia[[#This Row],[EXISTENCIA]]</f>
        <v>20.059999999999999</v>
      </c>
      <c r="I3475" s="1">
        <f>IF(ISERROR(MATCH(Tabla_Items_Con_Existencia[[#This Row],[CODIGO]],Tabla_Items_Activos[CODIGO],0)),0,1)</f>
        <v>0</v>
      </c>
    </row>
    <row r="3476" spans="1:9">
      <c r="A3476" s="2" t="s">
        <v>6760</v>
      </c>
      <c r="B3476" s="2" t="s">
        <v>5122</v>
      </c>
      <c r="C3476" s="2" t="s">
        <v>5123</v>
      </c>
      <c r="D3476" s="2" t="s">
        <v>6752</v>
      </c>
      <c r="E3476" s="2" t="s">
        <v>5168</v>
      </c>
      <c r="F3476" s="2">
        <v>10.02</v>
      </c>
      <c r="G3476" s="2">
        <v>16</v>
      </c>
      <c r="H3476" s="2">
        <f>Tabla_Items_Con_Existencia[[#This Row],[COSTO]]*Tabla_Items_Con_Existencia[[#This Row],[EXISTENCIA]]</f>
        <v>160.32</v>
      </c>
      <c r="I3476" s="1">
        <f>IF(ISERROR(MATCH(Tabla_Items_Con_Existencia[[#This Row],[CODIGO]],Tabla_Items_Activos[CODIGO],0)),0,1)</f>
        <v>0</v>
      </c>
    </row>
    <row r="3477" spans="1:9">
      <c r="A3477" s="2" t="s">
        <v>6760</v>
      </c>
      <c r="B3477" s="2" t="s">
        <v>5124</v>
      </c>
      <c r="C3477" s="2" t="s">
        <v>5125</v>
      </c>
      <c r="D3477" s="2" t="s">
        <v>6752</v>
      </c>
      <c r="E3477" s="2" t="s">
        <v>5168</v>
      </c>
      <c r="F3477" s="2">
        <v>20.25</v>
      </c>
      <c r="G3477" s="2">
        <v>17</v>
      </c>
      <c r="H3477" s="2">
        <f>Tabla_Items_Con_Existencia[[#This Row],[COSTO]]*Tabla_Items_Con_Existencia[[#This Row],[EXISTENCIA]]</f>
        <v>344.25</v>
      </c>
      <c r="I3477" s="1">
        <f>IF(ISERROR(MATCH(Tabla_Items_Con_Existencia[[#This Row],[CODIGO]],Tabla_Items_Activos[CODIGO],0)),0,1)</f>
        <v>0</v>
      </c>
    </row>
    <row r="3478" spans="1:9">
      <c r="A3478" s="2" t="s">
        <v>6760</v>
      </c>
      <c r="B3478" s="2" t="s">
        <v>5126</v>
      </c>
      <c r="C3478" s="2" t="s">
        <v>5127</v>
      </c>
      <c r="D3478" s="2" t="s">
        <v>6752</v>
      </c>
      <c r="E3478" s="2" t="s">
        <v>5168</v>
      </c>
      <c r="F3478" s="2">
        <v>47.125</v>
      </c>
      <c r="G3478" s="2">
        <v>1</v>
      </c>
      <c r="H3478" s="2">
        <f>Tabla_Items_Con_Existencia[[#This Row],[COSTO]]*Tabla_Items_Con_Existencia[[#This Row],[EXISTENCIA]]</f>
        <v>47.125</v>
      </c>
      <c r="I3478" s="1">
        <f>IF(ISERROR(MATCH(Tabla_Items_Con_Existencia[[#This Row],[CODIGO]],Tabla_Items_Activos[CODIGO],0)),0,1)</f>
        <v>0</v>
      </c>
    </row>
    <row r="3479" spans="1:9">
      <c r="A3479" s="2" t="s">
        <v>6760</v>
      </c>
      <c r="B3479" s="2" t="s">
        <v>5128</v>
      </c>
      <c r="C3479" s="2" t="s">
        <v>5129</v>
      </c>
      <c r="D3479" s="2" t="s">
        <v>6752</v>
      </c>
      <c r="E3479" s="2" t="s">
        <v>5168</v>
      </c>
      <c r="F3479" s="2">
        <v>17.619</v>
      </c>
      <c r="G3479" s="2">
        <v>11</v>
      </c>
      <c r="H3479" s="2">
        <f>Tabla_Items_Con_Existencia[[#This Row],[COSTO]]*Tabla_Items_Con_Existencia[[#This Row],[EXISTENCIA]]</f>
        <v>193.809</v>
      </c>
      <c r="I3479" s="1">
        <f>IF(ISERROR(MATCH(Tabla_Items_Con_Existencia[[#This Row],[CODIGO]],Tabla_Items_Activos[CODIGO],0)),0,1)</f>
        <v>0</v>
      </c>
    </row>
    <row r="3480" spans="1:9">
      <c r="A3480" s="2" t="s">
        <v>6760</v>
      </c>
      <c r="B3480" s="2" t="s">
        <v>5130</v>
      </c>
      <c r="C3480" s="2" t="s">
        <v>5131</v>
      </c>
      <c r="D3480" s="2" t="s">
        <v>6752</v>
      </c>
      <c r="E3480" s="2" t="s">
        <v>5168</v>
      </c>
      <c r="F3480" s="2">
        <v>173.74</v>
      </c>
      <c r="G3480" s="2">
        <v>9</v>
      </c>
      <c r="H3480" s="2">
        <f>Tabla_Items_Con_Existencia[[#This Row],[COSTO]]*Tabla_Items_Con_Existencia[[#This Row],[EXISTENCIA]]</f>
        <v>1563.66</v>
      </c>
      <c r="I3480" s="1">
        <f>IF(ISERROR(MATCH(Tabla_Items_Con_Existencia[[#This Row],[CODIGO]],Tabla_Items_Activos[CODIGO],0)),0,1)</f>
        <v>0</v>
      </c>
    </row>
    <row r="3481" spans="1:9">
      <c r="A3481" s="2" t="s">
        <v>6760</v>
      </c>
      <c r="B3481" s="2" t="s">
        <v>6284</v>
      </c>
      <c r="C3481" s="2" t="s">
        <v>6285</v>
      </c>
      <c r="D3481" s="2" t="s">
        <v>6752</v>
      </c>
      <c r="E3481" s="2" t="s">
        <v>5168</v>
      </c>
      <c r="F3481" s="2">
        <v>15.635</v>
      </c>
      <c r="G3481" s="2">
        <v>12</v>
      </c>
      <c r="H3481" s="2">
        <f>Tabla_Items_Con_Existencia[[#This Row],[COSTO]]*Tabla_Items_Con_Existencia[[#This Row],[EXISTENCIA]]</f>
        <v>187.62</v>
      </c>
      <c r="I3481" s="1">
        <f>IF(ISERROR(MATCH(Tabla_Items_Con_Existencia[[#This Row],[CODIGO]],Tabla_Items_Activos[CODIGO],0)),0,1)</f>
        <v>0</v>
      </c>
    </row>
    <row r="3482" spans="1:9">
      <c r="A3482" s="2" t="s">
        <v>6760</v>
      </c>
      <c r="B3482" s="2" t="s">
        <v>5132</v>
      </c>
      <c r="C3482" s="2" t="s">
        <v>5133</v>
      </c>
      <c r="D3482" s="2" t="s">
        <v>6749</v>
      </c>
      <c r="E3482" s="2" t="s">
        <v>5168</v>
      </c>
      <c r="F3482" s="2">
        <v>13.997999999999999</v>
      </c>
      <c r="G3482" s="2">
        <v>6</v>
      </c>
      <c r="H3482" s="2">
        <f>Tabla_Items_Con_Existencia[[#This Row],[COSTO]]*Tabla_Items_Con_Existencia[[#This Row],[EXISTENCIA]]</f>
        <v>83.988</v>
      </c>
      <c r="I3482" s="1">
        <f>IF(ISERROR(MATCH(Tabla_Items_Con_Existencia[[#This Row],[CODIGO]],Tabla_Items_Activos[CODIGO],0)),0,1)</f>
        <v>0</v>
      </c>
    </row>
    <row r="3483" spans="1:9">
      <c r="A3483" s="2" t="s">
        <v>6760</v>
      </c>
      <c r="B3483" s="2" t="s">
        <v>5134</v>
      </c>
      <c r="C3483" s="2" t="s">
        <v>5135</v>
      </c>
      <c r="D3483" s="2" t="s">
        <v>6752</v>
      </c>
      <c r="E3483" s="2" t="s">
        <v>5168</v>
      </c>
      <c r="F3483" s="2">
        <v>45.083473679999997</v>
      </c>
      <c r="G3483" s="2">
        <v>14</v>
      </c>
      <c r="H3483" s="2">
        <f>Tabla_Items_Con_Existencia[[#This Row],[COSTO]]*Tabla_Items_Con_Existencia[[#This Row],[EXISTENCIA]]</f>
        <v>631.16863151999996</v>
      </c>
      <c r="I3483" s="1">
        <f>IF(ISERROR(MATCH(Tabla_Items_Con_Existencia[[#This Row],[CODIGO]],Tabla_Items_Activos[CODIGO],0)),0,1)</f>
        <v>0</v>
      </c>
    </row>
    <row r="3484" spans="1:9">
      <c r="A3484" s="2" t="s">
        <v>6761</v>
      </c>
      <c r="B3484" s="2" t="s">
        <v>5134</v>
      </c>
      <c r="C3484" s="2" t="s">
        <v>5135</v>
      </c>
      <c r="D3484" s="2" t="s">
        <v>6752</v>
      </c>
      <c r="E3484" s="2" t="s">
        <v>5168</v>
      </c>
      <c r="F3484" s="2">
        <v>45.083473679999997</v>
      </c>
      <c r="G3484" s="2">
        <v>14</v>
      </c>
      <c r="H3484" s="2">
        <f>Tabla_Items_Con_Existencia[[#This Row],[COSTO]]*Tabla_Items_Con_Existencia[[#This Row],[EXISTENCIA]]</f>
        <v>631.16863151999996</v>
      </c>
      <c r="I3484" s="1">
        <f>IF(ISERROR(MATCH(Tabla_Items_Con_Existencia[[#This Row],[CODIGO]],Tabla_Items_Activos[CODIGO],0)),0,1)</f>
        <v>0</v>
      </c>
    </row>
    <row r="3485" spans="1:9">
      <c r="A3485" s="2" t="s">
        <v>6760</v>
      </c>
      <c r="B3485" s="2" t="s">
        <v>5136</v>
      </c>
      <c r="C3485" s="2" t="s">
        <v>5137</v>
      </c>
      <c r="D3485" s="2" t="s">
        <v>6753</v>
      </c>
      <c r="E3485" s="2" t="s">
        <v>5192</v>
      </c>
      <c r="F3485" s="2">
        <v>5.7</v>
      </c>
      <c r="G3485" s="2">
        <v>3</v>
      </c>
      <c r="H3485" s="2">
        <f>Tabla_Items_Con_Existencia[[#This Row],[COSTO]]*Tabla_Items_Con_Existencia[[#This Row],[EXISTENCIA]]</f>
        <v>17.100000000000001</v>
      </c>
      <c r="I3485" s="1">
        <f>IF(ISERROR(MATCH(Tabla_Items_Con_Existencia[[#This Row],[CODIGO]],Tabla_Items_Activos[CODIGO],0)),0,1)</f>
        <v>0</v>
      </c>
    </row>
    <row r="3486" spans="1:9">
      <c r="A3486" s="2" t="s">
        <v>6760</v>
      </c>
      <c r="B3486" s="2" t="s">
        <v>5138</v>
      </c>
      <c r="C3486" s="2" t="s">
        <v>5139</v>
      </c>
      <c r="D3486" s="2" t="s">
        <v>5157</v>
      </c>
      <c r="E3486" s="2" t="s">
        <v>5192</v>
      </c>
      <c r="F3486" s="2">
        <v>1.88</v>
      </c>
      <c r="G3486" s="2">
        <v>4</v>
      </c>
      <c r="H3486" s="2">
        <f>Tabla_Items_Con_Existencia[[#This Row],[COSTO]]*Tabla_Items_Con_Existencia[[#This Row],[EXISTENCIA]]</f>
        <v>7.52</v>
      </c>
      <c r="I3486" s="1">
        <f>IF(ISERROR(MATCH(Tabla_Items_Con_Existencia[[#This Row],[CODIGO]],Tabla_Items_Activos[CODIGO],0)),0,1)</f>
        <v>0</v>
      </c>
    </row>
    <row r="3487" spans="1:9">
      <c r="A3487" s="2" t="s">
        <v>6760</v>
      </c>
      <c r="B3487" s="2" t="s">
        <v>5140</v>
      </c>
      <c r="C3487" s="2" t="s">
        <v>5141</v>
      </c>
      <c r="D3487" s="2" t="s">
        <v>5157</v>
      </c>
      <c r="E3487" s="2" t="s">
        <v>5192</v>
      </c>
      <c r="F3487" s="2">
        <v>1.7</v>
      </c>
      <c r="G3487" s="2">
        <v>3</v>
      </c>
      <c r="H3487" s="2">
        <f>Tabla_Items_Con_Existencia[[#This Row],[COSTO]]*Tabla_Items_Con_Existencia[[#This Row],[EXISTENCIA]]</f>
        <v>5.0999999999999996</v>
      </c>
      <c r="I3487" s="1">
        <f>IF(ISERROR(MATCH(Tabla_Items_Con_Existencia[[#This Row],[CODIGO]],Tabla_Items_Activos[CODIGO],0)),0,1)</f>
        <v>0</v>
      </c>
    </row>
    <row r="3488" spans="1:9">
      <c r="A3488" s="2" t="s">
        <v>6760</v>
      </c>
      <c r="B3488" s="2" t="s">
        <v>5142</v>
      </c>
      <c r="C3488" s="2" t="s">
        <v>5143</v>
      </c>
      <c r="D3488" s="2" t="s">
        <v>5157</v>
      </c>
      <c r="E3488" s="2" t="s">
        <v>5192</v>
      </c>
      <c r="F3488" s="2">
        <v>12.12</v>
      </c>
      <c r="G3488" s="2">
        <v>1</v>
      </c>
      <c r="H3488" s="2">
        <f>Tabla_Items_Con_Existencia[[#This Row],[COSTO]]*Tabla_Items_Con_Existencia[[#This Row],[EXISTENCIA]]</f>
        <v>12.12</v>
      </c>
      <c r="I3488" s="1">
        <f>IF(ISERROR(MATCH(Tabla_Items_Con_Existencia[[#This Row],[CODIGO]],Tabla_Items_Activos[CODIGO],0)),0,1)</f>
        <v>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3"/>
  <dimension ref="A1:G2253"/>
  <sheetViews>
    <sheetView showGridLines="0" zoomScale="85" zoomScaleNormal="85" workbookViewId="0">
      <selection activeCell="D15" sqref="D15"/>
    </sheetView>
  </sheetViews>
  <sheetFormatPr baseColWidth="10" defaultRowHeight="15"/>
  <cols>
    <col min="1" max="1" width="14.140625" bestFit="1" customWidth="1"/>
    <col min="2" max="2" width="11.28515625" bestFit="1" customWidth="1"/>
    <col min="3" max="3" width="15.140625" customWidth="1"/>
    <col min="4" max="4" width="10" customWidth="1"/>
    <col min="5" max="5" width="8.7109375" customWidth="1"/>
    <col min="6" max="6" width="16.28515625" bestFit="1" customWidth="1"/>
    <col min="7" max="7" width="12.7109375" bestFit="1" customWidth="1"/>
    <col min="8" max="8" width="8.42578125" bestFit="1" customWidth="1"/>
    <col min="9" max="9" width="20.140625" bestFit="1" customWidth="1"/>
    <col min="10" max="10" width="15" bestFit="1" customWidth="1"/>
    <col min="11" max="11" width="10.28515625" bestFit="1" customWidth="1"/>
    <col min="12" max="12" width="12.140625" bestFit="1" customWidth="1"/>
  </cols>
  <sheetData>
    <row r="1" spans="1:7">
      <c r="A1" t="s">
        <v>7</v>
      </c>
      <c r="B1" t="s">
        <v>2</v>
      </c>
      <c r="C1" t="s">
        <v>3</v>
      </c>
      <c r="D1" t="s">
        <v>5234</v>
      </c>
      <c r="E1" t="s">
        <v>5235</v>
      </c>
      <c r="F1" t="s">
        <v>0</v>
      </c>
      <c r="G1" t="s">
        <v>1</v>
      </c>
    </row>
    <row r="2" spans="1:7">
      <c r="A2" t="s">
        <v>7388</v>
      </c>
      <c r="B2" t="s">
        <v>7389</v>
      </c>
      <c r="C2" s="1" t="e">
        <f>VLOOKUP(Tabla_Items_Activos[[#This Row],[CODIGO]],Tabla_Items_Completos[[CODIGO]:[LINEA]],2,0)</f>
        <v>#N/A</v>
      </c>
      <c r="D2" s="1" t="e">
        <f>VLOOKUP(Tabla_Items_Activos[[#This Row],[CODIGO]],Tabla_Items_Completos[[CODIGO]:[LINEA]],3,0)</f>
        <v>#N/A</v>
      </c>
      <c r="E2" s="1" t="e">
        <f>VLOOKUP(Tabla_Items_Activos[[#This Row],[CODIGO]],Tabla_Items_Completos[[CODIGO]:[LINEA]],4,0)</f>
        <v>#N/A</v>
      </c>
      <c r="F2">
        <v>463</v>
      </c>
      <c r="G2">
        <v>188</v>
      </c>
    </row>
    <row r="3" spans="1:7">
      <c r="A3" t="s">
        <v>7388</v>
      </c>
      <c r="B3" t="s">
        <v>7390</v>
      </c>
      <c r="C3" s="1" t="e">
        <f>VLOOKUP(Tabla_Items_Activos[[#This Row],[CODIGO]],Tabla_Items_Completos[[CODIGO]:[LINEA]],2,0)</f>
        <v>#N/A</v>
      </c>
      <c r="D3" s="1" t="e">
        <f>VLOOKUP(Tabla_Items_Activos[[#This Row],[CODIGO]],Tabla_Items_Completos[[CODIGO]:[LINEA]],3,0)</f>
        <v>#N/A</v>
      </c>
      <c r="E3" s="1" t="e">
        <f>VLOOKUP(Tabla_Items_Activos[[#This Row],[CODIGO]],Tabla_Items_Completos[[CODIGO]:[LINEA]],4,0)</f>
        <v>#N/A</v>
      </c>
      <c r="F3">
        <v>804</v>
      </c>
      <c r="G3">
        <v>0</v>
      </c>
    </row>
    <row r="4" spans="1:7">
      <c r="A4" t="s">
        <v>7388</v>
      </c>
      <c r="B4" t="s">
        <v>7391</v>
      </c>
      <c r="C4" s="1" t="e">
        <f>VLOOKUP(Tabla_Items_Activos[[#This Row],[CODIGO]],Tabla_Items_Completos[[CODIGO]:[LINEA]],2,0)</f>
        <v>#N/A</v>
      </c>
      <c r="D4" s="1" t="e">
        <f>VLOOKUP(Tabla_Items_Activos[[#This Row],[CODIGO]],Tabla_Items_Completos[[CODIGO]:[LINEA]],3,0)</f>
        <v>#N/A</v>
      </c>
      <c r="E4" s="1" t="e">
        <f>VLOOKUP(Tabla_Items_Activos[[#This Row],[CODIGO]],Tabla_Items_Completos[[CODIGO]:[LINEA]],4,0)</f>
        <v>#N/A</v>
      </c>
      <c r="F4">
        <v>510</v>
      </c>
      <c r="G4">
        <v>0</v>
      </c>
    </row>
    <row r="5" spans="1:7">
      <c r="A5" t="s">
        <v>7388</v>
      </c>
      <c r="B5" t="s">
        <v>7392</v>
      </c>
      <c r="C5" s="1" t="e">
        <f>VLOOKUP(Tabla_Items_Activos[[#This Row],[CODIGO]],Tabla_Items_Completos[[CODIGO]:[LINEA]],2,0)</f>
        <v>#N/A</v>
      </c>
      <c r="D5" s="1" t="e">
        <f>VLOOKUP(Tabla_Items_Activos[[#This Row],[CODIGO]],Tabla_Items_Completos[[CODIGO]:[LINEA]],3,0)</f>
        <v>#N/A</v>
      </c>
      <c r="E5" s="1" t="e">
        <f>VLOOKUP(Tabla_Items_Activos[[#This Row],[CODIGO]],Tabla_Items_Completos[[CODIGO]:[LINEA]],4,0)</f>
        <v>#N/A</v>
      </c>
      <c r="F5">
        <v>992</v>
      </c>
      <c r="G5">
        <v>0</v>
      </c>
    </row>
    <row r="6" spans="1:7">
      <c r="A6" t="s">
        <v>7388</v>
      </c>
      <c r="B6" t="s">
        <v>7393</v>
      </c>
      <c r="C6" s="1" t="e">
        <f>VLOOKUP(Tabla_Items_Activos[[#This Row],[CODIGO]],Tabla_Items_Completos[[CODIGO]:[LINEA]],2,0)</f>
        <v>#N/A</v>
      </c>
      <c r="D6" s="1" t="e">
        <f>VLOOKUP(Tabla_Items_Activos[[#This Row],[CODIGO]],Tabla_Items_Completos[[CODIGO]:[LINEA]],3,0)</f>
        <v>#N/A</v>
      </c>
      <c r="E6" s="1" t="e">
        <f>VLOOKUP(Tabla_Items_Activos[[#This Row],[CODIGO]],Tabla_Items_Completos[[CODIGO]:[LINEA]],4,0)</f>
        <v>#N/A</v>
      </c>
      <c r="F6">
        <v>575</v>
      </c>
      <c r="G6">
        <v>0</v>
      </c>
    </row>
    <row r="7" spans="1:7">
      <c r="A7" t="s">
        <v>7388</v>
      </c>
      <c r="B7" t="s">
        <v>7394</v>
      </c>
      <c r="C7" s="1" t="e">
        <f>VLOOKUP(Tabla_Items_Activos[[#This Row],[CODIGO]],Tabla_Items_Completos[[CODIGO]:[LINEA]],2,0)</f>
        <v>#N/A</v>
      </c>
      <c r="D7" s="1" t="e">
        <f>VLOOKUP(Tabla_Items_Activos[[#This Row],[CODIGO]],Tabla_Items_Completos[[CODIGO]:[LINEA]],3,0)</f>
        <v>#N/A</v>
      </c>
      <c r="E7" s="1" t="e">
        <f>VLOOKUP(Tabla_Items_Activos[[#This Row],[CODIGO]],Tabla_Items_Completos[[CODIGO]:[LINEA]],4,0)</f>
        <v>#N/A</v>
      </c>
      <c r="F7">
        <v>431</v>
      </c>
      <c r="G7">
        <v>9</v>
      </c>
    </row>
    <row r="8" spans="1:7">
      <c r="A8" t="s">
        <v>7388</v>
      </c>
      <c r="B8" t="s">
        <v>7395</v>
      </c>
      <c r="C8" s="1" t="e">
        <f>VLOOKUP(Tabla_Items_Activos[[#This Row],[CODIGO]],Tabla_Items_Completos[[CODIGO]:[LINEA]],2,0)</f>
        <v>#N/A</v>
      </c>
      <c r="D8" s="1" t="e">
        <f>VLOOKUP(Tabla_Items_Activos[[#This Row],[CODIGO]],Tabla_Items_Completos[[CODIGO]:[LINEA]],3,0)</f>
        <v>#N/A</v>
      </c>
      <c r="E8" s="1" t="e">
        <f>VLOOKUP(Tabla_Items_Activos[[#This Row],[CODIGO]],Tabla_Items_Completos[[CODIGO]:[LINEA]],4,0)</f>
        <v>#N/A</v>
      </c>
      <c r="F8">
        <v>615</v>
      </c>
      <c r="G8">
        <v>57</v>
      </c>
    </row>
    <row r="9" spans="1:7">
      <c r="A9" t="s">
        <v>7388</v>
      </c>
      <c r="B9" t="s">
        <v>7396</v>
      </c>
      <c r="C9" s="1" t="e">
        <f>VLOOKUP(Tabla_Items_Activos[[#This Row],[CODIGO]],Tabla_Items_Completos[[CODIGO]:[LINEA]],2,0)</f>
        <v>#N/A</v>
      </c>
      <c r="D9" s="1" t="e">
        <f>VLOOKUP(Tabla_Items_Activos[[#This Row],[CODIGO]],Tabla_Items_Completos[[CODIGO]:[LINEA]],3,0)</f>
        <v>#N/A</v>
      </c>
      <c r="E9" s="1" t="e">
        <f>VLOOKUP(Tabla_Items_Activos[[#This Row],[CODIGO]],Tabla_Items_Completos[[CODIGO]:[LINEA]],4,0)</f>
        <v>#N/A</v>
      </c>
      <c r="F9">
        <v>431</v>
      </c>
      <c r="G9">
        <v>0</v>
      </c>
    </row>
    <row r="10" spans="1:7">
      <c r="A10" t="s">
        <v>7388</v>
      </c>
      <c r="B10" t="s">
        <v>7397</v>
      </c>
      <c r="C10" s="1" t="e">
        <f>VLOOKUP(Tabla_Items_Activos[[#This Row],[CODIGO]],Tabla_Items_Completos[[CODIGO]:[LINEA]],2,0)</f>
        <v>#N/A</v>
      </c>
      <c r="D10" s="1" t="e">
        <f>VLOOKUP(Tabla_Items_Activos[[#This Row],[CODIGO]],Tabla_Items_Completos[[CODIGO]:[LINEA]],3,0)</f>
        <v>#N/A</v>
      </c>
      <c r="E10" s="1" t="e">
        <f>VLOOKUP(Tabla_Items_Activos[[#This Row],[CODIGO]],Tabla_Items_Completos[[CODIGO]:[LINEA]],4,0)</f>
        <v>#N/A</v>
      </c>
      <c r="F10">
        <v>457</v>
      </c>
      <c r="G10">
        <v>0</v>
      </c>
    </row>
    <row r="11" spans="1:7">
      <c r="A11" t="s">
        <v>7388</v>
      </c>
      <c r="B11" t="s">
        <v>7398</v>
      </c>
      <c r="C11" s="1" t="e">
        <f>VLOOKUP(Tabla_Items_Activos[[#This Row],[CODIGO]],Tabla_Items_Completos[[CODIGO]:[LINEA]],2,0)</f>
        <v>#N/A</v>
      </c>
      <c r="D11" s="1" t="e">
        <f>VLOOKUP(Tabla_Items_Activos[[#This Row],[CODIGO]],Tabla_Items_Completos[[CODIGO]:[LINEA]],3,0)</f>
        <v>#N/A</v>
      </c>
      <c r="E11" s="1" t="e">
        <f>VLOOKUP(Tabla_Items_Activos[[#This Row],[CODIGO]],Tabla_Items_Completos[[CODIGO]:[LINEA]],4,0)</f>
        <v>#N/A</v>
      </c>
      <c r="F11">
        <v>541</v>
      </c>
      <c r="G11">
        <v>0</v>
      </c>
    </row>
    <row r="12" spans="1:7">
      <c r="A12" t="s">
        <v>7388</v>
      </c>
      <c r="B12" t="s">
        <v>7399</v>
      </c>
      <c r="C12" s="1" t="e">
        <f>VLOOKUP(Tabla_Items_Activos[[#This Row],[CODIGO]],Tabla_Items_Completos[[CODIGO]:[LINEA]],2,0)</f>
        <v>#N/A</v>
      </c>
      <c r="D12" s="1" t="e">
        <f>VLOOKUP(Tabla_Items_Activos[[#This Row],[CODIGO]],Tabla_Items_Completos[[CODIGO]:[LINEA]],3,0)</f>
        <v>#N/A</v>
      </c>
      <c r="E12" s="1" t="e">
        <f>VLOOKUP(Tabla_Items_Activos[[#This Row],[CODIGO]],Tabla_Items_Completos[[CODIGO]:[LINEA]],4,0)</f>
        <v>#N/A</v>
      </c>
      <c r="F12">
        <v>2543</v>
      </c>
      <c r="G12">
        <v>0</v>
      </c>
    </row>
    <row r="13" spans="1:7">
      <c r="A13" t="s">
        <v>7388</v>
      </c>
      <c r="B13" t="s">
        <v>7400</v>
      </c>
      <c r="C13" s="1" t="e">
        <f>VLOOKUP(Tabla_Items_Activos[[#This Row],[CODIGO]],Tabla_Items_Completos[[CODIGO]:[LINEA]],2,0)</f>
        <v>#N/A</v>
      </c>
      <c r="D13" s="1" t="e">
        <f>VLOOKUP(Tabla_Items_Activos[[#This Row],[CODIGO]],Tabla_Items_Completos[[CODIGO]:[LINEA]],3,0)</f>
        <v>#N/A</v>
      </c>
      <c r="E13" s="1" t="e">
        <f>VLOOKUP(Tabla_Items_Activos[[#This Row],[CODIGO]],Tabla_Items_Completos[[CODIGO]:[LINEA]],4,0)</f>
        <v>#N/A</v>
      </c>
      <c r="F13">
        <v>82</v>
      </c>
      <c r="G13">
        <v>0</v>
      </c>
    </row>
    <row r="14" spans="1:7">
      <c r="A14" t="s">
        <v>7388</v>
      </c>
      <c r="B14" t="s">
        <v>7401</v>
      </c>
      <c r="C14" s="1" t="e">
        <f>VLOOKUP(Tabla_Items_Activos[[#This Row],[CODIGO]],Tabla_Items_Completos[[CODIGO]:[LINEA]],2,0)</f>
        <v>#N/A</v>
      </c>
      <c r="D14" s="1" t="e">
        <f>VLOOKUP(Tabla_Items_Activos[[#This Row],[CODIGO]],Tabla_Items_Completos[[CODIGO]:[LINEA]],3,0)</f>
        <v>#N/A</v>
      </c>
      <c r="E14" s="1" t="e">
        <f>VLOOKUP(Tabla_Items_Activos[[#This Row],[CODIGO]],Tabla_Items_Completos[[CODIGO]:[LINEA]],4,0)</f>
        <v>#N/A</v>
      </c>
      <c r="F14">
        <v>66</v>
      </c>
      <c r="G14">
        <v>0</v>
      </c>
    </row>
    <row r="15" spans="1:7">
      <c r="A15" t="s">
        <v>7388</v>
      </c>
      <c r="B15" t="s">
        <v>7402</v>
      </c>
      <c r="C15" s="1" t="e">
        <f>VLOOKUP(Tabla_Items_Activos[[#This Row],[CODIGO]],Tabla_Items_Completos[[CODIGO]:[LINEA]],2,0)</f>
        <v>#N/A</v>
      </c>
      <c r="D15" s="1" t="e">
        <f>VLOOKUP(Tabla_Items_Activos[[#This Row],[CODIGO]],Tabla_Items_Completos[[CODIGO]:[LINEA]],3,0)</f>
        <v>#N/A</v>
      </c>
      <c r="E15" s="1" t="e">
        <f>VLOOKUP(Tabla_Items_Activos[[#This Row],[CODIGO]],Tabla_Items_Completos[[CODIGO]:[LINEA]],4,0)</f>
        <v>#N/A</v>
      </c>
      <c r="F15">
        <v>40</v>
      </c>
      <c r="G15">
        <v>0</v>
      </c>
    </row>
    <row r="16" spans="1:7">
      <c r="A16" t="s">
        <v>7388</v>
      </c>
      <c r="B16" t="s">
        <v>7403</v>
      </c>
      <c r="C16" s="1" t="e">
        <f>VLOOKUP(Tabla_Items_Activos[[#This Row],[CODIGO]],Tabla_Items_Completos[[CODIGO]:[LINEA]],2,0)</f>
        <v>#N/A</v>
      </c>
      <c r="D16" s="1" t="e">
        <f>VLOOKUP(Tabla_Items_Activos[[#This Row],[CODIGO]],Tabla_Items_Completos[[CODIGO]:[LINEA]],3,0)</f>
        <v>#N/A</v>
      </c>
      <c r="E16" s="1" t="e">
        <f>VLOOKUP(Tabla_Items_Activos[[#This Row],[CODIGO]],Tabla_Items_Completos[[CODIGO]:[LINEA]],4,0)</f>
        <v>#N/A</v>
      </c>
      <c r="F16">
        <v>106</v>
      </c>
      <c r="G16">
        <v>0</v>
      </c>
    </row>
    <row r="17" spans="1:7">
      <c r="A17" t="s">
        <v>7388</v>
      </c>
      <c r="B17" t="s">
        <v>7404</v>
      </c>
      <c r="C17" s="1" t="e">
        <f>VLOOKUP(Tabla_Items_Activos[[#This Row],[CODIGO]],Tabla_Items_Completos[[CODIGO]:[LINEA]],2,0)</f>
        <v>#N/A</v>
      </c>
      <c r="D17" s="1" t="e">
        <f>VLOOKUP(Tabla_Items_Activos[[#This Row],[CODIGO]],Tabla_Items_Completos[[CODIGO]:[LINEA]],3,0)</f>
        <v>#N/A</v>
      </c>
      <c r="E17" s="1" t="e">
        <f>VLOOKUP(Tabla_Items_Activos[[#This Row],[CODIGO]],Tabla_Items_Completos[[CODIGO]:[LINEA]],4,0)</f>
        <v>#N/A</v>
      </c>
      <c r="F17">
        <v>106</v>
      </c>
      <c r="G17">
        <v>0</v>
      </c>
    </row>
    <row r="18" spans="1:7">
      <c r="A18" t="s">
        <v>7388</v>
      </c>
      <c r="B18" t="s">
        <v>7405</v>
      </c>
      <c r="C18" s="1" t="e">
        <f>VLOOKUP(Tabla_Items_Activos[[#This Row],[CODIGO]],Tabla_Items_Completos[[CODIGO]:[LINEA]],2,0)</f>
        <v>#N/A</v>
      </c>
      <c r="D18" s="1" t="e">
        <f>VLOOKUP(Tabla_Items_Activos[[#This Row],[CODIGO]],Tabla_Items_Completos[[CODIGO]:[LINEA]],3,0)</f>
        <v>#N/A</v>
      </c>
      <c r="E18" s="1" t="e">
        <f>VLOOKUP(Tabla_Items_Activos[[#This Row],[CODIGO]],Tabla_Items_Completos[[CODIGO]:[LINEA]],4,0)</f>
        <v>#N/A</v>
      </c>
      <c r="F18">
        <v>118</v>
      </c>
      <c r="G18">
        <v>0</v>
      </c>
    </row>
    <row r="19" spans="1:7">
      <c r="A19" t="s">
        <v>7388</v>
      </c>
      <c r="B19" t="s">
        <v>7406</v>
      </c>
      <c r="C19" s="1" t="e">
        <f>VLOOKUP(Tabla_Items_Activos[[#This Row],[CODIGO]],Tabla_Items_Completos[[CODIGO]:[LINEA]],2,0)</f>
        <v>#N/A</v>
      </c>
      <c r="D19" s="1" t="e">
        <f>VLOOKUP(Tabla_Items_Activos[[#This Row],[CODIGO]],Tabla_Items_Completos[[CODIGO]:[LINEA]],3,0)</f>
        <v>#N/A</v>
      </c>
      <c r="E19" s="1" t="e">
        <f>VLOOKUP(Tabla_Items_Activos[[#This Row],[CODIGO]],Tabla_Items_Completos[[CODIGO]:[LINEA]],4,0)</f>
        <v>#N/A</v>
      </c>
      <c r="F19">
        <v>55</v>
      </c>
      <c r="G19">
        <v>18</v>
      </c>
    </row>
    <row r="20" spans="1:7">
      <c r="A20" t="s">
        <v>7388</v>
      </c>
      <c r="B20" t="s">
        <v>7407</v>
      </c>
      <c r="C20" s="1" t="e">
        <f>VLOOKUP(Tabla_Items_Activos[[#This Row],[CODIGO]],Tabla_Items_Completos[[CODIGO]:[LINEA]],2,0)</f>
        <v>#N/A</v>
      </c>
      <c r="D20" s="1" t="e">
        <f>VLOOKUP(Tabla_Items_Activos[[#This Row],[CODIGO]],Tabla_Items_Completos[[CODIGO]:[LINEA]],3,0)</f>
        <v>#N/A</v>
      </c>
      <c r="E20" s="1" t="e">
        <f>VLOOKUP(Tabla_Items_Activos[[#This Row],[CODIGO]],Tabla_Items_Completos[[CODIGO]:[LINEA]],4,0)</f>
        <v>#N/A</v>
      </c>
      <c r="F20">
        <v>37</v>
      </c>
      <c r="G20">
        <v>11</v>
      </c>
    </row>
    <row r="21" spans="1:7">
      <c r="A21" t="s">
        <v>7388</v>
      </c>
      <c r="B21" t="s">
        <v>7408</v>
      </c>
      <c r="C21" s="1" t="e">
        <f>VLOOKUP(Tabla_Items_Activos[[#This Row],[CODIGO]],Tabla_Items_Completos[[CODIGO]:[LINEA]],2,0)</f>
        <v>#N/A</v>
      </c>
      <c r="D21" s="1" t="e">
        <f>VLOOKUP(Tabla_Items_Activos[[#This Row],[CODIGO]],Tabla_Items_Completos[[CODIGO]:[LINEA]],3,0)</f>
        <v>#N/A</v>
      </c>
      <c r="E21" s="1" t="e">
        <f>VLOOKUP(Tabla_Items_Activos[[#This Row],[CODIGO]],Tabla_Items_Completos[[CODIGO]:[LINEA]],4,0)</f>
        <v>#N/A</v>
      </c>
      <c r="F21">
        <v>292</v>
      </c>
      <c r="G21">
        <v>0</v>
      </c>
    </row>
    <row r="22" spans="1:7">
      <c r="A22" t="s">
        <v>7388</v>
      </c>
      <c r="B22" t="s">
        <v>7409</v>
      </c>
      <c r="C22" s="1" t="e">
        <f>VLOOKUP(Tabla_Items_Activos[[#This Row],[CODIGO]],Tabla_Items_Completos[[CODIGO]:[LINEA]],2,0)</f>
        <v>#N/A</v>
      </c>
      <c r="D22" s="1" t="e">
        <f>VLOOKUP(Tabla_Items_Activos[[#This Row],[CODIGO]],Tabla_Items_Completos[[CODIGO]:[LINEA]],3,0)</f>
        <v>#N/A</v>
      </c>
      <c r="E22" s="1" t="e">
        <f>VLOOKUP(Tabla_Items_Activos[[#This Row],[CODIGO]],Tabla_Items_Completos[[CODIGO]:[LINEA]],4,0)</f>
        <v>#N/A</v>
      </c>
      <c r="F22">
        <v>184</v>
      </c>
      <c r="G22">
        <v>134</v>
      </c>
    </row>
    <row r="23" spans="1:7">
      <c r="A23" t="s">
        <v>7388</v>
      </c>
      <c r="B23" t="s">
        <v>7410</v>
      </c>
      <c r="C23" s="1" t="e">
        <f>VLOOKUP(Tabla_Items_Activos[[#This Row],[CODIGO]],Tabla_Items_Completos[[CODIGO]:[LINEA]],2,0)</f>
        <v>#N/A</v>
      </c>
      <c r="D23" s="1" t="e">
        <f>VLOOKUP(Tabla_Items_Activos[[#This Row],[CODIGO]],Tabla_Items_Completos[[CODIGO]:[LINEA]],3,0)</f>
        <v>#N/A</v>
      </c>
      <c r="E23" s="1" t="e">
        <f>VLOOKUP(Tabla_Items_Activos[[#This Row],[CODIGO]],Tabla_Items_Completos[[CODIGO]:[LINEA]],4,0)</f>
        <v>#N/A</v>
      </c>
      <c r="F23">
        <v>1480</v>
      </c>
      <c r="G23">
        <v>300</v>
      </c>
    </row>
    <row r="24" spans="1:7">
      <c r="A24" t="s">
        <v>7388</v>
      </c>
      <c r="B24" t="s">
        <v>7411</v>
      </c>
      <c r="C24" s="1" t="e">
        <f>VLOOKUP(Tabla_Items_Activos[[#This Row],[CODIGO]],Tabla_Items_Completos[[CODIGO]:[LINEA]],2,0)</f>
        <v>#N/A</v>
      </c>
      <c r="D24" s="1" t="e">
        <f>VLOOKUP(Tabla_Items_Activos[[#This Row],[CODIGO]],Tabla_Items_Completos[[CODIGO]:[LINEA]],3,0)</f>
        <v>#N/A</v>
      </c>
      <c r="E24" s="1" t="e">
        <f>VLOOKUP(Tabla_Items_Activos[[#This Row],[CODIGO]],Tabla_Items_Completos[[CODIGO]:[LINEA]],4,0)</f>
        <v>#N/A</v>
      </c>
      <c r="F24">
        <v>155</v>
      </c>
      <c r="G24">
        <v>235</v>
      </c>
    </row>
    <row r="25" spans="1:7">
      <c r="A25" t="s">
        <v>7388</v>
      </c>
      <c r="B25" t="s">
        <v>7412</v>
      </c>
      <c r="C25" s="1" t="e">
        <f>VLOOKUP(Tabla_Items_Activos[[#This Row],[CODIGO]],Tabla_Items_Completos[[CODIGO]:[LINEA]],2,0)</f>
        <v>#N/A</v>
      </c>
      <c r="D25" s="1" t="e">
        <f>VLOOKUP(Tabla_Items_Activos[[#This Row],[CODIGO]],Tabla_Items_Completos[[CODIGO]:[LINEA]],3,0)</f>
        <v>#N/A</v>
      </c>
      <c r="E25" s="1" t="e">
        <f>VLOOKUP(Tabla_Items_Activos[[#This Row],[CODIGO]],Tabla_Items_Completos[[CODIGO]:[LINEA]],4,0)</f>
        <v>#N/A</v>
      </c>
      <c r="F25">
        <v>166</v>
      </c>
      <c r="G25">
        <v>162</v>
      </c>
    </row>
    <row r="26" spans="1:7">
      <c r="A26" t="s">
        <v>7388</v>
      </c>
      <c r="B26" t="s">
        <v>7413</v>
      </c>
      <c r="C26" s="1" t="e">
        <f>VLOOKUP(Tabla_Items_Activos[[#This Row],[CODIGO]],Tabla_Items_Completos[[CODIGO]:[LINEA]],2,0)</f>
        <v>#N/A</v>
      </c>
      <c r="D26" s="1" t="e">
        <f>VLOOKUP(Tabla_Items_Activos[[#This Row],[CODIGO]],Tabla_Items_Completos[[CODIGO]:[LINEA]],3,0)</f>
        <v>#N/A</v>
      </c>
      <c r="E26" s="1" t="e">
        <f>VLOOKUP(Tabla_Items_Activos[[#This Row],[CODIGO]],Tabla_Items_Completos[[CODIGO]:[LINEA]],4,0)</f>
        <v>#N/A</v>
      </c>
      <c r="F26">
        <v>410</v>
      </c>
      <c r="G26">
        <v>0</v>
      </c>
    </row>
    <row r="27" spans="1:7">
      <c r="A27" t="s">
        <v>7388</v>
      </c>
      <c r="B27" t="s">
        <v>7414</v>
      </c>
      <c r="C27" s="1" t="e">
        <f>VLOOKUP(Tabla_Items_Activos[[#This Row],[CODIGO]],Tabla_Items_Completos[[CODIGO]:[LINEA]],2,0)</f>
        <v>#N/A</v>
      </c>
      <c r="D27" s="1" t="e">
        <f>VLOOKUP(Tabla_Items_Activos[[#This Row],[CODIGO]],Tabla_Items_Completos[[CODIGO]:[LINEA]],3,0)</f>
        <v>#N/A</v>
      </c>
      <c r="E27" s="1" t="e">
        <f>VLOOKUP(Tabla_Items_Activos[[#This Row],[CODIGO]],Tabla_Items_Completos[[CODIGO]:[LINEA]],4,0)</f>
        <v>#N/A</v>
      </c>
      <c r="F27">
        <v>622</v>
      </c>
      <c r="G27">
        <v>0</v>
      </c>
    </row>
    <row r="28" spans="1:7">
      <c r="A28" t="s">
        <v>7388</v>
      </c>
      <c r="B28" t="s">
        <v>7415</v>
      </c>
      <c r="C28" s="1" t="e">
        <f>VLOOKUP(Tabla_Items_Activos[[#This Row],[CODIGO]],Tabla_Items_Completos[[CODIGO]:[LINEA]],2,0)</f>
        <v>#N/A</v>
      </c>
      <c r="D28" s="1" t="e">
        <f>VLOOKUP(Tabla_Items_Activos[[#This Row],[CODIGO]],Tabla_Items_Completos[[CODIGO]:[LINEA]],3,0)</f>
        <v>#N/A</v>
      </c>
      <c r="E28" s="1" t="e">
        <f>VLOOKUP(Tabla_Items_Activos[[#This Row],[CODIGO]],Tabla_Items_Completos[[CODIGO]:[LINEA]],4,0)</f>
        <v>#N/A</v>
      </c>
      <c r="F28">
        <v>583</v>
      </c>
      <c r="G28">
        <v>0</v>
      </c>
    </row>
    <row r="29" spans="1:7">
      <c r="A29" t="s">
        <v>7388</v>
      </c>
      <c r="B29" t="s">
        <v>7416</v>
      </c>
      <c r="C29" s="1" t="e">
        <f>VLOOKUP(Tabla_Items_Activos[[#This Row],[CODIGO]],Tabla_Items_Completos[[CODIGO]:[LINEA]],2,0)</f>
        <v>#N/A</v>
      </c>
      <c r="D29" s="1" t="e">
        <f>VLOOKUP(Tabla_Items_Activos[[#This Row],[CODIGO]],Tabla_Items_Completos[[CODIGO]:[LINEA]],3,0)</f>
        <v>#N/A</v>
      </c>
      <c r="E29" s="1" t="e">
        <f>VLOOKUP(Tabla_Items_Activos[[#This Row],[CODIGO]],Tabla_Items_Completos[[CODIGO]:[LINEA]],4,0)</f>
        <v>#N/A</v>
      </c>
      <c r="F29">
        <v>630</v>
      </c>
      <c r="G29">
        <v>1</v>
      </c>
    </row>
    <row r="30" spans="1:7">
      <c r="A30" t="s">
        <v>7388</v>
      </c>
      <c r="B30" t="s">
        <v>7417</v>
      </c>
      <c r="C30" s="1" t="e">
        <f>VLOOKUP(Tabla_Items_Activos[[#This Row],[CODIGO]],Tabla_Items_Completos[[CODIGO]:[LINEA]],2,0)</f>
        <v>#N/A</v>
      </c>
      <c r="D30" s="1" t="e">
        <f>VLOOKUP(Tabla_Items_Activos[[#This Row],[CODIGO]],Tabla_Items_Completos[[CODIGO]:[LINEA]],3,0)</f>
        <v>#N/A</v>
      </c>
      <c r="E30" s="1" t="e">
        <f>VLOOKUP(Tabla_Items_Activos[[#This Row],[CODIGO]],Tabla_Items_Completos[[CODIGO]:[LINEA]],4,0)</f>
        <v>#N/A</v>
      </c>
      <c r="F30">
        <v>452</v>
      </c>
      <c r="G30">
        <v>0</v>
      </c>
    </row>
    <row r="31" spans="1:7">
      <c r="A31" t="s">
        <v>7388</v>
      </c>
      <c r="B31" t="s">
        <v>7418</v>
      </c>
      <c r="C31" s="1" t="e">
        <f>VLOOKUP(Tabla_Items_Activos[[#This Row],[CODIGO]],Tabla_Items_Completos[[CODIGO]:[LINEA]],2,0)</f>
        <v>#N/A</v>
      </c>
      <c r="D31" s="1" t="e">
        <f>VLOOKUP(Tabla_Items_Activos[[#This Row],[CODIGO]],Tabla_Items_Completos[[CODIGO]:[LINEA]],3,0)</f>
        <v>#N/A</v>
      </c>
      <c r="E31" s="1" t="e">
        <f>VLOOKUP(Tabla_Items_Activos[[#This Row],[CODIGO]],Tabla_Items_Completos[[CODIGO]:[LINEA]],4,0)</f>
        <v>#N/A</v>
      </c>
      <c r="F31">
        <v>711</v>
      </c>
      <c r="G31">
        <v>54</v>
      </c>
    </row>
    <row r="32" spans="1:7">
      <c r="A32" t="s">
        <v>7388</v>
      </c>
      <c r="B32" t="s">
        <v>7419</v>
      </c>
      <c r="C32" s="1" t="e">
        <f>VLOOKUP(Tabla_Items_Activos[[#This Row],[CODIGO]],Tabla_Items_Completos[[CODIGO]:[LINEA]],2,0)</f>
        <v>#N/A</v>
      </c>
      <c r="D32" s="1" t="e">
        <f>VLOOKUP(Tabla_Items_Activos[[#This Row],[CODIGO]],Tabla_Items_Completos[[CODIGO]:[LINEA]],3,0)</f>
        <v>#N/A</v>
      </c>
      <c r="E32" s="1" t="e">
        <f>VLOOKUP(Tabla_Items_Activos[[#This Row],[CODIGO]],Tabla_Items_Completos[[CODIGO]:[LINEA]],4,0)</f>
        <v>#N/A</v>
      </c>
      <c r="F32">
        <v>374</v>
      </c>
      <c r="G32">
        <v>24</v>
      </c>
    </row>
    <row r="33" spans="1:7">
      <c r="A33" t="s">
        <v>7388</v>
      </c>
      <c r="B33" t="s">
        <v>7420</v>
      </c>
      <c r="C33" s="1" t="e">
        <f>VLOOKUP(Tabla_Items_Activos[[#This Row],[CODIGO]],Tabla_Items_Completos[[CODIGO]:[LINEA]],2,0)</f>
        <v>#N/A</v>
      </c>
      <c r="D33" s="1" t="e">
        <f>VLOOKUP(Tabla_Items_Activos[[#This Row],[CODIGO]],Tabla_Items_Completos[[CODIGO]:[LINEA]],3,0)</f>
        <v>#N/A</v>
      </c>
      <c r="E33" s="1" t="e">
        <f>VLOOKUP(Tabla_Items_Activos[[#This Row],[CODIGO]],Tabla_Items_Completos[[CODIGO]:[LINEA]],4,0)</f>
        <v>#N/A</v>
      </c>
      <c r="F33">
        <v>598</v>
      </c>
      <c r="G33">
        <v>0</v>
      </c>
    </row>
    <row r="34" spans="1:7">
      <c r="A34" t="s">
        <v>7388</v>
      </c>
      <c r="B34" t="s">
        <v>7421</v>
      </c>
      <c r="C34" s="1" t="e">
        <f>VLOOKUP(Tabla_Items_Activos[[#This Row],[CODIGO]],Tabla_Items_Completos[[CODIGO]:[LINEA]],2,0)</f>
        <v>#N/A</v>
      </c>
      <c r="D34" s="1" t="e">
        <f>VLOOKUP(Tabla_Items_Activos[[#This Row],[CODIGO]],Tabla_Items_Completos[[CODIGO]:[LINEA]],3,0)</f>
        <v>#N/A</v>
      </c>
      <c r="E34" s="1" t="e">
        <f>VLOOKUP(Tabla_Items_Activos[[#This Row],[CODIGO]],Tabla_Items_Completos[[CODIGO]:[LINEA]],4,0)</f>
        <v>#N/A</v>
      </c>
      <c r="F34">
        <v>479</v>
      </c>
      <c r="G34">
        <v>0</v>
      </c>
    </row>
    <row r="35" spans="1:7">
      <c r="A35" t="s">
        <v>7388</v>
      </c>
      <c r="B35" t="s">
        <v>7422</v>
      </c>
      <c r="C35" s="1" t="e">
        <f>VLOOKUP(Tabla_Items_Activos[[#This Row],[CODIGO]],Tabla_Items_Completos[[CODIGO]:[LINEA]],2,0)</f>
        <v>#N/A</v>
      </c>
      <c r="D35" s="1" t="e">
        <f>VLOOKUP(Tabla_Items_Activos[[#This Row],[CODIGO]],Tabla_Items_Completos[[CODIGO]:[LINEA]],3,0)</f>
        <v>#N/A</v>
      </c>
      <c r="E35" s="1" t="e">
        <f>VLOOKUP(Tabla_Items_Activos[[#This Row],[CODIGO]],Tabla_Items_Completos[[CODIGO]:[LINEA]],4,0)</f>
        <v>#N/A</v>
      </c>
      <c r="F35">
        <v>614</v>
      </c>
      <c r="G35">
        <v>0</v>
      </c>
    </row>
    <row r="36" spans="1:7">
      <c r="A36" t="s">
        <v>7388</v>
      </c>
      <c r="B36" t="s">
        <v>7423</v>
      </c>
      <c r="C36" s="1" t="e">
        <f>VLOOKUP(Tabla_Items_Activos[[#This Row],[CODIGO]],Tabla_Items_Completos[[CODIGO]:[LINEA]],2,0)</f>
        <v>#N/A</v>
      </c>
      <c r="D36" s="1" t="e">
        <f>VLOOKUP(Tabla_Items_Activos[[#This Row],[CODIGO]],Tabla_Items_Completos[[CODIGO]:[LINEA]],3,0)</f>
        <v>#N/A</v>
      </c>
      <c r="E36" s="1" t="e">
        <f>VLOOKUP(Tabla_Items_Activos[[#This Row],[CODIGO]],Tabla_Items_Completos[[CODIGO]:[LINEA]],4,0)</f>
        <v>#N/A</v>
      </c>
      <c r="F36">
        <v>578</v>
      </c>
      <c r="G36">
        <v>11</v>
      </c>
    </row>
    <row r="37" spans="1:7">
      <c r="A37" t="s">
        <v>7388</v>
      </c>
      <c r="B37" t="s">
        <v>7424</v>
      </c>
      <c r="C37" s="1" t="e">
        <f>VLOOKUP(Tabla_Items_Activos[[#This Row],[CODIGO]],Tabla_Items_Completos[[CODIGO]:[LINEA]],2,0)</f>
        <v>#N/A</v>
      </c>
      <c r="D37" s="1" t="e">
        <f>VLOOKUP(Tabla_Items_Activos[[#This Row],[CODIGO]],Tabla_Items_Completos[[CODIGO]:[LINEA]],3,0)</f>
        <v>#N/A</v>
      </c>
      <c r="E37" s="1" t="e">
        <f>VLOOKUP(Tabla_Items_Activos[[#This Row],[CODIGO]],Tabla_Items_Completos[[CODIGO]:[LINEA]],4,0)</f>
        <v>#N/A</v>
      </c>
      <c r="F37">
        <v>274</v>
      </c>
      <c r="G37">
        <v>38</v>
      </c>
    </row>
    <row r="38" spans="1:7">
      <c r="A38" t="s">
        <v>7388</v>
      </c>
      <c r="B38" t="s">
        <v>7425</v>
      </c>
      <c r="C38" s="1" t="e">
        <f>VLOOKUP(Tabla_Items_Activos[[#This Row],[CODIGO]],Tabla_Items_Completos[[CODIGO]:[LINEA]],2,0)</f>
        <v>#N/A</v>
      </c>
      <c r="D38" s="1" t="e">
        <f>VLOOKUP(Tabla_Items_Activos[[#This Row],[CODIGO]],Tabla_Items_Completos[[CODIGO]:[LINEA]],3,0)</f>
        <v>#N/A</v>
      </c>
      <c r="E38" s="1" t="e">
        <f>VLOOKUP(Tabla_Items_Activos[[#This Row],[CODIGO]],Tabla_Items_Completos[[CODIGO]:[LINEA]],4,0)</f>
        <v>#N/A</v>
      </c>
      <c r="F38">
        <v>526</v>
      </c>
      <c r="G38">
        <v>0</v>
      </c>
    </row>
    <row r="39" spans="1:7">
      <c r="A39" t="s">
        <v>7388</v>
      </c>
      <c r="B39" t="s">
        <v>7426</v>
      </c>
      <c r="C39" s="1" t="e">
        <f>VLOOKUP(Tabla_Items_Activos[[#This Row],[CODIGO]],Tabla_Items_Completos[[CODIGO]:[LINEA]],2,0)</f>
        <v>#N/A</v>
      </c>
      <c r="D39" s="1" t="e">
        <f>VLOOKUP(Tabla_Items_Activos[[#This Row],[CODIGO]],Tabla_Items_Completos[[CODIGO]:[LINEA]],3,0)</f>
        <v>#N/A</v>
      </c>
      <c r="E39" s="1" t="e">
        <f>VLOOKUP(Tabla_Items_Activos[[#This Row],[CODIGO]],Tabla_Items_Completos[[CODIGO]:[LINEA]],4,0)</f>
        <v>#N/A</v>
      </c>
      <c r="F39">
        <v>531</v>
      </c>
      <c r="G39">
        <v>0</v>
      </c>
    </row>
    <row r="40" spans="1:7">
      <c r="A40" t="s">
        <v>7388</v>
      </c>
      <c r="B40" t="s">
        <v>7427</v>
      </c>
      <c r="C40" s="1" t="e">
        <f>VLOOKUP(Tabla_Items_Activos[[#This Row],[CODIGO]],Tabla_Items_Completos[[CODIGO]:[LINEA]],2,0)</f>
        <v>#N/A</v>
      </c>
      <c r="D40" s="1" t="e">
        <f>VLOOKUP(Tabla_Items_Activos[[#This Row],[CODIGO]],Tabla_Items_Completos[[CODIGO]:[LINEA]],3,0)</f>
        <v>#N/A</v>
      </c>
      <c r="E40" s="1" t="e">
        <f>VLOOKUP(Tabla_Items_Activos[[#This Row],[CODIGO]],Tabla_Items_Completos[[CODIGO]:[LINEA]],4,0)</f>
        <v>#N/A</v>
      </c>
      <c r="F40">
        <v>174</v>
      </c>
      <c r="G40">
        <v>81</v>
      </c>
    </row>
    <row r="41" spans="1:7">
      <c r="A41" t="s">
        <v>7388</v>
      </c>
      <c r="B41" t="s">
        <v>7428</v>
      </c>
      <c r="C41" s="1" t="e">
        <f>VLOOKUP(Tabla_Items_Activos[[#This Row],[CODIGO]],Tabla_Items_Completos[[CODIGO]:[LINEA]],2,0)</f>
        <v>#N/A</v>
      </c>
      <c r="D41" s="1" t="e">
        <f>VLOOKUP(Tabla_Items_Activos[[#This Row],[CODIGO]],Tabla_Items_Completos[[CODIGO]:[LINEA]],3,0)</f>
        <v>#N/A</v>
      </c>
      <c r="E41" s="1" t="e">
        <f>VLOOKUP(Tabla_Items_Activos[[#This Row],[CODIGO]],Tabla_Items_Completos[[CODIGO]:[LINEA]],4,0)</f>
        <v>#N/A</v>
      </c>
      <c r="F41">
        <v>391</v>
      </c>
      <c r="G41">
        <v>19</v>
      </c>
    </row>
    <row r="42" spans="1:7">
      <c r="A42" t="s">
        <v>7388</v>
      </c>
      <c r="B42" t="s">
        <v>7429</v>
      </c>
      <c r="C42" s="1" t="e">
        <f>VLOOKUP(Tabla_Items_Activos[[#This Row],[CODIGO]],Tabla_Items_Completos[[CODIGO]:[LINEA]],2,0)</f>
        <v>#N/A</v>
      </c>
      <c r="D42" s="1" t="e">
        <f>VLOOKUP(Tabla_Items_Activos[[#This Row],[CODIGO]],Tabla_Items_Completos[[CODIGO]:[LINEA]],3,0)</f>
        <v>#N/A</v>
      </c>
      <c r="E42" s="1" t="e">
        <f>VLOOKUP(Tabla_Items_Activos[[#This Row],[CODIGO]],Tabla_Items_Completos[[CODIGO]:[LINEA]],4,0)</f>
        <v>#N/A</v>
      </c>
      <c r="F42">
        <v>63</v>
      </c>
      <c r="G42">
        <v>1</v>
      </c>
    </row>
    <row r="43" spans="1:7">
      <c r="A43" t="s">
        <v>7388</v>
      </c>
      <c r="B43" t="s">
        <v>7430</v>
      </c>
      <c r="C43" s="1" t="e">
        <f>VLOOKUP(Tabla_Items_Activos[[#This Row],[CODIGO]],Tabla_Items_Completos[[CODIGO]:[LINEA]],2,0)</f>
        <v>#N/A</v>
      </c>
      <c r="D43" s="1" t="e">
        <f>VLOOKUP(Tabla_Items_Activos[[#This Row],[CODIGO]],Tabla_Items_Completos[[CODIGO]:[LINEA]],3,0)</f>
        <v>#N/A</v>
      </c>
      <c r="E43" s="1" t="e">
        <f>VLOOKUP(Tabla_Items_Activos[[#This Row],[CODIGO]],Tabla_Items_Completos[[CODIGO]:[LINEA]],4,0)</f>
        <v>#N/A</v>
      </c>
      <c r="F43">
        <v>75</v>
      </c>
      <c r="G43">
        <v>0</v>
      </c>
    </row>
    <row r="44" spans="1:7">
      <c r="A44" t="s">
        <v>7388</v>
      </c>
      <c r="B44" t="s">
        <v>7431</v>
      </c>
      <c r="C44" s="1" t="e">
        <f>VLOOKUP(Tabla_Items_Activos[[#This Row],[CODIGO]],Tabla_Items_Completos[[CODIGO]:[LINEA]],2,0)</f>
        <v>#N/A</v>
      </c>
      <c r="D44" s="1" t="e">
        <f>VLOOKUP(Tabla_Items_Activos[[#This Row],[CODIGO]],Tabla_Items_Completos[[CODIGO]:[LINEA]],3,0)</f>
        <v>#N/A</v>
      </c>
      <c r="E44" s="1" t="e">
        <f>VLOOKUP(Tabla_Items_Activos[[#This Row],[CODIGO]],Tabla_Items_Completos[[CODIGO]:[LINEA]],4,0)</f>
        <v>#N/A</v>
      </c>
      <c r="F44">
        <v>64</v>
      </c>
      <c r="G44">
        <v>2</v>
      </c>
    </row>
    <row r="45" spans="1:7">
      <c r="A45" t="s">
        <v>7388</v>
      </c>
      <c r="B45" t="s">
        <v>7432</v>
      </c>
      <c r="C45" s="1" t="e">
        <f>VLOOKUP(Tabla_Items_Activos[[#This Row],[CODIGO]],Tabla_Items_Completos[[CODIGO]:[LINEA]],2,0)</f>
        <v>#N/A</v>
      </c>
      <c r="D45" s="1" t="e">
        <f>VLOOKUP(Tabla_Items_Activos[[#This Row],[CODIGO]],Tabla_Items_Completos[[CODIGO]:[LINEA]],3,0)</f>
        <v>#N/A</v>
      </c>
      <c r="E45" s="1" t="e">
        <f>VLOOKUP(Tabla_Items_Activos[[#This Row],[CODIGO]],Tabla_Items_Completos[[CODIGO]:[LINEA]],4,0)</f>
        <v>#N/A</v>
      </c>
      <c r="F45">
        <v>19</v>
      </c>
      <c r="G45">
        <v>5</v>
      </c>
    </row>
    <row r="46" spans="1:7">
      <c r="A46" t="s">
        <v>7388</v>
      </c>
      <c r="B46" t="s">
        <v>7433</v>
      </c>
      <c r="C46" s="1" t="e">
        <f>VLOOKUP(Tabla_Items_Activos[[#This Row],[CODIGO]],Tabla_Items_Completos[[CODIGO]:[LINEA]],2,0)</f>
        <v>#N/A</v>
      </c>
      <c r="D46" s="1" t="e">
        <f>VLOOKUP(Tabla_Items_Activos[[#This Row],[CODIGO]],Tabla_Items_Completos[[CODIGO]:[LINEA]],3,0)</f>
        <v>#N/A</v>
      </c>
      <c r="E46" s="1" t="e">
        <f>VLOOKUP(Tabla_Items_Activos[[#This Row],[CODIGO]],Tabla_Items_Completos[[CODIGO]:[LINEA]],4,0)</f>
        <v>#N/A</v>
      </c>
      <c r="F46">
        <v>13</v>
      </c>
      <c r="G46">
        <v>13</v>
      </c>
    </row>
    <row r="47" spans="1:7">
      <c r="A47" t="s">
        <v>7388</v>
      </c>
      <c r="B47" t="s">
        <v>7434</v>
      </c>
      <c r="C47" s="1" t="e">
        <f>VLOOKUP(Tabla_Items_Activos[[#This Row],[CODIGO]],Tabla_Items_Completos[[CODIGO]:[LINEA]],2,0)</f>
        <v>#N/A</v>
      </c>
      <c r="D47" s="1" t="e">
        <f>VLOOKUP(Tabla_Items_Activos[[#This Row],[CODIGO]],Tabla_Items_Completos[[CODIGO]:[LINEA]],3,0)</f>
        <v>#N/A</v>
      </c>
      <c r="E47" s="1" t="e">
        <f>VLOOKUP(Tabla_Items_Activos[[#This Row],[CODIGO]],Tabla_Items_Completos[[CODIGO]:[LINEA]],4,0)</f>
        <v>#N/A</v>
      </c>
      <c r="F47">
        <v>16</v>
      </c>
      <c r="G47">
        <v>10</v>
      </c>
    </row>
    <row r="48" spans="1:7">
      <c r="A48" t="s">
        <v>7388</v>
      </c>
      <c r="B48" t="s">
        <v>7435</v>
      </c>
      <c r="C48" s="1" t="e">
        <f>VLOOKUP(Tabla_Items_Activos[[#This Row],[CODIGO]],Tabla_Items_Completos[[CODIGO]:[LINEA]],2,0)</f>
        <v>#N/A</v>
      </c>
      <c r="D48" s="1" t="e">
        <f>VLOOKUP(Tabla_Items_Activos[[#This Row],[CODIGO]],Tabla_Items_Completos[[CODIGO]:[LINEA]],3,0)</f>
        <v>#N/A</v>
      </c>
      <c r="E48" s="1" t="e">
        <f>VLOOKUP(Tabla_Items_Activos[[#This Row],[CODIGO]],Tabla_Items_Completos[[CODIGO]:[LINEA]],4,0)</f>
        <v>#N/A</v>
      </c>
      <c r="F48">
        <v>109</v>
      </c>
      <c r="G48">
        <v>0</v>
      </c>
    </row>
    <row r="49" spans="1:7">
      <c r="A49" t="s">
        <v>7388</v>
      </c>
      <c r="B49" t="s">
        <v>7436</v>
      </c>
      <c r="C49" s="1" t="e">
        <f>VLOOKUP(Tabla_Items_Activos[[#This Row],[CODIGO]],Tabla_Items_Completos[[CODIGO]:[LINEA]],2,0)</f>
        <v>#N/A</v>
      </c>
      <c r="D49" s="1" t="e">
        <f>VLOOKUP(Tabla_Items_Activos[[#This Row],[CODIGO]],Tabla_Items_Completos[[CODIGO]:[LINEA]],3,0)</f>
        <v>#N/A</v>
      </c>
      <c r="E49" s="1" t="e">
        <f>VLOOKUP(Tabla_Items_Activos[[#This Row],[CODIGO]],Tabla_Items_Completos[[CODIGO]:[LINEA]],4,0)</f>
        <v>#N/A</v>
      </c>
      <c r="F49">
        <v>79</v>
      </c>
      <c r="G49">
        <v>3</v>
      </c>
    </row>
    <row r="50" spans="1:7">
      <c r="A50" t="s">
        <v>7388</v>
      </c>
      <c r="B50" t="s">
        <v>7437</v>
      </c>
      <c r="C50" s="1" t="e">
        <f>VLOOKUP(Tabla_Items_Activos[[#This Row],[CODIGO]],Tabla_Items_Completos[[CODIGO]:[LINEA]],2,0)</f>
        <v>#N/A</v>
      </c>
      <c r="D50" s="1" t="e">
        <f>VLOOKUP(Tabla_Items_Activos[[#This Row],[CODIGO]],Tabla_Items_Completos[[CODIGO]:[LINEA]],3,0)</f>
        <v>#N/A</v>
      </c>
      <c r="E50" s="1" t="e">
        <f>VLOOKUP(Tabla_Items_Activos[[#This Row],[CODIGO]],Tabla_Items_Completos[[CODIGO]:[LINEA]],4,0)</f>
        <v>#N/A</v>
      </c>
      <c r="F50">
        <v>6</v>
      </c>
      <c r="G50">
        <v>0</v>
      </c>
    </row>
    <row r="51" spans="1:7">
      <c r="A51" t="s">
        <v>7388</v>
      </c>
      <c r="B51" t="s">
        <v>7438</v>
      </c>
      <c r="C51" s="1" t="e">
        <f>VLOOKUP(Tabla_Items_Activos[[#This Row],[CODIGO]],Tabla_Items_Completos[[CODIGO]:[LINEA]],2,0)</f>
        <v>#N/A</v>
      </c>
      <c r="D51" s="1" t="e">
        <f>VLOOKUP(Tabla_Items_Activos[[#This Row],[CODIGO]],Tabla_Items_Completos[[CODIGO]:[LINEA]],3,0)</f>
        <v>#N/A</v>
      </c>
      <c r="E51" s="1" t="e">
        <f>VLOOKUP(Tabla_Items_Activos[[#This Row],[CODIGO]],Tabla_Items_Completos[[CODIGO]:[LINEA]],4,0)</f>
        <v>#N/A</v>
      </c>
      <c r="F51">
        <v>290</v>
      </c>
      <c r="G51">
        <v>0</v>
      </c>
    </row>
    <row r="52" spans="1:7">
      <c r="A52" t="s">
        <v>7388</v>
      </c>
      <c r="B52" t="s">
        <v>7439</v>
      </c>
      <c r="C52" s="1" t="e">
        <f>VLOOKUP(Tabla_Items_Activos[[#This Row],[CODIGO]],Tabla_Items_Completos[[CODIGO]:[LINEA]],2,0)</f>
        <v>#N/A</v>
      </c>
      <c r="D52" s="1" t="e">
        <f>VLOOKUP(Tabla_Items_Activos[[#This Row],[CODIGO]],Tabla_Items_Completos[[CODIGO]:[LINEA]],3,0)</f>
        <v>#N/A</v>
      </c>
      <c r="E52" s="1" t="e">
        <f>VLOOKUP(Tabla_Items_Activos[[#This Row],[CODIGO]],Tabla_Items_Completos[[CODIGO]:[LINEA]],4,0)</f>
        <v>#N/A</v>
      </c>
      <c r="F52">
        <v>232</v>
      </c>
      <c r="G52">
        <v>0</v>
      </c>
    </row>
    <row r="53" spans="1:7">
      <c r="A53" t="s">
        <v>7388</v>
      </c>
      <c r="B53" t="s">
        <v>7440</v>
      </c>
      <c r="C53" s="1" t="e">
        <f>VLOOKUP(Tabla_Items_Activos[[#This Row],[CODIGO]],Tabla_Items_Completos[[CODIGO]:[LINEA]],2,0)</f>
        <v>#N/A</v>
      </c>
      <c r="D53" s="1" t="e">
        <f>VLOOKUP(Tabla_Items_Activos[[#This Row],[CODIGO]],Tabla_Items_Completos[[CODIGO]:[LINEA]],3,0)</f>
        <v>#N/A</v>
      </c>
      <c r="E53" s="1" t="e">
        <f>VLOOKUP(Tabla_Items_Activos[[#This Row],[CODIGO]],Tabla_Items_Completos[[CODIGO]:[LINEA]],4,0)</f>
        <v>#N/A</v>
      </c>
      <c r="F53">
        <v>174</v>
      </c>
      <c r="G53">
        <v>0</v>
      </c>
    </row>
    <row r="54" spans="1:7">
      <c r="A54" t="s">
        <v>7388</v>
      </c>
      <c r="B54" t="s">
        <v>7441</v>
      </c>
      <c r="C54" s="1" t="e">
        <f>VLOOKUP(Tabla_Items_Activos[[#This Row],[CODIGO]],Tabla_Items_Completos[[CODIGO]:[LINEA]],2,0)</f>
        <v>#N/A</v>
      </c>
      <c r="D54" s="1" t="e">
        <f>VLOOKUP(Tabla_Items_Activos[[#This Row],[CODIGO]],Tabla_Items_Completos[[CODIGO]:[LINEA]],3,0)</f>
        <v>#N/A</v>
      </c>
      <c r="E54" s="1" t="e">
        <f>VLOOKUP(Tabla_Items_Activos[[#This Row],[CODIGO]],Tabla_Items_Completos[[CODIGO]:[LINEA]],4,0)</f>
        <v>#N/A</v>
      </c>
      <c r="F54">
        <v>200</v>
      </c>
      <c r="G54">
        <v>0</v>
      </c>
    </row>
    <row r="55" spans="1:7">
      <c r="A55" t="s">
        <v>7388</v>
      </c>
      <c r="B55" t="s">
        <v>7442</v>
      </c>
      <c r="C55" s="1" t="e">
        <f>VLOOKUP(Tabla_Items_Activos[[#This Row],[CODIGO]],Tabla_Items_Completos[[CODIGO]:[LINEA]],2,0)</f>
        <v>#N/A</v>
      </c>
      <c r="D55" s="1" t="e">
        <f>VLOOKUP(Tabla_Items_Activos[[#This Row],[CODIGO]],Tabla_Items_Completos[[CODIGO]:[LINEA]],3,0)</f>
        <v>#N/A</v>
      </c>
      <c r="E55" s="1" t="e">
        <f>VLOOKUP(Tabla_Items_Activos[[#This Row],[CODIGO]],Tabla_Items_Completos[[CODIGO]:[LINEA]],4,0)</f>
        <v>#N/A</v>
      </c>
      <c r="F55">
        <v>4</v>
      </c>
      <c r="G55">
        <v>0</v>
      </c>
    </row>
    <row r="56" spans="1:7">
      <c r="A56" t="s">
        <v>7388</v>
      </c>
      <c r="B56" t="s">
        <v>7443</v>
      </c>
      <c r="C56" s="1" t="e">
        <f>VLOOKUP(Tabla_Items_Activos[[#This Row],[CODIGO]],Tabla_Items_Completos[[CODIGO]:[LINEA]],2,0)</f>
        <v>#N/A</v>
      </c>
      <c r="D56" s="1" t="e">
        <f>VLOOKUP(Tabla_Items_Activos[[#This Row],[CODIGO]],Tabla_Items_Completos[[CODIGO]:[LINEA]],3,0)</f>
        <v>#N/A</v>
      </c>
      <c r="E56" s="1" t="e">
        <f>VLOOKUP(Tabla_Items_Activos[[#This Row],[CODIGO]],Tabla_Items_Completos[[CODIGO]:[LINEA]],4,0)</f>
        <v>#N/A</v>
      </c>
      <c r="F56">
        <v>6</v>
      </c>
      <c r="G56">
        <v>0</v>
      </c>
    </row>
    <row r="57" spans="1:7">
      <c r="A57" t="s">
        <v>7388</v>
      </c>
      <c r="B57" t="s">
        <v>7444</v>
      </c>
      <c r="C57" s="1" t="e">
        <f>VLOOKUP(Tabla_Items_Activos[[#This Row],[CODIGO]],Tabla_Items_Completos[[CODIGO]:[LINEA]],2,0)</f>
        <v>#N/A</v>
      </c>
      <c r="D57" s="1" t="e">
        <f>VLOOKUP(Tabla_Items_Activos[[#This Row],[CODIGO]],Tabla_Items_Completos[[CODIGO]:[LINEA]],3,0)</f>
        <v>#N/A</v>
      </c>
      <c r="E57" s="1" t="e">
        <f>VLOOKUP(Tabla_Items_Activos[[#This Row],[CODIGO]],Tabla_Items_Completos[[CODIGO]:[LINEA]],4,0)</f>
        <v>#N/A</v>
      </c>
      <c r="F57">
        <v>48</v>
      </c>
      <c r="G57">
        <v>1</v>
      </c>
    </row>
    <row r="58" spans="1:7">
      <c r="A58" t="s">
        <v>7388</v>
      </c>
      <c r="B58" t="s">
        <v>7445</v>
      </c>
      <c r="C58" s="1" t="e">
        <f>VLOOKUP(Tabla_Items_Activos[[#This Row],[CODIGO]],Tabla_Items_Completos[[CODIGO]:[LINEA]],2,0)</f>
        <v>#N/A</v>
      </c>
      <c r="D58" s="1" t="e">
        <f>VLOOKUP(Tabla_Items_Activos[[#This Row],[CODIGO]],Tabla_Items_Completos[[CODIGO]:[LINEA]],3,0)</f>
        <v>#N/A</v>
      </c>
      <c r="E58" s="1" t="e">
        <f>VLOOKUP(Tabla_Items_Activos[[#This Row],[CODIGO]],Tabla_Items_Completos[[CODIGO]:[LINEA]],4,0)</f>
        <v>#N/A</v>
      </c>
      <c r="F58">
        <v>58</v>
      </c>
      <c r="G58">
        <v>0</v>
      </c>
    </row>
    <row r="59" spans="1:7">
      <c r="A59" t="s">
        <v>7388</v>
      </c>
      <c r="B59" t="s">
        <v>7446</v>
      </c>
      <c r="C59" s="1" t="e">
        <f>VLOOKUP(Tabla_Items_Activos[[#This Row],[CODIGO]],Tabla_Items_Completos[[CODIGO]:[LINEA]],2,0)</f>
        <v>#N/A</v>
      </c>
      <c r="D59" s="1" t="e">
        <f>VLOOKUP(Tabla_Items_Activos[[#This Row],[CODIGO]],Tabla_Items_Completos[[CODIGO]:[LINEA]],3,0)</f>
        <v>#N/A</v>
      </c>
      <c r="E59" s="1" t="e">
        <f>VLOOKUP(Tabla_Items_Activos[[#This Row],[CODIGO]],Tabla_Items_Completos[[CODIGO]:[LINEA]],4,0)</f>
        <v>#N/A</v>
      </c>
      <c r="F59">
        <v>75</v>
      </c>
      <c r="G59">
        <v>224</v>
      </c>
    </row>
    <row r="60" spans="1:7">
      <c r="A60" t="s">
        <v>7388</v>
      </c>
      <c r="B60" t="s">
        <v>7447</v>
      </c>
      <c r="C60" s="1" t="e">
        <f>VLOOKUP(Tabla_Items_Activos[[#This Row],[CODIGO]],Tabla_Items_Completos[[CODIGO]:[LINEA]],2,0)</f>
        <v>#N/A</v>
      </c>
      <c r="D60" s="1" t="e">
        <f>VLOOKUP(Tabla_Items_Activos[[#This Row],[CODIGO]],Tabla_Items_Completos[[CODIGO]:[LINEA]],3,0)</f>
        <v>#N/A</v>
      </c>
      <c r="E60" s="1" t="e">
        <f>VLOOKUP(Tabla_Items_Activos[[#This Row],[CODIGO]],Tabla_Items_Completos[[CODIGO]:[LINEA]],4,0)</f>
        <v>#N/A</v>
      </c>
      <c r="F60">
        <v>95</v>
      </c>
      <c r="G60">
        <v>205</v>
      </c>
    </row>
    <row r="61" spans="1:7">
      <c r="A61" t="s">
        <v>7388</v>
      </c>
      <c r="B61" t="s">
        <v>7448</v>
      </c>
      <c r="C61" s="1" t="e">
        <f>VLOOKUP(Tabla_Items_Activos[[#This Row],[CODIGO]],Tabla_Items_Completos[[CODIGO]:[LINEA]],2,0)</f>
        <v>#N/A</v>
      </c>
      <c r="D61" s="1" t="e">
        <f>VLOOKUP(Tabla_Items_Activos[[#This Row],[CODIGO]],Tabla_Items_Completos[[CODIGO]:[LINEA]],3,0)</f>
        <v>#N/A</v>
      </c>
      <c r="E61" s="1" t="e">
        <f>VLOOKUP(Tabla_Items_Activos[[#This Row],[CODIGO]],Tabla_Items_Completos[[CODIGO]:[LINEA]],4,0)</f>
        <v>#N/A</v>
      </c>
      <c r="F61">
        <v>100</v>
      </c>
      <c r="G61">
        <v>0</v>
      </c>
    </row>
    <row r="62" spans="1:7">
      <c r="A62" t="s">
        <v>7388</v>
      </c>
      <c r="B62" t="s">
        <v>7449</v>
      </c>
      <c r="C62" s="1" t="e">
        <f>VLOOKUP(Tabla_Items_Activos[[#This Row],[CODIGO]],Tabla_Items_Completos[[CODIGO]:[LINEA]],2,0)</f>
        <v>#N/A</v>
      </c>
      <c r="D62" s="1" t="e">
        <f>VLOOKUP(Tabla_Items_Activos[[#This Row],[CODIGO]],Tabla_Items_Completos[[CODIGO]:[LINEA]],3,0)</f>
        <v>#N/A</v>
      </c>
      <c r="E62" s="1" t="e">
        <f>VLOOKUP(Tabla_Items_Activos[[#This Row],[CODIGO]],Tabla_Items_Completos[[CODIGO]:[LINEA]],4,0)</f>
        <v>#N/A</v>
      </c>
      <c r="F62">
        <v>37</v>
      </c>
      <c r="G62">
        <v>0</v>
      </c>
    </row>
    <row r="63" spans="1:7">
      <c r="A63" t="s">
        <v>7388</v>
      </c>
      <c r="B63" t="s">
        <v>7450</v>
      </c>
      <c r="C63" s="1" t="e">
        <f>VLOOKUP(Tabla_Items_Activos[[#This Row],[CODIGO]],Tabla_Items_Completos[[CODIGO]:[LINEA]],2,0)</f>
        <v>#N/A</v>
      </c>
      <c r="D63" s="1" t="e">
        <f>VLOOKUP(Tabla_Items_Activos[[#This Row],[CODIGO]],Tabla_Items_Completos[[CODIGO]:[LINEA]],3,0)</f>
        <v>#N/A</v>
      </c>
      <c r="E63" s="1" t="e">
        <f>VLOOKUP(Tabla_Items_Activos[[#This Row],[CODIGO]],Tabla_Items_Completos[[CODIGO]:[LINEA]],4,0)</f>
        <v>#N/A</v>
      </c>
      <c r="F63">
        <v>281</v>
      </c>
      <c r="G63">
        <v>0</v>
      </c>
    </row>
    <row r="64" spans="1:7">
      <c r="A64" t="s">
        <v>7388</v>
      </c>
      <c r="B64" t="s">
        <v>7451</v>
      </c>
      <c r="C64" s="1" t="e">
        <f>VLOOKUP(Tabla_Items_Activos[[#This Row],[CODIGO]],Tabla_Items_Completos[[CODIGO]:[LINEA]],2,0)</f>
        <v>#N/A</v>
      </c>
      <c r="D64" s="1" t="e">
        <f>VLOOKUP(Tabla_Items_Activos[[#This Row],[CODIGO]],Tabla_Items_Completos[[CODIGO]:[LINEA]],3,0)</f>
        <v>#N/A</v>
      </c>
      <c r="E64" s="1" t="e">
        <f>VLOOKUP(Tabla_Items_Activos[[#This Row],[CODIGO]],Tabla_Items_Completos[[CODIGO]:[LINEA]],4,0)</f>
        <v>#N/A</v>
      </c>
      <c r="F64">
        <v>379</v>
      </c>
      <c r="G64">
        <v>0</v>
      </c>
    </row>
    <row r="65" spans="1:7">
      <c r="A65" t="s">
        <v>7388</v>
      </c>
      <c r="B65" t="s">
        <v>7452</v>
      </c>
      <c r="C65" s="1" t="e">
        <f>VLOOKUP(Tabla_Items_Activos[[#This Row],[CODIGO]],Tabla_Items_Completos[[CODIGO]:[LINEA]],2,0)</f>
        <v>#N/A</v>
      </c>
      <c r="D65" s="1" t="e">
        <f>VLOOKUP(Tabla_Items_Activos[[#This Row],[CODIGO]],Tabla_Items_Completos[[CODIGO]:[LINEA]],3,0)</f>
        <v>#N/A</v>
      </c>
      <c r="E65" s="1" t="e">
        <f>VLOOKUP(Tabla_Items_Activos[[#This Row],[CODIGO]],Tabla_Items_Completos[[CODIGO]:[LINEA]],4,0)</f>
        <v>#N/A</v>
      </c>
      <c r="F65">
        <v>381</v>
      </c>
      <c r="G65">
        <v>0</v>
      </c>
    </row>
    <row r="66" spans="1:7">
      <c r="A66" t="s">
        <v>7388</v>
      </c>
      <c r="B66" t="s">
        <v>7453</v>
      </c>
      <c r="C66" s="1" t="e">
        <f>VLOOKUP(Tabla_Items_Activos[[#This Row],[CODIGO]],Tabla_Items_Completos[[CODIGO]:[LINEA]],2,0)</f>
        <v>#N/A</v>
      </c>
      <c r="D66" s="1" t="e">
        <f>VLOOKUP(Tabla_Items_Activos[[#This Row],[CODIGO]],Tabla_Items_Completos[[CODIGO]:[LINEA]],3,0)</f>
        <v>#N/A</v>
      </c>
      <c r="E66" s="1" t="e">
        <f>VLOOKUP(Tabla_Items_Activos[[#This Row],[CODIGO]],Tabla_Items_Completos[[CODIGO]:[LINEA]],4,0)</f>
        <v>#N/A</v>
      </c>
      <c r="F66">
        <v>116</v>
      </c>
      <c r="G66">
        <v>143</v>
      </c>
    </row>
    <row r="67" spans="1:7">
      <c r="A67" t="s">
        <v>7388</v>
      </c>
      <c r="B67" t="s">
        <v>7454</v>
      </c>
      <c r="C67" s="1" t="e">
        <f>VLOOKUP(Tabla_Items_Activos[[#This Row],[CODIGO]],Tabla_Items_Completos[[CODIGO]:[LINEA]],2,0)</f>
        <v>#N/A</v>
      </c>
      <c r="D67" s="1" t="e">
        <f>VLOOKUP(Tabla_Items_Activos[[#This Row],[CODIGO]],Tabla_Items_Completos[[CODIGO]:[LINEA]],3,0)</f>
        <v>#N/A</v>
      </c>
      <c r="E67" s="1" t="e">
        <f>VLOOKUP(Tabla_Items_Activos[[#This Row],[CODIGO]],Tabla_Items_Completos[[CODIGO]:[LINEA]],4,0)</f>
        <v>#N/A</v>
      </c>
      <c r="F67">
        <v>122</v>
      </c>
      <c r="G67">
        <v>126</v>
      </c>
    </row>
    <row r="68" spans="1:7">
      <c r="A68" t="s">
        <v>7388</v>
      </c>
      <c r="B68" t="s">
        <v>7455</v>
      </c>
      <c r="C68" s="1" t="e">
        <f>VLOOKUP(Tabla_Items_Activos[[#This Row],[CODIGO]],Tabla_Items_Completos[[CODIGO]:[LINEA]],2,0)</f>
        <v>#N/A</v>
      </c>
      <c r="D68" s="1" t="e">
        <f>VLOOKUP(Tabla_Items_Activos[[#This Row],[CODIGO]],Tabla_Items_Completos[[CODIGO]:[LINEA]],3,0)</f>
        <v>#N/A</v>
      </c>
      <c r="E68" s="1" t="e">
        <f>VLOOKUP(Tabla_Items_Activos[[#This Row],[CODIGO]],Tabla_Items_Completos[[CODIGO]:[LINEA]],4,0)</f>
        <v>#N/A</v>
      </c>
      <c r="F68">
        <v>185</v>
      </c>
      <c r="G68">
        <v>24</v>
      </c>
    </row>
    <row r="69" spans="1:7">
      <c r="A69" t="s">
        <v>7388</v>
      </c>
      <c r="B69" t="s">
        <v>7456</v>
      </c>
      <c r="C69" s="1" t="e">
        <f>VLOOKUP(Tabla_Items_Activos[[#This Row],[CODIGO]],Tabla_Items_Completos[[CODIGO]:[LINEA]],2,0)</f>
        <v>#N/A</v>
      </c>
      <c r="D69" s="1" t="e">
        <f>VLOOKUP(Tabla_Items_Activos[[#This Row],[CODIGO]],Tabla_Items_Completos[[CODIGO]:[LINEA]],3,0)</f>
        <v>#N/A</v>
      </c>
      <c r="E69" s="1" t="e">
        <f>VLOOKUP(Tabla_Items_Activos[[#This Row],[CODIGO]],Tabla_Items_Completos[[CODIGO]:[LINEA]],4,0)</f>
        <v>#N/A</v>
      </c>
      <c r="F69">
        <v>477</v>
      </c>
      <c r="G69">
        <v>6</v>
      </c>
    </row>
    <row r="70" spans="1:7">
      <c r="A70" t="s">
        <v>7388</v>
      </c>
      <c r="B70" t="s">
        <v>7457</v>
      </c>
      <c r="C70" s="1" t="e">
        <f>VLOOKUP(Tabla_Items_Activos[[#This Row],[CODIGO]],Tabla_Items_Completos[[CODIGO]:[LINEA]],2,0)</f>
        <v>#N/A</v>
      </c>
      <c r="D70" s="1" t="e">
        <f>VLOOKUP(Tabla_Items_Activos[[#This Row],[CODIGO]],Tabla_Items_Completos[[CODIGO]:[LINEA]],3,0)</f>
        <v>#N/A</v>
      </c>
      <c r="E70" s="1" t="e">
        <f>VLOOKUP(Tabla_Items_Activos[[#This Row],[CODIGO]],Tabla_Items_Completos[[CODIGO]:[LINEA]],4,0)</f>
        <v>#N/A</v>
      </c>
      <c r="F70">
        <v>520</v>
      </c>
      <c r="G70">
        <v>30</v>
      </c>
    </row>
    <row r="71" spans="1:7">
      <c r="A71" t="s">
        <v>7388</v>
      </c>
      <c r="B71" t="s">
        <v>7458</v>
      </c>
      <c r="C71" s="1" t="e">
        <f>VLOOKUP(Tabla_Items_Activos[[#This Row],[CODIGO]],Tabla_Items_Completos[[CODIGO]:[LINEA]],2,0)</f>
        <v>#N/A</v>
      </c>
      <c r="D71" s="1" t="e">
        <f>VLOOKUP(Tabla_Items_Activos[[#This Row],[CODIGO]],Tabla_Items_Completos[[CODIGO]:[LINEA]],3,0)</f>
        <v>#N/A</v>
      </c>
      <c r="E71" s="1" t="e">
        <f>VLOOKUP(Tabla_Items_Activos[[#This Row],[CODIGO]],Tabla_Items_Completos[[CODIGO]:[LINEA]],4,0)</f>
        <v>#N/A</v>
      </c>
      <c r="F71">
        <v>511</v>
      </c>
      <c r="G71">
        <v>26</v>
      </c>
    </row>
    <row r="72" spans="1:7">
      <c r="A72" t="s">
        <v>7388</v>
      </c>
      <c r="B72" t="s">
        <v>7459</v>
      </c>
      <c r="C72" s="1" t="e">
        <f>VLOOKUP(Tabla_Items_Activos[[#This Row],[CODIGO]],Tabla_Items_Completos[[CODIGO]:[LINEA]],2,0)</f>
        <v>#N/A</v>
      </c>
      <c r="D72" s="1" t="e">
        <f>VLOOKUP(Tabla_Items_Activos[[#This Row],[CODIGO]],Tabla_Items_Completos[[CODIGO]:[LINEA]],3,0)</f>
        <v>#N/A</v>
      </c>
      <c r="E72" s="1" t="e">
        <f>VLOOKUP(Tabla_Items_Activos[[#This Row],[CODIGO]],Tabla_Items_Completos[[CODIGO]:[LINEA]],4,0)</f>
        <v>#N/A</v>
      </c>
      <c r="F72">
        <v>99</v>
      </c>
      <c r="G72">
        <v>0</v>
      </c>
    </row>
    <row r="73" spans="1:7">
      <c r="A73" t="s">
        <v>7388</v>
      </c>
      <c r="B73" t="s">
        <v>7460</v>
      </c>
      <c r="C73" s="1" t="e">
        <f>VLOOKUP(Tabla_Items_Activos[[#This Row],[CODIGO]],Tabla_Items_Completos[[CODIGO]:[LINEA]],2,0)</f>
        <v>#N/A</v>
      </c>
      <c r="D73" s="1" t="e">
        <f>VLOOKUP(Tabla_Items_Activos[[#This Row],[CODIGO]],Tabla_Items_Completos[[CODIGO]:[LINEA]],3,0)</f>
        <v>#N/A</v>
      </c>
      <c r="E73" s="1" t="e">
        <f>VLOOKUP(Tabla_Items_Activos[[#This Row],[CODIGO]],Tabla_Items_Completos[[CODIGO]:[LINEA]],4,0)</f>
        <v>#N/A</v>
      </c>
      <c r="F73">
        <v>74</v>
      </c>
      <c r="G73">
        <v>11</v>
      </c>
    </row>
    <row r="74" spans="1:7">
      <c r="A74" t="s">
        <v>7388</v>
      </c>
      <c r="B74" t="s">
        <v>7461</v>
      </c>
      <c r="C74" s="1" t="e">
        <f>VLOOKUP(Tabla_Items_Activos[[#This Row],[CODIGO]],Tabla_Items_Completos[[CODIGO]:[LINEA]],2,0)</f>
        <v>#N/A</v>
      </c>
      <c r="D74" s="1" t="e">
        <f>VLOOKUP(Tabla_Items_Activos[[#This Row],[CODIGO]],Tabla_Items_Completos[[CODIGO]:[LINEA]],3,0)</f>
        <v>#N/A</v>
      </c>
      <c r="E74" s="1" t="e">
        <f>VLOOKUP(Tabla_Items_Activos[[#This Row],[CODIGO]],Tabla_Items_Completos[[CODIGO]:[LINEA]],4,0)</f>
        <v>#N/A</v>
      </c>
      <c r="F74">
        <v>609</v>
      </c>
      <c r="G74">
        <v>0</v>
      </c>
    </row>
    <row r="75" spans="1:7">
      <c r="A75" t="s">
        <v>7388</v>
      </c>
      <c r="B75" t="s">
        <v>7462</v>
      </c>
      <c r="C75" s="1" t="e">
        <f>VLOOKUP(Tabla_Items_Activos[[#This Row],[CODIGO]],Tabla_Items_Completos[[CODIGO]:[LINEA]],2,0)</f>
        <v>#N/A</v>
      </c>
      <c r="D75" s="1" t="e">
        <f>VLOOKUP(Tabla_Items_Activos[[#This Row],[CODIGO]],Tabla_Items_Completos[[CODIGO]:[LINEA]],3,0)</f>
        <v>#N/A</v>
      </c>
      <c r="E75" s="1" t="e">
        <f>VLOOKUP(Tabla_Items_Activos[[#This Row],[CODIGO]],Tabla_Items_Completos[[CODIGO]:[LINEA]],4,0)</f>
        <v>#N/A</v>
      </c>
      <c r="F75">
        <v>374</v>
      </c>
      <c r="G75">
        <v>62</v>
      </c>
    </row>
    <row r="76" spans="1:7">
      <c r="A76" t="s">
        <v>7388</v>
      </c>
      <c r="B76" t="s">
        <v>7463</v>
      </c>
      <c r="C76" s="1" t="e">
        <f>VLOOKUP(Tabla_Items_Activos[[#This Row],[CODIGO]],Tabla_Items_Completos[[CODIGO]:[LINEA]],2,0)</f>
        <v>#N/A</v>
      </c>
      <c r="D76" s="1" t="e">
        <f>VLOOKUP(Tabla_Items_Activos[[#This Row],[CODIGO]],Tabla_Items_Completos[[CODIGO]:[LINEA]],3,0)</f>
        <v>#N/A</v>
      </c>
      <c r="E76" s="1" t="e">
        <f>VLOOKUP(Tabla_Items_Activos[[#This Row],[CODIGO]],Tabla_Items_Completos[[CODIGO]:[LINEA]],4,0)</f>
        <v>#N/A</v>
      </c>
      <c r="F76">
        <v>405</v>
      </c>
      <c r="G76">
        <v>116</v>
      </c>
    </row>
    <row r="77" spans="1:7">
      <c r="A77" t="s">
        <v>7388</v>
      </c>
      <c r="B77" t="s">
        <v>7464</v>
      </c>
      <c r="C77" s="1" t="e">
        <f>VLOOKUP(Tabla_Items_Activos[[#This Row],[CODIGO]],Tabla_Items_Completos[[CODIGO]:[LINEA]],2,0)</f>
        <v>#N/A</v>
      </c>
      <c r="D77" s="1" t="e">
        <f>VLOOKUP(Tabla_Items_Activos[[#This Row],[CODIGO]],Tabla_Items_Completos[[CODIGO]:[LINEA]],3,0)</f>
        <v>#N/A</v>
      </c>
      <c r="E77" s="1" t="e">
        <f>VLOOKUP(Tabla_Items_Activos[[#This Row],[CODIGO]],Tabla_Items_Completos[[CODIGO]:[LINEA]],4,0)</f>
        <v>#N/A</v>
      </c>
      <c r="F77">
        <v>436</v>
      </c>
      <c r="G77">
        <v>188</v>
      </c>
    </row>
    <row r="78" spans="1:7">
      <c r="A78" t="s">
        <v>7388</v>
      </c>
      <c r="B78" t="s">
        <v>7465</v>
      </c>
      <c r="C78" s="1" t="e">
        <f>VLOOKUP(Tabla_Items_Activos[[#This Row],[CODIGO]],Tabla_Items_Completos[[CODIGO]:[LINEA]],2,0)</f>
        <v>#N/A</v>
      </c>
      <c r="D78" s="1" t="e">
        <f>VLOOKUP(Tabla_Items_Activos[[#This Row],[CODIGO]],Tabla_Items_Completos[[CODIGO]:[LINEA]],3,0)</f>
        <v>#N/A</v>
      </c>
      <c r="E78" s="1" t="e">
        <f>VLOOKUP(Tabla_Items_Activos[[#This Row],[CODIGO]],Tabla_Items_Completos[[CODIGO]:[LINEA]],4,0)</f>
        <v>#N/A</v>
      </c>
      <c r="F78">
        <v>226</v>
      </c>
      <c r="G78">
        <v>34</v>
      </c>
    </row>
    <row r="79" spans="1:7">
      <c r="A79" t="s">
        <v>7388</v>
      </c>
      <c r="B79" t="s">
        <v>7466</v>
      </c>
      <c r="C79" s="1" t="e">
        <f>VLOOKUP(Tabla_Items_Activos[[#This Row],[CODIGO]],Tabla_Items_Completos[[CODIGO]:[LINEA]],2,0)</f>
        <v>#N/A</v>
      </c>
      <c r="D79" s="1" t="e">
        <f>VLOOKUP(Tabla_Items_Activos[[#This Row],[CODIGO]],Tabla_Items_Completos[[CODIGO]:[LINEA]],3,0)</f>
        <v>#N/A</v>
      </c>
      <c r="E79" s="1" t="e">
        <f>VLOOKUP(Tabla_Items_Activos[[#This Row],[CODIGO]],Tabla_Items_Completos[[CODIGO]:[LINEA]],4,0)</f>
        <v>#N/A</v>
      </c>
      <c r="F79">
        <v>79</v>
      </c>
      <c r="G79">
        <v>126</v>
      </c>
    </row>
    <row r="80" spans="1:7">
      <c r="A80" t="s">
        <v>7388</v>
      </c>
      <c r="B80" t="s">
        <v>7467</v>
      </c>
      <c r="C80" s="1" t="e">
        <f>VLOOKUP(Tabla_Items_Activos[[#This Row],[CODIGO]],Tabla_Items_Completos[[CODIGO]:[LINEA]],2,0)</f>
        <v>#N/A</v>
      </c>
      <c r="D80" s="1" t="e">
        <f>VLOOKUP(Tabla_Items_Activos[[#This Row],[CODIGO]],Tabla_Items_Completos[[CODIGO]:[LINEA]],3,0)</f>
        <v>#N/A</v>
      </c>
      <c r="E80" s="1" t="e">
        <f>VLOOKUP(Tabla_Items_Activos[[#This Row],[CODIGO]],Tabla_Items_Completos[[CODIGO]:[LINEA]],4,0)</f>
        <v>#N/A</v>
      </c>
      <c r="F80">
        <v>94</v>
      </c>
      <c r="G80">
        <v>118</v>
      </c>
    </row>
    <row r="81" spans="1:7">
      <c r="A81" t="s">
        <v>7388</v>
      </c>
      <c r="B81" t="s">
        <v>7468</v>
      </c>
      <c r="C81" s="1" t="e">
        <f>VLOOKUP(Tabla_Items_Activos[[#This Row],[CODIGO]],Tabla_Items_Completos[[CODIGO]:[LINEA]],2,0)</f>
        <v>#N/A</v>
      </c>
      <c r="D81" s="1" t="e">
        <f>VLOOKUP(Tabla_Items_Activos[[#This Row],[CODIGO]],Tabla_Items_Completos[[CODIGO]:[LINEA]],3,0)</f>
        <v>#N/A</v>
      </c>
      <c r="E81" s="1" t="e">
        <f>VLOOKUP(Tabla_Items_Activos[[#This Row],[CODIGO]],Tabla_Items_Completos[[CODIGO]:[LINEA]],4,0)</f>
        <v>#N/A</v>
      </c>
      <c r="F81">
        <v>43</v>
      </c>
      <c r="G81">
        <v>64</v>
      </c>
    </row>
    <row r="82" spans="1:7">
      <c r="A82" t="s">
        <v>7388</v>
      </c>
      <c r="B82" t="s">
        <v>7469</v>
      </c>
      <c r="C82" s="1" t="e">
        <f>VLOOKUP(Tabla_Items_Activos[[#This Row],[CODIGO]],Tabla_Items_Completos[[CODIGO]:[LINEA]],2,0)</f>
        <v>#N/A</v>
      </c>
      <c r="D82" s="1" t="e">
        <f>VLOOKUP(Tabla_Items_Activos[[#This Row],[CODIGO]],Tabla_Items_Completos[[CODIGO]:[LINEA]],3,0)</f>
        <v>#N/A</v>
      </c>
      <c r="E82" s="1" t="e">
        <f>VLOOKUP(Tabla_Items_Activos[[#This Row],[CODIGO]],Tabla_Items_Completos[[CODIGO]:[LINEA]],4,0)</f>
        <v>#N/A</v>
      </c>
      <c r="F82">
        <v>52</v>
      </c>
      <c r="G82">
        <v>101</v>
      </c>
    </row>
    <row r="83" spans="1:7">
      <c r="A83" t="s">
        <v>7388</v>
      </c>
      <c r="B83" t="s">
        <v>7470</v>
      </c>
      <c r="C83" s="1" t="e">
        <f>VLOOKUP(Tabla_Items_Activos[[#This Row],[CODIGO]],Tabla_Items_Completos[[CODIGO]:[LINEA]],2,0)</f>
        <v>#N/A</v>
      </c>
      <c r="D83" s="1" t="e">
        <f>VLOOKUP(Tabla_Items_Activos[[#This Row],[CODIGO]],Tabla_Items_Completos[[CODIGO]:[LINEA]],3,0)</f>
        <v>#N/A</v>
      </c>
      <c r="E83" s="1" t="e">
        <f>VLOOKUP(Tabla_Items_Activos[[#This Row],[CODIGO]],Tabla_Items_Completos[[CODIGO]:[LINEA]],4,0)</f>
        <v>#N/A</v>
      </c>
      <c r="F83">
        <v>108</v>
      </c>
      <c r="G83">
        <v>47</v>
      </c>
    </row>
    <row r="84" spans="1:7">
      <c r="A84" t="s">
        <v>7388</v>
      </c>
      <c r="B84" t="s">
        <v>7471</v>
      </c>
      <c r="C84" s="1" t="e">
        <f>VLOOKUP(Tabla_Items_Activos[[#This Row],[CODIGO]],Tabla_Items_Completos[[CODIGO]:[LINEA]],2,0)</f>
        <v>#N/A</v>
      </c>
      <c r="D84" s="1" t="e">
        <f>VLOOKUP(Tabla_Items_Activos[[#This Row],[CODIGO]],Tabla_Items_Completos[[CODIGO]:[LINEA]],3,0)</f>
        <v>#N/A</v>
      </c>
      <c r="E84" s="1" t="e">
        <f>VLOOKUP(Tabla_Items_Activos[[#This Row],[CODIGO]],Tabla_Items_Completos[[CODIGO]:[LINEA]],4,0)</f>
        <v>#N/A</v>
      </c>
      <c r="F84">
        <v>101</v>
      </c>
      <c r="G84">
        <v>189</v>
      </c>
    </row>
    <row r="85" spans="1:7">
      <c r="A85" t="s">
        <v>7388</v>
      </c>
      <c r="B85" t="s">
        <v>7472</v>
      </c>
      <c r="C85" s="1" t="e">
        <f>VLOOKUP(Tabla_Items_Activos[[#This Row],[CODIGO]],Tabla_Items_Completos[[CODIGO]:[LINEA]],2,0)</f>
        <v>#N/A</v>
      </c>
      <c r="D85" s="1" t="e">
        <f>VLOOKUP(Tabla_Items_Activos[[#This Row],[CODIGO]],Tabla_Items_Completos[[CODIGO]:[LINEA]],3,0)</f>
        <v>#N/A</v>
      </c>
      <c r="E85" s="1" t="e">
        <f>VLOOKUP(Tabla_Items_Activos[[#This Row],[CODIGO]],Tabla_Items_Completos[[CODIGO]:[LINEA]],4,0)</f>
        <v>#N/A</v>
      </c>
      <c r="F85">
        <v>103</v>
      </c>
      <c r="G85">
        <v>97</v>
      </c>
    </row>
    <row r="86" spans="1:7">
      <c r="A86" t="s">
        <v>7388</v>
      </c>
      <c r="B86" t="s">
        <v>7473</v>
      </c>
      <c r="C86" s="1" t="e">
        <f>VLOOKUP(Tabla_Items_Activos[[#This Row],[CODIGO]],Tabla_Items_Completos[[CODIGO]:[LINEA]],2,0)</f>
        <v>#N/A</v>
      </c>
      <c r="D86" s="1" t="e">
        <f>VLOOKUP(Tabla_Items_Activos[[#This Row],[CODIGO]],Tabla_Items_Completos[[CODIGO]:[LINEA]],3,0)</f>
        <v>#N/A</v>
      </c>
      <c r="E86" s="1" t="e">
        <f>VLOOKUP(Tabla_Items_Activos[[#This Row],[CODIGO]],Tabla_Items_Completos[[CODIGO]:[LINEA]],4,0)</f>
        <v>#N/A</v>
      </c>
      <c r="F86">
        <v>258</v>
      </c>
      <c r="G86">
        <v>0</v>
      </c>
    </row>
    <row r="87" spans="1:7">
      <c r="A87" t="s">
        <v>7388</v>
      </c>
      <c r="B87" t="s">
        <v>7474</v>
      </c>
      <c r="C87" s="1" t="e">
        <f>VLOOKUP(Tabla_Items_Activos[[#This Row],[CODIGO]],Tabla_Items_Completos[[CODIGO]:[LINEA]],2,0)</f>
        <v>#N/A</v>
      </c>
      <c r="D87" s="1" t="e">
        <f>VLOOKUP(Tabla_Items_Activos[[#This Row],[CODIGO]],Tabla_Items_Completos[[CODIGO]:[LINEA]],3,0)</f>
        <v>#N/A</v>
      </c>
      <c r="E87" s="1" t="e">
        <f>VLOOKUP(Tabla_Items_Activos[[#This Row],[CODIGO]],Tabla_Items_Completos[[CODIGO]:[LINEA]],4,0)</f>
        <v>#N/A</v>
      </c>
      <c r="F87">
        <v>45</v>
      </c>
      <c r="G87">
        <v>0</v>
      </c>
    </row>
    <row r="88" spans="1:7">
      <c r="A88" t="s">
        <v>7388</v>
      </c>
      <c r="B88" t="s">
        <v>7475</v>
      </c>
      <c r="C88" s="1" t="e">
        <f>VLOOKUP(Tabla_Items_Activos[[#This Row],[CODIGO]],Tabla_Items_Completos[[CODIGO]:[LINEA]],2,0)</f>
        <v>#N/A</v>
      </c>
      <c r="D88" s="1" t="e">
        <f>VLOOKUP(Tabla_Items_Activos[[#This Row],[CODIGO]],Tabla_Items_Completos[[CODIGO]:[LINEA]],3,0)</f>
        <v>#N/A</v>
      </c>
      <c r="E88" s="1" t="e">
        <f>VLOOKUP(Tabla_Items_Activos[[#This Row],[CODIGO]],Tabla_Items_Completos[[CODIGO]:[LINEA]],4,0)</f>
        <v>#N/A</v>
      </c>
      <c r="F88">
        <v>41</v>
      </c>
      <c r="G88">
        <v>0</v>
      </c>
    </row>
    <row r="89" spans="1:7">
      <c r="A89" t="s">
        <v>7388</v>
      </c>
      <c r="B89" t="s">
        <v>7476</v>
      </c>
      <c r="C89" s="1" t="e">
        <f>VLOOKUP(Tabla_Items_Activos[[#This Row],[CODIGO]],Tabla_Items_Completos[[CODIGO]:[LINEA]],2,0)</f>
        <v>#N/A</v>
      </c>
      <c r="D89" s="1" t="e">
        <f>VLOOKUP(Tabla_Items_Activos[[#This Row],[CODIGO]],Tabla_Items_Completos[[CODIGO]:[LINEA]],3,0)</f>
        <v>#N/A</v>
      </c>
      <c r="E89" s="1" t="e">
        <f>VLOOKUP(Tabla_Items_Activos[[#This Row],[CODIGO]],Tabla_Items_Completos[[CODIGO]:[LINEA]],4,0)</f>
        <v>#N/A</v>
      </c>
      <c r="F89">
        <v>34</v>
      </c>
      <c r="G89">
        <v>0</v>
      </c>
    </row>
    <row r="90" spans="1:7">
      <c r="A90" t="s">
        <v>7388</v>
      </c>
      <c r="B90" t="s">
        <v>7477</v>
      </c>
      <c r="C90" s="1" t="e">
        <f>VLOOKUP(Tabla_Items_Activos[[#This Row],[CODIGO]],Tabla_Items_Completos[[CODIGO]:[LINEA]],2,0)</f>
        <v>#N/A</v>
      </c>
      <c r="D90" s="1" t="e">
        <f>VLOOKUP(Tabla_Items_Activos[[#This Row],[CODIGO]],Tabla_Items_Completos[[CODIGO]:[LINEA]],3,0)</f>
        <v>#N/A</v>
      </c>
      <c r="E90" s="1" t="e">
        <f>VLOOKUP(Tabla_Items_Activos[[#This Row],[CODIGO]],Tabla_Items_Completos[[CODIGO]:[LINEA]],4,0)</f>
        <v>#N/A</v>
      </c>
      <c r="F90">
        <v>305</v>
      </c>
      <c r="G90">
        <v>0</v>
      </c>
    </row>
    <row r="91" spans="1:7">
      <c r="A91" t="s">
        <v>7388</v>
      </c>
      <c r="B91" t="s">
        <v>7478</v>
      </c>
      <c r="C91" s="1" t="e">
        <f>VLOOKUP(Tabla_Items_Activos[[#This Row],[CODIGO]],Tabla_Items_Completos[[CODIGO]:[LINEA]],2,0)</f>
        <v>#N/A</v>
      </c>
      <c r="D91" s="1" t="e">
        <f>VLOOKUP(Tabla_Items_Activos[[#This Row],[CODIGO]],Tabla_Items_Completos[[CODIGO]:[LINEA]],3,0)</f>
        <v>#N/A</v>
      </c>
      <c r="E91" s="1" t="e">
        <f>VLOOKUP(Tabla_Items_Activos[[#This Row],[CODIGO]],Tabla_Items_Completos[[CODIGO]:[LINEA]],4,0)</f>
        <v>#N/A</v>
      </c>
      <c r="F91">
        <v>221</v>
      </c>
      <c r="G91">
        <v>0</v>
      </c>
    </row>
    <row r="92" spans="1:7">
      <c r="A92" t="s">
        <v>7388</v>
      </c>
      <c r="B92" t="s">
        <v>7479</v>
      </c>
      <c r="C92" s="1" t="e">
        <f>VLOOKUP(Tabla_Items_Activos[[#This Row],[CODIGO]],Tabla_Items_Completos[[CODIGO]:[LINEA]],2,0)</f>
        <v>#N/A</v>
      </c>
      <c r="D92" s="1" t="e">
        <f>VLOOKUP(Tabla_Items_Activos[[#This Row],[CODIGO]],Tabla_Items_Completos[[CODIGO]:[LINEA]],3,0)</f>
        <v>#N/A</v>
      </c>
      <c r="E92" s="1" t="e">
        <f>VLOOKUP(Tabla_Items_Activos[[#This Row],[CODIGO]],Tabla_Items_Completos[[CODIGO]:[LINEA]],4,0)</f>
        <v>#N/A</v>
      </c>
      <c r="F92">
        <v>384</v>
      </c>
      <c r="G92">
        <v>0</v>
      </c>
    </row>
    <row r="93" spans="1:7">
      <c r="A93" t="s">
        <v>7388</v>
      </c>
      <c r="B93" t="s">
        <v>7480</v>
      </c>
      <c r="C93" s="1" t="e">
        <f>VLOOKUP(Tabla_Items_Activos[[#This Row],[CODIGO]],Tabla_Items_Completos[[CODIGO]:[LINEA]],2,0)</f>
        <v>#N/A</v>
      </c>
      <c r="D93" s="1" t="e">
        <f>VLOOKUP(Tabla_Items_Activos[[#This Row],[CODIGO]],Tabla_Items_Completos[[CODIGO]:[LINEA]],3,0)</f>
        <v>#N/A</v>
      </c>
      <c r="E93" s="1" t="e">
        <f>VLOOKUP(Tabla_Items_Activos[[#This Row],[CODIGO]],Tabla_Items_Completos[[CODIGO]:[LINEA]],4,0)</f>
        <v>#N/A</v>
      </c>
      <c r="F93">
        <v>55</v>
      </c>
      <c r="G93">
        <v>0</v>
      </c>
    </row>
    <row r="94" spans="1:7">
      <c r="A94" t="s">
        <v>7388</v>
      </c>
      <c r="B94" t="s">
        <v>7481</v>
      </c>
      <c r="C94" s="1" t="e">
        <f>VLOOKUP(Tabla_Items_Activos[[#This Row],[CODIGO]],Tabla_Items_Completos[[CODIGO]:[LINEA]],2,0)</f>
        <v>#N/A</v>
      </c>
      <c r="D94" s="1" t="e">
        <f>VLOOKUP(Tabla_Items_Activos[[#This Row],[CODIGO]],Tabla_Items_Completos[[CODIGO]:[LINEA]],3,0)</f>
        <v>#N/A</v>
      </c>
      <c r="E94" s="1" t="e">
        <f>VLOOKUP(Tabla_Items_Activos[[#This Row],[CODIGO]],Tabla_Items_Completos[[CODIGO]:[LINEA]],4,0)</f>
        <v>#N/A</v>
      </c>
      <c r="F94">
        <v>125</v>
      </c>
      <c r="G94">
        <v>0</v>
      </c>
    </row>
    <row r="95" spans="1:7">
      <c r="A95" t="s">
        <v>7388</v>
      </c>
      <c r="B95" t="s">
        <v>7482</v>
      </c>
      <c r="C95" s="1" t="e">
        <f>VLOOKUP(Tabla_Items_Activos[[#This Row],[CODIGO]],Tabla_Items_Completos[[CODIGO]:[LINEA]],2,0)</f>
        <v>#N/A</v>
      </c>
      <c r="D95" s="1" t="e">
        <f>VLOOKUP(Tabla_Items_Activos[[#This Row],[CODIGO]],Tabla_Items_Completos[[CODIGO]:[LINEA]],3,0)</f>
        <v>#N/A</v>
      </c>
      <c r="E95" s="1" t="e">
        <f>VLOOKUP(Tabla_Items_Activos[[#This Row],[CODIGO]],Tabla_Items_Completos[[CODIGO]:[LINEA]],4,0)</f>
        <v>#N/A</v>
      </c>
      <c r="F95">
        <v>65</v>
      </c>
      <c r="G95">
        <v>0</v>
      </c>
    </row>
    <row r="96" spans="1:7">
      <c r="A96" t="s">
        <v>7388</v>
      </c>
      <c r="B96" t="s">
        <v>7483</v>
      </c>
      <c r="C96" s="1" t="e">
        <f>VLOOKUP(Tabla_Items_Activos[[#This Row],[CODIGO]],Tabla_Items_Completos[[CODIGO]:[LINEA]],2,0)</f>
        <v>#N/A</v>
      </c>
      <c r="D96" s="1" t="e">
        <f>VLOOKUP(Tabla_Items_Activos[[#This Row],[CODIGO]],Tabla_Items_Completos[[CODIGO]:[LINEA]],3,0)</f>
        <v>#N/A</v>
      </c>
      <c r="E96" s="1" t="e">
        <f>VLOOKUP(Tabla_Items_Activos[[#This Row],[CODIGO]],Tabla_Items_Completos[[CODIGO]:[LINEA]],4,0)</f>
        <v>#N/A</v>
      </c>
      <c r="F96">
        <v>2</v>
      </c>
      <c r="G96">
        <v>0</v>
      </c>
    </row>
    <row r="97" spans="1:7">
      <c r="A97" t="s">
        <v>7388</v>
      </c>
      <c r="B97" t="s">
        <v>7484</v>
      </c>
      <c r="C97" s="1" t="e">
        <f>VLOOKUP(Tabla_Items_Activos[[#This Row],[CODIGO]],Tabla_Items_Completos[[CODIGO]:[LINEA]],2,0)</f>
        <v>#N/A</v>
      </c>
      <c r="D97" s="1" t="e">
        <f>VLOOKUP(Tabla_Items_Activos[[#This Row],[CODIGO]],Tabla_Items_Completos[[CODIGO]:[LINEA]],3,0)</f>
        <v>#N/A</v>
      </c>
      <c r="E97" s="1" t="e">
        <f>VLOOKUP(Tabla_Items_Activos[[#This Row],[CODIGO]],Tabla_Items_Completos[[CODIGO]:[LINEA]],4,0)</f>
        <v>#N/A</v>
      </c>
      <c r="F97">
        <v>85</v>
      </c>
      <c r="G97">
        <v>0</v>
      </c>
    </row>
    <row r="98" spans="1:7">
      <c r="A98" t="s">
        <v>7388</v>
      </c>
      <c r="B98" t="s">
        <v>7485</v>
      </c>
      <c r="C98" s="1" t="e">
        <f>VLOOKUP(Tabla_Items_Activos[[#This Row],[CODIGO]],Tabla_Items_Completos[[CODIGO]:[LINEA]],2,0)</f>
        <v>#N/A</v>
      </c>
      <c r="D98" s="1" t="e">
        <f>VLOOKUP(Tabla_Items_Activos[[#This Row],[CODIGO]],Tabla_Items_Completos[[CODIGO]:[LINEA]],3,0)</f>
        <v>#N/A</v>
      </c>
      <c r="E98" s="1" t="e">
        <f>VLOOKUP(Tabla_Items_Activos[[#This Row],[CODIGO]],Tabla_Items_Completos[[CODIGO]:[LINEA]],4,0)</f>
        <v>#N/A</v>
      </c>
      <c r="F98">
        <v>83</v>
      </c>
      <c r="G98">
        <v>0</v>
      </c>
    </row>
    <row r="99" spans="1:7">
      <c r="A99" t="s">
        <v>7388</v>
      </c>
      <c r="B99" t="s">
        <v>7486</v>
      </c>
      <c r="C99" s="1" t="e">
        <f>VLOOKUP(Tabla_Items_Activos[[#This Row],[CODIGO]],Tabla_Items_Completos[[CODIGO]:[LINEA]],2,0)</f>
        <v>#N/A</v>
      </c>
      <c r="D99" s="1" t="e">
        <f>VLOOKUP(Tabla_Items_Activos[[#This Row],[CODIGO]],Tabla_Items_Completos[[CODIGO]:[LINEA]],3,0)</f>
        <v>#N/A</v>
      </c>
      <c r="E99" s="1" t="e">
        <f>VLOOKUP(Tabla_Items_Activos[[#This Row],[CODIGO]],Tabla_Items_Completos[[CODIGO]:[LINEA]],4,0)</f>
        <v>#N/A</v>
      </c>
      <c r="F99">
        <v>100</v>
      </c>
      <c r="G99">
        <v>0</v>
      </c>
    </row>
    <row r="100" spans="1:7">
      <c r="A100" t="s">
        <v>7388</v>
      </c>
      <c r="B100" t="s">
        <v>7487</v>
      </c>
      <c r="C100" s="1" t="e">
        <f>VLOOKUP(Tabla_Items_Activos[[#This Row],[CODIGO]],Tabla_Items_Completos[[CODIGO]:[LINEA]],2,0)</f>
        <v>#N/A</v>
      </c>
      <c r="D100" s="1" t="e">
        <f>VLOOKUP(Tabla_Items_Activos[[#This Row],[CODIGO]],Tabla_Items_Completos[[CODIGO]:[LINEA]],3,0)</f>
        <v>#N/A</v>
      </c>
      <c r="E100" s="1" t="e">
        <f>VLOOKUP(Tabla_Items_Activos[[#This Row],[CODIGO]],Tabla_Items_Completos[[CODIGO]:[LINEA]],4,0)</f>
        <v>#N/A</v>
      </c>
      <c r="F100">
        <v>158</v>
      </c>
      <c r="G100">
        <v>0</v>
      </c>
    </row>
    <row r="101" spans="1:7">
      <c r="A101" t="s">
        <v>7388</v>
      </c>
      <c r="B101" t="s">
        <v>7488</v>
      </c>
      <c r="C101" s="1" t="e">
        <f>VLOOKUP(Tabla_Items_Activos[[#This Row],[CODIGO]],Tabla_Items_Completos[[CODIGO]:[LINEA]],2,0)</f>
        <v>#N/A</v>
      </c>
      <c r="D101" s="1" t="e">
        <f>VLOOKUP(Tabla_Items_Activos[[#This Row],[CODIGO]],Tabla_Items_Completos[[CODIGO]:[LINEA]],3,0)</f>
        <v>#N/A</v>
      </c>
      <c r="E101" s="1" t="e">
        <f>VLOOKUP(Tabla_Items_Activos[[#This Row],[CODIGO]],Tabla_Items_Completos[[CODIGO]:[LINEA]],4,0)</f>
        <v>#N/A</v>
      </c>
      <c r="F101">
        <v>242</v>
      </c>
      <c r="G101">
        <v>0</v>
      </c>
    </row>
    <row r="102" spans="1:7">
      <c r="A102" t="s">
        <v>7388</v>
      </c>
      <c r="B102" t="s">
        <v>7489</v>
      </c>
      <c r="C102" s="1" t="e">
        <f>VLOOKUP(Tabla_Items_Activos[[#This Row],[CODIGO]],Tabla_Items_Completos[[CODIGO]:[LINEA]],2,0)</f>
        <v>#N/A</v>
      </c>
      <c r="D102" s="1" t="e">
        <f>VLOOKUP(Tabla_Items_Activos[[#This Row],[CODIGO]],Tabla_Items_Completos[[CODIGO]:[LINEA]],3,0)</f>
        <v>#N/A</v>
      </c>
      <c r="E102" s="1" t="e">
        <f>VLOOKUP(Tabla_Items_Activos[[#This Row],[CODIGO]],Tabla_Items_Completos[[CODIGO]:[LINEA]],4,0)</f>
        <v>#N/A</v>
      </c>
      <c r="F102">
        <v>308</v>
      </c>
      <c r="G102">
        <v>14</v>
      </c>
    </row>
    <row r="103" spans="1:7">
      <c r="A103" t="s">
        <v>7388</v>
      </c>
      <c r="B103" t="s">
        <v>7490</v>
      </c>
      <c r="C103" s="1" t="e">
        <f>VLOOKUP(Tabla_Items_Activos[[#This Row],[CODIGO]],Tabla_Items_Completos[[CODIGO]:[LINEA]],2,0)</f>
        <v>#N/A</v>
      </c>
      <c r="D103" s="1" t="e">
        <f>VLOOKUP(Tabla_Items_Activos[[#This Row],[CODIGO]],Tabla_Items_Completos[[CODIGO]:[LINEA]],3,0)</f>
        <v>#N/A</v>
      </c>
      <c r="E103" s="1" t="e">
        <f>VLOOKUP(Tabla_Items_Activos[[#This Row],[CODIGO]],Tabla_Items_Completos[[CODIGO]:[LINEA]],4,0)</f>
        <v>#N/A</v>
      </c>
      <c r="F103">
        <v>259</v>
      </c>
      <c r="G103">
        <v>20</v>
      </c>
    </row>
    <row r="104" spans="1:7">
      <c r="A104" t="s">
        <v>7388</v>
      </c>
      <c r="B104" t="s">
        <v>7491</v>
      </c>
      <c r="C104" s="1" t="e">
        <f>VLOOKUP(Tabla_Items_Activos[[#This Row],[CODIGO]],Tabla_Items_Completos[[CODIGO]:[LINEA]],2,0)</f>
        <v>#N/A</v>
      </c>
      <c r="D104" s="1" t="e">
        <f>VLOOKUP(Tabla_Items_Activos[[#This Row],[CODIGO]],Tabla_Items_Completos[[CODIGO]:[LINEA]],3,0)</f>
        <v>#N/A</v>
      </c>
      <c r="E104" s="1" t="e">
        <f>VLOOKUP(Tabla_Items_Activos[[#This Row],[CODIGO]],Tabla_Items_Completos[[CODIGO]:[LINEA]],4,0)</f>
        <v>#N/A</v>
      </c>
      <c r="F104">
        <v>62</v>
      </c>
      <c r="G104">
        <v>0</v>
      </c>
    </row>
    <row r="105" spans="1:7">
      <c r="A105" t="s">
        <v>7388</v>
      </c>
      <c r="B105" t="s">
        <v>7492</v>
      </c>
      <c r="C105" s="1" t="e">
        <f>VLOOKUP(Tabla_Items_Activos[[#This Row],[CODIGO]],Tabla_Items_Completos[[CODIGO]:[LINEA]],2,0)</f>
        <v>#N/A</v>
      </c>
      <c r="D105" s="1" t="e">
        <f>VLOOKUP(Tabla_Items_Activos[[#This Row],[CODIGO]],Tabla_Items_Completos[[CODIGO]:[LINEA]],3,0)</f>
        <v>#N/A</v>
      </c>
      <c r="E105" s="1" t="e">
        <f>VLOOKUP(Tabla_Items_Activos[[#This Row],[CODIGO]],Tabla_Items_Completos[[CODIGO]:[LINEA]],4,0)</f>
        <v>#N/A</v>
      </c>
      <c r="F105">
        <v>121</v>
      </c>
      <c r="G105">
        <v>20</v>
      </c>
    </row>
    <row r="106" spans="1:7">
      <c r="A106" t="s">
        <v>7388</v>
      </c>
      <c r="B106" t="s">
        <v>7493</v>
      </c>
      <c r="C106" s="1" t="e">
        <f>VLOOKUP(Tabla_Items_Activos[[#This Row],[CODIGO]],Tabla_Items_Completos[[CODIGO]:[LINEA]],2,0)</f>
        <v>#N/A</v>
      </c>
      <c r="D106" s="1" t="e">
        <f>VLOOKUP(Tabla_Items_Activos[[#This Row],[CODIGO]],Tabla_Items_Completos[[CODIGO]:[LINEA]],3,0)</f>
        <v>#N/A</v>
      </c>
      <c r="E106" s="1" t="e">
        <f>VLOOKUP(Tabla_Items_Activos[[#This Row],[CODIGO]],Tabla_Items_Completos[[CODIGO]:[LINEA]],4,0)</f>
        <v>#N/A</v>
      </c>
      <c r="F106">
        <v>120</v>
      </c>
      <c r="G106">
        <v>31</v>
      </c>
    </row>
    <row r="107" spans="1:7">
      <c r="A107" t="s">
        <v>7388</v>
      </c>
      <c r="B107" t="s">
        <v>7494</v>
      </c>
      <c r="C107" s="1" t="e">
        <f>VLOOKUP(Tabla_Items_Activos[[#This Row],[CODIGO]],Tabla_Items_Completos[[CODIGO]:[LINEA]],2,0)</f>
        <v>#N/A</v>
      </c>
      <c r="D107" s="1" t="e">
        <f>VLOOKUP(Tabla_Items_Activos[[#This Row],[CODIGO]],Tabla_Items_Completos[[CODIGO]:[LINEA]],3,0)</f>
        <v>#N/A</v>
      </c>
      <c r="E107" s="1" t="e">
        <f>VLOOKUP(Tabla_Items_Activos[[#This Row],[CODIGO]],Tabla_Items_Completos[[CODIGO]:[LINEA]],4,0)</f>
        <v>#N/A</v>
      </c>
      <c r="F107">
        <v>126</v>
      </c>
      <c r="G107">
        <v>13</v>
      </c>
    </row>
    <row r="108" spans="1:7">
      <c r="A108" t="s">
        <v>7388</v>
      </c>
      <c r="B108" t="s">
        <v>7495</v>
      </c>
      <c r="C108" s="1" t="e">
        <f>VLOOKUP(Tabla_Items_Activos[[#This Row],[CODIGO]],Tabla_Items_Completos[[CODIGO]:[LINEA]],2,0)</f>
        <v>#N/A</v>
      </c>
      <c r="D108" s="1" t="e">
        <f>VLOOKUP(Tabla_Items_Activos[[#This Row],[CODIGO]],Tabla_Items_Completos[[CODIGO]:[LINEA]],3,0)</f>
        <v>#N/A</v>
      </c>
      <c r="E108" s="1" t="e">
        <f>VLOOKUP(Tabla_Items_Activos[[#This Row],[CODIGO]],Tabla_Items_Completos[[CODIGO]:[LINEA]],4,0)</f>
        <v>#N/A</v>
      </c>
      <c r="F108">
        <v>87</v>
      </c>
      <c r="G108">
        <v>0</v>
      </c>
    </row>
    <row r="109" spans="1:7">
      <c r="A109" t="s">
        <v>7388</v>
      </c>
      <c r="B109" t="s">
        <v>7496</v>
      </c>
      <c r="C109" s="1" t="e">
        <f>VLOOKUP(Tabla_Items_Activos[[#This Row],[CODIGO]],Tabla_Items_Completos[[CODIGO]:[LINEA]],2,0)</f>
        <v>#N/A</v>
      </c>
      <c r="D109" s="1" t="e">
        <f>VLOOKUP(Tabla_Items_Activos[[#This Row],[CODIGO]],Tabla_Items_Completos[[CODIGO]:[LINEA]],3,0)</f>
        <v>#N/A</v>
      </c>
      <c r="E109" s="1" t="e">
        <f>VLOOKUP(Tabla_Items_Activos[[#This Row],[CODIGO]],Tabla_Items_Completos[[CODIGO]:[LINEA]],4,0)</f>
        <v>#N/A</v>
      </c>
      <c r="F109">
        <v>95</v>
      </c>
      <c r="G109">
        <v>0</v>
      </c>
    </row>
    <row r="110" spans="1:7">
      <c r="A110" t="s">
        <v>7388</v>
      </c>
      <c r="B110" t="s">
        <v>7497</v>
      </c>
      <c r="C110" s="1" t="e">
        <f>VLOOKUP(Tabla_Items_Activos[[#This Row],[CODIGO]],Tabla_Items_Completos[[CODIGO]:[LINEA]],2,0)</f>
        <v>#N/A</v>
      </c>
      <c r="D110" s="1" t="e">
        <f>VLOOKUP(Tabla_Items_Activos[[#This Row],[CODIGO]],Tabla_Items_Completos[[CODIGO]:[LINEA]],3,0)</f>
        <v>#N/A</v>
      </c>
      <c r="E110" s="1" t="e">
        <f>VLOOKUP(Tabla_Items_Activos[[#This Row],[CODIGO]],Tabla_Items_Completos[[CODIGO]:[LINEA]],4,0)</f>
        <v>#N/A</v>
      </c>
      <c r="F110">
        <v>106</v>
      </c>
      <c r="G110">
        <v>0</v>
      </c>
    </row>
    <row r="111" spans="1:7">
      <c r="A111" t="s">
        <v>7388</v>
      </c>
      <c r="B111" t="s">
        <v>7498</v>
      </c>
      <c r="C111" s="1" t="e">
        <f>VLOOKUP(Tabla_Items_Activos[[#This Row],[CODIGO]],Tabla_Items_Completos[[CODIGO]:[LINEA]],2,0)</f>
        <v>#N/A</v>
      </c>
      <c r="D111" s="1" t="e">
        <f>VLOOKUP(Tabla_Items_Activos[[#This Row],[CODIGO]],Tabla_Items_Completos[[CODIGO]:[LINEA]],3,0)</f>
        <v>#N/A</v>
      </c>
      <c r="E111" s="1" t="e">
        <f>VLOOKUP(Tabla_Items_Activos[[#This Row],[CODIGO]],Tabla_Items_Completos[[CODIGO]:[LINEA]],4,0)</f>
        <v>#N/A</v>
      </c>
      <c r="F111">
        <v>53</v>
      </c>
      <c r="G111">
        <v>0</v>
      </c>
    </row>
    <row r="112" spans="1:7">
      <c r="A112" t="s">
        <v>7388</v>
      </c>
      <c r="B112" t="s">
        <v>7499</v>
      </c>
      <c r="C112" s="1" t="e">
        <f>VLOOKUP(Tabla_Items_Activos[[#This Row],[CODIGO]],Tabla_Items_Completos[[CODIGO]:[LINEA]],2,0)</f>
        <v>#N/A</v>
      </c>
      <c r="D112" s="1" t="e">
        <f>VLOOKUP(Tabla_Items_Activos[[#This Row],[CODIGO]],Tabla_Items_Completos[[CODIGO]:[LINEA]],3,0)</f>
        <v>#N/A</v>
      </c>
      <c r="E112" s="1" t="e">
        <f>VLOOKUP(Tabla_Items_Activos[[#This Row],[CODIGO]],Tabla_Items_Completos[[CODIGO]:[LINEA]],4,0)</f>
        <v>#N/A</v>
      </c>
      <c r="F112">
        <v>641</v>
      </c>
      <c r="G112">
        <v>0</v>
      </c>
    </row>
    <row r="113" spans="1:7">
      <c r="A113" t="s">
        <v>7388</v>
      </c>
      <c r="B113" t="s">
        <v>7500</v>
      </c>
      <c r="C113" s="1" t="e">
        <f>VLOOKUP(Tabla_Items_Activos[[#This Row],[CODIGO]],Tabla_Items_Completos[[CODIGO]:[LINEA]],2,0)</f>
        <v>#N/A</v>
      </c>
      <c r="D113" s="1" t="e">
        <f>VLOOKUP(Tabla_Items_Activos[[#This Row],[CODIGO]],Tabla_Items_Completos[[CODIGO]:[LINEA]],3,0)</f>
        <v>#N/A</v>
      </c>
      <c r="E113" s="1" t="e">
        <f>VLOOKUP(Tabla_Items_Activos[[#This Row],[CODIGO]],Tabla_Items_Completos[[CODIGO]:[LINEA]],4,0)</f>
        <v>#N/A</v>
      </c>
      <c r="F113">
        <v>69</v>
      </c>
      <c r="G113">
        <v>4</v>
      </c>
    </row>
    <row r="114" spans="1:7">
      <c r="A114" t="s">
        <v>7388</v>
      </c>
      <c r="B114" t="s">
        <v>7501</v>
      </c>
      <c r="C114" s="1" t="e">
        <f>VLOOKUP(Tabla_Items_Activos[[#This Row],[CODIGO]],Tabla_Items_Completos[[CODIGO]:[LINEA]],2,0)</f>
        <v>#N/A</v>
      </c>
      <c r="D114" s="1" t="e">
        <f>VLOOKUP(Tabla_Items_Activos[[#This Row],[CODIGO]],Tabla_Items_Completos[[CODIGO]:[LINEA]],3,0)</f>
        <v>#N/A</v>
      </c>
      <c r="E114" s="1" t="e">
        <f>VLOOKUP(Tabla_Items_Activos[[#This Row],[CODIGO]],Tabla_Items_Completos[[CODIGO]:[LINEA]],4,0)</f>
        <v>#N/A</v>
      </c>
      <c r="F114">
        <v>116</v>
      </c>
      <c r="G114">
        <v>10</v>
      </c>
    </row>
    <row r="115" spans="1:7">
      <c r="A115" t="s">
        <v>7388</v>
      </c>
      <c r="B115" t="s">
        <v>7502</v>
      </c>
      <c r="C115" s="1" t="e">
        <f>VLOOKUP(Tabla_Items_Activos[[#This Row],[CODIGO]],Tabla_Items_Completos[[CODIGO]:[LINEA]],2,0)</f>
        <v>#N/A</v>
      </c>
      <c r="D115" s="1" t="e">
        <f>VLOOKUP(Tabla_Items_Activos[[#This Row],[CODIGO]],Tabla_Items_Completos[[CODIGO]:[LINEA]],3,0)</f>
        <v>#N/A</v>
      </c>
      <c r="E115" s="1" t="e">
        <f>VLOOKUP(Tabla_Items_Activos[[#This Row],[CODIGO]],Tabla_Items_Completos[[CODIGO]:[LINEA]],4,0)</f>
        <v>#N/A</v>
      </c>
      <c r="F115">
        <v>237</v>
      </c>
      <c r="G115">
        <v>0</v>
      </c>
    </row>
    <row r="116" spans="1:7">
      <c r="A116" t="s">
        <v>7388</v>
      </c>
      <c r="B116" t="s">
        <v>7503</v>
      </c>
      <c r="C116" s="1" t="e">
        <f>VLOOKUP(Tabla_Items_Activos[[#This Row],[CODIGO]],Tabla_Items_Completos[[CODIGO]:[LINEA]],2,0)</f>
        <v>#N/A</v>
      </c>
      <c r="D116" s="1" t="e">
        <f>VLOOKUP(Tabla_Items_Activos[[#This Row],[CODIGO]],Tabla_Items_Completos[[CODIGO]:[LINEA]],3,0)</f>
        <v>#N/A</v>
      </c>
      <c r="E116" s="1" t="e">
        <f>VLOOKUP(Tabla_Items_Activos[[#This Row],[CODIGO]],Tabla_Items_Completos[[CODIGO]:[LINEA]],4,0)</f>
        <v>#N/A</v>
      </c>
      <c r="F116">
        <v>151</v>
      </c>
      <c r="G116">
        <v>0</v>
      </c>
    </row>
    <row r="117" spans="1:7">
      <c r="A117" t="s">
        <v>7388</v>
      </c>
      <c r="B117" t="s">
        <v>7504</v>
      </c>
      <c r="C117" s="1" t="e">
        <f>VLOOKUP(Tabla_Items_Activos[[#This Row],[CODIGO]],Tabla_Items_Completos[[CODIGO]:[LINEA]],2,0)</f>
        <v>#N/A</v>
      </c>
      <c r="D117" s="1" t="e">
        <f>VLOOKUP(Tabla_Items_Activos[[#This Row],[CODIGO]],Tabla_Items_Completos[[CODIGO]:[LINEA]],3,0)</f>
        <v>#N/A</v>
      </c>
      <c r="E117" s="1" t="e">
        <f>VLOOKUP(Tabla_Items_Activos[[#This Row],[CODIGO]],Tabla_Items_Completos[[CODIGO]:[LINEA]],4,0)</f>
        <v>#N/A</v>
      </c>
      <c r="F117">
        <v>200</v>
      </c>
      <c r="G117">
        <v>0</v>
      </c>
    </row>
    <row r="118" spans="1:7">
      <c r="A118" t="s">
        <v>7388</v>
      </c>
      <c r="B118" t="s">
        <v>7505</v>
      </c>
      <c r="C118" s="1" t="e">
        <f>VLOOKUP(Tabla_Items_Activos[[#This Row],[CODIGO]],Tabla_Items_Completos[[CODIGO]:[LINEA]],2,0)</f>
        <v>#N/A</v>
      </c>
      <c r="D118" s="1" t="e">
        <f>VLOOKUP(Tabla_Items_Activos[[#This Row],[CODIGO]],Tabla_Items_Completos[[CODIGO]:[LINEA]],3,0)</f>
        <v>#N/A</v>
      </c>
      <c r="E118" s="1" t="e">
        <f>VLOOKUP(Tabla_Items_Activos[[#This Row],[CODIGO]],Tabla_Items_Completos[[CODIGO]:[LINEA]],4,0)</f>
        <v>#N/A</v>
      </c>
      <c r="F118">
        <v>230</v>
      </c>
      <c r="G118">
        <v>0</v>
      </c>
    </row>
    <row r="119" spans="1:7">
      <c r="A119" t="s">
        <v>7388</v>
      </c>
      <c r="B119" t="s">
        <v>7506</v>
      </c>
      <c r="C119" s="1" t="e">
        <f>VLOOKUP(Tabla_Items_Activos[[#This Row],[CODIGO]],Tabla_Items_Completos[[CODIGO]:[LINEA]],2,0)</f>
        <v>#N/A</v>
      </c>
      <c r="D119" s="1" t="e">
        <f>VLOOKUP(Tabla_Items_Activos[[#This Row],[CODIGO]],Tabla_Items_Completos[[CODIGO]:[LINEA]],3,0)</f>
        <v>#N/A</v>
      </c>
      <c r="E119" s="1" t="e">
        <f>VLOOKUP(Tabla_Items_Activos[[#This Row],[CODIGO]],Tabla_Items_Completos[[CODIGO]:[LINEA]],4,0)</f>
        <v>#N/A</v>
      </c>
      <c r="F119">
        <v>39</v>
      </c>
      <c r="G119">
        <v>37</v>
      </c>
    </row>
    <row r="120" spans="1:7">
      <c r="A120" t="s">
        <v>7388</v>
      </c>
      <c r="B120" t="s">
        <v>7507</v>
      </c>
      <c r="C120" s="1" t="e">
        <f>VLOOKUP(Tabla_Items_Activos[[#This Row],[CODIGO]],Tabla_Items_Completos[[CODIGO]:[LINEA]],2,0)</f>
        <v>#N/A</v>
      </c>
      <c r="D120" s="1" t="e">
        <f>VLOOKUP(Tabla_Items_Activos[[#This Row],[CODIGO]],Tabla_Items_Completos[[CODIGO]:[LINEA]],3,0)</f>
        <v>#N/A</v>
      </c>
      <c r="E120" s="1" t="e">
        <f>VLOOKUP(Tabla_Items_Activos[[#This Row],[CODIGO]],Tabla_Items_Completos[[CODIGO]:[LINEA]],4,0)</f>
        <v>#N/A</v>
      </c>
      <c r="F120">
        <v>180</v>
      </c>
      <c r="G120">
        <v>28</v>
      </c>
    </row>
    <row r="121" spans="1:7">
      <c r="A121" t="s">
        <v>7388</v>
      </c>
      <c r="B121" t="s">
        <v>7508</v>
      </c>
      <c r="C121" s="1" t="e">
        <f>VLOOKUP(Tabla_Items_Activos[[#This Row],[CODIGO]],Tabla_Items_Completos[[CODIGO]:[LINEA]],2,0)</f>
        <v>#N/A</v>
      </c>
      <c r="D121" s="1" t="e">
        <f>VLOOKUP(Tabla_Items_Activos[[#This Row],[CODIGO]],Tabla_Items_Completos[[CODIGO]:[LINEA]],3,0)</f>
        <v>#N/A</v>
      </c>
      <c r="E121" s="1" t="e">
        <f>VLOOKUP(Tabla_Items_Activos[[#This Row],[CODIGO]],Tabla_Items_Completos[[CODIGO]:[LINEA]],4,0)</f>
        <v>#N/A</v>
      </c>
      <c r="F121">
        <v>201</v>
      </c>
      <c r="G121">
        <v>22</v>
      </c>
    </row>
    <row r="122" spans="1:7">
      <c r="A122" t="s">
        <v>7388</v>
      </c>
      <c r="B122" t="s">
        <v>7509</v>
      </c>
      <c r="C122" s="1" t="e">
        <f>VLOOKUP(Tabla_Items_Activos[[#This Row],[CODIGO]],Tabla_Items_Completos[[CODIGO]:[LINEA]],2,0)</f>
        <v>#N/A</v>
      </c>
      <c r="D122" s="1" t="e">
        <f>VLOOKUP(Tabla_Items_Activos[[#This Row],[CODIGO]],Tabla_Items_Completos[[CODIGO]:[LINEA]],3,0)</f>
        <v>#N/A</v>
      </c>
      <c r="E122" s="1" t="e">
        <f>VLOOKUP(Tabla_Items_Activos[[#This Row],[CODIGO]],Tabla_Items_Completos[[CODIGO]:[LINEA]],4,0)</f>
        <v>#N/A</v>
      </c>
      <c r="F122">
        <v>171</v>
      </c>
      <c r="G122">
        <v>0</v>
      </c>
    </row>
    <row r="123" spans="1:7">
      <c r="A123" t="s">
        <v>7388</v>
      </c>
      <c r="B123" t="s">
        <v>7510</v>
      </c>
      <c r="C123" s="1" t="e">
        <f>VLOOKUP(Tabla_Items_Activos[[#This Row],[CODIGO]],Tabla_Items_Completos[[CODIGO]:[LINEA]],2,0)</f>
        <v>#N/A</v>
      </c>
      <c r="D123" s="1" t="e">
        <f>VLOOKUP(Tabla_Items_Activos[[#This Row],[CODIGO]],Tabla_Items_Completos[[CODIGO]:[LINEA]],3,0)</f>
        <v>#N/A</v>
      </c>
      <c r="E123" s="1" t="e">
        <f>VLOOKUP(Tabla_Items_Activos[[#This Row],[CODIGO]],Tabla_Items_Completos[[CODIGO]:[LINEA]],4,0)</f>
        <v>#N/A</v>
      </c>
      <c r="F123">
        <v>22</v>
      </c>
      <c r="G123">
        <v>60</v>
      </c>
    </row>
    <row r="124" spans="1:7">
      <c r="A124" t="s">
        <v>7388</v>
      </c>
      <c r="B124" t="s">
        <v>7511</v>
      </c>
      <c r="C124" s="1" t="e">
        <f>VLOOKUP(Tabla_Items_Activos[[#This Row],[CODIGO]],Tabla_Items_Completos[[CODIGO]:[LINEA]],2,0)</f>
        <v>#N/A</v>
      </c>
      <c r="D124" s="1" t="e">
        <f>VLOOKUP(Tabla_Items_Activos[[#This Row],[CODIGO]],Tabla_Items_Completos[[CODIGO]:[LINEA]],3,0)</f>
        <v>#N/A</v>
      </c>
      <c r="E124" s="1" t="e">
        <f>VLOOKUP(Tabla_Items_Activos[[#This Row],[CODIGO]],Tabla_Items_Completos[[CODIGO]:[LINEA]],4,0)</f>
        <v>#N/A</v>
      </c>
      <c r="F124">
        <v>33</v>
      </c>
      <c r="G124">
        <v>47</v>
      </c>
    </row>
    <row r="125" spans="1:7">
      <c r="A125" t="s">
        <v>7388</v>
      </c>
      <c r="B125" t="s">
        <v>7512</v>
      </c>
      <c r="C125" s="1" t="e">
        <f>VLOOKUP(Tabla_Items_Activos[[#This Row],[CODIGO]],Tabla_Items_Completos[[CODIGO]:[LINEA]],2,0)</f>
        <v>#N/A</v>
      </c>
      <c r="D125" s="1" t="e">
        <f>VLOOKUP(Tabla_Items_Activos[[#This Row],[CODIGO]],Tabla_Items_Completos[[CODIGO]:[LINEA]],3,0)</f>
        <v>#N/A</v>
      </c>
      <c r="E125" s="1" t="e">
        <f>VLOOKUP(Tabla_Items_Activos[[#This Row],[CODIGO]],Tabla_Items_Completos[[CODIGO]:[LINEA]],4,0)</f>
        <v>#N/A</v>
      </c>
      <c r="F125">
        <v>17</v>
      </c>
      <c r="G125">
        <v>24</v>
      </c>
    </row>
    <row r="126" spans="1:7">
      <c r="A126" t="s">
        <v>7388</v>
      </c>
      <c r="B126" t="s">
        <v>7513</v>
      </c>
      <c r="C126" s="1" t="e">
        <f>VLOOKUP(Tabla_Items_Activos[[#This Row],[CODIGO]],Tabla_Items_Completos[[CODIGO]:[LINEA]],2,0)</f>
        <v>#N/A</v>
      </c>
      <c r="D126" s="1" t="e">
        <f>VLOOKUP(Tabla_Items_Activos[[#This Row],[CODIGO]],Tabla_Items_Completos[[CODIGO]:[LINEA]],3,0)</f>
        <v>#N/A</v>
      </c>
      <c r="E126" s="1" t="e">
        <f>VLOOKUP(Tabla_Items_Activos[[#This Row],[CODIGO]],Tabla_Items_Completos[[CODIGO]:[LINEA]],4,0)</f>
        <v>#N/A</v>
      </c>
      <c r="F126">
        <v>289</v>
      </c>
      <c r="G126">
        <v>0</v>
      </c>
    </row>
    <row r="127" spans="1:7">
      <c r="A127" t="s">
        <v>7388</v>
      </c>
      <c r="B127" t="s">
        <v>7514</v>
      </c>
      <c r="C127" s="1" t="e">
        <f>VLOOKUP(Tabla_Items_Activos[[#This Row],[CODIGO]],Tabla_Items_Completos[[CODIGO]:[LINEA]],2,0)</f>
        <v>#N/A</v>
      </c>
      <c r="D127" s="1" t="e">
        <f>VLOOKUP(Tabla_Items_Activos[[#This Row],[CODIGO]],Tabla_Items_Completos[[CODIGO]:[LINEA]],3,0)</f>
        <v>#N/A</v>
      </c>
      <c r="E127" s="1" t="e">
        <f>VLOOKUP(Tabla_Items_Activos[[#This Row],[CODIGO]],Tabla_Items_Completos[[CODIGO]:[LINEA]],4,0)</f>
        <v>#N/A</v>
      </c>
      <c r="F127">
        <v>329</v>
      </c>
      <c r="G127">
        <v>30</v>
      </c>
    </row>
    <row r="128" spans="1:7">
      <c r="A128" t="s">
        <v>7388</v>
      </c>
      <c r="B128" t="s">
        <v>7515</v>
      </c>
      <c r="C128" s="1" t="e">
        <f>VLOOKUP(Tabla_Items_Activos[[#This Row],[CODIGO]],Tabla_Items_Completos[[CODIGO]:[LINEA]],2,0)</f>
        <v>#N/A</v>
      </c>
      <c r="D128" s="1" t="e">
        <f>VLOOKUP(Tabla_Items_Activos[[#This Row],[CODIGO]],Tabla_Items_Completos[[CODIGO]:[LINEA]],3,0)</f>
        <v>#N/A</v>
      </c>
      <c r="E128" s="1" t="e">
        <f>VLOOKUP(Tabla_Items_Activos[[#This Row],[CODIGO]],Tabla_Items_Completos[[CODIGO]:[LINEA]],4,0)</f>
        <v>#N/A</v>
      </c>
      <c r="F128">
        <v>310</v>
      </c>
      <c r="G128">
        <v>0</v>
      </c>
    </row>
    <row r="129" spans="1:7">
      <c r="A129" t="s">
        <v>7388</v>
      </c>
      <c r="B129" t="s">
        <v>7516</v>
      </c>
      <c r="C129" s="1" t="e">
        <f>VLOOKUP(Tabla_Items_Activos[[#This Row],[CODIGO]],Tabla_Items_Completos[[CODIGO]:[LINEA]],2,0)</f>
        <v>#N/A</v>
      </c>
      <c r="D129" s="1" t="e">
        <f>VLOOKUP(Tabla_Items_Activos[[#This Row],[CODIGO]],Tabla_Items_Completos[[CODIGO]:[LINEA]],3,0)</f>
        <v>#N/A</v>
      </c>
      <c r="E129" s="1" t="e">
        <f>VLOOKUP(Tabla_Items_Activos[[#This Row],[CODIGO]],Tabla_Items_Completos[[CODIGO]:[LINEA]],4,0)</f>
        <v>#N/A</v>
      </c>
      <c r="F129">
        <v>227</v>
      </c>
      <c r="G129">
        <v>86</v>
      </c>
    </row>
    <row r="130" spans="1:7">
      <c r="A130" t="s">
        <v>7388</v>
      </c>
      <c r="B130" t="s">
        <v>7517</v>
      </c>
      <c r="C130" s="1" t="e">
        <f>VLOOKUP(Tabla_Items_Activos[[#This Row],[CODIGO]],Tabla_Items_Completos[[CODIGO]:[LINEA]],2,0)</f>
        <v>#N/A</v>
      </c>
      <c r="D130" s="1" t="e">
        <f>VLOOKUP(Tabla_Items_Activos[[#This Row],[CODIGO]],Tabla_Items_Completos[[CODIGO]:[LINEA]],3,0)</f>
        <v>#N/A</v>
      </c>
      <c r="E130" s="1" t="e">
        <f>VLOOKUP(Tabla_Items_Activos[[#This Row],[CODIGO]],Tabla_Items_Completos[[CODIGO]:[LINEA]],4,0)</f>
        <v>#N/A</v>
      </c>
      <c r="F130">
        <v>190</v>
      </c>
      <c r="G130">
        <v>87</v>
      </c>
    </row>
    <row r="131" spans="1:7">
      <c r="A131" t="s">
        <v>7388</v>
      </c>
      <c r="B131" t="s">
        <v>7518</v>
      </c>
      <c r="C131" s="1" t="e">
        <f>VLOOKUP(Tabla_Items_Activos[[#This Row],[CODIGO]],Tabla_Items_Completos[[CODIGO]:[LINEA]],2,0)</f>
        <v>#N/A</v>
      </c>
      <c r="D131" s="1" t="e">
        <f>VLOOKUP(Tabla_Items_Activos[[#This Row],[CODIGO]],Tabla_Items_Completos[[CODIGO]:[LINEA]],3,0)</f>
        <v>#N/A</v>
      </c>
      <c r="E131" s="1" t="e">
        <f>VLOOKUP(Tabla_Items_Activos[[#This Row],[CODIGO]],Tabla_Items_Completos[[CODIGO]:[LINEA]],4,0)</f>
        <v>#N/A</v>
      </c>
      <c r="F131">
        <v>49</v>
      </c>
      <c r="G131">
        <v>105</v>
      </c>
    </row>
    <row r="132" spans="1:7">
      <c r="A132" t="s">
        <v>7388</v>
      </c>
      <c r="B132" t="s">
        <v>7519</v>
      </c>
      <c r="C132" s="1" t="e">
        <f>VLOOKUP(Tabla_Items_Activos[[#This Row],[CODIGO]],Tabla_Items_Completos[[CODIGO]:[LINEA]],2,0)</f>
        <v>#N/A</v>
      </c>
      <c r="D132" s="1" t="e">
        <f>VLOOKUP(Tabla_Items_Activos[[#This Row],[CODIGO]],Tabla_Items_Completos[[CODIGO]:[LINEA]],3,0)</f>
        <v>#N/A</v>
      </c>
      <c r="E132" s="1" t="e">
        <f>VLOOKUP(Tabla_Items_Activos[[#This Row],[CODIGO]],Tabla_Items_Completos[[CODIGO]:[LINEA]],4,0)</f>
        <v>#N/A</v>
      </c>
      <c r="F132">
        <v>122</v>
      </c>
      <c r="G132">
        <v>27</v>
      </c>
    </row>
    <row r="133" spans="1:7">
      <c r="A133" t="s">
        <v>7388</v>
      </c>
      <c r="B133" t="s">
        <v>7520</v>
      </c>
      <c r="C133" s="1" t="e">
        <f>VLOOKUP(Tabla_Items_Activos[[#This Row],[CODIGO]],Tabla_Items_Completos[[CODIGO]:[LINEA]],2,0)</f>
        <v>#N/A</v>
      </c>
      <c r="D133" s="1" t="e">
        <f>VLOOKUP(Tabla_Items_Activos[[#This Row],[CODIGO]],Tabla_Items_Completos[[CODIGO]:[LINEA]],3,0)</f>
        <v>#N/A</v>
      </c>
      <c r="E133" s="1" t="e">
        <f>VLOOKUP(Tabla_Items_Activos[[#This Row],[CODIGO]],Tabla_Items_Completos[[CODIGO]:[LINEA]],4,0)</f>
        <v>#N/A</v>
      </c>
      <c r="F133">
        <v>151</v>
      </c>
      <c r="G133">
        <v>35</v>
      </c>
    </row>
    <row r="134" spans="1:7">
      <c r="A134" t="s">
        <v>7388</v>
      </c>
      <c r="B134" t="s">
        <v>7521</v>
      </c>
      <c r="C134" s="1" t="e">
        <f>VLOOKUP(Tabla_Items_Activos[[#This Row],[CODIGO]],Tabla_Items_Completos[[CODIGO]:[LINEA]],2,0)</f>
        <v>#N/A</v>
      </c>
      <c r="D134" s="1" t="e">
        <f>VLOOKUP(Tabla_Items_Activos[[#This Row],[CODIGO]],Tabla_Items_Completos[[CODIGO]:[LINEA]],3,0)</f>
        <v>#N/A</v>
      </c>
      <c r="E134" s="1" t="e">
        <f>VLOOKUP(Tabla_Items_Activos[[#This Row],[CODIGO]],Tabla_Items_Completos[[CODIGO]:[LINEA]],4,0)</f>
        <v>#N/A</v>
      </c>
      <c r="F134">
        <v>122</v>
      </c>
      <c r="G134">
        <v>0</v>
      </c>
    </row>
    <row r="135" spans="1:7">
      <c r="A135" t="s">
        <v>7388</v>
      </c>
      <c r="B135" t="s">
        <v>7522</v>
      </c>
      <c r="C135" s="1" t="e">
        <f>VLOOKUP(Tabla_Items_Activos[[#This Row],[CODIGO]],Tabla_Items_Completos[[CODIGO]:[LINEA]],2,0)</f>
        <v>#N/A</v>
      </c>
      <c r="D135" s="1" t="e">
        <f>VLOOKUP(Tabla_Items_Activos[[#This Row],[CODIGO]],Tabla_Items_Completos[[CODIGO]:[LINEA]],3,0)</f>
        <v>#N/A</v>
      </c>
      <c r="E135" s="1" t="e">
        <f>VLOOKUP(Tabla_Items_Activos[[#This Row],[CODIGO]],Tabla_Items_Completos[[CODIGO]:[LINEA]],4,0)</f>
        <v>#N/A</v>
      </c>
      <c r="F135">
        <v>11</v>
      </c>
      <c r="G135">
        <v>90</v>
      </c>
    </row>
    <row r="136" spans="1:7">
      <c r="A136" t="s">
        <v>7388</v>
      </c>
      <c r="B136" t="s">
        <v>7523</v>
      </c>
      <c r="C136" s="1" t="e">
        <f>VLOOKUP(Tabla_Items_Activos[[#This Row],[CODIGO]],Tabla_Items_Completos[[CODIGO]:[LINEA]],2,0)</f>
        <v>#N/A</v>
      </c>
      <c r="D136" s="1" t="e">
        <f>VLOOKUP(Tabla_Items_Activos[[#This Row],[CODIGO]],Tabla_Items_Completos[[CODIGO]:[LINEA]],3,0)</f>
        <v>#N/A</v>
      </c>
      <c r="E136" s="1" t="e">
        <f>VLOOKUP(Tabla_Items_Activos[[#This Row],[CODIGO]],Tabla_Items_Completos[[CODIGO]:[LINEA]],4,0)</f>
        <v>#N/A</v>
      </c>
      <c r="F136">
        <v>21</v>
      </c>
      <c r="G136">
        <v>85</v>
      </c>
    </row>
    <row r="137" spans="1:7">
      <c r="A137" t="s">
        <v>7388</v>
      </c>
      <c r="B137" t="s">
        <v>7524</v>
      </c>
      <c r="C137" s="1" t="e">
        <f>VLOOKUP(Tabla_Items_Activos[[#This Row],[CODIGO]],Tabla_Items_Completos[[CODIGO]:[LINEA]],2,0)</f>
        <v>#N/A</v>
      </c>
      <c r="D137" s="1" t="e">
        <f>VLOOKUP(Tabla_Items_Activos[[#This Row],[CODIGO]],Tabla_Items_Completos[[CODIGO]:[LINEA]],3,0)</f>
        <v>#N/A</v>
      </c>
      <c r="E137" s="1" t="e">
        <f>VLOOKUP(Tabla_Items_Activos[[#This Row],[CODIGO]],Tabla_Items_Completos[[CODIGO]:[LINEA]],4,0)</f>
        <v>#N/A</v>
      </c>
      <c r="F137">
        <v>18</v>
      </c>
      <c r="G137">
        <v>83</v>
      </c>
    </row>
    <row r="138" spans="1:7">
      <c r="A138" t="s">
        <v>7388</v>
      </c>
      <c r="B138" t="s">
        <v>7525</v>
      </c>
      <c r="C138" s="1" t="e">
        <f>VLOOKUP(Tabla_Items_Activos[[#This Row],[CODIGO]],Tabla_Items_Completos[[CODIGO]:[LINEA]],2,0)</f>
        <v>#N/A</v>
      </c>
      <c r="D138" s="1" t="e">
        <f>VLOOKUP(Tabla_Items_Activos[[#This Row],[CODIGO]],Tabla_Items_Completos[[CODIGO]:[LINEA]],3,0)</f>
        <v>#N/A</v>
      </c>
      <c r="E138" s="1" t="e">
        <f>VLOOKUP(Tabla_Items_Activos[[#This Row],[CODIGO]],Tabla_Items_Completos[[CODIGO]:[LINEA]],4,0)</f>
        <v>#N/A</v>
      </c>
      <c r="F138">
        <v>16</v>
      </c>
      <c r="G138">
        <v>43</v>
      </c>
    </row>
    <row r="139" spans="1:7">
      <c r="A139" t="s">
        <v>7388</v>
      </c>
      <c r="B139" t="s">
        <v>7526</v>
      </c>
      <c r="C139" s="1" t="e">
        <f>VLOOKUP(Tabla_Items_Activos[[#This Row],[CODIGO]],Tabla_Items_Completos[[CODIGO]:[LINEA]],2,0)</f>
        <v>#N/A</v>
      </c>
      <c r="D139" s="1" t="e">
        <f>VLOOKUP(Tabla_Items_Activos[[#This Row],[CODIGO]],Tabla_Items_Completos[[CODIGO]:[LINEA]],3,0)</f>
        <v>#N/A</v>
      </c>
      <c r="E139" s="1" t="e">
        <f>VLOOKUP(Tabla_Items_Activos[[#This Row],[CODIGO]],Tabla_Items_Completos[[CODIGO]:[LINEA]],4,0)</f>
        <v>#N/A</v>
      </c>
      <c r="F139">
        <v>14</v>
      </c>
      <c r="G139">
        <v>39</v>
      </c>
    </row>
    <row r="140" spans="1:7">
      <c r="A140" t="s">
        <v>7388</v>
      </c>
      <c r="B140" t="s">
        <v>7527</v>
      </c>
      <c r="C140" s="1" t="e">
        <f>VLOOKUP(Tabla_Items_Activos[[#This Row],[CODIGO]],Tabla_Items_Completos[[CODIGO]:[LINEA]],2,0)</f>
        <v>#N/A</v>
      </c>
      <c r="D140" s="1" t="e">
        <f>VLOOKUP(Tabla_Items_Activos[[#This Row],[CODIGO]],Tabla_Items_Completos[[CODIGO]:[LINEA]],3,0)</f>
        <v>#N/A</v>
      </c>
      <c r="E140" s="1" t="e">
        <f>VLOOKUP(Tabla_Items_Activos[[#This Row],[CODIGO]],Tabla_Items_Completos[[CODIGO]:[LINEA]],4,0)</f>
        <v>#N/A</v>
      </c>
      <c r="F140">
        <v>9</v>
      </c>
      <c r="G140">
        <v>37</v>
      </c>
    </row>
    <row r="141" spans="1:7">
      <c r="A141" t="s">
        <v>7388</v>
      </c>
      <c r="B141" t="s">
        <v>7528</v>
      </c>
      <c r="C141" s="1" t="e">
        <f>VLOOKUP(Tabla_Items_Activos[[#This Row],[CODIGO]],Tabla_Items_Completos[[CODIGO]:[LINEA]],2,0)</f>
        <v>#N/A</v>
      </c>
      <c r="D141" s="1" t="e">
        <f>VLOOKUP(Tabla_Items_Activos[[#This Row],[CODIGO]],Tabla_Items_Completos[[CODIGO]:[LINEA]],3,0)</f>
        <v>#N/A</v>
      </c>
      <c r="E141" s="1" t="e">
        <f>VLOOKUP(Tabla_Items_Activos[[#This Row],[CODIGO]],Tabla_Items_Completos[[CODIGO]:[LINEA]],4,0)</f>
        <v>#N/A</v>
      </c>
      <c r="F141">
        <v>13</v>
      </c>
      <c r="G141">
        <v>73</v>
      </c>
    </row>
    <row r="142" spans="1:7">
      <c r="A142" t="s">
        <v>7388</v>
      </c>
      <c r="B142" t="s">
        <v>7529</v>
      </c>
      <c r="C142" s="1" t="e">
        <f>VLOOKUP(Tabla_Items_Activos[[#This Row],[CODIGO]],Tabla_Items_Completos[[CODIGO]:[LINEA]],2,0)</f>
        <v>#N/A</v>
      </c>
      <c r="D142" s="1" t="e">
        <f>VLOOKUP(Tabla_Items_Activos[[#This Row],[CODIGO]],Tabla_Items_Completos[[CODIGO]:[LINEA]],3,0)</f>
        <v>#N/A</v>
      </c>
      <c r="E142" s="1" t="e">
        <f>VLOOKUP(Tabla_Items_Activos[[#This Row],[CODIGO]],Tabla_Items_Completos[[CODIGO]:[LINEA]],4,0)</f>
        <v>#N/A</v>
      </c>
      <c r="F142">
        <v>19</v>
      </c>
      <c r="G142">
        <v>24</v>
      </c>
    </row>
    <row r="143" spans="1:7">
      <c r="A143" t="s">
        <v>7388</v>
      </c>
      <c r="B143" t="s">
        <v>7530</v>
      </c>
      <c r="C143" s="1" t="e">
        <f>VLOOKUP(Tabla_Items_Activos[[#This Row],[CODIGO]],Tabla_Items_Completos[[CODIGO]:[LINEA]],2,0)</f>
        <v>#N/A</v>
      </c>
      <c r="D143" s="1" t="e">
        <f>VLOOKUP(Tabla_Items_Activos[[#This Row],[CODIGO]],Tabla_Items_Completos[[CODIGO]:[LINEA]],3,0)</f>
        <v>#N/A</v>
      </c>
      <c r="E143" s="1" t="e">
        <f>VLOOKUP(Tabla_Items_Activos[[#This Row],[CODIGO]],Tabla_Items_Completos[[CODIGO]:[LINEA]],4,0)</f>
        <v>#N/A</v>
      </c>
      <c r="F143">
        <v>1208</v>
      </c>
      <c r="G143">
        <v>0</v>
      </c>
    </row>
    <row r="144" spans="1:7">
      <c r="A144" t="s">
        <v>7388</v>
      </c>
      <c r="B144" t="s">
        <v>7531</v>
      </c>
      <c r="C144" s="1" t="e">
        <f>VLOOKUP(Tabla_Items_Activos[[#This Row],[CODIGO]],Tabla_Items_Completos[[CODIGO]:[LINEA]],2,0)</f>
        <v>#N/A</v>
      </c>
      <c r="D144" s="1" t="e">
        <f>VLOOKUP(Tabla_Items_Activos[[#This Row],[CODIGO]],Tabla_Items_Completos[[CODIGO]:[LINEA]],3,0)</f>
        <v>#N/A</v>
      </c>
      <c r="E144" s="1" t="e">
        <f>VLOOKUP(Tabla_Items_Activos[[#This Row],[CODIGO]],Tabla_Items_Completos[[CODIGO]:[LINEA]],4,0)</f>
        <v>#N/A</v>
      </c>
      <c r="F144">
        <v>809</v>
      </c>
      <c r="G144">
        <v>151</v>
      </c>
    </row>
    <row r="145" spans="1:7">
      <c r="A145" t="s">
        <v>7388</v>
      </c>
      <c r="B145" t="s">
        <v>7532</v>
      </c>
      <c r="C145" s="1" t="e">
        <f>VLOOKUP(Tabla_Items_Activos[[#This Row],[CODIGO]],Tabla_Items_Completos[[CODIGO]:[LINEA]],2,0)</f>
        <v>#N/A</v>
      </c>
      <c r="D145" s="1" t="e">
        <f>VLOOKUP(Tabla_Items_Activos[[#This Row],[CODIGO]],Tabla_Items_Completos[[CODIGO]:[LINEA]],3,0)</f>
        <v>#N/A</v>
      </c>
      <c r="E145" s="1" t="e">
        <f>VLOOKUP(Tabla_Items_Activos[[#This Row],[CODIGO]],Tabla_Items_Completos[[CODIGO]:[LINEA]],4,0)</f>
        <v>#N/A</v>
      </c>
      <c r="F145">
        <v>4248</v>
      </c>
      <c r="G145">
        <v>0</v>
      </c>
    </row>
    <row r="146" spans="1:7">
      <c r="A146" t="s">
        <v>7388</v>
      </c>
      <c r="B146" t="s">
        <v>7533</v>
      </c>
      <c r="C146" s="1" t="e">
        <f>VLOOKUP(Tabla_Items_Activos[[#This Row],[CODIGO]],Tabla_Items_Completos[[CODIGO]:[LINEA]],2,0)</f>
        <v>#N/A</v>
      </c>
      <c r="D146" s="1" t="e">
        <f>VLOOKUP(Tabla_Items_Activos[[#This Row],[CODIGO]],Tabla_Items_Completos[[CODIGO]:[LINEA]],3,0)</f>
        <v>#N/A</v>
      </c>
      <c r="E146" s="1" t="e">
        <f>VLOOKUP(Tabla_Items_Activos[[#This Row],[CODIGO]],Tabla_Items_Completos[[CODIGO]:[LINEA]],4,0)</f>
        <v>#N/A</v>
      </c>
      <c r="F146">
        <v>4164</v>
      </c>
      <c r="G146">
        <v>0</v>
      </c>
    </row>
    <row r="147" spans="1:7">
      <c r="A147" t="s">
        <v>7388</v>
      </c>
      <c r="B147" t="s">
        <v>7534</v>
      </c>
      <c r="C147" s="1" t="e">
        <f>VLOOKUP(Tabla_Items_Activos[[#This Row],[CODIGO]],Tabla_Items_Completos[[CODIGO]:[LINEA]],2,0)</f>
        <v>#N/A</v>
      </c>
      <c r="D147" s="1" t="e">
        <f>VLOOKUP(Tabla_Items_Activos[[#This Row],[CODIGO]],Tabla_Items_Completos[[CODIGO]:[LINEA]],3,0)</f>
        <v>#N/A</v>
      </c>
      <c r="E147" s="1" t="e">
        <f>VLOOKUP(Tabla_Items_Activos[[#This Row],[CODIGO]],Tabla_Items_Completos[[CODIGO]:[LINEA]],4,0)</f>
        <v>#N/A</v>
      </c>
      <c r="F147">
        <v>778</v>
      </c>
      <c r="G147">
        <v>0</v>
      </c>
    </row>
    <row r="148" spans="1:7">
      <c r="A148" t="s">
        <v>7388</v>
      </c>
      <c r="B148" t="s">
        <v>7535</v>
      </c>
      <c r="C148" s="1" t="e">
        <f>VLOOKUP(Tabla_Items_Activos[[#This Row],[CODIGO]],Tabla_Items_Completos[[CODIGO]:[LINEA]],2,0)</f>
        <v>#N/A</v>
      </c>
      <c r="D148" s="1" t="e">
        <f>VLOOKUP(Tabla_Items_Activos[[#This Row],[CODIGO]],Tabla_Items_Completos[[CODIGO]:[LINEA]],3,0)</f>
        <v>#N/A</v>
      </c>
      <c r="E148" s="1" t="e">
        <f>VLOOKUP(Tabla_Items_Activos[[#This Row],[CODIGO]],Tabla_Items_Completos[[CODIGO]:[LINEA]],4,0)</f>
        <v>#N/A</v>
      </c>
      <c r="F148">
        <v>1203</v>
      </c>
      <c r="G148">
        <v>1220</v>
      </c>
    </row>
    <row r="149" spans="1:7">
      <c r="A149" t="s">
        <v>7388</v>
      </c>
      <c r="B149" t="s">
        <v>7536</v>
      </c>
      <c r="C149" s="1" t="e">
        <f>VLOOKUP(Tabla_Items_Activos[[#This Row],[CODIGO]],Tabla_Items_Completos[[CODIGO]:[LINEA]],2,0)</f>
        <v>#N/A</v>
      </c>
      <c r="D149" s="1" t="e">
        <f>VLOOKUP(Tabla_Items_Activos[[#This Row],[CODIGO]],Tabla_Items_Completos[[CODIGO]:[LINEA]],3,0)</f>
        <v>#N/A</v>
      </c>
      <c r="E149" s="1" t="e">
        <f>VLOOKUP(Tabla_Items_Activos[[#This Row],[CODIGO]],Tabla_Items_Completos[[CODIGO]:[LINEA]],4,0)</f>
        <v>#N/A</v>
      </c>
      <c r="F149">
        <v>10431</v>
      </c>
      <c r="G149">
        <v>418</v>
      </c>
    </row>
    <row r="150" spans="1:7">
      <c r="A150" t="s">
        <v>7388</v>
      </c>
      <c r="B150" t="s">
        <v>7537</v>
      </c>
      <c r="C150" s="1" t="e">
        <f>VLOOKUP(Tabla_Items_Activos[[#This Row],[CODIGO]],Tabla_Items_Completos[[CODIGO]:[LINEA]],2,0)</f>
        <v>#N/A</v>
      </c>
      <c r="D150" s="1" t="e">
        <f>VLOOKUP(Tabla_Items_Activos[[#This Row],[CODIGO]],Tabla_Items_Completos[[CODIGO]:[LINEA]],3,0)</f>
        <v>#N/A</v>
      </c>
      <c r="E150" s="1" t="e">
        <f>VLOOKUP(Tabla_Items_Activos[[#This Row],[CODIGO]],Tabla_Items_Completos[[CODIGO]:[LINEA]],4,0)</f>
        <v>#N/A</v>
      </c>
      <c r="F150">
        <v>1754</v>
      </c>
      <c r="G150">
        <v>0</v>
      </c>
    </row>
    <row r="151" spans="1:7">
      <c r="A151" t="s">
        <v>7388</v>
      </c>
      <c r="B151" t="s">
        <v>7538</v>
      </c>
      <c r="C151" s="1" t="e">
        <f>VLOOKUP(Tabla_Items_Activos[[#This Row],[CODIGO]],Tabla_Items_Completos[[CODIGO]:[LINEA]],2,0)</f>
        <v>#N/A</v>
      </c>
      <c r="D151" s="1" t="e">
        <f>VLOOKUP(Tabla_Items_Activos[[#This Row],[CODIGO]],Tabla_Items_Completos[[CODIGO]:[LINEA]],3,0)</f>
        <v>#N/A</v>
      </c>
      <c r="E151" s="1" t="e">
        <f>VLOOKUP(Tabla_Items_Activos[[#This Row],[CODIGO]],Tabla_Items_Completos[[CODIGO]:[LINEA]],4,0)</f>
        <v>#N/A</v>
      </c>
      <c r="F151">
        <v>982</v>
      </c>
      <c r="G151">
        <v>0</v>
      </c>
    </row>
    <row r="152" spans="1:7">
      <c r="A152" t="s">
        <v>7388</v>
      </c>
      <c r="B152" t="s">
        <v>7539</v>
      </c>
      <c r="C152" s="1" t="e">
        <f>VLOOKUP(Tabla_Items_Activos[[#This Row],[CODIGO]],Tabla_Items_Completos[[CODIGO]:[LINEA]],2,0)</f>
        <v>#N/A</v>
      </c>
      <c r="D152" s="1" t="e">
        <f>VLOOKUP(Tabla_Items_Activos[[#This Row],[CODIGO]],Tabla_Items_Completos[[CODIGO]:[LINEA]],3,0)</f>
        <v>#N/A</v>
      </c>
      <c r="E152" s="1" t="e">
        <f>VLOOKUP(Tabla_Items_Activos[[#This Row],[CODIGO]],Tabla_Items_Completos[[CODIGO]:[LINEA]],4,0)</f>
        <v>#N/A</v>
      </c>
      <c r="F152">
        <v>1633</v>
      </c>
      <c r="G152">
        <v>0</v>
      </c>
    </row>
    <row r="153" spans="1:7">
      <c r="A153" t="s">
        <v>7388</v>
      </c>
      <c r="B153" t="s">
        <v>7540</v>
      </c>
      <c r="C153" s="1" t="e">
        <f>VLOOKUP(Tabla_Items_Activos[[#This Row],[CODIGO]],Tabla_Items_Completos[[CODIGO]:[LINEA]],2,0)</f>
        <v>#N/A</v>
      </c>
      <c r="D153" s="1" t="e">
        <f>VLOOKUP(Tabla_Items_Activos[[#This Row],[CODIGO]],Tabla_Items_Completos[[CODIGO]:[LINEA]],3,0)</f>
        <v>#N/A</v>
      </c>
      <c r="E153" s="1" t="e">
        <f>VLOOKUP(Tabla_Items_Activos[[#This Row],[CODIGO]],Tabla_Items_Completos[[CODIGO]:[LINEA]],4,0)</f>
        <v>#N/A</v>
      </c>
      <c r="F153">
        <v>1051</v>
      </c>
      <c r="G153">
        <v>0</v>
      </c>
    </row>
    <row r="154" spans="1:7">
      <c r="A154" t="s">
        <v>7388</v>
      </c>
      <c r="B154" t="s">
        <v>7541</v>
      </c>
      <c r="C154" s="1" t="e">
        <f>VLOOKUP(Tabla_Items_Activos[[#This Row],[CODIGO]],Tabla_Items_Completos[[CODIGO]:[LINEA]],2,0)</f>
        <v>#N/A</v>
      </c>
      <c r="D154" s="1" t="e">
        <f>VLOOKUP(Tabla_Items_Activos[[#This Row],[CODIGO]],Tabla_Items_Completos[[CODIGO]:[LINEA]],3,0)</f>
        <v>#N/A</v>
      </c>
      <c r="E154" s="1" t="e">
        <f>VLOOKUP(Tabla_Items_Activos[[#This Row],[CODIGO]],Tabla_Items_Completos[[CODIGO]:[LINEA]],4,0)</f>
        <v>#N/A</v>
      </c>
      <c r="F154">
        <v>1959</v>
      </c>
      <c r="G154">
        <v>0</v>
      </c>
    </row>
    <row r="155" spans="1:7">
      <c r="A155" t="s">
        <v>7388</v>
      </c>
      <c r="B155" t="s">
        <v>7542</v>
      </c>
      <c r="C155" s="1" t="e">
        <f>VLOOKUP(Tabla_Items_Activos[[#This Row],[CODIGO]],Tabla_Items_Completos[[CODIGO]:[LINEA]],2,0)</f>
        <v>#N/A</v>
      </c>
      <c r="D155" s="1" t="e">
        <f>VLOOKUP(Tabla_Items_Activos[[#This Row],[CODIGO]],Tabla_Items_Completos[[CODIGO]:[LINEA]],3,0)</f>
        <v>#N/A</v>
      </c>
      <c r="E155" s="1" t="e">
        <f>VLOOKUP(Tabla_Items_Activos[[#This Row],[CODIGO]],Tabla_Items_Completos[[CODIGO]:[LINEA]],4,0)</f>
        <v>#N/A</v>
      </c>
      <c r="F155">
        <v>1130</v>
      </c>
      <c r="G155">
        <v>380</v>
      </c>
    </row>
    <row r="156" spans="1:7">
      <c r="A156" t="s">
        <v>7388</v>
      </c>
      <c r="B156" t="s">
        <v>7543</v>
      </c>
      <c r="C156" s="1" t="e">
        <f>VLOOKUP(Tabla_Items_Activos[[#This Row],[CODIGO]],Tabla_Items_Completos[[CODIGO]:[LINEA]],2,0)</f>
        <v>#N/A</v>
      </c>
      <c r="D156" s="1" t="e">
        <f>VLOOKUP(Tabla_Items_Activos[[#This Row],[CODIGO]],Tabla_Items_Completos[[CODIGO]:[LINEA]],3,0)</f>
        <v>#N/A</v>
      </c>
      <c r="E156" s="1" t="e">
        <f>VLOOKUP(Tabla_Items_Activos[[#This Row],[CODIGO]],Tabla_Items_Completos[[CODIGO]:[LINEA]],4,0)</f>
        <v>#N/A</v>
      </c>
      <c r="F156">
        <v>10501</v>
      </c>
      <c r="G156">
        <v>1765</v>
      </c>
    </row>
    <row r="157" spans="1:7">
      <c r="A157" t="s">
        <v>7388</v>
      </c>
      <c r="B157" t="s">
        <v>7544</v>
      </c>
      <c r="C157" s="1" t="e">
        <f>VLOOKUP(Tabla_Items_Activos[[#This Row],[CODIGO]],Tabla_Items_Completos[[CODIGO]:[LINEA]],2,0)</f>
        <v>#N/A</v>
      </c>
      <c r="D157" s="1" t="e">
        <f>VLOOKUP(Tabla_Items_Activos[[#This Row],[CODIGO]],Tabla_Items_Completos[[CODIGO]:[LINEA]],3,0)</f>
        <v>#N/A</v>
      </c>
      <c r="E157" s="1" t="e">
        <f>VLOOKUP(Tabla_Items_Activos[[#This Row],[CODIGO]],Tabla_Items_Completos[[CODIGO]:[LINEA]],4,0)</f>
        <v>#N/A</v>
      </c>
      <c r="F157">
        <v>1476</v>
      </c>
      <c r="G157">
        <v>754</v>
      </c>
    </row>
    <row r="158" spans="1:7">
      <c r="A158" t="s">
        <v>7388</v>
      </c>
      <c r="B158" t="s">
        <v>7545</v>
      </c>
      <c r="C158" s="1" t="e">
        <f>VLOOKUP(Tabla_Items_Activos[[#This Row],[CODIGO]],Tabla_Items_Completos[[CODIGO]:[LINEA]],2,0)</f>
        <v>#N/A</v>
      </c>
      <c r="D158" s="1" t="e">
        <f>VLOOKUP(Tabla_Items_Activos[[#This Row],[CODIGO]],Tabla_Items_Completos[[CODIGO]:[LINEA]],3,0)</f>
        <v>#N/A</v>
      </c>
      <c r="E158" s="1" t="e">
        <f>VLOOKUP(Tabla_Items_Activos[[#This Row],[CODIGO]],Tabla_Items_Completos[[CODIGO]:[LINEA]],4,0)</f>
        <v>#N/A</v>
      </c>
      <c r="F158">
        <v>357</v>
      </c>
      <c r="G158">
        <v>840</v>
      </c>
    </row>
    <row r="159" spans="1:7">
      <c r="A159" t="s">
        <v>7388</v>
      </c>
      <c r="B159" t="s">
        <v>7546</v>
      </c>
      <c r="C159" s="1" t="e">
        <f>VLOOKUP(Tabla_Items_Activos[[#This Row],[CODIGO]],Tabla_Items_Completos[[CODIGO]:[LINEA]],2,0)</f>
        <v>#N/A</v>
      </c>
      <c r="D159" s="1" t="e">
        <f>VLOOKUP(Tabla_Items_Activos[[#This Row],[CODIGO]],Tabla_Items_Completos[[CODIGO]:[LINEA]],3,0)</f>
        <v>#N/A</v>
      </c>
      <c r="E159" s="1" t="e">
        <f>VLOOKUP(Tabla_Items_Activos[[#This Row],[CODIGO]],Tabla_Items_Completos[[CODIGO]:[LINEA]],4,0)</f>
        <v>#N/A</v>
      </c>
      <c r="F159">
        <v>1436</v>
      </c>
      <c r="G159">
        <v>0</v>
      </c>
    </row>
    <row r="160" spans="1:7">
      <c r="A160" t="s">
        <v>7388</v>
      </c>
      <c r="B160" t="s">
        <v>7547</v>
      </c>
      <c r="C160" s="1" t="e">
        <f>VLOOKUP(Tabla_Items_Activos[[#This Row],[CODIGO]],Tabla_Items_Completos[[CODIGO]:[LINEA]],2,0)</f>
        <v>#N/A</v>
      </c>
      <c r="D160" s="1" t="e">
        <f>VLOOKUP(Tabla_Items_Activos[[#This Row],[CODIGO]],Tabla_Items_Completos[[CODIGO]:[LINEA]],3,0)</f>
        <v>#N/A</v>
      </c>
      <c r="E160" s="1" t="e">
        <f>VLOOKUP(Tabla_Items_Activos[[#This Row],[CODIGO]],Tabla_Items_Completos[[CODIGO]:[LINEA]],4,0)</f>
        <v>#N/A</v>
      </c>
      <c r="F160">
        <v>1032</v>
      </c>
      <c r="G160">
        <v>0</v>
      </c>
    </row>
    <row r="161" spans="1:7">
      <c r="A161" t="s">
        <v>7388</v>
      </c>
      <c r="B161" t="s">
        <v>7548</v>
      </c>
      <c r="C161" s="1" t="e">
        <f>VLOOKUP(Tabla_Items_Activos[[#This Row],[CODIGO]],Tabla_Items_Completos[[CODIGO]:[LINEA]],2,0)</f>
        <v>#N/A</v>
      </c>
      <c r="D161" s="1" t="e">
        <f>VLOOKUP(Tabla_Items_Activos[[#This Row],[CODIGO]],Tabla_Items_Completos[[CODIGO]:[LINEA]],3,0)</f>
        <v>#N/A</v>
      </c>
      <c r="E161" s="1" t="e">
        <f>VLOOKUP(Tabla_Items_Activos[[#This Row],[CODIGO]],Tabla_Items_Completos[[CODIGO]:[LINEA]],4,0)</f>
        <v>#N/A</v>
      </c>
      <c r="F161">
        <v>1558</v>
      </c>
      <c r="G161">
        <v>0</v>
      </c>
    </row>
    <row r="162" spans="1:7">
      <c r="A162" t="s">
        <v>7388</v>
      </c>
      <c r="B162" t="s">
        <v>7549</v>
      </c>
      <c r="C162" s="1" t="e">
        <f>VLOOKUP(Tabla_Items_Activos[[#This Row],[CODIGO]],Tabla_Items_Completos[[CODIGO]:[LINEA]],2,0)</f>
        <v>#N/A</v>
      </c>
      <c r="D162" s="1" t="e">
        <f>VLOOKUP(Tabla_Items_Activos[[#This Row],[CODIGO]],Tabla_Items_Completos[[CODIGO]:[LINEA]],3,0)</f>
        <v>#N/A</v>
      </c>
      <c r="E162" s="1" t="e">
        <f>VLOOKUP(Tabla_Items_Activos[[#This Row],[CODIGO]],Tabla_Items_Completos[[CODIGO]:[LINEA]],4,0)</f>
        <v>#N/A</v>
      </c>
      <c r="F162">
        <v>1641</v>
      </c>
      <c r="G162">
        <v>0</v>
      </c>
    </row>
    <row r="163" spans="1:7">
      <c r="A163" t="s">
        <v>7388</v>
      </c>
      <c r="B163" t="s">
        <v>7550</v>
      </c>
      <c r="C163" s="1" t="e">
        <f>VLOOKUP(Tabla_Items_Activos[[#This Row],[CODIGO]],Tabla_Items_Completos[[CODIGO]:[LINEA]],2,0)</f>
        <v>#N/A</v>
      </c>
      <c r="D163" s="1" t="e">
        <f>VLOOKUP(Tabla_Items_Activos[[#This Row],[CODIGO]],Tabla_Items_Completos[[CODIGO]:[LINEA]],3,0)</f>
        <v>#N/A</v>
      </c>
      <c r="E163" s="1" t="e">
        <f>VLOOKUP(Tabla_Items_Activos[[#This Row],[CODIGO]],Tabla_Items_Completos[[CODIGO]:[LINEA]],4,0)</f>
        <v>#N/A</v>
      </c>
      <c r="F163">
        <v>788</v>
      </c>
      <c r="G163">
        <v>150</v>
      </c>
    </row>
    <row r="164" spans="1:7">
      <c r="A164" t="s">
        <v>7388</v>
      </c>
      <c r="B164" t="s">
        <v>7551</v>
      </c>
      <c r="C164" s="1" t="e">
        <f>VLOOKUP(Tabla_Items_Activos[[#This Row],[CODIGO]],Tabla_Items_Completos[[CODIGO]:[LINEA]],2,0)</f>
        <v>#N/A</v>
      </c>
      <c r="D164" s="1" t="e">
        <f>VLOOKUP(Tabla_Items_Activos[[#This Row],[CODIGO]],Tabla_Items_Completos[[CODIGO]:[LINEA]],3,0)</f>
        <v>#N/A</v>
      </c>
      <c r="E164" s="1" t="e">
        <f>VLOOKUP(Tabla_Items_Activos[[#This Row],[CODIGO]],Tabla_Items_Completos[[CODIGO]:[LINEA]],4,0)</f>
        <v>#N/A</v>
      </c>
      <c r="F164">
        <v>347</v>
      </c>
      <c r="G164">
        <v>203</v>
      </c>
    </row>
    <row r="165" spans="1:7">
      <c r="A165" t="s">
        <v>7388</v>
      </c>
      <c r="B165" t="s">
        <v>7552</v>
      </c>
      <c r="C165" s="1" t="e">
        <f>VLOOKUP(Tabla_Items_Activos[[#This Row],[CODIGO]],Tabla_Items_Completos[[CODIGO]:[LINEA]],2,0)</f>
        <v>#N/A</v>
      </c>
      <c r="D165" s="1" t="e">
        <f>VLOOKUP(Tabla_Items_Activos[[#This Row],[CODIGO]],Tabla_Items_Completos[[CODIGO]:[LINEA]],3,0)</f>
        <v>#N/A</v>
      </c>
      <c r="E165" s="1" t="e">
        <f>VLOOKUP(Tabla_Items_Activos[[#This Row],[CODIGO]],Tabla_Items_Completos[[CODIGO]:[LINEA]],4,0)</f>
        <v>#N/A</v>
      </c>
      <c r="F165">
        <v>332</v>
      </c>
      <c r="G165">
        <v>161</v>
      </c>
    </row>
    <row r="166" spans="1:7">
      <c r="A166" t="s">
        <v>7388</v>
      </c>
      <c r="B166" t="s">
        <v>7553</v>
      </c>
      <c r="C166" s="1" t="e">
        <f>VLOOKUP(Tabla_Items_Activos[[#This Row],[CODIGO]],Tabla_Items_Completos[[CODIGO]:[LINEA]],2,0)</f>
        <v>#N/A</v>
      </c>
      <c r="D166" s="1" t="e">
        <f>VLOOKUP(Tabla_Items_Activos[[#This Row],[CODIGO]],Tabla_Items_Completos[[CODIGO]:[LINEA]],3,0)</f>
        <v>#N/A</v>
      </c>
      <c r="E166" s="1" t="e">
        <f>VLOOKUP(Tabla_Items_Activos[[#This Row],[CODIGO]],Tabla_Items_Completos[[CODIGO]:[LINEA]],4,0)</f>
        <v>#N/A</v>
      </c>
      <c r="F166">
        <v>232</v>
      </c>
      <c r="G166">
        <v>21</v>
      </c>
    </row>
    <row r="167" spans="1:7">
      <c r="A167" t="s">
        <v>7388</v>
      </c>
      <c r="B167" t="s">
        <v>7554</v>
      </c>
      <c r="C167" s="1" t="e">
        <f>VLOOKUP(Tabla_Items_Activos[[#This Row],[CODIGO]],Tabla_Items_Completos[[CODIGO]:[LINEA]],2,0)</f>
        <v>#N/A</v>
      </c>
      <c r="D167" s="1" t="e">
        <f>VLOOKUP(Tabla_Items_Activos[[#This Row],[CODIGO]],Tabla_Items_Completos[[CODIGO]:[LINEA]],3,0)</f>
        <v>#N/A</v>
      </c>
      <c r="E167" s="1" t="e">
        <f>VLOOKUP(Tabla_Items_Activos[[#This Row],[CODIGO]],Tabla_Items_Completos[[CODIGO]:[LINEA]],4,0)</f>
        <v>#N/A</v>
      </c>
      <c r="F167">
        <v>1024</v>
      </c>
      <c r="G167">
        <v>0</v>
      </c>
    </row>
    <row r="168" spans="1:7">
      <c r="A168" t="s">
        <v>7388</v>
      </c>
      <c r="B168" t="s">
        <v>7555</v>
      </c>
      <c r="C168" s="1" t="e">
        <f>VLOOKUP(Tabla_Items_Activos[[#This Row],[CODIGO]],Tabla_Items_Completos[[CODIGO]:[LINEA]],2,0)</f>
        <v>#N/A</v>
      </c>
      <c r="D168" s="1" t="e">
        <f>VLOOKUP(Tabla_Items_Activos[[#This Row],[CODIGO]],Tabla_Items_Completos[[CODIGO]:[LINEA]],3,0)</f>
        <v>#N/A</v>
      </c>
      <c r="E168" s="1" t="e">
        <f>VLOOKUP(Tabla_Items_Activos[[#This Row],[CODIGO]],Tabla_Items_Completos[[CODIGO]:[LINEA]],4,0)</f>
        <v>#N/A</v>
      </c>
      <c r="F168">
        <v>562</v>
      </c>
      <c r="G168">
        <v>81</v>
      </c>
    </row>
    <row r="169" spans="1:7">
      <c r="A169" t="s">
        <v>7388</v>
      </c>
      <c r="B169" t="s">
        <v>7556</v>
      </c>
      <c r="C169" s="1" t="e">
        <f>VLOOKUP(Tabla_Items_Activos[[#This Row],[CODIGO]],Tabla_Items_Completos[[CODIGO]:[LINEA]],2,0)</f>
        <v>#N/A</v>
      </c>
      <c r="D169" s="1" t="e">
        <f>VLOOKUP(Tabla_Items_Activos[[#This Row],[CODIGO]],Tabla_Items_Completos[[CODIGO]:[LINEA]],3,0)</f>
        <v>#N/A</v>
      </c>
      <c r="E169" s="1" t="e">
        <f>VLOOKUP(Tabla_Items_Activos[[#This Row],[CODIGO]],Tabla_Items_Completos[[CODIGO]:[LINEA]],4,0)</f>
        <v>#N/A</v>
      </c>
      <c r="F169">
        <v>500</v>
      </c>
      <c r="G169">
        <v>232</v>
      </c>
    </row>
    <row r="170" spans="1:7">
      <c r="A170" t="s">
        <v>7388</v>
      </c>
      <c r="B170" t="s">
        <v>7557</v>
      </c>
      <c r="C170" s="1" t="e">
        <f>VLOOKUP(Tabla_Items_Activos[[#This Row],[CODIGO]],Tabla_Items_Completos[[CODIGO]:[LINEA]],2,0)</f>
        <v>#N/A</v>
      </c>
      <c r="D170" s="1" t="e">
        <f>VLOOKUP(Tabla_Items_Activos[[#This Row],[CODIGO]],Tabla_Items_Completos[[CODIGO]:[LINEA]],3,0)</f>
        <v>#N/A</v>
      </c>
      <c r="E170" s="1" t="e">
        <f>VLOOKUP(Tabla_Items_Activos[[#This Row],[CODIGO]],Tabla_Items_Completos[[CODIGO]:[LINEA]],4,0)</f>
        <v>#N/A</v>
      </c>
      <c r="F170">
        <v>305</v>
      </c>
      <c r="G170">
        <v>197</v>
      </c>
    </row>
    <row r="171" spans="1:7">
      <c r="A171" t="s">
        <v>7388</v>
      </c>
      <c r="B171" t="s">
        <v>7558</v>
      </c>
      <c r="C171" s="1" t="e">
        <f>VLOOKUP(Tabla_Items_Activos[[#This Row],[CODIGO]],Tabla_Items_Completos[[CODIGO]:[LINEA]],2,0)</f>
        <v>#N/A</v>
      </c>
      <c r="D171" s="1" t="e">
        <f>VLOOKUP(Tabla_Items_Activos[[#This Row],[CODIGO]],Tabla_Items_Completos[[CODIGO]:[LINEA]],3,0)</f>
        <v>#N/A</v>
      </c>
      <c r="E171" s="1" t="e">
        <f>VLOOKUP(Tabla_Items_Activos[[#This Row],[CODIGO]],Tabla_Items_Completos[[CODIGO]:[LINEA]],4,0)</f>
        <v>#N/A</v>
      </c>
      <c r="F171">
        <v>962</v>
      </c>
      <c r="G171">
        <v>250</v>
      </c>
    </row>
    <row r="172" spans="1:7">
      <c r="A172" t="s">
        <v>7388</v>
      </c>
      <c r="B172" t="s">
        <v>7559</v>
      </c>
      <c r="C172" s="1" t="e">
        <f>VLOOKUP(Tabla_Items_Activos[[#This Row],[CODIGO]],Tabla_Items_Completos[[CODIGO]:[LINEA]],2,0)</f>
        <v>#N/A</v>
      </c>
      <c r="D172" s="1" t="e">
        <f>VLOOKUP(Tabla_Items_Activos[[#This Row],[CODIGO]],Tabla_Items_Completos[[CODIGO]:[LINEA]],3,0)</f>
        <v>#N/A</v>
      </c>
      <c r="E172" s="1" t="e">
        <f>VLOOKUP(Tabla_Items_Activos[[#This Row],[CODIGO]],Tabla_Items_Completos[[CODIGO]:[LINEA]],4,0)</f>
        <v>#N/A</v>
      </c>
      <c r="F172">
        <v>413</v>
      </c>
      <c r="G172">
        <v>184</v>
      </c>
    </row>
    <row r="173" spans="1:7">
      <c r="A173" t="s">
        <v>7388</v>
      </c>
      <c r="B173" t="s">
        <v>7560</v>
      </c>
      <c r="C173" s="1" t="e">
        <f>VLOOKUP(Tabla_Items_Activos[[#This Row],[CODIGO]],Tabla_Items_Completos[[CODIGO]:[LINEA]],2,0)</f>
        <v>#N/A</v>
      </c>
      <c r="D173" s="1" t="e">
        <f>VLOOKUP(Tabla_Items_Activos[[#This Row],[CODIGO]],Tabla_Items_Completos[[CODIGO]:[LINEA]],3,0)</f>
        <v>#N/A</v>
      </c>
      <c r="E173" s="1" t="e">
        <f>VLOOKUP(Tabla_Items_Activos[[#This Row],[CODIGO]],Tabla_Items_Completos[[CODIGO]:[LINEA]],4,0)</f>
        <v>#N/A</v>
      </c>
      <c r="F173">
        <v>394</v>
      </c>
      <c r="G173">
        <v>166</v>
      </c>
    </row>
    <row r="174" spans="1:7">
      <c r="A174" t="s">
        <v>7388</v>
      </c>
      <c r="B174" t="s">
        <v>7561</v>
      </c>
      <c r="C174" s="1" t="e">
        <f>VLOOKUP(Tabla_Items_Activos[[#This Row],[CODIGO]],Tabla_Items_Completos[[CODIGO]:[LINEA]],2,0)</f>
        <v>#N/A</v>
      </c>
      <c r="D174" s="1" t="e">
        <f>VLOOKUP(Tabla_Items_Activos[[#This Row],[CODIGO]],Tabla_Items_Completos[[CODIGO]:[LINEA]],3,0)</f>
        <v>#N/A</v>
      </c>
      <c r="E174" s="1" t="e">
        <f>VLOOKUP(Tabla_Items_Activos[[#This Row],[CODIGO]],Tabla_Items_Completos[[CODIGO]:[LINEA]],4,0)</f>
        <v>#N/A</v>
      </c>
      <c r="F174">
        <v>166</v>
      </c>
      <c r="G174">
        <v>138</v>
      </c>
    </row>
    <row r="175" spans="1:7">
      <c r="A175" t="s">
        <v>7388</v>
      </c>
      <c r="B175" t="s">
        <v>7562</v>
      </c>
      <c r="C175" s="1" t="e">
        <f>VLOOKUP(Tabla_Items_Activos[[#This Row],[CODIGO]],Tabla_Items_Completos[[CODIGO]:[LINEA]],2,0)</f>
        <v>#N/A</v>
      </c>
      <c r="D175" s="1" t="e">
        <f>VLOOKUP(Tabla_Items_Activos[[#This Row],[CODIGO]],Tabla_Items_Completos[[CODIGO]:[LINEA]],3,0)</f>
        <v>#N/A</v>
      </c>
      <c r="E175" s="1" t="e">
        <f>VLOOKUP(Tabla_Items_Activos[[#This Row],[CODIGO]],Tabla_Items_Completos[[CODIGO]:[LINEA]],4,0)</f>
        <v>#N/A</v>
      </c>
      <c r="F175">
        <v>26</v>
      </c>
      <c r="G175">
        <v>89</v>
      </c>
    </row>
    <row r="176" spans="1:7">
      <c r="A176" t="s">
        <v>7388</v>
      </c>
      <c r="B176" t="s">
        <v>7563</v>
      </c>
      <c r="C176" s="1" t="e">
        <f>VLOOKUP(Tabla_Items_Activos[[#This Row],[CODIGO]],Tabla_Items_Completos[[CODIGO]:[LINEA]],2,0)</f>
        <v>#N/A</v>
      </c>
      <c r="D176" s="1" t="e">
        <f>VLOOKUP(Tabla_Items_Activos[[#This Row],[CODIGO]],Tabla_Items_Completos[[CODIGO]:[LINEA]],3,0)</f>
        <v>#N/A</v>
      </c>
      <c r="E176" s="1" t="e">
        <f>VLOOKUP(Tabla_Items_Activos[[#This Row],[CODIGO]],Tabla_Items_Completos[[CODIGO]:[LINEA]],4,0)</f>
        <v>#N/A</v>
      </c>
      <c r="F176">
        <v>18</v>
      </c>
      <c r="G176">
        <v>86</v>
      </c>
    </row>
    <row r="177" spans="1:7">
      <c r="A177" t="s">
        <v>7388</v>
      </c>
      <c r="B177" t="s">
        <v>7564</v>
      </c>
      <c r="C177" s="1" t="e">
        <f>VLOOKUP(Tabla_Items_Activos[[#This Row],[CODIGO]],Tabla_Items_Completos[[CODIGO]:[LINEA]],2,0)</f>
        <v>#N/A</v>
      </c>
      <c r="D177" s="1" t="e">
        <f>VLOOKUP(Tabla_Items_Activos[[#This Row],[CODIGO]],Tabla_Items_Completos[[CODIGO]:[LINEA]],3,0)</f>
        <v>#N/A</v>
      </c>
      <c r="E177" s="1" t="e">
        <f>VLOOKUP(Tabla_Items_Activos[[#This Row],[CODIGO]],Tabla_Items_Completos[[CODIGO]:[LINEA]],4,0)</f>
        <v>#N/A</v>
      </c>
      <c r="F177">
        <v>83</v>
      </c>
      <c r="G177">
        <v>309</v>
      </c>
    </row>
    <row r="178" spans="1:7">
      <c r="A178" t="s">
        <v>7388</v>
      </c>
      <c r="B178" t="s">
        <v>7565</v>
      </c>
      <c r="C178" s="1" t="e">
        <f>VLOOKUP(Tabla_Items_Activos[[#This Row],[CODIGO]],Tabla_Items_Completos[[CODIGO]:[LINEA]],2,0)</f>
        <v>#N/A</v>
      </c>
      <c r="D178" s="1" t="e">
        <f>VLOOKUP(Tabla_Items_Activos[[#This Row],[CODIGO]],Tabla_Items_Completos[[CODIGO]:[LINEA]],3,0)</f>
        <v>#N/A</v>
      </c>
      <c r="E178" s="1" t="e">
        <f>VLOOKUP(Tabla_Items_Activos[[#This Row],[CODIGO]],Tabla_Items_Completos[[CODIGO]:[LINEA]],4,0)</f>
        <v>#N/A</v>
      </c>
      <c r="F178">
        <v>285</v>
      </c>
      <c r="G178">
        <v>267</v>
      </c>
    </row>
    <row r="179" spans="1:7">
      <c r="A179" t="s">
        <v>7388</v>
      </c>
      <c r="B179" t="s">
        <v>7566</v>
      </c>
      <c r="C179" s="1" t="e">
        <f>VLOOKUP(Tabla_Items_Activos[[#This Row],[CODIGO]],Tabla_Items_Completos[[CODIGO]:[LINEA]],2,0)</f>
        <v>#N/A</v>
      </c>
      <c r="D179" s="1" t="e">
        <f>VLOOKUP(Tabla_Items_Activos[[#This Row],[CODIGO]],Tabla_Items_Completos[[CODIGO]:[LINEA]],3,0)</f>
        <v>#N/A</v>
      </c>
      <c r="E179" s="1" t="e">
        <f>VLOOKUP(Tabla_Items_Activos[[#This Row],[CODIGO]],Tabla_Items_Completos[[CODIGO]:[LINEA]],4,0)</f>
        <v>#N/A</v>
      </c>
      <c r="F179">
        <v>108</v>
      </c>
      <c r="G179">
        <v>279</v>
      </c>
    </row>
    <row r="180" spans="1:7">
      <c r="A180" t="s">
        <v>7388</v>
      </c>
      <c r="B180" t="s">
        <v>7567</v>
      </c>
      <c r="C180" s="1" t="e">
        <f>VLOOKUP(Tabla_Items_Activos[[#This Row],[CODIGO]],Tabla_Items_Completos[[CODIGO]:[LINEA]],2,0)</f>
        <v>#N/A</v>
      </c>
      <c r="D180" s="1" t="e">
        <f>VLOOKUP(Tabla_Items_Activos[[#This Row],[CODIGO]],Tabla_Items_Completos[[CODIGO]:[LINEA]],3,0)</f>
        <v>#N/A</v>
      </c>
      <c r="E180" s="1" t="e">
        <f>VLOOKUP(Tabla_Items_Activos[[#This Row],[CODIGO]],Tabla_Items_Completos[[CODIGO]:[LINEA]],4,0)</f>
        <v>#N/A</v>
      </c>
      <c r="F180">
        <v>49</v>
      </c>
      <c r="G180">
        <v>161</v>
      </c>
    </row>
    <row r="181" spans="1:7">
      <c r="A181" t="s">
        <v>7388</v>
      </c>
      <c r="B181" t="s">
        <v>7568</v>
      </c>
      <c r="C181" s="1" t="e">
        <f>VLOOKUP(Tabla_Items_Activos[[#This Row],[CODIGO]],Tabla_Items_Completos[[CODIGO]:[LINEA]],2,0)</f>
        <v>#N/A</v>
      </c>
      <c r="D181" s="1" t="e">
        <f>VLOOKUP(Tabla_Items_Activos[[#This Row],[CODIGO]],Tabla_Items_Completos[[CODIGO]:[LINEA]],3,0)</f>
        <v>#N/A</v>
      </c>
      <c r="E181" s="1" t="e">
        <f>VLOOKUP(Tabla_Items_Activos[[#This Row],[CODIGO]],Tabla_Items_Completos[[CODIGO]:[LINEA]],4,0)</f>
        <v>#N/A</v>
      </c>
      <c r="F181">
        <v>74</v>
      </c>
      <c r="G181">
        <v>110</v>
      </c>
    </row>
    <row r="182" spans="1:7">
      <c r="A182" t="s">
        <v>7388</v>
      </c>
      <c r="B182" t="s">
        <v>7569</v>
      </c>
      <c r="C182" s="1" t="e">
        <f>VLOOKUP(Tabla_Items_Activos[[#This Row],[CODIGO]],Tabla_Items_Completos[[CODIGO]:[LINEA]],2,0)</f>
        <v>#N/A</v>
      </c>
      <c r="D182" s="1" t="e">
        <f>VLOOKUP(Tabla_Items_Activos[[#This Row],[CODIGO]],Tabla_Items_Completos[[CODIGO]:[LINEA]],3,0)</f>
        <v>#N/A</v>
      </c>
      <c r="E182" s="1" t="e">
        <f>VLOOKUP(Tabla_Items_Activos[[#This Row],[CODIGO]],Tabla_Items_Completos[[CODIGO]:[LINEA]],4,0)</f>
        <v>#N/A</v>
      </c>
      <c r="F182">
        <v>86</v>
      </c>
      <c r="G182">
        <v>110</v>
      </c>
    </row>
    <row r="183" spans="1:7">
      <c r="A183" t="s">
        <v>7388</v>
      </c>
      <c r="B183" t="s">
        <v>7570</v>
      </c>
      <c r="C183" s="1" t="e">
        <f>VLOOKUP(Tabla_Items_Activos[[#This Row],[CODIGO]],Tabla_Items_Completos[[CODIGO]:[LINEA]],2,0)</f>
        <v>#N/A</v>
      </c>
      <c r="D183" s="1" t="e">
        <f>VLOOKUP(Tabla_Items_Activos[[#This Row],[CODIGO]],Tabla_Items_Completos[[CODIGO]:[LINEA]],3,0)</f>
        <v>#N/A</v>
      </c>
      <c r="E183" s="1" t="e">
        <f>VLOOKUP(Tabla_Items_Activos[[#This Row],[CODIGO]],Tabla_Items_Completos[[CODIGO]:[LINEA]],4,0)</f>
        <v>#N/A</v>
      </c>
      <c r="F183">
        <v>93</v>
      </c>
      <c r="G183">
        <v>89</v>
      </c>
    </row>
    <row r="184" spans="1:7">
      <c r="A184" t="s">
        <v>7388</v>
      </c>
      <c r="B184" t="s">
        <v>7571</v>
      </c>
      <c r="C184" s="1" t="e">
        <f>VLOOKUP(Tabla_Items_Activos[[#This Row],[CODIGO]],Tabla_Items_Completos[[CODIGO]:[LINEA]],2,0)</f>
        <v>#N/A</v>
      </c>
      <c r="D184" s="1" t="e">
        <f>VLOOKUP(Tabla_Items_Activos[[#This Row],[CODIGO]],Tabla_Items_Completos[[CODIGO]:[LINEA]],3,0)</f>
        <v>#N/A</v>
      </c>
      <c r="E184" s="1" t="e">
        <f>VLOOKUP(Tabla_Items_Activos[[#This Row],[CODIGO]],Tabla_Items_Completos[[CODIGO]:[LINEA]],4,0)</f>
        <v>#N/A</v>
      </c>
      <c r="F184">
        <v>285</v>
      </c>
      <c r="G184">
        <v>306</v>
      </c>
    </row>
    <row r="185" spans="1:7">
      <c r="A185" t="s">
        <v>7388</v>
      </c>
      <c r="B185" t="s">
        <v>7572</v>
      </c>
      <c r="C185" s="1" t="e">
        <f>VLOOKUP(Tabla_Items_Activos[[#This Row],[CODIGO]],Tabla_Items_Completos[[CODIGO]:[LINEA]],2,0)</f>
        <v>#N/A</v>
      </c>
      <c r="D185" s="1" t="e">
        <f>VLOOKUP(Tabla_Items_Activos[[#This Row],[CODIGO]],Tabla_Items_Completos[[CODIGO]:[LINEA]],3,0)</f>
        <v>#N/A</v>
      </c>
      <c r="E185" s="1" t="e">
        <f>VLOOKUP(Tabla_Items_Activos[[#This Row],[CODIGO]],Tabla_Items_Completos[[CODIGO]:[LINEA]],4,0)</f>
        <v>#N/A</v>
      </c>
      <c r="F185">
        <v>128</v>
      </c>
      <c r="G185">
        <v>54</v>
      </c>
    </row>
    <row r="186" spans="1:7">
      <c r="A186" t="s">
        <v>7388</v>
      </c>
      <c r="B186" t="s">
        <v>7573</v>
      </c>
      <c r="C186" s="1" t="e">
        <f>VLOOKUP(Tabla_Items_Activos[[#This Row],[CODIGO]],Tabla_Items_Completos[[CODIGO]:[LINEA]],2,0)</f>
        <v>#N/A</v>
      </c>
      <c r="D186" s="1" t="e">
        <f>VLOOKUP(Tabla_Items_Activos[[#This Row],[CODIGO]],Tabla_Items_Completos[[CODIGO]:[LINEA]],3,0)</f>
        <v>#N/A</v>
      </c>
      <c r="E186" s="1" t="e">
        <f>VLOOKUP(Tabla_Items_Activos[[#This Row],[CODIGO]],Tabla_Items_Completos[[CODIGO]:[LINEA]],4,0)</f>
        <v>#N/A</v>
      </c>
      <c r="F186">
        <v>29</v>
      </c>
      <c r="G186">
        <v>169</v>
      </c>
    </row>
    <row r="187" spans="1:7">
      <c r="A187" t="s">
        <v>7388</v>
      </c>
      <c r="B187" t="s">
        <v>7574</v>
      </c>
      <c r="C187" s="1" t="e">
        <f>VLOOKUP(Tabla_Items_Activos[[#This Row],[CODIGO]],Tabla_Items_Completos[[CODIGO]:[LINEA]],2,0)</f>
        <v>#N/A</v>
      </c>
      <c r="D187" s="1" t="e">
        <f>VLOOKUP(Tabla_Items_Activos[[#This Row],[CODIGO]],Tabla_Items_Completos[[CODIGO]:[LINEA]],3,0)</f>
        <v>#N/A</v>
      </c>
      <c r="E187" s="1" t="e">
        <f>VLOOKUP(Tabla_Items_Activos[[#This Row],[CODIGO]],Tabla_Items_Completos[[CODIGO]:[LINEA]],4,0)</f>
        <v>#N/A</v>
      </c>
      <c r="F187">
        <v>66</v>
      </c>
      <c r="G187">
        <v>125</v>
      </c>
    </row>
    <row r="188" spans="1:7">
      <c r="A188" t="s">
        <v>7388</v>
      </c>
      <c r="B188" t="s">
        <v>7575</v>
      </c>
      <c r="C188" s="1" t="e">
        <f>VLOOKUP(Tabla_Items_Activos[[#This Row],[CODIGO]],Tabla_Items_Completos[[CODIGO]:[LINEA]],2,0)</f>
        <v>#N/A</v>
      </c>
      <c r="D188" s="1" t="e">
        <f>VLOOKUP(Tabla_Items_Activos[[#This Row],[CODIGO]],Tabla_Items_Completos[[CODIGO]:[LINEA]],3,0)</f>
        <v>#N/A</v>
      </c>
      <c r="E188" s="1" t="e">
        <f>VLOOKUP(Tabla_Items_Activos[[#This Row],[CODIGO]],Tabla_Items_Completos[[CODIGO]:[LINEA]],4,0)</f>
        <v>#N/A</v>
      </c>
      <c r="F188">
        <v>89</v>
      </c>
      <c r="G188">
        <v>115</v>
      </c>
    </row>
    <row r="189" spans="1:7">
      <c r="A189" t="s">
        <v>7388</v>
      </c>
      <c r="B189" t="s">
        <v>7576</v>
      </c>
      <c r="C189" s="1" t="e">
        <f>VLOOKUP(Tabla_Items_Activos[[#This Row],[CODIGO]],Tabla_Items_Completos[[CODIGO]:[LINEA]],2,0)</f>
        <v>#N/A</v>
      </c>
      <c r="D189" s="1" t="e">
        <f>VLOOKUP(Tabla_Items_Activos[[#This Row],[CODIGO]],Tabla_Items_Completos[[CODIGO]:[LINEA]],3,0)</f>
        <v>#N/A</v>
      </c>
      <c r="E189" s="1" t="e">
        <f>VLOOKUP(Tabla_Items_Activos[[#This Row],[CODIGO]],Tabla_Items_Completos[[CODIGO]:[LINEA]],4,0)</f>
        <v>#N/A</v>
      </c>
      <c r="F189">
        <v>100</v>
      </c>
      <c r="G189">
        <v>78</v>
      </c>
    </row>
    <row r="190" spans="1:7">
      <c r="A190" t="s">
        <v>7388</v>
      </c>
      <c r="B190" t="s">
        <v>7577</v>
      </c>
      <c r="C190" s="1" t="e">
        <f>VLOOKUP(Tabla_Items_Activos[[#This Row],[CODIGO]],Tabla_Items_Completos[[CODIGO]:[LINEA]],2,0)</f>
        <v>#N/A</v>
      </c>
      <c r="D190" s="1" t="e">
        <f>VLOOKUP(Tabla_Items_Activos[[#This Row],[CODIGO]],Tabla_Items_Completos[[CODIGO]:[LINEA]],3,0)</f>
        <v>#N/A</v>
      </c>
      <c r="E190" s="1" t="e">
        <f>VLOOKUP(Tabla_Items_Activos[[#This Row],[CODIGO]],Tabla_Items_Completos[[CODIGO]:[LINEA]],4,0)</f>
        <v>#N/A</v>
      </c>
      <c r="F190">
        <v>222</v>
      </c>
      <c r="G190">
        <v>476</v>
      </c>
    </row>
    <row r="191" spans="1:7">
      <c r="A191" t="s">
        <v>7388</v>
      </c>
      <c r="B191" t="s">
        <v>7578</v>
      </c>
      <c r="C191" s="1" t="e">
        <f>VLOOKUP(Tabla_Items_Activos[[#This Row],[CODIGO]],Tabla_Items_Completos[[CODIGO]:[LINEA]],2,0)</f>
        <v>#N/A</v>
      </c>
      <c r="D191" s="1" t="e">
        <f>VLOOKUP(Tabla_Items_Activos[[#This Row],[CODIGO]],Tabla_Items_Completos[[CODIGO]:[LINEA]],3,0)</f>
        <v>#N/A</v>
      </c>
      <c r="E191" s="1" t="e">
        <f>VLOOKUP(Tabla_Items_Activos[[#This Row],[CODIGO]],Tabla_Items_Completos[[CODIGO]:[LINEA]],4,0)</f>
        <v>#N/A</v>
      </c>
      <c r="F191">
        <v>93</v>
      </c>
      <c r="G191">
        <v>15</v>
      </c>
    </row>
    <row r="192" spans="1:7">
      <c r="A192" t="s">
        <v>7388</v>
      </c>
      <c r="B192" t="s">
        <v>7579</v>
      </c>
      <c r="C192" s="1" t="e">
        <f>VLOOKUP(Tabla_Items_Activos[[#This Row],[CODIGO]],Tabla_Items_Completos[[CODIGO]:[LINEA]],2,0)</f>
        <v>#N/A</v>
      </c>
      <c r="D192" s="1" t="e">
        <f>VLOOKUP(Tabla_Items_Activos[[#This Row],[CODIGO]],Tabla_Items_Completos[[CODIGO]:[LINEA]],3,0)</f>
        <v>#N/A</v>
      </c>
      <c r="E192" s="1" t="e">
        <f>VLOOKUP(Tabla_Items_Activos[[#This Row],[CODIGO]],Tabla_Items_Completos[[CODIGO]:[LINEA]],4,0)</f>
        <v>#N/A</v>
      </c>
      <c r="F192">
        <v>33</v>
      </c>
      <c r="G192">
        <v>143</v>
      </c>
    </row>
    <row r="193" spans="1:7">
      <c r="A193" t="s">
        <v>7388</v>
      </c>
      <c r="B193" t="s">
        <v>7580</v>
      </c>
      <c r="C193" s="1" t="e">
        <f>VLOOKUP(Tabla_Items_Activos[[#This Row],[CODIGO]],Tabla_Items_Completos[[CODIGO]:[LINEA]],2,0)</f>
        <v>#N/A</v>
      </c>
      <c r="D193" s="1" t="e">
        <f>VLOOKUP(Tabla_Items_Activos[[#This Row],[CODIGO]],Tabla_Items_Completos[[CODIGO]:[LINEA]],3,0)</f>
        <v>#N/A</v>
      </c>
      <c r="E193" s="1" t="e">
        <f>VLOOKUP(Tabla_Items_Activos[[#This Row],[CODIGO]],Tabla_Items_Completos[[CODIGO]:[LINEA]],4,0)</f>
        <v>#N/A</v>
      </c>
      <c r="F193">
        <v>62</v>
      </c>
      <c r="G193">
        <v>29</v>
      </c>
    </row>
    <row r="194" spans="1:7">
      <c r="A194" t="s">
        <v>7388</v>
      </c>
      <c r="B194" t="s">
        <v>7581</v>
      </c>
      <c r="C194" s="1" t="e">
        <f>VLOOKUP(Tabla_Items_Activos[[#This Row],[CODIGO]],Tabla_Items_Completos[[CODIGO]:[LINEA]],2,0)</f>
        <v>#N/A</v>
      </c>
      <c r="D194" s="1" t="e">
        <f>VLOOKUP(Tabla_Items_Activos[[#This Row],[CODIGO]],Tabla_Items_Completos[[CODIGO]:[LINEA]],3,0)</f>
        <v>#N/A</v>
      </c>
      <c r="E194" s="1" t="e">
        <f>VLOOKUP(Tabla_Items_Activos[[#This Row],[CODIGO]],Tabla_Items_Completos[[CODIGO]:[LINEA]],4,0)</f>
        <v>#N/A</v>
      </c>
      <c r="F194">
        <v>83</v>
      </c>
      <c r="G194">
        <v>59</v>
      </c>
    </row>
    <row r="195" spans="1:7">
      <c r="A195" t="s">
        <v>7388</v>
      </c>
      <c r="B195" t="s">
        <v>7582</v>
      </c>
      <c r="C195" s="1" t="e">
        <f>VLOOKUP(Tabla_Items_Activos[[#This Row],[CODIGO]],Tabla_Items_Completos[[CODIGO]:[LINEA]],2,0)</f>
        <v>#N/A</v>
      </c>
      <c r="D195" s="1" t="e">
        <f>VLOOKUP(Tabla_Items_Activos[[#This Row],[CODIGO]],Tabla_Items_Completos[[CODIGO]:[LINEA]],3,0)</f>
        <v>#N/A</v>
      </c>
      <c r="E195" s="1" t="e">
        <f>VLOOKUP(Tabla_Items_Activos[[#This Row],[CODIGO]],Tabla_Items_Completos[[CODIGO]:[LINEA]],4,0)</f>
        <v>#N/A</v>
      </c>
      <c r="F195">
        <v>850</v>
      </c>
      <c r="G195">
        <v>0</v>
      </c>
    </row>
    <row r="196" spans="1:7">
      <c r="A196" t="s">
        <v>7388</v>
      </c>
      <c r="B196" t="s">
        <v>7583</v>
      </c>
      <c r="C196" s="1" t="e">
        <f>VLOOKUP(Tabla_Items_Activos[[#This Row],[CODIGO]],Tabla_Items_Completos[[CODIGO]:[LINEA]],2,0)</f>
        <v>#N/A</v>
      </c>
      <c r="D196" s="1" t="e">
        <f>VLOOKUP(Tabla_Items_Activos[[#This Row],[CODIGO]],Tabla_Items_Completos[[CODIGO]:[LINEA]],3,0)</f>
        <v>#N/A</v>
      </c>
      <c r="E196" s="1" t="e">
        <f>VLOOKUP(Tabla_Items_Activos[[#This Row],[CODIGO]],Tabla_Items_Completos[[CODIGO]:[LINEA]],4,0)</f>
        <v>#N/A</v>
      </c>
      <c r="F196">
        <v>742</v>
      </c>
      <c r="G196">
        <v>0</v>
      </c>
    </row>
    <row r="197" spans="1:7">
      <c r="A197" t="s">
        <v>7388</v>
      </c>
      <c r="B197" t="s">
        <v>7584</v>
      </c>
      <c r="C197" s="1" t="e">
        <f>VLOOKUP(Tabla_Items_Activos[[#This Row],[CODIGO]],Tabla_Items_Completos[[CODIGO]:[LINEA]],2,0)</f>
        <v>#N/A</v>
      </c>
      <c r="D197" s="1" t="e">
        <f>VLOOKUP(Tabla_Items_Activos[[#This Row],[CODIGO]],Tabla_Items_Completos[[CODIGO]:[LINEA]],3,0)</f>
        <v>#N/A</v>
      </c>
      <c r="E197" s="1" t="e">
        <f>VLOOKUP(Tabla_Items_Activos[[#This Row],[CODIGO]],Tabla_Items_Completos[[CODIGO]:[LINEA]],4,0)</f>
        <v>#N/A</v>
      </c>
      <c r="F197">
        <v>530</v>
      </c>
      <c r="G197">
        <v>0</v>
      </c>
    </row>
    <row r="198" spans="1:7">
      <c r="A198" t="s">
        <v>7388</v>
      </c>
      <c r="B198" t="s">
        <v>7585</v>
      </c>
      <c r="C198" s="1" t="e">
        <f>VLOOKUP(Tabla_Items_Activos[[#This Row],[CODIGO]],Tabla_Items_Completos[[CODIGO]:[LINEA]],2,0)</f>
        <v>#N/A</v>
      </c>
      <c r="D198" s="1" t="e">
        <f>VLOOKUP(Tabla_Items_Activos[[#This Row],[CODIGO]],Tabla_Items_Completos[[CODIGO]:[LINEA]],3,0)</f>
        <v>#N/A</v>
      </c>
      <c r="E198" s="1" t="e">
        <f>VLOOKUP(Tabla_Items_Activos[[#This Row],[CODIGO]],Tabla_Items_Completos[[CODIGO]:[LINEA]],4,0)</f>
        <v>#N/A</v>
      </c>
      <c r="F198">
        <v>554</v>
      </c>
      <c r="G198">
        <v>0</v>
      </c>
    </row>
    <row r="199" spans="1:7">
      <c r="A199" t="s">
        <v>7388</v>
      </c>
      <c r="B199" t="s">
        <v>7586</v>
      </c>
      <c r="C199" s="1" t="e">
        <f>VLOOKUP(Tabla_Items_Activos[[#This Row],[CODIGO]],Tabla_Items_Completos[[CODIGO]:[LINEA]],2,0)</f>
        <v>#N/A</v>
      </c>
      <c r="D199" s="1" t="e">
        <f>VLOOKUP(Tabla_Items_Activos[[#This Row],[CODIGO]],Tabla_Items_Completos[[CODIGO]:[LINEA]],3,0)</f>
        <v>#N/A</v>
      </c>
      <c r="E199" s="1" t="e">
        <f>VLOOKUP(Tabla_Items_Activos[[#This Row],[CODIGO]],Tabla_Items_Completos[[CODIGO]:[LINEA]],4,0)</f>
        <v>#N/A</v>
      </c>
      <c r="F199">
        <v>406</v>
      </c>
      <c r="G199">
        <v>0</v>
      </c>
    </row>
    <row r="200" spans="1:7">
      <c r="A200" t="s">
        <v>7388</v>
      </c>
      <c r="B200" t="s">
        <v>7587</v>
      </c>
      <c r="C200" s="1" t="e">
        <f>VLOOKUP(Tabla_Items_Activos[[#This Row],[CODIGO]],Tabla_Items_Completos[[CODIGO]:[LINEA]],2,0)</f>
        <v>#N/A</v>
      </c>
      <c r="D200" s="1" t="e">
        <f>VLOOKUP(Tabla_Items_Activos[[#This Row],[CODIGO]],Tabla_Items_Completos[[CODIGO]:[LINEA]],3,0)</f>
        <v>#N/A</v>
      </c>
      <c r="E200" s="1" t="e">
        <f>VLOOKUP(Tabla_Items_Activos[[#This Row],[CODIGO]],Tabla_Items_Completos[[CODIGO]:[LINEA]],4,0)</f>
        <v>#N/A</v>
      </c>
      <c r="F200">
        <v>389</v>
      </c>
      <c r="G200">
        <v>0</v>
      </c>
    </row>
    <row r="201" spans="1:7">
      <c r="A201" t="s">
        <v>7388</v>
      </c>
      <c r="B201" t="s">
        <v>7588</v>
      </c>
      <c r="C201" s="1" t="e">
        <f>VLOOKUP(Tabla_Items_Activos[[#This Row],[CODIGO]],Tabla_Items_Completos[[CODIGO]:[LINEA]],2,0)</f>
        <v>#N/A</v>
      </c>
      <c r="D201" s="1" t="e">
        <f>VLOOKUP(Tabla_Items_Activos[[#This Row],[CODIGO]],Tabla_Items_Completos[[CODIGO]:[LINEA]],3,0)</f>
        <v>#N/A</v>
      </c>
      <c r="E201" s="1" t="e">
        <f>VLOOKUP(Tabla_Items_Activos[[#This Row],[CODIGO]],Tabla_Items_Completos[[CODIGO]:[LINEA]],4,0)</f>
        <v>#N/A</v>
      </c>
      <c r="F201">
        <v>243</v>
      </c>
      <c r="G201">
        <v>0</v>
      </c>
    </row>
    <row r="202" spans="1:7">
      <c r="A202" t="s">
        <v>7388</v>
      </c>
      <c r="B202" t="s">
        <v>7589</v>
      </c>
      <c r="C202" s="1" t="e">
        <f>VLOOKUP(Tabla_Items_Activos[[#This Row],[CODIGO]],Tabla_Items_Completos[[CODIGO]:[LINEA]],2,0)</f>
        <v>#N/A</v>
      </c>
      <c r="D202" s="1" t="e">
        <f>VLOOKUP(Tabla_Items_Activos[[#This Row],[CODIGO]],Tabla_Items_Completos[[CODIGO]:[LINEA]],3,0)</f>
        <v>#N/A</v>
      </c>
      <c r="E202" s="1" t="e">
        <f>VLOOKUP(Tabla_Items_Activos[[#This Row],[CODIGO]],Tabla_Items_Completos[[CODIGO]:[LINEA]],4,0)</f>
        <v>#N/A</v>
      </c>
      <c r="F202">
        <v>244</v>
      </c>
      <c r="G202">
        <v>0</v>
      </c>
    </row>
    <row r="203" spans="1:7">
      <c r="A203" t="s">
        <v>7388</v>
      </c>
      <c r="B203" t="s">
        <v>7590</v>
      </c>
      <c r="C203" s="1" t="e">
        <f>VLOOKUP(Tabla_Items_Activos[[#This Row],[CODIGO]],Tabla_Items_Completos[[CODIGO]:[LINEA]],2,0)</f>
        <v>#N/A</v>
      </c>
      <c r="D203" s="1" t="e">
        <f>VLOOKUP(Tabla_Items_Activos[[#This Row],[CODIGO]],Tabla_Items_Completos[[CODIGO]:[LINEA]],3,0)</f>
        <v>#N/A</v>
      </c>
      <c r="E203" s="1" t="e">
        <f>VLOOKUP(Tabla_Items_Activos[[#This Row],[CODIGO]],Tabla_Items_Completos[[CODIGO]:[LINEA]],4,0)</f>
        <v>#N/A</v>
      </c>
      <c r="F203">
        <v>339</v>
      </c>
      <c r="G203">
        <v>0</v>
      </c>
    </row>
    <row r="204" spans="1:7">
      <c r="A204" t="s">
        <v>7388</v>
      </c>
      <c r="B204" t="s">
        <v>7591</v>
      </c>
      <c r="C204" s="1" t="e">
        <f>VLOOKUP(Tabla_Items_Activos[[#This Row],[CODIGO]],Tabla_Items_Completos[[CODIGO]:[LINEA]],2,0)</f>
        <v>#N/A</v>
      </c>
      <c r="D204" s="1" t="e">
        <f>VLOOKUP(Tabla_Items_Activos[[#This Row],[CODIGO]],Tabla_Items_Completos[[CODIGO]:[LINEA]],3,0)</f>
        <v>#N/A</v>
      </c>
      <c r="E204" s="1" t="e">
        <f>VLOOKUP(Tabla_Items_Activos[[#This Row],[CODIGO]],Tabla_Items_Completos[[CODIGO]:[LINEA]],4,0)</f>
        <v>#N/A</v>
      </c>
      <c r="F204">
        <v>304</v>
      </c>
      <c r="G204">
        <v>0</v>
      </c>
    </row>
    <row r="205" spans="1:7">
      <c r="A205" t="s">
        <v>7388</v>
      </c>
      <c r="B205" t="s">
        <v>7592</v>
      </c>
      <c r="C205" s="1" t="e">
        <f>VLOOKUP(Tabla_Items_Activos[[#This Row],[CODIGO]],Tabla_Items_Completos[[CODIGO]:[LINEA]],2,0)</f>
        <v>#N/A</v>
      </c>
      <c r="D205" s="1" t="e">
        <f>VLOOKUP(Tabla_Items_Activos[[#This Row],[CODIGO]],Tabla_Items_Completos[[CODIGO]:[LINEA]],3,0)</f>
        <v>#N/A</v>
      </c>
      <c r="E205" s="1" t="e">
        <f>VLOOKUP(Tabla_Items_Activos[[#This Row],[CODIGO]],Tabla_Items_Completos[[CODIGO]:[LINEA]],4,0)</f>
        <v>#N/A</v>
      </c>
      <c r="F205">
        <v>298</v>
      </c>
      <c r="G205">
        <v>0</v>
      </c>
    </row>
    <row r="206" spans="1:7">
      <c r="A206" t="s">
        <v>7388</v>
      </c>
      <c r="B206" t="s">
        <v>7593</v>
      </c>
      <c r="C206" s="1" t="e">
        <f>VLOOKUP(Tabla_Items_Activos[[#This Row],[CODIGO]],Tabla_Items_Completos[[CODIGO]:[LINEA]],2,0)</f>
        <v>#N/A</v>
      </c>
      <c r="D206" s="1" t="e">
        <f>VLOOKUP(Tabla_Items_Activos[[#This Row],[CODIGO]],Tabla_Items_Completos[[CODIGO]:[LINEA]],3,0)</f>
        <v>#N/A</v>
      </c>
      <c r="E206" s="1" t="e">
        <f>VLOOKUP(Tabla_Items_Activos[[#This Row],[CODIGO]],Tabla_Items_Completos[[CODIGO]:[LINEA]],4,0)</f>
        <v>#N/A</v>
      </c>
      <c r="F206">
        <v>321</v>
      </c>
      <c r="G206">
        <v>0</v>
      </c>
    </row>
    <row r="207" spans="1:7">
      <c r="A207" t="s">
        <v>7388</v>
      </c>
      <c r="B207" t="s">
        <v>7594</v>
      </c>
      <c r="C207" s="1" t="e">
        <f>VLOOKUP(Tabla_Items_Activos[[#This Row],[CODIGO]],Tabla_Items_Completos[[CODIGO]:[LINEA]],2,0)</f>
        <v>#N/A</v>
      </c>
      <c r="D207" s="1" t="e">
        <f>VLOOKUP(Tabla_Items_Activos[[#This Row],[CODIGO]],Tabla_Items_Completos[[CODIGO]:[LINEA]],3,0)</f>
        <v>#N/A</v>
      </c>
      <c r="E207" s="1" t="e">
        <f>VLOOKUP(Tabla_Items_Activos[[#This Row],[CODIGO]],Tabla_Items_Completos[[CODIGO]:[LINEA]],4,0)</f>
        <v>#N/A</v>
      </c>
      <c r="F207">
        <v>424</v>
      </c>
      <c r="G207">
        <v>0</v>
      </c>
    </row>
    <row r="208" spans="1:7">
      <c r="A208" t="s">
        <v>7388</v>
      </c>
      <c r="B208" t="s">
        <v>7595</v>
      </c>
      <c r="C208" s="1" t="e">
        <f>VLOOKUP(Tabla_Items_Activos[[#This Row],[CODIGO]],Tabla_Items_Completos[[CODIGO]:[LINEA]],2,0)</f>
        <v>#N/A</v>
      </c>
      <c r="D208" s="1" t="e">
        <f>VLOOKUP(Tabla_Items_Activos[[#This Row],[CODIGO]],Tabla_Items_Completos[[CODIGO]:[LINEA]],3,0)</f>
        <v>#N/A</v>
      </c>
      <c r="E208" s="1" t="e">
        <f>VLOOKUP(Tabla_Items_Activos[[#This Row],[CODIGO]],Tabla_Items_Completos[[CODIGO]:[LINEA]],4,0)</f>
        <v>#N/A</v>
      </c>
      <c r="F208">
        <v>243</v>
      </c>
      <c r="G208">
        <v>0</v>
      </c>
    </row>
    <row r="209" spans="1:7">
      <c r="A209" t="s">
        <v>7388</v>
      </c>
      <c r="B209" t="s">
        <v>7596</v>
      </c>
      <c r="C209" s="1" t="e">
        <f>VLOOKUP(Tabla_Items_Activos[[#This Row],[CODIGO]],Tabla_Items_Completos[[CODIGO]:[LINEA]],2,0)</f>
        <v>#N/A</v>
      </c>
      <c r="D209" s="1" t="e">
        <f>VLOOKUP(Tabla_Items_Activos[[#This Row],[CODIGO]],Tabla_Items_Completos[[CODIGO]:[LINEA]],3,0)</f>
        <v>#N/A</v>
      </c>
      <c r="E209" s="1" t="e">
        <f>VLOOKUP(Tabla_Items_Activos[[#This Row],[CODIGO]],Tabla_Items_Completos[[CODIGO]:[LINEA]],4,0)</f>
        <v>#N/A</v>
      </c>
      <c r="F209">
        <v>258</v>
      </c>
      <c r="G209">
        <v>0</v>
      </c>
    </row>
    <row r="210" spans="1:7">
      <c r="A210" t="s">
        <v>7388</v>
      </c>
      <c r="B210" t="s">
        <v>7597</v>
      </c>
      <c r="C210" s="1" t="e">
        <f>VLOOKUP(Tabla_Items_Activos[[#This Row],[CODIGO]],Tabla_Items_Completos[[CODIGO]:[LINEA]],2,0)</f>
        <v>#N/A</v>
      </c>
      <c r="D210" s="1" t="e">
        <f>VLOOKUP(Tabla_Items_Activos[[#This Row],[CODIGO]],Tabla_Items_Completos[[CODIGO]:[LINEA]],3,0)</f>
        <v>#N/A</v>
      </c>
      <c r="E210" s="1" t="e">
        <f>VLOOKUP(Tabla_Items_Activos[[#This Row],[CODIGO]],Tabla_Items_Completos[[CODIGO]:[LINEA]],4,0)</f>
        <v>#N/A</v>
      </c>
      <c r="F210">
        <v>252</v>
      </c>
      <c r="G210">
        <v>0</v>
      </c>
    </row>
    <row r="211" spans="1:7">
      <c r="A211" t="s">
        <v>7388</v>
      </c>
      <c r="B211" t="s">
        <v>7598</v>
      </c>
      <c r="C211" s="1" t="e">
        <f>VLOOKUP(Tabla_Items_Activos[[#This Row],[CODIGO]],Tabla_Items_Completos[[CODIGO]:[LINEA]],2,0)</f>
        <v>#N/A</v>
      </c>
      <c r="D211" s="1" t="e">
        <f>VLOOKUP(Tabla_Items_Activos[[#This Row],[CODIGO]],Tabla_Items_Completos[[CODIGO]:[LINEA]],3,0)</f>
        <v>#N/A</v>
      </c>
      <c r="E211" s="1" t="e">
        <f>VLOOKUP(Tabla_Items_Activos[[#This Row],[CODIGO]],Tabla_Items_Completos[[CODIGO]:[LINEA]],4,0)</f>
        <v>#N/A</v>
      </c>
      <c r="F211">
        <v>353</v>
      </c>
      <c r="G211">
        <v>0</v>
      </c>
    </row>
    <row r="212" spans="1:7">
      <c r="A212" t="s">
        <v>7388</v>
      </c>
      <c r="B212" t="s">
        <v>7599</v>
      </c>
      <c r="C212" s="1" t="e">
        <f>VLOOKUP(Tabla_Items_Activos[[#This Row],[CODIGO]],Tabla_Items_Completos[[CODIGO]:[LINEA]],2,0)</f>
        <v>#N/A</v>
      </c>
      <c r="D212" s="1" t="e">
        <f>VLOOKUP(Tabla_Items_Activos[[#This Row],[CODIGO]],Tabla_Items_Completos[[CODIGO]:[LINEA]],3,0)</f>
        <v>#N/A</v>
      </c>
      <c r="E212" s="1" t="e">
        <f>VLOOKUP(Tabla_Items_Activos[[#This Row],[CODIGO]],Tabla_Items_Completos[[CODIGO]:[LINEA]],4,0)</f>
        <v>#N/A</v>
      </c>
      <c r="F212">
        <v>116</v>
      </c>
      <c r="G212">
        <v>4</v>
      </c>
    </row>
    <row r="213" spans="1:7">
      <c r="A213" t="s">
        <v>7388</v>
      </c>
      <c r="B213" t="s">
        <v>7600</v>
      </c>
      <c r="C213" s="1" t="e">
        <f>VLOOKUP(Tabla_Items_Activos[[#This Row],[CODIGO]],Tabla_Items_Completos[[CODIGO]:[LINEA]],2,0)</f>
        <v>#N/A</v>
      </c>
      <c r="D213" s="1" t="e">
        <f>VLOOKUP(Tabla_Items_Activos[[#This Row],[CODIGO]],Tabla_Items_Completos[[CODIGO]:[LINEA]],3,0)</f>
        <v>#N/A</v>
      </c>
      <c r="E213" s="1" t="e">
        <f>VLOOKUP(Tabla_Items_Activos[[#This Row],[CODIGO]],Tabla_Items_Completos[[CODIGO]:[LINEA]],4,0)</f>
        <v>#N/A</v>
      </c>
      <c r="F213">
        <v>150</v>
      </c>
      <c r="G213">
        <v>0</v>
      </c>
    </row>
    <row r="214" spans="1:7">
      <c r="A214" t="s">
        <v>7388</v>
      </c>
      <c r="B214" t="s">
        <v>7601</v>
      </c>
      <c r="C214" s="1" t="e">
        <f>VLOOKUP(Tabla_Items_Activos[[#This Row],[CODIGO]],Tabla_Items_Completos[[CODIGO]:[LINEA]],2,0)</f>
        <v>#N/A</v>
      </c>
      <c r="D214" s="1" t="e">
        <f>VLOOKUP(Tabla_Items_Activos[[#This Row],[CODIGO]],Tabla_Items_Completos[[CODIGO]:[LINEA]],3,0)</f>
        <v>#N/A</v>
      </c>
      <c r="E214" s="1" t="e">
        <f>VLOOKUP(Tabla_Items_Activos[[#This Row],[CODIGO]],Tabla_Items_Completos[[CODIGO]:[LINEA]],4,0)</f>
        <v>#N/A</v>
      </c>
      <c r="F214">
        <v>152</v>
      </c>
      <c r="G214">
        <v>0</v>
      </c>
    </row>
    <row r="215" spans="1:7">
      <c r="A215" t="s">
        <v>7388</v>
      </c>
      <c r="B215" t="s">
        <v>7602</v>
      </c>
      <c r="C215" s="1" t="e">
        <f>VLOOKUP(Tabla_Items_Activos[[#This Row],[CODIGO]],Tabla_Items_Completos[[CODIGO]:[LINEA]],2,0)</f>
        <v>#N/A</v>
      </c>
      <c r="D215" s="1" t="e">
        <f>VLOOKUP(Tabla_Items_Activos[[#This Row],[CODIGO]],Tabla_Items_Completos[[CODIGO]:[LINEA]],3,0)</f>
        <v>#N/A</v>
      </c>
      <c r="E215" s="1" t="e">
        <f>VLOOKUP(Tabla_Items_Activos[[#This Row],[CODIGO]],Tabla_Items_Completos[[CODIGO]:[LINEA]],4,0)</f>
        <v>#N/A</v>
      </c>
      <c r="F215">
        <v>247</v>
      </c>
      <c r="G215">
        <v>0</v>
      </c>
    </row>
    <row r="216" spans="1:7">
      <c r="A216" t="s">
        <v>7388</v>
      </c>
      <c r="B216" t="s">
        <v>7603</v>
      </c>
      <c r="C216" s="1" t="e">
        <f>VLOOKUP(Tabla_Items_Activos[[#This Row],[CODIGO]],Tabla_Items_Completos[[CODIGO]:[LINEA]],2,0)</f>
        <v>#N/A</v>
      </c>
      <c r="D216" s="1" t="e">
        <f>VLOOKUP(Tabla_Items_Activos[[#This Row],[CODIGO]],Tabla_Items_Completos[[CODIGO]:[LINEA]],3,0)</f>
        <v>#N/A</v>
      </c>
      <c r="E216" s="1" t="e">
        <f>VLOOKUP(Tabla_Items_Activos[[#This Row],[CODIGO]],Tabla_Items_Completos[[CODIGO]:[LINEA]],4,0)</f>
        <v>#N/A</v>
      </c>
      <c r="F216">
        <v>3</v>
      </c>
      <c r="G216">
        <v>0</v>
      </c>
    </row>
    <row r="217" spans="1:7">
      <c r="A217" t="s">
        <v>7388</v>
      </c>
      <c r="B217" t="s">
        <v>7604</v>
      </c>
      <c r="C217" s="1" t="e">
        <f>VLOOKUP(Tabla_Items_Activos[[#This Row],[CODIGO]],Tabla_Items_Completos[[CODIGO]:[LINEA]],2,0)</f>
        <v>#N/A</v>
      </c>
      <c r="D217" s="1" t="e">
        <f>VLOOKUP(Tabla_Items_Activos[[#This Row],[CODIGO]],Tabla_Items_Completos[[CODIGO]:[LINEA]],3,0)</f>
        <v>#N/A</v>
      </c>
      <c r="E217" s="1" t="e">
        <f>VLOOKUP(Tabla_Items_Activos[[#This Row],[CODIGO]],Tabla_Items_Completos[[CODIGO]:[LINEA]],4,0)</f>
        <v>#N/A</v>
      </c>
      <c r="F217">
        <v>2</v>
      </c>
      <c r="G217">
        <v>0</v>
      </c>
    </row>
    <row r="218" spans="1:7">
      <c r="A218" t="s">
        <v>7388</v>
      </c>
      <c r="B218" t="s">
        <v>7605</v>
      </c>
      <c r="C218" s="1" t="e">
        <f>VLOOKUP(Tabla_Items_Activos[[#This Row],[CODIGO]],Tabla_Items_Completos[[CODIGO]:[LINEA]],2,0)</f>
        <v>#N/A</v>
      </c>
      <c r="D218" s="1" t="e">
        <f>VLOOKUP(Tabla_Items_Activos[[#This Row],[CODIGO]],Tabla_Items_Completos[[CODIGO]:[LINEA]],3,0)</f>
        <v>#N/A</v>
      </c>
      <c r="E218" s="1" t="e">
        <f>VLOOKUP(Tabla_Items_Activos[[#This Row],[CODIGO]],Tabla_Items_Completos[[CODIGO]:[LINEA]],4,0)</f>
        <v>#N/A</v>
      </c>
      <c r="F218">
        <v>63</v>
      </c>
      <c r="G218">
        <v>0</v>
      </c>
    </row>
    <row r="219" spans="1:7">
      <c r="A219" t="s">
        <v>7388</v>
      </c>
      <c r="B219" t="s">
        <v>7606</v>
      </c>
      <c r="C219" s="1" t="e">
        <f>VLOOKUP(Tabla_Items_Activos[[#This Row],[CODIGO]],Tabla_Items_Completos[[CODIGO]:[LINEA]],2,0)</f>
        <v>#N/A</v>
      </c>
      <c r="D219" s="1" t="e">
        <f>VLOOKUP(Tabla_Items_Activos[[#This Row],[CODIGO]],Tabla_Items_Completos[[CODIGO]:[LINEA]],3,0)</f>
        <v>#N/A</v>
      </c>
      <c r="E219" s="1" t="e">
        <f>VLOOKUP(Tabla_Items_Activos[[#This Row],[CODIGO]],Tabla_Items_Completos[[CODIGO]:[LINEA]],4,0)</f>
        <v>#N/A</v>
      </c>
      <c r="F219">
        <v>12</v>
      </c>
      <c r="G219">
        <v>0</v>
      </c>
    </row>
    <row r="220" spans="1:7">
      <c r="A220" t="s">
        <v>7388</v>
      </c>
      <c r="B220" t="s">
        <v>7607</v>
      </c>
      <c r="C220" s="1" t="e">
        <f>VLOOKUP(Tabla_Items_Activos[[#This Row],[CODIGO]],Tabla_Items_Completos[[CODIGO]:[LINEA]],2,0)</f>
        <v>#N/A</v>
      </c>
      <c r="D220" s="1" t="e">
        <f>VLOOKUP(Tabla_Items_Activos[[#This Row],[CODIGO]],Tabla_Items_Completos[[CODIGO]:[LINEA]],3,0)</f>
        <v>#N/A</v>
      </c>
      <c r="E220" s="1" t="e">
        <f>VLOOKUP(Tabla_Items_Activos[[#This Row],[CODIGO]],Tabla_Items_Completos[[CODIGO]:[LINEA]],4,0)</f>
        <v>#N/A</v>
      </c>
      <c r="F220">
        <v>82</v>
      </c>
      <c r="G220">
        <v>0</v>
      </c>
    </row>
    <row r="221" spans="1:7">
      <c r="A221" t="s">
        <v>7388</v>
      </c>
      <c r="B221" t="s">
        <v>7608</v>
      </c>
      <c r="C221" s="1" t="e">
        <f>VLOOKUP(Tabla_Items_Activos[[#This Row],[CODIGO]],Tabla_Items_Completos[[CODIGO]:[LINEA]],2,0)</f>
        <v>#N/A</v>
      </c>
      <c r="D221" s="1" t="e">
        <f>VLOOKUP(Tabla_Items_Activos[[#This Row],[CODIGO]],Tabla_Items_Completos[[CODIGO]:[LINEA]],3,0)</f>
        <v>#N/A</v>
      </c>
      <c r="E221" s="1" t="e">
        <f>VLOOKUP(Tabla_Items_Activos[[#This Row],[CODIGO]],Tabla_Items_Completos[[CODIGO]:[LINEA]],4,0)</f>
        <v>#N/A</v>
      </c>
      <c r="F221">
        <v>32</v>
      </c>
      <c r="G221">
        <v>0</v>
      </c>
    </row>
    <row r="222" spans="1:7">
      <c r="A222" t="s">
        <v>7388</v>
      </c>
      <c r="B222" t="s">
        <v>7609</v>
      </c>
      <c r="C222" s="1" t="e">
        <f>VLOOKUP(Tabla_Items_Activos[[#This Row],[CODIGO]],Tabla_Items_Completos[[CODIGO]:[LINEA]],2,0)</f>
        <v>#N/A</v>
      </c>
      <c r="D222" s="1" t="e">
        <f>VLOOKUP(Tabla_Items_Activos[[#This Row],[CODIGO]],Tabla_Items_Completos[[CODIGO]:[LINEA]],3,0)</f>
        <v>#N/A</v>
      </c>
      <c r="E222" s="1" t="e">
        <f>VLOOKUP(Tabla_Items_Activos[[#This Row],[CODIGO]],Tabla_Items_Completos[[CODIGO]:[LINEA]],4,0)</f>
        <v>#N/A</v>
      </c>
      <c r="F222">
        <v>112</v>
      </c>
      <c r="G222">
        <v>0</v>
      </c>
    </row>
    <row r="223" spans="1:7">
      <c r="A223" t="s">
        <v>7388</v>
      </c>
      <c r="B223" t="s">
        <v>7610</v>
      </c>
      <c r="C223" s="1" t="e">
        <f>VLOOKUP(Tabla_Items_Activos[[#This Row],[CODIGO]],Tabla_Items_Completos[[CODIGO]:[LINEA]],2,0)</f>
        <v>#N/A</v>
      </c>
      <c r="D223" s="1" t="e">
        <f>VLOOKUP(Tabla_Items_Activos[[#This Row],[CODIGO]],Tabla_Items_Completos[[CODIGO]:[LINEA]],3,0)</f>
        <v>#N/A</v>
      </c>
      <c r="E223" s="1" t="e">
        <f>VLOOKUP(Tabla_Items_Activos[[#This Row],[CODIGO]],Tabla_Items_Completos[[CODIGO]:[LINEA]],4,0)</f>
        <v>#N/A</v>
      </c>
      <c r="F223">
        <v>92</v>
      </c>
      <c r="G223">
        <v>0</v>
      </c>
    </row>
    <row r="224" spans="1:7">
      <c r="A224" t="s">
        <v>7388</v>
      </c>
      <c r="B224" t="s">
        <v>7611</v>
      </c>
      <c r="C224" s="1" t="e">
        <f>VLOOKUP(Tabla_Items_Activos[[#This Row],[CODIGO]],Tabla_Items_Completos[[CODIGO]:[LINEA]],2,0)</f>
        <v>#N/A</v>
      </c>
      <c r="D224" s="1" t="e">
        <f>VLOOKUP(Tabla_Items_Activos[[#This Row],[CODIGO]],Tabla_Items_Completos[[CODIGO]:[LINEA]],3,0)</f>
        <v>#N/A</v>
      </c>
      <c r="E224" s="1" t="e">
        <f>VLOOKUP(Tabla_Items_Activos[[#This Row],[CODIGO]],Tabla_Items_Completos[[CODIGO]:[LINEA]],4,0)</f>
        <v>#N/A</v>
      </c>
      <c r="F224">
        <v>337</v>
      </c>
      <c r="G224">
        <v>32</v>
      </c>
    </row>
    <row r="225" spans="1:7">
      <c r="A225" t="s">
        <v>7388</v>
      </c>
      <c r="B225" t="s">
        <v>7612</v>
      </c>
      <c r="C225" s="1" t="e">
        <f>VLOOKUP(Tabla_Items_Activos[[#This Row],[CODIGO]],Tabla_Items_Completos[[CODIGO]:[LINEA]],2,0)</f>
        <v>#N/A</v>
      </c>
      <c r="D225" s="1" t="e">
        <f>VLOOKUP(Tabla_Items_Activos[[#This Row],[CODIGO]],Tabla_Items_Completos[[CODIGO]:[LINEA]],3,0)</f>
        <v>#N/A</v>
      </c>
      <c r="E225" s="1" t="e">
        <f>VLOOKUP(Tabla_Items_Activos[[#This Row],[CODIGO]],Tabla_Items_Completos[[CODIGO]:[LINEA]],4,0)</f>
        <v>#N/A</v>
      </c>
      <c r="F225">
        <v>294</v>
      </c>
      <c r="G225">
        <v>13</v>
      </c>
    </row>
    <row r="226" spans="1:7">
      <c r="A226" t="s">
        <v>7388</v>
      </c>
      <c r="B226" t="s">
        <v>7613</v>
      </c>
      <c r="C226" s="1" t="e">
        <f>VLOOKUP(Tabla_Items_Activos[[#This Row],[CODIGO]],Tabla_Items_Completos[[CODIGO]:[LINEA]],2,0)</f>
        <v>#N/A</v>
      </c>
      <c r="D226" s="1" t="e">
        <f>VLOOKUP(Tabla_Items_Activos[[#This Row],[CODIGO]],Tabla_Items_Completos[[CODIGO]:[LINEA]],3,0)</f>
        <v>#N/A</v>
      </c>
      <c r="E226" s="1" t="e">
        <f>VLOOKUP(Tabla_Items_Activos[[#This Row],[CODIGO]],Tabla_Items_Completos[[CODIGO]:[LINEA]],4,0)</f>
        <v>#N/A</v>
      </c>
      <c r="F226">
        <v>494</v>
      </c>
      <c r="G226">
        <v>0</v>
      </c>
    </row>
    <row r="227" spans="1:7">
      <c r="A227" t="s">
        <v>7388</v>
      </c>
      <c r="B227" t="s">
        <v>7614</v>
      </c>
      <c r="C227" s="1" t="e">
        <f>VLOOKUP(Tabla_Items_Activos[[#This Row],[CODIGO]],Tabla_Items_Completos[[CODIGO]:[LINEA]],2,0)</f>
        <v>#N/A</v>
      </c>
      <c r="D227" s="1" t="e">
        <f>VLOOKUP(Tabla_Items_Activos[[#This Row],[CODIGO]],Tabla_Items_Completos[[CODIGO]:[LINEA]],3,0)</f>
        <v>#N/A</v>
      </c>
      <c r="E227" s="1" t="e">
        <f>VLOOKUP(Tabla_Items_Activos[[#This Row],[CODIGO]],Tabla_Items_Completos[[CODIGO]:[LINEA]],4,0)</f>
        <v>#N/A</v>
      </c>
      <c r="F227">
        <v>389</v>
      </c>
      <c r="G227">
        <v>0</v>
      </c>
    </row>
    <row r="228" spans="1:7">
      <c r="A228" t="s">
        <v>7388</v>
      </c>
      <c r="B228" t="s">
        <v>7615</v>
      </c>
      <c r="C228" s="1" t="e">
        <f>VLOOKUP(Tabla_Items_Activos[[#This Row],[CODIGO]],Tabla_Items_Completos[[CODIGO]:[LINEA]],2,0)</f>
        <v>#N/A</v>
      </c>
      <c r="D228" s="1" t="e">
        <f>VLOOKUP(Tabla_Items_Activos[[#This Row],[CODIGO]],Tabla_Items_Completos[[CODIGO]:[LINEA]],3,0)</f>
        <v>#N/A</v>
      </c>
      <c r="E228" s="1" t="e">
        <f>VLOOKUP(Tabla_Items_Activos[[#This Row],[CODIGO]],Tabla_Items_Completos[[CODIGO]:[LINEA]],4,0)</f>
        <v>#N/A</v>
      </c>
      <c r="F228">
        <v>53</v>
      </c>
      <c r="G228">
        <v>11</v>
      </c>
    </row>
    <row r="229" spans="1:7">
      <c r="A229" t="s">
        <v>7388</v>
      </c>
      <c r="B229" t="s">
        <v>7616</v>
      </c>
      <c r="C229" s="1" t="e">
        <f>VLOOKUP(Tabla_Items_Activos[[#This Row],[CODIGO]],Tabla_Items_Completos[[CODIGO]:[LINEA]],2,0)</f>
        <v>#N/A</v>
      </c>
      <c r="D229" s="1" t="e">
        <f>VLOOKUP(Tabla_Items_Activos[[#This Row],[CODIGO]],Tabla_Items_Completos[[CODIGO]:[LINEA]],3,0)</f>
        <v>#N/A</v>
      </c>
      <c r="E229" s="1" t="e">
        <f>VLOOKUP(Tabla_Items_Activos[[#This Row],[CODIGO]],Tabla_Items_Completos[[CODIGO]:[LINEA]],4,0)</f>
        <v>#N/A</v>
      </c>
      <c r="F229">
        <v>111</v>
      </c>
      <c r="G229">
        <v>3</v>
      </c>
    </row>
    <row r="230" spans="1:7">
      <c r="A230" t="s">
        <v>7388</v>
      </c>
      <c r="B230" t="s">
        <v>7617</v>
      </c>
      <c r="C230" s="1" t="e">
        <f>VLOOKUP(Tabla_Items_Activos[[#This Row],[CODIGO]],Tabla_Items_Completos[[CODIGO]:[LINEA]],2,0)</f>
        <v>#N/A</v>
      </c>
      <c r="D230" s="1" t="e">
        <f>VLOOKUP(Tabla_Items_Activos[[#This Row],[CODIGO]],Tabla_Items_Completos[[CODIGO]:[LINEA]],3,0)</f>
        <v>#N/A</v>
      </c>
      <c r="E230" s="1" t="e">
        <f>VLOOKUP(Tabla_Items_Activos[[#This Row],[CODIGO]],Tabla_Items_Completos[[CODIGO]:[LINEA]],4,0)</f>
        <v>#N/A</v>
      </c>
      <c r="F230">
        <v>85</v>
      </c>
      <c r="G230">
        <v>20</v>
      </c>
    </row>
    <row r="231" spans="1:7">
      <c r="A231" t="s">
        <v>7388</v>
      </c>
      <c r="B231" t="s">
        <v>7618</v>
      </c>
      <c r="C231" s="1" t="e">
        <f>VLOOKUP(Tabla_Items_Activos[[#This Row],[CODIGO]],Tabla_Items_Completos[[CODIGO]:[LINEA]],2,0)</f>
        <v>#N/A</v>
      </c>
      <c r="D231" s="1" t="e">
        <f>VLOOKUP(Tabla_Items_Activos[[#This Row],[CODIGO]],Tabla_Items_Completos[[CODIGO]:[LINEA]],3,0)</f>
        <v>#N/A</v>
      </c>
      <c r="E231" s="1" t="e">
        <f>VLOOKUP(Tabla_Items_Activos[[#This Row],[CODIGO]],Tabla_Items_Completos[[CODIGO]:[LINEA]],4,0)</f>
        <v>#N/A</v>
      </c>
      <c r="F231">
        <v>143</v>
      </c>
      <c r="G231">
        <v>0</v>
      </c>
    </row>
    <row r="232" spans="1:7">
      <c r="A232" t="s">
        <v>7388</v>
      </c>
      <c r="B232" t="s">
        <v>7619</v>
      </c>
      <c r="C232" s="1" t="e">
        <f>VLOOKUP(Tabla_Items_Activos[[#This Row],[CODIGO]],Tabla_Items_Completos[[CODIGO]:[LINEA]],2,0)</f>
        <v>#N/A</v>
      </c>
      <c r="D232" s="1" t="e">
        <f>VLOOKUP(Tabla_Items_Activos[[#This Row],[CODIGO]],Tabla_Items_Completos[[CODIGO]:[LINEA]],3,0)</f>
        <v>#N/A</v>
      </c>
      <c r="E232" s="1" t="e">
        <f>VLOOKUP(Tabla_Items_Activos[[#This Row],[CODIGO]],Tabla_Items_Completos[[CODIGO]:[LINEA]],4,0)</f>
        <v>#N/A</v>
      </c>
      <c r="F232">
        <v>154</v>
      </c>
      <c r="G232">
        <v>0</v>
      </c>
    </row>
    <row r="233" spans="1:7">
      <c r="A233" t="s">
        <v>7388</v>
      </c>
      <c r="B233" t="s">
        <v>7620</v>
      </c>
      <c r="C233" s="1" t="e">
        <f>VLOOKUP(Tabla_Items_Activos[[#This Row],[CODIGO]],Tabla_Items_Completos[[CODIGO]:[LINEA]],2,0)</f>
        <v>#N/A</v>
      </c>
      <c r="D233" s="1" t="e">
        <f>VLOOKUP(Tabla_Items_Activos[[#This Row],[CODIGO]],Tabla_Items_Completos[[CODIGO]:[LINEA]],3,0)</f>
        <v>#N/A</v>
      </c>
      <c r="E233" s="1" t="e">
        <f>VLOOKUP(Tabla_Items_Activos[[#This Row],[CODIGO]],Tabla_Items_Completos[[CODIGO]:[LINEA]],4,0)</f>
        <v>#N/A</v>
      </c>
      <c r="F233">
        <v>122</v>
      </c>
      <c r="G233">
        <v>0</v>
      </c>
    </row>
    <row r="234" spans="1:7">
      <c r="A234" t="s">
        <v>7388</v>
      </c>
      <c r="B234" t="s">
        <v>7621</v>
      </c>
      <c r="C234" s="1" t="e">
        <f>VLOOKUP(Tabla_Items_Activos[[#This Row],[CODIGO]],Tabla_Items_Completos[[CODIGO]:[LINEA]],2,0)</f>
        <v>#N/A</v>
      </c>
      <c r="D234" s="1" t="e">
        <f>VLOOKUP(Tabla_Items_Activos[[#This Row],[CODIGO]],Tabla_Items_Completos[[CODIGO]:[LINEA]],3,0)</f>
        <v>#N/A</v>
      </c>
      <c r="E234" s="1" t="e">
        <f>VLOOKUP(Tabla_Items_Activos[[#This Row],[CODIGO]],Tabla_Items_Completos[[CODIGO]:[LINEA]],4,0)</f>
        <v>#N/A</v>
      </c>
      <c r="F234">
        <v>127</v>
      </c>
      <c r="G234">
        <v>0</v>
      </c>
    </row>
    <row r="235" spans="1:7">
      <c r="A235" t="s">
        <v>7388</v>
      </c>
      <c r="B235" t="s">
        <v>7622</v>
      </c>
      <c r="C235" s="1" t="e">
        <f>VLOOKUP(Tabla_Items_Activos[[#This Row],[CODIGO]],Tabla_Items_Completos[[CODIGO]:[LINEA]],2,0)</f>
        <v>#N/A</v>
      </c>
      <c r="D235" s="1" t="e">
        <f>VLOOKUP(Tabla_Items_Activos[[#This Row],[CODIGO]],Tabla_Items_Completos[[CODIGO]:[LINEA]],3,0)</f>
        <v>#N/A</v>
      </c>
      <c r="E235" s="1" t="e">
        <f>VLOOKUP(Tabla_Items_Activos[[#This Row],[CODIGO]],Tabla_Items_Completos[[CODIGO]:[LINEA]],4,0)</f>
        <v>#N/A</v>
      </c>
      <c r="F235">
        <v>110</v>
      </c>
      <c r="G235">
        <v>1</v>
      </c>
    </row>
    <row r="236" spans="1:7">
      <c r="A236" t="s">
        <v>7388</v>
      </c>
      <c r="B236" t="s">
        <v>7623</v>
      </c>
      <c r="C236" s="1" t="e">
        <f>VLOOKUP(Tabla_Items_Activos[[#This Row],[CODIGO]],Tabla_Items_Completos[[CODIGO]:[LINEA]],2,0)</f>
        <v>#N/A</v>
      </c>
      <c r="D236" s="1" t="e">
        <f>VLOOKUP(Tabla_Items_Activos[[#This Row],[CODIGO]],Tabla_Items_Completos[[CODIGO]:[LINEA]],3,0)</f>
        <v>#N/A</v>
      </c>
      <c r="E236" s="1" t="e">
        <f>VLOOKUP(Tabla_Items_Activos[[#This Row],[CODIGO]],Tabla_Items_Completos[[CODIGO]:[LINEA]],4,0)</f>
        <v>#N/A</v>
      </c>
      <c r="F236">
        <v>132</v>
      </c>
      <c r="G236">
        <v>5</v>
      </c>
    </row>
    <row r="237" spans="1:7">
      <c r="A237" t="s">
        <v>7388</v>
      </c>
      <c r="B237" t="s">
        <v>7624</v>
      </c>
      <c r="C237" s="1" t="e">
        <f>VLOOKUP(Tabla_Items_Activos[[#This Row],[CODIGO]],Tabla_Items_Completos[[CODIGO]:[LINEA]],2,0)</f>
        <v>#N/A</v>
      </c>
      <c r="D237" s="1" t="e">
        <f>VLOOKUP(Tabla_Items_Activos[[#This Row],[CODIGO]],Tabla_Items_Completos[[CODIGO]:[LINEA]],3,0)</f>
        <v>#N/A</v>
      </c>
      <c r="E237" s="1" t="e">
        <f>VLOOKUP(Tabla_Items_Activos[[#This Row],[CODIGO]],Tabla_Items_Completos[[CODIGO]:[LINEA]],4,0)</f>
        <v>#N/A</v>
      </c>
      <c r="F237">
        <v>111</v>
      </c>
      <c r="G237">
        <v>6</v>
      </c>
    </row>
    <row r="238" spans="1:7">
      <c r="A238" t="s">
        <v>7388</v>
      </c>
      <c r="B238" t="s">
        <v>7625</v>
      </c>
      <c r="C238" s="1" t="e">
        <f>VLOOKUP(Tabla_Items_Activos[[#This Row],[CODIGO]],Tabla_Items_Completos[[CODIGO]:[LINEA]],2,0)</f>
        <v>#N/A</v>
      </c>
      <c r="D238" s="1" t="e">
        <f>VLOOKUP(Tabla_Items_Activos[[#This Row],[CODIGO]],Tabla_Items_Completos[[CODIGO]:[LINEA]],3,0)</f>
        <v>#N/A</v>
      </c>
      <c r="E238" s="1" t="e">
        <f>VLOOKUP(Tabla_Items_Activos[[#This Row],[CODIGO]],Tabla_Items_Completos[[CODIGO]:[LINEA]],4,0)</f>
        <v>#N/A</v>
      </c>
      <c r="F238">
        <v>132</v>
      </c>
      <c r="G238">
        <v>0</v>
      </c>
    </row>
    <row r="239" spans="1:7">
      <c r="A239" t="s">
        <v>7388</v>
      </c>
      <c r="B239" t="s">
        <v>7626</v>
      </c>
      <c r="C239" s="1" t="e">
        <f>VLOOKUP(Tabla_Items_Activos[[#This Row],[CODIGO]],Tabla_Items_Completos[[CODIGO]:[LINEA]],2,0)</f>
        <v>#N/A</v>
      </c>
      <c r="D239" s="1" t="e">
        <f>VLOOKUP(Tabla_Items_Activos[[#This Row],[CODIGO]],Tabla_Items_Completos[[CODIGO]:[LINEA]],3,0)</f>
        <v>#N/A</v>
      </c>
      <c r="E239" s="1" t="e">
        <f>VLOOKUP(Tabla_Items_Activos[[#This Row],[CODIGO]],Tabla_Items_Completos[[CODIGO]:[LINEA]],4,0)</f>
        <v>#N/A</v>
      </c>
      <c r="F239">
        <v>142</v>
      </c>
      <c r="G239">
        <v>0</v>
      </c>
    </row>
    <row r="240" spans="1:7">
      <c r="A240" t="s">
        <v>7388</v>
      </c>
      <c r="B240" t="s">
        <v>7627</v>
      </c>
      <c r="C240" s="1" t="e">
        <f>VLOOKUP(Tabla_Items_Activos[[#This Row],[CODIGO]],Tabla_Items_Completos[[CODIGO]:[LINEA]],2,0)</f>
        <v>#N/A</v>
      </c>
      <c r="D240" s="1" t="e">
        <f>VLOOKUP(Tabla_Items_Activos[[#This Row],[CODIGO]],Tabla_Items_Completos[[CODIGO]:[LINEA]],3,0)</f>
        <v>#N/A</v>
      </c>
      <c r="E240" s="1" t="e">
        <f>VLOOKUP(Tabla_Items_Activos[[#This Row],[CODIGO]],Tabla_Items_Completos[[CODIGO]:[LINEA]],4,0)</f>
        <v>#N/A</v>
      </c>
      <c r="F240">
        <v>90</v>
      </c>
      <c r="G240">
        <v>0</v>
      </c>
    </row>
    <row r="241" spans="1:7">
      <c r="A241" t="s">
        <v>7388</v>
      </c>
      <c r="B241" t="s">
        <v>7628</v>
      </c>
      <c r="C241" s="1" t="e">
        <f>VLOOKUP(Tabla_Items_Activos[[#This Row],[CODIGO]],Tabla_Items_Completos[[CODIGO]:[LINEA]],2,0)</f>
        <v>#N/A</v>
      </c>
      <c r="D241" s="1" t="e">
        <f>VLOOKUP(Tabla_Items_Activos[[#This Row],[CODIGO]],Tabla_Items_Completos[[CODIGO]:[LINEA]],3,0)</f>
        <v>#N/A</v>
      </c>
      <c r="E241" s="1" t="e">
        <f>VLOOKUP(Tabla_Items_Activos[[#This Row],[CODIGO]],Tabla_Items_Completos[[CODIGO]:[LINEA]],4,0)</f>
        <v>#N/A</v>
      </c>
      <c r="F241">
        <v>42</v>
      </c>
      <c r="G241">
        <v>118</v>
      </c>
    </row>
    <row r="242" spans="1:7">
      <c r="A242" t="s">
        <v>7388</v>
      </c>
      <c r="B242" t="s">
        <v>7629</v>
      </c>
      <c r="C242" s="1" t="e">
        <f>VLOOKUP(Tabla_Items_Activos[[#This Row],[CODIGO]],Tabla_Items_Completos[[CODIGO]:[LINEA]],2,0)</f>
        <v>#N/A</v>
      </c>
      <c r="D242" s="1" t="e">
        <f>VLOOKUP(Tabla_Items_Activos[[#This Row],[CODIGO]],Tabla_Items_Completos[[CODIGO]:[LINEA]],3,0)</f>
        <v>#N/A</v>
      </c>
      <c r="E242" s="1" t="e">
        <f>VLOOKUP(Tabla_Items_Activos[[#This Row],[CODIGO]],Tabla_Items_Completos[[CODIGO]:[LINEA]],4,0)</f>
        <v>#N/A</v>
      </c>
      <c r="F242">
        <v>65</v>
      </c>
      <c r="G242">
        <v>0</v>
      </c>
    </row>
    <row r="243" spans="1:7">
      <c r="A243" t="s">
        <v>7388</v>
      </c>
      <c r="B243" t="s">
        <v>7630</v>
      </c>
      <c r="C243" s="1" t="e">
        <f>VLOOKUP(Tabla_Items_Activos[[#This Row],[CODIGO]],Tabla_Items_Completos[[CODIGO]:[LINEA]],2,0)</f>
        <v>#N/A</v>
      </c>
      <c r="D243" s="1" t="e">
        <f>VLOOKUP(Tabla_Items_Activos[[#This Row],[CODIGO]],Tabla_Items_Completos[[CODIGO]:[LINEA]],3,0)</f>
        <v>#N/A</v>
      </c>
      <c r="E243" s="1" t="e">
        <f>VLOOKUP(Tabla_Items_Activos[[#This Row],[CODIGO]],Tabla_Items_Completos[[CODIGO]:[LINEA]],4,0)</f>
        <v>#N/A</v>
      </c>
      <c r="F243">
        <v>28</v>
      </c>
      <c r="G243">
        <v>215</v>
      </c>
    </row>
    <row r="244" spans="1:7">
      <c r="A244" t="s">
        <v>7388</v>
      </c>
      <c r="B244" t="s">
        <v>7631</v>
      </c>
      <c r="C244" s="1" t="e">
        <f>VLOOKUP(Tabla_Items_Activos[[#This Row],[CODIGO]],Tabla_Items_Completos[[CODIGO]:[LINEA]],2,0)</f>
        <v>#N/A</v>
      </c>
      <c r="D244" s="1" t="e">
        <f>VLOOKUP(Tabla_Items_Activos[[#This Row],[CODIGO]],Tabla_Items_Completos[[CODIGO]:[LINEA]],3,0)</f>
        <v>#N/A</v>
      </c>
      <c r="E244" s="1" t="e">
        <f>VLOOKUP(Tabla_Items_Activos[[#This Row],[CODIGO]],Tabla_Items_Completos[[CODIGO]:[LINEA]],4,0)</f>
        <v>#N/A</v>
      </c>
      <c r="F244">
        <v>21</v>
      </c>
      <c r="G244">
        <v>216</v>
      </c>
    </row>
    <row r="245" spans="1:7">
      <c r="A245" t="s">
        <v>7388</v>
      </c>
      <c r="B245" t="s">
        <v>7632</v>
      </c>
      <c r="C245" s="1" t="e">
        <f>VLOOKUP(Tabla_Items_Activos[[#This Row],[CODIGO]],Tabla_Items_Completos[[CODIGO]:[LINEA]],2,0)</f>
        <v>#N/A</v>
      </c>
      <c r="D245" s="1" t="e">
        <f>VLOOKUP(Tabla_Items_Activos[[#This Row],[CODIGO]],Tabla_Items_Completos[[CODIGO]:[LINEA]],3,0)</f>
        <v>#N/A</v>
      </c>
      <c r="E245" s="1" t="e">
        <f>VLOOKUP(Tabla_Items_Activos[[#This Row],[CODIGO]],Tabla_Items_Completos[[CODIGO]:[LINEA]],4,0)</f>
        <v>#N/A</v>
      </c>
      <c r="F245">
        <v>263</v>
      </c>
      <c r="G245">
        <v>0</v>
      </c>
    </row>
    <row r="246" spans="1:7">
      <c r="A246" t="s">
        <v>7388</v>
      </c>
      <c r="B246" t="s">
        <v>7633</v>
      </c>
      <c r="C246" s="1" t="e">
        <f>VLOOKUP(Tabla_Items_Activos[[#This Row],[CODIGO]],Tabla_Items_Completos[[CODIGO]:[LINEA]],2,0)</f>
        <v>#N/A</v>
      </c>
      <c r="D246" s="1" t="e">
        <f>VLOOKUP(Tabla_Items_Activos[[#This Row],[CODIGO]],Tabla_Items_Completos[[CODIGO]:[LINEA]],3,0)</f>
        <v>#N/A</v>
      </c>
      <c r="E246" s="1" t="e">
        <f>VLOOKUP(Tabla_Items_Activos[[#This Row],[CODIGO]],Tabla_Items_Completos[[CODIGO]:[LINEA]],4,0)</f>
        <v>#N/A</v>
      </c>
      <c r="F246">
        <v>169</v>
      </c>
      <c r="G246">
        <v>52</v>
      </c>
    </row>
    <row r="247" spans="1:7">
      <c r="A247" t="s">
        <v>7388</v>
      </c>
      <c r="B247" t="s">
        <v>7634</v>
      </c>
      <c r="C247" s="1" t="e">
        <f>VLOOKUP(Tabla_Items_Activos[[#This Row],[CODIGO]],Tabla_Items_Completos[[CODIGO]:[LINEA]],2,0)</f>
        <v>#N/A</v>
      </c>
      <c r="D247" s="1" t="e">
        <f>VLOOKUP(Tabla_Items_Activos[[#This Row],[CODIGO]],Tabla_Items_Completos[[CODIGO]:[LINEA]],3,0)</f>
        <v>#N/A</v>
      </c>
      <c r="E247" s="1" t="e">
        <f>VLOOKUP(Tabla_Items_Activos[[#This Row],[CODIGO]],Tabla_Items_Completos[[CODIGO]:[LINEA]],4,0)</f>
        <v>#N/A</v>
      </c>
      <c r="F247">
        <v>232</v>
      </c>
      <c r="G247">
        <v>0</v>
      </c>
    </row>
    <row r="248" spans="1:7">
      <c r="A248" t="s">
        <v>7388</v>
      </c>
      <c r="B248" t="s">
        <v>7635</v>
      </c>
      <c r="C248" s="1" t="e">
        <f>VLOOKUP(Tabla_Items_Activos[[#This Row],[CODIGO]],Tabla_Items_Completos[[CODIGO]:[LINEA]],2,0)</f>
        <v>#N/A</v>
      </c>
      <c r="D248" s="1" t="e">
        <f>VLOOKUP(Tabla_Items_Activos[[#This Row],[CODIGO]],Tabla_Items_Completos[[CODIGO]:[LINEA]],3,0)</f>
        <v>#N/A</v>
      </c>
      <c r="E248" s="1" t="e">
        <f>VLOOKUP(Tabla_Items_Activos[[#This Row],[CODIGO]],Tabla_Items_Completos[[CODIGO]:[LINEA]],4,0)</f>
        <v>#N/A</v>
      </c>
      <c r="F248">
        <v>115</v>
      </c>
      <c r="G248">
        <v>20</v>
      </c>
    </row>
    <row r="249" spans="1:7">
      <c r="A249" t="s">
        <v>7388</v>
      </c>
      <c r="B249" t="s">
        <v>7636</v>
      </c>
      <c r="C249" s="1" t="e">
        <f>VLOOKUP(Tabla_Items_Activos[[#This Row],[CODIGO]],Tabla_Items_Completos[[CODIGO]:[LINEA]],2,0)</f>
        <v>#N/A</v>
      </c>
      <c r="D249" s="1" t="e">
        <f>VLOOKUP(Tabla_Items_Activos[[#This Row],[CODIGO]],Tabla_Items_Completos[[CODIGO]:[LINEA]],3,0)</f>
        <v>#N/A</v>
      </c>
      <c r="E249" s="1" t="e">
        <f>VLOOKUP(Tabla_Items_Activos[[#This Row],[CODIGO]],Tabla_Items_Completos[[CODIGO]:[LINEA]],4,0)</f>
        <v>#N/A</v>
      </c>
      <c r="F249">
        <v>237</v>
      </c>
      <c r="G249">
        <v>0</v>
      </c>
    </row>
    <row r="250" spans="1:7">
      <c r="A250" t="s">
        <v>7388</v>
      </c>
      <c r="B250" t="s">
        <v>7637</v>
      </c>
      <c r="C250" s="1" t="e">
        <f>VLOOKUP(Tabla_Items_Activos[[#This Row],[CODIGO]],Tabla_Items_Completos[[CODIGO]:[LINEA]],2,0)</f>
        <v>#N/A</v>
      </c>
      <c r="D250" s="1" t="e">
        <f>VLOOKUP(Tabla_Items_Activos[[#This Row],[CODIGO]],Tabla_Items_Completos[[CODIGO]:[LINEA]],3,0)</f>
        <v>#N/A</v>
      </c>
      <c r="E250" s="1" t="e">
        <f>VLOOKUP(Tabla_Items_Activos[[#This Row],[CODIGO]],Tabla_Items_Completos[[CODIGO]:[LINEA]],4,0)</f>
        <v>#N/A</v>
      </c>
      <c r="F250">
        <v>200</v>
      </c>
      <c r="G250">
        <v>0</v>
      </c>
    </row>
    <row r="251" spans="1:7">
      <c r="A251" t="s">
        <v>7388</v>
      </c>
      <c r="B251" t="s">
        <v>7638</v>
      </c>
      <c r="C251" s="1" t="e">
        <f>VLOOKUP(Tabla_Items_Activos[[#This Row],[CODIGO]],Tabla_Items_Completos[[CODIGO]:[LINEA]],2,0)</f>
        <v>#N/A</v>
      </c>
      <c r="D251" s="1" t="e">
        <f>VLOOKUP(Tabla_Items_Activos[[#This Row],[CODIGO]],Tabla_Items_Completos[[CODIGO]:[LINEA]],3,0)</f>
        <v>#N/A</v>
      </c>
      <c r="E251" s="1" t="e">
        <f>VLOOKUP(Tabla_Items_Activos[[#This Row],[CODIGO]],Tabla_Items_Completos[[CODIGO]:[LINEA]],4,0)</f>
        <v>#N/A</v>
      </c>
      <c r="F251">
        <v>375</v>
      </c>
      <c r="G251">
        <v>0</v>
      </c>
    </row>
    <row r="252" spans="1:7">
      <c r="A252" t="s">
        <v>7388</v>
      </c>
      <c r="B252" t="s">
        <v>7639</v>
      </c>
      <c r="C252" s="1" t="e">
        <f>VLOOKUP(Tabla_Items_Activos[[#This Row],[CODIGO]],Tabla_Items_Completos[[CODIGO]:[LINEA]],2,0)</f>
        <v>#N/A</v>
      </c>
      <c r="D252" s="1" t="e">
        <f>VLOOKUP(Tabla_Items_Activos[[#This Row],[CODIGO]],Tabla_Items_Completos[[CODIGO]:[LINEA]],3,0)</f>
        <v>#N/A</v>
      </c>
      <c r="E252" s="1" t="e">
        <f>VLOOKUP(Tabla_Items_Activos[[#This Row],[CODIGO]],Tabla_Items_Completos[[CODIGO]:[LINEA]],4,0)</f>
        <v>#N/A</v>
      </c>
      <c r="F252">
        <v>189</v>
      </c>
      <c r="G252">
        <v>0</v>
      </c>
    </row>
    <row r="253" spans="1:7">
      <c r="A253" t="s">
        <v>7388</v>
      </c>
      <c r="B253" t="s">
        <v>7640</v>
      </c>
      <c r="C253" s="1" t="e">
        <f>VLOOKUP(Tabla_Items_Activos[[#This Row],[CODIGO]],Tabla_Items_Completos[[CODIGO]:[LINEA]],2,0)</f>
        <v>#N/A</v>
      </c>
      <c r="D253" s="1" t="e">
        <f>VLOOKUP(Tabla_Items_Activos[[#This Row],[CODIGO]],Tabla_Items_Completos[[CODIGO]:[LINEA]],3,0)</f>
        <v>#N/A</v>
      </c>
      <c r="E253" s="1" t="e">
        <f>VLOOKUP(Tabla_Items_Activos[[#This Row],[CODIGO]],Tabla_Items_Completos[[CODIGO]:[LINEA]],4,0)</f>
        <v>#N/A</v>
      </c>
      <c r="F253">
        <v>64</v>
      </c>
      <c r="G253">
        <v>10</v>
      </c>
    </row>
    <row r="254" spans="1:7">
      <c r="A254" t="s">
        <v>7388</v>
      </c>
      <c r="B254" t="s">
        <v>7641</v>
      </c>
      <c r="C254" s="1" t="e">
        <f>VLOOKUP(Tabla_Items_Activos[[#This Row],[CODIGO]],Tabla_Items_Completos[[CODIGO]:[LINEA]],2,0)</f>
        <v>#N/A</v>
      </c>
      <c r="D254" s="1" t="e">
        <f>VLOOKUP(Tabla_Items_Activos[[#This Row],[CODIGO]],Tabla_Items_Completos[[CODIGO]:[LINEA]],3,0)</f>
        <v>#N/A</v>
      </c>
      <c r="E254" s="1" t="e">
        <f>VLOOKUP(Tabla_Items_Activos[[#This Row],[CODIGO]],Tabla_Items_Completos[[CODIGO]:[LINEA]],4,0)</f>
        <v>#N/A</v>
      </c>
      <c r="F254">
        <v>53</v>
      </c>
      <c r="G254">
        <v>41</v>
      </c>
    </row>
    <row r="255" spans="1:7">
      <c r="A255" t="s">
        <v>7388</v>
      </c>
      <c r="B255" t="s">
        <v>7642</v>
      </c>
      <c r="C255" s="1" t="e">
        <f>VLOOKUP(Tabla_Items_Activos[[#This Row],[CODIGO]],Tabla_Items_Completos[[CODIGO]:[LINEA]],2,0)</f>
        <v>#N/A</v>
      </c>
      <c r="D255" s="1" t="e">
        <f>VLOOKUP(Tabla_Items_Activos[[#This Row],[CODIGO]],Tabla_Items_Completos[[CODIGO]:[LINEA]],3,0)</f>
        <v>#N/A</v>
      </c>
      <c r="E255" s="1" t="e">
        <f>VLOOKUP(Tabla_Items_Activos[[#This Row],[CODIGO]],Tabla_Items_Completos[[CODIGO]:[LINEA]],4,0)</f>
        <v>#N/A</v>
      </c>
      <c r="F255">
        <v>95</v>
      </c>
      <c r="G255">
        <v>22</v>
      </c>
    </row>
    <row r="256" spans="1:7">
      <c r="A256" t="s">
        <v>7388</v>
      </c>
      <c r="B256" t="s">
        <v>7643</v>
      </c>
      <c r="C256" s="1" t="e">
        <f>VLOOKUP(Tabla_Items_Activos[[#This Row],[CODIGO]],Tabla_Items_Completos[[CODIGO]:[LINEA]],2,0)</f>
        <v>#N/A</v>
      </c>
      <c r="D256" s="1" t="e">
        <f>VLOOKUP(Tabla_Items_Activos[[#This Row],[CODIGO]],Tabla_Items_Completos[[CODIGO]:[LINEA]],3,0)</f>
        <v>#N/A</v>
      </c>
      <c r="E256" s="1" t="e">
        <f>VLOOKUP(Tabla_Items_Activos[[#This Row],[CODIGO]],Tabla_Items_Completos[[CODIGO]:[LINEA]],4,0)</f>
        <v>#N/A</v>
      </c>
      <c r="F256">
        <v>279</v>
      </c>
      <c r="G256">
        <v>58</v>
      </c>
    </row>
    <row r="257" spans="1:7">
      <c r="A257" t="s">
        <v>7388</v>
      </c>
      <c r="B257" t="s">
        <v>7644</v>
      </c>
      <c r="C257" s="1" t="e">
        <f>VLOOKUP(Tabla_Items_Activos[[#This Row],[CODIGO]],Tabla_Items_Completos[[CODIGO]:[LINEA]],2,0)</f>
        <v>#N/A</v>
      </c>
      <c r="D257" s="1" t="e">
        <f>VLOOKUP(Tabla_Items_Activos[[#This Row],[CODIGO]],Tabla_Items_Completos[[CODIGO]:[LINEA]],3,0)</f>
        <v>#N/A</v>
      </c>
      <c r="E257" s="1" t="e">
        <f>VLOOKUP(Tabla_Items_Activos[[#This Row],[CODIGO]],Tabla_Items_Completos[[CODIGO]:[LINEA]],4,0)</f>
        <v>#N/A</v>
      </c>
      <c r="F257">
        <v>300</v>
      </c>
      <c r="G257">
        <v>79</v>
      </c>
    </row>
    <row r="258" spans="1:7">
      <c r="A258" t="s">
        <v>7388</v>
      </c>
      <c r="B258" t="s">
        <v>7645</v>
      </c>
      <c r="C258" s="1" t="e">
        <f>VLOOKUP(Tabla_Items_Activos[[#This Row],[CODIGO]],Tabla_Items_Completos[[CODIGO]:[LINEA]],2,0)</f>
        <v>#N/A</v>
      </c>
      <c r="D258" s="1" t="e">
        <f>VLOOKUP(Tabla_Items_Activos[[#This Row],[CODIGO]],Tabla_Items_Completos[[CODIGO]:[LINEA]],3,0)</f>
        <v>#N/A</v>
      </c>
      <c r="E258" s="1" t="e">
        <f>VLOOKUP(Tabla_Items_Activos[[#This Row],[CODIGO]],Tabla_Items_Completos[[CODIGO]:[LINEA]],4,0)</f>
        <v>#N/A</v>
      </c>
      <c r="F258">
        <v>489</v>
      </c>
      <c r="G258">
        <v>0</v>
      </c>
    </row>
    <row r="259" spans="1:7">
      <c r="A259" t="s">
        <v>7388</v>
      </c>
      <c r="B259" t="s">
        <v>7646</v>
      </c>
      <c r="C259" s="1" t="e">
        <f>VLOOKUP(Tabla_Items_Activos[[#This Row],[CODIGO]],Tabla_Items_Completos[[CODIGO]:[LINEA]],2,0)</f>
        <v>#N/A</v>
      </c>
      <c r="D259" s="1" t="e">
        <f>VLOOKUP(Tabla_Items_Activos[[#This Row],[CODIGO]],Tabla_Items_Completos[[CODIGO]:[LINEA]],3,0)</f>
        <v>#N/A</v>
      </c>
      <c r="E259" s="1" t="e">
        <f>VLOOKUP(Tabla_Items_Activos[[#This Row],[CODIGO]],Tabla_Items_Completos[[CODIGO]:[LINEA]],4,0)</f>
        <v>#N/A</v>
      </c>
      <c r="F259">
        <v>295</v>
      </c>
      <c r="G259">
        <v>54</v>
      </c>
    </row>
    <row r="260" spans="1:7">
      <c r="A260" t="s">
        <v>7388</v>
      </c>
      <c r="B260" t="s">
        <v>7647</v>
      </c>
      <c r="C260" s="1" t="e">
        <f>VLOOKUP(Tabla_Items_Activos[[#This Row],[CODIGO]],Tabla_Items_Completos[[CODIGO]:[LINEA]],2,0)</f>
        <v>#N/A</v>
      </c>
      <c r="D260" s="1" t="e">
        <f>VLOOKUP(Tabla_Items_Activos[[#This Row],[CODIGO]],Tabla_Items_Completos[[CODIGO]:[LINEA]],3,0)</f>
        <v>#N/A</v>
      </c>
      <c r="E260" s="1" t="e">
        <f>VLOOKUP(Tabla_Items_Activos[[#This Row],[CODIGO]],Tabla_Items_Completos[[CODIGO]:[LINEA]],4,0)</f>
        <v>#N/A</v>
      </c>
      <c r="F260">
        <v>79</v>
      </c>
      <c r="G260">
        <v>8</v>
      </c>
    </row>
    <row r="261" spans="1:7">
      <c r="A261" t="s">
        <v>7388</v>
      </c>
      <c r="B261" t="s">
        <v>7648</v>
      </c>
      <c r="C261" s="1" t="e">
        <f>VLOOKUP(Tabla_Items_Activos[[#This Row],[CODIGO]],Tabla_Items_Completos[[CODIGO]:[LINEA]],2,0)</f>
        <v>#N/A</v>
      </c>
      <c r="D261" s="1" t="e">
        <f>VLOOKUP(Tabla_Items_Activos[[#This Row],[CODIGO]],Tabla_Items_Completos[[CODIGO]:[LINEA]],3,0)</f>
        <v>#N/A</v>
      </c>
      <c r="E261" s="1" t="e">
        <f>VLOOKUP(Tabla_Items_Activos[[#This Row],[CODIGO]],Tabla_Items_Completos[[CODIGO]:[LINEA]],4,0)</f>
        <v>#N/A</v>
      </c>
      <c r="F261">
        <v>137</v>
      </c>
      <c r="G261">
        <v>0</v>
      </c>
    </row>
    <row r="262" spans="1:7">
      <c r="A262" t="s">
        <v>7388</v>
      </c>
      <c r="B262" t="s">
        <v>7649</v>
      </c>
      <c r="C262" s="1" t="e">
        <f>VLOOKUP(Tabla_Items_Activos[[#This Row],[CODIGO]],Tabla_Items_Completos[[CODIGO]:[LINEA]],2,0)</f>
        <v>#N/A</v>
      </c>
      <c r="D262" s="1" t="e">
        <f>VLOOKUP(Tabla_Items_Activos[[#This Row],[CODIGO]],Tabla_Items_Completos[[CODIGO]:[LINEA]],3,0)</f>
        <v>#N/A</v>
      </c>
      <c r="E262" s="1" t="e">
        <f>VLOOKUP(Tabla_Items_Activos[[#This Row],[CODIGO]],Tabla_Items_Completos[[CODIGO]:[LINEA]],4,0)</f>
        <v>#N/A</v>
      </c>
      <c r="F262">
        <v>58</v>
      </c>
      <c r="G262">
        <v>0</v>
      </c>
    </row>
    <row r="263" spans="1:7">
      <c r="A263" t="s">
        <v>7388</v>
      </c>
      <c r="B263" t="s">
        <v>7650</v>
      </c>
      <c r="C263" s="1" t="e">
        <f>VLOOKUP(Tabla_Items_Activos[[#This Row],[CODIGO]],Tabla_Items_Completos[[CODIGO]:[LINEA]],2,0)</f>
        <v>#N/A</v>
      </c>
      <c r="D263" s="1" t="e">
        <f>VLOOKUP(Tabla_Items_Activos[[#This Row],[CODIGO]],Tabla_Items_Completos[[CODIGO]:[LINEA]],3,0)</f>
        <v>#N/A</v>
      </c>
      <c r="E263" s="1" t="e">
        <f>VLOOKUP(Tabla_Items_Activos[[#This Row],[CODIGO]],Tabla_Items_Completos[[CODIGO]:[LINEA]],4,0)</f>
        <v>#N/A</v>
      </c>
      <c r="F263">
        <v>85</v>
      </c>
      <c r="G263">
        <v>13</v>
      </c>
    </row>
    <row r="264" spans="1:7">
      <c r="A264" t="s">
        <v>7388</v>
      </c>
      <c r="B264" t="s">
        <v>7651</v>
      </c>
      <c r="C264" s="1" t="e">
        <f>VLOOKUP(Tabla_Items_Activos[[#This Row],[CODIGO]],Tabla_Items_Completos[[CODIGO]:[LINEA]],2,0)</f>
        <v>#N/A</v>
      </c>
      <c r="D264" s="1" t="e">
        <f>VLOOKUP(Tabla_Items_Activos[[#This Row],[CODIGO]],Tabla_Items_Completos[[CODIGO]:[LINEA]],3,0)</f>
        <v>#N/A</v>
      </c>
      <c r="E264" s="1" t="e">
        <f>VLOOKUP(Tabla_Items_Activos[[#This Row],[CODIGO]],Tabla_Items_Completos[[CODIGO]:[LINEA]],4,0)</f>
        <v>#N/A</v>
      </c>
      <c r="F264">
        <v>120</v>
      </c>
      <c r="G264">
        <v>0</v>
      </c>
    </row>
    <row r="265" spans="1:7">
      <c r="A265" t="s">
        <v>7388</v>
      </c>
      <c r="B265" t="s">
        <v>7652</v>
      </c>
      <c r="C265" s="1" t="e">
        <f>VLOOKUP(Tabla_Items_Activos[[#This Row],[CODIGO]],Tabla_Items_Completos[[CODIGO]:[LINEA]],2,0)</f>
        <v>#N/A</v>
      </c>
      <c r="D265" s="1" t="e">
        <f>VLOOKUP(Tabla_Items_Activos[[#This Row],[CODIGO]],Tabla_Items_Completos[[CODIGO]:[LINEA]],3,0)</f>
        <v>#N/A</v>
      </c>
      <c r="E265" s="1" t="e">
        <f>VLOOKUP(Tabla_Items_Activos[[#This Row],[CODIGO]],Tabla_Items_Completos[[CODIGO]:[LINEA]],4,0)</f>
        <v>#N/A</v>
      </c>
      <c r="F265">
        <v>196</v>
      </c>
      <c r="G265">
        <v>0</v>
      </c>
    </row>
    <row r="266" spans="1:7">
      <c r="A266" t="s">
        <v>7388</v>
      </c>
      <c r="B266" t="s">
        <v>7653</v>
      </c>
      <c r="C266" s="1" t="e">
        <f>VLOOKUP(Tabla_Items_Activos[[#This Row],[CODIGO]],Tabla_Items_Completos[[CODIGO]:[LINEA]],2,0)</f>
        <v>#N/A</v>
      </c>
      <c r="D266" s="1" t="e">
        <f>VLOOKUP(Tabla_Items_Activos[[#This Row],[CODIGO]],Tabla_Items_Completos[[CODIGO]:[LINEA]],3,0)</f>
        <v>#N/A</v>
      </c>
      <c r="E266" s="1" t="e">
        <f>VLOOKUP(Tabla_Items_Activos[[#This Row],[CODIGO]],Tabla_Items_Completos[[CODIGO]:[LINEA]],4,0)</f>
        <v>#N/A</v>
      </c>
      <c r="F266">
        <v>38</v>
      </c>
      <c r="G266">
        <v>31</v>
      </c>
    </row>
    <row r="267" spans="1:7">
      <c r="A267" t="s">
        <v>7388</v>
      </c>
      <c r="B267" t="s">
        <v>7654</v>
      </c>
      <c r="C267" s="1" t="e">
        <f>VLOOKUP(Tabla_Items_Activos[[#This Row],[CODIGO]],Tabla_Items_Completos[[CODIGO]:[LINEA]],2,0)</f>
        <v>#N/A</v>
      </c>
      <c r="D267" s="1" t="e">
        <f>VLOOKUP(Tabla_Items_Activos[[#This Row],[CODIGO]],Tabla_Items_Completos[[CODIGO]:[LINEA]],3,0)</f>
        <v>#N/A</v>
      </c>
      <c r="E267" s="1" t="e">
        <f>VLOOKUP(Tabla_Items_Activos[[#This Row],[CODIGO]],Tabla_Items_Completos[[CODIGO]:[LINEA]],4,0)</f>
        <v>#N/A</v>
      </c>
      <c r="F267">
        <v>82</v>
      </c>
      <c r="G267">
        <v>0</v>
      </c>
    </row>
    <row r="268" spans="1:7">
      <c r="A268" t="s">
        <v>7388</v>
      </c>
      <c r="B268" t="s">
        <v>7655</v>
      </c>
      <c r="C268" s="1" t="e">
        <f>VLOOKUP(Tabla_Items_Activos[[#This Row],[CODIGO]],Tabla_Items_Completos[[CODIGO]:[LINEA]],2,0)</f>
        <v>#N/A</v>
      </c>
      <c r="D268" s="1" t="e">
        <f>VLOOKUP(Tabla_Items_Activos[[#This Row],[CODIGO]],Tabla_Items_Completos[[CODIGO]:[LINEA]],3,0)</f>
        <v>#N/A</v>
      </c>
      <c r="E268" s="1" t="e">
        <f>VLOOKUP(Tabla_Items_Activos[[#This Row],[CODIGO]],Tabla_Items_Completos[[CODIGO]:[LINEA]],4,0)</f>
        <v>#N/A</v>
      </c>
      <c r="F268">
        <v>65</v>
      </c>
      <c r="G268">
        <v>0</v>
      </c>
    </row>
    <row r="269" spans="1:7">
      <c r="A269" t="s">
        <v>7388</v>
      </c>
      <c r="B269" t="s">
        <v>7656</v>
      </c>
      <c r="C269" s="1" t="e">
        <f>VLOOKUP(Tabla_Items_Activos[[#This Row],[CODIGO]],Tabla_Items_Completos[[CODIGO]:[LINEA]],2,0)</f>
        <v>#N/A</v>
      </c>
      <c r="D269" s="1" t="e">
        <f>VLOOKUP(Tabla_Items_Activos[[#This Row],[CODIGO]],Tabla_Items_Completos[[CODIGO]:[LINEA]],3,0)</f>
        <v>#N/A</v>
      </c>
      <c r="E269" s="1" t="e">
        <f>VLOOKUP(Tabla_Items_Activos[[#This Row],[CODIGO]],Tabla_Items_Completos[[CODIGO]:[LINEA]],4,0)</f>
        <v>#N/A</v>
      </c>
      <c r="F269">
        <v>54</v>
      </c>
      <c r="G269">
        <v>13</v>
      </c>
    </row>
    <row r="270" spans="1:7">
      <c r="A270" t="s">
        <v>7388</v>
      </c>
      <c r="B270" t="s">
        <v>7657</v>
      </c>
      <c r="C270" s="1" t="e">
        <f>VLOOKUP(Tabla_Items_Activos[[#This Row],[CODIGO]],Tabla_Items_Completos[[CODIGO]:[LINEA]],2,0)</f>
        <v>#N/A</v>
      </c>
      <c r="D270" s="1" t="e">
        <f>VLOOKUP(Tabla_Items_Activos[[#This Row],[CODIGO]],Tabla_Items_Completos[[CODIGO]:[LINEA]],3,0)</f>
        <v>#N/A</v>
      </c>
      <c r="E270" s="1" t="e">
        <f>VLOOKUP(Tabla_Items_Activos[[#This Row],[CODIGO]],Tabla_Items_Completos[[CODIGO]:[LINEA]],4,0)</f>
        <v>#N/A</v>
      </c>
      <c r="F270">
        <v>85</v>
      </c>
      <c r="G270">
        <v>29</v>
      </c>
    </row>
    <row r="271" spans="1:7">
      <c r="A271" t="s">
        <v>7388</v>
      </c>
      <c r="B271" t="s">
        <v>7658</v>
      </c>
      <c r="C271" s="1" t="e">
        <f>VLOOKUP(Tabla_Items_Activos[[#This Row],[CODIGO]],Tabla_Items_Completos[[CODIGO]:[LINEA]],2,0)</f>
        <v>#N/A</v>
      </c>
      <c r="D271" s="1" t="e">
        <f>VLOOKUP(Tabla_Items_Activos[[#This Row],[CODIGO]],Tabla_Items_Completos[[CODIGO]:[LINEA]],3,0)</f>
        <v>#N/A</v>
      </c>
      <c r="E271" s="1" t="e">
        <f>VLOOKUP(Tabla_Items_Activos[[#This Row],[CODIGO]],Tabla_Items_Completos[[CODIGO]:[LINEA]],4,0)</f>
        <v>#N/A</v>
      </c>
      <c r="F271">
        <v>59</v>
      </c>
      <c r="G271">
        <v>17</v>
      </c>
    </row>
    <row r="272" spans="1:7">
      <c r="A272" t="s">
        <v>7388</v>
      </c>
      <c r="B272" t="s">
        <v>7659</v>
      </c>
      <c r="C272" s="1" t="e">
        <f>VLOOKUP(Tabla_Items_Activos[[#This Row],[CODIGO]],Tabla_Items_Completos[[CODIGO]:[LINEA]],2,0)</f>
        <v>#N/A</v>
      </c>
      <c r="D272" s="1" t="e">
        <f>VLOOKUP(Tabla_Items_Activos[[#This Row],[CODIGO]],Tabla_Items_Completos[[CODIGO]:[LINEA]],3,0)</f>
        <v>#N/A</v>
      </c>
      <c r="E272" s="1" t="e">
        <f>VLOOKUP(Tabla_Items_Activos[[#This Row],[CODIGO]],Tabla_Items_Completos[[CODIGO]:[LINEA]],4,0)</f>
        <v>#N/A</v>
      </c>
      <c r="F272">
        <v>175</v>
      </c>
      <c r="G272">
        <v>0</v>
      </c>
    </row>
    <row r="273" spans="1:7">
      <c r="A273" t="s">
        <v>7388</v>
      </c>
      <c r="B273" t="s">
        <v>7660</v>
      </c>
      <c r="C273" s="1" t="e">
        <f>VLOOKUP(Tabla_Items_Activos[[#This Row],[CODIGO]],Tabla_Items_Completos[[CODIGO]:[LINEA]],2,0)</f>
        <v>#N/A</v>
      </c>
      <c r="D273" s="1" t="e">
        <f>VLOOKUP(Tabla_Items_Activos[[#This Row],[CODIGO]],Tabla_Items_Completos[[CODIGO]:[LINEA]],3,0)</f>
        <v>#N/A</v>
      </c>
      <c r="E273" s="1" t="e">
        <f>VLOOKUP(Tabla_Items_Activos[[#This Row],[CODIGO]],Tabla_Items_Completos[[CODIGO]:[LINEA]],4,0)</f>
        <v>#N/A</v>
      </c>
      <c r="F273">
        <v>106</v>
      </c>
      <c r="G273">
        <v>0</v>
      </c>
    </row>
    <row r="274" spans="1:7">
      <c r="A274" t="s">
        <v>7388</v>
      </c>
      <c r="B274" t="s">
        <v>7661</v>
      </c>
      <c r="C274" s="1" t="e">
        <f>VLOOKUP(Tabla_Items_Activos[[#This Row],[CODIGO]],Tabla_Items_Completos[[CODIGO]:[LINEA]],2,0)</f>
        <v>#N/A</v>
      </c>
      <c r="D274" s="1" t="e">
        <f>VLOOKUP(Tabla_Items_Activos[[#This Row],[CODIGO]],Tabla_Items_Completos[[CODIGO]:[LINEA]],3,0)</f>
        <v>#N/A</v>
      </c>
      <c r="E274" s="1" t="e">
        <f>VLOOKUP(Tabla_Items_Activos[[#This Row],[CODIGO]],Tabla_Items_Completos[[CODIGO]:[LINEA]],4,0)</f>
        <v>#N/A</v>
      </c>
      <c r="F274">
        <v>106</v>
      </c>
      <c r="G274">
        <v>0</v>
      </c>
    </row>
    <row r="275" spans="1:7">
      <c r="A275" t="s">
        <v>7388</v>
      </c>
      <c r="B275" t="s">
        <v>7662</v>
      </c>
      <c r="C275" s="1" t="e">
        <f>VLOOKUP(Tabla_Items_Activos[[#This Row],[CODIGO]],Tabla_Items_Completos[[CODIGO]:[LINEA]],2,0)</f>
        <v>#N/A</v>
      </c>
      <c r="D275" s="1" t="e">
        <f>VLOOKUP(Tabla_Items_Activos[[#This Row],[CODIGO]],Tabla_Items_Completos[[CODIGO]:[LINEA]],3,0)</f>
        <v>#N/A</v>
      </c>
      <c r="E275" s="1" t="e">
        <f>VLOOKUP(Tabla_Items_Activos[[#This Row],[CODIGO]],Tabla_Items_Completos[[CODIGO]:[LINEA]],4,0)</f>
        <v>#N/A</v>
      </c>
      <c r="F275">
        <v>94</v>
      </c>
      <c r="G275">
        <v>10</v>
      </c>
    </row>
    <row r="276" spans="1:7">
      <c r="A276" t="s">
        <v>7388</v>
      </c>
      <c r="B276" t="s">
        <v>7663</v>
      </c>
      <c r="C276" s="1" t="e">
        <f>VLOOKUP(Tabla_Items_Activos[[#This Row],[CODIGO]],Tabla_Items_Completos[[CODIGO]:[LINEA]],2,0)</f>
        <v>#N/A</v>
      </c>
      <c r="D276" s="1" t="e">
        <f>VLOOKUP(Tabla_Items_Activos[[#This Row],[CODIGO]],Tabla_Items_Completos[[CODIGO]:[LINEA]],3,0)</f>
        <v>#N/A</v>
      </c>
      <c r="E276" s="1" t="e">
        <f>VLOOKUP(Tabla_Items_Activos[[#This Row],[CODIGO]],Tabla_Items_Completos[[CODIGO]:[LINEA]],4,0)</f>
        <v>#N/A</v>
      </c>
      <c r="F276">
        <v>116</v>
      </c>
      <c r="G276">
        <v>2</v>
      </c>
    </row>
    <row r="277" spans="1:7">
      <c r="A277" t="s">
        <v>7388</v>
      </c>
      <c r="B277" t="s">
        <v>7664</v>
      </c>
      <c r="C277" s="1" t="e">
        <f>VLOOKUP(Tabla_Items_Activos[[#This Row],[CODIGO]],Tabla_Items_Completos[[CODIGO]:[LINEA]],2,0)</f>
        <v>#N/A</v>
      </c>
      <c r="D277" s="1" t="e">
        <f>VLOOKUP(Tabla_Items_Activos[[#This Row],[CODIGO]],Tabla_Items_Completos[[CODIGO]:[LINEA]],3,0)</f>
        <v>#N/A</v>
      </c>
      <c r="E277" s="1" t="e">
        <f>VLOOKUP(Tabla_Items_Activos[[#This Row],[CODIGO]],Tabla_Items_Completos[[CODIGO]:[LINEA]],4,0)</f>
        <v>#N/A</v>
      </c>
      <c r="F277">
        <v>756</v>
      </c>
      <c r="G277">
        <v>9</v>
      </c>
    </row>
    <row r="278" spans="1:7">
      <c r="A278" t="s">
        <v>7388</v>
      </c>
      <c r="B278" t="s">
        <v>7665</v>
      </c>
      <c r="C278" s="1" t="e">
        <f>VLOOKUP(Tabla_Items_Activos[[#This Row],[CODIGO]],Tabla_Items_Completos[[CODIGO]:[LINEA]],2,0)</f>
        <v>#N/A</v>
      </c>
      <c r="D278" s="1" t="e">
        <f>VLOOKUP(Tabla_Items_Activos[[#This Row],[CODIGO]],Tabla_Items_Completos[[CODIGO]:[LINEA]],3,0)</f>
        <v>#N/A</v>
      </c>
      <c r="E278" s="1" t="e">
        <f>VLOOKUP(Tabla_Items_Activos[[#This Row],[CODIGO]],Tabla_Items_Completos[[CODIGO]:[LINEA]],4,0)</f>
        <v>#N/A</v>
      </c>
      <c r="F278">
        <v>300</v>
      </c>
      <c r="G278">
        <v>135</v>
      </c>
    </row>
    <row r="279" spans="1:7">
      <c r="A279" t="s">
        <v>7388</v>
      </c>
      <c r="B279" t="s">
        <v>7666</v>
      </c>
      <c r="C279" s="1" t="e">
        <f>VLOOKUP(Tabla_Items_Activos[[#This Row],[CODIGO]],Tabla_Items_Completos[[CODIGO]:[LINEA]],2,0)</f>
        <v>#N/A</v>
      </c>
      <c r="D279" s="1" t="e">
        <f>VLOOKUP(Tabla_Items_Activos[[#This Row],[CODIGO]],Tabla_Items_Completos[[CODIGO]:[LINEA]],3,0)</f>
        <v>#N/A</v>
      </c>
      <c r="E279" s="1" t="e">
        <f>VLOOKUP(Tabla_Items_Activos[[#This Row],[CODIGO]],Tabla_Items_Completos[[CODIGO]:[LINEA]],4,0)</f>
        <v>#N/A</v>
      </c>
      <c r="F279">
        <v>663</v>
      </c>
      <c r="G279">
        <v>123</v>
      </c>
    </row>
    <row r="280" spans="1:7">
      <c r="A280" t="s">
        <v>7388</v>
      </c>
      <c r="B280" t="s">
        <v>7667</v>
      </c>
      <c r="C280" s="1" t="e">
        <f>VLOOKUP(Tabla_Items_Activos[[#This Row],[CODIGO]],Tabla_Items_Completos[[CODIGO]:[LINEA]],2,0)</f>
        <v>#N/A</v>
      </c>
      <c r="D280" s="1" t="e">
        <f>VLOOKUP(Tabla_Items_Activos[[#This Row],[CODIGO]],Tabla_Items_Completos[[CODIGO]:[LINEA]],3,0)</f>
        <v>#N/A</v>
      </c>
      <c r="E280" s="1" t="e">
        <f>VLOOKUP(Tabla_Items_Activos[[#This Row],[CODIGO]],Tabla_Items_Completos[[CODIGO]:[LINEA]],4,0)</f>
        <v>#N/A</v>
      </c>
      <c r="F280">
        <v>58</v>
      </c>
      <c r="G280">
        <v>2</v>
      </c>
    </row>
    <row r="281" spans="1:7">
      <c r="A281" t="s">
        <v>7388</v>
      </c>
      <c r="B281" t="s">
        <v>7668</v>
      </c>
      <c r="C281" s="1" t="e">
        <f>VLOOKUP(Tabla_Items_Activos[[#This Row],[CODIGO]],Tabla_Items_Completos[[CODIGO]:[LINEA]],2,0)</f>
        <v>#N/A</v>
      </c>
      <c r="D281" s="1" t="e">
        <f>VLOOKUP(Tabla_Items_Activos[[#This Row],[CODIGO]],Tabla_Items_Completos[[CODIGO]:[LINEA]],3,0)</f>
        <v>#N/A</v>
      </c>
      <c r="E281" s="1" t="e">
        <f>VLOOKUP(Tabla_Items_Activos[[#This Row],[CODIGO]],Tabla_Items_Completos[[CODIGO]:[LINEA]],4,0)</f>
        <v>#N/A</v>
      </c>
      <c r="F281">
        <v>43</v>
      </c>
      <c r="G281">
        <v>7</v>
      </c>
    </row>
    <row r="282" spans="1:7">
      <c r="A282" t="s">
        <v>7388</v>
      </c>
      <c r="B282" t="s">
        <v>7669</v>
      </c>
      <c r="C282" s="1" t="e">
        <f>VLOOKUP(Tabla_Items_Activos[[#This Row],[CODIGO]],Tabla_Items_Completos[[CODIGO]:[LINEA]],2,0)</f>
        <v>#N/A</v>
      </c>
      <c r="D282" s="1" t="e">
        <f>VLOOKUP(Tabla_Items_Activos[[#This Row],[CODIGO]],Tabla_Items_Completos[[CODIGO]:[LINEA]],3,0)</f>
        <v>#N/A</v>
      </c>
      <c r="E282" s="1" t="e">
        <f>VLOOKUP(Tabla_Items_Activos[[#This Row],[CODIGO]],Tabla_Items_Completos[[CODIGO]:[LINEA]],4,0)</f>
        <v>#N/A</v>
      </c>
      <c r="F282">
        <v>53</v>
      </c>
      <c r="G282">
        <v>0</v>
      </c>
    </row>
    <row r="283" spans="1:7">
      <c r="A283" t="s">
        <v>7388</v>
      </c>
      <c r="B283" t="s">
        <v>7670</v>
      </c>
      <c r="C283" s="1" t="e">
        <f>VLOOKUP(Tabla_Items_Activos[[#This Row],[CODIGO]],Tabla_Items_Completos[[CODIGO]:[LINEA]],2,0)</f>
        <v>#N/A</v>
      </c>
      <c r="D283" s="1" t="e">
        <f>VLOOKUP(Tabla_Items_Activos[[#This Row],[CODIGO]],Tabla_Items_Completos[[CODIGO]:[LINEA]],3,0)</f>
        <v>#N/A</v>
      </c>
      <c r="E283" s="1" t="e">
        <f>VLOOKUP(Tabla_Items_Activos[[#This Row],[CODIGO]],Tabla_Items_Completos[[CODIGO]:[LINEA]],4,0)</f>
        <v>#N/A</v>
      </c>
      <c r="F283">
        <v>242</v>
      </c>
      <c r="G283">
        <v>0</v>
      </c>
    </row>
    <row r="284" spans="1:7">
      <c r="A284" t="s">
        <v>7388</v>
      </c>
      <c r="B284" t="s">
        <v>7671</v>
      </c>
      <c r="C284" s="1" t="e">
        <f>VLOOKUP(Tabla_Items_Activos[[#This Row],[CODIGO]],Tabla_Items_Completos[[CODIGO]:[LINEA]],2,0)</f>
        <v>#N/A</v>
      </c>
      <c r="D284" s="1" t="e">
        <f>VLOOKUP(Tabla_Items_Activos[[#This Row],[CODIGO]],Tabla_Items_Completos[[CODIGO]:[LINEA]],3,0)</f>
        <v>#N/A</v>
      </c>
      <c r="E284" s="1" t="e">
        <f>VLOOKUP(Tabla_Items_Activos[[#This Row],[CODIGO]],Tabla_Items_Completos[[CODIGO]:[LINEA]],4,0)</f>
        <v>#N/A</v>
      </c>
      <c r="F284">
        <v>269</v>
      </c>
      <c r="G284">
        <v>121</v>
      </c>
    </row>
    <row r="285" spans="1:7">
      <c r="A285" t="s">
        <v>7388</v>
      </c>
      <c r="B285" t="s">
        <v>7672</v>
      </c>
      <c r="C285" s="1" t="e">
        <f>VLOOKUP(Tabla_Items_Activos[[#This Row],[CODIGO]],Tabla_Items_Completos[[CODIGO]:[LINEA]],2,0)</f>
        <v>#N/A</v>
      </c>
      <c r="D285" s="1" t="e">
        <f>VLOOKUP(Tabla_Items_Activos[[#This Row],[CODIGO]],Tabla_Items_Completos[[CODIGO]:[LINEA]],3,0)</f>
        <v>#N/A</v>
      </c>
      <c r="E285" s="1" t="e">
        <f>VLOOKUP(Tabla_Items_Activos[[#This Row],[CODIGO]],Tabla_Items_Completos[[CODIGO]:[LINEA]],4,0)</f>
        <v>#N/A</v>
      </c>
      <c r="F285">
        <v>347</v>
      </c>
      <c r="G285">
        <v>55</v>
      </c>
    </row>
    <row r="286" spans="1:7">
      <c r="A286" t="s">
        <v>7388</v>
      </c>
      <c r="B286" t="s">
        <v>7673</v>
      </c>
      <c r="C286" s="1" t="e">
        <f>VLOOKUP(Tabla_Items_Activos[[#This Row],[CODIGO]],Tabla_Items_Completos[[CODIGO]:[LINEA]],2,0)</f>
        <v>#N/A</v>
      </c>
      <c r="D286" s="1" t="e">
        <f>VLOOKUP(Tabla_Items_Activos[[#This Row],[CODIGO]],Tabla_Items_Completos[[CODIGO]:[LINEA]],3,0)</f>
        <v>#N/A</v>
      </c>
      <c r="E286" s="1" t="e">
        <f>VLOOKUP(Tabla_Items_Activos[[#This Row],[CODIGO]],Tabla_Items_Completos[[CODIGO]:[LINEA]],4,0)</f>
        <v>#N/A</v>
      </c>
      <c r="F286">
        <v>221</v>
      </c>
      <c r="G286">
        <v>95</v>
      </c>
    </row>
    <row r="287" spans="1:7">
      <c r="A287" t="s">
        <v>7388</v>
      </c>
      <c r="B287" t="s">
        <v>7674</v>
      </c>
      <c r="C287" s="1" t="e">
        <f>VLOOKUP(Tabla_Items_Activos[[#This Row],[CODIGO]],Tabla_Items_Completos[[CODIGO]:[LINEA]],2,0)</f>
        <v>#N/A</v>
      </c>
      <c r="D287" s="1" t="e">
        <f>VLOOKUP(Tabla_Items_Activos[[#This Row],[CODIGO]],Tabla_Items_Completos[[CODIGO]:[LINEA]],3,0)</f>
        <v>#N/A</v>
      </c>
      <c r="E287" s="1" t="e">
        <f>VLOOKUP(Tabla_Items_Activos[[#This Row],[CODIGO]],Tabla_Items_Completos[[CODIGO]:[LINEA]],4,0)</f>
        <v>#N/A</v>
      </c>
      <c r="F287">
        <v>363</v>
      </c>
      <c r="G287">
        <v>0</v>
      </c>
    </row>
    <row r="288" spans="1:7">
      <c r="A288" t="s">
        <v>7388</v>
      </c>
      <c r="B288" t="s">
        <v>7675</v>
      </c>
      <c r="C288" s="1" t="e">
        <f>VLOOKUP(Tabla_Items_Activos[[#This Row],[CODIGO]],Tabla_Items_Completos[[CODIGO]:[LINEA]],2,0)</f>
        <v>#N/A</v>
      </c>
      <c r="D288" s="1" t="e">
        <f>VLOOKUP(Tabla_Items_Activos[[#This Row],[CODIGO]],Tabla_Items_Completos[[CODIGO]:[LINEA]],3,0)</f>
        <v>#N/A</v>
      </c>
      <c r="E288" s="1" t="e">
        <f>VLOOKUP(Tabla_Items_Activos[[#This Row],[CODIGO]],Tabla_Items_Completos[[CODIGO]:[LINEA]],4,0)</f>
        <v>#N/A</v>
      </c>
      <c r="F288">
        <v>279</v>
      </c>
      <c r="G288">
        <v>85</v>
      </c>
    </row>
    <row r="289" spans="1:7">
      <c r="A289" t="s">
        <v>7388</v>
      </c>
      <c r="B289" t="s">
        <v>7676</v>
      </c>
      <c r="C289" s="1" t="e">
        <f>VLOOKUP(Tabla_Items_Activos[[#This Row],[CODIGO]],Tabla_Items_Completos[[CODIGO]:[LINEA]],2,0)</f>
        <v>#N/A</v>
      </c>
      <c r="D289" s="1" t="e">
        <f>VLOOKUP(Tabla_Items_Activos[[#This Row],[CODIGO]],Tabla_Items_Completos[[CODIGO]:[LINEA]],3,0)</f>
        <v>#N/A</v>
      </c>
      <c r="E289" s="1" t="e">
        <f>VLOOKUP(Tabla_Items_Activos[[#This Row],[CODIGO]],Tabla_Items_Completos[[CODIGO]:[LINEA]],4,0)</f>
        <v>#N/A</v>
      </c>
      <c r="F289">
        <v>138</v>
      </c>
      <c r="G289">
        <v>3</v>
      </c>
    </row>
    <row r="290" spans="1:7">
      <c r="A290" t="s">
        <v>7388</v>
      </c>
      <c r="B290" t="s">
        <v>7677</v>
      </c>
      <c r="C290" s="1" t="e">
        <f>VLOOKUP(Tabla_Items_Activos[[#This Row],[CODIGO]],Tabla_Items_Completos[[CODIGO]:[LINEA]],2,0)</f>
        <v>#N/A</v>
      </c>
      <c r="D290" s="1" t="e">
        <f>VLOOKUP(Tabla_Items_Activos[[#This Row],[CODIGO]],Tabla_Items_Completos[[CODIGO]:[LINEA]],3,0)</f>
        <v>#N/A</v>
      </c>
      <c r="E290" s="1" t="e">
        <f>VLOOKUP(Tabla_Items_Activos[[#This Row],[CODIGO]],Tabla_Items_Completos[[CODIGO]:[LINEA]],4,0)</f>
        <v>#N/A</v>
      </c>
      <c r="F290">
        <v>93</v>
      </c>
      <c r="G290">
        <v>0</v>
      </c>
    </row>
    <row r="291" spans="1:7">
      <c r="A291" t="s">
        <v>7388</v>
      </c>
      <c r="B291" t="s">
        <v>7678</v>
      </c>
      <c r="C291" s="1" t="e">
        <f>VLOOKUP(Tabla_Items_Activos[[#This Row],[CODIGO]],Tabla_Items_Completos[[CODIGO]:[LINEA]],2,0)</f>
        <v>#N/A</v>
      </c>
      <c r="D291" s="1" t="e">
        <f>VLOOKUP(Tabla_Items_Activos[[#This Row],[CODIGO]],Tabla_Items_Completos[[CODIGO]:[LINEA]],3,0)</f>
        <v>#N/A</v>
      </c>
      <c r="E291" s="1" t="e">
        <f>VLOOKUP(Tabla_Items_Activos[[#This Row],[CODIGO]],Tabla_Items_Completos[[CODIGO]:[LINEA]],4,0)</f>
        <v>#N/A</v>
      </c>
      <c r="F291">
        <v>79</v>
      </c>
      <c r="G291">
        <v>1</v>
      </c>
    </row>
    <row r="292" spans="1:7">
      <c r="A292" t="s">
        <v>7388</v>
      </c>
      <c r="B292" t="s">
        <v>7679</v>
      </c>
      <c r="C292" s="1" t="e">
        <f>VLOOKUP(Tabla_Items_Activos[[#This Row],[CODIGO]],Tabla_Items_Completos[[CODIGO]:[LINEA]],2,0)</f>
        <v>#N/A</v>
      </c>
      <c r="D292" s="1" t="e">
        <f>VLOOKUP(Tabla_Items_Activos[[#This Row],[CODIGO]],Tabla_Items_Completos[[CODIGO]:[LINEA]],3,0)</f>
        <v>#N/A</v>
      </c>
      <c r="E292" s="1" t="e">
        <f>VLOOKUP(Tabla_Items_Activos[[#This Row],[CODIGO]],Tabla_Items_Completos[[CODIGO]:[LINEA]],4,0)</f>
        <v>#N/A</v>
      </c>
      <c r="F292">
        <v>85</v>
      </c>
      <c r="G292">
        <v>0</v>
      </c>
    </row>
    <row r="293" spans="1:7">
      <c r="A293" t="s">
        <v>7388</v>
      </c>
      <c r="B293" t="s">
        <v>7680</v>
      </c>
      <c r="C293" s="1" t="e">
        <f>VLOOKUP(Tabla_Items_Activos[[#This Row],[CODIGO]],Tabla_Items_Completos[[CODIGO]:[LINEA]],2,0)</f>
        <v>#N/A</v>
      </c>
      <c r="D293" s="1" t="e">
        <f>VLOOKUP(Tabla_Items_Activos[[#This Row],[CODIGO]],Tabla_Items_Completos[[CODIGO]:[LINEA]],3,0)</f>
        <v>#N/A</v>
      </c>
      <c r="E293" s="1" t="e">
        <f>VLOOKUP(Tabla_Items_Activos[[#This Row],[CODIGO]],Tabla_Items_Completos[[CODIGO]:[LINEA]],4,0)</f>
        <v>#N/A</v>
      </c>
      <c r="F293">
        <v>49</v>
      </c>
      <c r="G293">
        <v>18</v>
      </c>
    </row>
    <row r="294" spans="1:7">
      <c r="A294" t="s">
        <v>7388</v>
      </c>
      <c r="B294" t="s">
        <v>7681</v>
      </c>
      <c r="C294" s="1" t="e">
        <f>VLOOKUP(Tabla_Items_Activos[[#This Row],[CODIGO]],Tabla_Items_Completos[[CODIGO]:[LINEA]],2,0)</f>
        <v>#N/A</v>
      </c>
      <c r="D294" s="1" t="e">
        <f>VLOOKUP(Tabla_Items_Activos[[#This Row],[CODIGO]],Tabla_Items_Completos[[CODIGO]:[LINEA]],3,0)</f>
        <v>#N/A</v>
      </c>
      <c r="E294" s="1" t="e">
        <f>VLOOKUP(Tabla_Items_Activos[[#This Row],[CODIGO]],Tabla_Items_Completos[[CODIGO]:[LINEA]],4,0)</f>
        <v>#N/A</v>
      </c>
      <c r="F294">
        <v>2</v>
      </c>
      <c r="G294">
        <v>92</v>
      </c>
    </row>
    <row r="295" spans="1:7">
      <c r="A295" t="s">
        <v>7388</v>
      </c>
      <c r="B295" t="s">
        <v>7682</v>
      </c>
      <c r="C295" s="1" t="e">
        <f>VLOOKUP(Tabla_Items_Activos[[#This Row],[CODIGO]],Tabla_Items_Completos[[CODIGO]:[LINEA]],2,0)</f>
        <v>#N/A</v>
      </c>
      <c r="D295" s="1" t="e">
        <f>VLOOKUP(Tabla_Items_Activos[[#This Row],[CODIGO]],Tabla_Items_Completos[[CODIGO]:[LINEA]],3,0)</f>
        <v>#N/A</v>
      </c>
      <c r="E295" s="1" t="e">
        <f>VLOOKUP(Tabla_Items_Activos[[#This Row],[CODIGO]],Tabla_Items_Completos[[CODIGO]:[LINEA]],4,0)</f>
        <v>#N/A</v>
      </c>
      <c r="F295">
        <v>74</v>
      </c>
      <c r="G295">
        <v>186</v>
      </c>
    </row>
    <row r="296" spans="1:7">
      <c r="A296" t="s">
        <v>7388</v>
      </c>
      <c r="B296" t="s">
        <v>7683</v>
      </c>
      <c r="C296" s="1" t="e">
        <f>VLOOKUP(Tabla_Items_Activos[[#This Row],[CODIGO]],Tabla_Items_Completos[[CODIGO]:[LINEA]],2,0)</f>
        <v>#N/A</v>
      </c>
      <c r="D296" s="1" t="e">
        <f>VLOOKUP(Tabla_Items_Activos[[#This Row],[CODIGO]],Tabla_Items_Completos[[CODIGO]:[LINEA]],3,0)</f>
        <v>#N/A</v>
      </c>
      <c r="E296" s="1" t="e">
        <f>VLOOKUP(Tabla_Items_Activos[[#This Row],[CODIGO]],Tabla_Items_Completos[[CODIGO]:[LINEA]],4,0)</f>
        <v>#N/A</v>
      </c>
      <c r="F296">
        <v>50</v>
      </c>
      <c r="G296">
        <v>58</v>
      </c>
    </row>
    <row r="297" spans="1:7">
      <c r="A297" t="s">
        <v>7388</v>
      </c>
      <c r="B297" t="s">
        <v>7684</v>
      </c>
      <c r="C297" s="1" t="e">
        <f>VLOOKUP(Tabla_Items_Activos[[#This Row],[CODIGO]],Tabla_Items_Completos[[CODIGO]:[LINEA]],2,0)</f>
        <v>#N/A</v>
      </c>
      <c r="D297" s="1" t="e">
        <f>VLOOKUP(Tabla_Items_Activos[[#This Row],[CODIGO]],Tabla_Items_Completos[[CODIGO]:[LINEA]],3,0)</f>
        <v>#N/A</v>
      </c>
      <c r="E297" s="1" t="e">
        <f>VLOOKUP(Tabla_Items_Activos[[#This Row],[CODIGO]],Tabla_Items_Completos[[CODIGO]:[LINEA]],4,0)</f>
        <v>#N/A</v>
      </c>
      <c r="F297">
        <v>961</v>
      </c>
      <c r="G297">
        <v>2</v>
      </c>
    </row>
    <row r="298" spans="1:7">
      <c r="A298" t="s">
        <v>7388</v>
      </c>
      <c r="B298" t="s">
        <v>7685</v>
      </c>
      <c r="C298" s="1" t="e">
        <f>VLOOKUP(Tabla_Items_Activos[[#This Row],[CODIGO]],Tabla_Items_Completos[[CODIGO]:[LINEA]],2,0)</f>
        <v>#N/A</v>
      </c>
      <c r="D298" s="1" t="e">
        <f>VLOOKUP(Tabla_Items_Activos[[#This Row],[CODIGO]],Tabla_Items_Completos[[CODIGO]:[LINEA]],3,0)</f>
        <v>#N/A</v>
      </c>
      <c r="E298" s="1" t="e">
        <f>VLOOKUP(Tabla_Items_Activos[[#This Row],[CODIGO]],Tabla_Items_Completos[[CODIGO]:[LINEA]],4,0)</f>
        <v>#N/A</v>
      </c>
      <c r="F298">
        <v>421</v>
      </c>
      <c r="G298">
        <v>0</v>
      </c>
    </row>
    <row r="299" spans="1:7">
      <c r="A299" t="s">
        <v>7388</v>
      </c>
      <c r="B299" t="s">
        <v>7686</v>
      </c>
      <c r="C299" s="1" t="e">
        <f>VLOOKUP(Tabla_Items_Activos[[#This Row],[CODIGO]],Tabla_Items_Completos[[CODIGO]:[LINEA]],2,0)</f>
        <v>#N/A</v>
      </c>
      <c r="D299" s="1" t="e">
        <f>VLOOKUP(Tabla_Items_Activos[[#This Row],[CODIGO]],Tabla_Items_Completos[[CODIGO]:[LINEA]],3,0)</f>
        <v>#N/A</v>
      </c>
      <c r="E299" s="1" t="e">
        <f>VLOOKUP(Tabla_Items_Activos[[#This Row],[CODIGO]],Tabla_Items_Completos[[CODIGO]:[LINEA]],4,0)</f>
        <v>#N/A</v>
      </c>
      <c r="F299">
        <v>756</v>
      </c>
      <c r="G299">
        <v>0</v>
      </c>
    </row>
    <row r="300" spans="1:7">
      <c r="A300" t="s">
        <v>7388</v>
      </c>
      <c r="B300" t="s">
        <v>7687</v>
      </c>
      <c r="C300" s="1" t="e">
        <f>VLOOKUP(Tabla_Items_Activos[[#This Row],[CODIGO]],Tabla_Items_Completos[[CODIGO]:[LINEA]],2,0)</f>
        <v>#N/A</v>
      </c>
      <c r="D300" s="1" t="e">
        <f>VLOOKUP(Tabla_Items_Activos[[#This Row],[CODIGO]],Tabla_Items_Completos[[CODIGO]:[LINEA]],3,0)</f>
        <v>#N/A</v>
      </c>
      <c r="E300" s="1" t="e">
        <f>VLOOKUP(Tabla_Items_Activos[[#This Row],[CODIGO]],Tabla_Items_Completos[[CODIGO]:[LINEA]],4,0)</f>
        <v>#N/A</v>
      </c>
      <c r="F300">
        <v>515</v>
      </c>
      <c r="G300">
        <v>0</v>
      </c>
    </row>
    <row r="301" spans="1:7">
      <c r="A301" t="s">
        <v>7388</v>
      </c>
      <c r="B301" t="s">
        <v>7688</v>
      </c>
      <c r="C301" s="1" t="e">
        <f>VLOOKUP(Tabla_Items_Activos[[#This Row],[CODIGO]],Tabla_Items_Completos[[CODIGO]:[LINEA]],2,0)</f>
        <v>#N/A</v>
      </c>
      <c r="D301" s="1" t="e">
        <f>VLOOKUP(Tabla_Items_Activos[[#This Row],[CODIGO]],Tabla_Items_Completos[[CODIGO]:[LINEA]],3,0)</f>
        <v>#N/A</v>
      </c>
      <c r="E301" s="1" t="e">
        <f>VLOOKUP(Tabla_Items_Activos[[#This Row],[CODIGO]],Tabla_Items_Completos[[CODIGO]:[LINEA]],4,0)</f>
        <v>#N/A</v>
      </c>
      <c r="F301">
        <v>345</v>
      </c>
      <c r="G301">
        <v>65</v>
      </c>
    </row>
    <row r="302" spans="1:7">
      <c r="A302" t="s">
        <v>7388</v>
      </c>
      <c r="B302" t="s">
        <v>7689</v>
      </c>
      <c r="C302" s="1" t="e">
        <f>VLOOKUP(Tabla_Items_Activos[[#This Row],[CODIGO]],Tabla_Items_Completos[[CODIGO]:[LINEA]],2,0)</f>
        <v>#N/A</v>
      </c>
      <c r="D302" s="1" t="e">
        <f>VLOOKUP(Tabla_Items_Activos[[#This Row],[CODIGO]],Tabla_Items_Completos[[CODIGO]:[LINEA]],3,0)</f>
        <v>#N/A</v>
      </c>
      <c r="E302" s="1" t="e">
        <f>VLOOKUP(Tabla_Items_Activos[[#This Row],[CODIGO]],Tabla_Items_Completos[[CODIGO]:[LINEA]],4,0)</f>
        <v>#N/A</v>
      </c>
      <c r="F302">
        <v>79</v>
      </c>
      <c r="G302">
        <v>19</v>
      </c>
    </row>
    <row r="303" spans="1:7">
      <c r="A303" t="s">
        <v>7388</v>
      </c>
      <c r="B303" t="s">
        <v>7690</v>
      </c>
      <c r="C303" s="1" t="e">
        <f>VLOOKUP(Tabla_Items_Activos[[#This Row],[CODIGO]],Tabla_Items_Completos[[CODIGO]:[LINEA]],2,0)</f>
        <v>#N/A</v>
      </c>
      <c r="D303" s="1" t="e">
        <f>VLOOKUP(Tabla_Items_Activos[[#This Row],[CODIGO]],Tabla_Items_Completos[[CODIGO]:[LINEA]],3,0)</f>
        <v>#N/A</v>
      </c>
      <c r="E303" s="1" t="e">
        <f>VLOOKUP(Tabla_Items_Activos[[#This Row],[CODIGO]],Tabla_Items_Completos[[CODIGO]:[LINEA]],4,0)</f>
        <v>#N/A</v>
      </c>
      <c r="F303">
        <v>87</v>
      </c>
      <c r="G303">
        <v>121</v>
      </c>
    </row>
    <row r="304" spans="1:7">
      <c r="A304" t="s">
        <v>7388</v>
      </c>
      <c r="B304" t="s">
        <v>7691</v>
      </c>
      <c r="C304" s="1" t="e">
        <f>VLOOKUP(Tabla_Items_Activos[[#This Row],[CODIGO]],Tabla_Items_Completos[[CODIGO]:[LINEA]],2,0)</f>
        <v>#N/A</v>
      </c>
      <c r="D304" s="1" t="e">
        <f>VLOOKUP(Tabla_Items_Activos[[#This Row],[CODIGO]],Tabla_Items_Completos[[CODIGO]:[LINEA]],3,0)</f>
        <v>#N/A</v>
      </c>
      <c r="E304" s="1" t="e">
        <f>VLOOKUP(Tabla_Items_Activos[[#This Row],[CODIGO]],Tabla_Items_Completos[[CODIGO]:[LINEA]],4,0)</f>
        <v>#N/A</v>
      </c>
      <c r="F304">
        <v>219</v>
      </c>
      <c r="G304">
        <v>54</v>
      </c>
    </row>
    <row r="305" spans="1:7">
      <c r="A305" t="s">
        <v>7388</v>
      </c>
      <c r="B305" t="s">
        <v>7692</v>
      </c>
      <c r="C305" s="1" t="e">
        <f>VLOOKUP(Tabla_Items_Activos[[#This Row],[CODIGO]],Tabla_Items_Completos[[CODIGO]:[LINEA]],2,0)</f>
        <v>#N/A</v>
      </c>
      <c r="D305" s="1" t="e">
        <f>VLOOKUP(Tabla_Items_Activos[[#This Row],[CODIGO]],Tabla_Items_Completos[[CODIGO]:[LINEA]],3,0)</f>
        <v>#N/A</v>
      </c>
      <c r="E305" s="1" t="e">
        <f>VLOOKUP(Tabla_Items_Activos[[#This Row],[CODIGO]],Tabla_Items_Completos[[CODIGO]:[LINEA]],4,0)</f>
        <v>#N/A</v>
      </c>
      <c r="F305">
        <v>74</v>
      </c>
      <c r="G305">
        <v>99</v>
      </c>
    </row>
    <row r="306" spans="1:7">
      <c r="A306" t="s">
        <v>7388</v>
      </c>
      <c r="B306" t="s">
        <v>7693</v>
      </c>
      <c r="C306" s="1" t="e">
        <f>VLOOKUP(Tabla_Items_Activos[[#This Row],[CODIGO]],Tabla_Items_Completos[[CODIGO]:[LINEA]],2,0)</f>
        <v>#N/A</v>
      </c>
      <c r="D306" s="1" t="e">
        <f>VLOOKUP(Tabla_Items_Activos[[#This Row],[CODIGO]],Tabla_Items_Completos[[CODIGO]:[LINEA]],3,0)</f>
        <v>#N/A</v>
      </c>
      <c r="E306" s="1" t="e">
        <f>VLOOKUP(Tabla_Items_Activos[[#This Row],[CODIGO]],Tabla_Items_Completos[[CODIGO]:[LINEA]],4,0)</f>
        <v>#N/A</v>
      </c>
      <c r="F306">
        <v>122</v>
      </c>
      <c r="G306">
        <v>0</v>
      </c>
    </row>
    <row r="307" spans="1:7">
      <c r="A307" t="s">
        <v>7388</v>
      </c>
      <c r="B307" t="s">
        <v>7694</v>
      </c>
      <c r="C307" s="1" t="e">
        <f>VLOOKUP(Tabla_Items_Activos[[#This Row],[CODIGO]],Tabla_Items_Completos[[CODIGO]:[LINEA]],2,0)</f>
        <v>#N/A</v>
      </c>
      <c r="D307" s="1" t="e">
        <f>VLOOKUP(Tabla_Items_Activos[[#This Row],[CODIGO]],Tabla_Items_Completos[[CODIGO]:[LINEA]],3,0)</f>
        <v>#N/A</v>
      </c>
      <c r="E307" s="1" t="e">
        <f>VLOOKUP(Tabla_Items_Activos[[#This Row],[CODIGO]],Tabla_Items_Completos[[CODIGO]:[LINEA]],4,0)</f>
        <v>#N/A</v>
      </c>
      <c r="F307">
        <v>37</v>
      </c>
      <c r="G307">
        <v>30</v>
      </c>
    </row>
    <row r="308" spans="1:7">
      <c r="A308" t="s">
        <v>7388</v>
      </c>
      <c r="B308" t="s">
        <v>7695</v>
      </c>
      <c r="C308" s="1" t="e">
        <f>VLOOKUP(Tabla_Items_Activos[[#This Row],[CODIGO]],Tabla_Items_Completos[[CODIGO]:[LINEA]],2,0)</f>
        <v>#N/A</v>
      </c>
      <c r="D308" s="1" t="e">
        <f>VLOOKUP(Tabla_Items_Activos[[#This Row],[CODIGO]],Tabla_Items_Completos[[CODIGO]:[LINEA]],3,0)</f>
        <v>#N/A</v>
      </c>
      <c r="E308" s="1" t="e">
        <f>VLOOKUP(Tabla_Items_Activos[[#This Row],[CODIGO]],Tabla_Items_Completos[[CODIGO]:[LINEA]],4,0)</f>
        <v>#N/A</v>
      </c>
      <c r="F308">
        <v>106</v>
      </c>
      <c r="G308">
        <v>33</v>
      </c>
    </row>
    <row r="309" spans="1:7">
      <c r="A309" t="s">
        <v>7388</v>
      </c>
      <c r="B309" t="s">
        <v>7696</v>
      </c>
      <c r="C309" s="1" t="e">
        <f>VLOOKUP(Tabla_Items_Activos[[#This Row],[CODIGO]],Tabla_Items_Completos[[CODIGO]:[LINEA]],2,0)</f>
        <v>#N/A</v>
      </c>
      <c r="D309" s="1" t="e">
        <f>VLOOKUP(Tabla_Items_Activos[[#This Row],[CODIGO]],Tabla_Items_Completos[[CODIGO]:[LINEA]],3,0)</f>
        <v>#N/A</v>
      </c>
      <c r="E309" s="1" t="e">
        <f>VLOOKUP(Tabla_Items_Activos[[#This Row],[CODIGO]],Tabla_Items_Completos[[CODIGO]:[LINEA]],4,0)</f>
        <v>#N/A</v>
      </c>
      <c r="F309">
        <v>40</v>
      </c>
      <c r="G309">
        <v>68</v>
      </c>
    </row>
    <row r="310" spans="1:7">
      <c r="A310" t="s">
        <v>7388</v>
      </c>
      <c r="B310" t="s">
        <v>7697</v>
      </c>
      <c r="C310" s="1" t="e">
        <f>VLOOKUP(Tabla_Items_Activos[[#This Row],[CODIGO]],Tabla_Items_Completos[[CODIGO]:[LINEA]],2,0)</f>
        <v>#N/A</v>
      </c>
      <c r="D310" s="1" t="e">
        <f>VLOOKUP(Tabla_Items_Activos[[#This Row],[CODIGO]],Tabla_Items_Completos[[CODIGO]:[LINEA]],3,0)</f>
        <v>#N/A</v>
      </c>
      <c r="E310" s="1" t="e">
        <f>VLOOKUP(Tabla_Items_Activos[[#This Row],[CODIGO]],Tabla_Items_Completos[[CODIGO]:[LINEA]],4,0)</f>
        <v>#N/A</v>
      </c>
      <c r="F310">
        <v>37</v>
      </c>
      <c r="G310">
        <v>20</v>
      </c>
    </row>
    <row r="311" spans="1:7">
      <c r="A311" t="s">
        <v>7388</v>
      </c>
      <c r="B311" t="s">
        <v>7698</v>
      </c>
      <c r="C311" s="1" t="e">
        <f>VLOOKUP(Tabla_Items_Activos[[#This Row],[CODIGO]],Tabla_Items_Completos[[CODIGO]:[LINEA]],2,0)</f>
        <v>#N/A</v>
      </c>
      <c r="D311" s="1" t="e">
        <f>VLOOKUP(Tabla_Items_Activos[[#This Row],[CODIGO]],Tabla_Items_Completos[[CODIGO]:[LINEA]],3,0)</f>
        <v>#N/A</v>
      </c>
      <c r="E311" s="1" t="e">
        <f>VLOOKUP(Tabla_Items_Activos[[#This Row],[CODIGO]],Tabla_Items_Completos[[CODIGO]:[LINEA]],4,0)</f>
        <v>#N/A</v>
      </c>
      <c r="F311">
        <v>284</v>
      </c>
      <c r="G311">
        <v>0</v>
      </c>
    </row>
    <row r="312" spans="1:7">
      <c r="A312" t="s">
        <v>7388</v>
      </c>
      <c r="B312" t="s">
        <v>7699</v>
      </c>
      <c r="C312" s="1" t="e">
        <f>VLOOKUP(Tabla_Items_Activos[[#This Row],[CODIGO]],Tabla_Items_Completos[[CODIGO]:[LINEA]],2,0)</f>
        <v>#N/A</v>
      </c>
      <c r="D312" s="1" t="e">
        <f>VLOOKUP(Tabla_Items_Activos[[#This Row],[CODIGO]],Tabla_Items_Completos[[CODIGO]:[LINEA]],3,0)</f>
        <v>#N/A</v>
      </c>
      <c r="E312" s="1" t="e">
        <f>VLOOKUP(Tabla_Items_Activos[[#This Row],[CODIGO]],Tabla_Items_Completos[[CODIGO]:[LINEA]],4,0)</f>
        <v>#N/A</v>
      </c>
      <c r="F312">
        <v>509</v>
      </c>
      <c r="G312">
        <v>28</v>
      </c>
    </row>
    <row r="313" spans="1:7">
      <c r="A313" t="s">
        <v>7388</v>
      </c>
      <c r="B313" t="s">
        <v>7700</v>
      </c>
      <c r="C313" s="1" t="e">
        <f>VLOOKUP(Tabla_Items_Activos[[#This Row],[CODIGO]],Tabla_Items_Completos[[CODIGO]:[LINEA]],2,0)</f>
        <v>#N/A</v>
      </c>
      <c r="D313" s="1" t="e">
        <f>VLOOKUP(Tabla_Items_Activos[[#This Row],[CODIGO]],Tabla_Items_Completos[[CODIGO]:[LINEA]],3,0)</f>
        <v>#N/A</v>
      </c>
      <c r="E313" s="1" t="e">
        <f>VLOOKUP(Tabla_Items_Activos[[#This Row],[CODIGO]],Tabla_Items_Completos[[CODIGO]:[LINEA]],4,0)</f>
        <v>#N/A</v>
      </c>
      <c r="F313">
        <v>610</v>
      </c>
      <c r="G313">
        <v>0</v>
      </c>
    </row>
    <row r="314" spans="1:7">
      <c r="A314" t="s">
        <v>7388</v>
      </c>
      <c r="B314" t="s">
        <v>7701</v>
      </c>
      <c r="C314" s="1" t="e">
        <f>VLOOKUP(Tabla_Items_Activos[[#This Row],[CODIGO]],Tabla_Items_Completos[[CODIGO]:[LINEA]],2,0)</f>
        <v>#N/A</v>
      </c>
      <c r="D314" s="1" t="e">
        <f>VLOOKUP(Tabla_Items_Activos[[#This Row],[CODIGO]],Tabla_Items_Completos[[CODIGO]:[LINEA]],3,0)</f>
        <v>#N/A</v>
      </c>
      <c r="E314" s="1" t="e">
        <f>VLOOKUP(Tabla_Items_Activos[[#This Row],[CODIGO]],Tabla_Items_Completos[[CODIGO]:[LINEA]],4,0)</f>
        <v>#N/A</v>
      </c>
      <c r="F314">
        <v>270</v>
      </c>
      <c r="G314">
        <v>34</v>
      </c>
    </row>
    <row r="315" spans="1:7">
      <c r="A315" t="s">
        <v>7388</v>
      </c>
      <c r="B315" t="s">
        <v>7702</v>
      </c>
      <c r="C315" s="1" t="e">
        <f>VLOOKUP(Tabla_Items_Activos[[#This Row],[CODIGO]],Tabla_Items_Completos[[CODIGO]:[LINEA]],2,0)</f>
        <v>#N/A</v>
      </c>
      <c r="D315" s="1" t="e">
        <f>VLOOKUP(Tabla_Items_Activos[[#This Row],[CODIGO]],Tabla_Items_Completos[[CODIGO]:[LINEA]],3,0)</f>
        <v>#N/A</v>
      </c>
      <c r="E315" s="1" t="e">
        <f>VLOOKUP(Tabla_Items_Activos[[#This Row],[CODIGO]],Tabla_Items_Completos[[CODIGO]:[LINEA]],4,0)</f>
        <v>#N/A</v>
      </c>
      <c r="F315">
        <v>127</v>
      </c>
      <c r="G315">
        <v>0</v>
      </c>
    </row>
    <row r="316" spans="1:7">
      <c r="A316" t="s">
        <v>7388</v>
      </c>
      <c r="B316" t="s">
        <v>7703</v>
      </c>
      <c r="C316" s="1" t="e">
        <f>VLOOKUP(Tabla_Items_Activos[[#This Row],[CODIGO]],Tabla_Items_Completos[[CODIGO]:[LINEA]],2,0)</f>
        <v>#N/A</v>
      </c>
      <c r="D316" s="1" t="e">
        <f>VLOOKUP(Tabla_Items_Activos[[#This Row],[CODIGO]],Tabla_Items_Completos[[CODIGO]:[LINEA]],3,0)</f>
        <v>#N/A</v>
      </c>
      <c r="E316" s="1" t="e">
        <f>VLOOKUP(Tabla_Items_Activos[[#This Row],[CODIGO]],Tabla_Items_Completos[[CODIGO]:[LINEA]],4,0)</f>
        <v>#N/A</v>
      </c>
      <c r="F316">
        <v>188</v>
      </c>
      <c r="G316">
        <v>0</v>
      </c>
    </row>
    <row r="317" spans="1:7">
      <c r="A317" t="s">
        <v>7388</v>
      </c>
      <c r="B317" t="s">
        <v>7704</v>
      </c>
      <c r="C317" s="1" t="e">
        <f>VLOOKUP(Tabla_Items_Activos[[#This Row],[CODIGO]],Tabla_Items_Completos[[CODIGO]:[LINEA]],2,0)</f>
        <v>#N/A</v>
      </c>
      <c r="D317" s="1" t="e">
        <f>VLOOKUP(Tabla_Items_Activos[[#This Row],[CODIGO]],Tabla_Items_Completos[[CODIGO]:[LINEA]],3,0)</f>
        <v>#N/A</v>
      </c>
      <c r="E317" s="1" t="e">
        <f>VLOOKUP(Tabla_Items_Activos[[#This Row],[CODIGO]],Tabla_Items_Completos[[CODIGO]:[LINEA]],4,0)</f>
        <v>#N/A</v>
      </c>
      <c r="F317">
        <v>200</v>
      </c>
      <c r="G317">
        <v>0</v>
      </c>
    </row>
    <row r="318" spans="1:7">
      <c r="A318" t="s">
        <v>7388</v>
      </c>
      <c r="B318" t="s">
        <v>7705</v>
      </c>
      <c r="C318" s="1" t="e">
        <f>VLOOKUP(Tabla_Items_Activos[[#This Row],[CODIGO]],Tabla_Items_Completos[[CODIGO]:[LINEA]],2,0)</f>
        <v>#N/A</v>
      </c>
      <c r="D318" s="1" t="e">
        <f>VLOOKUP(Tabla_Items_Activos[[#This Row],[CODIGO]],Tabla_Items_Completos[[CODIGO]:[LINEA]],3,0)</f>
        <v>#N/A</v>
      </c>
      <c r="E318" s="1" t="e">
        <f>VLOOKUP(Tabla_Items_Activos[[#This Row],[CODIGO]],Tabla_Items_Completos[[CODIGO]:[LINEA]],4,0)</f>
        <v>#N/A</v>
      </c>
      <c r="F318">
        <v>52</v>
      </c>
      <c r="G318">
        <v>99</v>
      </c>
    </row>
    <row r="319" spans="1:7">
      <c r="A319" t="s">
        <v>7388</v>
      </c>
      <c r="B319" t="s">
        <v>7706</v>
      </c>
      <c r="C319" s="1" t="e">
        <f>VLOOKUP(Tabla_Items_Activos[[#This Row],[CODIGO]],Tabla_Items_Completos[[CODIGO]:[LINEA]],2,0)</f>
        <v>#N/A</v>
      </c>
      <c r="D319" s="1" t="e">
        <f>VLOOKUP(Tabla_Items_Activos[[#This Row],[CODIGO]],Tabla_Items_Completos[[CODIGO]:[LINEA]],3,0)</f>
        <v>#N/A</v>
      </c>
      <c r="E319" s="1" t="e">
        <f>VLOOKUP(Tabla_Items_Activos[[#This Row],[CODIGO]],Tabla_Items_Completos[[CODIGO]:[LINEA]],4,0)</f>
        <v>#N/A</v>
      </c>
      <c r="F319">
        <v>123</v>
      </c>
      <c r="G319">
        <v>77</v>
      </c>
    </row>
    <row r="320" spans="1:7">
      <c r="A320" t="s">
        <v>7388</v>
      </c>
      <c r="B320" t="s">
        <v>7707</v>
      </c>
      <c r="C320" s="1" t="e">
        <f>VLOOKUP(Tabla_Items_Activos[[#This Row],[CODIGO]],Tabla_Items_Completos[[CODIGO]:[LINEA]],2,0)</f>
        <v>#N/A</v>
      </c>
      <c r="D320" s="1" t="e">
        <f>VLOOKUP(Tabla_Items_Activos[[#This Row],[CODIGO]],Tabla_Items_Completos[[CODIGO]:[LINEA]],3,0)</f>
        <v>#N/A</v>
      </c>
      <c r="E320" s="1" t="e">
        <f>VLOOKUP(Tabla_Items_Activos[[#This Row],[CODIGO]],Tabla_Items_Completos[[CODIGO]:[LINEA]],4,0)</f>
        <v>#N/A</v>
      </c>
      <c r="F320">
        <v>134</v>
      </c>
      <c r="G320">
        <v>155</v>
      </c>
    </row>
    <row r="321" spans="1:7">
      <c r="A321" t="s">
        <v>7388</v>
      </c>
      <c r="B321" t="s">
        <v>7708</v>
      </c>
      <c r="C321" s="1" t="e">
        <f>VLOOKUP(Tabla_Items_Activos[[#This Row],[CODIGO]],Tabla_Items_Completos[[CODIGO]:[LINEA]],2,0)</f>
        <v>#N/A</v>
      </c>
      <c r="D321" s="1" t="e">
        <f>VLOOKUP(Tabla_Items_Activos[[#This Row],[CODIGO]],Tabla_Items_Completos[[CODIGO]:[LINEA]],3,0)</f>
        <v>#N/A</v>
      </c>
      <c r="E321" s="1" t="e">
        <f>VLOOKUP(Tabla_Items_Activos[[#This Row],[CODIGO]],Tabla_Items_Completos[[CODIGO]:[LINEA]],4,0)</f>
        <v>#N/A</v>
      </c>
      <c r="F321">
        <v>122</v>
      </c>
      <c r="G321">
        <v>79</v>
      </c>
    </row>
    <row r="322" spans="1:7">
      <c r="A322" t="s">
        <v>7388</v>
      </c>
      <c r="B322" t="s">
        <v>7709</v>
      </c>
      <c r="C322" s="1" t="e">
        <f>VLOOKUP(Tabla_Items_Activos[[#This Row],[CODIGO]],Tabla_Items_Completos[[CODIGO]:[LINEA]],2,0)</f>
        <v>#N/A</v>
      </c>
      <c r="D322" s="1" t="e">
        <f>VLOOKUP(Tabla_Items_Activos[[#This Row],[CODIGO]],Tabla_Items_Completos[[CODIGO]:[LINEA]],3,0)</f>
        <v>#N/A</v>
      </c>
      <c r="E322" s="1" t="e">
        <f>VLOOKUP(Tabla_Items_Activos[[#This Row],[CODIGO]],Tabla_Items_Completos[[CODIGO]:[LINEA]],4,0)</f>
        <v>#N/A</v>
      </c>
      <c r="F322">
        <v>42</v>
      </c>
      <c r="G322">
        <v>104</v>
      </c>
    </row>
    <row r="323" spans="1:7">
      <c r="A323" t="s">
        <v>7388</v>
      </c>
      <c r="B323" t="s">
        <v>7710</v>
      </c>
      <c r="C323" s="1" t="e">
        <f>VLOOKUP(Tabla_Items_Activos[[#This Row],[CODIGO]],Tabla_Items_Completos[[CODIGO]:[LINEA]],2,0)</f>
        <v>#N/A</v>
      </c>
      <c r="D323" s="1" t="e">
        <f>VLOOKUP(Tabla_Items_Activos[[#This Row],[CODIGO]],Tabla_Items_Completos[[CODIGO]:[LINEA]],3,0)</f>
        <v>#N/A</v>
      </c>
      <c r="E323" s="1" t="e">
        <f>VLOOKUP(Tabla_Items_Activos[[#This Row],[CODIGO]],Tabla_Items_Completos[[CODIGO]:[LINEA]],4,0)</f>
        <v>#N/A</v>
      </c>
      <c r="F323">
        <v>86</v>
      </c>
      <c r="G323">
        <v>101</v>
      </c>
    </row>
    <row r="324" spans="1:7">
      <c r="A324" t="s">
        <v>7388</v>
      </c>
      <c r="B324" t="s">
        <v>7711</v>
      </c>
      <c r="C324" s="1" t="e">
        <f>VLOOKUP(Tabla_Items_Activos[[#This Row],[CODIGO]],Tabla_Items_Completos[[CODIGO]:[LINEA]],2,0)</f>
        <v>#N/A</v>
      </c>
      <c r="D324" s="1" t="e">
        <f>VLOOKUP(Tabla_Items_Activos[[#This Row],[CODIGO]],Tabla_Items_Completos[[CODIGO]:[LINEA]],3,0)</f>
        <v>#N/A</v>
      </c>
      <c r="E324" s="1" t="e">
        <f>VLOOKUP(Tabla_Items_Activos[[#This Row],[CODIGO]],Tabla_Items_Completos[[CODIGO]:[LINEA]],4,0)</f>
        <v>#N/A</v>
      </c>
      <c r="F324">
        <v>108</v>
      </c>
      <c r="G324">
        <v>174</v>
      </c>
    </row>
    <row r="325" spans="1:7">
      <c r="A325" t="s">
        <v>7388</v>
      </c>
      <c r="B325" t="s">
        <v>7712</v>
      </c>
      <c r="C325" s="1" t="e">
        <f>VLOOKUP(Tabla_Items_Activos[[#This Row],[CODIGO]],Tabla_Items_Completos[[CODIGO]:[LINEA]],2,0)</f>
        <v>#N/A</v>
      </c>
      <c r="D325" s="1" t="e">
        <f>VLOOKUP(Tabla_Items_Activos[[#This Row],[CODIGO]],Tabla_Items_Completos[[CODIGO]:[LINEA]],3,0)</f>
        <v>#N/A</v>
      </c>
      <c r="E325" s="1" t="e">
        <f>VLOOKUP(Tabla_Items_Activos[[#This Row],[CODIGO]],Tabla_Items_Completos[[CODIGO]:[LINEA]],4,0)</f>
        <v>#N/A</v>
      </c>
      <c r="F325">
        <v>122</v>
      </c>
      <c r="G325">
        <v>92</v>
      </c>
    </row>
    <row r="326" spans="1:7">
      <c r="A326" t="s">
        <v>7388</v>
      </c>
      <c r="B326" t="s">
        <v>7713</v>
      </c>
      <c r="C326" s="1" t="e">
        <f>VLOOKUP(Tabla_Items_Activos[[#This Row],[CODIGO]],Tabla_Items_Completos[[CODIGO]:[LINEA]],2,0)</f>
        <v>#N/A</v>
      </c>
      <c r="D326" s="1" t="e">
        <f>VLOOKUP(Tabla_Items_Activos[[#This Row],[CODIGO]],Tabla_Items_Completos[[CODIGO]:[LINEA]],3,0)</f>
        <v>#N/A</v>
      </c>
      <c r="E326" s="1" t="e">
        <f>VLOOKUP(Tabla_Items_Activos[[#This Row],[CODIGO]],Tabla_Items_Completos[[CODIGO]:[LINEA]],4,0)</f>
        <v>#N/A</v>
      </c>
      <c r="F326">
        <v>20</v>
      </c>
      <c r="G326">
        <v>68</v>
      </c>
    </row>
    <row r="327" spans="1:7">
      <c r="A327" t="s">
        <v>7388</v>
      </c>
      <c r="B327" t="s">
        <v>7714</v>
      </c>
      <c r="C327" s="1" t="e">
        <f>VLOOKUP(Tabla_Items_Activos[[#This Row],[CODIGO]],Tabla_Items_Completos[[CODIGO]:[LINEA]],2,0)</f>
        <v>#N/A</v>
      </c>
      <c r="D327" s="1" t="e">
        <f>VLOOKUP(Tabla_Items_Activos[[#This Row],[CODIGO]],Tabla_Items_Completos[[CODIGO]:[LINEA]],3,0)</f>
        <v>#N/A</v>
      </c>
      <c r="E327" s="1" t="e">
        <f>VLOOKUP(Tabla_Items_Activos[[#This Row],[CODIGO]],Tabla_Items_Completos[[CODIGO]:[LINEA]],4,0)</f>
        <v>#N/A</v>
      </c>
      <c r="F327">
        <v>16</v>
      </c>
      <c r="G327">
        <v>34</v>
      </c>
    </row>
    <row r="328" spans="1:7">
      <c r="A328" t="s">
        <v>7388</v>
      </c>
      <c r="B328" t="s">
        <v>7715</v>
      </c>
      <c r="C328" s="1" t="e">
        <f>VLOOKUP(Tabla_Items_Activos[[#This Row],[CODIGO]],Tabla_Items_Completos[[CODIGO]:[LINEA]],2,0)</f>
        <v>#N/A</v>
      </c>
      <c r="D328" s="1" t="e">
        <f>VLOOKUP(Tabla_Items_Activos[[#This Row],[CODIGO]],Tabla_Items_Completos[[CODIGO]:[LINEA]],3,0)</f>
        <v>#N/A</v>
      </c>
      <c r="E328" s="1" t="e">
        <f>VLOOKUP(Tabla_Items_Activos[[#This Row],[CODIGO]],Tabla_Items_Completos[[CODIGO]:[LINEA]],4,0)</f>
        <v>#N/A</v>
      </c>
      <c r="F328">
        <v>20</v>
      </c>
      <c r="G328">
        <v>32</v>
      </c>
    </row>
    <row r="329" spans="1:7">
      <c r="A329" t="s">
        <v>7388</v>
      </c>
      <c r="B329" t="s">
        <v>7716</v>
      </c>
      <c r="C329" s="1" t="e">
        <f>VLOOKUP(Tabla_Items_Activos[[#This Row],[CODIGO]],Tabla_Items_Completos[[CODIGO]:[LINEA]],2,0)</f>
        <v>#N/A</v>
      </c>
      <c r="D329" s="1" t="e">
        <f>VLOOKUP(Tabla_Items_Activos[[#This Row],[CODIGO]],Tabla_Items_Completos[[CODIGO]:[LINEA]],3,0)</f>
        <v>#N/A</v>
      </c>
      <c r="E329" s="1" t="e">
        <f>VLOOKUP(Tabla_Items_Activos[[#This Row],[CODIGO]],Tabla_Items_Completos[[CODIGO]:[LINEA]],4,0)</f>
        <v>#N/A</v>
      </c>
      <c r="F329">
        <v>20</v>
      </c>
      <c r="G329">
        <v>50</v>
      </c>
    </row>
    <row r="330" spans="1:7">
      <c r="A330" t="s">
        <v>7388</v>
      </c>
      <c r="B330" t="s">
        <v>7717</v>
      </c>
      <c r="C330" s="1" t="e">
        <f>VLOOKUP(Tabla_Items_Activos[[#This Row],[CODIGO]],Tabla_Items_Completos[[CODIGO]:[LINEA]],2,0)</f>
        <v>#N/A</v>
      </c>
      <c r="D330" s="1" t="e">
        <f>VLOOKUP(Tabla_Items_Activos[[#This Row],[CODIGO]],Tabla_Items_Completos[[CODIGO]:[LINEA]],3,0)</f>
        <v>#N/A</v>
      </c>
      <c r="E330" s="1" t="e">
        <f>VLOOKUP(Tabla_Items_Activos[[#This Row],[CODIGO]],Tabla_Items_Completos[[CODIGO]:[LINEA]],4,0)</f>
        <v>#N/A</v>
      </c>
      <c r="F330">
        <v>16</v>
      </c>
      <c r="G330">
        <v>57</v>
      </c>
    </row>
    <row r="331" spans="1:7">
      <c r="A331" t="s">
        <v>7388</v>
      </c>
      <c r="B331" t="s">
        <v>7718</v>
      </c>
      <c r="C331" s="1" t="e">
        <f>VLOOKUP(Tabla_Items_Activos[[#This Row],[CODIGO]],Tabla_Items_Completos[[CODIGO]:[LINEA]],2,0)</f>
        <v>#N/A</v>
      </c>
      <c r="D331" s="1" t="e">
        <f>VLOOKUP(Tabla_Items_Activos[[#This Row],[CODIGO]],Tabla_Items_Completos[[CODIGO]:[LINEA]],3,0)</f>
        <v>#N/A</v>
      </c>
      <c r="E331" s="1" t="e">
        <f>VLOOKUP(Tabla_Items_Activos[[#This Row],[CODIGO]],Tabla_Items_Completos[[CODIGO]:[LINEA]],4,0)</f>
        <v>#N/A</v>
      </c>
      <c r="F331">
        <v>18</v>
      </c>
      <c r="G331">
        <v>46</v>
      </c>
    </row>
    <row r="332" spans="1:7">
      <c r="A332" t="s">
        <v>7388</v>
      </c>
      <c r="B332" t="s">
        <v>7719</v>
      </c>
      <c r="C332" s="1" t="e">
        <f>VLOOKUP(Tabla_Items_Activos[[#This Row],[CODIGO]],Tabla_Items_Completos[[CODIGO]:[LINEA]],2,0)</f>
        <v>#N/A</v>
      </c>
      <c r="D332" s="1" t="e">
        <f>VLOOKUP(Tabla_Items_Activos[[#This Row],[CODIGO]],Tabla_Items_Completos[[CODIGO]:[LINEA]],3,0)</f>
        <v>#N/A</v>
      </c>
      <c r="E332" s="1" t="e">
        <f>VLOOKUP(Tabla_Items_Activos[[#This Row],[CODIGO]],Tabla_Items_Completos[[CODIGO]:[LINEA]],4,0)</f>
        <v>#N/A</v>
      </c>
      <c r="F332">
        <v>2</v>
      </c>
      <c r="G332">
        <v>0</v>
      </c>
    </row>
    <row r="333" spans="1:7">
      <c r="A333" t="s">
        <v>7388</v>
      </c>
      <c r="B333" t="s">
        <v>7720</v>
      </c>
      <c r="C333" s="1" t="e">
        <f>VLOOKUP(Tabla_Items_Activos[[#This Row],[CODIGO]],Tabla_Items_Completos[[CODIGO]:[LINEA]],2,0)</f>
        <v>#N/A</v>
      </c>
      <c r="D333" s="1" t="e">
        <f>VLOOKUP(Tabla_Items_Activos[[#This Row],[CODIGO]],Tabla_Items_Completos[[CODIGO]:[LINEA]],3,0)</f>
        <v>#N/A</v>
      </c>
      <c r="E333" s="1" t="e">
        <f>VLOOKUP(Tabla_Items_Activos[[#This Row],[CODIGO]],Tabla_Items_Completos[[CODIGO]:[LINEA]],4,0)</f>
        <v>#N/A</v>
      </c>
      <c r="F333">
        <v>823</v>
      </c>
      <c r="G333">
        <v>30</v>
      </c>
    </row>
    <row r="334" spans="1:7">
      <c r="A334" t="s">
        <v>7388</v>
      </c>
      <c r="B334" t="s">
        <v>7721</v>
      </c>
      <c r="C334" s="1" t="e">
        <f>VLOOKUP(Tabla_Items_Activos[[#This Row],[CODIGO]],Tabla_Items_Completos[[CODIGO]:[LINEA]],2,0)</f>
        <v>#N/A</v>
      </c>
      <c r="D334" s="1" t="e">
        <f>VLOOKUP(Tabla_Items_Activos[[#This Row],[CODIGO]],Tabla_Items_Completos[[CODIGO]:[LINEA]],3,0)</f>
        <v>#N/A</v>
      </c>
      <c r="E334" s="1" t="e">
        <f>VLOOKUP(Tabla_Items_Activos[[#This Row],[CODIGO]],Tabla_Items_Completos[[CODIGO]:[LINEA]],4,0)</f>
        <v>#N/A</v>
      </c>
      <c r="F334">
        <v>819</v>
      </c>
      <c r="G334">
        <v>181</v>
      </c>
    </row>
    <row r="335" spans="1:7">
      <c r="A335" t="s">
        <v>7388</v>
      </c>
      <c r="B335" t="s">
        <v>7722</v>
      </c>
      <c r="C335" s="1" t="e">
        <f>VLOOKUP(Tabla_Items_Activos[[#This Row],[CODIGO]],Tabla_Items_Completos[[CODIGO]:[LINEA]],2,0)</f>
        <v>#N/A</v>
      </c>
      <c r="D335" s="1" t="e">
        <f>VLOOKUP(Tabla_Items_Activos[[#This Row],[CODIGO]],Tabla_Items_Completos[[CODIGO]:[LINEA]],3,0)</f>
        <v>#N/A</v>
      </c>
      <c r="E335" s="1" t="e">
        <f>VLOOKUP(Tabla_Items_Activos[[#This Row],[CODIGO]],Tabla_Items_Completos[[CODIGO]:[LINEA]],4,0)</f>
        <v>#N/A</v>
      </c>
      <c r="F335">
        <v>1298</v>
      </c>
      <c r="G335">
        <v>0</v>
      </c>
    </row>
    <row r="336" spans="1:7">
      <c r="A336" t="s">
        <v>7388</v>
      </c>
      <c r="B336" t="s">
        <v>7723</v>
      </c>
      <c r="C336" s="1" t="e">
        <f>VLOOKUP(Tabla_Items_Activos[[#This Row],[CODIGO]],Tabla_Items_Completos[[CODIGO]:[LINEA]],2,0)</f>
        <v>#N/A</v>
      </c>
      <c r="D336" s="1" t="e">
        <f>VLOOKUP(Tabla_Items_Activos[[#This Row],[CODIGO]],Tabla_Items_Completos[[CODIGO]:[LINEA]],3,0)</f>
        <v>#N/A</v>
      </c>
      <c r="E336" s="1" t="e">
        <f>VLOOKUP(Tabla_Items_Activos[[#This Row],[CODIGO]],Tabla_Items_Completos[[CODIGO]:[LINEA]],4,0)</f>
        <v>#N/A</v>
      </c>
      <c r="F336">
        <v>235</v>
      </c>
      <c r="G336">
        <v>174</v>
      </c>
    </row>
    <row r="337" spans="1:7">
      <c r="A337" t="s">
        <v>7388</v>
      </c>
      <c r="B337" t="s">
        <v>7724</v>
      </c>
      <c r="C337" s="1" t="e">
        <f>VLOOKUP(Tabla_Items_Activos[[#This Row],[CODIGO]],Tabla_Items_Completos[[CODIGO]:[LINEA]],2,0)</f>
        <v>#N/A</v>
      </c>
      <c r="D337" s="1" t="e">
        <f>VLOOKUP(Tabla_Items_Activos[[#This Row],[CODIGO]],Tabla_Items_Completos[[CODIGO]:[LINEA]],3,0)</f>
        <v>#N/A</v>
      </c>
      <c r="E337" s="1" t="e">
        <f>VLOOKUP(Tabla_Items_Activos[[#This Row],[CODIGO]],Tabla_Items_Completos[[CODIGO]:[LINEA]],4,0)</f>
        <v>#N/A</v>
      </c>
      <c r="F337">
        <v>397</v>
      </c>
      <c r="G337">
        <v>191</v>
      </c>
    </row>
    <row r="338" spans="1:7">
      <c r="A338" t="s">
        <v>7388</v>
      </c>
      <c r="B338" t="s">
        <v>7725</v>
      </c>
      <c r="C338" s="1" t="e">
        <f>VLOOKUP(Tabla_Items_Activos[[#This Row],[CODIGO]],Tabla_Items_Completos[[CODIGO]:[LINEA]],2,0)</f>
        <v>#N/A</v>
      </c>
      <c r="D338" s="1" t="e">
        <f>VLOOKUP(Tabla_Items_Activos[[#This Row],[CODIGO]],Tabla_Items_Completos[[CODIGO]:[LINEA]],3,0)</f>
        <v>#N/A</v>
      </c>
      <c r="E338" s="1" t="e">
        <f>VLOOKUP(Tabla_Items_Activos[[#This Row],[CODIGO]],Tabla_Items_Completos[[CODIGO]:[LINEA]],4,0)</f>
        <v>#N/A</v>
      </c>
      <c r="F338">
        <v>122</v>
      </c>
      <c r="G338">
        <v>67</v>
      </c>
    </row>
    <row r="339" spans="1:7">
      <c r="A339" t="s">
        <v>7388</v>
      </c>
      <c r="B339" t="s">
        <v>7726</v>
      </c>
      <c r="C339" s="1" t="e">
        <f>VLOOKUP(Tabla_Items_Activos[[#This Row],[CODIGO]],Tabla_Items_Completos[[CODIGO]:[LINEA]],2,0)</f>
        <v>#N/A</v>
      </c>
      <c r="D339" s="1" t="e">
        <f>VLOOKUP(Tabla_Items_Activos[[#This Row],[CODIGO]],Tabla_Items_Completos[[CODIGO]:[LINEA]],3,0)</f>
        <v>#N/A</v>
      </c>
      <c r="E339" s="1" t="e">
        <f>VLOOKUP(Tabla_Items_Activos[[#This Row],[CODIGO]],Tabla_Items_Completos[[CODIGO]:[LINEA]],4,0)</f>
        <v>#N/A</v>
      </c>
      <c r="F339">
        <v>241</v>
      </c>
      <c r="G339">
        <v>174</v>
      </c>
    </row>
    <row r="340" spans="1:7">
      <c r="A340" t="s">
        <v>7388</v>
      </c>
      <c r="B340" t="s">
        <v>7727</v>
      </c>
      <c r="C340" s="1" t="e">
        <f>VLOOKUP(Tabla_Items_Activos[[#This Row],[CODIGO]],Tabla_Items_Completos[[CODIGO]:[LINEA]],2,0)</f>
        <v>#N/A</v>
      </c>
      <c r="D340" s="1" t="e">
        <f>VLOOKUP(Tabla_Items_Activos[[#This Row],[CODIGO]],Tabla_Items_Completos[[CODIGO]:[LINEA]],3,0)</f>
        <v>#N/A</v>
      </c>
      <c r="E340" s="1" t="e">
        <f>VLOOKUP(Tabla_Items_Activos[[#This Row],[CODIGO]],Tabla_Items_Completos[[CODIGO]:[LINEA]],4,0)</f>
        <v>#N/A</v>
      </c>
      <c r="F340">
        <v>109</v>
      </c>
      <c r="G340">
        <v>125</v>
      </c>
    </row>
    <row r="341" spans="1:7">
      <c r="A341" t="s">
        <v>7388</v>
      </c>
      <c r="B341" t="s">
        <v>7728</v>
      </c>
      <c r="C341" s="1" t="e">
        <f>VLOOKUP(Tabla_Items_Activos[[#This Row],[CODIGO]],Tabla_Items_Completos[[CODIGO]:[LINEA]],2,0)</f>
        <v>#N/A</v>
      </c>
      <c r="D341" s="1" t="e">
        <f>VLOOKUP(Tabla_Items_Activos[[#This Row],[CODIGO]],Tabla_Items_Completos[[CODIGO]:[LINEA]],3,0)</f>
        <v>#N/A</v>
      </c>
      <c r="E341" s="1" t="e">
        <f>VLOOKUP(Tabla_Items_Activos[[#This Row],[CODIGO]],Tabla_Items_Completos[[CODIGO]:[LINEA]],4,0)</f>
        <v>#N/A</v>
      </c>
      <c r="F341">
        <v>444</v>
      </c>
      <c r="G341">
        <v>262</v>
      </c>
    </row>
    <row r="342" spans="1:7">
      <c r="A342" t="s">
        <v>7388</v>
      </c>
      <c r="B342" t="s">
        <v>7729</v>
      </c>
      <c r="C342" s="1" t="e">
        <f>VLOOKUP(Tabla_Items_Activos[[#This Row],[CODIGO]],Tabla_Items_Completos[[CODIGO]:[LINEA]],2,0)</f>
        <v>#N/A</v>
      </c>
      <c r="D342" s="1" t="e">
        <f>VLOOKUP(Tabla_Items_Activos[[#This Row],[CODIGO]],Tabla_Items_Completos[[CODIGO]:[LINEA]],3,0)</f>
        <v>#N/A</v>
      </c>
      <c r="E342" s="1" t="e">
        <f>VLOOKUP(Tabla_Items_Activos[[#This Row],[CODIGO]],Tabla_Items_Completos[[CODIGO]:[LINEA]],4,0)</f>
        <v>#N/A</v>
      </c>
      <c r="F342">
        <v>40</v>
      </c>
      <c r="G342">
        <v>0</v>
      </c>
    </row>
    <row r="343" spans="1:7">
      <c r="A343" t="s">
        <v>7388</v>
      </c>
      <c r="B343" t="s">
        <v>7730</v>
      </c>
      <c r="C343" s="1" t="e">
        <f>VLOOKUP(Tabla_Items_Activos[[#This Row],[CODIGO]],Tabla_Items_Completos[[CODIGO]:[LINEA]],2,0)</f>
        <v>#N/A</v>
      </c>
      <c r="D343" s="1" t="e">
        <f>VLOOKUP(Tabla_Items_Activos[[#This Row],[CODIGO]],Tabla_Items_Completos[[CODIGO]:[LINEA]],3,0)</f>
        <v>#N/A</v>
      </c>
      <c r="E343" s="1" t="e">
        <f>VLOOKUP(Tabla_Items_Activos[[#This Row],[CODIGO]],Tabla_Items_Completos[[CODIGO]:[LINEA]],4,0)</f>
        <v>#N/A</v>
      </c>
      <c r="F343">
        <v>50</v>
      </c>
      <c r="G343">
        <v>0</v>
      </c>
    </row>
    <row r="344" spans="1:7">
      <c r="A344" t="s">
        <v>7388</v>
      </c>
      <c r="B344" t="s">
        <v>7731</v>
      </c>
      <c r="C344" s="1" t="e">
        <f>VLOOKUP(Tabla_Items_Activos[[#This Row],[CODIGO]],Tabla_Items_Completos[[CODIGO]:[LINEA]],2,0)</f>
        <v>#N/A</v>
      </c>
      <c r="D344" s="1" t="e">
        <f>VLOOKUP(Tabla_Items_Activos[[#This Row],[CODIGO]],Tabla_Items_Completos[[CODIGO]:[LINEA]],3,0)</f>
        <v>#N/A</v>
      </c>
      <c r="E344" s="1" t="e">
        <f>VLOOKUP(Tabla_Items_Activos[[#This Row],[CODIGO]],Tabla_Items_Completos[[CODIGO]:[LINEA]],4,0)</f>
        <v>#N/A</v>
      </c>
      <c r="F344">
        <v>169</v>
      </c>
      <c r="G344">
        <v>0</v>
      </c>
    </row>
    <row r="345" spans="1:7">
      <c r="A345" t="s">
        <v>7388</v>
      </c>
      <c r="B345" t="s">
        <v>7732</v>
      </c>
      <c r="C345" s="1" t="e">
        <f>VLOOKUP(Tabla_Items_Activos[[#This Row],[CODIGO]],Tabla_Items_Completos[[CODIGO]:[LINEA]],2,0)</f>
        <v>#N/A</v>
      </c>
      <c r="D345" s="1" t="e">
        <f>VLOOKUP(Tabla_Items_Activos[[#This Row],[CODIGO]],Tabla_Items_Completos[[CODIGO]:[LINEA]],3,0)</f>
        <v>#N/A</v>
      </c>
      <c r="E345" s="1" t="e">
        <f>VLOOKUP(Tabla_Items_Activos[[#This Row],[CODIGO]],Tabla_Items_Completos[[CODIGO]:[LINEA]],4,0)</f>
        <v>#N/A</v>
      </c>
      <c r="F345">
        <v>169</v>
      </c>
      <c r="G345">
        <v>0</v>
      </c>
    </row>
    <row r="346" spans="1:7">
      <c r="A346" t="s">
        <v>7388</v>
      </c>
      <c r="B346" t="s">
        <v>7733</v>
      </c>
      <c r="C346" s="1" t="e">
        <f>VLOOKUP(Tabla_Items_Activos[[#This Row],[CODIGO]],Tabla_Items_Completos[[CODIGO]:[LINEA]],2,0)</f>
        <v>#N/A</v>
      </c>
      <c r="D346" s="1" t="e">
        <f>VLOOKUP(Tabla_Items_Activos[[#This Row],[CODIGO]],Tabla_Items_Completos[[CODIGO]:[LINEA]],3,0)</f>
        <v>#N/A</v>
      </c>
      <c r="E346" s="1" t="e">
        <f>VLOOKUP(Tabla_Items_Activos[[#This Row],[CODIGO]],Tabla_Items_Completos[[CODIGO]:[LINEA]],4,0)</f>
        <v>#N/A</v>
      </c>
      <c r="F346">
        <v>111</v>
      </c>
      <c r="G346">
        <v>0</v>
      </c>
    </row>
    <row r="347" spans="1:7">
      <c r="A347" t="s">
        <v>7388</v>
      </c>
      <c r="B347" t="s">
        <v>7734</v>
      </c>
      <c r="C347" s="1" t="e">
        <f>VLOOKUP(Tabla_Items_Activos[[#This Row],[CODIGO]],Tabla_Items_Completos[[CODIGO]:[LINEA]],2,0)</f>
        <v>#N/A</v>
      </c>
      <c r="D347" s="1" t="e">
        <f>VLOOKUP(Tabla_Items_Activos[[#This Row],[CODIGO]],Tabla_Items_Completos[[CODIGO]:[LINEA]],3,0)</f>
        <v>#N/A</v>
      </c>
      <c r="E347" s="1" t="e">
        <f>VLOOKUP(Tabla_Items_Activos[[#This Row],[CODIGO]],Tabla_Items_Completos[[CODIGO]:[LINEA]],4,0)</f>
        <v>#N/A</v>
      </c>
      <c r="F347">
        <v>2</v>
      </c>
      <c r="G347">
        <v>0</v>
      </c>
    </row>
    <row r="348" spans="1:7">
      <c r="A348" t="s">
        <v>7388</v>
      </c>
      <c r="B348" t="s">
        <v>7735</v>
      </c>
      <c r="C348" s="1" t="e">
        <f>VLOOKUP(Tabla_Items_Activos[[#This Row],[CODIGO]],Tabla_Items_Completos[[CODIGO]:[LINEA]],2,0)</f>
        <v>#N/A</v>
      </c>
      <c r="D348" s="1" t="e">
        <f>VLOOKUP(Tabla_Items_Activos[[#This Row],[CODIGO]],Tabla_Items_Completos[[CODIGO]:[LINEA]],3,0)</f>
        <v>#N/A</v>
      </c>
      <c r="E348" s="1" t="e">
        <f>VLOOKUP(Tabla_Items_Activos[[#This Row],[CODIGO]],Tabla_Items_Completos[[CODIGO]:[LINEA]],4,0)</f>
        <v>#N/A</v>
      </c>
      <c r="F348">
        <v>38</v>
      </c>
      <c r="G348">
        <v>116</v>
      </c>
    </row>
    <row r="349" spans="1:7">
      <c r="A349" t="s">
        <v>7388</v>
      </c>
      <c r="B349" t="s">
        <v>7736</v>
      </c>
      <c r="C349" s="1" t="e">
        <f>VLOOKUP(Tabla_Items_Activos[[#This Row],[CODIGO]],Tabla_Items_Completos[[CODIGO]:[LINEA]],2,0)</f>
        <v>#N/A</v>
      </c>
      <c r="D349" s="1" t="e">
        <f>VLOOKUP(Tabla_Items_Activos[[#This Row],[CODIGO]],Tabla_Items_Completos[[CODIGO]:[LINEA]],3,0)</f>
        <v>#N/A</v>
      </c>
      <c r="E349" s="1" t="e">
        <f>VLOOKUP(Tabla_Items_Activos[[#This Row],[CODIGO]],Tabla_Items_Completos[[CODIGO]:[LINEA]],4,0)</f>
        <v>#N/A</v>
      </c>
      <c r="F349">
        <v>117</v>
      </c>
      <c r="G349">
        <v>0</v>
      </c>
    </row>
    <row r="350" spans="1:7">
      <c r="A350" t="s">
        <v>7388</v>
      </c>
      <c r="B350" t="s">
        <v>7737</v>
      </c>
      <c r="C350" s="1" t="e">
        <f>VLOOKUP(Tabla_Items_Activos[[#This Row],[CODIGO]],Tabla_Items_Completos[[CODIGO]:[LINEA]],2,0)</f>
        <v>#N/A</v>
      </c>
      <c r="D350" s="1" t="e">
        <f>VLOOKUP(Tabla_Items_Activos[[#This Row],[CODIGO]],Tabla_Items_Completos[[CODIGO]:[LINEA]],3,0)</f>
        <v>#N/A</v>
      </c>
      <c r="E350" s="1" t="e">
        <f>VLOOKUP(Tabla_Items_Activos[[#This Row],[CODIGO]],Tabla_Items_Completos[[CODIGO]:[LINEA]],4,0)</f>
        <v>#N/A</v>
      </c>
      <c r="F350">
        <v>66</v>
      </c>
      <c r="G350">
        <v>0</v>
      </c>
    </row>
    <row r="351" spans="1:7">
      <c r="A351" t="s">
        <v>7388</v>
      </c>
      <c r="B351" t="s">
        <v>7738</v>
      </c>
      <c r="C351" s="1" t="e">
        <f>VLOOKUP(Tabla_Items_Activos[[#This Row],[CODIGO]],Tabla_Items_Completos[[CODIGO]:[LINEA]],2,0)</f>
        <v>#N/A</v>
      </c>
      <c r="D351" s="1" t="e">
        <f>VLOOKUP(Tabla_Items_Activos[[#This Row],[CODIGO]],Tabla_Items_Completos[[CODIGO]:[LINEA]],3,0)</f>
        <v>#N/A</v>
      </c>
      <c r="E351" s="1" t="e">
        <f>VLOOKUP(Tabla_Items_Activos[[#This Row],[CODIGO]],Tabla_Items_Completos[[CODIGO]:[LINEA]],4,0)</f>
        <v>#N/A</v>
      </c>
      <c r="F351">
        <v>410</v>
      </c>
      <c r="G351">
        <v>53</v>
      </c>
    </row>
    <row r="352" spans="1:7">
      <c r="A352" t="s">
        <v>7388</v>
      </c>
      <c r="B352" t="s">
        <v>7739</v>
      </c>
      <c r="C352" s="1" t="e">
        <f>VLOOKUP(Tabla_Items_Activos[[#This Row],[CODIGO]],Tabla_Items_Completos[[CODIGO]:[LINEA]],2,0)</f>
        <v>#N/A</v>
      </c>
      <c r="D352" s="1" t="e">
        <f>VLOOKUP(Tabla_Items_Activos[[#This Row],[CODIGO]],Tabla_Items_Completos[[CODIGO]:[LINEA]],3,0)</f>
        <v>#N/A</v>
      </c>
      <c r="E352" s="1" t="e">
        <f>VLOOKUP(Tabla_Items_Activos[[#This Row],[CODIGO]],Tabla_Items_Completos[[CODIGO]:[LINEA]],4,0)</f>
        <v>#N/A</v>
      </c>
      <c r="F352">
        <v>573</v>
      </c>
      <c r="G352">
        <v>101</v>
      </c>
    </row>
    <row r="353" spans="1:7">
      <c r="A353" t="s">
        <v>7388</v>
      </c>
      <c r="B353" t="s">
        <v>7740</v>
      </c>
      <c r="C353" s="1" t="e">
        <f>VLOOKUP(Tabla_Items_Activos[[#This Row],[CODIGO]],Tabla_Items_Completos[[CODIGO]:[LINEA]],2,0)</f>
        <v>#N/A</v>
      </c>
      <c r="D353" s="1" t="e">
        <f>VLOOKUP(Tabla_Items_Activos[[#This Row],[CODIGO]],Tabla_Items_Completos[[CODIGO]:[LINEA]],3,0)</f>
        <v>#N/A</v>
      </c>
      <c r="E353" s="1" t="e">
        <f>VLOOKUP(Tabla_Items_Activos[[#This Row],[CODIGO]],Tabla_Items_Completos[[CODIGO]:[LINEA]],4,0)</f>
        <v>#N/A</v>
      </c>
      <c r="F353">
        <v>612</v>
      </c>
      <c r="G353">
        <v>100</v>
      </c>
    </row>
    <row r="354" spans="1:7">
      <c r="A354" t="s">
        <v>7388</v>
      </c>
      <c r="B354" t="s">
        <v>7741</v>
      </c>
      <c r="C354" s="1" t="e">
        <f>VLOOKUP(Tabla_Items_Activos[[#This Row],[CODIGO]],Tabla_Items_Completos[[CODIGO]:[LINEA]],2,0)</f>
        <v>#N/A</v>
      </c>
      <c r="D354" s="1" t="e">
        <f>VLOOKUP(Tabla_Items_Activos[[#This Row],[CODIGO]],Tabla_Items_Completos[[CODIGO]:[LINEA]],3,0)</f>
        <v>#N/A</v>
      </c>
      <c r="E354" s="1" t="e">
        <f>VLOOKUP(Tabla_Items_Activos[[#This Row],[CODIGO]],Tabla_Items_Completos[[CODIGO]:[LINEA]],4,0)</f>
        <v>#N/A</v>
      </c>
      <c r="F354">
        <v>363</v>
      </c>
      <c r="G354">
        <v>64</v>
      </c>
    </row>
    <row r="355" spans="1:7">
      <c r="A355" t="s">
        <v>7388</v>
      </c>
      <c r="B355" t="s">
        <v>7742</v>
      </c>
      <c r="C355" s="1" t="e">
        <f>VLOOKUP(Tabla_Items_Activos[[#This Row],[CODIGO]],Tabla_Items_Completos[[CODIGO]:[LINEA]],2,0)</f>
        <v>#N/A</v>
      </c>
      <c r="D355" s="1" t="e">
        <f>VLOOKUP(Tabla_Items_Activos[[#This Row],[CODIGO]],Tabla_Items_Completos[[CODIGO]:[LINEA]],3,0)</f>
        <v>#N/A</v>
      </c>
      <c r="E355" s="1" t="e">
        <f>VLOOKUP(Tabla_Items_Activos[[#This Row],[CODIGO]],Tabla_Items_Completos[[CODIGO]:[LINEA]],4,0)</f>
        <v>#N/A</v>
      </c>
      <c r="F355">
        <v>95</v>
      </c>
      <c r="G355">
        <v>0</v>
      </c>
    </row>
    <row r="356" spans="1:7">
      <c r="A356" t="s">
        <v>7388</v>
      </c>
      <c r="B356" t="s">
        <v>7743</v>
      </c>
      <c r="C356" s="1" t="e">
        <f>VLOOKUP(Tabla_Items_Activos[[#This Row],[CODIGO]],Tabla_Items_Completos[[CODIGO]:[LINEA]],2,0)</f>
        <v>#N/A</v>
      </c>
      <c r="D356" s="1" t="e">
        <f>VLOOKUP(Tabla_Items_Activos[[#This Row],[CODIGO]],Tabla_Items_Completos[[CODIGO]:[LINEA]],3,0)</f>
        <v>#N/A</v>
      </c>
      <c r="E356" s="1" t="e">
        <f>VLOOKUP(Tabla_Items_Activos[[#This Row],[CODIGO]],Tabla_Items_Completos[[CODIGO]:[LINEA]],4,0)</f>
        <v>#N/A</v>
      </c>
      <c r="F356">
        <v>85</v>
      </c>
      <c r="G356">
        <v>15</v>
      </c>
    </row>
    <row r="357" spans="1:7">
      <c r="A357" t="s">
        <v>7388</v>
      </c>
      <c r="B357" t="s">
        <v>7744</v>
      </c>
      <c r="C357" s="1" t="e">
        <f>VLOOKUP(Tabla_Items_Activos[[#This Row],[CODIGO]],Tabla_Items_Completos[[CODIGO]:[LINEA]],2,0)</f>
        <v>#N/A</v>
      </c>
      <c r="D357" s="1" t="e">
        <f>VLOOKUP(Tabla_Items_Activos[[#This Row],[CODIGO]],Tabla_Items_Completos[[CODIGO]:[LINEA]],3,0)</f>
        <v>#N/A</v>
      </c>
      <c r="E357" s="1" t="e">
        <f>VLOOKUP(Tabla_Items_Activos[[#This Row],[CODIGO]],Tabla_Items_Completos[[CODIGO]:[LINEA]],4,0)</f>
        <v>#N/A</v>
      </c>
      <c r="F357">
        <v>45</v>
      </c>
      <c r="G357">
        <v>18</v>
      </c>
    </row>
    <row r="358" spans="1:7">
      <c r="A358" t="s">
        <v>7388</v>
      </c>
      <c r="B358" t="s">
        <v>7745</v>
      </c>
      <c r="C358" s="1" t="e">
        <f>VLOOKUP(Tabla_Items_Activos[[#This Row],[CODIGO]],Tabla_Items_Completos[[CODIGO]:[LINEA]],2,0)</f>
        <v>#N/A</v>
      </c>
      <c r="D358" s="1" t="e">
        <f>VLOOKUP(Tabla_Items_Activos[[#This Row],[CODIGO]],Tabla_Items_Completos[[CODIGO]:[LINEA]],3,0)</f>
        <v>#N/A</v>
      </c>
      <c r="E358" s="1" t="e">
        <f>VLOOKUP(Tabla_Items_Activos[[#This Row],[CODIGO]],Tabla_Items_Completos[[CODIGO]:[LINEA]],4,0)</f>
        <v>#N/A</v>
      </c>
      <c r="F358">
        <v>48</v>
      </c>
      <c r="G358">
        <v>60</v>
      </c>
    </row>
    <row r="359" spans="1:7">
      <c r="A359" t="s">
        <v>7388</v>
      </c>
      <c r="B359" t="s">
        <v>7746</v>
      </c>
      <c r="C359" s="1" t="e">
        <f>VLOOKUP(Tabla_Items_Activos[[#This Row],[CODIGO]],Tabla_Items_Completos[[CODIGO]:[LINEA]],2,0)</f>
        <v>#N/A</v>
      </c>
      <c r="D359" s="1" t="e">
        <f>VLOOKUP(Tabla_Items_Activos[[#This Row],[CODIGO]],Tabla_Items_Completos[[CODIGO]:[LINEA]],3,0)</f>
        <v>#N/A</v>
      </c>
      <c r="E359" s="1" t="e">
        <f>VLOOKUP(Tabla_Items_Activos[[#This Row],[CODIGO]],Tabla_Items_Completos[[CODIGO]:[LINEA]],4,0)</f>
        <v>#N/A</v>
      </c>
      <c r="F359">
        <v>45</v>
      </c>
      <c r="G359">
        <v>36</v>
      </c>
    </row>
    <row r="360" spans="1:7">
      <c r="A360" t="s">
        <v>7388</v>
      </c>
      <c r="B360" t="s">
        <v>7747</v>
      </c>
      <c r="C360" s="1" t="e">
        <f>VLOOKUP(Tabla_Items_Activos[[#This Row],[CODIGO]],Tabla_Items_Completos[[CODIGO]:[LINEA]],2,0)</f>
        <v>#N/A</v>
      </c>
      <c r="D360" s="1" t="e">
        <f>VLOOKUP(Tabla_Items_Activos[[#This Row],[CODIGO]],Tabla_Items_Completos[[CODIGO]:[LINEA]],3,0)</f>
        <v>#N/A</v>
      </c>
      <c r="E360" s="1" t="e">
        <f>VLOOKUP(Tabla_Items_Activos[[#This Row],[CODIGO]],Tabla_Items_Completos[[CODIGO]:[LINEA]],4,0)</f>
        <v>#N/A</v>
      </c>
      <c r="F360">
        <v>14</v>
      </c>
      <c r="G360">
        <v>19</v>
      </c>
    </row>
    <row r="361" spans="1:7">
      <c r="A361" t="s">
        <v>7388</v>
      </c>
      <c r="B361" t="s">
        <v>7748</v>
      </c>
      <c r="C361" s="1" t="e">
        <f>VLOOKUP(Tabla_Items_Activos[[#This Row],[CODIGO]],Tabla_Items_Completos[[CODIGO]:[LINEA]],2,0)</f>
        <v>#N/A</v>
      </c>
      <c r="D361" s="1" t="e">
        <f>VLOOKUP(Tabla_Items_Activos[[#This Row],[CODIGO]],Tabla_Items_Completos[[CODIGO]:[LINEA]],3,0)</f>
        <v>#N/A</v>
      </c>
      <c r="E361" s="1" t="e">
        <f>VLOOKUP(Tabla_Items_Activos[[#This Row],[CODIGO]],Tabla_Items_Completos[[CODIGO]:[LINEA]],4,0)</f>
        <v>#N/A</v>
      </c>
      <c r="F361">
        <v>32</v>
      </c>
      <c r="G361">
        <v>41</v>
      </c>
    </row>
    <row r="362" spans="1:7">
      <c r="A362" t="s">
        <v>7388</v>
      </c>
      <c r="B362" t="s">
        <v>7749</v>
      </c>
      <c r="C362" s="1" t="e">
        <f>VLOOKUP(Tabla_Items_Activos[[#This Row],[CODIGO]],Tabla_Items_Completos[[CODIGO]:[LINEA]],2,0)</f>
        <v>#N/A</v>
      </c>
      <c r="D362" s="1" t="e">
        <f>VLOOKUP(Tabla_Items_Activos[[#This Row],[CODIGO]],Tabla_Items_Completos[[CODIGO]:[LINEA]],3,0)</f>
        <v>#N/A</v>
      </c>
      <c r="E362" s="1" t="e">
        <f>VLOOKUP(Tabla_Items_Activos[[#This Row],[CODIGO]],Tabla_Items_Completos[[CODIGO]:[LINEA]],4,0)</f>
        <v>#N/A</v>
      </c>
      <c r="F362">
        <v>44</v>
      </c>
      <c r="G362">
        <v>8</v>
      </c>
    </row>
    <row r="363" spans="1:7">
      <c r="A363" t="s">
        <v>7388</v>
      </c>
      <c r="B363" t="s">
        <v>7750</v>
      </c>
      <c r="C363" s="1" t="e">
        <f>VLOOKUP(Tabla_Items_Activos[[#This Row],[CODIGO]],Tabla_Items_Completos[[CODIGO]:[LINEA]],2,0)</f>
        <v>#N/A</v>
      </c>
      <c r="D363" s="1" t="e">
        <f>VLOOKUP(Tabla_Items_Activos[[#This Row],[CODIGO]],Tabla_Items_Completos[[CODIGO]:[LINEA]],3,0)</f>
        <v>#N/A</v>
      </c>
      <c r="E363" s="1" t="e">
        <f>VLOOKUP(Tabla_Items_Activos[[#This Row],[CODIGO]],Tabla_Items_Completos[[CODIGO]:[LINEA]],4,0)</f>
        <v>#N/A</v>
      </c>
      <c r="F363">
        <v>33</v>
      </c>
      <c r="G363">
        <v>5</v>
      </c>
    </row>
    <row r="364" spans="1:7">
      <c r="A364" t="s">
        <v>7388</v>
      </c>
      <c r="B364" t="s">
        <v>7751</v>
      </c>
      <c r="C364" s="1" t="e">
        <f>VLOOKUP(Tabla_Items_Activos[[#This Row],[CODIGO]],Tabla_Items_Completos[[CODIGO]:[LINEA]],2,0)</f>
        <v>#N/A</v>
      </c>
      <c r="D364" s="1" t="e">
        <f>VLOOKUP(Tabla_Items_Activos[[#This Row],[CODIGO]],Tabla_Items_Completos[[CODIGO]:[LINEA]],3,0)</f>
        <v>#N/A</v>
      </c>
      <c r="E364" s="1" t="e">
        <f>VLOOKUP(Tabla_Items_Activos[[#This Row],[CODIGO]],Tabla_Items_Completos[[CODIGO]:[LINEA]],4,0)</f>
        <v>#N/A</v>
      </c>
      <c r="F364">
        <v>31</v>
      </c>
      <c r="G364">
        <v>158</v>
      </c>
    </row>
    <row r="365" spans="1:7">
      <c r="A365" t="s">
        <v>7388</v>
      </c>
      <c r="B365" t="s">
        <v>7752</v>
      </c>
      <c r="C365" s="1" t="e">
        <f>VLOOKUP(Tabla_Items_Activos[[#This Row],[CODIGO]],Tabla_Items_Completos[[CODIGO]:[LINEA]],2,0)</f>
        <v>#N/A</v>
      </c>
      <c r="D365" s="1" t="e">
        <f>VLOOKUP(Tabla_Items_Activos[[#This Row],[CODIGO]],Tabla_Items_Completos[[CODIGO]:[LINEA]],3,0)</f>
        <v>#N/A</v>
      </c>
      <c r="E365" s="1" t="e">
        <f>VLOOKUP(Tabla_Items_Activos[[#This Row],[CODIGO]],Tabla_Items_Completos[[CODIGO]:[LINEA]],4,0)</f>
        <v>#N/A</v>
      </c>
      <c r="F365">
        <v>48</v>
      </c>
      <c r="G365">
        <v>267</v>
      </c>
    </row>
    <row r="366" spans="1:7">
      <c r="A366" t="s">
        <v>7388</v>
      </c>
      <c r="B366" t="s">
        <v>7753</v>
      </c>
      <c r="C366" s="1" t="e">
        <f>VLOOKUP(Tabla_Items_Activos[[#This Row],[CODIGO]],Tabla_Items_Completos[[CODIGO]:[LINEA]],2,0)</f>
        <v>#N/A</v>
      </c>
      <c r="D366" s="1" t="e">
        <f>VLOOKUP(Tabla_Items_Activos[[#This Row],[CODIGO]],Tabla_Items_Completos[[CODIGO]:[LINEA]],3,0)</f>
        <v>#N/A</v>
      </c>
      <c r="E366" s="1" t="e">
        <f>VLOOKUP(Tabla_Items_Activos[[#This Row],[CODIGO]],Tabla_Items_Completos[[CODIGO]:[LINEA]],4,0)</f>
        <v>#N/A</v>
      </c>
      <c r="F366">
        <v>19</v>
      </c>
      <c r="G366">
        <v>43</v>
      </c>
    </row>
    <row r="367" spans="1:7">
      <c r="A367" t="s">
        <v>7388</v>
      </c>
      <c r="B367" t="s">
        <v>7754</v>
      </c>
      <c r="C367" s="1" t="e">
        <f>VLOOKUP(Tabla_Items_Activos[[#This Row],[CODIGO]],Tabla_Items_Completos[[CODIGO]:[LINEA]],2,0)</f>
        <v>#N/A</v>
      </c>
      <c r="D367" s="1" t="e">
        <f>VLOOKUP(Tabla_Items_Activos[[#This Row],[CODIGO]],Tabla_Items_Completos[[CODIGO]:[LINEA]],3,0)</f>
        <v>#N/A</v>
      </c>
      <c r="E367" s="1" t="e">
        <f>VLOOKUP(Tabla_Items_Activos[[#This Row],[CODIGO]],Tabla_Items_Completos[[CODIGO]:[LINEA]],4,0)</f>
        <v>#N/A</v>
      </c>
      <c r="F367">
        <v>16</v>
      </c>
      <c r="G367">
        <v>35</v>
      </c>
    </row>
    <row r="368" spans="1:7">
      <c r="A368" t="s">
        <v>7388</v>
      </c>
      <c r="B368" t="s">
        <v>7755</v>
      </c>
      <c r="C368" s="1" t="e">
        <f>VLOOKUP(Tabla_Items_Activos[[#This Row],[CODIGO]],Tabla_Items_Completos[[CODIGO]:[LINEA]],2,0)</f>
        <v>#N/A</v>
      </c>
      <c r="D368" s="1" t="e">
        <f>VLOOKUP(Tabla_Items_Activos[[#This Row],[CODIGO]],Tabla_Items_Completos[[CODIGO]:[LINEA]],3,0)</f>
        <v>#N/A</v>
      </c>
      <c r="E368" s="1" t="e">
        <f>VLOOKUP(Tabla_Items_Activos[[#This Row],[CODIGO]],Tabla_Items_Completos[[CODIGO]:[LINEA]],4,0)</f>
        <v>#N/A</v>
      </c>
      <c r="F368">
        <v>9</v>
      </c>
      <c r="G368">
        <v>1</v>
      </c>
    </row>
    <row r="369" spans="1:7">
      <c r="A369" t="s">
        <v>7388</v>
      </c>
      <c r="B369" t="s">
        <v>7756</v>
      </c>
      <c r="C369" s="1" t="e">
        <f>VLOOKUP(Tabla_Items_Activos[[#This Row],[CODIGO]],Tabla_Items_Completos[[CODIGO]:[LINEA]],2,0)</f>
        <v>#N/A</v>
      </c>
      <c r="D369" s="1" t="e">
        <f>VLOOKUP(Tabla_Items_Activos[[#This Row],[CODIGO]],Tabla_Items_Completos[[CODIGO]:[LINEA]],3,0)</f>
        <v>#N/A</v>
      </c>
      <c r="E369" s="1" t="e">
        <f>VLOOKUP(Tabla_Items_Activos[[#This Row],[CODIGO]],Tabla_Items_Completos[[CODIGO]:[LINEA]],4,0)</f>
        <v>#N/A</v>
      </c>
      <c r="F369">
        <v>198</v>
      </c>
      <c r="G369">
        <v>102</v>
      </c>
    </row>
    <row r="370" spans="1:7">
      <c r="A370" t="s">
        <v>7388</v>
      </c>
      <c r="B370" t="s">
        <v>7757</v>
      </c>
      <c r="C370" s="1" t="e">
        <f>VLOOKUP(Tabla_Items_Activos[[#This Row],[CODIGO]],Tabla_Items_Completos[[CODIGO]:[LINEA]],2,0)</f>
        <v>#N/A</v>
      </c>
      <c r="D370" s="1" t="e">
        <f>VLOOKUP(Tabla_Items_Activos[[#This Row],[CODIGO]],Tabla_Items_Completos[[CODIGO]:[LINEA]],3,0)</f>
        <v>#N/A</v>
      </c>
      <c r="E370" s="1" t="e">
        <f>VLOOKUP(Tabla_Items_Activos[[#This Row],[CODIGO]],Tabla_Items_Completos[[CODIGO]:[LINEA]],4,0)</f>
        <v>#N/A</v>
      </c>
      <c r="F370">
        <v>243</v>
      </c>
      <c r="G370">
        <v>50</v>
      </c>
    </row>
    <row r="371" spans="1:7">
      <c r="A371" t="s">
        <v>7388</v>
      </c>
      <c r="B371" t="s">
        <v>7758</v>
      </c>
      <c r="C371" s="1" t="e">
        <f>VLOOKUP(Tabla_Items_Activos[[#This Row],[CODIGO]],Tabla_Items_Completos[[CODIGO]:[LINEA]],2,0)</f>
        <v>#N/A</v>
      </c>
      <c r="D371" s="1" t="e">
        <f>VLOOKUP(Tabla_Items_Activos[[#This Row],[CODIGO]],Tabla_Items_Completos[[CODIGO]:[LINEA]],3,0)</f>
        <v>#N/A</v>
      </c>
      <c r="E371" s="1" t="e">
        <f>VLOOKUP(Tabla_Items_Activos[[#This Row],[CODIGO]],Tabla_Items_Completos[[CODIGO]:[LINEA]],4,0)</f>
        <v>#N/A</v>
      </c>
      <c r="F371">
        <v>500</v>
      </c>
      <c r="G371">
        <v>0</v>
      </c>
    </row>
    <row r="372" spans="1:7">
      <c r="A372" t="s">
        <v>7388</v>
      </c>
      <c r="B372" t="s">
        <v>7759</v>
      </c>
      <c r="C372" s="1" t="e">
        <f>VLOOKUP(Tabla_Items_Activos[[#This Row],[CODIGO]],Tabla_Items_Completos[[CODIGO]:[LINEA]],2,0)</f>
        <v>#N/A</v>
      </c>
      <c r="D372" s="1" t="e">
        <f>VLOOKUP(Tabla_Items_Activos[[#This Row],[CODIGO]],Tabla_Items_Completos[[CODIGO]:[LINEA]],3,0)</f>
        <v>#N/A</v>
      </c>
      <c r="E372" s="1" t="e">
        <f>VLOOKUP(Tabla_Items_Activos[[#This Row],[CODIGO]],Tabla_Items_Completos[[CODIGO]:[LINEA]],4,0)</f>
        <v>#N/A</v>
      </c>
      <c r="F372">
        <v>248</v>
      </c>
      <c r="G372">
        <v>0</v>
      </c>
    </row>
    <row r="373" spans="1:7">
      <c r="A373" t="s">
        <v>7388</v>
      </c>
      <c r="B373" t="s">
        <v>7760</v>
      </c>
      <c r="C373" s="1" t="e">
        <f>VLOOKUP(Tabla_Items_Activos[[#This Row],[CODIGO]],Tabla_Items_Completos[[CODIGO]:[LINEA]],2,0)</f>
        <v>#N/A</v>
      </c>
      <c r="D373" s="1" t="e">
        <f>VLOOKUP(Tabla_Items_Activos[[#This Row],[CODIGO]],Tabla_Items_Completos[[CODIGO]:[LINEA]],3,0)</f>
        <v>#N/A</v>
      </c>
      <c r="E373" s="1" t="e">
        <f>VLOOKUP(Tabla_Items_Activos[[#This Row],[CODIGO]],Tabla_Items_Completos[[CODIGO]:[LINEA]],4,0)</f>
        <v>#N/A</v>
      </c>
      <c r="F373">
        <v>95</v>
      </c>
      <c r="G373">
        <v>19</v>
      </c>
    </row>
    <row r="374" spans="1:7">
      <c r="A374" t="s">
        <v>7388</v>
      </c>
      <c r="B374" t="s">
        <v>7761</v>
      </c>
      <c r="C374" s="1" t="e">
        <f>VLOOKUP(Tabla_Items_Activos[[#This Row],[CODIGO]],Tabla_Items_Completos[[CODIGO]:[LINEA]],2,0)</f>
        <v>#N/A</v>
      </c>
      <c r="D374" s="1" t="e">
        <f>VLOOKUP(Tabla_Items_Activos[[#This Row],[CODIGO]],Tabla_Items_Completos[[CODIGO]:[LINEA]],3,0)</f>
        <v>#N/A</v>
      </c>
      <c r="E374" s="1" t="e">
        <f>VLOOKUP(Tabla_Items_Activos[[#This Row],[CODIGO]],Tabla_Items_Completos[[CODIGO]:[LINEA]],4,0)</f>
        <v>#N/A</v>
      </c>
      <c r="F374">
        <v>106</v>
      </c>
      <c r="G374">
        <v>4</v>
      </c>
    </row>
    <row r="375" spans="1:7">
      <c r="A375" t="s">
        <v>7388</v>
      </c>
      <c r="B375" t="s">
        <v>7762</v>
      </c>
      <c r="C375" s="1" t="e">
        <f>VLOOKUP(Tabla_Items_Activos[[#This Row],[CODIGO]],Tabla_Items_Completos[[CODIGO]:[LINEA]],2,0)</f>
        <v>#N/A</v>
      </c>
      <c r="D375" s="1" t="e">
        <f>VLOOKUP(Tabla_Items_Activos[[#This Row],[CODIGO]],Tabla_Items_Completos[[CODIGO]:[LINEA]],3,0)</f>
        <v>#N/A</v>
      </c>
      <c r="E375" s="1" t="e">
        <f>VLOOKUP(Tabla_Items_Activos[[#This Row],[CODIGO]],Tabla_Items_Completos[[CODIGO]:[LINEA]],4,0)</f>
        <v>#N/A</v>
      </c>
      <c r="F375">
        <v>111</v>
      </c>
      <c r="G375">
        <v>3</v>
      </c>
    </row>
    <row r="376" spans="1:7">
      <c r="A376" t="s">
        <v>7388</v>
      </c>
      <c r="B376" t="s">
        <v>7763</v>
      </c>
      <c r="C376" s="1" t="e">
        <f>VLOOKUP(Tabla_Items_Activos[[#This Row],[CODIGO]],Tabla_Items_Completos[[CODIGO]:[LINEA]],2,0)</f>
        <v>#N/A</v>
      </c>
      <c r="D376" s="1" t="e">
        <f>VLOOKUP(Tabla_Items_Activos[[#This Row],[CODIGO]],Tabla_Items_Completos[[CODIGO]:[LINEA]],3,0)</f>
        <v>#N/A</v>
      </c>
      <c r="E376" s="1" t="e">
        <f>VLOOKUP(Tabla_Items_Activos[[#This Row],[CODIGO]],Tabla_Items_Completos[[CODIGO]:[LINEA]],4,0)</f>
        <v>#N/A</v>
      </c>
      <c r="F376">
        <v>379</v>
      </c>
      <c r="G376">
        <v>0</v>
      </c>
    </row>
    <row r="377" spans="1:7">
      <c r="A377" t="s">
        <v>7388</v>
      </c>
      <c r="B377" t="s">
        <v>7764</v>
      </c>
      <c r="C377" s="1" t="e">
        <f>VLOOKUP(Tabla_Items_Activos[[#This Row],[CODIGO]],Tabla_Items_Completos[[CODIGO]:[LINEA]],2,0)</f>
        <v>#N/A</v>
      </c>
      <c r="D377" s="1" t="e">
        <f>VLOOKUP(Tabla_Items_Activos[[#This Row],[CODIGO]],Tabla_Items_Completos[[CODIGO]:[LINEA]],3,0)</f>
        <v>#N/A</v>
      </c>
      <c r="E377" s="1" t="e">
        <f>VLOOKUP(Tabla_Items_Activos[[#This Row],[CODIGO]],Tabla_Items_Completos[[CODIGO]:[LINEA]],4,0)</f>
        <v>#N/A</v>
      </c>
      <c r="F377">
        <v>358</v>
      </c>
      <c r="G377">
        <v>0</v>
      </c>
    </row>
    <row r="378" spans="1:7">
      <c r="A378" t="s">
        <v>7388</v>
      </c>
      <c r="B378" t="s">
        <v>7765</v>
      </c>
      <c r="C378" s="1" t="e">
        <f>VLOOKUP(Tabla_Items_Activos[[#This Row],[CODIGO]],Tabla_Items_Completos[[CODIGO]:[LINEA]],2,0)</f>
        <v>#N/A</v>
      </c>
      <c r="D378" s="1" t="e">
        <f>VLOOKUP(Tabla_Items_Activos[[#This Row],[CODIGO]],Tabla_Items_Completos[[CODIGO]:[LINEA]],3,0)</f>
        <v>#N/A</v>
      </c>
      <c r="E378" s="1" t="e">
        <f>VLOOKUP(Tabla_Items_Activos[[#This Row],[CODIGO]],Tabla_Items_Completos[[CODIGO]:[LINEA]],4,0)</f>
        <v>#N/A</v>
      </c>
      <c r="F378">
        <v>568</v>
      </c>
      <c r="G378">
        <v>0</v>
      </c>
    </row>
    <row r="379" spans="1:7">
      <c r="A379" t="s">
        <v>7388</v>
      </c>
      <c r="B379" t="s">
        <v>7766</v>
      </c>
      <c r="C379" s="1" t="e">
        <f>VLOOKUP(Tabla_Items_Activos[[#This Row],[CODIGO]],Tabla_Items_Completos[[CODIGO]:[LINEA]],2,0)</f>
        <v>#N/A</v>
      </c>
      <c r="D379" s="1" t="e">
        <f>VLOOKUP(Tabla_Items_Activos[[#This Row],[CODIGO]],Tabla_Items_Completos[[CODIGO]:[LINEA]],3,0)</f>
        <v>#N/A</v>
      </c>
      <c r="E379" s="1" t="e">
        <f>VLOOKUP(Tabla_Items_Activos[[#This Row],[CODIGO]],Tabla_Items_Completos[[CODIGO]:[LINEA]],4,0)</f>
        <v>#N/A</v>
      </c>
      <c r="F379">
        <v>295</v>
      </c>
      <c r="G379">
        <v>0</v>
      </c>
    </row>
    <row r="380" spans="1:7">
      <c r="A380" t="s">
        <v>7388</v>
      </c>
      <c r="B380" t="s">
        <v>7767</v>
      </c>
      <c r="C380" s="1" t="e">
        <f>VLOOKUP(Tabla_Items_Activos[[#This Row],[CODIGO]],Tabla_Items_Completos[[CODIGO]:[LINEA]],2,0)</f>
        <v>#N/A</v>
      </c>
      <c r="D380" s="1" t="e">
        <f>VLOOKUP(Tabla_Items_Activos[[#This Row],[CODIGO]],Tabla_Items_Completos[[CODIGO]:[LINEA]],3,0)</f>
        <v>#N/A</v>
      </c>
      <c r="E380" s="1" t="e">
        <f>VLOOKUP(Tabla_Items_Activos[[#This Row],[CODIGO]],Tabla_Items_Completos[[CODIGO]:[LINEA]],4,0)</f>
        <v>#N/A</v>
      </c>
      <c r="F380">
        <v>32</v>
      </c>
      <c r="G380">
        <v>0</v>
      </c>
    </row>
    <row r="381" spans="1:7">
      <c r="A381" t="s">
        <v>7388</v>
      </c>
      <c r="B381" t="s">
        <v>7768</v>
      </c>
      <c r="C381" s="1" t="e">
        <f>VLOOKUP(Tabla_Items_Activos[[#This Row],[CODIGO]],Tabla_Items_Completos[[CODIGO]:[LINEA]],2,0)</f>
        <v>#N/A</v>
      </c>
      <c r="D381" s="1" t="e">
        <f>VLOOKUP(Tabla_Items_Activos[[#This Row],[CODIGO]],Tabla_Items_Completos[[CODIGO]:[LINEA]],3,0)</f>
        <v>#N/A</v>
      </c>
      <c r="E381" s="1" t="e">
        <f>VLOOKUP(Tabla_Items_Activos[[#This Row],[CODIGO]],Tabla_Items_Completos[[CODIGO]:[LINEA]],4,0)</f>
        <v>#N/A</v>
      </c>
      <c r="F381">
        <v>100</v>
      </c>
      <c r="G381">
        <v>0</v>
      </c>
    </row>
    <row r="382" spans="1:7">
      <c r="A382" t="s">
        <v>7388</v>
      </c>
      <c r="B382" t="s">
        <v>7769</v>
      </c>
      <c r="C382" s="1" t="e">
        <f>VLOOKUP(Tabla_Items_Activos[[#This Row],[CODIGO]],Tabla_Items_Completos[[CODIGO]:[LINEA]],2,0)</f>
        <v>#N/A</v>
      </c>
      <c r="D382" s="1" t="e">
        <f>VLOOKUP(Tabla_Items_Activos[[#This Row],[CODIGO]],Tabla_Items_Completos[[CODIGO]:[LINEA]],3,0)</f>
        <v>#N/A</v>
      </c>
      <c r="E382" s="1" t="e">
        <f>VLOOKUP(Tabla_Items_Activos[[#This Row],[CODIGO]],Tabla_Items_Completos[[CODIGO]:[LINEA]],4,0)</f>
        <v>#N/A</v>
      </c>
      <c r="F382">
        <v>81</v>
      </c>
      <c r="G382">
        <v>0</v>
      </c>
    </row>
    <row r="383" spans="1:7">
      <c r="A383" t="s">
        <v>7388</v>
      </c>
      <c r="B383" t="s">
        <v>7770</v>
      </c>
      <c r="C383" s="1" t="e">
        <f>VLOOKUP(Tabla_Items_Activos[[#This Row],[CODIGO]],Tabla_Items_Completos[[CODIGO]:[LINEA]],2,0)</f>
        <v>#N/A</v>
      </c>
      <c r="D383" s="1" t="e">
        <f>VLOOKUP(Tabla_Items_Activos[[#This Row],[CODIGO]],Tabla_Items_Completos[[CODIGO]:[LINEA]],3,0)</f>
        <v>#N/A</v>
      </c>
      <c r="E383" s="1" t="e">
        <f>VLOOKUP(Tabla_Items_Activos[[#This Row],[CODIGO]],Tabla_Items_Completos[[CODIGO]:[LINEA]],4,0)</f>
        <v>#N/A</v>
      </c>
      <c r="F383">
        <v>122</v>
      </c>
      <c r="G383">
        <v>0</v>
      </c>
    </row>
    <row r="384" spans="1:7">
      <c r="A384" t="s">
        <v>7388</v>
      </c>
      <c r="B384" t="s">
        <v>7771</v>
      </c>
      <c r="C384" s="1" t="e">
        <f>VLOOKUP(Tabla_Items_Activos[[#This Row],[CODIGO]],Tabla_Items_Completos[[CODIGO]:[LINEA]],2,0)</f>
        <v>#N/A</v>
      </c>
      <c r="D384" s="1" t="e">
        <f>VLOOKUP(Tabla_Items_Activos[[#This Row],[CODIGO]],Tabla_Items_Completos[[CODIGO]:[LINEA]],3,0)</f>
        <v>#N/A</v>
      </c>
      <c r="E384" s="1" t="e">
        <f>VLOOKUP(Tabla_Items_Activos[[#This Row],[CODIGO]],Tabla_Items_Completos[[CODIGO]:[LINEA]],4,0)</f>
        <v>#N/A</v>
      </c>
      <c r="F384">
        <v>35</v>
      </c>
      <c r="G384">
        <v>0</v>
      </c>
    </row>
    <row r="385" spans="1:7">
      <c r="A385" t="s">
        <v>7388</v>
      </c>
      <c r="B385" t="s">
        <v>7772</v>
      </c>
      <c r="C385" s="1" t="e">
        <f>VLOOKUP(Tabla_Items_Activos[[#This Row],[CODIGO]],Tabla_Items_Completos[[CODIGO]:[LINEA]],2,0)</f>
        <v>#N/A</v>
      </c>
      <c r="D385" s="1" t="e">
        <f>VLOOKUP(Tabla_Items_Activos[[#This Row],[CODIGO]],Tabla_Items_Completos[[CODIGO]:[LINEA]],3,0)</f>
        <v>#N/A</v>
      </c>
      <c r="E385" s="1" t="e">
        <f>VLOOKUP(Tabla_Items_Activos[[#This Row],[CODIGO]],Tabla_Items_Completos[[CODIGO]:[LINEA]],4,0)</f>
        <v>#N/A</v>
      </c>
      <c r="F385">
        <v>20</v>
      </c>
      <c r="G385">
        <v>0</v>
      </c>
    </row>
    <row r="386" spans="1:7">
      <c r="A386" t="s">
        <v>7388</v>
      </c>
      <c r="B386" t="s">
        <v>7773</v>
      </c>
      <c r="C386" s="1" t="e">
        <f>VLOOKUP(Tabla_Items_Activos[[#This Row],[CODIGO]],Tabla_Items_Completos[[CODIGO]:[LINEA]],2,0)</f>
        <v>#N/A</v>
      </c>
      <c r="D386" s="1" t="e">
        <f>VLOOKUP(Tabla_Items_Activos[[#This Row],[CODIGO]],Tabla_Items_Completos[[CODIGO]:[LINEA]],3,0)</f>
        <v>#N/A</v>
      </c>
      <c r="E386" s="1" t="e">
        <f>VLOOKUP(Tabla_Items_Activos[[#This Row],[CODIGO]],Tabla_Items_Completos[[CODIGO]:[LINEA]],4,0)</f>
        <v>#N/A</v>
      </c>
      <c r="F386">
        <v>140</v>
      </c>
      <c r="G386">
        <v>0</v>
      </c>
    </row>
    <row r="387" spans="1:7">
      <c r="A387" t="s">
        <v>7388</v>
      </c>
      <c r="B387" t="s">
        <v>7774</v>
      </c>
      <c r="C387" s="1" t="e">
        <f>VLOOKUP(Tabla_Items_Activos[[#This Row],[CODIGO]],Tabla_Items_Completos[[CODIGO]:[LINEA]],2,0)</f>
        <v>#N/A</v>
      </c>
      <c r="D387" s="1" t="e">
        <f>VLOOKUP(Tabla_Items_Activos[[#This Row],[CODIGO]],Tabla_Items_Completos[[CODIGO]:[LINEA]],3,0)</f>
        <v>#N/A</v>
      </c>
      <c r="E387" s="1" t="e">
        <f>VLOOKUP(Tabla_Items_Activos[[#This Row],[CODIGO]],Tabla_Items_Completos[[CODIGO]:[LINEA]],4,0)</f>
        <v>#N/A</v>
      </c>
      <c r="F387">
        <v>248</v>
      </c>
      <c r="G387">
        <v>9</v>
      </c>
    </row>
    <row r="388" spans="1:7">
      <c r="A388" t="s">
        <v>7388</v>
      </c>
      <c r="B388" t="s">
        <v>7775</v>
      </c>
      <c r="C388" s="1" t="e">
        <f>VLOOKUP(Tabla_Items_Activos[[#This Row],[CODIGO]],Tabla_Items_Completos[[CODIGO]:[LINEA]],2,0)</f>
        <v>#N/A</v>
      </c>
      <c r="D388" s="1" t="e">
        <f>VLOOKUP(Tabla_Items_Activos[[#This Row],[CODIGO]],Tabla_Items_Completos[[CODIGO]:[LINEA]],3,0)</f>
        <v>#N/A</v>
      </c>
      <c r="E388" s="1" t="e">
        <f>VLOOKUP(Tabla_Items_Activos[[#This Row],[CODIGO]],Tabla_Items_Completos[[CODIGO]:[LINEA]],4,0)</f>
        <v>#N/A</v>
      </c>
      <c r="F388">
        <v>153</v>
      </c>
      <c r="G388">
        <v>11</v>
      </c>
    </row>
    <row r="389" spans="1:7">
      <c r="A389" t="s">
        <v>7388</v>
      </c>
      <c r="B389" t="s">
        <v>7776</v>
      </c>
      <c r="C389" s="1" t="e">
        <f>VLOOKUP(Tabla_Items_Activos[[#This Row],[CODIGO]],Tabla_Items_Completos[[CODIGO]:[LINEA]],2,0)</f>
        <v>#N/A</v>
      </c>
      <c r="D389" s="1" t="e">
        <f>VLOOKUP(Tabla_Items_Activos[[#This Row],[CODIGO]],Tabla_Items_Completos[[CODIGO]:[LINEA]],3,0)</f>
        <v>#N/A</v>
      </c>
      <c r="E389" s="1" t="e">
        <f>VLOOKUP(Tabla_Items_Activos[[#This Row],[CODIGO]],Tabla_Items_Completos[[CODIGO]:[LINEA]],4,0)</f>
        <v>#N/A</v>
      </c>
      <c r="F389">
        <v>173</v>
      </c>
      <c r="G389">
        <v>0</v>
      </c>
    </row>
    <row r="390" spans="1:7">
      <c r="A390" t="s">
        <v>7388</v>
      </c>
      <c r="B390" t="s">
        <v>7777</v>
      </c>
      <c r="C390" s="1" t="e">
        <f>VLOOKUP(Tabla_Items_Activos[[#This Row],[CODIGO]],Tabla_Items_Completos[[CODIGO]:[LINEA]],2,0)</f>
        <v>#N/A</v>
      </c>
      <c r="D390" s="1" t="e">
        <f>VLOOKUP(Tabla_Items_Activos[[#This Row],[CODIGO]],Tabla_Items_Completos[[CODIGO]:[LINEA]],3,0)</f>
        <v>#N/A</v>
      </c>
      <c r="E390" s="1" t="e">
        <f>VLOOKUP(Tabla_Items_Activos[[#This Row],[CODIGO]],Tabla_Items_Completos[[CODIGO]:[LINEA]],4,0)</f>
        <v>#N/A</v>
      </c>
      <c r="F390">
        <v>592</v>
      </c>
      <c r="G390">
        <v>0</v>
      </c>
    </row>
    <row r="391" spans="1:7">
      <c r="A391" t="s">
        <v>7388</v>
      </c>
      <c r="B391" t="s">
        <v>7778</v>
      </c>
      <c r="C391" s="1" t="e">
        <f>VLOOKUP(Tabla_Items_Activos[[#This Row],[CODIGO]],Tabla_Items_Completos[[CODIGO]:[LINEA]],2,0)</f>
        <v>#N/A</v>
      </c>
      <c r="D391" s="1" t="e">
        <f>VLOOKUP(Tabla_Items_Activos[[#This Row],[CODIGO]],Tabla_Items_Completos[[CODIGO]:[LINEA]],3,0)</f>
        <v>#N/A</v>
      </c>
      <c r="E391" s="1" t="e">
        <f>VLOOKUP(Tabla_Items_Activos[[#This Row],[CODIGO]],Tabla_Items_Completos[[CODIGO]:[LINEA]],4,0)</f>
        <v>#N/A</v>
      </c>
      <c r="F391">
        <v>426</v>
      </c>
      <c r="G391">
        <v>0</v>
      </c>
    </row>
    <row r="392" spans="1:7">
      <c r="A392" t="s">
        <v>7388</v>
      </c>
      <c r="B392" t="s">
        <v>7779</v>
      </c>
      <c r="C392" s="1" t="e">
        <f>VLOOKUP(Tabla_Items_Activos[[#This Row],[CODIGO]],Tabla_Items_Completos[[CODIGO]:[LINEA]],2,0)</f>
        <v>#N/A</v>
      </c>
      <c r="D392" s="1" t="e">
        <f>VLOOKUP(Tabla_Items_Activos[[#This Row],[CODIGO]],Tabla_Items_Completos[[CODIGO]:[LINEA]],3,0)</f>
        <v>#N/A</v>
      </c>
      <c r="E392" s="1" t="e">
        <f>VLOOKUP(Tabla_Items_Activos[[#This Row],[CODIGO]],Tabla_Items_Completos[[CODIGO]:[LINEA]],4,0)</f>
        <v>#N/A</v>
      </c>
      <c r="F392">
        <v>843</v>
      </c>
      <c r="G392">
        <v>0</v>
      </c>
    </row>
    <row r="393" spans="1:7">
      <c r="A393" t="s">
        <v>7388</v>
      </c>
      <c r="B393" t="s">
        <v>7780</v>
      </c>
      <c r="C393" s="1" t="e">
        <f>VLOOKUP(Tabla_Items_Activos[[#This Row],[CODIGO]],Tabla_Items_Completos[[CODIGO]:[LINEA]],2,0)</f>
        <v>#N/A</v>
      </c>
      <c r="D393" s="1" t="e">
        <f>VLOOKUP(Tabla_Items_Activos[[#This Row],[CODIGO]],Tabla_Items_Completos[[CODIGO]:[LINEA]],3,0)</f>
        <v>#N/A</v>
      </c>
      <c r="E393" s="1" t="e">
        <f>VLOOKUP(Tabla_Items_Activos[[#This Row],[CODIGO]],Tabla_Items_Completos[[CODIGO]:[LINEA]],4,0)</f>
        <v>#N/A</v>
      </c>
      <c r="F393">
        <v>873</v>
      </c>
      <c r="G393">
        <v>18</v>
      </c>
    </row>
    <row r="394" spans="1:7">
      <c r="A394" t="s">
        <v>7388</v>
      </c>
      <c r="B394" t="s">
        <v>7781</v>
      </c>
      <c r="C394" s="1" t="e">
        <f>VLOOKUP(Tabla_Items_Activos[[#This Row],[CODIGO]],Tabla_Items_Completos[[CODIGO]:[LINEA]],2,0)</f>
        <v>#N/A</v>
      </c>
      <c r="D394" s="1" t="e">
        <f>VLOOKUP(Tabla_Items_Activos[[#This Row],[CODIGO]],Tabla_Items_Completos[[CODIGO]:[LINEA]],3,0)</f>
        <v>#N/A</v>
      </c>
      <c r="E394" s="1" t="e">
        <f>VLOOKUP(Tabla_Items_Activos[[#This Row],[CODIGO]],Tabla_Items_Completos[[CODIGO]:[LINEA]],4,0)</f>
        <v>#N/A</v>
      </c>
      <c r="F394">
        <v>430</v>
      </c>
      <c r="G394">
        <v>79</v>
      </c>
    </row>
    <row r="395" spans="1:7">
      <c r="A395" t="s">
        <v>7388</v>
      </c>
      <c r="B395" t="s">
        <v>7782</v>
      </c>
      <c r="C395" s="1" t="e">
        <f>VLOOKUP(Tabla_Items_Activos[[#This Row],[CODIGO]],Tabla_Items_Completos[[CODIGO]:[LINEA]],2,0)</f>
        <v>#N/A</v>
      </c>
      <c r="D395" s="1" t="e">
        <f>VLOOKUP(Tabla_Items_Activos[[#This Row],[CODIGO]],Tabla_Items_Completos[[CODIGO]:[LINEA]],3,0)</f>
        <v>#N/A</v>
      </c>
      <c r="E395" s="1" t="e">
        <f>VLOOKUP(Tabla_Items_Activos[[#This Row],[CODIGO]],Tabla_Items_Completos[[CODIGO]:[LINEA]],4,0)</f>
        <v>#N/A</v>
      </c>
      <c r="F395">
        <v>525</v>
      </c>
      <c r="G395">
        <v>107</v>
      </c>
    </row>
    <row r="396" spans="1:7">
      <c r="A396" t="s">
        <v>7388</v>
      </c>
      <c r="B396" t="s">
        <v>7783</v>
      </c>
      <c r="C396" s="1" t="e">
        <f>VLOOKUP(Tabla_Items_Activos[[#This Row],[CODIGO]],Tabla_Items_Completos[[CODIGO]:[LINEA]],2,0)</f>
        <v>#N/A</v>
      </c>
      <c r="D396" s="1" t="e">
        <f>VLOOKUP(Tabla_Items_Activos[[#This Row],[CODIGO]],Tabla_Items_Completos[[CODIGO]:[LINEA]],3,0)</f>
        <v>#N/A</v>
      </c>
      <c r="E396" s="1" t="e">
        <f>VLOOKUP(Tabla_Items_Activos[[#This Row],[CODIGO]],Tabla_Items_Completos[[CODIGO]:[LINEA]],4,0)</f>
        <v>#N/A</v>
      </c>
      <c r="F396">
        <v>615</v>
      </c>
      <c r="G396">
        <v>90</v>
      </c>
    </row>
    <row r="397" spans="1:7">
      <c r="A397" t="s">
        <v>7388</v>
      </c>
      <c r="B397" t="s">
        <v>7784</v>
      </c>
      <c r="C397" s="1" t="e">
        <f>VLOOKUP(Tabla_Items_Activos[[#This Row],[CODIGO]],Tabla_Items_Completos[[CODIGO]:[LINEA]],2,0)</f>
        <v>#N/A</v>
      </c>
      <c r="D397" s="1" t="e">
        <f>VLOOKUP(Tabla_Items_Activos[[#This Row],[CODIGO]],Tabla_Items_Completos[[CODIGO]:[LINEA]],3,0)</f>
        <v>#N/A</v>
      </c>
      <c r="E397" s="1" t="e">
        <f>VLOOKUP(Tabla_Items_Activos[[#This Row],[CODIGO]],Tabla_Items_Completos[[CODIGO]:[LINEA]],4,0)</f>
        <v>#N/A</v>
      </c>
      <c r="F397">
        <v>277</v>
      </c>
      <c r="G397">
        <v>61</v>
      </c>
    </row>
    <row r="398" spans="1:7">
      <c r="A398" t="s">
        <v>7388</v>
      </c>
      <c r="B398" t="s">
        <v>7785</v>
      </c>
      <c r="C398" s="1" t="e">
        <f>VLOOKUP(Tabla_Items_Activos[[#This Row],[CODIGO]],Tabla_Items_Completos[[CODIGO]:[LINEA]],2,0)</f>
        <v>#N/A</v>
      </c>
      <c r="D398" s="1" t="e">
        <f>VLOOKUP(Tabla_Items_Activos[[#This Row],[CODIGO]],Tabla_Items_Completos[[CODIGO]:[LINEA]],3,0)</f>
        <v>#N/A</v>
      </c>
      <c r="E398" s="1" t="e">
        <f>VLOOKUP(Tabla_Items_Activos[[#This Row],[CODIGO]],Tabla_Items_Completos[[CODIGO]:[LINEA]],4,0)</f>
        <v>#N/A</v>
      </c>
      <c r="F398">
        <v>122</v>
      </c>
      <c r="G398">
        <v>0</v>
      </c>
    </row>
    <row r="399" spans="1:7">
      <c r="A399" t="s">
        <v>7388</v>
      </c>
      <c r="B399" t="s">
        <v>7786</v>
      </c>
      <c r="C399" s="1" t="e">
        <f>VLOOKUP(Tabla_Items_Activos[[#This Row],[CODIGO]],Tabla_Items_Completos[[CODIGO]:[LINEA]],2,0)</f>
        <v>#N/A</v>
      </c>
      <c r="D399" s="1" t="e">
        <f>VLOOKUP(Tabla_Items_Activos[[#This Row],[CODIGO]],Tabla_Items_Completos[[CODIGO]:[LINEA]],3,0)</f>
        <v>#N/A</v>
      </c>
      <c r="E399" s="1" t="e">
        <f>VLOOKUP(Tabla_Items_Activos[[#This Row],[CODIGO]],Tabla_Items_Completos[[CODIGO]:[LINEA]],4,0)</f>
        <v>#N/A</v>
      </c>
      <c r="F399">
        <v>112</v>
      </c>
      <c r="G399">
        <v>0</v>
      </c>
    </row>
    <row r="400" spans="1:7">
      <c r="A400" t="s">
        <v>7388</v>
      </c>
      <c r="B400" t="s">
        <v>7787</v>
      </c>
      <c r="C400" s="1" t="e">
        <f>VLOOKUP(Tabla_Items_Activos[[#This Row],[CODIGO]],Tabla_Items_Completos[[CODIGO]:[LINEA]],2,0)</f>
        <v>#N/A</v>
      </c>
      <c r="D400" s="1" t="e">
        <f>VLOOKUP(Tabla_Items_Activos[[#This Row],[CODIGO]],Tabla_Items_Completos[[CODIGO]:[LINEA]],3,0)</f>
        <v>#N/A</v>
      </c>
      <c r="E400" s="1" t="e">
        <f>VLOOKUP(Tabla_Items_Activos[[#This Row],[CODIGO]],Tabla_Items_Completos[[CODIGO]:[LINEA]],4,0)</f>
        <v>#N/A</v>
      </c>
      <c r="F400">
        <v>129</v>
      </c>
      <c r="G400">
        <v>0</v>
      </c>
    </row>
    <row r="401" spans="1:7">
      <c r="A401" t="s">
        <v>7388</v>
      </c>
      <c r="B401" t="s">
        <v>7788</v>
      </c>
      <c r="C401" s="1" t="e">
        <f>VLOOKUP(Tabla_Items_Activos[[#This Row],[CODIGO]],Tabla_Items_Completos[[CODIGO]:[LINEA]],2,0)</f>
        <v>#N/A</v>
      </c>
      <c r="D401" s="1" t="e">
        <f>VLOOKUP(Tabla_Items_Activos[[#This Row],[CODIGO]],Tabla_Items_Completos[[CODIGO]:[LINEA]],3,0)</f>
        <v>#N/A</v>
      </c>
      <c r="E401" s="1" t="e">
        <f>VLOOKUP(Tabla_Items_Activos[[#This Row],[CODIGO]],Tabla_Items_Completos[[CODIGO]:[LINEA]],4,0)</f>
        <v>#N/A</v>
      </c>
      <c r="F401">
        <v>573</v>
      </c>
      <c r="G401">
        <v>0</v>
      </c>
    </row>
    <row r="402" spans="1:7">
      <c r="A402" t="s">
        <v>7388</v>
      </c>
      <c r="B402" t="s">
        <v>7789</v>
      </c>
      <c r="C402" s="1" t="e">
        <f>VLOOKUP(Tabla_Items_Activos[[#This Row],[CODIGO]],Tabla_Items_Completos[[CODIGO]:[LINEA]],2,0)</f>
        <v>#N/A</v>
      </c>
      <c r="D402" s="1" t="e">
        <f>VLOOKUP(Tabla_Items_Activos[[#This Row],[CODIGO]],Tabla_Items_Completos[[CODIGO]:[LINEA]],3,0)</f>
        <v>#N/A</v>
      </c>
      <c r="E402" s="1" t="e">
        <f>VLOOKUP(Tabla_Items_Activos[[#This Row],[CODIGO]],Tabla_Items_Completos[[CODIGO]:[LINEA]],4,0)</f>
        <v>#N/A</v>
      </c>
      <c r="F402">
        <v>161</v>
      </c>
      <c r="G402">
        <v>149</v>
      </c>
    </row>
    <row r="403" spans="1:7">
      <c r="A403" t="s">
        <v>7388</v>
      </c>
      <c r="B403" t="s">
        <v>7790</v>
      </c>
      <c r="C403" s="1" t="e">
        <f>VLOOKUP(Tabla_Items_Activos[[#This Row],[CODIGO]],Tabla_Items_Completos[[CODIGO]:[LINEA]],2,0)</f>
        <v>#N/A</v>
      </c>
      <c r="D403" s="1" t="e">
        <f>VLOOKUP(Tabla_Items_Activos[[#This Row],[CODIGO]],Tabla_Items_Completos[[CODIGO]:[LINEA]],3,0)</f>
        <v>#N/A</v>
      </c>
      <c r="E403" s="1" t="e">
        <f>VLOOKUP(Tabla_Items_Activos[[#This Row],[CODIGO]],Tabla_Items_Completos[[CODIGO]:[LINEA]],4,0)</f>
        <v>#N/A</v>
      </c>
      <c r="F403">
        <v>154</v>
      </c>
      <c r="G403">
        <v>104</v>
      </c>
    </row>
    <row r="404" spans="1:7">
      <c r="A404" t="s">
        <v>7388</v>
      </c>
      <c r="B404" t="s">
        <v>7791</v>
      </c>
      <c r="C404" s="1" t="e">
        <f>VLOOKUP(Tabla_Items_Activos[[#This Row],[CODIGO]],Tabla_Items_Completos[[CODIGO]:[LINEA]],2,0)</f>
        <v>#N/A</v>
      </c>
      <c r="D404" s="1" t="e">
        <f>VLOOKUP(Tabla_Items_Activos[[#This Row],[CODIGO]],Tabla_Items_Completos[[CODIGO]:[LINEA]],3,0)</f>
        <v>#N/A</v>
      </c>
      <c r="E404" s="1" t="e">
        <f>VLOOKUP(Tabla_Items_Activos[[#This Row],[CODIGO]],Tabla_Items_Completos[[CODIGO]:[LINEA]],4,0)</f>
        <v>#N/A</v>
      </c>
      <c r="F404">
        <v>255</v>
      </c>
      <c r="G404">
        <v>109</v>
      </c>
    </row>
    <row r="405" spans="1:7">
      <c r="A405" t="s">
        <v>7388</v>
      </c>
      <c r="B405" t="s">
        <v>7792</v>
      </c>
      <c r="C405" s="1" t="e">
        <f>VLOOKUP(Tabla_Items_Activos[[#This Row],[CODIGO]],Tabla_Items_Completos[[CODIGO]:[LINEA]],2,0)</f>
        <v>#N/A</v>
      </c>
      <c r="D405" s="1" t="e">
        <f>VLOOKUP(Tabla_Items_Activos[[#This Row],[CODIGO]],Tabla_Items_Completos[[CODIGO]:[LINEA]],3,0)</f>
        <v>#N/A</v>
      </c>
      <c r="E405" s="1" t="e">
        <f>VLOOKUP(Tabla_Items_Activos[[#This Row],[CODIGO]],Tabla_Items_Completos[[CODIGO]:[LINEA]],4,0)</f>
        <v>#N/A</v>
      </c>
      <c r="F405">
        <v>189</v>
      </c>
      <c r="G405">
        <v>120</v>
      </c>
    </row>
    <row r="406" spans="1:7">
      <c r="A406" t="s">
        <v>7388</v>
      </c>
      <c r="B406" t="s">
        <v>7793</v>
      </c>
      <c r="C406" s="1" t="e">
        <f>VLOOKUP(Tabla_Items_Activos[[#This Row],[CODIGO]],Tabla_Items_Completos[[CODIGO]:[LINEA]],2,0)</f>
        <v>#N/A</v>
      </c>
      <c r="D406" s="1" t="e">
        <f>VLOOKUP(Tabla_Items_Activos[[#This Row],[CODIGO]],Tabla_Items_Completos[[CODIGO]:[LINEA]],3,0)</f>
        <v>#N/A</v>
      </c>
      <c r="E406" s="1" t="e">
        <f>VLOOKUP(Tabla_Items_Activos[[#This Row],[CODIGO]],Tabla_Items_Completos[[CODIGO]:[LINEA]],4,0)</f>
        <v>#N/A</v>
      </c>
      <c r="F406">
        <v>95</v>
      </c>
      <c r="G406">
        <v>63</v>
      </c>
    </row>
    <row r="407" spans="1:7">
      <c r="A407" t="s">
        <v>7388</v>
      </c>
      <c r="B407" t="s">
        <v>7794</v>
      </c>
      <c r="C407" s="1" t="e">
        <f>VLOOKUP(Tabla_Items_Activos[[#This Row],[CODIGO]],Tabla_Items_Completos[[CODIGO]:[LINEA]],2,0)</f>
        <v>#N/A</v>
      </c>
      <c r="D407" s="1" t="e">
        <f>VLOOKUP(Tabla_Items_Activos[[#This Row],[CODIGO]],Tabla_Items_Completos[[CODIGO]:[LINEA]],3,0)</f>
        <v>#N/A</v>
      </c>
      <c r="E407" s="1" t="e">
        <f>VLOOKUP(Tabla_Items_Activos[[#This Row],[CODIGO]],Tabla_Items_Completos[[CODIGO]:[LINEA]],4,0)</f>
        <v>#N/A</v>
      </c>
      <c r="F407">
        <v>94</v>
      </c>
      <c r="G407">
        <v>14</v>
      </c>
    </row>
    <row r="408" spans="1:7">
      <c r="A408" t="s">
        <v>7388</v>
      </c>
      <c r="B408" t="s">
        <v>7795</v>
      </c>
      <c r="C408" s="1" t="e">
        <f>VLOOKUP(Tabla_Items_Activos[[#This Row],[CODIGO]],Tabla_Items_Completos[[CODIGO]:[LINEA]],2,0)</f>
        <v>#N/A</v>
      </c>
      <c r="D408" s="1" t="e">
        <f>VLOOKUP(Tabla_Items_Activos[[#This Row],[CODIGO]],Tabla_Items_Completos[[CODIGO]:[LINEA]],3,0)</f>
        <v>#N/A</v>
      </c>
      <c r="E408" s="1" t="e">
        <f>VLOOKUP(Tabla_Items_Activos[[#This Row],[CODIGO]],Tabla_Items_Completos[[CODIGO]:[LINEA]],4,0)</f>
        <v>#N/A</v>
      </c>
      <c r="F408">
        <v>71</v>
      </c>
      <c r="G408">
        <v>129</v>
      </c>
    </row>
    <row r="409" spans="1:7">
      <c r="A409" t="s">
        <v>7388</v>
      </c>
      <c r="B409" t="s">
        <v>7796</v>
      </c>
      <c r="C409" s="1" t="e">
        <f>VLOOKUP(Tabla_Items_Activos[[#This Row],[CODIGO]],Tabla_Items_Completos[[CODIGO]:[LINEA]],2,0)</f>
        <v>#N/A</v>
      </c>
      <c r="D409" s="1" t="e">
        <f>VLOOKUP(Tabla_Items_Activos[[#This Row],[CODIGO]],Tabla_Items_Completos[[CODIGO]:[LINEA]],3,0)</f>
        <v>#N/A</v>
      </c>
      <c r="E409" s="1" t="e">
        <f>VLOOKUP(Tabla_Items_Activos[[#This Row],[CODIGO]],Tabla_Items_Completos[[CODIGO]:[LINEA]],4,0)</f>
        <v>#N/A</v>
      </c>
      <c r="F409">
        <v>130</v>
      </c>
      <c r="G409">
        <v>64</v>
      </c>
    </row>
    <row r="410" spans="1:7">
      <c r="A410" t="s">
        <v>7388</v>
      </c>
      <c r="B410" t="s">
        <v>7797</v>
      </c>
      <c r="C410" s="1" t="e">
        <f>VLOOKUP(Tabla_Items_Activos[[#This Row],[CODIGO]],Tabla_Items_Completos[[CODIGO]:[LINEA]],2,0)</f>
        <v>#N/A</v>
      </c>
      <c r="D410" s="1" t="e">
        <f>VLOOKUP(Tabla_Items_Activos[[#This Row],[CODIGO]],Tabla_Items_Completos[[CODIGO]:[LINEA]],3,0)</f>
        <v>#N/A</v>
      </c>
      <c r="E410" s="1" t="e">
        <f>VLOOKUP(Tabla_Items_Activos[[#This Row],[CODIGO]],Tabla_Items_Completos[[CODIGO]:[LINEA]],4,0)</f>
        <v>#N/A</v>
      </c>
      <c r="F410">
        <v>142</v>
      </c>
      <c r="G410">
        <v>155</v>
      </c>
    </row>
    <row r="411" spans="1:7">
      <c r="A411" t="s">
        <v>7388</v>
      </c>
      <c r="B411" t="s">
        <v>7798</v>
      </c>
      <c r="C411" s="1" t="e">
        <f>VLOOKUP(Tabla_Items_Activos[[#This Row],[CODIGO]],Tabla_Items_Completos[[CODIGO]:[LINEA]],2,0)</f>
        <v>#N/A</v>
      </c>
      <c r="D411" s="1" t="e">
        <f>VLOOKUP(Tabla_Items_Activos[[#This Row],[CODIGO]],Tabla_Items_Completos[[CODIGO]:[LINEA]],3,0)</f>
        <v>#N/A</v>
      </c>
      <c r="E411" s="1" t="e">
        <f>VLOOKUP(Tabla_Items_Activos[[#This Row],[CODIGO]],Tabla_Items_Completos[[CODIGO]:[LINEA]],4,0)</f>
        <v>#N/A</v>
      </c>
      <c r="F411">
        <v>91</v>
      </c>
      <c r="G411">
        <v>100</v>
      </c>
    </row>
    <row r="412" spans="1:7">
      <c r="A412" t="s">
        <v>7388</v>
      </c>
      <c r="B412" t="s">
        <v>7799</v>
      </c>
      <c r="C412" s="1" t="e">
        <f>VLOOKUP(Tabla_Items_Activos[[#This Row],[CODIGO]],Tabla_Items_Completos[[CODIGO]:[LINEA]],2,0)</f>
        <v>#N/A</v>
      </c>
      <c r="D412" s="1" t="e">
        <f>VLOOKUP(Tabla_Items_Activos[[#This Row],[CODIGO]],Tabla_Items_Completos[[CODIGO]:[LINEA]],3,0)</f>
        <v>#N/A</v>
      </c>
      <c r="E412" s="1" t="e">
        <f>VLOOKUP(Tabla_Items_Activos[[#This Row],[CODIGO]],Tabla_Items_Completos[[CODIGO]:[LINEA]],4,0)</f>
        <v>#N/A</v>
      </c>
      <c r="F412">
        <v>620</v>
      </c>
      <c r="G412">
        <v>0</v>
      </c>
    </row>
    <row r="413" spans="1:7">
      <c r="A413" t="s">
        <v>7388</v>
      </c>
      <c r="B413" t="s">
        <v>7800</v>
      </c>
      <c r="C413" s="1" t="e">
        <f>VLOOKUP(Tabla_Items_Activos[[#This Row],[CODIGO]],Tabla_Items_Completos[[CODIGO]:[LINEA]],2,0)</f>
        <v>#N/A</v>
      </c>
      <c r="D413" s="1" t="e">
        <f>VLOOKUP(Tabla_Items_Activos[[#This Row],[CODIGO]],Tabla_Items_Completos[[CODIGO]:[LINEA]],3,0)</f>
        <v>#N/A</v>
      </c>
      <c r="E413" s="1" t="e">
        <f>VLOOKUP(Tabla_Items_Activos[[#This Row],[CODIGO]],Tabla_Items_Completos[[CODIGO]:[LINEA]],4,0)</f>
        <v>#N/A</v>
      </c>
      <c r="F413">
        <v>510</v>
      </c>
      <c r="G413">
        <v>146</v>
      </c>
    </row>
    <row r="414" spans="1:7">
      <c r="A414" t="s">
        <v>7388</v>
      </c>
      <c r="B414" t="s">
        <v>7801</v>
      </c>
      <c r="C414" s="1" t="e">
        <f>VLOOKUP(Tabla_Items_Activos[[#This Row],[CODIGO]],Tabla_Items_Completos[[CODIGO]:[LINEA]],2,0)</f>
        <v>#N/A</v>
      </c>
      <c r="D414" s="1" t="e">
        <f>VLOOKUP(Tabla_Items_Activos[[#This Row],[CODIGO]],Tabla_Items_Completos[[CODIGO]:[LINEA]],3,0)</f>
        <v>#N/A</v>
      </c>
      <c r="E414" s="1" t="e">
        <f>VLOOKUP(Tabla_Items_Activos[[#This Row],[CODIGO]],Tabla_Items_Completos[[CODIGO]:[LINEA]],4,0)</f>
        <v>#N/A</v>
      </c>
      <c r="F414">
        <v>1696</v>
      </c>
      <c r="G414">
        <v>0</v>
      </c>
    </row>
    <row r="415" spans="1:7">
      <c r="A415" t="s">
        <v>7388</v>
      </c>
      <c r="B415" t="s">
        <v>7802</v>
      </c>
      <c r="C415" s="1" t="e">
        <f>VLOOKUP(Tabla_Items_Activos[[#This Row],[CODIGO]],Tabla_Items_Completos[[CODIGO]:[LINEA]],2,0)</f>
        <v>#N/A</v>
      </c>
      <c r="D415" s="1" t="e">
        <f>VLOOKUP(Tabla_Items_Activos[[#This Row],[CODIGO]],Tabla_Items_Completos[[CODIGO]:[LINEA]],3,0)</f>
        <v>#N/A</v>
      </c>
      <c r="E415" s="1" t="e">
        <f>VLOOKUP(Tabla_Items_Activos[[#This Row],[CODIGO]],Tabla_Items_Completos[[CODIGO]:[LINEA]],4,0)</f>
        <v>#N/A</v>
      </c>
      <c r="F415">
        <v>314</v>
      </c>
      <c r="G415">
        <v>23</v>
      </c>
    </row>
    <row r="416" spans="1:7">
      <c r="A416" t="s">
        <v>7388</v>
      </c>
      <c r="B416" t="s">
        <v>7803</v>
      </c>
      <c r="C416" s="1" t="e">
        <f>VLOOKUP(Tabla_Items_Activos[[#This Row],[CODIGO]],Tabla_Items_Completos[[CODIGO]:[LINEA]],2,0)</f>
        <v>#N/A</v>
      </c>
      <c r="D416" s="1" t="e">
        <f>VLOOKUP(Tabla_Items_Activos[[#This Row],[CODIGO]],Tabla_Items_Completos[[CODIGO]:[LINEA]],3,0)</f>
        <v>#N/A</v>
      </c>
      <c r="E416" s="1" t="e">
        <f>VLOOKUP(Tabla_Items_Activos[[#This Row],[CODIGO]],Tabla_Items_Completos[[CODIGO]:[LINEA]],4,0)</f>
        <v>#N/A</v>
      </c>
      <c r="F416">
        <v>515</v>
      </c>
      <c r="G416">
        <v>0</v>
      </c>
    </row>
    <row r="417" spans="1:7">
      <c r="A417" t="s">
        <v>7388</v>
      </c>
      <c r="B417" t="s">
        <v>7804</v>
      </c>
      <c r="C417" s="1" t="e">
        <f>VLOOKUP(Tabla_Items_Activos[[#This Row],[CODIGO]],Tabla_Items_Completos[[CODIGO]:[LINEA]],2,0)</f>
        <v>#N/A</v>
      </c>
      <c r="D417" s="1" t="e">
        <f>VLOOKUP(Tabla_Items_Activos[[#This Row],[CODIGO]],Tabla_Items_Completos[[CODIGO]:[LINEA]],3,0)</f>
        <v>#N/A</v>
      </c>
      <c r="E417" s="1" t="e">
        <f>VLOOKUP(Tabla_Items_Activos[[#This Row],[CODIGO]],Tabla_Items_Completos[[CODIGO]:[LINEA]],4,0)</f>
        <v>#N/A</v>
      </c>
      <c r="F417">
        <v>90</v>
      </c>
      <c r="G417">
        <v>167</v>
      </c>
    </row>
    <row r="418" spans="1:7">
      <c r="A418" t="s">
        <v>7388</v>
      </c>
      <c r="B418" t="s">
        <v>7805</v>
      </c>
      <c r="C418" s="1" t="e">
        <f>VLOOKUP(Tabla_Items_Activos[[#This Row],[CODIGO]],Tabla_Items_Completos[[CODIGO]:[LINEA]],2,0)</f>
        <v>#N/A</v>
      </c>
      <c r="D418" s="1" t="e">
        <f>VLOOKUP(Tabla_Items_Activos[[#This Row],[CODIGO]],Tabla_Items_Completos[[CODIGO]:[LINEA]],3,0)</f>
        <v>#N/A</v>
      </c>
      <c r="E418" s="1" t="e">
        <f>VLOOKUP(Tabla_Items_Activos[[#This Row],[CODIGO]],Tabla_Items_Completos[[CODIGO]:[LINEA]],4,0)</f>
        <v>#N/A</v>
      </c>
      <c r="F418">
        <v>85</v>
      </c>
      <c r="G418">
        <v>217</v>
      </c>
    </row>
    <row r="419" spans="1:7">
      <c r="A419" t="s">
        <v>7388</v>
      </c>
      <c r="B419" t="s">
        <v>7806</v>
      </c>
      <c r="C419" s="1" t="e">
        <f>VLOOKUP(Tabla_Items_Activos[[#This Row],[CODIGO]],Tabla_Items_Completos[[CODIGO]:[LINEA]],2,0)</f>
        <v>#N/A</v>
      </c>
      <c r="D419" s="1" t="e">
        <f>VLOOKUP(Tabla_Items_Activos[[#This Row],[CODIGO]],Tabla_Items_Completos[[CODIGO]:[LINEA]],3,0)</f>
        <v>#N/A</v>
      </c>
      <c r="E419" s="1" t="e">
        <f>VLOOKUP(Tabla_Items_Activos[[#This Row],[CODIGO]],Tabla_Items_Completos[[CODIGO]:[LINEA]],4,0)</f>
        <v>#N/A</v>
      </c>
      <c r="F419">
        <v>147</v>
      </c>
      <c r="G419">
        <v>0</v>
      </c>
    </row>
    <row r="420" spans="1:7">
      <c r="A420" t="s">
        <v>7388</v>
      </c>
      <c r="B420" t="s">
        <v>7807</v>
      </c>
      <c r="C420" s="1" t="e">
        <f>VLOOKUP(Tabla_Items_Activos[[#This Row],[CODIGO]],Tabla_Items_Completos[[CODIGO]:[LINEA]],2,0)</f>
        <v>#N/A</v>
      </c>
      <c r="D420" s="1" t="e">
        <f>VLOOKUP(Tabla_Items_Activos[[#This Row],[CODIGO]],Tabla_Items_Completos[[CODIGO]:[LINEA]],3,0)</f>
        <v>#N/A</v>
      </c>
      <c r="E420" s="1" t="e">
        <f>VLOOKUP(Tabla_Items_Activos[[#This Row],[CODIGO]],Tabla_Items_Completos[[CODIGO]:[LINEA]],4,0)</f>
        <v>#N/A</v>
      </c>
      <c r="F420">
        <v>536</v>
      </c>
      <c r="G420">
        <v>0</v>
      </c>
    </row>
    <row r="421" spans="1:7">
      <c r="A421" t="s">
        <v>7388</v>
      </c>
      <c r="B421" t="s">
        <v>7808</v>
      </c>
      <c r="C421" s="1" t="e">
        <f>VLOOKUP(Tabla_Items_Activos[[#This Row],[CODIGO]],Tabla_Items_Completos[[CODIGO]:[LINEA]],2,0)</f>
        <v>#N/A</v>
      </c>
      <c r="D421" s="1" t="e">
        <f>VLOOKUP(Tabla_Items_Activos[[#This Row],[CODIGO]],Tabla_Items_Completos[[CODIGO]:[LINEA]],3,0)</f>
        <v>#N/A</v>
      </c>
      <c r="E421" s="1" t="e">
        <f>VLOOKUP(Tabla_Items_Activos[[#This Row],[CODIGO]],Tabla_Items_Completos[[CODIGO]:[LINEA]],4,0)</f>
        <v>#N/A</v>
      </c>
      <c r="F421">
        <v>1366</v>
      </c>
      <c r="G421">
        <v>0</v>
      </c>
    </row>
    <row r="422" spans="1:7">
      <c r="A422" t="s">
        <v>7388</v>
      </c>
      <c r="B422" t="s">
        <v>7809</v>
      </c>
      <c r="C422" s="1" t="e">
        <f>VLOOKUP(Tabla_Items_Activos[[#This Row],[CODIGO]],Tabla_Items_Completos[[CODIGO]:[LINEA]],2,0)</f>
        <v>#N/A</v>
      </c>
      <c r="D422" s="1" t="e">
        <f>VLOOKUP(Tabla_Items_Activos[[#This Row],[CODIGO]],Tabla_Items_Completos[[CODIGO]:[LINEA]],3,0)</f>
        <v>#N/A</v>
      </c>
      <c r="E422" s="1" t="e">
        <f>VLOOKUP(Tabla_Items_Activos[[#This Row],[CODIGO]],Tabla_Items_Completos[[CODIGO]:[LINEA]],4,0)</f>
        <v>#N/A</v>
      </c>
      <c r="F422">
        <v>178</v>
      </c>
      <c r="G422">
        <v>0</v>
      </c>
    </row>
    <row r="423" spans="1:7">
      <c r="A423" t="s">
        <v>7388</v>
      </c>
      <c r="B423" t="s">
        <v>7810</v>
      </c>
      <c r="C423" s="1" t="e">
        <f>VLOOKUP(Tabla_Items_Activos[[#This Row],[CODIGO]],Tabla_Items_Completos[[CODIGO]:[LINEA]],2,0)</f>
        <v>#N/A</v>
      </c>
      <c r="D423" s="1" t="e">
        <f>VLOOKUP(Tabla_Items_Activos[[#This Row],[CODIGO]],Tabla_Items_Completos[[CODIGO]:[LINEA]],3,0)</f>
        <v>#N/A</v>
      </c>
      <c r="E423" s="1" t="e">
        <f>VLOOKUP(Tabla_Items_Activos[[#This Row],[CODIGO]],Tabla_Items_Completos[[CODIGO]:[LINEA]],4,0)</f>
        <v>#N/A</v>
      </c>
      <c r="F423">
        <v>161</v>
      </c>
      <c r="G423">
        <v>106</v>
      </c>
    </row>
    <row r="424" spans="1:7">
      <c r="A424" t="s">
        <v>7388</v>
      </c>
      <c r="B424" t="s">
        <v>7811</v>
      </c>
      <c r="C424" s="1" t="e">
        <f>VLOOKUP(Tabla_Items_Activos[[#This Row],[CODIGO]],Tabla_Items_Completos[[CODIGO]:[LINEA]],2,0)</f>
        <v>#N/A</v>
      </c>
      <c r="D424" s="1" t="e">
        <f>VLOOKUP(Tabla_Items_Activos[[#This Row],[CODIGO]],Tabla_Items_Completos[[CODIGO]:[LINEA]],3,0)</f>
        <v>#N/A</v>
      </c>
      <c r="E424" s="1" t="e">
        <f>VLOOKUP(Tabla_Items_Activos[[#This Row],[CODIGO]],Tabla_Items_Completos[[CODIGO]:[LINEA]],4,0)</f>
        <v>#N/A</v>
      </c>
      <c r="F424">
        <v>166</v>
      </c>
      <c r="G424">
        <v>157</v>
      </c>
    </row>
    <row r="425" spans="1:7">
      <c r="A425" t="s">
        <v>7388</v>
      </c>
      <c r="B425" t="s">
        <v>7812</v>
      </c>
      <c r="C425" s="1" t="e">
        <f>VLOOKUP(Tabla_Items_Activos[[#This Row],[CODIGO]],Tabla_Items_Completos[[CODIGO]:[LINEA]],2,0)</f>
        <v>#N/A</v>
      </c>
      <c r="D425" s="1" t="e">
        <f>VLOOKUP(Tabla_Items_Activos[[#This Row],[CODIGO]],Tabla_Items_Completos[[CODIGO]:[LINEA]],3,0)</f>
        <v>#N/A</v>
      </c>
      <c r="E425" s="1" t="e">
        <f>VLOOKUP(Tabla_Items_Activos[[#This Row],[CODIGO]],Tabla_Items_Completos[[CODIGO]:[LINEA]],4,0)</f>
        <v>#N/A</v>
      </c>
      <c r="F425">
        <v>518</v>
      </c>
      <c r="G425">
        <v>0</v>
      </c>
    </row>
    <row r="426" spans="1:7">
      <c r="A426" t="s">
        <v>7388</v>
      </c>
      <c r="B426" t="s">
        <v>7813</v>
      </c>
      <c r="C426" s="1" t="e">
        <f>VLOOKUP(Tabla_Items_Activos[[#This Row],[CODIGO]],Tabla_Items_Completos[[CODIGO]:[LINEA]],2,0)</f>
        <v>#N/A</v>
      </c>
      <c r="D426" s="1" t="e">
        <f>VLOOKUP(Tabla_Items_Activos[[#This Row],[CODIGO]],Tabla_Items_Completos[[CODIGO]:[LINEA]],3,0)</f>
        <v>#N/A</v>
      </c>
      <c r="E426" s="1" t="e">
        <f>VLOOKUP(Tabla_Items_Activos[[#This Row],[CODIGO]],Tabla_Items_Completos[[CODIGO]:[LINEA]],4,0)</f>
        <v>#N/A</v>
      </c>
      <c r="F426">
        <v>1433</v>
      </c>
      <c r="G426">
        <v>79</v>
      </c>
    </row>
    <row r="427" spans="1:7">
      <c r="A427" t="s">
        <v>7388</v>
      </c>
      <c r="B427" t="s">
        <v>7814</v>
      </c>
      <c r="C427" s="1" t="e">
        <f>VLOOKUP(Tabla_Items_Activos[[#This Row],[CODIGO]],Tabla_Items_Completos[[CODIGO]:[LINEA]],2,0)</f>
        <v>#N/A</v>
      </c>
      <c r="D427" s="1" t="e">
        <f>VLOOKUP(Tabla_Items_Activos[[#This Row],[CODIGO]],Tabla_Items_Completos[[CODIGO]:[LINEA]],3,0)</f>
        <v>#N/A</v>
      </c>
      <c r="E427" s="1" t="e">
        <f>VLOOKUP(Tabla_Items_Activos[[#This Row],[CODIGO]],Tabla_Items_Completos[[CODIGO]:[LINEA]],4,0)</f>
        <v>#N/A</v>
      </c>
      <c r="F427">
        <v>200</v>
      </c>
      <c r="G427">
        <v>150</v>
      </c>
    </row>
    <row r="428" spans="1:7">
      <c r="A428" t="s">
        <v>7388</v>
      </c>
      <c r="B428" t="s">
        <v>7815</v>
      </c>
      <c r="C428" s="1" t="e">
        <f>VLOOKUP(Tabla_Items_Activos[[#This Row],[CODIGO]],Tabla_Items_Completos[[CODIGO]:[LINEA]],2,0)</f>
        <v>#N/A</v>
      </c>
      <c r="D428" s="1" t="e">
        <f>VLOOKUP(Tabla_Items_Activos[[#This Row],[CODIGO]],Tabla_Items_Completos[[CODIGO]:[LINEA]],3,0)</f>
        <v>#N/A</v>
      </c>
      <c r="E428" s="1" t="e">
        <f>VLOOKUP(Tabla_Items_Activos[[#This Row],[CODIGO]],Tabla_Items_Completos[[CODIGO]:[LINEA]],4,0)</f>
        <v>#N/A</v>
      </c>
      <c r="F428">
        <v>972</v>
      </c>
      <c r="G428">
        <v>341</v>
      </c>
    </row>
    <row r="429" spans="1:7">
      <c r="A429" t="s">
        <v>7388</v>
      </c>
      <c r="B429" t="s">
        <v>7816</v>
      </c>
      <c r="C429" s="1" t="e">
        <f>VLOOKUP(Tabla_Items_Activos[[#This Row],[CODIGO]],Tabla_Items_Completos[[CODIGO]:[LINEA]],2,0)</f>
        <v>#N/A</v>
      </c>
      <c r="D429" s="1" t="e">
        <f>VLOOKUP(Tabla_Items_Activos[[#This Row],[CODIGO]],Tabla_Items_Completos[[CODIGO]:[LINEA]],3,0)</f>
        <v>#N/A</v>
      </c>
      <c r="E429" s="1" t="e">
        <f>VLOOKUP(Tabla_Items_Activos[[#This Row],[CODIGO]],Tabla_Items_Completos[[CODIGO]:[LINEA]],4,0)</f>
        <v>#N/A</v>
      </c>
      <c r="F429">
        <v>735</v>
      </c>
      <c r="G429">
        <v>57</v>
      </c>
    </row>
    <row r="430" spans="1:7">
      <c r="A430" t="s">
        <v>7388</v>
      </c>
      <c r="B430" t="s">
        <v>7817</v>
      </c>
      <c r="C430" s="1" t="e">
        <f>VLOOKUP(Tabla_Items_Activos[[#This Row],[CODIGO]],Tabla_Items_Completos[[CODIGO]:[LINEA]],2,0)</f>
        <v>#N/A</v>
      </c>
      <c r="D430" s="1" t="e">
        <f>VLOOKUP(Tabla_Items_Activos[[#This Row],[CODIGO]],Tabla_Items_Completos[[CODIGO]:[LINEA]],3,0)</f>
        <v>#N/A</v>
      </c>
      <c r="E430" s="1" t="e">
        <f>VLOOKUP(Tabla_Items_Activos[[#This Row],[CODIGO]],Tabla_Items_Completos[[CODIGO]:[LINEA]],4,0)</f>
        <v>#N/A</v>
      </c>
      <c r="F430">
        <v>184</v>
      </c>
      <c r="G430">
        <v>49</v>
      </c>
    </row>
    <row r="431" spans="1:7">
      <c r="A431" t="s">
        <v>7388</v>
      </c>
      <c r="B431" t="s">
        <v>7818</v>
      </c>
      <c r="C431" s="1" t="e">
        <f>VLOOKUP(Tabla_Items_Activos[[#This Row],[CODIGO]],Tabla_Items_Completos[[CODIGO]:[LINEA]],2,0)</f>
        <v>#N/A</v>
      </c>
      <c r="D431" s="1" t="e">
        <f>VLOOKUP(Tabla_Items_Activos[[#This Row],[CODIGO]],Tabla_Items_Completos[[CODIGO]:[LINEA]],3,0)</f>
        <v>#N/A</v>
      </c>
      <c r="E431" s="1" t="e">
        <f>VLOOKUP(Tabla_Items_Activos[[#This Row],[CODIGO]],Tabla_Items_Completos[[CODIGO]:[LINEA]],4,0)</f>
        <v>#N/A</v>
      </c>
      <c r="F431">
        <v>45</v>
      </c>
      <c r="G431">
        <v>44</v>
      </c>
    </row>
    <row r="432" spans="1:7">
      <c r="A432" t="s">
        <v>7388</v>
      </c>
      <c r="B432" t="s">
        <v>7819</v>
      </c>
      <c r="C432" s="1" t="e">
        <f>VLOOKUP(Tabla_Items_Activos[[#This Row],[CODIGO]],Tabla_Items_Completos[[CODIGO]:[LINEA]],2,0)</f>
        <v>#N/A</v>
      </c>
      <c r="D432" s="1" t="e">
        <f>VLOOKUP(Tabla_Items_Activos[[#This Row],[CODIGO]],Tabla_Items_Completos[[CODIGO]:[LINEA]],3,0)</f>
        <v>#N/A</v>
      </c>
      <c r="E432" s="1" t="e">
        <f>VLOOKUP(Tabla_Items_Activos[[#This Row],[CODIGO]],Tabla_Items_Completos[[CODIGO]:[LINEA]],4,0)</f>
        <v>#N/A</v>
      </c>
      <c r="F432">
        <v>96</v>
      </c>
      <c r="G432">
        <v>12</v>
      </c>
    </row>
    <row r="433" spans="1:7">
      <c r="A433" t="s">
        <v>7388</v>
      </c>
      <c r="B433" t="s">
        <v>7820</v>
      </c>
      <c r="C433" s="1" t="e">
        <f>VLOOKUP(Tabla_Items_Activos[[#This Row],[CODIGO]],Tabla_Items_Completos[[CODIGO]:[LINEA]],2,0)</f>
        <v>#N/A</v>
      </c>
      <c r="D433" s="1" t="e">
        <f>VLOOKUP(Tabla_Items_Activos[[#This Row],[CODIGO]],Tabla_Items_Completos[[CODIGO]:[LINEA]],3,0)</f>
        <v>#N/A</v>
      </c>
      <c r="E433" s="1" t="e">
        <f>VLOOKUP(Tabla_Items_Activos[[#This Row],[CODIGO]],Tabla_Items_Completos[[CODIGO]:[LINEA]],4,0)</f>
        <v>#N/A</v>
      </c>
      <c r="F433">
        <v>95</v>
      </c>
      <c r="G433">
        <v>30</v>
      </c>
    </row>
    <row r="434" spans="1:7">
      <c r="A434" t="s">
        <v>7388</v>
      </c>
      <c r="B434" t="s">
        <v>7821</v>
      </c>
      <c r="C434" s="1" t="e">
        <f>VLOOKUP(Tabla_Items_Activos[[#This Row],[CODIGO]],Tabla_Items_Completos[[CODIGO]:[LINEA]],2,0)</f>
        <v>#N/A</v>
      </c>
      <c r="D434" s="1" t="e">
        <f>VLOOKUP(Tabla_Items_Activos[[#This Row],[CODIGO]],Tabla_Items_Completos[[CODIGO]:[LINEA]],3,0)</f>
        <v>#N/A</v>
      </c>
      <c r="E434" s="1" t="e">
        <f>VLOOKUP(Tabla_Items_Activos[[#This Row],[CODIGO]],Tabla_Items_Completos[[CODIGO]:[LINEA]],4,0)</f>
        <v>#N/A</v>
      </c>
      <c r="F434">
        <v>84</v>
      </c>
      <c r="G434">
        <v>23</v>
      </c>
    </row>
    <row r="435" spans="1:7">
      <c r="A435" t="s">
        <v>7388</v>
      </c>
      <c r="B435" t="s">
        <v>7822</v>
      </c>
      <c r="C435" s="1" t="e">
        <f>VLOOKUP(Tabla_Items_Activos[[#This Row],[CODIGO]],Tabla_Items_Completos[[CODIGO]:[LINEA]],2,0)</f>
        <v>#N/A</v>
      </c>
      <c r="D435" s="1" t="e">
        <f>VLOOKUP(Tabla_Items_Activos[[#This Row],[CODIGO]],Tabla_Items_Completos[[CODIGO]:[LINEA]],3,0)</f>
        <v>#N/A</v>
      </c>
      <c r="E435" s="1" t="e">
        <f>VLOOKUP(Tabla_Items_Activos[[#This Row],[CODIGO]],Tabla_Items_Completos[[CODIGO]:[LINEA]],4,0)</f>
        <v>#N/A</v>
      </c>
      <c r="F435">
        <v>74</v>
      </c>
      <c r="G435">
        <v>0</v>
      </c>
    </row>
    <row r="436" spans="1:7">
      <c r="A436" t="s">
        <v>7388</v>
      </c>
      <c r="B436" t="s">
        <v>7823</v>
      </c>
      <c r="C436" s="1" t="e">
        <f>VLOOKUP(Tabla_Items_Activos[[#This Row],[CODIGO]],Tabla_Items_Completos[[CODIGO]:[LINEA]],2,0)</f>
        <v>#N/A</v>
      </c>
      <c r="D436" s="1" t="e">
        <f>VLOOKUP(Tabla_Items_Activos[[#This Row],[CODIGO]],Tabla_Items_Completos[[CODIGO]:[LINEA]],3,0)</f>
        <v>#N/A</v>
      </c>
      <c r="E436" s="1" t="e">
        <f>VLOOKUP(Tabla_Items_Activos[[#This Row],[CODIGO]],Tabla_Items_Completos[[CODIGO]:[LINEA]],4,0)</f>
        <v>#N/A</v>
      </c>
      <c r="F436">
        <v>816</v>
      </c>
      <c r="G436">
        <v>326</v>
      </c>
    </row>
    <row r="437" spans="1:7">
      <c r="A437" t="s">
        <v>7388</v>
      </c>
      <c r="B437" t="s">
        <v>7824</v>
      </c>
      <c r="C437" s="1" t="e">
        <f>VLOOKUP(Tabla_Items_Activos[[#This Row],[CODIGO]],Tabla_Items_Completos[[CODIGO]:[LINEA]],2,0)</f>
        <v>#N/A</v>
      </c>
      <c r="D437" s="1" t="e">
        <f>VLOOKUP(Tabla_Items_Activos[[#This Row],[CODIGO]],Tabla_Items_Completos[[CODIGO]:[LINEA]],3,0)</f>
        <v>#N/A</v>
      </c>
      <c r="E437" s="1" t="e">
        <f>VLOOKUP(Tabla_Items_Activos[[#This Row],[CODIGO]],Tabla_Items_Completos[[CODIGO]:[LINEA]],4,0)</f>
        <v>#N/A</v>
      </c>
      <c r="F437">
        <v>109</v>
      </c>
      <c r="G437">
        <v>0</v>
      </c>
    </row>
    <row r="438" spans="1:7">
      <c r="A438" t="s">
        <v>7388</v>
      </c>
      <c r="B438" t="s">
        <v>7825</v>
      </c>
      <c r="C438" s="1" t="e">
        <f>VLOOKUP(Tabla_Items_Activos[[#This Row],[CODIGO]],Tabla_Items_Completos[[CODIGO]:[LINEA]],2,0)</f>
        <v>#N/A</v>
      </c>
      <c r="D438" s="1" t="e">
        <f>VLOOKUP(Tabla_Items_Activos[[#This Row],[CODIGO]],Tabla_Items_Completos[[CODIGO]:[LINEA]],3,0)</f>
        <v>#N/A</v>
      </c>
      <c r="E438" s="1" t="e">
        <f>VLOOKUP(Tabla_Items_Activos[[#This Row],[CODIGO]],Tabla_Items_Completos[[CODIGO]:[LINEA]],4,0)</f>
        <v>#N/A</v>
      </c>
      <c r="F438">
        <v>60</v>
      </c>
      <c r="G438">
        <v>0</v>
      </c>
    </row>
    <row r="439" spans="1:7">
      <c r="A439" t="s">
        <v>7388</v>
      </c>
      <c r="B439" t="s">
        <v>7826</v>
      </c>
      <c r="C439" s="1" t="e">
        <f>VLOOKUP(Tabla_Items_Activos[[#This Row],[CODIGO]],Tabla_Items_Completos[[CODIGO]:[LINEA]],2,0)</f>
        <v>#N/A</v>
      </c>
      <c r="D439" s="1" t="e">
        <f>VLOOKUP(Tabla_Items_Activos[[#This Row],[CODIGO]],Tabla_Items_Completos[[CODIGO]:[LINEA]],3,0)</f>
        <v>#N/A</v>
      </c>
      <c r="E439" s="1" t="e">
        <f>VLOOKUP(Tabla_Items_Activos[[#This Row],[CODIGO]],Tabla_Items_Completos[[CODIGO]:[LINEA]],4,0)</f>
        <v>#N/A</v>
      </c>
      <c r="F439">
        <v>295</v>
      </c>
      <c r="G439">
        <v>15</v>
      </c>
    </row>
    <row r="440" spans="1:7">
      <c r="A440" t="s">
        <v>7388</v>
      </c>
      <c r="B440" t="s">
        <v>7827</v>
      </c>
      <c r="C440" s="1" t="e">
        <f>VLOOKUP(Tabla_Items_Activos[[#This Row],[CODIGO]],Tabla_Items_Completos[[CODIGO]:[LINEA]],2,0)</f>
        <v>#N/A</v>
      </c>
      <c r="D440" s="1" t="e">
        <f>VLOOKUP(Tabla_Items_Activos[[#This Row],[CODIGO]],Tabla_Items_Completos[[CODIGO]:[LINEA]],3,0)</f>
        <v>#N/A</v>
      </c>
      <c r="E440" s="1" t="e">
        <f>VLOOKUP(Tabla_Items_Activos[[#This Row],[CODIGO]],Tabla_Items_Completos[[CODIGO]:[LINEA]],4,0)</f>
        <v>#N/A</v>
      </c>
      <c r="F440">
        <v>421</v>
      </c>
      <c r="G440">
        <v>12</v>
      </c>
    </row>
    <row r="441" spans="1:7">
      <c r="A441" t="s">
        <v>7388</v>
      </c>
      <c r="B441" t="s">
        <v>7828</v>
      </c>
      <c r="C441" s="1" t="e">
        <f>VLOOKUP(Tabla_Items_Activos[[#This Row],[CODIGO]],Tabla_Items_Completos[[CODIGO]:[LINEA]],2,0)</f>
        <v>#N/A</v>
      </c>
      <c r="D441" s="1" t="e">
        <f>VLOOKUP(Tabla_Items_Activos[[#This Row],[CODIGO]],Tabla_Items_Completos[[CODIGO]:[LINEA]],3,0)</f>
        <v>#N/A</v>
      </c>
      <c r="E441" s="1" t="e">
        <f>VLOOKUP(Tabla_Items_Activos[[#This Row],[CODIGO]],Tabla_Items_Completos[[CODIGO]:[LINEA]],4,0)</f>
        <v>#N/A</v>
      </c>
      <c r="F441">
        <v>305</v>
      </c>
      <c r="G441">
        <v>297</v>
      </c>
    </row>
    <row r="442" spans="1:7">
      <c r="A442" t="s">
        <v>7388</v>
      </c>
      <c r="B442" t="s">
        <v>7829</v>
      </c>
      <c r="C442" s="1" t="e">
        <f>VLOOKUP(Tabla_Items_Activos[[#This Row],[CODIGO]],Tabla_Items_Completos[[CODIGO]:[LINEA]],2,0)</f>
        <v>#N/A</v>
      </c>
      <c r="D442" s="1" t="e">
        <f>VLOOKUP(Tabla_Items_Activos[[#This Row],[CODIGO]],Tabla_Items_Completos[[CODIGO]:[LINEA]],3,0)</f>
        <v>#N/A</v>
      </c>
      <c r="E442" s="1" t="e">
        <f>VLOOKUP(Tabla_Items_Activos[[#This Row],[CODIGO]],Tabla_Items_Completos[[CODIGO]:[LINEA]],4,0)</f>
        <v>#N/A</v>
      </c>
      <c r="F442">
        <v>82</v>
      </c>
      <c r="G442">
        <v>0</v>
      </c>
    </row>
    <row r="443" spans="1:7">
      <c r="A443" t="s">
        <v>7388</v>
      </c>
      <c r="B443" t="s">
        <v>7830</v>
      </c>
      <c r="C443" s="1" t="e">
        <f>VLOOKUP(Tabla_Items_Activos[[#This Row],[CODIGO]],Tabla_Items_Completos[[CODIGO]:[LINEA]],2,0)</f>
        <v>#N/A</v>
      </c>
      <c r="D443" s="1" t="e">
        <f>VLOOKUP(Tabla_Items_Activos[[#This Row],[CODIGO]],Tabla_Items_Completos[[CODIGO]:[LINEA]],3,0)</f>
        <v>#N/A</v>
      </c>
      <c r="E443" s="1" t="e">
        <f>VLOOKUP(Tabla_Items_Activos[[#This Row],[CODIGO]],Tabla_Items_Completos[[CODIGO]:[LINEA]],4,0)</f>
        <v>#N/A</v>
      </c>
      <c r="F443">
        <v>80</v>
      </c>
      <c r="G443">
        <v>0</v>
      </c>
    </row>
    <row r="444" spans="1:7">
      <c r="A444" t="s">
        <v>7388</v>
      </c>
      <c r="B444" t="s">
        <v>7831</v>
      </c>
      <c r="C444" s="1" t="e">
        <f>VLOOKUP(Tabla_Items_Activos[[#This Row],[CODIGO]],Tabla_Items_Completos[[CODIGO]:[LINEA]],2,0)</f>
        <v>#N/A</v>
      </c>
      <c r="D444" s="1" t="e">
        <f>VLOOKUP(Tabla_Items_Activos[[#This Row],[CODIGO]],Tabla_Items_Completos[[CODIGO]:[LINEA]],3,0)</f>
        <v>#N/A</v>
      </c>
      <c r="E444" s="1" t="e">
        <f>VLOOKUP(Tabla_Items_Activos[[#This Row],[CODIGO]],Tabla_Items_Completos[[CODIGO]:[LINEA]],4,0)</f>
        <v>#N/A</v>
      </c>
      <c r="F444">
        <v>168</v>
      </c>
      <c r="G444">
        <v>0</v>
      </c>
    </row>
    <row r="445" spans="1:7">
      <c r="A445" t="s">
        <v>7388</v>
      </c>
      <c r="B445" t="s">
        <v>7832</v>
      </c>
      <c r="C445" s="1" t="e">
        <f>VLOOKUP(Tabla_Items_Activos[[#This Row],[CODIGO]],Tabla_Items_Completos[[CODIGO]:[LINEA]],2,0)</f>
        <v>#N/A</v>
      </c>
      <c r="D445" s="1" t="e">
        <f>VLOOKUP(Tabla_Items_Activos[[#This Row],[CODIGO]],Tabla_Items_Completos[[CODIGO]:[LINEA]],3,0)</f>
        <v>#N/A</v>
      </c>
      <c r="E445" s="1" t="e">
        <f>VLOOKUP(Tabla_Items_Activos[[#This Row],[CODIGO]],Tabla_Items_Completos[[CODIGO]:[LINEA]],4,0)</f>
        <v>#N/A</v>
      </c>
      <c r="F445">
        <v>121</v>
      </c>
      <c r="G445">
        <v>41</v>
      </c>
    </row>
    <row r="446" spans="1:7">
      <c r="A446" t="s">
        <v>7388</v>
      </c>
      <c r="B446" t="s">
        <v>7833</v>
      </c>
      <c r="C446" s="1" t="e">
        <f>VLOOKUP(Tabla_Items_Activos[[#This Row],[CODIGO]],Tabla_Items_Completos[[CODIGO]:[LINEA]],2,0)</f>
        <v>#N/A</v>
      </c>
      <c r="D446" s="1" t="e">
        <f>VLOOKUP(Tabla_Items_Activos[[#This Row],[CODIGO]],Tabla_Items_Completos[[CODIGO]:[LINEA]],3,0)</f>
        <v>#N/A</v>
      </c>
      <c r="E446" s="1" t="e">
        <f>VLOOKUP(Tabla_Items_Activos[[#This Row],[CODIGO]],Tabla_Items_Completos[[CODIGO]:[LINEA]],4,0)</f>
        <v>#N/A</v>
      </c>
      <c r="F446">
        <v>71</v>
      </c>
      <c r="G446">
        <v>0</v>
      </c>
    </row>
    <row r="447" spans="1:7">
      <c r="A447" t="s">
        <v>7388</v>
      </c>
      <c r="B447" t="s">
        <v>7834</v>
      </c>
      <c r="C447" s="1" t="e">
        <f>VLOOKUP(Tabla_Items_Activos[[#This Row],[CODIGO]],Tabla_Items_Completos[[CODIGO]:[LINEA]],2,0)</f>
        <v>#N/A</v>
      </c>
      <c r="D447" s="1" t="e">
        <f>VLOOKUP(Tabla_Items_Activos[[#This Row],[CODIGO]],Tabla_Items_Completos[[CODIGO]:[LINEA]],3,0)</f>
        <v>#N/A</v>
      </c>
      <c r="E447" s="1" t="e">
        <f>VLOOKUP(Tabla_Items_Activos[[#This Row],[CODIGO]],Tabla_Items_Completos[[CODIGO]:[LINEA]],4,0)</f>
        <v>#N/A</v>
      </c>
      <c r="F447">
        <v>45</v>
      </c>
      <c r="G447">
        <v>21</v>
      </c>
    </row>
    <row r="448" spans="1:7">
      <c r="A448" t="s">
        <v>7388</v>
      </c>
      <c r="B448" t="s">
        <v>7835</v>
      </c>
      <c r="C448" s="1" t="e">
        <f>VLOOKUP(Tabla_Items_Activos[[#This Row],[CODIGO]],Tabla_Items_Completos[[CODIGO]:[LINEA]],2,0)</f>
        <v>#N/A</v>
      </c>
      <c r="D448" s="1" t="e">
        <f>VLOOKUP(Tabla_Items_Activos[[#This Row],[CODIGO]],Tabla_Items_Completos[[CODIGO]:[LINEA]],3,0)</f>
        <v>#N/A</v>
      </c>
      <c r="E448" s="1" t="e">
        <f>VLOOKUP(Tabla_Items_Activos[[#This Row],[CODIGO]],Tabla_Items_Completos[[CODIGO]:[LINEA]],4,0)</f>
        <v>#N/A</v>
      </c>
      <c r="F448">
        <v>38</v>
      </c>
      <c r="G448">
        <v>20</v>
      </c>
    </row>
    <row r="449" spans="1:7">
      <c r="A449" t="s">
        <v>7388</v>
      </c>
      <c r="B449" t="s">
        <v>7836</v>
      </c>
      <c r="C449" s="1" t="e">
        <f>VLOOKUP(Tabla_Items_Activos[[#This Row],[CODIGO]],Tabla_Items_Completos[[CODIGO]:[LINEA]],2,0)</f>
        <v>#N/A</v>
      </c>
      <c r="D449" s="1" t="e">
        <f>VLOOKUP(Tabla_Items_Activos[[#This Row],[CODIGO]],Tabla_Items_Completos[[CODIGO]:[LINEA]],3,0)</f>
        <v>#N/A</v>
      </c>
      <c r="E449" s="1" t="e">
        <f>VLOOKUP(Tabla_Items_Activos[[#This Row],[CODIGO]],Tabla_Items_Completos[[CODIGO]:[LINEA]],4,0)</f>
        <v>#N/A</v>
      </c>
      <c r="F449">
        <v>416</v>
      </c>
      <c r="G449">
        <v>0</v>
      </c>
    </row>
    <row r="450" spans="1:7">
      <c r="A450" t="s">
        <v>7388</v>
      </c>
      <c r="B450" t="s">
        <v>7837</v>
      </c>
      <c r="C450" s="1" t="e">
        <f>VLOOKUP(Tabla_Items_Activos[[#This Row],[CODIGO]],Tabla_Items_Completos[[CODIGO]:[LINEA]],2,0)</f>
        <v>#N/A</v>
      </c>
      <c r="D450" s="1" t="e">
        <f>VLOOKUP(Tabla_Items_Activos[[#This Row],[CODIGO]],Tabla_Items_Completos[[CODIGO]:[LINEA]],3,0)</f>
        <v>#N/A</v>
      </c>
      <c r="E450" s="1" t="e">
        <f>VLOOKUP(Tabla_Items_Activos[[#This Row],[CODIGO]],Tabla_Items_Completos[[CODIGO]:[LINEA]],4,0)</f>
        <v>#N/A</v>
      </c>
      <c r="F450">
        <v>441</v>
      </c>
      <c r="G450">
        <v>0</v>
      </c>
    </row>
    <row r="451" spans="1:7">
      <c r="A451" t="s">
        <v>7388</v>
      </c>
      <c r="B451" t="s">
        <v>7838</v>
      </c>
      <c r="C451" s="1" t="e">
        <f>VLOOKUP(Tabla_Items_Activos[[#This Row],[CODIGO]],Tabla_Items_Completos[[CODIGO]:[LINEA]],2,0)</f>
        <v>#N/A</v>
      </c>
      <c r="D451" s="1" t="e">
        <f>VLOOKUP(Tabla_Items_Activos[[#This Row],[CODIGO]],Tabla_Items_Completos[[CODIGO]:[LINEA]],3,0)</f>
        <v>#N/A</v>
      </c>
      <c r="E451" s="1" t="e">
        <f>VLOOKUP(Tabla_Items_Activos[[#This Row],[CODIGO]],Tabla_Items_Completos[[CODIGO]:[LINEA]],4,0)</f>
        <v>#N/A</v>
      </c>
      <c r="F451">
        <v>447</v>
      </c>
      <c r="G451">
        <v>21</v>
      </c>
    </row>
    <row r="452" spans="1:7">
      <c r="A452" t="s">
        <v>7388</v>
      </c>
      <c r="B452" t="s">
        <v>7839</v>
      </c>
      <c r="C452" s="1" t="e">
        <f>VLOOKUP(Tabla_Items_Activos[[#This Row],[CODIGO]],Tabla_Items_Completos[[CODIGO]:[LINEA]],2,0)</f>
        <v>#N/A</v>
      </c>
      <c r="D452" s="1" t="e">
        <f>VLOOKUP(Tabla_Items_Activos[[#This Row],[CODIGO]],Tabla_Items_Completos[[CODIGO]:[LINEA]],3,0)</f>
        <v>#N/A</v>
      </c>
      <c r="E452" s="1" t="e">
        <f>VLOOKUP(Tabla_Items_Activos[[#This Row],[CODIGO]],Tabla_Items_Completos[[CODIGO]:[LINEA]],4,0)</f>
        <v>#N/A</v>
      </c>
      <c r="F452">
        <v>444</v>
      </c>
      <c r="G452">
        <v>10</v>
      </c>
    </row>
    <row r="453" spans="1:7">
      <c r="A453" t="s">
        <v>7388</v>
      </c>
      <c r="B453" t="s">
        <v>7840</v>
      </c>
      <c r="C453" s="1" t="e">
        <f>VLOOKUP(Tabla_Items_Activos[[#This Row],[CODIGO]],Tabla_Items_Completos[[CODIGO]:[LINEA]],2,0)</f>
        <v>#N/A</v>
      </c>
      <c r="D453" s="1" t="e">
        <f>VLOOKUP(Tabla_Items_Activos[[#This Row],[CODIGO]],Tabla_Items_Completos[[CODIGO]:[LINEA]],3,0)</f>
        <v>#N/A</v>
      </c>
      <c r="E453" s="1" t="e">
        <f>VLOOKUP(Tabla_Items_Activos[[#This Row],[CODIGO]],Tabla_Items_Completos[[CODIGO]:[LINEA]],4,0)</f>
        <v>#N/A</v>
      </c>
      <c r="F453">
        <v>9</v>
      </c>
      <c r="G453">
        <v>45</v>
      </c>
    </row>
    <row r="454" spans="1:7">
      <c r="A454" t="s">
        <v>7388</v>
      </c>
      <c r="B454" t="s">
        <v>7841</v>
      </c>
      <c r="C454" s="1" t="e">
        <f>VLOOKUP(Tabla_Items_Activos[[#This Row],[CODIGO]],Tabla_Items_Completos[[CODIGO]:[LINEA]],2,0)</f>
        <v>#N/A</v>
      </c>
      <c r="D454" s="1" t="e">
        <f>VLOOKUP(Tabla_Items_Activos[[#This Row],[CODIGO]],Tabla_Items_Completos[[CODIGO]:[LINEA]],3,0)</f>
        <v>#N/A</v>
      </c>
      <c r="E454" s="1" t="e">
        <f>VLOOKUP(Tabla_Items_Activos[[#This Row],[CODIGO]],Tabla_Items_Completos[[CODIGO]:[LINEA]],4,0)</f>
        <v>#N/A</v>
      </c>
      <c r="F454">
        <v>12</v>
      </c>
      <c r="G454">
        <v>39</v>
      </c>
    </row>
    <row r="455" spans="1:7">
      <c r="A455" t="s">
        <v>7388</v>
      </c>
      <c r="B455" t="s">
        <v>7842</v>
      </c>
      <c r="C455" s="1" t="e">
        <f>VLOOKUP(Tabla_Items_Activos[[#This Row],[CODIGO]],Tabla_Items_Completos[[CODIGO]:[LINEA]],2,0)</f>
        <v>#N/A</v>
      </c>
      <c r="D455" s="1" t="e">
        <f>VLOOKUP(Tabla_Items_Activos[[#This Row],[CODIGO]],Tabla_Items_Completos[[CODIGO]:[LINEA]],3,0)</f>
        <v>#N/A</v>
      </c>
      <c r="E455" s="1" t="e">
        <f>VLOOKUP(Tabla_Items_Activos[[#This Row],[CODIGO]],Tabla_Items_Completos[[CODIGO]:[LINEA]],4,0)</f>
        <v>#N/A</v>
      </c>
      <c r="F455">
        <v>23</v>
      </c>
      <c r="G455">
        <v>38</v>
      </c>
    </row>
    <row r="456" spans="1:7">
      <c r="A456" t="s">
        <v>7388</v>
      </c>
      <c r="B456" t="s">
        <v>7843</v>
      </c>
      <c r="C456" s="1" t="e">
        <f>VLOOKUP(Tabla_Items_Activos[[#This Row],[CODIGO]],Tabla_Items_Completos[[CODIGO]:[LINEA]],2,0)</f>
        <v>#N/A</v>
      </c>
      <c r="D456" s="1" t="e">
        <f>VLOOKUP(Tabla_Items_Activos[[#This Row],[CODIGO]],Tabla_Items_Completos[[CODIGO]:[LINEA]],3,0)</f>
        <v>#N/A</v>
      </c>
      <c r="E456" s="1" t="e">
        <f>VLOOKUP(Tabla_Items_Activos[[#This Row],[CODIGO]],Tabla_Items_Completos[[CODIGO]:[LINEA]],4,0)</f>
        <v>#N/A</v>
      </c>
      <c r="F456">
        <v>2</v>
      </c>
      <c r="G456">
        <v>0</v>
      </c>
    </row>
    <row r="457" spans="1:7">
      <c r="A457" t="s">
        <v>7388</v>
      </c>
      <c r="B457" t="s">
        <v>7844</v>
      </c>
      <c r="C457" s="1" t="e">
        <f>VLOOKUP(Tabla_Items_Activos[[#This Row],[CODIGO]],Tabla_Items_Completos[[CODIGO]:[LINEA]],2,0)</f>
        <v>#N/A</v>
      </c>
      <c r="D457" s="1" t="e">
        <f>VLOOKUP(Tabla_Items_Activos[[#This Row],[CODIGO]],Tabla_Items_Completos[[CODIGO]:[LINEA]],3,0)</f>
        <v>#N/A</v>
      </c>
      <c r="E457" s="1" t="e">
        <f>VLOOKUP(Tabla_Items_Activos[[#This Row],[CODIGO]],Tabla_Items_Completos[[CODIGO]:[LINEA]],4,0)</f>
        <v>#N/A</v>
      </c>
      <c r="F457">
        <v>1403</v>
      </c>
      <c r="G457">
        <v>294</v>
      </c>
    </row>
    <row r="458" spans="1:7">
      <c r="A458" t="s">
        <v>7388</v>
      </c>
      <c r="B458" t="s">
        <v>7845</v>
      </c>
      <c r="C458" s="1" t="e">
        <f>VLOOKUP(Tabla_Items_Activos[[#This Row],[CODIGO]],Tabla_Items_Completos[[CODIGO]:[LINEA]],2,0)</f>
        <v>#N/A</v>
      </c>
      <c r="D458" s="1" t="e">
        <f>VLOOKUP(Tabla_Items_Activos[[#This Row],[CODIGO]],Tabla_Items_Completos[[CODIGO]:[LINEA]],3,0)</f>
        <v>#N/A</v>
      </c>
      <c r="E458" s="1" t="e">
        <f>VLOOKUP(Tabla_Items_Activos[[#This Row],[CODIGO]],Tabla_Items_Completos[[CODIGO]:[LINEA]],4,0)</f>
        <v>#N/A</v>
      </c>
      <c r="F458">
        <v>3284</v>
      </c>
      <c r="G458">
        <v>852</v>
      </c>
    </row>
    <row r="459" spans="1:7">
      <c r="A459" t="s">
        <v>7388</v>
      </c>
      <c r="B459" t="s">
        <v>7846</v>
      </c>
      <c r="C459" s="1" t="e">
        <f>VLOOKUP(Tabla_Items_Activos[[#This Row],[CODIGO]],Tabla_Items_Completos[[CODIGO]:[LINEA]],2,0)</f>
        <v>#N/A</v>
      </c>
      <c r="D459" s="1" t="e">
        <f>VLOOKUP(Tabla_Items_Activos[[#This Row],[CODIGO]],Tabla_Items_Completos[[CODIGO]:[LINEA]],3,0)</f>
        <v>#N/A</v>
      </c>
      <c r="E459" s="1" t="e">
        <f>VLOOKUP(Tabla_Items_Activos[[#This Row],[CODIGO]],Tabla_Items_Completos[[CODIGO]:[LINEA]],4,0)</f>
        <v>#N/A</v>
      </c>
      <c r="F459">
        <v>2448</v>
      </c>
      <c r="G459">
        <v>448</v>
      </c>
    </row>
    <row r="460" spans="1:7">
      <c r="A460" t="s">
        <v>7388</v>
      </c>
      <c r="B460" t="s">
        <v>7847</v>
      </c>
      <c r="C460" s="1" t="e">
        <f>VLOOKUP(Tabla_Items_Activos[[#This Row],[CODIGO]],Tabla_Items_Completos[[CODIGO]:[LINEA]],2,0)</f>
        <v>#N/A</v>
      </c>
      <c r="D460" s="1" t="e">
        <f>VLOOKUP(Tabla_Items_Activos[[#This Row],[CODIGO]],Tabla_Items_Completos[[CODIGO]:[LINEA]],3,0)</f>
        <v>#N/A</v>
      </c>
      <c r="E460" s="1" t="e">
        <f>VLOOKUP(Tabla_Items_Activos[[#This Row],[CODIGO]],Tabla_Items_Completos[[CODIGO]:[LINEA]],4,0)</f>
        <v>#N/A</v>
      </c>
      <c r="F460">
        <v>2205</v>
      </c>
      <c r="G460">
        <v>834</v>
      </c>
    </row>
    <row r="461" spans="1:7">
      <c r="A461" t="s">
        <v>7388</v>
      </c>
      <c r="B461" t="s">
        <v>7848</v>
      </c>
      <c r="C461" s="1" t="e">
        <f>VLOOKUP(Tabla_Items_Activos[[#This Row],[CODIGO]],Tabla_Items_Completos[[CODIGO]:[LINEA]],2,0)</f>
        <v>#N/A</v>
      </c>
      <c r="D461" s="1" t="e">
        <f>VLOOKUP(Tabla_Items_Activos[[#This Row],[CODIGO]],Tabla_Items_Completos[[CODIGO]:[LINEA]],3,0)</f>
        <v>#N/A</v>
      </c>
      <c r="E461" s="1" t="e">
        <f>VLOOKUP(Tabla_Items_Activos[[#This Row],[CODIGO]],Tabla_Items_Completos[[CODIGO]:[LINEA]],4,0)</f>
        <v>#N/A</v>
      </c>
      <c r="F461">
        <v>618</v>
      </c>
      <c r="G461">
        <v>119</v>
      </c>
    </row>
    <row r="462" spans="1:7">
      <c r="A462" t="s">
        <v>7388</v>
      </c>
      <c r="B462" t="s">
        <v>7849</v>
      </c>
      <c r="C462" s="1" t="e">
        <f>VLOOKUP(Tabla_Items_Activos[[#This Row],[CODIGO]],Tabla_Items_Completos[[CODIGO]:[LINEA]],2,0)</f>
        <v>#N/A</v>
      </c>
      <c r="D462" s="1" t="e">
        <f>VLOOKUP(Tabla_Items_Activos[[#This Row],[CODIGO]],Tabla_Items_Completos[[CODIGO]:[LINEA]],3,0)</f>
        <v>#N/A</v>
      </c>
      <c r="E462" s="1" t="e">
        <f>VLOOKUP(Tabla_Items_Activos[[#This Row],[CODIGO]],Tabla_Items_Completos[[CODIGO]:[LINEA]],4,0)</f>
        <v>#N/A</v>
      </c>
      <c r="F462">
        <v>518</v>
      </c>
      <c r="G462">
        <v>165</v>
      </c>
    </row>
    <row r="463" spans="1:7">
      <c r="A463" t="s">
        <v>7388</v>
      </c>
      <c r="B463" t="s">
        <v>7850</v>
      </c>
      <c r="C463" s="1" t="e">
        <f>VLOOKUP(Tabla_Items_Activos[[#This Row],[CODIGO]],Tabla_Items_Completos[[CODIGO]:[LINEA]],2,0)</f>
        <v>#N/A</v>
      </c>
      <c r="D463" s="1" t="e">
        <f>VLOOKUP(Tabla_Items_Activos[[#This Row],[CODIGO]],Tabla_Items_Completos[[CODIGO]:[LINEA]],3,0)</f>
        <v>#N/A</v>
      </c>
      <c r="E463" s="1" t="e">
        <f>VLOOKUP(Tabla_Items_Activos[[#This Row],[CODIGO]],Tabla_Items_Completos[[CODIGO]:[LINEA]],4,0)</f>
        <v>#N/A</v>
      </c>
      <c r="F463">
        <v>2001</v>
      </c>
      <c r="G463">
        <v>494</v>
      </c>
    </row>
    <row r="464" spans="1:7">
      <c r="A464" t="s">
        <v>7388</v>
      </c>
      <c r="B464" t="s">
        <v>7851</v>
      </c>
      <c r="C464" s="1" t="e">
        <f>VLOOKUP(Tabla_Items_Activos[[#This Row],[CODIGO]],Tabla_Items_Completos[[CODIGO]:[LINEA]],2,0)</f>
        <v>#N/A</v>
      </c>
      <c r="D464" s="1" t="e">
        <f>VLOOKUP(Tabla_Items_Activos[[#This Row],[CODIGO]],Tabla_Items_Completos[[CODIGO]:[LINEA]],3,0)</f>
        <v>#N/A</v>
      </c>
      <c r="E464" s="1" t="e">
        <f>VLOOKUP(Tabla_Items_Activos[[#This Row],[CODIGO]],Tabla_Items_Completos[[CODIGO]:[LINEA]],4,0)</f>
        <v>#N/A</v>
      </c>
      <c r="F464">
        <v>3269</v>
      </c>
      <c r="G464">
        <v>951</v>
      </c>
    </row>
    <row r="465" spans="1:7">
      <c r="A465" t="s">
        <v>7388</v>
      </c>
      <c r="B465" t="s">
        <v>7852</v>
      </c>
      <c r="C465" s="1" t="e">
        <f>VLOOKUP(Tabla_Items_Activos[[#This Row],[CODIGO]],Tabla_Items_Completos[[CODIGO]:[LINEA]],2,0)</f>
        <v>#N/A</v>
      </c>
      <c r="D465" s="1" t="e">
        <f>VLOOKUP(Tabla_Items_Activos[[#This Row],[CODIGO]],Tabla_Items_Completos[[CODIGO]:[LINEA]],3,0)</f>
        <v>#N/A</v>
      </c>
      <c r="E465" s="1" t="e">
        <f>VLOOKUP(Tabla_Items_Activos[[#This Row],[CODIGO]],Tabla_Items_Completos[[CODIGO]:[LINEA]],4,0)</f>
        <v>#N/A</v>
      </c>
      <c r="F465">
        <v>361</v>
      </c>
      <c r="G465">
        <v>213</v>
      </c>
    </row>
    <row r="466" spans="1:7">
      <c r="A466" t="s">
        <v>7388</v>
      </c>
      <c r="B466" t="s">
        <v>7853</v>
      </c>
      <c r="C466" s="1" t="e">
        <f>VLOOKUP(Tabla_Items_Activos[[#This Row],[CODIGO]],Tabla_Items_Completos[[CODIGO]:[LINEA]],2,0)</f>
        <v>#N/A</v>
      </c>
      <c r="D466" s="1" t="e">
        <f>VLOOKUP(Tabla_Items_Activos[[#This Row],[CODIGO]],Tabla_Items_Completos[[CODIGO]:[LINEA]],3,0)</f>
        <v>#N/A</v>
      </c>
      <c r="E466" s="1" t="e">
        <f>VLOOKUP(Tabla_Items_Activos[[#This Row],[CODIGO]],Tabla_Items_Completos[[CODIGO]:[LINEA]],4,0)</f>
        <v>#N/A</v>
      </c>
      <c r="F466">
        <v>3164</v>
      </c>
      <c r="G466">
        <v>790</v>
      </c>
    </row>
    <row r="467" spans="1:7">
      <c r="A467" t="s">
        <v>7388</v>
      </c>
      <c r="B467" t="s">
        <v>7854</v>
      </c>
      <c r="C467" s="1" t="e">
        <f>VLOOKUP(Tabla_Items_Activos[[#This Row],[CODIGO]],Tabla_Items_Completos[[CODIGO]:[LINEA]],2,0)</f>
        <v>#N/A</v>
      </c>
      <c r="D467" s="1" t="e">
        <f>VLOOKUP(Tabla_Items_Activos[[#This Row],[CODIGO]],Tabla_Items_Completos[[CODIGO]:[LINEA]],3,0)</f>
        <v>#N/A</v>
      </c>
      <c r="E467" s="1" t="e">
        <f>VLOOKUP(Tabla_Items_Activos[[#This Row],[CODIGO]],Tabla_Items_Completos[[CODIGO]:[LINEA]],4,0)</f>
        <v>#N/A</v>
      </c>
      <c r="F467">
        <v>1601</v>
      </c>
      <c r="G467">
        <v>694</v>
      </c>
    </row>
    <row r="468" spans="1:7">
      <c r="A468" t="s">
        <v>7388</v>
      </c>
      <c r="B468" t="s">
        <v>7855</v>
      </c>
      <c r="C468" s="1" t="e">
        <f>VLOOKUP(Tabla_Items_Activos[[#This Row],[CODIGO]],Tabla_Items_Completos[[CODIGO]:[LINEA]],2,0)</f>
        <v>#N/A</v>
      </c>
      <c r="D468" s="1" t="e">
        <f>VLOOKUP(Tabla_Items_Activos[[#This Row],[CODIGO]],Tabla_Items_Completos[[CODIGO]:[LINEA]],3,0)</f>
        <v>#N/A</v>
      </c>
      <c r="E468" s="1" t="e">
        <f>VLOOKUP(Tabla_Items_Activos[[#This Row],[CODIGO]],Tabla_Items_Completos[[CODIGO]:[LINEA]],4,0)</f>
        <v>#N/A</v>
      </c>
      <c r="F468">
        <v>2935</v>
      </c>
      <c r="G468">
        <v>1061</v>
      </c>
    </row>
    <row r="469" spans="1:7">
      <c r="A469" t="s">
        <v>7388</v>
      </c>
      <c r="B469" t="s">
        <v>7856</v>
      </c>
      <c r="C469" s="1" t="e">
        <f>VLOOKUP(Tabla_Items_Activos[[#This Row],[CODIGO]],Tabla_Items_Completos[[CODIGO]:[LINEA]],2,0)</f>
        <v>#N/A</v>
      </c>
      <c r="D469" s="1" t="e">
        <f>VLOOKUP(Tabla_Items_Activos[[#This Row],[CODIGO]],Tabla_Items_Completos[[CODIGO]:[LINEA]],3,0)</f>
        <v>#N/A</v>
      </c>
      <c r="E469" s="1" t="e">
        <f>VLOOKUP(Tabla_Items_Activos[[#This Row],[CODIGO]],Tabla_Items_Completos[[CODIGO]:[LINEA]],4,0)</f>
        <v>#N/A</v>
      </c>
      <c r="F469">
        <v>1359</v>
      </c>
      <c r="G469">
        <v>182</v>
      </c>
    </row>
    <row r="470" spans="1:7">
      <c r="A470" t="s">
        <v>7388</v>
      </c>
      <c r="B470" t="s">
        <v>7857</v>
      </c>
      <c r="C470" s="1" t="e">
        <f>VLOOKUP(Tabla_Items_Activos[[#This Row],[CODIGO]],Tabla_Items_Completos[[CODIGO]:[LINEA]],2,0)</f>
        <v>#N/A</v>
      </c>
      <c r="D470" s="1" t="e">
        <f>VLOOKUP(Tabla_Items_Activos[[#This Row],[CODIGO]],Tabla_Items_Completos[[CODIGO]:[LINEA]],3,0)</f>
        <v>#N/A</v>
      </c>
      <c r="E470" s="1" t="e">
        <f>VLOOKUP(Tabla_Items_Activos[[#This Row],[CODIGO]],Tabla_Items_Completos[[CODIGO]:[LINEA]],4,0)</f>
        <v>#N/A</v>
      </c>
      <c r="F470">
        <v>447</v>
      </c>
      <c r="G470">
        <v>345</v>
      </c>
    </row>
    <row r="471" spans="1:7">
      <c r="A471" t="s">
        <v>7388</v>
      </c>
      <c r="B471" t="s">
        <v>7858</v>
      </c>
      <c r="C471" s="1" t="e">
        <f>VLOOKUP(Tabla_Items_Activos[[#This Row],[CODIGO]],Tabla_Items_Completos[[CODIGO]:[LINEA]],2,0)</f>
        <v>#N/A</v>
      </c>
      <c r="D471" s="1" t="e">
        <f>VLOOKUP(Tabla_Items_Activos[[#This Row],[CODIGO]],Tabla_Items_Completos[[CODIGO]:[LINEA]],3,0)</f>
        <v>#N/A</v>
      </c>
      <c r="E471" s="1" t="e">
        <f>VLOOKUP(Tabla_Items_Activos[[#This Row],[CODIGO]],Tabla_Items_Completos[[CODIGO]:[LINEA]],4,0)</f>
        <v>#N/A</v>
      </c>
      <c r="F471">
        <v>231</v>
      </c>
      <c r="G471">
        <v>123</v>
      </c>
    </row>
    <row r="472" spans="1:7">
      <c r="A472" t="s">
        <v>7388</v>
      </c>
      <c r="B472" t="s">
        <v>7859</v>
      </c>
      <c r="C472" s="1" t="e">
        <f>VLOOKUP(Tabla_Items_Activos[[#This Row],[CODIGO]],Tabla_Items_Completos[[CODIGO]:[LINEA]],2,0)</f>
        <v>#N/A</v>
      </c>
      <c r="D472" s="1" t="e">
        <f>VLOOKUP(Tabla_Items_Activos[[#This Row],[CODIGO]],Tabla_Items_Completos[[CODIGO]:[LINEA]],3,0)</f>
        <v>#N/A</v>
      </c>
      <c r="E472" s="1" t="e">
        <f>VLOOKUP(Tabla_Items_Activos[[#This Row],[CODIGO]],Tabla_Items_Completos[[CODIGO]:[LINEA]],4,0)</f>
        <v>#N/A</v>
      </c>
      <c r="F472">
        <v>1216</v>
      </c>
      <c r="G472">
        <v>530</v>
      </c>
    </row>
    <row r="473" spans="1:7">
      <c r="A473" t="s">
        <v>7388</v>
      </c>
      <c r="B473" t="s">
        <v>7860</v>
      </c>
      <c r="C473" s="1" t="e">
        <f>VLOOKUP(Tabla_Items_Activos[[#This Row],[CODIGO]],Tabla_Items_Completos[[CODIGO]:[LINEA]],2,0)</f>
        <v>#N/A</v>
      </c>
      <c r="D473" s="1" t="e">
        <f>VLOOKUP(Tabla_Items_Activos[[#This Row],[CODIGO]],Tabla_Items_Completos[[CODIGO]:[LINEA]],3,0)</f>
        <v>#N/A</v>
      </c>
      <c r="E473" s="1" t="e">
        <f>VLOOKUP(Tabla_Items_Activos[[#This Row],[CODIGO]],Tabla_Items_Completos[[CODIGO]:[LINEA]],4,0)</f>
        <v>#N/A</v>
      </c>
      <c r="F473">
        <v>700</v>
      </c>
      <c r="G473">
        <v>358</v>
      </c>
    </row>
    <row r="474" spans="1:7">
      <c r="A474" t="s">
        <v>7388</v>
      </c>
      <c r="B474" t="s">
        <v>7861</v>
      </c>
      <c r="C474" s="1" t="e">
        <f>VLOOKUP(Tabla_Items_Activos[[#This Row],[CODIGO]],Tabla_Items_Completos[[CODIGO]:[LINEA]],2,0)</f>
        <v>#N/A</v>
      </c>
      <c r="D474" s="1" t="e">
        <f>VLOOKUP(Tabla_Items_Activos[[#This Row],[CODIGO]],Tabla_Items_Completos[[CODIGO]:[LINEA]],3,0)</f>
        <v>#N/A</v>
      </c>
      <c r="E474" s="1" t="e">
        <f>VLOOKUP(Tabla_Items_Activos[[#This Row],[CODIGO]],Tabla_Items_Completos[[CODIGO]:[LINEA]],4,0)</f>
        <v>#N/A</v>
      </c>
      <c r="F474">
        <v>898</v>
      </c>
      <c r="G474">
        <v>193</v>
      </c>
    </row>
    <row r="475" spans="1:7">
      <c r="A475" t="s">
        <v>7388</v>
      </c>
      <c r="B475" t="s">
        <v>7862</v>
      </c>
      <c r="C475" s="1" t="e">
        <f>VLOOKUP(Tabla_Items_Activos[[#This Row],[CODIGO]],Tabla_Items_Completos[[CODIGO]:[LINEA]],2,0)</f>
        <v>#N/A</v>
      </c>
      <c r="D475" s="1" t="e">
        <f>VLOOKUP(Tabla_Items_Activos[[#This Row],[CODIGO]],Tabla_Items_Completos[[CODIGO]:[LINEA]],3,0)</f>
        <v>#N/A</v>
      </c>
      <c r="E475" s="1" t="e">
        <f>VLOOKUP(Tabla_Items_Activos[[#This Row],[CODIGO]],Tabla_Items_Completos[[CODIGO]:[LINEA]],4,0)</f>
        <v>#N/A</v>
      </c>
      <c r="F475">
        <v>390</v>
      </c>
      <c r="G475">
        <v>223</v>
      </c>
    </row>
    <row r="476" spans="1:7">
      <c r="A476" t="s">
        <v>7388</v>
      </c>
      <c r="B476" t="s">
        <v>7863</v>
      </c>
      <c r="C476" s="1" t="e">
        <f>VLOOKUP(Tabla_Items_Activos[[#This Row],[CODIGO]],Tabla_Items_Completos[[CODIGO]:[LINEA]],2,0)</f>
        <v>#N/A</v>
      </c>
      <c r="D476" s="1" t="e">
        <f>VLOOKUP(Tabla_Items_Activos[[#This Row],[CODIGO]],Tabla_Items_Completos[[CODIGO]:[LINEA]],3,0)</f>
        <v>#N/A</v>
      </c>
      <c r="E476" s="1" t="e">
        <f>VLOOKUP(Tabla_Items_Activos[[#This Row],[CODIGO]],Tabla_Items_Completos[[CODIGO]:[LINEA]],4,0)</f>
        <v>#N/A</v>
      </c>
      <c r="F476">
        <v>718</v>
      </c>
      <c r="G476">
        <v>467</v>
      </c>
    </row>
    <row r="477" spans="1:7">
      <c r="A477" t="s">
        <v>7388</v>
      </c>
      <c r="B477" t="s">
        <v>7864</v>
      </c>
      <c r="C477" s="1" t="e">
        <f>VLOOKUP(Tabla_Items_Activos[[#This Row],[CODIGO]],Tabla_Items_Completos[[CODIGO]:[LINEA]],2,0)</f>
        <v>#N/A</v>
      </c>
      <c r="D477" s="1" t="e">
        <f>VLOOKUP(Tabla_Items_Activos[[#This Row],[CODIGO]],Tabla_Items_Completos[[CODIGO]:[LINEA]],3,0)</f>
        <v>#N/A</v>
      </c>
      <c r="E477" s="1" t="e">
        <f>VLOOKUP(Tabla_Items_Activos[[#This Row],[CODIGO]],Tabla_Items_Completos[[CODIGO]:[LINEA]],4,0)</f>
        <v>#N/A</v>
      </c>
      <c r="F477">
        <v>755</v>
      </c>
      <c r="G477">
        <v>191</v>
      </c>
    </row>
    <row r="478" spans="1:7">
      <c r="A478" t="s">
        <v>7388</v>
      </c>
      <c r="B478" t="s">
        <v>7865</v>
      </c>
      <c r="C478" s="1" t="e">
        <f>VLOOKUP(Tabla_Items_Activos[[#This Row],[CODIGO]],Tabla_Items_Completos[[CODIGO]:[LINEA]],2,0)</f>
        <v>#N/A</v>
      </c>
      <c r="D478" s="1" t="e">
        <f>VLOOKUP(Tabla_Items_Activos[[#This Row],[CODIGO]],Tabla_Items_Completos[[CODIGO]:[LINEA]],3,0)</f>
        <v>#N/A</v>
      </c>
      <c r="E478" s="1" t="e">
        <f>VLOOKUP(Tabla_Items_Activos[[#This Row],[CODIGO]],Tabla_Items_Completos[[CODIGO]:[LINEA]],4,0)</f>
        <v>#N/A</v>
      </c>
      <c r="F478">
        <v>628</v>
      </c>
      <c r="G478">
        <v>174</v>
      </c>
    </row>
    <row r="479" spans="1:7">
      <c r="A479" t="s">
        <v>7388</v>
      </c>
      <c r="B479" t="s">
        <v>7866</v>
      </c>
      <c r="C479" s="1" t="e">
        <f>VLOOKUP(Tabla_Items_Activos[[#This Row],[CODIGO]],Tabla_Items_Completos[[CODIGO]:[LINEA]],2,0)</f>
        <v>#N/A</v>
      </c>
      <c r="D479" s="1" t="e">
        <f>VLOOKUP(Tabla_Items_Activos[[#This Row],[CODIGO]],Tabla_Items_Completos[[CODIGO]:[LINEA]],3,0)</f>
        <v>#N/A</v>
      </c>
      <c r="E479" s="1" t="e">
        <f>VLOOKUP(Tabla_Items_Activos[[#This Row],[CODIGO]],Tabla_Items_Completos[[CODIGO]:[LINEA]],4,0)</f>
        <v>#N/A</v>
      </c>
      <c r="F479">
        <v>290</v>
      </c>
      <c r="G479">
        <v>86</v>
      </c>
    </row>
    <row r="480" spans="1:7">
      <c r="A480" t="s">
        <v>7388</v>
      </c>
      <c r="B480" t="s">
        <v>7867</v>
      </c>
      <c r="C480" s="1" t="e">
        <f>VLOOKUP(Tabla_Items_Activos[[#This Row],[CODIGO]],Tabla_Items_Completos[[CODIGO]:[LINEA]],2,0)</f>
        <v>#N/A</v>
      </c>
      <c r="D480" s="1" t="e">
        <f>VLOOKUP(Tabla_Items_Activos[[#This Row],[CODIGO]],Tabla_Items_Completos[[CODIGO]:[LINEA]],3,0)</f>
        <v>#N/A</v>
      </c>
      <c r="E480" s="1" t="e">
        <f>VLOOKUP(Tabla_Items_Activos[[#This Row],[CODIGO]],Tabla_Items_Completos[[CODIGO]:[LINEA]],4,0)</f>
        <v>#N/A</v>
      </c>
      <c r="F480">
        <v>493</v>
      </c>
      <c r="G480">
        <v>0</v>
      </c>
    </row>
    <row r="481" spans="1:7">
      <c r="A481" t="s">
        <v>7388</v>
      </c>
      <c r="B481" t="s">
        <v>7868</v>
      </c>
      <c r="C481" s="1" t="e">
        <f>VLOOKUP(Tabla_Items_Activos[[#This Row],[CODIGO]],Tabla_Items_Completos[[CODIGO]:[LINEA]],2,0)</f>
        <v>#N/A</v>
      </c>
      <c r="D481" s="1" t="e">
        <f>VLOOKUP(Tabla_Items_Activos[[#This Row],[CODIGO]],Tabla_Items_Completos[[CODIGO]:[LINEA]],3,0)</f>
        <v>#N/A</v>
      </c>
      <c r="E481" s="1" t="e">
        <f>VLOOKUP(Tabla_Items_Activos[[#This Row],[CODIGO]],Tabla_Items_Completos[[CODIGO]:[LINEA]],4,0)</f>
        <v>#N/A</v>
      </c>
      <c r="F481">
        <v>1007</v>
      </c>
      <c r="G481">
        <v>167</v>
      </c>
    </row>
    <row r="482" spans="1:7">
      <c r="A482" t="s">
        <v>7388</v>
      </c>
      <c r="B482" t="s">
        <v>7869</v>
      </c>
      <c r="C482" s="1" t="e">
        <f>VLOOKUP(Tabla_Items_Activos[[#This Row],[CODIGO]],Tabla_Items_Completos[[CODIGO]:[LINEA]],2,0)</f>
        <v>#N/A</v>
      </c>
      <c r="D482" s="1" t="e">
        <f>VLOOKUP(Tabla_Items_Activos[[#This Row],[CODIGO]],Tabla_Items_Completos[[CODIGO]:[LINEA]],3,0)</f>
        <v>#N/A</v>
      </c>
      <c r="E482" s="1" t="e">
        <f>VLOOKUP(Tabla_Items_Activos[[#This Row],[CODIGO]],Tabla_Items_Completos[[CODIGO]:[LINEA]],4,0)</f>
        <v>#N/A</v>
      </c>
      <c r="F482">
        <v>224</v>
      </c>
      <c r="G482">
        <v>184</v>
      </c>
    </row>
    <row r="483" spans="1:7">
      <c r="A483" t="s">
        <v>7388</v>
      </c>
      <c r="B483" t="s">
        <v>7870</v>
      </c>
      <c r="C483" s="1" t="e">
        <f>VLOOKUP(Tabla_Items_Activos[[#This Row],[CODIGO]],Tabla_Items_Completos[[CODIGO]:[LINEA]],2,0)</f>
        <v>#N/A</v>
      </c>
      <c r="D483" s="1" t="e">
        <f>VLOOKUP(Tabla_Items_Activos[[#This Row],[CODIGO]],Tabla_Items_Completos[[CODIGO]:[LINEA]],3,0)</f>
        <v>#N/A</v>
      </c>
      <c r="E483" s="1" t="e">
        <f>VLOOKUP(Tabla_Items_Activos[[#This Row],[CODIGO]],Tabla_Items_Completos[[CODIGO]:[LINEA]],4,0)</f>
        <v>#N/A</v>
      </c>
      <c r="F483">
        <v>1126</v>
      </c>
      <c r="G483">
        <v>228</v>
      </c>
    </row>
    <row r="484" spans="1:7">
      <c r="A484" t="s">
        <v>7388</v>
      </c>
      <c r="B484" t="s">
        <v>7871</v>
      </c>
      <c r="C484" s="1" t="e">
        <f>VLOOKUP(Tabla_Items_Activos[[#This Row],[CODIGO]],Tabla_Items_Completos[[CODIGO]:[LINEA]],2,0)</f>
        <v>#N/A</v>
      </c>
      <c r="D484" s="1" t="e">
        <f>VLOOKUP(Tabla_Items_Activos[[#This Row],[CODIGO]],Tabla_Items_Completos[[CODIGO]:[LINEA]],3,0)</f>
        <v>#N/A</v>
      </c>
      <c r="E484" s="1" t="e">
        <f>VLOOKUP(Tabla_Items_Activos[[#This Row],[CODIGO]],Tabla_Items_Completos[[CODIGO]:[LINEA]],4,0)</f>
        <v>#N/A</v>
      </c>
      <c r="F484">
        <v>765</v>
      </c>
      <c r="G484">
        <v>80</v>
      </c>
    </row>
    <row r="485" spans="1:7">
      <c r="A485" t="s">
        <v>7388</v>
      </c>
      <c r="B485" t="s">
        <v>7872</v>
      </c>
      <c r="C485" s="1" t="e">
        <f>VLOOKUP(Tabla_Items_Activos[[#This Row],[CODIGO]],Tabla_Items_Completos[[CODIGO]:[LINEA]],2,0)</f>
        <v>#N/A</v>
      </c>
      <c r="D485" s="1" t="e">
        <f>VLOOKUP(Tabla_Items_Activos[[#This Row],[CODIGO]],Tabla_Items_Completos[[CODIGO]:[LINEA]],3,0)</f>
        <v>#N/A</v>
      </c>
      <c r="E485" s="1" t="e">
        <f>VLOOKUP(Tabla_Items_Activos[[#This Row],[CODIGO]],Tabla_Items_Completos[[CODIGO]:[LINEA]],4,0)</f>
        <v>#N/A</v>
      </c>
      <c r="F485">
        <v>642</v>
      </c>
      <c r="G485">
        <v>134</v>
      </c>
    </row>
    <row r="486" spans="1:7">
      <c r="A486" t="s">
        <v>7388</v>
      </c>
      <c r="B486" t="s">
        <v>7873</v>
      </c>
      <c r="C486" s="1" t="e">
        <f>VLOOKUP(Tabla_Items_Activos[[#This Row],[CODIGO]],Tabla_Items_Completos[[CODIGO]:[LINEA]],2,0)</f>
        <v>#N/A</v>
      </c>
      <c r="D486" s="1" t="e">
        <f>VLOOKUP(Tabla_Items_Activos[[#This Row],[CODIGO]],Tabla_Items_Completos[[CODIGO]:[LINEA]],3,0)</f>
        <v>#N/A</v>
      </c>
      <c r="E486" s="1" t="e">
        <f>VLOOKUP(Tabla_Items_Activos[[#This Row],[CODIGO]],Tabla_Items_Completos[[CODIGO]:[LINEA]],4,0)</f>
        <v>#N/A</v>
      </c>
      <c r="F486">
        <v>205</v>
      </c>
      <c r="G486">
        <v>324</v>
      </c>
    </row>
    <row r="487" spans="1:7">
      <c r="A487" t="s">
        <v>7388</v>
      </c>
      <c r="B487" t="s">
        <v>7874</v>
      </c>
      <c r="C487" s="1" t="e">
        <f>VLOOKUP(Tabla_Items_Activos[[#This Row],[CODIGO]],Tabla_Items_Completos[[CODIGO]:[LINEA]],2,0)</f>
        <v>#N/A</v>
      </c>
      <c r="D487" s="1" t="e">
        <f>VLOOKUP(Tabla_Items_Activos[[#This Row],[CODIGO]],Tabla_Items_Completos[[CODIGO]:[LINEA]],3,0)</f>
        <v>#N/A</v>
      </c>
      <c r="E487" s="1" t="e">
        <f>VLOOKUP(Tabla_Items_Activos[[#This Row],[CODIGO]],Tabla_Items_Completos[[CODIGO]:[LINEA]],4,0)</f>
        <v>#N/A</v>
      </c>
      <c r="F487">
        <v>19</v>
      </c>
      <c r="G487">
        <v>668</v>
      </c>
    </row>
    <row r="488" spans="1:7">
      <c r="A488" t="s">
        <v>7388</v>
      </c>
      <c r="B488" t="s">
        <v>7875</v>
      </c>
      <c r="C488" s="1" t="e">
        <f>VLOOKUP(Tabla_Items_Activos[[#This Row],[CODIGO]],Tabla_Items_Completos[[CODIGO]:[LINEA]],2,0)</f>
        <v>#N/A</v>
      </c>
      <c r="D488" s="1" t="e">
        <f>VLOOKUP(Tabla_Items_Activos[[#This Row],[CODIGO]],Tabla_Items_Completos[[CODIGO]:[LINEA]],3,0)</f>
        <v>#N/A</v>
      </c>
      <c r="E488" s="1" t="e">
        <f>VLOOKUP(Tabla_Items_Activos[[#This Row],[CODIGO]],Tabla_Items_Completos[[CODIGO]:[LINEA]],4,0)</f>
        <v>#N/A</v>
      </c>
      <c r="F488">
        <v>29</v>
      </c>
      <c r="G488">
        <v>193</v>
      </c>
    </row>
    <row r="489" spans="1:7">
      <c r="A489" t="s">
        <v>7388</v>
      </c>
      <c r="B489" t="s">
        <v>7876</v>
      </c>
      <c r="C489" s="1" t="e">
        <f>VLOOKUP(Tabla_Items_Activos[[#This Row],[CODIGO]],Tabla_Items_Completos[[CODIGO]:[LINEA]],2,0)</f>
        <v>#N/A</v>
      </c>
      <c r="D489" s="1" t="e">
        <f>VLOOKUP(Tabla_Items_Activos[[#This Row],[CODIGO]],Tabla_Items_Completos[[CODIGO]:[LINEA]],3,0)</f>
        <v>#N/A</v>
      </c>
      <c r="E489" s="1" t="e">
        <f>VLOOKUP(Tabla_Items_Activos[[#This Row],[CODIGO]],Tabla_Items_Completos[[CODIGO]:[LINEA]],4,0)</f>
        <v>#N/A</v>
      </c>
      <c r="F489">
        <v>156</v>
      </c>
      <c r="G489">
        <v>0</v>
      </c>
    </row>
    <row r="490" spans="1:7">
      <c r="A490" t="s">
        <v>7388</v>
      </c>
      <c r="B490" t="s">
        <v>7877</v>
      </c>
      <c r="C490" s="1" t="e">
        <f>VLOOKUP(Tabla_Items_Activos[[#This Row],[CODIGO]],Tabla_Items_Completos[[CODIGO]:[LINEA]],2,0)</f>
        <v>#N/A</v>
      </c>
      <c r="D490" s="1" t="e">
        <f>VLOOKUP(Tabla_Items_Activos[[#This Row],[CODIGO]],Tabla_Items_Completos[[CODIGO]:[LINEA]],3,0)</f>
        <v>#N/A</v>
      </c>
      <c r="E490" s="1" t="e">
        <f>VLOOKUP(Tabla_Items_Activos[[#This Row],[CODIGO]],Tabla_Items_Completos[[CODIGO]:[LINEA]],4,0)</f>
        <v>#N/A</v>
      </c>
      <c r="F490">
        <v>440</v>
      </c>
      <c r="G490">
        <v>0</v>
      </c>
    </row>
    <row r="491" spans="1:7">
      <c r="A491" t="s">
        <v>7388</v>
      </c>
      <c r="B491" t="s">
        <v>7878</v>
      </c>
      <c r="C491" s="1" t="e">
        <f>VLOOKUP(Tabla_Items_Activos[[#This Row],[CODIGO]],Tabla_Items_Completos[[CODIGO]:[LINEA]],2,0)</f>
        <v>#N/A</v>
      </c>
      <c r="D491" s="1" t="e">
        <f>VLOOKUP(Tabla_Items_Activos[[#This Row],[CODIGO]],Tabla_Items_Completos[[CODIGO]:[LINEA]],3,0)</f>
        <v>#N/A</v>
      </c>
      <c r="E491" s="1" t="e">
        <f>VLOOKUP(Tabla_Items_Activos[[#This Row],[CODIGO]],Tabla_Items_Completos[[CODIGO]:[LINEA]],4,0)</f>
        <v>#N/A</v>
      </c>
      <c r="F491">
        <v>395</v>
      </c>
      <c r="G491">
        <v>0</v>
      </c>
    </row>
    <row r="492" spans="1:7">
      <c r="A492" t="s">
        <v>7388</v>
      </c>
      <c r="B492" t="s">
        <v>7879</v>
      </c>
      <c r="C492" s="1" t="e">
        <f>VLOOKUP(Tabla_Items_Activos[[#This Row],[CODIGO]],Tabla_Items_Completos[[CODIGO]:[LINEA]],2,0)</f>
        <v>#N/A</v>
      </c>
      <c r="D492" s="1" t="e">
        <f>VLOOKUP(Tabla_Items_Activos[[#This Row],[CODIGO]],Tabla_Items_Completos[[CODIGO]:[LINEA]],3,0)</f>
        <v>#N/A</v>
      </c>
      <c r="E492" s="1" t="e">
        <f>VLOOKUP(Tabla_Items_Activos[[#This Row],[CODIGO]],Tabla_Items_Completos[[CODIGO]:[LINEA]],4,0)</f>
        <v>#N/A</v>
      </c>
      <c r="F492">
        <v>170</v>
      </c>
      <c r="G492">
        <v>5</v>
      </c>
    </row>
    <row r="493" spans="1:7">
      <c r="A493" t="s">
        <v>7388</v>
      </c>
      <c r="B493" t="s">
        <v>7880</v>
      </c>
      <c r="C493" s="1" t="e">
        <f>VLOOKUP(Tabla_Items_Activos[[#This Row],[CODIGO]],Tabla_Items_Completos[[CODIGO]:[LINEA]],2,0)</f>
        <v>#N/A</v>
      </c>
      <c r="D493" s="1" t="e">
        <f>VLOOKUP(Tabla_Items_Activos[[#This Row],[CODIGO]],Tabla_Items_Completos[[CODIGO]:[LINEA]],3,0)</f>
        <v>#N/A</v>
      </c>
      <c r="E493" s="1" t="e">
        <f>VLOOKUP(Tabla_Items_Activos[[#This Row],[CODIGO]],Tabla_Items_Completos[[CODIGO]:[LINEA]],4,0)</f>
        <v>#N/A</v>
      </c>
      <c r="F493">
        <v>414</v>
      </c>
      <c r="G493">
        <v>0</v>
      </c>
    </row>
    <row r="494" spans="1:7">
      <c r="A494" t="s">
        <v>7388</v>
      </c>
      <c r="B494" t="s">
        <v>7881</v>
      </c>
      <c r="C494" s="1" t="e">
        <f>VLOOKUP(Tabla_Items_Activos[[#This Row],[CODIGO]],Tabla_Items_Completos[[CODIGO]:[LINEA]],2,0)</f>
        <v>#N/A</v>
      </c>
      <c r="D494" s="1" t="e">
        <f>VLOOKUP(Tabla_Items_Activos[[#This Row],[CODIGO]],Tabla_Items_Completos[[CODIGO]:[LINEA]],3,0)</f>
        <v>#N/A</v>
      </c>
      <c r="E494" s="1" t="e">
        <f>VLOOKUP(Tabla_Items_Activos[[#This Row],[CODIGO]],Tabla_Items_Completos[[CODIGO]:[LINEA]],4,0)</f>
        <v>#N/A</v>
      </c>
      <c r="F494">
        <v>69</v>
      </c>
      <c r="G494">
        <v>3</v>
      </c>
    </row>
    <row r="495" spans="1:7">
      <c r="A495" t="s">
        <v>7388</v>
      </c>
      <c r="B495" t="s">
        <v>7882</v>
      </c>
      <c r="C495" s="1" t="e">
        <f>VLOOKUP(Tabla_Items_Activos[[#This Row],[CODIGO]],Tabla_Items_Completos[[CODIGO]:[LINEA]],2,0)</f>
        <v>#N/A</v>
      </c>
      <c r="D495" s="1" t="e">
        <f>VLOOKUP(Tabla_Items_Activos[[#This Row],[CODIGO]],Tabla_Items_Completos[[CODIGO]:[LINEA]],3,0)</f>
        <v>#N/A</v>
      </c>
      <c r="E495" s="1" t="e">
        <f>VLOOKUP(Tabla_Items_Activos[[#This Row],[CODIGO]],Tabla_Items_Completos[[CODIGO]:[LINEA]],4,0)</f>
        <v>#N/A</v>
      </c>
      <c r="F495">
        <v>96</v>
      </c>
      <c r="G495">
        <v>56</v>
      </c>
    </row>
    <row r="496" spans="1:7">
      <c r="A496" t="s">
        <v>7388</v>
      </c>
      <c r="B496" t="s">
        <v>7883</v>
      </c>
      <c r="C496" s="1" t="e">
        <f>VLOOKUP(Tabla_Items_Activos[[#This Row],[CODIGO]],Tabla_Items_Completos[[CODIGO]:[LINEA]],2,0)</f>
        <v>#N/A</v>
      </c>
      <c r="D496" s="1" t="e">
        <f>VLOOKUP(Tabla_Items_Activos[[#This Row],[CODIGO]],Tabla_Items_Completos[[CODIGO]:[LINEA]],3,0)</f>
        <v>#N/A</v>
      </c>
      <c r="E496" s="1" t="e">
        <f>VLOOKUP(Tabla_Items_Activos[[#This Row],[CODIGO]],Tabla_Items_Completos[[CODIGO]:[LINEA]],4,0)</f>
        <v>#N/A</v>
      </c>
      <c r="F496">
        <v>407</v>
      </c>
      <c r="G496">
        <v>0</v>
      </c>
    </row>
    <row r="497" spans="1:7">
      <c r="A497" t="s">
        <v>7388</v>
      </c>
      <c r="B497" t="s">
        <v>7884</v>
      </c>
      <c r="C497" s="1" t="e">
        <f>VLOOKUP(Tabla_Items_Activos[[#This Row],[CODIGO]],Tabla_Items_Completos[[CODIGO]:[LINEA]],2,0)</f>
        <v>#N/A</v>
      </c>
      <c r="D497" s="1" t="e">
        <f>VLOOKUP(Tabla_Items_Activos[[#This Row],[CODIGO]],Tabla_Items_Completos[[CODIGO]:[LINEA]],3,0)</f>
        <v>#N/A</v>
      </c>
      <c r="E497" s="1" t="e">
        <f>VLOOKUP(Tabla_Items_Activos[[#This Row],[CODIGO]],Tabla_Items_Completos[[CODIGO]:[LINEA]],4,0)</f>
        <v>#N/A</v>
      </c>
      <c r="F497">
        <v>266</v>
      </c>
      <c r="G497">
        <v>2</v>
      </c>
    </row>
    <row r="498" spans="1:7">
      <c r="A498" t="s">
        <v>7388</v>
      </c>
      <c r="B498" t="s">
        <v>7885</v>
      </c>
      <c r="C498" s="1" t="e">
        <f>VLOOKUP(Tabla_Items_Activos[[#This Row],[CODIGO]],Tabla_Items_Completos[[CODIGO]:[LINEA]],2,0)</f>
        <v>#N/A</v>
      </c>
      <c r="D498" s="1" t="e">
        <f>VLOOKUP(Tabla_Items_Activos[[#This Row],[CODIGO]],Tabla_Items_Completos[[CODIGO]:[LINEA]],3,0)</f>
        <v>#N/A</v>
      </c>
      <c r="E498" s="1" t="e">
        <f>VLOOKUP(Tabla_Items_Activos[[#This Row],[CODIGO]],Tabla_Items_Completos[[CODIGO]:[LINEA]],4,0)</f>
        <v>#N/A</v>
      </c>
      <c r="F498">
        <v>120</v>
      </c>
      <c r="G498">
        <v>0</v>
      </c>
    </row>
    <row r="499" spans="1:7">
      <c r="A499" t="s">
        <v>7388</v>
      </c>
      <c r="B499" t="s">
        <v>7886</v>
      </c>
      <c r="C499" s="1" t="e">
        <f>VLOOKUP(Tabla_Items_Activos[[#This Row],[CODIGO]],Tabla_Items_Completos[[CODIGO]:[LINEA]],2,0)</f>
        <v>#N/A</v>
      </c>
      <c r="D499" s="1" t="e">
        <f>VLOOKUP(Tabla_Items_Activos[[#This Row],[CODIGO]],Tabla_Items_Completos[[CODIGO]:[LINEA]],3,0)</f>
        <v>#N/A</v>
      </c>
      <c r="E499" s="1" t="e">
        <f>VLOOKUP(Tabla_Items_Activos[[#This Row],[CODIGO]],Tabla_Items_Completos[[CODIGO]:[LINEA]],4,0)</f>
        <v>#N/A</v>
      </c>
      <c r="F499">
        <v>226</v>
      </c>
      <c r="G499">
        <v>15</v>
      </c>
    </row>
    <row r="500" spans="1:7">
      <c r="A500" t="s">
        <v>7388</v>
      </c>
      <c r="B500" t="s">
        <v>7887</v>
      </c>
      <c r="C500" s="1" t="e">
        <f>VLOOKUP(Tabla_Items_Activos[[#This Row],[CODIGO]],Tabla_Items_Completos[[CODIGO]:[LINEA]],2,0)</f>
        <v>#N/A</v>
      </c>
      <c r="D500" s="1" t="e">
        <f>VLOOKUP(Tabla_Items_Activos[[#This Row],[CODIGO]],Tabla_Items_Completos[[CODIGO]:[LINEA]],3,0)</f>
        <v>#N/A</v>
      </c>
      <c r="E500" s="1" t="e">
        <f>VLOOKUP(Tabla_Items_Activos[[#This Row],[CODIGO]],Tabla_Items_Completos[[CODIGO]:[LINEA]],4,0)</f>
        <v>#N/A</v>
      </c>
      <c r="F500">
        <v>215</v>
      </c>
      <c r="G500">
        <v>0</v>
      </c>
    </row>
    <row r="501" spans="1:7">
      <c r="A501" t="s">
        <v>7388</v>
      </c>
      <c r="B501" t="s">
        <v>7888</v>
      </c>
      <c r="C501" s="1" t="e">
        <f>VLOOKUP(Tabla_Items_Activos[[#This Row],[CODIGO]],Tabla_Items_Completos[[CODIGO]:[LINEA]],2,0)</f>
        <v>#N/A</v>
      </c>
      <c r="D501" s="1" t="e">
        <f>VLOOKUP(Tabla_Items_Activos[[#This Row],[CODIGO]],Tabla_Items_Completos[[CODIGO]:[LINEA]],3,0)</f>
        <v>#N/A</v>
      </c>
      <c r="E501" s="1" t="e">
        <f>VLOOKUP(Tabla_Items_Activos[[#This Row],[CODIGO]],Tabla_Items_Completos[[CODIGO]:[LINEA]],4,0)</f>
        <v>#N/A</v>
      </c>
      <c r="F501">
        <v>219</v>
      </c>
      <c r="G501">
        <v>0</v>
      </c>
    </row>
    <row r="502" spans="1:7">
      <c r="A502" t="s">
        <v>7388</v>
      </c>
      <c r="B502" t="s">
        <v>7889</v>
      </c>
      <c r="C502" s="1" t="e">
        <f>VLOOKUP(Tabla_Items_Activos[[#This Row],[CODIGO]],Tabla_Items_Completos[[CODIGO]:[LINEA]],2,0)</f>
        <v>#N/A</v>
      </c>
      <c r="D502" s="1" t="e">
        <f>VLOOKUP(Tabla_Items_Activos[[#This Row],[CODIGO]],Tabla_Items_Completos[[CODIGO]:[LINEA]],3,0)</f>
        <v>#N/A</v>
      </c>
      <c r="E502" s="1" t="e">
        <f>VLOOKUP(Tabla_Items_Activos[[#This Row],[CODIGO]],Tabla_Items_Completos[[CODIGO]:[LINEA]],4,0)</f>
        <v>#N/A</v>
      </c>
      <c r="F502">
        <v>620</v>
      </c>
      <c r="G502">
        <v>0</v>
      </c>
    </row>
    <row r="503" spans="1:7">
      <c r="A503" t="s">
        <v>7388</v>
      </c>
      <c r="B503" t="s">
        <v>7890</v>
      </c>
      <c r="C503" s="1" t="e">
        <f>VLOOKUP(Tabla_Items_Activos[[#This Row],[CODIGO]],Tabla_Items_Completos[[CODIGO]:[LINEA]],2,0)</f>
        <v>#N/A</v>
      </c>
      <c r="D503" s="1" t="e">
        <f>VLOOKUP(Tabla_Items_Activos[[#This Row],[CODIGO]],Tabla_Items_Completos[[CODIGO]:[LINEA]],3,0)</f>
        <v>#N/A</v>
      </c>
      <c r="E503" s="1" t="e">
        <f>VLOOKUP(Tabla_Items_Activos[[#This Row],[CODIGO]],Tabla_Items_Completos[[CODIGO]:[LINEA]],4,0)</f>
        <v>#N/A</v>
      </c>
      <c r="F503">
        <v>32</v>
      </c>
      <c r="G503">
        <v>0</v>
      </c>
    </row>
    <row r="504" spans="1:7">
      <c r="A504" t="s">
        <v>7388</v>
      </c>
      <c r="B504" t="s">
        <v>7891</v>
      </c>
      <c r="C504" s="1" t="e">
        <f>VLOOKUP(Tabla_Items_Activos[[#This Row],[CODIGO]],Tabla_Items_Completos[[CODIGO]:[LINEA]],2,0)</f>
        <v>#N/A</v>
      </c>
      <c r="D504" s="1" t="e">
        <f>VLOOKUP(Tabla_Items_Activos[[#This Row],[CODIGO]],Tabla_Items_Completos[[CODIGO]:[LINEA]],3,0)</f>
        <v>#N/A</v>
      </c>
      <c r="E504" s="1" t="e">
        <f>VLOOKUP(Tabla_Items_Activos[[#This Row],[CODIGO]],Tabla_Items_Completos[[CODIGO]:[LINEA]],4,0)</f>
        <v>#N/A</v>
      </c>
      <c r="F504">
        <v>191</v>
      </c>
      <c r="G504">
        <v>0</v>
      </c>
    </row>
    <row r="505" spans="1:7">
      <c r="A505" t="s">
        <v>7388</v>
      </c>
      <c r="B505" t="s">
        <v>7892</v>
      </c>
      <c r="C505" s="1" t="e">
        <f>VLOOKUP(Tabla_Items_Activos[[#This Row],[CODIGO]],Tabla_Items_Completos[[CODIGO]:[LINEA]],2,0)</f>
        <v>#N/A</v>
      </c>
      <c r="D505" s="1" t="e">
        <f>VLOOKUP(Tabla_Items_Activos[[#This Row],[CODIGO]],Tabla_Items_Completos[[CODIGO]:[LINEA]],3,0)</f>
        <v>#N/A</v>
      </c>
      <c r="E505" s="1" t="e">
        <f>VLOOKUP(Tabla_Items_Activos[[#This Row],[CODIGO]],Tabla_Items_Completos[[CODIGO]:[LINEA]],4,0)</f>
        <v>#N/A</v>
      </c>
      <c r="F505">
        <v>386</v>
      </c>
      <c r="G505">
        <v>0</v>
      </c>
    </row>
    <row r="506" spans="1:7">
      <c r="A506" t="s">
        <v>7388</v>
      </c>
      <c r="B506" t="s">
        <v>7893</v>
      </c>
      <c r="C506" s="1" t="e">
        <f>VLOOKUP(Tabla_Items_Activos[[#This Row],[CODIGO]],Tabla_Items_Completos[[CODIGO]:[LINEA]],2,0)</f>
        <v>#N/A</v>
      </c>
      <c r="D506" s="1" t="e">
        <f>VLOOKUP(Tabla_Items_Activos[[#This Row],[CODIGO]],Tabla_Items_Completos[[CODIGO]:[LINEA]],3,0)</f>
        <v>#N/A</v>
      </c>
      <c r="E506" s="1" t="e">
        <f>VLOOKUP(Tabla_Items_Activos[[#This Row],[CODIGO]],Tabla_Items_Completos[[CODIGO]:[LINEA]],4,0)</f>
        <v>#N/A</v>
      </c>
      <c r="F506">
        <v>431</v>
      </c>
      <c r="G506">
        <v>0</v>
      </c>
    </row>
    <row r="507" spans="1:7">
      <c r="A507" t="s">
        <v>7388</v>
      </c>
      <c r="B507" t="s">
        <v>7894</v>
      </c>
      <c r="C507" s="1" t="e">
        <f>VLOOKUP(Tabla_Items_Activos[[#This Row],[CODIGO]],Tabla_Items_Completos[[CODIGO]:[LINEA]],2,0)</f>
        <v>#N/A</v>
      </c>
      <c r="D507" s="1" t="e">
        <f>VLOOKUP(Tabla_Items_Activos[[#This Row],[CODIGO]],Tabla_Items_Completos[[CODIGO]:[LINEA]],3,0)</f>
        <v>#N/A</v>
      </c>
      <c r="E507" s="1" t="e">
        <f>VLOOKUP(Tabla_Items_Activos[[#This Row],[CODIGO]],Tabla_Items_Completos[[CODIGO]:[LINEA]],4,0)</f>
        <v>#N/A</v>
      </c>
      <c r="F507">
        <v>206</v>
      </c>
      <c r="G507">
        <v>0</v>
      </c>
    </row>
    <row r="508" spans="1:7">
      <c r="A508" t="s">
        <v>7388</v>
      </c>
      <c r="B508" t="s">
        <v>7895</v>
      </c>
      <c r="C508" s="1" t="e">
        <f>VLOOKUP(Tabla_Items_Activos[[#This Row],[CODIGO]],Tabla_Items_Completos[[CODIGO]:[LINEA]],2,0)</f>
        <v>#N/A</v>
      </c>
      <c r="D508" s="1" t="e">
        <f>VLOOKUP(Tabla_Items_Activos[[#This Row],[CODIGO]],Tabla_Items_Completos[[CODIGO]:[LINEA]],3,0)</f>
        <v>#N/A</v>
      </c>
      <c r="E508" s="1" t="e">
        <f>VLOOKUP(Tabla_Items_Activos[[#This Row],[CODIGO]],Tabla_Items_Completos[[CODIGO]:[LINEA]],4,0)</f>
        <v>#N/A</v>
      </c>
      <c r="F508">
        <v>105</v>
      </c>
      <c r="G508">
        <v>0</v>
      </c>
    </row>
    <row r="509" spans="1:7">
      <c r="A509" t="s">
        <v>7388</v>
      </c>
      <c r="B509" t="s">
        <v>7896</v>
      </c>
      <c r="C509" s="1" t="e">
        <f>VLOOKUP(Tabla_Items_Activos[[#This Row],[CODIGO]],Tabla_Items_Completos[[CODIGO]:[LINEA]],2,0)</f>
        <v>#N/A</v>
      </c>
      <c r="D509" s="1" t="e">
        <f>VLOOKUP(Tabla_Items_Activos[[#This Row],[CODIGO]],Tabla_Items_Completos[[CODIGO]:[LINEA]],3,0)</f>
        <v>#N/A</v>
      </c>
      <c r="E509" s="1" t="e">
        <f>VLOOKUP(Tabla_Items_Activos[[#This Row],[CODIGO]],Tabla_Items_Completos[[CODIGO]:[LINEA]],4,0)</f>
        <v>#N/A</v>
      </c>
      <c r="F509">
        <v>44</v>
      </c>
      <c r="G509">
        <v>21</v>
      </c>
    </row>
    <row r="510" spans="1:7">
      <c r="A510" t="s">
        <v>7388</v>
      </c>
      <c r="B510" t="s">
        <v>7897</v>
      </c>
      <c r="C510" s="1" t="e">
        <f>VLOOKUP(Tabla_Items_Activos[[#This Row],[CODIGO]],Tabla_Items_Completos[[CODIGO]:[LINEA]],2,0)</f>
        <v>#N/A</v>
      </c>
      <c r="D510" s="1" t="e">
        <f>VLOOKUP(Tabla_Items_Activos[[#This Row],[CODIGO]],Tabla_Items_Completos[[CODIGO]:[LINEA]],3,0)</f>
        <v>#N/A</v>
      </c>
      <c r="E510" s="1" t="e">
        <f>VLOOKUP(Tabla_Items_Activos[[#This Row],[CODIGO]],Tabla_Items_Completos[[CODIGO]:[LINEA]],4,0)</f>
        <v>#N/A</v>
      </c>
      <c r="F510">
        <v>77</v>
      </c>
      <c r="G510">
        <v>0</v>
      </c>
    </row>
    <row r="511" spans="1:7">
      <c r="A511" t="s">
        <v>7388</v>
      </c>
      <c r="B511" t="s">
        <v>7898</v>
      </c>
      <c r="C511" s="1" t="e">
        <f>VLOOKUP(Tabla_Items_Activos[[#This Row],[CODIGO]],Tabla_Items_Completos[[CODIGO]:[LINEA]],2,0)</f>
        <v>#N/A</v>
      </c>
      <c r="D511" s="1" t="e">
        <f>VLOOKUP(Tabla_Items_Activos[[#This Row],[CODIGO]],Tabla_Items_Completos[[CODIGO]:[LINEA]],3,0)</f>
        <v>#N/A</v>
      </c>
      <c r="E511" s="1" t="e">
        <f>VLOOKUP(Tabla_Items_Activos[[#This Row],[CODIGO]],Tabla_Items_Completos[[CODIGO]:[LINEA]],4,0)</f>
        <v>#N/A</v>
      </c>
      <c r="F511">
        <v>266</v>
      </c>
      <c r="G511">
        <v>0</v>
      </c>
    </row>
    <row r="512" spans="1:7">
      <c r="A512" t="s">
        <v>7388</v>
      </c>
      <c r="B512" t="s">
        <v>7899</v>
      </c>
      <c r="C512" s="1" t="e">
        <f>VLOOKUP(Tabla_Items_Activos[[#This Row],[CODIGO]],Tabla_Items_Completos[[CODIGO]:[LINEA]],2,0)</f>
        <v>#N/A</v>
      </c>
      <c r="D512" s="1" t="e">
        <f>VLOOKUP(Tabla_Items_Activos[[#This Row],[CODIGO]],Tabla_Items_Completos[[CODIGO]:[LINEA]],3,0)</f>
        <v>#N/A</v>
      </c>
      <c r="E512" s="1" t="e">
        <f>VLOOKUP(Tabla_Items_Activos[[#This Row],[CODIGO]],Tabla_Items_Completos[[CODIGO]:[LINEA]],4,0)</f>
        <v>#N/A</v>
      </c>
      <c r="F512">
        <v>44</v>
      </c>
      <c r="G512">
        <v>0</v>
      </c>
    </row>
    <row r="513" spans="1:7">
      <c r="A513" t="s">
        <v>7388</v>
      </c>
      <c r="B513" t="s">
        <v>7900</v>
      </c>
      <c r="C513" s="1" t="e">
        <f>VLOOKUP(Tabla_Items_Activos[[#This Row],[CODIGO]],Tabla_Items_Completos[[CODIGO]:[LINEA]],2,0)</f>
        <v>#N/A</v>
      </c>
      <c r="D513" s="1" t="e">
        <f>VLOOKUP(Tabla_Items_Activos[[#This Row],[CODIGO]],Tabla_Items_Completos[[CODIGO]:[LINEA]],3,0)</f>
        <v>#N/A</v>
      </c>
      <c r="E513" s="1" t="e">
        <f>VLOOKUP(Tabla_Items_Activos[[#This Row],[CODIGO]],Tabla_Items_Completos[[CODIGO]:[LINEA]],4,0)</f>
        <v>#N/A</v>
      </c>
      <c r="F513">
        <v>89</v>
      </c>
      <c r="G513">
        <v>0</v>
      </c>
    </row>
    <row r="514" spans="1:7">
      <c r="A514" t="s">
        <v>7388</v>
      </c>
      <c r="B514" t="s">
        <v>7901</v>
      </c>
      <c r="C514" s="1" t="e">
        <f>VLOOKUP(Tabla_Items_Activos[[#This Row],[CODIGO]],Tabla_Items_Completos[[CODIGO]:[LINEA]],2,0)</f>
        <v>#N/A</v>
      </c>
      <c r="D514" s="1" t="e">
        <f>VLOOKUP(Tabla_Items_Activos[[#This Row],[CODIGO]],Tabla_Items_Completos[[CODIGO]:[LINEA]],3,0)</f>
        <v>#N/A</v>
      </c>
      <c r="E514" s="1" t="e">
        <f>VLOOKUP(Tabla_Items_Activos[[#This Row],[CODIGO]],Tabla_Items_Completos[[CODIGO]:[LINEA]],4,0)</f>
        <v>#N/A</v>
      </c>
      <c r="F514">
        <v>390</v>
      </c>
      <c r="G514">
        <v>0</v>
      </c>
    </row>
    <row r="515" spans="1:7">
      <c r="A515" t="s">
        <v>7388</v>
      </c>
      <c r="B515" t="s">
        <v>7902</v>
      </c>
      <c r="C515" s="1" t="e">
        <f>VLOOKUP(Tabla_Items_Activos[[#This Row],[CODIGO]],Tabla_Items_Completos[[CODIGO]:[LINEA]],2,0)</f>
        <v>#N/A</v>
      </c>
      <c r="D515" s="1" t="e">
        <f>VLOOKUP(Tabla_Items_Activos[[#This Row],[CODIGO]],Tabla_Items_Completos[[CODIGO]:[LINEA]],3,0)</f>
        <v>#N/A</v>
      </c>
      <c r="E515" s="1" t="e">
        <f>VLOOKUP(Tabla_Items_Activos[[#This Row],[CODIGO]],Tabla_Items_Completos[[CODIGO]:[LINEA]],4,0)</f>
        <v>#N/A</v>
      </c>
      <c r="F515">
        <v>348</v>
      </c>
      <c r="G515">
        <v>0</v>
      </c>
    </row>
    <row r="516" spans="1:7">
      <c r="A516" t="s">
        <v>7388</v>
      </c>
      <c r="B516" t="s">
        <v>7903</v>
      </c>
      <c r="C516" s="1" t="e">
        <f>VLOOKUP(Tabla_Items_Activos[[#This Row],[CODIGO]],Tabla_Items_Completos[[CODIGO]:[LINEA]],2,0)</f>
        <v>#N/A</v>
      </c>
      <c r="D516" s="1" t="e">
        <f>VLOOKUP(Tabla_Items_Activos[[#This Row],[CODIGO]],Tabla_Items_Completos[[CODIGO]:[LINEA]],3,0)</f>
        <v>#N/A</v>
      </c>
      <c r="E516" s="1" t="e">
        <f>VLOOKUP(Tabla_Items_Activos[[#This Row],[CODIGO]],Tabla_Items_Completos[[CODIGO]:[LINEA]],4,0)</f>
        <v>#N/A</v>
      </c>
      <c r="F516">
        <v>143</v>
      </c>
      <c r="G516">
        <v>0</v>
      </c>
    </row>
    <row r="517" spans="1:7">
      <c r="A517" t="s">
        <v>7388</v>
      </c>
      <c r="B517" t="s">
        <v>7904</v>
      </c>
      <c r="C517" s="1" t="e">
        <f>VLOOKUP(Tabla_Items_Activos[[#This Row],[CODIGO]],Tabla_Items_Completos[[CODIGO]:[LINEA]],2,0)</f>
        <v>#N/A</v>
      </c>
      <c r="D517" s="1" t="e">
        <f>VLOOKUP(Tabla_Items_Activos[[#This Row],[CODIGO]],Tabla_Items_Completos[[CODIGO]:[LINEA]],3,0)</f>
        <v>#N/A</v>
      </c>
      <c r="E517" s="1" t="e">
        <f>VLOOKUP(Tabla_Items_Activos[[#This Row],[CODIGO]],Tabla_Items_Completos[[CODIGO]:[LINEA]],4,0)</f>
        <v>#N/A</v>
      </c>
      <c r="F517">
        <v>60</v>
      </c>
      <c r="G517">
        <v>0</v>
      </c>
    </row>
    <row r="518" spans="1:7">
      <c r="A518" t="s">
        <v>7388</v>
      </c>
      <c r="B518" t="s">
        <v>7905</v>
      </c>
      <c r="C518" s="1" t="e">
        <f>VLOOKUP(Tabla_Items_Activos[[#This Row],[CODIGO]],Tabla_Items_Completos[[CODIGO]:[LINEA]],2,0)</f>
        <v>#N/A</v>
      </c>
      <c r="D518" s="1" t="e">
        <f>VLOOKUP(Tabla_Items_Activos[[#This Row],[CODIGO]],Tabla_Items_Completos[[CODIGO]:[LINEA]],3,0)</f>
        <v>#N/A</v>
      </c>
      <c r="E518" s="1" t="e">
        <f>VLOOKUP(Tabla_Items_Activos[[#This Row],[CODIGO]],Tabla_Items_Completos[[CODIGO]:[LINEA]],4,0)</f>
        <v>#N/A</v>
      </c>
      <c r="F518">
        <v>35</v>
      </c>
      <c r="G518">
        <v>0</v>
      </c>
    </row>
    <row r="519" spans="1:7">
      <c r="A519" t="s">
        <v>7388</v>
      </c>
      <c r="B519" t="s">
        <v>7906</v>
      </c>
      <c r="C519" s="1" t="e">
        <f>VLOOKUP(Tabla_Items_Activos[[#This Row],[CODIGO]],Tabla_Items_Completos[[CODIGO]:[LINEA]],2,0)</f>
        <v>#N/A</v>
      </c>
      <c r="D519" s="1" t="e">
        <f>VLOOKUP(Tabla_Items_Activos[[#This Row],[CODIGO]],Tabla_Items_Completos[[CODIGO]:[LINEA]],3,0)</f>
        <v>#N/A</v>
      </c>
      <c r="E519" s="1" t="e">
        <f>VLOOKUP(Tabla_Items_Activos[[#This Row],[CODIGO]],Tabla_Items_Completos[[CODIGO]:[LINEA]],4,0)</f>
        <v>#N/A</v>
      </c>
      <c r="F519">
        <v>50</v>
      </c>
      <c r="G519">
        <v>0</v>
      </c>
    </row>
    <row r="520" spans="1:7">
      <c r="A520" t="s">
        <v>7388</v>
      </c>
      <c r="B520" t="s">
        <v>7907</v>
      </c>
      <c r="C520" s="1" t="e">
        <f>VLOOKUP(Tabla_Items_Activos[[#This Row],[CODIGO]],Tabla_Items_Completos[[CODIGO]:[LINEA]],2,0)</f>
        <v>#N/A</v>
      </c>
      <c r="D520" s="1" t="e">
        <f>VLOOKUP(Tabla_Items_Activos[[#This Row],[CODIGO]],Tabla_Items_Completos[[CODIGO]:[LINEA]],3,0)</f>
        <v>#N/A</v>
      </c>
      <c r="E520" s="1" t="e">
        <f>VLOOKUP(Tabla_Items_Activos[[#This Row],[CODIGO]],Tabla_Items_Completos[[CODIGO]:[LINEA]],4,0)</f>
        <v>#N/A</v>
      </c>
      <c r="F520">
        <v>70</v>
      </c>
      <c r="G520">
        <v>0</v>
      </c>
    </row>
    <row r="521" spans="1:7">
      <c r="A521" t="s">
        <v>7388</v>
      </c>
      <c r="B521" t="s">
        <v>7908</v>
      </c>
      <c r="C521" s="1" t="e">
        <f>VLOOKUP(Tabla_Items_Activos[[#This Row],[CODIGO]],Tabla_Items_Completos[[CODIGO]:[LINEA]],2,0)</f>
        <v>#N/A</v>
      </c>
      <c r="D521" s="1" t="e">
        <f>VLOOKUP(Tabla_Items_Activos[[#This Row],[CODIGO]],Tabla_Items_Completos[[CODIGO]:[LINEA]],3,0)</f>
        <v>#N/A</v>
      </c>
      <c r="E521" s="1" t="e">
        <f>VLOOKUP(Tabla_Items_Activos[[#This Row],[CODIGO]],Tabla_Items_Completos[[CODIGO]:[LINEA]],4,0)</f>
        <v>#N/A</v>
      </c>
      <c r="F521">
        <v>179</v>
      </c>
      <c r="G521">
        <v>0</v>
      </c>
    </row>
    <row r="522" spans="1:7">
      <c r="A522" t="s">
        <v>7388</v>
      </c>
      <c r="B522" t="s">
        <v>7909</v>
      </c>
      <c r="C522" s="1" t="e">
        <f>VLOOKUP(Tabla_Items_Activos[[#This Row],[CODIGO]],Tabla_Items_Completos[[CODIGO]:[LINEA]],2,0)</f>
        <v>#N/A</v>
      </c>
      <c r="D522" s="1" t="e">
        <f>VLOOKUP(Tabla_Items_Activos[[#This Row],[CODIGO]],Tabla_Items_Completos[[CODIGO]:[LINEA]],3,0)</f>
        <v>#N/A</v>
      </c>
      <c r="E522" s="1" t="e">
        <f>VLOOKUP(Tabla_Items_Activos[[#This Row],[CODIGO]],Tabla_Items_Completos[[CODIGO]:[LINEA]],4,0)</f>
        <v>#N/A</v>
      </c>
      <c r="F522">
        <v>386</v>
      </c>
      <c r="G522">
        <v>0</v>
      </c>
    </row>
    <row r="523" spans="1:7">
      <c r="A523" t="s">
        <v>7388</v>
      </c>
      <c r="B523" t="s">
        <v>7910</v>
      </c>
      <c r="C523" s="1" t="e">
        <f>VLOOKUP(Tabla_Items_Activos[[#This Row],[CODIGO]],Tabla_Items_Completos[[CODIGO]:[LINEA]],2,0)</f>
        <v>#N/A</v>
      </c>
      <c r="D523" s="1" t="e">
        <f>VLOOKUP(Tabla_Items_Activos[[#This Row],[CODIGO]],Tabla_Items_Completos[[CODIGO]:[LINEA]],3,0)</f>
        <v>#N/A</v>
      </c>
      <c r="E523" s="1" t="e">
        <f>VLOOKUP(Tabla_Items_Activos[[#This Row],[CODIGO]],Tabla_Items_Completos[[CODIGO]:[LINEA]],4,0)</f>
        <v>#N/A</v>
      </c>
      <c r="F523">
        <v>26</v>
      </c>
      <c r="G523">
        <v>0</v>
      </c>
    </row>
    <row r="524" spans="1:7">
      <c r="A524" t="s">
        <v>7388</v>
      </c>
      <c r="B524" t="s">
        <v>7911</v>
      </c>
      <c r="C524" s="1" t="e">
        <f>VLOOKUP(Tabla_Items_Activos[[#This Row],[CODIGO]],Tabla_Items_Completos[[CODIGO]:[LINEA]],2,0)</f>
        <v>#N/A</v>
      </c>
      <c r="D524" s="1" t="e">
        <f>VLOOKUP(Tabla_Items_Activos[[#This Row],[CODIGO]],Tabla_Items_Completos[[CODIGO]:[LINEA]],3,0)</f>
        <v>#N/A</v>
      </c>
      <c r="E524" s="1" t="e">
        <f>VLOOKUP(Tabla_Items_Activos[[#This Row],[CODIGO]],Tabla_Items_Completos[[CODIGO]:[LINEA]],4,0)</f>
        <v>#N/A</v>
      </c>
      <c r="F524">
        <v>2</v>
      </c>
      <c r="G524">
        <v>0</v>
      </c>
    </row>
    <row r="525" spans="1:7">
      <c r="A525" t="s">
        <v>7388</v>
      </c>
      <c r="B525" t="s">
        <v>7912</v>
      </c>
      <c r="C525" s="1" t="e">
        <f>VLOOKUP(Tabla_Items_Activos[[#This Row],[CODIGO]],Tabla_Items_Completos[[CODIGO]:[LINEA]],2,0)</f>
        <v>#N/A</v>
      </c>
      <c r="D525" s="1" t="e">
        <f>VLOOKUP(Tabla_Items_Activos[[#This Row],[CODIGO]],Tabla_Items_Completos[[CODIGO]:[LINEA]],3,0)</f>
        <v>#N/A</v>
      </c>
      <c r="E525" s="1" t="e">
        <f>VLOOKUP(Tabla_Items_Activos[[#This Row],[CODIGO]],Tabla_Items_Completos[[CODIGO]:[LINEA]],4,0)</f>
        <v>#N/A</v>
      </c>
      <c r="F525">
        <v>103</v>
      </c>
      <c r="G525">
        <v>0</v>
      </c>
    </row>
    <row r="526" spans="1:7">
      <c r="A526" t="s">
        <v>7388</v>
      </c>
      <c r="B526" t="s">
        <v>7913</v>
      </c>
      <c r="C526" s="1" t="e">
        <f>VLOOKUP(Tabla_Items_Activos[[#This Row],[CODIGO]],Tabla_Items_Completos[[CODIGO]:[LINEA]],2,0)</f>
        <v>#N/A</v>
      </c>
      <c r="D526" s="1" t="e">
        <f>VLOOKUP(Tabla_Items_Activos[[#This Row],[CODIGO]],Tabla_Items_Completos[[CODIGO]:[LINEA]],3,0)</f>
        <v>#N/A</v>
      </c>
      <c r="E526" s="1" t="e">
        <f>VLOOKUP(Tabla_Items_Activos[[#This Row],[CODIGO]],Tabla_Items_Completos[[CODIGO]:[LINEA]],4,0)</f>
        <v>#N/A</v>
      </c>
      <c r="F526">
        <v>39</v>
      </c>
      <c r="G526">
        <v>0</v>
      </c>
    </row>
    <row r="527" spans="1:7">
      <c r="A527" t="s">
        <v>7388</v>
      </c>
      <c r="B527" t="s">
        <v>7914</v>
      </c>
      <c r="C527" s="1" t="e">
        <f>VLOOKUP(Tabla_Items_Activos[[#This Row],[CODIGO]],Tabla_Items_Completos[[CODIGO]:[LINEA]],2,0)</f>
        <v>#N/A</v>
      </c>
      <c r="D527" s="1" t="e">
        <f>VLOOKUP(Tabla_Items_Activos[[#This Row],[CODIGO]],Tabla_Items_Completos[[CODIGO]:[LINEA]],3,0)</f>
        <v>#N/A</v>
      </c>
      <c r="E527" s="1" t="e">
        <f>VLOOKUP(Tabla_Items_Activos[[#This Row],[CODIGO]],Tabla_Items_Completos[[CODIGO]:[LINEA]],4,0)</f>
        <v>#N/A</v>
      </c>
      <c r="F527">
        <v>34</v>
      </c>
      <c r="G527">
        <v>0</v>
      </c>
    </row>
    <row r="528" spans="1:7">
      <c r="A528" t="s">
        <v>7388</v>
      </c>
      <c r="B528" t="s">
        <v>7915</v>
      </c>
      <c r="C528" s="1" t="e">
        <f>VLOOKUP(Tabla_Items_Activos[[#This Row],[CODIGO]],Tabla_Items_Completos[[CODIGO]:[LINEA]],2,0)</f>
        <v>#N/A</v>
      </c>
      <c r="D528" s="1" t="e">
        <f>VLOOKUP(Tabla_Items_Activos[[#This Row],[CODIGO]],Tabla_Items_Completos[[CODIGO]:[LINEA]],3,0)</f>
        <v>#N/A</v>
      </c>
      <c r="E528" s="1" t="e">
        <f>VLOOKUP(Tabla_Items_Activos[[#This Row],[CODIGO]],Tabla_Items_Completos[[CODIGO]:[LINEA]],4,0)</f>
        <v>#N/A</v>
      </c>
      <c r="F528">
        <v>157</v>
      </c>
      <c r="G528">
        <v>0</v>
      </c>
    </row>
    <row r="529" spans="1:7">
      <c r="A529" t="s">
        <v>7388</v>
      </c>
      <c r="B529" t="s">
        <v>7916</v>
      </c>
      <c r="C529" s="1" t="e">
        <f>VLOOKUP(Tabla_Items_Activos[[#This Row],[CODIGO]],Tabla_Items_Completos[[CODIGO]:[LINEA]],2,0)</f>
        <v>#N/A</v>
      </c>
      <c r="D529" s="1" t="e">
        <f>VLOOKUP(Tabla_Items_Activos[[#This Row],[CODIGO]],Tabla_Items_Completos[[CODIGO]:[LINEA]],3,0)</f>
        <v>#N/A</v>
      </c>
      <c r="E529" s="1" t="e">
        <f>VLOOKUP(Tabla_Items_Activos[[#This Row],[CODIGO]],Tabla_Items_Completos[[CODIGO]:[LINEA]],4,0)</f>
        <v>#N/A</v>
      </c>
      <c r="F529">
        <v>201</v>
      </c>
      <c r="G529">
        <v>0</v>
      </c>
    </row>
    <row r="530" spans="1:7">
      <c r="A530" t="s">
        <v>7388</v>
      </c>
      <c r="B530" t="s">
        <v>7917</v>
      </c>
      <c r="C530" s="1" t="e">
        <f>VLOOKUP(Tabla_Items_Activos[[#This Row],[CODIGO]],Tabla_Items_Completos[[CODIGO]:[LINEA]],2,0)</f>
        <v>#N/A</v>
      </c>
      <c r="D530" s="1" t="e">
        <f>VLOOKUP(Tabla_Items_Activos[[#This Row],[CODIGO]],Tabla_Items_Completos[[CODIGO]:[LINEA]],3,0)</f>
        <v>#N/A</v>
      </c>
      <c r="E530" s="1" t="e">
        <f>VLOOKUP(Tabla_Items_Activos[[#This Row],[CODIGO]],Tabla_Items_Completos[[CODIGO]:[LINEA]],4,0)</f>
        <v>#N/A</v>
      </c>
      <c r="F530">
        <v>65</v>
      </c>
      <c r="G530">
        <v>0</v>
      </c>
    </row>
    <row r="531" spans="1:7">
      <c r="A531" t="s">
        <v>7388</v>
      </c>
      <c r="B531" t="s">
        <v>7918</v>
      </c>
      <c r="C531" s="1" t="e">
        <f>VLOOKUP(Tabla_Items_Activos[[#This Row],[CODIGO]],Tabla_Items_Completos[[CODIGO]:[LINEA]],2,0)</f>
        <v>#N/A</v>
      </c>
      <c r="D531" s="1" t="e">
        <f>VLOOKUP(Tabla_Items_Activos[[#This Row],[CODIGO]],Tabla_Items_Completos[[CODIGO]:[LINEA]],3,0)</f>
        <v>#N/A</v>
      </c>
      <c r="E531" s="1" t="e">
        <f>VLOOKUP(Tabla_Items_Activos[[#This Row],[CODIGO]],Tabla_Items_Completos[[CODIGO]:[LINEA]],4,0)</f>
        <v>#N/A</v>
      </c>
      <c r="F531">
        <v>37</v>
      </c>
      <c r="G531">
        <v>1</v>
      </c>
    </row>
    <row r="532" spans="1:7">
      <c r="A532" t="s">
        <v>7388</v>
      </c>
      <c r="B532" t="s">
        <v>7919</v>
      </c>
      <c r="C532" s="1" t="e">
        <f>VLOOKUP(Tabla_Items_Activos[[#This Row],[CODIGO]],Tabla_Items_Completos[[CODIGO]:[LINEA]],2,0)</f>
        <v>#N/A</v>
      </c>
      <c r="D532" s="1" t="e">
        <f>VLOOKUP(Tabla_Items_Activos[[#This Row],[CODIGO]],Tabla_Items_Completos[[CODIGO]:[LINEA]],3,0)</f>
        <v>#N/A</v>
      </c>
      <c r="E532" s="1" t="e">
        <f>VLOOKUP(Tabla_Items_Activos[[#This Row],[CODIGO]],Tabla_Items_Completos[[CODIGO]:[LINEA]],4,0)</f>
        <v>#N/A</v>
      </c>
      <c r="F532">
        <v>36</v>
      </c>
      <c r="G532">
        <v>0</v>
      </c>
    </row>
    <row r="533" spans="1:7">
      <c r="A533" t="s">
        <v>7388</v>
      </c>
      <c r="B533" t="s">
        <v>7920</v>
      </c>
      <c r="C533" s="1" t="e">
        <f>VLOOKUP(Tabla_Items_Activos[[#This Row],[CODIGO]],Tabla_Items_Completos[[CODIGO]:[LINEA]],2,0)</f>
        <v>#N/A</v>
      </c>
      <c r="D533" s="1" t="e">
        <f>VLOOKUP(Tabla_Items_Activos[[#This Row],[CODIGO]],Tabla_Items_Completos[[CODIGO]:[LINEA]],3,0)</f>
        <v>#N/A</v>
      </c>
      <c r="E533" s="1" t="e">
        <f>VLOOKUP(Tabla_Items_Activos[[#This Row],[CODIGO]],Tabla_Items_Completos[[CODIGO]:[LINEA]],4,0)</f>
        <v>#N/A</v>
      </c>
      <c r="F533">
        <v>72</v>
      </c>
      <c r="G533">
        <v>0</v>
      </c>
    </row>
    <row r="534" spans="1:7">
      <c r="A534" t="s">
        <v>7388</v>
      </c>
      <c r="B534" t="s">
        <v>7921</v>
      </c>
      <c r="C534" s="1" t="e">
        <f>VLOOKUP(Tabla_Items_Activos[[#This Row],[CODIGO]],Tabla_Items_Completos[[CODIGO]:[LINEA]],2,0)</f>
        <v>#N/A</v>
      </c>
      <c r="D534" s="1" t="e">
        <f>VLOOKUP(Tabla_Items_Activos[[#This Row],[CODIGO]],Tabla_Items_Completos[[CODIGO]:[LINEA]],3,0)</f>
        <v>#N/A</v>
      </c>
      <c r="E534" s="1" t="e">
        <f>VLOOKUP(Tabla_Items_Activos[[#This Row],[CODIGO]],Tabla_Items_Completos[[CODIGO]:[LINEA]],4,0)</f>
        <v>#N/A</v>
      </c>
      <c r="F534">
        <v>32</v>
      </c>
      <c r="G534">
        <v>0</v>
      </c>
    </row>
    <row r="535" spans="1:7">
      <c r="A535" t="s">
        <v>7388</v>
      </c>
      <c r="B535" t="s">
        <v>7922</v>
      </c>
      <c r="C535" s="1" t="e">
        <f>VLOOKUP(Tabla_Items_Activos[[#This Row],[CODIGO]],Tabla_Items_Completos[[CODIGO]:[LINEA]],2,0)</f>
        <v>#N/A</v>
      </c>
      <c r="D535" s="1" t="e">
        <f>VLOOKUP(Tabla_Items_Activos[[#This Row],[CODIGO]],Tabla_Items_Completos[[CODIGO]:[LINEA]],3,0)</f>
        <v>#N/A</v>
      </c>
      <c r="E535" s="1" t="e">
        <f>VLOOKUP(Tabla_Items_Activos[[#This Row],[CODIGO]],Tabla_Items_Completos[[CODIGO]:[LINEA]],4,0)</f>
        <v>#N/A</v>
      </c>
      <c r="F535">
        <v>76</v>
      </c>
      <c r="G535">
        <v>0</v>
      </c>
    </row>
    <row r="536" spans="1:7">
      <c r="A536" t="s">
        <v>7388</v>
      </c>
      <c r="B536" t="s">
        <v>7923</v>
      </c>
      <c r="C536" s="1" t="e">
        <f>VLOOKUP(Tabla_Items_Activos[[#This Row],[CODIGO]],Tabla_Items_Completos[[CODIGO]:[LINEA]],2,0)</f>
        <v>#N/A</v>
      </c>
      <c r="D536" s="1" t="e">
        <f>VLOOKUP(Tabla_Items_Activos[[#This Row],[CODIGO]],Tabla_Items_Completos[[CODIGO]:[LINEA]],3,0)</f>
        <v>#N/A</v>
      </c>
      <c r="E536" s="1" t="e">
        <f>VLOOKUP(Tabla_Items_Activos[[#This Row],[CODIGO]],Tabla_Items_Completos[[CODIGO]:[LINEA]],4,0)</f>
        <v>#N/A</v>
      </c>
      <c r="F536">
        <v>97</v>
      </c>
      <c r="G536">
        <v>0</v>
      </c>
    </row>
    <row r="537" spans="1:7">
      <c r="A537" t="s">
        <v>7388</v>
      </c>
      <c r="B537" t="s">
        <v>7924</v>
      </c>
      <c r="C537" s="1" t="e">
        <f>VLOOKUP(Tabla_Items_Activos[[#This Row],[CODIGO]],Tabla_Items_Completos[[CODIGO]:[LINEA]],2,0)</f>
        <v>#N/A</v>
      </c>
      <c r="D537" s="1" t="e">
        <f>VLOOKUP(Tabla_Items_Activos[[#This Row],[CODIGO]],Tabla_Items_Completos[[CODIGO]:[LINEA]],3,0)</f>
        <v>#N/A</v>
      </c>
      <c r="E537" s="1" t="e">
        <f>VLOOKUP(Tabla_Items_Activos[[#This Row],[CODIGO]],Tabla_Items_Completos[[CODIGO]:[LINEA]],4,0)</f>
        <v>#N/A</v>
      </c>
      <c r="F537">
        <v>15</v>
      </c>
      <c r="G537">
        <v>0</v>
      </c>
    </row>
    <row r="538" spans="1:7">
      <c r="A538" t="s">
        <v>7388</v>
      </c>
      <c r="B538" t="s">
        <v>7925</v>
      </c>
      <c r="C538" s="1" t="e">
        <f>VLOOKUP(Tabla_Items_Activos[[#This Row],[CODIGO]],Tabla_Items_Completos[[CODIGO]:[LINEA]],2,0)</f>
        <v>#N/A</v>
      </c>
      <c r="D538" s="1" t="e">
        <f>VLOOKUP(Tabla_Items_Activos[[#This Row],[CODIGO]],Tabla_Items_Completos[[CODIGO]:[LINEA]],3,0)</f>
        <v>#N/A</v>
      </c>
      <c r="E538" s="1" t="e">
        <f>VLOOKUP(Tabla_Items_Activos[[#This Row],[CODIGO]],Tabla_Items_Completos[[CODIGO]:[LINEA]],4,0)</f>
        <v>#N/A</v>
      </c>
      <c r="F538">
        <v>260</v>
      </c>
      <c r="G538">
        <v>0</v>
      </c>
    </row>
    <row r="539" spans="1:7">
      <c r="A539" t="s">
        <v>7388</v>
      </c>
      <c r="B539" t="s">
        <v>7926</v>
      </c>
      <c r="C539" s="1" t="e">
        <f>VLOOKUP(Tabla_Items_Activos[[#This Row],[CODIGO]],Tabla_Items_Completos[[CODIGO]:[LINEA]],2,0)</f>
        <v>#N/A</v>
      </c>
      <c r="D539" s="1" t="e">
        <f>VLOOKUP(Tabla_Items_Activos[[#This Row],[CODIGO]],Tabla_Items_Completos[[CODIGO]:[LINEA]],3,0)</f>
        <v>#N/A</v>
      </c>
      <c r="E539" s="1" t="e">
        <f>VLOOKUP(Tabla_Items_Activos[[#This Row],[CODIGO]],Tabla_Items_Completos[[CODIGO]:[LINEA]],4,0)</f>
        <v>#N/A</v>
      </c>
      <c r="F539">
        <v>15</v>
      </c>
      <c r="G539">
        <v>0</v>
      </c>
    </row>
    <row r="540" spans="1:7">
      <c r="A540" t="s">
        <v>7388</v>
      </c>
      <c r="B540" t="s">
        <v>7927</v>
      </c>
      <c r="C540" s="1" t="e">
        <f>VLOOKUP(Tabla_Items_Activos[[#This Row],[CODIGO]],Tabla_Items_Completos[[CODIGO]:[LINEA]],2,0)</f>
        <v>#N/A</v>
      </c>
      <c r="D540" s="1" t="e">
        <f>VLOOKUP(Tabla_Items_Activos[[#This Row],[CODIGO]],Tabla_Items_Completos[[CODIGO]:[LINEA]],3,0)</f>
        <v>#N/A</v>
      </c>
      <c r="E540" s="1" t="e">
        <f>VLOOKUP(Tabla_Items_Activos[[#This Row],[CODIGO]],Tabla_Items_Completos[[CODIGO]:[LINEA]],4,0)</f>
        <v>#N/A</v>
      </c>
      <c r="F540">
        <v>11</v>
      </c>
      <c r="G540">
        <v>0</v>
      </c>
    </row>
    <row r="541" spans="1:7">
      <c r="A541" t="s">
        <v>7388</v>
      </c>
      <c r="B541" t="s">
        <v>7928</v>
      </c>
      <c r="C541" s="1" t="e">
        <f>VLOOKUP(Tabla_Items_Activos[[#This Row],[CODIGO]],Tabla_Items_Completos[[CODIGO]:[LINEA]],2,0)</f>
        <v>#N/A</v>
      </c>
      <c r="D541" s="1" t="e">
        <f>VLOOKUP(Tabla_Items_Activos[[#This Row],[CODIGO]],Tabla_Items_Completos[[CODIGO]:[LINEA]],3,0)</f>
        <v>#N/A</v>
      </c>
      <c r="E541" s="1" t="e">
        <f>VLOOKUP(Tabla_Items_Activos[[#This Row],[CODIGO]],Tabla_Items_Completos[[CODIGO]:[LINEA]],4,0)</f>
        <v>#N/A</v>
      </c>
      <c r="F541">
        <v>21</v>
      </c>
      <c r="G541">
        <v>0</v>
      </c>
    </row>
    <row r="542" spans="1:7">
      <c r="A542" t="s">
        <v>7388</v>
      </c>
      <c r="B542" t="s">
        <v>7929</v>
      </c>
      <c r="C542" s="1" t="e">
        <f>VLOOKUP(Tabla_Items_Activos[[#This Row],[CODIGO]],Tabla_Items_Completos[[CODIGO]:[LINEA]],2,0)</f>
        <v>#N/A</v>
      </c>
      <c r="D542" s="1" t="e">
        <f>VLOOKUP(Tabla_Items_Activos[[#This Row],[CODIGO]],Tabla_Items_Completos[[CODIGO]:[LINEA]],3,0)</f>
        <v>#N/A</v>
      </c>
      <c r="E542" s="1" t="e">
        <f>VLOOKUP(Tabla_Items_Activos[[#This Row],[CODIGO]],Tabla_Items_Completos[[CODIGO]:[LINEA]],4,0)</f>
        <v>#N/A</v>
      </c>
      <c r="F542">
        <v>95</v>
      </c>
      <c r="G542">
        <v>0</v>
      </c>
    </row>
    <row r="543" spans="1:7">
      <c r="A543" t="s">
        <v>7388</v>
      </c>
      <c r="B543" t="s">
        <v>7930</v>
      </c>
      <c r="C543" s="1" t="e">
        <f>VLOOKUP(Tabla_Items_Activos[[#This Row],[CODIGO]],Tabla_Items_Completos[[CODIGO]:[LINEA]],2,0)</f>
        <v>#N/A</v>
      </c>
      <c r="D543" s="1" t="e">
        <f>VLOOKUP(Tabla_Items_Activos[[#This Row],[CODIGO]],Tabla_Items_Completos[[CODIGO]:[LINEA]],3,0)</f>
        <v>#N/A</v>
      </c>
      <c r="E543" s="1" t="e">
        <f>VLOOKUP(Tabla_Items_Activos[[#This Row],[CODIGO]],Tabla_Items_Completos[[CODIGO]:[LINEA]],4,0)</f>
        <v>#N/A</v>
      </c>
      <c r="F543">
        <v>33</v>
      </c>
      <c r="G543">
        <v>0</v>
      </c>
    </row>
    <row r="544" spans="1:7">
      <c r="A544" t="s">
        <v>7388</v>
      </c>
      <c r="B544" t="s">
        <v>7931</v>
      </c>
      <c r="C544" s="1" t="e">
        <f>VLOOKUP(Tabla_Items_Activos[[#This Row],[CODIGO]],Tabla_Items_Completos[[CODIGO]:[LINEA]],2,0)</f>
        <v>#N/A</v>
      </c>
      <c r="D544" s="1" t="e">
        <f>VLOOKUP(Tabla_Items_Activos[[#This Row],[CODIGO]],Tabla_Items_Completos[[CODIGO]:[LINEA]],3,0)</f>
        <v>#N/A</v>
      </c>
      <c r="E544" s="1" t="e">
        <f>VLOOKUP(Tabla_Items_Activos[[#This Row],[CODIGO]],Tabla_Items_Completos[[CODIGO]:[LINEA]],4,0)</f>
        <v>#N/A</v>
      </c>
      <c r="F544">
        <v>13</v>
      </c>
      <c r="G544">
        <v>0</v>
      </c>
    </row>
    <row r="545" spans="1:7">
      <c r="A545" t="s">
        <v>7388</v>
      </c>
      <c r="B545" t="s">
        <v>7932</v>
      </c>
      <c r="C545" s="1" t="e">
        <f>VLOOKUP(Tabla_Items_Activos[[#This Row],[CODIGO]],Tabla_Items_Completos[[CODIGO]:[LINEA]],2,0)</f>
        <v>#N/A</v>
      </c>
      <c r="D545" s="1" t="e">
        <f>VLOOKUP(Tabla_Items_Activos[[#This Row],[CODIGO]],Tabla_Items_Completos[[CODIGO]:[LINEA]],3,0)</f>
        <v>#N/A</v>
      </c>
      <c r="E545" s="1" t="e">
        <f>VLOOKUP(Tabla_Items_Activos[[#This Row],[CODIGO]],Tabla_Items_Completos[[CODIGO]:[LINEA]],4,0)</f>
        <v>#N/A</v>
      </c>
      <c r="F545">
        <v>69</v>
      </c>
      <c r="G545">
        <v>0</v>
      </c>
    </row>
    <row r="546" spans="1:7">
      <c r="A546" t="s">
        <v>7388</v>
      </c>
      <c r="B546" t="s">
        <v>7933</v>
      </c>
      <c r="C546" s="1" t="e">
        <f>VLOOKUP(Tabla_Items_Activos[[#This Row],[CODIGO]],Tabla_Items_Completos[[CODIGO]:[LINEA]],2,0)</f>
        <v>#N/A</v>
      </c>
      <c r="D546" s="1" t="e">
        <f>VLOOKUP(Tabla_Items_Activos[[#This Row],[CODIGO]],Tabla_Items_Completos[[CODIGO]:[LINEA]],3,0)</f>
        <v>#N/A</v>
      </c>
      <c r="E546" s="1" t="e">
        <f>VLOOKUP(Tabla_Items_Activos[[#This Row],[CODIGO]],Tabla_Items_Completos[[CODIGO]:[LINEA]],4,0)</f>
        <v>#N/A</v>
      </c>
      <c r="F546">
        <v>72</v>
      </c>
      <c r="G546">
        <v>0</v>
      </c>
    </row>
    <row r="547" spans="1:7">
      <c r="A547" t="s">
        <v>7388</v>
      </c>
      <c r="B547" t="s">
        <v>7934</v>
      </c>
      <c r="C547" s="1" t="e">
        <f>VLOOKUP(Tabla_Items_Activos[[#This Row],[CODIGO]],Tabla_Items_Completos[[CODIGO]:[LINEA]],2,0)</f>
        <v>#N/A</v>
      </c>
      <c r="D547" s="1" t="e">
        <f>VLOOKUP(Tabla_Items_Activos[[#This Row],[CODIGO]],Tabla_Items_Completos[[CODIGO]:[LINEA]],3,0)</f>
        <v>#N/A</v>
      </c>
      <c r="E547" s="1" t="e">
        <f>VLOOKUP(Tabla_Items_Activos[[#This Row],[CODIGO]],Tabla_Items_Completos[[CODIGO]:[LINEA]],4,0)</f>
        <v>#N/A</v>
      </c>
      <c r="F547">
        <v>27</v>
      </c>
      <c r="G547">
        <v>0</v>
      </c>
    </row>
    <row r="548" spans="1:7">
      <c r="A548" t="s">
        <v>7388</v>
      </c>
      <c r="B548" t="s">
        <v>7935</v>
      </c>
      <c r="C548" s="1" t="e">
        <f>VLOOKUP(Tabla_Items_Activos[[#This Row],[CODIGO]],Tabla_Items_Completos[[CODIGO]:[LINEA]],2,0)</f>
        <v>#N/A</v>
      </c>
      <c r="D548" s="1" t="e">
        <f>VLOOKUP(Tabla_Items_Activos[[#This Row],[CODIGO]],Tabla_Items_Completos[[CODIGO]:[LINEA]],3,0)</f>
        <v>#N/A</v>
      </c>
      <c r="E548" s="1" t="e">
        <f>VLOOKUP(Tabla_Items_Activos[[#This Row],[CODIGO]],Tabla_Items_Completos[[CODIGO]:[LINEA]],4,0)</f>
        <v>#N/A</v>
      </c>
      <c r="F548">
        <v>79</v>
      </c>
      <c r="G548">
        <v>0</v>
      </c>
    </row>
    <row r="549" spans="1:7">
      <c r="A549" t="s">
        <v>7388</v>
      </c>
      <c r="B549" t="s">
        <v>7936</v>
      </c>
      <c r="C549" s="1" t="e">
        <f>VLOOKUP(Tabla_Items_Activos[[#This Row],[CODIGO]],Tabla_Items_Completos[[CODIGO]:[LINEA]],2,0)</f>
        <v>#N/A</v>
      </c>
      <c r="D549" s="1" t="e">
        <f>VLOOKUP(Tabla_Items_Activos[[#This Row],[CODIGO]],Tabla_Items_Completos[[CODIGO]:[LINEA]],3,0)</f>
        <v>#N/A</v>
      </c>
      <c r="E549" s="1" t="e">
        <f>VLOOKUP(Tabla_Items_Activos[[#This Row],[CODIGO]],Tabla_Items_Completos[[CODIGO]:[LINEA]],4,0)</f>
        <v>#N/A</v>
      </c>
      <c r="F549">
        <v>84</v>
      </c>
      <c r="G549">
        <v>0</v>
      </c>
    </row>
    <row r="550" spans="1:7">
      <c r="A550" t="s">
        <v>7388</v>
      </c>
      <c r="B550" t="s">
        <v>7937</v>
      </c>
      <c r="C550" s="1" t="e">
        <f>VLOOKUP(Tabla_Items_Activos[[#This Row],[CODIGO]],Tabla_Items_Completos[[CODIGO]:[LINEA]],2,0)</f>
        <v>#N/A</v>
      </c>
      <c r="D550" s="1" t="e">
        <f>VLOOKUP(Tabla_Items_Activos[[#This Row],[CODIGO]],Tabla_Items_Completos[[CODIGO]:[LINEA]],3,0)</f>
        <v>#N/A</v>
      </c>
      <c r="E550" s="1" t="e">
        <f>VLOOKUP(Tabla_Items_Activos[[#This Row],[CODIGO]],Tabla_Items_Completos[[CODIGO]:[LINEA]],4,0)</f>
        <v>#N/A</v>
      </c>
      <c r="F550">
        <v>49</v>
      </c>
      <c r="G550">
        <v>0</v>
      </c>
    </row>
    <row r="551" spans="1:7">
      <c r="A551" t="s">
        <v>7388</v>
      </c>
      <c r="B551" t="s">
        <v>7938</v>
      </c>
      <c r="C551" s="1" t="e">
        <f>VLOOKUP(Tabla_Items_Activos[[#This Row],[CODIGO]],Tabla_Items_Completos[[CODIGO]:[LINEA]],2,0)</f>
        <v>#N/A</v>
      </c>
      <c r="D551" s="1" t="e">
        <f>VLOOKUP(Tabla_Items_Activos[[#This Row],[CODIGO]],Tabla_Items_Completos[[CODIGO]:[LINEA]],3,0)</f>
        <v>#N/A</v>
      </c>
      <c r="E551" s="1" t="e">
        <f>VLOOKUP(Tabla_Items_Activos[[#This Row],[CODIGO]],Tabla_Items_Completos[[CODIGO]:[LINEA]],4,0)</f>
        <v>#N/A</v>
      </c>
      <c r="F551">
        <v>101</v>
      </c>
      <c r="G551">
        <v>0</v>
      </c>
    </row>
    <row r="552" spans="1:7">
      <c r="A552" t="s">
        <v>7388</v>
      </c>
      <c r="B552" t="s">
        <v>7939</v>
      </c>
      <c r="C552" s="1" t="e">
        <f>VLOOKUP(Tabla_Items_Activos[[#This Row],[CODIGO]],Tabla_Items_Completos[[CODIGO]:[LINEA]],2,0)</f>
        <v>#N/A</v>
      </c>
      <c r="D552" s="1" t="e">
        <f>VLOOKUP(Tabla_Items_Activos[[#This Row],[CODIGO]],Tabla_Items_Completos[[CODIGO]:[LINEA]],3,0)</f>
        <v>#N/A</v>
      </c>
      <c r="E552" s="1" t="e">
        <f>VLOOKUP(Tabla_Items_Activos[[#This Row],[CODIGO]],Tabla_Items_Completos[[CODIGO]:[LINEA]],4,0)</f>
        <v>#N/A</v>
      </c>
      <c r="F552">
        <v>55</v>
      </c>
      <c r="G552">
        <v>0</v>
      </c>
    </row>
    <row r="553" spans="1:7">
      <c r="A553" t="s">
        <v>7388</v>
      </c>
      <c r="B553" t="s">
        <v>7940</v>
      </c>
      <c r="C553" s="1" t="e">
        <f>VLOOKUP(Tabla_Items_Activos[[#This Row],[CODIGO]],Tabla_Items_Completos[[CODIGO]:[LINEA]],2,0)</f>
        <v>#N/A</v>
      </c>
      <c r="D553" s="1" t="e">
        <f>VLOOKUP(Tabla_Items_Activos[[#This Row],[CODIGO]],Tabla_Items_Completos[[CODIGO]:[LINEA]],3,0)</f>
        <v>#N/A</v>
      </c>
      <c r="E553" s="1" t="e">
        <f>VLOOKUP(Tabla_Items_Activos[[#This Row],[CODIGO]],Tabla_Items_Completos[[CODIGO]:[LINEA]],4,0)</f>
        <v>#N/A</v>
      </c>
      <c r="F553">
        <v>20</v>
      </c>
      <c r="G553">
        <v>0</v>
      </c>
    </row>
    <row r="554" spans="1:7">
      <c r="A554" t="s">
        <v>7388</v>
      </c>
      <c r="B554" t="s">
        <v>7941</v>
      </c>
      <c r="C554" s="1" t="e">
        <f>VLOOKUP(Tabla_Items_Activos[[#This Row],[CODIGO]],Tabla_Items_Completos[[CODIGO]:[LINEA]],2,0)</f>
        <v>#N/A</v>
      </c>
      <c r="D554" s="1" t="e">
        <f>VLOOKUP(Tabla_Items_Activos[[#This Row],[CODIGO]],Tabla_Items_Completos[[CODIGO]:[LINEA]],3,0)</f>
        <v>#N/A</v>
      </c>
      <c r="E554" s="1" t="e">
        <f>VLOOKUP(Tabla_Items_Activos[[#This Row],[CODIGO]],Tabla_Items_Completos[[CODIGO]:[LINEA]],4,0)</f>
        <v>#N/A</v>
      </c>
      <c r="F554">
        <v>91</v>
      </c>
      <c r="G554">
        <v>0</v>
      </c>
    </row>
    <row r="555" spans="1:7">
      <c r="A555" t="s">
        <v>7388</v>
      </c>
      <c r="B555" t="s">
        <v>7942</v>
      </c>
      <c r="C555" s="1" t="e">
        <f>VLOOKUP(Tabla_Items_Activos[[#This Row],[CODIGO]],Tabla_Items_Completos[[CODIGO]:[LINEA]],2,0)</f>
        <v>#N/A</v>
      </c>
      <c r="D555" s="1" t="e">
        <f>VLOOKUP(Tabla_Items_Activos[[#This Row],[CODIGO]],Tabla_Items_Completos[[CODIGO]:[LINEA]],3,0)</f>
        <v>#N/A</v>
      </c>
      <c r="E555" s="1" t="e">
        <f>VLOOKUP(Tabla_Items_Activos[[#This Row],[CODIGO]],Tabla_Items_Completos[[CODIGO]:[LINEA]],4,0)</f>
        <v>#N/A</v>
      </c>
      <c r="F555">
        <v>74</v>
      </c>
      <c r="G555">
        <v>0</v>
      </c>
    </row>
    <row r="556" spans="1:7">
      <c r="A556" t="s">
        <v>7388</v>
      </c>
      <c r="B556" t="s">
        <v>7943</v>
      </c>
      <c r="C556" s="1" t="e">
        <f>VLOOKUP(Tabla_Items_Activos[[#This Row],[CODIGO]],Tabla_Items_Completos[[CODIGO]:[LINEA]],2,0)</f>
        <v>#N/A</v>
      </c>
      <c r="D556" s="1" t="e">
        <f>VLOOKUP(Tabla_Items_Activos[[#This Row],[CODIGO]],Tabla_Items_Completos[[CODIGO]:[LINEA]],3,0)</f>
        <v>#N/A</v>
      </c>
      <c r="E556" s="1" t="e">
        <f>VLOOKUP(Tabla_Items_Activos[[#This Row],[CODIGO]],Tabla_Items_Completos[[CODIGO]:[LINEA]],4,0)</f>
        <v>#N/A</v>
      </c>
      <c r="F556">
        <v>31</v>
      </c>
      <c r="G556">
        <v>0</v>
      </c>
    </row>
    <row r="557" spans="1:7">
      <c r="A557" t="s">
        <v>7388</v>
      </c>
      <c r="B557" t="s">
        <v>7944</v>
      </c>
      <c r="C557" s="1" t="e">
        <f>VLOOKUP(Tabla_Items_Activos[[#This Row],[CODIGO]],Tabla_Items_Completos[[CODIGO]:[LINEA]],2,0)</f>
        <v>#N/A</v>
      </c>
      <c r="D557" s="1" t="e">
        <f>VLOOKUP(Tabla_Items_Activos[[#This Row],[CODIGO]],Tabla_Items_Completos[[CODIGO]:[LINEA]],3,0)</f>
        <v>#N/A</v>
      </c>
      <c r="E557" s="1" t="e">
        <f>VLOOKUP(Tabla_Items_Activos[[#This Row],[CODIGO]],Tabla_Items_Completos[[CODIGO]:[LINEA]],4,0)</f>
        <v>#N/A</v>
      </c>
      <c r="F557">
        <v>58</v>
      </c>
      <c r="G557">
        <v>0</v>
      </c>
    </row>
    <row r="558" spans="1:7">
      <c r="A558" t="s">
        <v>7388</v>
      </c>
      <c r="B558" t="s">
        <v>7945</v>
      </c>
      <c r="C558" s="1" t="e">
        <f>VLOOKUP(Tabla_Items_Activos[[#This Row],[CODIGO]],Tabla_Items_Completos[[CODIGO]:[LINEA]],2,0)</f>
        <v>#N/A</v>
      </c>
      <c r="D558" s="1" t="e">
        <f>VLOOKUP(Tabla_Items_Activos[[#This Row],[CODIGO]],Tabla_Items_Completos[[CODIGO]:[LINEA]],3,0)</f>
        <v>#N/A</v>
      </c>
      <c r="E558" s="1" t="e">
        <f>VLOOKUP(Tabla_Items_Activos[[#This Row],[CODIGO]],Tabla_Items_Completos[[CODIGO]:[LINEA]],4,0)</f>
        <v>#N/A</v>
      </c>
      <c r="F558">
        <v>63</v>
      </c>
      <c r="G558">
        <v>0</v>
      </c>
    </row>
    <row r="559" spans="1:7">
      <c r="A559" t="s">
        <v>7388</v>
      </c>
      <c r="B559" t="s">
        <v>7946</v>
      </c>
      <c r="C559" s="1" t="e">
        <f>VLOOKUP(Tabla_Items_Activos[[#This Row],[CODIGO]],Tabla_Items_Completos[[CODIGO]:[LINEA]],2,0)</f>
        <v>#N/A</v>
      </c>
      <c r="D559" s="1" t="e">
        <f>VLOOKUP(Tabla_Items_Activos[[#This Row],[CODIGO]],Tabla_Items_Completos[[CODIGO]:[LINEA]],3,0)</f>
        <v>#N/A</v>
      </c>
      <c r="E559" s="1" t="e">
        <f>VLOOKUP(Tabla_Items_Activos[[#This Row],[CODIGO]],Tabla_Items_Completos[[CODIGO]:[LINEA]],4,0)</f>
        <v>#N/A</v>
      </c>
      <c r="F559">
        <v>10</v>
      </c>
      <c r="G559">
        <v>0</v>
      </c>
    </row>
    <row r="560" spans="1:7">
      <c r="A560" t="s">
        <v>7388</v>
      </c>
      <c r="B560" t="s">
        <v>7947</v>
      </c>
      <c r="C560" s="1" t="e">
        <f>VLOOKUP(Tabla_Items_Activos[[#This Row],[CODIGO]],Tabla_Items_Completos[[CODIGO]:[LINEA]],2,0)</f>
        <v>#N/A</v>
      </c>
      <c r="D560" s="1" t="e">
        <f>VLOOKUP(Tabla_Items_Activos[[#This Row],[CODIGO]],Tabla_Items_Completos[[CODIGO]:[LINEA]],3,0)</f>
        <v>#N/A</v>
      </c>
      <c r="E560" s="1" t="e">
        <f>VLOOKUP(Tabla_Items_Activos[[#This Row],[CODIGO]],Tabla_Items_Completos[[CODIGO]:[LINEA]],4,0)</f>
        <v>#N/A</v>
      </c>
      <c r="F560">
        <v>990</v>
      </c>
      <c r="G560">
        <v>0</v>
      </c>
    </row>
    <row r="561" spans="1:7">
      <c r="A561" t="s">
        <v>7388</v>
      </c>
      <c r="B561" t="s">
        <v>7948</v>
      </c>
      <c r="C561" s="1" t="e">
        <f>VLOOKUP(Tabla_Items_Activos[[#This Row],[CODIGO]],Tabla_Items_Completos[[CODIGO]:[LINEA]],2,0)</f>
        <v>#N/A</v>
      </c>
      <c r="D561" s="1" t="e">
        <f>VLOOKUP(Tabla_Items_Activos[[#This Row],[CODIGO]],Tabla_Items_Completos[[CODIGO]:[LINEA]],3,0)</f>
        <v>#N/A</v>
      </c>
      <c r="E561" s="1" t="e">
        <f>VLOOKUP(Tabla_Items_Activos[[#This Row],[CODIGO]],Tabla_Items_Completos[[CODIGO]:[LINEA]],4,0)</f>
        <v>#N/A</v>
      </c>
      <c r="F561">
        <v>2268</v>
      </c>
      <c r="G561">
        <v>0</v>
      </c>
    </row>
    <row r="562" spans="1:7">
      <c r="A562" t="s">
        <v>7388</v>
      </c>
      <c r="B562" t="s">
        <v>7949</v>
      </c>
      <c r="C562" s="1" t="e">
        <f>VLOOKUP(Tabla_Items_Activos[[#This Row],[CODIGO]],Tabla_Items_Completos[[CODIGO]:[LINEA]],2,0)</f>
        <v>#N/A</v>
      </c>
      <c r="D562" s="1" t="e">
        <f>VLOOKUP(Tabla_Items_Activos[[#This Row],[CODIGO]],Tabla_Items_Completos[[CODIGO]:[LINEA]],3,0)</f>
        <v>#N/A</v>
      </c>
      <c r="E562" s="1" t="e">
        <f>VLOOKUP(Tabla_Items_Activos[[#This Row],[CODIGO]],Tabla_Items_Completos[[CODIGO]:[LINEA]],4,0)</f>
        <v>#N/A</v>
      </c>
      <c r="F562">
        <v>551</v>
      </c>
      <c r="G562">
        <v>0</v>
      </c>
    </row>
    <row r="563" spans="1:7">
      <c r="A563" t="s">
        <v>7388</v>
      </c>
      <c r="B563" t="s">
        <v>7950</v>
      </c>
      <c r="C563" s="1" t="e">
        <f>VLOOKUP(Tabla_Items_Activos[[#This Row],[CODIGO]],Tabla_Items_Completos[[CODIGO]:[LINEA]],2,0)</f>
        <v>#N/A</v>
      </c>
      <c r="D563" s="1" t="e">
        <f>VLOOKUP(Tabla_Items_Activos[[#This Row],[CODIGO]],Tabla_Items_Completos[[CODIGO]:[LINEA]],3,0)</f>
        <v>#N/A</v>
      </c>
      <c r="E563" s="1" t="e">
        <f>VLOOKUP(Tabla_Items_Activos[[#This Row],[CODIGO]],Tabla_Items_Completos[[CODIGO]:[LINEA]],4,0)</f>
        <v>#N/A</v>
      </c>
      <c r="F563">
        <v>761</v>
      </c>
      <c r="G563">
        <v>29</v>
      </c>
    </row>
    <row r="564" spans="1:7">
      <c r="A564" t="s">
        <v>7388</v>
      </c>
      <c r="B564" t="s">
        <v>7951</v>
      </c>
      <c r="C564" s="1" t="e">
        <f>VLOOKUP(Tabla_Items_Activos[[#This Row],[CODIGO]],Tabla_Items_Completos[[CODIGO]:[LINEA]],2,0)</f>
        <v>#N/A</v>
      </c>
      <c r="D564" s="1" t="e">
        <f>VLOOKUP(Tabla_Items_Activos[[#This Row],[CODIGO]],Tabla_Items_Completos[[CODIGO]:[LINEA]],3,0)</f>
        <v>#N/A</v>
      </c>
      <c r="E564" s="1" t="e">
        <f>VLOOKUP(Tabla_Items_Activos[[#This Row],[CODIGO]],Tabla_Items_Completos[[CODIGO]:[LINEA]],4,0)</f>
        <v>#N/A</v>
      </c>
      <c r="F564">
        <v>984</v>
      </c>
      <c r="G564">
        <v>0</v>
      </c>
    </row>
    <row r="565" spans="1:7">
      <c r="A565" t="s">
        <v>7388</v>
      </c>
      <c r="B565" t="s">
        <v>7952</v>
      </c>
      <c r="C565" s="1" t="e">
        <f>VLOOKUP(Tabla_Items_Activos[[#This Row],[CODIGO]],Tabla_Items_Completos[[CODIGO]:[LINEA]],2,0)</f>
        <v>#N/A</v>
      </c>
      <c r="D565" s="1" t="e">
        <f>VLOOKUP(Tabla_Items_Activos[[#This Row],[CODIGO]],Tabla_Items_Completos[[CODIGO]:[LINEA]],3,0)</f>
        <v>#N/A</v>
      </c>
      <c r="E565" s="1" t="e">
        <f>VLOOKUP(Tabla_Items_Activos[[#This Row],[CODIGO]],Tabla_Items_Completos[[CODIGO]:[LINEA]],4,0)</f>
        <v>#N/A</v>
      </c>
      <c r="F565">
        <v>450</v>
      </c>
      <c r="G565">
        <v>0</v>
      </c>
    </row>
    <row r="566" spans="1:7">
      <c r="A566" t="s">
        <v>7388</v>
      </c>
      <c r="B566" t="s">
        <v>7953</v>
      </c>
      <c r="C566" s="1" t="e">
        <f>VLOOKUP(Tabla_Items_Activos[[#This Row],[CODIGO]],Tabla_Items_Completos[[CODIGO]:[LINEA]],2,0)</f>
        <v>#N/A</v>
      </c>
      <c r="D566" s="1" t="e">
        <f>VLOOKUP(Tabla_Items_Activos[[#This Row],[CODIGO]],Tabla_Items_Completos[[CODIGO]:[LINEA]],3,0)</f>
        <v>#N/A</v>
      </c>
      <c r="E566" s="1" t="e">
        <f>VLOOKUP(Tabla_Items_Activos[[#This Row],[CODIGO]],Tabla_Items_Completos[[CODIGO]:[LINEA]],4,0)</f>
        <v>#N/A</v>
      </c>
      <c r="F566">
        <v>342</v>
      </c>
      <c r="G566">
        <v>0</v>
      </c>
    </row>
    <row r="567" spans="1:7">
      <c r="A567" t="s">
        <v>7388</v>
      </c>
      <c r="B567" t="s">
        <v>7954</v>
      </c>
      <c r="C567" s="1" t="e">
        <f>VLOOKUP(Tabla_Items_Activos[[#This Row],[CODIGO]],Tabla_Items_Completos[[CODIGO]:[LINEA]],2,0)</f>
        <v>#N/A</v>
      </c>
      <c r="D567" s="1" t="e">
        <f>VLOOKUP(Tabla_Items_Activos[[#This Row],[CODIGO]],Tabla_Items_Completos[[CODIGO]:[LINEA]],3,0)</f>
        <v>#N/A</v>
      </c>
      <c r="E567" s="1" t="e">
        <f>VLOOKUP(Tabla_Items_Activos[[#This Row],[CODIGO]],Tabla_Items_Completos[[CODIGO]:[LINEA]],4,0)</f>
        <v>#N/A</v>
      </c>
      <c r="F567">
        <v>366</v>
      </c>
      <c r="G567">
        <v>0</v>
      </c>
    </row>
    <row r="568" spans="1:7">
      <c r="A568" t="s">
        <v>7388</v>
      </c>
      <c r="B568" t="s">
        <v>7955</v>
      </c>
      <c r="C568" s="1" t="e">
        <f>VLOOKUP(Tabla_Items_Activos[[#This Row],[CODIGO]],Tabla_Items_Completos[[CODIGO]:[LINEA]],2,0)</f>
        <v>#N/A</v>
      </c>
      <c r="D568" s="1" t="e">
        <f>VLOOKUP(Tabla_Items_Activos[[#This Row],[CODIGO]],Tabla_Items_Completos[[CODIGO]:[LINEA]],3,0)</f>
        <v>#N/A</v>
      </c>
      <c r="E568" s="1" t="e">
        <f>VLOOKUP(Tabla_Items_Activos[[#This Row],[CODIGO]],Tabla_Items_Completos[[CODIGO]:[LINEA]],4,0)</f>
        <v>#N/A</v>
      </c>
      <c r="F568">
        <v>264</v>
      </c>
      <c r="G568">
        <v>0</v>
      </c>
    </row>
    <row r="569" spans="1:7">
      <c r="A569" t="s">
        <v>7388</v>
      </c>
      <c r="B569" t="s">
        <v>7956</v>
      </c>
      <c r="C569" s="1" t="e">
        <f>VLOOKUP(Tabla_Items_Activos[[#This Row],[CODIGO]],Tabla_Items_Completos[[CODIGO]:[LINEA]],2,0)</f>
        <v>#N/A</v>
      </c>
      <c r="D569" s="1" t="e">
        <f>VLOOKUP(Tabla_Items_Activos[[#This Row],[CODIGO]],Tabla_Items_Completos[[CODIGO]:[LINEA]],3,0)</f>
        <v>#N/A</v>
      </c>
      <c r="E569" s="1" t="e">
        <f>VLOOKUP(Tabla_Items_Activos[[#This Row],[CODIGO]],Tabla_Items_Completos[[CODIGO]:[LINEA]],4,0)</f>
        <v>#N/A</v>
      </c>
      <c r="F569">
        <v>324</v>
      </c>
      <c r="G569">
        <v>0</v>
      </c>
    </row>
    <row r="570" spans="1:7">
      <c r="A570" t="s">
        <v>7388</v>
      </c>
      <c r="B570" t="s">
        <v>7957</v>
      </c>
      <c r="C570" s="1" t="e">
        <f>VLOOKUP(Tabla_Items_Activos[[#This Row],[CODIGO]],Tabla_Items_Completos[[CODIGO]:[LINEA]],2,0)</f>
        <v>#N/A</v>
      </c>
      <c r="D570" s="1" t="e">
        <f>VLOOKUP(Tabla_Items_Activos[[#This Row],[CODIGO]],Tabla_Items_Completos[[CODIGO]:[LINEA]],3,0)</f>
        <v>#N/A</v>
      </c>
      <c r="E570" s="1" t="e">
        <f>VLOOKUP(Tabla_Items_Activos[[#This Row],[CODIGO]],Tabla_Items_Completos[[CODIGO]:[LINEA]],4,0)</f>
        <v>#N/A</v>
      </c>
      <c r="F570">
        <v>340</v>
      </c>
      <c r="G570">
        <v>0</v>
      </c>
    </row>
    <row r="571" spans="1:7">
      <c r="A571" t="s">
        <v>7388</v>
      </c>
      <c r="B571" t="s">
        <v>7958</v>
      </c>
      <c r="C571" s="1" t="e">
        <f>VLOOKUP(Tabla_Items_Activos[[#This Row],[CODIGO]],Tabla_Items_Completos[[CODIGO]:[LINEA]],2,0)</f>
        <v>#N/A</v>
      </c>
      <c r="D571" s="1" t="e">
        <f>VLOOKUP(Tabla_Items_Activos[[#This Row],[CODIGO]],Tabla_Items_Completos[[CODIGO]:[LINEA]],3,0)</f>
        <v>#N/A</v>
      </c>
      <c r="E571" s="1" t="e">
        <f>VLOOKUP(Tabla_Items_Activos[[#This Row],[CODIGO]],Tabla_Items_Completos[[CODIGO]:[LINEA]],4,0)</f>
        <v>#N/A</v>
      </c>
      <c r="F571">
        <v>363</v>
      </c>
      <c r="G571">
        <v>0</v>
      </c>
    </row>
    <row r="572" spans="1:7">
      <c r="A572" t="s">
        <v>7388</v>
      </c>
      <c r="B572" t="s">
        <v>7959</v>
      </c>
      <c r="C572" s="1" t="e">
        <f>VLOOKUP(Tabla_Items_Activos[[#This Row],[CODIGO]],Tabla_Items_Completos[[CODIGO]:[LINEA]],2,0)</f>
        <v>#N/A</v>
      </c>
      <c r="D572" s="1" t="e">
        <f>VLOOKUP(Tabla_Items_Activos[[#This Row],[CODIGO]],Tabla_Items_Completos[[CODIGO]:[LINEA]],3,0)</f>
        <v>#N/A</v>
      </c>
      <c r="E572" s="1" t="e">
        <f>VLOOKUP(Tabla_Items_Activos[[#This Row],[CODIGO]],Tabla_Items_Completos[[CODIGO]:[LINEA]],4,0)</f>
        <v>#N/A</v>
      </c>
      <c r="F572">
        <v>819</v>
      </c>
      <c r="G572">
        <v>0</v>
      </c>
    </row>
    <row r="573" spans="1:7">
      <c r="A573" t="s">
        <v>7388</v>
      </c>
      <c r="B573" t="s">
        <v>7960</v>
      </c>
      <c r="C573" s="1" t="e">
        <f>VLOOKUP(Tabla_Items_Activos[[#This Row],[CODIGO]],Tabla_Items_Completos[[CODIGO]:[LINEA]],2,0)</f>
        <v>#N/A</v>
      </c>
      <c r="D573" s="1" t="e">
        <f>VLOOKUP(Tabla_Items_Activos[[#This Row],[CODIGO]],Tabla_Items_Completos[[CODIGO]:[LINEA]],3,0)</f>
        <v>#N/A</v>
      </c>
      <c r="E573" s="1" t="e">
        <f>VLOOKUP(Tabla_Items_Activos[[#This Row],[CODIGO]],Tabla_Items_Completos[[CODIGO]:[LINEA]],4,0)</f>
        <v>#N/A</v>
      </c>
      <c r="F573">
        <v>1103</v>
      </c>
      <c r="G573">
        <v>0</v>
      </c>
    </row>
    <row r="574" spans="1:7">
      <c r="A574" t="s">
        <v>7388</v>
      </c>
      <c r="B574" t="s">
        <v>7961</v>
      </c>
      <c r="C574" s="1" t="e">
        <f>VLOOKUP(Tabla_Items_Activos[[#This Row],[CODIGO]],Tabla_Items_Completos[[CODIGO]:[LINEA]],2,0)</f>
        <v>#N/A</v>
      </c>
      <c r="D574" s="1" t="e">
        <f>VLOOKUP(Tabla_Items_Activos[[#This Row],[CODIGO]],Tabla_Items_Completos[[CODIGO]:[LINEA]],3,0)</f>
        <v>#N/A</v>
      </c>
      <c r="E574" s="1" t="e">
        <f>VLOOKUP(Tabla_Items_Activos[[#This Row],[CODIGO]],Tabla_Items_Completos[[CODIGO]:[LINEA]],4,0)</f>
        <v>#N/A</v>
      </c>
      <c r="F574">
        <v>468</v>
      </c>
      <c r="G574">
        <v>104</v>
      </c>
    </row>
    <row r="575" spans="1:7">
      <c r="A575" t="s">
        <v>7388</v>
      </c>
      <c r="B575" t="s">
        <v>7962</v>
      </c>
      <c r="C575" s="1" t="e">
        <f>VLOOKUP(Tabla_Items_Activos[[#This Row],[CODIGO]],Tabla_Items_Completos[[CODIGO]:[LINEA]],2,0)</f>
        <v>#N/A</v>
      </c>
      <c r="D575" s="1" t="e">
        <f>VLOOKUP(Tabla_Items_Activos[[#This Row],[CODIGO]],Tabla_Items_Completos[[CODIGO]:[LINEA]],3,0)</f>
        <v>#N/A</v>
      </c>
      <c r="E575" s="1" t="e">
        <f>VLOOKUP(Tabla_Items_Activos[[#This Row],[CODIGO]],Tabla_Items_Completos[[CODIGO]:[LINEA]],4,0)</f>
        <v>#N/A</v>
      </c>
      <c r="F575">
        <v>725</v>
      </c>
      <c r="G575">
        <v>0</v>
      </c>
    </row>
    <row r="576" spans="1:7">
      <c r="A576" t="s">
        <v>7388</v>
      </c>
      <c r="B576" t="s">
        <v>7963</v>
      </c>
      <c r="C576" s="1" t="e">
        <f>VLOOKUP(Tabla_Items_Activos[[#This Row],[CODIGO]],Tabla_Items_Completos[[CODIGO]:[LINEA]],2,0)</f>
        <v>#N/A</v>
      </c>
      <c r="D576" s="1" t="e">
        <f>VLOOKUP(Tabla_Items_Activos[[#This Row],[CODIGO]],Tabla_Items_Completos[[CODIGO]:[LINEA]],3,0)</f>
        <v>#N/A</v>
      </c>
      <c r="E576" s="1" t="e">
        <f>VLOOKUP(Tabla_Items_Activos[[#This Row],[CODIGO]],Tabla_Items_Completos[[CODIGO]:[LINEA]],4,0)</f>
        <v>#N/A</v>
      </c>
      <c r="F576">
        <v>97</v>
      </c>
      <c r="G576">
        <v>0</v>
      </c>
    </row>
    <row r="577" spans="1:7">
      <c r="A577" t="s">
        <v>7388</v>
      </c>
      <c r="B577" t="s">
        <v>7964</v>
      </c>
      <c r="C577" s="1" t="e">
        <f>VLOOKUP(Tabla_Items_Activos[[#This Row],[CODIGO]],Tabla_Items_Completos[[CODIGO]:[LINEA]],2,0)</f>
        <v>#N/A</v>
      </c>
      <c r="D577" s="1" t="e">
        <f>VLOOKUP(Tabla_Items_Activos[[#This Row],[CODIGO]],Tabla_Items_Completos[[CODIGO]:[LINEA]],3,0)</f>
        <v>#N/A</v>
      </c>
      <c r="E577" s="1" t="e">
        <f>VLOOKUP(Tabla_Items_Activos[[#This Row],[CODIGO]],Tabla_Items_Completos[[CODIGO]:[LINEA]],4,0)</f>
        <v>#N/A</v>
      </c>
      <c r="F577">
        <v>102</v>
      </c>
      <c r="G577">
        <v>0</v>
      </c>
    </row>
    <row r="578" spans="1:7">
      <c r="A578" t="s">
        <v>7388</v>
      </c>
      <c r="B578" t="s">
        <v>7965</v>
      </c>
      <c r="C578" s="1" t="e">
        <f>VLOOKUP(Tabla_Items_Activos[[#This Row],[CODIGO]],Tabla_Items_Completos[[CODIGO]:[LINEA]],2,0)</f>
        <v>#N/A</v>
      </c>
      <c r="D578" s="1" t="e">
        <f>VLOOKUP(Tabla_Items_Activos[[#This Row],[CODIGO]],Tabla_Items_Completos[[CODIGO]:[LINEA]],3,0)</f>
        <v>#N/A</v>
      </c>
      <c r="E578" s="1" t="e">
        <f>VLOOKUP(Tabla_Items_Activos[[#This Row],[CODIGO]],Tabla_Items_Completos[[CODIGO]:[LINEA]],4,0)</f>
        <v>#N/A</v>
      </c>
      <c r="F578">
        <v>24</v>
      </c>
      <c r="G578">
        <v>0</v>
      </c>
    </row>
    <row r="579" spans="1:7">
      <c r="A579" t="s">
        <v>7388</v>
      </c>
      <c r="B579" t="s">
        <v>7966</v>
      </c>
      <c r="C579" s="1" t="e">
        <f>VLOOKUP(Tabla_Items_Activos[[#This Row],[CODIGO]],Tabla_Items_Completos[[CODIGO]:[LINEA]],2,0)</f>
        <v>#N/A</v>
      </c>
      <c r="D579" s="1" t="e">
        <f>VLOOKUP(Tabla_Items_Activos[[#This Row],[CODIGO]],Tabla_Items_Completos[[CODIGO]:[LINEA]],3,0)</f>
        <v>#N/A</v>
      </c>
      <c r="E579" s="1" t="e">
        <f>VLOOKUP(Tabla_Items_Activos[[#This Row],[CODIGO]],Tabla_Items_Completos[[CODIGO]:[LINEA]],4,0)</f>
        <v>#N/A</v>
      </c>
      <c r="F579">
        <v>118</v>
      </c>
      <c r="G579">
        <v>0</v>
      </c>
    </row>
    <row r="580" spans="1:7">
      <c r="A580" t="s">
        <v>7388</v>
      </c>
      <c r="B580" t="s">
        <v>7967</v>
      </c>
      <c r="C580" s="1" t="e">
        <f>VLOOKUP(Tabla_Items_Activos[[#This Row],[CODIGO]],Tabla_Items_Completos[[CODIGO]:[LINEA]],2,0)</f>
        <v>#N/A</v>
      </c>
      <c r="D580" s="1" t="e">
        <f>VLOOKUP(Tabla_Items_Activos[[#This Row],[CODIGO]],Tabla_Items_Completos[[CODIGO]:[LINEA]],3,0)</f>
        <v>#N/A</v>
      </c>
      <c r="E580" s="1" t="e">
        <f>VLOOKUP(Tabla_Items_Activos[[#This Row],[CODIGO]],Tabla_Items_Completos[[CODIGO]:[LINEA]],4,0)</f>
        <v>#N/A</v>
      </c>
      <c r="F580">
        <v>86</v>
      </c>
      <c r="G580">
        <v>0</v>
      </c>
    </row>
    <row r="581" spans="1:7">
      <c r="A581" t="s">
        <v>7388</v>
      </c>
      <c r="B581" t="s">
        <v>7968</v>
      </c>
      <c r="C581" s="1" t="e">
        <f>VLOOKUP(Tabla_Items_Activos[[#This Row],[CODIGO]],Tabla_Items_Completos[[CODIGO]:[LINEA]],2,0)</f>
        <v>#N/A</v>
      </c>
      <c r="D581" s="1" t="e">
        <f>VLOOKUP(Tabla_Items_Activos[[#This Row],[CODIGO]],Tabla_Items_Completos[[CODIGO]:[LINEA]],3,0)</f>
        <v>#N/A</v>
      </c>
      <c r="E581" s="1" t="e">
        <f>VLOOKUP(Tabla_Items_Activos[[#This Row],[CODIGO]],Tabla_Items_Completos[[CODIGO]:[LINEA]],4,0)</f>
        <v>#N/A</v>
      </c>
      <c r="F581">
        <v>18</v>
      </c>
      <c r="G581">
        <v>0</v>
      </c>
    </row>
    <row r="582" spans="1:7">
      <c r="A582" t="s">
        <v>7388</v>
      </c>
      <c r="B582" t="s">
        <v>7969</v>
      </c>
      <c r="C582" s="1" t="e">
        <f>VLOOKUP(Tabla_Items_Activos[[#This Row],[CODIGO]],Tabla_Items_Completos[[CODIGO]:[LINEA]],2,0)</f>
        <v>#N/A</v>
      </c>
      <c r="D582" s="1" t="e">
        <f>VLOOKUP(Tabla_Items_Activos[[#This Row],[CODIGO]],Tabla_Items_Completos[[CODIGO]:[LINEA]],3,0)</f>
        <v>#N/A</v>
      </c>
      <c r="E582" s="1" t="e">
        <f>VLOOKUP(Tabla_Items_Activos[[#This Row],[CODIGO]],Tabla_Items_Completos[[CODIGO]:[LINEA]],4,0)</f>
        <v>#N/A</v>
      </c>
      <c r="F582">
        <v>107</v>
      </c>
      <c r="G582">
        <v>0</v>
      </c>
    </row>
    <row r="583" spans="1:7">
      <c r="A583" t="s">
        <v>7388</v>
      </c>
      <c r="B583" t="s">
        <v>7970</v>
      </c>
      <c r="C583" s="1" t="e">
        <f>VLOOKUP(Tabla_Items_Activos[[#This Row],[CODIGO]],Tabla_Items_Completos[[CODIGO]:[LINEA]],2,0)</f>
        <v>#N/A</v>
      </c>
      <c r="D583" s="1" t="e">
        <f>VLOOKUP(Tabla_Items_Activos[[#This Row],[CODIGO]],Tabla_Items_Completos[[CODIGO]:[LINEA]],3,0)</f>
        <v>#N/A</v>
      </c>
      <c r="E583" s="1" t="e">
        <f>VLOOKUP(Tabla_Items_Activos[[#This Row],[CODIGO]],Tabla_Items_Completos[[CODIGO]:[LINEA]],4,0)</f>
        <v>#N/A</v>
      </c>
      <c r="F583">
        <v>121</v>
      </c>
      <c r="G583">
        <v>0</v>
      </c>
    </row>
    <row r="584" spans="1:7">
      <c r="A584" t="s">
        <v>7388</v>
      </c>
      <c r="B584" t="s">
        <v>7971</v>
      </c>
      <c r="C584" s="1" t="e">
        <f>VLOOKUP(Tabla_Items_Activos[[#This Row],[CODIGO]],Tabla_Items_Completos[[CODIGO]:[LINEA]],2,0)</f>
        <v>#N/A</v>
      </c>
      <c r="D584" s="1" t="e">
        <f>VLOOKUP(Tabla_Items_Activos[[#This Row],[CODIGO]],Tabla_Items_Completos[[CODIGO]:[LINEA]],3,0)</f>
        <v>#N/A</v>
      </c>
      <c r="E584" s="1" t="e">
        <f>VLOOKUP(Tabla_Items_Activos[[#This Row],[CODIGO]],Tabla_Items_Completos[[CODIGO]:[LINEA]],4,0)</f>
        <v>#N/A</v>
      </c>
      <c r="F584">
        <v>26</v>
      </c>
      <c r="G584">
        <v>0</v>
      </c>
    </row>
    <row r="585" spans="1:7">
      <c r="A585" t="s">
        <v>7388</v>
      </c>
      <c r="B585" t="s">
        <v>7972</v>
      </c>
      <c r="C585" s="1" t="e">
        <f>VLOOKUP(Tabla_Items_Activos[[#This Row],[CODIGO]],Tabla_Items_Completos[[CODIGO]:[LINEA]],2,0)</f>
        <v>#N/A</v>
      </c>
      <c r="D585" s="1" t="e">
        <f>VLOOKUP(Tabla_Items_Activos[[#This Row],[CODIGO]],Tabla_Items_Completos[[CODIGO]:[LINEA]],3,0)</f>
        <v>#N/A</v>
      </c>
      <c r="E585" s="1" t="e">
        <f>VLOOKUP(Tabla_Items_Activos[[#This Row],[CODIGO]],Tabla_Items_Completos[[CODIGO]:[LINEA]],4,0)</f>
        <v>#N/A</v>
      </c>
      <c r="F585">
        <v>2</v>
      </c>
      <c r="G585">
        <v>0</v>
      </c>
    </row>
    <row r="586" spans="1:7">
      <c r="A586" t="s">
        <v>7388</v>
      </c>
      <c r="B586" t="s">
        <v>7973</v>
      </c>
      <c r="C586" s="1" t="e">
        <f>VLOOKUP(Tabla_Items_Activos[[#This Row],[CODIGO]],Tabla_Items_Completos[[CODIGO]:[LINEA]],2,0)</f>
        <v>#N/A</v>
      </c>
      <c r="D586" s="1" t="e">
        <f>VLOOKUP(Tabla_Items_Activos[[#This Row],[CODIGO]],Tabla_Items_Completos[[CODIGO]:[LINEA]],3,0)</f>
        <v>#N/A</v>
      </c>
      <c r="E586" s="1" t="e">
        <f>VLOOKUP(Tabla_Items_Activos[[#This Row],[CODIGO]],Tabla_Items_Completos[[CODIGO]:[LINEA]],4,0)</f>
        <v>#N/A</v>
      </c>
      <c r="F586">
        <v>72</v>
      </c>
      <c r="G586">
        <v>0</v>
      </c>
    </row>
    <row r="587" spans="1:7">
      <c r="A587" t="s">
        <v>7388</v>
      </c>
      <c r="B587" t="s">
        <v>7974</v>
      </c>
      <c r="C587" s="1" t="e">
        <f>VLOOKUP(Tabla_Items_Activos[[#This Row],[CODIGO]],Tabla_Items_Completos[[CODIGO]:[LINEA]],2,0)</f>
        <v>#N/A</v>
      </c>
      <c r="D587" s="1" t="e">
        <f>VLOOKUP(Tabla_Items_Activos[[#This Row],[CODIGO]],Tabla_Items_Completos[[CODIGO]:[LINEA]],3,0)</f>
        <v>#N/A</v>
      </c>
      <c r="E587" s="1" t="e">
        <f>VLOOKUP(Tabla_Items_Activos[[#This Row],[CODIGO]],Tabla_Items_Completos[[CODIGO]:[LINEA]],4,0)</f>
        <v>#N/A</v>
      </c>
      <c r="F587">
        <v>78</v>
      </c>
      <c r="G587">
        <v>0</v>
      </c>
    </row>
    <row r="588" spans="1:7">
      <c r="A588" t="s">
        <v>7388</v>
      </c>
      <c r="B588" t="s">
        <v>7975</v>
      </c>
      <c r="C588" s="1" t="e">
        <f>VLOOKUP(Tabla_Items_Activos[[#This Row],[CODIGO]],Tabla_Items_Completos[[CODIGO]:[LINEA]],2,0)</f>
        <v>#N/A</v>
      </c>
      <c r="D588" s="1" t="e">
        <f>VLOOKUP(Tabla_Items_Activos[[#This Row],[CODIGO]],Tabla_Items_Completos[[CODIGO]:[LINEA]],3,0)</f>
        <v>#N/A</v>
      </c>
      <c r="E588" s="1" t="e">
        <f>VLOOKUP(Tabla_Items_Activos[[#This Row],[CODIGO]],Tabla_Items_Completos[[CODIGO]:[LINEA]],4,0)</f>
        <v>#N/A</v>
      </c>
      <c r="F588">
        <v>21</v>
      </c>
      <c r="G588">
        <v>0</v>
      </c>
    </row>
    <row r="589" spans="1:7">
      <c r="A589" t="s">
        <v>7388</v>
      </c>
      <c r="B589" t="s">
        <v>7976</v>
      </c>
      <c r="C589" s="1" t="e">
        <f>VLOOKUP(Tabla_Items_Activos[[#This Row],[CODIGO]],Tabla_Items_Completos[[CODIGO]:[LINEA]],2,0)</f>
        <v>#N/A</v>
      </c>
      <c r="D589" s="1" t="e">
        <f>VLOOKUP(Tabla_Items_Activos[[#This Row],[CODIGO]],Tabla_Items_Completos[[CODIGO]:[LINEA]],3,0)</f>
        <v>#N/A</v>
      </c>
      <c r="E589" s="1" t="e">
        <f>VLOOKUP(Tabla_Items_Activos[[#This Row],[CODIGO]],Tabla_Items_Completos[[CODIGO]:[LINEA]],4,0)</f>
        <v>#N/A</v>
      </c>
      <c r="F589">
        <v>152</v>
      </c>
      <c r="G589">
        <v>0</v>
      </c>
    </row>
    <row r="590" spans="1:7">
      <c r="A590" t="s">
        <v>7388</v>
      </c>
      <c r="B590" t="s">
        <v>7977</v>
      </c>
      <c r="C590" s="1" t="e">
        <f>VLOOKUP(Tabla_Items_Activos[[#This Row],[CODIGO]],Tabla_Items_Completos[[CODIGO]:[LINEA]],2,0)</f>
        <v>#N/A</v>
      </c>
      <c r="D590" s="1" t="e">
        <f>VLOOKUP(Tabla_Items_Activos[[#This Row],[CODIGO]],Tabla_Items_Completos[[CODIGO]:[LINEA]],3,0)</f>
        <v>#N/A</v>
      </c>
      <c r="E590" s="1" t="e">
        <f>VLOOKUP(Tabla_Items_Activos[[#This Row],[CODIGO]],Tabla_Items_Completos[[CODIGO]:[LINEA]],4,0)</f>
        <v>#N/A</v>
      </c>
      <c r="F590">
        <v>200</v>
      </c>
      <c r="G590">
        <v>0</v>
      </c>
    </row>
    <row r="591" spans="1:7">
      <c r="A591" t="s">
        <v>7388</v>
      </c>
      <c r="B591" t="s">
        <v>7978</v>
      </c>
      <c r="C591" s="1" t="e">
        <f>VLOOKUP(Tabla_Items_Activos[[#This Row],[CODIGO]],Tabla_Items_Completos[[CODIGO]:[LINEA]],2,0)</f>
        <v>#N/A</v>
      </c>
      <c r="D591" s="1" t="e">
        <f>VLOOKUP(Tabla_Items_Activos[[#This Row],[CODIGO]],Tabla_Items_Completos[[CODIGO]:[LINEA]],3,0)</f>
        <v>#N/A</v>
      </c>
      <c r="E591" s="1" t="e">
        <f>VLOOKUP(Tabla_Items_Activos[[#This Row],[CODIGO]],Tabla_Items_Completos[[CODIGO]:[LINEA]],4,0)</f>
        <v>#N/A</v>
      </c>
      <c r="F591">
        <v>130</v>
      </c>
      <c r="G591">
        <v>0</v>
      </c>
    </row>
    <row r="592" spans="1:7">
      <c r="A592" t="s">
        <v>7388</v>
      </c>
      <c r="B592" t="s">
        <v>7979</v>
      </c>
      <c r="C592" s="1" t="e">
        <f>VLOOKUP(Tabla_Items_Activos[[#This Row],[CODIGO]],Tabla_Items_Completos[[CODIGO]:[LINEA]],2,0)</f>
        <v>#N/A</v>
      </c>
      <c r="D592" s="1" t="e">
        <f>VLOOKUP(Tabla_Items_Activos[[#This Row],[CODIGO]],Tabla_Items_Completos[[CODIGO]:[LINEA]],3,0)</f>
        <v>#N/A</v>
      </c>
      <c r="E592" s="1" t="e">
        <f>VLOOKUP(Tabla_Items_Activos[[#This Row],[CODIGO]],Tabla_Items_Completos[[CODIGO]:[LINEA]],4,0)</f>
        <v>#N/A</v>
      </c>
      <c r="F592">
        <v>145</v>
      </c>
      <c r="G592">
        <v>0</v>
      </c>
    </row>
    <row r="593" spans="1:7">
      <c r="A593" t="s">
        <v>7388</v>
      </c>
      <c r="B593" t="s">
        <v>7980</v>
      </c>
      <c r="C593" s="1" t="e">
        <f>VLOOKUP(Tabla_Items_Activos[[#This Row],[CODIGO]],Tabla_Items_Completos[[CODIGO]:[LINEA]],2,0)</f>
        <v>#N/A</v>
      </c>
      <c r="D593" s="1" t="e">
        <f>VLOOKUP(Tabla_Items_Activos[[#This Row],[CODIGO]],Tabla_Items_Completos[[CODIGO]:[LINEA]],3,0)</f>
        <v>#N/A</v>
      </c>
      <c r="E593" s="1" t="e">
        <f>VLOOKUP(Tabla_Items_Activos[[#This Row],[CODIGO]],Tabla_Items_Completos[[CODIGO]:[LINEA]],4,0)</f>
        <v>#N/A</v>
      </c>
      <c r="F593">
        <v>134</v>
      </c>
      <c r="G593">
        <v>0</v>
      </c>
    </row>
    <row r="594" spans="1:7">
      <c r="A594" t="s">
        <v>7388</v>
      </c>
      <c r="B594" t="s">
        <v>7981</v>
      </c>
      <c r="C594" s="1" t="e">
        <f>VLOOKUP(Tabla_Items_Activos[[#This Row],[CODIGO]],Tabla_Items_Completos[[CODIGO]:[LINEA]],2,0)</f>
        <v>#N/A</v>
      </c>
      <c r="D594" s="1" t="e">
        <f>VLOOKUP(Tabla_Items_Activos[[#This Row],[CODIGO]],Tabla_Items_Completos[[CODIGO]:[LINEA]],3,0)</f>
        <v>#N/A</v>
      </c>
      <c r="E594" s="1" t="e">
        <f>VLOOKUP(Tabla_Items_Activos[[#This Row],[CODIGO]],Tabla_Items_Completos[[CODIGO]:[LINEA]],4,0)</f>
        <v>#N/A</v>
      </c>
      <c r="F594">
        <v>122</v>
      </c>
      <c r="G594">
        <v>0</v>
      </c>
    </row>
    <row r="595" spans="1:7">
      <c r="A595" t="s">
        <v>7388</v>
      </c>
      <c r="B595" t="s">
        <v>7982</v>
      </c>
      <c r="C595" s="1" t="e">
        <f>VLOOKUP(Tabla_Items_Activos[[#This Row],[CODIGO]],Tabla_Items_Completos[[CODIGO]:[LINEA]],2,0)</f>
        <v>#N/A</v>
      </c>
      <c r="D595" s="1" t="e">
        <f>VLOOKUP(Tabla_Items_Activos[[#This Row],[CODIGO]],Tabla_Items_Completos[[CODIGO]:[LINEA]],3,0)</f>
        <v>#N/A</v>
      </c>
      <c r="E595" s="1" t="e">
        <f>VLOOKUP(Tabla_Items_Activos[[#This Row],[CODIGO]],Tabla_Items_Completos[[CODIGO]:[LINEA]],4,0)</f>
        <v>#N/A</v>
      </c>
      <c r="F595">
        <v>74</v>
      </c>
      <c r="G595">
        <v>0</v>
      </c>
    </row>
    <row r="596" spans="1:7">
      <c r="A596" t="s">
        <v>7388</v>
      </c>
      <c r="B596" t="s">
        <v>7983</v>
      </c>
      <c r="C596" s="1" t="e">
        <f>VLOOKUP(Tabla_Items_Activos[[#This Row],[CODIGO]],Tabla_Items_Completos[[CODIGO]:[LINEA]],2,0)</f>
        <v>#N/A</v>
      </c>
      <c r="D596" s="1" t="e">
        <f>VLOOKUP(Tabla_Items_Activos[[#This Row],[CODIGO]],Tabla_Items_Completos[[CODIGO]:[LINEA]],3,0)</f>
        <v>#N/A</v>
      </c>
      <c r="E596" s="1" t="e">
        <f>VLOOKUP(Tabla_Items_Activos[[#This Row],[CODIGO]],Tabla_Items_Completos[[CODIGO]:[LINEA]],4,0)</f>
        <v>#N/A</v>
      </c>
      <c r="F596">
        <v>45</v>
      </c>
      <c r="G596">
        <v>0</v>
      </c>
    </row>
    <row r="597" spans="1:7">
      <c r="A597" t="s">
        <v>7388</v>
      </c>
      <c r="B597" t="s">
        <v>7984</v>
      </c>
      <c r="C597" s="1" t="e">
        <f>VLOOKUP(Tabla_Items_Activos[[#This Row],[CODIGO]],Tabla_Items_Completos[[CODIGO]:[LINEA]],2,0)</f>
        <v>#N/A</v>
      </c>
      <c r="D597" s="1" t="e">
        <f>VLOOKUP(Tabla_Items_Activos[[#This Row],[CODIGO]],Tabla_Items_Completos[[CODIGO]:[LINEA]],3,0)</f>
        <v>#N/A</v>
      </c>
      <c r="E597" s="1" t="e">
        <f>VLOOKUP(Tabla_Items_Activos[[#This Row],[CODIGO]],Tabla_Items_Completos[[CODIGO]:[LINEA]],4,0)</f>
        <v>#N/A</v>
      </c>
      <c r="F597">
        <v>9</v>
      </c>
      <c r="G597">
        <v>0</v>
      </c>
    </row>
    <row r="598" spans="1:7">
      <c r="A598" t="s">
        <v>7388</v>
      </c>
      <c r="B598" t="s">
        <v>7985</v>
      </c>
      <c r="C598" s="1" t="e">
        <f>VLOOKUP(Tabla_Items_Activos[[#This Row],[CODIGO]],Tabla_Items_Completos[[CODIGO]:[LINEA]],2,0)</f>
        <v>#N/A</v>
      </c>
      <c r="D598" s="1" t="e">
        <f>VLOOKUP(Tabla_Items_Activos[[#This Row],[CODIGO]],Tabla_Items_Completos[[CODIGO]:[LINEA]],3,0)</f>
        <v>#N/A</v>
      </c>
      <c r="E598" s="1" t="e">
        <f>VLOOKUP(Tabla_Items_Activos[[#This Row],[CODIGO]],Tabla_Items_Completos[[CODIGO]:[LINEA]],4,0)</f>
        <v>#N/A</v>
      </c>
      <c r="F598">
        <v>2</v>
      </c>
      <c r="G598">
        <v>0</v>
      </c>
    </row>
    <row r="599" spans="1:7">
      <c r="A599" t="s">
        <v>7388</v>
      </c>
      <c r="B599" t="s">
        <v>7986</v>
      </c>
      <c r="C599" s="1" t="e">
        <f>VLOOKUP(Tabla_Items_Activos[[#This Row],[CODIGO]],Tabla_Items_Completos[[CODIGO]:[LINEA]],2,0)</f>
        <v>#N/A</v>
      </c>
      <c r="D599" s="1" t="e">
        <f>VLOOKUP(Tabla_Items_Activos[[#This Row],[CODIGO]],Tabla_Items_Completos[[CODIGO]:[LINEA]],3,0)</f>
        <v>#N/A</v>
      </c>
      <c r="E599" s="1" t="e">
        <f>VLOOKUP(Tabla_Items_Activos[[#This Row],[CODIGO]],Tabla_Items_Completos[[CODIGO]:[LINEA]],4,0)</f>
        <v>#N/A</v>
      </c>
      <c r="F599">
        <v>15</v>
      </c>
      <c r="G599">
        <v>0</v>
      </c>
    </row>
    <row r="600" spans="1:7">
      <c r="A600" t="s">
        <v>7388</v>
      </c>
      <c r="B600" t="s">
        <v>7987</v>
      </c>
      <c r="C600" s="1" t="e">
        <f>VLOOKUP(Tabla_Items_Activos[[#This Row],[CODIGO]],Tabla_Items_Completos[[CODIGO]:[LINEA]],2,0)</f>
        <v>#N/A</v>
      </c>
      <c r="D600" s="1" t="e">
        <f>VLOOKUP(Tabla_Items_Activos[[#This Row],[CODIGO]],Tabla_Items_Completos[[CODIGO]:[LINEA]],3,0)</f>
        <v>#N/A</v>
      </c>
      <c r="E600" s="1" t="e">
        <f>VLOOKUP(Tabla_Items_Activos[[#This Row],[CODIGO]],Tabla_Items_Completos[[CODIGO]:[LINEA]],4,0)</f>
        <v>#N/A</v>
      </c>
      <c r="F600">
        <v>15</v>
      </c>
      <c r="G600">
        <v>0</v>
      </c>
    </row>
    <row r="601" spans="1:7">
      <c r="A601" t="s">
        <v>7388</v>
      </c>
      <c r="B601" t="s">
        <v>7988</v>
      </c>
      <c r="C601" s="1" t="e">
        <f>VLOOKUP(Tabla_Items_Activos[[#This Row],[CODIGO]],Tabla_Items_Completos[[CODIGO]:[LINEA]],2,0)</f>
        <v>#N/A</v>
      </c>
      <c r="D601" s="1" t="e">
        <f>VLOOKUP(Tabla_Items_Activos[[#This Row],[CODIGO]],Tabla_Items_Completos[[CODIGO]:[LINEA]],3,0)</f>
        <v>#N/A</v>
      </c>
      <c r="E601" s="1" t="e">
        <f>VLOOKUP(Tabla_Items_Activos[[#This Row],[CODIGO]],Tabla_Items_Completos[[CODIGO]:[LINEA]],4,0)</f>
        <v>#N/A</v>
      </c>
      <c r="F601">
        <v>117</v>
      </c>
      <c r="G601">
        <v>0</v>
      </c>
    </row>
    <row r="602" spans="1:7">
      <c r="A602" t="s">
        <v>7388</v>
      </c>
      <c r="B602" t="s">
        <v>7989</v>
      </c>
      <c r="C602" s="1" t="e">
        <f>VLOOKUP(Tabla_Items_Activos[[#This Row],[CODIGO]],Tabla_Items_Completos[[CODIGO]:[LINEA]],2,0)</f>
        <v>#N/A</v>
      </c>
      <c r="D602" s="1" t="e">
        <f>VLOOKUP(Tabla_Items_Activos[[#This Row],[CODIGO]],Tabla_Items_Completos[[CODIGO]:[LINEA]],3,0)</f>
        <v>#N/A</v>
      </c>
      <c r="E602" s="1" t="e">
        <f>VLOOKUP(Tabla_Items_Activos[[#This Row],[CODIGO]],Tabla_Items_Completos[[CODIGO]:[LINEA]],4,0)</f>
        <v>#N/A</v>
      </c>
      <c r="F602">
        <v>87</v>
      </c>
      <c r="G602">
        <v>0</v>
      </c>
    </row>
    <row r="603" spans="1:7">
      <c r="A603" t="s">
        <v>7388</v>
      </c>
      <c r="B603" t="s">
        <v>7990</v>
      </c>
      <c r="C603" s="1" t="e">
        <f>VLOOKUP(Tabla_Items_Activos[[#This Row],[CODIGO]],Tabla_Items_Completos[[CODIGO]:[LINEA]],2,0)</f>
        <v>#N/A</v>
      </c>
      <c r="D603" s="1" t="e">
        <f>VLOOKUP(Tabla_Items_Activos[[#This Row],[CODIGO]],Tabla_Items_Completos[[CODIGO]:[LINEA]],3,0)</f>
        <v>#N/A</v>
      </c>
      <c r="E603" s="1" t="e">
        <f>VLOOKUP(Tabla_Items_Activos[[#This Row],[CODIGO]],Tabla_Items_Completos[[CODIGO]:[LINEA]],4,0)</f>
        <v>#N/A</v>
      </c>
      <c r="F603">
        <v>75</v>
      </c>
      <c r="G603">
        <v>0</v>
      </c>
    </row>
    <row r="604" spans="1:7">
      <c r="A604" t="s">
        <v>7388</v>
      </c>
      <c r="B604" t="s">
        <v>7991</v>
      </c>
      <c r="C604" s="1" t="e">
        <f>VLOOKUP(Tabla_Items_Activos[[#This Row],[CODIGO]],Tabla_Items_Completos[[CODIGO]:[LINEA]],2,0)</f>
        <v>#N/A</v>
      </c>
      <c r="D604" s="1" t="e">
        <f>VLOOKUP(Tabla_Items_Activos[[#This Row],[CODIGO]],Tabla_Items_Completos[[CODIGO]:[LINEA]],3,0)</f>
        <v>#N/A</v>
      </c>
      <c r="E604" s="1" t="e">
        <f>VLOOKUP(Tabla_Items_Activos[[#This Row],[CODIGO]],Tabla_Items_Completos[[CODIGO]:[LINEA]],4,0)</f>
        <v>#N/A</v>
      </c>
      <c r="F604">
        <v>90</v>
      </c>
      <c r="G604">
        <v>0</v>
      </c>
    </row>
    <row r="605" spans="1:7">
      <c r="A605" t="s">
        <v>7388</v>
      </c>
      <c r="B605" t="s">
        <v>7992</v>
      </c>
      <c r="C605" s="1" t="e">
        <f>VLOOKUP(Tabla_Items_Activos[[#This Row],[CODIGO]],Tabla_Items_Completos[[CODIGO]:[LINEA]],2,0)</f>
        <v>#N/A</v>
      </c>
      <c r="D605" s="1" t="e">
        <f>VLOOKUP(Tabla_Items_Activos[[#This Row],[CODIGO]],Tabla_Items_Completos[[CODIGO]:[LINEA]],3,0)</f>
        <v>#N/A</v>
      </c>
      <c r="E605" s="1" t="e">
        <f>VLOOKUP(Tabla_Items_Activos[[#This Row],[CODIGO]],Tabla_Items_Completos[[CODIGO]:[LINEA]],4,0)</f>
        <v>#N/A</v>
      </c>
      <c r="F605">
        <v>191</v>
      </c>
      <c r="G605">
        <v>0</v>
      </c>
    </row>
    <row r="606" spans="1:7">
      <c r="A606" t="s">
        <v>7388</v>
      </c>
      <c r="B606" t="s">
        <v>7993</v>
      </c>
      <c r="C606" s="1" t="e">
        <f>VLOOKUP(Tabla_Items_Activos[[#This Row],[CODIGO]],Tabla_Items_Completos[[CODIGO]:[LINEA]],2,0)</f>
        <v>#N/A</v>
      </c>
      <c r="D606" s="1" t="e">
        <f>VLOOKUP(Tabla_Items_Activos[[#This Row],[CODIGO]],Tabla_Items_Completos[[CODIGO]:[LINEA]],3,0)</f>
        <v>#N/A</v>
      </c>
      <c r="E606" s="1" t="e">
        <f>VLOOKUP(Tabla_Items_Activos[[#This Row],[CODIGO]],Tabla_Items_Completos[[CODIGO]:[LINEA]],4,0)</f>
        <v>#N/A</v>
      </c>
      <c r="F606">
        <v>146</v>
      </c>
      <c r="G606">
        <v>0</v>
      </c>
    </row>
    <row r="607" spans="1:7">
      <c r="A607" t="s">
        <v>7388</v>
      </c>
      <c r="B607" t="s">
        <v>7994</v>
      </c>
      <c r="C607" s="1" t="e">
        <f>VLOOKUP(Tabla_Items_Activos[[#This Row],[CODIGO]],Tabla_Items_Completos[[CODIGO]:[LINEA]],2,0)</f>
        <v>#N/A</v>
      </c>
      <c r="D607" s="1" t="e">
        <f>VLOOKUP(Tabla_Items_Activos[[#This Row],[CODIGO]],Tabla_Items_Completos[[CODIGO]:[LINEA]],3,0)</f>
        <v>#N/A</v>
      </c>
      <c r="E607" s="1" t="e">
        <f>VLOOKUP(Tabla_Items_Activos[[#This Row],[CODIGO]],Tabla_Items_Completos[[CODIGO]:[LINEA]],4,0)</f>
        <v>#N/A</v>
      </c>
      <c r="F607">
        <v>89</v>
      </c>
      <c r="G607">
        <v>0</v>
      </c>
    </row>
    <row r="608" spans="1:7">
      <c r="A608" t="s">
        <v>7388</v>
      </c>
      <c r="B608" t="s">
        <v>7995</v>
      </c>
      <c r="C608" s="1" t="e">
        <f>VLOOKUP(Tabla_Items_Activos[[#This Row],[CODIGO]],Tabla_Items_Completos[[CODIGO]:[LINEA]],2,0)</f>
        <v>#N/A</v>
      </c>
      <c r="D608" s="1" t="e">
        <f>VLOOKUP(Tabla_Items_Activos[[#This Row],[CODIGO]],Tabla_Items_Completos[[CODIGO]:[LINEA]],3,0)</f>
        <v>#N/A</v>
      </c>
      <c r="E608" s="1" t="e">
        <f>VLOOKUP(Tabla_Items_Activos[[#This Row],[CODIGO]],Tabla_Items_Completos[[CODIGO]:[LINEA]],4,0)</f>
        <v>#N/A</v>
      </c>
      <c r="F608">
        <v>75</v>
      </c>
      <c r="G608">
        <v>0</v>
      </c>
    </row>
    <row r="609" spans="1:7">
      <c r="A609" t="s">
        <v>7388</v>
      </c>
      <c r="B609" t="s">
        <v>7996</v>
      </c>
      <c r="C609" s="1" t="e">
        <f>VLOOKUP(Tabla_Items_Activos[[#This Row],[CODIGO]],Tabla_Items_Completos[[CODIGO]:[LINEA]],2,0)</f>
        <v>#N/A</v>
      </c>
      <c r="D609" s="1" t="e">
        <f>VLOOKUP(Tabla_Items_Activos[[#This Row],[CODIGO]],Tabla_Items_Completos[[CODIGO]:[LINEA]],3,0)</f>
        <v>#N/A</v>
      </c>
      <c r="E609" s="1" t="e">
        <f>VLOOKUP(Tabla_Items_Activos[[#This Row],[CODIGO]],Tabla_Items_Completos[[CODIGO]:[LINEA]],4,0)</f>
        <v>#N/A</v>
      </c>
      <c r="F609">
        <v>160</v>
      </c>
      <c r="G609">
        <v>0</v>
      </c>
    </row>
    <row r="610" spans="1:7">
      <c r="A610" t="s">
        <v>7388</v>
      </c>
      <c r="B610" t="s">
        <v>7997</v>
      </c>
      <c r="C610" s="1" t="e">
        <f>VLOOKUP(Tabla_Items_Activos[[#This Row],[CODIGO]],Tabla_Items_Completos[[CODIGO]:[LINEA]],2,0)</f>
        <v>#N/A</v>
      </c>
      <c r="D610" s="1" t="e">
        <f>VLOOKUP(Tabla_Items_Activos[[#This Row],[CODIGO]],Tabla_Items_Completos[[CODIGO]:[LINEA]],3,0)</f>
        <v>#N/A</v>
      </c>
      <c r="E610" s="1" t="e">
        <f>VLOOKUP(Tabla_Items_Activos[[#This Row],[CODIGO]],Tabla_Items_Completos[[CODIGO]:[LINEA]],4,0)</f>
        <v>#N/A</v>
      </c>
      <c r="F610">
        <v>132</v>
      </c>
      <c r="G610">
        <v>0</v>
      </c>
    </row>
    <row r="611" spans="1:7">
      <c r="A611" t="s">
        <v>7388</v>
      </c>
      <c r="B611" t="s">
        <v>7998</v>
      </c>
      <c r="C611" s="1" t="e">
        <f>VLOOKUP(Tabla_Items_Activos[[#This Row],[CODIGO]],Tabla_Items_Completos[[CODIGO]:[LINEA]],2,0)</f>
        <v>#N/A</v>
      </c>
      <c r="D611" s="1" t="e">
        <f>VLOOKUP(Tabla_Items_Activos[[#This Row],[CODIGO]],Tabla_Items_Completos[[CODIGO]:[LINEA]],3,0)</f>
        <v>#N/A</v>
      </c>
      <c r="E611" s="1" t="e">
        <f>VLOOKUP(Tabla_Items_Activos[[#This Row],[CODIGO]],Tabla_Items_Completos[[CODIGO]:[LINEA]],4,0)</f>
        <v>#N/A</v>
      </c>
      <c r="F611">
        <v>32</v>
      </c>
      <c r="G611">
        <v>0</v>
      </c>
    </row>
    <row r="612" spans="1:7">
      <c r="A612" t="s">
        <v>7388</v>
      </c>
      <c r="B612" t="s">
        <v>7999</v>
      </c>
      <c r="C612" s="1" t="e">
        <f>VLOOKUP(Tabla_Items_Activos[[#This Row],[CODIGO]],Tabla_Items_Completos[[CODIGO]:[LINEA]],2,0)</f>
        <v>#N/A</v>
      </c>
      <c r="D612" s="1" t="e">
        <f>VLOOKUP(Tabla_Items_Activos[[#This Row],[CODIGO]],Tabla_Items_Completos[[CODIGO]:[LINEA]],3,0)</f>
        <v>#N/A</v>
      </c>
      <c r="E612" s="1" t="e">
        <f>VLOOKUP(Tabla_Items_Activos[[#This Row],[CODIGO]],Tabla_Items_Completos[[CODIGO]:[LINEA]],4,0)</f>
        <v>#N/A</v>
      </c>
      <c r="F612">
        <v>108</v>
      </c>
      <c r="G612">
        <v>0</v>
      </c>
    </row>
    <row r="613" spans="1:7">
      <c r="A613" t="s">
        <v>7388</v>
      </c>
      <c r="B613" t="s">
        <v>8000</v>
      </c>
      <c r="C613" s="1" t="e">
        <f>VLOOKUP(Tabla_Items_Activos[[#This Row],[CODIGO]],Tabla_Items_Completos[[CODIGO]:[LINEA]],2,0)</f>
        <v>#N/A</v>
      </c>
      <c r="D613" s="1" t="e">
        <f>VLOOKUP(Tabla_Items_Activos[[#This Row],[CODIGO]],Tabla_Items_Completos[[CODIGO]:[LINEA]],3,0)</f>
        <v>#N/A</v>
      </c>
      <c r="E613" s="1" t="e">
        <f>VLOOKUP(Tabla_Items_Activos[[#This Row],[CODIGO]],Tabla_Items_Completos[[CODIGO]:[LINEA]],4,0)</f>
        <v>#N/A</v>
      </c>
      <c r="F613">
        <v>124</v>
      </c>
      <c r="G613">
        <v>0</v>
      </c>
    </row>
    <row r="614" spans="1:7">
      <c r="A614" t="s">
        <v>7388</v>
      </c>
      <c r="B614" t="s">
        <v>8001</v>
      </c>
      <c r="C614" s="1" t="e">
        <f>VLOOKUP(Tabla_Items_Activos[[#This Row],[CODIGO]],Tabla_Items_Completos[[CODIGO]:[LINEA]],2,0)</f>
        <v>#N/A</v>
      </c>
      <c r="D614" s="1" t="e">
        <f>VLOOKUP(Tabla_Items_Activos[[#This Row],[CODIGO]],Tabla_Items_Completos[[CODIGO]:[LINEA]],3,0)</f>
        <v>#N/A</v>
      </c>
      <c r="E614" s="1" t="e">
        <f>VLOOKUP(Tabla_Items_Activos[[#This Row],[CODIGO]],Tabla_Items_Completos[[CODIGO]:[LINEA]],4,0)</f>
        <v>#N/A</v>
      </c>
      <c r="F614">
        <v>262</v>
      </c>
      <c r="G614">
        <v>0</v>
      </c>
    </row>
    <row r="615" spans="1:7">
      <c r="A615" t="s">
        <v>7388</v>
      </c>
      <c r="B615" t="s">
        <v>8002</v>
      </c>
      <c r="C615" s="1" t="e">
        <f>VLOOKUP(Tabla_Items_Activos[[#This Row],[CODIGO]],Tabla_Items_Completos[[CODIGO]:[LINEA]],2,0)</f>
        <v>#N/A</v>
      </c>
      <c r="D615" s="1" t="e">
        <f>VLOOKUP(Tabla_Items_Activos[[#This Row],[CODIGO]],Tabla_Items_Completos[[CODIGO]:[LINEA]],3,0)</f>
        <v>#N/A</v>
      </c>
      <c r="E615" s="1" t="e">
        <f>VLOOKUP(Tabla_Items_Activos[[#This Row],[CODIGO]],Tabla_Items_Completos[[CODIGO]:[LINEA]],4,0)</f>
        <v>#N/A</v>
      </c>
      <c r="F615">
        <v>973</v>
      </c>
      <c r="G615">
        <v>0</v>
      </c>
    </row>
    <row r="616" spans="1:7">
      <c r="A616" t="s">
        <v>7388</v>
      </c>
      <c r="B616" t="s">
        <v>8003</v>
      </c>
      <c r="C616" s="1" t="e">
        <f>VLOOKUP(Tabla_Items_Activos[[#This Row],[CODIGO]],Tabla_Items_Completos[[CODIGO]:[LINEA]],2,0)</f>
        <v>#N/A</v>
      </c>
      <c r="D616" s="1" t="e">
        <f>VLOOKUP(Tabla_Items_Activos[[#This Row],[CODIGO]],Tabla_Items_Completos[[CODIGO]:[LINEA]],3,0)</f>
        <v>#N/A</v>
      </c>
      <c r="E616" s="1" t="e">
        <f>VLOOKUP(Tabla_Items_Activos[[#This Row],[CODIGO]],Tabla_Items_Completos[[CODIGO]:[LINEA]],4,0)</f>
        <v>#N/A</v>
      </c>
      <c r="F616">
        <v>1229</v>
      </c>
      <c r="G616">
        <v>0</v>
      </c>
    </row>
    <row r="617" spans="1:7">
      <c r="A617" t="s">
        <v>7388</v>
      </c>
      <c r="B617" t="s">
        <v>8004</v>
      </c>
      <c r="C617" s="1" t="e">
        <f>VLOOKUP(Tabla_Items_Activos[[#This Row],[CODIGO]],Tabla_Items_Completos[[CODIGO]:[LINEA]],2,0)</f>
        <v>#N/A</v>
      </c>
      <c r="D617" s="1" t="e">
        <f>VLOOKUP(Tabla_Items_Activos[[#This Row],[CODIGO]],Tabla_Items_Completos[[CODIGO]:[LINEA]],3,0)</f>
        <v>#N/A</v>
      </c>
      <c r="E617" s="1" t="e">
        <f>VLOOKUP(Tabla_Items_Activos[[#This Row],[CODIGO]],Tabla_Items_Completos[[CODIGO]:[LINEA]],4,0)</f>
        <v>#N/A</v>
      </c>
      <c r="F617">
        <v>841</v>
      </c>
      <c r="G617">
        <v>0</v>
      </c>
    </row>
    <row r="618" spans="1:7">
      <c r="A618" t="s">
        <v>7388</v>
      </c>
      <c r="B618" t="s">
        <v>8005</v>
      </c>
      <c r="C618" s="1" t="e">
        <f>VLOOKUP(Tabla_Items_Activos[[#This Row],[CODIGO]],Tabla_Items_Completos[[CODIGO]:[LINEA]],2,0)</f>
        <v>#N/A</v>
      </c>
      <c r="D618" s="1" t="e">
        <f>VLOOKUP(Tabla_Items_Activos[[#This Row],[CODIGO]],Tabla_Items_Completos[[CODIGO]:[LINEA]],3,0)</f>
        <v>#N/A</v>
      </c>
      <c r="E618" s="1" t="e">
        <f>VLOOKUP(Tabla_Items_Activos[[#This Row],[CODIGO]],Tabla_Items_Completos[[CODIGO]:[LINEA]],4,0)</f>
        <v>#N/A</v>
      </c>
      <c r="F618">
        <v>1056</v>
      </c>
      <c r="G618">
        <v>0</v>
      </c>
    </row>
    <row r="619" spans="1:7">
      <c r="A619" t="s">
        <v>7388</v>
      </c>
      <c r="B619" t="s">
        <v>8006</v>
      </c>
      <c r="C619" s="1" t="e">
        <f>VLOOKUP(Tabla_Items_Activos[[#This Row],[CODIGO]],Tabla_Items_Completos[[CODIGO]:[LINEA]],2,0)</f>
        <v>#N/A</v>
      </c>
      <c r="D619" s="1" t="e">
        <f>VLOOKUP(Tabla_Items_Activos[[#This Row],[CODIGO]],Tabla_Items_Completos[[CODIGO]:[LINEA]],3,0)</f>
        <v>#N/A</v>
      </c>
      <c r="E619" s="1" t="e">
        <f>VLOOKUP(Tabla_Items_Activos[[#This Row],[CODIGO]],Tabla_Items_Completos[[CODIGO]:[LINEA]],4,0)</f>
        <v>#N/A</v>
      </c>
      <c r="F619">
        <v>49</v>
      </c>
      <c r="G619">
        <v>0</v>
      </c>
    </row>
    <row r="620" spans="1:7">
      <c r="A620" t="s">
        <v>7388</v>
      </c>
      <c r="B620" t="s">
        <v>8007</v>
      </c>
      <c r="C620" s="1" t="e">
        <f>VLOOKUP(Tabla_Items_Activos[[#This Row],[CODIGO]],Tabla_Items_Completos[[CODIGO]:[LINEA]],2,0)</f>
        <v>#N/A</v>
      </c>
      <c r="D620" s="1" t="e">
        <f>VLOOKUP(Tabla_Items_Activos[[#This Row],[CODIGO]],Tabla_Items_Completos[[CODIGO]:[LINEA]],3,0)</f>
        <v>#N/A</v>
      </c>
      <c r="E620" s="1" t="e">
        <f>VLOOKUP(Tabla_Items_Activos[[#This Row],[CODIGO]],Tabla_Items_Completos[[CODIGO]:[LINEA]],4,0)</f>
        <v>#N/A</v>
      </c>
      <c r="F620">
        <v>27</v>
      </c>
      <c r="G620">
        <v>0</v>
      </c>
    </row>
    <row r="621" spans="1:7">
      <c r="A621" t="s">
        <v>7388</v>
      </c>
      <c r="B621" t="s">
        <v>8008</v>
      </c>
      <c r="C621" s="1" t="e">
        <f>VLOOKUP(Tabla_Items_Activos[[#This Row],[CODIGO]],Tabla_Items_Completos[[CODIGO]:[LINEA]],2,0)</f>
        <v>#N/A</v>
      </c>
      <c r="D621" s="1" t="e">
        <f>VLOOKUP(Tabla_Items_Activos[[#This Row],[CODIGO]],Tabla_Items_Completos[[CODIGO]:[LINEA]],3,0)</f>
        <v>#N/A</v>
      </c>
      <c r="E621" s="1" t="e">
        <f>VLOOKUP(Tabla_Items_Activos[[#This Row],[CODIGO]],Tabla_Items_Completos[[CODIGO]:[LINEA]],4,0)</f>
        <v>#N/A</v>
      </c>
      <c r="F621">
        <v>3</v>
      </c>
      <c r="G621">
        <v>0</v>
      </c>
    </row>
    <row r="622" spans="1:7">
      <c r="A622" t="s">
        <v>7388</v>
      </c>
      <c r="B622" t="s">
        <v>8009</v>
      </c>
      <c r="C622" s="1" t="e">
        <f>VLOOKUP(Tabla_Items_Activos[[#This Row],[CODIGO]],Tabla_Items_Completos[[CODIGO]:[LINEA]],2,0)</f>
        <v>#N/A</v>
      </c>
      <c r="D622" s="1" t="e">
        <f>VLOOKUP(Tabla_Items_Activos[[#This Row],[CODIGO]],Tabla_Items_Completos[[CODIGO]:[LINEA]],3,0)</f>
        <v>#N/A</v>
      </c>
      <c r="E622" s="1" t="e">
        <f>VLOOKUP(Tabla_Items_Activos[[#This Row],[CODIGO]],Tabla_Items_Completos[[CODIGO]:[LINEA]],4,0)</f>
        <v>#N/A</v>
      </c>
      <c r="F622">
        <v>733</v>
      </c>
      <c r="G622">
        <v>0</v>
      </c>
    </row>
    <row r="623" spans="1:7">
      <c r="A623" t="s">
        <v>7388</v>
      </c>
      <c r="B623" t="s">
        <v>8010</v>
      </c>
      <c r="C623" s="1" t="e">
        <f>VLOOKUP(Tabla_Items_Activos[[#This Row],[CODIGO]],Tabla_Items_Completos[[CODIGO]:[LINEA]],2,0)</f>
        <v>#N/A</v>
      </c>
      <c r="D623" s="1" t="e">
        <f>VLOOKUP(Tabla_Items_Activos[[#This Row],[CODIGO]],Tabla_Items_Completos[[CODIGO]:[LINEA]],3,0)</f>
        <v>#N/A</v>
      </c>
      <c r="E623" s="1" t="e">
        <f>VLOOKUP(Tabla_Items_Activos[[#This Row],[CODIGO]],Tabla_Items_Completos[[CODIGO]:[LINEA]],4,0)</f>
        <v>#N/A</v>
      </c>
      <c r="F623">
        <v>575</v>
      </c>
      <c r="G623">
        <v>0</v>
      </c>
    </row>
    <row r="624" spans="1:7">
      <c r="A624" t="s">
        <v>7388</v>
      </c>
      <c r="B624" t="s">
        <v>8011</v>
      </c>
      <c r="C624" s="1" t="e">
        <f>VLOOKUP(Tabla_Items_Activos[[#This Row],[CODIGO]],Tabla_Items_Completos[[CODIGO]:[LINEA]],2,0)</f>
        <v>#N/A</v>
      </c>
      <c r="D624" s="1" t="e">
        <f>VLOOKUP(Tabla_Items_Activos[[#This Row],[CODIGO]],Tabla_Items_Completos[[CODIGO]:[LINEA]],3,0)</f>
        <v>#N/A</v>
      </c>
      <c r="E624" s="1" t="e">
        <f>VLOOKUP(Tabla_Items_Activos[[#This Row],[CODIGO]],Tabla_Items_Completos[[CODIGO]:[LINEA]],4,0)</f>
        <v>#N/A</v>
      </c>
      <c r="F624">
        <v>831</v>
      </c>
      <c r="G624">
        <v>0</v>
      </c>
    </row>
    <row r="625" spans="1:7">
      <c r="A625" t="s">
        <v>7388</v>
      </c>
      <c r="B625" t="s">
        <v>8012</v>
      </c>
      <c r="C625" s="1" t="e">
        <f>VLOOKUP(Tabla_Items_Activos[[#This Row],[CODIGO]],Tabla_Items_Completos[[CODIGO]:[LINEA]],2,0)</f>
        <v>#N/A</v>
      </c>
      <c r="D625" s="1" t="e">
        <f>VLOOKUP(Tabla_Items_Activos[[#This Row],[CODIGO]],Tabla_Items_Completos[[CODIGO]:[LINEA]],3,0)</f>
        <v>#N/A</v>
      </c>
      <c r="E625" s="1" t="e">
        <f>VLOOKUP(Tabla_Items_Activos[[#This Row],[CODIGO]],Tabla_Items_Completos[[CODIGO]:[LINEA]],4,0)</f>
        <v>#N/A</v>
      </c>
      <c r="F625">
        <v>700</v>
      </c>
      <c r="G625">
        <v>0</v>
      </c>
    </row>
    <row r="626" spans="1:7">
      <c r="A626" t="s">
        <v>7388</v>
      </c>
      <c r="B626" t="s">
        <v>8013</v>
      </c>
      <c r="C626" s="1" t="e">
        <f>VLOOKUP(Tabla_Items_Activos[[#This Row],[CODIGO]],Tabla_Items_Completos[[CODIGO]:[LINEA]],2,0)</f>
        <v>#N/A</v>
      </c>
      <c r="D626" s="1" t="e">
        <f>VLOOKUP(Tabla_Items_Activos[[#This Row],[CODIGO]],Tabla_Items_Completos[[CODIGO]:[LINEA]],3,0)</f>
        <v>#N/A</v>
      </c>
      <c r="E626" s="1" t="e">
        <f>VLOOKUP(Tabla_Items_Activos[[#This Row],[CODIGO]],Tabla_Items_Completos[[CODIGO]:[LINEA]],4,0)</f>
        <v>#N/A</v>
      </c>
      <c r="F626">
        <v>306</v>
      </c>
      <c r="G626">
        <v>0</v>
      </c>
    </row>
    <row r="627" spans="1:7">
      <c r="A627" t="s">
        <v>7388</v>
      </c>
      <c r="B627" t="s">
        <v>8014</v>
      </c>
      <c r="C627" s="1" t="e">
        <f>VLOOKUP(Tabla_Items_Activos[[#This Row],[CODIGO]],Tabla_Items_Completos[[CODIGO]:[LINEA]],2,0)</f>
        <v>#N/A</v>
      </c>
      <c r="D627" s="1" t="e">
        <f>VLOOKUP(Tabla_Items_Activos[[#This Row],[CODIGO]],Tabla_Items_Completos[[CODIGO]:[LINEA]],3,0)</f>
        <v>#N/A</v>
      </c>
      <c r="E627" s="1" t="e">
        <f>VLOOKUP(Tabla_Items_Activos[[#This Row],[CODIGO]],Tabla_Items_Completos[[CODIGO]:[LINEA]],4,0)</f>
        <v>#N/A</v>
      </c>
      <c r="F627">
        <v>479</v>
      </c>
      <c r="G627">
        <v>0</v>
      </c>
    </row>
    <row r="628" spans="1:7">
      <c r="A628" t="s">
        <v>7388</v>
      </c>
      <c r="B628" t="s">
        <v>8015</v>
      </c>
      <c r="C628" s="1" t="e">
        <f>VLOOKUP(Tabla_Items_Activos[[#This Row],[CODIGO]],Tabla_Items_Completos[[CODIGO]:[LINEA]],2,0)</f>
        <v>#N/A</v>
      </c>
      <c r="D628" s="1" t="e">
        <f>VLOOKUP(Tabla_Items_Activos[[#This Row],[CODIGO]],Tabla_Items_Completos[[CODIGO]:[LINEA]],3,0)</f>
        <v>#N/A</v>
      </c>
      <c r="E628" s="1" t="e">
        <f>VLOOKUP(Tabla_Items_Activos[[#This Row],[CODIGO]],Tabla_Items_Completos[[CODIGO]:[LINEA]],4,0)</f>
        <v>#N/A</v>
      </c>
      <c r="F628">
        <v>351</v>
      </c>
      <c r="G628">
        <v>0</v>
      </c>
    </row>
    <row r="629" spans="1:7">
      <c r="A629" t="s">
        <v>7388</v>
      </c>
      <c r="B629" t="s">
        <v>8016</v>
      </c>
      <c r="C629" s="1" t="e">
        <f>VLOOKUP(Tabla_Items_Activos[[#This Row],[CODIGO]],Tabla_Items_Completos[[CODIGO]:[LINEA]],2,0)</f>
        <v>#N/A</v>
      </c>
      <c r="D629" s="1" t="e">
        <f>VLOOKUP(Tabla_Items_Activos[[#This Row],[CODIGO]],Tabla_Items_Completos[[CODIGO]:[LINEA]],3,0)</f>
        <v>#N/A</v>
      </c>
      <c r="E629" s="1" t="e">
        <f>VLOOKUP(Tabla_Items_Activos[[#This Row],[CODIGO]],Tabla_Items_Completos[[CODIGO]:[LINEA]],4,0)</f>
        <v>#N/A</v>
      </c>
      <c r="F629">
        <v>430</v>
      </c>
      <c r="G629">
        <v>0</v>
      </c>
    </row>
    <row r="630" spans="1:7">
      <c r="A630" t="s">
        <v>7388</v>
      </c>
      <c r="B630" t="s">
        <v>8017</v>
      </c>
      <c r="C630" s="1" t="e">
        <f>VLOOKUP(Tabla_Items_Activos[[#This Row],[CODIGO]],Tabla_Items_Completos[[CODIGO]:[LINEA]],2,0)</f>
        <v>#N/A</v>
      </c>
      <c r="D630" s="1" t="e">
        <f>VLOOKUP(Tabla_Items_Activos[[#This Row],[CODIGO]],Tabla_Items_Completos[[CODIGO]:[LINEA]],3,0)</f>
        <v>#N/A</v>
      </c>
      <c r="E630" s="1" t="e">
        <f>VLOOKUP(Tabla_Items_Activos[[#This Row],[CODIGO]],Tabla_Items_Completos[[CODIGO]:[LINEA]],4,0)</f>
        <v>#N/A</v>
      </c>
      <c r="F630">
        <v>1371</v>
      </c>
      <c r="G630">
        <v>0</v>
      </c>
    </row>
    <row r="631" spans="1:7">
      <c r="A631" t="s">
        <v>7388</v>
      </c>
      <c r="B631" t="s">
        <v>8018</v>
      </c>
      <c r="C631" s="1" t="e">
        <f>VLOOKUP(Tabla_Items_Activos[[#This Row],[CODIGO]],Tabla_Items_Completos[[CODIGO]:[LINEA]],2,0)</f>
        <v>#N/A</v>
      </c>
      <c r="D631" s="1" t="e">
        <f>VLOOKUP(Tabla_Items_Activos[[#This Row],[CODIGO]],Tabla_Items_Completos[[CODIGO]:[LINEA]],3,0)</f>
        <v>#N/A</v>
      </c>
      <c r="E631" s="1" t="e">
        <f>VLOOKUP(Tabla_Items_Activos[[#This Row],[CODIGO]],Tabla_Items_Completos[[CODIGO]:[LINEA]],4,0)</f>
        <v>#N/A</v>
      </c>
      <c r="F631">
        <v>1316</v>
      </c>
      <c r="G631">
        <v>0</v>
      </c>
    </row>
    <row r="632" spans="1:7">
      <c r="A632" t="s">
        <v>7388</v>
      </c>
      <c r="B632" t="s">
        <v>8019</v>
      </c>
      <c r="C632" s="1" t="e">
        <f>VLOOKUP(Tabla_Items_Activos[[#This Row],[CODIGO]],Tabla_Items_Completos[[CODIGO]:[LINEA]],2,0)</f>
        <v>#N/A</v>
      </c>
      <c r="D632" s="1" t="e">
        <f>VLOOKUP(Tabla_Items_Activos[[#This Row],[CODIGO]],Tabla_Items_Completos[[CODIGO]:[LINEA]],3,0)</f>
        <v>#N/A</v>
      </c>
      <c r="E632" s="1" t="e">
        <f>VLOOKUP(Tabla_Items_Activos[[#This Row],[CODIGO]],Tabla_Items_Completos[[CODIGO]:[LINEA]],4,0)</f>
        <v>#N/A</v>
      </c>
      <c r="F632">
        <v>1440</v>
      </c>
      <c r="G632">
        <v>0</v>
      </c>
    </row>
    <row r="633" spans="1:7">
      <c r="A633" t="s">
        <v>7388</v>
      </c>
      <c r="B633" t="s">
        <v>8020</v>
      </c>
      <c r="C633" s="1" t="e">
        <f>VLOOKUP(Tabla_Items_Activos[[#This Row],[CODIGO]],Tabla_Items_Completos[[CODIGO]:[LINEA]],2,0)</f>
        <v>#N/A</v>
      </c>
      <c r="D633" s="1" t="e">
        <f>VLOOKUP(Tabla_Items_Activos[[#This Row],[CODIGO]],Tabla_Items_Completos[[CODIGO]:[LINEA]],3,0)</f>
        <v>#N/A</v>
      </c>
      <c r="E633" s="1" t="e">
        <f>VLOOKUP(Tabla_Items_Activos[[#This Row],[CODIGO]],Tabla_Items_Completos[[CODIGO]:[LINEA]],4,0)</f>
        <v>#N/A</v>
      </c>
      <c r="F633">
        <v>1150</v>
      </c>
      <c r="G633">
        <v>0</v>
      </c>
    </row>
    <row r="634" spans="1:7">
      <c r="A634" t="s">
        <v>7388</v>
      </c>
      <c r="B634" t="s">
        <v>8021</v>
      </c>
      <c r="C634" s="1" t="e">
        <f>VLOOKUP(Tabla_Items_Activos[[#This Row],[CODIGO]],Tabla_Items_Completos[[CODIGO]:[LINEA]],2,0)</f>
        <v>#N/A</v>
      </c>
      <c r="D634" s="1" t="e">
        <f>VLOOKUP(Tabla_Items_Activos[[#This Row],[CODIGO]],Tabla_Items_Completos[[CODIGO]:[LINEA]],3,0)</f>
        <v>#N/A</v>
      </c>
      <c r="E634" s="1" t="e">
        <f>VLOOKUP(Tabla_Items_Activos[[#This Row],[CODIGO]],Tabla_Items_Completos[[CODIGO]:[LINEA]],4,0)</f>
        <v>#N/A</v>
      </c>
      <c r="F634">
        <v>69</v>
      </c>
      <c r="G634">
        <v>75</v>
      </c>
    </row>
    <row r="635" spans="1:7">
      <c r="A635" t="s">
        <v>7388</v>
      </c>
      <c r="B635" t="s">
        <v>8022</v>
      </c>
      <c r="C635" s="1" t="e">
        <f>VLOOKUP(Tabla_Items_Activos[[#This Row],[CODIGO]],Tabla_Items_Completos[[CODIGO]:[LINEA]],2,0)</f>
        <v>#N/A</v>
      </c>
      <c r="D635" s="1" t="e">
        <f>VLOOKUP(Tabla_Items_Activos[[#This Row],[CODIGO]],Tabla_Items_Completos[[CODIGO]:[LINEA]],3,0)</f>
        <v>#N/A</v>
      </c>
      <c r="E635" s="1" t="e">
        <f>VLOOKUP(Tabla_Items_Activos[[#This Row],[CODIGO]],Tabla_Items_Completos[[CODIGO]:[LINEA]],4,0)</f>
        <v>#N/A</v>
      </c>
      <c r="F635">
        <v>99</v>
      </c>
      <c r="G635">
        <v>44</v>
      </c>
    </row>
    <row r="636" spans="1:7">
      <c r="A636" t="s">
        <v>7388</v>
      </c>
      <c r="B636" t="s">
        <v>8023</v>
      </c>
      <c r="C636" s="1" t="e">
        <f>VLOOKUP(Tabla_Items_Activos[[#This Row],[CODIGO]],Tabla_Items_Completos[[CODIGO]:[LINEA]],2,0)</f>
        <v>#N/A</v>
      </c>
      <c r="D636" s="1" t="e">
        <f>VLOOKUP(Tabla_Items_Activos[[#This Row],[CODIGO]],Tabla_Items_Completos[[CODIGO]:[LINEA]],3,0)</f>
        <v>#N/A</v>
      </c>
      <c r="E636" s="1" t="e">
        <f>VLOOKUP(Tabla_Items_Activos[[#This Row],[CODIGO]],Tabla_Items_Completos[[CODIGO]:[LINEA]],4,0)</f>
        <v>#N/A</v>
      </c>
      <c r="F636">
        <v>19</v>
      </c>
      <c r="G636">
        <v>1</v>
      </c>
    </row>
    <row r="637" spans="1:7">
      <c r="A637" t="s">
        <v>7388</v>
      </c>
      <c r="B637" t="s">
        <v>8024</v>
      </c>
      <c r="C637" s="1" t="e">
        <f>VLOOKUP(Tabla_Items_Activos[[#This Row],[CODIGO]],Tabla_Items_Completos[[CODIGO]:[LINEA]],2,0)</f>
        <v>#N/A</v>
      </c>
      <c r="D637" s="1" t="e">
        <f>VLOOKUP(Tabla_Items_Activos[[#This Row],[CODIGO]],Tabla_Items_Completos[[CODIGO]:[LINEA]],3,0)</f>
        <v>#N/A</v>
      </c>
      <c r="E637" s="1" t="e">
        <f>VLOOKUP(Tabla_Items_Activos[[#This Row],[CODIGO]],Tabla_Items_Completos[[CODIGO]:[LINEA]],4,0)</f>
        <v>#N/A</v>
      </c>
      <c r="F637">
        <v>49</v>
      </c>
      <c r="G637">
        <v>10</v>
      </c>
    </row>
    <row r="638" spans="1:7">
      <c r="A638" t="s">
        <v>7388</v>
      </c>
      <c r="B638" t="s">
        <v>8025</v>
      </c>
      <c r="C638" s="1" t="e">
        <f>VLOOKUP(Tabla_Items_Activos[[#This Row],[CODIGO]],Tabla_Items_Completos[[CODIGO]:[LINEA]],2,0)</f>
        <v>#N/A</v>
      </c>
      <c r="D638" s="1" t="e">
        <f>VLOOKUP(Tabla_Items_Activos[[#This Row],[CODIGO]],Tabla_Items_Completos[[CODIGO]:[LINEA]],3,0)</f>
        <v>#N/A</v>
      </c>
      <c r="E638" s="1" t="e">
        <f>VLOOKUP(Tabla_Items_Activos[[#This Row],[CODIGO]],Tabla_Items_Completos[[CODIGO]:[LINEA]],4,0)</f>
        <v>#N/A</v>
      </c>
      <c r="F638">
        <v>25</v>
      </c>
      <c r="G638">
        <v>8</v>
      </c>
    </row>
    <row r="639" spans="1:7">
      <c r="A639" t="s">
        <v>7388</v>
      </c>
      <c r="B639" t="s">
        <v>8026</v>
      </c>
      <c r="C639" s="1" t="e">
        <f>VLOOKUP(Tabla_Items_Activos[[#This Row],[CODIGO]],Tabla_Items_Completos[[CODIGO]:[LINEA]],2,0)</f>
        <v>#N/A</v>
      </c>
      <c r="D639" s="1" t="e">
        <f>VLOOKUP(Tabla_Items_Activos[[#This Row],[CODIGO]],Tabla_Items_Completos[[CODIGO]:[LINEA]],3,0)</f>
        <v>#N/A</v>
      </c>
      <c r="E639" s="1" t="e">
        <f>VLOOKUP(Tabla_Items_Activos[[#This Row],[CODIGO]],Tabla_Items_Completos[[CODIGO]:[LINEA]],4,0)</f>
        <v>#N/A</v>
      </c>
      <c r="F639">
        <v>29</v>
      </c>
      <c r="G639">
        <v>1</v>
      </c>
    </row>
    <row r="640" spans="1:7">
      <c r="A640" t="s">
        <v>7388</v>
      </c>
      <c r="B640" t="s">
        <v>8027</v>
      </c>
      <c r="C640" s="1" t="e">
        <f>VLOOKUP(Tabla_Items_Activos[[#This Row],[CODIGO]],Tabla_Items_Completos[[CODIGO]:[LINEA]],2,0)</f>
        <v>#N/A</v>
      </c>
      <c r="D640" s="1" t="e">
        <f>VLOOKUP(Tabla_Items_Activos[[#This Row],[CODIGO]],Tabla_Items_Completos[[CODIGO]:[LINEA]],3,0)</f>
        <v>#N/A</v>
      </c>
      <c r="E640" s="1" t="e">
        <f>VLOOKUP(Tabla_Items_Activos[[#This Row],[CODIGO]],Tabla_Items_Completos[[CODIGO]:[LINEA]],4,0)</f>
        <v>#N/A</v>
      </c>
      <c r="F640">
        <v>66</v>
      </c>
      <c r="G640">
        <v>14</v>
      </c>
    </row>
    <row r="641" spans="1:7">
      <c r="A641" t="s">
        <v>7388</v>
      </c>
      <c r="B641" t="s">
        <v>8028</v>
      </c>
      <c r="C641" s="1" t="e">
        <f>VLOOKUP(Tabla_Items_Activos[[#This Row],[CODIGO]],Tabla_Items_Completos[[CODIGO]:[LINEA]],2,0)</f>
        <v>#N/A</v>
      </c>
      <c r="D641" s="1" t="e">
        <f>VLOOKUP(Tabla_Items_Activos[[#This Row],[CODIGO]],Tabla_Items_Completos[[CODIGO]:[LINEA]],3,0)</f>
        <v>#N/A</v>
      </c>
      <c r="E641" s="1" t="e">
        <f>VLOOKUP(Tabla_Items_Activos[[#This Row],[CODIGO]],Tabla_Items_Completos[[CODIGO]:[LINEA]],4,0)</f>
        <v>#N/A</v>
      </c>
      <c r="F641">
        <v>105</v>
      </c>
      <c r="G641">
        <v>0</v>
      </c>
    </row>
    <row r="642" spans="1:7">
      <c r="A642" t="s">
        <v>7388</v>
      </c>
      <c r="B642" t="s">
        <v>8029</v>
      </c>
      <c r="C642" s="1" t="e">
        <f>VLOOKUP(Tabla_Items_Activos[[#This Row],[CODIGO]],Tabla_Items_Completos[[CODIGO]:[LINEA]],2,0)</f>
        <v>#N/A</v>
      </c>
      <c r="D642" s="1" t="e">
        <f>VLOOKUP(Tabla_Items_Activos[[#This Row],[CODIGO]],Tabla_Items_Completos[[CODIGO]:[LINEA]],3,0)</f>
        <v>#N/A</v>
      </c>
      <c r="E642" s="1" t="e">
        <f>VLOOKUP(Tabla_Items_Activos[[#This Row],[CODIGO]],Tabla_Items_Completos[[CODIGO]:[LINEA]],4,0)</f>
        <v>#N/A</v>
      </c>
      <c r="F642">
        <v>71</v>
      </c>
      <c r="G642">
        <v>72</v>
      </c>
    </row>
    <row r="643" spans="1:7">
      <c r="A643" t="s">
        <v>7388</v>
      </c>
      <c r="B643" t="s">
        <v>8030</v>
      </c>
      <c r="C643" s="1" t="e">
        <f>VLOOKUP(Tabla_Items_Activos[[#This Row],[CODIGO]],Tabla_Items_Completos[[CODIGO]:[LINEA]],2,0)</f>
        <v>#N/A</v>
      </c>
      <c r="D643" s="1" t="e">
        <f>VLOOKUP(Tabla_Items_Activos[[#This Row],[CODIGO]],Tabla_Items_Completos[[CODIGO]:[LINEA]],3,0)</f>
        <v>#N/A</v>
      </c>
      <c r="E643" s="1" t="e">
        <f>VLOOKUP(Tabla_Items_Activos[[#This Row],[CODIGO]],Tabla_Items_Completos[[CODIGO]:[LINEA]],4,0)</f>
        <v>#N/A</v>
      </c>
      <c r="F643">
        <v>99</v>
      </c>
      <c r="G643">
        <v>0</v>
      </c>
    </row>
    <row r="644" spans="1:7">
      <c r="A644" t="s">
        <v>7388</v>
      </c>
      <c r="B644" t="s">
        <v>8031</v>
      </c>
      <c r="C644" s="1" t="e">
        <f>VLOOKUP(Tabla_Items_Activos[[#This Row],[CODIGO]],Tabla_Items_Completos[[CODIGO]:[LINEA]],2,0)</f>
        <v>#N/A</v>
      </c>
      <c r="D644" s="1" t="e">
        <f>VLOOKUP(Tabla_Items_Activos[[#This Row],[CODIGO]],Tabla_Items_Completos[[CODIGO]:[LINEA]],3,0)</f>
        <v>#N/A</v>
      </c>
      <c r="E644" s="1" t="e">
        <f>VLOOKUP(Tabla_Items_Activos[[#This Row],[CODIGO]],Tabla_Items_Completos[[CODIGO]:[LINEA]],4,0)</f>
        <v>#N/A</v>
      </c>
      <c r="F644">
        <v>18</v>
      </c>
      <c r="G644">
        <v>23</v>
      </c>
    </row>
    <row r="645" spans="1:7">
      <c r="A645" t="s">
        <v>7388</v>
      </c>
      <c r="B645" t="s">
        <v>8032</v>
      </c>
      <c r="C645" s="1" t="e">
        <f>VLOOKUP(Tabla_Items_Activos[[#This Row],[CODIGO]],Tabla_Items_Completos[[CODIGO]:[LINEA]],2,0)</f>
        <v>#N/A</v>
      </c>
      <c r="D645" s="1" t="e">
        <f>VLOOKUP(Tabla_Items_Activos[[#This Row],[CODIGO]],Tabla_Items_Completos[[CODIGO]:[LINEA]],3,0)</f>
        <v>#N/A</v>
      </c>
      <c r="E645" s="1" t="e">
        <f>VLOOKUP(Tabla_Items_Activos[[#This Row],[CODIGO]],Tabla_Items_Completos[[CODIGO]:[LINEA]],4,0)</f>
        <v>#N/A</v>
      </c>
      <c r="F645">
        <v>76</v>
      </c>
      <c r="G645">
        <v>8</v>
      </c>
    </row>
    <row r="646" spans="1:7">
      <c r="A646" t="s">
        <v>7388</v>
      </c>
      <c r="B646" t="s">
        <v>8033</v>
      </c>
      <c r="C646" s="1" t="e">
        <f>VLOOKUP(Tabla_Items_Activos[[#This Row],[CODIGO]],Tabla_Items_Completos[[CODIGO]:[LINEA]],2,0)</f>
        <v>#N/A</v>
      </c>
      <c r="D646" s="1" t="e">
        <f>VLOOKUP(Tabla_Items_Activos[[#This Row],[CODIGO]],Tabla_Items_Completos[[CODIGO]:[LINEA]],3,0)</f>
        <v>#N/A</v>
      </c>
      <c r="E646" s="1" t="e">
        <f>VLOOKUP(Tabla_Items_Activos[[#This Row],[CODIGO]],Tabla_Items_Completos[[CODIGO]:[LINEA]],4,0)</f>
        <v>#N/A</v>
      </c>
      <c r="F646">
        <v>22</v>
      </c>
      <c r="G646">
        <v>0</v>
      </c>
    </row>
    <row r="647" spans="1:7">
      <c r="A647" t="s">
        <v>7388</v>
      </c>
      <c r="B647" t="s">
        <v>8034</v>
      </c>
      <c r="C647" s="1" t="e">
        <f>VLOOKUP(Tabla_Items_Activos[[#This Row],[CODIGO]],Tabla_Items_Completos[[CODIGO]:[LINEA]],2,0)</f>
        <v>#N/A</v>
      </c>
      <c r="D647" s="1" t="e">
        <f>VLOOKUP(Tabla_Items_Activos[[#This Row],[CODIGO]],Tabla_Items_Completos[[CODIGO]:[LINEA]],3,0)</f>
        <v>#N/A</v>
      </c>
      <c r="E647" s="1" t="e">
        <f>VLOOKUP(Tabla_Items_Activos[[#This Row],[CODIGO]],Tabla_Items_Completos[[CODIGO]:[LINEA]],4,0)</f>
        <v>#N/A</v>
      </c>
      <c r="F647">
        <v>50</v>
      </c>
      <c r="G647">
        <v>0</v>
      </c>
    </row>
    <row r="648" spans="1:7">
      <c r="A648" t="s">
        <v>7388</v>
      </c>
      <c r="B648" t="s">
        <v>8035</v>
      </c>
      <c r="C648" s="1" t="e">
        <f>VLOOKUP(Tabla_Items_Activos[[#This Row],[CODIGO]],Tabla_Items_Completos[[CODIGO]:[LINEA]],2,0)</f>
        <v>#N/A</v>
      </c>
      <c r="D648" s="1" t="e">
        <f>VLOOKUP(Tabla_Items_Activos[[#This Row],[CODIGO]],Tabla_Items_Completos[[CODIGO]:[LINEA]],3,0)</f>
        <v>#N/A</v>
      </c>
      <c r="E648" s="1" t="e">
        <f>VLOOKUP(Tabla_Items_Activos[[#This Row],[CODIGO]],Tabla_Items_Completos[[CODIGO]:[LINEA]],4,0)</f>
        <v>#N/A</v>
      </c>
      <c r="F648">
        <v>116</v>
      </c>
      <c r="G648">
        <v>23</v>
      </c>
    </row>
    <row r="649" spans="1:7">
      <c r="A649" t="s">
        <v>7388</v>
      </c>
      <c r="B649" t="s">
        <v>8036</v>
      </c>
      <c r="C649" s="1" t="e">
        <f>VLOOKUP(Tabla_Items_Activos[[#This Row],[CODIGO]],Tabla_Items_Completos[[CODIGO]:[LINEA]],2,0)</f>
        <v>#N/A</v>
      </c>
      <c r="D649" s="1" t="e">
        <f>VLOOKUP(Tabla_Items_Activos[[#This Row],[CODIGO]],Tabla_Items_Completos[[CODIGO]:[LINEA]],3,0)</f>
        <v>#N/A</v>
      </c>
      <c r="E649" s="1" t="e">
        <f>VLOOKUP(Tabla_Items_Activos[[#This Row],[CODIGO]],Tabla_Items_Completos[[CODIGO]:[LINEA]],4,0)</f>
        <v>#N/A</v>
      </c>
      <c r="F649">
        <v>306</v>
      </c>
      <c r="G649">
        <v>0</v>
      </c>
    </row>
    <row r="650" spans="1:7">
      <c r="A650" t="s">
        <v>7388</v>
      </c>
      <c r="B650" t="s">
        <v>8037</v>
      </c>
      <c r="C650" s="1" t="e">
        <f>VLOOKUP(Tabla_Items_Activos[[#This Row],[CODIGO]],Tabla_Items_Completos[[CODIGO]:[LINEA]],2,0)</f>
        <v>#N/A</v>
      </c>
      <c r="D650" s="1" t="e">
        <f>VLOOKUP(Tabla_Items_Activos[[#This Row],[CODIGO]],Tabla_Items_Completos[[CODIGO]:[LINEA]],3,0)</f>
        <v>#N/A</v>
      </c>
      <c r="E650" s="1" t="e">
        <f>VLOOKUP(Tabla_Items_Activos[[#This Row],[CODIGO]],Tabla_Items_Completos[[CODIGO]:[LINEA]],4,0)</f>
        <v>#N/A</v>
      </c>
      <c r="F650">
        <v>77</v>
      </c>
      <c r="G650">
        <v>0</v>
      </c>
    </row>
    <row r="651" spans="1:7">
      <c r="A651" t="s">
        <v>7388</v>
      </c>
      <c r="B651" t="s">
        <v>8038</v>
      </c>
      <c r="C651" s="1" t="e">
        <f>VLOOKUP(Tabla_Items_Activos[[#This Row],[CODIGO]],Tabla_Items_Completos[[CODIGO]:[LINEA]],2,0)</f>
        <v>#N/A</v>
      </c>
      <c r="D651" s="1" t="e">
        <f>VLOOKUP(Tabla_Items_Activos[[#This Row],[CODIGO]],Tabla_Items_Completos[[CODIGO]:[LINEA]],3,0)</f>
        <v>#N/A</v>
      </c>
      <c r="E651" s="1" t="e">
        <f>VLOOKUP(Tabla_Items_Activos[[#This Row],[CODIGO]],Tabla_Items_Completos[[CODIGO]:[LINEA]],4,0)</f>
        <v>#N/A</v>
      </c>
      <c r="F651">
        <v>100</v>
      </c>
      <c r="G651">
        <v>0</v>
      </c>
    </row>
    <row r="652" spans="1:7">
      <c r="A652" t="s">
        <v>7388</v>
      </c>
      <c r="B652" t="s">
        <v>8039</v>
      </c>
      <c r="C652" s="1" t="e">
        <f>VLOOKUP(Tabla_Items_Activos[[#This Row],[CODIGO]],Tabla_Items_Completos[[CODIGO]:[LINEA]],2,0)</f>
        <v>#N/A</v>
      </c>
      <c r="D652" s="1" t="e">
        <f>VLOOKUP(Tabla_Items_Activos[[#This Row],[CODIGO]],Tabla_Items_Completos[[CODIGO]:[LINEA]],3,0)</f>
        <v>#N/A</v>
      </c>
      <c r="E652" s="1" t="e">
        <f>VLOOKUP(Tabla_Items_Activos[[#This Row],[CODIGO]],Tabla_Items_Completos[[CODIGO]:[LINEA]],4,0)</f>
        <v>#N/A</v>
      </c>
      <c r="F652">
        <v>14</v>
      </c>
      <c r="G652">
        <v>46</v>
      </c>
    </row>
    <row r="653" spans="1:7">
      <c r="A653" t="s">
        <v>7388</v>
      </c>
      <c r="B653" t="s">
        <v>8040</v>
      </c>
      <c r="C653" s="1" t="e">
        <f>VLOOKUP(Tabla_Items_Activos[[#This Row],[CODIGO]],Tabla_Items_Completos[[CODIGO]:[LINEA]],2,0)</f>
        <v>#N/A</v>
      </c>
      <c r="D653" s="1" t="e">
        <f>VLOOKUP(Tabla_Items_Activos[[#This Row],[CODIGO]],Tabla_Items_Completos[[CODIGO]:[LINEA]],3,0)</f>
        <v>#N/A</v>
      </c>
      <c r="E653" s="1" t="e">
        <f>VLOOKUP(Tabla_Items_Activos[[#This Row],[CODIGO]],Tabla_Items_Completos[[CODIGO]:[LINEA]],4,0)</f>
        <v>#N/A</v>
      </c>
      <c r="F653">
        <v>25</v>
      </c>
      <c r="G653">
        <v>200</v>
      </c>
    </row>
    <row r="654" spans="1:7">
      <c r="A654" t="s">
        <v>7388</v>
      </c>
      <c r="B654" t="s">
        <v>8041</v>
      </c>
      <c r="C654" s="1" t="e">
        <f>VLOOKUP(Tabla_Items_Activos[[#This Row],[CODIGO]],Tabla_Items_Completos[[CODIGO]:[LINEA]],2,0)</f>
        <v>#N/A</v>
      </c>
      <c r="D654" s="1" t="e">
        <f>VLOOKUP(Tabla_Items_Activos[[#This Row],[CODIGO]],Tabla_Items_Completos[[CODIGO]:[LINEA]],3,0)</f>
        <v>#N/A</v>
      </c>
      <c r="E654" s="1" t="e">
        <f>VLOOKUP(Tabla_Items_Activos[[#This Row],[CODIGO]],Tabla_Items_Completos[[CODIGO]:[LINEA]],4,0)</f>
        <v>#N/A</v>
      </c>
      <c r="F654">
        <v>27</v>
      </c>
      <c r="G654">
        <v>42</v>
      </c>
    </row>
    <row r="655" spans="1:7">
      <c r="A655" t="s">
        <v>7388</v>
      </c>
      <c r="B655" t="s">
        <v>8042</v>
      </c>
      <c r="C655" s="1" t="e">
        <f>VLOOKUP(Tabla_Items_Activos[[#This Row],[CODIGO]],Tabla_Items_Completos[[CODIGO]:[LINEA]],2,0)</f>
        <v>#N/A</v>
      </c>
      <c r="D655" s="1" t="e">
        <f>VLOOKUP(Tabla_Items_Activos[[#This Row],[CODIGO]],Tabla_Items_Completos[[CODIGO]:[LINEA]],3,0)</f>
        <v>#N/A</v>
      </c>
      <c r="E655" s="1" t="e">
        <f>VLOOKUP(Tabla_Items_Activos[[#This Row],[CODIGO]],Tabla_Items_Completos[[CODIGO]:[LINEA]],4,0)</f>
        <v>#N/A</v>
      </c>
      <c r="F655">
        <v>10</v>
      </c>
      <c r="G655">
        <v>37</v>
      </c>
    </row>
    <row r="656" spans="1:7">
      <c r="A656" t="s">
        <v>7388</v>
      </c>
      <c r="B656" t="s">
        <v>8043</v>
      </c>
      <c r="C656" s="1" t="e">
        <f>VLOOKUP(Tabla_Items_Activos[[#This Row],[CODIGO]],Tabla_Items_Completos[[CODIGO]:[LINEA]],2,0)</f>
        <v>#N/A</v>
      </c>
      <c r="D656" s="1" t="e">
        <f>VLOOKUP(Tabla_Items_Activos[[#This Row],[CODIGO]],Tabla_Items_Completos[[CODIGO]:[LINEA]],3,0)</f>
        <v>#N/A</v>
      </c>
      <c r="E656" s="1" t="e">
        <f>VLOOKUP(Tabla_Items_Activos[[#This Row],[CODIGO]],Tabla_Items_Completos[[CODIGO]:[LINEA]],4,0)</f>
        <v>#N/A</v>
      </c>
      <c r="F656">
        <v>14</v>
      </c>
      <c r="G656">
        <v>89</v>
      </c>
    </row>
    <row r="657" spans="1:7">
      <c r="A657" t="s">
        <v>7388</v>
      </c>
      <c r="B657" t="s">
        <v>8044</v>
      </c>
      <c r="C657" s="1" t="e">
        <f>VLOOKUP(Tabla_Items_Activos[[#This Row],[CODIGO]],Tabla_Items_Completos[[CODIGO]:[LINEA]],2,0)</f>
        <v>#N/A</v>
      </c>
      <c r="D657" s="1" t="e">
        <f>VLOOKUP(Tabla_Items_Activos[[#This Row],[CODIGO]],Tabla_Items_Completos[[CODIGO]:[LINEA]],3,0)</f>
        <v>#N/A</v>
      </c>
      <c r="E657" s="1" t="e">
        <f>VLOOKUP(Tabla_Items_Activos[[#This Row],[CODIGO]],Tabla_Items_Completos[[CODIGO]:[LINEA]],4,0)</f>
        <v>#N/A</v>
      </c>
      <c r="F657">
        <v>11</v>
      </c>
      <c r="G657">
        <v>1</v>
      </c>
    </row>
    <row r="658" spans="1:7">
      <c r="A658" t="s">
        <v>7388</v>
      </c>
      <c r="B658" t="s">
        <v>8045</v>
      </c>
      <c r="C658" s="1" t="e">
        <f>VLOOKUP(Tabla_Items_Activos[[#This Row],[CODIGO]],Tabla_Items_Completos[[CODIGO]:[LINEA]],2,0)</f>
        <v>#N/A</v>
      </c>
      <c r="D658" s="1" t="e">
        <f>VLOOKUP(Tabla_Items_Activos[[#This Row],[CODIGO]],Tabla_Items_Completos[[CODIGO]:[LINEA]],3,0)</f>
        <v>#N/A</v>
      </c>
      <c r="E658" s="1" t="e">
        <f>VLOOKUP(Tabla_Items_Activos[[#This Row],[CODIGO]],Tabla_Items_Completos[[CODIGO]:[LINEA]],4,0)</f>
        <v>#N/A</v>
      </c>
      <c r="F658">
        <v>2</v>
      </c>
      <c r="G658">
        <v>19</v>
      </c>
    </row>
    <row r="659" spans="1:7">
      <c r="A659" t="s">
        <v>7388</v>
      </c>
      <c r="B659" t="s">
        <v>8046</v>
      </c>
      <c r="C659" s="1" t="e">
        <f>VLOOKUP(Tabla_Items_Activos[[#This Row],[CODIGO]],Tabla_Items_Completos[[CODIGO]:[LINEA]],2,0)</f>
        <v>#N/A</v>
      </c>
      <c r="D659" s="1" t="e">
        <f>VLOOKUP(Tabla_Items_Activos[[#This Row],[CODIGO]],Tabla_Items_Completos[[CODIGO]:[LINEA]],3,0)</f>
        <v>#N/A</v>
      </c>
      <c r="E659" s="1" t="e">
        <f>VLOOKUP(Tabla_Items_Activos[[#This Row],[CODIGO]],Tabla_Items_Completos[[CODIGO]:[LINEA]],4,0)</f>
        <v>#N/A</v>
      </c>
      <c r="F659">
        <v>15</v>
      </c>
      <c r="G659">
        <v>149</v>
      </c>
    </row>
    <row r="660" spans="1:7">
      <c r="A660" t="s">
        <v>7388</v>
      </c>
      <c r="B660" t="s">
        <v>8047</v>
      </c>
      <c r="C660" s="1" t="e">
        <f>VLOOKUP(Tabla_Items_Activos[[#This Row],[CODIGO]],Tabla_Items_Completos[[CODIGO]:[LINEA]],2,0)</f>
        <v>#N/A</v>
      </c>
      <c r="D660" s="1" t="e">
        <f>VLOOKUP(Tabla_Items_Activos[[#This Row],[CODIGO]],Tabla_Items_Completos[[CODIGO]:[LINEA]],3,0)</f>
        <v>#N/A</v>
      </c>
      <c r="E660" s="1" t="e">
        <f>VLOOKUP(Tabla_Items_Activos[[#This Row],[CODIGO]],Tabla_Items_Completos[[CODIGO]:[LINEA]],4,0)</f>
        <v>#N/A</v>
      </c>
      <c r="F660">
        <v>11</v>
      </c>
      <c r="G660">
        <v>8</v>
      </c>
    </row>
    <row r="661" spans="1:7">
      <c r="A661" t="s">
        <v>7388</v>
      </c>
      <c r="B661" t="s">
        <v>8048</v>
      </c>
      <c r="C661" s="1" t="e">
        <f>VLOOKUP(Tabla_Items_Activos[[#This Row],[CODIGO]],Tabla_Items_Completos[[CODIGO]:[LINEA]],2,0)</f>
        <v>#N/A</v>
      </c>
      <c r="D661" s="1" t="e">
        <f>VLOOKUP(Tabla_Items_Activos[[#This Row],[CODIGO]],Tabla_Items_Completos[[CODIGO]:[LINEA]],3,0)</f>
        <v>#N/A</v>
      </c>
      <c r="E661" s="1" t="e">
        <f>VLOOKUP(Tabla_Items_Activos[[#This Row],[CODIGO]],Tabla_Items_Completos[[CODIGO]:[LINEA]],4,0)</f>
        <v>#N/A</v>
      </c>
      <c r="F661">
        <v>10</v>
      </c>
      <c r="G661">
        <v>123</v>
      </c>
    </row>
    <row r="662" spans="1:7">
      <c r="A662" t="s">
        <v>7388</v>
      </c>
      <c r="B662" t="s">
        <v>8049</v>
      </c>
      <c r="C662" s="1" t="e">
        <f>VLOOKUP(Tabla_Items_Activos[[#This Row],[CODIGO]],Tabla_Items_Completos[[CODIGO]:[LINEA]],2,0)</f>
        <v>#N/A</v>
      </c>
      <c r="D662" s="1" t="e">
        <f>VLOOKUP(Tabla_Items_Activos[[#This Row],[CODIGO]],Tabla_Items_Completos[[CODIGO]:[LINEA]],3,0)</f>
        <v>#N/A</v>
      </c>
      <c r="E662" s="1" t="e">
        <f>VLOOKUP(Tabla_Items_Activos[[#This Row],[CODIGO]],Tabla_Items_Completos[[CODIGO]:[LINEA]],4,0)</f>
        <v>#N/A</v>
      </c>
      <c r="F662">
        <v>17</v>
      </c>
      <c r="G662">
        <v>238</v>
      </c>
    </row>
    <row r="663" spans="1:7">
      <c r="A663" t="s">
        <v>7388</v>
      </c>
      <c r="B663" t="s">
        <v>8050</v>
      </c>
      <c r="C663" s="1" t="e">
        <f>VLOOKUP(Tabla_Items_Activos[[#This Row],[CODIGO]],Tabla_Items_Completos[[CODIGO]:[LINEA]],2,0)</f>
        <v>#N/A</v>
      </c>
      <c r="D663" s="1" t="e">
        <f>VLOOKUP(Tabla_Items_Activos[[#This Row],[CODIGO]],Tabla_Items_Completos[[CODIGO]:[LINEA]],3,0)</f>
        <v>#N/A</v>
      </c>
      <c r="E663" s="1" t="e">
        <f>VLOOKUP(Tabla_Items_Activos[[#This Row],[CODIGO]],Tabla_Items_Completos[[CODIGO]:[LINEA]],4,0)</f>
        <v>#N/A</v>
      </c>
      <c r="F663">
        <v>11</v>
      </c>
      <c r="G663">
        <v>24</v>
      </c>
    </row>
    <row r="664" spans="1:7">
      <c r="A664" t="s">
        <v>7388</v>
      </c>
      <c r="B664" t="s">
        <v>8051</v>
      </c>
      <c r="C664" s="1" t="e">
        <f>VLOOKUP(Tabla_Items_Activos[[#This Row],[CODIGO]],Tabla_Items_Completos[[CODIGO]:[LINEA]],2,0)</f>
        <v>#N/A</v>
      </c>
      <c r="D664" s="1" t="e">
        <f>VLOOKUP(Tabla_Items_Activos[[#This Row],[CODIGO]],Tabla_Items_Completos[[CODIGO]:[LINEA]],3,0)</f>
        <v>#N/A</v>
      </c>
      <c r="E664" s="1" t="e">
        <f>VLOOKUP(Tabla_Items_Activos[[#This Row],[CODIGO]],Tabla_Items_Completos[[CODIGO]:[LINEA]],4,0)</f>
        <v>#N/A</v>
      </c>
      <c r="F664">
        <v>6</v>
      </c>
      <c r="G664">
        <v>68</v>
      </c>
    </row>
    <row r="665" spans="1:7">
      <c r="A665" t="s">
        <v>7388</v>
      </c>
      <c r="B665" t="s">
        <v>8052</v>
      </c>
      <c r="C665" s="1" t="e">
        <f>VLOOKUP(Tabla_Items_Activos[[#This Row],[CODIGO]],Tabla_Items_Completos[[CODIGO]:[LINEA]],2,0)</f>
        <v>#N/A</v>
      </c>
      <c r="D665" s="1" t="e">
        <f>VLOOKUP(Tabla_Items_Activos[[#This Row],[CODIGO]],Tabla_Items_Completos[[CODIGO]:[LINEA]],3,0)</f>
        <v>#N/A</v>
      </c>
      <c r="E665" s="1" t="e">
        <f>VLOOKUP(Tabla_Items_Activos[[#This Row],[CODIGO]],Tabla_Items_Completos[[CODIGO]:[LINEA]],4,0)</f>
        <v>#N/A</v>
      </c>
      <c r="F665">
        <v>12</v>
      </c>
      <c r="G665">
        <v>86</v>
      </c>
    </row>
    <row r="666" spans="1:7">
      <c r="A666" t="s">
        <v>7388</v>
      </c>
      <c r="B666" t="s">
        <v>8053</v>
      </c>
      <c r="C666" s="1" t="e">
        <f>VLOOKUP(Tabla_Items_Activos[[#This Row],[CODIGO]],Tabla_Items_Completos[[CODIGO]:[LINEA]],2,0)</f>
        <v>#N/A</v>
      </c>
      <c r="D666" s="1" t="e">
        <f>VLOOKUP(Tabla_Items_Activos[[#This Row],[CODIGO]],Tabla_Items_Completos[[CODIGO]:[LINEA]],3,0)</f>
        <v>#N/A</v>
      </c>
      <c r="E666" s="1" t="e">
        <f>VLOOKUP(Tabla_Items_Activos[[#This Row],[CODIGO]],Tabla_Items_Completos[[CODIGO]:[LINEA]],4,0)</f>
        <v>#N/A</v>
      </c>
      <c r="F666">
        <v>19</v>
      </c>
      <c r="G666">
        <v>44</v>
      </c>
    </row>
    <row r="667" spans="1:7">
      <c r="A667" t="s">
        <v>7388</v>
      </c>
      <c r="B667" t="s">
        <v>8054</v>
      </c>
      <c r="C667" s="1" t="e">
        <f>VLOOKUP(Tabla_Items_Activos[[#This Row],[CODIGO]],Tabla_Items_Completos[[CODIGO]:[LINEA]],2,0)</f>
        <v>#N/A</v>
      </c>
      <c r="D667" s="1" t="e">
        <f>VLOOKUP(Tabla_Items_Activos[[#This Row],[CODIGO]],Tabla_Items_Completos[[CODIGO]:[LINEA]],3,0)</f>
        <v>#N/A</v>
      </c>
      <c r="E667" s="1" t="e">
        <f>VLOOKUP(Tabla_Items_Activos[[#This Row],[CODIGO]],Tabla_Items_Completos[[CODIGO]:[LINEA]],4,0)</f>
        <v>#N/A</v>
      </c>
      <c r="F667">
        <v>22</v>
      </c>
      <c r="G667">
        <v>46</v>
      </c>
    </row>
    <row r="668" spans="1:7">
      <c r="A668" t="s">
        <v>7388</v>
      </c>
      <c r="B668" t="s">
        <v>8055</v>
      </c>
      <c r="C668" s="1" t="e">
        <f>VLOOKUP(Tabla_Items_Activos[[#This Row],[CODIGO]],Tabla_Items_Completos[[CODIGO]:[LINEA]],2,0)</f>
        <v>#N/A</v>
      </c>
      <c r="D668" s="1" t="e">
        <f>VLOOKUP(Tabla_Items_Activos[[#This Row],[CODIGO]],Tabla_Items_Completos[[CODIGO]:[LINEA]],3,0)</f>
        <v>#N/A</v>
      </c>
      <c r="E668" s="1" t="e">
        <f>VLOOKUP(Tabla_Items_Activos[[#This Row],[CODIGO]],Tabla_Items_Completos[[CODIGO]:[LINEA]],4,0)</f>
        <v>#N/A</v>
      </c>
      <c r="F668">
        <v>781</v>
      </c>
      <c r="G668">
        <v>1</v>
      </c>
    </row>
    <row r="669" spans="1:7">
      <c r="A669" t="s">
        <v>7388</v>
      </c>
      <c r="B669" t="s">
        <v>8056</v>
      </c>
      <c r="C669" s="1" t="e">
        <f>VLOOKUP(Tabla_Items_Activos[[#This Row],[CODIGO]],Tabla_Items_Completos[[CODIGO]:[LINEA]],2,0)</f>
        <v>#N/A</v>
      </c>
      <c r="D669" s="1" t="e">
        <f>VLOOKUP(Tabla_Items_Activos[[#This Row],[CODIGO]],Tabla_Items_Completos[[CODIGO]:[LINEA]],3,0)</f>
        <v>#N/A</v>
      </c>
      <c r="E669" s="1" t="e">
        <f>VLOOKUP(Tabla_Items_Activos[[#This Row],[CODIGO]],Tabla_Items_Completos[[CODIGO]:[LINEA]],4,0)</f>
        <v>#N/A</v>
      </c>
      <c r="F669">
        <v>361</v>
      </c>
      <c r="G669">
        <v>1</v>
      </c>
    </row>
    <row r="670" spans="1:7">
      <c r="A670" t="s">
        <v>7388</v>
      </c>
      <c r="B670" t="s">
        <v>8057</v>
      </c>
      <c r="C670" s="1" t="e">
        <f>VLOOKUP(Tabla_Items_Activos[[#This Row],[CODIGO]],Tabla_Items_Completos[[CODIGO]:[LINEA]],2,0)</f>
        <v>#N/A</v>
      </c>
      <c r="D670" s="1" t="e">
        <f>VLOOKUP(Tabla_Items_Activos[[#This Row],[CODIGO]],Tabla_Items_Completos[[CODIGO]:[LINEA]],3,0)</f>
        <v>#N/A</v>
      </c>
      <c r="E670" s="1" t="e">
        <f>VLOOKUP(Tabla_Items_Activos[[#This Row],[CODIGO]],Tabla_Items_Completos[[CODIGO]:[LINEA]],4,0)</f>
        <v>#N/A</v>
      </c>
      <c r="F670">
        <v>380</v>
      </c>
      <c r="G670">
        <v>1</v>
      </c>
    </row>
    <row r="671" spans="1:7">
      <c r="A671" t="s">
        <v>7388</v>
      </c>
      <c r="B671" t="s">
        <v>8058</v>
      </c>
      <c r="C671" s="1" t="e">
        <f>VLOOKUP(Tabla_Items_Activos[[#This Row],[CODIGO]],Tabla_Items_Completos[[CODIGO]:[LINEA]],2,0)</f>
        <v>#N/A</v>
      </c>
      <c r="D671" s="1" t="e">
        <f>VLOOKUP(Tabla_Items_Activos[[#This Row],[CODIGO]],Tabla_Items_Completos[[CODIGO]:[LINEA]],3,0)</f>
        <v>#N/A</v>
      </c>
      <c r="E671" s="1" t="e">
        <f>VLOOKUP(Tabla_Items_Activos[[#This Row],[CODIGO]],Tabla_Items_Completos[[CODIGO]:[LINEA]],4,0)</f>
        <v>#N/A</v>
      </c>
      <c r="F671">
        <v>510</v>
      </c>
      <c r="G671">
        <v>0</v>
      </c>
    </row>
    <row r="672" spans="1:7">
      <c r="A672" t="s">
        <v>7388</v>
      </c>
      <c r="B672" t="s">
        <v>8059</v>
      </c>
      <c r="C672" s="1" t="e">
        <f>VLOOKUP(Tabla_Items_Activos[[#This Row],[CODIGO]],Tabla_Items_Completos[[CODIGO]:[LINEA]],2,0)</f>
        <v>#N/A</v>
      </c>
      <c r="D672" s="1" t="e">
        <f>VLOOKUP(Tabla_Items_Activos[[#This Row],[CODIGO]],Tabla_Items_Completos[[CODIGO]:[LINEA]],3,0)</f>
        <v>#N/A</v>
      </c>
      <c r="E672" s="1" t="e">
        <f>VLOOKUP(Tabla_Items_Activos[[#This Row],[CODIGO]],Tabla_Items_Completos[[CODIGO]:[LINEA]],4,0)</f>
        <v>#N/A</v>
      </c>
      <c r="F672">
        <v>604</v>
      </c>
      <c r="G672">
        <v>1459</v>
      </c>
    </row>
    <row r="673" spans="1:7">
      <c r="A673" t="s">
        <v>7388</v>
      </c>
      <c r="B673" t="s">
        <v>8060</v>
      </c>
      <c r="C673" s="1" t="e">
        <f>VLOOKUP(Tabla_Items_Activos[[#This Row],[CODIGO]],Tabla_Items_Completos[[CODIGO]:[LINEA]],2,0)</f>
        <v>#N/A</v>
      </c>
      <c r="D673" s="1" t="e">
        <f>VLOOKUP(Tabla_Items_Activos[[#This Row],[CODIGO]],Tabla_Items_Completos[[CODIGO]:[LINEA]],3,0)</f>
        <v>#N/A</v>
      </c>
      <c r="E673" s="1" t="e">
        <f>VLOOKUP(Tabla_Items_Activos[[#This Row],[CODIGO]],Tabla_Items_Completos[[CODIGO]:[LINEA]],4,0)</f>
        <v>#N/A</v>
      </c>
      <c r="F673">
        <v>100</v>
      </c>
      <c r="G673">
        <v>405</v>
      </c>
    </row>
    <row r="674" spans="1:7">
      <c r="A674" t="s">
        <v>7388</v>
      </c>
      <c r="B674" t="s">
        <v>8061</v>
      </c>
      <c r="C674" s="1" t="e">
        <f>VLOOKUP(Tabla_Items_Activos[[#This Row],[CODIGO]],Tabla_Items_Completos[[CODIGO]:[LINEA]],2,0)</f>
        <v>#N/A</v>
      </c>
      <c r="D674" s="1" t="e">
        <f>VLOOKUP(Tabla_Items_Activos[[#This Row],[CODIGO]],Tabla_Items_Completos[[CODIGO]:[LINEA]],3,0)</f>
        <v>#N/A</v>
      </c>
      <c r="E674" s="1" t="e">
        <f>VLOOKUP(Tabla_Items_Activos[[#This Row],[CODIGO]],Tabla_Items_Completos[[CODIGO]:[LINEA]],4,0)</f>
        <v>#N/A</v>
      </c>
      <c r="F674">
        <v>167</v>
      </c>
      <c r="G674">
        <v>341</v>
      </c>
    </row>
    <row r="675" spans="1:7">
      <c r="A675" t="s">
        <v>7388</v>
      </c>
      <c r="B675" t="s">
        <v>8062</v>
      </c>
      <c r="C675" s="1" t="e">
        <f>VLOOKUP(Tabla_Items_Activos[[#This Row],[CODIGO]],Tabla_Items_Completos[[CODIGO]:[LINEA]],2,0)</f>
        <v>#N/A</v>
      </c>
      <c r="D675" s="1" t="e">
        <f>VLOOKUP(Tabla_Items_Activos[[#This Row],[CODIGO]],Tabla_Items_Completos[[CODIGO]:[LINEA]],3,0)</f>
        <v>#N/A</v>
      </c>
      <c r="E675" s="1" t="e">
        <f>VLOOKUP(Tabla_Items_Activos[[#This Row],[CODIGO]],Tabla_Items_Completos[[CODIGO]:[LINEA]],4,0)</f>
        <v>#N/A</v>
      </c>
      <c r="F675">
        <v>62</v>
      </c>
      <c r="G675">
        <v>0</v>
      </c>
    </row>
    <row r="676" spans="1:7">
      <c r="A676" t="s">
        <v>7388</v>
      </c>
      <c r="B676" t="s">
        <v>8063</v>
      </c>
      <c r="C676" s="1" t="e">
        <f>VLOOKUP(Tabla_Items_Activos[[#This Row],[CODIGO]],Tabla_Items_Completos[[CODIGO]:[LINEA]],2,0)</f>
        <v>#N/A</v>
      </c>
      <c r="D676" s="1" t="e">
        <f>VLOOKUP(Tabla_Items_Activos[[#This Row],[CODIGO]],Tabla_Items_Completos[[CODIGO]:[LINEA]],3,0)</f>
        <v>#N/A</v>
      </c>
      <c r="E676" s="1" t="e">
        <f>VLOOKUP(Tabla_Items_Activos[[#This Row],[CODIGO]],Tabla_Items_Completos[[CODIGO]:[LINEA]],4,0)</f>
        <v>#N/A</v>
      </c>
      <c r="F676">
        <v>70</v>
      </c>
      <c r="G676">
        <v>0</v>
      </c>
    </row>
    <row r="677" spans="1:7">
      <c r="A677" t="s">
        <v>7388</v>
      </c>
      <c r="B677" t="s">
        <v>8064</v>
      </c>
      <c r="C677" s="1" t="e">
        <f>VLOOKUP(Tabla_Items_Activos[[#This Row],[CODIGO]],Tabla_Items_Completos[[CODIGO]:[LINEA]],2,0)</f>
        <v>#N/A</v>
      </c>
      <c r="D677" s="1" t="e">
        <f>VLOOKUP(Tabla_Items_Activos[[#This Row],[CODIGO]],Tabla_Items_Completos[[CODIGO]:[LINEA]],3,0)</f>
        <v>#N/A</v>
      </c>
      <c r="E677" s="1" t="e">
        <f>VLOOKUP(Tabla_Items_Activos[[#This Row],[CODIGO]],Tabla_Items_Completos[[CODIGO]:[LINEA]],4,0)</f>
        <v>#N/A</v>
      </c>
      <c r="F677">
        <v>140</v>
      </c>
      <c r="G677">
        <v>0</v>
      </c>
    </row>
    <row r="678" spans="1:7">
      <c r="A678" t="s">
        <v>7388</v>
      </c>
      <c r="B678" t="s">
        <v>8065</v>
      </c>
      <c r="C678" s="1" t="e">
        <f>VLOOKUP(Tabla_Items_Activos[[#This Row],[CODIGO]],Tabla_Items_Completos[[CODIGO]:[LINEA]],2,0)</f>
        <v>#N/A</v>
      </c>
      <c r="D678" s="1" t="e">
        <f>VLOOKUP(Tabla_Items_Activos[[#This Row],[CODIGO]],Tabla_Items_Completos[[CODIGO]:[LINEA]],3,0)</f>
        <v>#N/A</v>
      </c>
      <c r="E678" s="1" t="e">
        <f>VLOOKUP(Tabla_Items_Activos[[#This Row],[CODIGO]],Tabla_Items_Completos[[CODIGO]:[LINEA]],4,0)</f>
        <v>#N/A</v>
      </c>
      <c r="F678">
        <v>1173</v>
      </c>
      <c r="G678">
        <v>0</v>
      </c>
    </row>
    <row r="679" spans="1:7">
      <c r="A679" t="s">
        <v>7388</v>
      </c>
      <c r="B679" t="s">
        <v>8066</v>
      </c>
      <c r="C679" s="1" t="e">
        <f>VLOOKUP(Tabla_Items_Activos[[#This Row],[CODIGO]],Tabla_Items_Completos[[CODIGO]:[LINEA]],2,0)</f>
        <v>#N/A</v>
      </c>
      <c r="D679" s="1" t="e">
        <f>VLOOKUP(Tabla_Items_Activos[[#This Row],[CODIGO]],Tabla_Items_Completos[[CODIGO]:[LINEA]],3,0)</f>
        <v>#N/A</v>
      </c>
      <c r="E679" s="1" t="e">
        <f>VLOOKUP(Tabla_Items_Activos[[#This Row],[CODIGO]],Tabla_Items_Completos[[CODIGO]:[LINEA]],4,0)</f>
        <v>#N/A</v>
      </c>
      <c r="F679">
        <v>556</v>
      </c>
      <c r="G679">
        <v>0</v>
      </c>
    </row>
    <row r="680" spans="1:7">
      <c r="A680" t="s">
        <v>7388</v>
      </c>
      <c r="B680" t="s">
        <v>8067</v>
      </c>
      <c r="C680" s="1" t="e">
        <f>VLOOKUP(Tabla_Items_Activos[[#This Row],[CODIGO]],Tabla_Items_Completos[[CODIGO]:[LINEA]],2,0)</f>
        <v>#N/A</v>
      </c>
      <c r="D680" s="1" t="e">
        <f>VLOOKUP(Tabla_Items_Activos[[#This Row],[CODIGO]],Tabla_Items_Completos[[CODIGO]:[LINEA]],3,0)</f>
        <v>#N/A</v>
      </c>
      <c r="E680" s="1" t="e">
        <f>VLOOKUP(Tabla_Items_Activos[[#This Row],[CODIGO]],Tabla_Items_Completos[[CODIGO]:[LINEA]],4,0)</f>
        <v>#N/A</v>
      </c>
      <c r="F680">
        <v>743</v>
      </c>
      <c r="G680">
        <v>1</v>
      </c>
    </row>
    <row r="681" spans="1:7">
      <c r="A681" t="s">
        <v>7388</v>
      </c>
      <c r="B681" t="s">
        <v>8068</v>
      </c>
      <c r="C681" s="1" t="e">
        <f>VLOOKUP(Tabla_Items_Activos[[#This Row],[CODIGO]],Tabla_Items_Completos[[CODIGO]:[LINEA]],2,0)</f>
        <v>#N/A</v>
      </c>
      <c r="D681" s="1" t="e">
        <f>VLOOKUP(Tabla_Items_Activos[[#This Row],[CODIGO]],Tabla_Items_Completos[[CODIGO]:[LINEA]],3,0)</f>
        <v>#N/A</v>
      </c>
      <c r="E681" s="1" t="e">
        <f>VLOOKUP(Tabla_Items_Activos[[#This Row],[CODIGO]],Tabla_Items_Completos[[CODIGO]:[LINEA]],4,0)</f>
        <v>#N/A</v>
      </c>
      <c r="F681">
        <v>656</v>
      </c>
      <c r="G681">
        <v>0</v>
      </c>
    </row>
    <row r="682" spans="1:7">
      <c r="A682" t="s">
        <v>7388</v>
      </c>
      <c r="B682" t="s">
        <v>8069</v>
      </c>
      <c r="C682" s="1" t="e">
        <f>VLOOKUP(Tabla_Items_Activos[[#This Row],[CODIGO]],Tabla_Items_Completos[[CODIGO]:[LINEA]],2,0)</f>
        <v>#N/A</v>
      </c>
      <c r="D682" s="1" t="e">
        <f>VLOOKUP(Tabla_Items_Activos[[#This Row],[CODIGO]],Tabla_Items_Completos[[CODIGO]:[LINEA]],3,0)</f>
        <v>#N/A</v>
      </c>
      <c r="E682" s="1" t="e">
        <f>VLOOKUP(Tabla_Items_Activos[[#This Row],[CODIGO]],Tabla_Items_Completos[[CODIGO]:[LINEA]],4,0)</f>
        <v>#N/A</v>
      </c>
      <c r="F682">
        <v>728</v>
      </c>
      <c r="G682">
        <v>0</v>
      </c>
    </row>
    <row r="683" spans="1:7">
      <c r="A683" t="s">
        <v>7388</v>
      </c>
      <c r="B683" t="s">
        <v>8070</v>
      </c>
      <c r="C683" s="1" t="e">
        <f>VLOOKUP(Tabla_Items_Activos[[#This Row],[CODIGO]],Tabla_Items_Completos[[CODIGO]:[LINEA]],2,0)</f>
        <v>#N/A</v>
      </c>
      <c r="D683" s="1" t="e">
        <f>VLOOKUP(Tabla_Items_Activos[[#This Row],[CODIGO]],Tabla_Items_Completos[[CODIGO]:[LINEA]],3,0)</f>
        <v>#N/A</v>
      </c>
      <c r="E683" s="1" t="e">
        <f>VLOOKUP(Tabla_Items_Activos[[#This Row],[CODIGO]],Tabla_Items_Completos[[CODIGO]:[LINEA]],4,0)</f>
        <v>#N/A</v>
      </c>
      <c r="F683">
        <v>557</v>
      </c>
      <c r="G683">
        <v>24</v>
      </c>
    </row>
    <row r="684" spans="1:7">
      <c r="A684" t="s">
        <v>7388</v>
      </c>
      <c r="B684" t="s">
        <v>8071</v>
      </c>
      <c r="C684" s="1" t="e">
        <f>VLOOKUP(Tabla_Items_Activos[[#This Row],[CODIGO]],Tabla_Items_Completos[[CODIGO]:[LINEA]],2,0)</f>
        <v>#N/A</v>
      </c>
      <c r="D684" s="1" t="e">
        <f>VLOOKUP(Tabla_Items_Activos[[#This Row],[CODIGO]],Tabla_Items_Completos[[CODIGO]:[LINEA]],3,0)</f>
        <v>#N/A</v>
      </c>
      <c r="E684" s="1" t="e">
        <f>VLOOKUP(Tabla_Items_Activos[[#This Row],[CODIGO]],Tabla_Items_Completos[[CODIGO]:[LINEA]],4,0)</f>
        <v>#N/A</v>
      </c>
      <c r="F684">
        <v>458</v>
      </c>
      <c r="G684">
        <v>67</v>
      </c>
    </row>
    <row r="685" spans="1:7">
      <c r="A685" t="s">
        <v>7388</v>
      </c>
      <c r="B685" t="s">
        <v>8072</v>
      </c>
      <c r="C685" s="1" t="e">
        <f>VLOOKUP(Tabla_Items_Activos[[#This Row],[CODIGO]],Tabla_Items_Completos[[CODIGO]:[LINEA]],2,0)</f>
        <v>#N/A</v>
      </c>
      <c r="D685" s="1" t="e">
        <f>VLOOKUP(Tabla_Items_Activos[[#This Row],[CODIGO]],Tabla_Items_Completos[[CODIGO]:[LINEA]],3,0)</f>
        <v>#N/A</v>
      </c>
      <c r="E685" s="1" t="e">
        <f>VLOOKUP(Tabla_Items_Activos[[#This Row],[CODIGO]],Tabla_Items_Completos[[CODIGO]:[LINEA]],4,0)</f>
        <v>#N/A</v>
      </c>
      <c r="F685">
        <v>1236</v>
      </c>
      <c r="G685">
        <v>0</v>
      </c>
    </row>
    <row r="686" spans="1:7">
      <c r="A686" t="s">
        <v>7388</v>
      </c>
      <c r="B686" t="s">
        <v>8073</v>
      </c>
      <c r="C686" s="1" t="e">
        <f>VLOOKUP(Tabla_Items_Activos[[#This Row],[CODIGO]],Tabla_Items_Completos[[CODIGO]:[LINEA]],2,0)</f>
        <v>#N/A</v>
      </c>
      <c r="D686" s="1" t="e">
        <f>VLOOKUP(Tabla_Items_Activos[[#This Row],[CODIGO]],Tabla_Items_Completos[[CODIGO]:[LINEA]],3,0)</f>
        <v>#N/A</v>
      </c>
      <c r="E686" s="1" t="e">
        <f>VLOOKUP(Tabla_Items_Activos[[#This Row],[CODIGO]],Tabla_Items_Completos[[CODIGO]:[LINEA]],4,0)</f>
        <v>#N/A</v>
      </c>
      <c r="F686">
        <v>1059</v>
      </c>
      <c r="G686">
        <v>0</v>
      </c>
    </row>
    <row r="687" spans="1:7">
      <c r="A687" t="s">
        <v>7388</v>
      </c>
      <c r="B687" t="s">
        <v>8074</v>
      </c>
      <c r="C687" s="1" t="e">
        <f>VLOOKUP(Tabla_Items_Activos[[#This Row],[CODIGO]],Tabla_Items_Completos[[CODIGO]:[LINEA]],2,0)</f>
        <v>#N/A</v>
      </c>
      <c r="D687" s="1" t="e">
        <f>VLOOKUP(Tabla_Items_Activos[[#This Row],[CODIGO]],Tabla_Items_Completos[[CODIGO]:[LINEA]],3,0)</f>
        <v>#N/A</v>
      </c>
      <c r="E687" s="1" t="e">
        <f>VLOOKUP(Tabla_Items_Activos[[#This Row],[CODIGO]],Tabla_Items_Completos[[CODIGO]:[LINEA]],4,0)</f>
        <v>#N/A</v>
      </c>
      <c r="F687">
        <v>1091</v>
      </c>
      <c r="G687">
        <v>0</v>
      </c>
    </row>
    <row r="688" spans="1:7">
      <c r="A688" t="s">
        <v>7388</v>
      </c>
      <c r="B688" t="s">
        <v>8075</v>
      </c>
      <c r="C688" s="1" t="e">
        <f>VLOOKUP(Tabla_Items_Activos[[#This Row],[CODIGO]],Tabla_Items_Completos[[CODIGO]:[LINEA]],2,0)</f>
        <v>#N/A</v>
      </c>
      <c r="D688" s="1" t="e">
        <f>VLOOKUP(Tabla_Items_Activos[[#This Row],[CODIGO]],Tabla_Items_Completos[[CODIGO]:[LINEA]],3,0)</f>
        <v>#N/A</v>
      </c>
      <c r="E688" s="1" t="e">
        <f>VLOOKUP(Tabla_Items_Activos[[#This Row],[CODIGO]],Tabla_Items_Completos[[CODIGO]:[LINEA]],4,0)</f>
        <v>#N/A</v>
      </c>
      <c r="F688">
        <v>1110</v>
      </c>
      <c r="G688">
        <v>0</v>
      </c>
    </row>
    <row r="689" spans="1:7">
      <c r="A689" t="s">
        <v>7388</v>
      </c>
      <c r="B689" t="s">
        <v>8076</v>
      </c>
      <c r="C689" s="1" t="e">
        <f>VLOOKUP(Tabla_Items_Activos[[#This Row],[CODIGO]],Tabla_Items_Completos[[CODIGO]:[LINEA]],2,0)</f>
        <v>#N/A</v>
      </c>
      <c r="D689" s="1" t="e">
        <f>VLOOKUP(Tabla_Items_Activos[[#This Row],[CODIGO]],Tabla_Items_Completos[[CODIGO]:[LINEA]],3,0)</f>
        <v>#N/A</v>
      </c>
      <c r="E689" s="1" t="e">
        <f>VLOOKUP(Tabla_Items_Activos[[#This Row],[CODIGO]],Tabla_Items_Completos[[CODIGO]:[LINEA]],4,0)</f>
        <v>#N/A</v>
      </c>
      <c r="F689">
        <v>13</v>
      </c>
      <c r="G689">
        <v>28</v>
      </c>
    </row>
    <row r="690" spans="1:7">
      <c r="A690" t="s">
        <v>7388</v>
      </c>
      <c r="B690" t="s">
        <v>8077</v>
      </c>
      <c r="C690" s="1" t="e">
        <f>VLOOKUP(Tabla_Items_Activos[[#This Row],[CODIGO]],Tabla_Items_Completos[[CODIGO]:[LINEA]],2,0)</f>
        <v>#N/A</v>
      </c>
      <c r="D690" s="1" t="e">
        <f>VLOOKUP(Tabla_Items_Activos[[#This Row],[CODIGO]],Tabla_Items_Completos[[CODIGO]:[LINEA]],3,0)</f>
        <v>#N/A</v>
      </c>
      <c r="E690" s="1" t="e">
        <f>VLOOKUP(Tabla_Items_Activos[[#This Row],[CODIGO]],Tabla_Items_Completos[[CODIGO]:[LINEA]],4,0)</f>
        <v>#N/A</v>
      </c>
      <c r="F690">
        <v>24</v>
      </c>
      <c r="G690">
        <v>6</v>
      </c>
    </row>
    <row r="691" spans="1:7">
      <c r="A691" t="s">
        <v>7388</v>
      </c>
      <c r="B691" t="s">
        <v>8078</v>
      </c>
      <c r="C691" s="1" t="e">
        <f>VLOOKUP(Tabla_Items_Activos[[#This Row],[CODIGO]],Tabla_Items_Completos[[CODIGO]:[LINEA]],2,0)</f>
        <v>#N/A</v>
      </c>
      <c r="D691" s="1" t="e">
        <f>VLOOKUP(Tabla_Items_Activos[[#This Row],[CODIGO]],Tabla_Items_Completos[[CODIGO]:[LINEA]],3,0)</f>
        <v>#N/A</v>
      </c>
      <c r="E691" s="1" t="e">
        <f>VLOOKUP(Tabla_Items_Activos[[#This Row],[CODIGO]],Tabla_Items_Completos[[CODIGO]:[LINEA]],4,0)</f>
        <v>#N/A</v>
      </c>
      <c r="F691">
        <v>4</v>
      </c>
      <c r="G691">
        <v>1</v>
      </c>
    </row>
    <row r="692" spans="1:7">
      <c r="A692" t="s">
        <v>7388</v>
      </c>
      <c r="B692" t="s">
        <v>8079</v>
      </c>
      <c r="C692" s="1" t="e">
        <f>VLOOKUP(Tabla_Items_Activos[[#This Row],[CODIGO]],Tabla_Items_Completos[[CODIGO]:[LINEA]],2,0)</f>
        <v>#N/A</v>
      </c>
      <c r="D692" s="1" t="e">
        <f>VLOOKUP(Tabla_Items_Activos[[#This Row],[CODIGO]],Tabla_Items_Completos[[CODIGO]:[LINEA]],3,0)</f>
        <v>#N/A</v>
      </c>
      <c r="E692" s="1" t="e">
        <f>VLOOKUP(Tabla_Items_Activos[[#This Row],[CODIGO]],Tabla_Items_Completos[[CODIGO]:[LINEA]],4,0)</f>
        <v>#N/A</v>
      </c>
      <c r="F692">
        <v>11</v>
      </c>
      <c r="G692">
        <v>0</v>
      </c>
    </row>
    <row r="693" spans="1:7">
      <c r="A693" t="s">
        <v>7388</v>
      </c>
      <c r="B693" t="s">
        <v>8080</v>
      </c>
      <c r="C693" s="1" t="e">
        <f>VLOOKUP(Tabla_Items_Activos[[#This Row],[CODIGO]],Tabla_Items_Completos[[CODIGO]:[LINEA]],2,0)</f>
        <v>#N/A</v>
      </c>
      <c r="D693" s="1" t="e">
        <f>VLOOKUP(Tabla_Items_Activos[[#This Row],[CODIGO]],Tabla_Items_Completos[[CODIGO]:[LINEA]],3,0)</f>
        <v>#N/A</v>
      </c>
      <c r="E693" s="1" t="e">
        <f>VLOOKUP(Tabla_Items_Activos[[#This Row],[CODIGO]],Tabla_Items_Completos[[CODIGO]:[LINEA]],4,0)</f>
        <v>#N/A</v>
      </c>
      <c r="F693">
        <v>11</v>
      </c>
      <c r="G693">
        <v>0</v>
      </c>
    </row>
    <row r="694" spans="1:7">
      <c r="A694" t="s">
        <v>7388</v>
      </c>
      <c r="B694" t="s">
        <v>8081</v>
      </c>
      <c r="C694" s="1" t="e">
        <f>VLOOKUP(Tabla_Items_Activos[[#This Row],[CODIGO]],Tabla_Items_Completos[[CODIGO]:[LINEA]],2,0)</f>
        <v>#N/A</v>
      </c>
      <c r="D694" s="1" t="e">
        <f>VLOOKUP(Tabla_Items_Activos[[#This Row],[CODIGO]],Tabla_Items_Completos[[CODIGO]:[LINEA]],3,0)</f>
        <v>#N/A</v>
      </c>
      <c r="E694" s="1" t="e">
        <f>VLOOKUP(Tabla_Items_Activos[[#This Row],[CODIGO]],Tabla_Items_Completos[[CODIGO]:[LINEA]],4,0)</f>
        <v>#N/A</v>
      </c>
      <c r="F694">
        <v>21</v>
      </c>
      <c r="G694">
        <v>18</v>
      </c>
    </row>
    <row r="695" spans="1:7">
      <c r="A695" t="s">
        <v>7388</v>
      </c>
      <c r="B695" t="s">
        <v>8082</v>
      </c>
      <c r="C695" s="1" t="e">
        <f>VLOOKUP(Tabla_Items_Activos[[#This Row],[CODIGO]],Tabla_Items_Completos[[CODIGO]:[LINEA]],2,0)</f>
        <v>#N/A</v>
      </c>
      <c r="D695" s="1" t="e">
        <f>VLOOKUP(Tabla_Items_Activos[[#This Row],[CODIGO]],Tabla_Items_Completos[[CODIGO]:[LINEA]],3,0)</f>
        <v>#N/A</v>
      </c>
      <c r="E695" s="1" t="e">
        <f>VLOOKUP(Tabla_Items_Activos[[#This Row],[CODIGO]],Tabla_Items_Completos[[CODIGO]:[LINEA]],4,0)</f>
        <v>#N/A</v>
      </c>
      <c r="F695">
        <v>16</v>
      </c>
      <c r="G695">
        <v>0</v>
      </c>
    </row>
    <row r="696" spans="1:7">
      <c r="A696" t="s">
        <v>7388</v>
      </c>
      <c r="B696" t="s">
        <v>8083</v>
      </c>
      <c r="C696" s="1" t="e">
        <f>VLOOKUP(Tabla_Items_Activos[[#This Row],[CODIGO]],Tabla_Items_Completos[[CODIGO]:[LINEA]],2,0)</f>
        <v>#N/A</v>
      </c>
      <c r="D696" s="1" t="e">
        <f>VLOOKUP(Tabla_Items_Activos[[#This Row],[CODIGO]],Tabla_Items_Completos[[CODIGO]:[LINEA]],3,0)</f>
        <v>#N/A</v>
      </c>
      <c r="E696" s="1" t="e">
        <f>VLOOKUP(Tabla_Items_Activos[[#This Row],[CODIGO]],Tabla_Items_Completos[[CODIGO]:[LINEA]],4,0)</f>
        <v>#N/A</v>
      </c>
      <c r="F696">
        <v>6</v>
      </c>
      <c r="G696">
        <v>0</v>
      </c>
    </row>
    <row r="697" spans="1:7">
      <c r="A697" t="s">
        <v>7388</v>
      </c>
      <c r="B697" t="s">
        <v>8084</v>
      </c>
      <c r="C697" s="1" t="e">
        <f>VLOOKUP(Tabla_Items_Activos[[#This Row],[CODIGO]],Tabla_Items_Completos[[CODIGO]:[LINEA]],2,0)</f>
        <v>#N/A</v>
      </c>
      <c r="D697" s="1" t="e">
        <f>VLOOKUP(Tabla_Items_Activos[[#This Row],[CODIGO]],Tabla_Items_Completos[[CODIGO]:[LINEA]],3,0)</f>
        <v>#N/A</v>
      </c>
      <c r="E697" s="1" t="e">
        <f>VLOOKUP(Tabla_Items_Activos[[#This Row],[CODIGO]],Tabla_Items_Completos[[CODIGO]:[LINEA]],4,0)</f>
        <v>#N/A</v>
      </c>
      <c r="F697">
        <v>3</v>
      </c>
      <c r="G697">
        <v>5</v>
      </c>
    </row>
    <row r="698" spans="1:7">
      <c r="A698" t="s">
        <v>7388</v>
      </c>
      <c r="B698" t="s">
        <v>8085</v>
      </c>
      <c r="C698" s="1" t="e">
        <f>VLOOKUP(Tabla_Items_Activos[[#This Row],[CODIGO]],Tabla_Items_Completos[[CODIGO]:[LINEA]],2,0)</f>
        <v>#N/A</v>
      </c>
      <c r="D698" s="1" t="e">
        <f>VLOOKUP(Tabla_Items_Activos[[#This Row],[CODIGO]],Tabla_Items_Completos[[CODIGO]:[LINEA]],3,0)</f>
        <v>#N/A</v>
      </c>
      <c r="E698" s="1" t="e">
        <f>VLOOKUP(Tabla_Items_Activos[[#This Row],[CODIGO]],Tabla_Items_Completos[[CODIGO]:[LINEA]],4,0)</f>
        <v>#N/A</v>
      </c>
      <c r="F698">
        <v>6</v>
      </c>
      <c r="G698">
        <v>0</v>
      </c>
    </row>
    <row r="699" spans="1:7">
      <c r="A699" t="s">
        <v>7388</v>
      </c>
      <c r="B699" t="s">
        <v>8086</v>
      </c>
      <c r="C699" s="1" t="e">
        <f>VLOOKUP(Tabla_Items_Activos[[#This Row],[CODIGO]],Tabla_Items_Completos[[CODIGO]:[LINEA]],2,0)</f>
        <v>#N/A</v>
      </c>
      <c r="D699" s="1" t="e">
        <f>VLOOKUP(Tabla_Items_Activos[[#This Row],[CODIGO]],Tabla_Items_Completos[[CODIGO]:[LINEA]],3,0)</f>
        <v>#N/A</v>
      </c>
      <c r="E699" s="1" t="e">
        <f>VLOOKUP(Tabla_Items_Activos[[#This Row],[CODIGO]],Tabla_Items_Completos[[CODIGO]:[LINEA]],4,0)</f>
        <v>#N/A</v>
      </c>
      <c r="F699">
        <v>35</v>
      </c>
      <c r="G699">
        <v>0</v>
      </c>
    </row>
    <row r="700" spans="1:7">
      <c r="A700" t="s">
        <v>7388</v>
      </c>
      <c r="B700" t="s">
        <v>8087</v>
      </c>
      <c r="C700" s="1" t="e">
        <f>VLOOKUP(Tabla_Items_Activos[[#This Row],[CODIGO]],Tabla_Items_Completos[[CODIGO]:[LINEA]],2,0)</f>
        <v>#N/A</v>
      </c>
      <c r="D700" s="1" t="e">
        <f>VLOOKUP(Tabla_Items_Activos[[#This Row],[CODIGO]],Tabla_Items_Completos[[CODIGO]:[LINEA]],3,0)</f>
        <v>#N/A</v>
      </c>
      <c r="E700" s="1" t="e">
        <f>VLOOKUP(Tabla_Items_Activos[[#This Row],[CODIGO]],Tabla_Items_Completos[[CODIGO]:[LINEA]],4,0)</f>
        <v>#N/A</v>
      </c>
      <c r="F700">
        <v>3</v>
      </c>
      <c r="G700">
        <v>0</v>
      </c>
    </row>
    <row r="701" spans="1:7">
      <c r="A701" t="s">
        <v>7388</v>
      </c>
      <c r="B701" t="s">
        <v>8088</v>
      </c>
      <c r="C701" s="1" t="e">
        <f>VLOOKUP(Tabla_Items_Activos[[#This Row],[CODIGO]],Tabla_Items_Completos[[CODIGO]:[LINEA]],2,0)</f>
        <v>#N/A</v>
      </c>
      <c r="D701" s="1" t="e">
        <f>VLOOKUP(Tabla_Items_Activos[[#This Row],[CODIGO]],Tabla_Items_Completos[[CODIGO]:[LINEA]],3,0)</f>
        <v>#N/A</v>
      </c>
      <c r="E701" s="1" t="e">
        <f>VLOOKUP(Tabla_Items_Activos[[#This Row],[CODIGO]],Tabla_Items_Completos[[CODIGO]:[LINEA]],4,0)</f>
        <v>#N/A</v>
      </c>
      <c r="F701">
        <v>3</v>
      </c>
      <c r="G701">
        <v>0</v>
      </c>
    </row>
    <row r="702" spans="1:7">
      <c r="A702" t="s">
        <v>7388</v>
      </c>
      <c r="B702" t="s">
        <v>8089</v>
      </c>
      <c r="C702" s="1" t="e">
        <f>VLOOKUP(Tabla_Items_Activos[[#This Row],[CODIGO]],Tabla_Items_Completos[[CODIGO]:[LINEA]],2,0)</f>
        <v>#N/A</v>
      </c>
      <c r="D702" s="1" t="e">
        <f>VLOOKUP(Tabla_Items_Activos[[#This Row],[CODIGO]],Tabla_Items_Completos[[CODIGO]:[LINEA]],3,0)</f>
        <v>#N/A</v>
      </c>
      <c r="E702" s="1" t="e">
        <f>VLOOKUP(Tabla_Items_Activos[[#This Row],[CODIGO]],Tabla_Items_Completos[[CODIGO]:[LINEA]],4,0)</f>
        <v>#N/A</v>
      </c>
      <c r="F702">
        <v>18</v>
      </c>
      <c r="G702">
        <v>3</v>
      </c>
    </row>
    <row r="703" spans="1:7">
      <c r="A703" t="s">
        <v>7388</v>
      </c>
      <c r="B703" t="s">
        <v>8090</v>
      </c>
      <c r="C703" s="1" t="e">
        <f>VLOOKUP(Tabla_Items_Activos[[#This Row],[CODIGO]],Tabla_Items_Completos[[CODIGO]:[LINEA]],2,0)</f>
        <v>#N/A</v>
      </c>
      <c r="D703" s="1" t="e">
        <f>VLOOKUP(Tabla_Items_Activos[[#This Row],[CODIGO]],Tabla_Items_Completos[[CODIGO]:[LINEA]],3,0)</f>
        <v>#N/A</v>
      </c>
      <c r="E703" s="1" t="e">
        <f>VLOOKUP(Tabla_Items_Activos[[#This Row],[CODIGO]],Tabla_Items_Completos[[CODIGO]:[LINEA]],4,0)</f>
        <v>#N/A</v>
      </c>
      <c r="F703">
        <v>39</v>
      </c>
      <c r="G703">
        <v>64</v>
      </c>
    </row>
    <row r="704" spans="1:7">
      <c r="A704" t="s">
        <v>7388</v>
      </c>
      <c r="B704" t="s">
        <v>8091</v>
      </c>
      <c r="C704" s="1" t="e">
        <f>VLOOKUP(Tabla_Items_Activos[[#This Row],[CODIGO]],Tabla_Items_Completos[[CODIGO]:[LINEA]],2,0)</f>
        <v>#N/A</v>
      </c>
      <c r="D704" s="1" t="e">
        <f>VLOOKUP(Tabla_Items_Activos[[#This Row],[CODIGO]],Tabla_Items_Completos[[CODIGO]:[LINEA]],3,0)</f>
        <v>#N/A</v>
      </c>
      <c r="E704" s="1" t="e">
        <f>VLOOKUP(Tabla_Items_Activos[[#This Row],[CODIGO]],Tabla_Items_Completos[[CODIGO]:[LINEA]],4,0)</f>
        <v>#N/A</v>
      </c>
      <c r="F704">
        <v>6</v>
      </c>
      <c r="G704">
        <v>9</v>
      </c>
    </row>
    <row r="705" spans="1:7">
      <c r="A705" t="s">
        <v>7388</v>
      </c>
      <c r="B705" t="s">
        <v>8092</v>
      </c>
      <c r="C705" s="1" t="e">
        <f>VLOOKUP(Tabla_Items_Activos[[#This Row],[CODIGO]],Tabla_Items_Completos[[CODIGO]:[LINEA]],2,0)</f>
        <v>#N/A</v>
      </c>
      <c r="D705" s="1" t="e">
        <f>VLOOKUP(Tabla_Items_Activos[[#This Row],[CODIGO]],Tabla_Items_Completos[[CODIGO]:[LINEA]],3,0)</f>
        <v>#N/A</v>
      </c>
      <c r="E705" s="1" t="e">
        <f>VLOOKUP(Tabla_Items_Activos[[#This Row],[CODIGO]],Tabla_Items_Completos[[CODIGO]:[LINEA]],4,0)</f>
        <v>#N/A</v>
      </c>
      <c r="F705">
        <v>287</v>
      </c>
      <c r="G705">
        <v>0</v>
      </c>
    </row>
    <row r="706" spans="1:7">
      <c r="A706" t="s">
        <v>7388</v>
      </c>
      <c r="B706" t="s">
        <v>8093</v>
      </c>
      <c r="C706" s="1" t="e">
        <f>VLOOKUP(Tabla_Items_Activos[[#This Row],[CODIGO]],Tabla_Items_Completos[[CODIGO]:[LINEA]],2,0)</f>
        <v>#N/A</v>
      </c>
      <c r="D706" s="1" t="e">
        <f>VLOOKUP(Tabla_Items_Activos[[#This Row],[CODIGO]],Tabla_Items_Completos[[CODIGO]:[LINEA]],3,0)</f>
        <v>#N/A</v>
      </c>
      <c r="E706" s="1" t="e">
        <f>VLOOKUP(Tabla_Items_Activos[[#This Row],[CODIGO]],Tabla_Items_Completos[[CODIGO]:[LINEA]],4,0)</f>
        <v>#N/A</v>
      </c>
      <c r="F706">
        <v>342</v>
      </c>
      <c r="G706">
        <v>0</v>
      </c>
    </row>
    <row r="707" spans="1:7">
      <c r="A707" t="s">
        <v>7388</v>
      </c>
      <c r="B707" t="s">
        <v>8094</v>
      </c>
      <c r="C707" s="1" t="e">
        <f>VLOOKUP(Tabla_Items_Activos[[#This Row],[CODIGO]],Tabla_Items_Completos[[CODIGO]:[LINEA]],2,0)</f>
        <v>#N/A</v>
      </c>
      <c r="D707" s="1" t="e">
        <f>VLOOKUP(Tabla_Items_Activos[[#This Row],[CODIGO]],Tabla_Items_Completos[[CODIGO]:[LINEA]],3,0)</f>
        <v>#N/A</v>
      </c>
      <c r="E707" s="1" t="e">
        <f>VLOOKUP(Tabla_Items_Activos[[#This Row],[CODIGO]],Tabla_Items_Completos[[CODIGO]:[LINEA]],4,0)</f>
        <v>#N/A</v>
      </c>
      <c r="F707">
        <v>465</v>
      </c>
      <c r="G707">
        <v>0</v>
      </c>
    </row>
    <row r="708" spans="1:7">
      <c r="A708" t="s">
        <v>7388</v>
      </c>
      <c r="B708" t="s">
        <v>8095</v>
      </c>
      <c r="C708" s="1" t="e">
        <f>VLOOKUP(Tabla_Items_Activos[[#This Row],[CODIGO]],Tabla_Items_Completos[[CODIGO]:[LINEA]],2,0)</f>
        <v>#N/A</v>
      </c>
      <c r="D708" s="1" t="e">
        <f>VLOOKUP(Tabla_Items_Activos[[#This Row],[CODIGO]],Tabla_Items_Completos[[CODIGO]:[LINEA]],3,0)</f>
        <v>#N/A</v>
      </c>
      <c r="E708" s="1" t="e">
        <f>VLOOKUP(Tabla_Items_Activos[[#This Row],[CODIGO]],Tabla_Items_Completos[[CODIGO]:[LINEA]],4,0)</f>
        <v>#N/A</v>
      </c>
      <c r="F708">
        <v>539</v>
      </c>
      <c r="G708">
        <v>0</v>
      </c>
    </row>
    <row r="709" spans="1:7">
      <c r="A709" t="s">
        <v>7388</v>
      </c>
      <c r="B709" t="s">
        <v>8096</v>
      </c>
      <c r="C709" s="1" t="e">
        <f>VLOOKUP(Tabla_Items_Activos[[#This Row],[CODIGO]],Tabla_Items_Completos[[CODIGO]:[LINEA]],2,0)</f>
        <v>#N/A</v>
      </c>
      <c r="D709" s="1" t="e">
        <f>VLOOKUP(Tabla_Items_Activos[[#This Row],[CODIGO]],Tabla_Items_Completos[[CODIGO]:[LINEA]],3,0)</f>
        <v>#N/A</v>
      </c>
      <c r="E709" s="1" t="e">
        <f>VLOOKUP(Tabla_Items_Activos[[#This Row],[CODIGO]],Tabla_Items_Completos[[CODIGO]:[LINEA]],4,0)</f>
        <v>#N/A</v>
      </c>
      <c r="F709">
        <v>350</v>
      </c>
      <c r="G709">
        <v>9</v>
      </c>
    </row>
    <row r="710" spans="1:7">
      <c r="A710" t="s">
        <v>7388</v>
      </c>
      <c r="B710" t="s">
        <v>8097</v>
      </c>
      <c r="C710" s="1" t="e">
        <f>VLOOKUP(Tabla_Items_Activos[[#This Row],[CODIGO]],Tabla_Items_Completos[[CODIGO]:[LINEA]],2,0)</f>
        <v>#N/A</v>
      </c>
      <c r="D710" s="1" t="e">
        <f>VLOOKUP(Tabla_Items_Activos[[#This Row],[CODIGO]],Tabla_Items_Completos[[CODIGO]:[LINEA]],3,0)</f>
        <v>#N/A</v>
      </c>
      <c r="E710" s="1" t="e">
        <f>VLOOKUP(Tabla_Items_Activos[[#This Row],[CODIGO]],Tabla_Items_Completos[[CODIGO]:[LINEA]],4,0)</f>
        <v>#N/A</v>
      </c>
      <c r="F710">
        <v>278</v>
      </c>
      <c r="G710">
        <v>14</v>
      </c>
    </row>
    <row r="711" spans="1:7">
      <c r="A711" t="s">
        <v>7388</v>
      </c>
      <c r="B711" t="s">
        <v>8098</v>
      </c>
      <c r="C711" s="1" t="e">
        <f>VLOOKUP(Tabla_Items_Activos[[#This Row],[CODIGO]],Tabla_Items_Completos[[CODIGO]:[LINEA]],2,0)</f>
        <v>#N/A</v>
      </c>
      <c r="D711" s="1" t="e">
        <f>VLOOKUP(Tabla_Items_Activos[[#This Row],[CODIGO]],Tabla_Items_Completos[[CODIGO]:[LINEA]],3,0)</f>
        <v>#N/A</v>
      </c>
      <c r="E711" s="1" t="e">
        <f>VLOOKUP(Tabla_Items_Activos[[#This Row],[CODIGO]],Tabla_Items_Completos[[CODIGO]:[LINEA]],4,0)</f>
        <v>#N/A</v>
      </c>
      <c r="F711">
        <v>263</v>
      </c>
      <c r="G711">
        <v>3</v>
      </c>
    </row>
    <row r="712" spans="1:7">
      <c r="A712" t="s">
        <v>7388</v>
      </c>
      <c r="B712" t="s">
        <v>8099</v>
      </c>
      <c r="C712" s="1" t="e">
        <f>VLOOKUP(Tabla_Items_Activos[[#This Row],[CODIGO]],Tabla_Items_Completos[[CODIGO]:[LINEA]],2,0)</f>
        <v>#N/A</v>
      </c>
      <c r="D712" s="1" t="e">
        <f>VLOOKUP(Tabla_Items_Activos[[#This Row],[CODIGO]],Tabla_Items_Completos[[CODIGO]:[LINEA]],3,0)</f>
        <v>#N/A</v>
      </c>
      <c r="E712" s="1" t="e">
        <f>VLOOKUP(Tabla_Items_Activos[[#This Row],[CODIGO]],Tabla_Items_Completos[[CODIGO]:[LINEA]],4,0)</f>
        <v>#N/A</v>
      </c>
      <c r="F712">
        <v>233</v>
      </c>
      <c r="G712">
        <v>43</v>
      </c>
    </row>
    <row r="713" spans="1:7">
      <c r="A713" t="s">
        <v>7388</v>
      </c>
      <c r="B713" t="s">
        <v>8100</v>
      </c>
      <c r="C713" s="1" t="e">
        <f>VLOOKUP(Tabla_Items_Activos[[#This Row],[CODIGO]],Tabla_Items_Completos[[CODIGO]:[LINEA]],2,0)</f>
        <v>#N/A</v>
      </c>
      <c r="D713" s="1" t="e">
        <f>VLOOKUP(Tabla_Items_Activos[[#This Row],[CODIGO]],Tabla_Items_Completos[[CODIGO]:[LINEA]],3,0)</f>
        <v>#N/A</v>
      </c>
      <c r="E713" s="1" t="e">
        <f>VLOOKUP(Tabla_Items_Activos[[#This Row],[CODIGO]],Tabla_Items_Completos[[CODIGO]:[LINEA]],4,0)</f>
        <v>#N/A</v>
      </c>
      <c r="F713">
        <v>317</v>
      </c>
      <c r="G713">
        <v>0</v>
      </c>
    </row>
    <row r="714" spans="1:7">
      <c r="A714" t="s">
        <v>7388</v>
      </c>
      <c r="B714" t="s">
        <v>8101</v>
      </c>
      <c r="C714" s="1" t="e">
        <f>VLOOKUP(Tabla_Items_Activos[[#This Row],[CODIGO]],Tabla_Items_Completos[[CODIGO]:[LINEA]],2,0)</f>
        <v>#N/A</v>
      </c>
      <c r="D714" s="1" t="e">
        <f>VLOOKUP(Tabla_Items_Activos[[#This Row],[CODIGO]],Tabla_Items_Completos[[CODIGO]:[LINEA]],3,0)</f>
        <v>#N/A</v>
      </c>
      <c r="E714" s="1" t="e">
        <f>VLOOKUP(Tabla_Items_Activos[[#This Row],[CODIGO]],Tabla_Items_Completos[[CODIGO]:[LINEA]],4,0)</f>
        <v>#N/A</v>
      </c>
      <c r="F714">
        <v>292</v>
      </c>
      <c r="G714">
        <v>0</v>
      </c>
    </row>
    <row r="715" spans="1:7">
      <c r="A715" t="s">
        <v>7388</v>
      </c>
      <c r="B715" t="s">
        <v>8102</v>
      </c>
      <c r="C715" s="1" t="e">
        <f>VLOOKUP(Tabla_Items_Activos[[#This Row],[CODIGO]],Tabla_Items_Completos[[CODIGO]:[LINEA]],2,0)</f>
        <v>#N/A</v>
      </c>
      <c r="D715" s="1" t="e">
        <f>VLOOKUP(Tabla_Items_Activos[[#This Row],[CODIGO]],Tabla_Items_Completos[[CODIGO]:[LINEA]],3,0)</f>
        <v>#N/A</v>
      </c>
      <c r="E715" s="1" t="e">
        <f>VLOOKUP(Tabla_Items_Activos[[#This Row],[CODIGO]],Tabla_Items_Completos[[CODIGO]:[LINEA]],4,0)</f>
        <v>#N/A</v>
      </c>
      <c r="F715">
        <v>300</v>
      </c>
      <c r="G715">
        <v>16</v>
      </c>
    </row>
    <row r="716" spans="1:7">
      <c r="A716" t="s">
        <v>7388</v>
      </c>
      <c r="B716" t="s">
        <v>8103</v>
      </c>
      <c r="C716" s="1" t="e">
        <f>VLOOKUP(Tabla_Items_Activos[[#This Row],[CODIGO]],Tabla_Items_Completos[[CODIGO]:[LINEA]],2,0)</f>
        <v>#N/A</v>
      </c>
      <c r="D716" s="1" t="e">
        <f>VLOOKUP(Tabla_Items_Activos[[#This Row],[CODIGO]],Tabla_Items_Completos[[CODIGO]:[LINEA]],3,0)</f>
        <v>#N/A</v>
      </c>
      <c r="E716" s="1" t="e">
        <f>VLOOKUP(Tabla_Items_Activos[[#This Row],[CODIGO]],Tabla_Items_Completos[[CODIGO]:[LINEA]],4,0)</f>
        <v>#N/A</v>
      </c>
      <c r="F716">
        <v>263</v>
      </c>
      <c r="G716">
        <v>33</v>
      </c>
    </row>
    <row r="717" spans="1:7">
      <c r="A717" t="s">
        <v>7388</v>
      </c>
      <c r="B717" t="s">
        <v>8104</v>
      </c>
      <c r="C717" s="1" t="e">
        <f>VLOOKUP(Tabla_Items_Activos[[#This Row],[CODIGO]],Tabla_Items_Completos[[CODIGO]:[LINEA]],2,0)</f>
        <v>#N/A</v>
      </c>
      <c r="D717" s="1" t="e">
        <f>VLOOKUP(Tabla_Items_Activos[[#This Row],[CODIGO]],Tabla_Items_Completos[[CODIGO]:[LINEA]],3,0)</f>
        <v>#N/A</v>
      </c>
      <c r="E717" s="1" t="e">
        <f>VLOOKUP(Tabla_Items_Activos[[#This Row],[CODIGO]],Tabla_Items_Completos[[CODIGO]:[LINEA]],4,0)</f>
        <v>#N/A</v>
      </c>
      <c r="F717">
        <v>164</v>
      </c>
      <c r="G717">
        <v>0</v>
      </c>
    </row>
    <row r="718" spans="1:7">
      <c r="A718" t="s">
        <v>7388</v>
      </c>
      <c r="B718" t="s">
        <v>8105</v>
      </c>
      <c r="C718" s="1" t="e">
        <f>VLOOKUP(Tabla_Items_Activos[[#This Row],[CODIGO]],Tabla_Items_Completos[[CODIGO]:[LINEA]],2,0)</f>
        <v>#N/A</v>
      </c>
      <c r="D718" s="1" t="e">
        <f>VLOOKUP(Tabla_Items_Activos[[#This Row],[CODIGO]],Tabla_Items_Completos[[CODIGO]:[LINEA]],3,0)</f>
        <v>#N/A</v>
      </c>
      <c r="E718" s="1" t="e">
        <f>VLOOKUP(Tabla_Items_Activos[[#This Row],[CODIGO]],Tabla_Items_Completos[[CODIGO]:[LINEA]],4,0)</f>
        <v>#N/A</v>
      </c>
      <c r="F718">
        <v>127</v>
      </c>
      <c r="G718">
        <v>0</v>
      </c>
    </row>
    <row r="719" spans="1:7">
      <c r="A719" t="s">
        <v>7388</v>
      </c>
      <c r="B719" t="s">
        <v>8106</v>
      </c>
      <c r="C719" s="1" t="e">
        <f>VLOOKUP(Tabla_Items_Activos[[#This Row],[CODIGO]],Tabla_Items_Completos[[CODIGO]:[LINEA]],2,0)</f>
        <v>#N/A</v>
      </c>
      <c r="D719" s="1" t="e">
        <f>VLOOKUP(Tabla_Items_Activos[[#This Row],[CODIGO]],Tabla_Items_Completos[[CODIGO]:[LINEA]],3,0)</f>
        <v>#N/A</v>
      </c>
      <c r="E719" s="1" t="e">
        <f>VLOOKUP(Tabla_Items_Activos[[#This Row],[CODIGO]],Tabla_Items_Completos[[CODIGO]:[LINEA]],4,0)</f>
        <v>#N/A</v>
      </c>
      <c r="F719">
        <v>103</v>
      </c>
      <c r="G719">
        <v>0</v>
      </c>
    </row>
    <row r="720" spans="1:7">
      <c r="A720" t="s">
        <v>7388</v>
      </c>
      <c r="B720" t="s">
        <v>8107</v>
      </c>
      <c r="C720" s="1" t="e">
        <f>VLOOKUP(Tabla_Items_Activos[[#This Row],[CODIGO]],Tabla_Items_Completos[[CODIGO]:[LINEA]],2,0)</f>
        <v>#N/A</v>
      </c>
      <c r="D720" s="1" t="e">
        <f>VLOOKUP(Tabla_Items_Activos[[#This Row],[CODIGO]],Tabla_Items_Completos[[CODIGO]:[LINEA]],3,0)</f>
        <v>#N/A</v>
      </c>
      <c r="E720" s="1" t="e">
        <f>VLOOKUP(Tabla_Items_Activos[[#This Row],[CODIGO]],Tabla_Items_Completos[[CODIGO]:[LINEA]],4,0)</f>
        <v>#N/A</v>
      </c>
      <c r="F720">
        <v>168</v>
      </c>
      <c r="G720">
        <v>0</v>
      </c>
    </row>
    <row r="721" spans="1:7">
      <c r="A721" t="s">
        <v>7388</v>
      </c>
      <c r="B721" t="s">
        <v>8108</v>
      </c>
      <c r="C721" s="1" t="e">
        <f>VLOOKUP(Tabla_Items_Activos[[#This Row],[CODIGO]],Tabla_Items_Completos[[CODIGO]:[LINEA]],2,0)</f>
        <v>#N/A</v>
      </c>
      <c r="D721" s="1" t="e">
        <f>VLOOKUP(Tabla_Items_Activos[[#This Row],[CODIGO]],Tabla_Items_Completos[[CODIGO]:[LINEA]],3,0)</f>
        <v>#N/A</v>
      </c>
      <c r="E721" s="1" t="e">
        <f>VLOOKUP(Tabla_Items_Activos[[#This Row],[CODIGO]],Tabla_Items_Completos[[CODIGO]:[LINEA]],4,0)</f>
        <v>#N/A</v>
      </c>
      <c r="F721">
        <v>153</v>
      </c>
      <c r="G721">
        <v>112</v>
      </c>
    </row>
    <row r="722" spans="1:7">
      <c r="A722" t="s">
        <v>7388</v>
      </c>
      <c r="B722" t="s">
        <v>8109</v>
      </c>
      <c r="C722" s="1" t="e">
        <f>VLOOKUP(Tabla_Items_Activos[[#This Row],[CODIGO]],Tabla_Items_Completos[[CODIGO]:[LINEA]],2,0)</f>
        <v>#N/A</v>
      </c>
      <c r="D722" s="1" t="e">
        <f>VLOOKUP(Tabla_Items_Activos[[#This Row],[CODIGO]],Tabla_Items_Completos[[CODIGO]:[LINEA]],3,0)</f>
        <v>#N/A</v>
      </c>
      <c r="E722" s="1" t="e">
        <f>VLOOKUP(Tabla_Items_Activos[[#This Row],[CODIGO]],Tabla_Items_Completos[[CODIGO]:[LINEA]],4,0)</f>
        <v>#N/A</v>
      </c>
      <c r="F722">
        <v>132</v>
      </c>
      <c r="G722">
        <v>84</v>
      </c>
    </row>
    <row r="723" spans="1:7">
      <c r="A723" t="s">
        <v>7388</v>
      </c>
      <c r="B723" t="s">
        <v>8110</v>
      </c>
      <c r="C723" s="1" t="e">
        <f>VLOOKUP(Tabla_Items_Activos[[#This Row],[CODIGO]],Tabla_Items_Completos[[CODIGO]:[LINEA]],2,0)</f>
        <v>#N/A</v>
      </c>
      <c r="D723" s="1" t="e">
        <f>VLOOKUP(Tabla_Items_Activos[[#This Row],[CODIGO]],Tabla_Items_Completos[[CODIGO]:[LINEA]],3,0)</f>
        <v>#N/A</v>
      </c>
      <c r="E723" s="1" t="e">
        <f>VLOOKUP(Tabla_Items_Activos[[#This Row],[CODIGO]],Tabla_Items_Completos[[CODIGO]:[LINEA]],4,0)</f>
        <v>#N/A</v>
      </c>
      <c r="F723">
        <v>185</v>
      </c>
      <c r="G723">
        <v>33</v>
      </c>
    </row>
    <row r="724" spans="1:7">
      <c r="A724" t="s">
        <v>7388</v>
      </c>
      <c r="B724" t="s">
        <v>8111</v>
      </c>
      <c r="C724" s="1" t="e">
        <f>VLOOKUP(Tabla_Items_Activos[[#This Row],[CODIGO]],Tabla_Items_Completos[[CODIGO]:[LINEA]],2,0)</f>
        <v>#N/A</v>
      </c>
      <c r="D724" s="1" t="e">
        <f>VLOOKUP(Tabla_Items_Activos[[#This Row],[CODIGO]],Tabla_Items_Completos[[CODIGO]:[LINEA]],3,0)</f>
        <v>#N/A</v>
      </c>
      <c r="E724" s="1" t="e">
        <f>VLOOKUP(Tabla_Items_Activos[[#This Row],[CODIGO]],Tabla_Items_Completos[[CODIGO]:[LINEA]],4,0)</f>
        <v>#N/A</v>
      </c>
      <c r="F724">
        <v>205</v>
      </c>
      <c r="G724">
        <v>6</v>
      </c>
    </row>
    <row r="725" spans="1:7">
      <c r="A725" t="s">
        <v>7388</v>
      </c>
      <c r="B725" t="s">
        <v>8112</v>
      </c>
      <c r="C725" s="1" t="e">
        <f>VLOOKUP(Tabla_Items_Activos[[#This Row],[CODIGO]],Tabla_Items_Completos[[CODIGO]:[LINEA]],2,0)</f>
        <v>#N/A</v>
      </c>
      <c r="D725" s="1" t="e">
        <f>VLOOKUP(Tabla_Items_Activos[[#This Row],[CODIGO]],Tabla_Items_Completos[[CODIGO]:[LINEA]],3,0)</f>
        <v>#N/A</v>
      </c>
      <c r="E725" s="1" t="e">
        <f>VLOOKUP(Tabla_Items_Activos[[#This Row],[CODIGO]],Tabla_Items_Completos[[CODIGO]:[LINEA]],4,0)</f>
        <v>#N/A</v>
      </c>
      <c r="F725">
        <v>129</v>
      </c>
      <c r="G725">
        <v>92</v>
      </c>
    </row>
    <row r="726" spans="1:7">
      <c r="A726" t="s">
        <v>7388</v>
      </c>
      <c r="B726" t="s">
        <v>8113</v>
      </c>
      <c r="C726" s="1" t="e">
        <f>VLOOKUP(Tabla_Items_Activos[[#This Row],[CODIGO]],Tabla_Items_Completos[[CODIGO]:[LINEA]],2,0)</f>
        <v>#N/A</v>
      </c>
      <c r="D726" s="1" t="e">
        <f>VLOOKUP(Tabla_Items_Activos[[#This Row],[CODIGO]],Tabla_Items_Completos[[CODIGO]:[LINEA]],3,0)</f>
        <v>#N/A</v>
      </c>
      <c r="E726" s="1" t="e">
        <f>VLOOKUP(Tabla_Items_Activos[[#This Row],[CODIGO]],Tabla_Items_Completos[[CODIGO]:[LINEA]],4,0)</f>
        <v>#N/A</v>
      </c>
      <c r="F726">
        <v>59</v>
      </c>
      <c r="G726">
        <v>91</v>
      </c>
    </row>
    <row r="727" spans="1:7">
      <c r="A727" t="s">
        <v>7388</v>
      </c>
      <c r="B727" t="s">
        <v>8114</v>
      </c>
      <c r="C727" s="1" t="e">
        <f>VLOOKUP(Tabla_Items_Activos[[#This Row],[CODIGO]],Tabla_Items_Completos[[CODIGO]:[LINEA]],2,0)</f>
        <v>#N/A</v>
      </c>
      <c r="D727" s="1" t="e">
        <f>VLOOKUP(Tabla_Items_Activos[[#This Row],[CODIGO]],Tabla_Items_Completos[[CODIGO]:[LINEA]],3,0)</f>
        <v>#N/A</v>
      </c>
      <c r="E727" s="1" t="e">
        <f>VLOOKUP(Tabla_Items_Activos[[#This Row],[CODIGO]],Tabla_Items_Completos[[CODIGO]:[LINEA]],4,0)</f>
        <v>#N/A</v>
      </c>
      <c r="F727">
        <v>63</v>
      </c>
      <c r="G727">
        <v>0</v>
      </c>
    </row>
    <row r="728" spans="1:7">
      <c r="A728" t="s">
        <v>7388</v>
      </c>
      <c r="B728" t="s">
        <v>8115</v>
      </c>
      <c r="C728" s="1" t="e">
        <f>VLOOKUP(Tabla_Items_Activos[[#This Row],[CODIGO]],Tabla_Items_Completos[[CODIGO]:[LINEA]],2,0)</f>
        <v>#N/A</v>
      </c>
      <c r="D728" s="1" t="e">
        <f>VLOOKUP(Tabla_Items_Activos[[#This Row],[CODIGO]],Tabla_Items_Completos[[CODIGO]:[LINEA]],3,0)</f>
        <v>#N/A</v>
      </c>
      <c r="E728" s="1" t="e">
        <f>VLOOKUP(Tabla_Items_Activos[[#This Row],[CODIGO]],Tabla_Items_Completos[[CODIGO]:[LINEA]],4,0)</f>
        <v>#N/A</v>
      </c>
      <c r="F728">
        <v>107</v>
      </c>
      <c r="G728">
        <v>0</v>
      </c>
    </row>
    <row r="729" spans="1:7">
      <c r="A729" t="s">
        <v>7388</v>
      </c>
      <c r="B729" t="s">
        <v>8116</v>
      </c>
      <c r="C729" s="1" t="e">
        <f>VLOOKUP(Tabla_Items_Activos[[#This Row],[CODIGO]],Tabla_Items_Completos[[CODIGO]:[LINEA]],2,0)</f>
        <v>#N/A</v>
      </c>
      <c r="D729" s="1" t="e">
        <f>VLOOKUP(Tabla_Items_Activos[[#This Row],[CODIGO]],Tabla_Items_Completos[[CODIGO]:[LINEA]],3,0)</f>
        <v>#N/A</v>
      </c>
      <c r="E729" s="1" t="e">
        <f>VLOOKUP(Tabla_Items_Activos[[#This Row],[CODIGO]],Tabla_Items_Completos[[CODIGO]:[LINEA]],4,0)</f>
        <v>#N/A</v>
      </c>
      <c r="F729">
        <v>81</v>
      </c>
      <c r="G729">
        <v>0</v>
      </c>
    </row>
    <row r="730" spans="1:7">
      <c r="A730" t="s">
        <v>7388</v>
      </c>
      <c r="B730" t="s">
        <v>8117</v>
      </c>
      <c r="C730" s="1" t="e">
        <f>VLOOKUP(Tabla_Items_Activos[[#This Row],[CODIGO]],Tabla_Items_Completos[[CODIGO]:[LINEA]],2,0)</f>
        <v>#N/A</v>
      </c>
      <c r="D730" s="1" t="e">
        <f>VLOOKUP(Tabla_Items_Activos[[#This Row],[CODIGO]],Tabla_Items_Completos[[CODIGO]:[LINEA]],3,0)</f>
        <v>#N/A</v>
      </c>
      <c r="E730" s="1" t="e">
        <f>VLOOKUP(Tabla_Items_Activos[[#This Row],[CODIGO]],Tabla_Items_Completos[[CODIGO]:[LINEA]],4,0)</f>
        <v>#N/A</v>
      </c>
      <c r="F730">
        <v>105</v>
      </c>
      <c r="G730">
        <v>0</v>
      </c>
    </row>
    <row r="731" spans="1:7">
      <c r="A731" t="s">
        <v>7388</v>
      </c>
      <c r="B731" t="s">
        <v>8118</v>
      </c>
      <c r="C731" s="1" t="e">
        <f>VLOOKUP(Tabla_Items_Activos[[#This Row],[CODIGO]],Tabla_Items_Completos[[CODIGO]:[LINEA]],2,0)</f>
        <v>#N/A</v>
      </c>
      <c r="D731" s="1" t="e">
        <f>VLOOKUP(Tabla_Items_Activos[[#This Row],[CODIGO]],Tabla_Items_Completos[[CODIGO]:[LINEA]],3,0)</f>
        <v>#N/A</v>
      </c>
      <c r="E731" s="1" t="e">
        <f>VLOOKUP(Tabla_Items_Activos[[#This Row],[CODIGO]],Tabla_Items_Completos[[CODIGO]:[LINEA]],4,0)</f>
        <v>#N/A</v>
      </c>
      <c r="F731">
        <v>99</v>
      </c>
      <c r="G731">
        <v>0</v>
      </c>
    </row>
    <row r="732" spans="1:7">
      <c r="A732" t="s">
        <v>7388</v>
      </c>
      <c r="B732" t="s">
        <v>8119</v>
      </c>
      <c r="C732" s="1" t="e">
        <f>VLOOKUP(Tabla_Items_Activos[[#This Row],[CODIGO]],Tabla_Items_Completos[[CODIGO]:[LINEA]],2,0)</f>
        <v>#N/A</v>
      </c>
      <c r="D732" s="1" t="e">
        <f>VLOOKUP(Tabla_Items_Activos[[#This Row],[CODIGO]],Tabla_Items_Completos[[CODIGO]:[LINEA]],3,0)</f>
        <v>#N/A</v>
      </c>
      <c r="E732" s="1" t="e">
        <f>VLOOKUP(Tabla_Items_Activos[[#This Row],[CODIGO]],Tabla_Items_Completos[[CODIGO]:[LINEA]],4,0)</f>
        <v>#N/A</v>
      </c>
      <c r="F732">
        <v>105</v>
      </c>
      <c r="G732">
        <v>0</v>
      </c>
    </row>
    <row r="733" spans="1:7">
      <c r="A733" t="s">
        <v>7388</v>
      </c>
      <c r="B733" t="s">
        <v>8120</v>
      </c>
      <c r="C733" s="1" t="e">
        <f>VLOOKUP(Tabla_Items_Activos[[#This Row],[CODIGO]],Tabla_Items_Completos[[CODIGO]:[LINEA]],2,0)</f>
        <v>#N/A</v>
      </c>
      <c r="D733" s="1" t="e">
        <f>VLOOKUP(Tabla_Items_Activos[[#This Row],[CODIGO]],Tabla_Items_Completos[[CODIGO]:[LINEA]],3,0)</f>
        <v>#N/A</v>
      </c>
      <c r="E733" s="1" t="e">
        <f>VLOOKUP(Tabla_Items_Activos[[#This Row],[CODIGO]],Tabla_Items_Completos[[CODIGO]:[LINEA]],4,0)</f>
        <v>#N/A</v>
      </c>
      <c r="F733">
        <v>66</v>
      </c>
      <c r="G733">
        <v>0</v>
      </c>
    </row>
    <row r="734" spans="1:7">
      <c r="A734" t="s">
        <v>7388</v>
      </c>
      <c r="B734" t="s">
        <v>8121</v>
      </c>
      <c r="C734" s="1" t="e">
        <f>VLOOKUP(Tabla_Items_Activos[[#This Row],[CODIGO]],Tabla_Items_Completos[[CODIGO]:[LINEA]],2,0)</f>
        <v>#N/A</v>
      </c>
      <c r="D734" s="1" t="e">
        <f>VLOOKUP(Tabla_Items_Activos[[#This Row],[CODIGO]],Tabla_Items_Completos[[CODIGO]:[LINEA]],3,0)</f>
        <v>#N/A</v>
      </c>
      <c r="E734" s="1" t="e">
        <f>VLOOKUP(Tabla_Items_Activos[[#This Row],[CODIGO]],Tabla_Items_Completos[[CODIGO]:[LINEA]],4,0)</f>
        <v>#N/A</v>
      </c>
      <c r="F734">
        <v>105</v>
      </c>
      <c r="G734">
        <v>0</v>
      </c>
    </row>
    <row r="735" spans="1:7">
      <c r="A735" t="s">
        <v>7388</v>
      </c>
      <c r="B735" t="s">
        <v>8122</v>
      </c>
      <c r="C735" s="1" t="e">
        <f>VLOOKUP(Tabla_Items_Activos[[#This Row],[CODIGO]],Tabla_Items_Completos[[CODIGO]:[LINEA]],2,0)</f>
        <v>#N/A</v>
      </c>
      <c r="D735" s="1" t="e">
        <f>VLOOKUP(Tabla_Items_Activos[[#This Row],[CODIGO]],Tabla_Items_Completos[[CODIGO]:[LINEA]],3,0)</f>
        <v>#N/A</v>
      </c>
      <c r="E735" s="1" t="e">
        <f>VLOOKUP(Tabla_Items_Activos[[#This Row],[CODIGO]],Tabla_Items_Completos[[CODIGO]:[LINEA]],4,0)</f>
        <v>#N/A</v>
      </c>
      <c r="F735">
        <v>1544</v>
      </c>
      <c r="G735">
        <v>784</v>
      </c>
    </row>
    <row r="736" spans="1:7">
      <c r="A736" t="s">
        <v>7388</v>
      </c>
      <c r="B736" t="s">
        <v>8123</v>
      </c>
      <c r="C736" s="1" t="e">
        <f>VLOOKUP(Tabla_Items_Activos[[#This Row],[CODIGO]],Tabla_Items_Completos[[CODIGO]:[LINEA]],2,0)</f>
        <v>#N/A</v>
      </c>
      <c r="D736" s="1" t="e">
        <f>VLOOKUP(Tabla_Items_Activos[[#This Row],[CODIGO]],Tabla_Items_Completos[[CODIGO]:[LINEA]],3,0)</f>
        <v>#N/A</v>
      </c>
      <c r="E736" s="1" t="e">
        <f>VLOOKUP(Tabla_Items_Activos[[#This Row],[CODIGO]],Tabla_Items_Completos[[CODIGO]:[LINEA]],4,0)</f>
        <v>#N/A</v>
      </c>
      <c r="F736">
        <v>1423</v>
      </c>
      <c r="G736">
        <v>1</v>
      </c>
    </row>
    <row r="737" spans="1:7">
      <c r="A737" t="s">
        <v>7388</v>
      </c>
      <c r="B737" t="s">
        <v>8124</v>
      </c>
      <c r="C737" s="1" t="e">
        <f>VLOOKUP(Tabla_Items_Activos[[#This Row],[CODIGO]],Tabla_Items_Completos[[CODIGO]:[LINEA]],2,0)</f>
        <v>#N/A</v>
      </c>
      <c r="D737" s="1" t="e">
        <f>VLOOKUP(Tabla_Items_Activos[[#This Row],[CODIGO]],Tabla_Items_Completos[[CODIGO]:[LINEA]],3,0)</f>
        <v>#N/A</v>
      </c>
      <c r="E737" s="1" t="e">
        <f>VLOOKUP(Tabla_Items_Activos[[#This Row],[CODIGO]],Tabla_Items_Completos[[CODIGO]:[LINEA]],4,0)</f>
        <v>#N/A</v>
      </c>
      <c r="F737">
        <v>1319</v>
      </c>
      <c r="G737">
        <v>0</v>
      </c>
    </row>
    <row r="738" spans="1:7">
      <c r="A738" t="s">
        <v>7388</v>
      </c>
      <c r="B738" t="s">
        <v>8125</v>
      </c>
      <c r="C738" s="1" t="e">
        <f>VLOOKUP(Tabla_Items_Activos[[#This Row],[CODIGO]],Tabla_Items_Completos[[CODIGO]:[LINEA]],2,0)</f>
        <v>#N/A</v>
      </c>
      <c r="D738" s="1" t="e">
        <f>VLOOKUP(Tabla_Items_Activos[[#This Row],[CODIGO]],Tabla_Items_Completos[[CODIGO]:[LINEA]],3,0)</f>
        <v>#N/A</v>
      </c>
      <c r="E738" s="1" t="e">
        <f>VLOOKUP(Tabla_Items_Activos[[#This Row],[CODIGO]],Tabla_Items_Completos[[CODIGO]:[LINEA]],4,0)</f>
        <v>#N/A</v>
      </c>
      <c r="F738">
        <v>429</v>
      </c>
      <c r="G738">
        <v>19</v>
      </c>
    </row>
    <row r="739" spans="1:7">
      <c r="A739" t="s">
        <v>7388</v>
      </c>
      <c r="B739" t="s">
        <v>8126</v>
      </c>
      <c r="C739" s="1" t="e">
        <f>VLOOKUP(Tabla_Items_Activos[[#This Row],[CODIGO]],Tabla_Items_Completos[[CODIGO]:[LINEA]],2,0)</f>
        <v>#N/A</v>
      </c>
      <c r="D739" s="1" t="e">
        <f>VLOOKUP(Tabla_Items_Activos[[#This Row],[CODIGO]],Tabla_Items_Completos[[CODIGO]:[LINEA]],3,0)</f>
        <v>#N/A</v>
      </c>
      <c r="E739" s="1" t="e">
        <f>VLOOKUP(Tabla_Items_Activos[[#This Row],[CODIGO]],Tabla_Items_Completos[[CODIGO]:[LINEA]],4,0)</f>
        <v>#N/A</v>
      </c>
      <c r="F739">
        <v>733</v>
      </c>
      <c r="G739">
        <v>0</v>
      </c>
    </row>
    <row r="740" spans="1:7">
      <c r="A740" t="s">
        <v>7388</v>
      </c>
      <c r="B740" t="s">
        <v>8127</v>
      </c>
      <c r="C740" s="1" t="e">
        <f>VLOOKUP(Tabla_Items_Activos[[#This Row],[CODIGO]],Tabla_Items_Completos[[CODIGO]:[LINEA]],2,0)</f>
        <v>#N/A</v>
      </c>
      <c r="D740" s="1" t="e">
        <f>VLOOKUP(Tabla_Items_Activos[[#This Row],[CODIGO]],Tabla_Items_Completos[[CODIGO]:[LINEA]],3,0)</f>
        <v>#N/A</v>
      </c>
      <c r="E740" s="1" t="e">
        <f>VLOOKUP(Tabla_Items_Activos[[#This Row],[CODIGO]],Tabla_Items_Completos[[CODIGO]:[LINEA]],4,0)</f>
        <v>#N/A</v>
      </c>
      <c r="F740">
        <v>3</v>
      </c>
      <c r="G740">
        <v>0</v>
      </c>
    </row>
    <row r="741" spans="1:7">
      <c r="A741" t="s">
        <v>7388</v>
      </c>
      <c r="B741" t="s">
        <v>8128</v>
      </c>
      <c r="C741" s="1" t="e">
        <f>VLOOKUP(Tabla_Items_Activos[[#This Row],[CODIGO]],Tabla_Items_Completos[[CODIGO]:[LINEA]],2,0)</f>
        <v>#N/A</v>
      </c>
      <c r="D741" s="1" t="e">
        <f>VLOOKUP(Tabla_Items_Activos[[#This Row],[CODIGO]],Tabla_Items_Completos[[CODIGO]:[LINEA]],3,0)</f>
        <v>#N/A</v>
      </c>
      <c r="E741" s="1" t="e">
        <f>VLOOKUP(Tabla_Items_Activos[[#This Row],[CODIGO]],Tabla_Items_Completos[[CODIGO]:[LINEA]],4,0)</f>
        <v>#N/A</v>
      </c>
      <c r="F741">
        <v>552</v>
      </c>
      <c r="G741">
        <v>108</v>
      </c>
    </row>
    <row r="742" spans="1:7">
      <c r="A742" t="s">
        <v>7388</v>
      </c>
      <c r="B742" t="s">
        <v>8129</v>
      </c>
      <c r="C742" s="1" t="e">
        <f>VLOOKUP(Tabla_Items_Activos[[#This Row],[CODIGO]],Tabla_Items_Completos[[CODIGO]:[LINEA]],2,0)</f>
        <v>#N/A</v>
      </c>
      <c r="D742" s="1" t="e">
        <f>VLOOKUP(Tabla_Items_Activos[[#This Row],[CODIGO]],Tabla_Items_Completos[[CODIGO]:[LINEA]],3,0)</f>
        <v>#N/A</v>
      </c>
      <c r="E742" s="1" t="e">
        <f>VLOOKUP(Tabla_Items_Activos[[#This Row],[CODIGO]],Tabla_Items_Completos[[CODIGO]:[LINEA]],4,0)</f>
        <v>#N/A</v>
      </c>
      <c r="F742">
        <v>1096</v>
      </c>
      <c r="G742">
        <v>0</v>
      </c>
    </row>
    <row r="743" spans="1:7">
      <c r="A743" t="s">
        <v>7388</v>
      </c>
      <c r="B743" t="s">
        <v>8130</v>
      </c>
      <c r="C743" s="1" t="e">
        <f>VLOOKUP(Tabla_Items_Activos[[#This Row],[CODIGO]],Tabla_Items_Completos[[CODIGO]:[LINEA]],2,0)</f>
        <v>#N/A</v>
      </c>
      <c r="D743" s="1" t="e">
        <f>VLOOKUP(Tabla_Items_Activos[[#This Row],[CODIGO]],Tabla_Items_Completos[[CODIGO]:[LINEA]],3,0)</f>
        <v>#N/A</v>
      </c>
      <c r="E743" s="1" t="e">
        <f>VLOOKUP(Tabla_Items_Activos[[#This Row],[CODIGO]],Tabla_Items_Completos[[CODIGO]:[LINEA]],4,0)</f>
        <v>#N/A</v>
      </c>
      <c r="F743">
        <v>21</v>
      </c>
      <c r="G743">
        <v>0</v>
      </c>
    </row>
    <row r="744" spans="1:7">
      <c r="A744" t="s">
        <v>7388</v>
      </c>
      <c r="B744" t="s">
        <v>8131</v>
      </c>
      <c r="C744" s="1" t="e">
        <f>VLOOKUP(Tabla_Items_Activos[[#This Row],[CODIGO]],Tabla_Items_Completos[[CODIGO]:[LINEA]],2,0)</f>
        <v>#N/A</v>
      </c>
      <c r="D744" s="1" t="e">
        <f>VLOOKUP(Tabla_Items_Activos[[#This Row],[CODIGO]],Tabla_Items_Completos[[CODIGO]:[LINEA]],3,0)</f>
        <v>#N/A</v>
      </c>
      <c r="E744" s="1" t="e">
        <f>VLOOKUP(Tabla_Items_Activos[[#This Row],[CODIGO]],Tabla_Items_Completos[[CODIGO]:[LINEA]],4,0)</f>
        <v>#N/A</v>
      </c>
      <c r="F744">
        <v>1</v>
      </c>
      <c r="G744">
        <v>0</v>
      </c>
    </row>
    <row r="745" spans="1:7">
      <c r="A745" t="s">
        <v>7388</v>
      </c>
      <c r="B745" t="s">
        <v>8132</v>
      </c>
      <c r="C745" s="1" t="e">
        <f>VLOOKUP(Tabla_Items_Activos[[#This Row],[CODIGO]],Tabla_Items_Completos[[CODIGO]:[LINEA]],2,0)</f>
        <v>#N/A</v>
      </c>
      <c r="D745" s="1" t="e">
        <f>VLOOKUP(Tabla_Items_Activos[[#This Row],[CODIGO]],Tabla_Items_Completos[[CODIGO]:[LINEA]],3,0)</f>
        <v>#N/A</v>
      </c>
      <c r="E745" s="1" t="e">
        <f>VLOOKUP(Tabla_Items_Activos[[#This Row],[CODIGO]],Tabla_Items_Completos[[CODIGO]:[LINEA]],4,0)</f>
        <v>#N/A</v>
      </c>
      <c r="F745">
        <v>2</v>
      </c>
      <c r="G745">
        <v>1</v>
      </c>
    </row>
    <row r="746" spans="1:7">
      <c r="A746" t="s">
        <v>7388</v>
      </c>
      <c r="B746" t="s">
        <v>8133</v>
      </c>
      <c r="C746" s="1" t="e">
        <f>VLOOKUP(Tabla_Items_Activos[[#This Row],[CODIGO]],Tabla_Items_Completos[[CODIGO]:[LINEA]],2,0)</f>
        <v>#N/A</v>
      </c>
      <c r="D746" s="1" t="e">
        <f>VLOOKUP(Tabla_Items_Activos[[#This Row],[CODIGO]],Tabla_Items_Completos[[CODIGO]:[LINEA]],3,0)</f>
        <v>#N/A</v>
      </c>
      <c r="E746" s="1" t="e">
        <f>VLOOKUP(Tabla_Items_Activos[[#This Row],[CODIGO]],Tabla_Items_Completos[[CODIGO]:[LINEA]],4,0)</f>
        <v>#N/A</v>
      </c>
      <c r="F746">
        <v>223</v>
      </c>
      <c r="G746">
        <v>73</v>
      </c>
    </row>
    <row r="747" spans="1:7">
      <c r="A747" t="s">
        <v>7388</v>
      </c>
      <c r="B747" t="s">
        <v>8134</v>
      </c>
      <c r="C747" s="1" t="e">
        <f>VLOOKUP(Tabla_Items_Activos[[#This Row],[CODIGO]],Tabla_Items_Completos[[CODIGO]:[LINEA]],2,0)</f>
        <v>#N/A</v>
      </c>
      <c r="D747" s="1" t="e">
        <f>VLOOKUP(Tabla_Items_Activos[[#This Row],[CODIGO]],Tabla_Items_Completos[[CODIGO]:[LINEA]],3,0)</f>
        <v>#N/A</v>
      </c>
      <c r="E747" s="1" t="e">
        <f>VLOOKUP(Tabla_Items_Activos[[#This Row],[CODIGO]],Tabla_Items_Completos[[CODIGO]:[LINEA]],4,0)</f>
        <v>#N/A</v>
      </c>
      <c r="F747">
        <v>57</v>
      </c>
      <c r="G747">
        <v>25</v>
      </c>
    </row>
    <row r="748" spans="1:7">
      <c r="A748" t="s">
        <v>7388</v>
      </c>
      <c r="B748" t="s">
        <v>8135</v>
      </c>
      <c r="C748" s="1" t="e">
        <f>VLOOKUP(Tabla_Items_Activos[[#This Row],[CODIGO]],Tabla_Items_Completos[[CODIGO]:[LINEA]],2,0)</f>
        <v>#N/A</v>
      </c>
      <c r="D748" s="1" t="e">
        <f>VLOOKUP(Tabla_Items_Activos[[#This Row],[CODIGO]],Tabla_Items_Completos[[CODIGO]:[LINEA]],3,0)</f>
        <v>#N/A</v>
      </c>
      <c r="E748" s="1" t="e">
        <f>VLOOKUP(Tabla_Items_Activos[[#This Row],[CODIGO]],Tabla_Items_Completos[[CODIGO]:[LINEA]],4,0)</f>
        <v>#N/A</v>
      </c>
      <c r="F748">
        <v>272</v>
      </c>
      <c r="G748">
        <v>145</v>
      </c>
    </row>
    <row r="749" spans="1:7">
      <c r="A749" t="s">
        <v>7388</v>
      </c>
      <c r="B749" t="s">
        <v>8136</v>
      </c>
      <c r="C749" s="1" t="e">
        <f>VLOOKUP(Tabla_Items_Activos[[#This Row],[CODIGO]],Tabla_Items_Completos[[CODIGO]:[LINEA]],2,0)</f>
        <v>#N/A</v>
      </c>
      <c r="D749" s="1" t="e">
        <f>VLOOKUP(Tabla_Items_Activos[[#This Row],[CODIGO]],Tabla_Items_Completos[[CODIGO]:[LINEA]],3,0)</f>
        <v>#N/A</v>
      </c>
      <c r="E749" s="1" t="e">
        <f>VLOOKUP(Tabla_Items_Activos[[#This Row],[CODIGO]],Tabla_Items_Completos[[CODIGO]:[LINEA]],4,0)</f>
        <v>#N/A</v>
      </c>
      <c r="F749">
        <v>656</v>
      </c>
      <c r="G749">
        <v>13</v>
      </c>
    </row>
    <row r="750" spans="1:7">
      <c r="A750" t="s">
        <v>7388</v>
      </c>
      <c r="B750" t="s">
        <v>8137</v>
      </c>
      <c r="C750" s="1" t="e">
        <f>VLOOKUP(Tabla_Items_Activos[[#This Row],[CODIGO]],Tabla_Items_Completos[[CODIGO]:[LINEA]],2,0)</f>
        <v>#N/A</v>
      </c>
      <c r="D750" s="1" t="e">
        <f>VLOOKUP(Tabla_Items_Activos[[#This Row],[CODIGO]],Tabla_Items_Completos[[CODIGO]:[LINEA]],3,0)</f>
        <v>#N/A</v>
      </c>
      <c r="E750" s="1" t="e">
        <f>VLOOKUP(Tabla_Items_Activos[[#This Row],[CODIGO]],Tabla_Items_Completos[[CODIGO]:[LINEA]],4,0)</f>
        <v>#N/A</v>
      </c>
      <c r="F750">
        <v>120</v>
      </c>
      <c r="G750">
        <v>65</v>
      </c>
    </row>
    <row r="751" spans="1:7">
      <c r="A751" t="s">
        <v>7388</v>
      </c>
      <c r="B751" t="s">
        <v>8138</v>
      </c>
      <c r="C751" s="1" t="e">
        <f>VLOOKUP(Tabla_Items_Activos[[#This Row],[CODIGO]],Tabla_Items_Completos[[CODIGO]:[LINEA]],2,0)</f>
        <v>#N/A</v>
      </c>
      <c r="D751" s="1" t="e">
        <f>VLOOKUP(Tabla_Items_Activos[[#This Row],[CODIGO]],Tabla_Items_Completos[[CODIGO]:[LINEA]],3,0)</f>
        <v>#N/A</v>
      </c>
      <c r="E751" s="1" t="e">
        <f>VLOOKUP(Tabla_Items_Activos[[#This Row],[CODIGO]],Tabla_Items_Completos[[CODIGO]:[LINEA]],4,0)</f>
        <v>#N/A</v>
      </c>
      <c r="F751">
        <v>551</v>
      </c>
      <c r="G751">
        <v>130</v>
      </c>
    </row>
    <row r="752" spans="1:7">
      <c r="A752" t="s">
        <v>7388</v>
      </c>
      <c r="B752" t="s">
        <v>8139</v>
      </c>
      <c r="C752" s="1" t="e">
        <f>VLOOKUP(Tabla_Items_Activos[[#This Row],[CODIGO]],Tabla_Items_Completos[[CODIGO]:[LINEA]],2,0)</f>
        <v>#N/A</v>
      </c>
      <c r="D752" s="1" t="e">
        <f>VLOOKUP(Tabla_Items_Activos[[#This Row],[CODIGO]],Tabla_Items_Completos[[CODIGO]:[LINEA]],3,0)</f>
        <v>#N/A</v>
      </c>
      <c r="E752" s="1" t="e">
        <f>VLOOKUP(Tabla_Items_Activos[[#This Row],[CODIGO]],Tabla_Items_Completos[[CODIGO]:[LINEA]],4,0)</f>
        <v>#N/A</v>
      </c>
      <c r="F752">
        <v>120</v>
      </c>
      <c r="G752">
        <v>3</v>
      </c>
    </row>
    <row r="753" spans="1:7">
      <c r="A753" t="s">
        <v>7388</v>
      </c>
      <c r="B753" t="s">
        <v>8140</v>
      </c>
      <c r="C753" s="1" t="e">
        <f>VLOOKUP(Tabla_Items_Activos[[#This Row],[CODIGO]],Tabla_Items_Completos[[CODIGO]:[LINEA]],2,0)</f>
        <v>#N/A</v>
      </c>
      <c r="D753" s="1" t="e">
        <f>VLOOKUP(Tabla_Items_Activos[[#This Row],[CODIGO]],Tabla_Items_Completos[[CODIGO]:[LINEA]],3,0)</f>
        <v>#N/A</v>
      </c>
      <c r="E753" s="1" t="e">
        <f>VLOOKUP(Tabla_Items_Activos[[#This Row],[CODIGO]],Tabla_Items_Completos[[CODIGO]:[LINEA]],4,0)</f>
        <v>#N/A</v>
      </c>
      <c r="F753">
        <v>69</v>
      </c>
      <c r="G753">
        <v>33</v>
      </c>
    </row>
    <row r="754" spans="1:7">
      <c r="A754" t="s">
        <v>7388</v>
      </c>
      <c r="B754" t="s">
        <v>8141</v>
      </c>
      <c r="C754" s="1" t="e">
        <f>VLOOKUP(Tabla_Items_Activos[[#This Row],[CODIGO]],Tabla_Items_Completos[[CODIGO]:[LINEA]],2,0)</f>
        <v>#N/A</v>
      </c>
      <c r="D754" s="1" t="e">
        <f>VLOOKUP(Tabla_Items_Activos[[#This Row],[CODIGO]],Tabla_Items_Completos[[CODIGO]:[LINEA]],3,0)</f>
        <v>#N/A</v>
      </c>
      <c r="E754" s="1" t="e">
        <f>VLOOKUP(Tabla_Items_Activos[[#This Row],[CODIGO]],Tabla_Items_Completos[[CODIGO]:[LINEA]],4,0)</f>
        <v>#N/A</v>
      </c>
      <c r="F754">
        <v>72</v>
      </c>
      <c r="G754">
        <v>20</v>
      </c>
    </row>
    <row r="755" spans="1:7">
      <c r="A755" t="s">
        <v>7388</v>
      </c>
      <c r="B755" t="s">
        <v>8142</v>
      </c>
      <c r="C755" s="1" t="e">
        <f>VLOOKUP(Tabla_Items_Activos[[#This Row],[CODIGO]],Tabla_Items_Completos[[CODIGO]:[LINEA]],2,0)</f>
        <v>#N/A</v>
      </c>
      <c r="D755" s="1" t="e">
        <f>VLOOKUP(Tabla_Items_Activos[[#This Row],[CODIGO]],Tabla_Items_Completos[[CODIGO]:[LINEA]],3,0)</f>
        <v>#N/A</v>
      </c>
      <c r="E755" s="1" t="e">
        <f>VLOOKUP(Tabla_Items_Activos[[#This Row],[CODIGO]],Tabla_Items_Completos[[CODIGO]:[LINEA]],4,0)</f>
        <v>#N/A</v>
      </c>
      <c r="F755">
        <v>65</v>
      </c>
      <c r="G755">
        <v>0</v>
      </c>
    </row>
    <row r="756" spans="1:7">
      <c r="A756" t="s">
        <v>7388</v>
      </c>
      <c r="B756" t="s">
        <v>8143</v>
      </c>
      <c r="C756" s="1" t="e">
        <f>VLOOKUP(Tabla_Items_Activos[[#This Row],[CODIGO]],Tabla_Items_Completos[[CODIGO]:[LINEA]],2,0)</f>
        <v>#N/A</v>
      </c>
      <c r="D756" s="1" t="e">
        <f>VLOOKUP(Tabla_Items_Activos[[#This Row],[CODIGO]],Tabla_Items_Completos[[CODIGO]:[LINEA]],3,0)</f>
        <v>#N/A</v>
      </c>
      <c r="E756" s="1" t="e">
        <f>VLOOKUP(Tabla_Items_Activos[[#This Row],[CODIGO]],Tabla_Items_Completos[[CODIGO]:[LINEA]],4,0)</f>
        <v>#N/A</v>
      </c>
      <c r="F756">
        <v>74</v>
      </c>
      <c r="G756">
        <v>0</v>
      </c>
    </row>
    <row r="757" spans="1:7">
      <c r="A757" t="s">
        <v>7388</v>
      </c>
      <c r="B757" t="s">
        <v>8144</v>
      </c>
      <c r="C757" s="1" t="e">
        <f>VLOOKUP(Tabla_Items_Activos[[#This Row],[CODIGO]],Tabla_Items_Completos[[CODIGO]:[LINEA]],2,0)</f>
        <v>#N/A</v>
      </c>
      <c r="D757" s="1" t="e">
        <f>VLOOKUP(Tabla_Items_Activos[[#This Row],[CODIGO]],Tabla_Items_Completos[[CODIGO]:[LINEA]],3,0)</f>
        <v>#N/A</v>
      </c>
      <c r="E757" s="1" t="e">
        <f>VLOOKUP(Tabla_Items_Activos[[#This Row],[CODIGO]],Tabla_Items_Completos[[CODIGO]:[LINEA]],4,0)</f>
        <v>#N/A</v>
      </c>
      <c r="F757">
        <v>91</v>
      </c>
      <c r="G757">
        <v>0</v>
      </c>
    </row>
    <row r="758" spans="1:7">
      <c r="A758" t="s">
        <v>7388</v>
      </c>
      <c r="B758" t="s">
        <v>8145</v>
      </c>
      <c r="C758" s="1" t="e">
        <f>VLOOKUP(Tabla_Items_Activos[[#This Row],[CODIGO]],Tabla_Items_Completos[[CODIGO]:[LINEA]],2,0)</f>
        <v>#N/A</v>
      </c>
      <c r="D758" s="1" t="e">
        <f>VLOOKUP(Tabla_Items_Activos[[#This Row],[CODIGO]],Tabla_Items_Completos[[CODIGO]:[LINEA]],3,0)</f>
        <v>#N/A</v>
      </c>
      <c r="E758" s="1" t="e">
        <f>VLOOKUP(Tabla_Items_Activos[[#This Row],[CODIGO]],Tabla_Items_Completos[[CODIGO]:[LINEA]],4,0)</f>
        <v>#N/A</v>
      </c>
      <c r="F758">
        <v>70</v>
      </c>
      <c r="G758">
        <v>23</v>
      </c>
    </row>
    <row r="759" spans="1:7">
      <c r="A759" t="s">
        <v>7388</v>
      </c>
      <c r="B759" t="s">
        <v>8146</v>
      </c>
      <c r="C759" s="1" t="e">
        <f>VLOOKUP(Tabla_Items_Activos[[#This Row],[CODIGO]],Tabla_Items_Completos[[CODIGO]:[LINEA]],2,0)</f>
        <v>#N/A</v>
      </c>
      <c r="D759" s="1" t="e">
        <f>VLOOKUP(Tabla_Items_Activos[[#This Row],[CODIGO]],Tabla_Items_Completos[[CODIGO]:[LINEA]],3,0)</f>
        <v>#N/A</v>
      </c>
      <c r="E759" s="1" t="e">
        <f>VLOOKUP(Tabla_Items_Activos[[#This Row],[CODIGO]],Tabla_Items_Completos[[CODIGO]:[LINEA]],4,0)</f>
        <v>#N/A</v>
      </c>
      <c r="F759">
        <v>67</v>
      </c>
      <c r="G759">
        <v>1</v>
      </c>
    </row>
    <row r="760" spans="1:7">
      <c r="A760" t="s">
        <v>7388</v>
      </c>
      <c r="B760" t="s">
        <v>8147</v>
      </c>
      <c r="C760" s="1" t="e">
        <f>VLOOKUP(Tabla_Items_Activos[[#This Row],[CODIGO]],Tabla_Items_Completos[[CODIGO]:[LINEA]],2,0)</f>
        <v>#N/A</v>
      </c>
      <c r="D760" s="1" t="e">
        <f>VLOOKUP(Tabla_Items_Activos[[#This Row],[CODIGO]],Tabla_Items_Completos[[CODIGO]:[LINEA]],3,0)</f>
        <v>#N/A</v>
      </c>
      <c r="E760" s="1" t="e">
        <f>VLOOKUP(Tabla_Items_Activos[[#This Row],[CODIGO]],Tabla_Items_Completos[[CODIGO]:[LINEA]],4,0)</f>
        <v>#N/A</v>
      </c>
      <c r="F760">
        <v>106</v>
      </c>
      <c r="G760">
        <v>0</v>
      </c>
    </row>
    <row r="761" spans="1:7">
      <c r="A761" t="s">
        <v>7388</v>
      </c>
      <c r="B761" t="s">
        <v>8148</v>
      </c>
      <c r="C761" s="1" t="e">
        <f>VLOOKUP(Tabla_Items_Activos[[#This Row],[CODIGO]],Tabla_Items_Completos[[CODIGO]:[LINEA]],2,0)</f>
        <v>#N/A</v>
      </c>
      <c r="D761" s="1" t="e">
        <f>VLOOKUP(Tabla_Items_Activos[[#This Row],[CODIGO]],Tabla_Items_Completos[[CODIGO]:[LINEA]],3,0)</f>
        <v>#N/A</v>
      </c>
      <c r="E761" s="1" t="e">
        <f>VLOOKUP(Tabla_Items_Activos[[#This Row],[CODIGO]],Tabla_Items_Completos[[CODIGO]:[LINEA]],4,0)</f>
        <v>#N/A</v>
      </c>
      <c r="F761">
        <v>126</v>
      </c>
      <c r="G761">
        <v>6</v>
      </c>
    </row>
    <row r="762" spans="1:7">
      <c r="A762" t="s">
        <v>7388</v>
      </c>
      <c r="B762" t="s">
        <v>8149</v>
      </c>
      <c r="C762" s="1" t="e">
        <f>VLOOKUP(Tabla_Items_Activos[[#This Row],[CODIGO]],Tabla_Items_Completos[[CODIGO]:[LINEA]],2,0)</f>
        <v>#N/A</v>
      </c>
      <c r="D762" s="1" t="e">
        <f>VLOOKUP(Tabla_Items_Activos[[#This Row],[CODIGO]],Tabla_Items_Completos[[CODIGO]:[LINEA]],3,0)</f>
        <v>#N/A</v>
      </c>
      <c r="E762" s="1" t="e">
        <f>VLOOKUP(Tabla_Items_Activos[[#This Row],[CODIGO]],Tabla_Items_Completos[[CODIGO]:[LINEA]],4,0)</f>
        <v>#N/A</v>
      </c>
      <c r="F762">
        <v>96</v>
      </c>
      <c r="G762">
        <v>0</v>
      </c>
    </row>
    <row r="763" spans="1:7">
      <c r="A763" t="s">
        <v>7388</v>
      </c>
      <c r="B763" t="s">
        <v>8150</v>
      </c>
      <c r="C763" s="1" t="e">
        <f>VLOOKUP(Tabla_Items_Activos[[#This Row],[CODIGO]],Tabla_Items_Completos[[CODIGO]:[LINEA]],2,0)</f>
        <v>#N/A</v>
      </c>
      <c r="D763" s="1" t="e">
        <f>VLOOKUP(Tabla_Items_Activos[[#This Row],[CODIGO]],Tabla_Items_Completos[[CODIGO]:[LINEA]],3,0)</f>
        <v>#N/A</v>
      </c>
      <c r="E763" s="1" t="e">
        <f>VLOOKUP(Tabla_Items_Activos[[#This Row],[CODIGO]],Tabla_Items_Completos[[CODIGO]:[LINEA]],4,0)</f>
        <v>#N/A</v>
      </c>
      <c r="F763">
        <v>91</v>
      </c>
      <c r="G763">
        <v>0</v>
      </c>
    </row>
    <row r="764" spans="1:7">
      <c r="A764" t="s">
        <v>7388</v>
      </c>
      <c r="B764" t="s">
        <v>8151</v>
      </c>
      <c r="C764" s="1" t="e">
        <f>VLOOKUP(Tabla_Items_Activos[[#This Row],[CODIGO]],Tabla_Items_Completos[[CODIGO]:[LINEA]],2,0)</f>
        <v>#N/A</v>
      </c>
      <c r="D764" s="1" t="e">
        <f>VLOOKUP(Tabla_Items_Activos[[#This Row],[CODIGO]],Tabla_Items_Completos[[CODIGO]:[LINEA]],3,0)</f>
        <v>#N/A</v>
      </c>
      <c r="E764" s="1" t="e">
        <f>VLOOKUP(Tabla_Items_Activos[[#This Row],[CODIGO]],Tabla_Items_Completos[[CODIGO]:[LINEA]],4,0)</f>
        <v>#N/A</v>
      </c>
      <c r="F764">
        <v>103</v>
      </c>
      <c r="G764">
        <v>0</v>
      </c>
    </row>
    <row r="765" spans="1:7">
      <c r="A765" t="s">
        <v>7388</v>
      </c>
      <c r="B765" t="s">
        <v>8152</v>
      </c>
      <c r="C765" s="1" t="e">
        <f>VLOOKUP(Tabla_Items_Activos[[#This Row],[CODIGO]],Tabla_Items_Completos[[CODIGO]:[LINEA]],2,0)</f>
        <v>#N/A</v>
      </c>
      <c r="D765" s="1" t="e">
        <f>VLOOKUP(Tabla_Items_Activos[[#This Row],[CODIGO]],Tabla_Items_Completos[[CODIGO]:[LINEA]],3,0)</f>
        <v>#N/A</v>
      </c>
      <c r="E765" s="1" t="e">
        <f>VLOOKUP(Tabla_Items_Activos[[#This Row],[CODIGO]],Tabla_Items_Completos[[CODIGO]:[LINEA]],4,0)</f>
        <v>#N/A</v>
      </c>
      <c r="F765">
        <v>191</v>
      </c>
      <c r="G765">
        <v>0</v>
      </c>
    </row>
    <row r="766" spans="1:7">
      <c r="A766" t="s">
        <v>7388</v>
      </c>
      <c r="B766" t="s">
        <v>8153</v>
      </c>
      <c r="C766" s="1" t="e">
        <f>VLOOKUP(Tabla_Items_Activos[[#This Row],[CODIGO]],Tabla_Items_Completos[[CODIGO]:[LINEA]],2,0)</f>
        <v>#N/A</v>
      </c>
      <c r="D766" s="1" t="e">
        <f>VLOOKUP(Tabla_Items_Activos[[#This Row],[CODIGO]],Tabla_Items_Completos[[CODIGO]:[LINEA]],3,0)</f>
        <v>#N/A</v>
      </c>
      <c r="E766" s="1" t="e">
        <f>VLOOKUP(Tabla_Items_Activos[[#This Row],[CODIGO]],Tabla_Items_Completos[[CODIGO]:[LINEA]],4,0)</f>
        <v>#N/A</v>
      </c>
      <c r="F766">
        <v>105</v>
      </c>
      <c r="G766">
        <v>6</v>
      </c>
    </row>
    <row r="767" spans="1:7">
      <c r="A767" t="s">
        <v>7388</v>
      </c>
      <c r="B767" t="s">
        <v>8154</v>
      </c>
      <c r="C767" s="1" t="e">
        <f>VLOOKUP(Tabla_Items_Activos[[#This Row],[CODIGO]],Tabla_Items_Completos[[CODIGO]:[LINEA]],2,0)</f>
        <v>#N/A</v>
      </c>
      <c r="D767" s="1" t="e">
        <f>VLOOKUP(Tabla_Items_Activos[[#This Row],[CODIGO]],Tabla_Items_Completos[[CODIGO]:[LINEA]],3,0)</f>
        <v>#N/A</v>
      </c>
      <c r="E767" s="1" t="e">
        <f>VLOOKUP(Tabla_Items_Activos[[#This Row],[CODIGO]],Tabla_Items_Completos[[CODIGO]:[LINEA]],4,0)</f>
        <v>#N/A</v>
      </c>
      <c r="F767">
        <v>151</v>
      </c>
      <c r="G767">
        <v>0</v>
      </c>
    </row>
    <row r="768" spans="1:7">
      <c r="A768" t="s">
        <v>7388</v>
      </c>
      <c r="B768" t="s">
        <v>8155</v>
      </c>
      <c r="C768" s="1" t="e">
        <f>VLOOKUP(Tabla_Items_Activos[[#This Row],[CODIGO]],Tabla_Items_Completos[[CODIGO]:[LINEA]],2,0)</f>
        <v>#N/A</v>
      </c>
      <c r="D768" s="1" t="e">
        <f>VLOOKUP(Tabla_Items_Activos[[#This Row],[CODIGO]],Tabla_Items_Completos[[CODIGO]:[LINEA]],3,0)</f>
        <v>#N/A</v>
      </c>
      <c r="E768" s="1" t="e">
        <f>VLOOKUP(Tabla_Items_Activos[[#This Row],[CODIGO]],Tabla_Items_Completos[[CODIGO]:[LINEA]],4,0)</f>
        <v>#N/A</v>
      </c>
      <c r="F768">
        <v>47</v>
      </c>
      <c r="G768">
        <v>0</v>
      </c>
    </row>
    <row r="769" spans="1:7">
      <c r="A769" t="s">
        <v>7388</v>
      </c>
      <c r="B769" t="s">
        <v>8156</v>
      </c>
      <c r="C769" s="1" t="e">
        <f>VLOOKUP(Tabla_Items_Activos[[#This Row],[CODIGO]],Tabla_Items_Completos[[CODIGO]:[LINEA]],2,0)</f>
        <v>#N/A</v>
      </c>
      <c r="D769" s="1" t="e">
        <f>VLOOKUP(Tabla_Items_Activos[[#This Row],[CODIGO]],Tabla_Items_Completos[[CODIGO]:[LINEA]],3,0)</f>
        <v>#N/A</v>
      </c>
      <c r="E769" s="1" t="e">
        <f>VLOOKUP(Tabla_Items_Activos[[#This Row],[CODIGO]],Tabla_Items_Completos[[CODIGO]:[LINEA]],4,0)</f>
        <v>#N/A</v>
      </c>
      <c r="F769">
        <v>15</v>
      </c>
      <c r="G769">
        <v>19</v>
      </c>
    </row>
    <row r="770" spans="1:7">
      <c r="A770" t="s">
        <v>7388</v>
      </c>
      <c r="B770" t="s">
        <v>8157</v>
      </c>
      <c r="C770" s="1" t="e">
        <f>VLOOKUP(Tabla_Items_Activos[[#This Row],[CODIGO]],Tabla_Items_Completos[[CODIGO]:[LINEA]],2,0)</f>
        <v>#N/A</v>
      </c>
      <c r="D770" s="1" t="e">
        <f>VLOOKUP(Tabla_Items_Activos[[#This Row],[CODIGO]],Tabla_Items_Completos[[CODIGO]:[LINEA]],3,0)</f>
        <v>#N/A</v>
      </c>
      <c r="E770" s="1" t="e">
        <f>VLOOKUP(Tabla_Items_Activos[[#This Row],[CODIGO]],Tabla_Items_Completos[[CODIGO]:[LINEA]],4,0)</f>
        <v>#N/A</v>
      </c>
      <c r="F770">
        <v>26</v>
      </c>
      <c r="G770">
        <v>39</v>
      </c>
    </row>
    <row r="771" spans="1:7">
      <c r="A771" t="s">
        <v>7388</v>
      </c>
      <c r="B771" t="s">
        <v>8158</v>
      </c>
      <c r="C771" s="1" t="e">
        <f>VLOOKUP(Tabla_Items_Activos[[#This Row],[CODIGO]],Tabla_Items_Completos[[CODIGO]:[LINEA]],2,0)</f>
        <v>#N/A</v>
      </c>
      <c r="D771" s="1" t="e">
        <f>VLOOKUP(Tabla_Items_Activos[[#This Row],[CODIGO]],Tabla_Items_Completos[[CODIGO]:[LINEA]],3,0)</f>
        <v>#N/A</v>
      </c>
      <c r="E771" s="1" t="e">
        <f>VLOOKUP(Tabla_Items_Activos[[#This Row],[CODIGO]],Tabla_Items_Completos[[CODIGO]:[LINEA]],4,0)</f>
        <v>#N/A</v>
      </c>
      <c r="F771">
        <v>821</v>
      </c>
      <c r="G771">
        <v>116</v>
      </c>
    </row>
    <row r="772" spans="1:7">
      <c r="A772" t="s">
        <v>7388</v>
      </c>
      <c r="B772" t="s">
        <v>8159</v>
      </c>
      <c r="C772" s="1" t="e">
        <f>VLOOKUP(Tabla_Items_Activos[[#This Row],[CODIGO]],Tabla_Items_Completos[[CODIGO]:[LINEA]],2,0)</f>
        <v>#N/A</v>
      </c>
      <c r="D772" s="1" t="e">
        <f>VLOOKUP(Tabla_Items_Activos[[#This Row],[CODIGO]],Tabla_Items_Completos[[CODIGO]:[LINEA]],3,0)</f>
        <v>#N/A</v>
      </c>
      <c r="E772" s="1" t="e">
        <f>VLOOKUP(Tabla_Items_Activos[[#This Row],[CODIGO]],Tabla_Items_Completos[[CODIGO]:[LINEA]],4,0)</f>
        <v>#N/A</v>
      </c>
      <c r="F772">
        <v>132</v>
      </c>
      <c r="G772">
        <v>80</v>
      </c>
    </row>
    <row r="773" spans="1:7">
      <c r="A773" t="s">
        <v>7388</v>
      </c>
      <c r="B773" t="s">
        <v>8160</v>
      </c>
      <c r="C773" s="1" t="e">
        <f>VLOOKUP(Tabla_Items_Activos[[#This Row],[CODIGO]],Tabla_Items_Completos[[CODIGO]:[LINEA]],2,0)</f>
        <v>#N/A</v>
      </c>
      <c r="D773" s="1" t="e">
        <f>VLOOKUP(Tabla_Items_Activos[[#This Row],[CODIGO]],Tabla_Items_Completos[[CODIGO]:[LINEA]],3,0)</f>
        <v>#N/A</v>
      </c>
      <c r="E773" s="1" t="e">
        <f>VLOOKUP(Tabla_Items_Activos[[#This Row],[CODIGO]],Tabla_Items_Completos[[CODIGO]:[LINEA]],4,0)</f>
        <v>#N/A</v>
      </c>
      <c r="F773">
        <v>677</v>
      </c>
      <c r="G773">
        <v>230</v>
      </c>
    </row>
    <row r="774" spans="1:7">
      <c r="A774" t="s">
        <v>7388</v>
      </c>
      <c r="B774" t="s">
        <v>8161</v>
      </c>
      <c r="C774" s="1" t="e">
        <f>VLOOKUP(Tabla_Items_Activos[[#This Row],[CODIGO]],Tabla_Items_Completos[[CODIGO]:[LINEA]],2,0)</f>
        <v>#N/A</v>
      </c>
      <c r="D774" s="1" t="e">
        <f>VLOOKUP(Tabla_Items_Activos[[#This Row],[CODIGO]],Tabla_Items_Completos[[CODIGO]:[LINEA]],3,0)</f>
        <v>#N/A</v>
      </c>
      <c r="E774" s="1" t="e">
        <f>VLOOKUP(Tabla_Items_Activos[[#This Row],[CODIGO]],Tabla_Items_Completos[[CODIGO]:[LINEA]],4,0)</f>
        <v>#N/A</v>
      </c>
      <c r="F774">
        <v>1278</v>
      </c>
      <c r="G774">
        <v>37</v>
      </c>
    </row>
    <row r="775" spans="1:7">
      <c r="A775" t="s">
        <v>7388</v>
      </c>
      <c r="B775" t="s">
        <v>8162</v>
      </c>
      <c r="C775" s="1" t="e">
        <f>VLOOKUP(Tabla_Items_Activos[[#This Row],[CODIGO]],Tabla_Items_Completos[[CODIGO]:[LINEA]],2,0)</f>
        <v>#N/A</v>
      </c>
      <c r="D775" s="1" t="e">
        <f>VLOOKUP(Tabla_Items_Activos[[#This Row],[CODIGO]],Tabla_Items_Completos[[CODIGO]:[LINEA]],3,0)</f>
        <v>#N/A</v>
      </c>
      <c r="E775" s="1" t="e">
        <f>VLOOKUP(Tabla_Items_Activos[[#This Row],[CODIGO]],Tabla_Items_Completos[[CODIGO]:[LINEA]],4,0)</f>
        <v>#N/A</v>
      </c>
      <c r="F775">
        <v>257</v>
      </c>
      <c r="G775">
        <v>30</v>
      </c>
    </row>
    <row r="776" spans="1:7">
      <c r="A776" t="s">
        <v>7388</v>
      </c>
      <c r="B776" t="s">
        <v>8163</v>
      </c>
      <c r="C776" s="1" t="e">
        <f>VLOOKUP(Tabla_Items_Activos[[#This Row],[CODIGO]],Tabla_Items_Completos[[CODIGO]:[LINEA]],2,0)</f>
        <v>#N/A</v>
      </c>
      <c r="D776" s="1" t="e">
        <f>VLOOKUP(Tabla_Items_Activos[[#This Row],[CODIGO]],Tabla_Items_Completos[[CODIGO]:[LINEA]],3,0)</f>
        <v>#N/A</v>
      </c>
      <c r="E776" s="1" t="e">
        <f>VLOOKUP(Tabla_Items_Activos[[#This Row],[CODIGO]],Tabla_Items_Completos[[CODIGO]:[LINEA]],4,0)</f>
        <v>#N/A</v>
      </c>
      <c r="F776">
        <v>612</v>
      </c>
      <c r="G776">
        <v>271</v>
      </c>
    </row>
    <row r="777" spans="1:7">
      <c r="A777" t="s">
        <v>7388</v>
      </c>
      <c r="B777" t="s">
        <v>8164</v>
      </c>
      <c r="C777" s="1" t="e">
        <f>VLOOKUP(Tabla_Items_Activos[[#This Row],[CODIGO]],Tabla_Items_Completos[[CODIGO]:[LINEA]],2,0)</f>
        <v>#N/A</v>
      </c>
      <c r="D777" s="1" t="e">
        <f>VLOOKUP(Tabla_Items_Activos[[#This Row],[CODIGO]],Tabla_Items_Completos[[CODIGO]:[LINEA]],3,0)</f>
        <v>#N/A</v>
      </c>
      <c r="E777" s="1" t="e">
        <f>VLOOKUP(Tabla_Items_Activos[[#This Row],[CODIGO]],Tabla_Items_Completos[[CODIGO]:[LINEA]],4,0)</f>
        <v>#N/A</v>
      </c>
      <c r="F777">
        <v>187</v>
      </c>
      <c r="G777">
        <v>273</v>
      </c>
    </row>
    <row r="778" spans="1:7">
      <c r="A778" t="s">
        <v>7388</v>
      </c>
      <c r="B778" t="s">
        <v>8165</v>
      </c>
      <c r="C778" s="1" t="e">
        <f>VLOOKUP(Tabla_Items_Activos[[#This Row],[CODIGO]],Tabla_Items_Completos[[CODIGO]:[LINEA]],2,0)</f>
        <v>#N/A</v>
      </c>
      <c r="D778" s="1" t="e">
        <f>VLOOKUP(Tabla_Items_Activos[[#This Row],[CODIGO]],Tabla_Items_Completos[[CODIGO]:[LINEA]],3,0)</f>
        <v>#N/A</v>
      </c>
      <c r="E778" s="1" t="e">
        <f>VLOOKUP(Tabla_Items_Activos[[#This Row],[CODIGO]],Tabla_Items_Completos[[CODIGO]:[LINEA]],4,0)</f>
        <v>#N/A</v>
      </c>
      <c r="F778">
        <v>175</v>
      </c>
      <c r="G778">
        <v>299</v>
      </c>
    </row>
    <row r="779" spans="1:7">
      <c r="A779" t="s">
        <v>7388</v>
      </c>
      <c r="B779" t="s">
        <v>8166</v>
      </c>
      <c r="C779" s="1" t="e">
        <f>VLOOKUP(Tabla_Items_Activos[[#This Row],[CODIGO]],Tabla_Items_Completos[[CODIGO]:[LINEA]],2,0)</f>
        <v>#N/A</v>
      </c>
      <c r="D779" s="1" t="e">
        <f>VLOOKUP(Tabla_Items_Activos[[#This Row],[CODIGO]],Tabla_Items_Completos[[CODIGO]:[LINEA]],3,0)</f>
        <v>#N/A</v>
      </c>
      <c r="E779" s="1" t="e">
        <f>VLOOKUP(Tabla_Items_Activos[[#This Row],[CODIGO]],Tabla_Items_Completos[[CODIGO]:[LINEA]],4,0)</f>
        <v>#N/A</v>
      </c>
      <c r="F779">
        <v>56</v>
      </c>
      <c r="G779">
        <v>0</v>
      </c>
    </row>
    <row r="780" spans="1:7">
      <c r="A780" t="s">
        <v>7388</v>
      </c>
      <c r="B780" t="s">
        <v>8167</v>
      </c>
      <c r="C780" s="1" t="e">
        <f>VLOOKUP(Tabla_Items_Activos[[#This Row],[CODIGO]],Tabla_Items_Completos[[CODIGO]:[LINEA]],2,0)</f>
        <v>#N/A</v>
      </c>
      <c r="D780" s="1" t="e">
        <f>VLOOKUP(Tabla_Items_Activos[[#This Row],[CODIGO]],Tabla_Items_Completos[[CODIGO]:[LINEA]],3,0)</f>
        <v>#N/A</v>
      </c>
      <c r="E780" s="1" t="e">
        <f>VLOOKUP(Tabla_Items_Activos[[#This Row],[CODIGO]],Tabla_Items_Completos[[CODIGO]:[LINEA]],4,0)</f>
        <v>#N/A</v>
      </c>
      <c r="F780">
        <v>54</v>
      </c>
      <c r="G780">
        <v>68</v>
      </c>
    </row>
    <row r="781" spans="1:7">
      <c r="A781" t="s">
        <v>7388</v>
      </c>
      <c r="B781" t="s">
        <v>8168</v>
      </c>
      <c r="C781" s="1" t="e">
        <f>VLOOKUP(Tabla_Items_Activos[[#This Row],[CODIGO]],Tabla_Items_Completos[[CODIGO]:[LINEA]],2,0)</f>
        <v>#N/A</v>
      </c>
      <c r="D781" s="1" t="e">
        <f>VLOOKUP(Tabla_Items_Activos[[#This Row],[CODIGO]],Tabla_Items_Completos[[CODIGO]:[LINEA]],3,0)</f>
        <v>#N/A</v>
      </c>
      <c r="E781" s="1" t="e">
        <f>VLOOKUP(Tabla_Items_Activos[[#This Row],[CODIGO]],Tabla_Items_Completos[[CODIGO]:[LINEA]],4,0)</f>
        <v>#N/A</v>
      </c>
      <c r="F781">
        <v>54</v>
      </c>
      <c r="G781">
        <v>0</v>
      </c>
    </row>
    <row r="782" spans="1:7">
      <c r="A782" t="s">
        <v>7388</v>
      </c>
      <c r="B782" t="s">
        <v>8169</v>
      </c>
      <c r="C782" s="1" t="e">
        <f>VLOOKUP(Tabla_Items_Activos[[#This Row],[CODIGO]],Tabla_Items_Completos[[CODIGO]:[LINEA]],2,0)</f>
        <v>#N/A</v>
      </c>
      <c r="D782" s="1" t="e">
        <f>VLOOKUP(Tabla_Items_Activos[[#This Row],[CODIGO]],Tabla_Items_Completos[[CODIGO]:[LINEA]],3,0)</f>
        <v>#N/A</v>
      </c>
      <c r="E782" s="1" t="e">
        <f>VLOOKUP(Tabla_Items_Activos[[#This Row],[CODIGO]],Tabla_Items_Completos[[CODIGO]:[LINEA]],4,0)</f>
        <v>#N/A</v>
      </c>
      <c r="F782">
        <v>51</v>
      </c>
      <c r="G782">
        <v>70</v>
      </c>
    </row>
    <row r="783" spans="1:7">
      <c r="A783" t="s">
        <v>7388</v>
      </c>
      <c r="B783" t="s">
        <v>8170</v>
      </c>
      <c r="C783" s="1" t="e">
        <f>VLOOKUP(Tabla_Items_Activos[[#This Row],[CODIGO]],Tabla_Items_Completos[[CODIGO]:[LINEA]],2,0)</f>
        <v>#N/A</v>
      </c>
      <c r="D783" s="1" t="e">
        <f>VLOOKUP(Tabla_Items_Activos[[#This Row],[CODIGO]],Tabla_Items_Completos[[CODIGO]:[LINEA]],3,0)</f>
        <v>#N/A</v>
      </c>
      <c r="E783" s="1" t="e">
        <f>VLOOKUP(Tabla_Items_Activos[[#This Row],[CODIGO]],Tabla_Items_Completos[[CODIGO]:[LINEA]],4,0)</f>
        <v>#N/A</v>
      </c>
      <c r="F783">
        <v>51</v>
      </c>
      <c r="G783">
        <v>0</v>
      </c>
    </row>
    <row r="784" spans="1:7">
      <c r="A784" t="s">
        <v>7388</v>
      </c>
      <c r="B784" t="s">
        <v>8171</v>
      </c>
      <c r="C784" s="1" t="e">
        <f>VLOOKUP(Tabla_Items_Activos[[#This Row],[CODIGO]],Tabla_Items_Completos[[CODIGO]:[LINEA]],2,0)</f>
        <v>#N/A</v>
      </c>
      <c r="D784" s="1" t="e">
        <f>VLOOKUP(Tabla_Items_Activos[[#This Row],[CODIGO]],Tabla_Items_Completos[[CODIGO]:[LINEA]],3,0)</f>
        <v>#N/A</v>
      </c>
      <c r="E784" s="1" t="e">
        <f>VLOOKUP(Tabla_Items_Activos[[#This Row],[CODIGO]],Tabla_Items_Completos[[CODIGO]:[LINEA]],4,0)</f>
        <v>#N/A</v>
      </c>
      <c r="F784">
        <v>59</v>
      </c>
      <c r="G784">
        <v>0</v>
      </c>
    </row>
    <row r="785" spans="1:7">
      <c r="A785" t="s">
        <v>7388</v>
      </c>
      <c r="B785" t="s">
        <v>8172</v>
      </c>
      <c r="C785" s="1" t="e">
        <f>VLOOKUP(Tabla_Items_Activos[[#This Row],[CODIGO]],Tabla_Items_Completos[[CODIGO]:[LINEA]],2,0)</f>
        <v>#N/A</v>
      </c>
      <c r="D785" s="1" t="e">
        <f>VLOOKUP(Tabla_Items_Activos[[#This Row],[CODIGO]],Tabla_Items_Completos[[CODIGO]:[LINEA]],3,0)</f>
        <v>#N/A</v>
      </c>
      <c r="E785" s="1" t="e">
        <f>VLOOKUP(Tabla_Items_Activos[[#This Row],[CODIGO]],Tabla_Items_Completos[[CODIGO]:[LINEA]],4,0)</f>
        <v>#N/A</v>
      </c>
      <c r="F785">
        <v>36</v>
      </c>
      <c r="G785">
        <v>0</v>
      </c>
    </row>
    <row r="786" spans="1:7">
      <c r="A786" t="s">
        <v>7388</v>
      </c>
      <c r="B786" t="s">
        <v>8173</v>
      </c>
      <c r="C786" s="1" t="e">
        <f>VLOOKUP(Tabla_Items_Activos[[#This Row],[CODIGO]],Tabla_Items_Completos[[CODIGO]:[LINEA]],2,0)</f>
        <v>#N/A</v>
      </c>
      <c r="D786" s="1" t="e">
        <f>VLOOKUP(Tabla_Items_Activos[[#This Row],[CODIGO]],Tabla_Items_Completos[[CODIGO]:[LINEA]],3,0)</f>
        <v>#N/A</v>
      </c>
      <c r="E786" s="1" t="e">
        <f>VLOOKUP(Tabla_Items_Activos[[#This Row],[CODIGO]],Tabla_Items_Completos[[CODIGO]:[LINEA]],4,0)</f>
        <v>#N/A</v>
      </c>
      <c r="F786">
        <v>62</v>
      </c>
      <c r="G786">
        <v>0</v>
      </c>
    </row>
    <row r="787" spans="1:7">
      <c r="A787" t="s">
        <v>7388</v>
      </c>
      <c r="B787" t="s">
        <v>8174</v>
      </c>
      <c r="C787" s="1" t="e">
        <f>VLOOKUP(Tabla_Items_Activos[[#This Row],[CODIGO]],Tabla_Items_Completos[[CODIGO]:[LINEA]],2,0)</f>
        <v>#N/A</v>
      </c>
      <c r="D787" s="1" t="e">
        <f>VLOOKUP(Tabla_Items_Activos[[#This Row],[CODIGO]],Tabla_Items_Completos[[CODIGO]:[LINEA]],3,0)</f>
        <v>#N/A</v>
      </c>
      <c r="E787" s="1" t="e">
        <f>VLOOKUP(Tabla_Items_Activos[[#This Row],[CODIGO]],Tabla_Items_Completos[[CODIGO]:[LINEA]],4,0)</f>
        <v>#N/A</v>
      </c>
      <c r="F787">
        <v>128</v>
      </c>
      <c r="G787">
        <v>3</v>
      </c>
    </row>
    <row r="788" spans="1:7">
      <c r="A788" t="s">
        <v>7388</v>
      </c>
      <c r="B788" t="s">
        <v>8175</v>
      </c>
      <c r="C788" s="1" t="e">
        <f>VLOOKUP(Tabla_Items_Activos[[#This Row],[CODIGO]],Tabla_Items_Completos[[CODIGO]:[LINEA]],2,0)</f>
        <v>#N/A</v>
      </c>
      <c r="D788" s="1" t="e">
        <f>VLOOKUP(Tabla_Items_Activos[[#This Row],[CODIGO]],Tabla_Items_Completos[[CODIGO]:[LINEA]],3,0)</f>
        <v>#N/A</v>
      </c>
      <c r="E788" s="1" t="e">
        <f>VLOOKUP(Tabla_Items_Activos[[#This Row],[CODIGO]],Tabla_Items_Completos[[CODIGO]:[LINEA]],4,0)</f>
        <v>#N/A</v>
      </c>
      <c r="F788">
        <v>66</v>
      </c>
      <c r="G788">
        <v>0</v>
      </c>
    </row>
    <row r="789" spans="1:7">
      <c r="A789" t="s">
        <v>7388</v>
      </c>
      <c r="B789" t="s">
        <v>8176</v>
      </c>
      <c r="C789" s="1" t="e">
        <f>VLOOKUP(Tabla_Items_Activos[[#This Row],[CODIGO]],Tabla_Items_Completos[[CODIGO]:[LINEA]],2,0)</f>
        <v>#N/A</v>
      </c>
      <c r="D789" s="1" t="e">
        <f>VLOOKUP(Tabla_Items_Activos[[#This Row],[CODIGO]],Tabla_Items_Completos[[CODIGO]:[LINEA]],3,0)</f>
        <v>#N/A</v>
      </c>
      <c r="E789" s="1" t="e">
        <f>VLOOKUP(Tabla_Items_Activos[[#This Row],[CODIGO]],Tabla_Items_Completos[[CODIGO]:[LINEA]],4,0)</f>
        <v>#N/A</v>
      </c>
      <c r="F789">
        <v>117</v>
      </c>
      <c r="G789">
        <v>1</v>
      </c>
    </row>
    <row r="790" spans="1:7">
      <c r="A790" t="s">
        <v>7388</v>
      </c>
      <c r="B790" t="s">
        <v>8177</v>
      </c>
      <c r="C790" s="1" t="e">
        <f>VLOOKUP(Tabla_Items_Activos[[#This Row],[CODIGO]],Tabla_Items_Completos[[CODIGO]:[LINEA]],2,0)</f>
        <v>#N/A</v>
      </c>
      <c r="D790" s="1" t="e">
        <f>VLOOKUP(Tabla_Items_Activos[[#This Row],[CODIGO]],Tabla_Items_Completos[[CODIGO]:[LINEA]],3,0)</f>
        <v>#N/A</v>
      </c>
      <c r="E790" s="1" t="e">
        <f>VLOOKUP(Tabla_Items_Activos[[#This Row],[CODIGO]],Tabla_Items_Completos[[CODIGO]:[LINEA]],4,0)</f>
        <v>#N/A</v>
      </c>
      <c r="F790">
        <v>72</v>
      </c>
      <c r="G790">
        <v>0</v>
      </c>
    </row>
    <row r="791" spans="1:7">
      <c r="A791" t="s">
        <v>7388</v>
      </c>
      <c r="B791" t="s">
        <v>8178</v>
      </c>
      <c r="C791" s="1" t="e">
        <f>VLOOKUP(Tabla_Items_Activos[[#This Row],[CODIGO]],Tabla_Items_Completos[[CODIGO]:[LINEA]],2,0)</f>
        <v>#N/A</v>
      </c>
      <c r="D791" s="1" t="e">
        <f>VLOOKUP(Tabla_Items_Activos[[#This Row],[CODIGO]],Tabla_Items_Completos[[CODIGO]:[LINEA]],3,0)</f>
        <v>#N/A</v>
      </c>
      <c r="E791" s="1" t="e">
        <f>VLOOKUP(Tabla_Items_Activos[[#This Row],[CODIGO]],Tabla_Items_Completos[[CODIGO]:[LINEA]],4,0)</f>
        <v>#N/A</v>
      </c>
      <c r="F791">
        <v>114</v>
      </c>
      <c r="G791">
        <v>0</v>
      </c>
    </row>
    <row r="792" spans="1:7">
      <c r="A792" t="s">
        <v>7388</v>
      </c>
      <c r="B792" t="s">
        <v>8179</v>
      </c>
      <c r="C792" s="1" t="e">
        <f>VLOOKUP(Tabla_Items_Activos[[#This Row],[CODIGO]],Tabla_Items_Completos[[CODIGO]:[LINEA]],2,0)</f>
        <v>#N/A</v>
      </c>
      <c r="D792" s="1" t="e">
        <f>VLOOKUP(Tabla_Items_Activos[[#This Row],[CODIGO]],Tabla_Items_Completos[[CODIGO]:[LINEA]],3,0)</f>
        <v>#N/A</v>
      </c>
      <c r="E792" s="1" t="e">
        <f>VLOOKUP(Tabla_Items_Activos[[#This Row],[CODIGO]],Tabla_Items_Completos[[CODIGO]:[LINEA]],4,0)</f>
        <v>#N/A</v>
      </c>
      <c r="F792">
        <v>116</v>
      </c>
      <c r="G792">
        <v>0</v>
      </c>
    </row>
    <row r="793" spans="1:7">
      <c r="A793" t="s">
        <v>7388</v>
      </c>
      <c r="B793" t="s">
        <v>8180</v>
      </c>
      <c r="C793" s="1" t="e">
        <f>VLOOKUP(Tabla_Items_Activos[[#This Row],[CODIGO]],Tabla_Items_Completos[[CODIGO]:[LINEA]],2,0)</f>
        <v>#N/A</v>
      </c>
      <c r="D793" s="1" t="e">
        <f>VLOOKUP(Tabla_Items_Activos[[#This Row],[CODIGO]],Tabla_Items_Completos[[CODIGO]:[LINEA]],3,0)</f>
        <v>#N/A</v>
      </c>
      <c r="E793" s="1" t="e">
        <f>VLOOKUP(Tabla_Items_Activos[[#This Row],[CODIGO]],Tabla_Items_Completos[[CODIGO]:[LINEA]],4,0)</f>
        <v>#N/A</v>
      </c>
      <c r="F793">
        <v>14</v>
      </c>
      <c r="G793">
        <v>0</v>
      </c>
    </row>
    <row r="794" spans="1:7">
      <c r="A794" t="s">
        <v>7388</v>
      </c>
      <c r="B794" t="s">
        <v>8181</v>
      </c>
      <c r="C794" s="1" t="e">
        <f>VLOOKUP(Tabla_Items_Activos[[#This Row],[CODIGO]],Tabla_Items_Completos[[CODIGO]:[LINEA]],2,0)</f>
        <v>#N/A</v>
      </c>
      <c r="D794" s="1" t="e">
        <f>VLOOKUP(Tabla_Items_Activos[[#This Row],[CODIGO]],Tabla_Items_Completos[[CODIGO]:[LINEA]],3,0)</f>
        <v>#N/A</v>
      </c>
      <c r="E794" s="1" t="e">
        <f>VLOOKUP(Tabla_Items_Activos[[#This Row],[CODIGO]],Tabla_Items_Completos[[CODIGO]:[LINEA]],4,0)</f>
        <v>#N/A</v>
      </c>
      <c r="F794">
        <v>27</v>
      </c>
      <c r="G794">
        <v>0</v>
      </c>
    </row>
    <row r="795" spans="1:7">
      <c r="A795" t="s">
        <v>7388</v>
      </c>
      <c r="B795" t="s">
        <v>8182</v>
      </c>
      <c r="C795" s="1" t="e">
        <f>VLOOKUP(Tabla_Items_Activos[[#This Row],[CODIGO]],Tabla_Items_Completos[[CODIGO]:[LINEA]],2,0)</f>
        <v>#N/A</v>
      </c>
      <c r="D795" s="1" t="e">
        <f>VLOOKUP(Tabla_Items_Activos[[#This Row],[CODIGO]],Tabla_Items_Completos[[CODIGO]:[LINEA]],3,0)</f>
        <v>#N/A</v>
      </c>
      <c r="E795" s="1" t="e">
        <f>VLOOKUP(Tabla_Items_Activos[[#This Row],[CODIGO]],Tabla_Items_Completos[[CODIGO]:[LINEA]],4,0)</f>
        <v>#N/A</v>
      </c>
      <c r="F795">
        <v>12</v>
      </c>
      <c r="G795">
        <v>0</v>
      </c>
    </row>
    <row r="796" spans="1:7">
      <c r="A796" t="s">
        <v>7388</v>
      </c>
      <c r="B796" t="s">
        <v>8183</v>
      </c>
      <c r="C796" s="1" t="e">
        <f>VLOOKUP(Tabla_Items_Activos[[#This Row],[CODIGO]],Tabla_Items_Completos[[CODIGO]:[LINEA]],2,0)</f>
        <v>#N/A</v>
      </c>
      <c r="D796" s="1" t="e">
        <f>VLOOKUP(Tabla_Items_Activos[[#This Row],[CODIGO]],Tabla_Items_Completos[[CODIGO]:[LINEA]],3,0)</f>
        <v>#N/A</v>
      </c>
      <c r="E796" s="1" t="e">
        <f>VLOOKUP(Tabla_Items_Activos[[#This Row],[CODIGO]],Tabla_Items_Completos[[CODIGO]:[LINEA]],4,0)</f>
        <v>#N/A</v>
      </c>
      <c r="F796">
        <v>93</v>
      </c>
      <c r="G796">
        <v>0</v>
      </c>
    </row>
    <row r="797" spans="1:7">
      <c r="A797" t="s">
        <v>7388</v>
      </c>
      <c r="B797" t="s">
        <v>8184</v>
      </c>
      <c r="C797" s="1" t="e">
        <f>VLOOKUP(Tabla_Items_Activos[[#This Row],[CODIGO]],Tabla_Items_Completos[[CODIGO]:[LINEA]],2,0)</f>
        <v>#N/A</v>
      </c>
      <c r="D797" s="1" t="e">
        <f>VLOOKUP(Tabla_Items_Activos[[#This Row],[CODIGO]],Tabla_Items_Completos[[CODIGO]:[LINEA]],3,0)</f>
        <v>#N/A</v>
      </c>
      <c r="E797" s="1" t="e">
        <f>VLOOKUP(Tabla_Items_Activos[[#This Row],[CODIGO]],Tabla_Items_Completos[[CODIGO]:[LINEA]],4,0)</f>
        <v>#N/A</v>
      </c>
      <c r="F797">
        <v>91</v>
      </c>
      <c r="G797">
        <v>0</v>
      </c>
    </row>
    <row r="798" spans="1:7">
      <c r="A798" t="s">
        <v>7388</v>
      </c>
      <c r="B798" t="s">
        <v>8185</v>
      </c>
      <c r="C798" s="1" t="e">
        <f>VLOOKUP(Tabla_Items_Activos[[#This Row],[CODIGO]],Tabla_Items_Completos[[CODIGO]:[LINEA]],2,0)</f>
        <v>#N/A</v>
      </c>
      <c r="D798" s="1" t="e">
        <f>VLOOKUP(Tabla_Items_Activos[[#This Row],[CODIGO]],Tabla_Items_Completos[[CODIGO]:[LINEA]],3,0)</f>
        <v>#N/A</v>
      </c>
      <c r="E798" s="1" t="e">
        <f>VLOOKUP(Tabla_Items_Activos[[#This Row],[CODIGO]],Tabla_Items_Completos[[CODIGO]:[LINEA]],4,0)</f>
        <v>#N/A</v>
      </c>
      <c r="F798">
        <v>185</v>
      </c>
      <c r="G798">
        <v>0</v>
      </c>
    </row>
    <row r="799" spans="1:7">
      <c r="A799" t="s">
        <v>7388</v>
      </c>
      <c r="B799" t="s">
        <v>8186</v>
      </c>
      <c r="C799" s="1" t="e">
        <f>VLOOKUP(Tabla_Items_Activos[[#This Row],[CODIGO]],Tabla_Items_Completos[[CODIGO]:[LINEA]],2,0)</f>
        <v>#N/A</v>
      </c>
      <c r="D799" s="1" t="e">
        <f>VLOOKUP(Tabla_Items_Activos[[#This Row],[CODIGO]],Tabla_Items_Completos[[CODIGO]:[LINEA]],3,0)</f>
        <v>#N/A</v>
      </c>
      <c r="E799" s="1" t="e">
        <f>VLOOKUP(Tabla_Items_Activos[[#This Row],[CODIGO]],Tabla_Items_Completos[[CODIGO]:[LINEA]],4,0)</f>
        <v>#N/A</v>
      </c>
      <c r="F799">
        <v>14</v>
      </c>
      <c r="G799">
        <v>0</v>
      </c>
    </row>
    <row r="800" spans="1:7">
      <c r="A800" t="s">
        <v>7388</v>
      </c>
      <c r="B800" t="s">
        <v>8187</v>
      </c>
      <c r="C800" s="1" t="e">
        <f>VLOOKUP(Tabla_Items_Activos[[#This Row],[CODIGO]],Tabla_Items_Completos[[CODIGO]:[LINEA]],2,0)</f>
        <v>#N/A</v>
      </c>
      <c r="D800" s="1" t="e">
        <f>VLOOKUP(Tabla_Items_Activos[[#This Row],[CODIGO]],Tabla_Items_Completos[[CODIGO]:[LINEA]],3,0)</f>
        <v>#N/A</v>
      </c>
      <c r="E800" s="1" t="e">
        <f>VLOOKUP(Tabla_Items_Activos[[#This Row],[CODIGO]],Tabla_Items_Completos[[CODIGO]:[LINEA]],4,0)</f>
        <v>#N/A</v>
      </c>
      <c r="F800">
        <v>12</v>
      </c>
      <c r="G800">
        <v>0</v>
      </c>
    </row>
    <row r="801" spans="1:7">
      <c r="A801" t="s">
        <v>7388</v>
      </c>
      <c r="B801" t="s">
        <v>8188</v>
      </c>
      <c r="C801" s="1" t="e">
        <f>VLOOKUP(Tabla_Items_Activos[[#This Row],[CODIGO]],Tabla_Items_Completos[[CODIGO]:[LINEA]],2,0)</f>
        <v>#N/A</v>
      </c>
      <c r="D801" s="1" t="e">
        <f>VLOOKUP(Tabla_Items_Activos[[#This Row],[CODIGO]],Tabla_Items_Completos[[CODIGO]:[LINEA]],3,0)</f>
        <v>#N/A</v>
      </c>
      <c r="E801" s="1" t="e">
        <f>VLOOKUP(Tabla_Items_Activos[[#This Row],[CODIGO]],Tabla_Items_Completos[[CODIGO]:[LINEA]],4,0)</f>
        <v>#N/A</v>
      </c>
      <c r="F801">
        <v>28</v>
      </c>
      <c r="G801">
        <v>0</v>
      </c>
    </row>
    <row r="802" spans="1:7">
      <c r="A802" t="s">
        <v>7388</v>
      </c>
      <c r="B802" t="s">
        <v>8189</v>
      </c>
      <c r="C802" s="1" t="e">
        <f>VLOOKUP(Tabla_Items_Activos[[#This Row],[CODIGO]],Tabla_Items_Completos[[CODIGO]:[LINEA]],2,0)</f>
        <v>#N/A</v>
      </c>
      <c r="D802" s="1" t="e">
        <f>VLOOKUP(Tabla_Items_Activos[[#This Row],[CODIGO]],Tabla_Items_Completos[[CODIGO]:[LINEA]],3,0)</f>
        <v>#N/A</v>
      </c>
      <c r="E802" s="1" t="e">
        <f>VLOOKUP(Tabla_Items_Activos[[#This Row],[CODIGO]],Tabla_Items_Completos[[CODIGO]:[LINEA]],4,0)</f>
        <v>#N/A</v>
      </c>
      <c r="F802">
        <v>14</v>
      </c>
      <c r="G802">
        <v>0</v>
      </c>
    </row>
    <row r="803" spans="1:7">
      <c r="A803" t="s">
        <v>7388</v>
      </c>
      <c r="B803" t="s">
        <v>8190</v>
      </c>
      <c r="C803" s="1" t="e">
        <f>VLOOKUP(Tabla_Items_Activos[[#This Row],[CODIGO]],Tabla_Items_Completos[[CODIGO]:[LINEA]],2,0)</f>
        <v>#N/A</v>
      </c>
      <c r="D803" s="1" t="e">
        <f>VLOOKUP(Tabla_Items_Activos[[#This Row],[CODIGO]],Tabla_Items_Completos[[CODIGO]:[LINEA]],3,0)</f>
        <v>#N/A</v>
      </c>
      <c r="E803" s="1" t="e">
        <f>VLOOKUP(Tabla_Items_Activos[[#This Row],[CODIGO]],Tabla_Items_Completos[[CODIGO]:[LINEA]],4,0)</f>
        <v>#N/A</v>
      </c>
      <c r="F803">
        <v>2</v>
      </c>
      <c r="G803">
        <v>0</v>
      </c>
    </row>
    <row r="804" spans="1:7">
      <c r="A804" t="s">
        <v>7388</v>
      </c>
      <c r="B804" t="s">
        <v>8191</v>
      </c>
      <c r="C804" s="1" t="e">
        <f>VLOOKUP(Tabla_Items_Activos[[#This Row],[CODIGO]],Tabla_Items_Completos[[CODIGO]:[LINEA]],2,0)</f>
        <v>#N/A</v>
      </c>
      <c r="D804" s="1" t="e">
        <f>VLOOKUP(Tabla_Items_Activos[[#This Row],[CODIGO]],Tabla_Items_Completos[[CODIGO]:[LINEA]],3,0)</f>
        <v>#N/A</v>
      </c>
      <c r="E804" s="1" t="e">
        <f>VLOOKUP(Tabla_Items_Activos[[#This Row],[CODIGO]],Tabla_Items_Completos[[CODIGO]:[LINEA]],4,0)</f>
        <v>#N/A</v>
      </c>
      <c r="F804">
        <v>2</v>
      </c>
      <c r="G804">
        <v>0</v>
      </c>
    </row>
    <row r="805" spans="1:7">
      <c r="A805" t="s">
        <v>7388</v>
      </c>
      <c r="B805" t="s">
        <v>8192</v>
      </c>
      <c r="C805" s="1" t="e">
        <f>VLOOKUP(Tabla_Items_Activos[[#This Row],[CODIGO]],Tabla_Items_Completos[[CODIGO]:[LINEA]],2,0)</f>
        <v>#N/A</v>
      </c>
      <c r="D805" s="1" t="e">
        <f>VLOOKUP(Tabla_Items_Activos[[#This Row],[CODIGO]],Tabla_Items_Completos[[CODIGO]:[LINEA]],3,0)</f>
        <v>#N/A</v>
      </c>
      <c r="E805" s="1" t="e">
        <f>VLOOKUP(Tabla_Items_Activos[[#This Row],[CODIGO]],Tabla_Items_Completos[[CODIGO]:[LINEA]],4,0)</f>
        <v>#N/A</v>
      </c>
      <c r="F805">
        <v>14</v>
      </c>
      <c r="G805">
        <v>0</v>
      </c>
    </row>
    <row r="806" spans="1:7">
      <c r="A806" t="s">
        <v>7388</v>
      </c>
      <c r="B806" t="s">
        <v>8193</v>
      </c>
      <c r="C806" s="1" t="e">
        <f>VLOOKUP(Tabla_Items_Activos[[#This Row],[CODIGO]],Tabla_Items_Completos[[CODIGO]:[LINEA]],2,0)</f>
        <v>#N/A</v>
      </c>
      <c r="D806" s="1" t="e">
        <f>VLOOKUP(Tabla_Items_Activos[[#This Row],[CODIGO]],Tabla_Items_Completos[[CODIGO]:[LINEA]],3,0)</f>
        <v>#N/A</v>
      </c>
      <c r="E806" s="1" t="e">
        <f>VLOOKUP(Tabla_Items_Activos[[#This Row],[CODIGO]],Tabla_Items_Completos[[CODIGO]:[LINEA]],4,0)</f>
        <v>#N/A</v>
      </c>
      <c r="F806">
        <v>59</v>
      </c>
      <c r="G806">
        <v>8</v>
      </c>
    </row>
    <row r="807" spans="1:7">
      <c r="A807" t="s">
        <v>7388</v>
      </c>
      <c r="B807" t="s">
        <v>8194</v>
      </c>
      <c r="C807" s="1" t="e">
        <f>VLOOKUP(Tabla_Items_Activos[[#This Row],[CODIGO]],Tabla_Items_Completos[[CODIGO]:[LINEA]],2,0)</f>
        <v>#N/A</v>
      </c>
      <c r="D807" s="1" t="e">
        <f>VLOOKUP(Tabla_Items_Activos[[#This Row],[CODIGO]],Tabla_Items_Completos[[CODIGO]:[LINEA]],3,0)</f>
        <v>#N/A</v>
      </c>
      <c r="E807" s="1" t="e">
        <f>VLOOKUP(Tabla_Items_Activos[[#This Row],[CODIGO]],Tabla_Items_Completos[[CODIGO]:[LINEA]],4,0)</f>
        <v>#N/A</v>
      </c>
      <c r="F807">
        <v>8</v>
      </c>
      <c r="G807">
        <v>0</v>
      </c>
    </row>
    <row r="808" spans="1:7">
      <c r="A808" t="s">
        <v>7388</v>
      </c>
      <c r="B808" t="s">
        <v>8195</v>
      </c>
      <c r="C808" s="1" t="e">
        <f>VLOOKUP(Tabla_Items_Activos[[#This Row],[CODIGO]],Tabla_Items_Completos[[CODIGO]:[LINEA]],2,0)</f>
        <v>#N/A</v>
      </c>
      <c r="D808" s="1" t="e">
        <f>VLOOKUP(Tabla_Items_Activos[[#This Row],[CODIGO]],Tabla_Items_Completos[[CODIGO]:[LINEA]],3,0)</f>
        <v>#N/A</v>
      </c>
      <c r="E808" s="1" t="e">
        <f>VLOOKUP(Tabla_Items_Activos[[#This Row],[CODIGO]],Tabla_Items_Completos[[CODIGO]:[LINEA]],4,0)</f>
        <v>#N/A</v>
      </c>
      <c r="F808">
        <v>82</v>
      </c>
      <c r="G808">
        <v>8</v>
      </c>
    </row>
    <row r="809" spans="1:7">
      <c r="A809" t="s">
        <v>7388</v>
      </c>
      <c r="B809" t="s">
        <v>8196</v>
      </c>
      <c r="C809" s="1" t="e">
        <f>VLOOKUP(Tabla_Items_Activos[[#This Row],[CODIGO]],Tabla_Items_Completos[[CODIGO]:[LINEA]],2,0)</f>
        <v>#N/A</v>
      </c>
      <c r="D809" s="1" t="e">
        <f>VLOOKUP(Tabla_Items_Activos[[#This Row],[CODIGO]],Tabla_Items_Completos[[CODIGO]:[LINEA]],3,0)</f>
        <v>#N/A</v>
      </c>
      <c r="E809" s="1" t="e">
        <f>VLOOKUP(Tabla_Items_Activos[[#This Row],[CODIGO]],Tabla_Items_Completos[[CODIGO]:[LINEA]],4,0)</f>
        <v>#N/A</v>
      </c>
      <c r="F809">
        <v>24</v>
      </c>
      <c r="G809">
        <v>0</v>
      </c>
    </row>
    <row r="810" spans="1:7">
      <c r="A810" t="s">
        <v>7388</v>
      </c>
      <c r="B810" t="s">
        <v>8197</v>
      </c>
      <c r="C810" s="1" t="e">
        <f>VLOOKUP(Tabla_Items_Activos[[#This Row],[CODIGO]],Tabla_Items_Completos[[CODIGO]:[LINEA]],2,0)</f>
        <v>#N/A</v>
      </c>
      <c r="D810" s="1" t="e">
        <f>VLOOKUP(Tabla_Items_Activos[[#This Row],[CODIGO]],Tabla_Items_Completos[[CODIGO]:[LINEA]],3,0)</f>
        <v>#N/A</v>
      </c>
      <c r="E810" s="1" t="e">
        <f>VLOOKUP(Tabla_Items_Activos[[#This Row],[CODIGO]],Tabla_Items_Completos[[CODIGO]:[LINEA]],4,0)</f>
        <v>#N/A</v>
      </c>
      <c r="F810">
        <v>151</v>
      </c>
      <c r="G810">
        <v>197</v>
      </c>
    </row>
    <row r="811" spans="1:7">
      <c r="A811" t="s">
        <v>7388</v>
      </c>
      <c r="B811" t="s">
        <v>8198</v>
      </c>
      <c r="C811" s="1" t="e">
        <f>VLOOKUP(Tabla_Items_Activos[[#This Row],[CODIGO]],Tabla_Items_Completos[[CODIGO]:[LINEA]],2,0)</f>
        <v>#N/A</v>
      </c>
      <c r="D811" s="1" t="e">
        <f>VLOOKUP(Tabla_Items_Activos[[#This Row],[CODIGO]],Tabla_Items_Completos[[CODIGO]:[LINEA]],3,0)</f>
        <v>#N/A</v>
      </c>
      <c r="E811" s="1" t="e">
        <f>VLOOKUP(Tabla_Items_Activos[[#This Row],[CODIGO]],Tabla_Items_Completos[[CODIGO]:[LINEA]],4,0)</f>
        <v>#N/A</v>
      </c>
      <c r="F811">
        <v>200</v>
      </c>
      <c r="G811">
        <v>105</v>
      </c>
    </row>
    <row r="812" spans="1:7">
      <c r="A812" t="s">
        <v>7388</v>
      </c>
      <c r="B812" t="s">
        <v>8199</v>
      </c>
      <c r="C812" s="1" t="e">
        <f>VLOOKUP(Tabla_Items_Activos[[#This Row],[CODIGO]],Tabla_Items_Completos[[CODIGO]:[LINEA]],2,0)</f>
        <v>#N/A</v>
      </c>
      <c r="D812" s="1" t="e">
        <f>VLOOKUP(Tabla_Items_Activos[[#This Row],[CODIGO]],Tabla_Items_Completos[[CODIGO]:[LINEA]],3,0)</f>
        <v>#N/A</v>
      </c>
      <c r="E812" s="1" t="e">
        <f>VLOOKUP(Tabla_Items_Activos[[#This Row],[CODIGO]],Tabla_Items_Completos[[CODIGO]:[LINEA]],4,0)</f>
        <v>#N/A</v>
      </c>
      <c r="F812">
        <v>200</v>
      </c>
      <c r="G812">
        <v>78</v>
      </c>
    </row>
    <row r="813" spans="1:7">
      <c r="A813" t="s">
        <v>7388</v>
      </c>
      <c r="B813" t="s">
        <v>8200</v>
      </c>
      <c r="C813" s="1" t="e">
        <f>VLOOKUP(Tabla_Items_Activos[[#This Row],[CODIGO]],Tabla_Items_Completos[[CODIGO]:[LINEA]],2,0)</f>
        <v>#N/A</v>
      </c>
      <c r="D813" s="1" t="e">
        <f>VLOOKUP(Tabla_Items_Activos[[#This Row],[CODIGO]],Tabla_Items_Completos[[CODIGO]:[LINEA]],3,0)</f>
        <v>#N/A</v>
      </c>
      <c r="E813" s="1" t="e">
        <f>VLOOKUP(Tabla_Items_Activos[[#This Row],[CODIGO]],Tabla_Items_Completos[[CODIGO]:[LINEA]],4,0)</f>
        <v>#N/A</v>
      </c>
      <c r="F813">
        <v>121</v>
      </c>
      <c r="G813">
        <v>2</v>
      </c>
    </row>
    <row r="814" spans="1:7">
      <c r="A814" t="s">
        <v>7388</v>
      </c>
      <c r="B814" t="s">
        <v>8201</v>
      </c>
      <c r="C814" s="1" t="e">
        <f>VLOOKUP(Tabla_Items_Activos[[#This Row],[CODIGO]],Tabla_Items_Completos[[CODIGO]:[LINEA]],2,0)</f>
        <v>#N/A</v>
      </c>
      <c r="D814" s="1" t="e">
        <f>VLOOKUP(Tabla_Items_Activos[[#This Row],[CODIGO]],Tabla_Items_Completos[[CODIGO]:[LINEA]],3,0)</f>
        <v>#N/A</v>
      </c>
      <c r="E814" s="1" t="e">
        <f>VLOOKUP(Tabla_Items_Activos[[#This Row],[CODIGO]],Tabla_Items_Completos[[CODIGO]:[LINEA]],4,0)</f>
        <v>#N/A</v>
      </c>
      <c r="F814">
        <v>12</v>
      </c>
      <c r="G814">
        <v>1</v>
      </c>
    </row>
    <row r="815" spans="1:7">
      <c r="A815" t="s">
        <v>7388</v>
      </c>
      <c r="B815" t="s">
        <v>8202</v>
      </c>
      <c r="C815" s="1" t="e">
        <f>VLOOKUP(Tabla_Items_Activos[[#This Row],[CODIGO]],Tabla_Items_Completos[[CODIGO]:[LINEA]],2,0)</f>
        <v>#N/A</v>
      </c>
      <c r="D815" s="1" t="e">
        <f>VLOOKUP(Tabla_Items_Activos[[#This Row],[CODIGO]],Tabla_Items_Completos[[CODIGO]:[LINEA]],3,0)</f>
        <v>#N/A</v>
      </c>
      <c r="E815" s="1" t="e">
        <f>VLOOKUP(Tabla_Items_Activos[[#This Row],[CODIGO]],Tabla_Items_Completos[[CODIGO]:[LINEA]],4,0)</f>
        <v>#N/A</v>
      </c>
      <c r="F815">
        <v>11</v>
      </c>
      <c r="G815">
        <v>1</v>
      </c>
    </row>
    <row r="816" spans="1:7">
      <c r="A816" t="s">
        <v>7388</v>
      </c>
      <c r="B816" t="s">
        <v>8203</v>
      </c>
      <c r="C816" s="1" t="e">
        <f>VLOOKUP(Tabla_Items_Activos[[#This Row],[CODIGO]],Tabla_Items_Completos[[CODIGO]:[LINEA]],2,0)</f>
        <v>#N/A</v>
      </c>
      <c r="D816" s="1" t="e">
        <f>VLOOKUP(Tabla_Items_Activos[[#This Row],[CODIGO]],Tabla_Items_Completos[[CODIGO]:[LINEA]],3,0)</f>
        <v>#N/A</v>
      </c>
      <c r="E816" s="1" t="e">
        <f>VLOOKUP(Tabla_Items_Activos[[#This Row],[CODIGO]],Tabla_Items_Completos[[CODIGO]:[LINEA]],4,0)</f>
        <v>#N/A</v>
      </c>
      <c r="F816">
        <v>12</v>
      </c>
      <c r="G816">
        <v>1</v>
      </c>
    </row>
    <row r="817" spans="1:7">
      <c r="A817" t="s">
        <v>7388</v>
      </c>
      <c r="B817" t="s">
        <v>8204</v>
      </c>
      <c r="C817" s="1" t="e">
        <f>VLOOKUP(Tabla_Items_Activos[[#This Row],[CODIGO]],Tabla_Items_Completos[[CODIGO]:[LINEA]],2,0)</f>
        <v>#N/A</v>
      </c>
      <c r="D817" s="1" t="e">
        <f>VLOOKUP(Tabla_Items_Activos[[#This Row],[CODIGO]],Tabla_Items_Completos[[CODIGO]:[LINEA]],3,0)</f>
        <v>#N/A</v>
      </c>
      <c r="E817" s="1" t="e">
        <f>VLOOKUP(Tabla_Items_Activos[[#This Row],[CODIGO]],Tabla_Items_Completos[[CODIGO]:[LINEA]],4,0)</f>
        <v>#N/A</v>
      </c>
      <c r="F817">
        <v>9</v>
      </c>
      <c r="G817">
        <v>3</v>
      </c>
    </row>
    <row r="818" spans="1:7">
      <c r="A818" t="s">
        <v>7388</v>
      </c>
      <c r="B818" t="s">
        <v>8205</v>
      </c>
      <c r="C818" s="1" t="e">
        <f>VLOOKUP(Tabla_Items_Activos[[#This Row],[CODIGO]],Tabla_Items_Completos[[CODIGO]:[LINEA]],2,0)</f>
        <v>#N/A</v>
      </c>
      <c r="D818" s="1" t="e">
        <f>VLOOKUP(Tabla_Items_Activos[[#This Row],[CODIGO]],Tabla_Items_Completos[[CODIGO]:[LINEA]],3,0)</f>
        <v>#N/A</v>
      </c>
      <c r="E818" s="1" t="e">
        <f>VLOOKUP(Tabla_Items_Activos[[#This Row],[CODIGO]],Tabla_Items_Completos[[CODIGO]:[LINEA]],4,0)</f>
        <v>#N/A</v>
      </c>
      <c r="F818">
        <v>8</v>
      </c>
      <c r="G818">
        <v>5</v>
      </c>
    </row>
    <row r="819" spans="1:7">
      <c r="A819" t="s">
        <v>7388</v>
      </c>
      <c r="B819" t="s">
        <v>8206</v>
      </c>
      <c r="C819" s="1" t="e">
        <f>VLOOKUP(Tabla_Items_Activos[[#This Row],[CODIGO]],Tabla_Items_Completos[[CODIGO]:[LINEA]],2,0)</f>
        <v>#N/A</v>
      </c>
      <c r="D819" s="1" t="e">
        <f>VLOOKUP(Tabla_Items_Activos[[#This Row],[CODIGO]],Tabla_Items_Completos[[CODIGO]:[LINEA]],3,0)</f>
        <v>#N/A</v>
      </c>
      <c r="E819" s="1" t="e">
        <f>VLOOKUP(Tabla_Items_Activos[[#This Row],[CODIGO]],Tabla_Items_Completos[[CODIGO]:[LINEA]],4,0)</f>
        <v>#N/A</v>
      </c>
      <c r="F819">
        <v>16</v>
      </c>
      <c r="G819">
        <v>16</v>
      </c>
    </row>
    <row r="820" spans="1:7">
      <c r="A820" t="s">
        <v>7388</v>
      </c>
      <c r="B820" t="s">
        <v>8207</v>
      </c>
      <c r="C820" s="1" t="e">
        <f>VLOOKUP(Tabla_Items_Activos[[#This Row],[CODIGO]],Tabla_Items_Completos[[CODIGO]:[LINEA]],2,0)</f>
        <v>#N/A</v>
      </c>
      <c r="D820" s="1" t="e">
        <f>VLOOKUP(Tabla_Items_Activos[[#This Row],[CODIGO]],Tabla_Items_Completos[[CODIGO]:[LINEA]],3,0)</f>
        <v>#N/A</v>
      </c>
      <c r="E820" s="1" t="e">
        <f>VLOOKUP(Tabla_Items_Activos[[#This Row],[CODIGO]],Tabla_Items_Completos[[CODIGO]:[LINEA]],4,0)</f>
        <v>#N/A</v>
      </c>
      <c r="F820">
        <v>13</v>
      </c>
      <c r="G820">
        <v>20</v>
      </c>
    </row>
    <row r="821" spans="1:7">
      <c r="A821" t="s">
        <v>7388</v>
      </c>
      <c r="B821" t="s">
        <v>8208</v>
      </c>
      <c r="C821" s="1" t="e">
        <f>VLOOKUP(Tabla_Items_Activos[[#This Row],[CODIGO]],Tabla_Items_Completos[[CODIGO]:[LINEA]],2,0)</f>
        <v>#N/A</v>
      </c>
      <c r="D821" s="1" t="e">
        <f>VLOOKUP(Tabla_Items_Activos[[#This Row],[CODIGO]],Tabla_Items_Completos[[CODIGO]:[LINEA]],3,0)</f>
        <v>#N/A</v>
      </c>
      <c r="E821" s="1" t="e">
        <f>VLOOKUP(Tabla_Items_Activos[[#This Row],[CODIGO]],Tabla_Items_Completos[[CODIGO]:[LINEA]],4,0)</f>
        <v>#N/A</v>
      </c>
      <c r="F821">
        <v>12</v>
      </c>
      <c r="G821">
        <v>0</v>
      </c>
    </row>
    <row r="822" spans="1:7">
      <c r="A822" t="s">
        <v>7388</v>
      </c>
      <c r="B822" t="s">
        <v>8209</v>
      </c>
      <c r="C822" s="1" t="e">
        <f>VLOOKUP(Tabla_Items_Activos[[#This Row],[CODIGO]],Tabla_Items_Completos[[CODIGO]:[LINEA]],2,0)</f>
        <v>#N/A</v>
      </c>
      <c r="D822" s="1" t="e">
        <f>VLOOKUP(Tabla_Items_Activos[[#This Row],[CODIGO]],Tabla_Items_Completos[[CODIGO]:[LINEA]],3,0)</f>
        <v>#N/A</v>
      </c>
      <c r="E822" s="1" t="e">
        <f>VLOOKUP(Tabla_Items_Activos[[#This Row],[CODIGO]],Tabla_Items_Completos[[CODIGO]:[LINEA]],4,0)</f>
        <v>#N/A</v>
      </c>
      <c r="F822">
        <v>9</v>
      </c>
      <c r="G822">
        <v>34</v>
      </c>
    </row>
    <row r="823" spans="1:7">
      <c r="A823" t="s">
        <v>7388</v>
      </c>
      <c r="B823" t="s">
        <v>8210</v>
      </c>
      <c r="C823" s="1" t="e">
        <f>VLOOKUP(Tabla_Items_Activos[[#This Row],[CODIGO]],Tabla_Items_Completos[[CODIGO]:[LINEA]],2,0)</f>
        <v>#N/A</v>
      </c>
      <c r="D823" s="1" t="e">
        <f>VLOOKUP(Tabla_Items_Activos[[#This Row],[CODIGO]],Tabla_Items_Completos[[CODIGO]:[LINEA]],3,0)</f>
        <v>#N/A</v>
      </c>
      <c r="E823" s="1" t="e">
        <f>VLOOKUP(Tabla_Items_Activos[[#This Row],[CODIGO]],Tabla_Items_Completos[[CODIGO]:[LINEA]],4,0)</f>
        <v>#N/A</v>
      </c>
      <c r="F823">
        <v>9</v>
      </c>
      <c r="G823">
        <v>3</v>
      </c>
    </row>
    <row r="824" spans="1:7">
      <c r="A824" t="s">
        <v>7388</v>
      </c>
      <c r="B824" t="s">
        <v>8211</v>
      </c>
      <c r="C824" s="1" t="e">
        <f>VLOOKUP(Tabla_Items_Activos[[#This Row],[CODIGO]],Tabla_Items_Completos[[CODIGO]:[LINEA]],2,0)</f>
        <v>#N/A</v>
      </c>
      <c r="D824" s="1" t="e">
        <f>VLOOKUP(Tabla_Items_Activos[[#This Row],[CODIGO]],Tabla_Items_Completos[[CODIGO]:[LINEA]],3,0)</f>
        <v>#N/A</v>
      </c>
      <c r="E824" s="1" t="e">
        <f>VLOOKUP(Tabla_Items_Activos[[#This Row],[CODIGO]],Tabla_Items_Completos[[CODIGO]:[LINEA]],4,0)</f>
        <v>#N/A</v>
      </c>
      <c r="F824">
        <v>4</v>
      </c>
      <c r="G824">
        <v>16</v>
      </c>
    </row>
    <row r="825" spans="1:7">
      <c r="A825" t="s">
        <v>7388</v>
      </c>
      <c r="B825" t="s">
        <v>8212</v>
      </c>
      <c r="C825" s="1" t="e">
        <f>VLOOKUP(Tabla_Items_Activos[[#This Row],[CODIGO]],Tabla_Items_Completos[[CODIGO]:[LINEA]],2,0)</f>
        <v>#N/A</v>
      </c>
      <c r="D825" s="1" t="e">
        <f>VLOOKUP(Tabla_Items_Activos[[#This Row],[CODIGO]],Tabla_Items_Completos[[CODIGO]:[LINEA]],3,0)</f>
        <v>#N/A</v>
      </c>
      <c r="E825" s="1" t="e">
        <f>VLOOKUP(Tabla_Items_Activos[[#This Row],[CODIGO]],Tabla_Items_Completos[[CODIGO]:[LINEA]],4,0)</f>
        <v>#N/A</v>
      </c>
      <c r="F825">
        <v>4</v>
      </c>
      <c r="G825">
        <v>14</v>
      </c>
    </row>
    <row r="826" spans="1:7">
      <c r="A826" t="s">
        <v>7388</v>
      </c>
      <c r="B826" t="s">
        <v>8213</v>
      </c>
      <c r="C826" s="1" t="e">
        <f>VLOOKUP(Tabla_Items_Activos[[#This Row],[CODIGO]],Tabla_Items_Completos[[CODIGO]:[LINEA]],2,0)</f>
        <v>#N/A</v>
      </c>
      <c r="D826" s="1" t="e">
        <f>VLOOKUP(Tabla_Items_Activos[[#This Row],[CODIGO]],Tabla_Items_Completos[[CODIGO]:[LINEA]],3,0)</f>
        <v>#N/A</v>
      </c>
      <c r="E826" s="1" t="e">
        <f>VLOOKUP(Tabla_Items_Activos[[#This Row],[CODIGO]],Tabla_Items_Completos[[CODIGO]:[LINEA]],4,0)</f>
        <v>#N/A</v>
      </c>
      <c r="F826">
        <v>250</v>
      </c>
      <c r="G826">
        <v>736</v>
      </c>
    </row>
    <row r="827" spans="1:7">
      <c r="A827" t="s">
        <v>7388</v>
      </c>
      <c r="B827" t="s">
        <v>8214</v>
      </c>
      <c r="C827" s="1" t="e">
        <f>VLOOKUP(Tabla_Items_Activos[[#This Row],[CODIGO]],Tabla_Items_Completos[[CODIGO]:[LINEA]],2,0)</f>
        <v>#N/A</v>
      </c>
      <c r="D827" s="1" t="e">
        <f>VLOOKUP(Tabla_Items_Activos[[#This Row],[CODIGO]],Tabla_Items_Completos[[CODIGO]:[LINEA]],3,0)</f>
        <v>#N/A</v>
      </c>
      <c r="E827" s="1" t="e">
        <f>VLOOKUP(Tabla_Items_Activos[[#This Row],[CODIGO]],Tabla_Items_Completos[[CODIGO]:[LINEA]],4,0)</f>
        <v>#N/A</v>
      </c>
      <c r="F827">
        <v>267</v>
      </c>
      <c r="G827">
        <v>141</v>
      </c>
    </row>
    <row r="828" spans="1:7">
      <c r="A828" t="s">
        <v>7388</v>
      </c>
      <c r="B828" t="s">
        <v>8215</v>
      </c>
      <c r="C828" s="1" t="e">
        <f>VLOOKUP(Tabla_Items_Activos[[#This Row],[CODIGO]],Tabla_Items_Completos[[CODIGO]:[LINEA]],2,0)</f>
        <v>#N/A</v>
      </c>
      <c r="D828" s="1" t="e">
        <f>VLOOKUP(Tabla_Items_Activos[[#This Row],[CODIGO]],Tabla_Items_Completos[[CODIGO]:[LINEA]],3,0)</f>
        <v>#N/A</v>
      </c>
      <c r="E828" s="1" t="e">
        <f>VLOOKUP(Tabla_Items_Activos[[#This Row],[CODIGO]],Tabla_Items_Completos[[CODIGO]:[LINEA]],4,0)</f>
        <v>#N/A</v>
      </c>
      <c r="F828">
        <v>3007</v>
      </c>
      <c r="G828">
        <v>2281</v>
      </c>
    </row>
    <row r="829" spans="1:7">
      <c r="A829" t="s">
        <v>7388</v>
      </c>
      <c r="B829" t="s">
        <v>8216</v>
      </c>
      <c r="C829" s="1" t="e">
        <f>VLOOKUP(Tabla_Items_Activos[[#This Row],[CODIGO]],Tabla_Items_Completos[[CODIGO]:[LINEA]],2,0)</f>
        <v>#N/A</v>
      </c>
      <c r="D829" s="1" t="e">
        <f>VLOOKUP(Tabla_Items_Activos[[#This Row],[CODIGO]],Tabla_Items_Completos[[CODIGO]:[LINEA]],3,0)</f>
        <v>#N/A</v>
      </c>
      <c r="E829" s="1" t="e">
        <f>VLOOKUP(Tabla_Items_Activos[[#This Row],[CODIGO]],Tabla_Items_Completos[[CODIGO]:[LINEA]],4,0)</f>
        <v>#N/A</v>
      </c>
      <c r="F829">
        <v>655</v>
      </c>
      <c r="G829">
        <v>620</v>
      </c>
    </row>
    <row r="830" spans="1:7">
      <c r="A830" t="s">
        <v>7388</v>
      </c>
      <c r="B830" t="s">
        <v>8217</v>
      </c>
      <c r="C830" s="1" t="e">
        <f>VLOOKUP(Tabla_Items_Activos[[#This Row],[CODIGO]],Tabla_Items_Completos[[CODIGO]:[LINEA]],2,0)</f>
        <v>#N/A</v>
      </c>
      <c r="D830" s="1" t="e">
        <f>VLOOKUP(Tabla_Items_Activos[[#This Row],[CODIGO]],Tabla_Items_Completos[[CODIGO]:[LINEA]],3,0)</f>
        <v>#N/A</v>
      </c>
      <c r="E830" s="1" t="e">
        <f>VLOOKUP(Tabla_Items_Activos[[#This Row],[CODIGO]],Tabla_Items_Completos[[CODIGO]:[LINEA]],4,0)</f>
        <v>#N/A</v>
      </c>
      <c r="F830">
        <v>8873</v>
      </c>
      <c r="G830">
        <v>6619</v>
      </c>
    </row>
    <row r="831" spans="1:7">
      <c r="A831" t="s">
        <v>7388</v>
      </c>
      <c r="B831" t="s">
        <v>8218</v>
      </c>
      <c r="C831" s="1" t="e">
        <f>VLOOKUP(Tabla_Items_Activos[[#This Row],[CODIGO]],Tabla_Items_Completos[[CODIGO]:[LINEA]],2,0)</f>
        <v>#N/A</v>
      </c>
      <c r="D831" s="1" t="e">
        <f>VLOOKUP(Tabla_Items_Activos[[#This Row],[CODIGO]],Tabla_Items_Completos[[CODIGO]:[LINEA]],3,0)</f>
        <v>#N/A</v>
      </c>
      <c r="E831" s="1" t="e">
        <f>VLOOKUP(Tabla_Items_Activos[[#This Row],[CODIGO]],Tabla_Items_Completos[[CODIGO]:[LINEA]],4,0)</f>
        <v>#N/A</v>
      </c>
      <c r="F831">
        <v>309</v>
      </c>
      <c r="G831">
        <v>185</v>
      </c>
    </row>
    <row r="832" spans="1:7">
      <c r="A832" t="s">
        <v>7388</v>
      </c>
      <c r="B832" t="s">
        <v>8219</v>
      </c>
      <c r="C832" s="1" t="e">
        <f>VLOOKUP(Tabla_Items_Activos[[#This Row],[CODIGO]],Tabla_Items_Completos[[CODIGO]:[LINEA]],2,0)</f>
        <v>#N/A</v>
      </c>
      <c r="D832" s="1" t="e">
        <f>VLOOKUP(Tabla_Items_Activos[[#This Row],[CODIGO]],Tabla_Items_Completos[[CODIGO]:[LINEA]],3,0)</f>
        <v>#N/A</v>
      </c>
      <c r="E832" s="1" t="e">
        <f>VLOOKUP(Tabla_Items_Activos[[#This Row],[CODIGO]],Tabla_Items_Completos[[CODIGO]:[LINEA]],4,0)</f>
        <v>#N/A</v>
      </c>
      <c r="F832">
        <v>358</v>
      </c>
      <c r="G832">
        <v>214</v>
      </c>
    </row>
    <row r="833" spans="1:7">
      <c r="A833" t="s">
        <v>7388</v>
      </c>
      <c r="B833" t="s">
        <v>8220</v>
      </c>
      <c r="C833" s="1" t="e">
        <f>VLOOKUP(Tabla_Items_Activos[[#This Row],[CODIGO]],Tabla_Items_Completos[[CODIGO]:[LINEA]],2,0)</f>
        <v>#N/A</v>
      </c>
      <c r="D833" s="1" t="e">
        <f>VLOOKUP(Tabla_Items_Activos[[#This Row],[CODIGO]],Tabla_Items_Completos[[CODIGO]:[LINEA]],3,0)</f>
        <v>#N/A</v>
      </c>
      <c r="E833" s="1" t="e">
        <f>VLOOKUP(Tabla_Items_Activos[[#This Row],[CODIGO]],Tabla_Items_Completos[[CODIGO]:[LINEA]],4,0)</f>
        <v>#N/A</v>
      </c>
      <c r="F833">
        <v>410</v>
      </c>
      <c r="G833">
        <v>331</v>
      </c>
    </row>
    <row r="834" spans="1:7">
      <c r="A834" t="s">
        <v>7388</v>
      </c>
      <c r="B834" t="s">
        <v>8221</v>
      </c>
      <c r="C834" s="1" t="e">
        <f>VLOOKUP(Tabla_Items_Activos[[#This Row],[CODIGO]],Tabla_Items_Completos[[CODIGO]:[LINEA]],2,0)</f>
        <v>#N/A</v>
      </c>
      <c r="D834" s="1" t="e">
        <f>VLOOKUP(Tabla_Items_Activos[[#This Row],[CODIGO]],Tabla_Items_Completos[[CODIGO]:[LINEA]],3,0)</f>
        <v>#N/A</v>
      </c>
      <c r="E834" s="1" t="e">
        <f>VLOOKUP(Tabla_Items_Activos[[#This Row],[CODIGO]],Tabla_Items_Completos[[CODIGO]:[LINEA]],4,0)</f>
        <v>#N/A</v>
      </c>
      <c r="F834">
        <v>701</v>
      </c>
      <c r="G834">
        <v>291</v>
      </c>
    </row>
    <row r="835" spans="1:7">
      <c r="A835" t="s">
        <v>7388</v>
      </c>
      <c r="B835" t="s">
        <v>8222</v>
      </c>
      <c r="C835" s="1" t="e">
        <f>VLOOKUP(Tabla_Items_Activos[[#This Row],[CODIGO]],Tabla_Items_Completos[[CODIGO]:[LINEA]],2,0)</f>
        <v>#N/A</v>
      </c>
      <c r="D835" s="1" t="e">
        <f>VLOOKUP(Tabla_Items_Activos[[#This Row],[CODIGO]],Tabla_Items_Completos[[CODIGO]:[LINEA]],3,0)</f>
        <v>#N/A</v>
      </c>
      <c r="E835" s="1" t="e">
        <f>VLOOKUP(Tabla_Items_Activos[[#This Row],[CODIGO]],Tabla_Items_Completos[[CODIGO]:[LINEA]],4,0)</f>
        <v>#N/A</v>
      </c>
      <c r="F835">
        <v>1439</v>
      </c>
      <c r="G835">
        <v>1744</v>
      </c>
    </row>
    <row r="836" spans="1:7">
      <c r="A836" t="s">
        <v>7388</v>
      </c>
      <c r="B836" t="s">
        <v>8223</v>
      </c>
      <c r="C836" s="1" t="e">
        <f>VLOOKUP(Tabla_Items_Activos[[#This Row],[CODIGO]],Tabla_Items_Completos[[CODIGO]:[LINEA]],2,0)</f>
        <v>#N/A</v>
      </c>
      <c r="D836" s="1" t="e">
        <f>VLOOKUP(Tabla_Items_Activos[[#This Row],[CODIGO]],Tabla_Items_Completos[[CODIGO]:[LINEA]],3,0)</f>
        <v>#N/A</v>
      </c>
      <c r="E836" s="1" t="e">
        <f>VLOOKUP(Tabla_Items_Activos[[#This Row],[CODIGO]],Tabla_Items_Completos[[CODIGO]:[LINEA]],4,0)</f>
        <v>#N/A</v>
      </c>
      <c r="F836">
        <v>691</v>
      </c>
      <c r="G836">
        <v>155</v>
      </c>
    </row>
    <row r="837" spans="1:7">
      <c r="A837" t="s">
        <v>7388</v>
      </c>
      <c r="B837" t="s">
        <v>8224</v>
      </c>
      <c r="C837" s="1" t="e">
        <f>VLOOKUP(Tabla_Items_Activos[[#This Row],[CODIGO]],Tabla_Items_Completos[[CODIGO]:[LINEA]],2,0)</f>
        <v>#N/A</v>
      </c>
      <c r="D837" s="1" t="e">
        <f>VLOOKUP(Tabla_Items_Activos[[#This Row],[CODIGO]],Tabla_Items_Completos[[CODIGO]:[LINEA]],3,0)</f>
        <v>#N/A</v>
      </c>
      <c r="E837" s="1" t="e">
        <f>VLOOKUP(Tabla_Items_Activos[[#This Row],[CODIGO]],Tabla_Items_Completos[[CODIGO]:[LINEA]],4,0)</f>
        <v>#N/A</v>
      </c>
      <c r="F837">
        <v>117</v>
      </c>
      <c r="G837">
        <v>271</v>
      </c>
    </row>
    <row r="838" spans="1:7">
      <c r="A838" t="s">
        <v>7388</v>
      </c>
      <c r="B838" t="s">
        <v>8225</v>
      </c>
      <c r="C838" s="1" t="e">
        <f>VLOOKUP(Tabla_Items_Activos[[#This Row],[CODIGO]],Tabla_Items_Completos[[CODIGO]:[LINEA]],2,0)</f>
        <v>#N/A</v>
      </c>
      <c r="D838" s="1" t="e">
        <f>VLOOKUP(Tabla_Items_Activos[[#This Row],[CODIGO]],Tabla_Items_Completos[[CODIGO]:[LINEA]],3,0)</f>
        <v>#N/A</v>
      </c>
      <c r="E838" s="1" t="e">
        <f>VLOOKUP(Tabla_Items_Activos[[#This Row],[CODIGO]],Tabla_Items_Completos[[CODIGO]:[LINEA]],4,0)</f>
        <v>#N/A</v>
      </c>
      <c r="F838">
        <v>559</v>
      </c>
      <c r="G838">
        <v>128</v>
      </c>
    </row>
    <row r="839" spans="1:7">
      <c r="A839" t="s">
        <v>7388</v>
      </c>
      <c r="B839" t="s">
        <v>8226</v>
      </c>
      <c r="C839" s="1" t="e">
        <f>VLOOKUP(Tabla_Items_Activos[[#This Row],[CODIGO]],Tabla_Items_Completos[[CODIGO]:[LINEA]],2,0)</f>
        <v>#N/A</v>
      </c>
      <c r="D839" s="1" t="e">
        <f>VLOOKUP(Tabla_Items_Activos[[#This Row],[CODIGO]],Tabla_Items_Completos[[CODIGO]:[LINEA]],3,0)</f>
        <v>#N/A</v>
      </c>
      <c r="E839" s="1" t="e">
        <f>VLOOKUP(Tabla_Items_Activos[[#This Row],[CODIGO]],Tabla_Items_Completos[[CODIGO]:[LINEA]],4,0)</f>
        <v>#N/A</v>
      </c>
      <c r="F839">
        <v>394</v>
      </c>
      <c r="G839">
        <v>152</v>
      </c>
    </row>
    <row r="840" spans="1:7">
      <c r="A840" t="s">
        <v>7388</v>
      </c>
      <c r="B840" t="s">
        <v>8227</v>
      </c>
      <c r="C840" s="1" t="e">
        <f>VLOOKUP(Tabla_Items_Activos[[#This Row],[CODIGO]],Tabla_Items_Completos[[CODIGO]:[LINEA]],2,0)</f>
        <v>#N/A</v>
      </c>
      <c r="D840" s="1" t="e">
        <f>VLOOKUP(Tabla_Items_Activos[[#This Row],[CODIGO]],Tabla_Items_Completos[[CODIGO]:[LINEA]],3,0)</f>
        <v>#N/A</v>
      </c>
      <c r="E840" s="1" t="e">
        <f>VLOOKUP(Tabla_Items_Activos[[#This Row],[CODIGO]],Tabla_Items_Completos[[CODIGO]:[LINEA]],4,0)</f>
        <v>#N/A</v>
      </c>
      <c r="F840">
        <v>653</v>
      </c>
      <c r="G840">
        <v>328</v>
      </c>
    </row>
    <row r="841" spans="1:7">
      <c r="A841" t="s">
        <v>7388</v>
      </c>
      <c r="B841" t="s">
        <v>8228</v>
      </c>
      <c r="C841" s="1" t="e">
        <f>VLOOKUP(Tabla_Items_Activos[[#This Row],[CODIGO]],Tabla_Items_Completos[[CODIGO]:[LINEA]],2,0)</f>
        <v>#N/A</v>
      </c>
      <c r="D841" s="1" t="e">
        <f>VLOOKUP(Tabla_Items_Activos[[#This Row],[CODIGO]],Tabla_Items_Completos[[CODIGO]:[LINEA]],3,0)</f>
        <v>#N/A</v>
      </c>
      <c r="E841" s="1" t="e">
        <f>VLOOKUP(Tabla_Items_Activos[[#This Row],[CODIGO]],Tabla_Items_Completos[[CODIGO]:[LINEA]],4,0)</f>
        <v>#N/A</v>
      </c>
      <c r="F841">
        <v>237</v>
      </c>
      <c r="G841">
        <v>134</v>
      </c>
    </row>
    <row r="842" spans="1:7">
      <c r="A842" t="s">
        <v>7388</v>
      </c>
      <c r="B842" t="s">
        <v>8229</v>
      </c>
      <c r="C842" s="1" t="e">
        <f>VLOOKUP(Tabla_Items_Activos[[#This Row],[CODIGO]],Tabla_Items_Completos[[CODIGO]:[LINEA]],2,0)</f>
        <v>#N/A</v>
      </c>
      <c r="D842" s="1" t="e">
        <f>VLOOKUP(Tabla_Items_Activos[[#This Row],[CODIGO]],Tabla_Items_Completos[[CODIGO]:[LINEA]],3,0)</f>
        <v>#N/A</v>
      </c>
      <c r="E842" s="1" t="e">
        <f>VLOOKUP(Tabla_Items_Activos[[#This Row],[CODIGO]],Tabla_Items_Completos[[CODIGO]:[LINEA]],4,0)</f>
        <v>#N/A</v>
      </c>
      <c r="F842">
        <v>110</v>
      </c>
      <c r="G842">
        <v>23</v>
      </c>
    </row>
    <row r="843" spans="1:7">
      <c r="A843" t="s">
        <v>7388</v>
      </c>
      <c r="B843" t="s">
        <v>8230</v>
      </c>
      <c r="C843" s="1" t="e">
        <f>VLOOKUP(Tabla_Items_Activos[[#This Row],[CODIGO]],Tabla_Items_Completos[[CODIGO]:[LINEA]],2,0)</f>
        <v>#N/A</v>
      </c>
      <c r="D843" s="1" t="e">
        <f>VLOOKUP(Tabla_Items_Activos[[#This Row],[CODIGO]],Tabla_Items_Completos[[CODIGO]:[LINEA]],3,0)</f>
        <v>#N/A</v>
      </c>
      <c r="E843" s="1" t="e">
        <f>VLOOKUP(Tabla_Items_Activos[[#This Row],[CODIGO]],Tabla_Items_Completos[[CODIGO]:[LINEA]],4,0)</f>
        <v>#N/A</v>
      </c>
      <c r="F843">
        <v>118</v>
      </c>
      <c r="G843">
        <v>75</v>
      </c>
    </row>
    <row r="844" spans="1:7">
      <c r="A844" t="s">
        <v>7388</v>
      </c>
      <c r="B844" t="s">
        <v>8231</v>
      </c>
      <c r="C844" s="1" t="e">
        <f>VLOOKUP(Tabla_Items_Activos[[#This Row],[CODIGO]],Tabla_Items_Completos[[CODIGO]:[LINEA]],2,0)</f>
        <v>#N/A</v>
      </c>
      <c r="D844" s="1" t="e">
        <f>VLOOKUP(Tabla_Items_Activos[[#This Row],[CODIGO]],Tabla_Items_Completos[[CODIGO]:[LINEA]],3,0)</f>
        <v>#N/A</v>
      </c>
      <c r="E844" s="1" t="e">
        <f>VLOOKUP(Tabla_Items_Activos[[#This Row],[CODIGO]],Tabla_Items_Completos[[CODIGO]:[LINEA]],4,0)</f>
        <v>#N/A</v>
      </c>
      <c r="F844">
        <v>27</v>
      </c>
      <c r="G844">
        <v>0</v>
      </c>
    </row>
    <row r="845" spans="1:7">
      <c r="A845" t="s">
        <v>7388</v>
      </c>
      <c r="B845" t="s">
        <v>8232</v>
      </c>
      <c r="C845" s="1" t="e">
        <f>VLOOKUP(Tabla_Items_Activos[[#This Row],[CODIGO]],Tabla_Items_Completos[[CODIGO]:[LINEA]],2,0)</f>
        <v>#N/A</v>
      </c>
      <c r="D845" s="1" t="e">
        <f>VLOOKUP(Tabla_Items_Activos[[#This Row],[CODIGO]],Tabla_Items_Completos[[CODIGO]:[LINEA]],3,0)</f>
        <v>#N/A</v>
      </c>
      <c r="E845" s="1" t="e">
        <f>VLOOKUP(Tabla_Items_Activos[[#This Row],[CODIGO]],Tabla_Items_Completos[[CODIGO]:[LINEA]],4,0)</f>
        <v>#N/A</v>
      </c>
      <c r="F845">
        <v>1033</v>
      </c>
      <c r="G845">
        <v>849</v>
      </c>
    </row>
    <row r="846" spans="1:7">
      <c r="A846" t="s">
        <v>7388</v>
      </c>
      <c r="B846" t="s">
        <v>8233</v>
      </c>
      <c r="C846" s="1" t="e">
        <f>VLOOKUP(Tabla_Items_Activos[[#This Row],[CODIGO]],Tabla_Items_Completos[[CODIGO]:[LINEA]],2,0)</f>
        <v>#N/A</v>
      </c>
      <c r="D846" s="1" t="e">
        <f>VLOOKUP(Tabla_Items_Activos[[#This Row],[CODIGO]],Tabla_Items_Completos[[CODIGO]:[LINEA]],3,0)</f>
        <v>#N/A</v>
      </c>
      <c r="E846" s="1" t="e">
        <f>VLOOKUP(Tabla_Items_Activos[[#This Row],[CODIGO]],Tabla_Items_Completos[[CODIGO]:[LINEA]],4,0)</f>
        <v>#N/A</v>
      </c>
      <c r="F846">
        <v>600</v>
      </c>
      <c r="G846">
        <v>338</v>
      </c>
    </row>
    <row r="847" spans="1:7">
      <c r="A847" t="s">
        <v>7388</v>
      </c>
      <c r="B847" t="s">
        <v>8234</v>
      </c>
      <c r="C847" s="1" t="e">
        <f>VLOOKUP(Tabla_Items_Activos[[#This Row],[CODIGO]],Tabla_Items_Completos[[CODIGO]:[LINEA]],2,0)</f>
        <v>#N/A</v>
      </c>
      <c r="D847" s="1" t="e">
        <f>VLOOKUP(Tabla_Items_Activos[[#This Row],[CODIGO]],Tabla_Items_Completos[[CODIGO]:[LINEA]],3,0)</f>
        <v>#N/A</v>
      </c>
      <c r="E847" s="1" t="e">
        <f>VLOOKUP(Tabla_Items_Activos[[#This Row],[CODIGO]],Tabla_Items_Completos[[CODIGO]:[LINEA]],4,0)</f>
        <v>#N/A</v>
      </c>
      <c r="F847">
        <v>599</v>
      </c>
      <c r="G847">
        <v>188</v>
      </c>
    </row>
    <row r="848" spans="1:7">
      <c r="A848" t="s">
        <v>7388</v>
      </c>
      <c r="B848" t="s">
        <v>8235</v>
      </c>
      <c r="C848" s="1" t="e">
        <f>VLOOKUP(Tabla_Items_Activos[[#This Row],[CODIGO]],Tabla_Items_Completos[[CODIGO]:[LINEA]],2,0)</f>
        <v>#N/A</v>
      </c>
      <c r="D848" s="1" t="e">
        <f>VLOOKUP(Tabla_Items_Activos[[#This Row],[CODIGO]],Tabla_Items_Completos[[CODIGO]:[LINEA]],3,0)</f>
        <v>#N/A</v>
      </c>
      <c r="E848" s="1" t="e">
        <f>VLOOKUP(Tabla_Items_Activos[[#This Row],[CODIGO]],Tabla_Items_Completos[[CODIGO]:[LINEA]],4,0)</f>
        <v>#N/A</v>
      </c>
      <c r="F848">
        <v>1313</v>
      </c>
      <c r="G848">
        <v>665</v>
      </c>
    </row>
    <row r="849" spans="1:7">
      <c r="A849" t="s">
        <v>7388</v>
      </c>
      <c r="B849" t="s">
        <v>8236</v>
      </c>
      <c r="C849" s="1" t="e">
        <f>VLOOKUP(Tabla_Items_Activos[[#This Row],[CODIGO]],Tabla_Items_Completos[[CODIGO]:[LINEA]],2,0)</f>
        <v>#N/A</v>
      </c>
      <c r="D849" s="1" t="e">
        <f>VLOOKUP(Tabla_Items_Activos[[#This Row],[CODIGO]],Tabla_Items_Completos[[CODIGO]:[LINEA]],3,0)</f>
        <v>#N/A</v>
      </c>
      <c r="E849" s="1" t="e">
        <f>VLOOKUP(Tabla_Items_Activos[[#This Row],[CODIGO]],Tabla_Items_Completos[[CODIGO]:[LINEA]],4,0)</f>
        <v>#N/A</v>
      </c>
      <c r="F849">
        <v>233</v>
      </c>
      <c r="G849">
        <v>128</v>
      </c>
    </row>
    <row r="850" spans="1:7">
      <c r="A850" t="s">
        <v>7388</v>
      </c>
      <c r="B850" t="s">
        <v>8237</v>
      </c>
      <c r="C850" s="1" t="e">
        <f>VLOOKUP(Tabla_Items_Activos[[#This Row],[CODIGO]],Tabla_Items_Completos[[CODIGO]:[LINEA]],2,0)</f>
        <v>#N/A</v>
      </c>
      <c r="D850" s="1" t="e">
        <f>VLOOKUP(Tabla_Items_Activos[[#This Row],[CODIGO]],Tabla_Items_Completos[[CODIGO]:[LINEA]],3,0)</f>
        <v>#N/A</v>
      </c>
      <c r="E850" s="1" t="e">
        <f>VLOOKUP(Tabla_Items_Activos[[#This Row],[CODIGO]],Tabla_Items_Completos[[CODIGO]:[LINEA]],4,0)</f>
        <v>#N/A</v>
      </c>
      <c r="F850">
        <v>72</v>
      </c>
      <c r="G850">
        <v>60</v>
      </c>
    </row>
    <row r="851" spans="1:7">
      <c r="A851" t="s">
        <v>7388</v>
      </c>
      <c r="B851" t="s">
        <v>8238</v>
      </c>
      <c r="C851" s="1" t="e">
        <f>VLOOKUP(Tabla_Items_Activos[[#This Row],[CODIGO]],Tabla_Items_Completos[[CODIGO]:[LINEA]],2,0)</f>
        <v>#N/A</v>
      </c>
      <c r="D851" s="1" t="e">
        <f>VLOOKUP(Tabla_Items_Activos[[#This Row],[CODIGO]],Tabla_Items_Completos[[CODIGO]:[LINEA]],3,0)</f>
        <v>#N/A</v>
      </c>
      <c r="E851" s="1" t="e">
        <f>VLOOKUP(Tabla_Items_Activos[[#This Row],[CODIGO]],Tabla_Items_Completos[[CODIGO]:[LINEA]],4,0)</f>
        <v>#N/A</v>
      </c>
      <c r="F851">
        <v>14</v>
      </c>
      <c r="G851">
        <v>0</v>
      </c>
    </row>
    <row r="852" spans="1:7">
      <c r="A852" t="s">
        <v>7388</v>
      </c>
      <c r="B852" t="s">
        <v>8239</v>
      </c>
      <c r="C852" s="1" t="e">
        <f>VLOOKUP(Tabla_Items_Activos[[#This Row],[CODIGO]],Tabla_Items_Completos[[CODIGO]:[LINEA]],2,0)</f>
        <v>#N/A</v>
      </c>
      <c r="D852" s="1" t="e">
        <f>VLOOKUP(Tabla_Items_Activos[[#This Row],[CODIGO]],Tabla_Items_Completos[[CODIGO]:[LINEA]],3,0)</f>
        <v>#N/A</v>
      </c>
      <c r="E852" s="1" t="e">
        <f>VLOOKUP(Tabla_Items_Activos[[#This Row],[CODIGO]],Tabla_Items_Completos[[CODIGO]:[LINEA]],4,0)</f>
        <v>#N/A</v>
      </c>
      <c r="F852">
        <v>235</v>
      </c>
      <c r="G852">
        <v>9</v>
      </c>
    </row>
    <row r="853" spans="1:7">
      <c r="A853" t="s">
        <v>7388</v>
      </c>
      <c r="B853" t="s">
        <v>8240</v>
      </c>
      <c r="C853" s="1" t="e">
        <f>VLOOKUP(Tabla_Items_Activos[[#This Row],[CODIGO]],Tabla_Items_Completos[[CODIGO]:[LINEA]],2,0)</f>
        <v>#N/A</v>
      </c>
      <c r="D853" s="1" t="e">
        <f>VLOOKUP(Tabla_Items_Activos[[#This Row],[CODIGO]],Tabla_Items_Completos[[CODIGO]:[LINEA]],3,0)</f>
        <v>#N/A</v>
      </c>
      <c r="E853" s="1" t="e">
        <f>VLOOKUP(Tabla_Items_Activos[[#This Row],[CODIGO]],Tabla_Items_Completos[[CODIGO]:[LINEA]],4,0)</f>
        <v>#N/A</v>
      </c>
      <c r="F853">
        <v>87</v>
      </c>
      <c r="G853">
        <v>28</v>
      </c>
    </row>
    <row r="854" spans="1:7">
      <c r="A854" t="s">
        <v>7388</v>
      </c>
      <c r="B854" t="s">
        <v>8241</v>
      </c>
      <c r="C854" s="1" t="e">
        <f>VLOOKUP(Tabla_Items_Activos[[#This Row],[CODIGO]],Tabla_Items_Completos[[CODIGO]:[LINEA]],2,0)</f>
        <v>#N/A</v>
      </c>
      <c r="D854" s="1" t="e">
        <f>VLOOKUP(Tabla_Items_Activos[[#This Row],[CODIGO]],Tabla_Items_Completos[[CODIGO]:[LINEA]],3,0)</f>
        <v>#N/A</v>
      </c>
      <c r="E854" s="1" t="e">
        <f>VLOOKUP(Tabla_Items_Activos[[#This Row],[CODIGO]],Tabla_Items_Completos[[CODIGO]:[LINEA]],4,0)</f>
        <v>#N/A</v>
      </c>
      <c r="F854">
        <v>44</v>
      </c>
      <c r="G854">
        <v>8</v>
      </c>
    </row>
    <row r="855" spans="1:7">
      <c r="A855" t="s">
        <v>7388</v>
      </c>
      <c r="B855" t="s">
        <v>8242</v>
      </c>
      <c r="C855" s="1" t="e">
        <f>VLOOKUP(Tabla_Items_Activos[[#This Row],[CODIGO]],Tabla_Items_Completos[[CODIGO]:[LINEA]],2,0)</f>
        <v>#N/A</v>
      </c>
      <c r="D855" s="1" t="e">
        <f>VLOOKUP(Tabla_Items_Activos[[#This Row],[CODIGO]],Tabla_Items_Completos[[CODIGO]:[LINEA]],3,0)</f>
        <v>#N/A</v>
      </c>
      <c r="E855" s="1" t="e">
        <f>VLOOKUP(Tabla_Items_Activos[[#This Row],[CODIGO]],Tabla_Items_Completos[[CODIGO]:[LINEA]],4,0)</f>
        <v>#N/A</v>
      </c>
      <c r="F855">
        <v>1057</v>
      </c>
      <c r="G855">
        <v>427</v>
      </c>
    </row>
    <row r="856" spans="1:7">
      <c r="A856" t="s">
        <v>7388</v>
      </c>
      <c r="B856" t="s">
        <v>8243</v>
      </c>
      <c r="C856" s="1" t="e">
        <f>VLOOKUP(Tabla_Items_Activos[[#This Row],[CODIGO]],Tabla_Items_Completos[[CODIGO]:[LINEA]],2,0)</f>
        <v>#N/A</v>
      </c>
      <c r="D856" s="1" t="e">
        <f>VLOOKUP(Tabla_Items_Activos[[#This Row],[CODIGO]],Tabla_Items_Completos[[CODIGO]:[LINEA]],3,0)</f>
        <v>#N/A</v>
      </c>
      <c r="E856" s="1" t="e">
        <f>VLOOKUP(Tabla_Items_Activos[[#This Row],[CODIGO]],Tabla_Items_Completos[[CODIGO]:[LINEA]],4,0)</f>
        <v>#N/A</v>
      </c>
      <c r="F856">
        <v>600</v>
      </c>
      <c r="G856">
        <v>484</v>
      </c>
    </row>
    <row r="857" spans="1:7">
      <c r="A857" t="s">
        <v>7388</v>
      </c>
      <c r="B857" t="s">
        <v>8244</v>
      </c>
      <c r="C857" s="1" t="e">
        <f>VLOOKUP(Tabla_Items_Activos[[#This Row],[CODIGO]],Tabla_Items_Completos[[CODIGO]:[LINEA]],2,0)</f>
        <v>#N/A</v>
      </c>
      <c r="D857" s="1" t="e">
        <f>VLOOKUP(Tabla_Items_Activos[[#This Row],[CODIGO]],Tabla_Items_Completos[[CODIGO]:[LINEA]],3,0)</f>
        <v>#N/A</v>
      </c>
      <c r="E857" s="1" t="e">
        <f>VLOOKUP(Tabla_Items_Activos[[#This Row],[CODIGO]],Tabla_Items_Completos[[CODIGO]:[LINEA]],4,0)</f>
        <v>#N/A</v>
      </c>
      <c r="F857">
        <v>232</v>
      </c>
      <c r="G857">
        <v>60</v>
      </c>
    </row>
    <row r="858" spans="1:7">
      <c r="A858" t="s">
        <v>7388</v>
      </c>
      <c r="B858" t="s">
        <v>8245</v>
      </c>
      <c r="C858" s="1" t="e">
        <f>VLOOKUP(Tabla_Items_Activos[[#This Row],[CODIGO]],Tabla_Items_Completos[[CODIGO]:[LINEA]],2,0)</f>
        <v>#N/A</v>
      </c>
      <c r="D858" s="1" t="e">
        <f>VLOOKUP(Tabla_Items_Activos[[#This Row],[CODIGO]],Tabla_Items_Completos[[CODIGO]:[LINEA]],3,0)</f>
        <v>#N/A</v>
      </c>
      <c r="E858" s="1" t="e">
        <f>VLOOKUP(Tabla_Items_Activos[[#This Row],[CODIGO]],Tabla_Items_Completos[[CODIGO]:[LINEA]],4,0)</f>
        <v>#N/A</v>
      </c>
      <c r="F858">
        <v>403</v>
      </c>
      <c r="G858">
        <v>316</v>
      </c>
    </row>
    <row r="859" spans="1:7">
      <c r="A859" t="s">
        <v>7388</v>
      </c>
      <c r="B859" t="s">
        <v>8246</v>
      </c>
      <c r="C859" s="1" t="e">
        <f>VLOOKUP(Tabla_Items_Activos[[#This Row],[CODIGO]],Tabla_Items_Completos[[CODIGO]:[LINEA]],2,0)</f>
        <v>#N/A</v>
      </c>
      <c r="D859" s="1" t="e">
        <f>VLOOKUP(Tabla_Items_Activos[[#This Row],[CODIGO]],Tabla_Items_Completos[[CODIGO]:[LINEA]],3,0)</f>
        <v>#N/A</v>
      </c>
      <c r="E859" s="1" t="e">
        <f>VLOOKUP(Tabla_Items_Activos[[#This Row],[CODIGO]],Tabla_Items_Completos[[CODIGO]:[LINEA]],4,0)</f>
        <v>#N/A</v>
      </c>
      <c r="F859">
        <v>701</v>
      </c>
      <c r="G859">
        <v>552</v>
      </c>
    </row>
    <row r="860" spans="1:7">
      <c r="A860" t="s">
        <v>7388</v>
      </c>
      <c r="B860" t="s">
        <v>8247</v>
      </c>
      <c r="C860" s="1" t="e">
        <f>VLOOKUP(Tabla_Items_Activos[[#This Row],[CODIGO]],Tabla_Items_Completos[[CODIGO]:[LINEA]],2,0)</f>
        <v>#N/A</v>
      </c>
      <c r="D860" s="1" t="e">
        <f>VLOOKUP(Tabla_Items_Activos[[#This Row],[CODIGO]],Tabla_Items_Completos[[CODIGO]:[LINEA]],3,0)</f>
        <v>#N/A</v>
      </c>
      <c r="E860" s="1" t="e">
        <f>VLOOKUP(Tabla_Items_Activos[[#This Row],[CODIGO]],Tabla_Items_Completos[[CODIGO]:[LINEA]],4,0)</f>
        <v>#N/A</v>
      </c>
      <c r="F860">
        <v>1128</v>
      </c>
      <c r="G860">
        <v>599</v>
      </c>
    </row>
    <row r="861" spans="1:7">
      <c r="A861" t="s">
        <v>7388</v>
      </c>
      <c r="B861" t="s">
        <v>8248</v>
      </c>
      <c r="C861" s="1" t="e">
        <f>VLOOKUP(Tabla_Items_Activos[[#This Row],[CODIGO]],Tabla_Items_Completos[[CODIGO]:[LINEA]],2,0)</f>
        <v>#N/A</v>
      </c>
      <c r="D861" s="1" t="e">
        <f>VLOOKUP(Tabla_Items_Activos[[#This Row],[CODIGO]],Tabla_Items_Completos[[CODIGO]:[LINEA]],3,0)</f>
        <v>#N/A</v>
      </c>
      <c r="E861" s="1" t="e">
        <f>VLOOKUP(Tabla_Items_Activos[[#This Row],[CODIGO]],Tabla_Items_Completos[[CODIGO]:[LINEA]],4,0)</f>
        <v>#N/A</v>
      </c>
      <c r="F861">
        <v>256</v>
      </c>
      <c r="G861">
        <v>143</v>
      </c>
    </row>
    <row r="862" spans="1:7">
      <c r="A862" t="s">
        <v>7388</v>
      </c>
      <c r="B862" t="s">
        <v>8249</v>
      </c>
      <c r="C862" s="1" t="e">
        <f>VLOOKUP(Tabla_Items_Activos[[#This Row],[CODIGO]],Tabla_Items_Completos[[CODIGO]:[LINEA]],2,0)</f>
        <v>#N/A</v>
      </c>
      <c r="D862" s="1" t="e">
        <f>VLOOKUP(Tabla_Items_Activos[[#This Row],[CODIGO]],Tabla_Items_Completos[[CODIGO]:[LINEA]],3,0)</f>
        <v>#N/A</v>
      </c>
      <c r="E862" s="1" t="e">
        <f>VLOOKUP(Tabla_Items_Activos[[#This Row],[CODIGO]],Tabla_Items_Completos[[CODIGO]:[LINEA]],4,0)</f>
        <v>#N/A</v>
      </c>
      <c r="F862">
        <v>106</v>
      </c>
      <c r="G862">
        <v>34</v>
      </c>
    </row>
    <row r="863" spans="1:7">
      <c r="A863" t="s">
        <v>7388</v>
      </c>
      <c r="B863" t="s">
        <v>8250</v>
      </c>
      <c r="C863" s="1" t="e">
        <f>VLOOKUP(Tabla_Items_Activos[[#This Row],[CODIGO]],Tabla_Items_Completos[[CODIGO]:[LINEA]],2,0)</f>
        <v>#N/A</v>
      </c>
      <c r="D863" s="1" t="e">
        <f>VLOOKUP(Tabla_Items_Activos[[#This Row],[CODIGO]],Tabla_Items_Completos[[CODIGO]:[LINEA]],3,0)</f>
        <v>#N/A</v>
      </c>
      <c r="E863" s="1" t="e">
        <f>VLOOKUP(Tabla_Items_Activos[[#This Row],[CODIGO]],Tabla_Items_Completos[[CODIGO]:[LINEA]],4,0)</f>
        <v>#N/A</v>
      </c>
      <c r="F863">
        <v>94</v>
      </c>
      <c r="G863">
        <v>33</v>
      </c>
    </row>
    <row r="864" spans="1:7">
      <c r="A864" t="s">
        <v>7388</v>
      </c>
      <c r="B864" t="s">
        <v>8251</v>
      </c>
      <c r="C864" s="1" t="e">
        <f>VLOOKUP(Tabla_Items_Activos[[#This Row],[CODIGO]],Tabla_Items_Completos[[CODIGO]:[LINEA]],2,0)</f>
        <v>#N/A</v>
      </c>
      <c r="D864" s="1" t="e">
        <f>VLOOKUP(Tabla_Items_Activos[[#This Row],[CODIGO]],Tabla_Items_Completos[[CODIGO]:[LINEA]],3,0)</f>
        <v>#N/A</v>
      </c>
      <c r="E864" s="1" t="e">
        <f>VLOOKUP(Tabla_Items_Activos[[#This Row],[CODIGO]],Tabla_Items_Completos[[CODIGO]:[LINEA]],4,0)</f>
        <v>#N/A</v>
      </c>
      <c r="F864">
        <v>44</v>
      </c>
      <c r="G864">
        <v>30</v>
      </c>
    </row>
    <row r="865" spans="1:7">
      <c r="A865" t="s">
        <v>7388</v>
      </c>
      <c r="B865" t="s">
        <v>8252</v>
      </c>
      <c r="C865" s="1" t="e">
        <f>VLOOKUP(Tabla_Items_Activos[[#This Row],[CODIGO]],Tabla_Items_Completos[[CODIGO]:[LINEA]],2,0)</f>
        <v>#N/A</v>
      </c>
      <c r="D865" s="1" t="e">
        <f>VLOOKUP(Tabla_Items_Activos[[#This Row],[CODIGO]],Tabla_Items_Completos[[CODIGO]:[LINEA]],3,0)</f>
        <v>#N/A</v>
      </c>
      <c r="E865" s="1" t="e">
        <f>VLOOKUP(Tabla_Items_Activos[[#This Row],[CODIGO]],Tabla_Items_Completos[[CODIGO]:[LINEA]],4,0)</f>
        <v>#N/A</v>
      </c>
      <c r="F865">
        <v>428</v>
      </c>
      <c r="G865">
        <v>143</v>
      </c>
    </row>
    <row r="866" spans="1:7">
      <c r="A866" t="s">
        <v>7388</v>
      </c>
      <c r="B866" t="s">
        <v>8253</v>
      </c>
      <c r="C866" s="1" t="e">
        <f>VLOOKUP(Tabla_Items_Activos[[#This Row],[CODIGO]],Tabla_Items_Completos[[CODIGO]:[LINEA]],2,0)</f>
        <v>#N/A</v>
      </c>
      <c r="D866" s="1" t="e">
        <f>VLOOKUP(Tabla_Items_Activos[[#This Row],[CODIGO]],Tabla_Items_Completos[[CODIGO]:[LINEA]],3,0)</f>
        <v>#N/A</v>
      </c>
      <c r="E866" s="1" t="e">
        <f>VLOOKUP(Tabla_Items_Activos[[#This Row],[CODIGO]],Tabla_Items_Completos[[CODIGO]:[LINEA]],4,0)</f>
        <v>#N/A</v>
      </c>
      <c r="F866">
        <v>256</v>
      </c>
      <c r="G866">
        <v>121</v>
      </c>
    </row>
    <row r="867" spans="1:7">
      <c r="A867" t="s">
        <v>7388</v>
      </c>
      <c r="B867" t="s">
        <v>8254</v>
      </c>
      <c r="C867" s="1" t="e">
        <f>VLOOKUP(Tabla_Items_Activos[[#This Row],[CODIGO]],Tabla_Items_Completos[[CODIGO]:[LINEA]],2,0)</f>
        <v>#N/A</v>
      </c>
      <c r="D867" s="1" t="e">
        <f>VLOOKUP(Tabla_Items_Activos[[#This Row],[CODIGO]],Tabla_Items_Completos[[CODIGO]:[LINEA]],3,0)</f>
        <v>#N/A</v>
      </c>
      <c r="E867" s="1" t="e">
        <f>VLOOKUP(Tabla_Items_Activos[[#This Row],[CODIGO]],Tabla_Items_Completos[[CODIGO]:[LINEA]],4,0)</f>
        <v>#N/A</v>
      </c>
      <c r="F867">
        <v>543</v>
      </c>
      <c r="G867">
        <v>349</v>
      </c>
    </row>
    <row r="868" spans="1:7">
      <c r="A868" t="s">
        <v>7388</v>
      </c>
      <c r="B868" t="s">
        <v>8255</v>
      </c>
      <c r="C868" s="1" t="e">
        <f>VLOOKUP(Tabla_Items_Activos[[#This Row],[CODIGO]],Tabla_Items_Completos[[CODIGO]:[LINEA]],2,0)</f>
        <v>#N/A</v>
      </c>
      <c r="D868" s="1" t="e">
        <f>VLOOKUP(Tabla_Items_Activos[[#This Row],[CODIGO]],Tabla_Items_Completos[[CODIGO]:[LINEA]],3,0)</f>
        <v>#N/A</v>
      </c>
      <c r="E868" s="1" t="e">
        <f>VLOOKUP(Tabla_Items_Activos[[#This Row],[CODIGO]],Tabla_Items_Completos[[CODIGO]:[LINEA]],4,0)</f>
        <v>#N/A</v>
      </c>
      <c r="F868">
        <v>1110</v>
      </c>
      <c r="G868">
        <v>1402</v>
      </c>
    </row>
    <row r="869" spans="1:7">
      <c r="A869" t="s">
        <v>7388</v>
      </c>
      <c r="B869" t="s">
        <v>8256</v>
      </c>
      <c r="C869" s="1" t="e">
        <f>VLOOKUP(Tabla_Items_Activos[[#This Row],[CODIGO]],Tabla_Items_Completos[[CODIGO]:[LINEA]],2,0)</f>
        <v>#N/A</v>
      </c>
      <c r="D869" s="1" t="e">
        <f>VLOOKUP(Tabla_Items_Activos[[#This Row],[CODIGO]],Tabla_Items_Completos[[CODIGO]:[LINEA]],3,0)</f>
        <v>#N/A</v>
      </c>
      <c r="E869" s="1" t="e">
        <f>VLOOKUP(Tabla_Items_Activos[[#This Row],[CODIGO]],Tabla_Items_Completos[[CODIGO]:[LINEA]],4,0)</f>
        <v>#N/A</v>
      </c>
      <c r="F869">
        <v>162</v>
      </c>
      <c r="G869">
        <v>25</v>
      </c>
    </row>
    <row r="870" spans="1:7">
      <c r="A870" t="s">
        <v>7388</v>
      </c>
      <c r="B870" t="s">
        <v>8257</v>
      </c>
      <c r="C870" s="1" t="e">
        <f>VLOOKUP(Tabla_Items_Activos[[#This Row],[CODIGO]],Tabla_Items_Completos[[CODIGO]:[LINEA]],2,0)</f>
        <v>#N/A</v>
      </c>
      <c r="D870" s="1" t="e">
        <f>VLOOKUP(Tabla_Items_Activos[[#This Row],[CODIGO]],Tabla_Items_Completos[[CODIGO]:[LINEA]],3,0)</f>
        <v>#N/A</v>
      </c>
      <c r="E870" s="1" t="e">
        <f>VLOOKUP(Tabla_Items_Activos[[#This Row],[CODIGO]],Tabla_Items_Completos[[CODIGO]:[LINEA]],4,0)</f>
        <v>#N/A</v>
      </c>
      <c r="F870">
        <v>100</v>
      </c>
      <c r="G870">
        <v>108</v>
      </c>
    </row>
    <row r="871" spans="1:7">
      <c r="A871" t="s">
        <v>7388</v>
      </c>
      <c r="B871" t="s">
        <v>8258</v>
      </c>
      <c r="C871" s="1" t="e">
        <f>VLOOKUP(Tabla_Items_Activos[[#This Row],[CODIGO]],Tabla_Items_Completos[[CODIGO]:[LINEA]],2,0)</f>
        <v>#N/A</v>
      </c>
      <c r="D871" s="1" t="e">
        <f>VLOOKUP(Tabla_Items_Activos[[#This Row],[CODIGO]],Tabla_Items_Completos[[CODIGO]:[LINEA]],3,0)</f>
        <v>#N/A</v>
      </c>
      <c r="E871" s="1" t="e">
        <f>VLOOKUP(Tabla_Items_Activos[[#This Row],[CODIGO]],Tabla_Items_Completos[[CODIGO]:[LINEA]],4,0)</f>
        <v>#N/A</v>
      </c>
      <c r="F871">
        <v>270</v>
      </c>
      <c r="G871">
        <v>414</v>
      </c>
    </row>
    <row r="872" spans="1:7">
      <c r="A872" t="s">
        <v>7388</v>
      </c>
      <c r="B872" t="s">
        <v>8259</v>
      </c>
      <c r="C872" s="1" t="e">
        <f>VLOOKUP(Tabla_Items_Activos[[#This Row],[CODIGO]],Tabla_Items_Completos[[CODIGO]:[LINEA]],2,0)</f>
        <v>#N/A</v>
      </c>
      <c r="D872" s="1" t="e">
        <f>VLOOKUP(Tabla_Items_Activos[[#This Row],[CODIGO]],Tabla_Items_Completos[[CODIGO]:[LINEA]],3,0)</f>
        <v>#N/A</v>
      </c>
      <c r="E872" s="1" t="e">
        <f>VLOOKUP(Tabla_Items_Activos[[#This Row],[CODIGO]],Tabla_Items_Completos[[CODIGO]:[LINEA]],4,0)</f>
        <v>#N/A</v>
      </c>
      <c r="F872">
        <v>78</v>
      </c>
      <c r="G872">
        <v>15</v>
      </c>
    </row>
    <row r="873" spans="1:7">
      <c r="A873" t="s">
        <v>7388</v>
      </c>
      <c r="B873" t="s">
        <v>8260</v>
      </c>
      <c r="C873" s="1" t="e">
        <f>VLOOKUP(Tabla_Items_Activos[[#This Row],[CODIGO]],Tabla_Items_Completos[[CODIGO]:[LINEA]],2,0)</f>
        <v>#N/A</v>
      </c>
      <c r="D873" s="1" t="e">
        <f>VLOOKUP(Tabla_Items_Activos[[#This Row],[CODIGO]],Tabla_Items_Completos[[CODIGO]:[LINEA]],3,0)</f>
        <v>#N/A</v>
      </c>
      <c r="E873" s="1" t="e">
        <f>VLOOKUP(Tabla_Items_Activos[[#This Row],[CODIGO]],Tabla_Items_Completos[[CODIGO]:[LINEA]],4,0)</f>
        <v>#N/A</v>
      </c>
      <c r="F873">
        <v>449</v>
      </c>
      <c r="G873">
        <v>355</v>
      </c>
    </row>
    <row r="874" spans="1:7">
      <c r="A874" t="s">
        <v>7388</v>
      </c>
      <c r="B874" t="s">
        <v>8261</v>
      </c>
      <c r="C874" s="1" t="e">
        <f>VLOOKUP(Tabla_Items_Activos[[#This Row],[CODIGO]],Tabla_Items_Completos[[CODIGO]:[LINEA]],2,0)</f>
        <v>#N/A</v>
      </c>
      <c r="D874" s="1" t="e">
        <f>VLOOKUP(Tabla_Items_Activos[[#This Row],[CODIGO]],Tabla_Items_Completos[[CODIGO]:[LINEA]],3,0)</f>
        <v>#N/A</v>
      </c>
      <c r="E874" s="1" t="e">
        <f>VLOOKUP(Tabla_Items_Activos[[#This Row],[CODIGO]],Tabla_Items_Completos[[CODIGO]:[LINEA]],4,0)</f>
        <v>#N/A</v>
      </c>
      <c r="F874">
        <v>78</v>
      </c>
      <c r="G874">
        <v>49</v>
      </c>
    </row>
    <row r="875" spans="1:7">
      <c r="A875" t="s">
        <v>7388</v>
      </c>
      <c r="B875" t="s">
        <v>8262</v>
      </c>
      <c r="C875" s="1" t="e">
        <f>VLOOKUP(Tabla_Items_Activos[[#This Row],[CODIGO]],Tabla_Items_Completos[[CODIGO]:[LINEA]],2,0)</f>
        <v>#N/A</v>
      </c>
      <c r="D875" s="1" t="e">
        <f>VLOOKUP(Tabla_Items_Activos[[#This Row],[CODIGO]],Tabla_Items_Completos[[CODIGO]:[LINEA]],3,0)</f>
        <v>#N/A</v>
      </c>
      <c r="E875" s="1" t="e">
        <f>VLOOKUP(Tabla_Items_Activos[[#This Row],[CODIGO]],Tabla_Items_Completos[[CODIGO]:[LINEA]],4,0)</f>
        <v>#N/A</v>
      </c>
      <c r="F875">
        <v>454</v>
      </c>
      <c r="G875">
        <v>164</v>
      </c>
    </row>
    <row r="876" spans="1:7">
      <c r="A876" t="s">
        <v>7388</v>
      </c>
      <c r="B876" t="s">
        <v>8263</v>
      </c>
      <c r="C876" s="1" t="e">
        <f>VLOOKUP(Tabla_Items_Activos[[#This Row],[CODIGO]],Tabla_Items_Completos[[CODIGO]:[LINEA]],2,0)</f>
        <v>#N/A</v>
      </c>
      <c r="D876" s="1" t="e">
        <f>VLOOKUP(Tabla_Items_Activos[[#This Row],[CODIGO]],Tabla_Items_Completos[[CODIGO]:[LINEA]],3,0)</f>
        <v>#N/A</v>
      </c>
      <c r="E876" s="1" t="e">
        <f>VLOOKUP(Tabla_Items_Activos[[#This Row],[CODIGO]],Tabla_Items_Completos[[CODIGO]:[LINEA]],4,0)</f>
        <v>#N/A</v>
      </c>
      <c r="F876">
        <v>79</v>
      </c>
      <c r="G876">
        <v>32</v>
      </c>
    </row>
    <row r="877" spans="1:7">
      <c r="A877" t="s">
        <v>7388</v>
      </c>
      <c r="B877" t="s">
        <v>8264</v>
      </c>
      <c r="C877" s="1" t="e">
        <f>VLOOKUP(Tabla_Items_Activos[[#This Row],[CODIGO]],Tabla_Items_Completos[[CODIGO]:[LINEA]],2,0)</f>
        <v>#N/A</v>
      </c>
      <c r="D877" s="1" t="e">
        <f>VLOOKUP(Tabla_Items_Activos[[#This Row],[CODIGO]],Tabla_Items_Completos[[CODIGO]:[LINEA]],3,0)</f>
        <v>#N/A</v>
      </c>
      <c r="E877" s="1" t="e">
        <f>VLOOKUP(Tabla_Items_Activos[[#This Row],[CODIGO]],Tabla_Items_Completos[[CODIGO]:[LINEA]],4,0)</f>
        <v>#N/A</v>
      </c>
      <c r="F877">
        <v>137</v>
      </c>
      <c r="G877">
        <v>0</v>
      </c>
    </row>
    <row r="878" spans="1:7">
      <c r="A878" t="s">
        <v>7388</v>
      </c>
      <c r="B878" t="s">
        <v>8265</v>
      </c>
      <c r="C878" s="1" t="e">
        <f>VLOOKUP(Tabla_Items_Activos[[#This Row],[CODIGO]],Tabla_Items_Completos[[CODIGO]:[LINEA]],2,0)</f>
        <v>#N/A</v>
      </c>
      <c r="D878" s="1" t="e">
        <f>VLOOKUP(Tabla_Items_Activos[[#This Row],[CODIGO]],Tabla_Items_Completos[[CODIGO]:[LINEA]],3,0)</f>
        <v>#N/A</v>
      </c>
      <c r="E878" s="1" t="e">
        <f>VLOOKUP(Tabla_Items_Activos[[#This Row],[CODIGO]],Tabla_Items_Completos[[CODIGO]:[LINEA]],4,0)</f>
        <v>#N/A</v>
      </c>
      <c r="F878">
        <v>256</v>
      </c>
      <c r="G878">
        <v>48</v>
      </c>
    </row>
    <row r="879" spans="1:7">
      <c r="A879" t="s">
        <v>7388</v>
      </c>
      <c r="B879" t="s">
        <v>8266</v>
      </c>
      <c r="C879" s="1" t="e">
        <f>VLOOKUP(Tabla_Items_Activos[[#This Row],[CODIGO]],Tabla_Items_Completos[[CODIGO]:[LINEA]],2,0)</f>
        <v>#N/A</v>
      </c>
      <c r="D879" s="1" t="e">
        <f>VLOOKUP(Tabla_Items_Activos[[#This Row],[CODIGO]],Tabla_Items_Completos[[CODIGO]:[LINEA]],3,0)</f>
        <v>#N/A</v>
      </c>
      <c r="E879" s="1" t="e">
        <f>VLOOKUP(Tabla_Items_Activos[[#This Row],[CODIGO]],Tabla_Items_Completos[[CODIGO]:[LINEA]],4,0)</f>
        <v>#N/A</v>
      </c>
      <c r="F879">
        <v>122</v>
      </c>
      <c r="G879">
        <v>0</v>
      </c>
    </row>
    <row r="880" spans="1:7">
      <c r="A880" t="s">
        <v>7388</v>
      </c>
      <c r="B880" t="s">
        <v>8267</v>
      </c>
      <c r="C880" s="1" t="e">
        <f>VLOOKUP(Tabla_Items_Activos[[#This Row],[CODIGO]],Tabla_Items_Completos[[CODIGO]:[LINEA]],2,0)</f>
        <v>#N/A</v>
      </c>
      <c r="D880" s="1" t="e">
        <f>VLOOKUP(Tabla_Items_Activos[[#This Row],[CODIGO]],Tabla_Items_Completos[[CODIGO]:[LINEA]],3,0)</f>
        <v>#N/A</v>
      </c>
      <c r="E880" s="1" t="e">
        <f>VLOOKUP(Tabla_Items_Activos[[#This Row],[CODIGO]],Tabla_Items_Completos[[CODIGO]:[LINEA]],4,0)</f>
        <v>#N/A</v>
      </c>
      <c r="F880">
        <v>83</v>
      </c>
      <c r="G880">
        <v>1</v>
      </c>
    </row>
    <row r="881" spans="1:7">
      <c r="A881" t="s">
        <v>7388</v>
      </c>
      <c r="B881" t="s">
        <v>8268</v>
      </c>
      <c r="C881" s="1" t="e">
        <f>VLOOKUP(Tabla_Items_Activos[[#This Row],[CODIGO]],Tabla_Items_Completos[[CODIGO]:[LINEA]],2,0)</f>
        <v>#N/A</v>
      </c>
      <c r="D881" s="1" t="e">
        <f>VLOOKUP(Tabla_Items_Activos[[#This Row],[CODIGO]],Tabla_Items_Completos[[CODIGO]:[LINEA]],3,0)</f>
        <v>#N/A</v>
      </c>
      <c r="E881" s="1" t="e">
        <f>VLOOKUP(Tabla_Items_Activos[[#This Row],[CODIGO]],Tabla_Items_Completos[[CODIGO]:[LINEA]],4,0)</f>
        <v>#N/A</v>
      </c>
      <c r="F881">
        <v>785</v>
      </c>
      <c r="G881">
        <v>742</v>
      </c>
    </row>
    <row r="882" spans="1:7">
      <c r="A882" t="s">
        <v>7388</v>
      </c>
      <c r="B882" t="s">
        <v>8269</v>
      </c>
      <c r="C882" s="1" t="e">
        <f>VLOOKUP(Tabla_Items_Activos[[#This Row],[CODIGO]],Tabla_Items_Completos[[CODIGO]:[LINEA]],2,0)</f>
        <v>#N/A</v>
      </c>
      <c r="D882" s="1" t="e">
        <f>VLOOKUP(Tabla_Items_Activos[[#This Row],[CODIGO]],Tabla_Items_Completos[[CODIGO]:[LINEA]],3,0)</f>
        <v>#N/A</v>
      </c>
      <c r="E882" s="1" t="e">
        <f>VLOOKUP(Tabla_Items_Activos[[#This Row],[CODIGO]],Tabla_Items_Completos[[CODIGO]:[LINEA]],4,0)</f>
        <v>#N/A</v>
      </c>
      <c r="F882">
        <v>106</v>
      </c>
      <c r="G882">
        <v>40</v>
      </c>
    </row>
    <row r="883" spans="1:7">
      <c r="A883" t="s">
        <v>7388</v>
      </c>
      <c r="B883" t="s">
        <v>8270</v>
      </c>
      <c r="C883" s="1" t="e">
        <f>VLOOKUP(Tabla_Items_Activos[[#This Row],[CODIGO]],Tabla_Items_Completos[[CODIGO]:[LINEA]],2,0)</f>
        <v>#N/A</v>
      </c>
      <c r="D883" s="1" t="e">
        <f>VLOOKUP(Tabla_Items_Activos[[#This Row],[CODIGO]],Tabla_Items_Completos[[CODIGO]:[LINEA]],3,0)</f>
        <v>#N/A</v>
      </c>
      <c r="E883" s="1" t="e">
        <f>VLOOKUP(Tabla_Items_Activos[[#This Row],[CODIGO]],Tabla_Items_Completos[[CODIGO]:[LINEA]],4,0)</f>
        <v>#N/A</v>
      </c>
      <c r="F883">
        <v>132</v>
      </c>
      <c r="G883">
        <v>81</v>
      </c>
    </row>
    <row r="884" spans="1:7">
      <c r="A884" t="s">
        <v>7388</v>
      </c>
      <c r="B884" t="s">
        <v>8271</v>
      </c>
      <c r="C884" s="1" t="e">
        <f>VLOOKUP(Tabla_Items_Activos[[#This Row],[CODIGO]],Tabla_Items_Completos[[CODIGO]:[LINEA]],2,0)</f>
        <v>#N/A</v>
      </c>
      <c r="D884" s="1" t="e">
        <f>VLOOKUP(Tabla_Items_Activos[[#This Row],[CODIGO]],Tabla_Items_Completos[[CODIGO]:[LINEA]],3,0)</f>
        <v>#N/A</v>
      </c>
      <c r="E884" s="1" t="e">
        <f>VLOOKUP(Tabla_Items_Activos[[#This Row],[CODIGO]],Tabla_Items_Completos[[CODIGO]:[LINEA]],4,0)</f>
        <v>#N/A</v>
      </c>
      <c r="F884">
        <v>757</v>
      </c>
      <c r="G884">
        <v>265</v>
      </c>
    </row>
    <row r="885" spans="1:7">
      <c r="A885" t="s">
        <v>7388</v>
      </c>
      <c r="B885" t="s">
        <v>8272</v>
      </c>
      <c r="C885" s="1" t="e">
        <f>VLOOKUP(Tabla_Items_Activos[[#This Row],[CODIGO]],Tabla_Items_Completos[[CODIGO]:[LINEA]],2,0)</f>
        <v>#N/A</v>
      </c>
      <c r="D885" s="1" t="e">
        <f>VLOOKUP(Tabla_Items_Activos[[#This Row],[CODIGO]],Tabla_Items_Completos[[CODIGO]:[LINEA]],3,0)</f>
        <v>#N/A</v>
      </c>
      <c r="E885" s="1" t="e">
        <f>VLOOKUP(Tabla_Items_Activos[[#This Row],[CODIGO]],Tabla_Items_Completos[[CODIGO]:[LINEA]],4,0)</f>
        <v>#N/A</v>
      </c>
      <c r="F885">
        <v>700</v>
      </c>
      <c r="G885">
        <v>391</v>
      </c>
    </row>
    <row r="886" spans="1:7">
      <c r="A886" t="s">
        <v>7388</v>
      </c>
      <c r="B886" t="s">
        <v>8273</v>
      </c>
      <c r="C886" s="1" t="e">
        <f>VLOOKUP(Tabla_Items_Activos[[#This Row],[CODIGO]],Tabla_Items_Completos[[CODIGO]:[LINEA]],2,0)</f>
        <v>#N/A</v>
      </c>
      <c r="D886" s="1" t="e">
        <f>VLOOKUP(Tabla_Items_Activos[[#This Row],[CODIGO]],Tabla_Items_Completos[[CODIGO]:[LINEA]],3,0)</f>
        <v>#N/A</v>
      </c>
      <c r="E886" s="1" t="e">
        <f>VLOOKUP(Tabla_Items_Activos[[#This Row],[CODIGO]],Tabla_Items_Completos[[CODIGO]:[LINEA]],4,0)</f>
        <v>#N/A</v>
      </c>
      <c r="F886">
        <v>67</v>
      </c>
      <c r="G886">
        <v>45</v>
      </c>
    </row>
    <row r="887" spans="1:7">
      <c r="A887" t="s">
        <v>7388</v>
      </c>
      <c r="B887" t="s">
        <v>8274</v>
      </c>
      <c r="C887" s="1" t="e">
        <f>VLOOKUP(Tabla_Items_Activos[[#This Row],[CODIGO]],Tabla_Items_Completos[[CODIGO]:[LINEA]],2,0)</f>
        <v>#N/A</v>
      </c>
      <c r="D887" s="1" t="e">
        <f>VLOOKUP(Tabla_Items_Activos[[#This Row],[CODIGO]],Tabla_Items_Completos[[CODIGO]:[LINEA]],3,0)</f>
        <v>#N/A</v>
      </c>
      <c r="E887" s="1" t="e">
        <f>VLOOKUP(Tabla_Items_Activos[[#This Row],[CODIGO]],Tabla_Items_Completos[[CODIGO]:[LINEA]],4,0)</f>
        <v>#N/A</v>
      </c>
      <c r="F887">
        <v>221</v>
      </c>
      <c r="G887">
        <v>146</v>
      </c>
    </row>
    <row r="888" spans="1:7">
      <c r="A888" t="s">
        <v>7388</v>
      </c>
      <c r="B888" t="s">
        <v>8275</v>
      </c>
      <c r="C888" s="1" t="e">
        <f>VLOOKUP(Tabla_Items_Activos[[#This Row],[CODIGO]],Tabla_Items_Completos[[CODIGO]:[LINEA]],2,0)</f>
        <v>#N/A</v>
      </c>
      <c r="D888" s="1" t="e">
        <f>VLOOKUP(Tabla_Items_Activos[[#This Row],[CODIGO]],Tabla_Items_Completos[[CODIGO]:[LINEA]],3,0)</f>
        <v>#N/A</v>
      </c>
      <c r="E888" s="1" t="e">
        <f>VLOOKUP(Tabla_Items_Activos[[#This Row],[CODIGO]],Tabla_Items_Completos[[CODIGO]:[LINEA]],4,0)</f>
        <v>#N/A</v>
      </c>
      <c r="F888">
        <v>350</v>
      </c>
      <c r="G888">
        <v>159</v>
      </c>
    </row>
    <row r="889" spans="1:7">
      <c r="A889" t="s">
        <v>7388</v>
      </c>
      <c r="B889" t="s">
        <v>8276</v>
      </c>
      <c r="C889" s="1" t="e">
        <f>VLOOKUP(Tabla_Items_Activos[[#This Row],[CODIGO]],Tabla_Items_Completos[[CODIGO]:[LINEA]],2,0)</f>
        <v>#N/A</v>
      </c>
      <c r="D889" s="1" t="e">
        <f>VLOOKUP(Tabla_Items_Activos[[#This Row],[CODIGO]],Tabla_Items_Completos[[CODIGO]:[LINEA]],3,0)</f>
        <v>#N/A</v>
      </c>
      <c r="E889" s="1" t="e">
        <f>VLOOKUP(Tabla_Items_Activos[[#This Row],[CODIGO]],Tabla_Items_Completos[[CODIGO]:[LINEA]],4,0)</f>
        <v>#N/A</v>
      </c>
      <c r="F889">
        <v>136</v>
      </c>
      <c r="G889">
        <v>72</v>
      </c>
    </row>
    <row r="890" spans="1:7">
      <c r="A890" t="s">
        <v>7388</v>
      </c>
      <c r="B890" t="s">
        <v>8277</v>
      </c>
      <c r="C890" s="1" t="e">
        <f>VLOOKUP(Tabla_Items_Activos[[#This Row],[CODIGO]],Tabla_Items_Completos[[CODIGO]:[LINEA]],2,0)</f>
        <v>#N/A</v>
      </c>
      <c r="D890" s="1" t="e">
        <f>VLOOKUP(Tabla_Items_Activos[[#This Row],[CODIGO]],Tabla_Items_Completos[[CODIGO]:[LINEA]],3,0)</f>
        <v>#N/A</v>
      </c>
      <c r="E890" s="1" t="e">
        <f>VLOOKUP(Tabla_Items_Activos[[#This Row],[CODIGO]],Tabla_Items_Completos[[CODIGO]:[LINEA]],4,0)</f>
        <v>#N/A</v>
      </c>
      <c r="F890">
        <v>811</v>
      </c>
      <c r="G890">
        <v>579</v>
      </c>
    </row>
    <row r="891" spans="1:7">
      <c r="A891" t="s">
        <v>7388</v>
      </c>
      <c r="B891" t="s">
        <v>8278</v>
      </c>
      <c r="C891" s="1" t="e">
        <f>VLOOKUP(Tabla_Items_Activos[[#This Row],[CODIGO]],Tabla_Items_Completos[[CODIGO]:[LINEA]],2,0)</f>
        <v>#N/A</v>
      </c>
      <c r="D891" s="1" t="e">
        <f>VLOOKUP(Tabla_Items_Activos[[#This Row],[CODIGO]],Tabla_Items_Completos[[CODIGO]:[LINEA]],3,0)</f>
        <v>#N/A</v>
      </c>
      <c r="E891" s="1" t="e">
        <f>VLOOKUP(Tabla_Items_Activos[[#This Row],[CODIGO]],Tabla_Items_Completos[[CODIGO]:[LINEA]],4,0)</f>
        <v>#N/A</v>
      </c>
      <c r="F891">
        <v>267</v>
      </c>
      <c r="G891">
        <v>205</v>
      </c>
    </row>
    <row r="892" spans="1:7">
      <c r="A892" t="s">
        <v>7388</v>
      </c>
      <c r="B892" t="s">
        <v>8279</v>
      </c>
      <c r="C892" s="1" t="e">
        <f>VLOOKUP(Tabla_Items_Activos[[#This Row],[CODIGO]],Tabla_Items_Completos[[CODIGO]:[LINEA]],2,0)</f>
        <v>#N/A</v>
      </c>
      <c r="D892" s="1" t="e">
        <f>VLOOKUP(Tabla_Items_Activos[[#This Row],[CODIGO]],Tabla_Items_Completos[[CODIGO]:[LINEA]],3,0)</f>
        <v>#N/A</v>
      </c>
      <c r="E892" s="1" t="e">
        <f>VLOOKUP(Tabla_Items_Activos[[#This Row],[CODIGO]],Tabla_Items_Completos[[CODIGO]:[LINEA]],4,0)</f>
        <v>#N/A</v>
      </c>
      <c r="F892">
        <v>226</v>
      </c>
      <c r="G892">
        <v>199</v>
      </c>
    </row>
    <row r="893" spans="1:7">
      <c r="A893" t="s">
        <v>7388</v>
      </c>
      <c r="B893" t="s">
        <v>8280</v>
      </c>
      <c r="C893" s="1" t="e">
        <f>VLOOKUP(Tabla_Items_Activos[[#This Row],[CODIGO]],Tabla_Items_Completos[[CODIGO]:[LINEA]],2,0)</f>
        <v>#N/A</v>
      </c>
      <c r="D893" s="1" t="e">
        <f>VLOOKUP(Tabla_Items_Activos[[#This Row],[CODIGO]],Tabla_Items_Completos[[CODIGO]:[LINEA]],3,0)</f>
        <v>#N/A</v>
      </c>
      <c r="E893" s="1" t="e">
        <f>VLOOKUP(Tabla_Items_Activos[[#This Row],[CODIGO]],Tabla_Items_Completos[[CODIGO]:[LINEA]],4,0)</f>
        <v>#N/A</v>
      </c>
      <c r="F893">
        <v>79</v>
      </c>
      <c r="G893">
        <v>0</v>
      </c>
    </row>
    <row r="894" spans="1:7">
      <c r="A894" t="s">
        <v>7388</v>
      </c>
      <c r="B894" t="s">
        <v>8281</v>
      </c>
      <c r="C894" s="1" t="e">
        <f>VLOOKUP(Tabla_Items_Activos[[#This Row],[CODIGO]],Tabla_Items_Completos[[CODIGO]:[LINEA]],2,0)</f>
        <v>#N/A</v>
      </c>
      <c r="D894" s="1" t="e">
        <f>VLOOKUP(Tabla_Items_Activos[[#This Row],[CODIGO]],Tabla_Items_Completos[[CODIGO]:[LINEA]],3,0)</f>
        <v>#N/A</v>
      </c>
      <c r="E894" s="1" t="e">
        <f>VLOOKUP(Tabla_Items_Activos[[#This Row],[CODIGO]],Tabla_Items_Completos[[CODIGO]:[LINEA]],4,0)</f>
        <v>#N/A</v>
      </c>
      <c r="F894">
        <v>44</v>
      </c>
      <c r="G894">
        <v>27</v>
      </c>
    </row>
    <row r="895" spans="1:7">
      <c r="A895" t="s">
        <v>7388</v>
      </c>
      <c r="B895" t="s">
        <v>8282</v>
      </c>
      <c r="C895" s="1" t="e">
        <f>VLOOKUP(Tabla_Items_Activos[[#This Row],[CODIGO]],Tabla_Items_Completos[[CODIGO]:[LINEA]],2,0)</f>
        <v>#N/A</v>
      </c>
      <c r="D895" s="1" t="e">
        <f>VLOOKUP(Tabla_Items_Activos[[#This Row],[CODIGO]],Tabla_Items_Completos[[CODIGO]:[LINEA]],3,0)</f>
        <v>#N/A</v>
      </c>
      <c r="E895" s="1" t="e">
        <f>VLOOKUP(Tabla_Items_Activos[[#This Row],[CODIGO]],Tabla_Items_Completos[[CODIGO]:[LINEA]],4,0)</f>
        <v>#N/A</v>
      </c>
      <c r="F895">
        <v>284</v>
      </c>
      <c r="G895">
        <v>206</v>
      </c>
    </row>
    <row r="896" spans="1:7">
      <c r="A896" t="s">
        <v>7388</v>
      </c>
      <c r="B896" t="s">
        <v>8283</v>
      </c>
      <c r="C896" s="1" t="e">
        <f>VLOOKUP(Tabla_Items_Activos[[#This Row],[CODIGO]],Tabla_Items_Completos[[CODIGO]:[LINEA]],2,0)</f>
        <v>#N/A</v>
      </c>
      <c r="D896" s="1" t="e">
        <f>VLOOKUP(Tabla_Items_Activos[[#This Row],[CODIGO]],Tabla_Items_Completos[[CODIGO]:[LINEA]],3,0)</f>
        <v>#N/A</v>
      </c>
      <c r="E896" s="1" t="e">
        <f>VLOOKUP(Tabla_Items_Activos[[#This Row],[CODIGO]],Tabla_Items_Completos[[CODIGO]:[LINEA]],4,0)</f>
        <v>#N/A</v>
      </c>
      <c r="F896">
        <v>463</v>
      </c>
      <c r="G896">
        <v>502</v>
      </c>
    </row>
    <row r="897" spans="1:7">
      <c r="A897" t="s">
        <v>7388</v>
      </c>
      <c r="B897" t="s">
        <v>8284</v>
      </c>
      <c r="C897" s="1" t="e">
        <f>VLOOKUP(Tabla_Items_Activos[[#This Row],[CODIGO]],Tabla_Items_Completos[[CODIGO]:[LINEA]],2,0)</f>
        <v>#N/A</v>
      </c>
      <c r="D897" s="1" t="e">
        <f>VLOOKUP(Tabla_Items_Activos[[#This Row],[CODIGO]],Tabla_Items_Completos[[CODIGO]:[LINEA]],3,0)</f>
        <v>#N/A</v>
      </c>
      <c r="E897" s="1" t="e">
        <f>VLOOKUP(Tabla_Items_Activos[[#This Row],[CODIGO]],Tabla_Items_Completos[[CODIGO]:[LINEA]],4,0)</f>
        <v>#N/A</v>
      </c>
      <c r="F897">
        <v>132</v>
      </c>
      <c r="G897">
        <v>33</v>
      </c>
    </row>
    <row r="898" spans="1:7">
      <c r="A898" t="s">
        <v>7388</v>
      </c>
      <c r="B898" t="s">
        <v>8285</v>
      </c>
      <c r="C898" s="1" t="e">
        <f>VLOOKUP(Tabla_Items_Activos[[#This Row],[CODIGO]],Tabla_Items_Completos[[CODIGO]:[LINEA]],2,0)</f>
        <v>#N/A</v>
      </c>
      <c r="D898" s="1" t="e">
        <f>VLOOKUP(Tabla_Items_Activos[[#This Row],[CODIGO]],Tabla_Items_Completos[[CODIGO]:[LINEA]],3,0)</f>
        <v>#N/A</v>
      </c>
      <c r="E898" s="1" t="e">
        <f>VLOOKUP(Tabla_Items_Activos[[#This Row],[CODIGO]],Tabla_Items_Completos[[CODIGO]:[LINEA]],4,0)</f>
        <v>#N/A</v>
      </c>
      <c r="F898">
        <v>188</v>
      </c>
      <c r="G898">
        <v>147</v>
      </c>
    </row>
    <row r="899" spans="1:7">
      <c r="A899" t="s">
        <v>7388</v>
      </c>
      <c r="B899" t="s">
        <v>8286</v>
      </c>
      <c r="C899" s="1" t="e">
        <f>VLOOKUP(Tabla_Items_Activos[[#This Row],[CODIGO]],Tabla_Items_Completos[[CODIGO]:[LINEA]],2,0)</f>
        <v>#N/A</v>
      </c>
      <c r="D899" s="1" t="e">
        <f>VLOOKUP(Tabla_Items_Activos[[#This Row],[CODIGO]],Tabla_Items_Completos[[CODIGO]:[LINEA]],3,0)</f>
        <v>#N/A</v>
      </c>
      <c r="E899" s="1" t="e">
        <f>VLOOKUP(Tabla_Items_Activos[[#This Row],[CODIGO]],Tabla_Items_Completos[[CODIGO]:[LINEA]],4,0)</f>
        <v>#N/A</v>
      </c>
      <c r="F899">
        <v>155</v>
      </c>
      <c r="G899">
        <v>16</v>
      </c>
    </row>
    <row r="900" spans="1:7">
      <c r="A900" t="s">
        <v>7388</v>
      </c>
      <c r="B900" t="s">
        <v>8287</v>
      </c>
      <c r="C900" s="1" t="e">
        <f>VLOOKUP(Tabla_Items_Activos[[#This Row],[CODIGO]],Tabla_Items_Completos[[CODIGO]:[LINEA]],2,0)</f>
        <v>#N/A</v>
      </c>
      <c r="D900" s="1" t="e">
        <f>VLOOKUP(Tabla_Items_Activos[[#This Row],[CODIGO]],Tabla_Items_Completos[[CODIGO]:[LINEA]],3,0)</f>
        <v>#N/A</v>
      </c>
      <c r="E900" s="1" t="e">
        <f>VLOOKUP(Tabla_Items_Activos[[#This Row],[CODIGO]],Tabla_Items_Completos[[CODIGO]:[LINEA]],4,0)</f>
        <v>#N/A</v>
      </c>
      <c r="F900">
        <v>1</v>
      </c>
      <c r="G900">
        <v>0</v>
      </c>
    </row>
    <row r="901" spans="1:7">
      <c r="A901" t="s">
        <v>7388</v>
      </c>
      <c r="B901" t="s">
        <v>8288</v>
      </c>
      <c r="C901" s="1" t="e">
        <f>VLOOKUP(Tabla_Items_Activos[[#This Row],[CODIGO]],Tabla_Items_Completos[[CODIGO]:[LINEA]],2,0)</f>
        <v>#N/A</v>
      </c>
      <c r="D901" s="1" t="e">
        <f>VLOOKUP(Tabla_Items_Activos[[#This Row],[CODIGO]],Tabla_Items_Completos[[CODIGO]:[LINEA]],3,0)</f>
        <v>#N/A</v>
      </c>
      <c r="E901" s="1" t="e">
        <f>VLOOKUP(Tabla_Items_Activos[[#This Row],[CODIGO]],Tabla_Items_Completos[[CODIGO]:[LINEA]],4,0)</f>
        <v>#N/A</v>
      </c>
      <c r="F901">
        <v>124</v>
      </c>
      <c r="G901">
        <v>94</v>
      </c>
    </row>
    <row r="902" spans="1:7">
      <c r="A902" t="s">
        <v>7388</v>
      </c>
      <c r="B902" t="s">
        <v>8289</v>
      </c>
      <c r="C902" s="1" t="e">
        <f>VLOOKUP(Tabla_Items_Activos[[#This Row],[CODIGO]],Tabla_Items_Completos[[CODIGO]:[LINEA]],2,0)</f>
        <v>#N/A</v>
      </c>
      <c r="D902" s="1" t="e">
        <f>VLOOKUP(Tabla_Items_Activos[[#This Row],[CODIGO]],Tabla_Items_Completos[[CODIGO]:[LINEA]],3,0)</f>
        <v>#N/A</v>
      </c>
      <c r="E902" s="1" t="e">
        <f>VLOOKUP(Tabla_Items_Activos[[#This Row],[CODIGO]],Tabla_Items_Completos[[CODIGO]:[LINEA]],4,0)</f>
        <v>#N/A</v>
      </c>
      <c r="F902">
        <v>77</v>
      </c>
      <c r="G902">
        <v>168</v>
      </c>
    </row>
    <row r="903" spans="1:7">
      <c r="A903" t="s">
        <v>7388</v>
      </c>
      <c r="B903" t="s">
        <v>8290</v>
      </c>
      <c r="C903" s="1" t="e">
        <f>VLOOKUP(Tabla_Items_Activos[[#This Row],[CODIGO]],Tabla_Items_Completos[[CODIGO]:[LINEA]],2,0)</f>
        <v>#N/A</v>
      </c>
      <c r="D903" s="1" t="e">
        <f>VLOOKUP(Tabla_Items_Activos[[#This Row],[CODIGO]],Tabla_Items_Completos[[CODIGO]:[LINEA]],3,0)</f>
        <v>#N/A</v>
      </c>
      <c r="E903" s="1" t="e">
        <f>VLOOKUP(Tabla_Items_Activos[[#This Row],[CODIGO]],Tabla_Items_Completos[[CODIGO]:[LINEA]],4,0)</f>
        <v>#N/A</v>
      </c>
      <c r="F903">
        <v>441</v>
      </c>
      <c r="G903">
        <v>366</v>
      </c>
    </row>
    <row r="904" spans="1:7">
      <c r="A904" t="s">
        <v>7388</v>
      </c>
      <c r="B904" t="s">
        <v>8291</v>
      </c>
      <c r="C904" s="1" t="e">
        <f>VLOOKUP(Tabla_Items_Activos[[#This Row],[CODIGO]],Tabla_Items_Completos[[CODIGO]:[LINEA]],2,0)</f>
        <v>#N/A</v>
      </c>
      <c r="D904" s="1" t="e">
        <f>VLOOKUP(Tabla_Items_Activos[[#This Row],[CODIGO]],Tabla_Items_Completos[[CODIGO]:[LINEA]],3,0)</f>
        <v>#N/A</v>
      </c>
      <c r="E904" s="1" t="e">
        <f>VLOOKUP(Tabla_Items_Activos[[#This Row],[CODIGO]],Tabla_Items_Completos[[CODIGO]:[LINEA]],4,0)</f>
        <v>#N/A</v>
      </c>
      <c r="F904">
        <v>346</v>
      </c>
      <c r="G904">
        <v>93</v>
      </c>
    </row>
    <row r="905" spans="1:7">
      <c r="A905" t="s">
        <v>7388</v>
      </c>
      <c r="B905" t="s">
        <v>8292</v>
      </c>
      <c r="C905" s="1" t="e">
        <f>VLOOKUP(Tabla_Items_Activos[[#This Row],[CODIGO]],Tabla_Items_Completos[[CODIGO]:[LINEA]],2,0)</f>
        <v>#N/A</v>
      </c>
      <c r="D905" s="1" t="e">
        <f>VLOOKUP(Tabla_Items_Activos[[#This Row],[CODIGO]],Tabla_Items_Completos[[CODIGO]:[LINEA]],3,0)</f>
        <v>#N/A</v>
      </c>
      <c r="E905" s="1" t="e">
        <f>VLOOKUP(Tabla_Items_Activos[[#This Row],[CODIGO]],Tabla_Items_Completos[[CODIGO]:[LINEA]],4,0)</f>
        <v>#N/A</v>
      </c>
      <c r="F905">
        <v>71</v>
      </c>
      <c r="G905">
        <v>413</v>
      </c>
    </row>
    <row r="906" spans="1:7">
      <c r="A906" t="s">
        <v>7388</v>
      </c>
      <c r="B906" t="s">
        <v>8293</v>
      </c>
      <c r="C906" s="1" t="e">
        <f>VLOOKUP(Tabla_Items_Activos[[#This Row],[CODIGO]],Tabla_Items_Completos[[CODIGO]:[LINEA]],2,0)</f>
        <v>#N/A</v>
      </c>
      <c r="D906" s="1" t="e">
        <f>VLOOKUP(Tabla_Items_Activos[[#This Row],[CODIGO]],Tabla_Items_Completos[[CODIGO]:[LINEA]],3,0)</f>
        <v>#N/A</v>
      </c>
      <c r="E906" s="1" t="e">
        <f>VLOOKUP(Tabla_Items_Activos[[#This Row],[CODIGO]],Tabla_Items_Completos[[CODIGO]:[LINEA]],4,0)</f>
        <v>#N/A</v>
      </c>
      <c r="F906">
        <v>72</v>
      </c>
      <c r="G906">
        <v>93</v>
      </c>
    </row>
    <row r="907" spans="1:7">
      <c r="A907" t="s">
        <v>7388</v>
      </c>
      <c r="B907" t="s">
        <v>8294</v>
      </c>
      <c r="C907" s="1" t="e">
        <f>VLOOKUP(Tabla_Items_Activos[[#This Row],[CODIGO]],Tabla_Items_Completos[[CODIGO]:[LINEA]],2,0)</f>
        <v>#N/A</v>
      </c>
      <c r="D907" s="1" t="e">
        <f>VLOOKUP(Tabla_Items_Activos[[#This Row],[CODIGO]],Tabla_Items_Completos[[CODIGO]:[LINEA]],3,0)</f>
        <v>#N/A</v>
      </c>
      <c r="E907" s="1" t="e">
        <f>VLOOKUP(Tabla_Items_Activos[[#This Row],[CODIGO]],Tabla_Items_Completos[[CODIGO]:[LINEA]],4,0)</f>
        <v>#N/A</v>
      </c>
      <c r="F907">
        <v>800</v>
      </c>
      <c r="G907">
        <v>628</v>
      </c>
    </row>
    <row r="908" spans="1:7">
      <c r="A908" t="s">
        <v>7388</v>
      </c>
      <c r="B908" t="s">
        <v>8295</v>
      </c>
      <c r="C908" s="1" t="e">
        <f>VLOOKUP(Tabla_Items_Activos[[#This Row],[CODIGO]],Tabla_Items_Completos[[CODIGO]:[LINEA]],2,0)</f>
        <v>#N/A</v>
      </c>
      <c r="D908" s="1" t="e">
        <f>VLOOKUP(Tabla_Items_Activos[[#This Row],[CODIGO]],Tabla_Items_Completos[[CODIGO]:[LINEA]],3,0)</f>
        <v>#N/A</v>
      </c>
      <c r="E908" s="1" t="e">
        <f>VLOOKUP(Tabla_Items_Activos[[#This Row],[CODIGO]],Tabla_Items_Completos[[CODIGO]:[LINEA]],4,0)</f>
        <v>#N/A</v>
      </c>
      <c r="F908">
        <v>100</v>
      </c>
      <c r="G908">
        <v>852</v>
      </c>
    </row>
    <row r="909" spans="1:7">
      <c r="A909" t="s">
        <v>7388</v>
      </c>
      <c r="B909" t="s">
        <v>8296</v>
      </c>
      <c r="C909" s="1" t="e">
        <f>VLOOKUP(Tabla_Items_Activos[[#This Row],[CODIGO]],Tabla_Items_Completos[[CODIGO]:[LINEA]],2,0)</f>
        <v>#N/A</v>
      </c>
      <c r="D909" s="1" t="e">
        <f>VLOOKUP(Tabla_Items_Activos[[#This Row],[CODIGO]],Tabla_Items_Completos[[CODIGO]:[LINEA]],3,0)</f>
        <v>#N/A</v>
      </c>
      <c r="E909" s="1" t="e">
        <f>VLOOKUP(Tabla_Items_Activos[[#This Row],[CODIGO]],Tabla_Items_Completos[[CODIGO]:[LINEA]],4,0)</f>
        <v>#N/A</v>
      </c>
      <c r="F909">
        <v>43</v>
      </c>
      <c r="G909">
        <v>709</v>
      </c>
    </row>
    <row r="910" spans="1:7">
      <c r="A910" t="s">
        <v>7388</v>
      </c>
      <c r="B910" t="s">
        <v>8297</v>
      </c>
      <c r="C910" s="1" t="e">
        <f>VLOOKUP(Tabla_Items_Activos[[#This Row],[CODIGO]],Tabla_Items_Completos[[CODIGO]:[LINEA]],2,0)</f>
        <v>#N/A</v>
      </c>
      <c r="D910" s="1" t="e">
        <f>VLOOKUP(Tabla_Items_Activos[[#This Row],[CODIGO]],Tabla_Items_Completos[[CODIGO]:[LINEA]],3,0)</f>
        <v>#N/A</v>
      </c>
      <c r="E910" s="1" t="e">
        <f>VLOOKUP(Tabla_Items_Activos[[#This Row],[CODIGO]],Tabla_Items_Completos[[CODIGO]:[LINEA]],4,0)</f>
        <v>#N/A</v>
      </c>
      <c r="F910">
        <v>151</v>
      </c>
      <c r="G910">
        <v>634</v>
      </c>
    </row>
    <row r="911" spans="1:7">
      <c r="A911" t="s">
        <v>7388</v>
      </c>
      <c r="B911" t="s">
        <v>8298</v>
      </c>
      <c r="C911" s="1" t="e">
        <f>VLOOKUP(Tabla_Items_Activos[[#This Row],[CODIGO]],Tabla_Items_Completos[[CODIGO]:[LINEA]],2,0)</f>
        <v>#N/A</v>
      </c>
      <c r="D911" s="1" t="e">
        <f>VLOOKUP(Tabla_Items_Activos[[#This Row],[CODIGO]],Tabla_Items_Completos[[CODIGO]:[LINEA]],3,0)</f>
        <v>#N/A</v>
      </c>
      <c r="E911" s="1" t="e">
        <f>VLOOKUP(Tabla_Items_Activos[[#This Row],[CODIGO]],Tabla_Items_Completos[[CODIGO]:[LINEA]],4,0)</f>
        <v>#N/A</v>
      </c>
      <c r="F911">
        <v>607</v>
      </c>
      <c r="G911">
        <v>100</v>
      </c>
    </row>
    <row r="912" spans="1:7">
      <c r="A912" t="s">
        <v>7388</v>
      </c>
      <c r="B912" t="s">
        <v>8299</v>
      </c>
      <c r="C912" s="1" t="e">
        <f>VLOOKUP(Tabla_Items_Activos[[#This Row],[CODIGO]],Tabla_Items_Completos[[CODIGO]:[LINEA]],2,0)</f>
        <v>#N/A</v>
      </c>
      <c r="D912" s="1" t="e">
        <f>VLOOKUP(Tabla_Items_Activos[[#This Row],[CODIGO]],Tabla_Items_Completos[[CODIGO]:[LINEA]],3,0)</f>
        <v>#N/A</v>
      </c>
      <c r="E912" s="1" t="e">
        <f>VLOOKUP(Tabla_Items_Activos[[#This Row],[CODIGO]],Tabla_Items_Completos[[CODIGO]:[LINEA]],4,0)</f>
        <v>#N/A</v>
      </c>
      <c r="F912">
        <v>100</v>
      </c>
      <c r="G912">
        <v>0</v>
      </c>
    </row>
    <row r="913" spans="1:7">
      <c r="A913" t="s">
        <v>7388</v>
      </c>
      <c r="B913" t="s">
        <v>8300</v>
      </c>
      <c r="C913" s="1" t="e">
        <f>VLOOKUP(Tabla_Items_Activos[[#This Row],[CODIGO]],Tabla_Items_Completos[[CODIGO]:[LINEA]],2,0)</f>
        <v>#N/A</v>
      </c>
      <c r="D913" s="1" t="e">
        <f>VLOOKUP(Tabla_Items_Activos[[#This Row],[CODIGO]],Tabla_Items_Completos[[CODIGO]:[LINEA]],3,0)</f>
        <v>#N/A</v>
      </c>
      <c r="E913" s="1" t="e">
        <f>VLOOKUP(Tabla_Items_Activos[[#This Row],[CODIGO]],Tabla_Items_Completos[[CODIGO]:[LINEA]],4,0)</f>
        <v>#N/A</v>
      </c>
      <c r="F913">
        <v>476</v>
      </c>
      <c r="G913">
        <v>379</v>
      </c>
    </row>
    <row r="914" spans="1:7">
      <c r="A914" t="s">
        <v>7388</v>
      </c>
      <c r="B914" t="s">
        <v>8301</v>
      </c>
      <c r="C914" s="1" t="e">
        <f>VLOOKUP(Tabla_Items_Activos[[#This Row],[CODIGO]],Tabla_Items_Completos[[CODIGO]:[LINEA]],2,0)</f>
        <v>#N/A</v>
      </c>
      <c r="D914" s="1" t="e">
        <f>VLOOKUP(Tabla_Items_Activos[[#This Row],[CODIGO]],Tabla_Items_Completos[[CODIGO]:[LINEA]],3,0)</f>
        <v>#N/A</v>
      </c>
      <c r="E914" s="1" t="e">
        <f>VLOOKUP(Tabla_Items_Activos[[#This Row],[CODIGO]],Tabla_Items_Completos[[CODIGO]:[LINEA]],4,0)</f>
        <v>#N/A</v>
      </c>
      <c r="F914">
        <v>100</v>
      </c>
      <c r="G914">
        <v>150</v>
      </c>
    </row>
    <row r="915" spans="1:7">
      <c r="A915" t="s">
        <v>7388</v>
      </c>
      <c r="B915" t="s">
        <v>8302</v>
      </c>
      <c r="C915" s="1" t="e">
        <f>VLOOKUP(Tabla_Items_Activos[[#This Row],[CODIGO]],Tabla_Items_Completos[[CODIGO]:[LINEA]],2,0)</f>
        <v>#N/A</v>
      </c>
      <c r="D915" s="1" t="e">
        <f>VLOOKUP(Tabla_Items_Activos[[#This Row],[CODIGO]],Tabla_Items_Completos[[CODIGO]:[LINEA]],3,0)</f>
        <v>#N/A</v>
      </c>
      <c r="E915" s="1" t="e">
        <f>VLOOKUP(Tabla_Items_Activos[[#This Row],[CODIGO]],Tabla_Items_Completos[[CODIGO]:[LINEA]],4,0)</f>
        <v>#N/A</v>
      </c>
      <c r="F915">
        <v>100</v>
      </c>
      <c r="G915">
        <v>0</v>
      </c>
    </row>
    <row r="916" spans="1:7">
      <c r="A916" t="s">
        <v>7388</v>
      </c>
      <c r="B916" t="s">
        <v>8303</v>
      </c>
      <c r="C916" s="1" t="e">
        <f>VLOOKUP(Tabla_Items_Activos[[#This Row],[CODIGO]],Tabla_Items_Completos[[CODIGO]:[LINEA]],2,0)</f>
        <v>#N/A</v>
      </c>
      <c r="D916" s="1" t="e">
        <f>VLOOKUP(Tabla_Items_Activos[[#This Row],[CODIGO]],Tabla_Items_Completos[[CODIGO]:[LINEA]],3,0)</f>
        <v>#N/A</v>
      </c>
      <c r="E916" s="1" t="e">
        <f>VLOOKUP(Tabla_Items_Activos[[#This Row],[CODIGO]],Tabla_Items_Completos[[CODIGO]:[LINEA]],4,0)</f>
        <v>#N/A</v>
      </c>
      <c r="F916">
        <v>160</v>
      </c>
      <c r="G916">
        <v>215</v>
      </c>
    </row>
    <row r="917" spans="1:7">
      <c r="A917" t="s">
        <v>7388</v>
      </c>
      <c r="B917" t="s">
        <v>8304</v>
      </c>
      <c r="C917" s="1" t="e">
        <f>VLOOKUP(Tabla_Items_Activos[[#This Row],[CODIGO]],Tabla_Items_Completos[[CODIGO]:[LINEA]],2,0)</f>
        <v>#N/A</v>
      </c>
      <c r="D917" s="1" t="e">
        <f>VLOOKUP(Tabla_Items_Activos[[#This Row],[CODIGO]],Tabla_Items_Completos[[CODIGO]:[LINEA]],3,0)</f>
        <v>#N/A</v>
      </c>
      <c r="E917" s="1" t="e">
        <f>VLOOKUP(Tabla_Items_Activos[[#This Row],[CODIGO]],Tabla_Items_Completos[[CODIGO]:[LINEA]],4,0)</f>
        <v>#N/A</v>
      </c>
      <c r="F917">
        <v>54</v>
      </c>
      <c r="G917">
        <v>0</v>
      </c>
    </row>
    <row r="918" spans="1:7">
      <c r="A918" t="s">
        <v>7388</v>
      </c>
      <c r="B918" t="s">
        <v>8305</v>
      </c>
      <c r="C918" s="1" t="e">
        <f>VLOOKUP(Tabla_Items_Activos[[#This Row],[CODIGO]],Tabla_Items_Completos[[CODIGO]:[LINEA]],2,0)</f>
        <v>#N/A</v>
      </c>
      <c r="D918" s="1" t="e">
        <f>VLOOKUP(Tabla_Items_Activos[[#This Row],[CODIGO]],Tabla_Items_Completos[[CODIGO]:[LINEA]],3,0)</f>
        <v>#N/A</v>
      </c>
      <c r="E918" s="1" t="e">
        <f>VLOOKUP(Tabla_Items_Activos[[#This Row],[CODIGO]],Tabla_Items_Completos[[CODIGO]:[LINEA]],4,0)</f>
        <v>#N/A</v>
      </c>
      <c r="F918">
        <v>25</v>
      </c>
      <c r="G918">
        <v>0</v>
      </c>
    </row>
    <row r="919" spans="1:7">
      <c r="A919" t="s">
        <v>7388</v>
      </c>
      <c r="B919" t="s">
        <v>8306</v>
      </c>
      <c r="C919" s="1" t="e">
        <f>VLOOKUP(Tabla_Items_Activos[[#This Row],[CODIGO]],Tabla_Items_Completos[[CODIGO]:[LINEA]],2,0)</f>
        <v>#N/A</v>
      </c>
      <c r="D919" s="1" t="e">
        <f>VLOOKUP(Tabla_Items_Activos[[#This Row],[CODIGO]],Tabla_Items_Completos[[CODIGO]:[LINEA]],3,0)</f>
        <v>#N/A</v>
      </c>
      <c r="E919" s="1" t="e">
        <f>VLOOKUP(Tabla_Items_Activos[[#This Row],[CODIGO]],Tabla_Items_Completos[[CODIGO]:[LINEA]],4,0)</f>
        <v>#N/A</v>
      </c>
      <c r="F919">
        <v>29</v>
      </c>
      <c r="G919">
        <v>3</v>
      </c>
    </row>
    <row r="920" spans="1:7">
      <c r="A920" t="s">
        <v>7388</v>
      </c>
      <c r="B920" t="s">
        <v>8307</v>
      </c>
      <c r="C920" s="1" t="e">
        <f>VLOOKUP(Tabla_Items_Activos[[#This Row],[CODIGO]],Tabla_Items_Completos[[CODIGO]:[LINEA]],2,0)</f>
        <v>#N/A</v>
      </c>
      <c r="D920" s="1" t="e">
        <f>VLOOKUP(Tabla_Items_Activos[[#This Row],[CODIGO]],Tabla_Items_Completos[[CODIGO]:[LINEA]],3,0)</f>
        <v>#N/A</v>
      </c>
      <c r="E920" s="1" t="e">
        <f>VLOOKUP(Tabla_Items_Activos[[#This Row],[CODIGO]],Tabla_Items_Completos[[CODIGO]:[LINEA]],4,0)</f>
        <v>#N/A</v>
      </c>
      <c r="F920">
        <v>200</v>
      </c>
      <c r="G920">
        <v>60</v>
      </c>
    </row>
    <row r="921" spans="1:7">
      <c r="A921" t="s">
        <v>7388</v>
      </c>
      <c r="B921" t="s">
        <v>8308</v>
      </c>
      <c r="C921" s="1" t="e">
        <f>VLOOKUP(Tabla_Items_Activos[[#This Row],[CODIGO]],Tabla_Items_Completos[[CODIGO]:[LINEA]],2,0)</f>
        <v>#N/A</v>
      </c>
      <c r="D921" s="1" t="e">
        <f>VLOOKUP(Tabla_Items_Activos[[#This Row],[CODIGO]],Tabla_Items_Completos[[CODIGO]:[LINEA]],3,0)</f>
        <v>#N/A</v>
      </c>
      <c r="E921" s="1" t="e">
        <f>VLOOKUP(Tabla_Items_Activos[[#This Row],[CODIGO]],Tabla_Items_Completos[[CODIGO]:[LINEA]],4,0)</f>
        <v>#N/A</v>
      </c>
      <c r="F921">
        <v>60</v>
      </c>
      <c r="G921">
        <v>65</v>
      </c>
    </row>
    <row r="922" spans="1:7">
      <c r="A922" t="s">
        <v>7388</v>
      </c>
      <c r="B922" t="s">
        <v>8309</v>
      </c>
      <c r="C922" s="1" t="e">
        <f>VLOOKUP(Tabla_Items_Activos[[#This Row],[CODIGO]],Tabla_Items_Completos[[CODIGO]:[LINEA]],2,0)</f>
        <v>#N/A</v>
      </c>
      <c r="D922" s="1" t="e">
        <f>VLOOKUP(Tabla_Items_Activos[[#This Row],[CODIGO]],Tabla_Items_Completos[[CODIGO]:[LINEA]],3,0)</f>
        <v>#N/A</v>
      </c>
      <c r="E922" s="1" t="e">
        <f>VLOOKUP(Tabla_Items_Activos[[#This Row],[CODIGO]],Tabla_Items_Completos[[CODIGO]:[LINEA]],4,0)</f>
        <v>#N/A</v>
      </c>
      <c r="F922">
        <v>150</v>
      </c>
      <c r="G922">
        <v>90</v>
      </c>
    </row>
    <row r="923" spans="1:7">
      <c r="A923" t="s">
        <v>7388</v>
      </c>
      <c r="B923" t="s">
        <v>8310</v>
      </c>
      <c r="C923" s="1" t="e">
        <f>VLOOKUP(Tabla_Items_Activos[[#This Row],[CODIGO]],Tabla_Items_Completos[[CODIGO]:[LINEA]],2,0)</f>
        <v>#N/A</v>
      </c>
      <c r="D923" s="1" t="e">
        <f>VLOOKUP(Tabla_Items_Activos[[#This Row],[CODIGO]],Tabla_Items_Completos[[CODIGO]:[LINEA]],3,0)</f>
        <v>#N/A</v>
      </c>
      <c r="E923" s="1" t="e">
        <f>VLOOKUP(Tabla_Items_Activos[[#This Row],[CODIGO]],Tabla_Items_Completos[[CODIGO]:[LINEA]],4,0)</f>
        <v>#N/A</v>
      </c>
      <c r="F923">
        <v>20</v>
      </c>
      <c r="G923">
        <v>6</v>
      </c>
    </row>
    <row r="924" spans="1:7">
      <c r="A924" t="s">
        <v>7388</v>
      </c>
      <c r="B924" t="s">
        <v>8311</v>
      </c>
      <c r="C924" s="1" t="e">
        <f>VLOOKUP(Tabla_Items_Activos[[#This Row],[CODIGO]],Tabla_Items_Completos[[CODIGO]:[LINEA]],2,0)</f>
        <v>#N/A</v>
      </c>
      <c r="D924" s="1" t="e">
        <f>VLOOKUP(Tabla_Items_Activos[[#This Row],[CODIGO]],Tabla_Items_Completos[[CODIGO]:[LINEA]],3,0)</f>
        <v>#N/A</v>
      </c>
      <c r="E924" s="1" t="e">
        <f>VLOOKUP(Tabla_Items_Activos[[#This Row],[CODIGO]],Tabla_Items_Completos[[CODIGO]:[LINEA]],4,0)</f>
        <v>#N/A</v>
      </c>
      <c r="F924">
        <v>350</v>
      </c>
      <c r="G924">
        <v>134</v>
      </c>
    </row>
    <row r="925" spans="1:7">
      <c r="A925" t="s">
        <v>7388</v>
      </c>
      <c r="B925" t="s">
        <v>8312</v>
      </c>
      <c r="C925" s="1" t="e">
        <f>VLOOKUP(Tabla_Items_Activos[[#This Row],[CODIGO]],Tabla_Items_Completos[[CODIGO]:[LINEA]],2,0)</f>
        <v>#N/A</v>
      </c>
      <c r="D925" s="1" t="e">
        <f>VLOOKUP(Tabla_Items_Activos[[#This Row],[CODIGO]],Tabla_Items_Completos[[CODIGO]:[LINEA]],3,0)</f>
        <v>#N/A</v>
      </c>
      <c r="E925" s="1" t="e">
        <f>VLOOKUP(Tabla_Items_Activos[[#This Row],[CODIGO]],Tabla_Items_Completos[[CODIGO]:[LINEA]],4,0)</f>
        <v>#N/A</v>
      </c>
      <c r="F925">
        <v>200</v>
      </c>
      <c r="G925">
        <v>0</v>
      </c>
    </row>
    <row r="926" spans="1:7">
      <c r="A926" t="s">
        <v>7388</v>
      </c>
      <c r="B926" t="s">
        <v>8313</v>
      </c>
      <c r="C926" s="1" t="e">
        <f>VLOOKUP(Tabla_Items_Activos[[#This Row],[CODIGO]],Tabla_Items_Completos[[CODIGO]:[LINEA]],2,0)</f>
        <v>#N/A</v>
      </c>
      <c r="D926" s="1" t="e">
        <f>VLOOKUP(Tabla_Items_Activos[[#This Row],[CODIGO]],Tabla_Items_Completos[[CODIGO]:[LINEA]],3,0)</f>
        <v>#N/A</v>
      </c>
      <c r="E926" s="1" t="e">
        <f>VLOOKUP(Tabla_Items_Activos[[#This Row],[CODIGO]],Tabla_Items_Completos[[CODIGO]:[LINEA]],4,0)</f>
        <v>#N/A</v>
      </c>
      <c r="F926">
        <v>71</v>
      </c>
      <c r="G926">
        <v>0</v>
      </c>
    </row>
    <row r="927" spans="1:7">
      <c r="A927" t="s">
        <v>7388</v>
      </c>
      <c r="B927" t="s">
        <v>8314</v>
      </c>
      <c r="C927" s="1" t="e">
        <f>VLOOKUP(Tabla_Items_Activos[[#This Row],[CODIGO]],Tabla_Items_Completos[[CODIGO]:[LINEA]],2,0)</f>
        <v>#N/A</v>
      </c>
      <c r="D927" s="1" t="e">
        <f>VLOOKUP(Tabla_Items_Activos[[#This Row],[CODIGO]],Tabla_Items_Completos[[CODIGO]:[LINEA]],3,0)</f>
        <v>#N/A</v>
      </c>
      <c r="E927" s="1" t="e">
        <f>VLOOKUP(Tabla_Items_Activos[[#This Row],[CODIGO]],Tabla_Items_Completos[[CODIGO]:[LINEA]],4,0)</f>
        <v>#N/A</v>
      </c>
      <c r="F927">
        <v>100</v>
      </c>
      <c r="G927">
        <v>43</v>
      </c>
    </row>
    <row r="928" spans="1:7">
      <c r="A928" t="s">
        <v>7388</v>
      </c>
      <c r="B928" t="s">
        <v>8315</v>
      </c>
      <c r="C928" s="1" t="e">
        <f>VLOOKUP(Tabla_Items_Activos[[#This Row],[CODIGO]],Tabla_Items_Completos[[CODIGO]:[LINEA]],2,0)</f>
        <v>#N/A</v>
      </c>
      <c r="D928" s="1" t="e">
        <f>VLOOKUP(Tabla_Items_Activos[[#This Row],[CODIGO]],Tabla_Items_Completos[[CODIGO]:[LINEA]],3,0)</f>
        <v>#N/A</v>
      </c>
      <c r="E928" s="1" t="e">
        <f>VLOOKUP(Tabla_Items_Activos[[#This Row],[CODIGO]],Tabla_Items_Completos[[CODIGO]:[LINEA]],4,0)</f>
        <v>#N/A</v>
      </c>
      <c r="F928">
        <v>100</v>
      </c>
      <c r="G928">
        <v>0</v>
      </c>
    </row>
    <row r="929" spans="1:7">
      <c r="A929" t="s">
        <v>7388</v>
      </c>
      <c r="B929" t="s">
        <v>8316</v>
      </c>
      <c r="C929" s="1" t="e">
        <f>VLOOKUP(Tabla_Items_Activos[[#This Row],[CODIGO]],Tabla_Items_Completos[[CODIGO]:[LINEA]],2,0)</f>
        <v>#N/A</v>
      </c>
      <c r="D929" s="1" t="e">
        <f>VLOOKUP(Tabla_Items_Activos[[#This Row],[CODIGO]],Tabla_Items_Completos[[CODIGO]:[LINEA]],3,0)</f>
        <v>#N/A</v>
      </c>
      <c r="E929" s="1" t="e">
        <f>VLOOKUP(Tabla_Items_Activos[[#This Row],[CODIGO]],Tabla_Items_Completos[[CODIGO]:[LINEA]],4,0)</f>
        <v>#N/A</v>
      </c>
      <c r="F929">
        <v>100</v>
      </c>
      <c r="G929">
        <v>49</v>
      </c>
    </row>
    <row r="930" spans="1:7">
      <c r="A930" t="s">
        <v>7388</v>
      </c>
      <c r="B930" t="s">
        <v>8317</v>
      </c>
      <c r="C930" s="1" t="e">
        <f>VLOOKUP(Tabla_Items_Activos[[#This Row],[CODIGO]],Tabla_Items_Completos[[CODIGO]:[LINEA]],2,0)</f>
        <v>#N/A</v>
      </c>
      <c r="D930" s="1" t="e">
        <f>VLOOKUP(Tabla_Items_Activos[[#This Row],[CODIGO]],Tabla_Items_Completos[[CODIGO]:[LINEA]],3,0)</f>
        <v>#N/A</v>
      </c>
      <c r="E930" s="1" t="e">
        <f>VLOOKUP(Tabla_Items_Activos[[#This Row],[CODIGO]],Tabla_Items_Completos[[CODIGO]:[LINEA]],4,0)</f>
        <v>#N/A</v>
      </c>
      <c r="F930">
        <v>100</v>
      </c>
      <c r="G930">
        <v>23</v>
      </c>
    </row>
    <row r="931" spans="1:7">
      <c r="A931" t="s">
        <v>7388</v>
      </c>
      <c r="B931" t="s">
        <v>8318</v>
      </c>
      <c r="C931" s="1" t="e">
        <f>VLOOKUP(Tabla_Items_Activos[[#This Row],[CODIGO]],Tabla_Items_Completos[[CODIGO]:[LINEA]],2,0)</f>
        <v>#N/A</v>
      </c>
      <c r="D931" s="1" t="e">
        <f>VLOOKUP(Tabla_Items_Activos[[#This Row],[CODIGO]],Tabla_Items_Completos[[CODIGO]:[LINEA]],3,0)</f>
        <v>#N/A</v>
      </c>
      <c r="E931" s="1" t="e">
        <f>VLOOKUP(Tabla_Items_Activos[[#This Row],[CODIGO]],Tabla_Items_Completos[[CODIGO]:[LINEA]],4,0)</f>
        <v>#N/A</v>
      </c>
      <c r="F931">
        <v>80</v>
      </c>
      <c r="G931">
        <v>0</v>
      </c>
    </row>
    <row r="932" spans="1:7">
      <c r="A932" t="s">
        <v>7388</v>
      </c>
      <c r="B932" t="s">
        <v>8319</v>
      </c>
      <c r="C932" s="1" t="e">
        <f>VLOOKUP(Tabla_Items_Activos[[#This Row],[CODIGO]],Tabla_Items_Completos[[CODIGO]:[LINEA]],2,0)</f>
        <v>#N/A</v>
      </c>
      <c r="D932" s="1" t="e">
        <f>VLOOKUP(Tabla_Items_Activos[[#This Row],[CODIGO]],Tabla_Items_Completos[[CODIGO]:[LINEA]],3,0)</f>
        <v>#N/A</v>
      </c>
      <c r="E932" s="1" t="e">
        <f>VLOOKUP(Tabla_Items_Activos[[#This Row],[CODIGO]],Tabla_Items_Completos[[CODIGO]:[LINEA]],4,0)</f>
        <v>#N/A</v>
      </c>
      <c r="F932">
        <v>80</v>
      </c>
      <c r="G932">
        <v>4</v>
      </c>
    </row>
    <row r="933" spans="1:7">
      <c r="A933" t="s">
        <v>7388</v>
      </c>
      <c r="B933" t="s">
        <v>8320</v>
      </c>
      <c r="C933" s="1" t="e">
        <f>VLOOKUP(Tabla_Items_Activos[[#This Row],[CODIGO]],Tabla_Items_Completos[[CODIGO]:[LINEA]],2,0)</f>
        <v>#N/A</v>
      </c>
      <c r="D933" s="1" t="e">
        <f>VLOOKUP(Tabla_Items_Activos[[#This Row],[CODIGO]],Tabla_Items_Completos[[CODIGO]:[LINEA]],3,0)</f>
        <v>#N/A</v>
      </c>
      <c r="E933" s="1" t="e">
        <f>VLOOKUP(Tabla_Items_Activos[[#This Row],[CODIGO]],Tabla_Items_Completos[[CODIGO]:[LINEA]],4,0)</f>
        <v>#N/A</v>
      </c>
      <c r="F933">
        <v>109</v>
      </c>
      <c r="G933">
        <v>7</v>
      </c>
    </row>
    <row r="934" spans="1:7">
      <c r="A934" t="s">
        <v>7388</v>
      </c>
      <c r="B934" t="s">
        <v>8321</v>
      </c>
      <c r="C934" s="1" t="e">
        <f>VLOOKUP(Tabla_Items_Activos[[#This Row],[CODIGO]],Tabla_Items_Completos[[CODIGO]:[LINEA]],2,0)</f>
        <v>#N/A</v>
      </c>
      <c r="D934" s="1" t="e">
        <f>VLOOKUP(Tabla_Items_Activos[[#This Row],[CODIGO]],Tabla_Items_Completos[[CODIGO]:[LINEA]],3,0)</f>
        <v>#N/A</v>
      </c>
      <c r="E934" s="1" t="e">
        <f>VLOOKUP(Tabla_Items_Activos[[#This Row],[CODIGO]],Tabla_Items_Completos[[CODIGO]:[LINEA]],4,0)</f>
        <v>#N/A</v>
      </c>
      <c r="F934">
        <v>94</v>
      </c>
      <c r="G934">
        <v>24</v>
      </c>
    </row>
    <row r="935" spans="1:7">
      <c r="A935" t="s">
        <v>7388</v>
      </c>
      <c r="B935" t="s">
        <v>8322</v>
      </c>
      <c r="C935" s="1" t="e">
        <f>VLOOKUP(Tabla_Items_Activos[[#This Row],[CODIGO]],Tabla_Items_Completos[[CODIGO]:[LINEA]],2,0)</f>
        <v>#N/A</v>
      </c>
      <c r="D935" s="1" t="e">
        <f>VLOOKUP(Tabla_Items_Activos[[#This Row],[CODIGO]],Tabla_Items_Completos[[CODIGO]:[LINEA]],3,0)</f>
        <v>#N/A</v>
      </c>
      <c r="E935" s="1" t="e">
        <f>VLOOKUP(Tabla_Items_Activos[[#This Row],[CODIGO]],Tabla_Items_Completos[[CODIGO]:[LINEA]],4,0)</f>
        <v>#N/A</v>
      </c>
      <c r="F935">
        <v>51</v>
      </c>
      <c r="G935">
        <v>0</v>
      </c>
    </row>
    <row r="936" spans="1:7">
      <c r="A936" t="s">
        <v>7388</v>
      </c>
      <c r="B936" t="s">
        <v>8323</v>
      </c>
      <c r="C936" s="1" t="e">
        <f>VLOOKUP(Tabla_Items_Activos[[#This Row],[CODIGO]],Tabla_Items_Completos[[CODIGO]:[LINEA]],2,0)</f>
        <v>#N/A</v>
      </c>
      <c r="D936" s="1" t="e">
        <f>VLOOKUP(Tabla_Items_Activos[[#This Row],[CODIGO]],Tabla_Items_Completos[[CODIGO]:[LINEA]],3,0)</f>
        <v>#N/A</v>
      </c>
      <c r="E936" s="1" t="e">
        <f>VLOOKUP(Tabla_Items_Activos[[#This Row],[CODIGO]],Tabla_Items_Completos[[CODIGO]:[LINEA]],4,0)</f>
        <v>#N/A</v>
      </c>
      <c r="F936">
        <v>60</v>
      </c>
      <c r="G936">
        <v>2</v>
      </c>
    </row>
    <row r="937" spans="1:7">
      <c r="A937" t="s">
        <v>7388</v>
      </c>
      <c r="B937" t="s">
        <v>8324</v>
      </c>
      <c r="C937" s="1" t="e">
        <f>VLOOKUP(Tabla_Items_Activos[[#This Row],[CODIGO]],Tabla_Items_Completos[[CODIGO]:[LINEA]],2,0)</f>
        <v>#N/A</v>
      </c>
      <c r="D937" s="1" t="e">
        <f>VLOOKUP(Tabla_Items_Activos[[#This Row],[CODIGO]],Tabla_Items_Completos[[CODIGO]:[LINEA]],3,0)</f>
        <v>#N/A</v>
      </c>
      <c r="E937" s="1" t="e">
        <f>VLOOKUP(Tabla_Items_Activos[[#This Row],[CODIGO]],Tabla_Items_Completos[[CODIGO]:[LINEA]],4,0)</f>
        <v>#N/A</v>
      </c>
      <c r="F937">
        <v>10</v>
      </c>
      <c r="G937">
        <v>0</v>
      </c>
    </row>
    <row r="938" spans="1:7">
      <c r="A938" t="s">
        <v>7388</v>
      </c>
      <c r="B938" t="s">
        <v>8325</v>
      </c>
      <c r="C938" s="1" t="e">
        <f>VLOOKUP(Tabla_Items_Activos[[#This Row],[CODIGO]],Tabla_Items_Completos[[CODIGO]:[LINEA]],2,0)</f>
        <v>#N/A</v>
      </c>
      <c r="D938" s="1" t="e">
        <f>VLOOKUP(Tabla_Items_Activos[[#This Row],[CODIGO]],Tabla_Items_Completos[[CODIGO]:[LINEA]],3,0)</f>
        <v>#N/A</v>
      </c>
      <c r="E938" s="1" t="e">
        <f>VLOOKUP(Tabla_Items_Activos[[#This Row],[CODIGO]],Tabla_Items_Completos[[CODIGO]:[LINEA]],4,0)</f>
        <v>#N/A</v>
      </c>
      <c r="F938">
        <v>72</v>
      </c>
      <c r="G938">
        <v>11</v>
      </c>
    </row>
    <row r="939" spans="1:7">
      <c r="A939" t="s">
        <v>7388</v>
      </c>
      <c r="B939" t="s">
        <v>8326</v>
      </c>
      <c r="C939" s="1" t="e">
        <f>VLOOKUP(Tabla_Items_Activos[[#This Row],[CODIGO]],Tabla_Items_Completos[[CODIGO]:[LINEA]],2,0)</f>
        <v>#N/A</v>
      </c>
      <c r="D939" s="1" t="e">
        <f>VLOOKUP(Tabla_Items_Activos[[#This Row],[CODIGO]],Tabla_Items_Completos[[CODIGO]:[LINEA]],3,0)</f>
        <v>#N/A</v>
      </c>
      <c r="E939" s="1" t="e">
        <f>VLOOKUP(Tabla_Items_Activos[[#This Row],[CODIGO]],Tabla_Items_Completos[[CODIGO]:[LINEA]],4,0)</f>
        <v>#N/A</v>
      </c>
      <c r="F939">
        <v>300</v>
      </c>
      <c r="G939">
        <v>330</v>
      </c>
    </row>
    <row r="940" spans="1:7">
      <c r="A940" t="s">
        <v>7388</v>
      </c>
      <c r="B940" t="s">
        <v>8327</v>
      </c>
      <c r="C940" s="1" t="e">
        <f>VLOOKUP(Tabla_Items_Activos[[#This Row],[CODIGO]],Tabla_Items_Completos[[CODIGO]:[LINEA]],2,0)</f>
        <v>#N/A</v>
      </c>
      <c r="D940" s="1" t="e">
        <f>VLOOKUP(Tabla_Items_Activos[[#This Row],[CODIGO]],Tabla_Items_Completos[[CODIGO]:[LINEA]],3,0)</f>
        <v>#N/A</v>
      </c>
      <c r="E940" s="1" t="e">
        <f>VLOOKUP(Tabla_Items_Activos[[#This Row],[CODIGO]],Tabla_Items_Completos[[CODIGO]:[LINEA]],4,0)</f>
        <v>#N/A</v>
      </c>
      <c r="F940">
        <v>500</v>
      </c>
      <c r="G940">
        <v>294</v>
      </c>
    </row>
    <row r="941" spans="1:7">
      <c r="A941" t="s">
        <v>7388</v>
      </c>
      <c r="B941" t="s">
        <v>8328</v>
      </c>
      <c r="C941" s="1" t="e">
        <f>VLOOKUP(Tabla_Items_Activos[[#This Row],[CODIGO]],Tabla_Items_Completos[[CODIGO]:[LINEA]],2,0)</f>
        <v>#N/A</v>
      </c>
      <c r="D941" s="1" t="e">
        <f>VLOOKUP(Tabla_Items_Activos[[#This Row],[CODIGO]],Tabla_Items_Completos[[CODIGO]:[LINEA]],3,0)</f>
        <v>#N/A</v>
      </c>
      <c r="E941" s="1" t="e">
        <f>VLOOKUP(Tabla_Items_Activos[[#This Row],[CODIGO]],Tabla_Items_Completos[[CODIGO]:[LINEA]],4,0)</f>
        <v>#N/A</v>
      </c>
      <c r="F941">
        <v>150</v>
      </c>
      <c r="G941">
        <v>94</v>
      </c>
    </row>
    <row r="942" spans="1:7">
      <c r="A942" t="s">
        <v>7388</v>
      </c>
      <c r="B942" t="s">
        <v>8329</v>
      </c>
      <c r="C942" s="1" t="e">
        <f>VLOOKUP(Tabla_Items_Activos[[#This Row],[CODIGO]],Tabla_Items_Completos[[CODIGO]:[LINEA]],2,0)</f>
        <v>#N/A</v>
      </c>
      <c r="D942" s="1" t="e">
        <f>VLOOKUP(Tabla_Items_Activos[[#This Row],[CODIGO]],Tabla_Items_Completos[[CODIGO]:[LINEA]],3,0)</f>
        <v>#N/A</v>
      </c>
      <c r="E942" s="1" t="e">
        <f>VLOOKUP(Tabla_Items_Activos[[#This Row],[CODIGO]],Tabla_Items_Completos[[CODIGO]:[LINEA]],4,0)</f>
        <v>#N/A</v>
      </c>
      <c r="F942">
        <v>80</v>
      </c>
      <c r="G942">
        <v>34</v>
      </c>
    </row>
    <row r="943" spans="1:7">
      <c r="A943" t="s">
        <v>7388</v>
      </c>
      <c r="B943" t="s">
        <v>8330</v>
      </c>
      <c r="C943" s="1" t="e">
        <f>VLOOKUP(Tabla_Items_Activos[[#This Row],[CODIGO]],Tabla_Items_Completos[[CODIGO]:[LINEA]],2,0)</f>
        <v>#N/A</v>
      </c>
      <c r="D943" s="1" t="e">
        <f>VLOOKUP(Tabla_Items_Activos[[#This Row],[CODIGO]],Tabla_Items_Completos[[CODIGO]:[LINEA]],3,0)</f>
        <v>#N/A</v>
      </c>
      <c r="E943" s="1" t="e">
        <f>VLOOKUP(Tabla_Items_Activos[[#This Row],[CODIGO]],Tabla_Items_Completos[[CODIGO]:[LINEA]],4,0)</f>
        <v>#N/A</v>
      </c>
      <c r="F943">
        <v>60</v>
      </c>
      <c r="G943">
        <v>31</v>
      </c>
    </row>
    <row r="944" spans="1:7">
      <c r="A944" t="s">
        <v>7388</v>
      </c>
      <c r="B944" t="s">
        <v>8331</v>
      </c>
      <c r="C944" s="1" t="e">
        <f>VLOOKUP(Tabla_Items_Activos[[#This Row],[CODIGO]],Tabla_Items_Completos[[CODIGO]:[LINEA]],2,0)</f>
        <v>#N/A</v>
      </c>
      <c r="D944" s="1" t="e">
        <f>VLOOKUP(Tabla_Items_Activos[[#This Row],[CODIGO]],Tabla_Items_Completos[[CODIGO]:[LINEA]],3,0)</f>
        <v>#N/A</v>
      </c>
      <c r="E944" s="1" t="e">
        <f>VLOOKUP(Tabla_Items_Activos[[#This Row],[CODIGO]],Tabla_Items_Completos[[CODIGO]:[LINEA]],4,0)</f>
        <v>#N/A</v>
      </c>
      <c r="F944">
        <v>60</v>
      </c>
      <c r="G944">
        <v>0</v>
      </c>
    </row>
    <row r="945" spans="1:7">
      <c r="A945" t="s">
        <v>7388</v>
      </c>
      <c r="B945" t="s">
        <v>8332</v>
      </c>
      <c r="C945" s="1" t="e">
        <f>VLOOKUP(Tabla_Items_Activos[[#This Row],[CODIGO]],Tabla_Items_Completos[[CODIGO]:[LINEA]],2,0)</f>
        <v>#N/A</v>
      </c>
      <c r="D945" s="1" t="e">
        <f>VLOOKUP(Tabla_Items_Activos[[#This Row],[CODIGO]],Tabla_Items_Completos[[CODIGO]:[LINEA]],3,0)</f>
        <v>#N/A</v>
      </c>
      <c r="E945" s="1" t="e">
        <f>VLOOKUP(Tabla_Items_Activos[[#This Row],[CODIGO]],Tabla_Items_Completos[[CODIGO]:[LINEA]],4,0)</f>
        <v>#N/A</v>
      </c>
      <c r="F945">
        <v>200</v>
      </c>
      <c r="G945">
        <v>0</v>
      </c>
    </row>
    <row r="946" spans="1:7">
      <c r="A946" t="s">
        <v>7388</v>
      </c>
      <c r="B946" t="s">
        <v>8333</v>
      </c>
      <c r="C946" s="1" t="e">
        <f>VLOOKUP(Tabla_Items_Activos[[#This Row],[CODIGO]],Tabla_Items_Completos[[CODIGO]:[LINEA]],2,0)</f>
        <v>#N/A</v>
      </c>
      <c r="D946" s="1" t="e">
        <f>VLOOKUP(Tabla_Items_Activos[[#This Row],[CODIGO]],Tabla_Items_Completos[[CODIGO]:[LINEA]],3,0)</f>
        <v>#N/A</v>
      </c>
      <c r="E946" s="1" t="e">
        <f>VLOOKUP(Tabla_Items_Activos[[#This Row],[CODIGO]],Tabla_Items_Completos[[CODIGO]:[LINEA]],4,0)</f>
        <v>#N/A</v>
      </c>
      <c r="F946">
        <v>224</v>
      </c>
      <c r="G946">
        <v>80</v>
      </c>
    </row>
    <row r="947" spans="1:7">
      <c r="A947" t="s">
        <v>7388</v>
      </c>
      <c r="B947" t="s">
        <v>8334</v>
      </c>
      <c r="C947" s="1" t="e">
        <f>VLOOKUP(Tabla_Items_Activos[[#This Row],[CODIGO]],Tabla_Items_Completos[[CODIGO]:[LINEA]],2,0)</f>
        <v>#N/A</v>
      </c>
      <c r="D947" s="1" t="e">
        <f>VLOOKUP(Tabla_Items_Activos[[#This Row],[CODIGO]],Tabla_Items_Completos[[CODIGO]:[LINEA]],3,0)</f>
        <v>#N/A</v>
      </c>
      <c r="E947" s="1" t="e">
        <f>VLOOKUP(Tabla_Items_Activos[[#This Row],[CODIGO]],Tabla_Items_Completos[[CODIGO]:[LINEA]],4,0)</f>
        <v>#N/A</v>
      </c>
      <c r="F947">
        <v>300</v>
      </c>
      <c r="G947">
        <v>117</v>
      </c>
    </row>
    <row r="948" spans="1:7">
      <c r="A948" t="s">
        <v>7388</v>
      </c>
      <c r="B948" t="s">
        <v>8335</v>
      </c>
      <c r="C948" s="1" t="e">
        <f>VLOOKUP(Tabla_Items_Activos[[#This Row],[CODIGO]],Tabla_Items_Completos[[CODIGO]:[LINEA]],2,0)</f>
        <v>#N/A</v>
      </c>
      <c r="D948" s="1" t="e">
        <f>VLOOKUP(Tabla_Items_Activos[[#This Row],[CODIGO]],Tabla_Items_Completos[[CODIGO]:[LINEA]],3,0)</f>
        <v>#N/A</v>
      </c>
      <c r="E948" s="1" t="e">
        <f>VLOOKUP(Tabla_Items_Activos[[#This Row],[CODIGO]],Tabla_Items_Completos[[CODIGO]:[LINEA]],4,0)</f>
        <v>#N/A</v>
      </c>
      <c r="F948">
        <v>23</v>
      </c>
      <c r="G948">
        <v>28</v>
      </c>
    </row>
    <row r="949" spans="1:7">
      <c r="A949" t="s">
        <v>7388</v>
      </c>
      <c r="B949" t="s">
        <v>8336</v>
      </c>
      <c r="C949" s="1" t="e">
        <f>VLOOKUP(Tabla_Items_Activos[[#This Row],[CODIGO]],Tabla_Items_Completos[[CODIGO]:[LINEA]],2,0)</f>
        <v>#N/A</v>
      </c>
      <c r="D949" s="1" t="e">
        <f>VLOOKUP(Tabla_Items_Activos[[#This Row],[CODIGO]],Tabla_Items_Completos[[CODIGO]:[LINEA]],3,0)</f>
        <v>#N/A</v>
      </c>
      <c r="E949" s="1" t="e">
        <f>VLOOKUP(Tabla_Items_Activos[[#This Row],[CODIGO]],Tabla_Items_Completos[[CODIGO]:[LINEA]],4,0)</f>
        <v>#N/A</v>
      </c>
      <c r="F949">
        <v>400</v>
      </c>
      <c r="G949">
        <v>300</v>
      </c>
    </row>
    <row r="950" spans="1:7">
      <c r="A950" t="s">
        <v>7388</v>
      </c>
      <c r="B950" t="s">
        <v>8337</v>
      </c>
      <c r="C950" s="1" t="e">
        <f>VLOOKUP(Tabla_Items_Activos[[#This Row],[CODIGO]],Tabla_Items_Completos[[CODIGO]:[LINEA]],2,0)</f>
        <v>#N/A</v>
      </c>
      <c r="D950" s="1" t="e">
        <f>VLOOKUP(Tabla_Items_Activos[[#This Row],[CODIGO]],Tabla_Items_Completos[[CODIGO]:[LINEA]],3,0)</f>
        <v>#N/A</v>
      </c>
      <c r="E950" s="1" t="e">
        <f>VLOOKUP(Tabla_Items_Activos[[#This Row],[CODIGO]],Tabla_Items_Completos[[CODIGO]:[LINEA]],4,0)</f>
        <v>#N/A</v>
      </c>
      <c r="F950">
        <v>100</v>
      </c>
      <c r="G950">
        <v>22</v>
      </c>
    </row>
    <row r="951" spans="1:7">
      <c r="A951" t="s">
        <v>7388</v>
      </c>
      <c r="B951" t="s">
        <v>8338</v>
      </c>
      <c r="C951" s="1" t="e">
        <f>VLOOKUP(Tabla_Items_Activos[[#This Row],[CODIGO]],Tabla_Items_Completos[[CODIGO]:[LINEA]],2,0)</f>
        <v>#N/A</v>
      </c>
      <c r="D951" s="1" t="e">
        <f>VLOOKUP(Tabla_Items_Activos[[#This Row],[CODIGO]],Tabla_Items_Completos[[CODIGO]:[LINEA]],3,0)</f>
        <v>#N/A</v>
      </c>
      <c r="E951" s="1" t="e">
        <f>VLOOKUP(Tabla_Items_Activos[[#This Row],[CODIGO]],Tabla_Items_Completos[[CODIGO]:[LINEA]],4,0)</f>
        <v>#N/A</v>
      </c>
      <c r="F951">
        <v>100</v>
      </c>
      <c r="G951">
        <v>22</v>
      </c>
    </row>
    <row r="952" spans="1:7">
      <c r="A952" t="s">
        <v>7388</v>
      </c>
      <c r="B952" t="s">
        <v>8339</v>
      </c>
      <c r="C952" s="1" t="e">
        <f>VLOOKUP(Tabla_Items_Activos[[#This Row],[CODIGO]],Tabla_Items_Completos[[CODIGO]:[LINEA]],2,0)</f>
        <v>#N/A</v>
      </c>
      <c r="D952" s="1" t="e">
        <f>VLOOKUP(Tabla_Items_Activos[[#This Row],[CODIGO]],Tabla_Items_Completos[[CODIGO]:[LINEA]],3,0)</f>
        <v>#N/A</v>
      </c>
      <c r="E952" s="1" t="e">
        <f>VLOOKUP(Tabla_Items_Activos[[#This Row],[CODIGO]],Tabla_Items_Completos[[CODIGO]:[LINEA]],4,0)</f>
        <v>#N/A</v>
      </c>
      <c r="F952">
        <v>63</v>
      </c>
      <c r="G952">
        <v>0</v>
      </c>
    </row>
    <row r="953" spans="1:7">
      <c r="A953" t="s">
        <v>7388</v>
      </c>
      <c r="B953" t="s">
        <v>8340</v>
      </c>
      <c r="C953" s="1" t="e">
        <f>VLOOKUP(Tabla_Items_Activos[[#This Row],[CODIGO]],Tabla_Items_Completos[[CODIGO]:[LINEA]],2,0)</f>
        <v>#N/A</v>
      </c>
      <c r="D953" s="1" t="e">
        <f>VLOOKUP(Tabla_Items_Activos[[#This Row],[CODIGO]],Tabla_Items_Completos[[CODIGO]:[LINEA]],3,0)</f>
        <v>#N/A</v>
      </c>
      <c r="E953" s="1" t="e">
        <f>VLOOKUP(Tabla_Items_Activos[[#This Row],[CODIGO]],Tabla_Items_Completos[[CODIGO]:[LINEA]],4,0)</f>
        <v>#N/A</v>
      </c>
      <c r="F953">
        <v>50</v>
      </c>
      <c r="G953">
        <v>0</v>
      </c>
    </row>
    <row r="954" spans="1:7">
      <c r="A954" t="s">
        <v>7388</v>
      </c>
      <c r="B954" t="s">
        <v>8341</v>
      </c>
      <c r="C954" s="1" t="e">
        <f>VLOOKUP(Tabla_Items_Activos[[#This Row],[CODIGO]],Tabla_Items_Completos[[CODIGO]:[LINEA]],2,0)</f>
        <v>#N/A</v>
      </c>
      <c r="D954" s="1" t="e">
        <f>VLOOKUP(Tabla_Items_Activos[[#This Row],[CODIGO]],Tabla_Items_Completos[[CODIGO]:[LINEA]],3,0)</f>
        <v>#N/A</v>
      </c>
      <c r="E954" s="1" t="e">
        <f>VLOOKUP(Tabla_Items_Activos[[#This Row],[CODIGO]],Tabla_Items_Completos[[CODIGO]:[LINEA]],4,0)</f>
        <v>#N/A</v>
      </c>
      <c r="F954">
        <v>40</v>
      </c>
      <c r="G954">
        <v>62</v>
      </c>
    </row>
    <row r="955" spans="1:7">
      <c r="A955" t="s">
        <v>7388</v>
      </c>
      <c r="B955" t="s">
        <v>8342</v>
      </c>
      <c r="C955" s="1" t="e">
        <f>VLOOKUP(Tabla_Items_Activos[[#This Row],[CODIGO]],Tabla_Items_Completos[[CODIGO]:[LINEA]],2,0)</f>
        <v>#N/A</v>
      </c>
      <c r="D955" s="1" t="e">
        <f>VLOOKUP(Tabla_Items_Activos[[#This Row],[CODIGO]],Tabla_Items_Completos[[CODIGO]:[LINEA]],3,0)</f>
        <v>#N/A</v>
      </c>
      <c r="E955" s="1" t="e">
        <f>VLOOKUP(Tabla_Items_Activos[[#This Row],[CODIGO]],Tabla_Items_Completos[[CODIGO]:[LINEA]],4,0)</f>
        <v>#N/A</v>
      </c>
      <c r="F955">
        <v>120</v>
      </c>
      <c r="G955">
        <v>88</v>
      </c>
    </row>
    <row r="956" spans="1:7">
      <c r="A956" t="s">
        <v>7388</v>
      </c>
      <c r="B956" t="s">
        <v>8343</v>
      </c>
      <c r="C956" s="1" t="e">
        <f>VLOOKUP(Tabla_Items_Activos[[#This Row],[CODIGO]],Tabla_Items_Completos[[CODIGO]:[LINEA]],2,0)</f>
        <v>#N/A</v>
      </c>
      <c r="D956" s="1" t="e">
        <f>VLOOKUP(Tabla_Items_Activos[[#This Row],[CODIGO]],Tabla_Items_Completos[[CODIGO]:[LINEA]],3,0)</f>
        <v>#N/A</v>
      </c>
      <c r="E956" s="1" t="e">
        <f>VLOOKUP(Tabla_Items_Activos[[#This Row],[CODIGO]],Tabla_Items_Completos[[CODIGO]:[LINEA]],4,0)</f>
        <v>#N/A</v>
      </c>
      <c r="F956">
        <v>35</v>
      </c>
      <c r="G956">
        <v>44</v>
      </c>
    </row>
    <row r="957" spans="1:7">
      <c r="A957" t="s">
        <v>7388</v>
      </c>
      <c r="B957" t="s">
        <v>8344</v>
      </c>
      <c r="C957" s="1" t="e">
        <f>VLOOKUP(Tabla_Items_Activos[[#This Row],[CODIGO]],Tabla_Items_Completos[[CODIGO]:[LINEA]],2,0)</f>
        <v>#N/A</v>
      </c>
      <c r="D957" s="1" t="e">
        <f>VLOOKUP(Tabla_Items_Activos[[#This Row],[CODIGO]],Tabla_Items_Completos[[CODIGO]:[LINEA]],3,0)</f>
        <v>#N/A</v>
      </c>
      <c r="E957" s="1" t="e">
        <f>VLOOKUP(Tabla_Items_Activos[[#This Row],[CODIGO]],Tabla_Items_Completos[[CODIGO]:[LINEA]],4,0)</f>
        <v>#N/A</v>
      </c>
      <c r="F957">
        <v>700</v>
      </c>
      <c r="G957">
        <v>433</v>
      </c>
    </row>
    <row r="958" spans="1:7">
      <c r="A958" t="s">
        <v>7388</v>
      </c>
      <c r="B958" t="s">
        <v>8345</v>
      </c>
      <c r="C958" s="1" t="e">
        <f>VLOOKUP(Tabla_Items_Activos[[#This Row],[CODIGO]],Tabla_Items_Completos[[CODIGO]:[LINEA]],2,0)</f>
        <v>#N/A</v>
      </c>
      <c r="D958" s="1" t="e">
        <f>VLOOKUP(Tabla_Items_Activos[[#This Row],[CODIGO]],Tabla_Items_Completos[[CODIGO]:[LINEA]],3,0)</f>
        <v>#N/A</v>
      </c>
      <c r="E958" s="1" t="e">
        <f>VLOOKUP(Tabla_Items_Activos[[#This Row],[CODIGO]],Tabla_Items_Completos[[CODIGO]:[LINEA]],4,0)</f>
        <v>#N/A</v>
      </c>
      <c r="F958">
        <v>100</v>
      </c>
      <c r="G958">
        <v>123</v>
      </c>
    </row>
    <row r="959" spans="1:7">
      <c r="A959" t="s">
        <v>7388</v>
      </c>
      <c r="B959" t="s">
        <v>8346</v>
      </c>
      <c r="C959" s="1" t="e">
        <f>VLOOKUP(Tabla_Items_Activos[[#This Row],[CODIGO]],Tabla_Items_Completos[[CODIGO]:[LINEA]],2,0)</f>
        <v>#N/A</v>
      </c>
      <c r="D959" s="1" t="e">
        <f>VLOOKUP(Tabla_Items_Activos[[#This Row],[CODIGO]],Tabla_Items_Completos[[CODIGO]:[LINEA]],3,0)</f>
        <v>#N/A</v>
      </c>
      <c r="E959" s="1" t="e">
        <f>VLOOKUP(Tabla_Items_Activos[[#This Row],[CODIGO]],Tabla_Items_Completos[[CODIGO]:[LINEA]],4,0)</f>
        <v>#N/A</v>
      </c>
      <c r="F959">
        <v>200</v>
      </c>
      <c r="G959">
        <v>258</v>
      </c>
    </row>
    <row r="960" spans="1:7">
      <c r="A960" t="s">
        <v>7388</v>
      </c>
      <c r="B960" t="s">
        <v>8347</v>
      </c>
      <c r="C960" s="1" t="e">
        <f>VLOOKUP(Tabla_Items_Activos[[#This Row],[CODIGO]],Tabla_Items_Completos[[CODIGO]:[LINEA]],2,0)</f>
        <v>#N/A</v>
      </c>
      <c r="D960" s="1" t="e">
        <f>VLOOKUP(Tabla_Items_Activos[[#This Row],[CODIGO]],Tabla_Items_Completos[[CODIGO]:[LINEA]],3,0)</f>
        <v>#N/A</v>
      </c>
      <c r="E960" s="1" t="e">
        <f>VLOOKUP(Tabla_Items_Activos[[#This Row],[CODIGO]],Tabla_Items_Completos[[CODIGO]:[LINEA]],4,0)</f>
        <v>#N/A</v>
      </c>
      <c r="F960">
        <v>400</v>
      </c>
      <c r="G960">
        <v>402</v>
      </c>
    </row>
    <row r="961" spans="1:7">
      <c r="A961" t="s">
        <v>7388</v>
      </c>
      <c r="B961" t="s">
        <v>8348</v>
      </c>
      <c r="C961" s="1" t="e">
        <f>VLOOKUP(Tabla_Items_Activos[[#This Row],[CODIGO]],Tabla_Items_Completos[[CODIGO]:[LINEA]],2,0)</f>
        <v>#N/A</v>
      </c>
      <c r="D961" s="1" t="e">
        <f>VLOOKUP(Tabla_Items_Activos[[#This Row],[CODIGO]],Tabla_Items_Completos[[CODIGO]:[LINEA]],3,0)</f>
        <v>#N/A</v>
      </c>
      <c r="E961" s="1" t="e">
        <f>VLOOKUP(Tabla_Items_Activos[[#This Row],[CODIGO]],Tabla_Items_Completos[[CODIGO]:[LINEA]],4,0)</f>
        <v>#N/A</v>
      </c>
      <c r="F961">
        <v>150</v>
      </c>
      <c r="G961">
        <v>173</v>
      </c>
    </row>
    <row r="962" spans="1:7">
      <c r="A962" t="s">
        <v>7388</v>
      </c>
      <c r="B962" t="s">
        <v>8349</v>
      </c>
      <c r="C962" s="1" t="e">
        <f>VLOOKUP(Tabla_Items_Activos[[#This Row],[CODIGO]],Tabla_Items_Completos[[CODIGO]:[LINEA]],2,0)</f>
        <v>#N/A</v>
      </c>
      <c r="D962" s="1" t="e">
        <f>VLOOKUP(Tabla_Items_Activos[[#This Row],[CODIGO]],Tabla_Items_Completos[[CODIGO]:[LINEA]],3,0)</f>
        <v>#N/A</v>
      </c>
      <c r="E962" s="1" t="e">
        <f>VLOOKUP(Tabla_Items_Activos[[#This Row],[CODIGO]],Tabla_Items_Completos[[CODIGO]:[LINEA]],4,0)</f>
        <v>#N/A</v>
      </c>
      <c r="F962">
        <v>150</v>
      </c>
      <c r="G962">
        <v>0</v>
      </c>
    </row>
    <row r="963" spans="1:7">
      <c r="A963" t="s">
        <v>7388</v>
      </c>
      <c r="B963" t="s">
        <v>8350</v>
      </c>
      <c r="C963" s="1" t="e">
        <f>VLOOKUP(Tabla_Items_Activos[[#This Row],[CODIGO]],Tabla_Items_Completos[[CODIGO]:[LINEA]],2,0)</f>
        <v>#N/A</v>
      </c>
      <c r="D963" s="1" t="e">
        <f>VLOOKUP(Tabla_Items_Activos[[#This Row],[CODIGO]],Tabla_Items_Completos[[CODIGO]:[LINEA]],3,0)</f>
        <v>#N/A</v>
      </c>
      <c r="E963" s="1" t="e">
        <f>VLOOKUP(Tabla_Items_Activos[[#This Row],[CODIGO]],Tabla_Items_Completos[[CODIGO]:[LINEA]],4,0)</f>
        <v>#N/A</v>
      </c>
      <c r="F963">
        <v>12</v>
      </c>
      <c r="G963">
        <v>1</v>
      </c>
    </row>
    <row r="964" spans="1:7">
      <c r="A964" t="s">
        <v>7388</v>
      </c>
      <c r="B964" t="s">
        <v>8351</v>
      </c>
      <c r="C964" s="1" t="e">
        <f>VLOOKUP(Tabla_Items_Activos[[#This Row],[CODIGO]],Tabla_Items_Completos[[CODIGO]:[LINEA]],2,0)</f>
        <v>#N/A</v>
      </c>
      <c r="D964" s="1" t="e">
        <f>VLOOKUP(Tabla_Items_Activos[[#This Row],[CODIGO]],Tabla_Items_Completos[[CODIGO]:[LINEA]],3,0)</f>
        <v>#N/A</v>
      </c>
      <c r="E964" s="1" t="e">
        <f>VLOOKUP(Tabla_Items_Activos[[#This Row],[CODIGO]],Tabla_Items_Completos[[CODIGO]:[LINEA]],4,0)</f>
        <v>#N/A</v>
      </c>
      <c r="F964">
        <v>16</v>
      </c>
      <c r="G964">
        <v>0</v>
      </c>
    </row>
    <row r="965" spans="1:7">
      <c r="A965" t="s">
        <v>7388</v>
      </c>
      <c r="B965" t="s">
        <v>8352</v>
      </c>
      <c r="C965" s="1" t="e">
        <f>VLOOKUP(Tabla_Items_Activos[[#This Row],[CODIGO]],Tabla_Items_Completos[[CODIGO]:[LINEA]],2,0)</f>
        <v>#N/A</v>
      </c>
      <c r="D965" s="1" t="e">
        <f>VLOOKUP(Tabla_Items_Activos[[#This Row],[CODIGO]],Tabla_Items_Completos[[CODIGO]:[LINEA]],3,0)</f>
        <v>#N/A</v>
      </c>
      <c r="E965" s="1" t="e">
        <f>VLOOKUP(Tabla_Items_Activos[[#This Row],[CODIGO]],Tabla_Items_Completos[[CODIGO]:[LINEA]],4,0)</f>
        <v>#N/A</v>
      </c>
      <c r="F965">
        <v>2</v>
      </c>
      <c r="G965">
        <v>0</v>
      </c>
    </row>
    <row r="966" spans="1:7">
      <c r="A966" t="s">
        <v>7388</v>
      </c>
      <c r="B966" t="s">
        <v>8353</v>
      </c>
      <c r="C966" s="1" t="e">
        <f>VLOOKUP(Tabla_Items_Activos[[#This Row],[CODIGO]],Tabla_Items_Completos[[CODIGO]:[LINEA]],2,0)</f>
        <v>#N/A</v>
      </c>
      <c r="D966" s="1" t="e">
        <f>VLOOKUP(Tabla_Items_Activos[[#This Row],[CODIGO]],Tabla_Items_Completos[[CODIGO]:[LINEA]],3,0)</f>
        <v>#N/A</v>
      </c>
      <c r="E966" s="1" t="e">
        <f>VLOOKUP(Tabla_Items_Activos[[#This Row],[CODIGO]],Tabla_Items_Completos[[CODIGO]:[LINEA]],4,0)</f>
        <v>#N/A</v>
      </c>
      <c r="F966">
        <v>85</v>
      </c>
      <c r="G966">
        <v>42</v>
      </c>
    </row>
    <row r="967" spans="1:7">
      <c r="A967" t="s">
        <v>7388</v>
      </c>
      <c r="B967" t="s">
        <v>8354</v>
      </c>
      <c r="C967" s="1" t="e">
        <f>VLOOKUP(Tabla_Items_Activos[[#This Row],[CODIGO]],Tabla_Items_Completos[[CODIGO]:[LINEA]],2,0)</f>
        <v>#N/A</v>
      </c>
      <c r="D967" s="1" t="e">
        <f>VLOOKUP(Tabla_Items_Activos[[#This Row],[CODIGO]],Tabla_Items_Completos[[CODIGO]:[LINEA]],3,0)</f>
        <v>#N/A</v>
      </c>
      <c r="E967" s="1" t="e">
        <f>VLOOKUP(Tabla_Items_Activos[[#This Row],[CODIGO]],Tabla_Items_Completos[[CODIGO]:[LINEA]],4,0)</f>
        <v>#N/A</v>
      </c>
      <c r="F967">
        <v>20</v>
      </c>
      <c r="G967">
        <v>8</v>
      </c>
    </row>
    <row r="968" spans="1:7">
      <c r="A968" t="s">
        <v>7388</v>
      </c>
      <c r="B968" t="s">
        <v>8355</v>
      </c>
      <c r="C968" s="1" t="e">
        <f>VLOOKUP(Tabla_Items_Activos[[#This Row],[CODIGO]],Tabla_Items_Completos[[CODIGO]:[LINEA]],2,0)</f>
        <v>#N/A</v>
      </c>
      <c r="D968" s="1" t="e">
        <f>VLOOKUP(Tabla_Items_Activos[[#This Row],[CODIGO]],Tabla_Items_Completos[[CODIGO]:[LINEA]],3,0)</f>
        <v>#N/A</v>
      </c>
      <c r="E968" s="1" t="e">
        <f>VLOOKUP(Tabla_Items_Activos[[#This Row],[CODIGO]],Tabla_Items_Completos[[CODIGO]:[LINEA]],4,0)</f>
        <v>#N/A</v>
      </c>
      <c r="F968">
        <v>10</v>
      </c>
      <c r="G968">
        <v>0</v>
      </c>
    </row>
    <row r="969" spans="1:7">
      <c r="A969" t="s">
        <v>7388</v>
      </c>
      <c r="B969" t="s">
        <v>8356</v>
      </c>
      <c r="C969" s="1" t="e">
        <f>VLOOKUP(Tabla_Items_Activos[[#This Row],[CODIGO]],Tabla_Items_Completos[[CODIGO]:[LINEA]],2,0)</f>
        <v>#N/A</v>
      </c>
      <c r="D969" s="1" t="e">
        <f>VLOOKUP(Tabla_Items_Activos[[#This Row],[CODIGO]],Tabla_Items_Completos[[CODIGO]:[LINEA]],3,0)</f>
        <v>#N/A</v>
      </c>
      <c r="E969" s="1" t="e">
        <f>VLOOKUP(Tabla_Items_Activos[[#This Row],[CODIGO]],Tabla_Items_Completos[[CODIGO]:[LINEA]],4,0)</f>
        <v>#N/A</v>
      </c>
      <c r="F969">
        <v>14</v>
      </c>
      <c r="G969">
        <v>8</v>
      </c>
    </row>
    <row r="970" spans="1:7">
      <c r="A970" t="s">
        <v>7388</v>
      </c>
      <c r="B970" t="s">
        <v>8357</v>
      </c>
      <c r="C970" s="1" t="e">
        <f>VLOOKUP(Tabla_Items_Activos[[#This Row],[CODIGO]],Tabla_Items_Completos[[CODIGO]:[LINEA]],2,0)</f>
        <v>#N/A</v>
      </c>
      <c r="D970" s="1" t="e">
        <f>VLOOKUP(Tabla_Items_Activos[[#This Row],[CODIGO]],Tabla_Items_Completos[[CODIGO]:[LINEA]],3,0)</f>
        <v>#N/A</v>
      </c>
      <c r="E970" s="1" t="e">
        <f>VLOOKUP(Tabla_Items_Activos[[#This Row],[CODIGO]],Tabla_Items_Completos[[CODIGO]:[LINEA]],4,0)</f>
        <v>#N/A</v>
      </c>
      <c r="F970">
        <v>20</v>
      </c>
      <c r="G970">
        <v>0</v>
      </c>
    </row>
    <row r="971" spans="1:7">
      <c r="A971" t="s">
        <v>7388</v>
      </c>
      <c r="B971" t="s">
        <v>8358</v>
      </c>
      <c r="C971" s="1" t="e">
        <f>VLOOKUP(Tabla_Items_Activos[[#This Row],[CODIGO]],Tabla_Items_Completos[[CODIGO]:[LINEA]],2,0)</f>
        <v>#N/A</v>
      </c>
      <c r="D971" s="1" t="e">
        <f>VLOOKUP(Tabla_Items_Activos[[#This Row],[CODIGO]],Tabla_Items_Completos[[CODIGO]:[LINEA]],3,0)</f>
        <v>#N/A</v>
      </c>
      <c r="E971" s="1" t="e">
        <f>VLOOKUP(Tabla_Items_Activos[[#This Row],[CODIGO]],Tabla_Items_Completos[[CODIGO]:[LINEA]],4,0)</f>
        <v>#N/A</v>
      </c>
      <c r="F971">
        <v>14</v>
      </c>
      <c r="G971">
        <v>15</v>
      </c>
    </row>
    <row r="972" spans="1:7">
      <c r="A972" t="s">
        <v>7388</v>
      </c>
      <c r="B972" t="s">
        <v>8359</v>
      </c>
      <c r="C972" s="1" t="e">
        <f>VLOOKUP(Tabla_Items_Activos[[#This Row],[CODIGO]],Tabla_Items_Completos[[CODIGO]:[LINEA]],2,0)</f>
        <v>#N/A</v>
      </c>
      <c r="D972" s="1" t="e">
        <f>VLOOKUP(Tabla_Items_Activos[[#This Row],[CODIGO]],Tabla_Items_Completos[[CODIGO]:[LINEA]],3,0)</f>
        <v>#N/A</v>
      </c>
      <c r="E972" s="1" t="e">
        <f>VLOOKUP(Tabla_Items_Activos[[#This Row],[CODIGO]],Tabla_Items_Completos[[CODIGO]:[LINEA]],4,0)</f>
        <v>#N/A</v>
      </c>
      <c r="F972">
        <v>120</v>
      </c>
      <c r="G972">
        <v>45</v>
      </c>
    </row>
    <row r="973" spans="1:7">
      <c r="A973" t="s">
        <v>7388</v>
      </c>
      <c r="B973" t="s">
        <v>8360</v>
      </c>
      <c r="C973" s="1" t="e">
        <f>VLOOKUP(Tabla_Items_Activos[[#This Row],[CODIGO]],Tabla_Items_Completos[[CODIGO]:[LINEA]],2,0)</f>
        <v>#N/A</v>
      </c>
      <c r="D973" s="1" t="e">
        <f>VLOOKUP(Tabla_Items_Activos[[#This Row],[CODIGO]],Tabla_Items_Completos[[CODIGO]:[LINEA]],3,0)</f>
        <v>#N/A</v>
      </c>
      <c r="E973" s="1" t="e">
        <f>VLOOKUP(Tabla_Items_Activos[[#This Row],[CODIGO]],Tabla_Items_Completos[[CODIGO]:[LINEA]],4,0)</f>
        <v>#N/A</v>
      </c>
      <c r="F973">
        <v>24</v>
      </c>
      <c r="G973">
        <v>0</v>
      </c>
    </row>
    <row r="974" spans="1:7">
      <c r="A974" t="s">
        <v>7388</v>
      </c>
      <c r="B974" t="s">
        <v>8361</v>
      </c>
      <c r="C974" s="1" t="e">
        <f>VLOOKUP(Tabla_Items_Activos[[#This Row],[CODIGO]],Tabla_Items_Completos[[CODIGO]:[LINEA]],2,0)</f>
        <v>#N/A</v>
      </c>
      <c r="D974" s="1" t="e">
        <f>VLOOKUP(Tabla_Items_Activos[[#This Row],[CODIGO]],Tabla_Items_Completos[[CODIGO]:[LINEA]],3,0)</f>
        <v>#N/A</v>
      </c>
      <c r="E974" s="1" t="e">
        <f>VLOOKUP(Tabla_Items_Activos[[#This Row],[CODIGO]],Tabla_Items_Completos[[CODIGO]:[LINEA]],4,0)</f>
        <v>#N/A</v>
      </c>
      <c r="F974">
        <v>50</v>
      </c>
      <c r="G974">
        <v>13</v>
      </c>
    </row>
    <row r="975" spans="1:7">
      <c r="A975" t="s">
        <v>7388</v>
      </c>
      <c r="B975" t="s">
        <v>8362</v>
      </c>
      <c r="C975" s="1" t="e">
        <f>VLOOKUP(Tabla_Items_Activos[[#This Row],[CODIGO]],Tabla_Items_Completos[[CODIGO]:[LINEA]],2,0)</f>
        <v>#N/A</v>
      </c>
      <c r="D975" s="1" t="e">
        <f>VLOOKUP(Tabla_Items_Activos[[#This Row],[CODIGO]],Tabla_Items_Completos[[CODIGO]:[LINEA]],3,0)</f>
        <v>#N/A</v>
      </c>
      <c r="E975" s="1" t="e">
        <f>VLOOKUP(Tabla_Items_Activos[[#This Row],[CODIGO]],Tabla_Items_Completos[[CODIGO]:[LINEA]],4,0)</f>
        <v>#N/A</v>
      </c>
      <c r="F975">
        <v>115</v>
      </c>
      <c r="G975">
        <v>78</v>
      </c>
    </row>
    <row r="976" spans="1:7">
      <c r="A976" t="s">
        <v>7388</v>
      </c>
      <c r="B976" t="s">
        <v>8363</v>
      </c>
      <c r="C976" s="1" t="e">
        <f>VLOOKUP(Tabla_Items_Activos[[#This Row],[CODIGO]],Tabla_Items_Completos[[CODIGO]:[LINEA]],2,0)</f>
        <v>#N/A</v>
      </c>
      <c r="D976" s="1" t="e">
        <f>VLOOKUP(Tabla_Items_Activos[[#This Row],[CODIGO]],Tabla_Items_Completos[[CODIGO]:[LINEA]],3,0)</f>
        <v>#N/A</v>
      </c>
      <c r="E976" s="1" t="e">
        <f>VLOOKUP(Tabla_Items_Activos[[#This Row],[CODIGO]],Tabla_Items_Completos[[CODIGO]:[LINEA]],4,0)</f>
        <v>#N/A</v>
      </c>
      <c r="F976">
        <v>77</v>
      </c>
      <c r="G976">
        <v>48</v>
      </c>
    </row>
    <row r="977" spans="1:7">
      <c r="A977" t="s">
        <v>7388</v>
      </c>
      <c r="B977" t="s">
        <v>8364</v>
      </c>
      <c r="C977" s="1" t="e">
        <f>VLOOKUP(Tabla_Items_Activos[[#This Row],[CODIGO]],Tabla_Items_Completos[[CODIGO]:[LINEA]],2,0)</f>
        <v>#N/A</v>
      </c>
      <c r="D977" s="1" t="e">
        <f>VLOOKUP(Tabla_Items_Activos[[#This Row],[CODIGO]],Tabla_Items_Completos[[CODIGO]:[LINEA]],3,0)</f>
        <v>#N/A</v>
      </c>
      <c r="E977" s="1" t="e">
        <f>VLOOKUP(Tabla_Items_Activos[[#This Row],[CODIGO]],Tabla_Items_Completos[[CODIGO]:[LINEA]],4,0)</f>
        <v>#N/A</v>
      </c>
      <c r="F977">
        <v>3</v>
      </c>
      <c r="G977">
        <v>0</v>
      </c>
    </row>
    <row r="978" spans="1:7">
      <c r="A978" t="s">
        <v>7388</v>
      </c>
      <c r="B978" t="s">
        <v>8365</v>
      </c>
      <c r="C978" s="1" t="e">
        <f>VLOOKUP(Tabla_Items_Activos[[#This Row],[CODIGO]],Tabla_Items_Completos[[CODIGO]:[LINEA]],2,0)</f>
        <v>#N/A</v>
      </c>
      <c r="D978" s="1" t="e">
        <f>VLOOKUP(Tabla_Items_Activos[[#This Row],[CODIGO]],Tabla_Items_Completos[[CODIGO]:[LINEA]],3,0)</f>
        <v>#N/A</v>
      </c>
      <c r="E978" s="1" t="e">
        <f>VLOOKUP(Tabla_Items_Activos[[#This Row],[CODIGO]],Tabla_Items_Completos[[CODIGO]:[LINEA]],4,0)</f>
        <v>#N/A</v>
      </c>
      <c r="F978">
        <v>450</v>
      </c>
      <c r="G978">
        <v>0</v>
      </c>
    </row>
    <row r="979" spans="1:7">
      <c r="A979" t="s">
        <v>7388</v>
      </c>
      <c r="B979" t="s">
        <v>8366</v>
      </c>
      <c r="C979" s="1" t="e">
        <f>VLOOKUP(Tabla_Items_Activos[[#This Row],[CODIGO]],Tabla_Items_Completos[[CODIGO]:[LINEA]],2,0)</f>
        <v>#N/A</v>
      </c>
      <c r="D979" s="1" t="e">
        <f>VLOOKUP(Tabla_Items_Activos[[#This Row],[CODIGO]],Tabla_Items_Completos[[CODIGO]:[LINEA]],3,0)</f>
        <v>#N/A</v>
      </c>
      <c r="E979" s="1" t="e">
        <f>VLOOKUP(Tabla_Items_Activos[[#This Row],[CODIGO]],Tabla_Items_Completos[[CODIGO]:[LINEA]],4,0)</f>
        <v>#N/A</v>
      </c>
      <c r="F979">
        <v>60</v>
      </c>
      <c r="G979">
        <v>42</v>
      </c>
    </row>
    <row r="980" spans="1:7">
      <c r="A980" t="s">
        <v>7388</v>
      </c>
      <c r="B980" t="s">
        <v>8367</v>
      </c>
      <c r="C980" s="1" t="e">
        <f>VLOOKUP(Tabla_Items_Activos[[#This Row],[CODIGO]],Tabla_Items_Completos[[CODIGO]:[LINEA]],2,0)</f>
        <v>#N/A</v>
      </c>
      <c r="D980" s="1" t="e">
        <f>VLOOKUP(Tabla_Items_Activos[[#This Row],[CODIGO]],Tabla_Items_Completos[[CODIGO]:[LINEA]],3,0)</f>
        <v>#N/A</v>
      </c>
      <c r="E980" s="1" t="e">
        <f>VLOOKUP(Tabla_Items_Activos[[#This Row],[CODIGO]],Tabla_Items_Completos[[CODIGO]:[LINEA]],4,0)</f>
        <v>#N/A</v>
      </c>
      <c r="F980">
        <v>47</v>
      </c>
      <c r="G980">
        <v>12</v>
      </c>
    </row>
    <row r="981" spans="1:7">
      <c r="A981" t="s">
        <v>7388</v>
      </c>
      <c r="B981" t="s">
        <v>8368</v>
      </c>
      <c r="C981" s="1" t="e">
        <f>VLOOKUP(Tabla_Items_Activos[[#This Row],[CODIGO]],Tabla_Items_Completos[[CODIGO]:[LINEA]],2,0)</f>
        <v>#N/A</v>
      </c>
      <c r="D981" s="1" t="e">
        <f>VLOOKUP(Tabla_Items_Activos[[#This Row],[CODIGO]],Tabla_Items_Completos[[CODIGO]:[LINEA]],3,0)</f>
        <v>#N/A</v>
      </c>
      <c r="E981" s="1" t="e">
        <f>VLOOKUP(Tabla_Items_Activos[[#This Row],[CODIGO]],Tabla_Items_Completos[[CODIGO]:[LINEA]],4,0)</f>
        <v>#N/A</v>
      </c>
      <c r="F981">
        <v>70</v>
      </c>
      <c r="G981">
        <v>65</v>
      </c>
    </row>
    <row r="982" spans="1:7">
      <c r="A982" t="s">
        <v>7388</v>
      </c>
      <c r="B982" t="s">
        <v>8369</v>
      </c>
      <c r="C982" s="1" t="e">
        <f>VLOOKUP(Tabla_Items_Activos[[#This Row],[CODIGO]],Tabla_Items_Completos[[CODIGO]:[LINEA]],2,0)</f>
        <v>#N/A</v>
      </c>
      <c r="D982" s="1" t="e">
        <f>VLOOKUP(Tabla_Items_Activos[[#This Row],[CODIGO]],Tabla_Items_Completos[[CODIGO]:[LINEA]],3,0)</f>
        <v>#N/A</v>
      </c>
      <c r="E982" s="1" t="e">
        <f>VLOOKUP(Tabla_Items_Activos[[#This Row],[CODIGO]],Tabla_Items_Completos[[CODIGO]:[LINEA]],4,0)</f>
        <v>#N/A</v>
      </c>
      <c r="F982">
        <v>70</v>
      </c>
      <c r="G982">
        <v>32</v>
      </c>
    </row>
    <row r="983" spans="1:7">
      <c r="A983" t="s">
        <v>7388</v>
      </c>
      <c r="B983" t="s">
        <v>8370</v>
      </c>
      <c r="C983" s="1" t="e">
        <f>VLOOKUP(Tabla_Items_Activos[[#This Row],[CODIGO]],Tabla_Items_Completos[[CODIGO]:[LINEA]],2,0)</f>
        <v>#N/A</v>
      </c>
      <c r="D983" s="1" t="e">
        <f>VLOOKUP(Tabla_Items_Activos[[#This Row],[CODIGO]],Tabla_Items_Completos[[CODIGO]:[LINEA]],3,0)</f>
        <v>#N/A</v>
      </c>
      <c r="E983" s="1" t="e">
        <f>VLOOKUP(Tabla_Items_Activos[[#This Row],[CODIGO]],Tabla_Items_Completos[[CODIGO]:[LINEA]],4,0)</f>
        <v>#N/A</v>
      </c>
      <c r="F983">
        <v>70</v>
      </c>
      <c r="G983">
        <v>31</v>
      </c>
    </row>
    <row r="984" spans="1:7">
      <c r="A984" t="s">
        <v>7388</v>
      </c>
      <c r="B984" t="s">
        <v>8371</v>
      </c>
      <c r="C984" s="1" t="e">
        <f>VLOOKUP(Tabla_Items_Activos[[#This Row],[CODIGO]],Tabla_Items_Completos[[CODIGO]:[LINEA]],2,0)</f>
        <v>#N/A</v>
      </c>
      <c r="D984" s="1" t="e">
        <f>VLOOKUP(Tabla_Items_Activos[[#This Row],[CODIGO]],Tabla_Items_Completos[[CODIGO]:[LINEA]],3,0)</f>
        <v>#N/A</v>
      </c>
      <c r="E984" s="1" t="e">
        <f>VLOOKUP(Tabla_Items_Activos[[#This Row],[CODIGO]],Tabla_Items_Completos[[CODIGO]:[LINEA]],4,0)</f>
        <v>#N/A</v>
      </c>
      <c r="F984">
        <v>23</v>
      </c>
      <c r="G984">
        <v>0</v>
      </c>
    </row>
    <row r="985" spans="1:7">
      <c r="A985" t="s">
        <v>7388</v>
      </c>
      <c r="B985" t="s">
        <v>8372</v>
      </c>
      <c r="C985" s="1" t="e">
        <f>VLOOKUP(Tabla_Items_Activos[[#This Row],[CODIGO]],Tabla_Items_Completos[[CODIGO]:[LINEA]],2,0)</f>
        <v>#N/A</v>
      </c>
      <c r="D985" s="1" t="e">
        <f>VLOOKUP(Tabla_Items_Activos[[#This Row],[CODIGO]],Tabla_Items_Completos[[CODIGO]:[LINEA]],3,0)</f>
        <v>#N/A</v>
      </c>
      <c r="E985" s="1" t="e">
        <f>VLOOKUP(Tabla_Items_Activos[[#This Row],[CODIGO]],Tabla_Items_Completos[[CODIGO]:[LINEA]],4,0)</f>
        <v>#N/A</v>
      </c>
      <c r="F985">
        <v>200</v>
      </c>
      <c r="G985">
        <v>0</v>
      </c>
    </row>
    <row r="986" spans="1:7">
      <c r="A986" t="s">
        <v>7388</v>
      </c>
      <c r="B986" t="s">
        <v>8373</v>
      </c>
      <c r="C986" s="1" t="e">
        <f>VLOOKUP(Tabla_Items_Activos[[#This Row],[CODIGO]],Tabla_Items_Completos[[CODIGO]:[LINEA]],2,0)</f>
        <v>#N/A</v>
      </c>
      <c r="D986" s="1" t="e">
        <f>VLOOKUP(Tabla_Items_Activos[[#This Row],[CODIGO]],Tabla_Items_Completos[[CODIGO]:[LINEA]],3,0)</f>
        <v>#N/A</v>
      </c>
      <c r="E986" s="1" t="e">
        <f>VLOOKUP(Tabla_Items_Activos[[#This Row],[CODIGO]],Tabla_Items_Completos[[CODIGO]:[LINEA]],4,0)</f>
        <v>#N/A</v>
      </c>
      <c r="F986">
        <v>120</v>
      </c>
      <c r="G986">
        <v>60</v>
      </c>
    </row>
    <row r="987" spans="1:7">
      <c r="A987" t="s">
        <v>7388</v>
      </c>
      <c r="B987" t="s">
        <v>8374</v>
      </c>
      <c r="C987" s="1" t="e">
        <f>VLOOKUP(Tabla_Items_Activos[[#This Row],[CODIGO]],Tabla_Items_Completos[[CODIGO]:[LINEA]],2,0)</f>
        <v>#N/A</v>
      </c>
      <c r="D987" s="1" t="e">
        <f>VLOOKUP(Tabla_Items_Activos[[#This Row],[CODIGO]],Tabla_Items_Completos[[CODIGO]:[LINEA]],3,0)</f>
        <v>#N/A</v>
      </c>
      <c r="E987" s="1" t="e">
        <f>VLOOKUP(Tabla_Items_Activos[[#This Row],[CODIGO]],Tabla_Items_Completos[[CODIGO]:[LINEA]],4,0)</f>
        <v>#N/A</v>
      </c>
      <c r="F987">
        <v>39</v>
      </c>
      <c r="G987">
        <v>13</v>
      </c>
    </row>
    <row r="988" spans="1:7">
      <c r="A988" t="s">
        <v>7388</v>
      </c>
      <c r="B988" t="s">
        <v>8375</v>
      </c>
      <c r="C988" s="1" t="e">
        <f>VLOOKUP(Tabla_Items_Activos[[#This Row],[CODIGO]],Tabla_Items_Completos[[CODIGO]:[LINEA]],2,0)</f>
        <v>#N/A</v>
      </c>
      <c r="D988" s="1" t="e">
        <f>VLOOKUP(Tabla_Items_Activos[[#This Row],[CODIGO]],Tabla_Items_Completos[[CODIGO]:[LINEA]],3,0)</f>
        <v>#N/A</v>
      </c>
      <c r="E988" s="1" t="e">
        <f>VLOOKUP(Tabla_Items_Activos[[#This Row],[CODIGO]],Tabla_Items_Completos[[CODIGO]:[LINEA]],4,0)</f>
        <v>#N/A</v>
      </c>
      <c r="F988">
        <v>120</v>
      </c>
      <c r="G988">
        <v>80</v>
      </c>
    </row>
    <row r="989" spans="1:7">
      <c r="A989" t="s">
        <v>7388</v>
      </c>
      <c r="B989" t="s">
        <v>8376</v>
      </c>
      <c r="C989" s="1" t="e">
        <f>VLOOKUP(Tabla_Items_Activos[[#This Row],[CODIGO]],Tabla_Items_Completos[[CODIGO]:[LINEA]],2,0)</f>
        <v>#N/A</v>
      </c>
      <c r="D989" s="1" t="e">
        <f>VLOOKUP(Tabla_Items_Activos[[#This Row],[CODIGO]],Tabla_Items_Completos[[CODIGO]:[LINEA]],3,0)</f>
        <v>#N/A</v>
      </c>
      <c r="E989" s="1" t="e">
        <f>VLOOKUP(Tabla_Items_Activos[[#This Row],[CODIGO]],Tabla_Items_Completos[[CODIGO]:[LINEA]],4,0)</f>
        <v>#N/A</v>
      </c>
      <c r="F989">
        <v>100</v>
      </c>
      <c r="G989">
        <v>22</v>
      </c>
    </row>
    <row r="990" spans="1:7">
      <c r="A990" t="s">
        <v>7388</v>
      </c>
      <c r="B990" t="s">
        <v>8377</v>
      </c>
      <c r="C990" s="1" t="e">
        <f>VLOOKUP(Tabla_Items_Activos[[#This Row],[CODIGO]],Tabla_Items_Completos[[CODIGO]:[LINEA]],2,0)</f>
        <v>#N/A</v>
      </c>
      <c r="D990" s="1" t="e">
        <f>VLOOKUP(Tabla_Items_Activos[[#This Row],[CODIGO]],Tabla_Items_Completos[[CODIGO]:[LINEA]],3,0)</f>
        <v>#N/A</v>
      </c>
      <c r="E990" s="1" t="e">
        <f>VLOOKUP(Tabla_Items_Activos[[#This Row],[CODIGO]],Tabla_Items_Completos[[CODIGO]:[LINEA]],4,0)</f>
        <v>#N/A</v>
      </c>
      <c r="F990">
        <v>160</v>
      </c>
      <c r="G990">
        <v>20</v>
      </c>
    </row>
    <row r="991" spans="1:7">
      <c r="A991" t="s">
        <v>7388</v>
      </c>
      <c r="B991" t="s">
        <v>8378</v>
      </c>
      <c r="C991" s="1" t="e">
        <f>VLOOKUP(Tabla_Items_Activos[[#This Row],[CODIGO]],Tabla_Items_Completos[[CODIGO]:[LINEA]],2,0)</f>
        <v>#N/A</v>
      </c>
      <c r="D991" s="1" t="e">
        <f>VLOOKUP(Tabla_Items_Activos[[#This Row],[CODIGO]],Tabla_Items_Completos[[CODIGO]:[LINEA]],3,0)</f>
        <v>#N/A</v>
      </c>
      <c r="E991" s="1" t="e">
        <f>VLOOKUP(Tabla_Items_Activos[[#This Row],[CODIGO]],Tabla_Items_Completos[[CODIGO]:[LINEA]],4,0)</f>
        <v>#N/A</v>
      </c>
      <c r="F991">
        <v>40</v>
      </c>
      <c r="G991">
        <v>33</v>
      </c>
    </row>
    <row r="992" spans="1:7">
      <c r="A992" t="s">
        <v>7388</v>
      </c>
      <c r="B992" t="s">
        <v>8379</v>
      </c>
      <c r="C992" s="1" t="e">
        <f>VLOOKUP(Tabla_Items_Activos[[#This Row],[CODIGO]],Tabla_Items_Completos[[CODIGO]:[LINEA]],2,0)</f>
        <v>#N/A</v>
      </c>
      <c r="D992" s="1" t="e">
        <f>VLOOKUP(Tabla_Items_Activos[[#This Row],[CODIGO]],Tabla_Items_Completos[[CODIGO]:[LINEA]],3,0)</f>
        <v>#N/A</v>
      </c>
      <c r="E992" s="1" t="e">
        <f>VLOOKUP(Tabla_Items_Activos[[#This Row],[CODIGO]],Tabla_Items_Completos[[CODIGO]:[LINEA]],4,0)</f>
        <v>#N/A</v>
      </c>
      <c r="F992">
        <v>25</v>
      </c>
      <c r="G992">
        <v>18</v>
      </c>
    </row>
    <row r="993" spans="1:7">
      <c r="A993" t="s">
        <v>7388</v>
      </c>
      <c r="B993" t="s">
        <v>8380</v>
      </c>
      <c r="C993" s="1" t="e">
        <f>VLOOKUP(Tabla_Items_Activos[[#This Row],[CODIGO]],Tabla_Items_Completos[[CODIGO]:[LINEA]],2,0)</f>
        <v>#N/A</v>
      </c>
      <c r="D993" s="1" t="e">
        <f>VLOOKUP(Tabla_Items_Activos[[#This Row],[CODIGO]],Tabla_Items_Completos[[CODIGO]:[LINEA]],3,0)</f>
        <v>#N/A</v>
      </c>
      <c r="E993" s="1" t="e">
        <f>VLOOKUP(Tabla_Items_Activos[[#This Row],[CODIGO]],Tabla_Items_Completos[[CODIGO]:[LINEA]],4,0)</f>
        <v>#N/A</v>
      </c>
      <c r="F993">
        <v>10</v>
      </c>
      <c r="G993">
        <v>1</v>
      </c>
    </row>
    <row r="994" spans="1:7">
      <c r="A994" t="s">
        <v>7388</v>
      </c>
      <c r="B994" t="s">
        <v>8381</v>
      </c>
      <c r="C994" s="1" t="e">
        <f>VLOOKUP(Tabla_Items_Activos[[#This Row],[CODIGO]],Tabla_Items_Completos[[CODIGO]:[LINEA]],2,0)</f>
        <v>#N/A</v>
      </c>
      <c r="D994" s="1" t="e">
        <f>VLOOKUP(Tabla_Items_Activos[[#This Row],[CODIGO]],Tabla_Items_Completos[[CODIGO]:[LINEA]],3,0)</f>
        <v>#N/A</v>
      </c>
      <c r="E994" s="1" t="e">
        <f>VLOOKUP(Tabla_Items_Activos[[#This Row],[CODIGO]],Tabla_Items_Completos[[CODIGO]:[LINEA]],4,0)</f>
        <v>#N/A</v>
      </c>
      <c r="F994">
        <v>2</v>
      </c>
      <c r="G994">
        <v>0</v>
      </c>
    </row>
    <row r="995" spans="1:7">
      <c r="A995" t="s">
        <v>7388</v>
      </c>
      <c r="B995" t="s">
        <v>8382</v>
      </c>
      <c r="C995" s="1" t="e">
        <f>VLOOKUP(Tabla_Items_Activos[[#This Row],[CODIGO]],Tabla_Items_Completos[[CODIGO]:[LINEA]],2,0)</f>
        <v>#N/A</v>
      </c>
      <c r="D995" s="1" t="e">
        <f>VLOOKUP(Tabla_Items_Activos[[#This Row],[CODIGO]],Tabla_Items_Completos[[CODIGO]:[LINEA]],3,0)</f>
        <v>#N/A</v>
      </c>
      <c r="E995" s="1" t="e">
        <f>VLOOKUP(Tabla_Items_Activos[[#This Row],[CODIGO]],Tabla_Items_Completos[[CODIGO]:[LINEA]],4,0)</f>
        <v>#N/A</v>
      </c>
      <c r="F995">
        <v>8</v>
      </c>
      <c r="G995">
        <v>0</v>
      </c>
    </row>
    <row r="996" spans="1:7">
      <c r="A996" t="s">
        <v>7388</v>
      </c>
      <c r="B996" t="s">
        <v>8383</v>
      </c>
      <c r="C996" s="1" t="e">
        <f>VLOOKUP(Tabla_Items_Activos[[#This Row],[CODIGO]],Tabla_Items_Completos[[CODIGO]:[LINEA]],2,0)</f>
        <v>#N/A</v>
      </c>
      <c r="D996" s="1" t="e">
        <f>VLOOKUP(Tabla_Items_Activos[[#This Row],[CODIGO]],Tabla_Items_Completos[[CODIGO]:[LINEA]],3,0)</f>
        <v>#N/A</v>
      </c>
      <c r="E996" s="1" t="e">
        <f>VLOOKUP(Tabla_Items_Activos[[#This Row],[CODIGO]],Tabla_Items_Completos[[CODIGO]:[LINEA]],4,0)</f>
        <v>#N/A</v>
      </c>
      <c r="F996">
        <v>54</v>
      </c>
      <c r="G996">
        <v>9</v>
      </c>
    </row>
    <row r="997" spans="1:7">
      <c r="A997" t="s">
        <v>7388</v>
      </c>
      <c r="B997" t="s">
        <v>8384</v>
      </c>
      <c r="C997" s="1" t="e">
        <f>VLOOKUP(Tabla_Items_Activos[[#This Row],[CODIGO]],Tabla_Items_Completos[[CODIGO]:[LINEA]],2,0)</f>
        <v>#N/A</v>
      </c>
      <c r="D997" s="1" t="e">
        <f>VLOOKUP(Tabla_Items_Activos[[#This Row],[CODIGO]],Tabla_Items_Completos[[CODIGO]:[LINEA]],3,0)</f>
        <v>#N/A</v>
      </c>
      <c r="E997" s="1" t="e">
        <f>VLOOKUP(Tabla_Items_Activos[[#This Row],[CODIGO]],Tabla_Items_Completos[[CODIGO]:[LINEA]],4,0)</f>
        <v>#N/A</v>
      </c>
      <c r="F997">
        <v>24</v>
      </c>
      <c r="G997">
        <v>5</v>
      </c>
    </row>
    <row r="998" spans="1:7">
      <c r="A998" t="s">
        <v>7388</v>
      </c>
      <c r="B998" t="s">
        <v>8385</v>
      </c>
      <c r="C998" s="1" t="e">
        <f>VLOOKUP(Tabla_Items_Activos[[#This Row],[CODIGO]],Tabla_Items_Completos[[CODIGO]:[LINEA]],2,0)</f>
        <v>#N/A</v>
      </c>
      <c r="D998" s="1" t="e">
        <f>VLOOKUP(Tabla_Items_Activos[[#This Row],[CODIGO]],Tabla_Items_Completos[[CODIGO]:[LINEA]],3,0)</f>
        <v>#N/A</v>
      </c>
      <c r="E998" s="1" t="e">
        <f>VLOOKUP(Tabla_Items_Activos[[#This Row],[CODIGO]],Tabla_Items_Completos[[CODIGO]:[LINEA]],4,0)</f>
        <v>#N/A</v>
      </c>
      <c r="F998">
        <v>37</v>
      </c>
      <c r="G998">
        <v>7</v>
      </c>
    </row>
    <row r="999" spans="1:7">
      <c r="A999" t="s">
        <v>7388</v>
      </c>
      <c r="B999" t="s">
        <v>8386</v>
      </c>
      <c r="C999" s="1" t="e">
        <f>VLOOKUP(Tabla_Items_Activos[[#This Row],[CODIGO]],Tabla_Items_Completos[[CODIGO]:[LINEA]],2,0)</f>
        <v>#N/A</v>
      </c>
      <c r="D999" s="1" t="e">
        <f>VLOOKUP(Tabla_Items_Activos[[#This Row],[CODIGO]],Tabla_Items_Completos[[CODIGO]:[LINEA]],3,0)</f>
        <v>#N/A</v>
      </c>
      <c r="E999" s="1" t="e">
        <f>VLOOKUP(Tabla_Items_Activos[[#This Row],[CODIGO]],Tabla_Items_Completos[[CODIGO]:[LINEA]],4,0)</f>
        <v>#N/A</v>
      </c>
      <c r="F999">
        <v>25</v>
      </c>
      <c r="G999">
        <v>1</v>
      </c>
    </row>
    <row r="1000" spans="1:7">
      <c r="A1000" t="s">
        <v>7388</v>
      </c>
      <c r="B1000" t="s">
        <v>8387</v>
      </c>
      <c r="C1000" s="1" t="e">
        <f>VLOOKUP(Tabla_Items_Activos[[#This Row],[CODIGO]],Tabla_Items_Completos[[CODIGO]:[LINEA]],2,0)</f>
        <v>#N/A</v>
      </c>
      <c r="D1000" s="1" t="e">
        <f>VLOOKUP(Tabla_Items_Activos[[#This Row],[CODIGO]],Tabla_Items_Completos[[CODIGO]:[LINEA]],3,0)</f>
        <v>#N/A</v>
      </c>
      <c r="E1000" s="1" t="e">
        <f>VLOOKUP(Tabla_Items_Activos[[#This Row],[CODIGO]],Tabla_Items_Completos[[CODIGO]:[LINEA]],4,0)</f>
        <v>#N/A</v>
      </c>
      <c r="F1000">
        <v>50</v>
      </c>
      <c r="G1000">
        <v>4</v>
      </c>
    </row>
    <row r="1001" spans="1:7">
      <c r="A1001" t="s">
        <v>7388</v>
      </c>
      <c r="B1001" t="s">
        <v>8388</v>
      </c>
      <c r="C1001" s="1" t="e">
        <f>VLOOKUP(Tabla_Items_Activos[[#This Row],[CODIGO]],Tabla_Items_Completos[[CODIGO]:[LINEA]],2,0)</f>
        <v>#N/A</v>
      </c>
      <c r="D1001" s="1" t="e">
        <f>VLOOKUP(Tabla_Items_Activos[[#This Row],[CODIGO]],Tabla_Items_Completos[[CODIGO]:[LINEA]],3,0)</f>
        <v>#N/A</v>
      </c>
      <c r="E1001" s="1" t="e">
        <f>VLOOKUP(Tabla_Items_Activos[[#This Row],[CODIGO]],Tabla_Items_Completos[[CODIGO]:[LINEA]],4,0)</f>
        <v>#N/A</v>
      </c>
      <c r="F1001">
        <v>14</v>
      </c>
      <c r="G1001">
        <v>0</v>
      </c>
    </row>
    <row r="1002" spans="1:7">
      <c r="A1002" t="s">
        <v>7388</v>
      </c>
      <c r="B1002" t="s">
        <v>8389</v>
      </c>
      <c r="C1002" s="1" t="e">
        <f>VLOOKUP(Tabla_Items_Activos[[#This Row],[CODIGO]],Tabla_Items_Completos[[CODIGO]:[LINEA]],2,0)</f>
        <v>#N/A</v>
      </c>
      <c r="D1002" s="1" t="e">
        <f>VLOOKUP(Tabla_Items_Activos[[#This Row],[CODIGO]],Tabla_Items_Completos[[CODIGO]:[LINEA]],3,0)</f>
        <v>#N/A</v>
      </c>
      <c r="E1002" s="1" t="e">
        <f>VLOOKUP(Tabla_Items_Activos[[#This Row],[CODIGO]],Tabla_Items_Completos[[CODIGO]:[LINEA]],4,0)</f>
        <v>#N/A</v>
      </c>
      <c r="F1002">
        <v>18</v>
      </c>
      <c r="G1002">
        <v>1</v>
      </c>
    </row>
    <row r="1003" spans="1:7">
      <c r="A1003" t="s">
        <v>7388</v>
      </c>
      <c r="B1003" t="s">
        <v>8390</v>
      </c>
      <c r="C1003" s="1" t="e">
        <f>VLOOKUP(Tabla_Items_Activos[[#This Row],[CODIGO]],Tabla_Items_Completos[[CODIGO]:[LINEA]],2,0)</f>
        <v>#N/A</v>
      </c>
      <c r="D1003" s="1" t="e">
        <f>VLOOKUP(Tabla_Items_Activos[[#This Row],[CODIGO]],Tabla_Items_Completos[[CODIGO]:[LINEA]],3,0)</f>
        <v>#N/A</v>
      </c>
      <c r="E1003" s="1" t="e">
        <f>VLOOKUP(Tabla_Items_Activos[[#This Row],[CODIGO]],Tabla_Items_Completos[[CODIGO]:[LINEA]],4,0)</f>
        <v>#N/A</v>
      </c>
      <c r="F1003">
        <v>80</v>
      </c>
      <c r="G1003">
        <v>0</v>
      </c>
    </row>
    <row r="1004" spans="1:7">
      <c r="A1004" t="s">
        <v>7388</v>
      </c>
      <c r="B1004" t="s">
        <v>8391</v>
      </c>
      <c r="C1004" s="1" t="e">
        <f>VLOOKUP(Tabla_Items_Activos[[#This Row],[CODIGO]],Tabla_Items_Completos[[CODIGO]:[LINEA]],2,0)</f>
        <v>#N/A</v>
      </c>
      <c r="D1004" s="1" t="e">
        <f>VLOOKUP(Tabla_Items_Activos[[#This Row],[CODIGO]],Tabla_Items_Completos[[CODIGO]:[LINEA]],3,0)</f>
        <v>#N/A</v>
      </c>
      <c r="E1004" s="1" t="e">
        <f>VLOOKUP(Tabla_Items_Activos[[#This Row],[CODIGO]],Tabla_Items_Completos[[CODIGO]:[LINEA]],4,0)</f>
        <v>#N/A</v>
      </c>
      <c r="F1004">
        <v>205</v>
      </c>
      <c r="G1004">
        <v>177</v>
      </c>
    </row>
    <row r="1005" spans="1:7">
      <c r="A1005" t="s">
        <v>7388</v>
      </c>
      <c r="B1005" t="s">
        <v>8392</v>
      </c>
      <c r="C1005" s="1" t="e">
        <f>VLOOKUP(Tabla_Items_Activos[[#This Row],[CODIGO]],Tabla_Items_Completos[[CODIGO]:[LINEA]],2,0)</f>
        <v>#N/A</v>
      </c>
      <c r="D1005" s="1" t="e">
        <f>VLOOKUP(Tabla_Items_Activos[[#This Row],[CODIGO]],Tabla_Items_Completos[[CODIGO]:[LINEA]],3,0)</f>
        <v>#N/A</v>
      </c>
      <c r="E1005" s="1" t="e">
        <f>VLOOKUP(Tabla_Items_Activos[[#This Row],[CODIGO]],Tabla_Items_Completos[[CODIGO]:[LINEA]],4,0)</f>
        <v>#N/A</v>
      </c>
      <c r="F1005">
        <v>246</v>
      </c>
      <c r="G1005">
        <v>0</v>
      </c>
    </row>
    <row r="1006" spans="1:7">
      <c r="A1006" t="s">
        <v>7388</v>
      </c>
      <c r="B1006" t="s">
        <v>8393</v>
      </c>
      <c r="C1006" s="1" t="e">
        <f>VLOOKUP(Tabla_Items_Activos[[#This Row],[CODIGO]],Tabla_Items_Completos[[CODIGO]:[LINEA]],2,0)</f>
        <v>#N/A</v>
      </c>
      <c r="D1006" s="1" t="e">
        <f>VLOOKUP(Tabla_Items_Activos[[#This Row],[CODIGO]],Tabla_Items_Completos[[CODIGO]:[LINEA]],3,0)</f>
        <v>#N/A</v>
      </c>
      <c r="E1006" s="1" t="e">
        <f>VLOOKUP(Tabla_Items_Activos[[#This Row],[CODIGO]],Tabla_Items_Completos[[CODIGO]:[LINEA]],4,0)</f>
        <v>#N/A</v>
      </c>
      <c r="F1006">
        <v>165</v>
      </c>
      <c r="G1006">
        <v>0</v>
      </c>
    </row>
    <row r="1007" spans="1:7">
      <c r="A1007" t="s">
        <v>7388</v>
      </c>
      <c r="B1007" t="s">
        <v>8394</v>
      </c>
      <c r="C1007" s="1" t="e">
        <f>VLOOKUP(Tabla_Items_Activos[[#This Row],[CODIGO]],Tabla_Items_Completos[[CODIGO]:[LINEA]],2,0)</f>
        <v>#N/A</v>
      </c>
      <c r="D1007" s="1" t="e">
        <f>VLOOKUP(Tabla_Items_Activos[[#This Row],[CODIGO]],Tabla_Items_Completos[[CODIGO]:[LINEA]],3,0)</f>
        <v>#N/A</v>
      </c>
      <c r="E1007" s="1" t="e">
        <f>VLOOKUP(Tabla_Items_Activos[[#This Row],[CODIGO]],Tabla_Items_Completos[[CODIGO]:[LINEA]],4,0)</f>
        <v>#N/A</v>
      </c>
      <c r="F1007">
        <v>120</v>
      </c>
      <c r="G1007">
        <v>3</v>
      </c>
    </row>
    <row r="1008" spans="1:7">
      <c r="A1008" t="s">
        <v>7388</v>
      </c>
      <c r="B1008" t="s">
        <v>8395</v>
      </c>
      <c r="C1008" s="1" t="e">
        <f>VLOOKUP(Tabla_Items_Activos[[#This Row],[CODIGO]],Tabla_Items_Completos[[CODIGO]:[LINEA]],2,0)</f>
        <v>#N/A</v>
      </c>
      <c r="D1008" s="1" t="e">
        <f>VLOOKUP(Tabla_Items_Activos[[#This Row],[CODIGO]],Tabla_Items_Completos[[CODIGO]:[LINEA]],3,0)</f>
        <v>#N/A</v>
      </c>
      <c r="E1008" s="1" t="e">
        <f>VLOOKUP(Tabla_Items_Activos[[#This Row],[CODIGO]],Tabla_Items_Completos[[CODIGO]:[LINEA]],4,0)</f>
        <v>#N/A</v>
      </c>
      <c r="F1008">
        <v>56</v>
      </c>
      <c r="G1008">
        <v>115</v>
      </c>
    </row>
    <row r="1009" spans="1:7">
      <c r="A1009" t="s">
        <v>7388</v>
      </c>
      <c r="B1009" t="s">
        <v>8396</v>
      </c>
      <c r="C1009" s="1" t="e">
        <f>VLOOKUP(Tabla_Items_Activos[[#This Row],[CODIGO]],Tabla_Items_Completos[[CODIGO]:[LINEA]],2,0)</f>
        <v>#N/A</v>
      </c>
      <c r="D1009" s="1" t="e">
        <f>VLOOKUP(Tabla_Items_Activos[[#This Row],[CODIGO]],Tabla_Items_Completos[[CODIGO]:[LINEA]],3,0)</f>
        <v>#N/A</v>
      </c>
      <c r="E1009" s="1" t="e">
        <f>VLOOKUP(Tabla_Items_Activos[[#This Row],[CODIGO]],Tabla_Items_Completos[[CODIGO]:[LINEA]],4,0)</f>
        <v>#N/A</v>
      </c>
      <c r="F1009">
        <v>120</v>
      </c>
      <c r="G1009">
        <v>0</v>
      </c>
    </row>
    <row r="1010" spans="1:7">
      <c r="A1010" t="s">
        <v>7388</v>
      </c>
      <c r="B1010" t="s">
        <v>8397</v>
      </c>
      <c r="C1010" s="1" t="e">
        <f>VLOOKUP(Tabla_Items_Activos[[#This Row],[CODIGO]],Tabla_Items_Completos[[CODIGO]:[LINEA]],2,0)</f>
        <v>#N/A</v>
      </c>
      <c r="D1010" s="1" t="e">
        <f>VLOOKUP(Tabla_Items_Activos[[#This Row],[CODIGO]],Tabla_Items_Completos[[CODIGO]:[LINEA]],3,0)</f>
        <v>#N/A</v>
      </c>
      <c r="E1010" s="1" t="e">
        <f>VLOOKUP(Tabla_Items_Activos[[#This Row],[CODIGO]],Tabla_Items_Completos[[CODIGO]:[LINEA]],4,0)</f>
        <v>#N/A</v>
      </c>
      <c r="F1010">
        <v>200</v>
      </c>
      <c r="G1010">
        <v>117</v>
      </c>
    </row>
    <row r="1011" spans="1:7">
      <c r="A1011" t="s">
        <v>7388</v>
      </c>
      <c r="B1011" t="s">
        <v>8398</v>
      </c>
      <c r="C1011" s="1" t="e">
        <f>VLOOKUP(Tabla_Items_Activos[[#This Row],[CODIGO]],Tabla_Items_Completos[[CODIGO]:[LINEA]],2,0)</f>
        <v>#N/A</v>
      </c>
      <c r="D1011" s="1" t="e">
        <f>VLOOKUP(Tabla_Items_Activos[[#This Row],[CODIGO]],Tabla_Items_Completos[[CODIGO]:[LINEA]],3,0)</f>
        <v>#N/A</v>
      </c>
      <c r="E1011" s="1" t="e">
        <f>VLOOKUP(Tabla_Items_Activos[[#This Row],[CODIGO]],Tabla_Items_Completos[[CODIGO]:[LINEA]],4,0)</f>
        <v>#N/A</v>
      </c>
      <c r="F1011">
        <v>100</v>
      </c>
      <c r="G1011">
        <v>0</v>
      </c>
    </row>
    <row r="1012" spans="1:7">
      <c r="A1012" t="s">
        <v>7388</v>
      </c>
      <c r="B1012" t="s">
        <v>8399</v>
      </c>
      <c r="C1012" s="1" t="e">
        <f>VLOOKUP(Tabla_Items_Activos[[#This Row],[CODIGO]],Tabla_Items_Completos[[CODIGO]:[LINEA]],2,0)</f>
        <v>#N/A</v>
      </c>
      <c r="D1012" s="1" t="e">
        <f>VLOOKUP(Tabla_Items_Activos[[#This Row],[CODIGO]],Tabla_Items_Completos[[CODIGO]:[LINEA]],3,0)</f>
        <v>#N/A</v>
      </c>
      <c r="E1012" s="1" t="e">
        <f>VLOOKUP(Tabla_Items_Activos[[#This Row],[CODIGO]],Tabla_Items_Completos[[CODIGO]:[LINEA]],4,0)</f>
        <v>#N/A</v>
      </c>
      <c r="F1012">
        <v>200</v>
      </c>
      <c r="G1012">
        <v>50</v>
      </c>
    </row>
    <row r="1013" spans="1:7">
      <c r="A1013" t="s">
        <v>7388</v>
      </c>
      <c r="B1013" t="s">
        <v>8400</v>
      </c>
      <c r="C1013" s="1" t="e">
        <f>VLOOKUP(Tabla_Items_Activos[[#This Row],[CODIGO]],Tabla_Items_Completos[[CODIGO]:[LINEA]],2,0)</f>
        <v>#N/A</v>
      </c>
      <c r="D1013" s="1" t="e">
        <f>VLOOKUP(Tabla_Items_Activos[[#This Row],[CODIGO]],Tabla_Items_Completos[[CODIGO]:[LINEA]],3,0)</f>
        <v>#N/A</v>
      </c>
      <c r="E1013" s="1" t="e">
        <f>VLOOKUP(Tabla_Items_Activos[[#This Row],[CODIGO]],Tabla_Items_Completos[[CODIGO]:[LINEA]],4,0)</f>
        <v>#N/A</v>
      </c>
      <c r="F1013">
        <v>56</v>
      </c>
      <c r="G1013">
        <v>55</v>
      </c>
    </row>
    <row r="1014" spans="1:7">
      <c r="A1014" t="s">
        <v>7388</v>
      </c>
      <c r="B1014" t="s">
        <v>8401</v>
      </c>
      <c r="C1014" s="1" t="e">
        <f>VLOOKUP(Tabla_Items_Activos[[#This Row],[CODIGO]],Tabla_Items_Completos[[CODIGO]:[LINEA]],2,0)</f>
        <v>#N/A</v>
      </c>
      <c r="D1014" s="1" t="e">
        <f>VLOOKUP(Tabla_Items_Activos[[#This Row],[CODIGO]],Tabla_Items_Completos[[CODIGO]:[LINEA]],3,0)</f>
        <v>#N/A</v>
      </c>
      <c r="E1014" s="1" t="e">
        <f>VLOOKUP(Tabla_Items_Activos[[#This Row],[CODIGO]],Tabla_Items_Completos[[CODIGO]:[LINEA]],4,0)</f>
        <v>#N/A</v>
      </c>
      <c r="F1014">
        <v>329</v>
      </c>
      <c r="G1014">
        <v>408</v>
      </c>
    </row>
    <row r="1015" spans="1:7">
      <c r="A1015" t="s">
        <v>7388</v>
      </c>
      <c r="B1015" t="s">
        <v>8402</v>
      </c>
      <c r="C1015" s="1" t="e">
        <f>VLOOKUP(Tabla_Items_Activos[[#This Row],[CODIGO]],Tabla_Items_Completos[[CODIGO]:[LINEA]],2,0)</f>
        <v>#N/A</v>
      </c>
      <c r="D1015" s="1" t="e">
        <f>VLOOKUP(Tabla_Items_Activos[[#This Row],[CODIGO]],Tabla_Items_Completos[[CODIGO]:[LINEA]],3,0)</f>
        <v>#N/A</v>
      </c>
      <c r="E1015" s="1" t="e">
        <f>VLOOKUP(Tabla_Items_Activos[[#This Row],[CODIGO]],Tabla_Items_Completos[[CODIGO]:[LINEA]],4,0)</f>
        <v>#N/A</v>
      </c>
      <c r="F1015">
        <v>65</v>
      </c>
      <c r="G1015">
        <v>29</v>
      </c>
    </row>
    <row r="1016" spans="1:7">
      <c r="A1016" t="s">
        <v>7388</v>
      </c>
      <c r="B1016" t="s">
        <v>8403</v>
      </c>
      <c r="C1016" s="1" t="e">
        <f>VLOOKUP(Tabla_Items_Activos[[#This Row],[CODIGO]],Tabla_Items_Completos[[CODIGO]:[LINEA]],2,0)</f>
        <v>#N/A</v>
      </c>
      <c r="D1016" s="1" t="e">
        <f>VLOOKUP(Tabla_Items_Activos[[#This Row],[CODIGO]],Tabla_Items_Completos[[CODIGO]:[LINEA]],3,0)</f>
        <v>#N/A</v>
      </c>
      <c r="E1016" s="1" t="e">
        <f>VLOOKUP(Tabla_Items_Activos[[#This Row],[CODIGO]],Tabla_Items_Completos[[CODIGO]:[LINEA]],4,0)</f>
        <v>#N/A</v>
      </c>
      <c r="F1016">
        <v>400</v>
      </c>
      <c r="G1016">
        <v>281</v>
      </c>
    </row>
    <row r="1017" spans="1:7">
      <c r="A1017" t="s">
        <v>7388</v>
      </c>
      <c r="B1017" t="s">
        <v>8404</v>
      </c>
      <c r="C1017" s="1" t="e">
        <f>VLOOKUP(Tabla_Items_Activos[[#This Row],[CODIGO]],Tabla_Items_Completos[[CODIGO]:[LINEA]],2,0)</f>
        <v>#N/A</v>
      </c>
      <c r="D1017" s="1" t="e">
        <f>VLOOKUP(Tabla_Items_Activos[[#This Row],[CODIGO]],Tabla_Items_Completos[[CODIGO]:[LINEA]],3,0)</f>
        <v>#N/A</v>
      </c>
      <c r="E1017" s="1" t="e">
        <f>VLOOKUP(Tabla_Items_Activos[[#This Row],[CODIGO]],Tabla_Items_Completos[[CODIGO]:[LINEA]],4,0)</f>
        <v>#N/A</v>
      </c>
      <c r="F1017">
        <v>69</v>
      </c>
      <c r="G1017">
        <v>77</v>
      </c>
    </row>
    <row r="1018" spans="1:7">
      <c r="A1018" t="s">
        <v>7388</v>
      </c>
      <c r="B1018" t="s">
        <v>8405</v>
      </c>
      <c r="C1018" s="1" t="e">
        <f>VLOOKUP(Tabla_Items_Activos[[#This Row],[CODIGO]],Tabla_Items_Completos[[CODIGO]:[LINEA]],2,0)</f>
        <v>#N/A</v>
      </c>
      <c r="D1018" s="1" t="e">
        <f>VLOOKUP(Tabla_Items_Activos[[#This Row],[CODIGO]],Tabla_Items_Completos[[CODIGO]:[LINEA]],3,0)</f>
        <v>#N/A</v>
      </c>
      <c r="E1018" s="1" t="e">
        <f>VLOOKUP(Tabla_Items_Activos[[#This Row],[CODIGO]],Tabla_Items_Completos[[CODIGO]:[LINEA]],4,0)</f>
        <v>#N/A</v>
      </c>
      <c r="F1018">
        <v>26</v>
      </c>
      <c r="G1018">
        <v>41</v>
      </c>
    </row>
    <row r="1019" spans="1:7">
      <c r="A1019" t="s">
        <v>7388</v>
      </c>
      <c r="B1019" t="s">
        <v>8406</v>
      </c>
      <c r="C1019" s="1" t="e">
        <f>VLOOKUP(Tabla_Items_Activos[[#This Row],[CODIGO]],Tabla_Items_Completos[[CODIGO]:[LINEA]],2,0)</f>
        <v>#N/A</v>
      </c>
      <c r="D1019" s="1" t="e">
        <f>VLOOKUP(Tabla_Items_Activos[[#This Row],[CODIGO]],Tabla_Items_Completos[[CODIGO]:[LINEA]],3,0)</f>
        <v>#N/A</v>
      </c>
      <c r="E1019" s="1" t="e">
        <f>VLOOKUP(Tabla_Items_Activos[[#This Row],[CODIGO]],Tabla_Items_Completos[[CODIGO]:[LINEA]],4,0)</f>
        <v>#N/A</v>
      </c>
      <c r="F1019">
        <v>6</v>
      </c>
      <c r="G1019">
        <v>12</v>
      </c>
    </row>
    <row r="1020" spans="1:7">
      <c r="A1020" t="s">
        <v>7388</v>
      </c>
      <c r="B1020" t="s">
        <v>8407</v>
      </c>
      <c r="C1020" s="1" t="e">
        <f>VLOOKUP(Tabla_Items_Activos[[#This Row],[CODIGO]],Tabla_Items_Completos[[CODIGO]:[LINEA]],2,0)</f>
        <v>#N/A</v>
      </c>
      <c r="D1020" s="1" t="e">
        <f>VLOOKUP(Tabla_Items_Activos[[#This Row],[CODIGO]],Tabla_Items_Completos[[CODIGO]:[LINEA]],3,0)</f>
        <v>#N/A</v>
      </c>
      <c r="E1020" s="1" t="e">
        <f>VLOOKUP(Tabla_Items_Activos[[#This Row],[CODIGO]],Tabla_Items_Completos[[CODIGO]:[LINEA]],4,0)</f>
        <v>#N/A</v>
      </c>
      <c r="F1020">
        <v>120</v>
      </c>
      <c r="G1020">
        <v>31</v>
      </c>
    </row>
    <row r="1021" spans="1:7">
      <c r="A1021" t="s">
        <v>7388</v>
      </c>
      <c r="B1021" t="s">
        <v>8408</v>
      </c>
      <c r="C1021" s="1" t="e">
        <f>VLOOKUP(Tabla_Items_Activos[[#This Row],[CODIGO]],Tabla_Items_Completos[[CODIGO]:[LINEA]],2,0)</f>
        <v>#N/A</v>
      </c>
      <c r="D1021" s="1" t="e">
        <f>VLOOKUP(Tabla_Items_Activos[[#This Row],[CODIGO]],Tabla_Items_Completos[[CODIGO]:[LINEA]],3,0)</f>
        <v>#N/A</v>
      </c>
      <c r="E1021" s="1" t="e">
        <f>VLOOKUP(Tabla_Items_Activos[[#This Row],[CODIGO]],Tabla_Items_Completos[[CODIGO]:[LINEA]],4,0)</f>
        <v>#N/A</v>
      </c>
      <c r="F1021">
        <v>310</v>
      </c>
      <c r="G1021">
        <v>60</v>
      </c>
    </row>
    <row r="1022" spans="1:7">
      <c r="A1022" t="s">
        <v>7388</v>
      </c>
      <c r="B1022" t="s">
        <v>8409</v>
      </c>
      <c r="C1022" s="1" t="e">
        <f>VLOOKUP(Tabla_Items_Activos[[#This Row],[CODIGO]],Tabla_Items_Completos[[CODIGO]:[LINEA]],2,0)</f>
        <v>#N/A</v>
      </c>
      <c r="D1022" s="1" t="e">
        <f>VLOOKUP(Tabla_Items_Activos[[#This Row],[CODIGO]],Tabla_Items_Completos[[CODIGO]:[LINEA]],3,0)</f>
        <v>#N/A</v>
      </c>
      <c r="E1022" s="1" t="e">
        <f>VLOOKUP(Tabla_Items_Activos[[#This Row],[CODIGO]],Tabla_Items_Completos[[CODIGO]:[LINEA]],4,0)</f>
        <v>#N/A</v>
      </c>
      <c r="F1022">
        <v>133</v>
      </c>
      <c r="G1022">
        <v>53</v>
      </c>
    </row>
    <row r="1023" spans="1:7">
      <c r="A1023" t="s">
        <v>7388</v>
      </c>
      <c r="B1023" t="s">
        <v>8410</v>
      </c>
      <c r="C1023" s="1" t="e">
        <f>VLOOKUP(Tabla_Items_Activos[[#This Row],[CODIGO]],Tabla_Items_Completos[[CODIGO]:[LINEA]],2,0)</f>
        <v>#N/A</v>
      </c>
      <c r="D1023" s="1" t="e">
        <f>VLOOKUP(Tabla_Items_Activos[[#This Row],[CODIGO]],Tabla_Items_Completos[[CODIGO]:[LINEA]],3,0)</f>
        <v>#N/A</v>
      </c>
      <c r="E1023" s="1" t="e">
        <f>VLOOKUP(Tabla_Items_Activos[[#This Row],[CODIGO]],Tabla_Items_Completos[[CODIGO]:[LINEA]],4,0)</f>
        <v>#N/A</v>
      </c>
      <c r="F1023">
        <v>18</v>
      </c>
      <c r="G1023">
        <v>9</v>
      </c>
    </row>
    <row r="1024" spans="1:7">
      <c r="A1024" t="s">
        <v>7388</v>
      </c>
      <c r="B1024" t="s">
        <v>8411</v>
      </c>
      <c r="C1024" s="1" t="e">
        <f>VLOOKUP(Tabla_Items_Activos[[#This Row],[CODIGO]],Tabla_Items_Completos[[CODIGO]:[LINEA]],2,0)</f>
        <v>#N/A</v>
      </c>
      <c r="D1024" s="1" t="e">
        <f>VLOOKUP(Tabla_Items_Activos[[#This Row],[CODIGO]],Tabla_Items_Completos[[CODIGO]:[LINEA]],3,0)</f>
        <v>#N/A</v>
      </c>
      <c r="E1024" s="1" t="e">
        <f>VLOOKUP(Tabla_Items_Activos[[#This Row],[CODIGO]],Tabla_Items_Completos[[CODIGO]:[LINEA]],4,0)</f>
        <v>#N/A</v>
      </c>
      <c r="F1024">
        <v>10</v>
      </c>
      <c r="G1024">
        <v>46</v>
      </c>
    </row>
    <row r="1025" spans="1:7">
      <c r="A1025" t="s">
        <v>7388</v>
      </c>
      <c r="B1025" t="s">
        <v>8412</v>
      </c>
      <c r="C1025" s="1" t="e">
        <f>VLOOKUP(Tabla_Items_Activos[[#This Row],[CODIGO]],Tabla_Items_Completos[[CODIGO]:[LINEA]],2,0)</f>
        <v>#N/A</v>
      </c>
      <c r="D1025" s="1" t="e">
        <f>VLOOKUP(Tabla_Items_Activos[[#This Row],[CODIGO]],Tabla_Items_Completos[[CODIGO]:[LINEA]],3,0)</f>
        <v>#N/A</v>
      </c>
      <c r="E1025" s="1" t="e">
        <f>VLOOKUP(Tabla_Items_Activos[[#This Row],[CODIGO]],Tabla_Items_Completos[[CODIGO]:[LINEA]],4,0)</f>
        <v>#N/A</v>
      </c>
      <c r="F1025">
        <v>15</v>
      </c>
      <c r="G1025">
        <v>52</v>
      </c>
    </row>
    <row r="1026" spans="1:7">
      <c r="A1026" t="s">
        <v>7388</v>
      </c>
      <c r="B1026" t="s">
        <v>8413</v>
      </c>
      <c r="C1026" s="1" t="e">
        <f>VLOOKUP(Tabla_Items_Activos[[#This Row],[CODIGO]],Tabla_Items_Completos[[CODIGO]:[LINEA]],2,0)</f>
        <v>#N/A</v>
      </c>
      <c r="D1026" s="1" t="e">
        <f>VLOOKUP(Tabla_Items_Activos[[#This Row],[CODIGO]],Tabla_Items_Completos[[CODIGO]:[LINEA]],3,0)</f>
        <v>#N/A</v>
      </c>
      <c r="E1026" s="1" t="e">
        <f>VLOOKUP(Tabla_Items_Activos[[#This Row],[CODIGO]],Tabla_Items_Completos[[CODIGO]:[LINEA]],4,0)</f>
        <v>#N/A</v>
      </c>
      <c r="F1026">
        <v>4</v>
      </c>
      <c r="G1026">
        <v>1</v>
      </c>
    </row>
    <row r="1027" spans="1:7">
      <c r="A1027" t="s">
        <v>7388</v>
      </c>
      <c r="B1027" t="s">
        <v>8414</v>
      </c>
      <c r="C1027" s="1" t="e">
        <f>VLOOKUP(Tabla_Items_Activos[[#This Row],[CODIGO]],Tabla_Items_Completos[[CODIGO]:[LINEA]],2,0)</f>
        <v>#N/A</v>
      </c>
      <c r="D1027" s="1" t="e">
        <f>VLOOKUP(Tabla_Items_Activos[[#This Row],[CODIGO]],Tabla_Items_Completos[[CODIGO]:[LINEA]],3,0)</f>
        <v>#N/A</v>
      </c>
      <c r="E1027" s="1" t="e">
        <f>VLOOKUP(Tabla_Items_Activos[[#This Row],[CODIGO]],Tabla_Items_Completos[[CODIGO]:[LINEA]],4,0)</f>
        <v>#N/A</v>
      </c>
      <c r="F1027">
        <v>4</v>
      </c>
      <c r="G1027">
        <v>0</v>
      </c>
    </row>
    <row r="1028" spans="1:7">
      <c r="A1028" t="s">
        <v>7388</v>
      </c>
      <c r="B1028" t="s">
        <v>8415</v>
      </c>
      <c r="C1028" s="1" t="e">
        <f>VLOOKUP(Tabla_Items_Activos[[#This Row],[CODIGO]],Tabla_Items_Completos[[CODIGO]:[LINEA]],2,0)</f>
        <v>#N/A</v>
      </c>
      <c r="D1028" s="1" t="e">
        <f>VLOOKUP(Tabla_Items_Activos[[#This Row],[CODIGO]],Tabla_Items_Completos[[CODIGO]:[LINEA]],3,0)</f>
        <v>#N/A</v>
      </c>
      <c r="E1028" s="1" t="e">
        <f>VLOOKUP(Tabla_Items_Activos[[#This Row],[CODIGO]],Tabla_Items_Completos[[CODIGO]:[LINEA]],4,0)</f>
        <v>#N/A</v>
      </c>
      <c r="F1028">
        <v>2</v>
      </c>
      <c r="G1028">
        <v>7</v>
      </c>
    </row>
    <row r="1029" spans="1:7">
      <c r="A1029" t="s">
        <v>7388</v>
      </c>
      <c r="B1029" t="s">
        <v>8416</v>
      </c>
      <c r="C1029" s="1" t="e">
        <f>VLOOKUP(Tabla_Items_Activos[[#This Row],[CODIGO]],Tabla_Items_Completos[[CODIGO]:[LINEA]],2,0)</f>
        <v>#N/A</v>
      </c>
      <c r="D1029" s="1" t="e">
        <f>VLOOKUP(Tabla_Items_Activos[[#This Row],[CODIGO]],Tabla_Items_Completos[[CODIGO]:[LINEA]],3,0)</f>
        <v>#N/A</v>
      </c>
      <c r="E1029" s="1" t="e">
        <f>VLOOKUP(Tabla_Items_Activos[[#This Row],[CODIGO]],Tabla_Items_Completos[[CODIGO]:[LINEA]],4,0)</f>
        <v>#N/A</v>
      </c>
      <c r="F1029">
        <v>10</v>
      </c>
      <c r="G1029">
        <v>0</v>
      </c>
    </row>
    <row r="1030" spans="1:7">
      <c r="A1030" t="s">
        <v>7388</v>
      </c>
      <c r="B1030" t="s">
        <v>8417</v>
      </c>
      <c r="C1030" s="1" t="e">
        <f>VLOOKUP(Tabla_Items_Activos[[#This Row],[CODIGO]],Tabla_Items_Completos[[CODIGO]:[LINEA]],2,0)</f>
        <v>#N/A</v>
      </c>
      <c r="D1030" s="1" t="e">
        <f>VLOOKUP(Tabla_Items_Activos[[#This Row],[CODIGO]],Tabla_Items_Completos[[CODIGO]:[LINEA]],3,0)</f>
        <v>#N/A</v>
      </c>
      <c r="E1030" s="1" t="e">
        <f>VLOOKUP(Tabla_Items_Activos[[#This Row],[CODIGO]],Tabla_Items_Completos[[CODIGO]:[LINEA]],4,0)</f>
        <v>#N/A</v>
      </c>
      <c r="F1030">
        <v>2</v>
      </c>
      <c r="G1030">
        <v>4</v>
      </c>
    </row>
    <row r="1031" spans="1:7">
      <c r="A1031" t="s">
        <v>7388</v>
      </c>
      <c r="B1031" t="s">
        <v>8418</v>
      </c>
      <c r="C1031" s="1" t="e">
        <f>VLOOKUP(Tabla_Items_Activos[[#This Row],[CODIGO]],Tabla_Items_Completos[[CODIGO]:[LINEA]],2,0)</f>
        <v>#N/A</v>
      </c>
      <c r="D1031" s="1" t="e">
        <f>VLOOKUP(Tabla_Items_Activos[[#This Row],[CODIGO]],Tabla_Items_Completos[[CODIGO]:[LINEA]],3,0)</f>
        <v>#N/A</v>
      </c>
      <c r="E1031" s="1" t="e">
        <f>VLOOKUP(Tabla_Items_Activos[[#This Row],[CODIGO]],Tabla_Items_Completos[[CODIGO]:[LINEA]],4,0)</f>
        <v>#N/A</v>
      </c>
      <c r="F1031">
        <v>2</v>
      </c>
      <c r="G1031">
        <v>6</v>
      </c>
    </row>
    <row r="1032" spans="1:7">
      <c r="A1032" t="s">
        <v>7388</v>
      </c>
      <c r="B1032" t="s">
        <v>8419</v>
      </c>
      <c r="C1032" s="1" t="e">
        <f>VLOOKUP(Tabla_Items_Activos[[#This Row],[CODIGO]],Tabla_Items_Completos[[CODIGO]:[LINEA]],2,0)</f>
        <v>#N/A</v>
      </c>
      <c r="D1032" s="1" t="e">
        <f>VLOOKUP(Tabla_Items_Activos[[#This Row],[CODIGO]],Tabla_Items_Completos[[CODIGO]:[LINEA]],3,0)</f>
        <v>#N/A</v>
      </c>
      <c r="E1032" s="1" t="e">
        <f>VLOOKUP(Tabla_Items_Activos[[#This Row],[CODIGO]],Tabla_Items_Completos[[CODIGO]:[LINEA]],4,0)</f>
        <v>#N/A</v>
      </c>
      <c r="F1032">
        <v>2</v>
      </c>
      <c r="G1032">
        <v>1</v>
      </c>
    </row>
    <row r="1033" spans="1:7">
      <c r="A1033" t="s">
        <v>7388</v>
      </c>
      <c r="B1033" t="s">
        <v>8420</v>
      </c>
      <c r="C1033" s="1" t="e">
        <f>VLOOKUP(Tabla_Items_Activos[[#This Row],[CODIGO]],Tabla_Items_Completos[[CODIGO]:[LINEA]],2,0)</f>
        <v>#N/A</v>
      </c>
      <c r="D1033" s="1" t="e">
        <f>VLOOKUP(Tabla_Items_Activos[[#This Row],[CODIGO]],Tabla_Items_Completos[[CODIGO]:[LINEA]],3,0)</f>
        <v>#N/A</v>
      </c>
      <c r="E1033" s="1" t="e">
        <f>VLOOKUP(Tabla_Items_Activos[[#This Row],[CODIGO]],Tabla_Items_Completos[[CODIGO]:[LINEA]],4,0)</f>
        <v>#N/A</v>
      </c>
      <c r="F1033">
        <v>2</v>
      </c>
      <c r="G1033">
        <v>0</v>
      </c>
    </row>
    <row r="1034" spans="1:7">
      <c r="A1034" t="s">
        <v>7388</v>
      </c>
      <c r="B1034" t="s">
        <v>8421</v>
      </c>
      <c r="C1034" s="1" t="e">
        <f>VLOOKUP(Tabla_Items_Activos[[#This Row],[CODIGO]],Tabla_Items_Completos[[CODIGO]:[LINEA]],2,0)</f>
        <v>#N/A</v>
      </c>
      <c r="D1034" s="1" t="e">
        <f>VLOOKUP(Tabla_Items_Activos[[#This Row],[CODIGO]],Tabla_Items_Completos[[CODIGO]:[LINEA]],3,0)</f>
        <v>#N/A</v>
      </c>
      <c r="E1034" s="1" t="e">
        <f>VLOOKUP(Tabla_Items_Activos[[#This Row],[CODIGO]],Tabla_Items_Completos[[CODIGO]:[LINEA]],4,0)</f>
        <v>#N/A</v>
      </c>
      <c r="F1034">
        <v>8</v>
      </c>
      <c r="G1034">
        <v>0</v>
      </c>
    </row>
    <row r="1035" spans="1:7">
      <c r="A1035" t="s">
        <v>7388</v>
      </c>
      <c r="B1035" t="s">
        <v>8422</v>
      </c>
      <c r="C1035" s="1" t="e">
        <f>VLOOKUP(Tabla_Items_Activos[[#This Row],[CODIGO]],Tabla_Items_Completos[[CODIGO]:[LINEA]],2,0)</f>
        <v>#N/A</v>
      </c>
      <c r="D1035" s="1" t="e">
        <f>VLOOKUP(Tabla_Items_Activos[[#This Row],[CODIGO]],Tabla_Items_Completos[[CODIGO]:[LINEA]],3,0)</f>
        <v>#N/A</v>
      </c>
      <c r="E1035" s="1" t="e">
        <f>VLOOKUP(Tabla_Items_Activos[[#This Row],[CODIGO]],Tabla_Items_Completos[[CODIGO]:[LINEA]],4,0)</f>
        <v>#N/A</v>
      </c>
      <c r="F1035">
        <v>18</v>
      </c>
      <c r="G1035">
        <v>2</v>
      </c>
    </row>
    <row r="1036" spans="1:7">
      <c r="A1036" t="s">
        <v>7388</v>
      </c>
      <c r="B1036" t="s">
        <v>8423</v>
      </c>
      <c r="C1036" s="1" t="e">
        <f>VLOOKUP(Tabla_Items_Activos[[#This Row],[CODIGO]],Tabla_Items_Completos[[CODIGO]:[LINEA]],2,0)</f>
        <v>#N/A</v>
      </c>
      <c r="D1036" s="1" t="e">
        <f>VLOOKUP(Tabla_Items_Activos[[#This Row],[CODIGO]],Tabla_Items_Completos[[CODIGO]:[LINEA]],3,0)</f>
        <v>#N/A</v>
      </c>
      <c r="E1036" s="1" t="e">
        <f>VLOOKUP(Tabla_Items_Activos[[#This Row],[CODIGO]],Tabla_Items_Completos[[CODIGO]:[LINEA]],4,0)</f>
        <v>#N/A</v>
      </c>
      <c r="F1036">
        <v>3193</v>
      </c>
      <c r="G1036">
        <v>3104</v>
      </c>
    </row>
    <row r="1037" spans="1:7">
      <c r="A1037" t="s">
        <v>7388</v>
      </c>
      <c r="B1037" t="s">
        <v>8424</v>
      </c>
      <c r="C1037" s="1" t="e">
        <f>VLOOKUP(Tabla_Items_Activos[[#This Row],[CODIGO]],Tabla_Items_Completos[[CODIGO]:[LINEA]],2,0)</f>
        <v>#N/A</v>
      </c>
      <c r="D1037" s="1" t="e">
        <f>VLOOKUP(Tabla_Items_Activos[[#This Row],[CODIGO]],Tabla_Items_Completos[[CODIGO]:[LINEA]],3,0)</f>
        <v>#N/A</v>
      </c>
      <c r="E1037" s="1" t="e">
        <f>VLOOKUP(Tabla_Items_Activos[[#This Row],[CODIGO]],Tabla_Items_Completos[[CODIGO]:[LINEA]],4,0)</f>
        <v>#N/A</v>
      </c>
      <c r="F1037">
        <v>1390</v>
      </c>
      <c r="G1037">
        <v>1259</v>
      </c>
    </row>
    <row r="1038" spans="1:7">
      <c r="A1038" t="s">
        <v>7388</v>
      </c>
      <c r="B1038" t="s">
        <v>8425</v>
      </c>
      <c r="C1038" s="1" t="e">
        <f>VLOOKUP(Tabla_Items_Activos[[#This Row],[CODIGO]],Tabla_Items_Completos[[CODIGO]:[LINEA]],2,0)</f>
        <v>#N/A</v>
      </c>
      <c r="D1038" s="1" t="e">
        <f>VLOOKUP(Tabla_Items_Activos[[#This Row],[CODIGO]],Tabla_Items_Completos[[CODIGO]:[LINEA]],3,0)</f>
        <v>#N/A</v>
      </c>
      <c r="E1038" s="1" t="e">
        <f>VLOOKUP(Tabla_Items_Activos[[#This Row],[CODIGO]],Tabla_Items_Completos[[CODIGO]:[LINEA]],4,0)</f>
        <v>#N/A</v>
      </c>
      <c r="F1038">
        <v>1772</v>
      </c>
      <c r="G1038">
        <v>967</v>
      </c>
    </row>
    <row r="1039" spans="1:7">
      <c r="A1039" t="s">
        <v>7388</v>
      </c>
      <c r="B1039" t="s">
        <v>8426</v>
      </c>
      <c r="C1039" s="1" t="e">
        <f>VLOOKUP(Tabla_Items_Activos[[#This Row],[CODIGO]],Tabla_Items_Completos[[CODIGO]:[LINEA]],2,0)</f>
        <v>#N/A</v>
      </c>
      <c r="D1039" s="1" t="e">
        <f>VLOOKUP(Tabla_Items_Activos[[#This Row],[CODIGO]],Tabla_Items_Completos[[CODIGO]:[LINEA]],3,0)</f>
        <v>#N/A</v>
      </c>
      <c r="E1039" s="1" t="e">
        <f>VLOOKUP(Tabla_Items_Activos[[#This Row],[CODIGO]],Tabla_Items_Completos[[CODIGO]:[LINEA]],4,0)</f>
        <v>#N/A</v>
      </c>
      <c r="F1039">
        <v>329</v>
      </c>
      <c r="G1039">
        <v>345</v>
      </c>
    </row>
    <row r="1040" spans="1:7">
      <c r="A1040" t="s">
        <v>7388</v>
      </c>
      <c r="B1040" t="s">
        <v>8427</v>
      </c>
      <c r="C1040" s="1" t="e">
        <f>VLOOKUP(Tabla_Items_Activos[[#This Row],[CODIGO]],Tabla_Items_Completos[[CODIGO]:[LINEA]],2,0)</f>
        <v>#N/A</v>
      </c>
      <c r="D1040" s="1" t="e">
        <f>VLOOKUP(Tabla_Items_Activos[[#This Row],[CODIGO]],Tabla_Items_Completos[[CODIGO]:[LINEA]],3,0)</f>
        <v>#N/A</v>
      </c>
      <c r="E1040" s="1" t="e">
        <f>VLOOKUP(Tabla_Items_Activos[[#This Row],[CODIGO]],Tabla_Items_Completos[[CODIGO]:[LINEA]],4,0)</f>
        <v>#N/A</v>
      </c>
      <c r="F1040">
        <v>800</v>
      </c>
      <c r="G1040">
        <v>614</v>
      </c>
    </row>
    <row r="1041" spans="1:7">
      <c r="A1041" t="s">
        <v>7388</v>
      </c>
      <c r="B1041" t="s">
        <v>8428</v>
      </c>
      <c r="C1041" s="1" t="e">
        <f>VLOOKUP(Tabla_Items_Activos[[#This Row],[CODIGO]],Tabla_Items_Completos[[CODIGO]:[LINEA]],2,0)</f>
        <v>#N/A</v>
      </c>
      <c r="D1041" s="1" t="e">
        <f>VLOOKUP(Tabla_Items_Activos[[#This Row],[CODIGO]],Tabla_Items_Completos[[CODIGO]:[LINEA]],3,0)</f>
        <v>#N/A</v>
      </c>
      <c r="E1041" s="1" t="e">
        <f>VLOOKUP(Tabla_Items_Activos[[#This Row],[CODIGO]],Tabla_Items_Completos[[CODIGO]:[LINEA]],4,0)</f>
        <v>#N/A</v>
      </c>
      <c r="F1041">
        <v>781</v>
      </c>
      <c r="G1041">
        <v>664</v>
      </c>
    </row>
    <row r="1042" spans="1:7">
      <c r="A1042" t="s">
        <v>7388</v>
      </c>
      <c r="B1042" t="s">
        <v>8429</v>
      </c>
      <c r="C1042" s="1" t="e">
        <f>VLOOKUP(Tabla_Items_Activos[[#This Row],[CODIGO]],Tabla_Items_Completos[[CODIGO]:[LINEA]],2,0)</f>
        <v>#N/A</v>
      </c>
      <c r="D1042" s="1" t="e">
        <f>VLOOKUP(Tabla_Items_Activos[[#This Row],[CODIGO]],Tabla_Items_Completos[[CODIGO]:[LINEA]],3,0)</f>
        <v>#N/A</v>
      </c>
      <c r="E1042" s="1" t="e">
        <f>VLOOKUP(Tabla_Items_Activos[[#This Row],[CODIGO]],Tabla_Items_Completos[[CODIGO]:[LINEA]],4,0)</f>
        <v>#N/A</v>
      </c>
      <c r="F1042">
        <v>323</v>
      </c>
      <c r="G1042">
        <v>255</v>
      </c>
    </row>
    <row r="1043" spans="1:7">
      <c r="A1043" t="s">
        <v>7388</v>
      </c>
      <c r="B1043" t="s">
        <v>8430</v>
      </c>
      <c r="C1043" s="1" t="e">
        <f>VLOOKUP(Tabla_Items_Activos[[#This Row],[CODIGO]],Tabla_Items_Completos[[CODIGO]:[LINEA]],2,0)</f>
        <v>#N/A</v>
      </c>
      <c r="D1043" s="1" t="e">
        <f>VLOOKUP(Tabla_Items_Activos[[#This Row],[CODIGO]],Tabla_Items_Completos[[CODIGO]:[LINEA]],3,0)</f>
        <v>#N/A</v>
      </c>
      <c r="E1043" s="1" t="e">
        <f>VLOOKUP(Tabla_Items_Activos[[#This Row],[CODIGO]],Tabla_Items_Completos[[CODIGO]:[LINEA]],4,0)</f>
        <v>#N/A</v>
      </c>
      <c r="F1043">
        <v>164</v>
      </c>
      <c r="G1043">
        <v>41</v>
      </c>
    </row>
    <row r="1044" spans="1:7">
      <c r="A1044" t="s">
        <v>7388</v>
      </c>
      <c r="B1044" t="s">
        <v>8431</v>
      </c>
      <c r="C1044" s="1" t="e">
        <f>VLOOKUP(Tabla_Items_Activos[[#This Row],[CODIGO]],Tabla_Items_Completos[[CODIGO]:[LINEA]],2,0)</f>
        <v>#N/A</v>
      </c>
      <c r="D1044" s="1" t="e">
        <f>VLOOKUP(Tabla_Items_Activos[[#This Row],[CODIGO]],Tabla_Items_Completos[[CODIGO]:[LINEA]],3,0)</f>
        <v>#N/A</v>
      </c>
      <c r="E1044" s="1" t="e">
        <f>VLOOKUP(Tabla_Items_Activos[[#This Row],[CODIGO]],Tabla_Items_Completos[[CODIGO]:[LINEA]],4,0)</f>
        <v>#N/A</v>
      </c>
      <c r="F1044">
        <v>589</v>
      </c>
      <c r="G1044">
        <v>231</v>
      </c>
    </row>
    <row r="1045" spans="1:7">
      <c r="A1045" t="s">
        <v>7388</v>
      </c>
      <c r="B1045" t="s">
        <v>8432</v>
      </c>
      <c r="C1045" s="1" t="e">
        <f>VLOOKUP(Tabla_Items_Activos[[#This Row],[CODIGO]],Tabla_Items_Completos[[CODIGO]:[LINEA]],2,0)</f>
        <v>#N/A</v>
      </c>
      <c r="D1045" s="1" t="e">
        <f>VLOOKUP(Tabla_Items_Activos[[#This Row],[CODIGO]],Tabla_Items_Completos[[CODIGO]:[LINEA]],3,0)</f>
        <v>#N/A</v>
      </c>
      <c r="E1045" s="1" t="e">
        <f>VLOOKUP(Tabla_Items_Activos[[#This Row],[CODIGO]],Tabla_Items_Completos[[CODIGO]:[LINEA]],4,0)</f>
        <v>#N/A</v>
      </c>
      <c r="F1045">
        <v>1751</v>
      </c>
      <c r="G1045">
        <v>1213</v>
      </c>
    </row>
    <row r="1046" spans="1:7">
      <c r="A1046" t="s">
        <v>7388</v>
      </c>
      <c r="B1046" t="s">
        <v>8433</v>
      </c>
      <c r="C1046" s="1" t="e">
        <f>VLOOKUP(Tabla_Items_Activos[[#This Row],[CODIGO]],Tabla_Items_Completos[[CODIGO]:[LINEA]],2,0)</f>
        <v>#N/A</v>
      </c>
      <c r="D1046" s="1" t="e">
        <f>VLOOKUP(Tabla_Items_Activos[[#This Row],[CODIGO]],Tabla_Items_Completos[[CODIGO]:[LINEA]],3,0)</f>
        <v>#N/A</v>
      </c>
      <c r="E1046" s="1" t="e">
        <f>VLOOKUP(Tabla_Items_Activos[[#This Row],[CODIGO]],Tabla_Items_Completos[[CODIGO]:[LINEA]],4,0)</f>
        <v>#N/A</v>
      </c>
      <c r="F1046">
        <v>498</v>
      </c>
      <c r="G1046">
        <v>68</v>
      </c>
    </row>
    <row r="1047" spans="1:7">
      <c r="A1047" t="s">
        <v>7388</v>
      </c>
      <c r="B1047" t="s">
        <v>8434</v>
      </c>
      <c r="C1047" s="1" t="e">
        <f>VLOOKUP(Tabla_Items_Activos[[#This Row],[CODIGO]],Tabla_Items_Completos[[CODIGO]:[LINEA]],2,0)</f>
        <v>#N/A</v>
      </c>
      <c r="D1047" s="1" t="e">
        <f>VLOOKUP(Tabla_Items_Activos[[#This Row],[CODIGO]],Tabla_Items_Completos[[CODIGO]:[LINEA]],3,0)</f>
        <v>#N/A</v>
      </c>
      <c r="E1047" s="1" t="e">
        <f>VLOOKUP(Tabla_Items_Activos[[#This Row],[CODIGO]],Tabla_Items_Completos[[CODIGO]:[LINEA]],4,0)</f>
        <v>#N/A</v>
      </c>
      <c r="F1047">
        <v>1014</v>
      </c>
      <c r="G1047">
        <v>324</v>
      </c>
    </row>
    <row r="1048" spans="1:7">
      <c r="A1048" t="s">
        <v>7388</v>
      </c>
      <c r="B1048" t="s">
        <v>8435</v>
      </c>
      <c r="C1048" s="1" t="e">
        <f>VLOOKUP(Tabla_Items_Activos[[#This Row],[CODIGO]],Tabla_Items_Completos[[CODIGO]:[LINEA]],2,0)</f>
        <v>#N/A</v>
      </c>
      <c r="D1048" s="1" t="e">
        <f>VLOOKUP(Tabla_Items_Activos[[#This Row],[CODIGO]],Tabla_Items_Completos[[CODIGO]:[LINEA]],3,0)</f>
        <v>#N/A</v>
      </c>
      <c r="E1048" s="1" t="e">
        <f>VLOOKUP(Tabla_Items_Activos[[#This Row],[CODIGO]],Tabla_Items_Completos[[CODIGO]:[LINEA]],4,0)</f>
        <v>#N/A</v>
      </c>
      <c r="F1048">
        <v>280</v>
      </c>
      <c r="G1048">
        <v>0</v>
      </c>
    </row>
    <row r="1049" spans="1:7">
      <c r="A1049" t="s">
        <v>7388</v>
      </c>
      <c r="B1049" t="s">
        <v>8436</v>
      </c>
      <c r="C1049" s="1" t="e">
        <f>VLOOKUP(Tabla_Items_Activos[[#This Row],[CODIGO]],Tabla_Items_Completos[[CODIGO]:[LINEA]],2,0)</f>
        <v>#N/A</v>
      </c>
      <c r="D1049" s="1" t="e">
        <f>VLOOKUP(Tabla_Items_Activos[[#This Row],[CODIGO]],Tabla_Items_Completos[[CODIGO]:[LINEA]],3,0)</f>
        <v>#N/A</v>
      </c>
      <c r="E1049" s="1" t="e">
        <f>VLOOKUP(Tabla_Items_Activos[[#This Row],[CODIGO]],Tabla_Items_Completos[[CODIGO]:[LINEA]],4,0)</f>
        <v>#N/A</v>
      </c>
      <c r="F1049">
        <v>585</v>
      </c>
      <c r="G1049">
        <v>300</v>
      </c>
    </row>
    <row r="1050" spans="1:7">
      <c r="A1050" t="s">
        <v>7388</v>
      </c>
      <c r="B1050" t="s">
        <v>8437</v>
      </c>
      <c r="C1050" s="1" t="e">
        <f>VLOOKUP(Tabla_Items_Activos[[#This Row],[CODIGO]],Tabla_Items_Completos[[CODIGO]:[LINEA]],2,0)</f>
        <v>#N/A</v>
      </c>
      <c r="D1050" s="1" t="e">
        <f>VLOOKUP(Tabla_Items_Activos[[#This Row],[CODIGO]],Tabla_Items_Completos[[CODIGO]:[LINEA]],3,0)</f>
        <v>#N/A</v>
      </c>
      <c r="E1050" s="1" t="e">
        <f>VLOOKUP(Tabla_Items_Activos[[#This Row],[CODIGO]],Tabla_Items_Completos[[CODIGO]:[LINEA]],4,0)</f>
        <v>#N/A</v>
      </c>
      <c r="F1050">
        <v>533</v>
      </c>
      <c r="G1050">
        <v>197</v>
      </c>
    </row>
    <row r="1051" spans="1:7">
      <c r="A1051" t="s">
        <v>7388</v>
      </c>
      <c r="B1051" t="s">
        <v>8438</v>
      </c>
      <c r="C1051" s="1" t="e">
        <f>VLOOKUP(Tabla_Items_Activos[[#This Row],[CODIGO]],Tabla_Items_Completos[[CODIGO]:[LINEA]],2,0)</f>
        <v>#N/A</v>
      </c>
      <c r="D1051" s="1" t="e">
        <f>VLOOKUP(Tabla_Items_Activos[[#This Row],[CODIGO]],Tabla_Items_Completos[[CODIGO]:[LINEA]],3,0)</f>
        <v>#N/A</v>
      </c>
      <c r="E1051" s="1" t="e">
        <f>VLOOKUP(Tabla_Items_Activos[[#This Row],[CODIGO]],Tabla_Items_Completos[[CODIGO]:[LINEA]],4,0)</f>
        <v>#N/A</v>
      </c>
      <c r="F1051">
        <v>500</v>
      </c>
      <c r="G1051">
        <v>551</v>
      </c>
    </row>
    <row r="1052" spans="1:7">
      <c r="A1052" t="s">
        <v>7388</v>
      </c>
      <c r="B1052" t="s">
        <v>8439</v>
      </c>
      <c r="C1052" s="1" t="e">
        <f>VLOOKUP(Tabla_Items_Activos[[#This Row],[CODIGO]],Tabla_Items_Completos[[CODIGO]:[LINEA]],2,0)</f>
        <v>#N/A</v>
      </c>
      <c r="D1052" s="1" t="e">
        <f>VLOOKUP(Tabla_Items_Activos[[#This Row],[CODIGO]],Tabla_Items_Completos[[CODIGO]:[LINEA]],3,0)</f>
        <v>#N/A</v>
      </c>
      <c r="E1052" s="1" t="e">
        <f>VLOOKUP(Tabla_Items_Activos[[#This Row],[CODIGO]],Tabla_Items_Completos[[CODIGO]:[LINEA]],4,0)</f>
        <v>#N/A</v>
      </c>
      <c r="F1052">
        <v>430</v>
      </c>
      <c r="G1052">
        <v>0</v>
      </c>
    </row>
    <row r="1053" spans="1:7">
      <c r="A1053" t="s">
        <v>7388</v>
      </c>
      <c r="B1053" t="s">
        <v>8440</v>
      </c>
      <c r="C1053" s="1" t="e">
        <f>VLOOKUP(Tabla_Items_Activos[[#This Row],[CODIGO]],Tabla_Items_Completos[[CODIGO]:[LINEA]],2,0)</f>
        <v>#N/A</v>
      </c>
      <c r="D1053" s="1" t="e">
        <f>VLOOKUP(Tabla_Items_Activos[[#This Row],[CODIGO]],Tabla_Items_Completos[[CODIGO]:[LINEA]],3,0)</f>
        <v>#N/A</v>
      </c>
      <c r="E1053" s="1" t="e">
        <f>VLOOKUP(Tabla_Items_Activos[[#This Row],[CODIGO]],Tabla_Items_Completos[[CODIGO]:[LINEA]],4,0)</f>
        <v>#N/A</v>
      </c>
      <c r="F1053">
        <v>1242</v>
      </c>
      <c r="G1053">
        <v>328</v>
      </c>
    </row>
    <row r="1054" spans="1:7">
      <c r="A1054" t="s">
        <v>7388</v>
      </c>
      <c r="B1054" t="s">
        <v>8441</v>
      </c>
      <c r="C1054" s="1" t="e">
        <f>VLOOKUP(Tabla_Items_Activos[[#This Row],[CODIGO]],Tabla_Items_Completos[[CODIGO]:[LINEA]],2,0)</f>
        <v>#N/A</v>
      </c>
      <c r="D1054" s="1" t="e">
        <f>VLOOKUP(Tabla_Items_Activos[[#This Row],[CODIGO]],Tabla_Items_Completos[[CODIGO]:[LINEA]],3,0)</f>
        <v>#N/A</v>
      </c>
      <c r="E1054" s="1" t="e">
        <f>VLOOKUP(Tabla_Items_Activos[[#This Row],[CODIGO]],Tabla_Items_Completos[[CODIGO]:[LINEA]],4,0)</f>
        <v>#N/A</v>
      </c>
      <c r="F1054">
        <v>5142</v>
      </c>
      <c r="G1054">
        <v>149</v>
      </c>
    </row>
    <row r="1055" spans="1:7">
      <c r="A1055" t="s">
        <v>7388</v>
      </c>
      <c r="B1055" t="s">
        <v>8442</v>
      </c>
      <c r="C1055" s="1" t="e">
        <f>VLOOKUP(Tabla_Items_Activos[[#This Row],[CODIGO]],Tabla_Items_Completos[[CODIGO]:[LINEA]],2,0)</f>
        <v>#N/A</v>
      </c>
      <c r="D1055" s="1" t="e">
        <f>VLOOKUP(Tabla_Items_Activos[[#This Row],[CODIGO]],Tabla_Items_Completos[[CODIGO]:[LINEA]],3,0)</f>
        <v>#N/A</v>
      </c>
      <c r="E1055" s="1" t="e">
        <f>VLOOKUP(Tabla_Items_Activos[[#This Row],[CODIGO]],Tabla_Items_Completos[[CODIGO]:[LINEA]],4,0)</f>
        <v>#N/A</v>
      </c>
      <c r="F1055">
        <v>2589</v>
      </c>
      <c r="G1055">
        <v>0</v>
      </c>
    </row>
    <row r="1056" spans="1:7">
      <c r="A1056" t="s">
        <v>7388</v>
      </c>
      <c r="B1056" t="s">
        <v>8443</v>
      </c>
      <c r="C1056" s="1" t="e">
        <f>VLOOKUP(Tabla_Items_Activos[[#This Row],[CODIGO]],Tabla_Items_Completos[[CODIGO]:[LINEA]],2,0)</f>
        <v>#N/A</v>
      </c>
      <c r="D1056" s="1" t="e">
        <f>VLOOKUP(Tabla_Items_Activos[[#This Row],[CODIGO]],Tabla_Items_Completos[[CODIGO]:[LINEA]],3,0)</f>
        <v>#N/A</v>
      </c>
      <c r="E1056" s="1" t="e">
        <f>VLOOKUP(Tabla_Items_Activos[[#This Row],[CODIGO]],Tabla_Items_Completos[[CODIGO]:[LINEA]],4,0)</f>
        <v>#N/A</v>
      </c>
      <c r="F1056">
        <v>930</v>
      </c>
      <c r="G1056">
        <v>0</v>
      </c>
    </row>
    <row r="1057" spans="1:7">
      <c r="A1057" t="s">
        <v>7388</v>
      </c>
      <c r="B1057" t="s">
        <v>8444</v>
      </c>
      <c r="C1057" s="1" t="e">
        <f>VLOOKUP(Tabla_Items_Activos[[#This Row],[CODIGO]],Tabla_Items_Completos[[CODIGO]:[LINEA]],2,0)</f>
        <v>#N/A</v>
      </c>
      <c r="D1057" s="1" t="e">
        <f>VLOOKUP(Tabla_Items_Activos[[#This Row],[CODIGO]],Tabla_Items_Completos[[CODIGO]:[LINEA]],3,0)</f>
        <v>#N/A</v>
      </c>
      <c r="E1057" s="1" t="e">
        <f>VLOOKUP(Tabla_Items_Activos[[#This Row],[CODIGO]],Tabla_Items_Completos[[CODIGO]:[LINEA]],4,0)</f>
        <v>#N/A</v>
      </c>
      <c r="F1057">
        <v>2018</v>
      </c>
      <c r="G1057">
        <v>54</v>
      </c>
    </row>
    <row r="1058" spans="1:7">
      <c r="A1058" t="s">
        <v>7388</v>
      </c>
      <c r="B1058" t="s">
        <v>8445</v>
      </c>
      <c r="C1058" s="1" t="e">
        <f>VLOOKUP(Tabla_Items_Activos[[#This Row],[CODIGO]],Tabla_Items_Completos[[CODIGO]:[LINEA]],2,0)</f>
        <v>#N/A</v>
      </c>
      <c r="D1058" s="1" t="e">
        <f>VLOOKUP(Tabla_Items_Activos[[#This Row],[CODIGO]],Tabla_Items_Completos[[CODIGO]:[LINEA]],3,0)</f>
        <v>#N/A</v>
      </c>
      <c r="E1058" s="1" t="e">
        <f>VLOOKUP(Tabla_Items_Activos[[#This Row],[CODIGO]],Tabla_Items_Completos[[CODIGO]:[LINEA]],4,0)</f>
        <v>#N/A</v>
      </c>
      <c r="F1058">
        <v>150</v>
      </c>
      <c r="G1058">
        <v>0</v>
      </c>
    </row>
    <row r="1059" spans="1:7">
      <c r="A1059" t="s">
        <v>7388</v>
      </c>
      <c r="B1059" t="s">
        <v>8446</v>
      </c>
      <c r="C1059" s="1" t="e">
        <f>VLOOKUP(Tabla_Items_Activos[[#This Row],[CODIGO]],Tabla_Items_Completos[[CODIGO]:[LINEA]],2,0)</f>
        <v>#N/A</v>
      </c>
      <c r="D1059" s="1" t="e">
        <f>VLOOKUP(Tabla_Items_Activos[[#This Row],[CODIGO]],Tabla_Items_Completos[[CODIGO]:[LINEA]],3,0)</f>
        <v>#N/A</v>
      </c>
      <c r="E1059" s="1" t="e">
        <f>VLOOKUP(Tabla_Items_Activos[[#This Row],[CODIGO]],Tabla_Items_Completos[[CODIGO]:[LINEA]],4,0)</f>
        <v>#N/A</v>
      </c>
      <c r="F1059">
        <v>2413</v>
      </c>
      <c r="G1059">
        <v>0</v>
      </c>
    </row>
    <row r="1060" spans="1:7">
      <c r="A1060" t="s">
        <v>7388</v>
      </c>
      <c r="B1060" t="s">
        <v>8447</v>
      </c>
      <c r="C1060" s="1" t="e">
        <f>VLOOKUP(Tabla_Items_Activos[[#This Row],[CODIGO]],Tabla_Items_Completos[[CODIGO]:[LINEA]],2,0)</f>
        <v>#N/A</v>
      </c>
      <c r="D1060" s="1" t="e">
        <f>VLOOKUP(Tabla_Items_Activos[[#This Row],[CODIGO]],Tabla_Items_Completos[[CODIGO]:[LINEA]],3,0)</f>
        <v>#N/A</v>
      </c>
      <c r="E1060" s="1" t="e">
        <f>VLOOKUP(Tabla_Items_Activos[[#This Row],[CODIGO]],Tabla_Items_Completos[[CODIGO]:[LINEA]],4,0)</f>
        <v>#N/A</v>
      </c>
      <c r="F1060">
        <v>6936</v>
      </c>
      <c r="G1060">
        <v>0</v>
      </c>
    </row>
    <row r="1061" spans="1:7">
      <c r="A1061" t="s">
        <v>7388</v>
      </c>
      <c r="B1061" t="s">
        <v>8448</v>
      </c>
      <c r="C1061" s="1" t="e">
        <f>VLOOKUP(Tabla_Items_Activos[[#This Row],[CODIGO]],Tabla_Items_Completos[[CODIGO]:[LINEA]],2,0)</f>
        <v>#N/A</v>
      </c>
      <c r="D1061" s="1" t="e">
        <f>VLOOKUP(Tabla_Items_Activos[[#This Row],[CODIGO]],Tabla_Items_Completos[[CODIGO]:[LINEA]],3,0)</f>
        <v>#N/A</v>
      </c>
      <c r="E1061" s="1" t="e">
        <f>VLOOKUP(Tabla_Items_Activos[[#This Row],[CODIGO]],Tabla_Items_Completos[[CODIGO]:[LINEA]],4,0)</f>
        <v>#N/A</v>
      </c>
      <c r="F1061">
        <v>1925</v>
      </c>
      <c r="G1061">
        <v>377</v>
      </c>
    </row>
    <row r="1062" spans="1:7">
      <c r="A1062" t="s">
        <v>7388</v>
      </c>
      <c r="B1062" t="s">
        <v>8449</v>
      </c>
      <c r="C1062" s="1" t="e">
        <f>VLOOKUP(Tabla_Items_Activos[[#This Row],[CODIGO]],Tabla_Items_Completos[[CODIGO]:[LINEA]],2,0)</f>
        <v>#N/A</v>
      </c>
      <c r="D1062" s="1" t="e">
        <f>VLOOKUP(Tabla_Items_Activos[[#This Row],[CODIGO]],Tabla_Items_Completos[[CODIGO]:[LINEA]],3,0)</f>
        <v>#N/A</v>
      </c>
      <c r="E1062" s="1" t="e">
        <f>VLOOKUP(Tabla_Items_Activos[[#This Row],[CODIGO]],Tabla_Items_Completos[[CODIGO]:[LINEA]],4,0)</f>
        <v>#N/A</v>
      </c>
      <c r="F1062">
        <v>455</v>
      </c>
      <c r="G1062">
        <v>0</v>
      </c>
    </row>
    <row r="1063" spans="1:7">
      <c r="A1063" t="s">
        <v>7388</v>
      </c>
      <c r="B1063" t="s">
        <v>8450</v>
      </c>
      <c r="C1063" s="1" t="e">
        <f>VLOOKUP(Tabla_Items_Activos[[#This Row],[CODIGO]],Tabla_Items_Completos[[CODIGO]:[LINEA]],2,0)</f>
        <v>#N/A</v>
      </c>
      <c r="D1063" s="1" t="e">
        <f>VLOOKUP(Tabla_Items_Activos[[#This Row],[CODIGO]],Tabla_Items_Completos[[CODIGO]:[LINEA]],3,0)</f>
        <v>#N/A</v>
      </c>
      <c r="E1063" s="1" t="e">
        <f>VLOOKUP(Tabla_Items_Activos[[#This Row],[CODIGO]],Tabla_Items_Completos[[CODIGO]:[LINEA]],4,0)</f>
        <v>#N/A</v>
      </c>
      <c r="F1063">
        <v>1302</v>
      </c>
      <c r="G1063">
        <v>490</v>
      </c>
    </row>
    <row r="1064" spans="1:7">
      <c r="A1064" t="s">
        <v>7388</v>
      </c>
      <c r="B1064" t="s">
        <v>8451</v>
      </c>
      <c r="C1064" s="1" t="e">
        <f>VLOOKUP(Tabla_Items_Activos[[#This Row],[CODIGO]],Tabla_Items_Completos[[CODIGO]:[LINEA]],2,0)</f>
        <v>#N/A</v>
      </c>
      <c r="D1064" s="1" t="e">
        <f>VLOOKUP(Tabla_Items_Activos[[#This Row],[CODIGO]],Tabla_Items_Completos[[CODIGO]:[LINEA]],3,0)</f>
        <v>#N/A</v>
      </c>
      <c r="E1064" s="1" t="e">
        <f>VLOOKUP(Tabla_Items_Activos[[#This Row],[CODIGO]],Tabla_Items_Completos[[CODIGO]:[LINEA]],4,0)</f>
        <v>#N/A</v>
      </c>
      <c r="F1064">
        <v>590</v>
      </c>
      <c r="G1064">
        <v>197</v>
      </c>
    </row>
    <row r="1065" spans="1:7">
      <c r="A1065" t="s">
        <v>7388</v>
      </c>
      <c r="B1065" t="s">
        <v>8452</v>
      </c>
      <c r="C1065" s="1" t="e">
        <f>VLOOKUP(Tabla_Items_Activos[[#This Row],[CODIGO]],Tabla_Items_Completos[[CODIGO]:[LINEA]],2,0)</f>
        <v>#N/A</v>
      </c>
      <c r="D1065" s="1" t="e">
        <f>VLOOKUP(Tabla_Items_Activos[[#This Row],[CODIGO]],Tabla_Items_Completos[[CODIGO]:[LINEA]],3,0)</f>
        <v>#N/A</v>
      </c>
      <c r="E1065" s="1" t="e">
        <f>VLOOKUP(Tabla_Items_Activos[[#This Row],[CODIGO]],Tabla_Items_Completos[[CODIGO]:[LINEA]],4,0)</f>
        <v>#N/A</v>
      </c>
      <c r="F1065">
        <v>376</v>
      </c>
      <c r="G1065">
        <v>256</v>
      </c>
    </row>
    <row r="1066" spans="1:7">
      <c r="A1066" t="s">
        <v>7388</v>
      </c>
      <c r="B1066" t="s">
        <v>8453</v>
      </c>
      <c r="C1066" s="1" t="e">
        <f>VLOOKUP(Tabla_Items_Activos[[#This Row],[CODIGO]],Tabla_Items_Completos[[CODIGO]:[LINEA]],2,0)</f>
        <v>#N/A</v>
      </c>
      <c r="D1066" s="1" t="e">
        <f>VLOOKUP(Tabla_Items_Activos[[#This Row],[CODIGO]],Tabla_Items_Completos[[CODIGO]:[LINEA]],3,0)</f>
        <v>#N/A</v>
      </c>
      <c r="E1066" s="1" t="e">
        <f>VLOOKUP(Tabla_Items_Activos[[#This Row],[CODIGO]],Tabla_Items_Completos[[CODIGO]:[LINEA]],4,0)</f>
        <v>#N/A</v>
      </c>
      <c r="F1066">
        <v>848</v>
      </c>
      <c r="G1066">
        <v>505</v>
      </c>
    </row>
    <row r="1067" spans="1:7">
      <c r="A1067" t="s">
        <v>7388</v>
      </c>
      <c r="B1067" t="s">
        <v>8454</v>
      </c>
      <c r="C1067" s="1" t="e">
        <f>VLOOKUP(Tabla_Items_Activos[[#This Row],[CODIGO]],Tabla_Items_Completos[[CODIGO]:[LINEA]],2,0)</f>
        <v>#N/A</v>
      </c>
      <c r="D1067" s="1" t="e">
        <f>VLOOKUP(Tabla_Items_Activos[[#This Row],[CODIGO]],Tabla_Items_Completos[[CODIGO]:[LINEA]],3,0)</f>
        <v>#N/A</v>
      </c>
      <c r="E1067" s="1" t="e">
        <f>VLOOKUP(Tabla_Items_Activos[[#This Row],[CODIGO]],Tabla_Items_Completos[[CODIGO]:[LINEA]],4,0)</f>
        <v>#N/A</v>
      </c>
      <c r="F1067">
        <v>569</v>
      </c>
      <c r="G1067">
        <v>561</v>
      </c>
    </row>
    <row r="1068" spans="1:7">
      <c r="A1068" t="s">
        <v>7388</v>
      </c>
      <c r="B1068" t="s">
        <v>8455</v>
      </c>
      <c r="C1068" s="1" t="e">
        <f>VLOOKUP(Tabla_Items_Activos[[#This Row],[CODIGO]],Tabla_Items_Completos[[CODIGO]:[LINEA]],2,0)</f>
        <v>#N/A</v>
      </c>
      <c r="D1068" s="1" t="e">
        <f>VLOOKUP(Tabla_Items_Activos[[#This Row],[CODIGO]],Tabla_Items_Completos[[CODIGO]:[LINEA]],3,0)</f>
        <v>#N/A</v>
      </c>
      <c r="E1068" s="1" t="e">
        <f>VLOOKUP(Tabla_Items_Activos[[#This Row],[CODIGO]],Tabla_Items_Completos[[CODIGO]:[LINEA]],4,0)</f>
        <v>#N/A</v>
      </c>
      <c r="F1068">
        <v>922</v>
      </c>
      <c r="G1068">
        <v>472</v>
      </c>
    </row>
    <row r="1069" spans="1:7">
      <c r="A1069" t="s">
        <v>7388</v>
      </c>
      <c r="B1069" t="s">
        <v>8456</v>
      </c>
      <c r="C1069" s="1" t="e">
        <f>VLOOKUP(Tabla_Items_Activos[[#This Row],[CODIGO]],Tabla_Items_Completos[[CODIGO]:[LINEA]],2,0)</f>
        <v>#N/A</v>
      </c>
      <c r="D1069" s="1" t="e">
        <f>VLOOKUP(Tabla_Items_Activos[[#This Row],[CODIGO]],Tabla_Items_Completos[[CODIGO]:[LINEA]],3,0)</f>
        <v>#N/A</v>
      </c>
      <c r="E1069" s="1" t="e">
        <f>VLOOKUP(Tabla_Items_Activos[[#This Row],[CODIGO]],Tabla_Items_Completos[[CODIGO]:[LINEA]],4,0)</f>
        <v>#N/A</v>
      </c>
      <c r="F1069">
        <v>1177</v>
      </c>
      <c r="G1069">
        <v>894</v>
      </c>
    </row>
    <row r="1070" spans="1:7">
      <c r="A1070" t="s">
        <v>7388</v>
      </c>
      <c r="B1070" t="s">
        <v>8457</v>
      </c>
      <c r="C1070" s="1" t="e">
        <f>VLOOKUP(Tabla_Items_Activos[[#This Row],[CODIGO]],Tabla_Items_Completos[[CODIGO]:[LINEA]],2,0)</f>
        <v>#N/A</v>
      </c>
      <c r="D1070" s="1" t="e">
        <f>VLOOKUP(Tabla_Items_Activos[[#This Row],[CODIGO]],Tabla_Items_Completos[[CODIGO]:[LINEA]],3,0)</f>
        <v>#N/A</v>
      </c>
      <c r="E1070" s="1" t="e">
        <f>VLOOKUP(Tabla_Items_Activos[[#This Row],[CODIGO]],Tabla_Items_Completos[[CODIGO]:[LINEA]],4,0)</f>
        <v>#N/A</v>
      </c>
      <c r="F1070">
        <v>819</v>
      </c>
      <c r="G1070">
        <v>773</v>
      </c>
    </row>
    <row r="1071" spans="1:7">
      <c r="A1071" t="s">
        <v>7388</v>
      </c>
      <c r="B1071" t="s">
        <v>8458</v>
      </c>
      <c r="C1071" s="1" t="e">
        <f>VLOOKUP(Tabla_Items_Activos[[#This Row],[CODIGO]],Tabla_Items_Completos[[CODIGO]:[LINEA]],2,0)</f>
        <v>#N/A</v>
      </c>
      <c r="D1071" s="1" t="e">
        <f>VLOOKUP(Tabla_Items_Activos[[#This Row],[CODIGO]],Tabla_Items_Completos[[CODIGO]:[LINEA]],3,0)</f>
        <v>#N/A</v>
      </c>
      <c r="E1071" s="1" t="e">
        <f>VLOOKUP(Tabla_Items_Activos[[#This Row],[CODIGO]],Tabla_Items_Completos[[CODIGO]:[LINEA]],4,0)</f>
        <v>#N/A</v>
      </c>
      <c r="F1071">
        <v>1463</v>
      </c>
      <c r="G1071">
        <v>879</v>
      </c>
    </row>
    <row r="1072" spans="1:7">
      <c r="A1072" t="s">
        <v>7388</v>
      </c>
      <c r="B1072" t="s">
        <v>8459</v>
      </c>
      <c r="C1072" s="1" t="e">
        <f>VLOOKUP(Tabla_Items_Activos[[#This Row],[CODIGO]],Tabla_Items_Completos[[CODIGO]:[LINEA]],2,0)</f>
        <v>#N/A</v>
      </c>
      <c r="D1072" s="1" t="e">
        <f>VLOOKUP(Tabla_Items_Activos[[#This Row],[CODIGO]],Tabla_Items_Completos[[CODIGO]:[LINEA]],3,0)</f>
        <v>#N/A</v>
      </c>
      <c r="E1072" s="1" t="e">
        <f>VLOOKUP(Tabla_Items_Activos[[#This Row],[CODIGO]],Tabla_Items_Completos[[CODIGO]:[LINEA]],4,0)</f>
        <v>#N/A</v>
      </c>
      <c r="F1072">
        <v>1805</v>
      </c>
      <c r="G1072">
        <v>932</v>
      </c>
    </row>
    <row r="1073" spans="1:7">
      <c r="A1073" t="s">
        <v>7388</v>
      </c>
      <c r="B1073" t="s">
        <v>8460</v>
      </c>
      <c r="C1073" s="1" t="e">
        <f>VLOOKUP(Tabla_Items_Activos[[#This Row],[CODIGO]],Tabla_Items_Completos[[CODIGO]:[LINEA]],2,0)</f>
        <v>#N/A</v>
      </c>
      <c r="D1073" s="1" t="e">
        <f>VLOOKUP(Tabla_Items_Activos[[#This Row],[CODIGO]],Tabla_Items_Completos[[CODIGO]:[LINEA]],3,0)</f>
        <v>#N/A</v>
      </c>
      <c r="E1073" s="1" t="e">
        <f>VLOOKUP(Tabla_Items_Activos[[#This Row],[CODIGO]],Tabla_Items_Completos[[CODIGO]:[LINEA]],4,0)</f>
        <v>#N/A</v>
      </c>
      <c r="F1073">
        <v>467</v>
      </c>
      <c r="G1073">
        <v>76</v>
      </c>
    </row>
    <row r="1074" spans="1:7">
      <c r="A1074" t="s">
        <v>7388</v>
      </c>
      <c r="B1074" t="s">
        <v>8461</v>
      </c>
      <c r="C1074" s="1" t="e">
        <f>VLOOKUP(Tabla_Items_Activos[[#This Row],[CODIGO]],Tabla_Items_Completos[[CODIGO]:[LINEA]],2,0)</f>
        <v>#N/A</v>
      </c>
      <c r="D1074" s="1" t="e">
        <f>VLOOKUP(Tabla_Items_Activos[[#This Row],[CODIGO]],Tabla_Items_Completos[[CODIGO]:[LINEA]],3,0)</f>
        <v>#N/A</v>
      </c>
      <c r="E1074" s="1" t="e">
        <f>VLOOKUP(Tabla_Items_Activos[[#This Row],[CODIGO]],Tabla_Items_Completos[[CODIGO]:[LINEA]],4,0)</f>
        <v>#N/A</v>
      </c>
      <c r="F1074">
        <v>358</v>
      </c>
      <c r="G1074">
        <v>686</v>
      </c>
    </row>
    <row r="1075" spans="1:7">
      <c r="A1075" t="s">
        <v>7388</v>
      </c>
      <c r="B1075" t="s">
        <v>8462</v>
      </c>
      <c r="C1075" s="1" t="e">
        <f>VLOOKUP(Tabla_Items_Activos[[#This Row],[CODIGO]],Tabla_Items_Completos[[CODIGO]:[LINEA]],2,0)</f>
        <v>#N/A</v>
      </c>
      <c r="D1075" s="1" t="e">
        <f>VLOOKUP(Tabla_Items_Activos[[#This Row],[CODIGO]],Tabla_Items_Completos[[CODIGO]:[LINEA]],3,0)</f>
        <v>#N/A</v>
      </c>
      <c r="E1075" s="1" t="e">
        <f>VLOOKUP(Tabla_Items_Activos[[#This Row],[CODIGO]],Tabla_Items_Completos[[CODIGO]:[LINEA]],4,0)</f>
        <v>#N/A</v>
      </c>
      <c r="F1075">
        <v>50</v>
      </c>
      <c r="G1075">
        <v>149</v>
      </c>
    </row>
    <row r="1076" spans="1:7">
      <c r="A1076" t="s">
        <v>7388</v>
      </c>
      <c r="B1076" t="s">
        <v>8463</v>
      </c>
      <c r="C1076" s="1" t="e">
        <f>VLOOKUP(Tabla_Items_Activos[[#This Row],[CODIGO]],Tabla_Items_Completos[[CODIGO]:[LINEA]],2,0)</f>
        <v>#N/A</v>
      </c>
      <c r="D1076" s="1" t="e">
        <f>VLOOKUP(Tabla_Items_Activos[[#This Row],[CODIGO]],Tabla_Items_Completos[[CODIGO]:[LINEA]],3,0)</f>
        <v>#N/A</v>
      </c>
      <c r="E1076" s="1" t="e">
        <f>VLOOKUP(Tabla_Items_Activos[[#This Row],[CODIGO]],Tabla_Items_Completos[[CODIGO]:[LINEA]],4,0)</f>
        <v>#N/A</v>
      </c>
      <c r="F1076">
        <v>23</v>
      </c>
      <c r="G1076">
        <v>174</v>
      </c>
    </row>
    <row r="1077" spans="1:7">
      <c r="A1077" t="s">
        <v>7388</v>
      </c>
      <c r="B1077" t="s">
        <v>8464</v>
      </c>
      <c r="C1077" s="1" t="e">
        <f>VLOOKUP(Tabla_Items_Activos[[#This Row],[CODIGO]],Tabla_Items_Completos[[CODIGO]:[LINEA]],2,0)</f>
        <v>#N/A</v>
      </c>
      <c r="D1077" s="1" t="e">
        <f>VLOOKUP(Tabla_Items_Activos[[#This Row],[CODIGO]],Tabla_Items_Completos[[CODIGO]:[LINEA]],3,0)</f>
        <v>#N/A</v>
      </c>
      <c r="E1077" s="1" t="e">
        <f>VLOOKUP(Tabla_Items_Activos[[#This Row],[CODIGO]],Tabla_Items_Completos[[CODIGO]:[LINEA]],4,0)</f>
        <v>#N/A</v>
      </c>
      <c r="F1077">
        <v>400</v>
      </c>
      <c r="G1077">
        <v>335</v>
      </c>
    </row>
    <row r="1078" spans="1:7">
      <c r="A1078" t="s">
        <v>7388</v>
      </c>
      <c r="B1078" t="s">
        <v>8465</v>
      </c>
      <c r="C1078" s="1" t="e">
        <f>VLOOKUP(Tabla_Items_Activos[[#This Row],[CODIGO]],Tabla_Items_Completos[[CODIGO]:[LINEA]],2,0)</f>
        <v>#N/A</v>
      </c>
      <c r="D1078" s="1" t="e">
        <f>VLOOKUP(Tabla_Items_Activos[[#This Row],[CODIGO]],Tabla_Items_Completos[[CODIGO]:[LINEA]],3,0)</f>
        <v>#N/A</v>
      </c>
      <c r="E1078" s="1" t="e">
        <f>VLOOKUP(Tabla_Items_Activos[[#This Row],[CODIGO]],Tabla_Items_Completos[[CODIGO]:[LINEA]],4,0)</f>
        <v>#N/A</v>
      </c>
      <c r="F1078">
        <v>79</v>
      </c>
      <c r="G1078">
        <v>28</v>
      </c>
    </row>
    <row r="1079" spans="1:7">
      <c r="A1079" t="s">
        <v>7388</v>
      </c>
      <c r="B1079" t="s">
        <v>8466</v>
      </c>
      <c r="C1079" s="1" t="e">
        <f>VLOOKUP(Tabla_Items_Activos[[#This Row],[CODIGO]],Tabla_Items_Completos[[CODIGO]:[LINEA]],2,0)</f>
        <v>#N/A</v>
      </c>
      <c r="D1079" s="1" t="e">
        <f>VLOOKUP(Tabla_Items_Activos[[#This Row],[CODIGO]],Tabla_Items_Completos[[CODIGO]:[LINEA]],3,0)</f>
        <v>#N/A</v>
      </c>
      <c r="E1079" s="1" t="e">
        <f>VLOOKUP(Tabla_Items_Activos[[#This Row],[CODIGO]],Tabla_Items_Completos[[CODIGO]:[LINEA]],4,0)</f>
        <v>#N/A</v>
      </c>
      <c r="F1079">
        <v>65</v>
      </c>
      <c r="G1079">
        <v>71</v>
      </c>
    </row>
    <row r="1080" spans="1:7">
      <c r="A1080" t="s">
        <v>7388</v>
      </c>
      <c r="B1080" t="s">
        <v>8467</v>
      </c>
      <c r="C1080" s="1" t="e">
        <f>VLOOKUP(Tabla_Items_Activos[[#This Row],[CODIGO]],Tabla_Items_Completos[[CODIGO]:[LINEA]],2,0)</f>
        <v>#N/A</v>
      </c>
      <c r="D1080" s="1" t="e">
        <f>VLOOKUP(Tabla_Items_Activos[[#This Row],[CODIGO]],Tabla_Items_Completos[[CODIGO]:[LINEA]],3,0)</f>
        <v>#N/A</v>
      </c>
      <c r="E1080" s="1" t="e">
        <f>VLOOKUP(Tabla_Items_Activos[[#This Row],[CODIGO]],Tabla_Items_Completos[[CODIGO]:[LINEA]],4,0)</f>
        <v>#N/A</v>
      </c>
      <c r="F1080">
        <v>61</v>
      </c>
      <c r="G1080">
        <v>114</v>
      </c>
    </row>
    <row r="1081" spans="1:7">
      <c r="A1081" t="s">
        <v>7388</v>
      </c>
      <c r="B1081" t="s">
        <v>8468</v>
      </c>
      <c r="C1081" s="1" t="e">
        <f>VLOOKUP(Tabla_Items_Activos[[#This Row],[CODIGO]],Tabla_Items_Completos[[CODIGO]:[LINEA]],2,0)</f>
        <v>#N/A</v>
      </c>
      <c r="D1081" s="1" t="e">
        <f>VLOOKUP(Tabla_Items_Activos[[#This Row],[CODIGO]],Tabla_Items_Completos[[CODIGO]:[LINEA]],3,0)</f>
        <v>#N/A</v>
      </c>
      <c r="E1081" s="1" t="e">
        <f>VLOOKUP(Tabla_Items_Activos[[#This Row],[CODIGO]],Tabla_Items_Completos[[CODIGO]:[LINEA]],4,0)</f>
        <v>#N/A</v>
      </c>
      <c r="F1081">
        <v>124</v>
      </c>
      <c r="G1081">
        <v>151</v>
      </c>
    </row>
    <row r="1082" spans="1:7">
      <c r="A1082" t="s">
        <v>7388</v>
      </c>
      <c r="B1082" t="s">
        <v>8469</v>
      </c>
      <c r="C1082" s="1" t="e">
        <f>VLOOKUP(Tabla_Items_Activos[[#This Row],[CODIGO]],Tabla_Items_Completos[[CODIGO]:[LINEA]],2,0)</f>
        <v>#N/A</v>
      </c>
      <c r="D1082" s="1" t="e">
        <f>VLOOKUP(Tabla_Items_Activos[[#This Row],[CODIGO]],Tabla_Items_Completos[[CODIGO]:[LINEA]],3,0)</f>
        <v>#N/A</v>
      </c>
      <c r="E1082" s="1" t="e">
        <f>VLOOKUP(Tabla_Items_Activos[[#This Row],[CODIGO]],Tabla_Items_Completos[[CODIGO]:[LINEA]],4,0)</f>
        <v>#N/A</v>
      </c>
      <c r="F1082">
        <v>1346</v>
      </c>
      <c r="G1082">
        <v>1573</v>
      </c>
    </row>
    <row r="1083" spans="1:7">
      <c r="A1083" t="s">
        <v>7388</v>
      </c>
      <c r="B1083" t="s">
        <v>8470</v>
      </c>
      <c r="C1083" s="1" t="e">
        <f>VLOOKUP(Tabla_Items_Activos[[#This Row],[CODIGO]],Tabla_Items_Completos[[CODIGO]:[LINEA]],2,0)</f>
        <v>#N/A</v>
      </c>
      <c r="D1083" s="1" t="e">
        <f>VLOOKUP(Tabla_Items_Activos[[#This Row],[CODIGO]],Tabla_Items_Completos[[CODIGO]:[LINEA]],3,0)</f>
        <v>#N/A</v>
      </c>
      <c r="E1083" s="1" t="e">
        <f>VLOOKUP(Tabla_Items_Activos[[#This Row],[CODIGO]],Tabla_Items_Completos[[CODIGO]:[LINEA]],4,0)</f>
        <v>#N/A</v>
      </c>
      <c r="F1083">
        <v>517</v>
      </c>
      <c r="G1083">
        <v>676</v>
      </c>
    </row>
    <row r="1084" spans="1:7">
      <c r="A1084" t="s">
        <v>7388</v>
      </c>
      <c r="B1084" t="s">
        <v>8471</v>
      </c>
      <c r="C1084" s="1" t="e">
        <f>VLOOKUP(Tabla_Items_Activos[[#This Row],[CODIGO]],Tabla_Items_Completos[[CODIGO]:[LINEA]],2,0)</f>
        <v>#N/A</v>
      </c>
      <c r="D1084" s="1" t="e">
        <f>VLOOKUP(Tabla_Items_Activos[[#This Row],[CODIGO]],Tabla_Items_Completos[[CODIGO]:[LINEA]],3,0)</f>
        <v>#N/A</v>
      </c>
      <c r="E1084" s="1" t="e">
        <f>VLOOKUP(Tabla_Items_Activos[[#This Row],[CODIGO]],Tabla_Items_Completos[[CODIGO]:[LINEA]],4,0)</f>
        <v>#N/A</v>
      </c>
      <c r="F1084">
        <v>333</v>
      </c>
      <c r="G1084">
        <v>189</v>
      </c>
    </row>
    <row r="1085" spans="1:7">
      <c r="A1085" t="s">
        <v>7388</v>
      </c>
      <c r="B1085" t="s">
        <v>8472</v>
      </c>
      <c r="C1085" s="1" t="e">
        <f>VLOOKUP(Tabla_Items_Activos[[#This Row],[CODIGO]],Tabla_Items_Completos[[CODIGO]:[LINEA]],2,0)</f>
        <v>#N/A</v>
      </c>
      <c r="D1085" s="1" t="e">
        <f>VLOOKUP(Tabla_Items_Activos[[#This Row],[CODIGO]],Tabla_Items_Completos[[CODIGO]:[LINEA]],3,0)</f>
        <v>#N/A</v>
      </c>
      <c r="E1085" s="1" t="e">
        <f>VLOOKUP(Tabla_Items_Activos[[#This Row],[CODIGO]],Tabla_Items_Completos[[CODIGO]:[LINEA]],4,0)</f>
        <v>#N/A</v>
      </c>
      <c r="F1085">
        <v>233</v>
      </c>
      <c r="G1085">
        <v>205</v>
      </c>
    </row>
    <row r="1086" spans="1:7">
      <c r="A1086" t="s">
        <v>7388</v>
      </c>
      <c r="B1086" t="s">
        <v>8473</v>
      </c>
      <c r="C1086" s="1" t="e">
        <f>VLOOKUP(Tabla_Items_Activos[[#This Row],[CODIGO]],Tabla_Items_Completos[[CODIGO]:[LINEA]],2,0)</f>
        <v>#N/A</v>
      </c>
      <c r="D1086" s="1" t="e">
        <f>VLOOKUP(Tabla_Items_Activos[[#This Row],[CODIGO]],Tabla_Items_Completos[[CODIGO]:[LINEA]],3,0)</f>
        <v>#N/A</v>
      </c>
      <c r="E1086" s="1" t="e">
        <f>VLOOKUP(Tabla_Items_Activos[[#This Row],[CODIGO]],Tabla_Items_Completos[[CODIGO]:[LINEA]],4,0)</f>
        <v>#N/A</v>
      </c>
      <c r="F1086">
        <v>487</v>
      </c>
      <c r="G1086">
        <v>65</v>
      </c>
    </row>
    <row r="1087" spans="1:7">
      <c r="A1087" t="s">
        <v>7388</v>
      </c>
      <c r="B1087" t="s">
        <v>8474</v>
      </c>
      <c r="C1087" s="1" t="e">
        <f>VLOOKUP(Tabla_Items_Activos[[#This Row],[CODIGO]],Tabla_Items_Completos[[CODIGO]:[LINEA]],2,0)</f>
        <v>#N/A</v>
      </c>
      <c r="D1087" s="1" t="e">
        <f>VLOOKUP(Tabla_Items_Activos[[#This Row],[CODIGO]],Tabla_Items_Completos[[CODIGO]:[LINEA]],3,0)</f>
        <v>#N/A</v>
      </c>
      <c r="E1087" s="1" t="e">
        <f>VLOOKUP(Tabla_Items_Activos[[#This Row],[CODIGO]],Tabla_Items_Completos[[CODIGO]:[LINEA]],4,0)</f>
        <v>#N/A</v>
      </c>
      <c r="F1087">
        <v>45</v>
      </c>
      <c r="G1087">
        <v>134</v>
      </c>
    </row>
    <row r="1088" spans="1:7">
      <c r="A1088" t="s">
        <v>7388</v>
      </c>
      <c r="B1088" t="s">
        <v>8475</v>
      </c>
      <c r="C1088" s="1" t="e">
        <f>VLOOKUP(Tabla_Items_Activos[[#This Row],[CODIGO]],Tabla_Items_Completos[[CODIGO]:[LINEA]],2,0)</f>
        <v>#N/A</v>
      </c>
      <c r="D1088" s="1" t="e">
        <f>VLOOKUP(Tabla_Items_Activos[[#This Row],[CODIGO]],Tabla_Items_Completos[[CODIGO]:[LINEA]],3,0)</f>
        <v>#N/A</v>
      </c>
      <c r="E1088" s="1" t="e">
        <f>VLOOKUP(Tabla_Items_Activos[[#This Row],[CODIGO]],Tabla_Items_Completos[[CODIGO]:[LINEA]],4,0)</f>
        <v>#N/A</v>
      </c>
      <c r="F1088">
        <v>148</v>
      </c>
      <c r="G1088">
        <v>258</v>
      </c>
    </row>
    <row r="1089" spans="1:7">
      <c r="A1089" t="s">
        <v>7388</v>
      </c>
      <c r="B1089" t="s">
        <v>8476</v>
      </c>
      <c r="C1089" s="1" t="e">
        <f>VLOOKUP(Tabla_Items_Activos[[#This Row],[CODIGO]],Tabla_Items_Completos[[CODIGO]:[LINEA]],2,0)</f>
        <v>#N/A</v>
      </c>
      <c r="D1089" s="1" t="e">
        <f>VLOOKUP(Tabla_Items_Activos[[#This Row],[CODIGO]],Tabla_Items_Completos[[CODIGO]:[LINEA]],3,0)</f>
        <v>#N/A</v>
      </c>
      <c r="E1089" s="1" t="e">
        <f>VLOOKUP(Tabla_Items_Activos[[#This Row],[CODIGO]],Tabla_Items_Completos[[CODIGO]:[LINEA]],4,0)</f>
        <v>#N/A</v>
      </c>
      <c r="F1089">
        <v>209</v>
      </c>
      <c r="G1089">
        <v>333</v>
      </c>
    </row>
    <row r="1090" spans="1:7">
      <c r="A1090" t="s">
        <v>7388</v>
      </c>
      <c r="B1090" t="s">
        <v>8477</v>
      </c>
      <c r="C1090" s="1" t="e">
        <f>VLOOKUP(Tabla_Items_Activos[[#This Row],[CODIGO]],Tabla_Items_Completos[[CODIGO]:[LINEA]],2,0)</f>
        <v>#N/A</v>
      </c>
      <c r="D1090" s="1" t="e">
        <f>VLOOKUP(Tabla_Items_Activos[[#This Row],[CODIGO]],Tabla_Items_Completos[[CODIGO]:[LINEA]],3,0)</f>
        <v>#N/A</v>
      </c>
      <c r="E1090" s="1" t="e">
        <f>VLOOKUP(Tabla_Items_Activos[[#This Row],[CODIGO]],Tabla_Items_Completos[[CODIGO]:[LINEA]],4,0)</f>
        <v>#N/A</v>
      </c>
      <c r="F1090">
        <v>314</v>
      </c>
      <c r="G1090">
        <v>839</v>
      </c>
    </row>
    <row r="1091" spans="1:7">
      <c r="A1091" t="s">
        <v>7388</v>
      </c>
      <c r="B1091" t="s">
        <v>8478</v>
      </c>
      <c r="C1091" s="1" t="e">
        <f>VLOOKUP(Tabla_Items_Activos[[#This Row],[CODIGO]],Tabla_Items_Completos[[CODIGO]:[LINEA]],2,0)</f>
        <v>#N/A</v>
      </c>
      <c r="D1091" s="1" t="e">
        <f>VLOOKUP(Tabla_Items_Activos[[#This Row],[CODIGO]],Tabla_Items_Completos[[CODIGO]:[LINEA]],3,0)</f>
        <v>#N/A</v>
      </c>
      <c r="E1091" s="1" t="e">
        <f>VLOOKUP(Tabla_Items_Activos[[#This Row],[CODIGO]],Tabla_Items_Completos[[CODIGO]:[LINEA]],4,0)</f>
        <v>#N/A</v>
      </c>
      <c r="F1091">
        <v>153</v>
      </c>
      <c r="G1091">
        <v>153</v>
      </c>
    </row>
    <row r="1092" spans="1:7">
      <c r="A1092" t="s">
        <v>7388</v>
      </c>
      <c r="B1092" t="s">
        <v>8479</v>
      </c>
      <c r="C1092" s="1" t="e">
        <f>VLOOKUP(Tabla_Items_Activos[[#This Row],[CODIGO]],Tabla_Items_Completos[[CODIGO]:[LINEA]],2,0)</f>
        <v>#N/A</v>
      </c>
      <c r="D1092" s="1" t="e">
        <f>VLOOKUP(Tabla_Items_Activos[[#This Row],[CODIGO]],Tabla_Items_Completos[[CODIGO]:[LINEA]],3,0)</f>
        <v>#N/A</v>
      </c>
      <c r="E1092" s="1" t="e">
        <f>VLOOKUP(Tabla_Items_Activos[[#This Row],[CODIGO]],Tabla_Items_Completos[[CODIGO]:[LINEA]],4,0)</f>
        <v>#N/A</v>
      </c>
      <c r="F1092">
        <v>89</v>
      </c>
      <c r="G1092">
        <v>16</v>
      </c>
    </row>
    <row r="1093" spans="1:7">
      <c r="A1093" t="s">
        <v>7388</v>
      </c>
      <c r="B1093" t="s">
        <v>8480</v>
      </c>
      <c r="C1093" s="1" t="e">
        <f>VLOOKUP(Tabla_Items_Activos[[#This Row],[CODIGO]],Tabla_Items_Completos[[CODIGO]:[LINEA]],2,0)</f>
        <v>#N/A</v>
      </c>
      <c r="D1093" s="1" t="e">
        <f>VLOOKUP(Tabla_Items_Activos[[#This Row],[CODIGO]],Tabla_Items_Completos[[CODIGO]:[LINEA]],3,0)</f>
        <v>#N/A</v>
      </c>
      <c r="E1093" s="1" t="e">
        <f>VLOOKUP(Tabla_Items_Activos[[#This Row],[CODIGO]],Tabla_Items_Completos[[CODIGO]:[LINEA]],4,0)</f>
        <v>#N/A</v>
      </c>
      <c r="F1093">
        <v>85</v>
      </c>
      <c r="G1093">
        <v>23</v>
      </c>
    </row>
    <row r="1094" spans="1:7">
      <c r="A1094" t="s">
        <v>7388</v>
      </c>
      <c r="B1094" t="s">
        <v>8481</v>
      </c>
      <c r="C1094" s="1" t="e">
        <f>VLOOKUP(Tabla_Items_Activos[[#This Row],[CODIGO]],Tabla_Items_Completos[[CODIGO]:[LINEA]],2,0)</f>
        <v>#N/A</v>
      </c>
      <c r="D1094" s="1" t="e">
        <f>VLOOKUP(Tabla_Items_Activos[[#This Row],[CODIGO]],Tabla_Items_Completos[[CODIGO]:[LINEA]],3,0)</f>
        <v>#N/A</v>
      </c>
      <c r="E1094" s="1" t="e">
        <f>VLOOKUP(Tabla_Items_Activos[[#This Row],[CODIGO]],Tabla_Items_Completos[[CODIGO]:[LINEA]],4,0)</f>
        <v>#N/A</v>
      </c>
      <c r="F1094">
        <v>117</v>
      </c>
      <c r="G1094">
        <v>50</v>
      </c>
    </row>
    <row r="1095" spans="1:7">
      <c r="A1095" t="s">
        <v>7388</v>
      </c>
      <c r="B1095" t="s">
        <v>8482</v>
      </c>
      <c r="C1095" s="1" t="e">
        <f>VLOOKUP(Tabla_Items_Activos[[#This Row],[CODIGO]],Tabla_Items_Completos[[CODIGO]:[LINEA]],2,0)</f>
        <v>#N/A</v>
      </c>
      <c r="D1095" s="1" t="e">
        <f>VLOOKUP(Tabla_Items_Activos[[#This Row],[CODIGO]],Tabla_Items_Completos[[CODIGO]:[LINEA]],3,0)</f>
        <v>#N/A</v>
      </c>
      <c r="E1095" s="1" t="e">
        <f>VLOOKUP(Tabla_Items_Activos[[#This Row],[CODIGO]],Tabla_Items_Completos[[CODIGO]:[LINEA]],4,0)</f>
        <v>#N/A</v>
      </c>
      <c r="F1095">
        <v>457</v>
      </c>
      <c r="G1095">
        <v>300</v>
      </c>
    </row>
    <row r="1096" spans="1:7">
      <c r="A1096" t="s">
        <v>7388</v>
      </c>
      <c r="B1096" t="s">
        <v>8483</v>
      </c>
      <c r="C1096" s="1" t="e">
        <f>VLOOKUP(Tabla_Items_Activos[[#This Row],[CODIGO]],Tabla_Items_Completos[[CODIGO]:[LINEA]],2,0)</f>
        <v>#N/A</v>
      </c>
      <c r="D1096" s="1" t="e">
        <f>VLOOKUP(Tabla_Items_Activos[[#This Row],[CODIGO]],Tabla_Items_Completos[[CODIGO]:[LINEA]],3,0)</f>
        <v>#N/A</v>
      </c>
      <c r="E1096" s="1" t="e">
        <f>VLOOKUP(Tabla_Items_Activos[[#This Row],[CODIGO]],Tabla_Items_Completos[[CODIGO]:[LINEA]],4,0)</f>
        <v>#N/A</v>
      </c>
      <c r="F1096">
        <v>449</v>
      </c>
      <c r="G1096">
        <v>528</v>
      </c>
    </row>
    <row r="1097" spans="1:7">
      <c r="A1097" t="s">
        <v>7388</v>
      </c>
      <c r="B1097" t="s">
        <v>8484</v>
      </c>
      <c r="C1097" s="1" t="e">
        <f>VLOOKUP(Tabla_Items_Activos[[#This Row],[CODIGO]],Tabla_Items_Completos[[CODIGO]:[LINEA]],2,0)</f>
        <v>#N/A</v>
      </c>
      <c r="D1097" s="1" t="e">
        <f>VLOOKUP(Tabla_Items_Activos[[#This Row],[CODIGO]],Tabla_Items_Completos[[CODIGO]:[LINEA]],3,0)</f>
        <v>#N/A</v>
      </c>
      <c r="E1097" s="1" t="e">
        <f>VLOOKUP(Tabla_Items_Activos[[#This Row],[CODIGO]],Tabla_Items_Completos[[CODIGO]:[LINEA]],4,0)</f>
        <v>#N/A</v>
      </c>
      <c r="F1097">
        <v>105</v>
      </c>
      <c r="G1097">
        <v>74</v>
      </c>
    </row>
    <row r="1098" spans="1:7">
      <c r="A1098" t="s">
        <v>7388</v>
      </c>
      <c r="B1098" t="s">
        <v>8485</v>
      </c>
      <c r="C1098" s="1" t="e">
        <f>VLOOKUP(Tabla_Items_Activos[[#This Row],[CODIGO]],Tabla_Items_Completos[[CODIGO]:[LINEA]],2,0)</f>
        <v>#N/A</v>
      </c>
      <c r="D1098" s="1" t="e">
        <f>VLOOKUP(Tabla_Items_Activos[[#This Row],[CODIGO]],Tabla_Items_Completos[[CODIGO]:[LINEA]],3,0)</f>
        <v>#N/A</v>
      </c>
      <c r="E1098" s="1" t="e">
        <f>VLOOKUP(Tabla_Items_Activos[[#This Row],[CODIGO]],Tabla_Items_Completos[[CODIGO]:[LINEA]],4,0)</f>
        <v>#N/A</v>
      </c>
      <c r="F1098">
        <v>566</v>
      </c>
      <c r="G1098">
        <v>631</v>
      </c>
    </row>
    <row r="1099" spans="1:7">
      <c r="A1099" t="s">
        <v>7388</v>
      </c>
      <c r="B1099" t="s">
        <v>8486</v>
      </c>
      <c r="C1099" s="1" t="e">
        <f>VLOOKUP(Tabla_Items_Activos[[#This Row],[CODIGO]],Tabla_Items_Completos[[CODIGO]:[LINEA]],2,0)</f>
        <v>#N/A</v>
      </c>
      <c r="D1099" s="1" t="e">
        <f>VLOOKUP(Tabla_Items_Activos[[#This Row],[CODIGO]],Tabla_Items_Completos[[CODIGO]:[LINEA]],3,0)</f>
        <v>#N/A</v>
      </c>
      <c r="E1099" s="1" t="e">
        <f>VLOOKUP(Tabla_Items_Activos[[#This Row],[CODIGO]],Tabla_Items_Completos[[CODIGO]:[LINEA]],4,0)</f>
        <v>#N/A</v>
      </c>
      <c r="F1099">
        <v>137</v>
      </c>
      <c r="G1099">
        <v>210</v>
      </c>
    </row>
    <row r="1100" spans="1:7">
      <c r="A1100" t="s">
        <v>7388</v>
      </c>
      <c r="B1100" t="s">
        <v>8487</v>
      </c>
      <c r="C1100" s="1" t="e">
        <f>VLOOKUP(Tabla_Items_Activos[[#This Row],[CODIGO]],Tabla_Items_Completos[[CODIGO]:[LINEA]],2,0)</f>
        <v>#N/A</v>
      </c>
      <c r="D1100" s="1" t="e">
        <f>VLOOKUP(Tabla_Items_Activos[[#This Row],[CODIGO]],Tabla_Items_Completos[[CODIGO]:[LINEA]],3,0)</f>
        <v>#N/A</v>
      </c>
      <c r="E1100" s="1" t="e">
        <f>VLOOKUP(Tabla_Items_Activos[[#This Row],[CODIGO]],Tabla_Items_Completos[[CODIGO]:[LINEA]],4,0)</f>
        <v>#N/A</v>
      </c>
      <c r="F1100">
        <v>273</v>
      </c>
      <c r="G1100">
        <v>131</v>
      </c>
    </row>
    <row r="1101" spans="1:7">
      <c r="A1101" t="s">
        <v>7388</v>
      </c>
      <c r="B1101" t="s">
        <v>8488</v>
      </c>
      <c r="C1101" s="1" t="e">
        <f>VLOOKUP(Tabla_Items_Activos[[#This Row],[CODIGO]],Tabla_Items_Completos[[CODIGO]:[LINEA]],2,0)</f>
        <v>#N/A</v>
      </c>
      <c r="D1101" s="1" t="e">
        <f>VLOOKUP(Tabla_Items_Activos[[#This Row],[CODIGO]],Tabla_Items_Completos[[CODIGO]:[LINEA]],3,0)</f>
        <v>#N/A</v>
      </c>
      <c r="E1101" s="1" t="e">
        <f>VLOOKUP(Tabla_Items_Activos[[#This Row],[CODIGO]],Tabla_Items_Completos[[CODIGO]:[LINEA]],4,0)</f>
        <v>#N/A</v>
      </c>
      <c r="F1101">
        <v>370</v>
      </c>
      <c r="G1101">
        <v>514</v>
      </c>
    </row>
    <row r="1102" spans="1:7">
      <c r="A1102" t="s">
        <v>7388</v>
      </c>
      <c r="B1102" t="s">
        <v>8489</v>
      </c>
      <c r="C1102" s="1" t="e">
        <f>VLOOKUP(Tabla_Items_Activos[[#This Row],[CODIGO]],Tabla_Items_Completos[[CODIGO]:[LINEA]],2,0)</f>
        <v>#N/A</v>
      </c>
      <c r="D1102" s="1" t="e">
        <f>VLOOKUP(Tabla_Items_Activos[[#This Row],[CODIGO]],Tabla_Items_Completos[[CODIGO]:[LINEA]],3,0)</f>
        <v>#N/A</v>
      </c>
      <c r="E1102" s="1" t="e">
        <f>VLOOKUP(Tabla_Items_Activos[[#This Row],[CODIGO]],Tabla_Items_Completos[[CODIGO]:[LINEA]],4,0)</f>
        <v>#N/A</v>
      </c>
      <c r="F1102">
        <v>384</v>
      </c>
      <c r="G1102">
        <v>642</v>
      </c>
    </row>
    <row r="1103" spans="1:7">
      <c r="A1103" t="s">
        <v>7388</v>
      </c>
      <c r="B1103" t="s">
        <v>8490</v>
      </c>
      <c r="C1103" s="1" t="e">
        <f>VLOOKUP(Tabla_Items_Activos[[#This Row],[CODIGO]],Tabla_Items_Completos[[CODIGO]:[LINEA]],2,0)</f>
        <v>#N/A</v>
      </c>
      <c r="D1103" s="1" t="e">
        <f>VLOOKUP(Tabla_Items_Activos[[#This Row],[CODIGO]],Tabla_Items_Completos[[CODIGO]:[LINEA]],3,0)</f>
        <v>#N/A</v>
      </c>
      <c r="E1103" s="1" t="e">
        <f>VLOOKUP(Tabla_Items_Activos[[#This Row],[CODIGO]],Tabla_Items_Completos[[CODIGO]:[LINEA]],4,0)</f>
        <v>#N/A</v>
      </c>
      <c r="F1103">
        <v>94</v>
      </c>
      <c r="G1103">
        <v>0</v>
      </c>
    </row>
    <row r="1104" spans="1:7">
      <c r="A1104" t="s">
        <v>7388</v>
      </c>
      <c r="B1104" t="s">
        <v>8491</v>
      </c>
      <c r="C1104" s="1" t="e">
        <f>VLOOKUP(Tabla_Items_Activos[[#This Row],[CODIGO]],Tabla_Items_Completos[[CODIGO]:[LINEA]],2,0)</f>
        <v>#N/A</v>
      </c>
      <c r="D1104" s="1" t="e">
        <f>VLOOKUP(Tabla_Items_Activos[[#This Row],[CODIGO]],Tabla_Items_Completos[[CODIGO]:[LINEA]],3,0)</f>
        <v>#N/A</v>
      </c>
      <c r="E1104" s="1" t="e">
        <f>VLOOKUP(Tabla_Items_Activos[[#This Row],[CODIGO]],Tabla_Items_Completos[[CODIGO]:[LINEA]],4,0)</f>
        <v>#N/A</v>
      </c>
      <c r="F1104">
        <v>332</v>
      </c>
      <c r="G1104">
        <v>35</v>
      </c>
    </row>
    <row r="1105" spans="1:7">
      <c r="A1105" t="s">
        <v>7388</v>
      </c>
      <c r="B1105" t="s">
        <v>8492</v>
      </c>
      <c r="C1105" s="1" t="e">
        <f>VLOOKUP(Tabla_Items_Activos[[#This Row],[CODIGO]],Tabla_Items_Completos[[CODIGO]:[LINEA]],2,0)</f>
        <v>#N/A</v>
      </c>
      <c r="D1105" s="1" t="e">
        <f>VLOOKUP(Tabla_Items_Activos[[#This Row],[CODIGO]],Tabla_Items_Completos[[CODIGO]:[LINEA]],3,0)</f>
        <v>#N/A</v>
      </c>
      <c r="E1105" s="1" t="e">
        <f>VLOOKUP(Tabla_Items_Activos[[#This Row],[CODIGO]],Tabla_Items_Completos[[CODIGO]:[LINEA]],4,0)</f>
        <v>#N/A</v>
      </c>
      <c r="F1105">
        <v>93</v>
      </c>
      <c r="G1105">
        <v>178</v>
      </c>
    </row>
    <row r="1106" spans="1:7">
      <c r="A1106" t="s">
        <v>7388</v>
      </c>
      <c r="B1106" t="s">
        <v>8493</v>
      </c>
      <c r="C1106" s="1" t="e">
        <f>VLOOKUP(Tabla_Items_Activos[[#This Row],[CODIGO]],Tabla_Items_Completos[[CODIGO]:[LINEA]],2,0)</f>
        <v>#N/A</v>
      </c>
      <c r="D1106" s="1" t="e">
        <f>VLOOKUP(Tabla_Items_Activos[[#This Row],[CODIGO]],Tabla_Items_Completos[[CODIGO]:[LINEA]],3,0)</f>
        <v>#N/A</v>
      </c>
      <c r="E1106" s="1" t="e">
        <f>VLOOKUP(Tabla_Items_Activos[[#This Row],[CODIGO]],Tabla_Items_Completos[[CODIGO]:[LINEA]],4,0)</f>
        <v>#N/A</v>
      </c>
      <c r="F1106">
        <v>617</v>
      </c>
      <c r="G1106">
        <v>662</v>
      </c>
    </row>
    <row r="1107" spans="1:7">
      <c r="A1107" t="s">
        <v>7388</v>
      </c>
      <c r="B1107" t="s">
        <v>8494</v>
      </c>
      <c r="C1107" s="1" t="e">
        <f>VLOOKUP(Tabla_Items_Activos[[#This Row],[CODIGO]],Tabla_Items_Completos[[CODIGO]:[LINEA]],2,0)</f>
        <v>#N/A</v>
      </c>
      <c r="D1107" s="1" t="e">
        <f>VLOOKUP(Tabla_Items_Activos[[#This Row],[CODIGO]],Tabla_Items_Completos[[CODIGO]:[LINEA]],3,0)</f>
        <v>#N/A</v>
      </c>
      <c r="E1107" s="1" t="e">
        <f>VLOOKUP(Tabla_Items_Activos[[#This Row],[CODIGO]],Tabla_Items_Completos[[CODIGO]:[LINEA]],4,0)</f>
        <v>#N/A</v>
      </c>
      <c r="F1107">
        <v>69</v>
      </c>
      <c r="G1107">
        <v>78</v>
      </c>
    </row>
    <row r="1108" spans="1:7">
      <c r="A1108" t="s">
        <v>7388</v>
      </c>
      <c r="B1108" t="s">
        <v>8495</v>
      </c>
      <c r="C1108" s="1" t="e">
        <f>VLOOKUP(Tabla_Items_Activos[[#This Row],[CODIGO]],Tabla_Items_Completos[[CODIGO]:[LINEA]],2,0)</f>
        <v>#N/A</v>
      </c>
      <c r="D1108" s="1" t="e">
        <f>VLOOKUP(Tabla_Items_Activos[[#This Row],[CODIGO]],Tabla_Items_Completos[[CODIGO]:[LINEA]],3,0)</f>
        <v>#N/A</v>
      </c>
      <c r="E1108" s="1" t="e">
        <f>VLOOKUP(Tabla_Items_Activos[[#This Row],[CODIGO]],Tabla_Items_Completos[[CODIGO]:[LINEA]],4,0)</f>
        <v>#N/A</v>
      </c>
      <c r="F1108">
        <v>47</v>
      </c>
      <c r="G1108">
        <v>0</v>
      </c>
    </row>
    <row r="1109" spans="1:7">
      <c r="A1109" t="s">
        <v>7388</v>
      </c>
      <c r="B1109" t="s">
        <v>8496</v>
      </c>
      <c r="C1109" s="1" t="e">
        <f>VLOOKUP(Tabla_Items_Activos[[#This Row],[CODIGO]],Tabla_Items_Completos[[CODIGO]:[LINEA]],2,0)</f>
        <v>#N/A</v>
      </c>
      <c r="D1109" s="1" t="e">
        <f>VLOOKUP(Tabla_Items_Activos[[#This Row],[CODIGO]],Tabla_Items_Completos[[CODIGO]:[LINEA]],3,0)</f>
        <v>#N/A</v>
      </c>
      <c r="E1109" s="1" t="e">
        <f>VLOOKUP(Tabla_Items_Activos[[#This Row],[CODIGO]],Tabla_Items_Completos[[CODIGO]:[LINEA]],4,0)</f>
        <v>#N/A</v>
      </c>
      <c r="F1109">
        <v>32</v>
      </c>
      <c r="G1109">
        <v>5</v>
      </c>
    </row>
    <row r="1110" spans="1:7">
      <c r="A1110" t="s">
        <v>7388</v>
      </c>
      <c r="B1110" t="s">
        <v>8497</v>
      </c>
      <c r="C1110" s="1" t="e">
        <f>VLOOKUP(Tabla_Items_Activos[[#This Row],[CODIGO]],Tabla_Items_Completos[[CODIGO]:[LINEA]],2,0)</f>
        <v>#N/A</v>
      </c>
      <c r="D1110" s="1" t="e">
        <f>VLOOKUP(Tabla_Items_Activos[[#This Row],[CODIGO]],Tabla_Items_Completos[[CODIGO]:[LINEA]],3,0)</f>
        <v>#N/A</v>
      </c>
      <c r="E1110" s="1" t="e">
        <f>VLOOKUP(Tabla_Items_Activos[[#This Row],[CODIGO]],Tabla_Items_Completos[[CODIGO]:[LINEA]],4,0)</f>
        <v>#N/A</v>
      </c>
      <c r="F1110">
        <v>42</v>
      </c>
      <c r="G1110">
        <v>28</v>
      </c>
    </row>
    <row r="1111" spans="1:7">
      <c r="A1111" t="s">
        <v>7388</v>
      </c>
      <c r="B1111" t="s">
        <v>8498</v>
      </c>
      <c r="C1111" s="1" t="e">
        <f>VLOOKUP(Tabla_Items_Activos[[#This Row],[CODIGO]],Tabla_Items_Completos[[CODIGO]:[LINEA]],2,0)</f>
        <v>#N/A</v>
      </c>
      <c r="D1111" s="1" t="e">
        <f>VLOOKUP(Tabla_Items_Activos[[#This Row],[CODIGO]],Tabla_Items_Completos[[CODIGO]:[LINEA]],3,0)</f>
        <v>#N/A</v>
      </c>
      <c r="E1111" s="1" t="e">
        <f>VLOOKUP(Tabla_Items_Activos[[#This Row],[CODIGO]],Tabla_Items_Completos[[CODIGO]:[LINEA]],4,0)</f>
        <v>#N/A</v>
      </c>
      <c r="F1111">
        <v>163</v>
      </c>
      <c r="G1111">
        <v>152</v>
      </c>
    </row>
    <row r="1112" spans="1:7">
      <c r="A1112" t="s">
        <v>7388</v>
      </c>
      <c r="B1112" t="s">
        <v>8499</v>
      </c>
      <c r="C1112" s="1" t="e">
        <f>VLOOKUP(Tabla_Items_Activos[[#This Row],[CODIGO]],Tabla_Items_Completos[[CODIGO]:[LINEA]],2,0)</f>
        <v>#N/A</v>
      </c>
      <c r="D1112" s="1" t="e">
        <f>VLOOKUP(Tabla_Items_Activos[[#This Row],[CODIGO]],Tabla_Items_Completos[[CODIGO]:[LINEA]],3,0)</f>
        <v>#N/A</v>
      </c>
      <c r="E1112" s="1" t="e">
        <f>VLOOKUP(Tabla_Items_Activos[[#This Row],[CODIGO]],Tabla_Items_Completos[[CODIGO]:[LINEA]],4,0)</f>
        <v>#N/A</v>
      </c>
      <c r="F1112">
        <v>129</v>
      </c>
      <c r="G1112">
        <v>122</v>
      </c>
    </row>
    <row r="1113" spans="1:7">
      <c r="A1113" t="s">
        <v>7388</v>
      </c>
      <c r="B1113" t="s">
        <v>8500</v>
      </c>
      <c r="C1113" s="1" t="e">
        <f>VLOOKUP(Tabla_Items_Activos[[#This Row],[CODIGO]],Tabla_Items_Completos[[CODIGO]:[LINEA]],2,0)</f>
        <v>#N/A</v>
      </c>
      <c r="D1113" s="1" t="e">
        <f>VLOOKUP(Tabla_Items_Activos[[#This Row],[CODIGO]],Tabla_Items_Completos[[CODIGO]:[LINEA]],3,0)</f>
        <v>#N/A</v>
      </c>
      <c r="E1113" s="1" t="e">
        <f>VLOOKUP(Tabla_Items_Activos[[#This Row],[CODIGO]],Tabla_Items_Completos[[CODIGO]:[LINEA]],4,0)</f>
        <v>#N/A</v>
      </c>
      <c r="F1113">
        <v>244</v>
      </c>
      <c r="G1113">
        <v>65</v>
      </c>
    </row>
    <row r="1114" spans="1:7">
      <c r="A1114" t="s">
        <v>7388</v>
      </c>
      <c r="B1114" t="s">
        <v>8501</v>
      </c>
      <c r="C1114" s="1" t="e">
        <f>VLOOKUP(Tabla_Items_Activos[[#This Row],[CODIGO]],Tabla_Items_Completos[[CODIGO]:[LINEA]],2,0)</f>
        <v>#N/A</v>
      </c>
      <c r="D1114" s="1" t="e">
        <f>VLOOKUP(Tabla_Items_Activos[[#This Row],[CODIGO]],Tabla_Items_Completos[[CODIGO]:[LINEA]],3,0)</f>
        <v>#N/A</v>
      </c>
      <c r="E1114" s="1" t="e">
        <f>VLOOKUP(Tabla_Items_Activos[[#This Row],[CODIGO]],Tabla_Items_Completos[[CODIGO]:[LINEA]],4,0)</f>
        <v>#N/A</v>
      </c>
      <c r="F1114">
        <v>293</v>
      </c>
      <c r="G1114">
        <v>161</v>
      </c>
    </row>
    <row r="1115" spans="1:7">
      <c r="A1115" t="s">
        <v>7388</v>
      </c>
      <c r="B1115" t="s">
        <v>8502</v>
      </c>
      <c r="C1115" s="1" t="e">
        <f>VLOOKUP(Tabla_Items_Activos[[#This Row],[CODIGO]],Tabla_Items_Completos[[CODIGO]:[LINEA]],2,0)</f>
        <v>#N/A</v>
      </c>
      <c r="D1115" s="1" t="e">
        <f>VLOOKUP(Tabla_Items_Activos[[#This Row],[CODIGO]],Tabla_Items_Completos[[CODIGO]:[LINEA]],3,0)</f>
        <v>#N/A</v>
      </c>
      <c r="E1115" s="1" t="e">
        <f>VLOOKUP(Tabla_Items_Activos[[#This Row],[CODIGO]],Tabla_Items_Completos[[CODIGO]:[LINEA]],4,0)</f>
        <v>#N/A</v>
      </c>
      <c r="F1115">
        <v>64</v>
      </c>
      <c r="G1115">
        <v>28</v>
      </c>
    </row>
    <row r="1116" spans="1:7">
      <c r="A1116" t="s">
        <v>7388</v>
      </c>
      <c r="B1116" t="s">
        <v>8503</v>
      </c>
      <c r="C1116" s="1" t="e">
        <f>VLOOKUP(Tabla_Items_Activos[[#This Row],[CODIGO]],Tabla_Items_Completos[[CODIGO]:[LINEA]],2,0)</f>
        <v>#N/A</v>
      </c>
      <c r="D1116" s="1" t="e">
        <f>VLOOKUP(Tabla_Items_Activos[[#This Row],[CODIGO]],Tabla_Items_Completos[[CODIGO]:[LINEA]],3,0)</f>
        <v>#N/A</v>
      </c>
      <c r="E1116" s="1" t="e">
        <f>VLOOKUP(Tabla_Items_Activos[[#This Row],[CODIGO]],Tabla_Items_Completos[[CODIGO]:[LINEA]],4,0)</f>
        <v>#N/A</v>
      </c>
      <c r="F1116">
        <v>110</v>
      </c>
      <c r="G1116">
        <v>93</v>
      </c>
    </row>
    <row r="1117" spans="1:7">
      <c r="A1117" t="s">
        <v>7388</v>
      </c>
      <c r="B1117" t="s">
        <v>8504</v>
      </c>
      <c r="C1117" s="1" t="e">
        <f>VLOOKUP(Tabla_Items_Activos[[#This Row],[CODIGO]],Tabla_Items_Completos[[CODIGO]:[LINEA]],2,0)</f>
        <v>#N/A</v>
      </c>
      <c r="D1117" s="1" t="e">
        <f>VLOOKUP(Tabla_Items_Activos[[#This Row],[CODIGO]],Tabla_Items_Completos[[CODIGO]:[LINEA]],3,0)</f>
        <v>#N/A</v>
      </c>
      <c r="E1117" s="1" t="e">
        <f>VLOOKUP(Tabla_Items_Activos[[#This Row],[CODIGO]],Tabla_Items_Completos[[CODIGO]:[LINEA]],4,0)</f>
        <v>#N/A</v>
      </c>
      <c r="F1117">
        <v>136</v>
      </c>
      <c r="G1117">
        <v>98</v>
      </c>
    </row>
    <row r="1118" spans="1:7">
      <c r="A1118" t="s">
        <v>7388</v>
      </c>
      <c r="B1118" t="s">
        <v>8505</v>
      </c>
      <c r="C1118" s="1" t="e">
        <f>VLOOKUP(Tabla_Items_Activos[[#This Row],[CODIGO]],Tabla_Items_Completos[[CODIGO]:[LINEA]],2,0)</f>
        <v>#N/A</v>
      </c>
      <c r="D1118" s="1" t="e">
        <f>VLOOKUP(Tabla_Items_Activos[[#This Row],[CODIGO]],Tabla_Items_Completos[[CODIGO]:[LINEA]],3,0)</f>
        <v>#N/A</v>
      </c>
      <c r="E1118" s="1" t="e">
        <f>VLOOKUP(Tabla_Items_Activos[[#This Row],[CODIGO]],Tabla_Items_Completos[[CODIGO]:[LINEA]],4,0)</f>
        <v>#N/A</v>
      </c>
      <c r="F1118">
        <v>55</v>
      </c>
      <c r="G1118">
        <v>10</v>
      </c>
    </row>
    <row r="1119" spans="1:7">
      <c r="A1119" t="s">
        <v>7388</v>
      </c>
      <c r="B1119" t="s">
        <v>8506</v>
      </c>
      <c r="C1119" s="1" t="e">
        <f>VLOOKUP(Tabla_Items_Activos[[#This Row],[CODIGO]],Tabla_Items_Completos[[CODIGO]:[LINEA]],2,0)</f>
        <v>#N/A</v>
      </c>
      <c r="D1119" s="1" t="e">
        <f>VLOOKUP(Tabla_Items_Activos[[#This Row],[CODIGO]],Tabla_Items_Completos[[CODIGO]:[LINEA]],3,0)</f>
        <v>#N/A</v>
      </c>
      <c r="E1119" s="1" t="e">
        <f>VLOOKUP(Tabla_Items_Activos[[#This Row],[CODIGO]],Tabla_Items_Completos[[CODIGO]:[LINEA]],4,0)</f>
        <v>#N/A</v>
      </c>
      <c r="F1119">
        <v>63</v>
      </c>
      <c r="G1119">
        <v>11</v>
      </c>
    </row>
    <row r="1120" spans="1:7">
      <c r="A1120" t="s">
        <v>7388</v>
      </c>
      <c r="B1120" t="s">
        <v>8507</v>
      </c>
      <c r="C1120" s="1" t="e">
        <f>VLOOKUP(Tabla_Items_Activos[[#This Row],[CODIGO]],Tabla_Items_Completos[[CODIGO]:[LINEA]],2,0)</f>
        <v>#N/A</v>
      </c>
      <c r="D1120" s="1" t="e">
        <f>VLOOKUP(Tabla_Items_Activos[[#This Row],[CODIGO]],Tabla_Items_Completos[[CODIGO]:[LINEA]],3,0)</f>
        <v>#N/A</v>
      </c>
      <c r="E1120" s="1" t="e">
        <f>VLOOKUP(Tabla_Items_Activos[[#This Row],[CODIGO]],Tabla_Items_Completos[[CODIGO]:[LINEA]],4,0)</f>
        <v>#N/A</v>
      </c>
      <c r="F1120">
        <v>62</v>
      </c>
      <c r="G1120">
        <v>30</v>
      </c>
    </row>
    <row r="1121" spans="1:7">
      <c r="A1121" t="s">
        <v>7388</v>
      </c>
      <c r="B1121" t="s">
        <v>8508</v>
      </c>
      <c r="C1121" s="1" t="e">
        <f>VLOOKUP(Tabla_Items_Activos[[#This Row],[CODIGO]],Tabla_Items_Completos[[CODIGO]:[LINEA]],2,0)</f>
        <v>#N/A</v>
      </c>
      <c r="D1121" s="1" t="e">
        <f>VLOOKUP(Tabla_Items_Activos[[#This Row],[CODIGO]],Tabla_Items_Completos[[CODIGO]:[LINEA]],3,0)</f>
        <v>#N/A</v>
      </c>
      <c r="E1121" s="1" t="e">
        <f>VLOOKUP(Tabla_Items_Activos[[#This Row],[CODIGO]],Tabla_Items_Completos[[CODIGO]:[LINEA]],4,0)</f>
        <v>#N/A</v>
      </c>
      <c r="F1121">
        <v>158</v>
      </c>
      <c r="G1121">
        <v>100</v>
      </c>
    </row>
    <row r="1122" spans="1:7">
      <c r="A1122" t="s">
        <v>7388</v>
      </c>
      <c r="B1122" t="s">
        <v>8509</v>
      </c>
      <c r="C1122" s="1" t="e">
        <f>VLOOKUP(Tabla_Items_Activos[[#This Row],[CODIGO]],Tabla_Items_Completos[[CODIGO]:[LINEA]],2,0)</f>
        <v>#N/A</v>
      </c>
      <c r="D1122" s="1" t="e">
        <f>VLOOKUP(Tabla_Items_Activos[[#This Row],[CODIGO]],Tabla_Items_Completos[[CODIGO]:[LINEA]],3,0)</f>
        <v>#N/A</v>
      </c>
      <c r="E1122" s="1" t="e">
        <f>VLOOKUP(Tabla_Items_Activos[[#This Row],[CODIGO]],Tabla_Items_Completos[[CODIGO]:[LINEA]],4,0)</f>
        <v>#N/A</v>
      </c>
      <c r="F1122">
        <v>873</v>
      </c>
      <c r="G1122">
        <v>574</v>
      </c>
    </row>
    <row r="1123" spans="1:7">
      <c r="A1123" t="s">
        <v>7388</v>
      </c>
      <c r="B1123" t="s">
        <v>8510</v>
      </c>
      <c r="C1123" s="1" t="e">
        <f>VLOOKUP(Tabla_Items_Activos[[#This Row],[CODIGO]],Tabla_Items_Completos[[CODIGO]:[LINEA]],2,0)</f>
        <v>#N/A</v>
      </c>
      <c r="D1123" s="1" t="e">
        <f>VLOOKUP(Tabla_Items_Activos[[#This Row],[CODIGO]],Tabla_Items_Completos[[CODIGO]:[LINEA]],3,0)</f>
        <v>#N/A</v>
      </c>
      <c r="E1123" s="1" t="e">
        <f>VLOOKUP(Tabla_Items_Activos[[#This Row],[CODIGO]],Tabla_Items_Completos[[CODIGO]:[LINEA]],4,0)</f>
        <v>#N/A</v>
      </c>
      <c r="F1123">
        <v>137</v>
      </c>
      <c r="G1123">
        <v>36</v>
      </c>
    </row>
    <row r="1124" spans="1:7">
      <c r="A1124" t="s">
        <v>7388</v>
      </c>
      <c r="B1124" t="s">
        <v>8511</v>
      </c>
      <c r="C1124" s="1" t="e">
        <f>VLOOKUP(Tabla_Items_Activos[[#This Row],[CODIGO]],Tabla_Items_Completos[[CODIGO]:[LINEA]],2,0)</f>
        <v>#N/A</v>
      </c>
      <c r="D1124" s="1" t="e">
        <f>VLOOKUP(Tabla_Items_Activos[[#This Row],[CODIGO]],Tabla_Items_Completos[[CODIGO]:[LINEA]],3,0)</f>
        <v>#N/A</v>
      </c>
      <c r="E1124" s="1" t="e">
        <f>VLOOKUP(Tabla_Items_Activos[[#This Row],[CODIGO]],Tabla_Items_Completos[[CODIGO]:[LINEA]],4,0)</f>
        <v>#N/A</v>
      </c>
      <c r="F1124">
        <v>144</v>
      </c>
      <c r="G1124">
        <v>78</v>
      </c>
    </row>
    <row r="1125" spans="1:7">
      <c r="A1125" t="s">
        <v>7388</v>
      </c>
      <c r="B1125" t="s">
        <v>8512</v>
      </c>
      <c r="C1125" s="1" t="e">
        <f>VLOOKUP(Tabla_Items_Activos[[#This Row],[CODIGO]],Tabla_Items_Completos[[CODIGO]:[LINEA]],2,0)</f>
        <v>#N/A</v>
      </c>
      <c r="D1125" s="1" t="e">
        <f>VLOOKUP(Tabla_Items_Activos[[#This Row],[CODIGO]],Tabla_Items_Completos[[CODIGO]:[LINEA]],3,0)</f>
        <v>#N/A</v>
      </c>
      <c r="E1125" s="1" t="e">
        <f>VLOOKUP(Tabla_Items_Activos[[#This Row],[CODIGO]],Tabla_Items_Completos[[CODIGO]:[LINEA]],4,0)</f>
        <v>#N/A</v>
      </c>
      <c r="F1125">
        <v>109</v>
      </c>
      <c r="G1125">
        <v>67</v>
      </c>
    </row>
    <row r="1126" spans="1:7">
      <c r="A1126" t="s">
        <v>7388</v>
      </c>
      <c r="B1126" t="s">
        <v>8513</v>
      </c>
      <c r="C1126" s="1" t="e">
        <f>VLOOKUP(Tabla_Items_Activos[[#This Row],[CODIGO]],Tabla_Items_Completos[[CODIGO]:[LINEA]],2,0)</f>
        <v>#N/A</v>
      </c>
      <c r="D1126" s="1" t="e">
        <f>VLOOKUP(Tabla_Items_Activos[[#This Row],[CODIGO]],Tabla_Items_Completos[[CODIGO]:[LINEA]],3,0)</f>
        <v>#N/A</v>
      </c>
      <c r="E1126" s="1" t="e">
        <f>VLOOKUP(Tabla_Items_Activos[[#This Row],[CODIGO]],Tabla_Items_Completos[[CODIGO]:[LINEA]],4,0)</f>
        <v>#N/A</v>
      </c>
      <c r="F1126">
        <v>153</v>
      </c>
      <c r="G1126">
        <v>27</v>
      </c>
    </row>
    <row r="1127" spans="1:7">
      <c r="A1127" t="s">
        <v>7388</v>
      </c>
      <c r="B1127" t="s">
        <v>8514</v>
      </c>
      <c r="C1127" s="1" t="e">
        <f>VLOOKUP(Tabla_Items_Activos[[#This Row],[CODIGO]],Tabla_Items_Completos[[CODIGO]:[LINEA]],2,0)</f>
        <v>#N/A</v>
      </c>
      <c r="D1127" s="1" t="e">
        <f>VLOOKUP(Tabla_Items_Activos[[#This Row],[CODIGO]],Tabla_Items_Completos[[CODIGO]:[LINEA]],3,0)</f>
        <v>#N/A</v>
      </c>
      <c r="E1127" s="1" t="e">
        <f>VLOOKUP(Tabla_Items_Activos[[#This Row],[CODIGO]],Tabla_Items_Completos[[CODIGO]:[LINEA]],4,0)</f>
        <v>#N/A</v>
      </c>
      <c r="F1127">
        <v>222</v>
      </c>
      <c r="G1127">
        <v>379</v>
      </c>
    </row>
    <row r="1128" spans="1:7">
      <c r="A1128" t="s">
        <v>7388</v>
      </c>
      <c r="B1128" t="s">
        <v>8515</v>
      </c>
      <c r="C1128" s="1" t="e">
        <f>VLOOKUP(Tabla_Items_Activos[[#This Row],[CODIGO]],Tabla_Items_Completos[[CODIGO]:[LINEA]],2,0)</f>
        <v>#N/A</v>
      </c>
      <c r="D1128" s="1" t="e">
        <f>VLOOKUP(Tabla_Items_Activos[[#This Row],[CODIGO]],Tabla_Items_Completos[[CODIGO]:[LINEA]],3,0)</f>
        <v>#N/A</v>
      </c>
      <c r="E1128" s="1" t="e">
        <f>VLOOKUP(Tabla_Items_Activos[[#This Row],[CODIGO]],Tabla_Items_Completos[[CODIGO]:[LINEA]],4,0)</f>
        <v>#N/A</v>
      </c>
      <c r="F1128">
        <v>42</v>
      </c>
      <c r="G1128">
        <v>56</v>
      </c>
    </row>
    <row r="1129" spans="1:7">
      <c r="A1129" t="s">
        <v>7388</v>
      </c>
      <c r="B1129" t="s">
        <v>8516</v>
      </c>
      <c r="C1129" s="1" t="e">
        <f>VLOOKUP(Tabla_Items_Activos[[#This Row],[CODIGO]],Tabla_Items_Completos[[CODIGO]:[LINEA]],2,0)</f>
        <v>#N/A</v>
      </c>
      <c r="D1129" s="1" t="e">
        <f>VLOOKUP(Tabla_Items_Activos[[#This Row],[CODIGO]],Tabla_Items_Completos[[CODIGO]:[LINEA]],3,0)</f>
        <v>#N/A</v>
      </c>
      <c r="E1129" s="1" t="e">
        <f>VLOOKUP(Tabla_Items_Activos[[#This Row],[CODIGO]],Tabla_Items_Completos[[CODIGO]:[LINEA]],4,0)</f>
        <v>#N/A</v>
      </c>
      <c r="F1129">
        <v>65</v>
      </c>
      <c r="G1129">
        <v>78</v>
      </c>
    </row>
    <row r="1130" spans="1:7">
      <c r="A1130" t="s">
        <v>7388</v>
      </c>
      <c r="B1130" t="s">
        <v>8517</v>
      </c>
      <c r="C1130" s="1" t="e">
        <f>VLOOKUP(Tabla_Items_Activos[[#This Row],[CODIGO]],Tabla_Items_Completos[[CODIGO]:[LINEA]],2,0)</f>
        <v>#N/A</v>
      </c>
      <c r="D1130" s="1" t="e">
        <f>VLOOKUP(Tabla_Items_Activos[[#This Row],[CODIGO]],Tabla_Items_Completos[[CODIGO]:[LINEA]],3,0)</f>
        <v>#N/A</v>
      </c>
      <c r="E1130" s="1" t="e">
        <f>VLOOKUP(Tabla_Items_Activos[[#This Row],[CODIGO]],Tabla_Items_Completos[[CODIGO]:[LINEA]],4,0)</f>
        <v>#N/A</v>
      </c>
      <c r="F1130">
        <v>66</v>
      </c>
      <c r="G1130">
        <v>46</v>
      </c>
    </row>
    <row r="1131" spans="1:7">
      <c r="A1131" t="s">
        <v>7388</v>
      </c>
      <c r="B1131" t="s">
        <v>8518</v>
      </c>
      <c r="C1131" s="1" t="e">
        <f>VLOOKUP(Tabla_Items_Activos[[#This Row],[CODIGO]],Tabla_Items_Completos[[CODIGO]:[LINEA]],2,0)</f>
        <v>#N/A</v>
      </c>
      <c r="D1131" s="1" t="e">
        <f>VLOOKUP(Tabla_Items_Activos[[#This Row],[CODIGO]],Tabla_Items_Completos[[CODIGO]:[LINEA]],3,0)</f>
        <v>#N/A</v>
      </c>
      <c r="E1131" s="1" t="e">
        <f>VLOOKUP(Tabla_Items_Activos[[#This Row],[CODIGO]],Tabla_Items_Completos[[CODIGO]:[LINEA]],4,0)</f>
        <v>#N/A</v>
      </c>
      <c r="F1131">
        <v>14</v>
      </c>
      <c r="G1131">
        <v>39</v>
      </c>
    </row>
    <row r="1132" spans="1:7">
      <c r="A1132" t="s">
        <v>7388</v>
      </c>
      <c r="B1132" t="s">
        <v>8519</v>
      </c>
      <c r="C1132" s="1" t="e">
        <f>VLOOKUP(Tabla_Items_Activos[[#This Row],[CODIGO]],Tabla_Items_Completos[[CODIGO]:[LINEA]],2,0)</f>
        <v>#N/A</v>
      </c>
      <c r="D1132" s="1" t="e">
        <f>VLOOKUP(Tabla_Items_Activos[[#This Row],[CODIGO]],Tabla_Items_Completos[[CODIGO]:[LINEA]],3,0)</f>
        <v>#N/A</v>
      </c>
      <c r="E1132" s="1" t="e">
        <f>VLOOKUP(Tabla_Items_Activos[[#This Row],[CODIGO]],Tabla_Items_Completos[[CODIGO]:[LINEA]],4,0)</f>
        <v>#N/A</v>
      </c>
      <c r="F1132">
        <v>41</v>
      </c>
      <c r="G1132">
        <v>13</v>
      </c>
    </row>
    <row r="1133" spans="1:7">
      <c r="A1133" t="s">
        <v>7388</v>
      </c>
      <c r="B1133" t="s">
        <v>8520</v>
      </c>
      <c r="C1133" s="1" t="e">
        <f>VLOOKUP(Tabla_Items_Activos[[#This Row],[CODIGO]],Tabla_Items_Completos[[CODIGO]:[LINEA]],2,0)</f>
        <v>#N/A</v>
      </c>
      <c r="D1133" s="1" t="e">
        <f>VLOOKUP(Tabla_Items_Activos[[#This Row],[CODIGO]],Tabla_Items_Completos[[CODIGO]:[LINEA]],3,0)</f>
        <v>#N/A</v>
      </c>
      <c r="E1133" s="1" t="e">
        <f>VLOOKUP(Tabla_Items_Activos[[#This Row],[CODIGO]],Tabla_Items_Completos[[CODIGO]:[LINEA]],4,0)</f>
        <v>#N/A</v>
      </c>
      <c r="F1133">
        <v>33</v>
      </c>
      <c r="G1133">
        <v>100</v>
      </c>
    </row>
    <row r="1134" spans="1:7">
      <c r="A1134" t="s">
        <v>7388</v>
      </c>
      <c r="B1134" t="s">
        <v>8521</v>
      </c>
      <c r="C1134" s="1" t="e">
        <f>VLOOKUP(Tabla_Items_Activos[[#This Row],[CODIGO]],Tabla_Items_Completos[[CODIGO]:[LINEA]],2,0)</f>
        <v>#N/A</v>
      </c>
      <c r="D1134" s="1" t="e">
        <f>VLOOKUP(Tabla_Items_Activos[[#This Row],[CODIGO]],Tabla_Items_Completos[[CODIGO]:[LINEA]],3,0)</f>
        <v>#N/A</v>
      </c>
      <c r="E1134" s="1" t="e">
        <f>VLOOKUP(Tabla_Items_Activos[[#This Row],[CODIGO]],Tabla_Items_Completos[[CODIGO]:[LINEA]],4,0)</f>
        <v>#N/A</v>
      </c>
      <c r="F1134">
        <v>10</v>
      </c>
      <c r="G1134">
        <v>80</v>
      </c>
    </row>
    <row r="1135" spans="1:7">
      <c r="A1135" t="s">
        <v>7388</v>
      </c>
      <c r="B1135" t="s">
        <v>8522</v>
      </c>
      <c r="C1135" s="1" t="e">
        <f>VLOOKUP(Tabla_Items_Activos[[#This Row],[CODIGO]],Tabla_Items_Completos[[CODIGO]:[LINEA]],2,0)</f>
        <v>#N/A</v>
      </c>
      <c r="D1135" s="1" t="e">
        <f>VLOOKUP(Tabla_Items_Activos[[#This Row],[CODIGO]],Tabla_Items_Completos[[CODIGO]:[LINEA]],3,0)</f>
        <v>#N/A</v>
      </c>
      <c r="E1135" s="1" t="e">
        <f>VLOOKUP(Tabla_Items_Activos[[#This Row],[CODIGO]],Tabla_Items_Completos[[CODIGO]:[LINEA]],4,0)</f>
        <v>#N/A</v>
      </c>
      <c r="F1135">
        <v>17</v>
      </c>
      <c r="G1135">
        <v>6</v>
      </c>
    </row>
    <row r="1136" spans="1:7">
      <c r="A1136" t="s">
        <v>7388</v>
      </c>
      <c r="B1136" t="s">
        <v>8523</v>
      </c>
      <c r="C1136" s="1" t="e">
        <f>VLOOKUP(Tabla_Items_Activos[[#This Row],[CODIGO]],Tabla_Items_Completos[[CODIGO]:[LINEA]],2,0)</f>
        <v>#N/A</v>
      </c>
      <c r="D1136" s="1" t="e">
        <f>VLOOKUP(Tabla_Items_Activos[[#This Row],[CODIGO]],Tabla_Items_Completos[[CODIGO]:[LINEA]],3,0)</f>
        <v>#N/A</v>
      </c>
      <c r="E1136" s="1" t="e">
        <f>VLOOKUP(Tabla_Items_Activos[[#This Row],[CODIGO]],Tabla_Items_Completos[[CODIGO]:[LINEA]],4,0)</f>
        <v>#N/A</v>
      </c>
      <c r="F1136">
        <v>13</v>
      </c>
      <c r="G1136">
        <v>12</v>
      </c>
    </row>
    <row r="1137" spans="1:7">
      <c r="A1137" t="s">
        <v>7388</v>
      </c>
      <c r="B1137" t="s">
        <v>8524</v>
      </c>
      <c r="C1137" s="1" t="e">
        <f>VLOOKUP(Tabla_Items_Activos[[#This Row],[CODIGO]],Tabla_Items_Completos[[CODIGO]:[LINEA]],2,0)</f>
        <v>#N/A</v>
      </c>
      <c r="D1137" s="1" t="e">
        <f>VLOOKUP(Tabla_Items_Activos[[#This Row],[CODIGO]],Tabla_Items_Completos[[CODIGO]:[LINEA]],3,0)</f>
        <v>#N/A</v>
      </c>
      <c r="E1137" s="1" t="e">
        <f>VLOOKUP(Tabla_Items_Activos[[#This Row],[CODIGO]],Tabla_Items_Completos[[CODIGO]:[LINEA]],4,0)</f>
        <v>#N/A</v>
      </c>
      <c r="F1137">
        <v>7</v>
      </c>
      <c r="G1137">
        <v>169</v>
      </c>
    </row>
    <row r="1138" spans="1:7">
      <c r="A1138" t="s">
        <v>7388</v>
      </c>
      <c r="B1138" t="s">
        <v>8525</v>
      </c>
      <c r="C1138" s="1" t="e">
        <f>VLOOKUP(Tabla_Items_Activos[[#This Row],[CODIGO]],Tabla_Items_Completos[[CODIGO]:[LINEA]],2,0)</f>
        <v>#N/A</v>
      </c>
      <c r="D1138" s="1" t="e">
        <f>VLOOKUP(Tabla_Items_Activos[[#This Row],[CODIGO]],Tabla_Items_Completos[[CODIGO]:[LINEA]],3,0)</f>
        <v>#N/A</v>
      </c>
      <c r="E1138" s="1" t="e">
        <f>VLOOKUP(Tabla_Items_Activos[[#This Row],[CODIGO]],Tabla_Items_Completos[[CODIGO]:[LINEA]],4,0)</f>
        <v>#N/A</v>
      </c>
      <c r="F1138">
        <v>3</v>
      </c>
      <c r="G1138">
        <v>296</v>
      </c>
    </row>
    <row r="1139" spans="1:7">
      <c r="A1139" t="s">
        <v>7388</v>
      </c>
      <c r="B1139" t="s">
        <v>8526</v>
      </c>
      <c r="C1139" s="1" t="e">
        <f>VLOOKUP(Tabla_Items_Activos[[#This Row],[CODIGO]],Tabla_Items_Completos[[CODIGO]:[LINEA]],2,0)</f>
        <v>#N/A</v>
      </c>
      <c r="D1139" s="1" t="e">
        <f>VLOOKUP(Tabla_Items_Activos[[#This Row],[CODIGO]],Tabla_Items_Completos[[CODIGO]:[LINEA]],3,0)</f>
        <v>#N/A</v>
      </c>
      <c r="E1139" s="1" t="e">
        <f>VLOOKUP(Tabla_Items_Activos[[#This Row],[CODIGO]],Tabla_Items_Completos[[CODIGO]:[LINEA]],4,0)</f>
        <v>#N/A</v>
      </c>
      <c r="F1139">
        <v>185</v>
      </c>
      <c r="G1139">
        <v>634</v>
      </c>
    </row>
    <row r="1140" spans="1:7">
      <c r="A1140" t="s">
        <v>7388</v>
      </c>
      <c r="B1140" t="s">
        <v>8527</v>
      </c>
      <c r="C1140" s="1" t="e">
        <f>VLOOKUP(Tabla_Items_Activos[[#This Row],[CODIGO]],Tabla_Items_Completos[[CODIGO]:[LINEA]],2,0)</f>
        <v>#N/A</v>
      </c>
      <c r="D1140" s="1" t="e">
        <f>VLOOKUP(Tabla_Items_Activos[[#This Row],[CODIGO]],Tabla_Items_Completos[[CODIGO]:[LINEA]],3,0)</f>
        <v>#N/A</v>
      </c>
      <c r="E1140" s="1" t="e">
        <f>VLOOKUP(Tabla_Items_Activos[[#This Row],[CODIGO]],Tabla_Items_Completos[[CODIGO]:[LINEA]],4,0)</f>
        <v>#N/A</v>
      </c>
      <c r="F1140">
        <v>202</v>
      </c>
      <c r="G1140">
        <v>240</v>
      </c>
    </row>
    <row r="1141" spans="1:7">
      <c r="A1141" t="s">
        <v>7388</v>
      </c>
      <c r="B1141" t="s">
        <v>8528</v>
      </c>
      <c r="C1141" s="1" t="e">
        <f>VLOOKUP(Tabla_Items_Activos[[#This Row],[CODIGO]],Tabla_Items_Completos[[CODIGO]:[LINEA]],2,0)</f>
        <v>#N/A</v>
      </c>
      <c r="D1141" s="1" t="e">
        <f>VLOOKUP(Tabla_Items_Activos[[#This Row],[CODIGO]],Tabla_Items_Completos[[CODIGO]:[LINEA]],3,0)</f>
        <v>#N/A</v>
      </c>
      <c r="E1141" s="1" t="e">
        <f>VLOOKUP(Tabla_Items_Activos[[#This Row],[CODIGO]],Tabla_Items_Completos[[CODIGO]:[LINEA]],4,0)</f>
        <v>#N/A</v>
      </c>
      <c r="F1141">
        <v>144</v>
      </c>
      <c r="G1141">
        <v>179</v>
      </c>
    </row>
    <row r="1142" spans="1:7">
      <c r="A1142" t="s">
        <v>7388</v>
      </c>
      <c r="B1142" t="s">
        <v>8529</v>
      </c>
      <c r="C1142" s="1" t="e">
        <f>VLOOKUP(Tabla_Items_Activos[[#This Row],[CODIGO]],Tabla_Items_Completos[[CODIGO]:[LINEA]],2,0)</f>
        <v>#N/A</v>
      </c>
      <c r="D1142" s="1" t="e">
        <f>VLOOKUP(Tabla_Items_Activos[[#This Row],[CODIGO]],Tabla_Items_Completos[[CODIGO]:[LINEA]],3,0)</f>
        <v>#N/A</v>
      </c>
      <c r="E1142" s="1" t="e">
        <f>VLOOKUP(Tabla_Items_Activos[[#This Row],[CODIGO]],Tabla_Items_Completos[[CODIGO]:[LINEA]],4,0)</f>
        <v>#N/A</v>
      </c>
      <c r="F1142">
        <v>108</v>
      </c>
      <c r="G1142">
        <v>639</v>
      </c>
    </row>
    <row r="1143" spans="1:7">
      <c r="A1143" t="s">
        <v>7388</v>
      </c>
      <c r="B1143" t="s">
        <v>8530</v>
      </c>
      <c r="C1143" s="1" t="e">
        <f>VLOOKUP(Tabla_Items_Activos[[#This Row],[CODIGO]],Tabla_Items_Completos[[CODIGO]:[LINEA]],2,0)</f>
        <v>#N/A</v>
      </c>
      <c r="D1143" s="1" t="e">
        <f>VLOOKUP(Tabla_Items_Activos[[#This Row],[CODIGO]],Tabla_Items_Completos[[CODIGO]:[LINEA]],3,0)</f>
        <v>#N/A</v>
      </c>
      <c r="E1143" s="1" t="e">
        <f>VLOOKUP(Tabla_Items_Activos[[#This Row],[CODIGO]],Tabla_Items_Completos[[CODIGO]:[LINEA]],4,0)</f>
        <v>#N/A</v>
      </c>
      <c r="F1143">
        <v>1096</v>
      </c>
      <c r="G1143">
        <v>779</v>
      </c>
    </row>
    <row r="1144" spans="1:7">
      <c r="A1144" t="s">
        <v>7388</v>
      </c>
      <c r="B1144" t="s">
        <v>8531</v>
      </c>
      <c r="C1144" s="1" t="e">
        <f>VLOOKUP(Tabla_Items_Activos[[#This Row],[CODIGO]],Tabla_Items_Completos[[CODIGO]:[LINEA]],2,0)</f>
        <v>#N/A</v>
      </c>
      <c r="D1144" s="1" t="e">
        <f>VLOOKUP(Tabla_Items_Activos[[#This Row],[CODIGO]],Tabla_Items_Completos[[CODIGO]:[LINEA]],3,0)</f>
        <v>#N/A</v>
      </c>
      <c r="E1144" s="1" t="e">
        <f>VLOOKUP(Tabla_Items_Activos[[#This Row],[CODIGO]],Tabla_Items_Completos[[CODIGO]:[LINEA]],4,0)</f>
        <v>#N/A</v>
      </c>
      <c r="F1144">
        <v>660</v>
      </c>
      <c r="G1144">
        <v>1896</v>
      </c>
    </row>
    <row r="1145" spans="1:7">
      <c r="A1145" t="s">
        <v>7388</v>
      </c>
      <c r="B1145" t="s">
        <v>8532</v>
      </c>
      <c r="C1145" s="1" t="e">
        <f>VLOOKUP(Tabla_Items_Activos[[#This Row],[CODIGO]],Tabla_Items_Completos[[CODIGO]:[LINEA]],2,0)</f>
        <v>#N/A</v>
      </c>
      <c r="D1145" s="1" t="e">
        <f>VLOOKUP(Tabla_Items_Activos[[#This Row],[CODIGO]],Tabla_Items_Completos[[CODIGO]:[LINEA]],3,0)</f>
        <v>#N/A</v>
      </c>
      <c r="E1145" s="1" t="e">
        <f>VLOOKUP(Tabla_Items_Activos[[#This Row],[CODIGO]],Tabla_Items_Completos[[CODIGO]:[LINEA]],4,0)</f>
        <v>#N/A</v>
      </c>
      <c r="F1145">
        <v>1016</v>
      </c>
      <c r="G1145">
        <v>872</v>
      </c>
    </row>
    <row r="1146" spans="1:7">
      <c r="A1146" t="s">
        <v>7388</v>
      </c>
      <c r="B1146" t="s">
        <v>8533</v>
      </c>
      <c r="C1146" s="1" t="e">
        <f>VLOOKUP(Tabla_Items_Activos[[#This Row],[CODIGO]],Tabla_Items_Completos[[CODIGO]:[LINEA]],2,0)</f>
        <v>#N/A</v>
      </c>
      <c r="D1146" s="1" t="e">
        <f>VLOOKUP(Tabla_Items_Activos[[#This Row],[CODIGO]],Tabla_Items_Completos[[CODIGO]:[LINEA]],3,0)</f>
        <v>#N/A</v>
      </c>
      <c r="E1146" s="1" t="e">
        <f>VLOOKUP(Tabla_Items_Activos[[#This Row],[CODIGO]],Tabla_Items_Completos[[CODIGO]:[LINEA]],4,0)</f>
        <v>#N/A</v>
      </c>
      <c r="F1146">
        <v>1061</v>
      </c>
      <c r="G1146">
        <v>521</v>
      </c>
    </row>
    <row r="1147" spans="1:7">
      <c r="A1147" t="s">
        <v>7388</v>
      </c>
      <c r="B1147" t="s">
        <v>8534</v>
      </c>
      <c r="C1147" s="1" t="e">
        <f>VLOOKUP(Tabla_Items_Activos[[#This Row],[CODIGO]],Tabla_Items_Completos[[CODIGO]:[LINEA]],2,0)</f>
        <v>#N/A</v>
      </c>
      <c r="D1147" s="1" t="e">
        <f>VLOOKUP(Tabla_Items_Activos[[#This Row],[CODIGO]],Tabla_Items_Completos[[CODIGO]:[LINEA]],3,0)</f>
        <v>#N/A</v>
      </c>
      <c r="E1147" s="1" t="e">
        <f>VLOOKUP(Tabla_Items_Activos[[#This Row],[CODIGO]],Tabla_Items_Completos[[CODIGO]:[LINEA]],4,0)</f>
        <v>#N/A</v>
      </c>
      <c r="F1147">
        <v>388</v>
      </c>
      <c r="G1147">
        <v>297</v>
      </c>
    </row>
    <row r="1148" spans="1:7">
      <c r="A1148" t="s">
        <v>7388</v>
      </c>
      <c r="B1148" t="s">
        <v>8535</v>
      </c>
      <c r="C1148" s="1" t="e">
        <f>VLOOKUP(Tabla_Items_Activos[[#This Row],[CODIGO]],Tabla_Items_Completos[[CODIGO]:[LINEA]],2,0)</f>
        <v>#N/A</v>
      </c>
      <c r="D1148" s="1" t="e">
        <f>VLOOKUP(Tabla_Items_Activos[[#This Row],[CODIGO]],Tabla_Items_Completos[[CODIGO]:[LINEA]],3,0)</f>
        <v>#N/A</v>
      </c>
      <c r="E1148" s="1" t="e">
        <f>VLOOKUP(Tabla_Items_Activos[[#This Row],[CODIGO]],Tabla_Items_Completos[[CODIGO]:[LINEA]],4,0)</f>
        <v>#N/A</v>
      </c>
      <c r="F1148">
        <v>378</v>
      </c>
      <c r="G1148">
        <v>373</v>
      </c>
    </row>
    <row r="1149" spans="1:7">
      <c r="A1149" t="s">
        <v>7388</v>
      </c>
      <c r="B1149" t="s">
        <v>8536</v>
      </c>
      <c r="C1149" s="1" t="e">
        <f>VLOOKUP(Tabla_Items_Activos[[#This Row],[CODIGO]],Tabla_Items_Completos[[CODIGO]:[LINEA]],2,0)</f>
        <v>#N/A</v>
      </c>
      <c r="D1149" s="1" t="e">
        <f>VLOOKUP(Tabla_Items_Activos[[#This Row],[CODIGO]],Tabla_Items_Completos[[CODIGO]:[LINEA]],3,0)</f>
        <v>#N/A</v>
      </c>
      <c r="E1149" s="1" t="e">
        <f>VLOOKUP(Tabla_Items_Activos[[#This Row],[CODIGO]],Tabla_Items_Completos[[CODIGO]:[LINEA]],4,0)</f>
        <v>#N/A</v>
      </c>
      <c r="F1149">
        <v>1226</v>
      </c>
      <c r="G1149">
        <v>666</v>
      </c>
    </row>
    <row r="1150" spans="1:7">
      <c r="A1150" t="s">
        <v>7388</v>
      </c>
      <c r="B1150" t="s">
        <v>8537</v>
      </c>
      <c r="C1150" s="1" t="e">
        <f>VLOOKUP(Tabla_Items_Activos[[#This Row],[CODIGO]],Tabla_Items_Completos[[CODIGO]:[LINEA]],2,0)</f>
        <v>#N/A</v>
      </c>
      <c r="D1150" s="1" t="e">
        <f>VLOOKUP(Tabla_Items_Activos[[#This Row],[CODIGO]],Tabla_Items_Completos[[CODIGO]:[LINEA]],3,0)</f>
        <v>#N/A</v>
      </c>
      <c r="E1150" s="1" t="e">
        <f>VLOOKUP(Tabla_Items_Activos[[#This Row],[CODIGO]],Tabla_Items_Completos[[CODIGO]:[LINEA]],4,0)</f>
        <v>#N/A</v>
      </c>
      <c r="F1150">
        <v>478</v>
      </c>
      <c r="G1150">
        <v>392</v>
      </c>
    </row>
    <row r="1151" spans="1:7">
      <c r="A1151" t="s">
        <v>7388</v>
      </c>
      <c r="B1151" t="s">
        <v>8538</v>
      </c>
      <c r="C1151" s="1" t="e">
        <f>VLOOKUP(Tabla_Items_Activos[[#This Row],[CODIGO]],Tabla_Items_Completos[[CODIGO]:[LINEA]],2,0)</f>
        <v>#N/A</v>
      </c>
      <c r="D1151" s="1" t="e">
        <f>VLOOKUP(Tabla_Items_Activos[[#This Row],[CODIGO]],Tabla_Items_Completos[[CODIGO]:[LINEA]],3,0)</f>
        <v>#N/A</v>
      </c>
      <c r="E1151" s="1" t="e">
        <f>VLOOKUP(Tabla_Items_Activos[[#This Row],[CODIGO]],Tabla_Items_Completos[[CODIGO]:[LINEA]],4,0)</f>
        <v>#N/A</v>
      </c>
      <c r="F1151">
        <v>66</v>
      </c>
      <c r="G1151">
        <v>40</v>
      </c>
    </row>
    <row r="1152" spans="1:7">
      <c r="A1152" t="s">
        <v>7388</v>
      </c>
      <c r="B1152" t="s">
        <v>8539</v>
      </c>
      <c r="C1152" s="1" t="e">
        <f>VLOOKUP(Tabla_Items_Activos[[#This Row],[CODIGO]],Tabla_Items_Completos[[CODIGO]:[LINEA]],2,0)</f>
        <v>#N/A</v>
      </c>
      <c r="D1152" s="1" t="e">
        <f>VLOOKUP(Tabla_Items_Activos[[#This Row],[CODIGO]],Tabla_Items_Completos[[CODIGO]:[LINEA]],3,0)</f>
        <v>#N/A</v>
      </c>
      <c r="E1152" s="1" t="e">
        <f>VLOOKUP(Tabla_Items_Activos[[#This Row],[CODIGO]],Tabla_Items_Completos[[CODIGO]:[LINEA]],4,0)</f>
        <v>#N/A</v>
      </c>
      <c r="F1152">
        <v>1576</v>
      </c>
      <c r="G1152">
        <v>775</v>
      </c>
    </row>
    <row r="1153" spans="1:7">
      <c r="A1153" t="s">
        <v>7388</v>
      </c>
      <c r="B1153" t="s">
        <v>8540</v>
      </c>
      <c r="C1153" s="1" t="e">
        <f>VLOOKUP(Tabla_Items_Activos[[#This Row],[CODIGO]],Tabla_Items_Completos[[CODIGO]:[LINEA]],2,0)</f>
        <v>#N/A</v>
      </c>
      <c r="D1153" s="1" t="e">
        <f>VLOOKUP(Tabla_Items_Activos[[#This Row],[CODIGO]],Tabla_Items_Completos[[CODIGO]:[LINEA]],3,0)</f>
        <v>#N/A</v>
      </c>
      <c r="E1153" s="1" t="e">
        <f>VLOOKUP(Tabla_Items_Activos[[#This Row],[CODIGO]],Tabla_Items_Completos[[CODIGO]:[LINEA]],4,0)</f>
        <v>#N/A</v>
      </c>
      <c r="F1153">
        <v>2443</v>
      </c>
      <c r="G1153">
        <v>75</v>
      </c>
    </row>
    <row r="1154" spans="1:7">
      <c r="A1154" t="s">
        <v>7388</v>
      </c>
      <c r="B1154" t="s">
        <v>8541</v>
      </c>
      <c r="C1154" s="1" t="e">
        <f>VLOOKUP(Tabla_Items_Activos[[#This Row],[CODIGO]],Tabla_Items_Completos[[CODIGO]:[LINEA]],2,0)</f>
        <v>#N/A</v>
      </c>
      <c r="D1154" s="1" t="e">
        <f>VLOOKUP(Tabla_Items_Activos[[#This Row],[CODIGO]],Tabla_Items_Completos[[CODIGO]:[LINEA]],3,0)</f>
        <v>#N/A</v>
      </c>
      <c r="E1154" s="1" t="e">
        <f>VLOOKUP(Tabla_Items_Activos[[#This Row],[CODIGO]],Tabla_Items_Completos[[CODIGO]:[LINEA]],4,0)</f>
        <v>#N/A</v>
      </c>
      <c r="F1154">
        <v>273</v>
      </c>
      <c r="G1154">
        <v>66</v>
      </c>
    </row>
    <row r="1155" spans="1:7">
      <c r="A1155" t="s">
        <v>7388</v>
      </c>
      <c r="B1155" t="s">
        <v>8542</v>
      </c>
      <c r="C1155" s="1" t="e">
        <f>VLOOKUP(Tabla_Items_Activos[[#This Row],[CODIGO]],Tabla_Items_Completos[[CODIGO]:[LINEA]],2,0)</f>
        <v>#N/A</v>
      </c>
      <c r="D1155" s="1" t="e">
        <f>VLOOKUP(Tabla_Items_Activos[[#This Row],[CODIGO]],Tabla_Items_Completos[[CODIGO]:[LINEA]],3,0)</f>
        <v>#N/A</v>
      </c>
      <c r="E1155" s="1" t="e">
        <f>VLOOKUP(Tabla_Items_Activos[[#This Row],[CODIGO]],Tabla_Items_Completos[[CODIGO]:[LINEA]],4,0)</f>
        <v>#N/A</v>
      </c>
      <c r="F1155">
        <v>945</v>
      </c>
      <c r="G1155">
        <v>169</v>
      </c>
    </row>
    <row r="1156" spans="1:7">
      <c r="A1156" t="s">
        <v>7388</v>
      </c>
      <c r="B1156" t="s">
        <v>8543</v>
      </c>
      <c r="C1156" s="1" t="e">
        <f>VLOOKUP(Tabla_Items_Activos[[#This Row],[CODIGO]],Tabla_Items_Completos[[CODIGO]:[LINEA]],2,0)</f>
        <v>#N/A</v>
      </c>
      <c r="D1156" s="1" t="e">
        <f>VLOOKUP(Tabla_Items_Activos[[#This Row],[CODIGO]],Tabla_Items_Completos[[CODIGO]:[LINEA]],3,0)</f>
        <v>#N/A</v>
      </c>
      <c r="E1156" s="1" t="e">
        <f>VLOOKUP(Tabla_Items_Activos[[#This Row],[CODIGO]],Tabla_Items_Completos[[CODIGO]:[LINEA]],4,0)</f>
        <v>#N/A</v>
      </c>
      <c r="F1156">
        <v>743</v>
      </c>
      <c r="G1156">
        <v>0</v>
      </c>
    </row>
    <row r="1157" spans="1:7">
      <c r="A1157" t="s">
        <v>7388</v>
      </c>
      <c r="B1157" t="s">
        <v>8544</v>
      </c>
      <c r="C1157" s="1" t="e">
        <f>VLOOKUP(Tabla_Items_Activos[[#This Row],[CODIGO]],Tabla_Items_Completos[[CODIGO]:[LINEA]],2,0)</f>
        <v>#N/A</v>
      </c>
      <c r="D1157" s="1" t="e">
        <f>VLOOKUP(Tabla_Items_Activos[[#This Row],[CODIGO]],Tabla_Items_Completos[[CODIGO]:[LINEA]],3,0)</f>
        <v>#N/A</v>
      </c>
      <c r="E1157" s="1" t="e">
        <f>VLOOKUP(Tabla_Items_Activos[[#This Row],[CODIGO]],Tabla_Items_Completos[[CODIGO]:[LINEA]],4,0)</f>
        <v>#N/A</v>
      </c>
      <c r="F1157">
        <v>1174</v>
      </c>
      <c r="G1157">
        <v>520</v>
      </c>
    </row>
    <row r="1158" spans="1:7">
      <c r="A1158" t="s">
        <v>7388</v>
      </c>
      <c r="B1158" t="s">
        <v>8545</v>
      </c>
      <c r="C1158" s="1" t="e">
        <f>VLOOKUP(Tabla_Items_Activos[[#This Row],[CODIGO]],Tabla_Items_Completos[[CODIGO]:[LINEA]],2,0)</f>
        <v>#N/A</v>
      </c>
      <c r="D1158" s="1" t="e">
        <f>VLOOKUP(Tabla_Items_Activos[[#This Row],[CODIGO]],Tabla_Items_Completos[[CODIGO]:[LINEA]],3,0)</f>
        <v>#N/A</v>
      </c>
      <c r="E1158" s="1" t="e">
        <f>VLOOKUP(Tabla_Items_Activos[[#This Row],[CODIGO]],Tabla_Items_Completos[[CODIGO]:[LINEA]],4,0)</f>
        <v>#N/A</v>
      </c>
      <c r="F1158">
        <v>111</v>
      </c>
      <c r="G1158">
        <v>50</v>
      </c>
    </row>
    <row r="1159" spans="1:7">
      <c r="A1159" t="s">
        <v>7388</v>
      </c>
      <c r="B1159" t="s">
        <v>8546</v>
      </c>
      <c r="C1159" s="1" t="e">
        <f>VLOOKUP(Tabla_Items_Activos[[#This Row],[CODIGO]],Tabla_Items_Completos[[CODIGO]:[LINEA]],2,0)</f>
        <v>#N/A</v>
      </c>
      <c r="D1159" s="1" t="e">
        <f>VLOOKUP(Tabla_Items_Activos[[#This Row],[CODIGO]],Tabla_Items_Completos[[CODIGO]:[LINEA]],3,0)</f>
        <v>#N/A</v>
      </c>
      <c r="E1159" s="1" t="e">
        <f>VLOOKUP(Tabla_Items_Activos[[#This Row],[CODIGO]],Tabla_Items_Completos[[CODIGO]:[LINEA]],4,0)</f>
        <v>#N/A</v>
      </c>
      <c r="F1159">
        <v>2</v>
      </c>
      <c r="G1159">
        <v>0</v>
      </c>
    </row>
    <row r="1160" spans="1:7">
      <c r="A1160" t="s">
        <v>7388</v>
      </c>
      <c r="B1160" t="s">
        <v>8547</v>
      </c>
      <c r="C1160" s="1" t="e">
        <f>VLOOKUP(Tabla_Items_Activos[[#This Row],[CODIGO]],Tabla_Items_Completos[[CODIGO]:[LINEA]],2,0)</f>
        <v>#N/A</v>
      </c>
      <c r="D1160" s="1" t="e">
        <f>VLOOKUP(Tabla_Items_Activos[[#This Row],[CODIGO]],Tabla_Items_Completos[[CODIGO]:[LINEA]],3,0)</f>
        <v>#N/A</v>
      </c>
      <c r="E1160" s="1" t="e">
        <f>VLOOKUP(Tabla_Items_Activos[[#This Row],[CODIGO]],Tabla_Items_Completos[[CODIGO]:[LINEA]],4,0)</f>
        <v>#N/A</v>
      </c>
      <c r="F1160">
        <v>56</v>
      </c>
      <c r="G1160">
        <v>26</v>
      </c>
    </row>
    <row r="1161" spans="1:7">
      <c r="A1161" t="s">
        <v>7388</v>
      </c>
      <c r="B1161" t="s">
        <v>8548</v>
      </c>
      <c r="C1161" s="1" t="e">
        <f>VLOOKUP(Tabla_Items_Activos[[#This Row],[CODIGO]],Tabla_Items_Completos[[CODIGO]:[LINEA]],2,0)</f>
        <v>#N/A</v>
      </c>
      <c r="D1161" s="1" t="e">
        <f>VLOOKUP(Tabla_Items_Activos[[#This Row],[CODIGO]],Tabla_Items_Completos[[CODIGO]:[LINEA]],3,0)</f>
        <v>#N/A</v>
      </c>
      <c r="E1161" s="1" t="e">
        <f>VLOOKUP(Tabla_Items_Activos[[#This Row],[CODIGO]],Tabla_Items_Completos[[CODIGO]:[LINEA]],4,0)</f>
        <v>#N/A</v>
      </c>
      <c r="F1161">
        <v>171</v>
      </c>
      <c r="G1161">
        <v>0</v>
      </c>
    </row>
    <row r="1162" spans="1:7">
      <c r="A1162" t="s">
        <v>7388</v>
      </c>
      <c r="B1162" t="s">
        <v>8549</v>
      </c>
      <c r="C1162" s="1" t="e">
        <f>VLOOKUP(Tabla_Items_Activos[[#This Row],[CODIGO]],Tabla_Items_Completos[[CODIGO]:[LINEA]],2,0)</f>
        <v>#N/A</v>
      </c>
      <c r="D1162" s="1" t="e">
        <f>VLOOKUP(Tabla_Items_Activos[[#This Row],[CODIGO]],Tabla_Items_Completos[[CODIGO]:[LINEA]],3,0)</f>
        <v>#N/A</v>
      </c>
      <c r="E1162" s="1" t="e">
        <f>VLOOKUP(Tabla_Items_Activos[[#This Row],[CODIGO]],Tabla_Items_Completos[[CODIGO]:[LINEA]],4,0)</f>
        <v>#N/A</v>
      </c>
      <c r="F1162">
        <v>162</v>
      </c>
      <c r="G1162">
        <v>100</v>
      </c>
    </row>
    <row r="1163" spans="1:7">
      <c r="A1163" t="s">
        <v>7388</v>
      </c>
      <c r="B1163" t="s">
        <v>8550</v>
      </c>
      <c r="C1163" s="1" t="e">
        <f>VLOOKUP(Tabla_Items_Activos[[#This Row],[CODIGO]],Tabla_Items_Completos[[CODIGO]:[LINEA]],2,0)</f>
        <v>#N/A</v>
      </c>
      <c r="D1163" s="1" t="e">
        <f>VLOOKUP(Tabla_Items_Activos[[#This Row],[CODIGO]],Tabla_Items_Completos[[CODIGO]:[LINEA]],3,0)</f>
        <v>#N/A</v>
      </c>
      <c r="E1163" s="1" t="e">
        <f>VLOOKUP(Tabla_Items_Activos[[#This Row],[CODIGO]],Tabla_Items_Completos[[CODIGO]:[LINEA]],4,0)</f>
        <v>#N/A</v>
      </c>
      <c r="F1163">
        <v>120</v>
      </c>
      <c r="G1163">
        <v>0</v>
      </c>
    </row>
    <row r="1164" spans="1:7">
      <c r="A1164" t="s">
        <v>7388</v>
      </c>
      <c r="B1164" t="s">
        <v>8551</v>
      </c>
      <c r="C1164" s="1" t="e">
        <f>VLOOKUP(Tabla_Items_Activos[[#This Row],[CODIGO]],Tabla_Items_Completos[[CODIGO]:[LINEA]],2,0)</f>
        <v>#N/A</v>
      </c>
      <c r="D1164" s="1" t="e">
        <f>VLOOKUP(Tabla_Items_Activos[[#This Row],[CODIGO]],Tabla_Items_Completos[[CODIGO]:[LINEA]],3,0)</f>
        <v>#N/A</v>
      </c>
      <c r="E1164" s="1" t="e">
        <f>VLOOKUP(Tabla_Items_Activos[[#This Row],[CODIGO]],Tabla_Items_Completos[[CODIGO]:[LINEA]],4,0)</f>
        <v>#N/A</v>
      </c>
      <c r="F1164">
        <v>35</v>
      </c>
      <c r="G1164">
        <v>59</v>
      </c>
    </row>
    <row r="1165" spans="1:7">
      <c r="A1165" t="s">
        <v>7388</v>
      </c>
      <c r="B1165" t="s">
        <v>8552</v>
      </c>
      <c r="C1165" s="1" t="e">
        <f>VLOOKUP(Tabla_Items_Activos[[#This Row],[CODIGO]],Tabla_Items_Completos[[CODIGO]:[LINEA]],2,0)</f>
        <v>#N/A</v>
      </c>
      <c r="D1165" s="1" t="e">
        <f>VLOOKUP(Tabla_Items_Activos[[#This Row],[CODIGO]],Tabla_Items_Completos[[CODIGO]:[LINEA]],3,0)</f>
        <v>#N/A</v>
      </c>
      <c r="E1165" s="1" t="e">
        <f>VLOOKUP(Tabla_Items_Activos[[#This Row],[CODIGO]],Tabla_Items_Completos[[CODIGO]:[LINEA]],4,0)</f>
        <v>#N/A</v>
      </c>
      <c r="F1165">
        <v>95</v>
      </c>
      <c r="G1165">
        <v>129</v>
      </c>
    </row>
    <row r="1166" spans="1:7">
      <c r="A1166" t="s">
        <v>7388</v>
      </c>
      <c r="B1166" t="s">
        <v>8553</v>
      </c>
      <c r="C1166" s="1" t="e">
        <f>VLOOKUP(Tabla_Items_Activos[[#This Row],[CODIGO]],Tabla_Items_Completos[[CODIGO]:[LINEA]],2,0)</f>
        <v>#N/A</v>
      </c>
      <c r="D1166" s="1" t="e">
        <f>VLOOKUP(Tabla_Items_Activos[[#This Row],[CODIGO]],Tabla_Items_Completos[[CODIGO]:[LINEA]],3,0)</f>
        <v>#N/A</v>
      </c>
      <c r="E1166" s="1" t="e">
        <f>VLOOKUP(Tabla_Items_Activos[[#This Row],[CODIGO]],Tabla_Items_Completos[[CODIGO]:[LINEA]],4,0)</f>
        <v>#N/A</v>
      </c>
      <c r="F1166">
        <v>6</v>
      </c>
      <c r="G1166">
        <v>0</v>
      </c>
    </row>
    <row r="1167" spans="1:7">
      <c r="A1167" t="s">
        <v>7388</v>
      </c>
      <c r="B1167" t="s">
        <v>8554</v>
      </c>
      <c r="C1167" s="1" t="e">
        <f>VLOOKUP(Tabla_Items_Activos[[#This Row],[CODIGO]],Tabla_Items_Completos[[CODIGO]:[LINEA]],2,0)</f>
        <v>#N/A</v>
      </c>
      <c r="D1167" s="1" t="e">
        <f>VLOOKUP(Tabla_Items_Activos[[#This Row],[CODIGO]],Tabla_Items_Completos[[CODIGO]:[LINEA]],3,0)</f>
        <v>#N/A</v>
      </c>
      <c r="E1167" s="1" t="e">
        <f>VLOOKUP(Tabla_Items_Activos[[#This Row],[CODIGO]],Tabla_Items_Completos[[CODIGO]:[LINEA]],4,0)</f>
        <v>#N/A</v>
      </c>
      <c r="F1167">
        <v>70</v>
      </c>
      <c r="G1167">
        <v>0</v>
      </c>
    </row>
    <row r="1168" spans="1:7">
      <c r="A1168" t="s">
        <v>7388</v>
      </c>
      <c r="B1168" t="s">
        <v>8555</v>
      </c>
      <c r="C1168" s="1" t="e">
        <f>VLOOKUP(Tabla_Items_Activos[[#This Row],[CODIGO]],Tabla_Items_Completos[[CODIGO]:[LINEA]],2,0)</f>
        <v>#N/A</v>
      </c>
      <c r="D1168" s="1" t="e">
        <f>VLOOKUP(Tabla_Items_Activos[[#This Row],[CODIGO]],Tabla_Items_Completos[[CODIGO]:[LINEA]],3,0)</f>
        <v>#N/A</v>
      </c>
      <c r="E1168" s="1" t="e">
        <f>VLOOKUP(Tabla_Items_Activos[[#This Row],[CODIGO]],Tabla_Items_Completos[[CODIGO]:[LINEA]],4,0)</f>
        <v>#N/A</v>
      </c>
      <c r="F1168">
        <v>90</v>
      </c>
      <c r="G1168">
        <v>0</v>
      </c>
    </row>
    <row r="1169" spans="1:7">
      <c r="A1169" t="s">
        <v>7388</v>
      </c>
      <c r="B1169" t="s">
        <v>8556</v>
      </c>
      <c r="C1169" s="1" t="e">
        <f>VLOOKUP(Tabla_Items_Activos[[#This Row],[CODIGO]],Tabla_Items_Completos[[CODIGO]:[LINEA]],2,0)</f>
        <v>#N/A</v>
      </c>
      <c r="D1169" s="1" t="e">
        <f>VLOOKUP(Tabla_Items_Activos[[#This Row],[CODIGO]],Tabla_Items_Completos[[CODIGO]:[LINEA]],3,0)</f>
        <v>#N/A</v>
      </c>
      <c r="E1169" s="1" t="e">
        <f>VLOOKUP(Tabla_Items_Activos[[#This Row],[CODIGO]],Tabla_Items_Completos[[CODIGO]:[LINEA]],4,0)</f>
        <v>#N/A</v>
      </c>
      <c r="F1169">
        <v>62</v>
      </c>
      <c r="G1169">
        <v>0</v>
      </c>
    </row>
    <row r="1170" spans="1:7">
      <c r="A1170" t="s">
        <v>7388</v>
      </c>
      <c r="B1170" t="s">
        <v>8557</v>
      </c>
      <c r="C1170" s="1" t="e">
        <f>VLOOKUP(Tabla_Items_Activos[[#This Row],[CODIGO]],Tabla_Items_Completos[[CODIGO]:[LINEA]],2,0)</f>
        <v>#N/A</v>
      </c>
      <c r="D1170" s="1" t="e">
        <f>VLOOKUP(Tabla_Items_Activos[[#This Row],[CODIGO]],Tabla_Items_Completos[[CODIGO]:[LINEA]],3,0)</f>
        <v>#N/A</v>
      </c>
      <c r="E1170" s="1" t="e">
        <f>VLOOKUP(Tabla_Items_Activos[[#This Row],[CODIGO]],Tabla_Items_Completos[[CODIGO]:[LINEA]],4,0)</f>
        <v>#N/A</v>
      </c>
      <c r="F1170">
        <v>49</v>
      </c>
      <c r="G1170">
        <v>0</v>
      </c>
    </row>
    <row r="1171" spans="1:7">
      <c r="A1171" t="s">
        <v>7388</v>
      </c>
      <c r="B1171" t="s">
        <v>8558</v>
      </c>
      <c r="C1171" s="1" t="e">
        <f>VLOOKUP(Tabla_Items_Activos[[#This Row],[CODIGO]],Tabla_Items_Completos[[CODIGO]:[LINEA]],2,0)</f>
        <v>#N/A</v>
      </c>
      <c r="D1171" s="1" t="e">
        <f>VLOOKUP(Tabla_Items_Activos[[#This Row],[CODIGO]],Tabla_Items_Completos[[CODIGO]:[LINEA]],3,0)</f>
        <v>#N/A</v>
      </c>
      <c r="E1171" s="1" t="e">
        <f>VLOOKUP(Tabla_Items_Activos[[#This Row],[CODIGO]],Tabla_Items_Completos[[CODIGO]:[LINEA]],4,0)</f>
        <v>#N/A</v>
      </c>
      <c r="F1171">
        <v>43</v>
      </c>
      <c r="G1171">
        <v>0</v>
      </c>
    </row>
    <row r="1172" spans="1:7">
      <c r="A1172" t="s">
        <v>7388</v>
      </c>
      <c r="B1172" t="s">
        <v>8559</v>
      </c>
      <c r="C1172" s="1" t="e">
        <f>VLOOKUP(Tabla_Items_Activos[[#This Row],[CODIGO]],Tabla_Items_Completos[[CODIGO]:[LINEA]],2,0)</f>
        <v>#N/A</v>
      </c>
      <c r="D1172" s="1" t="e">
        <f>VLOOKUP(Tabla_Items_Activos[[#This Row],[CODIGO]],Tabla_Items_Completos[[CODIGO]:[LINEA]],3,0)</f>
        <v>#N/A</v>
      </c>
      <c r="E1172" s="1" t="e">
        <f>VLOOKUP(Tabla_Items_Activos[[#This Row],[CODIGO]],Tabla_Items_Completos[[CODIGO]:[LINEA]],4,0)</f>
        <v>#N/A</v>
      </c>
      <c r="F1172">
        <v>258</v>
      </c>
      <c r="G1172">
        <v>0</v>
      </c>
    </row>
    <row r="1173" spans="1:7">
      <c r="A1173" t="s">
        <v>7388</v>
      </c>
      <c r="B1173" t="s">
        <v>8560</v>
      </c>
      <c r="C1173" s="1" t="e">
        <f>VLOOKUP(Tabla_Items_Activos[[#This Row],[CODIGO]],Tabla_Items_Completos[[CODIGO]:[LINEA]],2,0)</f>
        <v>#N/A</v>
      </c>
      <c r="D1173" s="1" t="e">
        <f>VLOOKUP(Tabla_Items_Activos[[#This Row],[CODIGO]],Tabla_Items_Completos[[CODIGO]:[LINEA]],3,0)</f>
        <v>#N/A</v>
      </c>
      <c r="E1173" s="1" t="e">
        <f>VLOOKUP(Tabla_Items_Activos[[#This Row],[CODIGO]],Tabla_Items_Completos[[CODIGO]:[LINEA]],4,0)</f>
        <v>#N/A</v>
      </c>
      <c r="F1173">
        <v>165</v>
      </c>
      <c r="G1173">
        <v>0</v>
      </c>
    </row>
    <row r="1174" spans="1:7">
      <c r="A1174" t="s">
        <v>7388</v>
      </c>
      <c r="B1174" t="s">
        <v>8561</v>
      </c>
      <c r="C1174" s="1" t="e">
        <f>VLOOKUP(Tabla_Items_Activos[[#This Row],[CODIGO]],Tabla_Items_Completos[[CODIGO]:[LINEA]],2,0)</f>
        <v>#N/A</v>
      </c>
      <c r="D1174" s="1" t="e">
        <f>VLOOKUP(Tabla_Items_Activos[[#This Row],[CODIGO]],Tabla_Items_Completos[[CODIGO]:[LINEA]],3,0)</f>
        <v>#N/A</v>
      </c>
      <c r="E1174" s="1" t="e">
        <f>VLOOKUP(Tabla_Items_Activos[[#This Row],[CODIGO]],Tabla_Items_Completos[[CODIGO]:[LINEA]],4,0)</f>
        <v>#N/A</v>
      </c>
      <c r="F1174">
        <v>69</v>
      </c>
      <c r="G1174">
        <v>0</v>
      </c>
    </row>
    <row r="1175" spans="1:7">
      <c r="A1175" t="s">
        <v>7388</v>
      </c>
      <c r="B1175" t="s">
        <v>8562</v>
      </c>
      <c r="C1175" s="1" t="e">
        <f>VLOOKUP(Tabla_Items_Activos[[#This Row],[CODIGO]],Tabla_Items_Completos[[CODIGO]:[LINEA]],2,0)</f>
        <v>#N/A</v>
      </c>
      <c r="D1175" s="1" t="e">
        <f>VLOOKUP(Tabla_Items_Activos[[#This Row],[CODIGO]],Tabla_Items_Completos[[CODIGO]:[LINEA]],3,0)</f>
        <v>#N/A</v>
      </c>
      <c r="E1175" s="1" t="e">
        <f>VLOOKUP(Tabla_Items_Activos[[#This Row],[CODIGO]],Tabla_Items_Completos[[CODIGO]:[LINEA]],4,0)</f>
        <v>#N/A</v>
      </c>
      <c r="F1175">
        <v>26</v>
      </c>
      <c r="G1175">
        <v>0</v>
      </c>
    </row>
    <row r="1176" spans="1:7">
      <c r="A1176" t="s">
        <v>7388</v>
      </c>
      <c r="B1176" t="s">
        <v>8563</v>
      </c>
      <c r="C1176" s="1" t="e">
        <f>VLOOKUP(Tabla_Items_Activos[[#This Row],[CODIGO]],Tabla_Items_Completos[[CODIGO]:[LINEA]],2,0)</f>
        <v>#N/A</v>
      </c>
      <c r="D1176" s="1" t="e">
        <f>VLOOKUP(Tabla_Items_Activos[[#This Row],[CODIGO]],Tabla_Items_Completos[[CODIGO]:[LINEA]],3,0)</f>
        <v>#N/A</v>
      </c>
      <c r="E1176" s="1" t="e">
        <f>VLOOKUP(Tabla_Items_Activos[[#This Row],[CODIGO]],Tabla_Items_Completos[[CODIGO]:[LINEA]],4,0)</f>
        <v>#N/A</v>
      </c>
      <c r="F1176">
        <v>79</v>
      </c>
      <c r="G1176">
        <v>0</v>
      </c>
    </row>
    <row r="1177" spans="1:7">
      <c r="A1177" t="s">
        <v>7388</v>
      </c>
      <c r="B1177" t="s">
        <v>8564</v>
      </c>
      <c r="C1177" s="1" t="e">
        <f>VLOOKUP(Tabla_Items_Activos[[#This Row],[CODIGO]],Tabla_Items_Completos[[CODIGO]:[LINEA]],2,0)</f>
        <v>#N/A</v>
      </c>
      <c r="D1177" s="1" t="e">
        <f>VLOOKUP(Tabla_Items_Activos[[#This Row],[CODIGO]],Tabla_Items_Completos[[CODIGO]:[LINEA]],3,0)</f>
        <v>#N/A</v>
      </c>
      <c r="E1177" s="1" t="e">
        <f>VLOOKUP(Tabla_Items_Activos[[#This Row],[CODIGO]],Tabla_Items_Completos[[CODIGO]:[LINEA]],4,0)</f>
        <v>#N/A</v>
      </c>
      <c r="F1177">
        <v>79</v>
      </c>
      <c r="G1177">
        <v>0</v>
      </c>
    </row>
    <row r="1178" spans="1:7">
      <c r="A1178" t="s">
        <v>7388</v>
      </c>
      <c r="B1178" t="s">
        <v>8565</v>
      </c>
      <c r="C1178" s="1" t="e">
        <f>VLOOKUP(Tabla_Items_Activos[[#This Row],[CODIGO]],Tabla_Items_Completos[[CODIGO]:[LINEA]],2,0)</f>
        <v>#N/A</v>
      </c>
      <c r="D1178" s="1" t="e">
        <f>VLOOKUP(Tabla_Items_Activos[[#This Row],[CODIGO]],Tabla_Items_Completos[[CODIGO]:[LINEA]],3,0)</f>
        <v>#N/A</v>
      </c>
      <c r="E1178" s="1" t="e">
        <f>VLOOKUP(Tabla_Items_Activos[[#This Row],[CODIGO]],Tabla_Items_Completos[[CODIGO]:[LINEA]],4,0)</f>
        <v>#N/A</v>
      </c>
      <c r="F1178">
        <v>29</v>
      </c>
      <c r="G1178">
        <v>0</v>
      </c>
    </row>
    <row r="1179" spans="1:7">
      <c r="A1179" t="s">
        <v>7388</v>
      </c>
      <c r="B1179" t="s">
        <v>8566</v>
      </c>
      <c r="C1179" s="1" t="e">
        <f>VLOOKUP(Tabla_Items_Activos[[#This Row],[CODIGO]],Tabla_Items_Completos[[CODIGO]:[LINEA]],2,0)</f>
        <v>#N/A</v>
      </c>
      <c r="D1179" s="1" t="e">
        <f>VLOOKUP(Tabla_Items_Activos[[#This Row],[CODIGO]],Tabla_Items_Completos[[CODIGO]:[LINEA]],3,0)</f>
        <v>#N/A</v>
      </c>
      <c r="E1179" s="1" t="e">
        <f>VLOOKUP(Tabla_Items_Activos[[#This Row],[CODIGO]],Tabla_Items_Completos[[CODIGO]:[LINEA]],4,0)</f>
        <v>#N/A</v>
      </c>
      <c r="F1179">
        <v>8</v>
      </c>
      <c r="G1179">
        <v>0</v>
      </c>
    </row>
    <row r="1180" spans="1:7">
      <c r="A1180" t="s">
        <v>7388</v>
      </c>
      <c r="B1180" t="s">
        <v>8567</v>
      </c>
      <c r="C1180" s="1" t="e">
        <f>VLOOKUP(Tabla_Items_Activos[[#This Row],[CODIGO]],Tabla_Items_Completos[[CODIGO]:[LINEA]],2,0)</f>
        <v>#N/A</v>
      </c>
      <c r="D1180" s="1" t="e">
        <f>VLOOKUP(Tabla_Items_Activos[[#This Row],[CODIGO]],Tabla_Items_Completos[[CODIGO]:[LINEA]],3,0)</f>
        <v>#N/A</v>
      </c>
      <c r="E1180" s="1" t="e">
        <f>VLOOKUP(Tabla_Items_Activos[[#This Row],[CODIGO]],Tabla_Items_Completos[[CODIGO]:[LINEA]],4,0)</f>
        <v>#N/A</v>
      </c>
      <c r="F1180">
        <v>102</v>
      </c>
      <c r="G1180">
        <v>0</v>
      </c>
    </row>
    <row r="1181" spans="1:7">
      <c r="A1181" t="s">
        <v>7388</v>
      </c>
      <c r="B1181" t="s">
        <v>8568</v>
      </c>
      <c r="C1181" s="1" t="e">
        <f>VLOOKUP(Tabla_Items_Activos[[#This Row],[CODIGO]],Tabla_Items_Completos[[CODIGO]:[LINEA]],2,0)</f>
        <v>#N/A</v>
      </c>
      <c r="D1181" s="1" t="e">
        <f>VLOOKUP(Tabla_Items_Activos[[#This Row],[CODIGO]],Tabla_Items_Completos[[CODIGO]:[LINEA]],3,0)</f>
        <v>#N/A</v>
      </c>
      <c r="E1181" s="1" t="e">
        <f>VLOOKUP(Tabla_Items_Activos[[#This Row],[CODIGO]],Tabla_Items_Completos[[CODIGO]:[LINEA]],4,0)</f>
        <v>#N/A</v>
      </c>
      <c r="F1181">
        <v>65</v>
      </c>
      <c r="G1181">
        <v>0</v>
      </c>
    </row>
    <row r="1182" spans="1:7">
      <c r="A1182" t="s">
        <v>7388</v>
      </c>
      <c r="B1182" t="s">
        <v>8569</v>
      </c>
      <c r="C1182" s="1" t="e">
        <f>VLOOKUP(Tabla_Items_Activos[[#This Row],[CODIGO]],Tabla_Items_Completos[[CODIGO]:[LINEA]],2,0)</f>
        <v>#N/A</v>
      </c>
      <c r="D1182" s="1" t="e">
        <f>VLOOKUP(Tabla_Items_Activos[[#This Row],[CODIGO]],Tabla_Items_Completos[[CODIGO]:[LINEA]],3,0)</f>
        <v>#N/A</v>
      </c>
      <c r="E1182" s="1" t="e">
        <f>VLOOKUP(Tabla_Items_Activos[[#This Row],[CODIGO]],Tabla_Items_Completos[[CODIGO]:[LINEA]],4,0)</f>
        <v>#N/A</v>
      </c>
      <c r="F1182">
        <v>205</v>
      </c>
      <c r="G1182">
        <v>0</v>
      </c>
    </row>
    <row r="1183" spans="1:7">
      <c r="A1183" t="s">
        <v>7388</v>
      </c>
      <c r="B1183" t="s">
        <v>8570</v>
      </c>
      <c r="C1183" s="1" t="e">
        <f>VLOOKUP(Tabla_Items_Activos[[#This Row],[CODIGO]],Tabla_Items_Completos[[CODIGO]:[LINEA]],2,0)</f>
        <v>#N/A</v>
      </c>
      <c r="D1183" s="1" t="e">
        <f>VLOOKUP(Tabla_Items_Activos[[#This Row],[CODIGO]],Tabla_Items_Completos[[CODIGO]:[LINEA]],3,0)</f>
        <v>#N/A</v>
      </c>
      <c r="E1183" s="1" t="e">
        <f>VLOOKUP(Tabla_Items_Activos[[#This Row],[CODIGO]],Tabla_Items_Completos[[CODIGO]:[LINEA]],4,0)</f>
        <v>#N/A</v>
      </c>
      <c r="F1183">
        <v>116</v>
      </c>
      <c r="G1183">
        <v>204</v>
      </c>
    </row>
    <row r="1184" spans="1:7">
      <c r="A1184" t="s">
        <v>7388</v>
      </c>
      <c r="B1184" t="s">
        <v>8571</v>
      </c>
      <c r="C1184" s="1" t="e">
        <f>VLOOKUP(Tabla_Items_Activos[[#This Row],[CODIGO]],Tabla_Items_Completos[[CODIGO]:[LINEA]],2,0)</f>
        <v>#N/A</v>
      </c>
      <c r="D1184" s="1" t="e">
        <f>VLOOKUP(Tabla_Items_Activos[[#This Row],[CODIGO]],Tabla_Items_Completos[[CODIGO]:[LINEA]],3,0)</f>
        <v>#N/A</v>
      </c>
      <c r="E1184" s="1" t="e">
        <f>VLOOKUP(Tabla_Items_Activos[[#This Row],[CODIGO]],Tabla_Items_Completos[[CODIGO]:[LINEA]],4,0)</f>
        <v>#N/A</v>
      </c>
      <c r="F1184">
        <v>153</v>
      </c>
      <c r="G1184">
        <v>22</v>
      </c>
    </row>
    <row r="1185" spans="1:7">
      <c r="A1185" t="s">
        <v>7388</v>
      </c>
      <c r="B1185" t="s">
        <v>8572</v>
      </c>
      <c r="C1185" s="1" t="e">
        <f>VLOOKUP(Tabla_Items_Activos[[#This Row],[CODIGO]],Tabla_Items_Completos[[CODIGO]:[LINEA]],2,0)</f>
        <v>#N/A</v>
      </c>
      <c r="D1185" s="1" t="e">
        <f>VLOOKUP(Tabla_Items_Activos[[#This Row],[CODIGO]],Tabla_Items_Completos[[CODIGO]:[LINEA]],3,0)</f>
        <v>#N/A</v>
      </c>
      <c r="E1185" s="1" t="e">
        <f>VLOOKUP(Tabla_Items_Activos[[#This Row],[CODIGO]],Tabla_Items_Completos[[CODIGO]:[LINEA]],4,0)</f>
        <v>#N/A</v>
      </c>
      <c r="F1185">
        <v>197</v>
      </c>
      <c r="G1185">
        <v>115</v>
      </c>
    </row>
    <row r="1186" spans="1:7">
      <c r="A1186" t="s">
        <v>7388</v>
      </c>
      <c r="B1186" t="s">
        <v>8573</v>
      </c>
      <c r="C1186" s="1" t="e">
        <f>VLOOKUP(Tabla_Items_Activos[[#This Row],[CODIGO]],Tabla_Items_Completos[[CODIGO]:[LINEA]],2,0)</f>
        <v>#N/A</v>
      </c>
      <c r="D1186" s="1" t="e">
        <f>VLOOKUP(Tabla_Items_Activos[[#This Row],[CODIGO]],Tabla_Items_Completos[[CODIGO]:[LINEA]],3,0)</f>
        <v>#N/A</v>
      </c>
      <c r="E1186" s="1" t="e">
        <f>VLOOKUP(Tabla_Items_Activos[[#This Row],[CODIGO]],Tabla_Items_Completos[[CODIGO]:[LINEA]],4,0)</f>
        <v>#N/A</v>
      </c>
      <c r="F1186">
        <v>117</v>
      </c>
      <c r="G1186">
        <v>208</v>
      </c>
    </row>
    <row r="1187" spans="1:7">
      <c r="A1187" t="s">
        <v>7388</v>
      </c>
      <c r="B1187" t="s">
        <v>8574</v>
      </c>
      <c r="C1187" s="1" t="e">
        <f>VLOOKUP(Tabla_Items_Activos[[#This Row],[CODIGO]],Tabla_Items_Completos[[CODIGO]:[LINEA]],2,0)</f>
        <v>#N/A</v>
      </c>
      <c r="D1187" s="1" t="e">
        <f>VLOOKUP(Tabla_Items_Activos[[#This Row],[CODIGO]],Tabla_Items_Completos[[CODIGO]:[LINEA]],3,0)</f>
        <v>#N/A</v>
      </c>
      <c r="E1187" s="1" t="e">
        <f>VLOOKUP(Tabla_Items_Activos[[#This Row],[CODIGO]],Tabla_Items_Completos[[CODIGO]:[LINEA]],4,0)</f>
        <v>#N/A</v>
      </c>
      <c r="F1187">
        <v>159</v>
      </c>
      <c r="G1187">
        <v>42</v>
      </c>
    </row>
    <row r="1188" spans="1:7">
      <c r="A1188" t="s">
        <v>7388</v>
      </c>
      <c r="B1188" t="s">
        <v>8575</v>
      </c>
      <c r="C1188" s="1" t="e">
        <f>VLOOKUP(Tabla_Items_Activos[[#This Row],[CODIGO]],Tabla_Items_Completos[[CODIGO]:[LINEA]],2,0)</f>
        <v>#N/A</v>
      </c>
      <c r="D1188" s="1" t="e">
        <f>VLOOKUP(Tabla_Items_Activos[[#This Row],[CODIGO]],Tabla_Items_Completos[[CODIGO]:[LINEA]],3,0)</f>
        <v>#N/A</v>
      </c>
      <c r="E1188" s="1" t="e">
        <f>VLOOKUP(Tabla_Items_Activos[[#This Row],[CODIGO]],Tabla_Items_Completos[[CODIGO]:[LINEA]],4,0)</f>
        <v>#N/A</v>
      </c>
      <c r="F1188">
        <v>142</v>
      </c>
      <c r="G1188">
        <v>49</v>
      </c>
    </row>
    <row r="1189" spans="1:7">
      <c r="A1189" t="s">
        <v>7388</v>
      </c>
      <c r="B1189" t="s">
        <v>8576</v>
      </c>
      <c r="C1189" s="1" t="e">
        <f>VLOOKUP(Tabla_Items_Activos[[#This Row],[CODIGO]],Tabla_Items_Completos[[CODIGO]:[LINEA]],2,0)</f>
        <v>#N/A</v>
      </c>
      <c r="D1189" s="1" t="e">
        <f>VLOOKUP(Tabla_Items_Activos[[#This Row],[CODIGO]],Tabla_Items_Completos[[CODIGO]:[LINEA]],3,0)</f>
        <v>#N/A</v>
      </c>
      <c r="E1189" s="1" t="e">
        <f>VLOOKUP(Tabla_Items_Activos[[#This Row],[CODIGO]],Tabla_Items_Completos[[CODIGO]:[LINEA]],4,0)</f>
        <v>#N/A</v>
      </c>
      <c r="F1189">
        <v>38</v>
      </c>
      <c r="G1189">
        <v>72</v>
      </c>
    </row>
    <row r="1190" spans="1:7">
      <c r="A1190" t="s">
        <v>7388</v>
      </c>
      <c r="B1190" t="s">
        <v>8577</v>
      </c>
      <c r="C1190" s="1" t="e">
        <f>VLOOKUP(Tabla_Items_Activos[[#This Row],[CODIGO]],Tabla_Items_Completos[[CODIGO]:[LINEA]],2,0)</f>
        <v>#N/A</v>
      </c>
      <c r="D1190" s="1" t="e">
        <f>VLOOKUP(Tabla_Items_Activos[[#This Row],[CODIGO]],Tabla_Items_Completos[[CODIGO]:[LINEA]],3,0)</f>
        <v>#N/A</v>
      </c>
      <c r="E1190" s="1" t="e">
        <f>VLOOKUP(Tabla_Items_Activos[[#This Row],[CODIGO]],Tabla_Items_Completos[[CODIGO]:[LINEA]],4,0)</f>
        <v>#N/A</v>
      </c>
      <c r="F1190">
        <v>169</v>
      </c>
      <c r="G1190">
        <v>0</v>
      </c>
    </row>
    <row r="1191" spans="1:7">
      <c r="A1191" t="s">
        <v>7388</v>
      </c>
      <c r="B1191" t="s">
        <v>8578</v>
      </c>
      <c r="C1191" s="1" t="e">
        <f>VLOOKUP(Tabla_Items_Activos[[#This Row],[CODIGO]],Tabla_Items_Completos[[CODIGO]:[LINEA]],2,0)</f>
        <v>#N/A</v>
      </c>
      <c r="D1191" s="1" t="e">
        <f>VLOOKUP(Tabla_Items_Activos[[#This Row],[CODIGO]],Tabla_Items_Completos[[CODIGO]:[LINEA]],3,0)</f>
        <v>#N/A</v>
      </c>
      <c r="E1191" s="1" t="e">
        <f>VLOOKUP(Tabla_Items_Activos[[#This Row],[CODIGO]],Tabla_Items_Completos[[CODIGO]:[LINEA]],4,0)</f>
        <v>#N/A</v>
      </c>
      <c r="F1191">
        <v>195</v>
      </c>
      <c r="G1191">
        <v>0</v>
      </c>
    </row>
    <row r="1192" spans="1:7">
      <c r="A1192" t="s">
        <v>7388</v>
      </c>
      <c r="B1192" t="s">
        <v>8579</v>
      </c>
      <c r="C1192" s="1" t="e">
        <f>VLOOKUP(Tabla_Items_Activos[[#This Row],[CODIGO]],Tabla_Items_Completos[[CODIGO]:[LINEA]],2,0)</f>
        <v>#N/A</v>
      </c>
      <c r="D1192" s="1" t="e">
        <f>VLOOKUP(Tabla_Items_Activos[[#This Row],[CODIGO]],Tabla_Items_Completos[[CODIGO]:[LINEA]],3,0)</f>
        <v>#N/A</v>
      </c>
      <c r="E1192" s="1" t="e">
        <f>VLOOKUP(Tabla_Items_Activos[[#This Row],[CODIGO]],Tabla_Items_Completos[[CODIGO]:[LINEA]],4,0)</f>
        <v>#N/A</v>
      </c>
      <c r="F1192">
        <v>190</v>
      </c>
      <c r="G1192">
        <v>45</v>
      </c>
    </row>
    <row r="1193" spans="1:7">
      <c r="A1193" t="s">
        <v>7388</v>
      </c>
      <c r="B1193" t="s">
        <v>8580</v>
      </c>
      <c r="C1193" s="1" t="e">
        <f>VLOOKUP(Tabla_Items_Activos[[#This Row],[CODIGO]],Tabla_Items_Completos[[CODIGO]:[LINEA]],2,0)</f>
        <v>#N/A</v>
      </c>
      <c r="D1193" s="1" t="e">
        <f>VLOOKUP(Tabla_Items_Activos[[#This Row],[CODIGO]],Tabla_Items_Completos[[CODIGO]:[LINEA]],3,0)</f>
        <v>#N/A</v>
      </c>
      <c r="E1193" s="1" t="e">
        <f>VLOOKUP(Tabla_Items_Activos[[#This Row],[CODIGO]],Tabla_Items_Completos[[CODIGO]:[LINEA]],4,0)</f>
        <v>#N/A</v>
      </c>
      <c r="F1193">
        <v>931</v>
      </c>
      <c r="G1193">
        <v>96</v>
      </c>
    </row>
    <row r="1194" spans="1:7">
      <c r="A1194" t="s">
        <v>7388</v>
      </c>
      <c r="B1194" t="s">
        <v>8581</v>
      </c>
      <c r="C1194" s="1" t="e">
        <f>VLOOKUP(Tabla_Items_Activos[[#This Row],[CODIGO]],Tabla_Items_Completos[[CODIGO]:[LINEA]],2,0)</f>
        <v>#N/A</v>
      </c>
      <c r="D1194" s="1" t="e">
        <f>VLOOKUP(Tabla_Items_Activos[[#This Row],[CODIGO]],Tabla_Items_Completos[[CODIGO]:[LINEA]],3,0)</f>
        <v>#N/A</v>
      </c>
      <c r="E1194" s="1" t="e">
        <f>VLOOKUP(Tabla_Items_Activos[[#This Row],[CODIGO]],Tabla_Items_Completos[[CODIGO]:[LINEA]],4,0)</f>
        <v>#N/A</v>
      </c>
      <c r="F1194">
        <v>452</v>
      </c>
      <c r="G1194">
        <v>84</v>
      </c>
    </row>
    <row r="1195" spans="1:7">
      <c r="A1195" t="s">
        <v>7388</v>
      </c>
      <c r="B1195" t="s">
        <v>8582</v>
      </c>
      <c r="C1195" s="1" t="e">
        <f>VLOOKUP(Tabla_Items_Activos[[#This Row],[CODIGO]],Tabla_Items_Completos[[CODIGO]:[LINEA]],2,0)</f>
        <v>#N/A</v>
      </c>
      <c r="D1195" s="1" t="e">
        <f>VLOOKUP(Tabla_Items_Activos[[#This Row],[CODIGO]],Tabla_Items_Completos[[CODIGO]:[LINEA]],3,0)</f>
        <v>#N/A</v>
      </c>
      <c r="E1195" s="1" t="e">
        <f>VLOOKUP(Tabla_Items_Activos[[#This Row],[CODIGO]],Tabla_Items_Completos[[CODIGO]:[LINEA]],4,0)</f>
        <v>#N/A</v>
      </c>
      <c r="F1195">
        <v>379</v>
      </c>
      <c r="G1195">
        <v>51</v>
      </c>
    </row>
    <row r="1196" spans="1:7">
      <c r="A1196" t="s">
        <v>7388</v>
      </c>
      <c r="B1196" t="s">
        <v>8583</v>
      </c>
      <c r="C1196" s="1" t="e">
        <f>VLOOKUP(Tabla_Items_Activos[[#This Row],[CODIGO]],Tabla_Items_Completos[[CODIGO]:[LINEA]],2,0)</f>
        <v>#N/A</v>
      </c>
      <c r="D1196" s="1" t="e">
        <f>VLOOKUP(Tabla_Items_Activos[[#This Row],[CODIGO]],Tabla_Items_Completos[[CODIGO]:[LINEA]],3,0)</f>
        <v>#N/A</v>
      </c>
      <c r="E1196" s="1" t="e">
        <f>VLOOKUP(Tabla_Items_Activos[[#This Row],[CODIGO]],Tabla_Items_Completos[[CODIGO]:[LINEA]],4,0)</f>
        <v>#N/A</v>
      </c>
      <c r="F1196">
        <v>137</v>
      </c>
      <c r="G1196">
        <v>65</v>
      </c>
    </row>
    <row r="1197" spans="1:7">
      <c r="A1197" t="s">
        <v>7388</v>
      </c>
      <c r="B1197" t="s">
        <v>8584</v>
      </c>
      <c r="C1197" s="1" t="e">
        <f>VLOOKUP(Tabla_Items_Activos[[#This Row],[CODIGO]],Tabla_Items_Completos[[CODIGO]:[LINEA]],2,0)</f>
        <v>#N/A</v>
      </c>
      <c r="D1197" s="1" t="e">
        <f>VLOOKUP(Tabla_Items_Activos[[#This Row],[CODIGO]],Tabla_Items_Completos[[CODIGO]:[LINEA]],3,0)</f>
        <v>#N/A</v>
      </c>
      <c r="E1197" s="1" t="e">
        <f>VLOOKUP(Tabla_Items_Activos[[#This Row],[CODIGO]],Tabla_Items_Completos[[CODIGO]:[LINEA]],4,0)</f>
        <v>#N/A</v>
      </c>
      <c r="F1197">
        <v>925</v>
      </c>
      <c r="G1197">
        <v>0</v>
      </c>
    </row>
    <row r="1198" spans="1:7">
      <c r="A1198" t="s">
        <v>7388</v>
      </c>
      <c r="B1198" t="s">
        <v>8585</v>
      </c>
      <c r="C1198" s="1" t="e">
        <f>VLOOKUP(Tabla_Items_Activos[[#This Row],[CODIGO]],Tabla_Items_Completos[[CODIGO]:[LINEA]],2,0)</f>
        <v>#N/A</v>
      </c>
      <c r="D1198" s="1" t="e">
        <f>VLOOKUP(Tabla_Items_Activos[[#This Row],[CODIGO]],Tabla_Items_Completos[[CODIGO]:[LINEA]],3,0)</f>
        <v>#N/A</v>
      </c>
      <c r="E1198" s="1" t="e">
        <f>VLOOKUP(Tabla_Items_Activos[[#This Row],[CODIGO]],Tabla_Items_Completos[[CODIGO]:[LINEA]],4,0)</f>
        <v>#N/A</v>
      </c>
      <c r="F1198">
        <v>404</v>
      </c>
      <c r="G1198">
        <v>71</v>
      </c>
    </row>
    <row r="1199" spans="1:7">
      <c r="A1199" t="s">
        <v>7388</v>
      </c>
      <c r="B1199" t="s">
        <v>8586</v>
      </c>
      <c r="C1199" s="1" t="e">
        <f>VLOOKUP(Tabla_Items_Activos[[#This Row],[CODIGO]],Tabla_Items_Completos[[CODIGO]:[LINEA]],2,0)</f>
        <v>#N/A</v>
      </c>
      <c r="D1199" s="1" t="e">
        <f>VLOOKUP(Tabla_Items_Activos[[#This Row],[CODIGO]],Tabla_Items_Completos[[CODIGO]:[LINEA]],3,0)</f>
        <v>#N/A</v>
      </c>
      <c r="E1199" s="1" t="e">
        <f>VLOOKUP(Tabla_Items_Activos[[#This Row],[CODIGO]],Tabla_Items_Completos[[CODIGO]:[LINEA]],4,0)</f>
        <v>#N/A</v>
      </c>
      <c r="F1199">
        <v>248</v>
      </c>
      <c r="G1199">
        <v>141</v>
      </c>
    </row>
    <row r="1200" spans="1:7">
      <c r="A1200" t="s">
        <v>7388</v>
      </c>
      <c r="B1200" t="s">
        <v>8587</v>
      </c>
      <c r="C1200" s="1" t="e">
        <f>VLOOKUP(Tabla_Items_Activos[[#This Row],[CODIGO]],Tabla_Items_Completos[[CODIGO]:[LINEA]],2,0)</f>
        <v>#N/A</v>
      </c>
      <c r="D1200" s="1" t="e">
        <f>VLOOKUP(Tabla_Items_Activos[[#This Row],[CODIGO]],Tabla_Items_Completos[[CODIGO]:[LINEA]],3,0)</f>
        <v>#N/A</v>
      </c>
      <c r="E1200" s="1" t="e">
        <f>VLOOKUP(Tabla_Items_Activos[[#This Row],[CODIGO]],Tabla_Items_Completos[[CODIGO]:[LINEA]],4,0)</f>
        <v>#N/A</v>
      </c>
      <c r="F1200">
        <v>956</v>
      </c>
      <c r="G1200">
        <v>194</v>
      </c>
    </row>
    <row r="1201" spans="1:7">
      <c r="A1201" t="s">
        <v>7388</v>
      </c>
      <c r="B1201" t="s">
        <v>8588</v>
      </c>
      <c r="C1201" s="1" t="e">
        <f>VLOOKUP(Tabla_Items_Activos[[#This Row],[CODIGO]],Tabla_Items_Completos[[CODIGO]:[LINEA]],2,0)</f>
        <v>#N/A</v>
      </c>
      <c r="D1201" s="1" t="e">
        <f>VLOOKUP(Tabla_Items_Activos[[#This Row],[CODIGO]],Tabla_Items_Completos[[CODIGO]:[LINEA]],3,0)</f>
        <v>#N/A</v>
      </c>
      <c r="E1201" s="1" t="e">
        <f>VLOOKUP(Tabla_Items_Activos[[#This Row],[CODIGO]],Tabla_Items_Completos[[CODIGO]:[LINEA]],4,0)</f>
        <v>#N/A</v>
      </c>
      <c r="F1201">
        <v>411</v>
      </c>
      <c r="G1201">
        <v>0</v>
      </c>
    </row>
    <row r="1202" spans="1:7">
      <c r="A1202" t="s">
        <v>7388</v>
      </c>
      <c r="B1202" t="s">
        <v>8589</v>
      </c>
      <c r="C1202" s="1" t="e">
        <f>VLOOKUP(Tabla_Items_Activos[[#This Row],[CODIGO]],Tabla_Items_Completos[[CODIGO]:[LINEA]],2,0)</f>
        <v>#N/A</v>
      </c>
      <c r="D1202" s="1" t="e">
        <f>VLOOKUP(Tabla_Items_Activos[[#This Row],[CODIGO]],Tabla_Items_Completos[[CODIGO]:[LINEA]],3,0)</f>
        <v>#N/A</v>
      </c>
      <c r="E1202" s="1" t="e">
        <f>VLOOKUP(Tabla_Items_Activos[[#This Row],[CODIGO]],Tabla_Items_Completos[[CODIGO]:[LINEA]],4,0)</f>
        <v>#N/A</v>
      </c>
      <c r="F1202">
        <v>358</v>
      </c>
      <c r="G1202">
        <v>0</v>
      </c>
    </row>
    <row r="1203" spans="1:7">
      <c r="A1203" t="s">
        <v>7388</v>
      </c>
      <c r="B1203" t="s">
        <v>8590</v>
      </c>
      <c r="C1203" s="1" t="e">
        <f>VLOOKUP(Tabla_Items_Activos[[#This Row],[CODIGO]],Tabla_Items_Completos[[CODIGO]:[LINEA]],2,0)</f>
        <v>#N/A</v>
      </c>
      <c r="D1203" s="1" t="e">
        <f>VLOOKUP(Tabla_Items_Activos[[#This Row],[CODIGO]],Tabla_Items_Completos[[CODIGO]:[LINEA]],3,0)</f>
        <v>#N/A</v>
      </c>
      <c r="E1203" s="1" t="e">
        <f>VLOOKUP(Tabla_Items_Activos[[#This Row],[CODIGO]],Tabla_Items_Completos[[CODIGO]:[LINEA]],4,0)</f>
        <v>#N/A</v>
      </c>
      <c r="F1203">
        <v>856</v>
      </c>
      <c r="G1203">
        <v>0</v>
      </c>
    </row>
    <row r="1204" spans="1:7">
      <c r="A1204" t="s">
        <v>7388</v>
      </c>
      <c r="B1204" t="s">
        <v>8591</v>
      </c>
      <c r="C1204" s="1" t="e">
        <f>VLOOKUP(Tabla_Items_Activos[[#This Row],[CODIGO]],Tabla_Items_Completos[[CODIGO]:[LINEA]],2,0)</f>
        <v>#N/A</v>
      </c>
      <c r="D1204" s="1" t="e">
        <f>VLOOKUP(Tabla_Items_Activos[[#This Row],[CODIGO]],Tabla_Items_Completos[[CODIGO]:[LINEA]],3,0)</f>
        <v>#N/A</v>
      </c>
      <c r="E1204" s="1" t="e">
        <f>VLOOKUP(Tabla_Items_Activos[[#This Row],[CODIGO]],Tabla_Items_Completos[[CODIGO]:[LINEA]],4,0)</f>
        <v>#N/A</v>
      </c>
      <c r="F1204">
        <v>269</v>
      </c>
      <c r="G1204">
        <v>51</v>
      </c>
    </row>
    <row r="1205" spans="1:7">
      <c r="A1205" t="s">
        <v>7388</v>
      </c>
      <c r="B1205" t="s">
        <v>8592</v>
      </c>
      <c r="C1205" s="1" t="e">
        <f>VLOOKUP(Tabla_Items_Activos[[#This Row],[CODIGO]],Tabla_Items_Completos[[CODIGO]:[LINEA]],2,0)</f>
        <v>#N/A</v>
      </c>
      <c r="D1205" s="1" t="e">
        <f>VLOOKUP(Tabla_Items_Activos[[#This Row],[CODIGO]],Tabla_Items_Completos[[CODIGO]:[LINEA]],3,0)</f>
        <v>#N/A</v>
      </c>
      <c r="E1205" s="1" t="e">
        <f>VLOOKUP(Tabla_Items_Activos[[#This Row],[CODIGO]],Tabla_Items_Completos[[CODIGO]:[LINEA]],4,0)</f>
        <v>#N/A</v>
      </c>
      <c r="F1205">
        <v>1005</v>
      </c>
      <c r="G1205">
        <v>0</v>
      </c>
    </row>
    <row r="1206" spans="1:7">
      <c r="A1206" t="s">
        <v>7388</v>
      </c>
      <c r="B1206" t="s">
        <v>8593</v>
      </c>
      <c r="C1206" s="1" t="e">
        <f>VLOOKUP(Tabla_Items_Activos[[#This Row],[CODIGO]],Tabla_Items_Completos[[CODIGO]:[LINEA]],2,0)</f>
        <v>#N/A</v>
      </c>
      <c r="D1206" s="1" t="e">
        <f>VLOOKUP(Tabla_Items_Activos[[#This Row],[CODIGO]],Tabla_Items_Completos[[CODIGO]:[LINEA]],3,0)</f>
        <v>#N/A</v>
      </c>
      <c r="E1206" s="1" t="e">
        <f>VLOOKUP(Tabla_Items_Activos[[#This Row],[CODIGO]],Tabla_Items_Completos[[CODIGO]:[LINEA]],4,0)</f>
        <v>#N/A</v>
      </c>
      <c r="F1206">
        <v>148</v>
      </c>
      <c r="G1206">
        <v>55</v>
      </c>
    </row>
    <row r="1207" spans="1:7">
      <c r="A1207" t="s">
        <v>7388</v>
      </c>
      <c r="B1207" t="s">
        <v>8594</v>
      </c>
      <c r="C1207" s="1" t="e">
        <f>VLOOKUP(Tabla_Items_Activos[[#This Row],[CODIGO]],Tabla_Items_Completos[[CODIGO]:[LINEA]],2,0)</f>
        <v>#N/A</v>
      </c>
      <c r="D1207" s="1" t="e">
        <f>VLOOKUP(Tabla_Items_Activos[[#This Row],[CODIGO]],Tabla_Items_Completos[[CODIGO]:[LINEA]],3,0)</f>
        <v>#N/A</v>
      </c>
      <c r="E1207" s="1" t="e">
        <f>VLOOKUP(Tabla_Items_Activos[[#This Row],[CODIGO]],Tabla_Items_Completos[[CODIGO]:[LINEA]],4,0)</f>
        <v>#N/A</v>
      </c>
      <c r="F1207">
        <v>214</v>
      </c>
      <c r="G1207">
        <v>2</v>
      </c>
    </row>
    <row r="1208" spans="1:7">
      <c r="A1208" t="s">
        <v>7388</v>
      </c>
      <c r="B1208" t="s">
        <v>8595</v>
      </c>
      <c r="C1208" s="1" t="e">
        <f>VLOOKUP(Tabla_Items_Activos[[#This Row],[CODIGO]],Tabla_Items_Completos[[CODIGO]:[LINEA]],2,0)</f>
        <v>#N/A</v>
      </c>
      <c r="D1208" s="1" t="e">
        <f>VLOOKUP(Tabla_Items_Activos[[#This Row],[CODIGO]],Tabla_Items_Completos[[CODIGO]:[LINEA]],3,0)</f>
        <v>#N/A</v>
      </c>
      <c r="E1208" s="1" t="e">
        <f>VLOOKUP(Tabla_Items_Activos[[#This Row],[CODIGO]],Tabla_Items_Completos[[CODIGO]:[LINEA]],4,0)</f>
        <v>#N/A</v>
      </c>
      <c r="F1208">
        <v>142</v>
      </c>
      <c r="G1208">
        <v>0</v>
      </c>
    </row>
    <row r="1209" spans="1:7">
      <c r="A1209" t="s">
        <v>7388</v>
      </c>
      <c r="B1209" t="s">
        <v>8596</v>
      </c>
      <c r="C1209" s="1" t="e">
        <f>VLOOKUP(Tabla_Items_Activos[[#This Row],[CODIGO]],Tabla_Items_Completos[[CODIGO]:[LINEA]],2,0)</f>
        <v>#N/A</v>
      </c>
      <c r="D1209" s="1" t="e">
        <f>VLOOKUP(Tabla_Items_Activos[[#This Row],[CODIGO]],Tabla_Items_Completos[[CODIGO]:[LINEA]],3,0)</f>
        <v>#N/A</v>
      </c>
      <c r="E1209" s="1" t="e">
        <f>VLOOKUP(Tabla_Items_Activos[[#This Row],[CODIGO]],Tabla_Items_Completos[[CODIGO]:[LINEA]],4,0)</f>
        <v>#N/A</v>
      </c>
      <c r="F1209">
        <v>2</v>
      </c>
      <c r="G1209">
        <v>0</v>
      </c>
    </row>
    <row r="1210" spans="1:7">
      <c r="A1210" t="s">
        <v>7388</v>
      </c>
      <c r="B1210" t="s">
        <v>8597</v>
      </c>
      <c r="C1210" s="1" t="e">
        <f>VLOOKUP(Tabla_Items_Activos[[#This Row],[CODIGO]],Tabla_Items_Completos[[CODIGO]:[LINEA]],2,0)</f>
        <v>#N/A</v>
      </c>
      <c r="D1210" s="1" t="e">
        <f>VLOOKUP(Tabla_Items_Activos[[#This Row],[CODIGO]],Tabla_Items_Completos[[CODIGO]:[LINEA]],3,0)</f>
        <v>#N/A</v>
      </c>
      <c r="E1210" s="1" t="e">
        <f>VLOOKUP(Tabla_Items_Activos[[#This Row],[CODIGO]],Tabla_Items_Completos[[CODIGO]:[LINEA]],4,0)</f>
        <v>#N/A</v>
      </c>
      <c r="F1210">
        <v>2</v>
      </c>
      <c r="G1210">
        <v>0</v>
      </c>
    </row>
    <row r="1211" spans="1:7">
      <c r="A1211" t="s">
        <v>7388</v>
      </c>
      <c r="B1211" t="s">
        <v>8598</v>
      </c>
      <c r="C1211" s="1" t="e">
        <f>VLOOKUP(Tabla_Items_Activos[[#This Row],[CODIGO]],Tabla_Items_Completos[[CODIGO]:[LINEA]],2,0)</f>
        <v>#N/A</v>
      </c>
      <c r="D1211" s="1" t="e">
        <f>VLOOKUP(Tabla_Items_Activos[[#This Row],[CODIGO]],Tabla_Items_Completos[[CODIGO]:[LINEA]],3,0)</f>
        <v>#N/A</v>
      </c>
      <c r="E1211" s="1" t="e">
        <f>VLOOKUP(Tabla_Items_Activos[[#This Row],[CODIGO]],Tabla_Items_Completos[[CODIGO]:[LINEA]],4,0)</f>
        <v>#N/A</v>
      </c>
      <c r="F1211">
        <v>32</v>
      </c>
      <c r="G1211">
        <v>6</v>
      </c>
    </row>
    <row r="1212" spans="1:7">
      <c r="A1212" t="s">
        <v>7388</v>
      </c>
      <c r="B1212" t="s">
        <v>8599</v>
      </c>
      <c r="C1212" s="1" t="e">
        <f>VLOOKUP(Tabla_Items_Activos[[#This Row],[CODIGO]],Tabla_Items_Completos[[CODIGO]:[LINEA]],2,0)</f>
        <v>#N/A</v>
      </c>
      <c r="D1212" s="1" t="e">
        <f>VLOOKUP(Tabla_Items_Activos[[#This Row],[CODIGO]],Tabla_Items_Completos[[CODIGO]:[LINEA]],3,0)</f>
        <v>#N/A</v>
      </c>
      <c r="E1212" s="1" t="e">
        <f>VLOOKUP(Tabla_Items_Activos[[#This Row],[CODIGO]],Tabla_Items_Completos[[CODIGO]:[LINEA]],4,0)</f>
        <v>#N/A</v>
      </c>
      <c r="F1212">
        <v>780</v>
      </c>
      <c r="G1212">
        <v>0</v>
      </c>
    </row>
    <row r="1213" spans="1:7">
      <c r="A1213" t="s">
        <v>7388</v>
      </c>
      <c r="B1213" t="s">
        <v>8600</v>
      </c>
      <c r="C1213" s="1" t="e">
        <f>VLOOKUP(Tabla_Items_Activos[[#This Row],[CODIGO]],Tabla_Items_Completos[[CODIGO]:[LINEA]],2,0)</f>
        <v>#N/A</v>
      </c>
      <c r="D1213" s="1" t="e">
        <f>VLOOKUP(Tabla_Items_Activos[[#This Row],[CODIGO]],Tabla_Items_Completos[[CODIGO]:[LINEA]],3,0)</f>
        <v>#N/A</v>
      </c>
      <c r="E1213" s="1" t="e">
        <f>VLOOKUP(Tabla_Items_Activos[[#This Row],[CODIGO]],Tabla_Items_Completos[[CODIGO]:[LINEA]],4,0)</f>
        <v>#N/A</v>
      </c>
      <c r="F1213">
        <v>101</v>
      </c>
      <c r="G1213">
        <v>0</v>
      </c>
    </row>
    <row r="1214" spans="1:7">
      <c r="A1214" t="s">
        <v>7388</v>
      </c>
      <c r="B1214" t="s">
        <v>8601</v>
      </c>
      <c r="C1214" s="1" t="e">
        <f>VLOOKUP(Tabla_Items_Activos[[#This Row],[CODIGO]],Tabla_Items_Completos[[CODIGO]:[LINEA]],2,0)</f>
        <v>#N/A</v>
      </c>
      <c r="D1214" s="1" t="e">
        <f>VLOOKUP(Tabla_Items_Activos[[#This Row],[CODIGO]],Tabla_Items_Completos[[CODIGO]:[LINEA]],3,0)</f>
        <v>#N/A</v>
      </c>
      <c r="E1214" s="1" t="e">
        <f>VLOOKUP(Tabla_Items_Activos[[#This Row],[CODIGO]],Tabla_Items_Completos[[CODIGO]:[LINEA]],4,0)</f>
        <v>#N/A</v>
      </c>
      <c r="F1214">
        <v>153</v>
      </c>
      <c r="G1214">
        <v>0</v>
      </c>
    </row>
    <row r="1215" spans="1:7">
      <c r="A1215" t="s">
        <v>7388</v>
      </c>
      <c r="B1215" t="s">
        <v>8602</v>
      </c>
      <c r="C1215" s="1" t="e">
        <f>VLOOKUP(Tabla_Items_Activos[[#This Row],[CODIGO]],Tabla_Items_Completos[[CODIGO]:[LINEA]],2,0)</f>
        <v>#N/A</v>
      </c>
      <c r="D1215" s="1" t="e">
        <f>VLOOKUP(Tabla_Items_Activos[[#This Row],[CODIGO]],Tabla_Items_Completos[[CODIGO]:[LINEA]],3,0)</f>
        <v>#N/A</v>
      </c>
      <c r="E1215" s="1" t="e">
        <f>VLOOKUP(Tabla_Items_Activos[[#This Row],[CODIGO]],Tabla_Items_Completos[[CODIGO]:[LINEA]],4,0)</f>
        <v>#N/A</v>
      </c>
      <c r="F1215">
        <v>69</v>
      </c>
      <c r="G1215">
        <v>139</v>
      </c>
    </row>
    <row r="1216" spans="1:7">
      <c r="A1216" t="s">
        <v>7388</v>
      </c>
      <c r="B1216" t="s">
        <v>8603</v>
      </c>
      <c r="C1216" s="1" t="e">
        <f>VLOOKUP(Tabla_Items_Activos[[#This Row],[CODIGO]],Tabla_Items_Completos[[CODIGO]:[LINEA]],2,0)</f>
        <v>#N/A</v>
      </c>
      <c r="D1216" s="1" t="e">
        <f>VLOOKUP(Tabla_Items_Activos[[#This Row],[CODIGO]],Tabla_Items_Completos[[CODIGO]:[LINEA]],3,0)</f>
        <v>#N/A</v>
      </c>
      <c r="E1216" s="1" t="e">
        <f>VLOOKUP(Tabla_Items_Activos[[#This Row],[CODIGO]],Tabla_Items_Completos[[CODIGO]:[LINEA]],4,0)</f>
        <v>#N/A</v>
      </c>
      <c r="F1216">
        <v>145</v>
      </c>
      <c r="G1216">
        <v>0</v>
      </c>
    </row>
    <row r="1217" spans="1:7">
      <c r="A1217" t="s">
        <v>7388</v>
      </c>
      <c r="B1217" t="s">
        <v>8604</v>
      </c>
      <c r="C1217" s="1" t="e">
        <f>VLOOKUP(Tabla_Items_Activos[[#This Row],[CODIGO]],Tabla_Items_Completos[[CODIGO]:[LINEA]],2,0)</f>
        <v>#N/A</v>
      </c>
      <c r="D1217" s="1" t="e">
        <f>VLOOKUP(Tabla_Items_Activos[[#This Row],[CODIGO]],Tabla_Items_Completos[[CODIGO]:[LINEA]],3,0)</f>
        <v>#N/A</v>
      </c>
      <c r="E1217" s="1" t="e">
        <f>VLOOKUP(Tabla_Items_Activos[[#This Row],[CODIGO]],Tabla_Items_Completos[[CODIGO]:[LINEA]],4,0)</f>
        <v>#N/A</v>
      </c>
      <c r="F1217">
        <v>2342</v>
      </c>
      <c r="G1217">
        <v>321</v>
      </c>
    </row>
    <row r="1218" spans="1:7">
      <c r="A1218" t="s">
        <v>7388</v>
      </c>
      <c r="B1218" t="s">
        <v>8605</v>
      </c>
      <c r="C1218" s="1" t="e">
        <f>VLOOKUP(Tabla_Items_Activos[[#This Row],[CODIGO]],Tabla_Items_Completos[[CODIGO]:[LINEA]],2,0)</f>
        <v>#N/A</v>
      </c>
      <c r="D1218" s="1" t="e">
        <f>VLOOKUP(Tabla_Items_Activos[[#This Row],[CODIGO]],Tabla_Items_Completos[[CODIGO]:[LINEA]],3,0)</f>
        <v>#N/A</v>
      </c>
      <c r="E1218" s="1" t="e">
        <f>VLOOKUP(Tabla_Items_Activos[[#This Row],[CODIGO]],Tabla_Items_Completos[[CODIGO]:[LINEA]],4,0)</f>
        <v>#N/A</v>
      </c>
      <c r="F1218">
        <v>2304</v>
      </c>
      <c r="G1218">
        <v>253</v>
      </c>
    </row>
    <row r="1219" spans="1:7">
      <c r="A1219" t="s">
        <v>7388</v>
      </c>
      <c r="B1219" t="s">
        <v>8606</v>
      </c>
      <c r="C1219" s="1" t="e">
        <f>VLOOKUP(Tabla_Items_Activos[[#This Row],[CODIGO]],Tabla_Items_Completos[[CODIGO]:[LINEA]],2,0)</f>
        <v>#N/A</v>
      </c>
      <c r="D1219" s="1" t="e">
        <f>VLOOKUP(Tabla_Items_Activos[[#This Row],[CODIGO]],Tabla_Items_Completos[[CODIGO]:[LINEA]],3,0)</f>
        <v>#N/A</v>
      </c>
      <c r="E1219" s="1" t="e">
        <f>VLOOKUP(Tabla_Items_Activos[[#This Row],[CODIGO]],Tabla_Items_Completos[[CODIGO]:[LINEA]],4,0)</f>
        <v>#N/A</v>
      </c>
      <c r="F1219">
        <v>258</v>
      </c>
      <c r="G1219">
        <v>15</v>
      </c>
    </row>
    <row r="1220" spans="1:7">
      <c r="A1220" t="s">
        <v>7388</v>
      </c>
      <c r="B1220" t="s">
        <v>8607</v>
      </c>
      <c r="C1220" s="1" t="e">
        <f>VLOOKUP(Tabla_Items_Activos[[#This Row],[CODIGO]],Tabla_Items_Completos[[CODIGO]:[LINEA]],2,0)</f>
        <v>#N/A</v>
      </c>
      <c r="D1220" s="1" t="e">
        <f>VLOOKUP(Tabla_Items_Activos[[#This Row],[CODIGO]],Tabla_Items_Completos[[CODIGO]:[LINEA]],3,0)</f>
        <v>#N/A</v>
      </c>
      <c r="E1220" s="1" t="e">
        <f>VLOOKUP(Tabla_Items_Activos[[#This Row],[CODIGO]],Tabla_Items_Completos[[CODIGO]:[LINEA]],4,0)</f>
        <v>#N/A</v>
      </c>
      <c r="F1220">
        <v>893</v>
      </c>
      <c r="G1220">
        <v>56</v>
      </c>
    </row>
    <row r="1221" spans="1:7">
      <c r="A1221" t="s">
        <v>7388</v>
      </c>
      <c r="B1221" t="s">
        <v>8608</v>
      </c>
      <c r="C1221" s="1" t="e">
        <f>VLOOKUP(Tabla_Items_Activos[[#This Row],[CODIGO]],Tabla_Items_Completos[[CODIGO]:[LINEA]],2,0)</f>
        <v>#N/A</v>
      </c>
      <c r="D1221" s="1" t="e">
        <f>VLOOKUP(Tabla_Items_Activos[[#This Row],[CODIGO]],Tabla_Items_Completos[[CODIGO]:[LINEA]],3,0)</f>
        <v>#N/A</v>
      </c>
      <c r="E1221" s="1" t="e">
        <f>VLOOKUP(Tabla_Items_Activos[[#This Row],[CODIGO]],Tabla_Items_Completos[[CODIGO]:[LINEA]],4,0)</f>
        <v>#N/A</v>
      </c>
      <c r="F1221">
        <v>1254</v>
      </c>
      <c r="G1221">
        <v>159</v>
      </c>
    </row>
    <row r="1222" spans="1:7">
      <c r="A1222" t="s">
        <v>7388</v>
      </c>
      <c r="B1222" t="s">
        <v>8609</v>
      </c>
      <c r="C1222" s="1" t="e">
        <f>VLOOKUP(Tabla_Items_Activos[[#This Row],[CODIGO]],Tabla_Items_Completos[[CODIGO]:[LINEA]],2,0)</f>
        <v>#N/A</v>
      </c>
      <c r="D1222" s="1" t="e">
        <f>VLOOKUP(Tabla_Items_Activos[[#This Row],[CODIGO]],Tabla_Items_Completos[[CODIGO]:[LINEA]],3,0)</f>
        <v>#N/A</v>
      </c>
      <c r="E1222" s="1" t="e">
        <f>VLOOKUP(Tabla_Items_Activos[[#This Row],[CODIGO]],Tabla_Items_Completos[[CODIGO]:[LINEA]],4,0)</f>
        <v>#N/A</v>
      </c>
      <c r="F1222">
        <v>457</v>
      </c>
      <c r="G1222">
        <v>0</v>
      </c>
    </row>
    <row r="1223" spans="1:7">
      <c r="A1223" t="s">
        <v>7388</v>
      </c>
      <c r="B1223" t="s">
        <v>8610</v>
      </c>
      <c r="C1223" s="1" t="e">
        <f>VLOOKUP(Tabla_Items_Activos[[#This Row],[CODIGO]],Tabla_Items_Completos[[CODIGO]:[LINEA]],2,0)</f>
        <v>#N/A</v>
      </c>
      <c r="D1223" s="1" t="e">
        <f>VLOOKUP(Tabla_Items_Activos[[#This Row],[CODIGO]],Tabla_Items_Completos[[CODIGO]:[LINEA]],3,0)</f>
        <v>#N/A</v>
      </c>
      <c r="E1223" s="1" t="e">
        <f>VLOOKUP(Tabla_Items_Activos[[#This Row],[CODIGO]],Tabla_Items_Completos[[CODIGO]:[LINEA]],4,0)</f>
        <v>#N/A</v>
      </c>
      <c r="F1223">
        <v>368</v>
      </c>
      <c r="G1223">
        <v>0</v>
      </c>
    </row>
    <row r="1224" spans="1:7">
      <c r="A1224" t="s">
        <v>7388</v>
      </c>
      <c r="B1224" t="s">
        <v>8611</v>
      </c>
      <c r="C1224" s="1" t="e">
        <f>VLOOKUP(Tabla_Items_Activos[[#This Row],[CODIGO]],Tabla_Items_Completos[[CODIGO]:[LINEA]],2,0)</f>
        <v>#N/A</v>
      </c>
      <c r="D1224" s="1" t="e">
        <f>VLOOKUP(Tabla_Items_Activos[[#This Row],[CODIGO]],Tabla_Items_Completos[[CODIGO]:[LINEA]],3,0)</f>
        <v>#N/A</v>
      </c>
      <c r="E1224" s="1" t="e">
        <f>VLOOKUP(Tabla_Items_Activos[[#This Row],[CODIGO]],Tabla_Items_Completos[[CODIGO]:[LINEA]],4,0)</f>
        <v>#N/A</v>
      </c>
      <c r="F1224">
        <v>168</v>
      </c>
      <c r="G1224">
        <v>0</v>
      </c>
    </row>
    <row r="1225" spans="1:7">
      <c r="A1225" t="s">
        <v>7388</v>
      </c>
      <c r="B1225" t="s">
        <v>8612</v>
      </c>
      <c r="C1225" s="1" t="e">
        <f>VLOOKUP(Tabla_Items_Activos[[#This Row],[CODIGO]],Tabla_Items_Completos[[CODIGO]:[LINEA]],2,0)</f>
        <v>#N/A</v>
      </c>
      <c r="D1225" s="1" t="e">
        <f>VLOOKUP(Tabla_Items_Activos[[#This Row],[CODIGO]],Tabla_Items_Completos[[CODIGO]:[LINEA]],3,0)</f>
        <v>#N/A</v>
      </c>
      <c r="E1225" s="1" t="e">
        <f>VLOOKUP(Tabla_Items_Activos[[#This Row],[CODIGO]],Tabla_Items_Completos[[CODIGO]:[LINEA]],4,0)</f>
        <v>#N/A</v>
      </c>
      <c r="F1225">
        <v>91</v>
      </c>
      <c r="G1225">
        <v>0</v>
      </c>
    </row>
    <row r="1226" spans="1:7">
      <c r="A1226" t="s">
        <v>7388</v>
      </c>
      <c r="B1226" t="s">
        <v>8613</v>
      </c>
      <c r="C1226" s="1" t="e">
        <f>VLOOKUP(Tabla_Items_Activos[[#This Row],[CODIGO]],Tabla_Items_Completos[[CODIGO]:[LINEA]],2,0)</f>
        <v>#N/A</v>
      </c>
      <c r="D1226" s="1" t="e">
        <f>VLOOKUP(Tabla_Items_Activos[[#This Row],[CODIGO]],Tabla_Items_Completos[[CODIGO]:[LINEA]],3,0)</f>
        <v>#N/A</v>
      </c>
      <c r="E1226" s="1" t="e">
        <f>VLOOKUP(Tabla_Items_Activos[[#This Row],[CODIGO]],Tabla_Items_Completos[[CODIGO]:[LINEA]],4,0)</f>
        <v>#N/A</v>
      </c>
      <c r="F1226">
        <v>164</v>
      </c>
      <c r="G1226">
        <v>26</v>
      </c>
    </row>
    <row r="1227" spans="1:7">
      <c r="A1227" t="s">
        <v>7388</v>
      </c>
      <c r="B1227" t="s">
        <v>8614</v>
      </c>
      <c r="C1227" s="1" t="e">
        <f>VLOOKUP(Tabla_Items_Activos[[#This Row],[CODIGO]],Tabla_Items_Completos[[CODIGO]:[LINEA]],2,0)</f>
        <v>#N/A</v>
      </c>
      <c r="D1227" s="1" t="e">
        <f>VLOOKUP(Tabla_Items_Activos[[#This Row],[CODIGO]],Tabla_Items_Completos[[CODIGO]:[LINEA]],3,0)</f>
        <v>#N/A</v>
      </c>
      <c r="E1227" s="1" t="e">
        <f>VLOOKUP(Tabla_Items_Activos[[#This Row],[CODIGO]],Tabla_Items_Completos[[CODIGO]:[LINEA]],4,0)</f>
        <v>#N/A</v>
      </c>
      <c r="F1227">
        <v>48</v>
      </c>
      <c r="G1227">
        <v>136</v>
      </c>
    </row>
    <row r="1228" spans="1:7">
      <c r="A1228" t="s">
        <v>7388</v>
      </c>
      <c r="B1228" t="s">
        <v>8615</v>
      </c>
      <c r="C1228" s="1" t="e">
        <f>VLOOKUP(Tabla_Items_Activos[[#This Row],[CODIGO]],Tabla_Items_Completos[[CODIGO]:[LINEA]],2,0)</f>
        <v>#N/A</v>
      </c>
      <c r="D1228" s="1" t="e">
        <f>VLOOKUP(Tabla_Items_Activos[[#This Row],[CODIGO]],Tabla_Items_Completos[[CODIGO]:[LINEA]],3,0)</f>
        <v>#N/A</v>
      </c>
      <c r="E1228" s="1" t="e">
        <f>VLOOKUP(Tabla_Items_Activos[[#This Row],[CODIGO]],Tabla_Items_Completos[[CODIGO]:[LINEA]],4,0)</f>
        <v>#N/A</v>
      </c>
      <c r="F1228">
        <v>67</v>
      </c>
      <c r="G1228">
        <v>54</v>
      </c>
    </row>
    <row r="1229" spans="1:7">
      <c r="A1229" t="s">
        <v>7388</v>
      </c>
      <c r="B1229" t="s">
        <v>8616</v>
      </c>
      <c r="C1229" s="1" t="e">
        <f>VLOOKUP(Tabla_Items_Activos[[#This Row],[CODIGO]],Tabla_Items_Completos[[CODIGO]:[LINEA]],2,0)</f>
        <v>#N/A</v>
      </c>
      <c r="D1229" s="1" t="e">
        <f>VLOOKUP(Tabla_Items_Activos[[#This Row],[CODIGO]],Tabla_Items_Completos[[CODIGO]:[LINEA]],3,0)</f>
        <v>#N/A</v>
      </c>
      <c r="E1229" s="1" t="e">
        <f>VLOOKUP(Tabla_Items_Activos[[#This Row],[CODIGO]],Tabla_Items_Completos[[CODIGO]:[LINEA]],4,0)</f>
        <v>#N/A</v>
      </c>
      <c r="F1229">
        <v>84</v>
      </c>
      <c r="G1229">
        <v>83</v>
      </c>
    </row>
    <row r="1230" spans="1:7">
      <c r="A1230" t="s">
        <v>7388</v>
      </c>
      <c r="B1230" t="s">
        <v>8617</v>
      </c>
      <c r="C1230" s="1" t="e">
        <f>VLOOKUP(Tabla_Items_Activos[[#This Row],[CODIGO]],Tabla_Items_Completos[[CODIGO]:[LINEA]],2,0)</f>
        <v>#N/A</v>
      </c>
      <c r="D1230" s="1" t="e">
        <f>VLOOKUP(Tabla_Items_Activos[[#This Row],[CODIGO]],Tabla_Items_Completos[[CODIGO]:[LINEA]],3,0)</f>
        <v>#N/A</v>
      </c>
      <c r="E1230" s="1" t="e">
        <f>VLOOKUP(Tabla_Items_Activos[[#This Row],[CODIGO]],Tabla_Items_Completos[[CODIGO]:[LINEA]],4,0)</f>
        <v>#N/A</v>
      </c>
      <c r="F1230">
        <v>605</v>
      </c>
      <c r="G1230">
        <v>63</v>
      </c>
    </row>
    <row r="1231" spans="1:7">
      <c r="A1231" t="s">
        <v>7388</v>
      </c>
      <c r="B1231" t="s">
        <v>8618</v>
      </c>
      <c r="C1231" s="1" t="e">
        <f>VLOOKUP(Tabla_Items_Activos[[#This Row],[CODIGO]],Tabla_Items_Completos[[CODIGO]:[LINEA]],2,0)</f>
        <v>#N/A</v>
      </c>
      <c r="D1231" s="1" t="e">
        <f>VLOOKUP(Tabla_Items_Activos[[#This Row],[CODIGO]],Tabla_Items_Completos[[CODIGO]:[LINEA]],3,0)</f>
        <v>#N/A</v>
      </c>
      <c r="E1231" s="1" t="e">
        <f>VLOOKUP(Tabla_Items_Activos[[#This Row],[CODIGO]],Tabla_Items_Completos[[CODIGO]:[LINEA]],4,0)</f>
        <v>#N/A</v>
      </c>
      <c r="F1231">
        <v>3</v>
      </c>
      <c r="G1231">
        <v>0</v>
      </c>
    </row>
    <row r="1232" spans="1:7">
      <c r="A1232" t="s">
        <v>7388</v>
      </c>
      <c r="B1232" t="s">
        <v>8619</v>
      </c>
      <c r="C1232" s="1" t="e">
        <f>VLOOKUP(Tabla_Items_Activos[[#This Row],[CODIGO]],Tabla_Items_Completos[[CODIGO]:[LINEA]],2,0)</f>
        <v>#N/A</v>
      </c>
      <c r="D1232" s="1" t="e">
        <f>VLOOKUP(Tabla_Items_Activos[[#This Row],[CODIGO]],Tabla_Items_Completos[[CODIGO]:[LINEA]],3,0)</f>
        <v>#N/A</v>
      </c>
      <c r="E1232" s="1" t="e">
        <f>VLOOKUP(Tabla_Items_Activos[[#This Row],[CODIGO]],Tabla_Items_Completos[[CODIGO]:[LINEA]],4,0)</f>
        <v>#N/A</v>
      </c>
      <c r="F1232">
        <v>151</v>
      </c>
      <c r="G1232">
        <v>38</v>
      </c>
    </row>
    <row r="1233" spans="1:7">
      <c r="A1233" t="s">
        <v>7388</v>
      </c>
      <c r="B1233" t="s">
        <v>8620</v>
      </c>
      <c r="C1233" s="1" t="e">
        <f>VLOOKUP(Tabla_Items_Activos[[#This Row],[CODIGO]],Tabla_Items_Completos[[CODIGO]:[LINEA]],2,0)</f>
        <v>#N/A</v>
      </c>
      <c r="D1233" s="1" t="e">
        <f>VLOOKUP(Tabla_Items_Activos[[#This Row],[CODIGO]],Tabla_Items_Completos[[CODIGO]:[LINEA]],3,0)</f>
        <v>#N/A</v>
      </c>
      <c r="E1233" s="1" t="e">
        <f>VLOOKUP(Tabla_Items_Activos[[#This Row],[CODIGO]],Tabla_Items_Completos[[CODIGO]:[LINEA]],4,0)</f>
        <v>#N/A</v>
      </c>
      <c r="F1233">
        <v>510</v>
      </c>
      <c r="G1233">
        <v>0</v>
      </c>
    </row>
    <row r="1234" spans="1:7">
      <c r="A1234" t="s">
        <v>7388</v>
      </c>
      <c r="B1234" t="s">
        <v>8621</v>
      </c>
      <c r="C1234" s="1" t="e">
        <f>VLOOKUP(Tabla_Items_Activos[[#This Row],[CODIGO]],Tabla_Items_Completos[[CODIGO]:[LINEA]],2,0)</f>
        <v>#N/A</v>
      </c>
      <c r="D1234" s="1" t="e">
        <f>VLOOKUP(Tabla_Items_Activos[[#This Row],[CODIGO]],Tabla_Items_Completos[[CODIGO]:[LINEA]],3,0)</f>
        <v>#N/A</v>
      </c>
      <c r="E1234" s="1" t="e">
        <f>VLOOKUP(Tabla_Items_Activos[[#This Row],[CODIGO]],Tabla_Items_Completos[[CODIGO]:[LINEA]],4,0)</f>
        <v>#N/A</v>
      </c>
      <c r="F1234">
        <v>378</v>
      </c>
      <c r="G1234">
        <v>0</v>
      </c>
    </row>
    <row r="1235" spans="1:7">
      <c r="A1235" t="s">
        <v>7388</v>
      </c>
      <c r="B1235" t="s">
        <v>8622</v>
      </c>
      <c r="C1235" s="1" t="e">
        <f>VLOOKUP(Tabla_Items_Activos[[#This Row],[CODIGO]],Tabla_Items_Completos[[CODIGO]:[LINEA]],2,0)</f>
        <v>#N/A</v>
      </c>
      <c r="D1235" s="1" t="e">
        <f>VLOOKUP(Tabla_Items_Activos[[#This Row],[CODIGO]],Tabla_Items_Completos[[CODIGO]:[LINEA]],3,0)</f>
        <v>#N/A</v>
      </c>
      <c r="E1235" s="1" t="e">
        <f>VLOOKUP(Tabla_Items_Activos[[#This Row],[CODIGO]],Tabla_Items_Completos[[CODIGO]:[LINEA]],4,0)</f>
        <v>#N/A</v>
      </c>
      <c r="F1235">
        <v>658</v>
      </c>
      <c r="G1235">
        <v>150</v>
      </c>
    </row>
    <row r="1236" spans="1:7">
      <c r="A1236" t="s">
        <v>7388</v>
      </c>
      <c r="B1236" t="s">
        <v>8623</v>
      </c>
      <c r="C1236" s="1" t="e">
        <f>VLOOKUP(Tabla_Items_Activos[[#This Row],[CODIGO]],Tabla_Items_Completos[[CODIGO]:[LINEA]],2,0)</f>
        <v>#N/A</v>
      </c>
      <c r="D1236" s="1" t="e">
        <f>VLOOKUP(Tabla_Items_Activos[[#This Row],[CODIGO]],Tabla_Items_Completos[[CODIGO]:[LINEA]],3,0)</f>
        <v>#N/A</v>
      </c>
      <c r="E1236" s="1" t="e">
        <f>VLOOKUP(Tabla_Items_Activos[[#This Row],[CODIGO]],Tabla_Items_Completos[[CODIGO]:[LINEA]],4,0)</f>
        <v>#N/A</v>
      </c>
      <c r="F1236">
        <v>375</v>
      </c>
      <c r="G1236">
        <v>85</v>
      </c>
    </row>
    <row r="1237" spans="1:7">
      <c r="A1237" t="s">
        <v>7388</v>
      </c>
      <c r="B1237" t="s">
        <v>8624</v>
      </c>
      <c r="C1237" s="1" t="e">
        <f>VLOOKUP(Tabla_Items_Activos[[#This Row],[CODIGO]],Tabla_Items_Completos[[CODIGO]:[LINEA]],2,0)</f>
        <v>#N/A</v>
      </c>
      <c r="D1237" s="1" t="e">
        <f>VLOOKUP(Tabla_Items_Activos[[#This Row],[CODIGO]],Tabla_Items_Completos[[CODIGO]:[LINEA]],3,0)</f>
        <v>#N/A</v>
      </c>
      <c r="E1237" s="1" t="e">
        <f>VLOOKUP(Tabla_Items_Activos[[#This Row],[CODIGO]],Tabla_Items_Completos[[CODIGO]:[LINEA]],4,0)</f>
        <v>#N/A</v>
      </c>
      <c r="F1237">
        <v>153</v>
      </c>
      <c r="G1237">
        <v>26</v>
      </c>
    </row>
    <row r="1238" spans="1:7">
      <c r="A1238" t="s">
        <v>7388</v>
      </c>
      <c r="B1238" t="s">
        <v>8625</v>
      </c>
      <c r="C1238" s="1" t="e">
        <f>VLOOKUP(Tabla_Items_Activos[[#This Row],[CODIGO]],Tabla_Items_Completos[[CODIGO]:[LINEA]],2,0)</f>
        <v>#N/A</v>
      </c>
      <c r="D1238" s="1" t="e">
        <f>VLOOKUP(Tabla_Items_Activos[[#This Row],[CODIGO]],Tabla_Items_Completos[[CODIGO]:[LINEA]],3,0)</f>
        <v>#N/A</v>
      </c>
      <c r="E1238" s="1" t="e">
        <f>VLOOKUP(Tabla_Items_Activos[[#This Row],[CODIGO]],Tabla_Items_Completos[[CODIGO]:[LINEA]],4,0)</f>
        <v>#N/A</v>
      </c>
      <c r="F1238">
        <v>95</v>
      </c>
      <c r="G1238">
        <v>18</v>
      </c>
    </row>
    <row r="1239" spans="1:7">
      <c r="A1239" t="s">
        <v>7388</v>
      </c>
      <c r="B1239" t="s">
        <v>8626</v>
      </c>
      <c r="C1239" s="1" t="e">
        <f>VLOOKUP(Tabla_Items_Activos[[#This Row],[CODIGO]],Tabla_Items_Completos[[CODIGO]:[LINEA]],2,0)</f>
        <v>#N/A</v>
      </c>
      <c r="D1239" s="1" t="e">
        <f>VLOOKUP(Tabla_Items_Activos[[#This Row],[CODIGO]],Tabla_Items_Completos[[CODIGO]:[LINEA]],3,0)</f>
        <v>#N/A</v>
      </c>
      <c r="E1239" s="1" t="e">
        <f>VLOOKUP(Tabla_Items_Activos[[#This Row],[CODIGO]],Tabla_Items_Completos[[CODIGO]:[LINEA]],4,0)</f>
        <v>#N/A</v>
      </c>
      <c r="F1239">
        <v>4</v>
      </c>
      <c r="G1239">
        <v>0</v>
      </c>
    </row>
    <row r="1240" spans="1:7">
      <c r="A1240" t="s">
        <v>7388</v>
      </c>
      <c r="B1240" t="s">
        <v>8627</v>
      </c>
      <c r="C1240" s="1" t="e">
        <f>VLOOKUP(Tabla_Items_Activos[[#This Row],[CODIGO]],Tabla_Items_Completos[[CODIGO]:[LINEA]],2,0)</f>
        <v>#N/A</v>
      </c>
      <c r="D1240" s="1" t="e">
        <f>VLOOKUP(Tabla_Items_Activos[[#This Row],[CODIGO]],Tabla_Items_Completos[[CODIGO]:[LINEA]],3,0)</f>
        <v>#N/A</v>
      </c>
      <c r="E1240" s="1" t="e">
        <f>VLOOKUP(Tabla_Items_Activos[[#This Row],[CODIGO]],Tabla_Items_Completos[[CODIGO]:[LINEA]],4,0)</f>
        <v>#N/A</v>
      </c>
      <c r="F1240">
        <v>41</v>
      </c>
      <c r="G1240">
        <v>29</v>
      </c>
    </row>
    <row r="1241" spans="1:7">
      <c r="A1241" t="s">
        <v>7388</v>
      </c>
      <c r="B1241" t="s">
        <v>8628</v>
      </c>
      <c r="C1241" s="1" t="e">
        <f>VLOOKUP(Tabla_Items_Activos[[#This Row],[CODIGO]],Tabla_Items_Completos[[CODIGO]:[LINEA]],2,0)</f>
        <v>#N/A</v>
      </c>
      <c r="D1241" s="1" t="e">
        <f>VLOOKUP(Tabla_Items_Activos[[#This Row],[CODIGO]],Tabla_Items_Completos[[CODIGO]:[LINEA]],3,0)</f>
        <v>#N/A</v>
      </c>
      <c r="E1241" s="1" t="e">
        <f>VLOOKUP(Tabla_Items_Activos[[#This Row],[CODIGO]],Tabla_Items_Completos[[CODIGO]:[LINEA]],4,0)</f>
        <v>#N/A</v>
      </c>
      <c r="F1241">
        <v>35</v>
      </c>
      <c r="G1241">
        <v>49</v>
      </c>
    </row>
    <row r="1242" spans="1:7">
      <c r="A1242" t="s">
        <v>7388</v>
      </c>
      <c r="B1242" t="s">
        <v>8629</v>
      </c>
      <c r="C1242" s="1" t="e">
        <f>VLOOKUP(Tabla_Items_Activos[[#This Row],[CODIGO]],Tabla_Items_Completos[[CODIGO]:[LINEA]],2,0)</f>
        <v>#N/A</v>
      </c>
      <c r="D1242" s="1" t="e">
        <f>VLOOKUP(Tabla_Items_Activos[[#This Row],[CODIGO]],Tabla_Items_Completos[[CODIGO]:[LINEA]],3,0)</f>
        <v>#N/A</v>
      </c>
      <c r="E1242" s="1" t="e">
        <f>VLOOKUP(Tabla_Items_Activos[[#This Row],[CODIGO]],Tabla_Items_Completos[[CODIGO]:[LINEA]],4,0)</f>
        <v>#N/A</v>
      </c>
      <c r="F1242">
        <v>133</v>
      </c>
      <c r="G1242">
        <v>152</v>
      </c>
    </row>
    <row r="1243" spans="1:7">
      <c r="A1243" t="s">
        <v>7388</v>
      </c>
      <c r="B1243" t="s">
        <v>8630</v>
      </c>
      <c r="C1243" s="1" t="e">
        <f>VLOOKUP(Tabla_Items_Activos[[#This Row],[CODIGO]],Tabla_Items_Completos[[CODIGO]:[LINEA]],2,0)</f>
        <v>#N/A</v>
      </c>
      <c r="D1243" s="1" t="e">
        <f>VLOOKUP(Tabla_Items_Activos[[#This Row],[CODIGO]],Tabla_Items_Completos[[CODIGO]:[LINEA]],3,0)</f>
        <v>#N/A</v>
      </c>
      <c r="E1243" s="1" t="e">
        <f>VLOOKUP(Tabla_Items_Activos[[#This Row],[CODIGO]],Tabla_Items_Completos[[CODIGO]:[LINEA]],4,0)</f>
        <v>#N/A</v>
      </c>
      <c r="F1243">
        <v>720</v>
      </c>
      <c r="G1243">
        <v>149</v>
      </c>
    </row>
    <row r="1244" spans="1:7">
      <c r="A1244" t="s">
        <v>7388</v>
      </c>
      <c r="B1244" t="s">
        <v>8631</v>
      </c>
      <c r="C1244" s="1" t="e">
        <f>VLOOKUP(Tabla_Items_Activos[[#This Row],[CODIGO]],Tabla_Items_Completos[[CODIGO]:[LINEA]],2,0)</f>
        <v>#N/A</v>
      </c>
      <c r="D1244" s="1" t="e">
        <f>VLOOKUP(Tabla_Items_Activos[[#This Row],[CODIGO]],Tabla_Items_Completos[[CODIGO]:[LINEA]],3,0)</f>
        <v>#N/A</v>
      </c>
      <c r="E1244" s="1" t="e">
        <f>VLOOKUP(Tabla_Items_Activos[[#This Row],[CODIGO]],Tabla_Items_Completos[[CODIGO]:[LINEA]],4,0)</f>
        <v>#N/A</v>
      </c>
      <c r="F1244">
        <v>274</v>
      </c>
      <c r="G1244">
        <v>0</v>
      </c>
    </row>
    <row r="1245" spans="1:7">
      <c r="A1245" t="s">
        <v>7388</v>
      </c>
      <c r="B1245" t="s">
        <v>8632</v>
      </c>
      <c r="C1245" s="1" t="e">
        <f>VLOOKUP(Tabla_Items_Activos[[#This Row],[CODIGO]],Tabla_Items_Completos[[CODIGO]:[LINEA]],2,0)</f>
        <v>#N/A</v>
      </c>
      <c r="D1245" s="1" t="e">
        <f>VLOOKUP(Tabla_Items_Activos[[#This Row],[CODIGO]],Tabla_Items_Completos[[CODIGO]:[LINEA]],3,0)</f>
        <v>#N/A</v>
      </c>
      <c r="E1245" s="1" t="e">
        <f>VLOOKUP(Tabla_Items_Activos[[#This Row],[CODIGO]],Tabla_Items_Completos[[CODIGO]:[LINEA]],4,0)</f>
        <v>#N/A</v>
      </c>
      <c r="F1245">
        <v>69</v>
      </c>
      <c r="G1245">
        <v>25</v>
      </c>
    </row>
    <row r="1246" spans="1:7">
      <c r="A1246" t="s">
        <v>7388</v>
      </c>
      <c r="B1246" t="s">
        <v>8633</v>
      </c>
      <c r="C1246" s="1" t="e">
        <f>VLOOKUP(Tabla_Items_Activos[[#This Row],[CODIGO]],Tabla_Items_Completos[[CODIGO]:[LINEA]],2,0)</f>
        <v>#N/A</v>
      </c>
      <c r="D1246" s="1" t="e">
        <f>VLOOKUP(Tabla_Items_Activos[[#This Row],[CODIGO]],Tabla_Items_Completos[[CODIGO]:[LINEA]],3,0)</f>
        <v>#N/A</v>
      </c>
      <c r="E1246" s="1" t="e">
        <f>VLOOKUP(Tabla_Items_Activos[[#This Row],[CODIGO]],Tabla_Items_Completos[[CODIGO]:[LINEA]],4,0)</f>
        <v>#N/A</v>
      </c>
      <c r="F1246">
        <v>116</v>
      </c>
      <c r="G1246">
        <v>64</v>
      </c>
    </row>
    <row r="1247" spans="1:7">
      <c r="A1247" t="s">
        <v>7388</v>
      </c>
      <c r="B1247" t="s">
        <v>8634</v>
      </c>
      <c r="C1247" s="1" t="e">
        <f>VLOOKUP(Tabla_Items_Activos[[#This Row],[CODIGO]],Tabla_Items_Completos[[CODIGO]:[LINEA]],2,0)</f>
        <v>#N/A</v>
      </c>
      <c r="D1247" s="1" t="e">
        <f>VLOOKUP(Tabla_Items_Activos[[#This Row],[CODIGO]],Tabla_Items_Completos[[CODIGO]:[LINEA]],3,0)</f>
        <v>#N/A</v>
      </c>
      <c r="E1247" s="1" t="e">
        <f>VLOOKUP(Tabla_Items_Activos[[#This Row],[CODIGO]],Tabla_Items_Completos[[CODIGO]:[LINEA]],4,0)</f>
        <v>#N/A</v>
      </c>
      <c r="F1247">
        <v>400</v>
      </c>
      <c r="G1247">
        <v>32</v>
      </c>
    </row>
    <row r="1248" spans="1:7">
      <c r="A1248" t="s">
        <v>7388</v>
      </c>
      <c r="B1248" t="s">
        <v>8635</v>
      </c>
      <c r="C1248" s="1" t="e">
        <f>VLOOKUP(Tabla_Items_Activos[[#This Row],[CODIGO]],Tabla_Items_Completos[[CODIGO]:[LINEA]],2,0)</f>
        <v>#N/A</v>
      </c>
      <c r="D1248" s="1" t="e">
        <f>VLOOKUP(Tabla_Items_Activos[[#This Row],[CODIGO]],Tabla_Items_Completos[[CODIGO]:[LINEA]],3,0)</f>
        <v>#N/A</v>
      </c>
      <c r="E1248" s="1" t="e">
        <f>VLOOKUP(Tabla_Items_Activos[[#This Row],[CODIGO]],Tabla_Items_Completos[[CODIGO]:[LINEA]],4,0)</f>
        <v>#N/A</v>
      </c>
      <c r="F1248">
        <v>380</v>
      </c>
      <c r="G1248">
        <v>0</v>
      </c>
    </row>
    <row r="1249" spans="1:7">
      <c r="A1249" t="s">
        <v>7388</v>
      </c>
      <c r="B1249" t="s">
        <v>8636</v>
      </c>
      <c r="C1249" s="1" t="e">
        <f>VLOOKUP(Tabla_Items_Activos[[#This Row],[CODIGO]],Tabla_Items_Completos[[CODIGO]:[LINEA]],2,0)</f>
        <v>#N/A</v>
      </c>
      <c r="D1249" s="1" t="e">
        <f>VLOOKUP(Tabla_Items_Activos[[#This Row],[CODIGO]],Tabla_Items_Completos[[CODIGO]:[LINEA]],3,0)</f>
        <v>#N/A</v>
      </c>
      <c r="E1249" s="1" t="e">
        <f>VLOOKUP(Tabla_Items_Activos[[#This Row],[CODIGO]],Tabla_Items_Completos[[CODIGO]:[LINEA]],4,0)</f>
        <v>#N/A</v>
      </c>
      <c r="F1249">
        <v>38</v>
      </c>
      <c r="G1249">
        <v>10</v>
      </c>
    </row>
    <row r="1250" spans="1:7">
      <c r="A1250" t="s">
        <v>7388</v>
      </c>
      <c r="B1250" t="s">
        <v>8637</v>
      </c>
      <c r="C1250" s="1" t="e">
        <f>VLOOKUP(Tabla_Items_Activos[[#This Row],[CODIGO]],Tabla_Items_Completos[[CODIGO]:[LINEA]],2,0)</f>
        <v>#N/A</v>
      </c>
      <c r="D1250" s="1" t="e">
        <f>VLOOKUP(Tabla_Items_Activos[[#This Row],[CODIGO]],Tabla_Items_Completos[[CODIGO]:[LINEA]],3,0)</f>
        <v>#N/A</v>
      </c>
      <c r="E1250" s="1" t="e">
        <f>VLOOKUP(Tabla_Items_Activos[[#This Row],[CODIGO]],Tabla_Items_Completos[[CODIGO]:[LINEA]],4,0)</f>
        <v>#N/A</v>
      </c>
      <c r="F1250">
        <v>512</v>
      </c>
      <c r="G1250">
        <v>0</v>
      </c>
    </row>
    <row r="1251" spans="1:7">
      <c r="A1251" t="s">
        <v>7388</v>
      </c>
      <c r="B1251" t="s">
        <v>8638</v>
      </c>
      <c r="C1251" s="1" t="e">
        <f>VLOOKUP(Tabla_Items_Activos[[#This Row],[CODIGO]],Tabla_Items_Completos[[CODIGO]:[LINEA]],2,0)</f>
        <v>#N/A</v>
      </c>
      <c r="D1251" s="1" t="e">
        <f>VLOOKUP(Tabla_Items_Activos[[#This Row],[CODIGO]],Tabla_Items_Completos[[CODIGO]:[LINEA]],3,0)</f>
        <v>#N/A</v>
      </c>
      <c r="E1251" s="1" t="e">
        <f>VLOOKUP(Tabla_Items_Activos[[#This Row],[CODIGO]],Tabla_Items_Completos[[CODIGO]:[LINEA]],4,0)</f>
        <v>#N/A</v>
      </c>
      <c r="F1251">
        <v>284</v>
      </c>
      <c r="G1251">
        <v>20</v>
      </c>
    </row>
    <row r="1252" spans="1:7">
      <c r="A1252" t="s">
        <v>7388</v>
      </c>
      <c r="B1252" t="s">
        <v>8639</v>
      </c>
      <c r="C1252" s="1" t="e">
        <f>VLOOKUP(Tabla_Items_Activos[[#This Row],[CODIGO]],Tabla_Items_Completos[[CODIGO]:[LINEA]],2,0)</f>
        <v>#N/A</v>
      </c>
      <c r="D1252" s="1" t="e">
        <f>VLOOKUP(Tabla_Items_Activos[[#This Row],[CODIGO]],Tabla_Items_Completos[[CODIGO]:[LINEA]],3,0)</f>
        <v>#N/A</v>
      </c>
      <c r="E1252" s="1" t="e">
        <f>VLOOKUP(Tabla_Items_Activos[[#This Row],[CODIGO]],Tabla_Items_Completos[[CODIGO]:[LINEA]],4,0)</f>
        <v>#N/A</v>
      </c>
      <c r="F1252">
        <v>977</v>
      </c>
      <c r="G1252">
        <v>61</v>
      </c>
    </row>
    <row r="1253" spans="1:7">
      <c r="A1253" t="s">
        <v>7388</v>
      </c>
      <c r="B1253" t="s">
        <v>8640</v>
      </c>
      <c r="C1253" s="1" t="e">
        <f>VLOOKUP(Tabla_Items_Activos[[#This Row],[CODIGO]],Tabla_Items_Completos[[CODIGO]:[LINEA]],2,0)</f>
        <v>#N/A</v>
      </c>
      <c r="D1253" s="1" t="e">
        <f>VLOOKUP(Tabla_Items_Activos[[#This Row],[CODIGO]],Tabla_Items_Completos[[CODIGO]:[LINEA]],3,0)</f>
        <v>#N/A</v>
      </c>
      <c r="E1253" s="1" t="e">
        <f>VLOOKUP(Tabla_Items_Activos[[#This Row],[CODIGO]],Tabla_Items_Completos[[CODIGO]:[LINEA]],4,0)</f>
        <v>#N/A</v>
      </c>
      <c r="F1253">
        <v>11</v>
      </c>
      <c r="G1253">
        <v>40</v>
      </c>
    </row>
    <row r="1254" spans="1:7">
      <c r="A1254" t="s">
        <v>7388</v>
      </c>
      <c r="B1254" t="s">
        <v>8641</v>
      </c>
      <c r="C1254" s="1" t="e">
        <f>VLOOKUP(Tabla_Items_Activos[[#This Row],[CODIGO]],Tabla_Items_Completos[[CODIGO]:[LINEA]],2,0)</f>
        <v>#N/A</v>
      </c>
      <c r="D1254" s="1" t="e">
        <f>VLOOKUP(Tabla_Items_Activos[[#This Row],[CODIGO]],Tabla_Items_Completos[[CODIGO]:[LINEA]],3,0)</f>
        <v>#N/A</v>
      </c>
      <c r="E1254" s="1" t="e">
        <f>VLOOKUP(Tabla_Items_Activos[[#This Row],[CODIGO]],Tabla_Items_Completos[[CODIGO]:[LINEA]],4,0)</f>
        <v>#N/A</v>
      </c>
      <c r="F1254">
        <v>279</v>
      </c>
      <c r="G1254">
        <v>0</v>
      </c>
    </row>
    <row r="1255" spans="1:7">
      <c r="A1255" t="s">
        <v>7388</v>
      </c>
      <c r="B1255" t="s">
        <v>8642</v>
      </c>
      <c r="C1255" s="1" t="e">
        <f>VLOOKUP(Tabla_Items_Activos[[#This Row],[CODIGO]],Tabla_Items_Completos[[CODIGO]:[LINEA]],2,0)</f>
        <v>#N/A</v>
      </c>
      <c r="D1255" s="1" t="e">
        <f>VLOOKUP(Tabla_Items_Activos[[#This Row],[CODIGO]],Tabla_Items_Completos[[CODIGO]:[LINEA]],3,0)</f>
        <v>#N/A</v>
      </c>
      <c r="E1255" s="1" t="e">
        <f>VLOOKUP(Tabla_Items_Activos[[#This Row],[CODIGO]],Tabla_Items_Completos[[CODIGO]:[LINEA]],4,0)</f>
        <v>#N/A</v>
      </c>
      <c r="F1255">
        <v>206</v>
      </c>
      <c r="G1255">
        <v>29</v>
      </c>
    </row>
    <row r="1256" spans="1:7">
      <c r="A1256" t="s">
        <v>7388</v>
      </c>
      <c r="B1256" t="s">
        <v>8643</v>
      </c>
      <c r="C1256" s="1" t="e">
        <f>VLOOKUP(Tabla_Items_Activos[[#This Row],[CODIGO]],Tabla_Items_Completos[[CODIGO]:[LINEA]],2,0)</f>
        <v>#N/A</v>
      </c>
      <c r="D1256" s="1" t="e">
        <f>VLOOKUP(Tabla_Items_Activos[[#This Row],[CODIGO]],Tabla_Items_Completos[[CODIGO]:[LINEA]],3,0)</f>
        <v>#N/A</v>
      </c>
      <c r="E1256" s="1" t="e">
        <f>VLOOKUP(Tabla_Items_Activos[[#This Row],[CODIGO]],Tabla_Items_Completos[[CODIGO]:[LINEA]],4,0)</f>
        <v>#N/A</v>
      </c>
      <c r="F1256">
        <v>2962</v>
      </c>
      <c r="G1256">
        <v>149</v>
      </c>
    </row>
    <row r="1257" spans="1:7">
      <c r="A1257" t="s">
        <v>7388</v>
      </c>
      <c r="B1257" t="s">
        <v>8644</v>
      </c>
      <c r="C1257" s="1" t="e">
        <f>VLOOKUP(Tabla_Items_Activos[[#This Row],[CODIGO]],Tabla_Items_Completos[[CODIGO]:[LINEA]],2,0)</f>
        <v>#N/A</v>
      </c>
      <c r="D1257" s="1" t="e">
        <f>VLOOKUP(Tabla_Items_Activos[[#This Row],[CODIGO]],Tabla_Items_Completos[[CODIGO]:[LINEA]],3,0)</f>
        <v>#N/A</v>
      </c>
      <c r="E1257" s="1" t="e">
        <f>VLOOKUP(Tabla_Items_Activos[[#This Row],[CODIGO]],Tabla_Items_Completos[[CODIGO]:[LINEA]],4,0)</f>
        <v>#N/A</v>
      </c>
      <c r="F1257">
        <v>531</v>
      </c>
      <c r="G1257">
        <v>0</v>
      </c>
    </row>
    <row r="1258" spans="1:7">
      <c r="A1258" t="s">
        <v>7388</v>
      </c>
      <c r="B1258" t="s">
        <v>8645</v>
      </c>
      <c r="C1258" s="1" t="e">
        <f>VLOOKUP(Tabla_Items_Activos[[#This Row],[CODIGO]],Tabla_Items_Completos[[CODIGO]:[LINEA]],2,0)</f>
        <v>#N/A</v>
      </c>
      <c r="D1258" s="1" t="e">
        <f>VLOOKUP(Tabla_Items_Activos[[#This Row],[CODIGO]],Tabla_Items_Completos[[CODIGO]:[LINEA]],3,0)</f>
        <v>#N/A</v>
      </c>
      <c r="E1258" s="1" t="e">
        <f>VLOOKUP(Tabla_Items_Activos[[#This Row],[CODIGO]],Tabla_Items_Completos[[CODIGO]:[LINEA]],4,0)</f>
        <v>#N/A</v>
      </c>
      <c r="F1258">
        <v>1349</v>
      </c>
      <c r="G1258">
        <v>0</v>
      </c>
    </row>
    <row r="1259" spans="1:7">
      <c r="A1259" t="s">
        <v>7388</v>
      </c>
      <c r="B1259" t="s">
        <v>8646</v>
      </c>
      <c r="C1259" s="1" t="e">
        <f>VLOOKUP(Tabla_Items_Activos[[#This Row],[CODIGO]],Tabla_Items_Completos[[CODIGO]:[LINEA]],2,0)</f>
        <v>#N/A</v>
      </c>
      <c r="D1259" s="1" t="e">
        <f>VLOOKUP(Tabla_Items_Activos[[#This Row],[CODIGO]],Tabla_Items_Completos[[CODIGO]:[LINEA]],3,0)</f>
        <v>#N/A</v>
      </c>
      <c r="E1259" s="1" t="e">
        <f>VLOOKUP(Tabla_Items_Activos[[#This Row],[CODIGO]],Tabla_Items_Completos[[CODIGO]:[LINEA]],4,0)</f>
        <v>#N/A</v>
      </c>
      <c r="F1259">
        <v>227</v>
      </c>
      <c r="G1259">
        <v>129</v>
      </c>
    </row>
    <row r="1260" spans="1:7">
      <c r="A1260" t="s">
        <v>7388</v>
      </c>
      <c r="B1260" t="s">
        <v>8647</v>
      </c>
      <c r="C1260" s="1" t="e">
        <f>VLOOKUP(Tabla_Items_Activos[[#This Row],[CODIGO]],Tabla_Items_Completos[[CODIGO]:[LINEA]],2,0)</f>
        <v>#N/A</v>
      </c>
      <c r="D1260" s="1" t="e">
        <f>VLOOKUP(Tabla_Items_Activos[[#This Row],[CODIGO]],Tabla_Items_Completos[[CODIGO]:[LINEA]],3,0)</f>
        <v>#N/A</v>
      </c>
      <c r="E1260" s="1" t="e">
        <f>VLOOKUP(Tabla_Items_Activos[[#This Row],[CODIGO]],Tabla_Items_Completos[[CODIGO]:[LINEA]],4,0)</f>
        <v>#N/A</v>
      </c>
      <c r="F1260">
        <v>342</v>
      </c>
      <c r="G1260">
        <v>68</v>
      </c>
    </row>
    <row r="1261" spans="1:7">
      <c r="A1261" t="s">
        <v>7388</v>
      </c>
      <c r="B1261" t="s">
        <v>8648</v>
      </c>
      <c r="C1261" s="1" t="e">
        <f>VLOOKUP(Tabla_Items_Activos[[#This Row],[CODIGO]],Tabla_Items_Completos[[CODIGO]:[LINEA]],2,0)</f>
        <v>#N/A</v>
      </c>
      <c r="D1261" s="1" t="e">
        <f>VLOOKUP(Tabla_Items_Activos[[#This Row],[CODIGO]],Tabla_Items_Completos[[CODIGO]:[LINEA]],3,0)</f>
        <v>#N/A</v>
      </c>
      <c r="E1261" s="1" t="e">
        <f>VLOOKUP(Tabla_Items_Activos[[#This Row],[CODIGO]],Tabla_Items_Completos[[CODIGO]:[LINEA]],4,0)</f>
        <v>#N/A</v>
      </c>
      <c r="F1261">
        <v>778</v>
      </c>
      <c r="G1261">
        <v>0</v>
      </c>
    </row>
    <row r="1262" spans="1:7">
      <c r="A1262" t="s">
        <v>7388</v>
      </c>
      <c r="B1262" t="s">
        <v>8649</v>
      </c>
      <c r="C1262" s="1" t="e">
        <f>VLOOKUP(Tabla_Items_Activos[[#This Row],[CODIGO]],Tabla_Items_Completos[[CODIGO]:[LINEA]],2,0)</f>
        <v>#N/A</v>
      </c>
      <c r="D1262" s="1" t="e">
        <f>VLOOKUP(Tabla_Items_Activos[[#This Row],[CODIGO]],Tabla_Items_Completos[[CODIGO]:[LINEA]],3,0)</f>
        <v>#N/A</v>
      </c>
      <c r="E1262" s="1" t="e">
        <f>VLOOKUP(Tabla_Items_Activos[[#This Row],[CODIGO]],Tabla_Items_Completos[[CODIGO]:[LINEA]],4,0)</f>
        <v>#N/A</v>
      </c>
      <c r="F1262">
        <v>200</v>
      </c>
      <c r="G1262">
        <v>0</v>
      </c>
    </row>
    <row r="1263" spans="1:7">
      <c r="A1263" t="s">
        <v>7388</v>
      </c>
      <c r="B1263" t="s">
        <v>8650</v>
      </c>
      <c r="C1263" s="1" t="e">
        <f>VLOOKUP(Tabla_Items_Activos[[#This Row],[CODIGO]],Tabla_Items_Completos[[CODIGO]:[LINEA]],2,0)</f>
        <v>#N/A</v>
      </c>
      <c r="D1263" s="1" t="e">
        <f>VLOOKUP(Tabla_Items_Activos[[#This Row],[CODIGO]],Tabla_Items_Completos[[CODIGO]:[LINEA]],3,0)</f>
        <v>#N/A</v>
      </c>
      <c r="E1263" s="1" t="e">
        <f>VLOOKUP(Tabla_Items_Activos[[#This Row],[CODIGO]],Tabla_Items_Completos[[CODIGO]:[LINEA]],4,0)</f>
        <v>#N/A</v>
      </c>
      <c r="F1263">
        <v>274</v>
      </c>
      <c r="G1263">
        <v>0</v>
      </c>
    </row>
    <row r="1264" spans="1:7">
      <c r="A1264" t="s">
        <v>7388</v>
      </c>
      <c r="B1264" t="s">
        <v>8651</v>
      </c>
      <c r="C1264" s="1" t="e">
        <f>VLOOKUP(Tabla_Items_Activos[[#This Row],[CODIGO]],Tabla_Items_Completos[[CODIGO]:[LINEA]],2,0)</f>
        <v>#N/A</v>
      </c>
      <c r="D1264" s="1" t="e">
        <f>VLOOKUP(Tabla_Items_Activos[[#This Row],[CODIGO]],Tabla_Items_Completos[[CODIGO]:[LINEA]],3,0)</f>
        <v>#N/A</v>
      </c>
      <c r="E1264" s="1" t="e">
        <f>VLOOKUP(Tabla_Items_Activos[[#This Row],[CODIGO]],Tabla_Items_Completos[[CODIGO]:[LINEA]],4,0)</f>
        <v>#N/A</v>
      </c>
      <c r="F1264">
        <v>352</v>
      </c>
      <c r="G1264">
        <v>0</v>
      </c>
    </row>
    <row r="1265" spans="1:7">
      <c r="A1265" t="s">
        <v>7388</v>
      </c>
      <c r="B1265" t="s">
        <v>8652</v>
      </c>
      <c r="C1265" s="1" t="e">
        <f>VLOOKUP(Tabla_Items_Activos[[#This Row],[CODIGO]],Tabla_Items_Completos[[CODIGO]:[LINEA]],2,0)</f>
        <v>#N/A</v>
      </c>
      <c r="D1265" s="1" t="e">
        <f>VLOOKUP(Tabla_Items_Activos[[#This Row],[CODIGO]],Tabla_Items_Completos[[CODIGO]:[LINEA]],3,0)</f>
        <v>#N/A</v>
      </c>
      <c r="E1265" s="1" t="e">
        <f>VLOOKUP(Tabla_Items_Activos[[#This Row],[CODIGO]],Tabla_Items_Completos[[CODIGO]:[LINEA]],4,0)</f>
        <v>#N/A</v>
      </c>
      <c r="F1265">
        <v>106</v>
      </c>
      <c r="G1265">
        <v>14</v>
      </c>
    </row>
    <row r="1266" spans="1:7">
      <c r="A1266" t="s">
        <v>7388</v>
      </c>
      <c r="B1266" t="s">
        <v>8653</v>
      </c>
      <c r="C1266" s="1" t="e">
        <f>VLOOKUP(Tabla_Items_Activos[[#This Row],[CODIGO]],Tabla_Items_Completos[[CODIGO]:[LINEA]],2,0)</f>
        <v>#N/A</v>
      </c>
      <c r="D1266" s="1" t="e">
        <f>VLOOKUP(Tabla_Items_Activos[[#This Row],[CODIGO]],Tabla_Items_Completos[[CODIGO]:[LINEA]],3,0)</f>
        <v>#N/A</v>
      </c>
      <c r="E1266" s="1" t="e">
        <f>VLOOKUP(Tabla_Items_Activos[[#This Row],[CODIGO]],Tabla_Items_Completos[[CODIGO]:[LINEA]],4,0)</f>
        <v>#N/A</v>
      </c>
      <c r="F1266">
        <v>232</v>
      </c>
      <c r="G1266">
        <v>130</v>
      </c>
    </row>
    <row r="1267" spans="1:7">
      <c r="A1267" t="s">
        <v>7388</v>
      </c>
      <c r="B1267" t="s">
        <v>8654</v>
      </c>
      <c r="C1267" s="1" t="e">
        <f>VLOOKUP(Tabla_Items_Activos[[#This Row],[CODIGO]],Tabla_Items_Completos[[CODIGO]:[LINEA]],2,0)</f>
        <v>#N/A</v>
      </c>
      <c r="D1267" s="1" t="e">
        <f>VLOOKUP(Tabla_Items_Activos[[#This Row],[CODIGO]],Tabla_Items_Completos[[CODIGO]:[LINEA]],3,0)</f>
        <v>#N/A</v>
      </c>
      <c r="E1267" s="1" t="e">
        <f>VLOOKUP(Tabla_Items_Activos[[#This Row],[CODIGO]],Tabla_Items_Completos[[CODIGO]:[LINEA]],4,0)</f>
        <v>#N/A</v>
      </c>
      <c r="F1267">
        <v>146</v>
      </c>
      <c r="G1267">
        <v>117</v>
      </c>
    </row>
    <row r="1268" spans="1:7">
      <c r="A1268" t="s">
        <v>7388</v>
      </c>
      <c r="B1268" t="s">
        <v>8655</v>
      </c>
      <c r="C1268" s="1" t="e">
        <f>VLOOKUP(Tabla_Items_Activos[[#This Row],[CODIGO]],Tabla_Items_Completos[[CODIGO]:[LINEA]],2,0)</f>
        <v>#N/A</v>
      </c>
      <c r="D1268" s="1" t="e">
        <f>VLOOKUP(Tabla_Items_Activos[[#This Row],[CODIGO]],Tabla_Items_Completos[[CODIGO]:[LINEA]],3,0)</f>
        <v>#N/A</v>
      </c>
      <c r="E1268" s="1" t="e">
        <f>VLOOKUP(Tabla_Items_Activos[[#This Row],[CODIGO]],Tabla_Items_Completos[[CODIGO]:[LINEA]],4,0)</f>
        <v>#N/A</v>
      </c>
      <c r="F1268">
        <v>186</v>
      </c>
      <c r="G1268">
        <v>0</v>
      </c>
    </row>
    <row r="1269" spans="1:7">
      <c r="A1269" t="s">
        <v>7388</v>
      </c>
      <c r="B1269" t="s">
        <v>8656</v>
      </c>
      <c r="C1269" s="1" t="e">
        <f>VLOOKUP(Tabla_Items_Activos[[#This Row],[CODIGO]],Tabla_Items_Completos[[CODIGO]:[LINEA]],2,0)</f>
        <v>#N/A</v>
      </c>
      <c r="D1269" s="1" t="e">
        <f>VLOOKUP(Tabla_Items_Activos[[#This Row],[CODIGO]],Tabla_Items_Completos[[CODIGO]:[LINEA]],3,0)</f>
        <v>#N/A</v>
      </c>
      <c r="E1269" s="1" t="e">
        <f>VLOOKUP(Tabla_Items_Activos[[#This Row],[CODIGO]],Tabla_Items_Completos[[CODIGO]:[LINEA]],4,0)</f>
        <v>#N/A</v>
      </c>
      <c r="F1269">
        <v>16</v>
      </c>
      <c r="G1269">
        <v>34</v>
      </c>
    </row>
    <row r="1270" spans="1:7">
      <c r="A1270" t="s">
        <v>7388</v>
      </c>
      <c r="B1270" t="s">
        <v>8657</v>
      </c>
      <c r="C1270" s="1" t="e">
        <f>VLOOKUP(Tabla_Items_Activos[[#This Row],[CODIGO]],Tabla_Items_Completos[[CODIGO]:[LINEA]],2,0)</f>
        <v>#N/A</v>
      </c>
      <c r="D1270" s="1" t="e">
        <f>VLOOKUP(Tabla_Items_Activos[[#This Row],[CODIGO]],Tabla_Items_Completos[[CODIGO]:[LINEA]],3,0)</f>
        <v>#N/A</v>
      </c>
      <c r="E1270" s="1" t="e">
        <f>VLOOKUP(Tabla_Items_Activos[[#This Row],[CODIGO]],Tabla_Items_Completos[[CODIGO]:[LINEA]],4,0)</f>
        <v>#N/A</v>
      </c>
      <c r="F1270">
        <v>3151</v>
      </c>
      <c r="G1270">
        <v>0</v>
      </c>
    </row>
    <row r="1271" spans="1:7">
      <c r="A1271" t="s">
        <v>7388</v>
      </c>
      <c r="B1271" t="s">
        <v>8658</v>
      </c>
      <c r="C1271" s="1" t="e">
        <f>VLOOKUP(Tabla_Items_Activos[[#This Row],[CODIGO]],Tabla_Items_Completos[[CODIGO]:[LINEA]],2,0)</f>
        <v>#N/A</v>
      </c>
      <c r="D1271" s="1" t="e">
        <f>VLOOKUP(Tabla_Items_Activos[[#This Row],[CODIGO]],Tabla_Items_Completos[[CODIGO]:[LINEA]],3,0)</f>
        <v>#N/A</v>
      </c>
      <c r="E1271" s="1" t="e">
        <f>VLOOKUP(Tabla_Items_Activos[[#This Row],[CODIGO]],Tabla_Items_Completos[[CODIGO]:[LINEA]],4,0)</f>
        <v>#N/A</v>
      </c>
      <c r="F1271">
        <v>38</v>
      </c>
      <c r="G1271">
        <v>163</v>
      </c>
    </row>
    <row r="1272" spans="1:7">
      <c r="A1272" t="s">
        <v>7388</v>
      </c>
      <c r="B1272" t="s">
        <v>8659</v>
      </c>
      <c r="C1272" s="1" t="e">
        <f>VLOOKUP(Tabla_Items_Activos[[#This Row],[CODIGO]],Tabla_Items_Completos[[CODIGO]:[LINEA]],2,0)</f>
        <v>#N/A</v>
      </c>
      <c r="D1272" s="1" t="e">
        <f>VLOOKUP(Tabla_Items_Activos[[#This Row],[CODIGO]],Tabla_Items_Completos[[CODIGO]:[LINEA]],3,0)</f>
        <v>#N/A</v>
      </c>
      <c r="E1272" s="1" t="e">
        <f>VLOOKUP(Tabla_Items_Activos[[#This Row],[CODIGO]],Tabla_Items_Completos[[CODIGO]:[LINEA]],4,0)</f>
        <v>#N/A</v>
      </c>
      <c r="F1272">
        <v>1030</v>
      </c>
      <c r="G1272">
        <v>0</v>
      </c>
    </row>
    <row r="1273" spans="1:7">
      <c r="A1273" t="s">
        <v>7388</v>
      </c>
      <c r="B1273" t="s">
        <v>8660</v>
      </c>
      <c r="C1273" s="1" t="e">
        <f>VLOOKUP(Tabla_Items_Activos[[#This Row],[CODIGO]],Tabla_Items_Completos[[CODIGO]:[LINEA]],2,0)</f>
        <v>#N/A</v>
      </c>
      <c r="D1273" s="1" t="e">
        <f>VLOOKUP(Tabla_Items_Activos[[#This Row],[CODIGO]],Tabla_Items_Completos[[CODIGO]:[LINEA]],3,0)</f>
        <v>#N/A</v>
      </c>
      <c r="E1273" s="1" t="e">
        <f>VLOOKUP(Tabla_Items_Activos[[#This Row],[CODIGO]],Tabla_Items_Completos[[CODIGO]:[LINEA]],4,0)</f>
        <v>#N/A</v>
      </c>
      <c r="F1273">
        <v>1051</v>
      </c>
      <c r="G1273">
        <v>0</v>
      </c>
    </row>
    <row r="1274" spans="1:7">
      <c r="A1274" t="s">
        <v>7388</v>
      </c>
      <c r="B1274" t="s">
        <v>8661</v>
      </c>
      <c r="C1274" s="1" t="e">
        <f>VLOOKUP(Tabla_Items_Activos[[#This Row],[CODIGO]],Tabla_Items_Completos[[CODIGO]:[LINEA]],2,0)</f>
        <v>#N/A</v>
      </c>
      <c r="D1274" s="1" t="e">
        <f>VLOOKUP(Tabla_Items_Activos[[#This Row],[CODIGO]],Tabla_Items_Completos[[CODIGO]:[LINEA]],3,0)</f>
        <v>#N/A</v>
      </c>
      <c r="E1274" s="1" t="e">
        <f>VLOOKUP(Tabla_Items_Activos[[#This Row],[CODIGO]],Tabla_Items_Completos[[CODIGO]:[LINEA]],4,0)</f>
        <v>#N/A</v>
      </c>
      <c r="F1274">
        <v>106</v>
      </c>
      <c r="G1274">
        <v>82</v>
      </c>
    </row>
    <row r="1275" spans="1:7">
      <c r="A1275" t="s">
        <v>7388</v>
      </c>
      <c r="B1275" t="s">
        <v>8662</v>
      </c>
      <c r="C1275" s="1" t="e">
        <f>VLOOKUP(Tabla_Items_Activos[[#This Row],[CODIGO]],Tabla_Items_Completos[[CODIGO]:[LINEA]],2,0)</f>
        <v>#N/A</v>
      </c>
      <c r="D1275" s="1" t="e">
        <f>VLOOKUP(Tabla_Items_Activos[[#This Row],[CODIGO]],Tabla_Items_Completos[[CODIGO]:[LINEA]],3,0)</f>
        <v>#N/A</v>
      </c>
      <c r="E1275" s="1" t="e">
        <f>VLOOKUP(Tabla_Items_Activos[[#This Row],[CODIGO]],Tabla_Items_Completos[[CODIGO]:[LINEA]],4,0)</f>
        <v>#N/A</v>
      </c>
      <c r="F1275">
        <v>1103</v>
      </c>
      <c r="G1275">
        <v>0</v>
      </c>
    </row>
    <row r="1276" spans="1:7">
      <c r="A1276" t="s">
        <v>7388</v>
      </c>
      <c r="B1276" t="s">
        <v>8663</v>
      </c>
      <c r="C1276" s="1" t="e">
        <f>VLOOKUP(Tabla_Items_Activos[[#This Row],[CODIGO]],Tabla_Items_Completos[[CODIGO]:[LINEA]],2,0)</f>
        <v>#N/A</v>
      </c>
      <c r="D1276" s="1" t="e">
        <f>VLOOKUP(Tabla_Items_Activos[[#This Row],[CODIGO]],Tabla_Items_Completos[[CODIGO]:[LINEA]],3,0)</f>
        <v>#N/A</v>
      </c>
      <c r="E1276" s="1" t="e">
        <f>VLOOKUP(Tabla_Items_Activos[[#This Row],[CODIGO]],Tabla_Items_Completos[[CODIGO]:[LINEA]],4,0)</f>
        <v>#N/A</v>
      </c>
      <c r="F1276">
        <v>1326</v>
      </c>
      <c r="G1276">
        <v>375</v>
      </c>
    </row>
    <row r="1277" spans="1:7">
      <c r="A1277" t="s">
        <v>7388</v>
      </c>
      <c r="B1277" t="s">
        <v>8664</v>
      </c>
      <c r="C1277" s="1" t="e">
        <f>VLOOKUP(Tabla_Items_Activos[[#This Row],[CODIGO]],Tabla_Items_Completos[[CODIGO]:[LINEA]],2,0)</f>
        <v>#N/A</v>
      </c>
      <c r="D1277" s="1" t="e">
        <f>VLOOKUP(Tabla_Items_Activos[[#This Row],[CODIGO]],Tabla_Items_Completos[[CODIGO]:[LINEA]],3,0)</f>
        <v>#N/A</v>
      </c>
      <c r="E1277" s="1" t="e">
        <f>VLOOKUP(Tabla_Items_Activos[[#This Row],[CODIGO]],Tabla_Items_Completos[[CODIGO]:[LINEA]],4,0)</f>
        <v>#N/A</v>
      </c>
      <c r="F1277">
        <v>523</v>
      </c>
      <c r="G1277">
        <v>5</v>
      </c>
    </row>
    <row r="1278" spans="1:7">
      <c r="A1278" t="s">
        <v>7388</v>
      </c>
      <c r="B1278" t="s">
        <v>8665</v>
      </c>
      <c r="C1278" s="1" t="e">
        <f>VLOOKUP(Tabla_Items_Activos[[#This Row],[CODIGO]],Tabla_Items_Completos[[CODIGO]:[LINEA]],2,0)</f>
        <v>#N/A</v>
      </c>
      <c r="D1278" s="1" t="e">
        <f>VLOOKUP(Tabla_Items_Activos[[#This Row],[CODIGO]],Tabla_Items_Completos[[CODIGO]:[LINEA]],3,0)</f>
        <v>#N/A</v>
      </c>
      <c r="E1278" s="1" t="e">
        <f>VLOOKUP(Tabla_Items_Activos[[#This Row],[CODIGO]],Tabla_Items_Completos[[CODIGO]:[LINEA]],4,0)</f>
        <v>#N/A</v>
      </c>
      <c r="F1278">
        <v>2232</v>
      </c>
      <c r="G1278">
        <v>960</v>
      </c>
    </row>
    <row r="1279" spans="1:7">
      <c r="A1279" t="s">
        <v>7388</v>
      </c>
      <c r="B1279" t="s">
        <v>8666</v>
      </c>
      <c r="C1279" s="1" t="e">
        <f>VLOOKUP(Tabla_Items_Activos[[#This Row],[CODIGO]],Tabla_Items_Completos[[CODIGO]:[LINEA]],2,0)</f>
        <v>#N/A</v>
      </c>
      <c r="D1279" s="1" t="e">
        <f>VLOOKUP(Tabla_Items_Activos[[#This Row],[CODIGO]],Tabla_Items_Completos[[CODIGO]:[LINEA]],3,0)</f>
        <v>#N/A</v>
      </c>
      <c r="E1279" s="1" t="e">
        <f>VLOOKUP(Tabla_Items_Activos[[#This Row],[CODIGO]],Tabla_Items_Completos[[CODIGO]:[LINEA]],4,0)</f>
        <v>#N/A</v>
      </c>
      <c r="F1279">
        <v>567</v>
      </c>
      <c r="G1279">
        <v>12</v>
      </c>
    </row>
    <row r="1280" spans="1:7">
      <c r="A1280" t="s">
        <v>7388</v>
      </c>
      <c r="B1280" t="s">
        <v>8667</v>
      </c>
      <c r="C1280" s="1" t="e">
        <f>VLOOKUP(Tabla_Items_Activos[[#This Row],[CODIGO]],Tabla_Items_Completos[[CODIGO]:[LINEA]],2,0)</f>
        <v>#N/A</v>
      </c>
      <c r="D1280" s="1" t="e">
        <f>VLOOKUP(Tabla_Items_Activos[[#This Row],[CODIGO]],Tabla_Items_Completos[[CODIGO]:[LINEA]],3,0)</f>
        <v>#N/A</v>
      </c>
      <c r="E1280" s="1" t="e">
        <f>VLOOKUP(Tabla_Items_Activos[[#This Row],[CODIGO]],Tabla_Items_Completos[[CODIGO]:[LINEA]],4,0)</f>
        <v>#N/A</v>
      </c>
      <c r="F1280">
        <v>1709</v>
      </c>
      <c r="G1280">
        <v>255</v>
      </c>
    </row>
    <row r="1281" spans="1:7">
      <c r="A1281" t="s">
        <v>7388</v>
      </c>
      <c r="B1281" t="s">
        <v>8668</v>
      </c>
      <c r="C1281" s="1" t="e">
        <f>VLOOKUP(Tabla_Items_Activos[[#This Row],[CODIGO]],Tabla_Items_Completos[[CODIGO]:[LINEA]],2,0)</f>
        <v>#N/A</v>
      </c>
      <c r="D1281" s="1" t="e">
        <f>VLOOKUP(Tabla_Items_Activos[[#This Row],[CODIGO]],Tabla_Items_Completos[[CODIGO]:[LINEA]],3,0)</f>
        <v>#N/A</v>
      </c>
      <c r="E1281" s="1" t="e">
        <f>VLOOKUP(Tabla_Items_Activos[[#This Row],[CODIGO]],Tabla_Items_Completos[[CODIGO]:[LINEA]],4,0)</f>
        <v>#N/A</v>
      </c>
      <c r="F1281">
        <v>331</v>
      </c>
      <c r="G1281">
        <v>0</v>
      </c>
    </row>
    <row r="1282" spans="1:7">
      <c r="A1282" t="s">
        <v>7388</v>
      </c>
      <c r="B1282" t="s">
        <v>8669</v>
      </c>
      <c r="C1282" s="1" t="e">
        <f>VLOOKUP(Tabla_Items_Activos[[#This Row],[CODIGO]],Tabla_Items_Completos[[CODIGO]:[LINEA]],2,0)</f>
        <v>#N/A</v>
      </c>
      <c r="D1282" s="1" t="e">
        <f>VLOOKUP(Tabla_Items_Activos[[#This Row],[CODIGO]],Tabla_Items_Completos[[CODIGO]:[LINEA]],3,0)</f>
        <v>#N/A</v>
      </c>
      <c r="E1282" s="1" t="e">
        <f>VLOOKUP(Tabla_Items_Activos[[#This Row],[CODIGO]],Tabla_Items_Completos[[CODIGO]:[LINEA]],4,0)</f>
        <v>#N/A</v>
      </c>
      <c r="F1282">
        <v>420</v>
      </c>
      <c r="G1282">
        <v>0</v>
      </c>
    </row>
    <row r="1283" spans="1:7">
      <c r="A1283" t="s">
        <v>7388</v>
      </c>
      <c r="B1283" t="s">
        <v>8670</v>
      </c>
      <c r="C1283" s="1" t="e">
        <f>VLOOKUP(Tabla_Items_Activos[[#This Row],[CODIGO]],Tabla_Items_Completos[[CODIGO]:[LINEA]],2,0)</f>
        <v>#N/A</v>
      </c>
      <c r="D1283" s="1" t="e">
        <f>VLOOKUP(Tabla_Items_Activos[[#This Row],[CODIGO]],Tabla_Items_Completos[[CODIGO]:[LINEA]],3,0)</f>
        <v>#N/A</v>
      </c>
      <c r="E1283" s="1" t="e">
        <f>VLOOKUP(Tabla_Items_Activos[[#This Row],[CODIGO]],Tabla_Items_Completos[[CODIGO]:[LINEA]],4,0)</f>
        <v>#N/A</v>
      </c>
      <c r="F1283">
        <v>3485</v>
      </c>
      <c r="G1283">
        <v>680</v>
      </c>
    </row>
    <row r="1284" spans="1:7">
      <c r="A1284" t="s">
        <v>7388</v>
      </c>
      <c r="B1284" t="s">
        <v>8671</v>
      </c>
      <c r="C1284" s="1" t="e">
        <f>VLOOKUP(Tabla_Items_Activos[[#This Row],[CODIGO]],Tabla_Items_Completos[[CODIGO]:[LINEA]],2,0)</f>
        <v>#N/A</v>
      </c>
      <c r="D1284" s="1" t="e">
        <f>VLOOKUP(Tabla_Items_Activos[[#This Row],[CODIGO]],Tabla_Items_Completos[[CODIGO]:[LINEA]],3,0)</f>
        <v>#N/A</v>
      </c>
      <c r="E1284" s="1" t="e">
        <f>VLOOKUP(Tabla_Items_Activos[[#This Row],[CODIGO]],Tabla_Items_Completos[[CODIGO]:[LINEA]],4,0)</f>
        <v>#N/A</v>
      </c>
      <c r="F1284">
        <v>1476</v>
      </c>
      <c r="G1284">
        <v>0</v>
      </c>
    </row>
    <row r="1285" spans="1:7">
      <c r="A1285" t="s">
        <v>7388</v>
      </c>
      <c r="B1285" t="s">
        <v>8672</v>
      </c>
      <c r="C1285" s="1" t="e">
        <f>VLOOKUP(Tabla_Items_Activos[[#This Row],[CODIGO]],Tabla_Items_Completos[[CODIGO]:[LINEA]],2,0)</f>
        <v>#N/A</v>
      </c>
      <c r="D1285" s="1" t="e">
        <f>VLOOKUP(Tabla_Items_Activos[[#This Row],[CODIGO]],Tabla_Items_Completos[[CODIGO]:[LINEA]],3,0)</f>
        <v>#N/A</v>
      </c>
      <c r="E1285" s="1" t="e">
        <f>VLOOKUP(Tabla_Items_Activos[[#This Row],[CODIGO]],Tabla_Items_Completos[[CODIGO]:[LINEA]],4,0)</f>
        <v>#N/A</v>
      </c>
      <c r="F1285">
        <v>336</v>
      </c>
      <c r="G1285">
        <v>47</v>
      </c>
    </row>
    <row r="1286" spans="1:7">
      <c r="A1286" t="s">
        <v>7388</v>
      </c>
      <c r="B1286" t="s">
        <v>8673</v>
      </c>
      <c r="C1286" s="1" t="e">
        <f>VLOOKUP(Tabla_Items_Activos[[#This Row],[CODIGO]],Tabla_Items_Completos[[CODIGO]:[LINEA]],2,0)</f>
        <v>#N/A</v>
      </c>
      <c r="D1286" s="1" t="e">
        <f>VLOOKUP(Tabla_Items_Activos[[#This Row],[CODIGO]],Tabla_Items_Completos[[CODIGO]:[LINEA]],3,0)</f>
        <v>#N/A</v>
      </c>
      <c r="E1286" s="1" t="e">
        <f>VLOOKUP(Tabla_Items_Activos[[#This Row],[CODIGO]],Tabla_Items_Completos[[CODIGO]:[LINEA]],4,0)</f>
        <v>#N/A</v>
      </c>
      <c r="F1286">
        <v>69</v>
      </c>
      <c r="G1286">
        <v>27</v>
      </c>
    </row>
    <row r="1287" spans="1:7">
      <c r="A1287" t="s">
        <v>7388</v>
      </c>
      <c r="B1287" t="s">
        <v>8674</v>
      </c>
      <c r="C1287" s="1" t="e">
        <f>VLOOKUP(Tabla_Items_Activos[[#This Row],[CODIGO]],Tabla_Items_Completos[[CODIGO]:[LINEA]],2,0)</f>
        <v>#N/A</v>
      </c>
      <c r="D1287" s="1" t="e">
        <f>VLOOKUP(Tabla_Items_Activos[[#This Row],[CODIGO]],Tabla_Items_Completos[[CODIGO]:[LINEA]],3,0)</f>
        <v>#N/A</v>
      </c>
      <c r="E1287" s="1" t="e">
        <f>VLOOKUP(Tabla_Items_Activos[[#This Row],[CODIGO]],Tabla_Items_Completos[[CODIGO]:[LINEA]],4,0)</f>
        <v>#N/A</v>
      </c>
      <c r="F1287">
        <v>36</v>
      </c>
      <c r="G1287">
        <v>84</v>
      </c>
    </row>
    <row r="1288" spans="1:7">
      <c r="A1288" t="s">
        <v>7388</v>
      </c>
      <c r="B1288" t="s">
        <v>8675</v>
      </c>
      <c r="C1288" s="1" t="e">
        <f>VLOOKUP(Tabla_Items_Activos[[#This Row],[CODIGO]],Tabla_Items_Completos[[CODIGO]:[LINEA]],2,0)</f>
        <v>#N/A</v>
      </c>
      <c r="D1288" s="1" t="e">
        <f>VLOOKUP(Tabla_Items_Activos[[#This Row],[CODIGO]],Tabla_Items_Completos[[CODIGO]:[LINEA]],3,0)</f>
        <v>#N/A</v>
      </c>
      <c r="E1288" s="1" t="e">
        <f>VLOOKUP(Tabla_Items_Activos[[#This Row],[CODIGO]],Tabla_Items_Completos[[CODIGO]:[LINEA]],4,0)</f>
        <v>#N/A</v>
      </c>
      <c r="F1288">
        <v>179</v>
      </c>
      <c r="G1288">
        <v>50</v>
      </c>
    </row>
    <row r="1289" spans="1:7">
      <c r="A1289" t="s">
        <v>7388</v>
      </c>
      <c r="B1289" t="s">
        <v>8676</v>
      </c>
      <c r="C1289" s="1" t="e">
        <f>VLOOKUP(Tabla_Items_Activos[[#This Row],[CODIGO]],Tabla_Items_Completos[[CODIGO]:[LINEA]],2,0)</f>
        <v>#N/A</v>
      </c>
      <c r="D1289" s="1" t="e">
        <f>VLOOKUP(Tabla_Items_Activos[[#This Row],[CODIGO]],Tabla_Items_Completos[[CODIGO]:[LINEA]],3,0)</f>
        <v>#N/A</v>
      </c>
      <c r="E1289" s="1" t="e">
        <f>VLOOKUP(Tabla_Items_Activos[[#This Row],[CODIGO]],Tabla_Items_Completos[[CODIGO]:[LINEA]],4,0)</f>
        <v>#N/A</v>
      </c>
      <c r="F1289">
        <v>36</v>
      </c>
      <c r="G1289">
        <v>89</v>
      </c>
    </row>
    <row r="1290" spans="1:7">
      <c r="A1290" t="s">
        <v>7388</v>
      </c>
      <c r="B1290" t="s">
        <v>8677</v>
      </c>
      <c r="C1290" s="1" t="e">
        <f>VLOOKUP(Tabla_Items_Activos[[#This Row],[CODIGO]],Tabla_Items_Completos[[CODIGO]:[LINEA]],2,0)</f>
        <v>#N/A</v>
      </c>
      <c r="D1290" s="1" t="e">
        <f>VLOOKUP(Tabla_Items_Activos[[#This Row],[CODIGO]],Tabla_Items_Completos[[CODIGO]:[LINEA]],3,0)</f>
        <v>#N/A</v>
      </c>
      <c r="E1290" s="1" t="e">
        <f>VLOOKUP(Tabla_Items_Activos[[#This Row],[CODIGO]],Tabla_Items_Completos[[CODIGO]:[LINEA]],4,0)</f>
        <v>#N/A</v>
      </c>
      <c r="F1290">
        <v>34</v>
      </c>
      <c r="G1290">
        <v>36</v>
      </c>
    </row>
    <row r="1291" spans="1:7">
      <c r="A1291" t="s">
        <v>7388</v>
      </c>
      <c r="B1291" t="s">
        <v>8678</v>
      </c>
      <c r="C1291" s="1" t="e">
        <f>VLOOKUP(Tabla_Items_Activos[[#This Row],[CODIGO]],Tabla_Items_Completos[[CODIGO]:[LINEA]],2,0)</f>
        <v>#N/A</v>
      </c>
      <c r="D1291" s="1" t="e">
        <f>VLOOKUP(Tabla_Items_Activos[[#This Row],[CODIGO]],Tabla_Items_Completos[[CODIGO]:[LINEA]],3,0)</f>
        <v>#N/A</v>
      </c>
      <c r="E1291" s="1" t="e">
        <f>VLOOKUP(Tabla_Items_Activos[[#This Row],[CODIGO]],Tabla_Items_Completos[[CODIGO]:[LINEA]],4,0)</f>
        <v>#N/A</v>
      </c>
      <c r="F1291">
        <v>413</v>
      </c>
      <c r="G1291">
        <v>708</v>
      </c>
    </row>
    <row r="1292" spans="1:7">
      <c r="A1292" t="s">
        <v>7388</v>
      </c>
      <c r="B1292" t="s">
        <v>8679</v>
      </c>
      <c r="C1292" s="1" t="e">
        <f>VLOOKUP(Tabla_Items_Activos[[#This Row],[CODIGO]],Tabla_Items_Completos[[CODIGO]:[LINEA]],2,0)</f>
        <v>#N/A</v>
      </c>
      <c r="D1292" s="1" t="e">
        <f>VLOOKUP(Tabla_Items_Activos[[#This Row],[CODIGO]],Tabla_Items_Completos[[CODIGO]:[LINEA]],3,0)</f>
        <v>#N/A</v>
      </c>
      <c r="E1292" s="1" t="e">
        <f>VLOOKUP(Tabla_Items_Activos[[#This Row],[CODIGO]],Tabla_Items_Completos[[CODIGO]:[LINEA]],4,0)</f>
        <v>#N/A</v>
      </c>
      <c r="F1292">
        <v>72</v>
      </c>
      <c r="G1292">
        <v>22</v>
      </c>
    </row>
    <row r="1293" spans="1:7">
      <c r="A1293" t="s">
        <v>7388</v>
      </c>
      <c r="B1293" t="s">
        <v>8680</v>
      </c>
      <c r="C1293" s="1" t="e">
        <f>VLOOKUP(Tabla_Items_Activos[[#This Row],[CODIGO]],Tabla_Items_Completos[[CODIGO]:[LINEA]],2,0)</f>
        <v>#N/A</v>
      </c>
      <c r="D1293" s="1" t="e">
        <f>VLOOKUP(Tabla_Items_Activos[[#This Row],[CODIGO]],Tabla_Items_Completos[[CODIGO]:[LINEA]],3,0)</f>
        <v>#N/A</v>
      </c>
      <c r="E1293" s="1" t="e">
        <f>VLOOKUP(Tabla_Items_Activos[[#This Row],[CODIGO]],Tabla_Items_Completos[[CODIGO]:[LINEA]],4,0)</f>
        <v>#N/A</v>
      </c>
      <c r="F1293">
        <v>56</v>
      </c>
      <c r="G1293">
        <v>46</v>
      </c>
    </row>
    <row r="1294" spans="1:7">
      <c r="A1294" t="s">
        <v>7388</v>
      </c>
      <c r="B1294" t="s">
        <v>8681</v>
      </c>
      <c r="C1294" s="1" t="e">
        <f>VLOOKUP(Tabla_Items_Activos[[#This Row],[CODIGO]],Tabla_Items_Completos[[CODIGO]:[LINEA]],2,0)</f>
        <v>#N/A</v>
      </c>
      <c r="D1294" s="1" t="e">
        <f>VLOOKUP(Tabla_Items_Activos[[#This Row],[CODIGO]],Tabla_Items_Completos[[CODIGO]:[LINEA]],3,0)</f>
        <v>#N/A</v>
      </c>
      <c r="E1294" s="1" t="e">
        <f>VLOOKUP(Tabla_Items_Activos[[#This Row],[CODIGO]],Tabla_Items_Completos[[CODIGO]:[LINEA]],4,0)</f>
        <v>#N/A</v>
      </c>
      <c r="F1294">
        <v>50</v>
      </c>
      <c r="G1294">
        <v>170</v>
      </c>
    </row>
    <row r="1295" spans="1:7">
      <c r="A1295" t="s">
        <v>7388</v>
      </c>
      <c r="B1295" t="s">
        <v>8682</v>
      </c>
      <c r="C1295" s="1" t="e">
        <f>VLOOKUP(Tabla_Items_Activos[[#This Row],[CODIGO]],Tabla_Items_Completos[[CODIGO]:[LINEA]],2,0)</f>
        <v>#N/A</v>
      </c>
      <c r="D1295" s="1" t="e">
        <f>VLOOKUP(Tabla_Items_Activos[[#This Row],[CODIGO]],Tabla_Items_Completos[[CODIGO]:[LINEA]],3,0)</f>
        <v>#N/A</v>
      </c>
      <c r="E1295" s="1" t="e">
        <f>VLOOKUP(Tabla_Items_Activos[[#This Row],[CODIGO]],Tabla_Items_Completos[[CODIGO]:[LINEA]],4,0)</f>
        <v>#N/A</v>
      </c>
      <c r="F1295">
        <v>376</v>
      </c>
      <c r="G1295">
        <v>136</v>
      </c>
    </row>
    <row r="1296" spans="1:7">
      <c r="A1296" t="s">
        <v>7388</v>
      </c>
      <c r="B1296" t="s">
        <v>8683</v>
      </c>
      <c r="C1296" s="1" t="e">
        <f>VLOOKUP(Tabla_Items_Activos[[#This Row],[CODIGO]],Tabla_Items_Completos[[CODIGO]:[LINEA]],2,0)</f>
        <v>#N/A</v>
      </c>
      <c r="D1296" s="1" t="e">
        <f>VLOOKUP(Tabla_Items_Activos[[#This Row],[CODIGO]],Tabla_Items_Completos[[CODIGO]:[LINEA]],3,0)</f>
        <v>#N/A</v>
      </c>
      <c r="E1296" s="1" t="e">
        <f>VLOOKUP(Tabla_Items_Activos[[#This Row],[CODIGO]],Tabla_Items_Completos[[CODIGO]:[LINEA]],4,0)</f>
        <v>#N/A</v>
      </c>
      <c r="F1296">
        <v>48</v>
      </c>
      <c r="G1296">
        <v>68</v>
      </c>
    </row>
    <row r="1297" spans="1:7">
      <c r="A1297" t="s">
        <v>7388</v>
      </c>
      <c r="B1297" t="s">
        <v>8684</v>
      </c>
      <c r="C1297" s="1" t="e">
        <f>VLOOKUP(Tabla_Items_Activos[[#This Row],[CODIGO]],Tabla_Items_Completos[[CODIGO]:[LINEA]],2,0)</f>
        <v>#N/A</v>
      </c>
      <c r="D1297" s="1" t="e">
        <f>VLOOKUP(Tabla_Items_Activos[[#This Row],[CODIGO]],Tabla_Items_Completos[[CODIGO]:[LINEA]],3,0)</f>
        <v>#N/A</v>
      </c>
      <c r="E1297" s="1" t="e">
        <f>VLOOKUP(Tabla_Items_Activos[[#This Row],[CODIGO]],Tabla_Items_Completos[[CODIGO]:[LINEA]],4,0)</f>
        <v>#N/A</v>
      </c>
      <c r="F1297">
        <v>300</v>
      </c>
      <c r="G1297">
        <v>65</v>
      </c>
    </row>
    <row r="1298" spans="1:7">
      <c r="A1298" t="s">
        <v>7388</v>
      </c>
      <c r="B1298" t="s">
        <v>8685</v>
      </c>
      <c r="C1298" s="1" t="e">
        <f>VLOOKUP(Tabla_Items_Activos[[#This Row],[CODIGO]],Tabla_Items_Completos[[CODIGO]:[LINEA]],2,0)</f>
        <v>#N/A</v>
      </c>
      <c r="D1298" s="1" t="e">
        <f>VLOOKUP(Tabla_Items_Activos[[#This Row],[CODIGO]],Tabla_Items_Completos[[CODIGO]:[LINEA]],3,0)</f>
        <v>#N/A</v>
      </c>
      <c r="E1298" s="1" t="e">
        <f>VLOOKUP(Tabla_Items_Activos[[#This Row],[CODIGO]],Tabla_Items_Completos[[CODIGO]:[LINEA]],4,0)</f>
        <v>#N/A</v>
      </c>
      <c r="F1298">
        <v>1193</v>
      </c>
      <c r="G1298">
        <v>393</v>
      </c>
    </row>
    <row r="1299" spans="1:7">
      <c r="A1299" t="s">
        <v>7388</v>
      </c>
      <c r="B1299" t="s">
        <v>8686</v>
      </c>
      <c r="C1299" s="1" t="e">
        <f>VLOOKUP(Tabla_Items_Activos[[#This Row],[CODIGO]],Tabla_Items_Completos[[CODIGO]:[LINEA]],2,0)</f>
        <v>#N/A</v>
      </c>
      <c r="D1299" s="1" t="e">
        <f>VLOOKUP(Tabla_Items_Activos[[#This Row],[CODIGO]],Tabla_Items_Completos[[CODIGO]:[LINEA]],3,0)</f>
        <v>#N/A</v>
      </c>
      <c r="E1299" s="1" t="e">
        <f>VLOOKUP(Tabla_Items_Activos[[#This Row],[CODIGO]],Tabla_Items_Completos[[CODIGO]:[LINEA]],4,0)</f>
        <v>#N/A</v>
      </c>
      <c r="F1299">
        <v>734</v>
      </c>
      <c r="G1299">
        <v>0</v>
      </c>
    </row>
    <row r="1300" spans="1:7">
      <c r="A1300" t="s">
        <v>7388</v>
      </c>
      <c r="B1300" t="s">
        <v>8687</v>
      </c>
      <c r="C1300" s="1" t="e">
        <f>VLOOKUP(Tabla_Items_Activos[[#This Row],[CODIGO]],Tabla_Items_Completos[[CODIGO]:[LINEA]],2,0)</f>
        <v>#N/A</v>
      </c>
      <c r="D1300" s="1" t="e">
        <f>VLOOKUP(Tabla_Items_Activos[[#This Row],[CODIGO]],Tabla_Items_Completos[[CODIGO]:[LINEA]],3,0)</f>
        <v>#N/A</v>
      </c>
      <c r="E1300" s="1" t="e">
        <f>VLOOKUP(Tabla_Items_Activos[[#This Row],[CODIGO]],Tabla_Items_Completos[[CODIGO]:[LINEA]],4,0)</f>
        <v>#N/A</v>
      </c>
      <c r="F1300">
        <v>928</v>
      </c>
      <c r="G1300">
        <v>259</v>
      </c>
    </row>
    <row r="1301" spans="1:7">
      <c r="A1301" t="s">
        <v>7388</v>
      </c>
      <c r="B1301" t="s">
        <v>8688</v>
      </c>
      <c r="C1301" s="1" t="e">
        <f>VLOOKUP(Tabla_Items_Activos[[#This Row],[CODIGO]],Tabla_Items_Completos[[CODIGO]:[LINEA]],2,0)</f>
        <v>#N/A</v>
      </c>
      <c r="D1301" s="1" t="e">
        <f>VLOOKUP(Tabla_Items_Activos[[#This Row],[CODIGO]],Tabla_Items_Completos[[CODIGO]:[LINEA]],3,0)</f>
        <v>#N/A</v>
      </c>
      <c r="E1301" s="1" t="e">
        <f>VLOOKUP(Tabla_Items_Activos[[#This Row],[CODIGO]],Tabla_Items_Completos[[CODIGO]:[LINEA]],4,0)</f>
        <v>#N/A</v>
      </c>
      <c r="F1301">
        <v>5519</v>
      </c>
      <c r="G1301">
        <v>113</v>
      </c>
    </row>
    <row r="1302" spans="1:7">
      <c r="A1302" t="s">
        <v>7388</v>
      </c>
      <c r="B1302" t="s">
        <v>8689</v>
      </c>
      <c r="C1302" s="1" t="e">
        <f>VLOOKUP(Tabla_Items_Activos[[#This Row],[CODIGO]],Tabla_Items_Completos[[CODIGO]:[LINEA]],2,0)</f>
        <v>#N/A</v>
      </c>
      <c r="D1302" s="1" t="e">
        <f>VLOOKUP(Tabla_Items_Activos[[#This Row],[CODIGO]],Tabla_Items_Completos[[CODIGO]:[LINEA]],3,0)</f>
        <v>#N/A</v>
      </c>
      <c r="E1302" s="1" t="e">
        <f>VLOOKUP(Tabla_Items_Activos[[#This Row],[CODIGO]],Tabla_Items_Completos[[CODIGO]:[LINEA]],4,0)</f>
        <v>#N/A</v>
      </c>
      <c r="F1302">
        <v>489</v>
      </c>
      <c r="G1302">
        <v>0</v>
      </c>
    </row>
    <row r="1303" spans="1:7">
      <c r="A1303" t="s">
        <v>7388</v>
      </c>
      <c r="B1303" t="s">
        <v>8690</v>
      </c>
      <c r="C1303" s="1" t="e">
        <f>VLOOKUP(Tabla_Items_Activos[[#This Row],[CODIGO]],Tabla_Items_Completos[[CODIGO]:[LINEA]],2,0)</f>
        <v>#N/A</v>
      </c>
      <c r="D1303" s="1" t="e">
        <f>VLOOKUP(Tabla_Items_Activos[[#This Row],[CODIGO]],Tabla_Items_Completos[[CODIGO]:[LINEA]],3,0)</f>
        <v>#N/A</v>
      </c>
      <c r="E1303" s="1" t="e">
        <f>VLOOKUP(Tabla_Items_Activos[[#This Row],[CODIGO]],Tabla_Items_Completos[[CODIGO]:[LINEA]],4,0)</f>
        <v>#N/A</v>
      </c>
      <c r="F1303">
        <v>494</v>
      </c>
      <c r="G1303">
        <v>0</v>
      </c>
    </row>
    <row r="1304" spans="1:7">
      <c r="A1304" t="s">
        <v>7388</v>
      </c>
      <c r="B1304" t="s">
        <v>8691</v>
      </c>
      <c r="C1304" s="1" t="e">
        <f>VLOOKUP(Tabla_Items_Activos[[#This Row],[CODIGO]],Tabla_Items_Completos[[CODIGO]:[LINEA]],2,0)</f>
        <v>#N/A</v>
      </c>
      <c r="D1304" s="1" t="e">
        <f>VLOOKUP(Tabla_Items_Activos[[#This Row],[CODIGO]],Tabla_Items_Completos[[CODIGO]:[LINEA]],3,0)</f>
        <v>#N/A</v>
      </c>
      <c r="E1304" s="1" t="e">
        <f>VLOOKUP(Tabla_Items_Activos[[#This Row],[CODIGO]],Tabla_Items_Completos[[CODIGO]:[LINEA]],4,0)</f>
        <v>#N/A</v>
      </c>
      <c r="F1304">
        <v>153</v>
      </c>
      <c r="G1304">
        <v>0</v>
      </c>
    </row>
    <row r="1305" spans="1:7">
      <c r="A1305" t="s">
        <v>7388</v>
      </c>
      <c r="B1305" t="s">
        <v>8692</v>
      </c>
      <c r="C1305" s="1" t="e">
        <f>VLOOKUP(Tabla_Items_Activos[[#This Row],[CODIGO]],Tabla_Items_Completos[[CODIGO]:[LINEA]],2,0)</f>
        <v>#N/A</v>
      </c>
      <c r="D1305" s="1" t="e">
        <f>VLOOKUP(Tabla_Items_Activos[[#This Row],[CODIGO]],Tabla_Items_Completos[[CODIGO]:[LINEA]],3,0)</f>
        <v>#N/A</v>
      </c>
      <c r="E1305" s="1" t="e">
        <f>VLOOKUP(Tabla_Items_Activos[[#This Row],[CODIGO]],Tabla_Items_Completos[[CODIGO]:[LINEA]],4,0)</f>
        <v>#N/A</v>
      </c>
      <c r="F1305">
        <v>2580</v>
      </c>
      <c r="G1305">
        <v>0</v>
      </c>
    </row>
    <row r="1306" spans="1:7">
      <c r="A1306" t="s">
        <v>7388</v>
      </c>
      <c r="B1306" t="s">
        <v>8693</v>
      </c>
      <c r="C1306" s="1" t="e">
        <f>VLOOKUP(Tabla_Items_Activos[[#This Row],[CODIGO]],Tabla_Items_Completos[[CODIGO]:[LINEA]],2,0)</f>
        <v>#N/A</v>
      </c>
      <c r="D1306" s="1" t="e">
        <f>VLOOKUP(Tabla_Items_Activos[[#This Row],[CODIGO]],Tabla_Items_Completos[[CODIGO]:[LINEA]],3,0)</f>
        <v>#N/A</v>
      </c>
      <c r="E1306" s="1" t="e">
        <f>VLOOKUP(Tabla_Items_Activos[[#This Row],[CODIGO]],Tabla_Items_Completos[[CODIGO]:[LINEA]],4,0)</f>
        <v>#N/A</v>
      </c>
      <c r="F1306">
        <v>132</v>
      </c>
      <c r="G1306">
        <v>0</v>
      </c>
    </row>
    <row r="1307" spans="1:7">
      <c r="A1307" t="s">
        <v>7388</v>
      </c>
      <c r="B1307" t="s">
        <v>8694</v>
      </c>
      <c r="C1307" s="1" t="e">
        <f>VLOOKUP(Tabla_Items_Activos[[#This Row],[CODIGO]],Tabla_Items_Completos[[CODIGO]:[LINEA]],2,0)</f>
        <v>#N/A</v>
      </c>
      <c r="D1307" s="1" t="e">
        <f>VLOOKUP(Tabla_Items_Activos[[#This Row],[CODIGO]],Tabla_Items_Completos[[CODIGO]:[LINEA]],3,0)</f>
        <v>#N/A</v>
      </c>
      <c r="E1307" s="1" t="e">
        <f>VLOOKUP(Tabla_Items_Activos[[#This Row],[CODIGO]],Tabla_Items_Completos[[CODIGO]:[LINEA]],4,0)</f>
        <v>#N/A</v>
      </c>
      <c r="F1307">
        <v>683</v>
      </c>
      <c r="G1307">
        <v>159</v>
      </c>
    </row>
    <row r="1308" spans="1:7">
      <c r="A1308" t="s">
        <v>7388</v>
      </c>
      <c r="B1308" t="s">
        <v>8695</v>
      </c>
      <c r="C1308" s="1" t="e">
        <f>VLOOKUP(Tabla_Items_Activos[[#This Row],[CODIGO]],Tabla_Items_Completos[[CODIGO]:[LINEA]],2,0)</f>
        <v>#N/A</v>
      </c>
      <c r="D1308" s="1" t="e">
        <f>VLOOKUP(Tabla_Items_Activos[[#This Row],[CODIGO]],Tabla_Items_Completos[[CODIGO]:[LINEA]],3,0)</f>
        <v>#N/A</v>
      </c>
      <c r="E1308" s="1" t="e">
        <f>VLOOKUP(Tabla_Items_Activos[[#This Row],[CODIGO]],Tabla_Items_Completos[[CODIGO]:[LINEA]],4,0)</f>
        <v>#N/A</v>
      </c>
      <c r="F1308">
        <v>452</v>
      </c>
      <c r="G1308">
        <v>146</v>
      </c>
    </row>
    <row r="1309" spans="1:7">
      <c r="A1309" t="s">
        <v>7388</v>
      </c>
      <c r="B1309" t="s">
        <v>8696</v>
      </c>
      <c r="C1309" s="1" t="e">
        <f>VLOOKUP(Tabla_Items_Activos[[#This Row],[CODIGO]],Tabla_Items_Completos[[CODIGO]:[LINEA]],2,0)</f>
        <v>#N/A</v>
      </c>
      <c r="D1309" s="1" t="e">
        <f>VLOOKUP(Tabla_Items_Activos[[#This Row],[CODIGO]],Tabla_Items_Completos[[CODIGO]:[LINEA]],3,0)</f>
        <v>#N/A</v>
      </c>
      <c r="E1309" s="1" t="e">
        <f>VLOOKUP(Tabla_Items_Activos[[#This Row],[CODIGO]],Tabla_Items_Completos[[CODIGO]:[LINEA]],4,0)</f>
        <v>#N/A</v>
      </c>
      <c r="F1309">
        <v>337</v>
      </c>
      <c r="G1309">
        <v>257</v>
      </c>
    </row>
    <row r="1310" spans="1:7">
      <c r="A1310" t="s">
        <v>7388</v>
      </c>
      <c r="B1310" t="s">
        <v>8697</v>
      </c>
      <c r="C1310" s="1" t="e">
        <f>VLOOKUP(Tabla_Items_Activos[[#This Row],[CODIGO]],Tabla_Items_Completos[[CODIGO]:[LINEA]],2,0)</f>
        <v>#N/A</v>
      </c>
      <c r="D1310" s="1" t="e">
        <f>VLOOKUP(Tabla_Items_Activos[[#This Row],[CODIGO]],Tabla_Items_Completos[[CODIGO]:[LINEA]],3,0)</f>
        <v>#N/A</v>
      </c>
      <c r="E1310" s="1" t="e">
        <f>VLOOKUP(Tabla_Items_Activos[[#This Row],[CODIGO]],Tabla_Items_Completos[[CODIGO]:[LINEA]],4,0)</f>
        <v>#N/A</v>
      </c>
      <c r="F1310">
        <v>242</v>
      </c>
      <c r="G1310">
        <v>15</v>
      </c>
    </row>
    <row r="1311" spans="1:7">
      <c r="A1311" t="s">
        <v>7388</v>
      </c>
      <c r="B1311" t="s">
        <v>8698</v>
      </c>
      <c r="C1311" s="1" t="e">
        <f>VLOOKUP(Tabla_Items_Activos[[#This Row],[CODIGO]],Tabla_Items_Completos[[CODIGO]:[LINEA]],2,0)</f>
        <v>#N/A</v>
      </c>
      <c r="D1311" s="1" t="e">
        <f>VLOOKUP(Tabla_Items_Activos[[#This Row],[CODIGO]],Tabla_Items_Completos[[CODIGO]:[LINEA]],3,0)</f>
        <v>#N/A</v>
      </c>
      <c r="E1311" s="1" t="e">
        <f>VLOOKUP(Tabla_Items_Activos[[#This Row],[CODIGO]],Tabla_Items_Completos[[CODIGO]:[LINEA]],4,0)</f>
        <v>#N/A</v>
      </c>
      <c r="F1311">
        <v>598</v>
      </c>
      <c r="G1311">
        <v>374</v>
      </c>
    </row>
    <row r="1312" spans="1:7">
      <c r="A1312" t="s">
        <v>7388</v>
      </c>
      <c r="B1312" t="s">
        <v>8699</v>
      </c>
      <c r="C1312" s="1" t="e">
        <f>VLOOKUP(Tabla_Items_Activos[[#This Row],[CODIGO]],Tabla_Items_Completos[[CODIGO]:[LINEA]],2,0)</f>
        <v>#N/A</v>
      </c>
      <c r="D1312" s="1" t="e">
        <f>VLOOKUP(Tabla_Items_Activos[[#This Row],[CODIGO]],Tabla_Items_Completos[[CODIGO]:[LINEA]],3,0)</f>
        <v>#N/A</v>
      </c>
      <c r="E1312" s="1" t="e">
        <f>VLOOKUP(Tabla_Items_Activos[[#This Row],[CODIGO]],Tabla_Items_Completos[[CODIGO]:[LINEA]],4,0)</f>
        <v>#N/A</v>
      </c>
      <c r="F1312">
        <v>468</v>
      </c>
      <c r="G1312">
        <v>97</v>
      </c>
    </row>
    <row r="1313" spans="1:7">
      <c r="A1313" t="s">
        <v>7388</v>
      </c>
      <c r="B1313" t="s">
        <v>8700</v>
      </c>
      <c r="C1313" s="1" t="e">
        <f>VLOOKUP(Tabla_Items_Activos[[#This Row],[CODIGO]],Tabla_Items_Completos[[CODIGO]:[LINEA]],2,0)</f>
        <v>#N/A</v>
      </c>
      <c r="D1313" s="1" t="e">
        <f>VLOOKUP(Tabla_Items_Activos[[#This Row],[CODIGO]],Tabla_Items_Completos[[CODIGO]:[LINEA]],3,0)</f>
        <v>#N/A</v>
      </c>
      <c r="E1313" s="1" t="e">
        <f>VLOOKUP(Tabla_Items_Activos[[#This Row],[CODIGO]],Tabla_Items_Completos[[CODIGO]:[LINEA]],4,0)</f>
        <v>#N/A</v>
      </c>
      <c r="F1313">
        <v>69</v>
      </c>
      <c r="G1313">
        <v>33</v>
      </c>
    </row>
    <row r="1314" spans="1:7">
      <c r="A1314" t="s">
        <v>7388</v>
      </c>
      <c r="B1314" t="s">
        <v>8701</v>
      </c>
      <c r="C1314" s="1" t="e">
        <f>VLOOKUP(Tabla_Items_Activos[[#This Row],[CODIGO]],Tabla_Items_Completos[[CODIGO]:[LINEA]],2,0)</f>
        <v>#N/A</v>
      </c>
      <c r="D1314" s="1" t="e">
        <f>VLOOKUP(Tabla_Items_Activos[[#This Row],[CODIGO]],Tabla_Items_Completos[[CODIGO]:[LINEA]],3,0)</f>
        <v>#N/A</v>
      </c>
      <c r="E1314" s="1" t="e">
        <f>VLOOKUP(Tabla_Items_Activos[[#This Row],[CODIGO]],Tabla_Items_Completos[[CODIGO]:[LINEA]],4,0)</f>
        <v>#N/A</v>
      </c>
      <c r="F1314">
        <v>746</v>
      </c>
      <c r="G1314">
        <v>0</v>
      </c>
    </row>
    <row r="1315" spans="1:7">
      <c r="A1315" t="s">
        <v>7388</v>
      </c>
      <c r="B1315" t="s">
        <v>8702</v>
      </c>
      <c r="C1315" s="1" t="e">
        <f>VLOOKUP(Tabla_Items_Activos[[#This Row],[CODIGO]],Tabla_Items_Completos[[CODIGO]:[LINEA]],2,0)</f>
        <v>#N/A</v>
      </c>
      <c r="D1315" s="1" t="e">
        <f>VLOOKUP(Tabla_Items_Activos[[#This Row],[CODIGO]],Tabla_Items_Completos[[CODIGO]:[LINEA]],3,0)</f>
        <v>#N/A</v>
      </c>
      <c r="E1315" s="1" t="e">
        <f>VLOOKUP(Tabla_Items_Activos[[#This Row],[CODIGO]],Tabla_Items_Completos[[CODIGO]:[LINEA]],4,0)</f>
        <v>#N/A</v>
      </c>
      <c r="F1315">
        <v>221</v>
      </c>
      <c r="G1315">
        <v>0</v>
      </c>
    </row>
    <row r="1316" spans="1:7">
      <c r="A1316" t="s">
        <v>7388</v>
      </c>
      <c r="B1316" t="s">
        <v>8703</v>
      </c>
      <c r="C1316" s="1" t="e">
        <f>VLOOKUP(Tabla_Items_Activos[[#This Row],[CODIGO]],Tabla_Items_Completos[[CODIGO]:[LINEA]],2,0)</f>
        <v>#N/A</v>
      </c>
      <c r="D1316" s="1" t="e">
        <f>VLOOKUP(Tabla_Items_Activos[[#This Row],[CODIGO]],Tabla_Items_Completos[[CODIGO]:[LINEA]],3,0)</f>
        <v>#N/A</v>
      </c>
      <c r="E1316" s="1" t="e">
        <f>VLOOKUP(Tabla_Items_Activos[[#This Row],[CODIGO]],Tabla_Items_Completos[[CODIGO]:[LINEA]],4,0)</f>
        <v>#N/A</v>
      </c>
      <c r="F1316">
        <v>335</v>
      </c>
      <c r="G1316">
        <v>188</v>
      </c>
    </row>
    <row r="1317" spans="1:7">
      <c r="A1317" t="s">
        <v>7388</v>
      </c>
      <c r="B1317" t="s">
        <v>8704</v>
      </c>
      <c r="C1317" s="1" t="e">
        <f>VLOOKUP(Tabla_Items_Activos[[#This Row],[CODIGO]],Tabla_Items_Completos[[CODIGO]:[LINEA]],2,0)</f>
        <v>#N/A</v>
      </c>
      <c r="D1317" s="1" t="e">
        <f>VLOOKUP(Tabla_Items_Activos[[#This Row],[CODIGO]],Tabla_Items_Completos[[CODIGO]:[LINEA]],3,0)</f>
        <v>#N/A</v>
      </c>
      <c r="E1317" s="1" t="e">
        <f>VLOOKUP(Tabla_Items_Activos[[#This Row],[CODIGO]],Tabla_Items_Completos[[CODIGO]:[LINEA]],4,0)</f>
        <v>#N/A</v>
      </c>
      <c r="F1317">
        <v>106</v>
      </c>
      <c r="G1317">
        <v>171</v>
      </c>
    </row>
    <row r="1318" spans="1:7">
      <c r="A1318" t="s">
        <v>7388</v>
      </c>
      <c r="B1318" t="s">
        <v>8705</v>
      </c>
      <c r="C1318" s="1" t="e">
        <f>VLOOKUP(Tabla_Items_Activos[[#This Row],[CODIGO]],Tabla_Items_Completos[[CODIGO]:[LINEA]],2,0)</f>
        <v>#N/A</v>
      </c>
      <c r="D1318" s="1" t="e">
        <f>VLOOKUP(Tabla_Items_Activos[[#This Row],[CODIGO]],Tabla_Items_Completos[[CODIGO]:[LINEA]],3,0)</f>
        <v>#N/A</v>
      </c>
      <c r="E1318" s="1" t="e">
        <f>VLOOKUP(Tabla_Items_Activos[[#This Row],[CODIGO]],Tabla_Items_Completos[[CODIGO]:[LINEA]],4,0)</f>
        <v>#N/A</v>
      </c>
      <c r="F1318">
        <v>1040</v>
      </c>
      <c r="G1318">
        <v>215</v>
      </c>
    </row>
    <row r="1319" spans="1:7">
      <c r="A1319" t="s">
        <v>7388</v>
      </c>
      <c r="B1319" t="s">
        <v>8706</v>
      </c>
      <c r="C1319" s="1" t="e">
        <f>VLOOKUP(Tabla_Items_Activos[[#This Row],[CODIGO]],Tabla_Items_Completos[[CODIGO]:[LINEA]],2,0)</f>
        <v>#N/A</v>
      </c>
      <c r="D1319" s="1" t="e">
        <f>VLOOKUP(Tabla_Items_Activos[[#This Row],[CODIGO]],Tabla_Items_Completos[[CODIGO]:[LINEA]],3,0)</f>
        <v>#N/A</v>
      </c>
      <c r="E1319" s="1" t="e">
        <f>VLOOKUP(Tabla_Items_Activos[[#This Row],[CODIGO]],Tabla_Items_Completos[[CODIGO]:[LINEA]],4,0)</f>
        <v>#N/A</v>
      </c>
      <c r="F1319">
        <v>2027</v>
      </c>
      <c r="G1319">
        <v>34</v>
      </c>
    </row>
    <row r="1320" spans="1:7">
      <c r="A1320" t="s">
        <v>7388</v>
      </c>
      <c r="B1320" t="s">
        <v>8707</v>
      </c>
      <c r="C1320" s="1" t="e">
        <f>VLOOKUP(Tabla_Items_Activos[[#This Row],[CODIGO]],Tabla_Items_Completos[[CODIGO]:[LINEA]],2,0)</f>
        <v>#N/A</v>
      </c>
      <c r="D1320" s="1" t="e">
        <f>VLOOKUP(Tabla_Items_Activos[[#This Row],[CODIGO]],Tabla_Items_Completos[[CODIGO]:[LINEA]],3,0)</f>
        <v>#N/A</v>
      </c>
      <c r="E1320" s="1" t="e">
        <f>VLOOKUP(Tabla_Items_Activos[[#This Row],[CODIGO]],Tabla_Items_Completos[[CODIGO]:[LINEA]],4,0)</f>
        <v>#N/A</v>
      </c>
      <c r="F1320">
        <v>352</v>
      </c>
      <c r="G1320">
        <v>33</v>
      </c>
    </row>
    <row r="1321" spans="1:7">
      <c r="A1321" t="s">
        <v>7388</v>
      </c>
      <c r="B1321" t="s">
        <v>8708</v>
      </c>
      <c r="C1321" s="1" t="e">
        <f>VLOOKUP(Tabla_Items_Activos[[#This Row],[CODIGO]],Tabla_Items_Completos[[CODIGO]:[LINEA]],2,0)</f>
        <v>#N/A</v>
      </c>
      <c r="D1321" s="1" t="e">
        <f>VLOOKUP(Tabla_Items_Activos[[#This Row],[CODIGO]],Tabla_Items_Completos[[CODIGO]:[LINEA]],3,0)</f>
        <v>#N/A</v>
      </c>
      <c r="E1321" s="1" t="e">
        <f>VLOOKUP(Tabla_Items_Activos[[#This Row],[CODIGO]],Tabla_Items_Completos[[CODIGO]:[LINEA]],4,0)</f>
        <v>#N/A</v>
      </c>
      <c r="F1321">
        <v>563</v>
      </c>
      <c r="G1321">
        <v>27</v>
      </c>
    </row>
    <row r="1322" spans="1:7">
      <c r="A1322" t="s">
        <v>7388</v>
      </c>
      <c r="B1322" t="s">
        <v>8709</v>
      </c>
      <c r="C1322" s="1" t="e">
        <f>VLOOKUP(Tabla_Items_Activos[[#This Row],[CODIGO]],Tabla_Items_Completos[[CODIGO]:[LINEA]],2,0)</f>
        <v>#N/A</v>
      </c>
      <c r="D1322" s="1" t="e">
        <f>VLOOKUP(Tabla_Items_Activos[[#This Row],[CODIGO]],Tabla_Items_Completos[[CODIGO]:[LINEA]],3,0)</f>
        <v>#N/A</v>
      </c>
      <c r="E1322" s="1" t="e">
        <f>VLOOKUP(Tabla_Items_Activos[[#This Row],[CODIGO]],Tabla_Items_Completos[[CODIGO]:[LINEA]],4,0)</f>
        <v>#N/A</v>
      </c>
      <c r="F1322">
        <v>226</v>
      </c>
      <c r="G1322">
        <v>130</v>
      </c>
    </row>
    <row r="1323" spans="1:7">
      <c r="A1323" t="s">
        <v>7388</v>
      </c>
      <c r="B1323" t="s">
        <v>8710</v>
      </c>
      <c r="C1323" s="1" t="e">
        <f>VLOOKUP(Tabla_Items_Activos[[#This Row],[CODIGO]],Tabla_Items_Completos[[CODIGO]:[LINEA]],2,0)</f>
        <v>#N/A</v>
      </c>
      <c r="D1323" s="1" t="e">
        <f>VLOOKUP(Tabla_Items_Activos[[#This Row],[CODIGO]],Tabla_Items_Completos[[CODIGO]:[LINEA]],3,0)</f>
        <v>#N/A</v>
      </c>
      <c r="E1323" s="1" t="e">
        <f>VLOOKUP(Tabla_Items_Activos[[#This Row],[CODIGO]],Tabla_Items_Completos[[CODIGO]:[LINEA]],4,0)</f>
        <v>#N/A</v>
      </c>
      <c r="F1323">
        <v>919</v>
      </c>
      <c r="G1323">
        <v>304</v>
      </c>
    </row>
    <row r="1324" spans="1:7">
      <c r="A1324" t="s">
        <v>7388</v>
      </c>
      <c r="B1324" t="s">
        <v>8711</v>
      </c>
      <c r="C1324" s="1" t="e">
        <f>VLOOKUP(Tabla_Items_Activos[[#This Row],[CODIGO]],Tabla_Items_Completos[[CODIGO]:[LINEA]],2,0)</f>
        <v>#N/A</v>
      </c>
      <c r="D1324" s="1" t="e">
        <f>VLOOKUP(Tabla_Items_Activos[[#This Row],[CODIGO]],Tabla_Items_Completos[[CODIGO]:[LINEA]],3,0)</f>
        <v>#N/A</v>
      </c>
      <c r="E1324" s="1" t="e">
        <f>VLOOKUP(Tabla_Items_Activos[[#This Row],[CODIGO]],Tabla_Items_Completos[[CODIGO]:[LINEA]],4,0)</f>
        <v>#N/A</v>
      </c>
      <c r="F1324">
        <v>190</v>
      </c>
      <c r="G1324">
        <v>0</v>
      </c>
    </row>
    <row r="1325" spans="1:7">
      <c r="A1325" t="s">
        <v>7388</v>
      </c>
      <c r="B1325" t="s">
        <v>8712</v>
      </c>
      <c r="C1325" s="1" t="e">
        <f>VLOOKUP(Tabla_Items_Activos[[#This Row],[CODIGO]],Tabla_Items_Completos[[CODIGO]:[LINEA]],2,0)</f>
        <v>#N/A</v>
      </c>
      <c r="D1325" s="1" t="e">
        <f>VLOOKUP(Tabla_Items_Activos[[#This Row],[CODIGO]],Tabla_Items_Completos[[CODIGO]:[LINEA]],3,0)</f>
        <v>#N/A</v>
      </c>
      <c r="E1325" s="1" t="e">
        <f>VLOOKUP(Tabla_Items_Activos[[#This Row],[CODIGO]],Tabla_Items_Completos[[CODIGO]:[LINEA]],4,0)</f>
        <v>#N/A</v>
      </c>
      <c r="F1325">
        <v>132</v>
      </c>
      <c r="G1325">
        <v>0</v>
      </c>
    </row>
    <row r="1326" spans="1:7">
      <c r="A1326" t="s">
        <v>7388</v>
      </c>
      <c r="B1326" t="s">
        <v>8713</v>
      </c>
      <c r="C1326" s="1" t="e">
        <f>VLOOKUP(Tabla_Items_Activos[[#This Row],[CODIGO]],Tabla_Items_Completos[[CODIGO]:[LINEA]],2,0)</f>
        <v>#N/A</v>
      </c>
      <c r="D1326" s="1" t="e">
        <f>VLOOKUP(Tabla_Items_Activos[[#This Row],[CODIGO]],Tabla_Items_Completos[[CODIGO]:[LINEA]],3,0)</f>
        <v>#N/A</v>
      </c>
      <c r="E1326" s="1" t="e">
        <f>VLOOKUP(Tabla_Items_Activos[[#This Row],[CODIGO]],Tabla_Items_Completos[[CODIGO]:[LINEA]],4,0)</f>
        <v>#N/A</v>
      </c>
      <c r="F1326">
        <v>1624</v>
      </c>
      <c r="G1326">
        <v>390</v>
      </c>
    </row>
    <row r="1327" spans="1:7">
      <c r="A1327" t="s">
        <v>7388</v>
      </c>
      <c r="B1327" t="s">
        <v>8714</v>
      </c>
      <c r="C1327" s="1" t="e">
        <f>VLOOKUP(Tabla_Items_Activos[[#This Row],[CODIGO]],Tabla_Items_Completos[[CODIGO]:[LINEA]],2,0)</f>
        <v>#N/A</v>
      </c>
      <c r="D1327" s="1" t="e">
        <f>VLOOKUP(Tabla_Items_Activos[[#This Row],[CODIGO]],Tabla_Items_Completos[[CODIGO]:[LINEA]],3,0)</f>
        <v>#N/A</v>
      </c>
      <c r="E1327" s="1" t="e">
        <f>VLOOKUP(Tabla_Items_Activos[[#This Row],[CODIGO]],Tabla_Items_Completos[[CODIGO]:[LINEA]],4,0)</f>
        <v>#N/A</v>
      </c>
      <c r="F1327">
        <v>2769</v>
      </c>
      <c r="G1327">
        <v>260</v>
      </c>
    </row>
    <row r="1328" spans="1:7">
      <c r="A1328" t="s">
        <v>7388</v>
      </c>
      <c r="B1328" t="s">
        <v>8715</v>
      </c>
      <c r="C1328" s="1" t="e">
        <f>VLOOKUP(Tabla_Items_Activos[[#This Row],[CODIGO]],Tabla_Items_Completos[[CODIGO]:[LINEA]],2,0)</f>
        <v>#N/A</v>
      </c>
      <c r="D1328" s="1" t="e">
        <f>VLOOKUP(Tabla_Items_Activos[[#This Row],[CODIGO]],Tabla_Items_Completos[[CODIGO]:[LINEA]],3,0)</f>
        <v>#N/A</v>
      </c>
      <c r="E1328" s="1" t="e">
        <f>VLOOKUP(Tabla_Items_Activos[[#This Row],[CODIGO]],Tabla_Items_Completos[[CODIGO]:[LINEA]],4,0)</f>
        <v>#N/A</v>
      </c>
      <c r="F1328">
        <v>1334</v>
      </c>
      <c r="G1328">
        <v>980</v>
      </c>
    </row>
    <row r="1329" spans="1:7">
      <c r="A1329" t="s">
        <v>7388</v>
      </c>
      <c r="B1329" t="s">
        <v>8716</v>
      </c>
      <c r="C1329" s="1" t="e">
        <f>VLOOKUP(Tabla_Items_Activos[[#This Row],[CODIGO]],Tabla_Items_Completos[[CODIGO]:[LINEA]],2,0)</f>
        <v>#N/A</v>
      </c>
      <c r="D1329" s="1" t="e">
        <f>VLOOKUP(Tabla_Items_Activos[[#This Row],[CODIGO]],Tabla_Items_Completos[[CODIGO]:[LINEA]],3,0)</f>
        <v>#N/A</v>
      </c>
      <c r="E1329" s="1" t="e">
        <f>VLOOKUP(Tabla_Items_Activos[[#This Row],[CODIGO]],Tabla_Items_Completos[[CODIGO]:[LINEA]],4,0)</f>
        <v>#N/A</v>
      </c>
      <c r="F1329">
        <v>4908</v>
      </c>
      <c r="G1329">
        <v>830</v>
      </c>
    </row>
    <row r="1330" spans="1:7">
      <c r="A1330" t="s">
        <v>7388</v>
      </c>
      <c r="B1330" t="s">
        <v>8717</v>
      </c>
      <c r="C1330" s="1" t="e">
        <f>VLOOKUP(Tabla_Items_Activos[[#This Row],[CODIGO]],Tabla_Items_Completos[[CODIGO]:[LINEA]],2,0)</f>
        <v>#N/A</v>
      </c>
      <c r="D1330" s="1" t="e">
        <f>VLOOKUP(Tabla_Items_Activos[[#This Row],[CODIGO]],Tabla_Items_Completos[[CODIGO]:[LINEA]],3,0)</f>
        <v>#N/A</v>
      </c>
      <c r="E1330" s="1" t="e">
        <f>VLOOKUP(Tabla_Items_Activos[[#This Row],[CODIGO]],Tabla_Items_Completos[[CODIGO]:[LINEA]],4,0)</f>
        <v>#N/A</v>
      </c>
      <c r="F1330">
        <v>113</v>
      </c>
      <c r="G1330">
        <v>3</v>
      </c>
    </row>
    <row r="1331" spans="1:7">
      <c r="A1331" t="s">
        <v>7388</v>
      </c>
      <c r="B1331" t="s">
        <v>8718</v>
      </c>
      <c r="C1331" s="1" t="e">
        <f>VLOOKUP(Tabla_Items_Activos[[#This Row],[CODIGO]],Tabla_Items_Completos[[CODIGO]:[LINEA]],2,0)</f>
        <v>#N/A</v>
      </c>
      <c r="D1331" s="1" t="e">
        <f>VLOOKUP(Tabla_Items_Activos[[#This Row],[CODIGO]],Tabla_Items_Completos[[CODIGO]:[LINEA]],3,0)</f>
        <v>#N/A</v>
      </c>
      <c r="E1331" s="1" t="e">
        <f>VLOOKUP(Tabla_Items_Activos[[#This Row],[CODIGO]],Tabla_Items_Completos[[CODIGO]:[LINEA]],4,0)</f>
        <v>#N/A</v>
      </c>
      <c r="F1331">
        <v>27</v>
      </c>
      <c r="G1331">
        <v>0</v>
      </c>
    </row>
    <row r="1332" spans="1:7">
      <c r="A1332" t="s">
        <v>7388</v>
      </c>
      <c r="B1332" t="s">
        <v>8719</v>
      </c>
      <c r="C1332" s="1" t="e">
        <f>VLOOKUP(Tabla_Items_Activos[[#This Row],[CODIGO]],Tabla_Items_Completos[[CODIGO]:[LINEA]],2,0)</f>
        <v>#N/A</v>
      </c>
      <c r="D1332" s="1" t="e">
        <f>VLOOKUP(Tabla_Items_Activos[[#This Row],[CODIGO]],Tabla_Items_Completos[[CODIGO]:[LINEA]],3,0)</f>
        <v>#N/A</v>
      </c>
      <c r="E1332" s="1" t="e">
        <f>VLOOKUP(Tabla_Items_Activos[[#This Row],[CODIGO]],Tabla_Items_Completos[[CODIGO]:[LINEA]],4,0)</f>
        <v>#N/A</v>
      </c>
      <c r="F1332">
        <v>25</v>
      </c>
      <c r="G1332">
        <v>130</v>
      </c>
    </row>
    <row r="1333" spans="1:7">
      <c r="A1333" t="s">
        <v>7388</v>
      </c>
      <c r="B1333" t="s">
        <v>8720</v>
      </c>
      <c r="C1333" s="1" t="e">
        <f>VLOOKUP(Tabla_Items_Activos[[#This Row],[CODIGO]],Tabla_Items_Completos[[CODIGO]:[LINEA]],2,0)</f>
        <v>#N/A</v>
      </c>
      <c r="D1333" s="1" t="e">
        <f>VLOOKUP(Tabla_Items_Activos[[#This Row],[CODIGO]],Tabla_Items_Completos[[CODIGO]:[LINEA]],3,0)</f>
        <v>#N/A</v>
      </c>
      <c r="E1333" s="1" t="e">
        <f>VLOOKUP(Tabla_Items_Activos[[#This Row],[CODIGO]],Tabla_Items_Completos[[CODIGO]:[LINEA]],4,0)</f>
        <v>#N/A</v>
      </c>
      <c r="F1333">
        <v>95</v>
      </c>
      <c r="G1333">
        <v>55</v>
      </c>
    </row>
    <row r="1334" spans="1:7">
      <c r="A1334" t="s">
        <v>7388</v>
      </c>
      <c r="B1334" t="s">
        <v>8721</v>
      </c>
      <c r="C1334" s="1" t="e">
        <f>VLOOKUP(Tabla_Items_Activos[[#This Row],[CODIGO]],Tabla_Items_Completos[[CODIGO]:[LINEA]],2,0)</f>
        <v>#N/A</v>
      </c>
      <c r="D1334" s="1" t="e">
        <f>VLOOKUP(Tabla_Items_Activos[[#This Row],[CODIGO]],Tabla_Items_Completos[[CODIGO]:[LINEA]],3,0)</f>
        <v>#N/A</v>
      </c>
      <c r="E1334" s="1" t="e">
        <f>VLOOKUP(Tabla_Items_Activos[[#This Row],[CODIGO]],Tabla_Items_Completos[[CODIGO]:[LINEA]],4,0)</f>
        <v>#N/A</v>
      </c>
      <c r="F1334">
        <v>3424</v>
      </c>
      <c r="G1334">
        <v>0</v>
      </c>
    </row>
    <row r="1335" spans="1:7">
      <c r="A1335" t="s">
        <v>7388</v>
      </c>
      <c r="B1335" t="s">
        <v>8722</v>
      </c>
      <c r="C1335" s="1" t="e">
        <f>VLOOKUP(Tabla_Items_Activos[[#This Row],[CODIGO]],Tabla_Items_Completos[[CODIGO]:[LINEA]],2,0)</f>
        <v>#N/A</v>
      </c>
      <c r="D1335" s="1" t="e">
        <f>VLOOKUP(Tabla_Items_Activos[[#This Row],[CODIGO]],Tabla_Items_Completos[[CODIGO]:[LINEA]],3,0)</f>
        <v>#N/A</v>
      </c>
      <c r="E1335" s="1" t="e">
        <f>VLOOKUP(Tabla_Items_Activos[[#This Row],[CODIGO]],Tabla_Items_Completos[[CODIGO]:[LINEA]],4,0)</f>
        <v>#N/A</v>
      </c>
      <c r="F1335">
        <v>1250</v>
      </c>
      <c r="G1335">
        <v>0</v>
      </c>
    </row>
    <row r="1336" spans="1:7">
      <c r="A1336" t="s">
        <v>7388</v>
      </c>
      <c r="B1336" t="s">
        <v>8723</v>
      </c>
      <c r="C1336" s="1" t="e">
        <f>VLOOKUP(Tabla_Items_Activos[[#This Row],[CODIGO]],Tabla_Items_Completos[[CODIGO]:[LINEA]],2,0)</f>
        <v>#N/A</v>
      </c>
      <c r="D1336" s="1" t="e">
        <f>VLOOKUP(Tabla_Items_Activos[[#This Row],[CODIGO]],Tabla_Items_Completos[[CODIGO]:[LINEA]],3,0)</f>
        <v>#N/A</v>
      </c>
      <c r="E1336" s="1" t="e">
        <f>VLOOKUP(Tabla_Items_Activos[[#This Row],[CODIGO]],Tabla_Items_Completos[[CODIGO]:[LINEA]],4,0)</f>
        <v>#N/A</v>
      </c>
      <c r="F1336">
        <v>523</v>
      </c>
      <c r="G1336">
        <v>430</v>
      </c>
    </row>
    <row r="1337" spans="1:7">
      <c r="A1337" t="s">
        <v>7388</v>
      </c>
      <c r="B1337" t="s">
        <v>8724</v>
      </c>
      <c r="C1337" s="1" t="e">
        <f>VLOOKUP(Tabla_Items_Activos[[#This Row],[CODIGO]],Tabla_Items_Completos[[CODIGO]:[LINEA]],2,0)</f>
        <v>#N/A</v>
      </c>
      <c r="D1337" s="1" t="e">
        <f>VLOOKUP(Tabla_Items_Activos[[#This Row],[CODIGO]],Tabla_Items_Completos[[CODIGO]:[LINEA]],3,0)</f>
        <v>#N/A</v>
      </c>
      <c r="E1337" s="1" t="e">
        <f>VLOOKUP(Tabla_Items_Activos[[#This Row],[CODIGO]],Tabla_Items_Completos[[CODIGO]:[LINEA]],4,0)</f>
        <v>#N/A</v>
      </c>
      <c r="F1337">
        <v>1087</v>
      </c>
      <c r="G1337">
        <v>161</v>
      </c>
    </row>
    <row r="1338" spans="1:7">
      <c r="A1338" t="s">
        <v>7388</v>
      </c>
      <c r="B1338" t="s">
        <v>8725</v>
      </c>
      <c r="C1338" s="1" t="e">
        <f>VLOOKUP(Tabla_Items_Activos[[#This Row],[CODIGO]],Tabla_Items_Completos[[CODIGO]:[LINEA]],2,0)</f>
        <v>#N/A</v>
      </c>
      <c r="D1338" s="1" t="e">
        <f>VLOOKUP(Tabla_Items_Activos[[#This Row],[CODIGO]],Tabla_Items_Completos[[CODIGO]:[LINEA]],3,0)</f>
        <v>#N/A</v>
      </c>
      <c r="E1338" s="1" t="e">
        <f>VLOOKUP(Tabla_Items_Activos[[#This Row],[CODIGO]],Tabla_Items_Completos[[CODIGO]:[LINEA]],4,0)</f>
        <v>#N/A</v>
      </c>
      <c r="F1338">
        <v>1100</v>
      </c>
      <c r="G1338">
        <v>71</v>
      </c>
    </row>
    <row r="1339" spans="1:7">
      <c r="A1339" t="s">
        <v>7388</v>
      </c>
      <c r="B1339" t="s">
        <v>8726</v>
      </c>
      <c r="C1339" s="1" t="e">
        <f>VLOOKUP(Tabla_Items_Activos[[#This Row],[CODIGO]],Tabla_Items_Completos[[CODIGO]:[LINEA]],2,0)</f>
        <v>#N/A</v>
      </c>
      <c r="D1339" s="1" t="e">
        <f>VLOOKUP(Tabla_Items_Activos[[#This Row],[CODIGO]],Tabla_Items_Completos[[CODIGO]:[LINEA]],3,0)</f>
        <v>#N/A</v>
      </c>
      <c r="E1339" s="1" t="e">
        <f>VLOOKUP(Tabla_Items_Activos[[#This Row],[CODIGO]],Tabla_Items_Completos[[CODIGO]:[LINEA]],4,0)</f>
        <v>#N/A</v>
      </c>
      <c r="F1339">
        <v>1273</v>
      </c>
      <c r="G1339">
        <v>118</v>
      </c>
    </row>
    <row r="1340" spans="1:7">
      <c r="A1340" t="s">
        <v>7388</v>
      </c>
      <c r="B1340" t="s">
        <v>8727</v>
      </c>
      <c r="C1340" s="1" t="e">
        <f>VLOOKUP(Tabla_Items_Activos[[#This Row],[CODIGO]],Tabla_Items_Completos[[CODIGO]:[LINEA]],2,0)</f>
        <v>#N/A</v>
      </c>
      <c r="D1340" s="1" t="e">
        <f>VLOOKUP(Tabla_Items_Activos[[#This Row],[CODIGO]],Tabla_Items_Completos[[CODIGO]:[LINEA]],3,0)</f>
        <v>#N/A</v>
      </c>
      <c r="E1340" s="1" t="e">
        <f>VLOOKUP(Tabla_Items_Activos[[#This Row],[CODIGO]],Tabla_Items_Completos[[CODIGO]:[LINEA]],4,0)</f>
        <v>#N/A</v>
      </c>
      <c r="F1340">
        <v>788</v>
      </c>
      <c r="G1340">
        <v>0</v>
      </c>
    </row>
    <row r="1341" spans="1:7">
      <c r="A1341" t="s">
        <v>7388</v>
      </c>
      <c r="B1341" t="s">
        <v>8728</v>
      </c>
      <c r="C1341" s="1" t="e">
        <f>VLOOKUP(Tabla_Items_Activos[[#This Row],[CODIGO]],Tabla_Items_Completos[[CODIGO]:[LINEA]],2,0)</f>
        <v>#N/A</v>
      </c>
      <c r="D1341" s="1" t="e">
        <f>VLOOKUP(Tabla_Items_Activos[[#This Row],[CODIGO]],Tabla_Items_Completos[[CODIGO]:[LINEA]],3,0)</f>
        <v>#N/A</v>
      </c>
      <c r="E1341" s="1" t="e">
        <f>VLOOKUP(Tabla_Items_Activos[[#This Row],[CODIGO]],Tabla_Items_Completos[[CODIGO]:[LINEA]],4,0)</f>
        <v>#N/A</v>
      </c>
      <c r="F1341">
        <v>725</v>
      </c>
      <c r="G1341">
        <v>357</v>
      </c>
    </row>
    <row r="1342" spans="1:7">
      <c r="A1342" t="s">
        <v>7388</v>
      </c>
      <c r="B1342" t="s">
        <v>8729</v>
      </c>
      <c r="C1342" s="1" t="e">
        <f>VLOOKUP(Tabla_Items_Activos[[#This Row],[CODIGO]],Tabla_Items_Completos[[CODIGO]:[LINEA]],2,0)</f>
        <v>#N/A</v>
      </c>
      <c r="D1342" s="1" t="e">
        <f>VLOOKUP(Tabla_Items_Activos[[#This Row],[CODIGO]],Tabla_Items_Completos[[CODIGO]:[LINEA]],3,0)</f>
        <v>#N/A</v>
      </c>
      <c r="E1342" s="1" t="e">
        <f>VLOOKUP(Tabla_Items_Activos[[#This Row],[CODIGO]],Tabla_Items_Completos[[CODIGO]:[LINEA]],4,0)</f>
        <v>#N/A</v>
      </c>
      <c r="F1342">
        <v>1068</v>
      </c>
      <c r="G1342">
        <v>46</v>
      </c>
    </row>
    <row r="1343" spans="1:7">
      <c r="A1343" t="s">
        <v>7388</v>
      </c>
      <c r="B1343" t="s">
        <v>8730</v>
      </c>
      <c r="C1343" s="1" t="e">
        <f>VLOOKUP(Tabla_Items_Activos[[#This Row],[CODIGO]],Tabla_Items_Completos[[CODIGO]:[LINEA]],2,0)</f>
        <v>#N/A</v>
      </c>
      <c r="D1343" s="1" t="e">
        <f>VLOOKUP(Tabla_Items_Activos[[#This Row],[CODIGO]],Tabla_Items_Completos[[CODIGO]:[LINEA]],3,0)</f>
        <v>#N/A</v>
      </c>
      <c r="E1343" s="1" t="e">
        <f>VLOOKUP(Tabla_Items_Activos[[#This Row],[CODIGO]],Tabla_Items_Completos[[CODIGO]:[LINEA]],4,0)</f>
        <v>#N/A</v>
      </c>
      <c r="F1343">
        <v>1917</v>
      </c>
      <c r="G1343">
        <v>243</v>
      </c>
    </row>
    <row r="1344" spans="1:7">
      <c r="A1344" t="s">
        <v>7388</v>
      </c>
      <c r="B1344" t="s">
        <v>8731</v>
      </c>
      <c r="C1344" s="1" t="e">
        <f>VLOOKUP(Tabla_Items_Activos[[#This Row],[CODIGO]],Tabla_Items_Completos[[CODIGO]:[LINEA]],2,0)</f>
        <v>#N/A</v>
      </c>
      <c r="D1344" s="1" t="e">
        <f>VLOOKUP(Tabla_Items_Activos[[#This Row],[CODIGO]],Tabla_Items_Completos[[CODIGO]:[LINEA]],3,0)</f>
        <v>#N/A</v>
      </c>
      <c r="E1344" s="1" t="e">
        <f>VLOOKUP(Tabla_Items_Activos[[#This Row],[CODIGO]],Tabla_Items_Completos[[CODIGO]:[LINEA]],4,0)</f>
        <v>#N/A</v>
      </c>
      <c r="F1344">
        <v>736</v>
      </c>
      <c r="G1344">
        <v>322</v>
      </c>
    </row>
    <row r="1345" spans="1:7">
      <c r="A1345" t="s">
        <v>7388</v>
      </c>
      <c r="B1345" t="s">
        <v>8732</v>
      </c>
      <c r="C1345" s="1" t="e">
        <f>VLOOKUP(Tabla_Items_Activos[[#This Row],[CODIGO]],Tabla_Items_Completos[[CODIGO]:[LINEA]],2,0)</f>
        <v>#N/A</v>
      </c>
      <c r="D1345" s="1" t="e">
        <f>VLOOKUP(Tabla_Items_Activos[[#This Row],[CODIGO]],Tabla_Items_Completos[[CODIGO]:[LINEA]],3,0)</f>
        <v>#N/A</v>
      </c>
      <c r="E1345" s="1" t="e">
        <f>VLOOKUP(Tabla_Items_Activos[[#This Row],[CODIGO]],Tabla_Items_Completos[[CODIGO]:[LINEA]],4,0)</f>
        <v>#N/A</v>
      </c>
      <c r="F1345">
        <v>1949</v>
      </c>
      <c r="G1345">
        <v>0</v>
      </c>
    </row>
    <row r="1346" spans="1:7">
      <c r="A1346" t="s">
        <v>7388</v>
      </c>
      <c r="B1346" t="s">
        <v>8733</v>
      </c>
      <c r="C1346" s="1" t="e">
        <f>VLOOKUP(Tabla_Items_Activos[[#This Row],[CODIGO]],Tabla_Items_Completos[[CODIGO]:[LINEA]],2,0)</f>
        <v>#N/A</v>
      </c>
      <c r="D1346" s="1" t="e">
        <f>VLOOKUP(Tabla_Items_Activos[[#This Row],[CODIGO]],Tabla_Items_Completos[[CODIGO]:[LINEA]],3,0)</f>
        <v>#N/A</v>
      </c>
      <c r="E1346" s="1" t="e">
        <f>VLOOKUP(Tabla_Items_Activos[[#This Row],[CODIGO]],Tabla_Items_Completos[[CODIGO]:[LINEA]],4,0)</f>
        <v>#N/A</v>
      </c>
      <c r="F1346">
        <v>512</v>
      </c>
      <c r="G1346">
        <v>7</v>
      </c>
    </row>
    <row r="1347" spans="1:7">
      <c r="A1347" t="s">
        <v>7388</v>
      </c>
      <c r="B1347" t="s">
        <v>8734</v>
      </c>
      <c r="C1347" s="1" t="e">
        <f>VLOOKUP(Tabla_Items_Activos[[#This Row],[CODIGO]],Tabla_Items_Completos[[CODIGO]:[LINEA]],2,0)</f>
        <v>#N/A</v>
      </c>
      <c r="D1347" s="1" t="e">
        <f>VLOOKUP(Tabla_Items_Activos[[#This Row],[CODIGO]],Tabla_Items_Completos[[CODIGO]:[LINEA]],3,0)</f>
        <v>#N/A</v>
      </c>
      <c r="E1347" s="1" t="e">
        <f>VLOOKUP(Tabla_Items_Activos[[#This Row],[CODIGO]],Tabla_Items_Completos[[CODIGO]:[LINEA]],4,0)</f>
        <v>#N/A</v>
      </c>
      <c r="F1347">
        <v>352</v>
      </c>
      <c r="G1347">
        <v>147</v>
      </c>
    </row>
    <row r="1348" spans="1:7">
      <c r="A1348" t="s">
        <v>7388</v>
      </c>
      <c r="B1348" t="s">
        <v>8735</v>
      </c>
      <c r="C1348" s="1" t="e">
        <f>VLOOKUP(Tabla_Items_Activos[[#This Row],[CODIGO]],Tabla_Items_Completos[[CODIGO]:[LINEA]],2,0)</f>
        <v>#N/A</v>
      </c>
      <c r="D1348" s="1" t="e">
        <f>VLOOKUP(Tabla_Items_Activos[[#This Row],[CODIGO]],Tabla_Items_Completos[[CODIGO]:[LINEA]],3,0)</f>
        <v>#N/A</v>
      </c>
      <c r="E1348" s="1" t="e">
        <f>VLOOKUP(Tabla_Items_Activos[[#This Row],[CODIGO]],Tabla_Items_Completos[[CODIGO]:[LINEA]],4,0)</f>
        <v>#N/A</v>
      </c>
      <c r="F1348">
        <v>1277</v>
      </c>
      <c r="G1348">
        <v>743</v>
      </c>
    </row>
    <row r="1349" spans="1:7">
      <c r="A1349" t="s">
        <v>7388</v>
      </c>
      <c r="B1349" t="s">
        <v>8736</v>
      </c>
      <c r="C1349" s="1" t="e">
        <f>VLOOKUP(Tabla_Items_Activos[[#This Row],[CODIGO]],Tabla_Items_Completos[[CODIGO]:[LINEA]],2,0)</f>
        <v>#N/A</v>
      </c>
      <c r="D1349" s="1" t="e">
        <f>VLOOKUP(Tabla_Items_Activos[[#This Row],[CODIGO]],Tabla_Items_Completos[[CODIGO]:[LINEA]],3,0)</f>
        <v>#N/A</v>
      </c>
      <c r="E1349" s="1" t="e">
        <f>VLOOKUP(Tabla_Items_Activos[[#This Row],[CODIGO]],Tabla_Items_Completos[[CODIGO]:[LINEA]],4,0)</f>
        <v>#N/A</v>
      </c>
      <c r="F1349">
        <v>302</v>
      </c>
      <c r="G1349">
        <v>177</v>
      </c>
    </row>
    <row r="1350" spans="1:7">
      <c r="A1350" t="s">
        <v>7388</v>
      </c>
      <c r="B1350" t="s">
        <v>8737</v>
      </c>
      <c r="C1350" s="1" t="e">
        <f>VLOOKUP(Tabla_Items_Activos[[#This Row],[CODIGO]],Tabla_Items_Completos[[CODIGO]:[LINEA]],2,0)</f>
        <v>#N/A</v>
      </c>
      <c r="D1350" s="1" t="e">
        <f>VLOOKUP(Tabla_Items_Activos[[#This Row],[CODIGO]],Tabla_Items_Completos[[CODIGO]:[LINEA]],3,0)</f>
        <v>#N/A</v>
      </c>
      <c r="E1350" s="1" t="e">
        <f>VLOOKUP(Tabla_Items_Activos[[#This Row],[CODIGO]],Tabla_Items_Completos[[CODIGO]:[LINEA]],4,0)</f>
        <v>#N/A</v>
      </c>
      <c r="F1350">
        <v>681</v>
      </c>
      <c r="G1350">
        <v>0</v>
      </c>
    </row>
    <row r="1351" spans="1:7">
      <c r="A1351" t="s">
        <v>7388</v>
      </c>
      <c r="B1351" t="s">
        <v>8738</v>
      </c>
      <c r="C1351" s="1" t="e">
        <f>VLOOKUP(Tabla_Items_Activos[[#This Row],[CODIGO]],Tabla_Items_Completos[[CODIGO]:[LINEA]],2,0)</f>
        <v>#N/A</v>
      </c>
      <c r="D1351" s="1" t="e">
        <f>VLOOKUP(Tabla_Items_Activos[[#This Row],[CODIGO]],Tabla_Items_Completos[[CODIGO]:[LINEA]],3,0)</f>
        <v>#N/A</v>
      </c>
      <c r="E1351" s="1" t="e">
        <f>VLOOKUP(Tabla_Items_Activos[[#This Row],[CODIGO]],Tabla_Items_Completos[[CODIGO]:[LINEA]],4,0)</f>
        <v>#N/A</v>
      </c>
      <c r="F1351">
        <v>65</v>
      </c>
      <c r="G1351">
        <v>379</v>
      </c>
    </row>
    <row r="1352" spans="1:7">
      <c r="A1352" t="s">
        <v>7388</v>
      </c>
      <c r="B1352" t="s">
        <v>8739</v>
      </c>
      <c r="C1352" s="1" t="e">
        <f>VLOOKUP(Tabla_Items_Activos[[#This Row],[CODIGO]],Tabla_Items_Completos[[CODIGO]:[LINEA]],2,0)</f>
        <v>#N/A</v>
      </c>
      <c r="D1352" s="1" t="e">
        <f>VLOOKUP(Tabla_Items_Activos[[#This Row],[CODIGO]],Tabla_Items_Completos[[CODIGO]:[LINEA]],3,0)</f>
        <v>#N/A</v>
      </c>
      <c r="E1352" s="1" t="e">
        <f>VLOOKUP(Tabla_Items_Activos[[#This Row],[CODIGO]],Tabla_Items_Completos[[CODIGO]:[LINEA]],4,0)</f>
        <v>#N/A</v>
      </c>
      <c r="F1352">
        <v>200</v>
      </c>
      <c r="G1352">
        <v>15</v>
      </c>
    </row>
    <row r="1353" spans="1:7">
      <c r="A1353" t="s">
        <v>7388</v>
      </c>
      <c r="B1353" t="s">
        <v>8740</v>
      </c>
      <c r="C1353" s="1" t="e">
        <f>VLOOKUP(Tabla_Items_Activos[[#This Row],[CODIGO]],Tabla_Items_Completos[[CODIGO]:[LINEA]],2,0)</f>
        <v>#N/A</v>
      </c>
      <c r="D1353" s="1" t="e">
        <f>VLOOKUP(Tabla_Items_Activos[[#This Row],[CODIGO]],Tabla_Items_Completos[[CODIGO]:[LINEA]],3,0)</f>
        <v>#N/A</v>
      </c>
      <c r="E1353" s="1" t="e">
        <f>VLOOKUP(Tabla_Items_Activos[[#This Row],[CODIGO]],Tabla_Items_Completos[[CODIGO]:[LINEA]],4,0)</f>
        <v>#N/A</v>
      </c>
      <c r="F1353">
        <v>2075</v>
      </c>
      <c r="G1353">
        <v>1363</v>
      </c>
    </row>
    <row r="1354" spans="1:7">
      <c r="A1354" t="s">
        <v>7388</v>
      </c>
      <c r="B1354" t="s">
        <v>8741</v>
      </c>
      <c r="C1354" s="1" t="e">
        <f>VLOOKUP(Tabla_Items_Activos[[#This Row],[CODIGO]],Tabla_Items_Completos[[CODIGO]:[LINEA]],2,0)</f>
        <v>#N/A</v>
      </c>
      <c r="D1354" s="1" t="e">
        <f>VLOOKUP(Tabla_Items_Activos[[#This Row],[CODIGO]],Tabla_Items_Completos[[CODIGO]:[LINEA]],3,0)</f>
        <v>#N/A</v>
      </c>
      <c r="E1354" s="1" t="e">
        <f>VLOOKUP(Tabla_Items_Activos[[#This Row],[CODIGO]],Tabla_Items_Completos[[CODIGO]:[LINEA]],4,0)</f>
        <v>#N/A</v>
      </c>
      <c r="F1354">
        <v>1140</v>
      </c>
      <c r="G1354">
        <v>658</v>
      </c>
    </row>
    <row r="1355" spans="1:7">
      <c r="A1355" t="s">
        <v>7388</v>
      </c>
      <c r="B1355" t="s">
        <v>8742</v>
      </c>
      <c r="C1355" s="1" t="e">
        <f>VLOOKUP(Tabla_Items_Activos[[#This Row],[CODIGO]],Tabla_Items_Completos[[CODIGO]:[LINEA]],2,0)</f>
        <v>#N/A</v>
      </c>
      <c r="D1355" s="1" t="e">
        <f>VLOOKUP(Tabla_Items_Activos[[#This Row],[CODIGO]],Tabla_Items_Completos[[CODIGO]:[LINEA]],3,0)</f>
        <v>#N/A</v>
      </c>
      <c r="E1355" s="1" t="e">
        <f>VLOOKUP(Tabla_Items_Activos[[#This Row],[CODIGO]],Tabla_Items_Completos[[CODIGO]:[LINEA]],4,0)</f>
        <v>#N/A</v>
      </c>
      <c r="F1355">
        <v>386</v>
      </c>
      <c r="G1355">
        <v>67</v>
      </c>
    </row>
    <row r="1356" spans="1:7">
      <c r="A1356" t="s">
        <v>7388</v>
      </c>
      <c r="B1356" t="s">
        <v>8743</v>
      </c>
      <c r="C1356" s="1" t="e">
        <f>VLOOKUP(Tabla_Items_Activos[[#This Row],[CODIGO]],Tabla_Items_Completos[[CODIGO]:[LINEA]],2,0)</f>
        <v>#N/A</v>
      </c>
      <c r="D1356" s="1" t="e">
        <f>VLOOKUP(Tabla_Items_Activos[[#This Row],[CODIGO]],Tabla_Items_Completos[[CODIGO]:[LINEA]],3,0)</f>
        <v>#N/A</v>
      </c>
      <c r="E1356" s="1" t="e">
        <f>VLOOKUP(Tabla_Items_Activos[[#This Row],[CODIGO]],Tabla_Items_Completos[[CODIGO]:[LINEA]],4,0)</f>
        <v>#N/A</v>
      </c>
      <c r="F1356">
        <v>310</v>
      </c>
      <c r="G1356">
        <v>242</v>
      </c>
    </row>
    <row r="1357" spans="1:7">
      <c r="A1357" t="s">
        <v>7388</v>
      </c>
      <c r="B1357" t="s">
        <v>8744</v>
      </c>
      <c r="C1357" s="1" t="e">
        <f>VLOOKUP(Tabla_Items_Activos[[#This Row],[CODIGO]],Tabla_Items_Completos[[CODIGO]:[LINEA]],2,0)</f>
        <v>#N/A</v>
      </c>
      <c r="D1357" s="1" t="e">
        <f>VLOOKUP(Tabla_Items_Activos[[#This Row],[CODIGO]],Tabla_Items_Completos[[CODIGO]:[LINEA]],3,0)</f>
        <v>#N/A</v>
      </c>
      <c r="E1357" s="1" t="e">
        <f>VLOOKUP(Tabla_Items_Activos[[#This Row],[CODIGO]],Tabla_Items_Completos[[CODIGO]:[LINEA]],4,0)</f>
        <v>#N/A</v>
      </c>
      <c r="F1357">
        <v>715</v>
      </c>
      <c r="G1357">
        <v>593</v>
      </c>
    </row>
    <row r="1358" spans="1:7">
      <c r="A1358" t="s">
        <v>7388</v>
      </c>
      <c r="B1358" t="s">
        <v>8745</v>
      </c>
      <c r="C1358" s="1" t="e">
        <f>VLOOKUP(Tabla_Items_Activos[[#This Row],[CODIGO]],Tabla_Items_Completos[[CODIGO]:[LINEA]],2,0)</f>
        <v>#N/A</v>
      </c>
      <c r="D1358" s="1" t="e">
        <f>VLOOKUP(Tabla_Items_Activos[[#This Row],[CODIGO]],Tabla_Items_Completos[[CODIGO]:[LINEA]],3,0)</f>
        <v>#N/A</v>
      </c>
      <c r="E1358" s="1" t="e">
        <f>VLOOKUP(Tabla_Items_Activos[[#This Row],[CODIGO]],Tabla_Items_Completos[[CODIGO]:[LINEA]],4,0)</f>
        <v>#N/A</v>
      </c>
      <c r="F1358">
        <v>75</v>
      </c>
      <c r="G1358">
        <v>388</v>
      </c>
    </row>
    <row r="1359" spans="1:7">
      <c r="A1359" t="s">
        <v>7388</v>
      </c>
      <c r="B1359" t="s">
        <v>8746</v>
      </c>
      <c r="C1359" s="1" t="e">
        <f>VLOOKUP(Tabla_Items_Activos[[#This Row],[CODIGO]],Tabla_Items_Completos[[CODIGO]:[LINEA]],2,0)</f>
        <v>#N/A</v>
      </c>
      <c r="D1359" s="1" t="e">
        <f>VLOOKUP(Tabla_Items_Activos[[#This Row],[CODIGO]],Tabla_Items_Completos[[CODIGO]:[LINEA]],3,0)</f>
        <v>#N/A</v>
      </c>
      <c r="E1359" s="1" t="e">
        <f>VLOOKUP(Tabla_Items_Activos[[#This Row],[CODIGO]],Tabla_Items_Completos[[CODIGO]:[LINEA]],4,0)</f>
        <v>#N/A</v>
      </c>
      <c r="F1359">
        <v>4946</v>
      </c>
      <c r="G1359">
        <v>444</v>
      </c>
    </row>
    <row r="1360" spans="1:7">
      <c r="A1360" t="s">
        <v>7388</v>
      </c>
      <c r="B1360" t="s">
        <v>8747</v>
      </c>
      <c r="C1360" s="1" t="e">
        <f>VLOOKUP(Tabla_Items_Activos[[#This Row],[CODIGO]],Tabla_Items_Completos[[CODIGO]:[LINEA]],2,0)</f>
        <v>#N/A</v>
      </c>
      <c r="D1360" s="1" t="e">
        <f>VLOOKUP(Tabla_Items_Activos[[#This Row],[CODIGO]],Tabla_Items_Completos[[CODIGO]:[LINEA]],3,0)</f>
        <v>#N/A</v>
      </c>
      <c r="E1360" s="1" t="e">
        <f>VLOOKUP(Tabla_Items_Activos[[#This Row],[CODIGO]],Tabla_Items_Completos[[CODIGO]:[LINEA]],4,0)</f>
        <v>#N/A</v>
      </c>
      <c r="F1360">
        <v>3398</v>
      </c>
      <c r="G1360">
        <v>0</v>
      </c>
    </row>
    <row r="1361" spans="1:7">
      <c r="A1361" t="s">
        <v>7388</v>
      </c>
      <c r="B1361" t="s">
        <v>8748</v>
      </c>
      <c r="C1361" s="1" t="e">
        <f>VLOOKUP(Tabla_Items_Activos[[#This Row],[CODIGO]],Tabla_Items_Completos[[CODIGO]:[LINEA]],2,0)</f>
        <v>#N/A</v>
      </c>
      <c r="D1361" s="1" t="e">
        <f>VLOOKUP(Tabla_Items_Activos[[#This Row],[CODIGO]],Tabla_Items_Completos[[CODIGO]:[LINEA]],3,0)</f>
        <v>#N/A</v>
      </c>
      <c r="E1361" s="1" t="e">
        <f>VLOOKUP(Tabla_Items_Activos[[#This Row],[CODIGO]],Tabla_Items_Completos[[CODIGO]:[LINEA]],4,0)</f>
        <v>#N/A</v>
      </c>
      <c r="F1361">
        <v>1203</v>
      </c>
      <c r="G1361">
        <v>0</v>
      </c>
    </row>
    <row r="1362" spans="1:7">
      <c r="A1362" t="s">
        <v>7388</v>
      </c>
      <c r="B1362" t="s">
        <v>8749</v>
      </c>
      <c r="C1362" s="1" t="e">
        <f>VLOOKUP(Tabla_Items_Activos[[#This Row],[CODIGO]],Tabla_Items_Completos[[CODIGO]:[LINEA]],2,0)</f>
        <v>#N/A</v>
      </c>
      <c r="D1362" s="1" t="e">
        <f>VLOOKUP(Tabla_Items_Activos[[#This Row],[CODIGO]],Tabla_Items_Completos[[CODIGO]:[LINEA]],3,0)</f>
        <v>#N/A</v>
      </c>
      <c r="E1362" s="1" t="e">
        <f>VLOOKUP(Tabla_Items_Activos[[#This Row],[CODIGO]],Tabla_Items_Completos[[CODIGO]:[LINEA]],4,0)</f>
        <v>#N/A</v>
      </c>
      <c r="F1362">
        <v>1985</v>
      </c>
      <c r="G1362">
        <v>118</v>
      </c>
    </row>
    <row r="1363" spans="1:7">
      <c r="A1363" t="s">
        <v>7388</v>
      </c>
      <c r="B1363" t="s">
        <v>8750</v>
      </c>
      <c r="C1363" s="1" t="e">
        <f>VLOOKUP(Tabla_Items_Activos[[#This Row],[CODIGO]],Tabla_Items_Completos[[CODIGO]:[LINEA]],2,0)</f>
        <v>#N/A</v>
      </c>
      <c r="D1363" s="1" t="e">
        <f>VLOOKUP(Tabla_Items_Activos[[#This Row],[CODIGO]],Tabla_Items_Completos[[CODIGO]:[LINEA]],3,0)</f>
        <v>#N/A</v>
      </c>
      <c r="E1363" s="1" t="e">
        <f>VLOOKUP(Tabla_Items_Activos[[#This Row],[CODIGO]],Tabla_Items_Completos[[CODIGO]:[LINEA]],4,0)</f>
        <v>#N/A</v>
      </c>
      <c r="F1363">
        <v>1045</v>
      </c>
      <c r="G1363">
        <v>0</v>
      </c>
    </row>
    <row r="1364" spans="1:7">
      <c r="A1364" t="s">
        <v>7388</v>
      </c>
      <c r="B1364" t="s">
        <v>8751</v>
      </c>
      <c r="C1364" s="1" t="e">
        <f>VLOOKUP(Tabla_Items_Activos[[#This Row],[CODIGO]],Tabla_Items_Completos[[CODIGO]:[LINEA]],2,0)</f>
        <v>#N/A</v>
      </c>
      <c r="D1364" s="1" t="e">
        <f>VLOOKUP(Tabla_Items_Activos[[#This Row],[CODIGO]],Tabla_Items_Completos[[CODIGO]:[LINEA]],3,0)</f>
        <v>#N/A</v>
      </c>
      <c r="E1364" s="1" t="e">
        <f>VLOOKUP(Tabla_Items_Activos[[#This Row],[CODIGO]],Tabla_Items_Completos[[CODIGO]:[LINEA]],4,0)</f>
        <v>#N/A</v>
      </c>
      <c r="F1364">
        <v>419</v>
      </c>
      <c r="G1364">
        <v>0</v>
      </c>
    </row>
    <row r="1365" spans="1:7">
      <c r="A1365" t="s">
        <v>7388</v>
      </c>
      <c r="B1365" t="s">
        <v>8752</v>
      </c>
      <c r="C1365" s="1" t="e">
        <f>VLOOKUP(Tabla_Items_Activos[[#This Row],[CODIGO]],Tabla_Items_Completos[[CODIGO]:[LINEA]],2,0)</f>
        <v>#N/A</v>
      </c>
      <c r="D1365" s="1" t="e">
        <f>VLOOKUP(Tabla_Items_Activos[[#This Row],[CODIGO]],Tabla_Items_Completos[[CODIGO]:[LINEA]],3,0)</f>
        <v>#N/A</v>
      </c>
      <c r="E1365" s="1" t="e">
        <f>VLOOKUP(Tabla_Items_Activos[[#This Row],[CODIGO]],Tabla_Items_Completos[[CODIGO]:[LINEA]],4,0)</f>
        <v>#N/A</v>
      </c>
      <c r="F1365">
        <v>1371</v>
      </c>
      <c r="G1365">
        <v>397</v>
      </c>
    </row>
    <row r="1366" spans="1:7">
      <c r="A1366" t="s">
        <v>7388</v>
      </c>
      <c r="B1366" t="s">
        <v>8753</v>
      </c>
      <c r="C1366" s="1" t="e">
        <f>VLOOKUP(Tabla_Items_Activos[[#This Row],[CODIGO]],Tabla_Items_Completos[[CODIGO]:[LINEA]],2,0)</f>
        <v>#N/A</v>
      </c>
      <c r="D1366" s="1" t="e">
        <f>VLOOKUP(Tabla_Items_Activos[[#This Row],[CODIGO]],Tabla_Items_Completos[[CODIGO]:[LINEA]],3,0)</f>
        <v>#N/A</v>
      </c>
      <c r="E1366" s="1" t="e">
        <f>VLOOKUP(Tabla_Items_Activos[[#This Row],[CODIGO]],Tabla_Items_Completos[[CODIGO]:[LINEA]],4,0)</f>
        <v>#N/A</v>
      </c>
      <c r="F1366">
        <v>972</v>
      </c>
      <c r="G1366">
        <v>0</v>
      </c>
    </row>
    <row r="1367" spans="1:7">
      <c r="A1367" t="s">
        <v>7388</v>
      </c>
      <c r="B1367" t="s">
        <v>8754</v>
      </c>
      <c r="C1367" s="1" t="e">
        <f>VLOOKUP(Tabla_Items_Activos[[#This Row],[CODIGO]],Tabla_Items_Completos[[CODIGO]:[LINEA]],2,0)</f>
        <v>#N/A</v>
      </c>
      <c r="D1367" s="1" t="e">
        <f>VLOOKUP(Tabla_Items_Activos[[#This Row],[CODIGO]],Tabla_Items_Completos[[CODIGO]:[LINEA]],3,0)</f>
        <v>#N/A</v>
      </c>
      <c r="E1367" s="1" t="e">
        <f>VLOOKUP(Tabla_Items_Activos[[#This Row],[CODIGO]],Tabla_Items_Completos[[CODIGO]:[LINEA]],4,0)</f>
        <v>#N/A</v>
      </c>
      <c r="F1367">
        <v>1875</v>
      </c>
      <c r="G1367">
        <v>0</v>
      </c>
    </row>
    <row r="1368" spans="1:7">
      <c r="A1368" t="s">
        <v>7388</v>
      </c>
      <c r="B1368" t="s">
        <v>8755</v>
      </c>
      <c r="C1368" s="1" t="e">
        <f>VLOOKUP(Tabla_Items_Activos[[#This Row],[CODIGO]],Tabla_Items_Completos[[CODIGO]:[LINEA]],2,0)</f>
        <v>#N/A</v>
      </c>
      <c r="D1368" s="1" t="e">
        <f>VLOOKUP(Tabla_Items_Activos[[#This Row],[CODIGO]],Tabla_Items_Completos[[CODIGO]:[LINEA]],3,0)</f>
        <v>#N/A</v>
      </c>
      <c r="E1368" s="1" t="e">
        <f>VLOOKUP(Tabla_Items_Activos[[#This Row],[CODIGO]],Tabla_Items_Completos[[CODIGO]:[LINEA]],4,0)</f>
        <v>#N/A</v>
      </c>
      <c r="F1368">
        <v>2303</v>
      </c>
      <c r="G1368">
        <v>114</v>
      </c>
    </row>
    <row r="1369" spans="1:7">
      <c r="A1369" t="s">
        <v>7388</v>
      </c>
      <c r="B1369" t="s">
        <v>8756</v>
      </c>
      <c r="C1369" s="1" t="e">
        <f>VLOOKUP(Tabla_Items_Activos[[#This Row],[CODIGO]],Tabla_Items_Completos[[CODIGO]:[LINEA]],2,0)</f>
        <v>#N/A</v>
      </c>
      <c r="D1369" s="1" t="e">
        <f>VLOOKUP(Tabla_Items_Activos[[#This Row],[CODIGO]],Tabla_Items_Completos[[CODIGO]:[LINEA]],3,0)</f>
        <v>#N/A</v>
      </c>
      <c r="E1369" s="1" t="e">
        <f>VLOOKUP(Tabla_Items_Activos[[#This Row],[CODIGO]],Tabla_Items_Completos[[CODIGO]:[LINEA]],4,0)</f>
        <v>#N/A</v>
      </c>
      <c r="F1369">
        <v>108</v>
      </c>
      <c r="G1369">
        <v>0</v>
      </c>
    </row>
    <row r="1370" spans="1:7">
      <c r="A1370" t="s">
        <v>7388</v>
      </c>
      <c r="B1370" t="s">
        <v>8757</v>
      </c>
      <c r="C1370" s="1" t="e">
        <f>VLOOKUP(Tabla_Items_Activos[[#This Row],[CODIGO]],Tabla_Items_Completos[[CODIGO]:[LINEA]],2,0)</f>
        <v>#N/A</v>
      </c>
      <c r="D1370" s="1" t="e">
        <f>VLOOKUP(Tabla_Items_Activos[[#This Row],[CODIGO]],Tabla_Items_Completos[[CODIGO]:[LINEA]],3,0)</f>
        <v>#N/A</v>
      </c>
      <c r="E1370" s="1" t="e">
        <f>VLOOKUP(Tabla_Items_Activos[[#This Row],[CODIGO]],Tabla_Items_Completos[[CODIGO]:[LINEA]],4,0)</f>
        <v>#N/A</v>
      </c>
      <c r="F1370">
        <v>76</v>
      </c>
      <c r="G1370">
        <v>355</v>
      </c>
    </row>
    <row r="1371" spans="1:7">
      <c r="A1371" t="s">
        <v>7388</v>
      </c>
      <c r="B1371" t="s">
        <v>8758</v>
      </c>
      <c r="C1371" s="1" t="e">
        <f>VLOOKUP(Tabla_Items_Activos[[#This Row],[CODIGO]],Tabla_Items_Completos[[CODIGO]:[LINEA]],2,0)</f>
        <v>#N/A</v>
      </c>
      <c r="D1371" s="1" t="e">
        <f>VLOOKUP(Tabla_Items_Activos[[#This Row],[CODIGO]],Tabla_Items_Completos[[CODIGO]:[LINEA]],3,0)</f>
        <v>#N/A</v>
      </c>
      <c r="E1371" s="1" t="e">
        <f>VLOOKUP(Tabla_Items_Activos[[#This Row],[CODIGO]],Tabla_Items_Completos[[CODIGO]:[LINEA]],4,0)</f>
        <v>#N/A</v>
      </c>
      <c r="F1371">
        <v>1476</v>
      </c>
      <c r="G1371">
        <v>0</v>
      </c>
    </row>
    <row r="1372" spans="1:7">
      <c r="A1372" t="s">
        <v>7388</v>
      </c>
      <c r="B1372" t="s">
        <v>8759</v>
      </c>
      <c r="C1372" s="1" t="e">
        <f>VLOOKUP(Tabla_Items_Activos[[#This Row],[CODIGO]],Tabla_Items_Completos[[CODIGO]:[LINEA]],2,0)</f>
        <v>#N/A</v>
      </c>
      <c r="D1372" s="1" t="e">
        <f>VLOOKUP(Tabla_Items_Activos[[#This Row],[CODIGO]],Tabla_Items_Completos[[CODIGO]:[LINEA]],3,0)</f>
        <v>#N/A</v>
      </c>
      <c r="E1372" s="1" t="e">
        <f>VLOOKUP(Tabla_Items_Activos[[#This Row],[CODIGO]],Tabla_Items_Completos[[CODIGO]:[LINEA]],4,0)</f>
        <v>#N/A</v>
      </c>
      <c r="F1372">
        <v>211</v>
      </c>
      <c r="G1372">
        <v>14</v>
      </c>
    </row>
    <row r="1373" spans="1:7">
      <c r="A1373" t="s">
        <v>7388</v>
      </c>
      <c r="B1373" t="s">
        <v>8760</v>
      </c>
      <c r="C1373" s="1" t="e">
        <f>VLOOKUP(Tabla_Items_Activos[[#This Row],[CODIGO]],Tabla_Items_Completos[[CODIGO]:[LINEA]],2,0)</f>
        <v>#N/A</v>
      </c>
      <c r="D1373" s="1" t="e">
        <f>VLOOKUP(Tabla_Items_Activos[[#This Row],[CODIGO]],Tabla_Items_Completos[[CODIGO]:[LINEA]],3,0)</f>
        <v>#N/A</v>
      </c>
      <c r="E1373" s="1" t="e">
        <f>VLOOKUP(Tabla_Items_Activos[[#This Row],[CODIGO]],Tabla_Items_Completos[[CODIGO]:[LINEA]],4,0)</f>
        <v>#N/A</v>
      </c>
      <c r="F1373">
        <v>504</v>
      </c>
      <c r="G1373">
        <v>22</v>
      </c>
    </row>
    <row r="1374" spans="1:7">
      <c r="A1374" t="s">
        <v>7388</v>
      </c>
      <c r="B1374" t="s">
        <v>8761</v>
      </c>
      <c r="C1374" s="1" t="e">
        <f>VLOOKUP(Tabla_Items_Activos[[#This Row],[CODIGO]],Tabla_Items_Completos[[CODIGO]:[LINEA]],2,0)</f>
        <v>#N/A</v>
      </c>
      <c r="D1374" s="1" t="e">
        <f>VLOOKUP(Tabla_Items_Activos[[#This Row],[CODIGO]],Tabla_Items_Completos[[CODIGO]:[LINEA]],3,0)</f>
        <v>#N/A</v>
      </c>
      <c r="E1374" s="1" t="e">
        <f>VLOOKUP(Tabla_Items_Activos[[#This Row],[CODIGO]],Tabla_Items_Completos[[CODIGO]:[LINEA]],4,0)</f>
        <v>#N/A</v>
      </c>
      <c r="F1374">
        <v>244</v>
      </c>
      <c r="G1374">
        <v>190</v>
      </c>
    </row>
    <row r="1375" spans="1:7">
      <c r="A1375" t="s">
        <v>7388</v>
      </c>
      <c r="B1375" t="s">
        <v>8762</v>
      </c>
      <c r="C1375" s="1" t="e">
        <f>VLOOKUP(Tabla_Items_Activos[[#This Row],[CODIGO]],Tabla_Items_Completos[[CODIGO]:[LINEA]],2,0)</f>
        <v>#N/A</v>
      </c>
      <c r="D1375" s="1" t="e">
        <f>VLOOKUP(Tabla_Items_Activos[[#This Row],[CODIGO]],Tabla_Items_Completos[[CODIGO]:[LINEA]],3,0)</f>
        <v>#N/A</v>
      </c>
      <c r="E1375" s="1" t="e">
        <f>VLOOKUP(Tabla_Items_Activos[[#This Row],[CODIGO]],Tabla_Items_Completos[[CODIGO]:[LINEA]],4,0)</f>
        <v>#N/A</v>
      </c>
      <c r="F1375">
        <v>214</v>
      </c>
      <c r="G1375">
        <v>124</v>
      </c>
    </row>
    <row r="1376" spans="1:7">
      <c r="A1376" t="s">
        <v>7388</v>
      </c>
      <c r="B1376" t="s">
        <v>8763</v>
      </c>
      <c r="C1376" s="1" t="e">
        <f>VLOOKUP(Tabla_Items_Activos[[#This Row],[CODIGO]],Tabla_Items_Completos[[CODIGO]:[LINEA]],2,0)</f>
        <v>#N/A</v>
      </c>
      <c r="D1376" s="1" t="e">
        <f>VLOOKUP(Tabla_Items_Activos[[#This Row],[CODIGO]],Tabla_Items_Completos[[CODIGO]:[LINEA]],3,0)</f>
        <v>#N/A</v>
      </c>
      <c r="E1376" s="1" t="e">
        <f>VLOOKUP(Tabla_Items_Activos[[#This Row],[CODIGO]],Tabla_Items_Completos[[CODIGO]:[LINEA]],4,0)</f>
        <v>#N/A</v>
      </c>
      <c r="F1376">
        <v>605</v>
      </c>
      <c r="G1376">
        <v>0</v>
      </c>
    </row>
    <row r="1377" spans="1:7">
      <c r="A1377" t="s">
        <v>7388</v>
      </c>
      <c r="B1377" t="s">
        <v>8764</v>
      </c>
      <c r="C1377" s="1" t="e">
        <f>VLOOKUP(Tabla_Items_Activos[[#This Row],[CODIGO]],Tabla_Items_Completos[[CODIGO]:[LINEA]],2,0)</f>
        <v>#N/A</v>
      </c>
      <c r="D1377" s="1" t="e">
        <f>VLOOKUP(Tabla_Items_Activos[[#This Row],[CODIGO]],Tabla_Items_Completos[[CODIGO]:[LINEA]],3,0)</f>
        <v>#N/A</v>
      </c>
      <c r="E1377" s="1" t="e">
        <f>VLOOKUP(Tabla_Items_Activos[[#This Row],[CODIGO]],Tabla_Items_Completos[[CODIGO]:[LINEA]],4,0)</f>
        <v>#N/A</v>
      </c>
      <c r="F1377">
        <v>941</v>
      </c>
      <c r="G1377">
        <v>308</v>
      </c>
    </row>
    <row r="1378" spans="1:7">
      <c r="A1378" t="s">
        <v>7388</v>
      </c>
      <c r="B1378" t="s">
        <v>8765</v>
      </c>
      <c r="C1378" s="1" t="e">
        <f>VLOOKUP(Tabla_Items_Activos[[#This Row],[CODIGO]],Tabla_Items_Completos[[CODIGO]:[LINEA]],2,0)</f>
        <v>#N/A</v>
      </c>
      <c r="D1378" s="1" t="e">
        <f>VLOOKUP(Tabla_Items_Activos[[#This Row],[CODIGO]],Tabla_Items_Completos[[CODIGO]:[LINEA]],3,0)</f>
        <v>#N/A</v>
      </c>
      <c r="E1378" s="1" t="e">
        <f>VLOOKUP(Tabla_Items_Activos[[#This Row],[CODIGO]],Tabla_Items_Completos[[CODIGO]:[LINEA]],4,0)</f>
        <v>#N/A</v>
      </c>
      <c r="F1378">
        <v>961</v>
      </c>
      <c r="G1378">
        <v>162</v>
      </c>
    </row>
    <row r="1379" spans="1:7">
      <c r="A1379" t="s">
        <v>7388</v>
      </c>
      <c r="B1379" t="s">
        <v>8766</v>
      </c>
      <c r="C1379" s="1" t="e">
        <f>VLOOKUP(Tabla_Items_Activos[[#This Row],[CODIGO]],Tabla_Items_Completos[[CODIGO]:[LINEA]],2,0)</f>
        <v>#N/A</v>
      </c>
      <c r="D1379" s="1" t="e">
        <f>VLOOKUP(Tabla_Items_Activos[[#This Row],[CODIGO]],Tabla_Items_Completos[[CODIGO]:[LINEA]],3,0)</f>
        <v>#N/A</v>
      </c>
      <c r="E1379" s="1" t="e">
        <f>VLOOKUP(Tabla_Items_Activos[[#This Row],[CODIGO]],Tabla_Items_Completos[[CODIGO]:[LINEA]],4,0)</f>
        <v>#N/A</v>
      </c>
      <c r="F1379">
        <v>384</v>
      </c>
      <c r="G1379">
        <v>382</v>
      </c>
    </row>
    <row r="1380" spans="1:7">
      <c r="A1380" t="s">
        <v>7388</v>
      </c>
      <c r="B1380" t="s">
        <v>8767</v>
      </c>
      <c r="C1380" s="1" t="e">
        <f>VLOOKUP(Tabla_Items_Activos[[#This Row],[CODIGO]],Tabla_Items_Completos[[CODIGO]:[LINEA]],2,0)</f>
        <v>#N/A</v>
      </c>
      <c r="D1380" s="1" t="e">
        <f>VLOOKUP(Tabla_Items_Activos[[#This Row],[CODIGO]],Tabla_Items_Completos[[CODIGO]:[LINEA]],3,0)</f>
        <v>#N/A</v>
      </c>
      <c r="E1380" s="1" t="e">
        <f>VLOOKUP(Tabla_Items_Activos[[#This Row],[CODIGO]],Tabla_Items_Completos[[CODIGO]:[LINEA]],4,0)</f>
        <v>#N/A</v>
      </c>
      <c r="F1380">
        <v>7</v>
      </c>
      <c r="G1380">
        <v>0</v>
      </c>
    </row>
    <row r="1381" spans="1:7">
      <c r="A1381" t="s">
        <v>7388</v>
      </c>
      <c r="B1381" t="s">
        <v>8768</v>
      </c>
      <c r="C1381" s="1" t="e">
        <f>VLOOKUP(Tabla_Items_Activos[[#This Row],[CODIGO]],Tabla_Items_Completos[[CODIGO]:[LINEA]],2,0)</f>
        <v>#N/A</v>
      </c>
      <c r="D1381" s="1" t="e">
        <f>VLOOKUP(Tabla_Items_Activos[[#This Row],[CODIGO]],Tabla_Items_Completos[[CODIGO]:[LINEA]],3,0)</f>
        <v>#N/A</v>
      </c>
      <c r="E1381" s="1" t="e">
        <f>VLOOKUP(Tabla_Items_Activos[[#This Row],[CODIGO]],Tabla_Items_Completos[[CODIGO]:[LINEA]],4,0)</f>
        <v>#N/A</v>
      </c>
      <c r="F1381">
        <v>214</v>
      </c>
      <c r="G1381">
        <v>303</v>
      </c>
    </row>
    <row r="1382" spans="1:7">
      <c r="A1382" t="s">
        <v>7388</v>
      </c>
      <c r="B1382" t="s">
        <v>8769</v>
      </c>
      <c r="C1382" s="1" t="e">
        <f>VLOOKUP(Tabla_Items_Activos[[#This Row],[CODIGO]],Tabla_Items_Completos[[CODIGO]:[LINEA]],2,0)</f>
        <v>#N/A</v>
      </c>
      <c r="D1382" s="1" t="e">
        <f>VLOOKUP(Tabla_Items_Activos[[#This Row],[CODIGO]],Tabla_Items_Completos[[CODIGO]:[LINEA]],3,0)</f>
        <v>#N/A</v>
      </c>
      <c r="E1382" s="1" t="e">
        <f>VLOOKUP(Tabla_Items_Activos[[#This Row],[CODIGO]],Tabla_Items_Completos[[CODIGO]:[LINEA]],4,0)</f>
        <v>#N/A</v>
      </c>
      <c r="F1382">
        <v>1313</v>
      </c>
      <c r="G1382">
        <v>0</v>
      </c>
    </row>
    <row r="1383" spans="1:7">
      <c r="A1383" t="s">
        <v>7388</v>
      </c>
      <c r="B1383" t="s">
        <v>8770</v>
      </c>
      <c r="C1383" s="1" t="e">
        <f>VLOOKUP(Tabla_Items_Activos[[#This Row],[CODIGO]],Tabla_Items_Completos[[CODIGO]:[LINEA]],2,0)</f>
        <v>#N/A</v>
      </c>
      <c r="D1383" s="1" t="e">
        <f>VLOOKUP(Tabla_Items_Activos[[#This Row],[CODIGO]],Tabla_Items_Completos[[CODIGO]:[LINEA]],3,0)</f>
        <v>#N/A</v>
      </c>
      <c r="E1383" s="1" t="e">
        <f>VLOOKUP(Tabla_Items_Activos[[#This Row],[CODIGO]],Tabla_Items_Completos[[CODIGO]:[LINEA]],4,0)</f>
        <v>#N/A</v>
      </c>
      <c r="F1383">
        <v>888</v>
      </c>
      <c r="G1383">
        <v>0</v>
      </c>
    </row>
    <row r="1384" spans="1:7">
      <c r="A1384" t="s">
        <v>7388</v>
      </c>
      <c r="B1384" t="s">
        <v>8771</v>
      </c>
      <c r="C1384" s="1" t="e">
        <f>VLOOKUP(Tabla_Items_Activos[[#This Row],[CODIGO]],Tabla_Items_Completos[[CODIGO]:[LINEA]],2,0)</f>
        <v>#N/A</v>
      </c>
      <c r="D1384" s="1" t="e">
        <f>VLOOKUP(Tabla_Items_Activos[[#This Row],[CODIGO]],Tabla_Items_Completos[[CODIGO]:[LINEA]],3,0)</f>
        <v>#N/A</v>
      </c>
      <c r="E1384" s="1" t="e">
        <f>VLOOKUP(Tabla_Items_Activos[[#This Row],[CODIGO]],Tabla_Items_Completos[[CODIGO]:[LINEA]],4,0)</f>
        <v>#N/A</v>
      </c>
      <c r="F1384">
        <v>741</v>
      </c>
      <c r="G1384">
        <v>219</v>
      </c>
    </row>
    <row r="1385" spans="1:7">
      <c r="A1385" t="s">
        <v>7388</v>
      </c>
      <c r="B1385" t="s">
        <v>8772</v>
      </c>
      <c r="C1385" s="1" t="e">
        <f>VLOOKUP(Tabla_Items_Activos[[#This Row],[CODIGO]],Tabla_Items_Completos[[CODIGO]:[LINEA]],2,0)</f>
        <v>#N/A</v>
      </c>
      <c r="D1385" s="1" t="e">
        <f>VLOOKUP(Tabla_Items_Activos[[#This Row],[CODIGO]],Tabla_Items_Completos[[CODIGO]:[LINEA]],3,0)</f>
        <v>#N/A</v>
      </c>
      <c r="E1385" s="1" t="e">
        <f>VLOOKUP(Tabla_Items_Activos[[#This Row],[CODIGO]],Tabla_Items_Completos[[CODIGO]:[LINEA]],4,0)</f>
        <v>#N/A</v>
      </c>
      <c r="F1385">
        <v>677</v>
      </c>
      <c r="G1385">
        <v>162</v>
      </c>
    </row>
    <row r="1386" spans="1:7">
      <c r="A1386" t="s">
        <v>7388</v>
      </c>
      <c r="B1386" t="s">
        <v>8773</v>
      </c>
      <c r="C1386" s="1" t="e">
        <f>VLOOKUP(Tabla_Items_Activos[[#This Row],[CODIGO]],Tabla_Items_Completos[[CODIGO]:[LINEA]],2,0)</f>
        <v>#N/A</v>
      </c>
      <c r="D1386" s="1" t="e">
        <f>VLOOKUP(Tabla_Items_Activos[[#This Row],[CODIGO]],Tabla_Items_Completos[[CODIGO]:[LINEA]],3,0)</f>
        <v>#N/A</v>
      </c>
      <c r="E1386" s="1" t="e">
        <f>VLOOKUP(Tabla_Items_Activos[[#This Row],[CODIGO]],Tabla_Items_Completos[[CODIGO]:[LINEA]],4,0)</f>
        <v>#N/A</v>
      </c>
      <c r="F1386">
        <v>2899</v>
      </c>
      <c r="G1386">
        <v>136</v>
      </c>
    </row>
    <row r="1387" spans="1:7">
      <c r="A1387" t="s">
        <v>7388</v>
      </c>
      <c r="B1387" t="s">
        <v>8774</v>
      </c>
      <c r="C1387" s="1" t="e">
        <f>VLOOKUP(Tabla_Items_Activos[[#This Row],[CODIGO]],Tabla_Items_Completos[[CODIGO]:[LINEA]],2,0)</f>
        <v>#N/A</v>
      </c>
      <c r="D1387" s="1" t="e">
        <f>VLOOKUP(Tabla_Items_Activos[[#This Row],[CODIGO]],Tabla_Items_Completos[[CODIGO]:[LINEA]],3,0)</f>
        <v>#N/A</v>
      </c>
      <c r="E1387" s="1" t="e">
        <f>VLOOKUP(Tabla_Items_Activos[[#This Row],[CODIGO]],Tabla_Items_Completos[[CODIGO]:[LINEA]],4,0)</f>
        <v>#N/A</v>
      </c>
      <c r="F1387">
        <v>568</v>
      </c>
      <c r="G1387">
        <v>147</v>
      </c>
    </row>
    <row r="1388" spans="1:7">
      <c r="A1388" t="s">
        <v>7388</v>
      </c>
      <c r="B1388" t="s">
        <v>8775</v>
      </c>
      <c r="C1388" s="1" t="e">
        <f>VLOOKUP(Tabla_Items_Activos[[#This Row],[CODIGO]],Tabla_Items_Completos[[CODIGO]:[LINEA]],2,0)</f>
        <v>#N/A</v>
      </c>
      <c r="D1388" s="1" t="e">
        <f>VLOOKUP(Tabla_Items_Activos[[#This Row],[CODIGO]],Tabla_Items_Completos[[CODIGO]:[LINEA]],3,0)</f>
        <v>#N/A</v>
      </c>
      <c r="E1388" s="1" t="e">
        <f>VLOOKUP(Tabla_Items_Activos[[#This Row],[CODIGO]],Tabla_Items_Completos[[CODIGO]:[LINEA]],4,0)</f>
        <v>#N/A</v>
      </c>
      <c r="F1388">
        <v>2358</v>
      </c>
      <c r="G1388">
        <v>367</v>
      </c>
    </row>
    <row r="1389" spans="1:7">
      <c r="A1389" t="s">
        <v>7388</v>
      </c>
      <c r="B1389" t="s">
        <v>8776</v>
      </c>
      <c r="C1389" s="1" t="e">
        <f>VLOOKUP(Tabla_Items_Activos[[#This Row],[CODIGO]],Tabla_Items_Completos[[CODIGO]:[LINEA]],2,0)</f>
        <v>#N/A</v>
      </c>
      <c r="D1389" s="1" t="e">
        <f>VLOOKUP(Tabla_Items_Activos[[#This Row],[CODIGO]],Tabla_Items_Completos[[CODIGO]:[LINEA]],3,0)</f>
        <v>#N/A</v>
      </c>
      <c r="E1389" s="1" t="e">
        <f>VLOOKUP(Tabla_Items_Activos[[#This Row],[CODIGO]],Tabla_Items_Completos[[CODIGO]:[LINEA]],4,0)</f>
        <v>#N/A</v>
      </c>
      <c r="F1389">
        <v>972</v>
      </c>
      <c r="G1389">
        <v>0</v>
      </c>
    </row>
    <row r="1390" spans="1:7">
      <c r="A1390" t="s">
        <v>7388</v>
      </c>
      <c r="B1390" t="s">
        <v>8777</v>
      </c>
      <c r="C1390" s="1" t="e">
        <f>VLOOKUP(Tabla_Items_Activos[[#This Row],[CODIGO]],Tabla_Items_Completos[[CODIGO]:[LINEA]],2,0)</f>
        <v>#N/A</v>
      </c>
      <c r="D1390" s="1" t="e">
        <f>VLOOKUP(Tabla_Items_Activos[[#This Row],[CODIGO]],Tabla_Items_Completos[[CODIGO]:[LINEA]],3,0)</f>
        <v>#N/A</v>
      </c>
      <c r="E1390" s="1" t="e">
        <f>VLOOKUP(Tabla_Items_Activos[[#This Row],[CODIGO]],Tabla_Items_Completos[[CODIGO]:[LINEA]],4,0)</f>
        <v>#N/A</v>
      </c>
      <c r="F1390">
        <v>1796</v>
      </c>
      <c r="G1390">
        <v>876</v>
      </c>
    </row>
    <row r="1391" spans="1:7">
      <c r="A1391" t="s">
        <v>7388</v>
      </c>
      <c r="B1391" t="s">
        <v>8778</v>
      </c>
      <c r="C1391" s="1" t="e">
        <f>VLOOKUP(Tabla_Items_Activos[[#This Row],[CODIGO]],Tabla_Items_Completos[[CODIGO]:[LINEA]],2,0)</f>
        <v>#N/A</v>
      </c>
      <c r="D1391" s="1" t="e">
        <f>VLOOKUP(Tabla_Items_Activos[[#This Row],[CODIGO]],Tabla_Items_Completos[[CODIGO]:[LINEA]],3,0)</f>
        <v>#N/A</v>
      </c>
      <c r="E1391" s="1" t="e">
        <f>VLOOKUP(Tabla_Items_Activos[[#This Row],[CODIGO]],Tabla_Items_Completos[[CODIGO]:[LINEA]],4,0)</f>
        <v>#N/A</v>
      </c>
      <c r="F1391">
        <v>1276</v>
      </c>
      <c r="G1391">
        <v>0</v>
      </c>
    </row>
    <row r="1392" spans="1:7">
      <c r="A1392" t="s">
        <v>7388</v>
      </c>
      <c r="B1392" t="s">
        <v>8779</v>
      </c>
      <c r="C1392" s="1" t="e">
        <f>VLOOKUP(Tabla_Items_Activos[[#This Row],[CODIGO]],Tabla_Items_Completos[[CODIGO]:[LINEA]],2,0)</f>
        <v>#N/A</v>
      </c>
      <c r="D1392" s="1" t="e">
        <f>VLOOKUP(Tabla_Items_Activos[[#This Row],[CODIGO]],Tabla_Items_Completos[[CODIGO]:[LINEA]],3,0)</f>
        <v>#N/A</v>
      </c>
      <c r="E1392" s="1" t="e">
        <f>VLOOKUP(Tabla_Items_Activos[[#This Row],[CODIGO]],Tabla_Items_Completos[[CODIGO]:[LINEA]],4,0)</f>
        <v>#N/A</v>
      </c>
      <c r="F1392">
        <v>1429</v>
      </c>
      <c r="G1392">
        <v>87</v>
      </c>
    </row>
    <row r="1393" spans="1:7">
      <c r="A1393" t="s">
        <v>7388</v>
      </c>
      <c r="B1393" t="s">
        <v>8780</v>
      </c>
      <c r="C1393" s="1" t="e">
        <f>VLOOKUP(Tabla_Items_Activos[[#This Row],[CODIGO]],Tabla_Items_Completos[[CODIGO]:[LINEA]],2,0)</f>
        <v>#N/A</v>
      </c>
      <c r="D1393" s="1" t="e">
        <f>VLOOKUP(Tabla_Items_Activos[[#This Row],[CODIGO]],Tabla_Items_Completos[[CODIGO]:[LINEA]],3,0)</f>
        <v>#N/A</v>
      </c>
      <c r="E1393" s="1" t="e">
        <f>VLOOKUP(Tabla_Items_Activos[[#This Row],[CODIGO]],Tabla_Items_Completos[[CODIGO]:[LINEA]],4,0)</f>
        <v>#N/A</v>
      </c>
      <c r="F1393">
        <v>862</v>
      </c>
      <c r="G1393">
        <v>0</v>
      </c>
    </row>
    <row r="1394" spans="1:7">
      <c r="A1394" t="s">
        <v>7388</v>
      </c>
      <c r="B1394" t="s">
        <v>8781</v>
      </c>
      <c r="C1394" s="1" t="e">
        <f>VLOOKUP(Tabla_Items_Activos[[#This Row],[CODIGO]],Tabla_Items_Completos[[CODIGO]:[LINEA]],2,0)</f>
        <v>#N/A</v>
      </c>
      <c r="D1394" s="1" t="e">
        <f>VLOOKUP(Tabla_Items_Activos[[#This Row],[CODIGO]],Tabla_Items_Completos[[CODIGO]:[LINEA]],3,0)</f>
        <v>#N/A</v>
      </c>
      <c r="E1394" s="1" t="e">
        <f>VLOOKUP(Tabla_Items_Activos[[#This Row],[CODIGO]],Tabla_Items_Completos[[CODIGO]:[LINEA]],4,0)</f>
        <v>#N/A</v>
      </c>
      <c r="F1394">
        <v>541</v>
      </c>
      <c r="G1394">
        <v>24</v>
      </c>
    </row>
    <row r="1395" spans="1:7">
      <c r="A1395" t="s">
        <v>7388</v>
      </c>
      <c r="B1395" t="s">
        <v>8782</v>
      </c>
      <c r="C1395" s="1" t="e">
        <f>VLOOKUP(Tabla_Items_Activos[[#This Row],[CODIGO]],Tabla_Items_Completos[[CODIGO]:[LINEA]],2,0)</f>
        <v>#N/A</v>
      </c>
      <c r="D1395" s="1" t="e">
        <f>VLOOKUP(Tabla_Items_Activos[[#This Row],[CODIGO]],Tabla_Items_Completos[[CODIGO]:[LINEA]],3,0)</f>
        <v>#N/A</v>
      </c>
      <c r="E1395" s="1" t="e">
        <f>VLOOKUP(Tabla_Items_Activos[[#This Row],[CODIGO]],Tabla_Items_Completos[[CODIGO]:[LINEA]],4,0)</f>
        <v>#N/A</v>
      </c>
      <c r="F1395">
        <v>6201</v>
      </c>
      <c r="G1395">
        <v>4961</v>
      </c>
    </row>
    <row r="1396" spans="1:7">
      <c r="A1396" t="s">
        <v>7388</v>
      </c>
      <c r="B1396" t="s">
        <v>8783</v>
      </c>
      <c r="C1396" s="1" t="e">
        <f>VLOOKUP(Tabla_Items_Activos[[#This Row],[CODIGO]],Tabla_Items_Completos[[CODIGO]:[LINEA]],2,0)</f>
        <v>#N/A</v>
      </c>
      <c r="D1396" s="1" t="e">
        <f>VLOOKUP(Tabla_Items_Activos[[#This Row],[CODIGO]],Tabla_Items_Completos[[CODIGO]:[LINEA]],3,0)</f>
        <v>#N/A</v>
      </c>
      <c r="E1396" s="1" t="e">
        <f>VLOOKUP(Tabla_Items_Activos[[#This Row],[CODIGO]],Tabla_Items_Completos[[CODIGO]:[LINEA]],4,0)</f>
        <v>#N/A</v>
      </c>
      <c r="F1396">
        <v>532</v>
      </c>
      <c r="G1396">
        <v>204</v>
      </c>
    </row>
    <row r="1397" spans="1:7">
      <c r="A1397" t="s">
        <v>7388</v>
      </c>
      <c r="B1397" t="s">
        <v>8784</v>
      </c>
      <c r="C1397" s="1" t="e">
        <f>VLOOKUP(Tabla_Items_Activos[[#This Row],[CODIGO]],Tabla_Items_Completos[[CODIGO]:[LINEA]],2,0)</f>
        <v>#N/A</v>
      </c>
      <c r="D1397" s="1" t="e">
        <f>VLOOKUP(Tabla_Items_Activos[[#This Row],[CODIGO]],Tabla_Items_Completos[[CODIGO]:[LINEA]],3,0)</f>
        <v>#N/A</v>
      </c>
      <c r="E1397" s="1" t="e">
        <f>VLOOKUP(Tabla_Items_Activos[[#This Row],[CODIGO]],Tabla_Items_Completos[[CODIGO]:[LINEA]],4,0)</f>
        <v>#N/A</v>
      </c>
      <c r="F1397">
        <v>835</v>
      </c>
      <c r="G1397">
        <v>0</v>
      </c>
    </row>
    <row r="1398" spans="1:7">
      <c r="A1398" t="s">
        <v>7388</v>
      </c>
      <c r="B1398" t="s">
        <v>8785</v>
      </c>
      <c r="C1398" s="1" t="e">
        <f>VLOOKUP(Tabla_Items_Activos[[#This Row],[CODIGO]],Tabla_Items_Completos[[CODIGO]:[LINEA]],2,0)</f>
        <v>#N/A</v>
      </c>
      <c r="D1398" s="1" t="e">
        <f>VLOOKUP(Tabla_Items_Activos[[#This Row],[CODIGO]],Tabla_Items_Completos[[CODIGO]:[LINEA]],3,0)</f>
        <v>#N/A</v>
      </c>
      <c r="E1398" s="1" t="e">
        <f>VLOOKUP(Tabla_Items_Activos[[#This Row],[CODIGO]],Tabla_Items_Completos[[CODIGO]:[LINEA]],4,0)</f>
        <v>#N/A</v>
      </c>
      <c r="F1398">
        <v>757</v>
      </c>
      <c r="G1398">
        <v>0</v>
      </c>
    </row>
    <row r="1399" spans="1:7">
      <c r="A1399" t="s">
        <v>7388</v>
      </c>
      <c r="B1399" t="s">
        <v>8786</v>
      </c>
      <c r="C1399" s="1" t="e">
        <f>VLOOKUP(Tabla_Items_Activos[[#This Row],[CODIGO]],Tabla_Items_Completos[[CODIGO]:[LINEA]],2,0)</f>
        <v>#N/A</v>
      </c>
      <c r="D1399" s="1" t="e">
        <f>VLOOKUP(Tabla_Items_Activos[[#This Row],[CODIGO]],Tabla_Items_Completos[[CODIGO]:[LINEA]],3,0)</f>
        <v>#N/A</v>
      </c>
      <c r="E1399" s="1" t="e">
        <f>VLOOKUP(Tabla_Items_Activos[[#This Row],[CODIGO]],Tabla_Items_Completos[[CODIGO]:[LINEA]],4,0)</f>
        <v>#N/A</v>
      </c>
      <c r="F1399">
        <v>1419</v>
      </c>
      <c r="G1399">
        <v>423</v>
      </c>
    </row>
    <row r="1400" spans="1:7">
      <c r="A1400" t="s">
        <v>7388</v>
      </c>
      <c r="B1400" t="s">
        <v>8787</v>
      </c>
      <c r="C1400" s="1" t="e">
        <f>VLOOKUP(Tabla_Items_Activos[[#This Row],[CODIGO]],Tabla_Items_Completos[[CODIGO]:[LINEA]],2,0)</f>
        <v>#N/A</v>
      </c>
      <c r="D1400" s="1" t="e">
        <f>VLOOKUP(Tabla_Items_Activos[[#This Row],[CODIGO]],Tabla_Items_Completos[[CODIGO]:[LINEA]],3,0)</f>
        <v>#N/A</v>
      </c>
      <c r="E1400" s="1" t="e">
        <f>VLOOKUP(Tabla_Items_Activos[[#This Row],[CODIGO]],Tabla_Items_Completos[[CODIGO]:[LINEA]],4,0)</f>
        <v>#N/A</v>
      </c>
      <c r="F1400">
        <v>352</v>
      </c>
      <c r="G1400">
        <v>0</v>
      </c>
    </row>
    <row r="1401" spans="1:7">
      <c r="A1401" t="s">
        <v>7388</v>
      </c>
      <c r="B1401" t="s">
        <v>8788</v>
      </c>
      <c r="C1401" s="1" t="e">
        <f>VLOOKUP(Tabla_Items_Activos[[#This Row],[CODIGO]],Tabla_Items_Completos[[CODIGO]:[LINEA]],2,0)</f>
        <v>#N/A</v>
      </c>
      <c r="D1401" s="1" t="e">
        <f>VLOOKUP(Tabla_Items_Activos[[#This Row],[CODIGO]],Tabla_Items_Completos[[CODIGO]:[LINEA]],3,0)</f>
        <v>#N/A</v>
      </c>
      <c r="E1401" s="1" t="e">
        <f>VLOOKUP(Tabla_Items_Activos[[#This Row],[CODIGO]],Tabla_Items_Completos[[CODIGO]:[LINEA]],4,0)</f>
        <v>#N/A</v>
      </c>
      <c r="F1401">
        <v>264</v>
      </c>
      <c r="G1401">
        <v>142</v>
      </c>
    </row>
    <row r="1402" spans="1:7">
      <c r="A1402" t="s">
        <v>7388</v>
      </c>
      <c r="B1402" t="s">
        <v>8789</v>
      </c>
      <c r="C1402" s="1" t="e">
        <f>VLOOKUP(Tabla_Items_Activos[[#This Row],[CODIGO]],Tabla_Items_Completos[[CODIGO]:[LINEA]],2,0)</f>
        <v>#N/A</v>
      </c>
      <c r="D1402" s="1" t="e">
        <f>VLOOKUP(Tabla_Items_Activos[[#This Row],[CODIGO]],Tabla_Items_Completos[[CODIGO]:[LINEA]],3,0)</f>
        <v>#N/A</v>
      </c>
      <c r="E1402" s="1" t="e">
        <f>VLOOKUP(Tabla_Items_Activos[[#This Row],[CODIGO]],Tabla_Items_Completos[[CODIGO]:[LINEA]],4,0)</f>
        <v>#N/A</v>
      </c>
      <c r="F1402">
        <v>274</v>
      </c>
      <c r="G1402">
        <v>161</v>
      </c>
    </row>
    <row r="1403" spans="1:7">
      <c r="A1403" t="s">
        <v>7388</v>
      </c>
      <c r="B1403" t="s">
        <v>8790</v>
      </c>
      <c r="C1403" s="1" t="e">
        <f>VLOOKUP(Tabla_Items_Activos[[#This Row],[CODIGO]],Tabla_Items_Completos[[CODIGO]:[LINEA]],2,0)</f>
        <v>#N/A</v>
      </c>
      <c r="D1403" s="1" t="e">
        <f>VLOOKUP(Tabla_Items_Activos[[#This Row],[CODIGO]],Tabla_Items_Completos[[CODIGO]:[LINEA]],3,0)</f>
        <v>#N/A</v>
      </c>
      <c r="E1403" s="1" t="e">
        <f>VLOOKUP(Tabla_Items_Activos[[#This Row],[CODIGO]],Tabla_Items_Completos[[CODIGO]:[LINEA]],4,0)</f>
        <v>#N/A</v>
      </c>
      <c r="F1403">
        <v>363</v>
      </c>
      <c r="G1403">
        <v>0</v>
      </c>
    </row>
    <row r="1404" spans="1:7">
      <c r="A1404" t="s">
        <v>7388</v>
      </c>
      <c r="B1404" t="s">
        <v>8791</v>
      </c>
      <c r="C1404" s="1" t="e">
        <f>VLOOKUP(Tabla_Items_Activos[[#This Row],[CODIGO]],Tabla_Items_Completos[[CODIGO]:[LINEA]],2,0)</f>
        <v>#N/A</v>
      </c>
      <c r="D1404" s="1" t="e">
        <f>VLOOKUP(Tabla_Items_Activos[[#This Row],[CODIGO]],Tabla_Items_Completos[[CODIGO]:[LINEA]],3,0)</f>
        <v>#N/A</v>
      </c>
      <c r="E1404" s="1" t="e">
        <f>VLOOKUP(Tabla_Items_Activos[[#This Row],[CODIGO]],Tabla_Items_Completos[[CODIGO]:[LINEA]],4,0)</f>
        <v>#N/A</v>
      </c>
      <c r="F1404">
        <v>167</v>
      </c>
      <c r="G1404">
        <v>0</v>
      </c>
    </row>
    <row r="1405" spans="1:7">
      <c r="A1405" t="s">
        <v>7388</v>
      </c>
      <c r="B1405" t="s">
        <v>8792</v>
      </c>
      <c r="C1405" s="1" t="e">
        <f>VLOOKUP(Tabla_Items_Activos[[#This Row],[CODIGO]],Tabla_Items_Completos[[CODIGO]:[LINEA]],2,0)</f>
        <v>#N/A</v>
      </c>
      <c r="D1405" s="1" t="e">
        <f>VLOOKUP(Tabla_Items_Activos[[#This Row],[CODIGO]],Tabla_Items_Completos[[CODIGO]:[LINEA]],3,0)</f>
        <v>#N/A</v>
      </c>
      <c r="E1405" s="1" t="e">
        <f>VLOOKUP(Tabla_Items_Activos[[#This Row],[CODIGO]],Tabla_Items_Completos[[CODIGO]:[LINEA]],4,0)</f>
        <v>#N/A</v>
      </c>
      <c r="F1405">
        <v>296</v>
      </c>
      <c r="G1405">
        <v>270</v>
      </c>
    </row>
    <row r="1406" spans="1:7">
      <c r="A1406" t="s">
        <v>7388</v>
      </c>
      <c r="B1406" t="s">
        <v>8793</v>
      </c>
      <c r="C1406" s="1" t="e">
        <f>VLOOKUP(Tabla_Items_Activos[[#This Row],[CODIGO]],Tabla_Items_Completos[[CODIGO]:[LINEA]],2,0)</f>
        <v>#N/A</v>
      </c>
      <c r="D1406" s="1" t="e">
        <f>VLOOKUP(Tabla_Items_Activos[[#This Row],[CODIGO]],Tabla_Items_Completos[[CODIGO]:[LINEA]],3,0)</f>
        <v>#N/A</v>
      </c>
      <c r="E1406" s="1" t="e">
        <f>VLOOKUP(Tabla_Items_Activos[[#This Row],[CODIGO]],Tabla_Items_Completos[[CODIGO]:[LINEA]],4,0)</f>
        <v>#N/A</v>
      </c>
      <c r="F1406">
        <v>568</v>
      </c>
      <c r="G1406">
        <v>0</v>
      </c>
    </row>
    <row r="1407" spans="1:7">
      <c r="A1407" t="s">
        <v>7388</v>
      </c>
      <c r="B1407" t="s">
        <v>8794</v>
      </c>
      <c r="C1407" s="1" t="e">
        <f>VLOOKUP(Tabla_Items_Activos[[#This Row],[CODIGO]],Tabla_Items_Completos[[CODIGO]:[LINEA]],2,0)</f>
        <v>#N/A</v>
      </c>
      <c r="D1407" s="1" t="e">
        <f>VLOOKUP(Tabla_Items_Activos[[#This Row],[CODIGO]],Tabla_Items_Completos[[CODIGO]:[LINEA]],3,0)</f>
        <v>#N/A</v>
      </c>
      <c r="E1407" s="1" t="e">
        <f>VLOOKUP(Tabla_Items_Activos[[#This Row],[CODIGO]],Tabla_Items_Completos[[CODIGO]:[LINEA]],4,0)</f>
        <v>#N/A</v>
      </c>
      <c r="F1407">
        <v>267</v>
      </c>
      <c r="G1407">
        <v>0</v>
      </c>
    </row>
    <row r="1408" spans="1:7">
      <c r="A1408" t="s">
        <v>7388</v>
      </c>
      <c r="B1408" t="s">
        <v>8795</v>
      </c>
      <c r="C1408" s="1" t="e">
        <f>VLOOKUP(Tabla_Items_Activos[[#This Row],[CODIGO]],Tabla_Items_Completos[[CODIGO]:[LINEA]],2,0)</f>
        <v>#N/A</v>
      </c>
      <c r="D1408" s="1" t="e">
        <f>VLOOKUP(Tabla_Items_Activos[[#This Row],[CODIGO]],Tabla_Items_Completos[[CODIGO]:[LINEA]],3,0)</f>
        <v>#N/A</v>
      </c>
      <c r="E1408" s="1" t="e">
        <f>VLOOKUP(Tabla_Items_Activos[[#This Row],[CODIGO]],Tabla_Items_Completos[[CODIGO]:[LINEA]],4,0)</f>
        <v>#N/A</v>
      </c>
      <c r="F1408">
        <v>226</v>
      </c>
      <c r="G1408">
        <v>42</v>
      </c>
    </row>
    <row r="1409" spans="1:7">
      <c r="A1409" t="s">
        <v>7388</v>
      </c>
      <c r="B1409" t="s">
        <v>8796</v>
      </c>
      <c r="C1409" s="1" t="e">
        <f>VLOOKUP(Tabla_Items_Activos[[#This Row],[CODIGO]],Tabla_Items_Completos[[CODIGO]:[LINEA]],2,0)</f>
        <v>#N/A</v>
      </c>
      <c r="D1409" s="1" t="e">
        <f>VLOOKUP(Tabla_Items_Activos[[#This Row],[CODIGO]],Tabla_Items_Completos[[CODIGO]:[LINEA]],3,0)</f>
        <v>#N/A</v>
      </c>
      <c r="E1409" s="1" t="e">
        <f>VLOOKUP(Tabla_Items_Activos[[#This Row],[CODIGO]],Tabla_Items_Completos[[CODIGO]:[LINEA]],4,0)</f>
        <v>#N/A</v>
      </c>
      <c r="F1409">
        <v>146</v>
      </c>
      <c r="G1409">
        <v>0</v>
      </c>
    </row>
    <row r="1410" spans="1:7">
      <c r="A1410" t="s">
        <v>7388</v>
      </c>
      <c r="B1410" t="s">
        <v>8797</v>
      </c>
      <c r="C1410" s="1" t="e">
        <f>VLOOKUP(Tabla_Items_Activos[[#This Row],[CODIGO]],Tabla_Items_Completos[[CODIGO]:[LINEA]],2,0)</f>
        <v>#N/A</v>
      </c>
      <c r="D1410" s="1" t="e">
        <f>VLOOKUP(Tabla_Items_Activos[[#This Row],[CODIGO]],Tabla_Items_Completos[[CODIGO]:[LINEA]],3,0)</f>
        <v>#N/A</v>
      </c>
      <c r="E1410" s="1" t="e">
        <f>VLOOKUP(Tabla_Items_Activos[[#This Row],[CODIGO]],Tabla_Items_Completos[[CODIGO]:[LINEA]],4,0)</f>
        <v>#N/A</v>
      </c>
      <c r="F1410">
        <v>87</v>
      </c>
      <c r="G1410">
        <v>29</v>
      </c>
    </row>
    <row r="1411" spans="1:7">
      <c r="A1411" t="s">
        <v>7388</v>
      </c>
      <c r="B1411" t="s">
        <v>8798</v>
      </c>
      <c r="C1411" s="1" t="e">
        <f>VLOOKUP(Tabla_Items_Activos[[#This Row],[CODIGO]],Tabla_Items_Completos[[CODIGO]:[LINEA]],2,0)</f>
        <v>#N/A</v>
      </c>
      <c r="D1411" s="1" t="e">
        <f>VLOOKUP(Tabla_Items_Activos[[#This Row],[CODIGO]],Tabla_Items_Completos[[CODIGO]:[LINEA]],3,0)</f>
        <v>#N/A</v>
      </c>
      <c r="E1411" s="1" t="e">
        <f>VLOOKUP(Tabla_Items_Activos[[#This Row],[CODIGO]],Tabla_Items_Completos[[CODIGO]:[LINEA]],4,0)</f>
        <v>#N/A</v>
      </c>
      <c r="F1411">
        <v>321</v>
      </c>
      <c r="G1411">
        <v>0</v>
      </c>
    </row>
    <row r="1412" spans="1:7">
      <c r="A1412" t="s">
        <v>7388</v>
      </c>
      <c r="B1412" t="s">
        <v>8799</v>
      </c>
      <c r="C1412" s="1" t="e">
        <f>VLOOKUP(Tabla_Items_Activos[[#This Row],[CODIGO]],Tabla_Items_Completos[[CODIGO]:[LINEA]],2,0)</f>
        <v>#N/A</v>
      </c>
      <c r="D1412" s="1" t="e">
        <f>VLOOKUP(Tabla_Items_Activos[[#This Row],[CODIGO]],Tabla_Items_Completos[[CODIGO]:[LINEA]],3,0)</f>
        <v>#N/A</v>
      </c>
      <c r="E1412" s="1" t="e">
        <f>VLOOKUP(Tabla_Items_Activos[[#This Row],[CODIGO]],Tabla_Items_Completos[[CODIGO]:[LINEA]],4,0)</f>
        <v>#N/A</v>
      </c>
      <c r="F1412">
        <v>1575</v>
      </c>
      <c r="G1412">
        <v>179</v>
      </c>
    </row>
    <row r="1413" spans="1:7">
      <c r="A1413" t="s">
        <v>7388</v>
      </c>
      <c r="B1413" t="s">
        <v>8800</v>
      </c>
      <c r="C1413" s="1" t="e">
        <f>VLOOKUP(Tabla_Items_Activos[[#This Row],[CODIGO]],Tabla_Items_Completos[[CODIGO]:[LINEA]],2,0)</f>
        <v>#N/A</v>
      </c>
      <c r="D1413" s="1" t="e">
        <f>VLOOKUP(Tabla_Items_Activos[[#This Row],[CODIGO]],Tabla_Items_Completos[[CODIGO]:[LINEA]],3,0)</f>
        <v>#N/A</v>
      </c>
      <c r="E1413" s="1" t="e">
        <f>VLOOKUP(Tabla_Items_Activos[[#This Row],[CODIGO]],Tabla_Items_Completos[[CODIGO]:[LINEA]],4,0)</f>
        <v>#N/A</v>
      </c>
      <c r="F1413">
        <v>1471</v>
      </c>
      <c r="G1413">
        <v>233</v>
      </c>
    </row>
    <row r="1414" spans="1:7">
      <c r="A1414" t="s">
        <v>7388</v>
      </c>
      <c r="B1414" t="s">
        <v>8801</v>
      </c>
      <c r="C1414" s="1" t="e">
        <f>VLOOKUP(Tabla_Items_Activos[[#This Row],[CODIGO]],Tabla_Items_Completos[[CODIGO]:[LINEA]],2,0)</f>
        <v>#N/A</v>
      </c>
      <c r="D1414" s="1" t="e">
        <f>VLOOKUP(Tabla_Items_Activos[[#This Row],[CODIGO]],Tabla_Items_Completos[[CODIGO]:[LINEA]],3,0)</f>
        <v>#N/A</v>
      </c>
      <c r="E1414" s="1" t="e">
        <f>VLOOKUP(Tabla_Items_Activos[[#This Row],[CODIGO]],Tabla_Items_Completos[[CODIGO]:[LINEA]],4,0)</f>
        <v>#N/A</v>
      </c>
      <c r="F1414">
        <v>1266</v>
      </c>
      <c r="G1414">
        <v>0</v>
      </c>
    </row>
    <row r="1415" spans="1:7">
      <c r="A1415" t="s">
        <v>7388</v>
      </c>
      <c r="B1415" t="s">
        <v>8802</v>
      </c>
      <c r="C1415" s="1" t="e">
        <f>VLOOKUP(Tabla_Items_Activos[[#This Row],[CODIGO]],Tabla_Items_Completos[[CODIGO]:[LINEA]],2,0)</f>
        <v>#N/A</v>
      </c>
      <c r="D1415" s="1" t="e">
        <f>VLOOKUP(Tabla_Items_Activos[[#This Row],[CODIGO]],Tabla_Items_Completos[[CODIGO]:[LINEA]],3,0)</f>
        <v>#N/A</v>
      </c>
      <c r="E1415" s="1" t="e">
        <f>VLOOKUP(Tabla_Items_Activos[[#This Row],[CODIGO]],Tabla_Items_Completos[[CODIGO]:[LINEA]],4,0)</f>
        <v>#N/A</v>
      </c>
      <c r="F1415">
        <v>1229</v>
      </c>
      <c r="G1415">
        <v>322</v>
      </c>
    </row>
    <row r="1416" spans="1:7">
      <c r="A1416" t="s">
        <v>7388</v>
      </c>
      <c r="B1416" t="s">
        <v>8803</v>
      </c>
      <c r="C1416" s="1" t="e">
        <f>VLOOKUP(Tabla_Items_Activos[[#This Row],[CODIGO]],Tabla_Items_Completos[[CODIGO]:[LINEA]],2,0)</f>
        <v>#N/A</v>
      </c>
      <c r="D1416" s="1" t="e">
        <f>VLOOKUP(Tabla_Items_Activos[[#This Row],[CODIGO]],Tabla_Items_Completos[[CODIGO]:[LINEA]],3,0)</f>
        <v>#N/A</v>
      </c>
      <c r="E1416" s="1" t="e">
        <f>VLOOKUP(Tabla_Items_Activos[[#This Row],[CODIGO]],Tabla_Items_Completos[[CODIGO]:[LINEA]],4,0)</f>
        <v>#N/A</v>
      </c>
      <c r="F1416">
        <v>1129</v>
      </c>
      <c r="G1416">
        <v>0</v>
      </c>
    </row>
    <row r="1417" spans="1:7">
      <c r="A1417" t="s">
        <v>7388</v>
      </c>
      <c r="B1417" t="s">
        <v>8804</v>
      </c>
      <c r="C1417" s="1" t="e">
        <f>VLOOKUP(Tabla_Items_Activos[[#This Row],[CODIGO]],Tabla_Items_Completos[[CODIGO]:[LINEA]],2,0)</f>
        <v>#N/A</v>
      </c>
      <c r="D1417" s="1" t="e">
        <f>VLOOKUP(Tabla_Items_Activos[[#This Row],[CODIGO]],Tabla_Items_Completos[[CODIGO]:[LINEA]],3,0)</f>
        <v>#N/A</v>
      </c>
      <c r="E1417" s="1" t="e">
        <f>VLOOKUP(Tabla_Items_Activos[[#This Row],[CODIGO]],Tabla_Items_Completos[[CODIGO]:[LINEA]],4,0)</f>
        <v>#N/A</v>
      </c>
      <c r="F1417">
        <v>1350</v>
      </c>
      <c r="G1417">
        <v>0</v>
      </c>
    </row>
    <row r="1418" spans="1:7">
      <c r="A1418" t="s">
        <v>7388</v>
      </c>
      <c r="B1418" t="s">
        <v>8805</v>
      </c>
      <c r="C1418" s="1" t="e">
        <f>VLOOKUP(Tabla_Items_Activos[[#This Row],[CODIGO]],Tabla_Items_Completos[[CODIGO]:[LINEA]],2,0)</f>
        <v>#N/A</v>
      </c>
      <c r="D1418" s="1" t="e">
        <f>VLOOKUP(Tabla_Items_Activos[[#This Row],[CODIGO]],Tabla_Items_Completos[[CODIGO]:[LINEA]],3,0)</f>
        <v>#N/A</v>
      </c>
      <c r="E1418" s="1" t="e">
        <f>VLOOKUP(Tabla_Items_Activos[[#This Row],[CODIGO]],Tabla_Items_Completos[[CODIGO]:[LINEA]],4,0)</f>
        <v>#N/A</v>
      </c>
      <c r="F1418">
        <v>1639</v>
      </c>
      <c r="G1418">
        <v>194</v>
      </c>
    </row>
    <row r="1419" spans="1:7">
      <c r="A1419" t="s">
        <v>7388</v>
      </c>
      <c r="B1419" t="s">
        <v>8806</v>
      </c>
      <c r="C1419" s="1" t="e">
        <f>VLOOKUP(Tabla_Items_Activos[[#This Row],[CODIGO]],Tabla_Items_Completos[[CODIGO]:[LINEA]],2,0)</f>
        <v>#N/A</v>
      </c>
      <c r="D1419" s="1" t="e">
        <f>VLOOKUP(Tabla_Items_Activos[[#This Row],[CODIGO]],Tabla_Items_Completos[[CODIGO]:[LINEA]],3,0)</f>
        <v>#N/A</v>
      </c>
      <c r="E1419" s="1" t="e">
        <f>VLOOKUP(Tabla_Items_Activos[[#This Row],[CODIGO]],Tabla_Items_Completos[[CODIGO]:[LINEA]],4,0)</f>
        <v>#N/A</v>
      </c>
      <c r="F1419">
        <v>521</v>
      </c>
      <c r="G1419">
        <v>654</v>
      </c>
    </row>
    <row r="1420" spans="1:7">
      <c r="A1420" t="s">
        <v>7388</v>
      </c>
      <c r="B1420" t="s">
        <v>8807</v>
      </c>
      <c r="C1420" s="1" t="e">
        <f>VLOOKUP(Tabla_Items_Activos[[#This Row],[CODIGO]],Tabla_Items_Completos[[CODIGO]:[LINEA]],2,0)</f>
        <v>#N/A</v>
      </c>
      <c r="D1420" s="1" t="e">
        <f>VLOOKUP(Tabla_Items_Activos[[#This Row],[CODIGO]],Tabla_Items_Completos[[CODIGO]:[LINEA]],3,0)</f>
        <v>#N/A</v>
      </c>
      <c r="E1420" s="1" t="e">
        <f>VLOOKUP(Tabla_Items_Activos[[#This Row],[CODIGO]],Tabla_Items_Completos[[CODIGO]:[LINEA]],4,0)</f>
        <v>#N/A</v>
      </c>
      <c r="F1420">
        <v>405</v>
      </c>
      <c r="G1420">
        <v>82</v>
      </c>
    </row>
    <row r="1421" spans="1:7">
      <c r="A1421" t="s">
        <v>7388</v>
      </c>
      <c r="B1421" t="s">
        <v>8808</v>
      </c>
      <c r="C1421" s="1" t="e">
        <f>VLOOKUP(Tabla_Items_Activos[[#This Row],[CODIGO]],Tabla_Items_Completos[[CODIGO]:[LINEA]],2,0)</f>
        <v>#N/A</v>
      </c>
      <c r="D1421" s="1" t="e">
        <f>VLOOKUP(Tabla_Items_Activos[[#This Row],[CODIGO]],Tabla_Items_Completos[[CODIGO]:[LINEA]],3,0)</f>
        <v>#N/A</v>
      </c>
      <c r="E1421" s="1" t="e">
        <f>VLOOKUP(Tabla_Items_Activos[[#This Row],[CODIGO]],Tabla_Items_Completos[[CODIGO]:[LINEA]],4,0)</f>
        <v>#N/A</v>
      </c>
      <c r="F1421">
        <v>316</v>
      </c>
      <c r="G1421">
        <v>79</v>
      </c>
    </row>
    <row r="1422" spans="1:7">
      <c r="A1422" t="s">
        <v>7388</v>
      </c>
      <c r="B1422" t="s">
        <v>8809</v>
      </c>
      <c r="C1422" s="1" t="e">
        <f>VLOOKUP(Tabla_Items_Activos[[#This Row],[CODIGO]],Tabla_Items_Completos[[CODIGO]:[LINEA]],2,0)</f>
        <v>#N/A</v>
      </c>
      <c r="D1422" s="1" t="e">
        <f>VLOOKUP(Tabla_Items_Activos[[#This Row],[CODIGO]],Tabla_Items_Completos[[CODIGO]:[LINEA]],3,0)</f>
        <v>#N/A</v>
      </c>
      <c r="E1422" s="1" t="e">
        <f>VLOOKUP(Tabla_Items_Activos[[#This Row],[CODIGO]],Tabla_Items_Completos[[CODIGO]:[LINEA]],4,0)</f>
        <v>#N/A</v>
      </c>
      <c r="F1422">
        <v>2941</v>
      </c>
      <c r="G1422">
        <v>1100</v>
      </c>
    </row>
    <row r="1423" spans="1:7">
      <c r="A1423" t="s">
        <v>7388</v>
      </c>
      <c r="B1423" t="s">
        <v>8810</v>
      </c>
      <c r="C1423" s="1" t="e">
        <f>VLOOKUP(Tabla_Items_Activos[[#This Row],[CODIGO]],Tabla_Items_Completos[[CODIGO]:[LINEA]],2,0)</f>
        <v>#N/A</v>
      </c>
      <c r="D1423" s="1" t="e">
        <f>VLOOKUP(Tabla_Items_Activos[[#This Row],[CODIGO]],Tabla_Items_Completos[[CODIGO]:[LINEA]],3,0)</f>
        <v>#N/A</v>
      </c>
      <c r="E1423" s="1" t="e">
        <f>VLOOKUP(Tabla_Items_Activos[[#This Row],[CODIGO]],Tabla_Items_Completos[[CODIGO]:[LINEA]],4,0)</f>
        <v>#N/A</v>
      </c>
      <c r="F1423">
        <v>1418</v>
      </c>
      <c r="G1423">
        <v>5</v>
      </c>
    </row>
    <row r="1424" spans="1:7">
      <c r="A1424" t="s">
        <v>7388</v>
      </c>
      <c r="B1424" t="s">
        <v>8811</v>
      </c>
      <c r="C1424" s="1" t="e">
        <f>VLOOKUP(Tabla_Items_Activos[[#This Row],[CODIGO]],Tabla_Items_Completos[[CODIGO]:[LINEA]],2,0)</f>
        <v>#N/A</v>
      </c>
      <c r="D1424" s="1" t="e">
        <f>VLOOKUP(Tabla_Items_Activos[[#This Row],[CODIGO]],Tabla_Items_Completos[[CODIGO]:[LINEA]],3,0)</f>
        <v>#N/A</v>
      </c>
      <c r="E1424" s="1" t="e">
        <f>VLOOKUP(Tabla_Items_Activos[[#This Row],[CODIGO]],Tabla_Items_Completos[[CODIGO]:[LINEA]],4,0)</f>
        <v>#N/A</v>
      </c>
      <c r="F1424">
        <v>578</v>
      </c>
      <c r="G1424">
        <v>33</v>
      </c>
    </row>
    <row r="1425" spans="1:7">
      <c r="A1425" t="s">
        <v>7388</v>
      </c>
      <c r="B1425" t="s">
        <v>8812</v>
      </c>
      <c r="C1425" s="1" t="e">
        <f>VLOOKUP(Tabla_Items_Activos[[#This Row],[CODIGO]],Tabla_Items_Completos[[CODIGO]:[LINEA]],2,0)</f>
        <v>#N/A</v>
      </c>
      <c r="D1425" s="1" t="e">
        <f>VLOOKUP(Tabla_Items_Activos[[#This Row],[CODIGO]],Tabla_Items_Completos[[CODIGO]:[LINEA]],3,0)</f>
        <v>#N/A</v>
      </c>
      <c r="E1425" s="1" t="e">
        <f>VLOOKUP(Tabla_Items_Activos[[#This Row],[CODIGO]],Tabla_Items_Completos[[CODIGO]:[LINEA]],4,0)</f>
        <v>#N/A</v>
      </c>
      <c r="F1425">
        <v>473</v>
      </c>
      <c r="G1425">
        <v>191</v>
      </c>
    </row>
    <row r="1426" spans="1:7">
      <c r="A1426" t="s">
        <v>7388</v>
      </c>
      <c r="B1426" t="s">
        <v>8813</v>
      </c>
      <c r="C1426" s="1" t="e">
        <f>VLOOKUP(Tabla_Items_Activos[[#This Row],[CODIGO]],Tabla_Items_Completos[[CODIGO]:[LINEA]],2,0)</f>
        <v>#N/A</v>
      </c>
      <c r="D1426" s="1" t="e">
        <f>VLOOKUP(Tabla_Items_Activos[[#This Row],[CODIGO]],Tabla_Items_Completos[[CODIGO]:[LINEA]],3,0)</f>
        <v>#N/A</v>
      </c>
      <c r="E1426" s="1" t="e">
        <f>VLOOKUP(Tabla_Items_Activos[[#This Row],[CODIGO]],Tabla_Items_Completos[[CODIGO]:[LINEA]],4,0)</f>
        <v>#N/A</v>
      </c>
      <c r="F1426">
        <v>389</v>
      </c>
      <c r="G1426">
        <v>0</v>
      </c>
    </row>
    <row r="1427" spans="1:7">
      <c r="A1427" t="s">
        <v>7388</v>
      </c>
      <c r="B1427" t="s">
        <v>8814</v>
      </c>
      <c r="C1427" s="1" t="e">
        <f>VLOOKUP(Tabla_Items_Activos[[#This Row],[CODIGO]],Tabla_Items_Completos[[CODIGO]:[LINEA]],2,0)</f>
        <v>#N/A</v>
      </c>
      <c r="D1427" s="1" t="e">
        <f>VLOOKUP(Tabla_Items_Activos[[#This Row],[CODIGO]],Tabla_Items_Completos[[CODIGO]:[LINEA]],3,0)</f>
        <v>#N/A</v>
      </c>
      <c r="E1427" s="1" t="e">
        <f>VLOOKUP(Tabla_Items_Activos[[#This Row],[CODIGO]],Tabla_Items_Completos[[CODIGO]:[LINEA]],4,0)</f>
        <v>#N/A</v>
      </c>
      <c r="F1427">
        <v>164</v>
      </c>
      <c r="G1427">
        <v>5</v>
      </c>
    </row>
    <row r="1428" spans="1:7">
      <c r="A1428" t="s">
        <v>7388</v>
      </c>
      <c r="B1428" t="s">
        <v>8815</v>
      </c>
      <c r="C1428" s="1" t="e">
        <f>VLOOKUP(Tabla_Items_Activos[[#This Row],[CODIGO]],Tabla_Items_Completos[[CODIGO]:[LINEA]],2,0)</f>
        <v>#N/A</v>
      </c>
      <c r="D1428" s="1" t="e">
        <f>VLOOKUP(Tabla_Items_Activos[[#This Row],[CODIGO]],Tabla_Items_Completos[[CODIGO]:[LINEA]],3,0)</f>
        <v>#N/A</v>
      </c>
      <c r="E1428" s="1" t="e">
        <f>VLOOKUP(Tabla_Items_Activos[[#This Row],[CODIGO]],Tabla_Items_Completos[[CODIGO]:[LINEA]],4,0)</f>
        <v>#N/A</v>
      </c>
      <c r="F1428">
        <v>164</v>
      </c>
      <c r="G1428">
        <v>0</v>
      </c>
    </row>
    <row r="1429" spans="1:7">
      <c r="A1429" t="s">
        <v>7388</v>
      </c>
      <c r="B1429" t="s">
        <v>8816</v>
      </c>
      <c r="C1429" s="1" t="e">
        <f>VLOOKUP(Tabla_Items_Activos[[#This Row],[CODIGO]],Tabla_Items_Completos[[CODIGO]:[LINEA]],2,0)</f>
        <v>#N/A</v>
      </c>
      <c r="D1429" s="1" t="e">
        <f>VLOOKUP(Tabla_Items_Activos[[#This Row],[CODIGO]],Tabla_Items_Completos[[CODIGO]:[LINEA]],3,0)</f>
        <v>#N/A</v>
      </c>
      <c r="E1429" s="1" t="e">
        <f>VLOOKUP(Tabla_Items_Activos[[#This Row],[CODIGO]],Tabla_Items_Completos[[CODIGO]:[LINEA]],4,0)</f>
        <v>#N/A</v>
      </c>
      <c r="F1429">
        <v>260</v>
      </c>
      <c r="G1429">
        <v>16</v>
      </c>
    </row>
    <row r="1430" spans="1:7">
      <c r="A1430" t="s">
        <v>7388</v>
      </c>
      <c r="B1430" t="s">
        <v>8817</v>
      </c>
      <c r="C1430" s="1" t="e">
        <f>VLOOKUP(Tabla_Items_Activos[[#This Row],[CODIGO]],Tabla_Items_Completos[[CODIGO]:[LINEA]],2,0)</f>
        <v>#N/A</v>
      </c>
      <c r="D1430" s="1" t="e">
        <f>VLOOKUP(Tabla_Items_Activos[[#This Row],[CODIGO]],Tabla_Items_Completos[[CODIGO]:[LINEA]],3,0)</f>
        <v>#N/A</v>
      </c>
      <c r="E1430" s="1" t="e">
        <f>VLOOKUP(Tabla_Items_Activos[[#This Row],[CODIGO]],Tabla_Items_Completos[[CODIGO]:[LINEA]],4,0)</f>
        <v>#N/A</v>
      </c>
      <c r="F1430">
        <v>113</v>
      </c>
      <c r="G1430">
        <v>0</v>
      </c>
    </row>
    <row r="1431" spans="1:7">
      <c r="A1431" t="s">
        <v>7388</v>
      </c>
      <c r="B1431" t="s">
        <v>8818</v>
      </c>
      <c r="C1431" s="1" t="e">
        <f>VLOOKUP(Tabla_Items_Activos[[#This Row],[CODIGO]],Tabla_Items_Completos[[CODIGO]:[LINEA]],2,0)</f>
        <v>#N/A</v>
      </c>
      <c r="D1431" s="1" t="e">
        <f>VLOOKUP(Tabla_Items_Activos[[#This Row],[CODIGO]],Tabla_Items_Completos[[CODIGO]:[LINEA]],3,0)</f>
        <v>#N/A</v>
      </c>
      <c r="E1431" s="1" t="e">
        <f>VLOOKUP(Tabla_Items_Activos[[#This Row],[CODIGO]],Tabla_Items_Completos[[CODIGO]:[LINEA]],4,0)</f>
        <v>#N/A</v>
      </c>
      <c r="F1431">
        <v>179</v>
      </c>
      <c r="G1431">
        <v>0</v>
      </c>
    </row>
    <row r="1432" spans="1:7">
      <c r="A1432" t="s">
        <v>7388</v>
      </c>
      <c r="B1432" t="s">
        <v>8819</v>
      </c>
      <c r="C1432" s="1" t="e">
        <f>VLOOKUP(Tabla_Items_Activos[[#This Row],[CODIGO]],Tabla_Items_Completos[[CODIGO]:[LINEA]],2,0)</f>
        <v>#N/A</v>
      </c>
      <c r="D1432" s="1" t="e">
        <f>VLOOKUP(Tabla_Items_Activos[[#This Row],[CODIGO]],Tabla_Items_Completos[[CODIGO]:[LINEA]],3,0)</f>
        <v>#N/A</v>
      </c>
      <c r="E1432" s="1" t="e">
        <f>VLOOKUP(Tabla_Items_Activos[[#This Row],[CODIGO]],Tabla_Items_Completos[[CODIGO]:[LINEA]],4,0)</f>
        <v>#N/A</v>
      </c>
      <c r="F1432">
        <v>96</v>
      </c>
      <c r="G1432">
        <v>0</v>
      </c>
    </row>
    <row r="1433" spans="1:7">
      <c r="A1433" t="s">
        <v>7388</v>
      </c>
      <c r="B1433" t="s">
        <v>8820</v>
      </c>
      <c r="C1433" s="1" t="e">
        <f>VLOOKUP(Tabla_Items_Activos[[#This Row],[CODIGO]],Tabla_Items_Completos[[CODIGO]:[LINEA]],2,0)</f>
        <v>#N/A</v>
      </c>
      <c r="D1433" s="1" t="e">
        <f>VLOOKUP(Tabla_Items_Activos[[#This Row],[CODIGO]],Tabla_Items_Completos[[CODIGO]:[LINEA]],3,0)</f>
        <v>#N/A</v>
      </c>
      <c r="E1433" s="1" t="e">
        <f>VLOOKUP(Tabla_Items_Activos[[#This Row],[CODIGO]],Tabla_Items_Completos[[CODIGO]:[LINEA]],4,0)</f>
        <v>#N/A</v>
      </c>
      <c r="F1433">
        <v>122</v>
      </c>
      <c r="G1433">
        <v>44</v>
      </c>
    </row>
    <row r="1434" spans="1:7">
      <c r="A1434" t="s">
        <v>7388</v>
      </c>
      <c r="B1434" t="s">
        <v>8821</v>
      </c>
      <c r="C1434" s="1" t="e">
        <f>VLOOKUP(Tabla_Items_Activos[[#This Row],[CODIGO]],Tabla_Items_Completos[[CODIGO]:[LINEA]],2,0)</f>
        <v>#N/A</v>
      </c>
      <c r="D1434" s="1" t="e">
        <f>VLOOKUP(Tabla_Items_Activos[[#This Row],[CODIGO]],Tabla_Items_Completos[[CODIGO]:[LINEA]],3,0)</f>
        <v>#N/A</v>
      </c>
      <c r="E1434" s="1" t="e">
        <f>VLOOKUP(Tabla_Items_Activos[[#This Row],[CODIGO]],Tabla_Items_Completos[[CODIGO]:[LINEA]],4,0)</f>
        <v>#N/A</v>
      </c>
      <c r="F1434">
        <v>153</v>
      </c>
      <c r="G1434">
        <v>0</v>
      </c>
    </row>
    <row r="1435" spans="1:7">
      <c r="A1435" t="s">
        <v>7388</v>
      </c>
      <c r="B1435" t="s">
        <v>8822</v>
      </c>
      <c r="C1435" s="1" t="e">
        <f>VLOOKUP(Tabla_Items_Activos[[#This Row],[CODIGO]],Tabla_Items_Completos[[CODIGO]:[LINEA]],2,0)</f>
        <v>#N/A</v>
      </c>
      <c r="D1435" s="1" t="e">
        <f>VLOOKUP(Tabla_Items_Activos[[#This Row],[CODIGO]],Tabla_Items_Completos[[CODIGO]:[LINEA]],3,0)</f>
        <v>#N/A</v>
      </c>
      <c r="E1435" s="1" t="e">
        <f>VLOOKUP(Tabla_Items_Activos[[#This Row],[CODIGO]],Tabla_Items_Completos[[CODIGO]:[LINEA]],4,0)</f>
        <v>#N/A</v>
      </c>
      <c r="F1435">
        <v>72</v>
      </c>
      <c r="G1435">
        <v>20</v>
      </c>
    </row>
    <row r="1436" spans="1:7">
      <c r="A1436" t="s">
        <v>7388</v>
      </c>
      <c r="B1436" t="s">
        <v>8823</v>
      </c>
      <c r="C1436" s="1" t="e">
        <f>VLOOKUP(Tabla_Items_Activos[[#This Row],[CODIGO]],Tabla_Items_Completos[[CODIGO]:[LINEA]],2,0)</f>
        <v>#N/A</v>
      </c>
      <c r="D1436" s="1" t="e">
        <f>VLOOKUP(Tabla_Items_Activos[[#This Row],[CODIGO]],Tabla_Items_Completos[[CODIGO]:[LINEA]],3,0)</f>
        <v>#N/A</v>
      </c>
      <c r="E1436" s="1" t="e">
        <f>VLOOKUP(Tabla_Items_Activos[[#This Row],[CODIGO]],Tabla_Items_Completos[[CODIGO]:[LINEA]],4,0)</f>
        <v>#N/A</v>
      </c>
      <c r="F1436">
        <v>17</v>
      </c>
      <c r="G1436">
        <v>32</v>
      </c>
    </row>
    <row r="1437" spans="1:7">
      <c r="A1437" t="s">
        <v>7388</v>
      </c>
      <c r="B1437" t="s">
        <v>8824</v>
      </c>
      <c r="C1437" s="1" t="e">
        <f>VLOOKUP(Tabla_Items_Activos[[#This Row],[CODIGO]],Tabla_Items_Completos[[CODIGO]:[LINEA]],2,0)</f>
        <v>#N/A</v>
      </c>
      <c r="D1437" s="1" t="e">
        <f>VLOOKUP(Tabla_Items_Activos[[#This Row],[CODIGO]],Tabla_Items_Completos[[CODIGO]:[LINEA]],3,0)</f>
        <v>#N/A</v>
      </c>
      <c r="E1437" s="1" t="e">
        <f>VLOOKUP(Tabla_Items_Activos[[#This Row],[CODIGO]],Tabla_Items_Completos[[CODIGO]:[LINEA]],4,0)</f>
        <v>#N/A</v>
      </c>
      <c r="F1437">
        <v>12</v>
      </c>
      <c r="G1437">
        <v>37</v>
      </c>
    </row>
    <row r="1438" spans="1:7">
      <c r="A1438" t="s">
        <v>7388</v>
      </c>
      <c r="B1438" t="s">
        <v>8825</v>
      </c>
      <c r="C1438" s="1" t="e">
        <f>VLOOKUP(Tabla_Items_Activos[[#This Row],[CODIGO]],Tabla_Items_Completos[[CODIGO]:[LINEA]],2,0)</f>
        <v>#N/A</v>
      </c>
      <c r="D1438" s="1" t="e">
        <f>VLOOKUP(Tabla_Items_Activos[[#This Row],[CODIGO]],Tabla_Items_Completos[[CODIGO]:[LINEA]],3,0)</f>
        <v>#N/A</v>
      </c>
      <c r="E1438" s="1" t="e">
        <f>VLOOKUP(Tabla_Items_Activos[[#This Row],[CODIGO]],Tabla_Items_Completos[[CODIGO]:[LINEA]],4,0)</f>
        <v>#N/A</v>
      </c>
      <c r="F1438">
        <v>8</v>
      </c>
      <c r="G1438">
        <v>34</v>
      </c>
    </row>
    <row r="1439" spans="1:7">
      <c r="A1439" t="s">
        <v>7388</v>
      </c>
      <c r="B1439" t="s">
        <v>8826</v>
      </c>
      <c r="C1439" s="1" t="e">
        <f>VLOOKUP(Tabla_Items_Activos[[#This Row],[CODIGO]],Tabla_Items_Completos[[CODIGO]:[LINEA]],2,0)</f>
        <v>#N/A</v>
      </c>
      <c r="D1439" s="1" t="e">
        <f>VLOOKUP(Tabla_Items_Activos[[#This Row],[CODIGO]],Tabla_Items_Completos[[CODIGO]:[LINEA]],3,0)</f>
        <v>#N/A</v>
      </c>
      <c r="E1439" s="1" t="e">
        <f>VLOOKUP(Tabla_Items_Activos[[#This Row],[CODIGO]],Tabla_Items_Completos[[CODIGO]:[LINEA]],4,0)</f>
        <v>#N/A</v>
      </c>
      <c r="F1439">
        <v>426</v>
      </c>
      <c r="G1439">
        <v>254</v>
      </c>
    </row>
    <row r="1440" spans="1:7">
      <c r="A1440" t="s">
        <v>7388</v>
      </c>
      <c r="B1440" t="s">
        <v>8827</v>
      </c>
      <c r="C1440" s="1" t="e">
        <f>VLOOKUP(Tabla_Items_Activos[[#This Row],[CODIGO]],Tabla_Items_Completos[[CODIGO]:[LINEA]],2,0)</f>
        <v>#N/A</v>
      </c>
      <c r="D1440" s="1" t="e">
        <f>VLOOKUP(Tabla_Items_Activos[[#This Row],[CODIGO]],Tabla_Items_Completos[[CODIGO]:[LINEA]],3,0)</f>
        <v>#N/A</v>
      </c>
      <c r="E1440" s="1" t="e">
        <f>VLOOKUP(Tabla_Items_Activos[[#This Row],[CODIGO]],Tabla_Items_Completos[[CODIGO]:[LINEA]],4,0)</f>
        <v>#N/A</v>
      </c>
      <c r="F1440">
        <v>232</v>
      </c>
      <c r="G1440">
        <v>168</v>
      </c>
    </row>
    <row r="1441" spans="1:7">
      <c r="A1441" t="s">
        <v>7388</v>
      </c>
      <c r="B1441" t="s">
        <v>8828</v>
      </c>
      <c r="C1441" s="1" t="e">
        <f>VLOOKUP(Tabla_Items_Activos[[#This Row],[CODIGO]],Tabla_Items_Completos[[CODIGO]:[LINEA]],2,0)</f>
        <v>#N/A</v>
      </c>
      <c r="D1441" s="1" t="e">
        <f>VLOOKUP(Tabla_Items_Activos[[#This Row],[CODIGO]],Tabla_Items_Completos[[CODIGO]:[LINEA]],3,0)</f>
        <v>#N/A</v>
      </c>
      <c r="E1441" s="1" t="e">
        <f>VLOOKUP(Tabla_Items_Activos[[#This Row],[CODIGO]],Tabla_Items_Completos[[CODIGO]:[LINEA]],4,0)</f>
        <v>#N/A</v>
      </c>
      <c r="F1441">
        <v>662</v>
      </c>
      <c r="G1441">
        <v>0</v>
      </c>
    </row>
    <row r="1442" spans="1:7">
      <c r="A1442" t="s">
        <v>7388</v>
      </c>
      <c r="B1442" t="s">
        <v>8829</v>
      </c>
      <c r="C1442" s="1" t="e">
        <f>VLOOKUP(Tabla_Items_Activos[[#This Row],[CODIGO]],Tabla_Items_Completos[[CODIGO]:[LINEA]],2,0)</f>
        <v>#N/A</v>
      </c>
      <c r="D1442" s="1" t="e">
        <f>VLOOKUP(Tabla_Items_Activos[[#This Row],[CODIGO]],Tabla_Items_Completos[[CODIGO]:[LINEA]],3,0)</f>
        <v>#N/A</v>
      </c>
      <c r="E1442" s="1" t="e">
        <f>VLOOKUP(Tabla_Items_Activos[[#This Row],[CODIGO]],Tabla_Items_Completos[[CODIGO]:[LINEA]],4,0)</f>
        <v>#N/A</v>
      </c>
      <c r="F1442">
        <v>837</v>
      </c>
      <c r="G1442">
        <v>0</v>
      </c>
    </row>
    <row r="1443" spans="1:7">
      <c r="A1443" t="s">
        <v>7388</v>
      </c>
      <c r="B1443" t="s">
        <v>8830</v>
      </c>
      <c r="C1443" s="1" t="e">
        <f>VLOOKUP(Tabla_Items_Activos[[#This Row],[CODIGO]],Tabla_Items_Completos[[CODIGO]:[LINEA]],2,0)</f>
        <v>#N/A</v>
      </c>
      <c r="D1443" s="1" t="e">
        <f>VLOOKUP(Tabla_Items_Activos[[#This Row],[CODIGO]],Tabla_Items_Completos[[CODIGO]:[LINEA]],3,0)</f>
        <v>#N/A</v>
      </c>
      <c r="E1443" s="1" t="e">
        <f>VLOOKUP(Tabla_Items_Activos[[#This Row],[CODIGO]],Tabla_Items_Completos[[CODIGO]:[LINEA]],4,0)</f>
        <v>#N/A</v>
      </c>
      <c r="F1443">
        <v>688</v>
      </c>
      <c r="G1443">
        <v>96</v>
      </c>
    </row>
    <row r="1444" spans="1:7">
      <c r="A1444" t="s">
        <v>7388</v>
      </c>
      <c r="B1444" t="s">
        <v>8831</v>
      </c>
      <c r="C1444" s="1" t="e">
        <f>VLOOKUP(Tabla_Items_Activos[[#This Row],[CODIGO]],Tabla_Items_Completos[[CODIGO]:[LINEA]],2,0)</f>
        <v>#N/A</v>
      </c>
      <c r="D1444" s="1" t="e">
        <f>VLOOKUP(Tabla_Items_Activos[[#This Row],[CODIGO]],Tabla_Items_Completos[[CODIGO]:[LINEA]],3,0)</f>
        <v>#N/A</v>
      </c>
      <c r="E1444" s="1" t="e">
        <f>VLOOKUP(Tabla_Items_Activos[[#This Row],[CODIGO]],Tabla_Items_Completos[[CODIGO]:[LINEA]],4,0)</f>
        <v>#N/A</v>
      </c>
      <c r="F1444">
        <v>527</v>
      </c>
      <c r="G1444">
        <v>9</v>
      </c>
    </row>
    <row r="1445" spans="1:7">
      <c r="A1445" t="s">
        <v>7388</v>
      </c>
      <c r="B1445" t="s">
        <v>8832</v>
      </c>
      <c r="C1445" s="1" t="e">
        <f>VLOOKUP(Tabla_Items_Activos[[#This Row],[CODIGO]],Tabla_Items_Completos[[CODIGO]:[LINEA]],2,0)</f>
        <v>#N/A</v>
      </c>
      <c r="D1445" s="1" t="e">
        <f>VLOOKUP(Tabla_Items_Activos[[#This Row],[CODIGO]],Tabla_Items_Completos[[CODIGO]:[LINEA]],3,0)</f>
        <v>#N/A</v>
      </c>
      <c r="E1445" s="1" t="e">
        <f>VLOOKUP(Tabla_Items_Activos[[#This Row],[CODIGO]],Tabla_Items_Completos[[CODIGO]:[LINEA]],4,0)</f>
        <v>#N/A</v>
      </c>
      <c r="F1445">
        <v>405</v>
      </c>
      <c r="G1445">
        <v>428</v>
      </c>
    </row>
    <row r="1446" spans="1:7">
      <c r="A1446" t="s">
        <v>7388</v>
      </c>
      <c r="B1446" t="s">
        <v>8833</v>
      </c>
      <c r="C1446" s="1" t="e">
        <f>VLOOKUP(Tabla_Items_Activos[[#This Row],[CODIGO]],Tabla_Items_Completos[[CODIGO]:[LINEA]],2,0)</f>
        <v>#N/A</v>
      </c>
      <c r="D1446" s="1" t="e">
        <f>VLOOKUP(Tabla_Items_Activos[[#This Row],[CODIGO]],Tabla_Items_Completos[[CODIGO]:[LINEA]],3,0)</f>
        <v>#N/A</v>
      </c>
      <c r="E1446" s="1" t="e">
        <f>VLOOKUP(Tabla_Items_Activos[[#This Row],[CODIGO]],Tabla_Items_Completos[[CODIGO]:[LINEA]],4,0)</f>
        <v>#N/A</v>
      </c>
      <c r="F1446">
        <v>468</v>
      </c>
      <c r="G1446">
        <v>259</v>
      </c>
    </row>
    <row r="1447" spans="1:7">
      <c r="A1447" t="s">
        <v>7388</v>
      </c>
      <c r="B1447" t="s">
        <v>8834</v>
      </c>
      <c r="C1447" s="1" t="e">
        <f>VLOOKUP(Tabla_Items_Activos[[#This Row],[CODIGO]],Tabla_Items_Completos[[CODIGO]:[LINEA]],2,0)</f>
        <v>#N/A</v>
      </c>
      <c r="D1447" s="1" t="e">
        <f>VLOOKUP(Tabla_Items_Activos[[#This Row],[CODIGO]],Tabla_Items_Completos[[CODIGO]:[LINEA]],3,0)</f>
        <v>#N/A</v>
      </c>
      <c r="E1447" s="1" t="e">
        <f>VLOOKUP(Tabla_Items_Activos[[#This Row],[CODIGO]],Tabla_Items_Completos[[CODIGO]:[LINEA]],4,0)</f>
        <v>#N/A</v>
      </c>
      <c r="F1447">
        <v>862</v>
      </c>
      <c r="G1447">
        <v>202</v>
      </c>
    </row>
    <row r="1448" spans="1:7">
      <c r="A1448" t="s">
        <v>7388</v>
      </c>
      <c r="B1448" t="s">
        <v>8835</v>
      </c>
      <c r="C1448" s="1" t="e">
        <f>VLOOKUP(Tabla_Items_Activos[[#This Row],[CODIGO]],Tabla_Items_Completos[[CODIGO]:[LINEA]],2,0)</f>
        <v>#N/A</v>
      </c>
      <c r="D1448" s="1" t="e">
        <f>VLOOKUP(Tabla_Items_Activos[[#This Row],[CODIGO]],Tabla_Items_Completos[[CODIGO]:[LINEA]],3,0)</f>
        <v>#N/A</v>
      </c>
      <c r="E1448" s="1" t="e">
        <f>VLOOKUP(Tabla_Items_Activos[[#This Row],[CODIGO]],Tabla_Items_Completos[[CODIGO]:[LINEA]],4,0)</f>
        <v>#N/A</v>
      </c>
      <c r="F1448">
        <v>931</v>
      </c>
      <c r="G1448">
        <v>0</v>
      </c>
    </row>
    <row r="1449" spans="1:7">
      <c r="A1449" t="s">
        <v>7388</v>
      </c>
      <c r="B1449" t="s">
        <v>8836</v>
      </c>
      <c r="C1449" s="1" t="e">
        <f>VLOOKUP(Tabla_Items_Activos[[#This Row],[CODIGO]],Tabla_Items_Completos[[CODIGO]:[LINEA]],2,0)</f>
        <v>#N/A</v>
      </c>
      <c r="D1449" s="1" t="e">
        <f>VLOOKUP(Tabla_Items_Activos[[#This Row],[CODIGO]],Tabla_Items_Completos[[CODIGO]:[LINEA]],3,0)</f>
        <v>#N/A</v>
      </c>
      <c r="E1449" s="1" t="e">
        <f>VLOOKUP(Tabla_Items_Activos[[#This Row],[CODIGO]],Tabla_Items_Completos[[CODIGO]:[LINEA]],4,0)</f>
        <v>#N/A</v>
      </c>
      <c r="F1449">
        <v>372</v>
      </c>
      <c r="G1449">
        <v>162</v>
      </c>
    </row>
    <row r="1450" spans="1:7">
      <c r="A1450" t="s">
        <v>7388</v>
      </c>
      <c r="B1450" t="s">
        <v>8837</v>
      </c>
      <c r="C1450" s="1" t="e">
        <f>VLOOKUP(Tabla_Items_Activos[[#This Row],[CODIGO]],Tabla_Items_Completos[[CODIGO]:[LINEA]],2,0)</f>
        <v>#N/A</v>
      </c>
      <c r="D1450" s="1" t="e">
        <f>VLOOKUP(Tabla_Items_Activos[[#This Row],[CODIGO]],Tabla_Items_Completos[[CODIGO]:[LINEA]],3,0)</f>
        <v>#N/A</v>
      </c>
      <c r="E1450" s="1" t="e">
        <f>VLOOKUP(Tabla_Items_Activos[[#This Row],[CODIGO]],Tabla_Items_Completos[[CODIGO]:[LINEA]],4,0)</f>
        <v>#N/A</v>
      </c>
      <c r="F1450">
        <v>369</v>
      </c>
      <c r="G1450">
        <v>179</v>
      </c>
    </row>
    <row r="1451" spans="1:7">
      <c r="A1451" t="s">
        <v>7388</v>
      </c>
      <c r="B1451" t="s">
        <v>8838</v>
      </c>
      <c r="C1451" s="1" t="e">
        <f>VLOOKUP(Tabla_Items_Activos[[#This Row],[CODIGO]],Tabla_Items_Completos[[CODIGO]:[LINEA]],2,0)</f>
        <v>#N/A</v>
      </c>
      <c r="D1451" s="1" t="e">
        <f>VLOOKUP(Tabla_Items_Activos[[#This Row],[CODIGO]],Tabla_Items_Completos[[CODIGO]:[LINEA]],3,0)</f>
        <v>#N/A</v>
      </c>
      <c r="E1451" s="1" t="e">
        <f>VLOOKUP(Tabla_Items_Activos[[#This Row],[CODIGO]],Tabla_Items_Completos[[CODIGO]:[LINEA]],4,0)</f>
        <v>#N/A</v>
      </c>
      <c r="F1451">
        <v>171</v>
      </c>
      <c r="G1451">
        <v>0</v>
      </c>
    </row>
    <row r="1452" spans="1:7">
      <c r="A1452" t="s">
        <v>7388</v>
      </c>
      <c r="B1452" t="s">
        <v>8839</v>
      </c>
      <c r="C1452" s="1" t="e">
        <f>VLOOKUP(Tabla_Items_Activos[[#This Row],[CODIGO]],Tabla_Items_Completos[[CODIGO]:[LINEA]],2,0)</f>
        <v>#N/A</v>
      </c>
      <c r="D1452" s="1" t="e">
        <f>VLOOKUP(Tabla_Items_Activos[[#This Row],[CODIGO]],Tabla_Items_Completos[[CODIGO]:[LINEA]],3,0)</f>
        <v>#N/A</v>
      </c>
      <c r="E1452" s="1" t="e">
        <f>VLOOKUP(Tabla_Items_Activos[[#This Row],[CODIGO]],Tabla_Items_Completos[[CODIGO]:[LINEA]],4,0)</f>
        <v>#N/A</v>
      </c>
      <c r="F1452">
        <v>285</v>
      </c>
      <c r="G1452">
        <v>107</v>
      </c>
    </row>
    <row r="1453" spans="1:7">
      <c r="A1453" t="s">
        <v>7388</v>
      </c>
      <c r="B1453" t="s">
        <v>8840</v>
      </c>
      <c r="C1453" s="1" t="e">
        <f>VLOOKUP(Tabla_Items_Activos[[#This Row],[CODIGO]],Tabla_Items_Completos[[CODIGO]:[LINEA]],2,0)</f>
        <v>#N/A</v>
      </c>
      <c r="D1453" s="1" t="e">
        <f>VLOOKUP(Tabla_Items_Activos[[#This Row],[CODIGO]],Tabla_Items_Completos[[CODIGO]:[LINEA]],3,0)</f>
        <v>#N/A</v>
      </c>
      <c r="E1453" s="1" t="e">
        <f>VLOOKUP(Tabla_Items_Activos[[#This Row],[CODIGO]],Tabla_Items_Completos[[CODIGO]:[LINEA]],4,0)</f>
        <v>#N/A</v>
      </c>
      <c r="F1453">
        <v>93</v>
      </c>
      <c r="G1453">
        <v>156</v>
      </c>
    </row>
    <row r="1454" spans="1:7">
      <c r="A1454" t="s">
        <v>7388</v>
      </c>
      <c r="B1454" t="s">
        <v>8841</v>
      </c>
      <c r="C1454" s="1" t="e">
        <f>VLOOKUP(Tabla_Items_Activos[[#This Row],[CODIGO]],Tabla_Items_Completos[[CODIGO]:[LINEA]],2,0)</f>
        <v>#N/A</v>
      </c>
      <c r="D1454" s="1" t="e">
        <f>VLOOKUP(Tabla_Items_Activos[[#This Row],[CODIGO]],Tabla_Items_Completos[[CODIGO]:[LINEA]],3,0)</f>
        <v>#N/A</v>
      </c>
      <c r="E1454" s="1" t="e">
        <f>VLOOKUP(Tabla_Items_Activos[[#This Row],[CODIGO]],Tabla_Items_Completos[[CODIGO]:[LINEA]],4,0)</f>
        <v>#N/A</v>
      </c>
      <c r="F1454">
        <v>121</v>
      </c>
      <c r="G1454">
        <v>234</v>
      </c>
    </row>
    <row r="1455" spans="1:7">
      <c r="A1455" t="s">
        <v>7388</v>
      </c>
      <c r="B1455" t="s">
        <v>8842</v>
      </c>
      <c r="C1455" s="1" t="e">
        <f>VLOOKUP(Tabla_Items_Activos[[#This Row],[CODIGO]],Tabla_Items_Completos[[CODIGO]:[LINEA]],2,0)</f>
        <v>#N/A</v>
      </c>
      <c r="D1455" s="1" t="e">
        <f>VLOOKUP(Tabla_Items_Activos[[#This Row],[CODIGO]],Tabla_Items_Completos[[CODIGO]:[LINEA]],3,0)</f>
        <v>#N/A</v>
      </c>
      <c r="E1455" s="1" t="e">
        <f>VLOOKUP(Tabla_Items_Activos[[#This Row],[CODIGO]],Tabla_Items_Completos[[CODIGO]:[LINEA]],4,0)</f>
        <v>#N/A</v>
      </c>
      <c r="F1455">
        <v>123</v>
      </c>
      <c r="G1455">
        <v>224</v>
      </c>
    </row>
    <row r="1456" spans="1:7">
      <c r="A1456" t="s">
        <v>7388</v>
      </c>
      <c r="B1456" t="s">
        <v>8843</v>
      </c>
      <c r="C1456" s="1" t="e">
        <f>VLOOKUP(Tabla_Items_Activos[[#This Row],[CODIGO]],Tabla_Items_Completos[[CODIGO]:[LINEA]],2,0)</f>
        <v>#N/A</v>
      </c>
      <c r="D1456" s="1" t="e">
        <f>VLOOKUP(Tabla_Items_Activos[[#This Row],[CODIGO]],Tabla_Items_Completos[[CODIGO]:[LINEA]],3,0)</f>
        <v>#N/A</v>
      </c>
      <c r="E1456" s="1" t="e">
        <f>VLOOKUP(Tabla_Items_Activos[[#This Row],[CODIGO]],Tabla_Items_Completos[[CODIGO]:[LINEA]],4,0)</f>
        <v>#N/A</v>
      </c>
      <c r="F1456">
        <v>468</v>
      </c>
      <c r="G1456">
        <v>60</v>
      </c>
    </row>
    <row r="1457" spans="1:7">
      <c r="A1457" t="s">
        <v>7388</v>
      </c>
      <c r="B1457" t="s">
        <v>8844</v>
      </c>
      <c r="C1457" s="1" t="e">
        <f>VLOOKUP(Tabla_Items_Activos[[#This Row],[CODIGO]],Tabla_Items_Completos[[CODIGO]:[LINEA]],2,0)</f>
        <v>#N/A</v>
      </c>
      <c r="D1457" s="1" t="e">
        <f>VLOOKUP(Tabla_Items_Activos[[#This Row],[CODIGO]],Tabla_Items_Completos[[CODIGO]:[LINEA]],3,0)</f>
        <v>#N/A</v>
      </c>
      <c r="E1457" s="1" t="e">
        <f>VLOOKUP(Tabla_Items_Activos[[#This Row],[CODIGO]],Tabla_Items_Completos[[CODIGO]:[LINEA]],4,0)</f>
        <v>#N/A</v>
      </c>
      <c r="F1457">
        <v>332</v>
      </c>
      <c r="G1457">
        <v>145</v>
      </c>
    </row>
    <row r="1458" spans="1:7">
      <c r="A1458" t="s">
        <v>7388</v>
      </c>
      <c r="B1458" t="s">
        <v>8845</v>
      </c>
      <c r="C1458" s="1" t="e">
        <f>VLOOKUP(Tabla_Items_Activos[[#This Row],[CODIGO]],Tabla_Items_Completos[[CODIGO]:[LINEA]],2,0)</f>
        <v>#N/A</v>
      </c>
      <c r="D1458" s="1" t="e">
        <f>VLOOKUP(Tabla_Items_Activos[[#This Row],[CODIGO]],Tabla_Items_Completos[[CODIGO]:[LINEA]],3,0)</f>
        <v>#N/A</v>
      </c>
      <c r="E1458" s="1" t="e">
        <f>VLOOKUP(Tabla_Items_Activos[[#This Row],[CODIGO]],Tabla_Items_Completos[[CODIGO]:[LINEA]],4,0)</f>
        <v>#N/A</v>
      </c>
      <c r="F1458">
        <v>297</v>
      </c>
      <c r="G1458">
        <v>57</v>
      </c>
    </row>
    <row r="1459" spans="1:7">
      <c r="A1459" t="s">
        <v>7388</v>
      </c>
      <c r="B1459" t="s">
        <v>8846</v>
      </c>
      <c r="C1459" s="1" t="e">
        <f>VLOOKUP(Tabla_Items_Activos[[#This Row],[CODIGO]],Tabla_Items_Completos[[CODIGO]:[LINEA]],2,0)</f>
        <v>#N/A</v>
      </c>
      <c r="D1459" s="1" t="e">
        <f>VLOOKUP(Tabla_Items_Activos[[#This Row],[CODIGO]],Tabla_Items_Completos[[CODIGO]:[LINEA]],3,0)</f>
        <v>#N/A</v>
      </c>
      <c r="E1459" s="1" t="e">
        <f>VLOOKUP(Tabla_Items_Activos[[#This Row],[CODIGO]],Tabla_Items_Completos[[CODIGO]:[LINEA]],4,0)</f>
        <v>#N/A</v>
      </c>
      <c r="F1459">
        <v>360</v>
      </c>
      <c r="G1459">
        <v>175</v>
      </c>
    </row>
    <row r="1460" spans="1:7">
      <c r="A1460" t="s">
        <v>7388</v>
      </c>
      <c r="B1460" t="s">
        <v>8847</v>
      </c>
      <c r="C1460" s="1" t="e">
        <f>VLOOKUP(Tabla_Items_Activos[[#This Row],[CODIGO]],Tabla_Items_Completos[[CODIGO]:[LINEA]],2,0)</f>
        <v>#N/A</v>
      </c>
      <c r="D1460" s="1" t="e">
        <f>VLOOKUP(Tabla_Items_Activos[[#This Row],[CODIGO]],Tabla_Items_Completos[[CODIGO]:[LINEA]],3,0)</f>
        <v>#N/A</v>
      </c>
      <c r="E1460" s="1" t="e">
        <f>VLOOKUP(Tabla_Items_Activos[[#This Row],[CODIGO]],Tabla_Items_Completos[[CODIGO]:[LINEA]],4,0)</f>
        <v>#N/A</v>
      </c>
      <c r="F1460">
        <v>782</v>
      </c>
      <c r="G1460">
        <v>0</v>
      </c>
    </row>
    <row r="1461" spans="1:7">
      <c r="A1461" t="s">
        <v>7388</v>
      </c>
      <c r="B1461" t="s">
        <v>8848</v>
      </c>
      <c r="C1461" s="1" t="e">
        <f>VLOOKUP(Tabla_Items_Activos[[#This Row],[CODIGO]],Tabla_Items_Completos[[CODIGO]:[LINEA]],2,0)</f>
        <v>#N/A</v>
      </c>
      <c r="D1461" s="1" t="e">
        <f>VLOOKUP(Tabla_Items_Activos[[#This Row],[CODIGO]],Tabla_Items_Completos[[CODIGO]:[LINEA]],3,0)</f>
        <v>#N/A</v>
      </c>
      <c r="E1461" s="1" t="e">
        <f>VLOOKUP(Tabla_Items_Activos[[#This Row],[CODIGO]],Tabla_Items_Completos[[CODIGO]:[LINEA]],4,0)</f>
        <v>#N/A</v>
      </c>
      <c r="F1461">
        <v>370</v>
      </c>
      <c r="G1461">
        <v>169</v>
      </c>
    </row>
    <row r="1462" spans="1:7">
      <c r="A1462" t="s">
        <v>7388</v>
      </c>
      <c r="B1462" t="s">
        <v>8849</v>
      </c>
      <c r="C1462" s="1" t="e">
        <f>VLOOKUP(Tabla_Items_Activos[[#This Row],[CODIGO]],Tabla_Items_Completos[[CODIGO]:[LINEA]],2,0)</f>
        <v>#N/A</v>
      </c>
      <c r="D1462" s="1" t="e">
        <f>VLOOKUP(Tabla_Items_Activos[[#This Row],[CODIGO]],Tabla_Items_Completos[[CODIGO]:[LINEA]],3,0)</f>
        <v>#N/A</v>
      </c>
      <c r="E1462" s="1" t="e">
        <f>VLOOKUP(Tabla_Items_Activos[[#This Row],[CODIGO]],Tabla_Items_Completos[[CODIGO]:[LINEA]],4,0)</f>
        <v>#N/A</v>
      </c>
      <c r="F1462">
        <v>368</v>
      </c>
      <c r="G1462">
        <v>0</v>
      </c>
    </row>
    <row r="1463" spans="1:7">
      <c r="A1463" t="s">
        <v>7388</v>
      </c>
      <c r="B1463" t="s">
        <v>8850</v>
      </c>
      <c r="C1463" s="1" t="e">
        <f>VLOOKUP(Tabla_Items_Activos[[#This Row],[CODIGO]],Tabla_Items_Completos[[CODIGO]:[LINEA]],2,0)</f>
        <v>#N/A</v>
      </c>
      <c r="D1463" s="1" t="e">
        <f>VLOOKUP(Tabla_Items_Activos[[#This Row],[CODIGO]],Tabla_Items_Completos[[CODIGO]:[LINEA]],3,0)</f>
        <v>#N/A</v>
      </c>
      <c r="E1463" s="1" t="e">
        <f>VLOOKUP(Tabla_Items_Activos[[#This Row],[CODIGO]],Tabla_Items_Completos[[CODIGO]:[LINEA]],4,0)</f>
        <v>#N/A</v>
      </c>
      <c r="F1463">
        <v>414</v>
      </c>
      <c r="G1463">
        <v>30</v>
      </c>
    </row>
    <row r="1464" spans="1:7">
      <c r="A1464" t="s">
        <v>7388</v>
      </c>
      <c r="B1464" t="s">
        <v>8851</v>
      </c>
      <c r="C1464" s="1" t="e">
        <f>VLOOKUP(Tabla_Items_Activos[[#This Row],[CODIGO]],Tabla_Items_Completos[[CODIGO]:[LINEA]],2,0)</f>
        <v>#N/A</v>
      </c>
      <c r="D1464" s="1" t="e">
        <f>VLOOKUP(Tabla_Items_Activos[[#This Row],[CODIGO]],Tabla_Items_Completos[[CODIGO]:[LINEA]],3,0)</f>
        <v>#N/A</v>
      </c>
      <c r="E1464" s="1" t="e">
        <f>VLOOKUP(Tabla_Items_Activos[[#This Row],[CODIGO]],Tabla_Items_Completos[[CODIGO]:[LINEA]],4,0)</f>
        <v>#N/A</v>
      </c>
      <c r="F1464">
        <v>558</v>
      </c>
      <c r="G1464">
        <v>0</v>
      </c>
    </row>
    <row r="1465" spans="1:7">
      <c r="A1465" t="s">
        <v>7388</v>
      </c>
      <c r="B1465" t="s">
        <v>8852</v>
      </c>
      <c r="C1465" s="1" t="e">
        <f>VLOOKUP(Tabla_Items_Activos[[#This Row],[CODIGO]],Tabla_Items_Completos[[CODIGO]:[LINEA]],2,0)</f>
        <v>#N/A</v>
      </c>
      <c r="D1465" s="1" t="e">
        <f>VLOOKUP(Tabla_Items_Activos[[#This Row],[CODIGO]],Tabla_Items_Completos[[CODIGO]:[LINEA]],3,0)</f>
        <v>#N/A</v>
      </c>
      <c r="E1465" s="1" t="e">
        <f>VLOOKUP(Tabla_Items_Activos[[#This Row],[CODIGO]],Tabla_Items_Completos[[CODIGO]:[LINEA]],4,0)</f>
        <v>#N/A</v>
      </c>
      <c r="F1465">
        <v>380</v>
      </c>
      <c r="G1465">
        <v>195</v>
      </c>
    </row>
    <row r="1466" spans="1:7">
      <c r="A1466" t="s">
        <v>7388</v>
      </c>
      <c r="B1466" t="s">
        <v>8853</v>
      </c>
      <c r="C1466" s="1" t="e">
        <f>VLOOKUP(Tabla_Items_Activos[[#This Row],[CODIGO]],Tabla_Items_Completos[[CODIGO]:[LINEA]],2,0)</f>
        <v>#N/A</v>
      </c>
      <c r="D1466" s="1" t="e">
        <f>VLOOKUP(Tabla_Items_Activos[[#This Row],[CODIGO]],Tabla_Items_Completos[[CODIGO]:[LINEA]],3,0)</f>
        <v>#N/A</v>
      </c>
      <c r="E1466" s="1" t="e">
        <f>VLOOKUP(Tabla_Items_Activos[[#This Row],[CODIGO]],Tabla_Items_Completos[[CODIGO]:[LINEA]],4,0)</f>
        <v>#N/A</v>
      </c>
      <c r="F1466">
        <v>549</v>
      </c>
      <c r="G1466">
        <v>130</v>
      </c>
    </row>
    <row r="1467" spans="1:7">
      <c r="A1467" t="s">
        <v>7388</v>
      </c>
      <c r="B1467" t="s">
        <v>8854</v>
      </c>
      <c r="C1467" s="1" t="e">
        <f>VLOOKUP(Tabla_Items_Activos[[#This Row],[CODIGO]],Tabla_Items_Completos[[CODIGO]:[LINEA]],2,0)</f>
        <v>#N/A</v>
      </c>
      <c r="D1467" s="1" t="e">
        <f>VLOOKUP(Tabla_Items_Activos[[#This Row],[CODIGO]],Tabla_Items_Completos[[CODIGO]:[LINEA]],3,0)</f>
        <v>#N/A</v>
      </c>
      <c r="E1467" s="1" t="e">
        <f>VLOOKUP(Tabla_Items_Activos[[#This Row],[CODIGO]],Tabla_Items_Completos[[CODIGO]:[LINEA]],4,0)</f>
        <v>#N/A</v>
      </c>
      <c r="F1467">
        <v>149</v>
      </c>
      <c r="G1467">
        <v>47</v>
      </c>
    </row>
    <row r="1468" spans="1:7">
      <c r="A1468" t="s">
        <v>7388</v>
      </c>
      <c r="B1468" t="s">
        <v>8855</v>
      </c>
      <c r="C1468" s="1" t="e">
        <f>VLOOKUP(Tabla_Items_Activos[[#This Row],[CODIGO]],Tabla_Items_Completos[[CODIGO]:[LINEA]],2,0)</f>
        <v>#N/A</v>
      </c>
      <c r="D1468" s="1" t="e">
        <f>VLOOKUP(Tabla_Items_Activos[[#This Row],[CODIGO]],Tabla_Items_Completos[[CODIGO]:[LINEA]],3,0)</f>
        <v>#N/A</v>
      </c>
      <c r="E1468" s="1" t="e">
        <f>VLOOKUP(Tabla_Items_Activos[[#This Row],[CODIGO]],Tabla_Items_Completos[[CODIGO]:[LINEA]],4,0)</f>
        <v>#N/A</v>
      </c>
      <c r="F1468">
        <v>585</v>
      </c>
      <c r="G1468">
        <v>0</v>
      </c>
    </row>
    <row r="1469" spans="1:7">
      <c r="A1469" t="s">
        <v>7388</v>
      </c>
      <c r="B1469" t="s">
        <v>8856</v>
      </c>
      <c r="C1469" s="1" t="e">
        <f>VLOOKUP(Tabla_Items_Activos[[#This Row],[CODIGO]],Tabla_Items_Completos[[CODIGO]:[LINEA]],2,0)</f>
        <v>#N/A</v>
      </c>
      <c r="D1469" s="1" t="e">
        <f>VLOOKUP(Tabla_Items_Activos[[#This Row],[CODIGO]],Tabla_Items_Completos[[CODIGO]:[LINEA]],3,0)</f>
        <v>#N/A</v>
      </c>
      <c r="E1469" s="1" t="e">
        <f>VLOOKUP(Tabla_Items_Activos[[#This Row],[CODIGO]],Tabla_Items_Completos[[CODIGO]:[LINEA]],4,0)</f>
        <v>#N/A</v>
      </c>
      <c r="F1469">
        <v>552</v>
      </c>
      <c r="G1469">
        <v>0</v>
      </c>
    </row>
    <row r="1470" spans="1:7">
      <c r="A1470" t="s">
        <v>7388</v>
      </c>
      <c r="B1470" t="s">
        <v>8857</v>
      </c>
      <c r="C1470" s="1" t="e">
        <f>VLOOKUP(Tabla_Items_Activos[[#This Row],[CODIGO]],Tabla_Items_Completos[[CODIGO]:[LINEA]],2,0)</f>
        <v>#N/A</v>
      </c>
      <c r="D1470" s="1" t="e">
        <f>VLOOKUP(Tabla_Items_Activos[[#This Row],[CODIGO]],Tabla_Items_Completos[[CODIGO]:[LINEA]],3,0)</f>
        <v>#N/A</v>
      </c>
      <c r="E1470" s="1" t="e">
        <f>VLOOKUP(Tabla_Items_Activos[[#This Row],[CODIGO]],Tabla_Items_Completos[[CODIGO]:[LINEA]],4,0)</f>
        <v>#N/A</v>
      </c>
      <c r="F1470">
        <v>406</v>
      </c>
      <c r="G1470">
        <v>0</v>
      </c>
    </row>
    <row r="1471" spans="1:7">
      <c r="A1471" t="s">
        <v>7388</v>
      </c>
      <c r="B1471" t="s">
        <v>8858</v>
      </c>
      <c r="C1471" s="1" t="e">
        <f>VLOOKUP(Tabla_Items_Activos[[#This Row],[CODIGO]],Tabla_Items_Completos[[CODIGO]:[LINEA]],2,0)</f>
        <v>#N/A</v>
      </c>
      <c r="D1471" s="1" t="e">
        <f>VLOOKUP(Tabla_Items_Activos[[#This Row],[CODIGO]],Tabla_Items_Completos[[CODIGO]:[LINEA]],3,0)</f>
        <v>#N/A</v>
      </c>
      <c r="E1471" s="1" t="e">
        <f>VLOOKUP(Tabla_Items_Activos[[#This Row],[CODIGO]],Tabla_Items_Completos[[CODIGO]:[LINEA]],4,0)</f>
        <v>#N/A</v>
      </c>
      <c r="F1471">
        <v>1455</v>
      </c>
      <c r="G1471">
        <v>49</v>
      </c>
    </row>
    <row r="1472" spans="1:7">
      <c r="A1472" t="s">
        <v>7388</v>
      </c>
      <c r="B1472" t="s">
        <v>8859</v>
      </c>
      <c r="C1472" s="1" t="e">
        <f>VLOOKUP(Tabla_Items_Activos[[#This Row],[CODIGO]],Tabla_Items_Completos[[CODIGO]:[LINEA]],2,0)</f>
        <v>#N/A</v>
      </c>
      <c r="D1472" s="1" t="e">
        <f>VLOOKUP(Tabla_Items_Activos[[#This Row],[CODIGO]],Tabla_Items_Completos[[CODIGO]:[LINEA]],3,0)</f>
        <v>#N/A</v>
      </c>
      <c r="E1472" s="1" t="e">
        <f>VLOOKUP(Tabla_Items_Activos[[#This Row],[CODIGO]],Tabla_Items_Completos[[CODIGO]:[LINEA]],4,0)</f>
        <v>#N/A</v>
      </c>
      <c r="F1472">
        <v>392</v>
      </c>
      <c r="G1472">
        <v>0</v>
      </c>
    </row>
    <row r="1473" spans="1:7">
      <c r="A1473" t="s">
        <v>7388</v>
      </c>
      <c r="B1473" t="s">
        <v>8860</v>
      </c>
      <c r="C1473" s="1" t="e">
        <f>VLOOKUP(Tabla_Items_Activos[[#This Row],[CODIGO]],Tabla_Items_Completos[[CODIGO]:[LINEA]],2,0)</f>
        <v>#N/A</v>
      </c>
      <c r="D1473" s="1" t="e">
        <f>VLOOKUP(Tabla_Items_Activos[[#This Row],[CODIGO]],Tabla_Items_Completos[[CODIGO]:[LINEA]],3,0)</f>
        <v>#N/A</v>
      </c>
      <c r="E1473" s="1" t="e">
        <f>VLOOKUP(Tabla_Items_Activos[[#This Row],[CODIGO]],Tabla_Items_Completos[[CODIGO]:[LINEA]],4,0)</f>
        <v>#N/A</v>
      </c>
      <c r="F1473">
        <v>293</v>
      </c>
      <c r="G1473">
        <v>99</v>
      </c>
    </row>
    <row r="1474" spans="1:7">
      <c r="A1474" t="s">
        <v>7388</v>
      </c>
      <c r="B1474" t="s">
        <v>8861</v>
      </c>
      <c r="C1474" s="1" t="e">
        <f>VLOOKUP(Tabla_Items_Activos[[#This Row],[CODIGO]],Tabla_Items_Completos[[CODIGO]:[LINEA]],2,0)</f>
        <v>#N/A</v>
      </c>
      <c r="D1474" s="1" t="e">
        <f>VLOOKUP(Tabla_Items_Activos[[#This Row],[CODIGO]],Tabla_Items_Completos[[CODIGO]:[LINEA]],3,0)</f>
        <v>#N/A</v>
      </c>
      <c r="E1474" s="1" t="e">
        <f>VLOOKUP(Tabla_Items_Activos[[#This Row],[CODIGO]],Tabla_Items_Completos[[CODIGO]:[LINEA]],4,0)</f>
        <v>#N/A</v>
      </c>
      <c r="F1474">
        <v>248</v>
      </c>
      <c r="G1474">
        <v>3</v>
      </c>
    </row>
    <row r="1475" spans="1:7">
      <c r="A1475" t="s">
        <v>7388</v>
      </c>
      <c r="B1475" t="s">
        <v>8862</v>
      </c>
      <c r="C1475" s="1" t="e">
        <f>VLOOKUP(Tabla_Items_Activos[[#This Row],[CODIGO]],Tabla_Items_Completos[[CODIGO]:[LINEA]],2,0)</f>
        <v>#N/A</v>
      </c>
      <c r="D1475" s="1" t="e">
        <f>VLOOKUP(Tabla_Items_Activos[[#This Row],[CODIGO]],Tabla_Items_Completos[[CODIGO]:[LINEA]],3,0)</f>
        <v>#N/A</v>
      </c>
      <c r="E1475" s="1" t="e">
        <f>VLOOKUP(Tabla_Items_Activos[[#This Row],[CODIGO]],Tabla_Items_Completos[[CODIGO]:[LINEA]],4,0)</f>
        <v>#N/A</v>
      </c>
      <c r="F1475">
        <v>266</v>
      </c>
      <c r="G1475">
        <v>0</v>
      </c>
    </row>
    <row r="1476" spans="1:7">
      <c r="A1476" t="s">
        <v>7388</v>
      </c>
      <c r="B1476" t="s">
        <v>8863</v>
      </c>
      <c r="C1476" s="1" t="e">
        <f>VLOOKUP(Tabla_Items_Activos[[#This Row],[CODIGO]],Tabla_Items_Completos[[CODIGO]:[LINEA]],2,0)</f>
        <v>#N/A</v>
      </c>
      <c r="D1476" s="1" t="e">
        <f>VLOOKUP(Tabla_Items_Activos[[#This Row],[CODIGO]],Tabla_Items_Completos[[CODIGO]:[LINEA]],3,0)</f>
        <v>#N/A</v>
      </c>
      <c r="E1476" s="1" t="e">
        <f>VLOOKUP(Tabla_Items_Activos[[#This Row],[CODIGO]],Tabla_Items_Completos[[CODIGO]:[LINEA]],4,0)</f>
        <v>#N/A</v>
      </c>
      <c r="F1476">
        <v>666</v>
      </c>
      <c r="G1476">
        <v>226</v>
      </c>
    </row>
    <row r="1477" spans="1:7">
      <c r="A1477" t="s">
        <v>7388</v>
      </c>
      <c r="B1477" t="s">
        <v>8864</v>
      </c>
      <c r="C1477" s="1" t="e">
        <f>VLOOKUP(Tabla_Items_Activos[[#This Row],[CODIGO]],Tabla_Items_Completos[[CODIGO]:[LINEA]],2,0)</f>
        <v>#N/A</v>
      </c>
      <c r="D1477" s="1" t="e">
        <f>VLOOKUP(Tabla_Items_Activos[[#This Row],[CODIGO]],Tabla_Items_Completos[[CODIGO]:[LINEA]],3,0)</f>
        <v>#N/A</v>
      </c>
      <c r="E1477" s="1" t="e">
        <f>VLOOKUP(Tabla_Items_Activos[[#This Row],[CODIGO]],Tabla_Items_Completos[[CODIGO]:[LINEA]],4,0)</f>
        <v>#N/A</v>
      </c>
      <c r="F1477">
        <v>372</v>
      </c>
      <c r="G1477">
        <v>155</v>
      </c>
    </row>
    <row r="1478" spans="1:7">
      <c r="A1478" t="s">
        <v>7388</v>
      </c>
      <c r="B1478" t="s">
        <v>8865</v>
      </c>
      <c r="C1478" s="1" t="e">
        <f>VLOOKUP(Tabla_Items_Activos[[#This Row],[CODIGO]],Tabla_Items_Completos[[CODIGO]:[LINEA]],2,0)</f>
        <v>#N/A</v>
      </c>
      <c r="D1478" s="1" t="e">
        <f>VLOOKUP(Tabla_Items_Activos[[#This Row],[CODIGO]],Tabla_Items_Completos[[CODIGO]:[LINEA]],3,0)</f>
        <v>#N/A</v>
      </c>
      <c r="E1478" s="1" t="e">
        <f>VLOOKUP(Tabla_Items_Activos[[#This Row],[CODIGO]],Tabla_Items_Completos[[CODIGO]:[LINEA]],4,0)</f>
        <v>#N/A</v>
      </c>
      <c r="F1478">
        <v>384</v>
      </c>
      <c r="G1478">
        <v>76</v>
      </c>
    </row>
    <row r="1479" spans="1:7">
      <c r="A1479" t="s">
        <v>7388</v>
      </c>
      <c r="B1479" t="s">
        <v>8866</v>
      </c>
      <c r="C1479" s="1" t="e">
        <f>VLOOKUP(Tabla_Items_Activos[[#This Row],[CODIGO]],Tabla_Items_Completos[[CODIGO]:[LINEA]],2,0)</f>
        <v>#N/A</v>
      </c>
      <c r="D1479" s="1" t="e">
        <f>VLOOKUP(Tabla_Items_Activos[[#This Row],[CODIGO]],Tabla_Items_Completos[[CODIGO]:[LINEA]],3,0)</f>
        <v>#N/A</v>
      </c>
      <c r="E1479" s="1" t="e">
        <f>VLOOKUP(Tabla_Items_Activos[[#This Row],[CODIGO]],Tabla_Items_Completos[[CODIGO]:[LINEA]],4,0)</f>
        <v>#N/A</v>
      </c>
      <c r="F1479">
        <v>621</v>
      </c>
      <c r="G1479">
        <v>76</v>
      </c>
    </row>
    <row r="1480" spans="1:7">
      <c r="A1480" t="s">
        <v>7388</v>
      </c>
      <c r="B1480" t="s">
        <v>8867</v>
      </c>
      <c r="C1480" s="1" t="e">
        <f>VLOOKUP(Tabla_Items_Activos[[#This Row],[CODIGO]],Tabla_Items_Completos[[CODIGO]:[LINEA]],2,0)</f>
        <v>#N/A</v>
      </c>
      <c r="D1480" s="1" t="e">
        <f>VLOOKUP(Tabla_Items_Activos[[#This Row],[CODIGO]],Tabla_Items_Completos[[CODIGO]:[LINEA]],3,0)</f>
        <v>#N/A</v>
      </c>
      <c r="E1480" s="1" t="e">
        <f>VLOOKUP(Tabla_Items_Activos[[#This Row],[CODIGO]],Tabla_Items_Completos[[CODIGO]:[LINEA]],4,0)</f>
        <v>#N/A</v>
      </c>
      <c r="F1480">
        <v>462</v>
      </c>
      <c r="G1480">
        <v>30</v>
      </c>
    </row>
    <row r="1481" spans="1:7">
      <c r="A1481" t="s">
        <v>7388</v>
      </c>
      <c r="B1481" t="s">
        <v>8868</v>
      </c>
      <c r="C1481" s="1" t="e">
        <f>VLOOKUP(Tabla_Items_Activos[[#This Row],[CODIGO]],Tabla_Items_Completos[[CODIGO]:[LINEA]],2,0)</f>
        <v>#N/A</v>
      </c>
      <c r="D1481" s="1" t="e">
        <f>VLOOKUP(Tabla_Items_Activos[[#This Row],[CODIGO]],Tabla_Items_Completos[[CODIGO]:[LINEA]],3,0)</f>
        <v>#N/A</v>
      </c>
      <c r="E1481" s="1" t="e">
        <f>VLOOKUP(Tabla_Items_Activos[[#This Row],[CODIGO]],Tabla_Items_Completos[[CODIGO]:[LINEA]],4,0)</f>
        <v>#N/A</v>
      </c>
      <c r="F1481">
        <v>619</v>
      </c>
      <c r="G1481">
        <v>0</v>
      </c>
    </row>
    <row r="1482" spans="1:7">
      <c r="A1482" t="s">
        <v>7388</v>
      </c>
      <c r="B1482" t="s">
        <v>8869</v>
      </c>
      <c r="C1482" s="1" t="e">
        <f>VLOOKUP(Tabla_Items_Activos[[#This Row],[CODIGO]],Tabla_Items_Completos[[CODIGO]:[LINEA]],2,0)</f>
        <v>#N/A</v>
      </c>
      <c r="D1482" s="1" t="e">
        <f>VLOOKUP(Tabla_Items_Activos[[#This Row],[CODIGO]],Tabla_Items_Completos[[CODIGO]:[LINEA]],3,0)</f>
        <v>#N/A</v>
      </c>
      <c r="E1482" s="1" t="e">
        <f>VLOOKUP(Tabla_Items_Activos[[#This Row],[CODIGO]],Tabla_Items_Completos[[CODIGO]:[LINEA]],4,0)</f>
        <v>#N/A</v>
      </c>
      <c r="F1482">
        <v>95</v>
      </c>
      <c r="G1482">
        <v>285</v>
      </c>
    </row>
    <row r="1483" spans="1:7">
      <c r="A1483" t="s">
        <v>7388</v>
      </c>
      <c r="B1483" t="s">
        <v>8870</v>
      </c>
      <c r="C1483" s="1" t="e">
        <f>VLOOKUP(Tabla_Items_Activos[[#This Row],[CODIGO]],Tabla_Items_Completos[[CODIGO]:[LINEA]],2,0)</f>
        <v>#N/A</v>
      </c>
      <c r="D1483" s="1" t="e">
        <f>VLOOKUP(Tabla_Items_Activos[[#This Row],[CODIGO]],Tabla_Items_Completos[[CODIGO]:[LINEA]],3,0)</f>
        <v>#N/A</v>
      </c>
      <c r="E1483" s="1" t="e">
        <f>VLOOKUP(Tabla_Items_Activos[[#This Row],[CODIGO]],Tabla_Items_Completos[[CODIGO]:[LINEA]],4,0)</f>
        <v>#N/A</v>
      </c>
      <c r="F1483">
        <v>526</v>
      </c>
      <c r="G1483">
        <v>19</v>
      </c>
    </row>
    <row r="1484" spans="1:7">
      <c r="A1484" t="s">
        <v>7388</v>
      </c>
      <c r="B1484" t="s">
        <v>8871</v>
      </c>
      <c r="C1484" s="1" t="e">
        <f>VLOOKUP(Tabla_Items_Activos[[#This Row],[CODIGO]],Tabla_Items_Completos[[CODIGO]:[LINEA]],2,0)</f>
        <v>#N/A</v>
      </c>
      <c r="D1484" s="1" t="e">
        <f>VLOOKUP(Tabla_Items_Activos[[#This Row],[CODIGO]],Tabla_Items_Completos[[CODIGO]:[LINEA]],3,0)</f>
        <v>#N/A</v>
      </c>
      <c r="E1484" s="1" t="e">
        <f>VLOOKUP(Tabla_Items_Activos[[#This Row],[CODIGO]],Tabla_Items_Completos[[CODIGO]:[LINEA]],4,0)</f>
        <v>#N/A</v>
      </c>
      <c r="F1484">
        <v>1523</v>
      </c>
      <c r="G1484">
        <v>10380</v>
      </c>
    </row>
    <row r="1485" spans="1:7">
      <c r="A1485" t="s">
        <v>7388</v>
      </c>
      <c r="B1485" t="s">
        <v>8872</v>
      </c>
      <c r="C1485" s="1" t="e">
        <f>VLOOKUP(Tabla_Items_Activos[[#This Row],[CODIGO]],Tabla_Items_Completos[[CODIGO]:[LINEA]],2,0)</f>
        <v>#N/A</v>
      </c>
      <c r="D1485" s="1" t="e">
        <f>VLOOKUP(Tabla_Items_Activos[[#This Row],[CODIGO]],Tabla_Items_Completos[[CODIGO]:[LINEA]],3,0)</f>
        <v>#N/A</v>
      </c>
      <c r="E1485" s="1" t="e">
        <f>VLOOKUP(Tabla_Items_Activos[[#This Row],[CODIGO]],Tabla_Items_Completos[[CODIGO]:[LINEA]],4,0)</f>
        <v>#N/A</v>
      </c>
      <c r="F1485">
        <v>3631</v>
      </c>
      <c r="G1485">
        <v>0</v>
      </c>
    </row>
    <row r="1486" spans="1:7">
      <c r="A1486" t="s">
        <v>7388</v>
      </c>
      <c r="B1486" t="s">
        <v>8873</v>
      </c>
      <c r="C1486" s="1" t="e">
        <f>VLOOKUP(Tabla_Items_Activos[[#This Row],[CODIGO]],Tabla_Items_Completos[[CODIGO]:[LINEA]],2,0)</f>
        <v>#N/A</v>
      </c>
      <c r="D1486" s="1" t="e">
        <f>VLOOKUP(Tabla_Items_Activos[[#This Row],[CODIGO]],Tabla_Items_Completos[[CODIGO]:[LINEA]],3,0)</f>
        <v>#N/A</v>
      </c>
      <c r="E1486" s="1" t="e">
        <f>VLOOKUP(Tabla_Items_Activos[[#This Row],[CODIGO]],Tabla_Items_Completos[[CODIGO]:[LINEA]],4,0)</f>
        <v>#N/A</v>
      </c>
      <c r="F1486">
        <v>1151</v>
      </c>
      <c r="G1486">
        <v>490</v>
      </c>
    </row>
    <row r="1487" spans="1:7">
      <c r="A1487" t="s">
        <v>7388</v>
      </c>
      <c r="B1487" t="s">
        <v>8874</v>
      </c>
      <c r="C1487" s="1" t="e">
        <f>VLOOKUP(Tabla_Items_Activos[[#This Row],[CODIGO]],Tabla_Items_Completos[[CODIGO]:[LINEA]],2,0)</f>
        <v>#N/A</v>
      </c>
      <c r="D1487" s="1" t="e">
        <f>VLOOKUP(Tabla_Items_Activos[[#This Row],[CODIGO]],Tabla_Items_Completos[[CODIGO]:[LINEA]],3,0)</f>
        <v>#N/A</v>
      </c>
      <c r="E1487" s="1" t="e">
        <f>VLOOKUP(Tabla_Items_Activos[[#This Row],[CODIGO]],Tabla_Items_Completos[[CODIGO]:[LINEA]],4,0)</f>
        <v>#N/A</v>
      </c>
      <c r="F1487">
        <v>138</v>
      </c>
      <c r="G1487">
        <v>0</v>
      </c>
    </row>
    <row r="1488" spans="1:7">
      <c r="A1488" t="s">
        <v>7388</v>
      </c>
      <c r="B1488" t="s">
        <v>8875</v>
      </c>
      <c r="C1488" s="1" t="e">
        <f>VLOOKUP(Tabla_Items_Activos[[#This Row],[CODIGO]],Tabla_Items_Completos[[CODIGO]:[LINEA]],2,0)</f>
        <v>#N/A</v>
      </c>
      <c r="D1488" s="1" t="e">
        <f>VLOOKUP(Tabla_Items_Activos[[#This Row],[CODIGO]],Tabla_Items_Completos[[CODIGO]:[LINEA]],3,0)</f>
        <v>#N/A</v>
      </c>
      <c r="E1488" s="1" t="e">
        <f>VLOOKUP(Tabla_Items_Activos[[#This Row],[CODIGO]],Tabla_Items_Completos[[CODIGO]:[LINEA]],4,0)</f>
        <v>#N/A</v>
      </c>
      <c r="F1488">
        <v>79</v>
      </c>
      <c r="G1488">
        <v>330</v>
      </c>
    </row>
    <row r="1489" spans="1:7">
      <c r="A1489" t="s">
        <v>7388</v>
      </c>
      <c r="B1489" t="s">
        <v>8876</v>
      </c>
      <c r="C1489" s="1" t="e">
        <f>VLOOKUP(Tabla_Items_Activos[[#This Row],[CODIGO]],Tabla_Items_Completos[[CODIGO]:[LINEA]],2,0)</f>
        <v>#N/A</v>
      </c>
      <c r="D1489" s="1" t="e">
        <f>VLOOKUP(Tabla_Items_Activos[[#This Row],[CODIGO]],Tabla_Items_Completos[[CODIGO]:[LINEA]],3,0)</f>
        <v>#N/A</v>
      </c>
      <c r="E1489" s="1" t="e">
        <f>VLOOKUP(Tabla_Items_Activos[[#This Row],[CODIGO]],Tabla_Items_Completos[[CODIGO]:[LINEA]],4,0)</f>
        <v>#N/A</v>
      </c>
      <c r="F1489">
        <v>40</v>
      </c>
      <c r="G1489">
        <v>0</v>
      </c>
    </row>
    <row r="1490" spans="1:7">
      <c r="A1490" t="s">
        <v>7388</v>
      </c>
      <c r="B1490" t="s">
        <v>8877</v>
      </c>
      <c r="C1490" s="1" t="e">
        <f>VLOOKUP(Tabla_Items_Activos[[#This Row],[CODIGO]],Tabla_Items_Completos[[CODIGO]:[LINEA]],2,0)</f>
        <v>#N/A</v>
      </c>
      <c r="D1490" s="1" t="e">
        <f>VLOOKUP(Tabla_Items_Activos[[#This Row],[CODIGO]],Tabla_Items_Completos[[CODIGO]:[LINEA]],3,0)</f>
        <v>#N/A</v>
      </c>
      <c r="E1490" s="1" t="e">
        <f>VLOOKUP(Tabla_Items_Activos[[#This Row],[CODIGO]],Tabla_Items_Completos[[CODIGO]:[LINEA]],4,0)</f>
        <v>#N/A</v>
      </c>
      <c r="F1490">
        <v>21</v>
      </c>
      <c r="G1490">
        <v>0</v>
      </c>
    </row>
    <row r="1491" spans="1:7">
      <c r="A1491" t="s">
        <v>7388</v>
      </c>
      <c r="B1491" t="s">
        <v>8878</v>
      </c>
      <c r="C1491" s="1" t="e">
        <f>VLOOKUP(Tabla_Items_Activos[[#This Row],[CODIGO]],Tabla_Items_Completos[[CODIGO]:[LINEA]],2,0)</f>
        <v>#N/A</v>
      </c>
      <c r="D1491" s="1" t="e">
        <f>VLOOKUP(Tabla_Items_Activos[[#This Row],[CODIGO]],Tabla_Items_Completos[[CODIGO]:[LINEA]],3,0)</f>
        <v>#N/A</v>
      </c>
      <c r="E1491" s="1" t="e">
        <f>VLOOKUP(Tabla_Items_Activos[[#This Row],[CODIGO]],Tabla_Items_Completos[[CODIGO]:[LINEA]],4,0)</f>
        <v>#N/A</v>
      </c>
      <c r="F1491">
        <v>21</v>
      </c>
      <c r="G1491">
        <v>0</v>
      </c>
    </row>
    <row r="1492" spans="1:7">
      <c r="A1492" t="s">
        <v>7388</v>
      </c>
      <c r="B1492" t="s">
        <v>8879</v>
      </c>
      <c r="C1492" s="1" t="e">
        <f>VLOOKUP(Tabla_Items_Activos[[#This Row],[CODIGO]],Tabla_Items_Completos[[CODIGO]:[LINEA]],2,0)</f>
        <v>#N/A</v>
      </c>
      <c r="D1492" s="1" t="e">
        <f>VLOOKUP(Tabla_Items_Activos[[#This Row],[CODIGO]],Tabla_Items_Completos[[CODIGO]:[LINEA]],3,0)</f>
        <v>#N/A</v>
      </c>
      <c r="E1492" s="1" t="e">
        <f>VLOOKUP(Tabla_Items_Activos[[#This Row],[CODIGO]],Tabla_Items_Completos[[CODIGO]:[LINEA]],4,0)</f>
        <v>#N/A</v>
      </c>
      <c r="F1492">
        <v>1350</v>
      </c>
      <c r="G1492">
        <v>0</v>
      </c>
    </row>
    <row r="1493" spans="1:7">
      <c r="A1493" t="s">
        <v>7388</v>
      </c>
      <c r="B1493" t="s">
        <v>8880</v>
      </c>
      <c r="C1493" s="1" t="e">
        <f>VLOOKUP(Tabla_Items_Activos[[#This Row],[CODIGO]],Tabla_Items_Completos[[CODIGO]:[LINEA]],2,0)</f>
        <v>#N/A</v>
      </c>
      <c r="D1493" s="1" t="e">
        <f>VLOOKUP(Tabla_Items_Activos[[#This Row],[CODIGO]],Tabla_Items_Completos[[CODIGO]:[LINEA]],3,0)</f>
        <v>#N/A</v>
      </c>
      <c r="E1493" s="1" t="e">
        <f>VLOOKUP(Tabla_Items_Activos[[#This Row],[CODIGO]],Tabla_Items_Completos[[CODIGO]:[LINEA]],4,0)</f>
        <v>#N/A</v>
      </c>
      <c r="F1493">
        <v>290</v>
      </c>
      <c r="G1493">
        <v>0</v>
      </c>
    </row>
    <row r="1494" spans="1:7">
      <c r="A1494" t="s">
        <v>7388</v>
      </c>
      <c r="B1494" t="s">
        <v>8881</v>
      </c>
      <c r="C1494" s="1" t="e">
        <f>VLOOKUP(Tabla_Items_Activos[[#This Row],[CODIGO]],Tabla_Items_Completos[[CODIGO]:[LINEA]],2,0)</f>
        <v>#N/A</v>
      </c>
      <c r="D1494" s="1" t="e">
        <f>VLOOKUP(Tabla_Items_Activos[[#This Row],[CODIGO]],Tabla_Items_Completos[[CODIGO]:[LINEA]],3,0)</f>
        <v>#N/A</v>
      </c>
      <c r="E1494" s="1" t="e">
        <f>VLOOKUP(Tabla_Items_Activos[[#This Row],[CODIGO]],Tabla_Items_Completos[[CODIGO]:[LINEA]],4,0)</f>
        <v>#N/A</v>
      </c>
      <c r="F1494">
        <v>487</v>
      </c>
      <c r="G1494">
        <v>0</v>
      </c>
    </row>
    <row r="1495" spans="1:7">
      <c r="A1495" t="s">
        <v>7388</v>
      </c>
      <c r="B1495" t="s">
        <v>8882</v>
      </c>
      <c r="C1495" s="1" t="e">
        <f>VLOOKUP(Tabla_Items_Activos[[#This Row],[CODIGO]],Tabla_Items_Completos[[CODIGO]:[LINEA]],2,0)</f>
        <v>#N/A</v>
      </c>
      <c r="D1495" s="1" t="e">
        <f>VLOOKUP(Tabla_Items_Activos[[#This Row],[CODIGO]],Tabla_Items_Completos[[CODIGO]:[LINEA]],3,0)</f>
        <v>#N/A</v>
      </c>
      <c r="E1495" s="1" t="e">
        <f>VLOOKUP(Tabla_Items_Activos[[#This Row],[CODIGO]],Tabla_Items_Completos[[CODIGO]:[LINEA]],4,0)</f>
        <v>#N/A</v>
      </c>
      <c r="F1495">
        <v>678</v>
      </c>
      <c r="G1495">
        <v>1445</v>
      </c>
    </row>
    <row r="1496" spans="1:7">
      <c r="A1496" t="s">
        <v>7388</v>
      </c>
      <c r="B1496" t="s">
        <v>8883</v>
      </c>
      <c r="C1496" s="1" t="e">
        <f>VLOOKUP(Tabla_Items_Activos[[#This Row],[CODIGO]],Tabla_Items_Completos[[CODIGO]:[LINEA]],2,0)</f>
        <v>#N/A</v>
      </c>
      <c r="D1496" s="1" t="e">
        <f>VLOOKUP(Tabla_Items_Activos[[#This Row],[CODIGO]],Tabla_Items_Completos[[CODIGO]:[LINEA]],3,0)</f>
        <v>#N/A</v>
      </c>
      <c r="E1496" s="1" t="e">
        <f>VLOOKUP(Tabla_Items_Activos[[#This Row],[CODIGO]],Tabla_Items_Completos[[CODIGO]:[LINEA]],4,0)</f>
        <v>#N/A</v>
      </c>
      <c r="F1496">
        <v>324</v>
      </c>
      <c r="G1496">
        <v>253</v>
      </c>
    </row>
    <row r="1497" spans="1:7">
      <c r="A1497" t="s">
        <v>7388</v>
      </c>
      <c r="B1497" t="s">
        <v>8884</v>
      </c>
      <c r="C1497" s="1" t="e">
        <f>VLOOKUP(Tabla_Items_Activos[[#This Row],[CODIGO]],Tabla_Items_Completos[[CODIGO]:[LINEA]],2,0)</f>
        <v>#N/A</v>
      </c>
      <c r="D1497" s="1" t="e">
        <f>VLOOKUP(Tabla_Items_Activos[[#This Row],[CODIGO]],Tabla_Items_Completos[[CODIGO]:[LINEA]],3,0)</f>
        <v>#N/A</v>
      </c>
      <c r="E1497" s="1" t="e">
        <f>VLOOKUP(Tabla_Items_Activos[[#This Row],[CODIGO]],Tabla_Items_Completos[[CODIGO]:[LINEA]],4,0)</f>
        <v>#N/A</v>
      </c>
      <c r="F1497">
        <v>1282</v>
      </c>
      <c r="G1497">
        <v>0</v>
      </c>
    </row>
    <row r="1498" spans="1:7">
      <c r="A1498" t="s">
        <v>7388</v>
      </c>
      <c r="B1498" t="s">
        <v>8885</v>
      </c>
      <c r="C1498" s="1" t="e">
        <f>VLOOKUP(Tabla_Items_Activos[[#This Row],[CODIGO]],Tabla_Items_Completos[[CODIGO]:[LINEA]],2,0)</f>
        <v>#N/A</v>
      </c>
      <c r="D1498" s="1" t="e">
        <f>VLOOKUP(Tabla_Items_Activos[[#This Row],[CODIGO]],Tabla_Items_Completos[[CODIGO]:[LINEA]],3,0)</f>
        <v>#N/A</v>
      </c>
      <c r="E1498" s="1" t="e">
        <f>VLOOKUP(Tabla_Items_Activos[[#This Row],[CODIGO]],Tabla_Items_Completos[[CODIGO]:[LINEA]],4,0)</f>
        <v>#N/A</v>
      </c>
      <c r="F1498">
        <v>799</v>
      </c>
      <c r="G1498">
        <v>25</v>
      </c>
    </row>
    <row r="1499" spans="1:7">
      <c r="A1499" t="s">
        <v>7388</v>
      </c>
      <c r="B1499" t="s">
        <v>8886</v>
      </c>
      <c r="C1499" s="1" t="e">
        <f>VLOOKUP(Tabla_Items_Activos[[#This Row],[CODIGO]],Tabla_Items_Completos[[CODIGO]:[LINEA]],2,0)</f>
        <v>#N/A</v>
      </c>
      <c r="D1499" s="1" t="e">
        <f>VLOOKUP(Tabla_Items_Activos[[#This Row],[CODIGO]],Tabla_Items_Completos[[CODIGO]:[LINEA]],3,0)</f>
        <v>#N/A</v>
      </c>
      <c r="E1499" s="1" t="e">
        <f>VLOOKUP(Tabla_Items_Activos[[#This Row],[CODIGO]],Tabla_Items_Completos[[CODIGO]:[LINEA]],4,0)</f>
        <v>#N/A</v>
      </c>
      <c r="F1499">
        <v>914</v>
      </c>
      <c r="G1499">
        <v>55</v>
      </c>
    </row>
    <row r="1500" spans="1:7">
      <c r="A1500" t="s">
        <v>7388</v>
      </c>
      <c r="B1500" t="s">
        <v>8887</v>
      </c>
      <c r="C1500" s="1" t="e">
        <f>VLOOKUP(Tabla_Items_Activos[[#This Row],[CODIGO]],Tabla_Items_Completos[[CODIGO]:[LINEA]],2,0)</f>
        <v>#N/A</v>
      </c>
      <c r="D1500" s="1" t="e">
        <f>VLOOKUP(Tabla_Items_Activos[[#This Row],[CODIGO]],Tabla_Items_Completos[[CODIGO]:[LINEA]],3,0)</f>
        <v>#N/A</v>
      </c>
      <c r="E1500" s="1" t="e">
        <f>VLOOKUP(Tabla_Items_Activos[[#This Row],[CODIGO]],Tabla_Items_Completos[[CODIGO]:[LINEA]],4,0)</f>
        <v>#N/A</v>
      </c>
      <c r="F1500">
        <v>1922</v>
      </c>
      <c r="G1500">
        <v>527</v>
      </c>
    </row>
    <row r="1501" spans="1:7">
      <c r="A1501" t="s">
        <v>7388</v>
      </c>
      <c r="B1501" t="s">
        <v>8888</v>
      </c>
      <c r="C1501" s="1" t="e">
        <f>VLOOKUP(Tabla_Items_Activos[[#This Row],[CODIGO]],Tabla_Items_Completos[[CODIGO]:[LINEA]],2,0)</f>
        <v>#N/A</v>
      </c>
      <c r="D1501" s="1" t="e">
        <f>VLOOKUP(Tabla_Items_Activos[[#This Row],[CODIGO]],Tabla_Items_Completos[[CODIGO]:[LINEA]],3,0)</f>
        <v>#N/A</v>
      </c>
      <c r="E1501" s="1" t="e">
        <f>VLOOKUP(Tabla_Items_Activos[[#This Row],[CODIGO]],Tabla_Items_Completos[[CODIGO]:[LINEA]],4,0)</f>
        <v>#N/A</v>
      </c>
      <c r="F1501">
        <v>388</v>
      </c>
      <c r="G1501">
        <v>109</v>
      </c>
    </row>
    <row r="1502" spans="1:7">
      <c r="A1502" t="s">
        <v>7388</v>
      </c>
      <c r="B1502" t="s">
        <v>8889</v>
      </c>
      <c r="C1502" s="1" t="e">
        <f>VLOOKUP(Tabla_Items_Activos[[#This Row],[CODIGO]],Tabla_Items_Completos[[CODIGO]:[LINEA]],2,0)</f>
        <v>#N/A</v>
      </c>
      <c r="D1502" s="1" t="e">
        <f>VLOOKUP(Tabla_Items_Activos[[#This Row],[CODIGO]],Tabla_Items_Completos[[CODIGO]:[LINEA]],3,0)</f>
        <v>#N/A</v>
      </c>
      <c r="E1502" s="1" t="e">
        <f>VLOOKUP(Tabla_Items_Activos[[#This Row],[CODIGO]],Tabla_Items_Completos[[CODIGO]:[LINEA]],4,0)</f>
        <v>#N/A</v>
      </c>
      <c r="F1502">
        <v>1072</v>
      </c>
      <c r="G1502">
        <v>158</v>
      </c>
    </row>
    <row r="1503" spans="1:7">
      <c r="A1503" t="s">
        <v>7388</v>
      </c>
      <c r="B1503" t="s">
        <v>8890</v>
      </c>
      <c r="C1503" s="1" t="e">
        <f>VLOOKUP(Tabla_Items_Activos[[#This Row],[CODIGO]],Tabla_Items_Completos[[CODIGO]:[LINEA]],2,0)</f>
        <v>#N/A</v>
      </c>
      <c r="D1503" s="1" t="e">
        <f>VLOOKUP(Tabla_Items_Activos[[#This Row],[CODIGO]],Tabla_Items_Completos[[CODIGO]:[LINEA]],3,0)</f>
        <v>#N/A</v>
      </c>
      <c r="E1503" s="1" t="e">
        <f>VLOOKUP(Tabla_Items_Activos[[#This Row],[CODIGO]],Tabla_Items_Completos[[CODIGO]:[LINEA]],4,0)</f>
        <v>#N/A</v>
      </c>
      <c r="F1503">
        <v>852</v>
      </c>
      <c r="G1503">
        <v>64</v>
      </c>
    </row>
    <row r="1504" spans="1:7">
      <c r="A1504" t="s">
        <v>7388</v>
      </c>
      <c r="B1504" t="s">
        <v>8891</v>
      </c>
      <c r="C1504" s="1" t="e">
        <f>VLOOKUP(Tabla_Items_Activos[[#This Row],[CODIGO]],Tabla_Items_Completos[[CODIGO]:[LINEA]],2,0)</f>
        <v>#N/A</v>
      </c>
      <c r="D1504" s="1" t="e">
        <f>VLOOKUP(Tabla_Items_Activos[[#This Row],[CODIGO]],Tabla_Items_Completos[[CODIGO]:[LINEA]],3,0)</f>
        <v>#N/A</v>
      </c>
      <c r="E1504" s="1" t="e">
        <f>VLOOKUP(Tabla_Items_Activos[[#This Row],[CODIGO]],Tabla_Items_Completos[[CODIGO]:[LINEA]],4,0)</f>
        <v>#N/A</v>
      </c>
      <c r="F1504">
        <v>1019</v>
      </c>
      <c r="G1504">
        <v>0</v>
      </c>
    </row>
    <row r="1505" spans="1:7">
      <c r="A1505" t="s">
        <v>7388</v>
      </c>
      <c r="B1505" t="s">
        <v>8892</v>
      </c>
      <c r="C1505" s="1" t="e">
        <f>VLOOKUP(Tabla_Items_Activos[[#This Row],[CODIGO]],Tabla_Items_Completos[[CODIGO]:[LINEA]],2,0)</f>
        <v>#N/A</v>
      </c>
      <c r="D1505" s="1" t="e">
        <f>VLOOKUP(Tabla_Items_Activos[[#This Row],[CODIGO]],Tabla_Items_Completos[[CODIGO]:[LINEA]],3,0)</f>
        <v>#N/A</v>
      </c>
      <c r="E1505" s="1" t="e">
        <f>VLOOKUP(Tabla_Items_Activos[[#This Row],[CODIGO]],Tabla_Items_Completos[[CODIGO]:[LINEA]],4,0)</f>
        <v>#N/A</v>
      </c>
      <c r="F1505">
        <v>384</v>
      </c>
      <c r="G1505">
        <v>92</v>
      </c>
    </row>
    <row r="1506" spans="1:7">
      <c r="A1506" t="s">
        <v>7388</v>
      </c>
      <c r="B1506" t="s">
        <v>8893</v>
      </c>
      <c r="C1506" s="1" t="e">
        <f>VLOOKUP(Tabla_Items_Activos[[#This Row],[CODIGO]],Tabla_Items_Completos[[CODIGO]:[LINEA]],2,0)</f>
        <v>#N/A</v>
      </c>
      <c r="D1506" s="1" t="e">
        <f>VLOOKUP(Tabla_Items_Activos[[#This Row],[CODIGO]],Tabla_Items_Completos[[CODIGO]:[LINEA]],3,0)</f>
        <v>#N/A</v>
      </c>
      <c r="E1506" s="1" t="e">
        <f>VLOOKUP(Tabla_Items_Activos[[#This Row],[CODIGO]],Tabla_Items_Completos[[CODIGO]:[LINEA]],4,0)</f>
        <v>#N/A</v>
      </c>
      <c r="F1506">
        <v>331</v>
      </c>
      <c r="G1506">
        <v>0</v>
      </c>
    </row>
    <row r="1507" spans="1:7">
      <c r="A1507" t="s">
        <v>7388</v>
      </c>
      <c r="B1507" t="s">
        <v>8894</v>
      </c>
      <c r="C1507" s="1" t="e">
        <f>VLOOKUP(Tabla_Items_Activos[[#This Row],[CODIGO]],Tabla_Items_Completos[[CODIGO]:[LINEA]],2,0)</f>
        <v>#N/A</v>
      </c>
      <c r="D1507" s="1" t="e">
        <f>VLOOKUP(Tabla_Items_Activos[[#This Row],[CODIGO]],Tabla_Items_Completos[[CODIGO]:[LINEA]],3,0)</f>
        <v>#N/A</v>
      </c>
      <c r="E1507" s="1" t="e">
        <f>VLOOKUP(Tabla_Items_Activos[[#This Row],[CODIGO]],Tabla_Items_Completos[[CODIGO]:[LINEA]],4,0)</f>
        <v>#N/A</v>
      </c>
      <c r="F1507">
        <v>1356</v>
      </c>
      <c r="G1507">
        <v>0</v>
      </c>
    </row>
    <row r="1508" spans="1:7">
      <c r="A1508" t="s">
        <v>7388</v>
      </c>
      <c r="B1508" t="s">
        <v>8895</v>
      </c>
      <c r="C1508" s="1" t="e">
        <f>VLOOKUP(Tabla_Items_Activos[[#This Row],[CODIGO]],Tabla_Items_Completos[[CODIGO]:[LINEA]],2,0)</f>
        <v>#N/A</v>
      </c>
      <c r="D1508" s="1" t="e">
        <f>VLOOKUP(Tabla_Items_Activos[[#This Row],[CODIGO]],Tabla_Items_Completos[[CODIGO]:[LINEA]],3,0)</f>
        <v>#N/A</v>
      </c>
      <c r="E1508" s="1" t="e">
        <f>VLOOKUP(Tabla_Items_Activos[[#This Row],[CODIGO]],Tabla_Items_Completos[[CODIGO]:[LINEA]],4,0)</f>
        <v>#N/A</v>
      </c>
      <c r="F1508">
        <v>112</v>
      </c>
      <c r="G1508">
        <v>0</v>
      </c>
    </row>
    <row r="1509" spans="1:7">
      <c r="A1509" t="s">
        <v>7388</v>
      </c>
      <c r="B1509" t="s">
        <v>8896</v>
      </c>
      <c r="C1509" s="1" t="e">
        <f>VLOOKUP(Tabla_Items_Activos[[#This Row],[CODIGO]],Tabla_Items_Completos[[CODIGO]:[LINEA]],2,0)</f>
        <v>#N/A</v>
      </c>
      <c r="D1509" s="1" t="e">
        <f>VLOOKUP(Tabla_Items_Activos[[#This Row],[CODIGO]],Tabla_Items_Completos[[CODIGO]:[LINEA]],3,0)</f>
        <v>#N/A</v>
      </c>
      <c r="E1509" s="1" t="e">
        <f>VLOOKUP(Tabla_Items_Activos[[#This Row],[CODIGO]],Tabla_Items_Completos[[CODIGO]:[LINEA]],4,0)</f>
        <v>#N/A</v>
      </c>
      <c r="F1509">
        <v>198</v>
      </c>
      <c r="G1509">
        <v>0</v>
      </c>
    </row>
    <row r="1510" spans="1:7">
      <c r="A1510" t="s">
        <v>7388</v>
      </c>
      <c r="B1510" t="s">
        <v>8897</v>
      </c>
      <c r="C1510" s="1" t="e">
        <f>VLOOKUP(Tabla_Items_Activos[[#This Row],[CODIGO]],Tabla_Items_Completos[[CODIGO]:[LINEA]],2,0)</f>
        <v>#N/A</v>
      </c>
      <c r="D1510" s="1" t="e">
        <f>VLOOKUP(Tabla_Items_Activos[[#This Row],[CODIGO]],Tabla_Items_Completos[[CODIGO]:[LINEA]],3,0)</f>
        <v>#N/A</v>
      </c>
      <c r="E1510" s="1" t="e">
        <f>VLOOKUP(Tabla_Items_Activos[[#This Row],[CODIGO]],Tabla_Items_Completos[[CODIGO]:[LINEA]],4,0)</f>
        <v>#N/A</v>
      </c>
      <c r="F1510">
        <v>95</v>
      </c>
      <c r="G1510">
        <v>19</v>
      </c>
    </row>
    <row r="1511" spans="1:7">
      <c r="A1511" t="s">
        <v>7388</v>
      </c>
      <c r="B1511" t="s">
        <v>8898</v>
      </c>
      <c r="C1511" s="1" t="e">
        <f>VLOOKUP(Tabla_Items_Activos[[#This Row],[CODIGO]],Tabla_Items_Completos[[CODIGO]:[LINEA]],2,0)</f>
        <v>#N/A</v>
      </c>
      <c r="D1511" s="1" t="e">
        <f>VLOOKUP(Tabla_Items_Activos[[#This Row],[CODIGO]],Tabla_Items_Completos[[CODIGO]:[LINEA]],3,0)</f>
        <v>#N/A</v>
      </c>
      <c r="E1511" s="1" t="e">
        <f>VLOOKUP(Tabla_Items_Activos[[#This Row],[CODIGO]],Tabla_Items_Completos[[CODIGO]:[LINEA]],4,0)</f>
        <v>#N/A</v>
      </c>
      <c r="F1511">
        <v>121</v>
      </c>
      <c r="G1511">
        <v>72</v>
      </c>
    </row>
    <row r="1512" spans="1:7">
      <c r="A1512" t="s">
        <v>7388</v>
      </c>
      <c r="B1512" t="s">
        <v>8899</v>
      </c>
      <c r="C1512" s="1" t="e">
        <f>VLOOKUP(Tabla_Items_Activos[[#This Row],[CODIGO]],Tabla_Items_Completos[[CODIGO]:[LINEA]],2,0)</f>
        <v>#N/A</v>
      </c>
      <c r="D1512" s="1" t="e">
        <f>VLOOKUP(Tabla_Items_Activos[[#This Row],[CODIGO]],Tabla_Items_Completos[[CODIGO]:[LINEA]],3,0)</f>
        <v>#N/A</v>
      </c>
      <c r="E1512" s="1" t="e">
        <f>VLOOKUP(Tabla_Items_Activos[[#This Row],[CODIGO]],Tabla_Items_Completos[[CODIGO]:[LINEA]],4,0)</f>
        <v>#N/A</v>
      </c>
      <c r="F1512">
        <v>1028</v>
      </c>
      <c r="G1512">
        <v>3</v>
      </c>
    </row>
    <row r="1513" spans="1:7">
      <c r="A1513" t="s">
        <v>7388</v>
      </c>
      <c r="B1513" t="s">
        <v>8900</v>
      </c>
      <c r="C1513" s="1" t="e">
        <f>VLOOKUP(Tabla_Items_Activos[[#This Row],[CODIGO]],Tabla_Items_Completos[[CODIGO]:[LINEA]],2,0)</f>
        <v>#N/A</v>
      </c>
      <c r="D1513" s="1" t="e">
        <f>VLOOKUP(Tabla_Items_Activos[[#This Row],[CODIGO]],Tabla_Items_Completos[[CODIGO]:[LINEA]],3,0)</f>
        <v>#N/A</v>
      </c>
      <c r="E1513" s="1" t="e">
        <f>VLOOKUP(Tabla_Items_Activos[[#This Row],[CODIGO]],Tabla_Items_Completos[[CODIGO]:[LINEA]],4,0)</f>
        <v>#N/A</v>
      </c>
      <c r="F1513">
        <v>235</v>
      </c>
      <c r="G1513">
        <v>0</v>
      </c>
    </row>
    <row r="1514" spans="1:7">
      <c r="A1514" t="s">
        <v>7388</v>
      </c>
      <c r="B1514" t="s">
        <v>8901</v>
      </c>
      <c r="C1514" s="1" t="e">
        <f>VLOOKUP(Tabla_Items_Activos[[#This Row],[CODIGO]],Tabla_Items_Completos[[CODIGO]:[LINEA]],2,0)</f>
        <v>#N/A</v>
      </c>
      <c r="D1514" s="1" t="e">
        <f>VLOOKUP(Tabla_Items_Activos[[#This Row],[CODIGO]],Tabla_Items_Completos[[CODIGO]:[LINEA]],3,0)</f>
        <v>#N/A</v>
      </c>
      <c r="E1514" s="1" t="e">
        <f>VLOOKUP(Tabla_Items_Activos[[#This Row],[CODIGO]],Tabla_Items_Completos[[CODIGO]:[LINEA]],4,0)</f>
        <v>#N/A</v>
      </c>
      <c r="F1514">
        <v>192</v>
      </c>
      <c r="G1514">
        <v>41</v>
      </c>
    </row>
    <row r="1515" spans="1:7">
      <c r="A1515" t="s">
        <v>7388</v>
      </c>
      <c r="B1515" t="s">
        <v>8902</v>
      </c>
      <c r="C1515" s="1" t="e">
        <f>VLOOKUP(Tabla_Items_Activos[[#This Row],[CODIGO]],Tabla_Items_Completos[[CODIGO]:[LINEA]],2,0)</f>
        <v>#N/A</v>
      </c>
      <c r="D1515" s="1" t="e">
        <f>VLOOKUP(Tabla_Items_Activos[[#This Row],[CODIGO]],Tabla_Items_Completos[[CODIGO]:[LINEA]],3,0)</f>
        <v>#N/A</v>
      </c>
      <c r="E1515" s="1" t="e">
        <f>VLOOKUP(Tabla_Items_Activos[[#This Row],[CODIGO]],Tabla_Items_Completos[[CODIGO]:[LINEA]],4,0)</f>
        <v>#N/A</v>
      </c>
      <c r="F1515">
        <v>63</v>
      </c>
      <c r="G1515">
        <v>0</v>
      </c>
    </row>
    <row r="1516" spans="1:7">
      <c r="A1516" t="s">
        <v>7388</v>
      </c>
      <c r="B1516" t="s">
        <v>8903</v>
      </c>
      <c r="C1516" s="1" t="e">
        <f>VLOOKUP(Tabla_Items_Activos[[#This Row],[CODIGO]],Tabla_Items_Completos[[CODIGO]:[LINEA]],2,0)</f>
        <v>#N/A</v>
      </c>
      <c r="D1516" s="1" t="e">
        <f>VLOOKUP(Tabla_Items_Activos[[#This Row],[CODIGO]],Tabla_Items_Completos[[CODIGO]:[LINEA]],3,0)</f>
        <v>#N/A</v>
      </c>
      <c r="E1516" s="1" t="e">
        <f>VLOOKUP(Tabla_Items_Activos[[#This Row],[CODIGO]],Tabla_Items_Completos[[CODIGO]:[LINEA]],4,0)</f>
        <v>#N/A</v>
      </c>
      <c r="F1516">
        <v>317</v>
      </c>
      <c r="G1516">
        <v>0</v>
      </c>
    </row>
    <row r="1517" spans="1:7">
      <c r="A1517" t="s">
        <v>7388</v>
      </c>
      <c r="B1517" t="s">
        <v>8904</v>
      </c>
      <c r="C1517" s="1" t="e">
        <f>VLOOKUP(Tabla_Items_Activos[[#This Row],[CODIGO]],Tabla_Items_Completos[[CODIGO]:[LINEA]],2,0)</f>
        <v>#N/A</v>
      </c>
      <c r="D1517" s="1" t="e">
        <f>VLOOKUP(Tabla_Items_Activos[[#This Row],[CODIGO]],Tabla_Items_Completos[[CODIGO]:[LINEA]],3,0)</f>
        <v>#N/A</v>
      </c>
      <c r="E1517" s="1" t="e">
        <f>VLOOKUP(Tabla_Items_Activos[[#This Row],[CODIGO]],Tabla_Items_Completos[[CODIGO]:[LINEA]],4,0)</f>
        <v>#N/A</v>
      </c>
      <c r="F1517">
        <v>152</v>
      </c>
      <c r="G1517">
        <v>29</v>
      </c>
    </row>
    <row r="1518" spans="1:7">
      <c r="A1518" t="s">
        <v>7388</v>
      </c>
      <c r="B1518" t="s">
        <v>8905</v>
      </c>
      <c r="C1518" s="1" t="e">
        <f>VLOOKUP(Tabla_Items_Activos[[#This Row],[CODIGO]],Tabla_Items_Completos[[CODIGO]:[LINEA]],2,0)</f>
        <v>#N/A</v>
      </c>
      <c r="D1518" s="1" t="e">
        <f>VLOOKUP(Tabla_Items_Activos[[#This Row],[CODIGO]],Tabla_Items_Completos[[CODIGO]:[LINEA]],3,0)</f>
        <v>#N/A</v>
      </c>
      <c r="E1518" s="1" t="e">
        <f>VLOOKUP(Tabla_Items_Activos[[#This Row],[CODIGO]],Tabla_Items_Completos[[CODIGO]:[LINEA]],4,0)</f>
        <v>#N/A</v>
      </c>
      <c r="F1518">
        <v>494</v>
      </c>
      <c r="G1518">
        <v>0</v>
      </c>
    </row>
    <row r="1519" spans="1:7">
      <c r="A1519" t="s">
        <v>7388</v>
      </c>
      <c r="B1519" t="s">
        <v>8906</v>
      </c>
      <c r="C1519" s="1" t="e">
        <f>VLOOKUP(Tabla_Items_Activos[[#This Row],[CODIGO]],Tabla_Items_Completos[[CODIGO]:[LINEA]],2,0)</f>
        <v>#N/A</v>
      </c>
      <c r="D1519" s="1" t="e">
        <f>VLOOKUP(Tabla_Items_Activos[[#This Row],[CODIGO]],Tabla_Items_Completos[[CODIGO]:[LINEA]],3,0)</f>
        <v>#N/A</v>
      </c>
      <c r="E1519" s="1" t="e">
        <f>VLOOKUP(Tabla_Items_Activos[[#This Row],[CODIGO]],Tabla_Items_Completos[[CODIGO]:[LINEA]],4,0)</f>
        <v>#N/A</v>
      </c>
      <c r="F1519">
        <v>353</v>
      </c>
      <c r="G1519">
        <v>0</v>
      </c>
    </row>
    <row r="1520" spans="1:7">
      <c r="A1520" t="s">
        <v>7388</v>
      </c>
      <c r="B1520" t="s">
        <v>8907</v>
      </c>
      <c r="C1520" s="1" t="e">
        <f>VLOOKUP(Tabla_Items_Activos[[#This Row],[CODIGO]],Tabla_Items_Completos[[CODIGO]:[LINEA]],2,0)</f>
        <v>#N/A</v>
      </c>
      <c r="D1520" s="1" t="e">
        <f>VLOOKUP(Tabla_Items_Activos[[#This Row],[CODIGO]],Tabla_Items_Completos[[CODIGO]:[LINEA]],3,0)</f>
        <v>#N/A</v>
      </c>
      <c r="E1520" s="1" t="e">
        <f>VLOOKUP(Tabla_Items_Activos[[#This Row],[CODIGO]],Tabla_Items_Completos[[CODIGO]:[LINEA]],4,0)</f>
        <v>#N/A</v>
      </c>
      <c r="F1520">
        <v>404</v>
      </c>
      <c r="G1520">
        <v>191</v>
      </c>
    </row>
    <row r="1521" spans="1:7">
      <c r="A1521" t="s">
        <v>7388</v>
      </c>
      <c r="B1521" t="s">
        <v>8908</v>
      </c>
      <c r="C1521" s="1" t="e">
        <f>VLOOKUP(Tabla_Items_Activos[[#This Row],[CODIGO]],Tabla_Items_Completos[[CODIGO]:[LINEA]],2,0)</f>
        <v>#N/A</v>
      </c>
      <c r="D1521" s="1" t="e">
        <f>VLOOKUP(Tabla_Items_Activos[[#This Row],[CODIGO]],Tabla_Items_Completos[[CODIGO]:[LINEA]],3,0)</f>
        <v>#N/A</v>
      </c>
      <c r="E1521" s="1" t="e">
        <f>VLOOKUP(Tabla_Items_Activos[[#This Row],[CODIGO]],Tabla_Items_Completos[[CODIGO]:[LINEA]],4,0)</f>
        <v>#N/A</v>
      </c>
      <c r="F1521">
        <v>87</v>
      </c>
      <c r="G1521">
        <v>56</v>
      </c>
    </row>
    <row r="1522" spans="1:7">
      <c r="A1522" t="s">
        <v>7388</v>
      </c>
      <c r="B1522" t="s">
        <v>8909</v>
      </c>
      <c r="C1522" s="1" t="e">
        <f>VLOOKUP(Tabla_Items_Activos[[#This Row],[CODIGO]],Tabla_Items_Completos[[CODIGO]:[LINEA]],2,0)</f>
        <v>#N/A</v>
      </c>
      <c r="D1522" s="1" t="e">
        <f>VLOOKUP(Tabla_Items_Activos[[#This Row],[CODIGO]],Tabla_Items_Completos[[CODIGO]:[LINEA]],3,0)</f>
        <v>#N/A</v>
      </c>
      <c r="E1522" s="1" t="e">
        <f>VLOOKUP(Tabla_Items_Activos[[#This Row],[CODIGO]],Tabla_Items_Completos[[CODIGO]:[LINEA]],4,0)</f>
        <v>#N/A</v>
      </c>
      <c r="F1522">
        <v>493</v>
      </c>
      <c r="G1522">
        <v>0</v>
      </c>
    </row>
    <row r="1523" spans="1:7">
      <c r="A1523" t="s">
        <v>7388</v>
      </c>
      <c r="B1523" t="s">
        <v>8910</v>
      </c>
      <c r="C1523" s="1" t="e">
        <f>VLOOKUP(Tabla_Items_Activos[[#This Row],[CODIGO]],Tabla_Items_Completos[[CODIGO]:[LINEA]],2,0)</f>
        <v>#N/A</v>
      </c>
      <c r="D1523" s="1" t="e">
        <f>VLOOKUP(Tabla_Items_Activos[[#This Row],[CODIGO]],Tabla_Items_Completos[[CODIGO]:[LINEA]],3,0)</f>
        <v>#N/A</v>
      </c>
      <c r="E1523" s="1" t="e">
        <f>VLOOKUP(Tabla_Items_Activos[[#This Row],[CODIGO]],Tabla_Items_Completos[[CODIGO]:[LINEA]],4,0)</f>
        <v>#N/A</v>
      </c>
      <c r="F1523">
        <v>232</v>
      </c>
      <c r="G1523">
        <v>0</v>
      </c>
    </row>
    <row r="1524" spans="1:7">
      <c r="A1524" t="s">
        <v>7388</v>
      </c>
      <c r="B1524" t="s">
        <v>8911</v>
      </c>
      <c r="C1524" s="1" t="e">
        <f>VLOOKUP(Tabla_Items_Activos[[#This Row],[CODIGO]],Tabla_Items_Completos[[CODIGO]:[LINEA]],2,0)</f>
        <v>#N/A</v>
      </c>
      <c r="D1524" s="1" t="e">
        <f>VLOOKUP(Tabla_Items_Activos[[#This Row],[CODIGO]],Tabla_Items_Completos[[CODIGO]:[LINEA]],3,0)</f>
        <v>#N/A</v>
      </c>
      <c r="E1524" s="1" t="e">
        <f>VLOOKUP(Tabla_Items_Activos[[#This Row],[CODIGO]],Tabla_Items_Completos[[CODIGO]:[LINEA]],4,0)</f>
        <v>#N/A</v>
      </c>
      <c r="F1524">
        <v>183</v>
      </c>
      <c r="G1524">
        <v>46</v>
      </c>
    </row>
    <row r="1525" spans="1:7">
      <c r="A1525" t="s">
        <v>7388</v>
      </c>
      <c r="B1525" t="s">
        <v>8912</v>
      </c>
      <c r="C1525" s="1" t="e">
        <f>VLOOKUP(Tabla_Items_Activos[[#This Row],[CODIGO]],Tabla_Items_Completos[[CODIGO]:[LINEA]],2,0)</f>
        <v>#N/A</v>
      </c>
      <c r="D1525" s="1" t="e">
        <f>VLOOKUP(Tabla_Items_Activos[[#This Row],[CODIGO]],Tabla_Items_Completos[[CODIGO]:[LINEA]],3,0)</f>
        <v>#N/A</v>
      </c>
      <c r="E1525" s="1" t="e">
        <f>VLOOKUP(Tabla_Items_Activos[[#This Row],[CODIGO]],Tabla_Items_Completos[[CODIGO]:[LINEA]],4,0)</f>
        <v>#N/A</v>
      </c>
      <c r="F1525">
        <v>189</v>
      </c>
      <c r="G1525">
        <v>3</v>
      </c>
    </row>
    <row r="1526" spans="1:7">
      <c r="A1526" t="s">
        <v>7388</v>
      </c>
      <c r="B1526" t="s">
        <v>8913</v>
      </c>
      <c r="C1526" s="1" t="e">
        <f>VLOOKUP(Tabla_Items_Activos[[#This Row],[CODIGO]],Tabla_Items_Completos[[CODIGO]:[LINEA]],2,0)</f>
        <v>#N/A</v>
      </c>
      <c r="D1526" s="1" t="e">
        <f>VLOOKUP(Tabla_Items_Activos[[#This Row],[CODIGO]],Tabla_Items_Completos[[CODIGO]:[LINEA]],3,0)</f>
        <v>#N/A</v>
      </c>
      <c r="E1526" s="1" t="e">
        <f>VLOOKUP(Tabla_Items_Activos[[#This Row],[CODIGO]],Tabla_Items_Completos[[CODIGO]:[LINEA]],4,0)</f>
        <v>#N/A</v>
      </c>
      <c r="F1526">
        <v>128</v>
      </c>
      <c r="G1526">
        <v>78</v>
      </c>
    </row>
    <row r="1527" spans="1:7">
      <c r="A1527" t="s">
        <v>7388</v>
      </c>
      <c r="B1527" t="s">
        <v>8914</v>
      </c>
      <c r="C1527" s="1" t="e">
        <f>VLOOKUP(Tabla_Items_Activos[[#This Row],[CODIGO]],Tabla_Items_Completos[[CODIGO]:[LINEA]],2,0)</f>
        <v>#N/A</v>
      </c>
      <c r="D1527" s="1" t="e">
        <f>VLOOKUP(Tabla_Items_Activos[[#This Row],[CODIGO]],Tabla_Items_Completos[[CODIGO]:[LINEA]],3,0)</f>
        <v>#N/A</v>
      </c>
      <c r="E1527" s="1" t="e">
        <f>VLOOKUP(Tabla_Items_Activos[[#This Row],[CODIGO]],Tabla_Items_Completos[[CODIGO]:[LINEA]],4,0)</f>
        <v>#N/A</v>
      </c>
      <c r="F1527">
        <v>106</v>
      </c>
      <c r="G1527">
        <v>102</v>
      </c>
    </row>
    <row r="1528" spans="1:7">
      <c r="A1528" t="s">
        <v>7388</v>
      </c>
      <c r="B1528" t="s">
        <v>8915</v>
      </c>
      <c r="C1528" s="1" t="e">
        <f>VLOOKUP(Tabla_Items_Activos[[#This Row],[CODIGO]],Tabla_Items_Completos[[CODIGO]:[LINEA]],2,0)</f>
        <v>#N/A</v>
      </c>
      <c r="D1528" s="1" t="e">
        <f>VLOOKUP(Tabla_Items_Activos[[#This Row],[CODIGO]],Tabla_Items_Completos[[CODIGO]:[LINEA]],3,0)</f>
        <v>#N/A</v>
      </c>
      <c r="E1528" s="1" t="e">
        <f>VLOOKUP(Tabla_Items_Activos[[#This Row],[CODIGO]],Tabla_Items_Completos[[CODIGO]:[LINEA]],4,0)</f>
        <v>#N/A</v>
      </c>
      <c r="F1528">
        <v>384</v>
      </c>
      <c r="G1528">
        <v>93</v>
      </c>
    </row>
    <row r="1529" spans="1:7">
      <c r="A1529" t="s">
        <v>7388</v>
      </c>
      <c r="B1529" t="s">
        <v>8916</v>
      </c>
      <c r="C1529" s="1" t="e">
        <f>VLOOKUP(Tabla_Items_Activos[[#This Row],[CODIGO]],Tabla_Items_Completos[[CODIGO]:[LINEA]],2,0)</f>
        <v>#N/A</v>
      </c>
      <c r="D1529" s="1" t="e">
        <f>VLOOKUP(Tabla_Items_Activos[[#This Row],[CODIGO]],Tabla_Items_Completos[[CODIGO]:[LINEA]],3,0)</f>
        <v>#N/A</v>
      </c>
      <c r="E1529" s="1" t="e">
        <f>VLOOKUP(Tabla_Items_Activos[[#This Row],[CODIGO]],Tabla_Items_Completos[[CODIGO]:[LINEA]],4,0)</f>
        <v>#N/A</v>
      </c>
      <c r="F1529">
        <v>186</v>
      </c>
      <c r="G1529">
        <v>0</v>
      </c>
    </row>
    <row r="1530" spans="1:7">
      <c r="A1530" t="s">
        <v>7388</v>
      </c>
      <c r="B1530" t="s">
        <v>8917</v>
      </c>
      <c r="C1530" s="1" t="e">
        <f>VLOOKUP(Tabla_Items_Activos[[#This Row],[CODIGO]],Tabla_Items_Completos[[CODIGO]:[LINEA]],2,0)</f>
        <v>#N/A</v>
      </c>
      <c r="D1530" s="1" t="e">
        <f>VLOOKUP(Tabla_Items_Activos[[#This Row],[CODIGO]],Tabla_Items_Completos[[CODIGO]:[LINEA]],3,0)</f>
        <v>#N/A</v>
      </c>
      <c r="E1530" s="1" t="e">
        <f>VLOOKUP(Tabla_Items_Activos[[#This Row],[CODIGO]],Tabla_Items_Completos[[CODIGO]:[LINEA]],4,0)</f>
        <v>#N/A</v>
      </c>
      <c r="F1530">
        <v>204</v>
      </c>
      <c r="G1530">
        <v>0</v>
      </c>
    </row>
    <row r="1531" spans="1:7">
      <c r="A1531" t="s">
        <v>7388</v>
      </c>
      <c r="B1531" t="s">
        <v>8918</v>
      </c>
      <c r="C1531" s="1" t="e">
        <f>VLOOKUP(Tabla_Items_Activos[[#This Row],[CODIGO]],Tabla_Items_Completos[[CODIGO]:[LINEA]],2,0)</f>
        <v>#N/A</v>
      </c>
      <c r="D1531" s="1" t="e">
        <f>VLOOKUP(Tabla_Items_Activos[[#This Row],[CODIGO]],Tabla_Items_Completos[[CODIGO]:[LINEA]],3,0)</f>
        <v>#N/A</v>
      </c>
      <c r="E1531" s="1" t="e">
        <f>VLOOKUP(Tabla_Items_Activos[[#This Row],[CODIGO]],Tabla_Items_Completos[[CODIGO]:[LINEA]],4,0)</f>
        <v>#N/A</v>
      </c>
      <c r="F1531">
        <v>275</v>
      </c>
      <c r="G1531">
        <v>0</v>
      </c>
    </row>
    <row r="1532" spans="1:7">
      <c r="A1532" t="s">
        <v>7388</v>
      </c>
      <c r="B1532" t="s">
        <v>8919</v>
      </c>
      <c r="C1532" s="1" t="e">
        <f>VLOOKUP(Tabla_Items_Activos[[#This Row],[CODIGO]],Tabla_Items_Completos[[CODIGO]:[LINEA]],2,0)</f>
        <v>#N/A</v>
      </c>
      <c r="D1532" s="1" t="e">
        <f>VLOOKUP(Tabla_Items_Activos[[#This Row],[CODIGO]],Tabla_Items_Completos[[CODIGO]:[LINEA]],3,0)</f>
        <v>#N/A</v>
      </c>
      <c r="E1532" s="1" t="e">
        <f>VLOOKUP(Tabla_Items_Activos[[#This Row],[CODIGO]],Tabla_Items_Completos[[CODIGO]:[LINEA]],4,0)</f>
        <v>#N/A</v>
      </c>
      <c r="F1532">
        <v>171</v>
      </c>
      <c r="G1532">
        <v>90</v>
      </c>
    </row>
    <row r="1533" spans="1:7">
      <c r="A1533" t="s">
        <v>7388</v>
      </c>
      <c r="B1533" t="s">
        <v>8920</v>
      </c>
      <c r="C1533" s="1" t="e">
        <f>VLOOKUP(Tabla_Items_Activos[[#This Row],[CODIGO]],Tabla_Items_Completos[[CODIGO]:[LINEA]],2,0)</f>
        <v>#N/A</v>
      </c>
      <c r="D1533" s="1" t="e">
        <f>VLOOKUP(Tabla_Items_Activos[[#This Row],[CODIGO]],Tabla_Items_Completos[[CODIGO]:[LINEA]],3,0)</f>
        <v>#N/A</v>
      </c>
      <c r="E1533" s="1" t="e">
        <f>VLOOKUP(Tabla_Items_Activos[[#This Row],[CODIGO]],Tabla_Items_Completos[[CODIGO]:[LINEA]],4,0)</f>
        <v>#N/A</v>
      </c>
      <c r="F1533">
        <v>563</v>
      </c>
      <c r="G1533">
        <v>0</v>
      </c>
    </row>
    <row r="1534" spans="1:7">
      <c r="A1534" t="s">
        <v>7388</v>
      </c>
      <c r="B1534" t="s">
        <v>8921</v>
      </c>
      <c r="C1534" s="1" t="e">
        <f>VLOOKUP(Tabla_Items_Activos[[#This Row],[CODIGO]],Tabla_Items_Completos[[CODIGO]:[LINEA]],2,0)</f>
        <v>#N/A</v>
      </c>
      <c r="D1534" s="1" t="e">
        <f>VLOOKUP(Tabla_Items_Activos[[#This Row],[CODIGO]],Tabla_Items_Completos[[CODIGO]:[LINEA]],3,0)</f>
        <v>#N/A</v>
      </c>
      <c r="E1534" s="1" t="e">
        <f>VLOOKUP(Tabla_Items_Activos[[#This Row],[CODIGO]],Tabla_Items_Completos[[CODIGO]:[LINEA]],4,0)</f>
        <v>#N/A</v>
      </c>
      <c r="F1534">
        <v>2384</v>
      </c>
      <c r="G1534">
        <v>0</v>
      </c>
    </row>
    <row r="1535" spans="1:7">
      <c r="A1535" t="s">
        <v>7388</v>
      </c>
      <c r="B1535" t="s">
        <v>8922</v>
      </c>
      <c r="C1535" s="1" t="e">
        <f>VLOOKUP(Tabla_Items_Activos[[#This Row],[CODIGO]],Tabla_Items_Completos[[CODIGO]:[LINEA]],2,0)</f>
        <v>#N/A</v>
      </c>
      <c r="D1535" s="1" t="e">
        <f>VLOOKUP(Tabla_Items_Activos[[#This Row],[CODIGO]],Tabla_Items_Completos[[CODIGO]:[LINEA]],3,0)</f>
        <v>#N/A</v>
      </c>
      <c r="E1535" s="1" t="e">
        <f>VLOOKUP(Tabla_Items_Activos[[#This Row],[CODIGO]],Tabla_Items_Completos[[CODIGO]:[LINEA]],4,0)</f>
        <v>#N/A</v>
      </c>
      <c r="F1535">
        <v>184</v>
      </c>
      <c r="G1535">
        <v>54</v>
      </c>
    </row>
    <row r="1536" spans="1:7">
      <c r="A1536" t="s">
        <v>7388</v>
      </c>
      <c r="B1536" t="s">
        <v>8923</v>
      </c>
      <c r="C1536" s="1" t="e">
        <f>VLOOKUP(Tabla_Items_Activos[[#This Row],[CODIGO]],Tabla_Items_Completos[[CODIGO]:[LINEA]],2,0)</f>
        <v>#N/A</v>
      </c>
      <c r="D1536" s="1" t="e">
        <f>VLOOKUP(Tabla_Items_Activos[[#This Row],[CODIGO]],Tabla_Items_Completos[[CODIGO]:[LINEA]],3,0)</f>
        <v>#N/A</v>
      </c>
      <c r="E1536" s="1" t="e">
        <f>VLOOKUP(Tabla_Items_Activos[[#This Row],[CODIGO]],Tabla_Items_Completos[[CODIGO]:[LINEA]],4,0)</f>
        <v>#N/A</v>
      </c>
      <c r="F1536">
        <v>16</v>
      </c>
      <c r="G1536">
        <v>61</v>
      </c>
    </row>
    <row r="1537" spans="1:7">
      <c r="A1537" t="s">
        <v>7388</v>
      </c>
      <c r="B1537" t="s">
        <v>8924</v>
      </c>
      <c r="C1537" s="1" t="e">
        <f>VLOOKUP(Tabla_Items_Activos[[#This Row],[CODIGO]],Tabla_Items_Completos[[CODIGO]:[LINEA]],2,0)</f>
        <v>#N/A</v>
      </c>
      <c r="D1537" s="1" t="e">
        <f>VLOOKUP(Tabla_Items_Activos[[#This Row],[CODIGO]],Tabla_Items_Completos[[CODIGO]:[LINEA]],3,0)</f>
        <v>#N/A</v>
      </c>
      <c r="E1537" s="1" t="e">
        <f>VLOOKUP(Tabla_Items_Activos[[#This Row],[CODIGO]],Tabla_Items_Completos[[CODIGO]:[LINEA]],4,0)</f>
        <v>#N/A</v>
      </c>
      <c r="F1537">
        <v>263</v>
      </c>
      <c r="G1537">
        <v>97</v>
      </c>
    </row>
    <row r="1538" spans="1:7">
      <c r="A1538" t="s">
        <v>7388</v>
      </c>
      <c r="B1538" t="s">
        <v>8925</v>
      </c>
      <c r="C1538" s="1" t="e">
        <f>VLOOKUP(Tabla_Items_Activos[[#This Row],[CODIGO]],Tabla_Items_Completos[[CODIGO]:[LINEA]],2,0)</f>
        <v>#N/A</v>
      </c>
      <c r="D1538" s="1" t="e">
        <f>VLOOKUP(Tabla_Items_Activos[[#This Row],[CODIGO]],Tabla_Items_Completos[[CODIGO]:[LINEA]],3,0)</f>
        <v>#N/A</v>
      </c>
      <c r="E1538" s="1" t="e">
        <f>VLOOKUP(Tabla_Items_Activos[[#This Row],[CODIGO]],Tabla_Items_Completos[[CODIGO]:[LINEA]],4,0)</f>
        <v>#N/A</v>
      </c>
      <c r="F1538">
        <v>4</v>
      </c>
      <c r="G1538">
        <v>0</v>
      </c>
    </row>
    <row r="1539" spans="1:7">
      <c r="A1539" t="s">
        <v>7388</v>
      </c>
      <c r="B1539" t="s">
        <v>8926</v>
      </c>
      <c r="C1539" s="1" t="e">
        <f>VLOOKUP(Tabla_Items_Activos[[#This Row],[CODIGO]],Tabla_Items_Completos[[CODIGO]:[LINEA]],2,0)</f>
        <v>#N/A</v>
      </c>
      <c r="D1539" s="1" t="e">
        <f>VLOOKUP(Tabla_Items_Activos[[#This Row],[CODIGO]],Tabla_Items_Completos[[CODIGO]:[LINEA]],3,0)</f>
        <v>#N/A</v>
      </c>
      <c r="E1539" s="1" t="e">
        <f>VLOOKUP(Tabla_Items_Activos[[#This Row],[CODIGO]],Tabla_Items_Completos[[CODIGO]:[LINEA]],4,0)</f>
        <v>#N/A</v>
      </c>
      <c r="F1539">
        <v>232</v>
      </c>
      <c r="G1539">
        <v>75</v>
      </c>
    </row>
    <row r="1540" spans="1:7">
      <c r="A1540" t="s">
        <v>7388</v>
      </c>
      <c r="B1540" t="s">
        <v>8927</v>
      </c>
      <c r="C1540" s="1" t="e">
        <f>VLOOKUP(Tabla_Items_Activos[[#This Row],[CODIGO]],Tabla_Items_Completos[[CODIGO]:[LINEA]],2,0)</f>
        <v>#N/A</v>
      </c>
      <c r="D1540" s="1" t="e">
        <f>VLOOKUP(Tabla_Items_Activos[[#This Row],[CODIGO]],Tabla_Items_Completos[[CODIGO]:[LINEA]],3,0)</f>
        <v>#N/A</v>
      </c>
      <c r="E1540" s="1" t="e">
        <f>VLOOKUP(Tabla_Items_Activos[[#This Row],[CODIGO]],Tabla_Items_Completos[[CODIGO]:[LINEA]],4,0)</f>
        <v>#N/A</v>
      </c>
      <c r="F1540">
        <v>260</v>
      </c>
      <c r="G1540">
        <v>79</v>
      </c>
    </row>
    <row r="1541" spans="1:7">
      <c r="A1541" t="s">
        <v>7388</v>
      </c>
      <c r="B1541" t="s">
        <v>8928</v>
      </c>
      <c r="C1541" s="1" t="e">
        <f>VLOOKUP(Tabla_Items_Activos[[#This Row],[CODIGO]],Tabla_Items_Completos[[CODIGO]:[LINEA]],2,0)</f>
        <v>#N/A</v>
      </c>
      <c r="D1541" s="1" t="e">
        <f>VLOOKUP(Tabla_Items_Activos[[#This Row],[CODIGO]],Tabla_Items_Completos[[CODIGO]:[LINEA]],3,0)</f>
        <v>#N/A</v>
      </c>
      <c r="E1541" s="1" t="e">
        <f>VLOOKUP(Tabla_Items_Activos[[#This Row],[CODIGO]],Tabla_Items_Completos[[CODIGO]:[LINEA]],4,0)</f>
        <v>#N/A</v>
      </c>
      <c r="F1541">
        <v>74</v>
      </c>
      <c r="G1541">
        <v>11</v>
      </c>
    </row>
    <row r="1542" spans="1:7">
      <c r="A1542" t="s">
        <v>7388</v>
      </c>
      <c r="B1542" t="s">
        <v>8929</v>
      </c>
      <c r="C1542" s="1" t="e">
        <f>VLOOKUP(Tabla_Items_Activos[[#This Row],[CODIGO]],Tabla_Items_Completos[[CODIGO]:[LINEA]],2,0)</f>
        <v>#N/A</v>
      </c>
      <c r="D1542" s="1" t="e">
        <f>VLOOKUP(Tabla_Items_Activos[[#This Row],[CODIGO]],Tabla_Items_Completos[[CODIGO]:[LINEA]],3,0)</f>
        <v>#N/A</v>
      </c>
      <c r="E1542" s="1" t="e">
        <f>VLOOKUP(Tabla_Items_Activos[[#This Row],[CODIGO]],Tabla_Items_Completos[[CODIGO]:[LINEA]],4,0)</f>
        <v>#N/A</v>
      </c>
      <c r="F1542">
        <v>221</v>
      </c>
      <c r="G1542">
        <v>102</v>
      </c>
    </row>
    <row r="1543" spans="1:7">
      <c r="A1543" t="s">
        <v>7388</v>
      </c>
      <c r="B1543" t="s">
        <v>8930</v>
      </c>
      <c r="C1543" s="1" t="e">
        <f>VLOOKUP(Tabla_Items_Activos[[#This Row],[CODIGO]],Tabla_Items_Completos[[CODIGO]:[LINEA]],2,0)</f>
        <v>#N/A</v>
      </c>
      <c r="D1543" s="1" t="e">
        <f>VLOOKUP(Tabla_Items_Activos[[#This Row],[CODIGO]],Tabla_Items_Completos[[CODIGO]:[LINEA]],3,0)</f>
        <v>#N/A</v>
      </c>
      <c r="E1543" s="1" t="e">
        <f>VLOOKUP(Tabla_Items_Activos[[#This Row],[CODIGO]],Tabla_Items_Completos[[CODIGO]:[LINEA]],4,0)</f>
        <v>#N/A</v>
      </c>
      <c r="F1543">
        <v>552</v>
      </c>
      <c r="G1543">
        <v>50</v>
      </c>
    </row>
    <row r="1544" spans="1:7">
      <c r="A1544" t="s">
        <v>7388</v>
      </c>
      <c r="B1544" t="s">
        <v>8931</v>
      </c>
      <c r="C1544" s="1" t="e">
        <f>VLOOKUP(Tabla_Items_Activos[[#This Row],[CODIGO]],Tabla_Items_Completos[[CODIGO]:[LINEA]],2,0)</f>
        <v>#N/A</v>
      </c>
      <c r="D1544" s="1" t="e">
        <f>VLOOKUP(Tabla_Items_Activos[[#This Row],[CODIGO]],Tabla_Items_Completos[[CODIGO]:[LINEA]],3,0)</f>
        <v>#N/A</v>
      </c>
      <c r="E1544" s="1" t="e">
        <f>VLOOKUP(Tabla_Items_Activos[[#This Row],[CODIGO]],Tabla_Items_Completos[[CODIGO]:[LINEA]],4,0)</f>
        <v>#N/A</v>
      </c>
      <c r="F1544">
        <v>104</v>
      </c>
      <c r="G1544">
        <v>1</v>
      </c>
    </row>
    <row r="1545" spans="1:7">
      <c r="A1545" t="s">
        <v>7388</v>
      </c>
      <c r="B1545" t="s">
        <v>8932</v>
      </c>
      <c r="C1545" s="1" t="e">
        <f>VLOOKUP(Tabla_Items_Activos[[#This Row],[CODIGO]],Tabla_Items_Completos[[CODIGO]:[LINEA]],2,0)</f>
        <v>#N/A</v>
      </c>
      <c r="D1545" s="1" t="e">
        <f>VLOOKUP(Tabla_Items_Activos[[#This Row],[CODIGO]],Tabla_Items_Completos[[CODIGO]:[LINEA]],3,0)</f>
        <v>#N/A</v>
      </c>
      <c r="E1545" s="1" t="e">
        <f>VLOOKUP(Tabla_Items_Activos[[#This Row],[CODIGO]],Tabla_Items_Completos[[CODIGO]:[LINEA]],4,0)</f>
        <v>#N/A</v>
      </c>
      <c r="F1545">
        <v>295</v>
      </c>
      <c r="G1545">
        <v>0</v>
      </c>
    </row>
    <row r="1546" spans="1:7">
      <c r="A1546" t="s">
        <v>7388</v>
      </c>
      <c r="B1546" t="s">
        <v>8933</v>
      </c>
      <c r="C1546" s="1" t="e">
        <f>VLOOKUP(Tabla_Items_Activos[[#This Row],[CODIGO]],Tabla_Items_Completos[[CODIGO]:[LINEA]],2,0)</f>
        <v>#N/A</v>
      </c>
      <c r="D1546" s="1" t="e">
        <f>VLOOKUP(Tabla_Items_Activos[[#This Row],[CODIGO]],Tabla_Items_Completos[[CODIGO]:[LINEA]],3,0)</f>
        <v>#N/A</v>
      </c>
      <c r="E1546" s="1" t="e">
        <f>VLOOKUP(Tabla_Items_Activos[[#This Row],[CODIGO]],Tabla_Items_Completos[[CODIGO]:[LINEA]],4,0)</f>
        <v>#N/A</v>
      </c>
      <c r="F1546">
        <v>293</v>
      </c>
      <c r="G1546">
        <v>133</v>
      </c>
    </row>
    <row r="1547" spans="1:7">
      <c r="A1547" t="s">
        <v>7388</v>
      </c>
      <c r="B1547" t="s">
        <v>8934</v>
      </c>
      <c r="C1547" s="1" t="e">
        <f>VLOOKUP(Tabla_Items_Activos[[#This Row],[CODIGO]],Tabla_Items_Completos[[CODIGO]:[LINEA]],2,0)</f>
        <v>#N/A</v>
      </c>
      <c r="D1547" s="1" t="e">
        <f>VLOOKUP(Tabla_Items_Activos[[#This Row],[CODIGO]],Tabla_Items_Completos[[CODIGO]:[LINEA]],3,0)</f>
        <v>#N/A</v>
      </c>
      <c r="E1547" s="1" t="e">
        <f>VLOOKUP(Tabla_Items_Activos[[#This Row],[CODIGO]],Tabla_Items_Completos[[CODIGO]:[LINEA]],4,0)</f>
        <v>#N/A</v>
      </c>
      <c r="F1547">
        <v>95</v>
      </c>
      <c r="G1547">
        <v>0</v>
      </c>
    </row>
    <row r="1548" spans="1:7">
      <c r="A1548" t="s">
        <v>7388</v>
      </c>
      <c r="B1548" t="s">
        <v>8935</v>
      </c>
      <c r="C1548" s="1" t="e">
        <f>VLOOKUP(Tabla_Items_Activos[[#This Row],[CODIGO]],Tabla_Items_Completos[[CODIGO]:[LINEA]],2,0)</f>
        <v>#N/A</v>
      </c>
      <c r="D1548" s="1" t="e">
        <f>VLOOKUP(Tabla_Items_Activos[[#This Row],[CODIGO]],Tabla_Items_Completos[[CODIGO]:[LINEA]],3,0)</f>
        <v>#N/A</v>
      </c>
      <c r="E1548" s="1" t="e">
        <f>VLOOKUP(Tabla_Items_Activos[[#This Row],[CODIGO]],Tabla_Items_Completos[[CODIGO]:[LINEA]],4,0)</f>
        <v>#N/A</v>
      </c>
      <c r="F1548">
        <v>276</v>
      </c>
      <c r="G1548">
        <v>89</v>
      </c>
    </row>
    <row r="1549" spans="1:7">
      <c r="A1549" t="s">
        <v>7388</v>
      </c>
      <c r="B1549" t="s">
        <v>8936</v>
      </c>
      <c r="C1549" s="1" t="e">
        <f>VLOOKUP(Tabla_Items_Activos[[#This Row],[CODIGO]],Tabla_Items_Completos[[CODIGO]:[LINEA]],2,0)</f>
        <v>#N/A</v>
      </c>
      <c r="D1549" s="1" t="e">
        <f>VLOOKUP(Tabla_Items_Activos[[#This Row],[CODIGO]],Tabla_Items_Completos[[CODIGO]:[LINEA]],3,0)</f>
        <v>#N/A</v>
      </c>
      <c r="E1549" s="1" t="e">
        <f>VLOOKUP(Tabla_Items_Activos[[#This Row],[CODIGO]],Tabla_Items_Completos[[CODIGO]:[LINEA]],4,0)</f>
        <v>#N/A</v>
      </c>
      <c r="F1549">
        <v>540</v>
      </c>
      <c r="G1549">
        <v>22</v>
      </c>
    </row>
    <row r="1550" spans="1:7">
      <c r="A1550" t="s">
        <v>7388</v>
      </c>
      <c r="B1550" t="s">
        <v>8937</v>
      </c>
      <c r="C1550" s="1" t="e">
        <f>VLOOKUP(Tabla_Items_Activos[[#This Row],[CODIGO]],Tabla_Items_Completos[[CODIGO]:[LINEA]],2,0)</f>
        <v>#N/A</v>
      </c>
      <c r="D1550" s="1" t="e">
        <f>VLOOKUP(Tabla_Items_Activos[[#This Row],[CODIGO]],Tabla_Items_Completos[[CODIGO]:[LINEA]],3,0)</f>
        <v>#N/A</v>
      </c>
      <c r="E1550" s="1" t="e">
        <f>VLOOKUP(Tabla_Items_Activos[[#This Row],[CODIGO]],Tabla_Items_Completos[[CODIGO]:[LINEA]],4,0)</f>
        <v>#N/A</v>
      </c>
      <c r="F1550">
        <v>90</v>
      </c>
      <c r="G1550">
        <v>0</v>
      </c>
    </row>
    <row r="1551" spans="1:7">
      <c r="A1551" t="s">
        <v>7388</v>
      </c>
      <c r="B1551" t="s">
        <v>8938</v>
      </c>
      <c r="C1551" s="1" t="e">
        <f>VLOOKUP(Tabla_Items_Activos[[#This Row],[CODIGO]],Tabla_Items_Completos[[CODIGO]:[LINEA]],2,0)</f>
        <v>#N/A</v>
      </c>
      <c r="D1551" s="1" t="e">
        <f>VLOOKUP(Tabla_Items_Activos[[#This Row],[CODIGO]],Tabla_Items_Completos[[CODIGO]:[LINEA]],3,0)</f>
        <v>#N/A</v>
      </c>
      <c r="E1551" s="1" t="e">
        <f>VLOOKUP(Tabla_Items_Activos[[#This Row],[CODIGO]],Tabla_Items_Completos[[CODIGO]:[LINEA]],4,0)</f>
        <v>#N/A</v>
      </c>
      <c r="F1551">
        <v>431</v>
      </c>
      <c r="G1551">
        <v>80</v>
      </c>
    </row>
    <row r="1552" spans="1:7">
      <c r="A1552" t="s">
        <v>7388</v>
      </c>
      <c r="B1552" t="s">
        <v>8939</v>
      </c>
      <c r="C1552" s="1" t="e">
        <f>VLOOKUP(Tabla_Items_Activos[[#This Row],[CODIGO]],Tabla_Items_Completos[[CODIGO]:[LINEA]],2,0)</f>
        <v>#N/A</v>
      </c>
      <c r="D1552" s="1" t="e">
        <f>VLOOKUP(Tabla_Items_Activos[[#This Row],[CODIGO]],Tabla_Items_Completos[[CODIGO]:[LINEA]],3,0)</f>
        <v>#N/A</v>
      </c>
      <c r="E1552" s="1" t="e">
        <f>VLOOKUP(Tabla_Items_Activos[[#This Row],[CODIGO]],Tabla_Items_Completos[[CODIGO]:[LINEA]],4,0)</f>
        <v>#N/A</v>
      </c>
      <c r="F1552">
        <v>204</v>
      </c>
      <c r="G1552">
        <v>0</v>
      </c>
    </row>
    <row r="1553" spans="1:7">
      <c r="A1553" t="s">
        <v>7388</v>
      </c>
      <c r="B1553" t="s">
        <v>8940</v>
      </c>
      <c r="C1553" s="1" t="e">
        <f>VLOOKUP(Tabla_Items_Activos[[#This Row],[CODIGO]],Tabla_Items_Completos[[CODIGO]:[LINEA]],2,0)</f>
        <v>#N/A</v>
      </c>
      <c r="D1553" s="1" t="e">
        <f>VLOOKUP(Tabla_Items_Activos[[#This Row],[CODIGO]],Tabla_Items_Completos[[CODIGO]:[LINEA]],3,0)</f>
        <v>#N/A</v>
      </c>
      <c r="E1553" s="1" t="e">
        <f>VLOOKUP(Tabla_Items_Activos[[#This Row],[CODIGO]],Tabla_Items_Completos[[CODIGO]:[LINEA]],4,0)</f>
        <v>#N/A</v>
      </c>
      <c r="F1553">
        <v>2993</v>
      </c>
      <c r="G1553">
        <v>1600</v>
      </c>
    </row>
    <row r="1554" spans="1:7">
      <c r="A1554" t="s">
        <v>7388</v>
      </c>
      <c r="B1554" t="s">
        <v>8941</v>
      </c>
      <c r="C1554" s="1" t="e">
        <f>VLOOKUP(Tabla_Items_Activos[[#This Row],[CODIGO]],Tabla_Items_Completos[[CODIGO]:[LINEA]],2,0)</f>
        <v>#N/A</v>
      </c>
      <c r="D1554" s="1" t="e">
        <f>VLOOKUP(Tabla_Items_Activos[[#This Row],[CODIGO]],Tabla_Items_Completos[[CODIGO]:[LINEA]],3,0)</f>
        <v>#N/A</v>
      </c>
      <c r="E1554" s="1" t="e">
        <f>VLOOKUP(Tabla_Items_Activos[[#This Row],[CODIGO]],Tabla_Items_Completos[[CODIGO]:[LINEA]],4,0)</f>
        <v>#N/A</v>
      </c>
      <c r="F1554">
        <v>2565</v>
      </c>
      <c r="G1554">
        <v>1000</v>
      </c>
    </row>
    <row r="1555" spans="1:7">
      <c r="A1555" t="s">
        <v>7388</v>
      </c>
      <c r="B1555" t="s">
        <v>8942</v>
      </c>
      <c r="C1555" s="1" t="e">
        <f>VLOOKUP(Tabla_Items_Activos[[#This Row],[CODIGO]],Tabla_Items_Completos[[CODIGO]:[LINEA]],2,0)</f>
        <v>#N/A</v>
      </c>
      <c r="D1555" s="1" t="e">
        <f>VLOOKUP(Tabla_Items_Activos[[#This Row],[CODIGO]],Tabla_Items_Completos[[CODIGO]:[LINEA]],3,0)</f>
        <v>#N/A</v>
      </c>
      <c r="E1555" s="1" t="e">
        <f>VLOOKUP(Tabla_Items_Activos[[#This Row],[CODIGO]],Tabla_Items_Completos[[CODIGO]:[LINEA]],4,0)</f>
        <v>#N/A</v>
      </c>
      <c r="F1555">
        <v>740</v>
      </c>
      <c r="G1555">
        <v>410</v>
      </c>
    </row>
    <row r="1556" spans="1:7">
      <c r="A1556" t="s">
        <v>7388</v>
      </c>
      <c r="B1556" t="s">
        <v>8943</v>
      </c>
      <c r="C1556" s="1" t="e">
        <f>VLOOKUP(Tabla_Items_Activos[[#This Row],[CODIGO]],Tabla_Items_Completos[[CODIGO]:[LINEA]],2,0)</f>
        <v>#N/A</v>
      </c>
      <c r="D1556" s="1" t="e">
        <f>VLOOKUP(Tabla_Items_Activos[[#This Row],[CODIGO]],Tabla_Items_Completos[[CODIGO]:[LINEA]],3,0)</f>
        <v>#N/A</v>
      </c>
      <c r="E1556" s="1" t="e">
        <f>VLOOKUP(Tabla_Items_Activos[[#This Row],[CODIGO]],Tabla_Items_Completos[[CODIGO]:[LINEA]],4,0)</f>
        <v>#N/A</v>
      </c>
      <c r="F1556">
        <v>788</v>
      </c>
      <c r="G1556">
        <v>120</v>
      </c>
    </row>
    <row r="1557" spans="1:7">
      <c r="A1557" t="s">
        <v>7388</v>
      </c>
      <c r="B1557" t="s">
        <v>8944</v>
      </c>
      <c r="C1557" s="1" t="e">
        <f>VLOOKUP(Tabla_Items_Activos[[#This Row],[CODIGO]],Tabla_Items_Completos[[CODIGO]:[LINEA]],2,0)</f>
        <v>#N/A</v>
      </c>
      <c r="D1557" s="1" t="e">
        <f>VLOOKUP(Tabla_Items_Activos[[#This Row],[CODIGO]],Tabla_Items_Completos[[CODIGO]:[LINEA]],3,0)</f>
        <v>#N/A</v>
      </c>
      <c r="E1557" s="1" t="e">
        <f>VLOOKUP(Tabla_Items_Activos[[#This Row],[CODIGO]],Tabla_Items_Completos[[CODIGO]:[LINEA]],4,0)</f>
        <v>#N/A</v>
      </c>
      <c r="F1557">
        <v>1143</v>
      </c>
      <c r="G1557">
        <v>0</v>
      </c>
    </row>
    <row r="1558" spans="1:7">
      <c r="A1558" t="s">
        <v>7388</v>
      </c>
      <c r="B1558" t="s">
        <v>8945</v>
      </c>
      <c r="C1558" s="1" t="e">
        <f>VLOOKUP(Tabla_Items_Activos[[#This Row],[CODIGO]],Tabla_Items_Completos[[CODIGO]:[LINEA]],2,0)</f>
        <v>#N/A</v>
      </c>
      <c r="D1558" s="1" t="e">
        <f>VLOOKUP(Tabla_Items_Activos[[#This Row],[CODIGO]],Tabla_Items_Completos[[CODIGO]:[LINEA]],3,0)</f>
        <v>#N/A</v>
      </c>
      <c r="E1558" s="1" t="e">
        <f>VLOOKUP(Tabla_Items_Activos[[#This Row],[CODIGO]],Tabla_Items_Completos[[CODIGO]:[LINEA]],4,0)</f>
        <v>#N/A</v>
      </c>
      <c r="F1558">
        <v>1066</v>
      </c>
      <c r="G1558">
        <v>0</v>
      </c>
    </row>
    <row r="1559" spans="1:7">
      <c r="A1559" t="s">
        <v>7388</v>
      </c>
      <c r="B1559" t="s">
        <v>8946</v>
      </c>
      <c r="C1559" s="1" t="e">
        <f>VLOOKUP(Tabla_Items_Activos[[#This Row],[CODIGO]],Tabla_Items_Completos[[CODIGO]:[LINEA]],2,0)</f>
        <v>#N/A</v>
      </c>
      <c r="D1559" s="1" t="e">
        <f>VLOOKUP(Tabla_Items_Activos[[#This Row],[CODIGO]],Tabla_Items_Completos[[CODIGO]:[LINEA]],3,0)</f>
        <v>#N/A</v>
      </c>
      <c r="E1559" s="1" t="e">
        <f>VLOOKUP(Tabla_Items_Activos[[#This Row],[CODIGO]],Tabla_Items_Completos[[CODIGO]:[LINEA]],4,0)</f>
        <v>#N/A</v>
      </c>
      <c r="F1559">
        <v>500</v>
      </c>
      <c r="G1559">
        <v>563</v>
      </c>
    </row>
    <row r="1560" spans="1:7">
      <c r="A1560" t="s">
        <v>7388</v>
      </c>
      <c r="B1560" t="s">
        <v>8947</v>
      </c>
      <c r="C1560" s="1" t="e">
        <f>VLOOKUP(Tabla_Items_Activos[[#This Row],[CODIGO]],Tabla_Items_Completos[[CODIGO]:[LINEA]],2,0)</f>
        <v>#N/A</v>
      </c>
      <c r="D1560" s="1" t="e">
        <f>VLOOKUP(Tabla_Items_Activos[[#This Row],[CODIGO]],Tabla_Items_Completos[[CODIGO]:[LINEA]],3,0)</f>
        <v>#N/A</v>
      </c>
      <c r="E1560" s="1" t="e">
        <f>VLOOKUP(Tabla_Items_Activos[[#This Row],[CODIGO]],Tabla_Items_Completos[[CODIGO]:[LINEA]],4,0)</f>
        <v>#N/A</v>
      </c>
      <c r="F1560">
        <v>225</v>
      </c>
      <c r="G1560">
        <v>835</v>
      </c>
    </row>
    <row r="1561" spans="1:7">
      <c r="A1561" t="s">
        <v>7388</v>
      </c>
      <c r="B1561" t="s">
        <v>8948</v>
      </c>
      <c r="C1561" s="1" t="e">
        <f>VLOOKUP(Tabla_Items_Activos[[#This Row],[CODIGO]],Tabla_Items_Completos[[CODIGO]:[LINEA]],2,0)</f>
        <v>#N/A</v>
      </c>
      <c r="D1561" s="1" t="e">
        <f>VLOOKUP(Tabla_Items_Activos[[#This Row],[CODIGO]],Tabla_Items_Completos[[CODIGO]:[LINEA]],3,0)</f>
        <v>#N/A</v>
      </c>
      <c r="E1561" s="1" t="e">
        <f>VLOOKUP(Tabla_Items_Activos[[#This Row],[CODIGO]],Tabla_Items_Completos[[CODIGO]:[LINEA]],4,0)</f>
        <v>#N/A</v>
      </c>
      <c r="F1561">
        <v>235</v>
      </c>
      <c r="G1561">
        <v>240</v>
      </c>
    </row>
    <row r="1562" spans="1:7">
      <c r="A1562" t="s">
        <v>7388</v>
      </c>
      <c r="B1562" t="s">
        <v>8949</v>
      </c>
      <c r="C1562" s="1" t="e">
        <f>VLOOKUP(Tabla_Items_Activos[[#This Row],[CODIGO]],Tabla_Items_Completos[[CODIGO]:[LINEA]],2,0)</f>
        <v>#N/A</v>
      </c>
      <c r="D1562" s="1" t="e">
        <f>VLOOKUP(Tabla_Items_Activos[[#This Row],[CODIGO]],Tabla_Items_Completos[[CODIGO]:[LINEA]],3,0)</f>
        <v>#N/A</v>
      </c>
      <c r="E1562" s="1" t="e">
        <f>VLOOKUP(Tabla_Items_Activos[[#This Row],[CODIGO]],Tabla_Items_Completos[[CODIGO]:[LINEA]],4,0)</f>
        <v>#N/A</v>
      </c>
      <c r="F1562">
        <v>319</v>
      </c>
      <c r="G1562">
        <v>696</v>
      </c>
    </row>
    <row r="1563" spans="1:7">
      <c r="A1563" t="s">
        <v>7388</v>
      </c>
      <c r="B1563" t="s">
        <v>8950</v>
      </c>
      <c r="C1563" s="1" t="e">
        <f>VLOOKUP(Tabla_Items_Activos[[#This Row],[CODIGO]],Tabla_Items_Completos[[CODIGO]:[LINEA]],2,0)</f>
        <v>#N/A</v>
      </c>
      <c r="D1563" s="1" t="e">
        <f>VLOOKUP(Tabla_Items_Activos[[#This Row],[CODIGO]],Tabla_Items_Completos[[CODIGO]:[LINEA]],3,0)</f>
        <v>#N/A</v>
      </c>
      <c r="E1563" s="1" t="e">
        <f>VLOOKUP(Tabla_Items_Activos[[#This Row],[CODIGO]],Tabla_Items_Completos[[CODIGO]:[LINEA]],4,0)</f>
        <v>#N/A</v>
      </c>
      <c r="F1563">
        <v>990</v>
      </c>
      <c r="G1563">
        <v>0</v>
      </c>
    </row>
    <row r="1564" spans="1:7">
      <c r="A1564" t="s">
        <v>7388</v>
      </c>
      <c r="B1564" t="s">
        <v>8951</v>
      </c>
      <c r="C1564" s="1" t="e">
        <f>VLOOKUP(Tabla_Items_Activos[[#This Row],[CODIGO]],Tabla_Items_Completos[[CODIGO]:[LINEA]],2,0)</f>
        <v>#N/A</v>
      </c>
      <c r="D1564" s="1" t="e">
        <f>VLOOKUP(Tabla_Items_Activos[[#This Row],[CODIGO]],Tabla_Items_Completos[[CODIGO]:[LINEA]],3,0)</f>
        <v>#N/A</v>
      </c>
      <c r="E1564" s="1" t="e">
        <f>VLOOKUP(Tabla_Items_Activos[[#This Row],[CODIGO]],Tabla_Items_Completos[[CODIGO]:[LINEA]],4,0)</f>
        <v>#N/A</v>
      </c>
      <c r="F1564">
        <v>994</v>
      </c>
      <c r="G1564">
        <v>0</v>
      </c>
    </row>
    <row r="1565" spans="1:7">
      <c r="A1565" t="s">
        <v>7388</v>
      </c>
      <c r="B1565" t="s">
        <v>8952</v>
      </c>
      <c r="C1565" s="1" t="e">
        <f>VLOOKUP(Tabla_Items_Activos[[#This Row],[CODIGO]],Tabla_Items_Completos[[CODIGO]:[LINEA]],2,0)</f>
        <v>#N/A</v>
      </c>
      <c r="D1565" s="1" t="e">
        <f>VLOOKUP(Tabla_Items_Activos[[#This Row],[CODIGO]],Tabla_Items_Completos[[CODIGO]:[LINEA]],3,0)</f>
        <v>#N/A</v>
      </c>
      <c r="E1565" s="1" t="e">
        <f>VLOOKUP(Tabla_Items_Activos[[#This Row],[CODIGO]],Tabla_Items_Completos[[CODIGO]:[LINEA]],4,0)</f>
        <v>#N/A</v>
      </c>
      <c r="F1565">
        <v>1839</v>
      </c>
      <c r="G1565">
        <v>1820</v>
      </c>
    </row>
    <row r="1566" spans="1:7">
      <c r="A1566" t="s">
        <v>7388</v>
      </c>
      <c r="B1566" t="s">
        <v>8953</v>
      </c>
      <c r="C1566" s="1" t="e">
        <f>VLOOKUP(Tabla_Items_Activos[[#This Row],[CODIGO]],Tabla_Items_Completos[[CODIGO]:[LINEA]],2,0)</f>
        <v>#N/A</v>
      </c>
      <c r="D1566" s="1" t="e">
        <f>VLOOKUP(Tabla_Items_Activos[[#This Row],[CODIGO]],Tabla_Items_Completos[[CODIGO]:[LINEA]],3,0)</f>
        <v>#N/A</v>
      </c>
      <c r="E1566" s="1" t="e">
        <f>VLOOKUP(Tabla_Items_Activos[[#This Row],[CODIGO]],Tabla_Items_Completos[[CODIGO]:[LINEA]],4,0)</f>
        <v>#N/A</v>
      </c>
      <c r="F1566">
        <v>841</v>
      </c>
      <c r="G1566">
        <v>0</v>
      </c>
    </row>
    <row r="1567" spans="1:7">
      <c r="A1567" t="s">
        <v>7388</v>
      </c>
      <c r="B1567" t="s">
        <v>8954</v>
      </c>
      <c r="C1567" s="1" t="e">
        <f>VLOOKUP(Tabla_Items_Activos[[#This Row],[CODIGO]],Tabla_Items_Completos[[CODIGO]:[LINEA]],2,0)</f>
        <v>#N/A</v>
      </c>
      <c r="D1567" s="1" t="e">
        <f>VLOOKUP(Tabla_Items_Activos[[#This Row],[CODIGO]],Tabla_Items_Completos[[CODIGO]:[LINEA]],3,0)</f>
        <v>#N/A</v>
      </c>
      <c r="E1567" s="1" t="e">
        <f>VLOOKUP(Tabla_Items_Activos[[#This Row],[CODIGO]],Tabla_Items_Completos[[CODIGO]:[LINEA]],4,0)</f>
        <v>#N/A</v>
      </c>
      <c r="F1567">
        <v>1382</v>
      </c>
      <c r="G1567">
        <v>3660</v>
      </c>
    </row>
    <row r="1568" spans="1:7">
      <c r="A1568" t="s">
        <v>7388</v>
      </c>
      <c r="B1568" t="s">
        <v>8955</v>
      </c>
      <c r="C1568" s="1" t="e">
        <f>VLOOKUP(Tabla_Items_Activos[[#This Row],[CODIGO]],Tabla_Items_Completos[[CODIGO]:[LINEA]],2,0)</f>
        <v>#N/A</v>
      </c>
      <c r="D1568" s="1" t="e">
        <f>VLOOKUP(Tabla_Items_Activos[[#This Row],[CODIGO]],Tabla_Items_Completos[[CODIGO]:[LINEA]],3,0)</f>
        <v>#N/A</v>
      </c>
      <c r="E1568" s="1" t="e">
        <f>VLOOKUP(Tabla_Items_Activos[[#This Row],[CODIGO]],Tabla_Items_Completos[[CODIGO]:[LINEA]],4,0)</f>
        <v>#N/A</v>
      </c>
      <c r="F1568">
        <v>1637</v>
      </c>
      <c r="G1568">
        <v>800</v>
      </c>
    </row>
    <row r="1569" spans="1:7">
      <c r="A1569" t="s">
        <v>7388</v>
      </c>
      <c r="B1569" t="s">
        <v>8956</v>
      </c>
      <c r="C1569" s="1" t="e">
        <f>VLOOKUP(Tabla_Items_Activos[[#This Row],[CODIGO]],Tabla_Items_Completos[[CODIGO]:[LINEA]],2,0)</f>
        <v>#N/A</v>
      </c>
      <c r="D1569" s="1" t="e">
        <f>VLOOKUP(Tabla_Items_Activos[[#This Row],[CODIGO]],Tabla_Items_Completos[[CODIGO]:[LINEA]],3,0)</f>
        <v>#N/A</v>
      </c>
      <c r="E1569" s="1" t="e">
        <f>VLOOKUP(Tabla_Items_Activos[[#This Row],[CODIGO]],Tabla_Items_Completos[[CODIGO]:[LINEA]],4,0)</f>
        <v>#N/A</v>
      </c>
      <c r="F1569">
        <v>1470</v>
      </c>
      <c r="G1569">
        <v>70</v>
      </c>
    </row>
    <row r="1570" spans="1:7">
      <c r="A1570" t="s">
        <v>7388</v>
      </c>
      <c r="B1570" t="s">
        <v>8957</v>
      </c>
      <c r="C1570" s="1" t="e">
        <f>VLOOKUP(Tabla_Items_Activos[[#This Row],[CODIGO]],Tabla_Items_Completos[[CODIGO]:[LINEA]],2,0)</f>
        <v>#N/A</v>
      </c>
      <c r="D1570" s="1" t="e">
        <f>VLOOKUP(Tabla_Items_Activos[[#This Row],[CODIGO]],Tabla_Items_Completos[[CODIGO]:[LINEA]],3,0)</f>
        <v>#N/A</v>
      </c>
      <c r="E1570" s="1" t="e">
        <f>VLOOKUP(Tabla_Items_Activos[[#This Row],[CODIGO]],Tabla_Items_Completos[[CODIGO]:[LINEA]],4,0)</f>
        <v>#N/A</v>
      </c>
      <c r="F1570">
        <v>1366</v>
      </c>
      <c r="G1570">
        <v>20</v>
      </c>
    </row>
    <row r="1571" spans="1:7">
      <c r="A1571" t="s">
        <v>7388</v>
      </c>
      <c r="B1571" t="s">
        <v>8958</v>
      </c>
      <c r="C1571" s="1" t="e">
        <f>VLOOKUP(Tabla_Items_Activos[[#This Row],[CODIGO]],Tabla_Items_Completos[[CODIGO]:[LINEA]],2,0)</f>
        <v>#N/A</v>
      </c>
      <c r="D1571" s="1" t="e">
        <f>VLOOKUP(Tabla_Items_Activos[[#This Row],[CODIGO]],Tabla_Items_Completos[[CODIGO]:[LINEA]],3,0)</f>
        <v>#N/A</v>
      </c>
      <c r="E1571" s="1" t="e">
        <f>VLOOKUP(Tabla_Items_Activos[[#This Row],[CODIGO]],Tabla_Items_Completos[[CODIGO]:[LINEA]],4,0)</f>
        <v>#N/A</v>
      </c>
      <c r="F1571">
        <v>6050</v>
      </c>
      <c r="G1571">
        <v>660</v>
      </c>
    </row>
    <row r="1572" spans="1:7">
      <c r="A1572" t="s">
        <v>7388</v>
      </c>
      <c r="B1572" t="s">
        <v>8959</v>
      </c>
      <c r="C1572" s="1" t="e">
        <f>VLOOKUP(Tabla_Items_Activos[[#This Row],[CODIGO]],Tabla_Items_Completos[[CODIGO]:[LINEA]],2,0)</f>
        <v>#N/A</v>
      </c>
      <c r="D1572" s="1" t="e">
        <f>VLOOKUP(Tabla_Items_Activos[[#This Row],[CODIGO]],Tabla_Items_Completos[[CODIGO]:[LINEA]],3,0)</f>
        <v>#N/A</v>
      </c>
      <c r="E1572" s="1" t="e">
        <f>VLOOKUP(Tabla_Items_Activos[[#This Row],[CODIGO]],Tabla_Items_Completos[[CODIGO]:[LINEA]],4,0)</f>
        <v>#N/A</v>
      </c>
      <c r="F1572">
        <v>740</v>
      </c>
      <c r="G1572">
        <v>295</v>
      </c>
    </row>
    <row r="1573" spans="1:7">
      <c r="A1573" t="s">
        <v>7388</v>
      </c>
      <c r="B1573" t="s">
        <v>8960</v>
      </c>
      <c r="C1573" s="1" t="e">
        <f>VLOOKUP(Tabla_Items_Activos[[#This Row],[CODIGO]],Tabla_Items_Completos[[CODIGO]:[LINEA]],2,0)</f>
        <v>#N/A</v>
      </c>
      <c r="D1573" s="1" t="e">
        <f>VLOOKUP(Tabla_Items_Activos[[#This Row],[CODIGO]],Tabla_Items_Completos[[CODIGO]:[LINEA]],3,0)</f>
        <v>#N/A</v>
      </c>
      <c r="E1573" s="1" t="e">
        <f>VLOOKUP(Tabla_Items_Activos[[#This Row],[CODIGO]],Tabla_Items_Completos[[CODIGO]:[LINEA]],4,0)</f>
        <v>#N/A</v>
      </c>
      <c r="F1573">
        <v>1055</v>
      </c>
      <c r="G1573">
        <v>70</v>
      </c>
    </row>
    <row r="1574" spans="1:7">
      <c r="A1574" t="s">
        <v>7388</v>
      </c>
      <c r="B1574" t="s">
        <v>8961</v>
      </c>
      <c r="C1574" s="1" t="e">
        <f>VLOOKUP(Tabla_Items_Activos[[#This Row],[CODIGO]],Tabla_Items_Completos[[CODIGO]:[LINEA]],2,0)</f>
        <v>#N/A</v>
      </c>
      <c r="D1574" s="1" t="e">
        <f>VLOOKUP(Tabla_Items_Activos[[#This Row],[CODIGO]],Tabla_Items_Completos[[CODIGO]:[LINEA]],3,0)</f>
        <v>#N/A</v>
      </c>
      <c r="E1574" s="1" t="e">
        <f>VLOOKUP(Tabla_Items_Activos[[#This Row],[CODIGO]],Tabla_Items_Completos[[CODIGO]:[LINEA]],4,0)</f>
        <v>#N/A</v>
      </c>
      <c r="F1574">
        <v>3834</v>
      </c>
      <c r="G1574">
        <v>0</v>
      </c>
    </row>
    <row r="1575" spans="1:7">
      <c r="A1575" t="s">
        <v>7388</v>
      </c>
      <c r="B1575" t="s">
        <v>8962</v>
      </c>
      <c r="C1575" s="1" t="e">
        <f>VLOOKUP(Tabla_Items_Activos[[#This Row],[CODIGO]],Tabla_Items_Completos[[CODIGO]:[LINEA]],2,0)</f>
        <v>#N/A</v>
      </c>
      <c r="D1575" s="1" t="e">
        <f>VLOOKUP(Tabla_Items_Activos[[#This Row],[CODIGO]],Tabla_Items_Completos[[CODIGO]:[LINEA]],3,0)</f>
        <v>#N/A</v>
      </c>
      <c r="E1575" s="1" t="e">
        <f>VLOOKUP(Tabla_Items_Activos[[#This Row],[CODIGO]],Tabla_Items_Completos[[CODIGO]:[LINEA]],4,0)</f>
        <v>#N/A</v>
      </c>
      <c r="F1575">
        <v>998</v>
      </c>
      <c r="G1575">
        <v>680</v>
      </c>
    </row>
    <row r="1576" spans="1:7">
      <c r="A1576" t="s">
        <v>7388</v>
      </c>
      <c r="B1576" t="s">
        <v>8963</v>
      </c>
      <c r="C1576" s="1" t="e">
        <f>VLOOKUP(Tabla_Items_Activos[[#This Row],[CODIGO]],Tabla_Items_Completos[[CODIGO]:[LINEA]],2,0)</f>
        <v>#N/A</v>
      </c>
      <c r="D1576" s="1" t="e">
        <f>VLOOKUP(Tabla_Items_Activos[[#This Row],[CODIGO]],Tabla_Items_Completos[[CODIGO]:[LINEA]],3,0)</f>
        <v>#N/A</v>
      </c>
      <c r="E1576" s="1" t="e">
        <f>VLOOKUP(Tabla_Items_Activos[[#This Row],[CODIGO]],Tabla_Items_Completos[[CODIGO]:[LINEA]],4,0)</f>
        <v>#N/A</v>
      </c>
      <c r="F1576">
        <v>132</v>
      </c>
      <c r="G1576">
        <v>115</v>
      </c>
    </row>
    <row r="1577" spans="1:7">
      <c r="A1577" t="s">
        <v>7388</v>
      </c>
      <c r="B1577" t="s">
        <v>8964</v>
      </c>
      <c r="C1577" s="1" t="e">
        <f>VLOOKUP(Tabla_Items_Activos[[#This Row],[CODIGO]],Tabla_Items_Completos[[CODIGO]:[LINEA]],2,0)</f>
        <v>#N/A</v>
      </c>
      <c r="D1577" s="1" t="e">
        <f>VLOOKUP(Tabla_Items_Activos[[#This Row],[CODIGO]],Tabla_Items_Completos[[CODIGO]:[LINEA]],3,0)</f>
        <v>#N/A</v>
      </c>
      <c r="E1577" s="1" t="e">
        <f>VLOOKUP(Tabla_Items_Activos[[#This Row],[CODIGO]],Tabla_Items_Completos[[CODIGO]:[LINEA]],4,0)</f>
        <v>#N/A</v>
      </c>
      <c r="F1577">
        <v>195</v>
      </c>
      <c r="G1577">
        <v>1</v>
      </c>
    </row>
    <row r="1578" spans="1:7">
      <c r="A1578" t="s">
        <v>7388</v>
      </c>
      <c r="B1578" t="s">
        <v>8965</v>
      </c>
      <c r="C1578" s="1" t="e">
        <f>VLOOKUP(Tabla_Items_Activos[[#This Row],[CODIGO]],Tabla_Items_Completos[[CODIGO]:[LINEA]],2,0)</f>
        <v>#N/A</v>
      </c>
      <c r="D1578" s="1" t="e">
        <f>VLOOKUP(Tabla_Items_Activos[[#This Row],[CODIGO]],Tabla_Items_Completos[[CODIGO]:[LINEA]],3,0)</f>
        <v>#N/A</v>
      </c>
      <c r="E1578" s="1" t="e">
        <f>VLOOKUP(Tabla_Items_Activos[[#This Row],[CODIGO]],Tabla_Items_Completos[[CODIGO]:[LINEA]],4,0)</f>
        <v>#N/A</v>
      </c>
      <c r="F1578">
        <v>77</v>
      </c>
      <c r="G1578">
        <v>13</v>
      </c>
    </row>
    <row r="1579" spans="1:7">
      <c r="A1579" t="s">
        <v>7388</v>
      </c>
      <c r="B1579" t="s">
        <v>8966</v>
      </c>
      <c r="C1579" s="1" t="e">
        <f>VLOOKUP(Tabla_Items_Activos[[#This Row],[CODIGO]],Tabla_Items_Completos[[CODIGO]:[LINEA]],2,0)</f>
        <v>#N/A</v>
      </c>
      <c r="D1579" s="1" t="e">
        <f>VLOOKUP(Tabla_Items_Activos[[#This Row],[CODIGO]],Tabla_Items_Completos[[CODIGO]:[LINEA]],3,0)</f>
        <v>#N/A</v>
      </c>
      <c r="E1579" s="1" t="e">
        <f>VLOOKUP(Tabla_Items_Activos[[#This Row],[CODIGO]],Tabla_Items_Completos[[CODIGO]:[LINEA]],4,0)</f>
        <v>#N/A</v>
      </c>
      <c r="F1579">
        <v>188</v>
      </c>
      <c r="G1579">
        <v>146</v>
      </c>
    </row>
    <row r="1580" spans="1:7">
      <c r="A1580" t="s">
        <v>7388</v>
      </c>
      <c r="B1580" t="s">
        <v>8967</v>
      </c>
      <c r="C1580" s="1" t="e">
        <f>VLOOKUP(Tabla_Items_Activos[[#This Row],[CODIGO]],Tabla_Items_Completos[[CODIGO]:[LINEA]],2,0)</f>
        <v>#N/A</v>
      </c>
      <c r="D1580" s="1" t="e">
        <f>VLOOKUP(Tabla_Items_Activos[[#This Row],[CODIGO]],Tabla_Items_Completos[[CODIGO]:[LINEA]],3,0)</f>
        <v>#N/A</v>
      </c>
      <c r="E1580" s="1" t="e">
        <f>VLOOKUP(Tabla_Items_Activos[[#This Row],[CODIGO]],Tabla_Items_Completos[[CODIGO]:[LINEA]],4,0)</f>
        <v>#N/A</v>
      </c>
      <c r="F1580">
        <v>189</v>
      </c>
      <c r="G1580">
        <v>30</v>
      </c>
    </row>
    <row r="1581" spans="1:7">
      <c r="A1581" t="s">
        <v>7388</v>
      </c>
      <c r="B1581" t="s">
        <v>8968</v>
      </c>
      <c r="C1581" s="1" t="e">
        <f>VLOOKUP(Tabla_Items_Activos[[#This Row],[CODIGO]],Tabla_Items_Completos[[CODIGO]:[LINEA]],2,0)</f>
        <v>#N/A</v>
      </c>
      <c r="D1581" s="1" t="e">
        <f>VLOOKUP(Tabla_Items_Activos[[#This Row],[CODIGO]],Tabla_Items_Completos[[CODIGO]:[LINEA]],3,0)</f>
        <v>#N/A</v>
      </c>
      <c r="E1581" s="1" t="e">
        <f>VLOOKUP(Tabla_Items_Activos[[#This Row],[CODIGO]],Tabla_Items_Completos[[CODIGO]:[LINEA]],4,0)</f>
        <v>#N/A</v>
      </c>
      <c r="F1581">
        <v>159</v>
      </c>
      <c r="G1581">
        <v>5</v>
      </c>
    </row>
    <row r="1582" spans="1:7">
      <c r="A1582" t="s">
        <v>7388</v>
      </c>
      <c r="B1582" t="s">
        <v>8969</v>
      </c>
      <c r="C1582" s="1" t="e">
        <f>VLOOKUP(Tabla_Items_Activos[[#This Row],[CODIGO]],Tabla_Items_Completos[[CODIGO]:[LINEA]],2,0)</f>
        <v>#N/A</v>
      </c>
      <c r="D1582" s="1" t="e">
        <f>VLOOKUP(Tabla_Items_Activos[[#This Row],[CODIGO]],Tabla_Items_Completos[[CODIGO]:[LINEA]],3,0)</f>
        <v>#N/A</v>
      </c>
      <c r="E1582" s="1" t="e">
        <f>VLOOKUP(Tabla_Items_Activos[[#This Row],[CODIGO]],Tabla_Items_Completos[[CODIGO]:[LINEA]],4,0)</f>
        <v>#N/A</v>
      </c>
      <c r="F1582">
        <v>33</v>
      </c>
      <c r="G1582">
        <v>0</v>
      </c>
    </row>
    <row r="1583" spans="1:7">
      <c r="A1583" t="s">
        <v>7388</v>
      </c>
      <c r="B1583" t="s">
        <v>8970</v>
      </c>
      <c r="C1583" s="1" t="e">
        <f>VLOOKUP(Tabla_Items_Activos[[#This Row],[CODIGO]],Tabla_Items_Completos[[CODIGO]:[LINEA]],2,0)</f>
        <v>#N/A</v>
      </c>
      <c r="D1583" s="1" t="e">
        <f>VLOOKUP(Tabla_Items_Activos[[#This Row],[CODIGO]],Tabla_Items_Completos[[CODIGO]:[LINEA]],3,0)</f>
        <v>#N/A</v>
      </c>
      <c r="E1583" s="1" t="e">
        <f>VLOOKUP(Tabla_Items_Activos[[#This Row],[CODIGO]],Tabla_Items_Completos[[CODIGO]:[LINEA]],4,0)</f>
        <v>#N/A</v>
      </c>
      <c r="F1583">
        <v>2</v>
      </c>
      <c r="G1583">
        <v>0</v>
      </c>
    </row>
    <row r="1584" spans="1:7">
      <c r="A1584" t="s">
        <v>7388</v>
      </c>
      <c r="B1584" t="s">
        <v>8971</v>
      </c>
      <c r="C1584" s="1" t="e">
        <f>VLOOKUP(Tabla_Items_Activos[[#This Row],[CODIGO]],Tabla_Items_Completos[[CODIGO]:[LINEA]],2,0)</f>
        <v>#N/A</v>
      </c>
      <c r="D1584" s="1" t="e">
        <f>VLOOKUP(Tabla_Items_Activos[[#This Row],[CODIGO]],Tabla_Items_Completos[[CODIGO]:[LINEA]],3,0)</f>
        <v>#N/A</v>
      </c>
      <c r="E1584" s="1" t="e">
        <f>VLOOKUP(Tabla_Items_Activos[[#This Row],[CODIGO]],Tabla_Items_Completos[[CODIGO]:[LINEA]],4,0)</f>
        <v>#N/A</v>
      </c>
      <c r="F1584">
        <v>38</v>
      </c>
      <c r="G1584">
        <v>6</v>
      </c>
    </row>
    <row r="1585" spans="1:7">
      <c r="A1585" t="s">
        <v>7388</v>
      </c>
      <c r="B1585" t="s">
        <v>8972</v>
      </c>
      <c r="C1585" s="1" t="e">
        <f>VLOOKUP(Tabla_Items_Activos[[#This Row],[CODIGO]],Tabla_Items_Completos[[CODIGO]:[LINEA]],2,0)</f>
        <v>#N/A</v>
      </c>
      <c r="D1585" s="1" t="e">
        <f>VLOOKUP(Tabla_Items_Activos[[#This Row],[CODIGO]],Tabla_Items_Completos[[CODIGO]:[LINEA]],3,0)</f>
        <v>#N/A</v>
      </c>
      <c r="E1585" s="1" t="e">
        <f>VLOOKUP(Tabla_Items_Activos[[#This Row],[CODIGO]],Tabla_Items_Completos[[CODIGO]:[LINEA]],4,0)</f>
        <v>#N/A</v>
      </c>
      <c r="F1585">
        <v>95</v>
      </c>
      <c r="G1585">
        <v>0</v>
      </c>
    </row>
    <row r="1586" spans="1:7">
      <c r="A1586" t="s">
        <v>7388</v>
      </c>
      <c r="B1586" t="s">
        <v>8973</v>
      </c>
      <c r="C1586" s="1" t="e">
        <f>VLOOKUP(Tabla_Items_Activos[[#This Row],[CODIGO]],Tabla_Items_Completos[[CODIGO]:[LINEA]],2,0)</f>
        <v>#N/A</v>
      </c>
      <c r="D1586" s="1" t="e">
        <f>VLOOKUP(Tabla_Items_Activos[[#This Row],[CODIGO]],Tabla_Items_Completos[[CODIGO]:[LINEA]],3,0)</f>
        <v>#N/A</v>
      </c>
      <c r="E1586" s="1" t="e">
        <f>VLOOKUP(Tabla_Items_Activos[[#This Row],[CODIGO]],Tabla_Items_Completos[[CODIGO]:[LINEA]],4,0)</f>
        <v>#N/A</v>
      </c>
      <c r="F1586">
        <v>295</v>
      </c>
      <c r="G1586">
        <v>0</v>
      </c>
    </row>
    <row r="1587" spans="1:7">
      <c r="A1587" t="s">
        <v>7388</v>
      </c>
      <c r="B1587" t="s">
        <v>8974</v>
      </c>
      <c r="C1587" s="1" t="e">
        <f>VLOOKUP(Tabla_Items_Activos[[#This Row],[CODIGO]],Tabla_Items_Completos[[CODIGO]:[LINEA]],2,0)</f>
        <v>#N/A</v>
      </c>
      <c r="D1587" s="1" t="e">
        <f>VLOOKUP(Tabla_Items_Activos[[#This Row],[CODIGO]],Tabla_Items_Completos[[CODIGO]:[LINEA]],3,0)</f>
        <v>#N/A</v>
      </c>
      <c r="E1587" s="1" t="e">
        <f>VLOOKUP(Tabla_Items_Activos[[#This Row],[CODIGO]],Tabla_Items_Completos[[CODIGO]:[LINEA]],4,0)</f>
        <v>#N/A</v>
      </c>
      <c r="F1587">
        <v>70</v>
      </c>
      <c r="G1587">
        <v>27</v>
      </c>
    </row>
    <row r="1588" spans="1:7">
      <c r="A1588" t="s">
        <v>7388</v>
      </c>
      <c r="B1588" t="s">
        <v>8975</v>
      </c>
      <c r="C1588" s="1" t="e">
        <f>VLOOKUP(Tabla_Items_Activos[[#This Row],[CODIGO]],Tabla_Items_Completos[[CODIGO]:[LINEA]],2,0)</f>
        <v>#N/A</v>
      </c>
      <c r="D1588" s="1" t="e">
        <f>VLOOKUP(Tabla_Items_Activos[[#This Row],[CODIGO]],Tabla_Items_Completos[[CODIGO]:[LINEA]],3,0)</f>
        <v>#N/A</v>
      </c>
      <c r="E1588" s="1" t="e">
        <f>VLOOKUP(Tabla_Items_Activos[[#This Row],[CODIGO]],Tabla_Items_Completos[[CODIGO]:[LINEA]],4,0)</f>
        <v>#N/A</v>
      </c>
      <c r="F1588">
        <v>370</v>
      </c>
      <c r="G1588">
        <v>0</v>
      </c>
    </row>
    <row r="1589" spans="1:7">
      <c r="A1589" t="s">
        <v>7388</v>
      </c>
      <c r="B1589" t="s">
        <v>8976</v>
      </c>
      <c r="C1589" s="1" t="e">
        <f>VLOOKUP(Tabla_Items_Activos[[#This Row],[CODIGO]],Tabla_Items_Completos[[CODIGO]:[LINEA]],2,0)</f>
        <v>#N/A</v>
      </c>
      <c r="D1589" s="1" t="e">
        <f>VLOOKUP(Tabla_Items_Activos[[#This Row],[CODIGO]],Tabla_Items_Completos[[CODIGO]:[LINEA]],3,0)</f>
        <v>#N/A</v>
      </c>
      <c r="E1589" s="1" t="e">
        <f>VLOOKUP(Tabla_Items_Activos[[#This Row],[CODIGO]],Tabla_Items_Completos[[CODIGO]:[LINEA]],4,0)</f>
        <v>#N/A</v>
      </c>
      <c r="F1589">
        <v>3560</v>
      </c>
      <c r="G1589">
        <v>0</v>
      </c>
    </row>
    <row r="1590" spans="1:7">
      <c r="A1590" t="s">
        <v>7388</v>
      </c>
      <c r="B1590" t="s">
        <v>8977</v>
      </c>
      <c r="C1590" s="1" t="e">
        <f>VLOOKUP(Tabla_Items_Activos[[#This Row],[CODIGO]],Tabla_Items_Completos[[CODIGO]:[LINEA]],2,0)</f>
        <v>#N/A</v>
      </c>
      <c r="D1590" s="1" t="e">
        <f>VLOOKUP(Tabla_Items_Activos[[#This Row],[CODIGO]],Tabla_Items_Completos[[CODIGO]:[LINEA]],3,0)</f>
        <v>#N/A</v>
      </c>
      <c r="E1590" s="1" t="e">
        <f>VLOOKUP(Tabla_Items_Activos[[#This Row],[CODIGO]],Tabla_Items_Completos[[CODIGO]:[LINEA]],4,0)</f>
        <v>#N/A</v>
      </c>
      <c r="F1590">
        <v>368</v>
      </c>
      <c r="G1590">
        <v>81</v>
      </c>
    </row>
    <row r="1591" spans="1:7">
      <c r="A1591" t="s">
        <v>7388</v>
      </c>
      <c r="B1591" t="s">
        <v>8978</v>
      </c>
      <c r="C1591" s="1" t="e">
        <f>VLOOKUP(Tabla_Items_Activos[[#This Row],[CODIGO]],Tabla_Items_Completos[[CODIGO]:[LINEA]],2,0)</f>
        <v>#N/A</v>
      </c>
      <c r="D1591" s="1" t="e">
        <f>VLOOKUP(Tabla_Items_Activos[[#This Row],[CODIGO]],Tabla_Items_Completos[[CODIGO]:[LINEA]],3,0)</f>
        <v>#N/A</v>
      </c>
      <c r="E1591" s="1" t="e">
        <f>VLOOKUP(Tabla_Items_Activos[[#This Row],[CODIGO]],Tabla_Items_Completos[[CODIGO]:[LINEA]],4,0)</f>
        <v>#N/A</v>
      </c>
      <c r="F1591">
        <v>578</v>
      </c>
      <c r="G1591">
        <v>0</v>
      </c>
    </row>
    <row r="1592" spans="1:7">
      <c r="A1592" t="s">
        <v>7388</v>
      </c>
      <c r="B1592" t="s">
        <v>8979</v>
      </c>
      <c r="C1592" s="1" t="e">
        <f>VLOOKUP(Tabla_Items_Activos[[#This Row],[CODIGO]],Tabla_Items_Completos[[CODIGO]:[LINEA]],2,0)</f>
        <v>#N/A</v>
      </c>
      <c r="D1592" s="1" t="e">
        <f>VLOOKUP(Tabla_Items_Activos[[#This Row],[CODIGO]],Tabla_Items_Completos[[CODIGO]:[LINEA]],3,0)</f>
        <v>#N/A</v>
      </c>
      <c r="E1592" s="1" t="e">
        <f>VLOOKUP(Tabla_Items_Activos[[#This Row],[CODIGO]],Tabla_Items_Completos[[CODIGO]:[LINEA]],4,0)</f>
        <v>#N/A</v>
      </c>
      <c r="F1592">
        <v>557</v>
      </c>
      <c r="G1592">
        <v>188</v>
      </c>
    </row>
    <row r="1593" spans="1:7">
      <c r="A1593" t="s">
        <v>7388</v>
      </c>
      <c r="B1593" t="s">
        <v>8980</v>
      </c>
      <c r="C1593" s="1" t="e">
        <f>VLOOKUP(Tabla_Items_Activos[[#This Row],[CODIGO]],Tabla_Items_Completos[[CODIGO]:[LINEA]],2,0)</f>
        <v>#N/A</v>
      </c>
      <c r="D1593" s="1" t="e">
        <f>VLOOKUP(Tabla_Items_Activos[[#This Row],[CODIGO]],Tabla_Items_Completos[[CODIGO]:[LINEA]],3,0)</f>
        <v>#N/A</v>
      </c>
      <c r="E1593" s="1" t="e">
        <f>VLOOKUP(Tabla_Items_Activos[[#This Row],[CODIGO]],Tabla_Items_Completos[[CODIGO]:[LINEA]],4,0)</f>
        <v>#N/A</v>
      </c>
      <c r="F1593">
        <v>390</v>
      </c>
      <c r="G1593">
        <v>35</v>
      </c>
    </row>
    <row r="1594" spans="1:7">
      <c r="A1594" t="s">
        <v>7388</v>
      </c>
      <c r="B1594" t="s">
        <v>8981</v>
      </c>
      <c r="C1594" s="1" t="e">
        <f>VLOOKUP(Tabla_Items_Activos[[#This Row],[CODIGO]],Tabla_Items_Completos[[CODIGO]:[LINEA]],2,0)</f>
        <v>#N/A</v>
      </c>
      <c r="D1594" s="1" t="e">
        <f>VLOOKUP(Tabla_Items_Activos[[#This Row],[CODIGO]],Tabla_Items_Completos[[CODIGO]:[LINEA]],3,0)</f>
        <v>#N/A</v>
      </c>
      <c r="E1594" s="1" t="e">
        <f>VLOOKUP(Tabla_Items_Activos[[#This Row],[CODIGO]],Tabla_Items_Completos[[CODIGO]:[LINEA]],4,0)</f>
        <v>#N/A</v>
      </c>
      <c r="F1594">
        <v>111</v>
      </c>
      <c r="G1594">
        <v>30</v>
      </c>
    </row>
    <row r="1595" spans="1:7">
      <c r="A1595" t="s">
        <v>7388</v>
      </c>
      <c r="B1595" t="s">
        <v>8982</v>
      </c>
      <c r="C1595" s="1" t="e">
        <f>VLOOKUP(Tabla_Items_Activos[[#This Row],[CODIGO]],Tabla_Items_Completos[[CODIGO]:[LINEA]],2,0)</f>
        <v>#N/A</v>
      </c>
      <c r="D1595" s="1" t="e">
        <f>VLOOKUP(Tabla_Items_Activos[[#This Row],[CODIGO]],Tabla_Items_Completos[[CODIGO]:[LINEA]],3,0)</f>
        <v>#N/A</v>
      </c>
      <c r="E1595" s="1" t="e">
        <f>VLOOKUP(Tabla_Items_Activos[[#This Row],[CODIGO]],Tabla_Items_Completos[[CODIGO]:[LINEA]],4,0)</f>
        <v>#N/A</v>
      </c>
      <c r="F1595">
        <v>284</v>
      </c>
      <c r="G1595">
        <v>139</v>
      </c>
    </row>
    <row r="1596" spans="1:7">
      <c r="A1596" t="s">
        <v>7388</v>
      </c>
      <c r="B1596" t="s">
        <v>8983</v>
      </c>
      <c r="C1596" s="1" t="e">
        <f>VLOOKUP(Tabla_Items_Activos[[#This Row],[CODIGO]],Tabla_Items_Completos[[CODIGO]:[LINEA]],2,0)</f>
        <v>#N/A</v>
      </c>
      <c r="D1596" s="1" t="e">
        <f>VLOOKUP(Tabla_Items_Activos[[#This Row],[CODIGO]],Tabla_Items_Completos[[CODIGO]:[LINEA]],3,0)</f>
        <v>#N/A</v>
      </c>
      <c r="E1596" s="1" t="e">
        <f>VLOOKUP(Tabla_Items_Activos[[#This Row],[CODIGO]],Tabla_Items_Completos[[CODIGO]:[LINEA]],4,0)</f>
        <v>#N/A</v>
      </c>
      <c r="F1596">
        <v>148</v>
      </c>
      <c r="G1596">
        <v>0</v>
      </c>
    </row>
    <row r="1597" spans="1:7">
      <c r="A1597" t="s">
        <v>7388</v>
      </c>
      <c r="B1597" t="s">
        <v>8984</v>
      </c>
      <c r="C1597" s="1" t="e">
        <f>VLOOKUP(Tabla_Items_Activos[[#This Row],[CODIGO]],Tabla_Items_Completos[[CODIGO]:[LINEA]],2,0)</f>
        <v>#N/A</v>
      </c>
      <c r="D1597" s="1" t="e">
        <f>VLOOKUP(Tabla_Items_Activos[[#This Row],[CODIGO]],Tabla_Items_Completos[[CODIGO]:[LINEA]],3,0)</f>
        <v>#N/A</v>
      </c>
      <c r="E1597" s="1" t="e">
        <f>VLOOKUP(Tabla_Items_Activos[[#This Row],[CODIGO]],Tabla_Items_Completos[[CODIGO]:[LINEA]],4,0)</f>
        <v>#N/A</v>
      </c>
      <c r="F1597">
        <v>147</v>
      </c>
      <c r="G1597">
        <v>51</v>
      </c>
    </row>
    <row r="1598" spans="1:7">
      <c r="A1598" t="s">
        <v>7388</v>
      </c>
      <c r="B1598" t="s">
        <v>8985</v>
      </c>
      <c r="C1598" s="1" t="e">
        <f>VLOOKUP(Tabla_Items_Activos[[#This Row],[CODIGO]],Tabla_Items_Completos[[CODIGO]:[LINEA]],2,0)</f>
        <v>#N/A</v>
      </c>
      <c r="D1598" s="1" t="e">
        <f>VLOOKUP(Tabla_Items_Activos[[#This Row],[CODIGO]],Tabla_Items_Completos[[CODIGO]:[LINEA]],3,0)</f>
        <v>#N/A</v>
      </c>
      <c r="E1598" s="1" t="e">
        <f>VLOOKUP(Tabla_Items_Activos[[#This Row],[CODIGO]],Tabla_Items_Completos[[CODIGO]:[LINEA]],4,0)</f>
        <v>#N/A</v>
      </c>
      <c r="F1598">
        <v>814</v>
      </c>
      <c r="G1598">
        <v>0</v>
      </c>
    </row>
    <row r="1599" spans="1:7">
      <c r="A1599" t="s">
        <v>7388</v>
      </c>
      <c r="B1599" t="s">
        <v>8986</v>
      </c>
      <c r="C1599" s="1" t="e">
        <f>VLOOKUP(Tabla_Items_Activos[[#This Row],[CODIGO]],Tabla_Items_Completos[[CODIGO]:[LINEA]],2,0)</f>
        <v>#N/A</v>
      </c>
      <c r="D1599" s="1" t="e">
        <f>VLOOKUP(Tabla_Items_Activos[[#This Row],[CODIGO]],Tabla_Items_Completos[[CODIGO]:[LINEA]],3,0)</f>
        <v>#N/A</v>
      </c>
      <c r="E1599" s="1" t="e">
        <f>VLOOKUP(Tabla_Items_Activos[[#This Row],[CODIGO]],Tabla_Items_Completos[[CODIGO]:[LINEA]],4,0)</f>
        <v>#N/A</v>
      </c>
      <c r="F1599">
        <v>211</v>
      </c>
      <c r="G1599">
        <v>20</v>
      </c>
    </row>
    <row r="1600" spans="1:7">
      <c r="A1600" t="s">
        <v>7388</v>
      </c>
      <c r="B1600" t="s">
        <v>8987</v>
      </c>
      <c r="C1600" s="1" t="e">
        <f>VLOOKUP(Tabla_Items_Activos[[#This Row],[CODIGO]],Tabla_Items_Completos[[CODIGO]:[LINEA]],2,0)</f>
        <v>#N/A</v>
      </c>
      <c r="D1600" s="1" t="e">
        <f>VLOOKUP(Tabla_Items_Activos[[#This Row],[CODIGO]],Tabla_Items_Completos[[CODIGO]:[LINEA]],3,0)</f>
        <v>#N/A</v>
      </c>
      <c r="E1600" s="1" t="e">
        <f>VLOOKUP(Tabla_Items_Activos[[#This Row],[CODIGO]],Tabla_Items_Completos[[CODIGO]:[LINEA]],4,0)</f>
        <v>#N/A</v>
      </c>
      <c r="F1600">
        <v>479</v>
      </c>
      <c r="G1600">
        <v>0</v>
      </c>
    </row>
    <row r="1601" spans="1:7">
      <c r="A1601" t="s">
        <v>7388</v>
      </c>
      <c r="B1601" t="s">
        <v>8988</v>
      </c>
      <c r="C1601" s="1" t="e">
        <f>VLOOKUP(Tabla_Items_Activos[[#This Row],[CODIGO]],Tabla_Items_Completos[[CODIGO]:[LINEA]],2,0)</f>
        <v>#N/A</v>
      </c>
      <c r="D1601" s="1" t="e">
        <f>VLOOKUP(Tabla_Items_Activos[[#This Row],[CODIGO]],Tabla_Items_Completos[[CODIGO]:[LINEA]],3,0)</f>
        <v>#N/A</v>
      </c>
      <c r="E1601" s="1" t="e">
        <f>VLOOKUP(Tabla_Items_Activos[[#This Row],[CODIGO]],Tabla_Items_Completos[[CODIGO]:[LINEA]],4,0)</f>
        <v>#N/A</v>
      </c>
      <c r="F1601">
        <v>6</v>
      </c>
      <c r="G1601">
        <v>0</v>
      </c>
    </row>
    <row r="1602" spans="1:7">
      <c r="A1602" t="s">
        <v>7388</v>
      </c>
      <c r="B1602" t="s">
        <v>8989</v>
      </c>
      <c r="C1602" s="1" t="e">
        <f>VLOOKUP(Tabla_Items_Activos[[#This Row],[CODIGO]],Tabla_Items_Completos[[CODIGO]:[LINEA]],2,0)</f>
        <v>#N/A</v>
      </c>
      <c r="D1602" s="1" t="e">
        <f>VLOOKUP(Tabla_Items_Activos[[#This Row],[CODIGO]],Tabla_Items_Completos[[CODIGO]:[LINEA]],3,0)</f>
        <v>#N/A</v>
      </c>
      <c r="E1602" s="1" t="e">
        <f>VLOOKUP(Tabla_Items_Activos[[#This Row],[CODIGO]],Tabla_Items_Completos[[CODIGO]:[LINEA]],4,0)</f>
        <v>#N/A</v>
      </c>
      <c r="F1602">
        <v>809</v>
      </c>
      <c r="G1602">
        <v>85</v>
      </c>
    </row>
    <row r="1603" spans="1:7">
      <c r="A1603" t="s">
        <v>7388</v>
      </c>
      <c r="B1603" t="s">
        <v>8990</v>
      </c>
      <c r="C1603" s="1" t="e">
        <f>VLOOKUP(Tabla_Items_Activos[[#This Row],[CODIGO]],Tabla_Items_Completos[[CODIGO]:[LINEA]],2,0)</f>
        <v>#N/A</v>
      </c>
      <c r="D1603" s="1" t="e">
        <f>VLOOKUP(Tabla_Items_Activos[[#This Row],[CODIGO]],Tabla_Items_Completos[[CODIGO]:[LINEA]],3,0)</f>
        <v>#N/A</v>
      </c>
      <c r="E1603" s="1" t="e">
        <f>VLOOKUP(Tabla_Items_Activos[[#This Row],[CODIGO]],Tabla_Items_Completos[[CODIGO]:[LINEA]],4,0)</f>
        <v>#N/A</v>
      </c>
      <c r="F1603">
        <v>1050</v>
      </c>
      <c r="G1603">
        <v>37</v>
      </c>
    </row>
    <row r="1604" spans="1:7">
      <c r="A1604" t="s">
        <v>7388</v>
      </c>
      <c r="B1604" t="s">
        <v>8991</v>
      </c>
      <c r="C1604" s="1" t="e">
        <f>VLOOKUP(Tabla_Items_Activos[[#This Row],[CODIGO]],Tabla_Items_Completos[[CODIGO]:[LINEA]],2,0)</f>
        <v>#N/A</v>
      </c>
      <c r="D1604" s="1" t="e">
        <f>VLOOKUP(Tabla_Items_Activos[[#This Row],[CODIGO]],Tabla_Items_Completos[[CODIGO]:[LINEA]],3,0)</f>
        <v>#N/A</v>
      </c>
      <c r="E1604" s="1" t="e">
        <f>VLOOKUP(Tabla_Items_Activos[[#This Row],[CODIGO]],Tabla_Items_Completos[[CODIGO]:[LINEA]],4,0)</f>
        <v>#N/A</v>
      </c>
      <c r="F1604">
        <v>164</v>
      </c>
      <c r="G1604">
        <v>159</v>
      </c>
    </row>
    <row r="1605" spans="1:7">
      <c r="A1605" t="s">
        <v>7388</v>
      </c>
      <c r="B1605" t="s">
        <v>8992</v>
      </c>
      <c r="C1605" s="1" t="e">
        <f>VLOOKUP(Tabla_Items_Activos[[#This Row],[CODIGO]],Tabla_Items_Completos[[CODIGO]:[LINEA]],2,0)</f>
        <v>#N/A</v>
      </c>
      <c r="D1605" s="1" t="e">
        <f>VLOOKUP(Tabla_Items_Activos[[#This Row],[CODIGO]],Tabla_Items_Completos[[CODIGO]:[LINEA]],3,0)</f>
        <v>#N/A</v>
      </c>
      <c r="E1605" s="1" t="e">
        <f>VLOOKUP(Tabla_Items_Activos[[#This Row],[CODIGO]],Tabla_Items_Completos[[CODIGO]:[LINEA]],4,0)</f>
        <v>#N/A</v>
      </c>
      <c r="F1605">
        <v>276</v>
      </c>
      <c r="G1605">
        <v>0</v>
      </c>
    </row>
    <row r="1606" spans="1:7">
      <c r="A1606" t="s">
        <v>7388</v>
      </c>
      <c r="B1606" t="s">
        <v>8993</v>
      </c>
      <c r="C1606" s="1" t="e">
        <f>VLOOKUP(Tabla_Items_Activos[[#This Row],[CODIGO]],Tabla_Items_Completos[[CODIGO]:[LINEA]],2,0)</f>
        <v>#N/A</v>
      </c>
      <c r="D1606" s="1" t="e">
        <f>VLOOKUP(Tabla_Items_Activos[[#This Row],[CODIGO]],Tabla_Items_Completos[[CODIGO]:[LINEA]],3,0)</f>
        <v>#N/A</v>
      </c>
      <c r="E1606" s="1" t="e">
        <f>VLOOKUP(Tabla_Items_Activos[[#This Row],[CODIGO]],Tabla_Items_Completos[[CODIGO]:[LINEA]],4,0)</f>
        <v>#N/A</v>
      </c>
      <c r="F1606">
        <v>263</v>
      </c>
      <c r="G1606">
        <v>0</v>
      </c>
    </row>
    <row r="1607" spans="1:7">
      <c r="A1607" t="s">
        <v>7388</v>
      </c>
      <c r="B1607" t="s">
        <v>8994</v>
      </c>
      <c r="C1607" s="1" t="e">
        <f>VLOOKUP(Tabla_Items_Activos[[#This Row],[CODIGO]],Tabla_Items_Completos[[CODIGO]:[LINEA]],2,0)</f>
        <v>#N/A</v>
      </c>
      <c r="D1607" s="1" t="e">
        <f>VLOOKUP(Tabla_Items_Activos[[#This Row],[CODIGO]],Tabla_Items_Completos[[CODIGO]:[LINEA]],3,0)</f>
        <v>#N/A</v>
      </c>
      <c r="E1607" s="1" t="e">
        <f>VLOOKUP(Tabla_Items_Activos[[#This Row],[CODIGO]],Tabla_Items_Completos[[CODIGO]:[LINEA]],4,0)</f>
        <v>#N/A</v>
      </c>
      <c r="F1607">
        <v>59</v>
      </c>
      <c r="G1607">
        <v>146</v>
      </c>
    </row>
    <row r="1608" spans="1:7">
      <c r="A1608" t="s">
        <v>7388</v>
      </c>
      <c r="B1608" t="s">
        <v>8995</v>
      </c>
      <c r="C1608" s="1" t="e">
        <f>VLOOKUP(Tabla_Items_Activos[[#This Row],[CODIGO]],Tabla_Items_Completos[[CODIGO]:[LINEA]],2,0)</f>
        <v>#N/A</v>
      </c>
      <c r="D1608" s="1" t="e">
        <f>VLOOKUP(Tabla_Items_Activos[[#This Row],[CODIGO]],Tabla_Items_Completos[[CODIGO]:[LINEA]],3,0)</f>
        <v>#N/A</v>
      </c>
      <c r="E1608" s="1" t="e">
        <f>VLOOKUP(Tabla_Items_Activos[[#This Row],[CODIGO]],Tabla_Items_Completos[[CODIGO]:[LINEA]],4,0)</f>
        <v>#N/A</v>
      </c>
      <c r="F1608">
        <v>37</v>
      </c>
      <c r="G1608">
        <v>125</v>
      </c>
    </row>
    <row r="1609" spans="1:7">
      <c r="A1609" t="s">
        <v>7388</v>
      </c>
      <c r="B1609" t="s">
        <v>8996</v>
      </c>
      <c r="C1609" s="1" t="e">
        <f>VLOOKUP(Tabla_Items_Activos[[#This Row],[CODIGO]],Tabla_Items_Completos[[CODIGO]:[LINEA]],2,0)</f>
        <v>#N/A</v>
      </c>
      <c r="D1609" s="1" t="e">
        <f>VLOOKUP(Tabla_Items_Activos[[#This Row],[CODIGO]],Tabla_Items_Completos[[CODIGO]:[LINEA]],3,0)</f>
        <v>#N/A</v>
      </c>
      <c r="E1609" s="1" t="e">
        <f>VLOOKUP(Tabla_Items_Activos[[#This Row],[CODIGO]],Tabla_Items_Completos[[CODIGO]:[LINEA]],4,0)</f>
        <v>#N/A</v>
      </c>
      <c r="F1609">
        <v>13761</v>
      </c>
      <c r="G1609">
        <v>105</v>
      </c>
    </row>
    <row r="1610" spans="1:7">
      <c r="A1610" t="s">
        <v>7388</v>
      </c>
      <c r="B1610" t="s">
        <v>8997</v>
      </c>
      <c r="C1610" s="1" t="e">
        <f>VLOOKUP(Tabla_Items_Activos[[#This Row],[CODIGO]],Tabla_Items_Completos[[CODIGO]:[LINEA]],2,0)</f>
        <v>#N/A</v>
      </c>
      <c r="D1610" s="1" t="e">
        <f>VLOOKUP(Tabla_Items_Activos[[#This Row],[CODIGO]],Tabla_Items_Completos[[CODIGO]:[LINEA]],3,0)</f>
        <v>#N/A</v>
      </c>
      <c r="E1610" s="1" t="e">
        <f>VLOOKUP(Tabla_Items_Activos[[#This Row],[CODIGO]],Tabla_Items_Completos[[CODIGO]:[LINEA]],4,0)</f>
        <v>#N/A</v>
      </c>
      <c r="F1610">
        <v>2553</v>
      </c>
      <c r="G1610">
        <v>302</v>
      </c>
    </row>
    <row r="1611" spans="1:7">
      <c r="A1611" t="s">
        <v>7388</v>
      </c>
      <c r="B1611" t="s">
        <v>8998</v>
      </c>
      <c r="C1611" s="1" t="e">
        <f>VLOOKUP(Tabla_Items_Activos[[#This Row],[CODIGO]],Tabla_Items_Completos[[CODIGO]:[LINEA]],2,0)</f>
        <v>#N/A</v>
      </c>
      <c r="D1611" s="1" t="e">
        <f>VLOOKUP(Tabla_Items_Activos[[#This Row],[CODIGO]],Tabla_Items_Completos[[CODIGO]:[LINEA]],3,0)</f>
        <v>#N/A</v>
      </c>
      <c r="E1611" s="1" t="e">
        <f>VLOOKUP(Tabla_Items_Activos[[#This Row],[CODIGO]],Tabla_Items_Completos[[CODIGO]:[LINEA]],4,0)</f>
        <v>#N/A</v>
      </c>
      <c r="F1611">
        <v>420</v>
      </c>
      <c r="G1611">
        <v>0</v>
      </c>
    </row>
    <row r="1612" spans="1:7">
      <c r="A1612" t="s">
        <v>7388</v>
      </c>
      <c r="B1612" t="s">
        <v>8999</v>
      </c>
      <c r="C1612" s="1" t="e">
        <f>VLOOKUP(Tabla_Items_Activos[[#This Row],[CODIGO]],Tabla_Items_Completos[[CODIGO]:[LINEA]],2,0)</f>
        <v>#N/A</v>
      </c>
      <c r="D1612" s="1" t="e">
        <f>VLOOKUP(Tabla_Items_Activos[[#This Row],[CODIGO]],Tabla_Items_Completos[[CODIGO]:[LINEA]],3,0)</f>
        <v>#N/A</v>
      </c>
      <c r="E1612" s="1" t="e">
        <f>VLOOKUP(Tabla_Items_Activos[[#This Row],[CODIGO]],Tabla_Items_Completos[[CODIGO]:[LINEA]],4,0)</f>
        <v>#N/A</v>
      </c>
      <c r="F1612">
        <v>455</v>
      </c>
      <c r="G1612">
        <v>402</v>
      </c>
    </row>
    <row r="1613" spans="1:7">
      <c r="A1613" t="s">
        <v>7388</v>
      </c>
      <c r="B1613" t="s">
        <v>9000</v>
      </c>
      <c r="C1613" s="1" t="e">
        <f>VLOOKUP(Tabla_Items_Activos[[#This Row],[CODIGO]],Tabla_Items_Completos[[CODIGO]:[LINEA]],2,0)</f>
        <v>#N/A</v>
      </c>
      <c r="D1613" s="1" t="e">
        <f>VLOOKUP(Tabla_Items_Activos[[#This Row],[CODIGO]],Tabla_Items_Completos[[CODIGO]:[LINEA]],3,0)</f>
        <v>#N/A</v>
      </c>
      <c r="E1613" s="1" t="e">
        <f>VLOOKUP(Tabla_Items_Activos[[#This Row],[CODIGO]],Tabla_Items_Completos[[CODIGO]:[LINEA]],4,0)</f>
        <v>#N/A</v>
      </c>
      <c r="F1613">
        <v>883</v>
      </c>
      <c r="G1613">
        <v>25</v>
      </c>
    </row>
    <row r="1614" spans="1:7">
      <c r="A1614" t="s">
        <v>7388</v>
      </c>
      <c r="B1614" t="s">
        <v>9001</v>
      </c>
      <c r="C1614" s="1" t="e">
        <f>VLOOKUP(Tabla_Items_Activos[[#This Row],[CODIGO]],Tabla_Items_Completos[[CODIGO]:[LINEA]],2,0)</f>
        <v>#N/A</v>
      </c>
      <c r="D1614" s="1" t="e">
        <f>VLOOKUP(Tabla_Items_Activos[[#This Row],[CODIGO]],Tabla_Items_Completos[[CODIGO]:[LINEA]],3,0)</f>
        <v>#N/A</v>
      </c>
      <c r="E1614" s="1" t="e">
        <f>VLOOKUP(Tabla_Items_Activos[[#This Row],[CODIGO]],Tabla_Items_Completos[[CODIGO]:[LINEA]],4,0)</f>
        <v>#N/A</v>
      </c>
      <c r="F1614">
        <v>2689</v>
      </c>
      <c r="G1614">
        <v>0</v>
      </c>
    </row>
    <row r="1615" spans="1:7">
      <c r="A1615" t="s">
        <v>7388</v>
      </c>
      <c r="B1615" t="s">
        <v>9002</v>
      </c>
      <c r="C1615" s="1" t="e">
        <f>VLOOKUP(Tabla_Items_Activos[[#This Row],[CODIGO]],Tabla_Items_Completos[[CODIGO]:[LINEA]],2,0)</f>
        <v>#N/A</v>
      </c>
      <c r="D1615" s="1" t="e">
        <f>VLOOKUP(Tabla_Items_Activos[[#This Row],[CODIGO]],Tabla_Items_Completos[[CODIGO]:[LINEA]],3,0)</f>
        <v>#N/A</v>
      </c>
      <c r="E1615" s="1" t="e">
        <f>VLOOKUP(Tabla_Items_Activos[[#This Row],[CODIGO]],Tabla_Items_Completos[[CODIGO]:[LINEA]],4,0)</f>
        <v>#N/A</v>
      </c>
      <c r="F1615">
        <v>913</v>
      </c>
      <c r="G1615">
        <v>0</v>
      </c>
    </row>
    <row r="1616" spans="1:7">
      <c r="A1616" t="s">
        <v>7388</v>
      </c>
      <c r="B1616" t="s">
        <v>9003</v>
      </c>
      <c r="C1616" s="1" t="e">
        <f>VLOOKUP(Tabla_Items_Activos[[#This Row],[CODIGO]],Tabla_Items_Completos[[CODIGO]:[LINEA]],2,0)</f>
        <v>#N/A</v>
      </c>
      <c r="D1616" s="1" t="e">
        <f>VLOOKUP(Tabla_Items_Activos[[#This Row],[CODIGO]],Tabla_Items_Completos[[CODIGO]:[LINEA]],3,0)</f>
        <v>#N/A</v>
      </c>
      <c r="E1616" s="1" t="e">
        <f>VLOOKUP(Tabla_Items_Activos[[#This Row],[CODIGO]],Tabla_Items_Completos[[CODIGO]:[LINEA]],4,0)</f>
        <v>#N/A</v>
      </c>
      <c r="F1616">
        <v>2537</v>
      </c>
      <c r="G1616">
        <v>171</v>
      </c>
    </row>
    <row r="1617" spans="1:7">
      <c r="A1617" t="s">
        <v>7388</v>
      </c>
      <c r="B1617" t="s">
        <v>9004</v>
      </c>
      <c r="C1617" s="1" t="e">
        <f>VLOOKUP(Tabla_Items_Activos[[#This Row],[CODIGO]],Tabla_Items_Completos[[CODIGO]:[LINEA]],2,0)</f>
        <v>#N/A</v>
      </c>
      <c r="D1617" s="1" t="e">
        <f>VLOOKUP(Tabla_Items_Activos[[#This Row],[CODIGO]],Tabla_Items_Completos[[CODIGO]:[LINEA]],3,0)</f>
        <v>#N/A</v>
      </c>
      <c r="E1617" s="1" t="e">
        <f>VLOOKUP(Tabla_Items_Activos[[#This Row],[CODIGO]],Tabla_Items_Completos[[CODIGO]:[LINEA]],4,0)</f>
        <v>#N/A</v>
      </c>
      <c r="F1617">
        <v>676</v>
      </c>
      <c r="G1617">
        <v>0</v>
      </c>
    </row>
    <row r="1618" spans="1:7">
      <c r="A1618" t="s">
        <v>7388</v>
      </c>
      <c r="B1618" t="s">
        <v>9005</v>
      </c>
      <c r="C1618" s="1" t="e">
        <f>VLOOKUP(Tabla_Items_Activos[[#This Row],[CODIGO]],Tabla_Items_Completos[[CODIGO]:[LINEA]],2,0)</f>
        <v>#N/A</v>
      </c>
      <c r="D1618" s="1" t="e">
        <f>VLOOKUP(Tabla_Items_Activos[[#This Row],[CODIGO]],Tabla_Items_Completos[[CODIGO]:[LINEA]],3,0)</f>
        <v>#N/A</v>
      </c>
      <c r="E1618" s="1" t="e">
        <f>VLOOKUP(Tabla_Items_Activos[[#This Row],[CODIGO]],Tabla_Items_Completos[[CODIGO]:[LINEA]],4,0)</f>
        <v>#N/A</v>
      </c>
      <c r="F1618">
        <v>626</v>
      </c>
      <c r="G1618">
        <v>1315</v>
      </c>
    </row>
    <row r="1619" spans="1:7">
      <c r="A1619" t="s">
        <v>7388</v>
      </c>
      <c r="B1619" t="s">
        <v>9006</v>
      </c>
      <c r="C1619" s="1" t="e">
        <f>VLOOKUP(Tabla_Items_Activos[[#This Row],[CODIGO]],Tabla_Items_Completos[[CODIGO]:[LINEA]],2,0)</f>
        <v>#N/A</v>
      </c>
      <c r="D1619" s="1" t="e">
        <f>VLOOKUP(Tabla_Items_Activos[[#This Row],[CODIGO]],Tabla_Items_Completos[[CODIGO]:[LINEA]],3,0)</f>
        <v>#N/A</v>
      </c>
      <c r="E1619" s="1" t="e">
        <f>VLOOKUP(Tabla_Items_Activos[[#This Row],[CODIGO]],Tabla_Items_Completos[[CODIGO]:[LINEA]],4,0)</f>
        <v>#N/A</v>
      </c>
      <c r="F1619">
        <v>12635</v>
      </c>
      <c r="G1619">
        <v>0</v>
      </c>
    </row>
    <row r="1620" spans="1:7">
      <c r="A1620" t="s">
        <v>7388</v>
      </c>
      <c r="B1620" t="s">
        <v>9007</v>
      </c>
      <c r="C1620" s="1" t="e">
        <f>VLOOKUP(Tabla_Items_Activos[[#This Row],[CODIGO]],Tabla_Items_Completos[[CODIGO]:[LINEA]],2,0)</f>
        <v>#N/A</v>
      </c>
      <c r="D1620" s="1" t="e">
        <f>VLOOKUP(Tabla_Items_Activos[[#This Row],[CODIGO]],Tabla_Items_Completos[[CODIGO]:[LINEA]],3,0)</f>
        <v>#N/A</v>
      </c>
      <c r="E1620" s="1" t="e">
        <f>VLOOKUP(Tabla_Items_Activos[[#This Row],[CODIGO]],Tabla_Items_Completos[[CODIGO]:[LINEA]],4,0)</f>
        <v>#N/A</v>
      </c>
      <c r="F1620">
        <v>1051</v>
      </c>
      <c r="G1620">
        <v>0</v>
      </c>
    </row>
    <row r="1621" spans="1:7">
      <c r="A1621" t="s">
        <v>7388</v>
      </c>
      <c r="B1621" t="s">
        <v>9008</v>
      </c>
      <c r="C1621" s="1" t="e">
        <f>VLOOKUP(Tabla_Items_Activos[[#This Row],[CODIGO]],Tabla_Items_Completos[[CODIGO]:[LINEA]],2,0)</f>
        <v>#N/A</v>
      </c>
      <c r="D1621" s="1" t="e">
        <f>VLOOKUP(Tabla_Items_Activos[[#This Row],[CODIGO]],Tabla_Items_Completos[[CODIGO]:[LINEA]],3,0)</f>
        <v>#N/A</v>
      </c>
      <c r="E1621" s="1" t="e">
        <f>VLOOKUP(Tabla_Items_Activos[[#This Row],[CODIGO]],Tabla_Items_Completos[[CODIGO]:[LINEA]],4,0)</f>
        <v>#N/A</v>
      </c>
      <c r="F1621">
        <v>5566</v>
      </c>
      <c r="G1621">
        <v>1830</v>
      </c>
    </row>
    <row r="1622" spans="1:7">
      <c r="A1622" t="s">
        <v>7388</v>
      </c>
      <c r="B1622" t="s">
        <v>9009</v>
      </c>
      <c r="C1622" s="1" t="e">
        <f>VLOOKUP(Tabla_Items_Activos[[#This Row],[CODIGO]],Tabla_Items_Completos[[CODIGO]:[LINEA]],2,0)</f>
        <v>#N/A</v>
      </c>
      <c r="D1622" s="1" t="e">
        <f>VLOOKUP(Tabla_Items_Activos[[#This Row],[CODIGO]],Tabla_Items_Completos[[CODIGO]:[LINEA]],3,0)</f>
        <v>#N/A</v>
      </c>
      <c r="E1622" s="1" t="e">
        <f>VLOOKUP(Tabla_Items_Activos[[#This Row],[CODIGO]],Tabla_Items_Completos[[CODIGO]:[LINEA]],4,0)</f>
        <v>#N/A</v>
      </c>
      <c r="F1622">
        <v>1996</v>
      </c>
      <c r="G1622">
        <v>1900</v>
      </c>
    </row>
    <row r="1623" spans="1:7">
      <c r="A1623" t="s">
        <v>7388</v>
      </c>
      <c r="B1623" t="s">
        <v>9010</v>
      </c>
      <c r="C1623" s="1" t="e">
        <f>VLOOKUP(Tabla_Items_Activos[[#This Row],[CODIGO]],Tabla_Items_Completos[[CODIGO]:[LINEA]],2,0)</f>
        <v>#N/A</v>
      </c>
      <c r="D1623" s="1" t="e">
        <f>VLOOKUP(Tabla_Items_Activos[[#This Row],[CODIGO]],Tabla_Items_Completos[[CODIGO]:[LINEA]],3,0)</f>
        <v>#N/A</v>
      </c>
      <c r="E1623" s="1" t="e">
        <f>VLOOKUP(Tabla_Items_Activos[[#This Row],[CODIGO]],Tabla_Items_Completos[[CODIGO]:[LINEA]],4,0)</f>
        <v>#N/A</v>
      </c>
      <c r="F1623">
        <v>5896</v>
      </c>
      <c r="G1623">
        <v>845</v>
      </c>
    </row>
    <row r="1624" spans="1:7">
      <c r="A1624" t="s">
        <v>7388</v>
      </c>
      <c r="B1624" t="s">
        <v>9011</v>
      </c>
      <c r="C1624" s="1" t="e">
        <f>VLOOKUP(Tabla_Items_Activos[[#This Row],[CODIGO]],Tabla_Items_Completos[[CODIGO]:[LINEA]],2,0)</f>
        <v>#N/A</v>
      </c>
      <c r="D1624" s="1" t="e">
        <f>VLOOKUP(Tabla_Items_Activos[[#This Row],[CODIGO]],Tabla_Items_Completos[[CODIGO]:[LINEA]],3,0)</f>
        <v>#N/A</v>
      </c>
      <c r="E1624" s="1" t="e">
        <f>VLOOKUP(Tabla_Items_Activos[[#This Row],[CODIGO]],Tabla_Items_Completos[[CODIGO]:[LINEA]],4,0)</f>
        <v>#N/A</v>
      </c>
      <c r="F1624">
        <v>3891</v>
      </c>
      <c r="G1624">
        <v>574</v>
      </c>
    </row>
    <row r="1625" spans="1:7">
      <c r="A1625" t="s">
        <v>7388</v>
      </c>
      <c r="B1625" t="s">
        <v>9012</v>
      </c>
      <c r="C1625" s="1" t="e">
        <f>VLOOKUP(Tabla_Items_Activos[[#This Row],[CODIGO]],Tabla_Items_Completos[[CODIGO]:[LINEA]],2,0)</f>
        <v>#N/A</v>
      </c>
      <c r="D1625" s="1" t="e">
        <f>VLOOKUP(Tabla_Items_Activos[[#This Row],[CODIGO]],Tabla_Items_Completos[[CODIGO]:[LINEA]],3,0)</f>
        <v>#N/A</v>
      </c>
      <c r="E1625" s="1" t="e">
        <f>VLOOKUP(Tabla_Items_Activos[[#This Row],[CODIGO]],Tabla_Items_Completos[[CODIGO]:[LINEA]],4,0)</f>
        <v>#N/A</v>
      </c>
      <c r="F1625">
        <v>535</v>
      </c>
      <c r="G1625">
        <v>111</v>
      </c>
    </row>
    <row r="1626" spans="1:7">
      <c r="A1626" t="s">
        <v>7388</v>
      </c>
      <c r="B1626" t="s">
        <v>9013</v>
      </c>
      <c r="C1626" s="1" t="e">
        <f>VLOOKUP(Tabla_Items_Activos[[#This Row],[CODIGO]],Tabla_Items_Completos[[CODIGO]:[LINEA]],2,0)</f>
        <v>#N/A</v>
      </c>
      <c r="D1626" s="1" t="e">
        <f>VLOOKUP(Tabla_Items_Activos[[#This Row],[CODIGO]],Tabla_Items_Completos[[CODIGO]:[LINEA]],3,0)</f>
        <v>#N/A</v>
      </c>
      <c r="E1626" s="1" t="e">
        <f>VLOOKUP(Tabla_Items_Activos[[#This Row],[CODIGO]],Tabla_Items_Completos[[CODIGO]:[LINEA]],4,0)</f>
        <v>#N/A</v>
      </c>
      <c r="F1626">
        <v>183</v>
      </c>
      <c r="G1626">
        <v>0</v>
      </c>
    </row>
    <row r="1627" spans="1:7">
      <c r="A1627" t="s">
        <v>7388</v>
      </c>
      <c r="B1627" t="s">
        <v>9014</v>
      </c>
      <c r="C1627" s="1" t="e">
        <f>VLOOKUP(Tabla_Items_Activos[[#This Row],[CODIGO]],Tabla_Items_Completos[[CODIGO]:[LINEA]],2,0)</f>
        <v>#N/A</v>
      </c>
      <c r="D1627" s="1" t="e">
        <f>VLOOKUP(Tabla_Items_Activos[[#This Row],[CODIGO]],Tabla_Items_Completos[[CODIGO]:[LINEA]],3,0)</f>
        <v>#N/A</v>
      </c>
      <c r="E1627" s="1" t="e">
        <f>VLOOKUP(Tabla_Items_Activos[[#This Row],[CODIGO]],Tabla_Items_Completos[[CODIGO]:[LINEA]],4,0)</f>
        <v>#N/A</v>
      </c>
      <c r="F1627">
        <v>14661</v>
      </c>
      <c r="G1627">
        <v>0</v>
      </c>
    </row>
    <row r="1628" spans="1:7">
      <c r="A1628" t="s">
        <v>7388</v>
      </c>
      <c r="B1628" t="s">
        <v>9015</v>
      </c>
      <c r="C1628" s="1" t="e">
        <f>VLOOKUP(Tabla_Items_Activos[[#This Row],[CODIGO]],Tabla_Items_Completos[[CODIGO]:[LINEA]],2,0)</f>
        <v>#N/A</v>
      </c>
      <c r="D1628" s="1" t="e">
        <f>VLOOKUP(Tabla_Items_Activos[[#This Row],[CODIGO]],Tabla_Items_Completos[[CODIGO]:[LINEA]],3,0)</f>
        <v>#N/A</v>
      </c>
      <c r="E1628" s="1" t="e">
        <f>VLOOKUP(Tabla_Items_Activos[[#This Row],[CODIGO]],Tabla_Items_Completos[[CODIGO]:[LINEA]],4,0)</f>
        <v>#N/A</v>
      </c>
      <c r="F1628">
        <v>4206</v>
      </c>
      <c r="G1628">
        <v>2100</v>
      </c>
    </row>
    <row r="1629" spans="1:7">
      <c r="A1629" t="s">
        <v>7388</v>
      </c>
      <c r="B1629" t="s">
        <v>9016</v>
      </c>
      <c r="C1629" s="1" t="e">
        <f>VLOOKUP(Tabla_Items_Activos[[#This Row],[CODIGO]],Tabla_Items_Completos[[CODIGO]:[LINEA]],2,0)</f>
        <v>#N/A</v>
      </c>
      <c r="D1629" s="1" t="e">
        <f>VLOOKUP(Tabla_Items_Activos[[#This Row],[CODIGO]],Tabla_Items_Completos[[CODIGO]:[LINEA]],3,0)</f>
        <v>#N/A</v>
      </c>
      <c r="E1629" s="1" t="e">
        <f>VLOOKUP(Tabla_Items_Activos[[#This Row],[CODIGO]],Tabla_Items_Completos[[CODIGO]:[LINEA]],4,0)</f>
        <v>#N/A</v>
      </c>
      <c r="F1629">
        <v>31501</v>
      </c>
      <c r="G1629">
        <v>24000</v>
      </c>
    </row>
    <row r="1630" spans="1:7">
      <c r="A1630" t="s">
        <v>7388</v>
      </c>
      <c r="B1630" t="s">
        <v>9017</v>
      </c>
      <c r="C1630" s="1" t="e">
        <f>VLOOKUP(Tabla_Items_Activos[[#This Row],[CODIGO]],Tabla_Items_Completos[[CODIGO]:[LINEA]],2,0)</f>
        <v>#N/A</v>
      </c>
      <c r="D1630" s="1" t="e">
        <f>VLOOKUP(Tabla_Items_Activos[[#This Row],[CODIGO]],Tabla_Items_Completos[[CODIGO]:[LINEA]],3,0)</f>
        <v>#N/A</v>
      </c>
      <c r="E1630" s="1" t="e">
        <f>VLOOKUP(Tabla_Items_Activos[[#This Row],[CODIGO]],Tabla_Items_Completos[[CODIGO]:[LINEA]],4,0)</f>
        <v>#N/A</v>
      </c>
      <c r="F1630">
        <v>2642</v>
      </c>
      <c r="G1630">
        <v>398</v>
      </c>
    </row>
    <row r="1631" spans="1:7">
      <c r="A1631" t="s">
        <v>7388</v>
      </c>
      <c r="B1631" t="s">
        <v>9018</v>
      </c>
      <c r="C1631" s="1" t="e">
        <f>VLOOKUP(Tabla_Items_Activos[[#This Row],[CODIGO]],Tabla_Items_Completos[[CODIGO]:[LINEA]],2,0)</f>
        <v>#N/A</v>
      </c>
      <c r="D1631" s="1" t="e">
        <f>VLOOKUP(Tabla_Items_Activos[[#This Row],[CODIGO]],Tabla_Items_Completos[[CODIGO]:[LINEA]],3,0)</f>
        <v>#N/A</v>
      </c>
      <c r="E1631" s="1" t="e">
        <f>VLOOKUP(Tabla_Items_Activos[[#This Row],[CODIGO]],Tabla_Items_Completos[[CODIGO]:[LINEA]],4,0)</f>
        <v>#N/A</v>
      </c>
      <c r="F1631">
        <v>24870</v>
      </c>
      <c r="G1631">
        <v>0</v>
      </c>
    </row>
    <row r="1632" spans="1:7">
      <c r="A1632" t="s">
        <v>7388</v>
      </c>
      <c r="B1632" t="s">
        <v>9019</v>
      </c>
      <c r="C1632" s="1" t="e">
        <f>VLOOKUP(Tabla_Items_Activos[[#This Row],[CODIGO]],Tabla_Items_Completos[[CODIGO]:[LINEA]],2,0)</f>
        <v>#N/A</v>
      </c>
      <c r="D1632" s="1" t="e">
        <f>VLOOKUP(Tabla_Items_Activos[[#This Row],[CODIGO]],Tabla_Items_Completos[[CODIGO]:[LINEA]],3,0)</f>
        <v>#N/A</v>
      </c>
      <c r="E1632" s="1" t="e">
        <f>VLOOKUP(Tabla_Items_Activos[[#This Row],[CODIGO]],Tabla_Items_Completos[[CODIGO]:[LINEA]],4,0)</f>
        <v>#N/A</v>
      </c>
      <c r="F1632">
        <v>19657</v>
      </c>
      <c r="G1632">
        <v>1927</v>
      </c>
    </row>
    <row r="1633" spans="1:7">
      <c r="A1633" t="s">
        <v>7388</v>
      </c>
      <c r="B1633" t="s">
        <v>9020</v>
      </c>
      <c r="C1633" s="1" t="e">
        <f>VLOOKUP(Tabla_Items_Activos[[#This Row],[CODIGO]],Tabla_Items_Completos[[CODIGO]:[LINEA]],2,0)</f>
        <v>#N/A</v>
      </c>
      <c r="D1633" s="1" t="e">
        <f>VLOOKUP(Tabla_Items_Activos[[#This Row],[CODIGO]],Tabla_Items_Completos[[CODIGO]:[LINEA]],3,0)</f>
        <v>#N/A</v>
      </c>
      <c r="E1633" s="1" t="e">
        <f>VLOOKUP(Tabla_Items_Activos[[#This Row],[CODIGO]],Tabla_Items_Completos[[CODIGO]:[LINEA]],4,0)</f>
        <v>#N/A</v>
      </c>
      <c r="F1633">
        <v>4241</v>
      </c>
      <c r="G1633">
        <v>200</v>
      </c>
    </row>
    <row r="1634" spans="1:7">
      <c r="A1634" t="s">
        <v>7388</v>
      </c>
      <c r="B1634" t="s">
        <v>9021</v>
      </c>
      <c r="C1634" s="1" t="e">
        <f>VLOOKUP(Tabla_Items_Activos[[#This Row],[CODIGO]],Tabla_Items_Completos[[CODIGO]:[LINEA]],2,0)</f>
        <v>#N/A</v>
      </c>
      <c r="D1634" s="1" t="e">
        <f>VLOOKUP(Tabla_Items_Activos[[#This Row],[CODIGO]],Tabla_Items_Completos[[CODIGO]:[LINEA]],3,0)</f>
        <v>#N/A</v>
      </c>
      <c r="E1634" s="1" t="e">
        <f>VLOOKUP(Tabla_Items_Activos[[#This Row],[CODIGO]],Tabla_Items_Completos[[CODIGO]:[LINEA]],4,0)</f>
        <v>#N/A</v>
      </c>
      <c r="F1634">
        <v>3676</v>
      </c>
      <c r="G1634">
        <v>1694</v>
      </c>
    </row>
    <row r="1635" spans="1:7">
      <c r="A1635" t="s">
        <v>7388</v>
      </c>
      <c r="B1635" t="s">
        <v>9022</v>
      </c>
      <c r="C1635" s="1" t="e">
        <f>VLOOKUP(Tabla_Items_Activos[[#This Row],[CODIGO]],Tabla_Items_Completos[[CODIGO]:[LINEA]],2,0)</f>
        <v>#N/A</v>
      </c>
      <c r="D1635" s="1" t="e">
        <f>VLOOKUP(Tabla_Items_Activos[[#This Row],[CODIGO]],Tabla_Items_Completos[[CODIGO]:[LINEA]],3,0)</f>
        <v>#N/A</v>
      </c>
      <c r="E1635" s="1" t="e">
        <f>VLOOKUP(Tabla_Items_Activos[[#This Row],[CODIGO]],Tabla_Items_Completos[[CODIGO]:[LINEA]],4,0)</f>
        <v>#N/A</v>
      </c>
      <c r="F1635">
        <v>2678</v>
      </c>
      <c r="G1635">
        <v>499</v>
      </c>
    </row>
    <row r="1636" spans="1:7">
      <c r="A1636" t="s">
        <v>7388</v>
      </c>
      <c r="B1636" t="s">
        <v>9023</v>
      </c>
      <c r="C1636" s="1" t="e">
        <f>VLOOKUP(Tabla_Items_Activos[[#This Row],[CODIGO]],Tabla_Items_Completos[[CODIGO]:[LINEA]],2,0)</f>
        <v>#N/A</v>
      </c>
      <c r="D1636" s="1" t="e">
        <f>VLOOKUP(Tabla_Items_Activos[[#This Row],[CODIGO]],Tabla_Items_Completos[[CODIGO]:[LINEA]],3,0)</f>
        <v>#N/A</v>
      </c>
      <c r="E1636" s="1" t="e">
        <f>VLOOKUP(Tabla_Items_Activos[[#This Row],[CODIGO]],Tabla_Items_Completos[[CODIGO]:[LINEA]],4,0)</f>
        <v>#N/A</v>
      </c>
      <c r="F1636">
        <v>2750</v>
      </c>
      <c r="G1636">
        <v>710</v>
      </c>
    </row>
    <row r="1637" spans="1:7">
      <c r="A1637" t="s">
        <v>7388</v>
      </c>
      <c r="B1637" t="s">
        <v>9024</v>
      </c>
      <c r="C1637" s="1" t="e">
        <f>VLOOKUP(Tabla_Items_Activos[[#This Row],[CODIGO]],Tabla_Items_Completos[[CODIGO]:[LINEA]],2,0)</f>
        <v>#N/A</v>
      </c>
      <c r="D1637" s="1" t="e">
        <f>VLOOKUP(Tabla_Items_Activos[[#This Row],[CODIGO]],Tabla_Items_Completos[[CODIGO]:[LINEA]],3,0)</f>
        <v>#N/A</v>
      </c>
      <c r="E1637" s="1" t="e">
        <f>VLOOKUP(Tabla_Items_Activos[[#This Row],[CODIGO]],Tabla_Items_Completos[[CODIGO]:[LINEA]],4,0)</f>
        <v>#N/A</v>
      </c>
      <c r="F1637">
        <v>12180</v>
      </c>
      <c r="G1637">
        <v>2040</v>
      </c>
    </row>
    <row r="1638" spans="1:7">
      <c r="A1638" t="s">
        <v>7388</v>
      </c>
      <c r="B1638" t="s">
        <v>9025</v>
      </c>
      <c r="C1638" s="1" t="e">
        <f>VLOOKUP(Tabla_Items_Activos[[#This Row],[CODIGO]],Tabla_Items_Completos[[CODIGO]:[LINEA]],2,0)</f>
        <v>#N/A</v>
      </c>
      <c r="D1638" s="1" t="e">
        <f>VLOOKUP(Tabla_Items_Activos[[#This Row],[CODIGO]],Tabla_Items_Completos[[CODIGO]:[LINEA]],3,0)</f>
        <v>#N/A</v>
      </c>
      <c r="E1638" s="1" t="e">
        <f>VLOOKUP(Tabla_Items_Activos[[#This Row],[CODIGO]],Tabla_Items_Completos[[CODIGO]:[LINEA]],4,0)</f>
        <v>#N/A</v>
      </c>
      <c r="F1638">
        <v>3103</v>
      </c>
      <c r="G1638">
        <v>840</v>
      </c>
    </row>
    <row r="1639" spans="1:7">
      <c r="A1639" t="s">
        <v>7388</v>
      </c>
      <c r="B1639" t="s">
        <v>9026</v>
      </c>
      <c r="C1639" s="1" t="e">
        <f>VLOOKUP(Tabla_Items_Activos[[#This Row],[CODIGO]],Tabla_Items_Completos[[CODIGO]:[LINEA]],2,0)</f>
        <v>#N/A</v>
      </c>
      <c r="D1639" s="1" t="e">
        <f>VLOOKUP(Tabla_Items_Activos[[#This Row],[CODIGO]],Tabla_Items_Completos[[CODIGO]:[LINEA]],3,0)</f>
        <v>#N/A</v>
      </c>
      <c r="E1639" s="1" t="e">
        <f>VLOOKUP(Tabla_Items_Activos[[#This Row],[CODIGO]],Tabla_Items_Completos[[CODIGO]:[LINEA]],4,0)</f>
        <v>#N/A</v>
      </c>
      <c r="F1639">
        <v>1051</v>
      </c>
      <c r="G1639">
        <v>999</v>
      </c>
    </row>
    <row r="1640" spans="1:7">
      <c r="A1640" t="s">
        <v>7388</v>
      </c>
      <c r="B1640" t="s">
        <v>9027</v>
      </c>
      <c r="C1640" s="1" t="e">
        <f>VLOOKUP(Tabla_Items_Activos[[#This Row],[CODIGO]],Tabla_Items_Completos[[CODIGO]:[LINEA]],2,0)</f>
        <v>#N/A</v>
      </c>
      <c r="D1640" s="1" t="e">
        <f>VLOOKUP(Tabla_Items_Activos[[#This Row],[CODIGO]],Tabla_Items_Completos[[CODIGO]:[LINEA]],3,0)</f>
        <v>#N/A</v>
      </c>
      <c r="E1640" s="1" t="e">
        <f>VLOOKUP(Tabla_Items_Activos[[#This Row],[CODIGO]],Tabla_Items_Completos[[CODIGO]:[LINEA]],4,0)</f>
        <v>#N/A</v>
      </c>
      <c r="F1640">
        <v>575</v>
      </c>
      <c r="G1640">
        <v>36</v>
      </c>
    </row>
    <row r="1641" spans="1:7">
      <c r="A1641" t="s">
        <v>7388</v>
      </c>
      <c r="B1641" t="s">
        <v>9028</v>
      </c>
      <c r="C1641" s="1" t="e">
        <f>VLOOKUP(Tabla_Items_Activos[[#This Row],[CODIGO]],Tabla_Items_Completos[[CODIGO]:[LINEA]],2,0)</f>
        <v>#N/A</v>
      </c>
      <c r="D1641" s="1" t="e">
        <f>VLOOKUP(Tabla_Items_Activos[[#This Row],[CODIGO]],Tabla_Items_Completos[[CODIGO]:[LINEA]],3,0)</f>
        <v>#N/A</v>
      </c>
      <c r="E1641" s="1" t="e">
        <f>VLOOKUP(Tabla_Items_Activos[[#This Row],[CODIGO]],Tabla_Items_Completos[[CODIGO]:[LINEA]],4,0)</f>
        <v>#N/A</v>
      </c>
      <c r="F1641">
        <v>2993</v>
      </c>
      <c r="G1641">
        <v>3220</v>
      </c>
    </row>
    <row r="1642" spans="1:7">
      <c r="A1642" t="s">
        <v>7388</v>
      </c>
      <c r="B1642" t="s">
        <v>9029</v>
      </c>
      <c r="C1642" s="1" t="e">
        <f>VLOOKUP(Tabla_Items_Activos[[#This Row],[CODIGO]],Tabla_Items_Completos[[CODIGO]:[LINEA]],2,0)</f>
        <v>#N/A</v>
      </c>
      <c r="D1642" s="1" t="e">
        <f>VLOOKUP(Tabla_Items_Activos[[#This Row],[CODIGO]],Tabla_Items_Completos[[CODIGO]:[LINEA]],3,0)</f>
        <v>#N/A</v>
      </c>
      <c r="E1642" s="1" t="e">
        <f>VLOOKUP(Tabla_Items_Activos[[#This Row],[CODIGO]],Tabla_Items_Completos[[CODIGO]:[LINEA]],4,0)</f>
        <v>#N/A</v>
      </c>
      <c r="F1642">
        <v>4920</v>
      </c>
      <c r="G1642">
        <v>2440</v>
      </c>
    </row>
    <row r="1643" spans="1:7">
      <c r="A1643" t="s">
        <v>7388</v>
      </c>
      <c r="B1643" t="s">
        <v>9030</v>
      </c>
      <c r="C1643" s="1" t="e">
        <f>VLOOKUP(Tabla_Items_Activos[[#This Row],[CODIGO]],Tabla_Items_Completos[[CODIGO]:[LINEA]],2,0)</f>
        <v>#N/A</v>
      </c>
      <c r="D1643" s="1" t="e">
        <f>VLOOKUP(Tabla_Items_Activos[[#This Row],[CODIGO]],Tabla_Items_Completos[[CODIGO]:[LINEA]],3,0)</f>
        <v>#N/A</v>
      </c>
      <c r="E1643" s="1" t="e">
        <f>VLOOKUP(Tabla_Items_Activos[[#This Row],[CODIGO]],Tabla_Items_Completos[[CODIGO]:[LINEA]],4,0)</f>
        <v>#N/A</v>
      </c>
      <c r="F1643">
        <v>11400</v>
      </c>
      <c r="G1643">
        <v>5049</v>
      </c>
    </row>
    <row r="1644" spans="1:7">
      <c r="A1644" t="s">
        <v>7388</v>
      </c>
      <c r="B1644" t="s">
        <v>9031</v>
      </c>
      <c r="C1644" s="1" t="e">
        <f>VLOOKUP(Tabla_Items_Activos[[#This Row],[CODIGO]],Tabla_Items_Completos[[CODIGO]:[LINEA]],2,0)</f>
        <v>#N/A</v>
      </c>
      <c r="D1644" s="1" t="e">
        <f>VLOOKUP(Tabla_Items_Activos[[#This Row],[CODIGO]],Tabla_Items_Completos[[CODIGO]:[LINEA]],3,0)</f>
        <v>#N/A</v>
      </c>
      <c r="E1644" s="1" t="e">
        <f>VLOOKUP(Tabla_Items_Activos[[#This Row],[CODIGO]],Tabla_Items_Completos[[CODIGO]:[LINEA]],4,0)</f>
        <v>#N/A</v>
      </c>
      <c r="F1644">
        <v>23857</v>
      </c>
      <c r="G1644">
        <v>2496</v>
      </c>
    </row>
    <row r="1645" spans="1:7">
      <c r="A1645" t="s">
        <v>7388</v>
      </c>
      <c r="B1645" t="s">
        <v>9032</v>
      </c>
      <c r="C1645" s="1" t="e">
        <f>VLOOKUP(Tabla_Items_Activos[[#This Row],[CODIGO]],Tabla_Items_Completos[[CODIGO]:[LINEA]],2,0)</f>
        <v>#N/A</v>
      </c>
      <c r="D1645" s="1" t="e">
        <f>VLOOKUP(Tabla_Items_Activos[[#This Row],[CODIGO]],Tabla_Items_Completos[[CODIGO]:[LINEA]],3,0)</f>
        <v>#N/A</v>
      </c>
      <c r="E1645" s="1" t="e">
        <f>VLOOKUP(Tabla_Items_Activos[[#This Row],[CODIGO]],Tabla_Items_Completos[[CODIGO]:[LINEA]],4,0)</f>
        <v>#N/A</v>
      </c>
      <c r="F1645">
        <v>19628</v>
      </c>
      <c r="G1645">
        <v>9789</v>
      </c>
    </row>
    <row r="1646" spans="1:7">
      <c r="A1646" t="s">
        <v>7388</v>
      </c>
      <c r="B1646" t="s">
        <v>9033</v>
      </c>
      <c r="C1646" s="1" t="e">
        <f>VLOOKUP(Tabla_Items_Activos[[#This Row],[CODIGO]],Tabla_Items_Completos[[CODIGO]:[LINEA]],2,0)</f>
        <v>#N/A</v>
      </c>
      <c r="D1646" s="1" t="e">
        <f>VLOOKUP(Tabla_Items_Activos[[#This Row],[CODIGO]],Tabla_Items_Completos[[CODIGO]:[LINEA]],3,0)</f>
        <v>#N/A</v>
      </c>
      <c r="E1646" s="1" t="e">
        <f>VLOOKUP(Tabla_Items_Activos[[#This Row],[CODIGO]],Tabla_Items_Completos[[CODIGO]:[LINEA]],4,0)</f>
        <v>#N/A</v>
      </c>
      <c r="F1646">
        <v>1106</v>
      </c>
      <c r="G1646">
        <v>40</v>
      </c>
    </row>
    <row r="1647" spans="1:7">
      <c r="A1647" t="s">
        <v>7388</v>
      </c>
      <c r="B1647" t="s">
        <v>9034</v>
      </c>
      <c r="C1647" s="1" t="e">
        <f>VLOOKUP(Tabla_Items_Activos[[#This Row],[CODIGO]],Tabla_Items_Completos[[CODIGO]:[LINEA]],2,0)</f>
        <v>#N/A</v>
      </c>
      <c r="D1647" s="1" t="e">
        <f>VLOOKUP(Tabla_Items_Activos[[#This Row],[CODIGO]],Tabla_Items_Completos[[CODIGO]:[LINEA]],3,0)</f>
        <v>#N/A</v>
      </c>
      <c r="E1647" s="1" t="e">
        <f>VLOOKUP(Tabla_Items_Activos[[#This Row],[CODIGO]],Tabla_Items_Completos[[CODIGO]:[LINEA]],4,0)</f>
        <v>#N/A</v>
      </c>
      <c r="F1647">
        <v>650</v>
      </c>
      <c r="G1647">
        <v>113</v>
      </c>
    </row>
    <row r="1648" spans="1:7">
      <c r="A1648" t="s">
        <v>7388</v>
      </c>
      <c r="B1648" t="s">
        <v>9035</v>
      </c>
      <c r="C1648" s="1" t="e">
        <f>VLOOKUP(Tabla_Items_Activos[[#This Row],[CODIGO]],Tabla_Items_Completos[[CODIGO]:[LINEA]],2,0)</f>
        <v>#N/A</v>
      </c>
      <c r="D1648" s="1" t="e">
        <f>VLOOKUP(Tabla_Items_Activos[[#This Row],[CODIGO]],Tabla_Items_Completos[[CODIGO]:[LINEA]],3,0)</f>
        <v>#N/A</v>
      </c>
      <c r="E1648" s="1" t="e">
        <f>VLOOKUP(Tabla_Items_Activos[[#This Row],[CODIGO]],Tabla_Items_Completos[[CODIGO]:[LINEA]],4,0)</f>
        <v>#N/A</v>
      </c>
      <c r="F1648">
        <v>1828</v>
      </c>
      <c r="G1648">
        <v>393</v>
      </c>
    </row>
    <row r="1649" spans="1:7">
      <c r="A1649" t="s">
        <v>7388</v>
      </c>
      <c r="B1649" t="s">
        <v>9036</v>
      </c>
      <c r="C1649" s="1" t="e">
        <f>VLOOKUP(Tabla_Items_Activos[[#This Row],[CODIGO]],Tabla_Items_Completos[[CODIGO]:[LINEA]],2,0)</f>
        <v>#N/A</v>
      </c>
      <c r="D1649" s="1" t="e">
        <f>VLOOKUP(Tabla_Items_Activos[[#This Row],[CODIGO]],Tabla_Items_Completos[[CODIGO]:[LINEA]],3,0)</f>
        <v>#N/A</v>
      </c>
      <c r="E1649" s="1" t="e">
        <f>VLOOKUP(Tabla_Items_Activos[[#This Row],[CODIGO]],Tabla_Items_Completos[[CODIGO]:[LINEA]],4,0)</f>
        <v>#N/A</v>
      </c>
      <c r="F1649">
        <v>2521</v>
      </c>
      <c r="G1649">
        <v>0</v>
      </c>
    </row>
    <row r="1650" spans="1:7">
      <c r="A1650" t="s">
        <v>7388</v>
      </c>
      <c r="B1650" t="s">
        <v>9037</v>
      </c>
      <c r="C1650" s="1" t="e">
        <f>VLOOKUP(Tabla_Items_Activos[[#This Row],[CODIGO]],Tabla_Items_Completos[[CODIGO]:[LINEA]],2,0)</f>
        <v>#N/A</v>
      </c>
      <c r="D1650" s="1" t="e">
        <f>VLOOKUP(Tabla_Items_Activos[[#This Row],[CODIGO]],Tabla_Items_Completos[[CODIGO]:[LINEA]],3,0)</f>
        <v>#N/A</v>
      </c>
      <c r="E1650" s="1" t="e">
        <f>VLOOKUP(Tabla_Items_Activos[[#This Row],[CODIGO]],Tabla_Items_Completos[[CODIGO]:[LINEA]],4,0)</f>
        <v>#N/A</v>
      </c>
      <c r="F1650">
        <v>988</v>
      </c>
      <c r="G1650">
        <v>261</v>
      </c>
    </row>
    <row r="1651" spans="1:7">
      <c r="A1651" t="s">
        <v>7388</v>
      </c>
      <c r="B1651" t="s">
        <v>9038</v>
      </c>
      <c r="C1651" s="1" t="e">
        <f>VLOOKUP(Tabla_Items_Activos[[#This Row],[CODIGO]],Tabla_Items_Completos[[CODIGO]:[LINEA]],2,0)</f>
        <v>#N/A</v>
      </c>
      <c r="D1651" s="1" t="e">
        <f>VLOOKUP(Tabla_Items_Activos[[#This Row],[CODIGO]],Tabla_Items_Completos[[CODIGO]:[LINEA]],3,0)</f>
        <v>#N/A</v>
      </c>
      <c r="E1651" s="1" t="e">
        <f>VLOOKUP(Tabla_Items_Activos[[#This Row],[CODIGO]],Tabla_Items_Completos[[CODIGO]:[LINEA]],4,0)</f>
        <v>#N/A</v>
      </c>
      <c r="F1651">
        <v>1203</v>
      </c>
      <c r="G1651">
        <v>23</v>
      </c>
    </row>
    <row r="1652" spans="1:7">
      <c r="A1652" t="s">
        <v>7388</v>
      </c>
      <c r="B1652" t="s">
        <v>9039</v>
      </c>
      <c r="C1652" s="1" t="e">
        <f>VLOOKUP(Tabla_Items_Activos[[#This Row],[CODIGO]],Tabla_Items_Completos[[CODIGO]:[LINEA]],2,0)</f>
        <v>#N/A</v>
      </c>
      <c r="D1652" s="1" t="e">
        <f>VLOOKUP(Tabla_Items_Activos[[#This Row],[CODIGO]],Tabla_Items_Completos[[CODIGO]:[LINEA]],3,0)</f>
        <v>#N/A</v>
      </c>
      <c r="E1652" s="1" t="e">
        <f>VLOOKUP(Tabla_Items_Activos[[#This Row],[CODIGO]],Tabla_Items_Completos[[CODIGO]:[LINEA]],4,0)</f>
        <v>#N/A</v>
      </c>
      <c r="F1652">
        <v>1002</v>
      </c>
      <c r="G1652">
        <v>282</v>
      </c>
    </row>
    <row r="1653" spans="1:7">
      <c r="A1653" t="s">
        <v>7388</v>
      </c>
      <c r="B1653" t="s">
        <v>9040</v>
      </c>
      <c r="C1653" s="1" t="e">
        <f>VLOOKUP(Tabla_Items_Activos[[#This Row],[CODIGO]],Tabla_Items_Completos[[CODIGO]:[LINEA]],2,0)</f>
        <v>#N/A</v>
      </c>
      <c r="D1653" s="1" t="e">
        <f>VLOOKUP(Tabla_Items_Activos[[#This Row],[CODIGO]],Tabla_Items_Completos[[CODIGO]:[LINEA]],3,0)</f>
        <v>#N/A</v>
      </c>
      <c r="E1653" s="1" t="e">
        <f>VLOOKUP(Tabla_Items_Activos[[#This Row],[CODIGO]],Tabla_Items_Completos[[CODIGO]:[LINEA]],4,0)</f>
        <v>#N/A</v>
      </c>
      <c r="F1653">
        <v>958</v>
      </c>
      <c r="G1653">
        <v>170</v>
      </c>
    </row>
    <row r="1654" spans="1:7">
      <c r="A1654" t="s">
        <v>7388</v>
      </c>
      <c r="B1654" t="s">
        <v>9041</v>
      </c>
      <c r="C1654" s="1" t="e">
        <f>VLOOKUP(Tabla_Items_Activos[[#This Row],[CODIGO]],Tabla_Items_Completos[[CODIGO]:[LINEA]],2,0)</f>
        <v>#N/A</v>
      </c>
      <c r="D1654" s="1" t="e">
        <f>VLOOKUP(Tabla_Items_Activos[[#This Row],[CODIGO]],Tabla_Items_Completos[[CODIGO]:[LINEA]],3,0)</f>
        <v>#N/A</v>
      </c>
      <c r="E1654" s="1" t="e">
        <f>VLOOKUP(Tabla_Items_Activos[[#This Row],[CODIGO]],Tabla_Items_Completos[[CODIGO]:[LINEA]],4,0)</f>
        <v>#N/A</v>
      </c>
      <c r="F1654">
        <v>2389</v>
      </c>
      <c r="G1654">
        <v>318</v>
      </c>
    </row>
    <row r="1655" spans="1:7">
      <c r="A1655" t="s">
        <v>7388</v>
      </c>
      <c r="B1655" t="s">
        <v>9042</v>
      </c>
      <c r="C1655" s="1" t="e">
        <f>VLOOKUP(Tabla_Items_Activos[[#This Row],[CODIGO]],Tabla_Items_Completos[[CODIGO]:[LINEA]],2,0)</f>
        <v>#N/A</v>
      </c>
      <c r="D1655" s="1" t="e">
        <f>VLOOKUP(Tabla_Items_Activos[[#This Row],[CODIGO]],Tabla_Items_Completos[[CODIGO]:[LINEA]],3,0)</f>
        <v>#N/A</v>
      </c>
      <c r="E1655" s="1" t="e">
        <f>VLOOKUP(Tabla_Items_Activos[[#This Row],[CODIGO]],Tabla_Items_Completos[[CODIGO]:[LINEA]],4,0)</f>
        <v>#N/A</v>
      </c>
      <c r="F1655">
        <v>1712</v>
      </c>
      <c r="G1655">
        <v>0</v>
      </c>
    </row>
    <row r="1656" spans="1:7">
      <c r="A1656" t="s">
        <v>7388</v>
      </c>
      <c r="B1656" t="s">
        <v>9043</v>
      </c>
      <c r="C1656" s="1" t="e">
        <f>VLOOKUP(Tabla_Items_Activos[[#This Row],[CODIGO]],Tabla_Items_Completos[[CODIGO]:[LINEA]],2,0)</f>
        <v>#N/A</v>
      </c>
      <c r="D1656" s="1" t="e">
        <f>VLOOKUP(Tabla_Items_Activos[[#This Row],[CODIGO]],Tabla_Items_Completos[[CODIGO]:[LINEA]],3,0)</f>
        <v>#N/A</v>
      </c>
      <c r="E1656" s="1" t="e">
        <f>VLOOKUP(Tabla_Items_Activos[[#This Row],[CODIGO]],Tabla_Items_Completos[[CODIGO]:[LINEA]],4,0)</f>
        <v>#N/A</v>
      </c>
      <c r="F1656">
        <v>1019</v>
      </c>
      <c r="G1656">
        <v>168</v>
      </c>
    </row>
    <row r="1657" spans="1:7">
      <c r="A1657" t="s">
        <v>7388</v>
      </c>
      <c r="B1657" t="s">
        <v>9044</v>
      </c>
      <c r="C1657" s="1" t="e">
        <f>VLOOKUP(Tabla_Items_Activos[[#This Row],[CODIGO]],Tabla_Items_Completos[[CODIGO]:[LINEA]],2,0)</f>
        <v>#N/A</v>
      </c>
      <c r="D1657" s="1" t="e">
        <f>VLOOKUP(Tabla_Items_Activos[[#This Row],[CODIGO]],Tabla_Items_Completos[[CODIGO]:[LINEA]],3,0)</f>
        <v>#N/A</v>
      </c>
      <c r="E1657" s="1" t="e">
        <f>VLOOKUP(Tabla_Items_Activos[[#This Row],[CODIGO]],Tabla_Items_Completos[[CODIGO]:[LINEA]],4,0)</f>
        <v>#N/A</v>
      </c>
      <c r="F1657">
        <v>3067</v>
      </c>
      <c r="G1657">
        <v>202</v>
      </c>
    </row>
    <row r="1658" spans="1:7">
      <c r="A1658" t="s">
        <v>7388</v>
      </c>
      <c r="B1658" t="s">
        <v>9045</v>
      </c>
      <c r="C1658" s="1" t="e">
        <f>VLOOKUP(Tabla_Items_Activos[[#This Row],[CODIGO]],Tabla_Items_Completos[[CODIGO]:[LINEA]],2,0)</f>
        <v>#N/A</v>
      </c>
      <c r="D1658" s="1" t="e">
        <f>VLOOKUP(Tabla_Items_Activos[[#This Row],[CODIGO]],Tabla_Items_Completos[[CODIGO]:[LINEA]],3,0)</f>
        <v>#N/A</v>
      </c>
      <c r="E1658" s="1" t="e">
        <f>VLOOKUP(Tabla_Items_Activos[[#This Row],[CODIGO]],Tabla_Items_Completos[[CODIGO]:[LINEA]],4,0)</f>
        <v>#N/A</v>
      </c>
      <c r="F1658">
        <v>542</v>
      </c>
      <c r="G1658">
        <v>0</v>
      </c>
    </row>
    <row r="1659" spans="1:7">
      <c r="A1659" t="s">
        <v>7388</v>
      </c>
      <c r="B1659" t="s">
        <v>9046</v>
      </c>
      <c r="C1659" s="1" t="e">
        <f>VLOOKUP(Tabla_Items_Activos[[#This Row],[CODIGO]],Tabla_Items_Completos[[CODIGO]:[LINEA]],2,0)</f>
        <v>#N/A</v>
      </c>
      <c r="D1659" s="1" t="e">
        <f>VLOOKUP(Tabla_Items_Activos[[#This Row],[CODIGO]],Tabla_Items_Completos[[CODIGO]:[LINEA]],3,0)</f>
        <v>#N/A</v>
      </c>
      <c r="E1659" s="1" t="e">
        <f>VLOOKUP(Tabla_Items_Activos[[#This Row],[CODIGO]],Tabla_Items_Completos[[CODIGO]:[LINEA]],4,0)</f>
        <v>#N/A</v>
      </c>
      <c r="F1659">
        <v>1465</v>
      </c>
      <c r="G1659">
        <v>172</v>
      </c>
    </row>
    <row r="1660" spans="1:7">
      <c r="A1660" t="s">
        <v>7388</v>
      </c>
      <c r="B1660" t="s">
        <v>9047</v>
      </c>
      <c r="C1660" s="1" t="e">
        <f>VLOOKUP(Tabla_Items_Activos[[#This Row],[CODIGO]],Tabla_Items_Completos[[CODIGO]:[LINEA]],2,0)</f>
        <v>#N/A</v>
      </c>
      <c r="D1660" s="1" t="e">
        <f>VLOOKUP(Tabla_Items_Activos[[#This Row],[CODIGO]],Tabla_Items_Completos[[CODIGO]:[LINEA]],3,0)</f>
        <v>#N/A</v>
      </c>
      <c r="E1660" s="1" t="e">
        <f>VLOOKUP(Tabla_Items_Activos[[#This Row],[CODIGO]],Tabla_Items_Completos[[CODIGO]:[LINEA]],4,0)</f>
        <v>#N/A</v>
      </c>
      <c r="F1660">
        <v>1891</v>
      </c>
      <c r="G1660">
        <v>109</v>
      </c>
    </row>
    <row r="1661" spans="1:7">
      <c r="A1661" t="s">
        <v>7388</v>
      </c>
      <c r="B1661" t="s">
        <v>9048</v>
      </c>
      <c r="C1661" s="1" t="e">
        <f>VLOOKUP(Tabla_Items_Activos[[#This Row],[CODIGO]],Tabla_Items_Completos[[CODIGO]:[LINEA]],2,0)</f>
        <v>#N/A</v>
      </c>
      <c r="D1661" s="1" t="e">
        <f>VLOOKUP(Tabla_Items_Activos[[#This Row],[CODIGO]],Tabla_Items_Completos[[CODIGO]:[LINEA]],3,0)</f>
        <v>#N/A</v>
      </c>
      <c r="E1661" s="1" t="e">
        <f>VLOOKUP(Tabla_Items_Activos[[#This Row],[CODIGO]],Tabla_Items_Completos[[CODIGO]:[LINEA]],4,0)</f>
        <v>#N/A</v>
      </c>
      <c r="F1661">
        <v>1030</v>
      </c>
      <c r="G1661">
        <v>319</v>
      </c>
    </row>
    <row r="1662" spans="1:7">
      <c r="A1662" t="s">
        <v>7388</v>
      </c>
      <c r="B1662" t="s">
        <v>9049</v>
      </c>
      <c r="C1662" s="1" t="e">
        <f>VLOOKUP(Tabla_Items_Activos[[#This Row],[CODIGO]],Tabla_Items_Completos[[CODIGO]:[LINEA]],2,0)</f>
        <v>#N/A</v>
      </c>
      <c r="D1662" s="1" t="e">
        <f>VLOOKUP(Tabla_Items_Activos[[#This Row],[CODIGO]],Tabla_Items_Completos[[CODIGO]:[LINEA]],3,0)</f>
        <v>#N/A</v>
      </c>
      <c r="E1662" s="1" t="e">
        <f>VLOOKUP(Tabla_Items_Activos[[#This Row],[CODIGO]],Tabla_Items_Completos[[CODIGO]:[LINEA]],4,0)</f>
        <v>#N/A</v>
      </c>
      <c r="F1662">
        <v>1738</v>
      </c>
      <c r="G1662">
        <v>33</v>
      </c>
    </row>
    <row r="1663" spans="1:7">
      <c r="A1663" t="s">
        <v>7388</v>
      </c>
      <c r="B1663" t="s">
        <v>9050</v>
      </c>
      <c r="C1663" s="1" t="e">
        <f>VLOOKUP(Tabla_Items_Activos[[#This Row],[CODIGO]],Tabla_Items_Completos[[CODIGO]:[LINEA]],2,0)</f>
        <v>#N/A</v>
      </c>
      <c r="D1663" s="1" t="e">
        <f>VLOOKUP(Tabla_Items_Activos[[#This Row],[CODIGO]],Tabla_Items_Completos[[CODIGO]:[LINEA]],3,0)</f>
        <v>#N/A</v>
      </c>
      <c r="E1663" s="1" t="e">
        <f>VLOOKUP(Tabla_Items_Activos[[#This Row],[CODIGO]],Tabla_Items_Completos[[CODIGO]:[LINEA]],4,0)</f>
        <v>#N/A</v>
      </c>
      <c r="F1663">
        <v>2500</v>
      </c>
      <c r="G1663">
        <v>0</v>
      </c>
    </row>
    <row r="1664" spans="1:7">
      <c r="A1664" t="s">
        <v>7388</v>
      </c>
      <c r="B1664" t="s">
        <v>9051</v>
      </c>
      <c r="C1664" s="1" t="e">
        <f>VLOOKUP(Tabla_Items_Activos[[#This Row],[CODIGO]],Tabla_Items_Completos[[CODIGO]:[LINEA]],2,0)</f>
        <v>#N/A</v>
      </c>
      <c r="D1664" s="1" t="e">
        <f>VLOOKUP(Tabla_Items_Activos[[#This Row],[CODIGO]],Tabla_Items_Completos[[CODIGO]:[LINEA]],3,0)</f>
        <v>#N/A</v>
      </c>
      <c r="E1664" s="1" t="e">
        <f>VLOOKUP(Tabla_Items_Activos[[#This Row],[CODIGO]],Tabla_Items_Completos[[CODIGO]:[LINEA]],4,0)</f>
        <v>#N/A</v>
      </c>
      <c r="F1664">
        <v>683</v>
      </c>
      <c r="G1664">
        <v>134</v>
      </c>
    </row>
    <row r="1665" spans="1:7">
      <c r="A1665" t="s">
        <v>7388</v>
      </c>
      <c r="B1665" t="s">
        <v>9052</v>
      </c>
      <c r="C1665" s="1" t="e">
        <f>VLOOKUP(Tabla_Items_Activos[[#This Row],[CODIGO]],Tabla_Items_Completos[[CODIGO]:[LINEA]],2,0)</f>
        <v>#N/A</v>
      </c>
      <c r="D1665" s="1" t="e">
        <f>VLOOKUP(Tabla_Items_Activos[[#This Row],[CODIGO]],Tabla_Items_Completos[[CODIGO]:[LINEA]],3,0)</f>
        <v>#N/A</v>
      </c>
      <c r="E1665" s="1" t="e">
        <f>VLOOKUP(Tabla_Items_Activos[[#This Row],[CODIGO]],Tabla_Items_Completos[[CODIGO]:[LINEA]],4,0)</f>
        <v>#N/A</v>
      </c>
      <c r="F1665">
        <v>1051</v>
      </c>
      <c r="G1665">
        <v>550</v>
      </c>
    </row>
    <row r="1666" spans="1:7">
      <c r="A1666" t="s">
        <v>7388</v>
      </c>
      <c r="B1666" t="s">
        <v>9053</v>
      </c>
      <c r="C1666" s="1" t="e">
        <f>VLOOKUP(Tabla_Items_Activos[[#This Row],[CODIGO]],Tabla_Items_Completos[[CODIGO]:[LINEA]],2,0)</f>
        <v>#N/A</v>
      </c>
      <c r="D1666" s="1" t="e">
        <f>VLOOKUP(Tabla_Items_Activos[[#This Row],[CODIGO]],Tabla_Items_Completos[[CODIGO]:[LINEA]],3,0)</f>
        <v>#N/A</v>
      </c>
      <c r="E1666" s="1" t="e">
        <f>VLOOKUP(Tabla_Items_Activos[[#This Row],[CODIGO]],Tabla_Items_Completos[[CODIGO]:[LINEA]],4,0)</f>
        <v>#N/A</v>
      </c>
      <c r="F1666">
        <v>1025</v>
      </c>
      <c r="G1666">
        <v>1065</v>
      </c>
    </row>
    <row r="1667" spans="1:7">
      <c r="A1667" t="s">
        <v>7388</v>
      </c>
      <c r="B1667" t="s">
        <v>9054</v>
      </c>
      <c r="C1667" s="1" t="e">
        <f>VLOOKUP(Tabla_Items_Activos[[#This Row],[CODIGO]],Tabla_Items_Completos[[CODIGO]:[LINEA]],2,0)</f>
        <v>#N/A</v>
      </c>
      <c r="D1667" s="1" t="e">
        <f>VLOOKUP(Tabla_Items_Activos[[#This Row],[CODIGO]],Tabla_Items_Completos[[CODIGO]:[LINEA]],3,0)</f>
        <v>#N/A</v>
      </c>
      <c r="E1667" s="1" t="e">
        <f>VLOOKUP(Tabla_Items_Activos[[#This Row],[CODIGO]],Tabla_Items_Completos[[CODIGO]:[LINEA]],4,0)</f>
        <v>#N/A</v>
      </c>
      <c r="F1667">
        <v>778</v>
      </c>
      <c r="G1667">
        <v>180</v>
      </c>
    </row>
    <row r="1668" spans="1:7">
      <c r="A1668" t="s">
        <v>7388</v>
      </c>
      <c r="B1668" t="s">
        <v>9055</v>
      </c>
      <c r="C1668" s="1" t="e">
        <f>VLOOKUP(Tabla_Items_Activos[[#This Row],[CODIGO]],Tabla_Items_Completos[[CODIGO]:[LINEA]],2,0)</f>
        <v>#N/A</v>
      </c>
      <c r="D1668" s="1" t="e">
        <f>VLOOKUP(Tabla_Items_Activos[[#This Row],[CODIGO]],Tabla_Items_Completos[[CODIGO]:[LINEA]],3,0)</f>
        <v>#N/A</v>
      </c>
      <c r="E1668" s="1" t="e">
        <f>VLOOKUP(Tabla_Items_Activos[[#This Row],[CODIGO]],Tabla_Items_Completos[[CODIGO]:[LINEA]],4,0)</f>
        <v>#N/A</v>
      </c>
      <c r="F1668">
        <v>1439</v>
      </c>
      <c r="G1668">
        <v>1620</v>
      </c>
    </row>
    <row r="1669" spans="1:7">
      <c r="A1669" t="s">
        <v>7388</v>
      </c>
      <c r="B1669" t="s">
        <v>9056</v>
      </c>
      <c r="C1669" s="1" t="e">
        <f>VLOOKUP(Tabla_Items_Activos[[#This Row],[CODIGO]],Tabla_Items_Completos[[CODIGO]:[LINEA]],2,0)</f>
        <v>#N/A</v>
      </c>
      <c r="D1669" s="1" t="e">
        <f>VLOOKUP(Tabla_Items_Activos[[#This Row],[CODIGO]],Tabla_Items_Completos[[CODIGO]:[LINEA]],3,0)</f>
        <v>#N/A</v>
      </c>
      <c r="E1669" s="1" t="e">
        <f>VLOOKUP(Tabla_Items_Activos[[#This Row],[CODIGO]],Tabla_Items_Completos[[CODIGO]:[LINEA]],4,0)</f>
        <v>#N/A</v>
      </c>
      <c r="F1669">
        <v>1586</v>
      </c>
      <c r="G1669">
        <v>1193</v>
      </c>
    </row>
    <row r="1670" spans="1:7">
      <c r="A1670" t="s">
        <v>7388</v>
      </c>
      <c r="B1670" t="s">
        <v>9057</v>
      </c>
      <c r="C1670" s="1" t="e">
        <f>VLOOKUP(Tabla_Items_Activos[[#This Row],[CODIGO]],Tabla_Items_Completos[[CODIGO]:[LINEA]],2,0)</f>
        <v>#N/A</v>
      </c>
      <c r="D1670" s="1" t="e">
        <f>VLOOKUP(Tabla_Items_Activos[[#This Row],[CODIGO]],Tabla_Items_Completos[[CODIGO]:[LINEA]],3,0)</f>
        <v>#N/A</v>
      </c>
      <c r="E1670" s="1" t="e">
        <f>VLOOKUP(Tabla_Items_Activos[[#This Row],[CODIGO]],Tabla_Items_Completos[[CODIGO]:[LINEA]],4,0)</f>
        <v>#N/A</v>
      </c>
      <c r="F1670">
        <v>147</v>
      </c>
      <c r="G1670">
        <v>51</v>
      </c>
    </row>
    <row r="1671" spans="1:7">
      <c r="A1671" t="s">
        <v>7388</v>
      </c>
      <c r="B1671" t="s">
        <v>9058</v>
      </c>
      <c r="C1671" s="1" t="e">
        <f>VLOOKUP(Tabla_Items_Activos[[#This Row],[CODIGO]],Tabla_Items_Completos[[CODIGO]:[LINEA]],2,0)</f>
        <v>#N/A</v>
      </c>
      <c r="D1671" s="1" t="e">
        <f>VLOOKUP(Tabla_Items_Activos[[#This Row],[CODIGO]],Tabla_Items_Completos[[CODIGO]:[LINEA]],3,0)</f>
        <v>#N/A</v>
      </c>
      <c r="E1671" s="1" t="e">
        <f>VLOOKUP(Tabla_Items_Activos[[#This Row],[CODIGO]],Tabla_Items_Completos[[CODIGO]:[LINEA]],4,0)</f>
        <v>#N/A</v>
      </c>
      <c r="F1671">
        <v>1025</v>
      </c>
      <c r="G1671">
        <v>104</v>
      </c>
    </row>
    <row r="1672" spans="1:7">
      <c r="A1672" t="s">
        <v>7388</v>
      </c>
      <c r="B1672" t="s">
        <v>9059</v>
      </c>
      <c r="C1672" s="1" t="e">
        <f>VLOOKUP(Tabla_Items_Activos[[#This Row],[CODIGO]],Tabla_Items_Completos[[CODIGO]:[LINEA]],2,0)</f>
        <v>#N/A</v>
      </c>
      <c r="D1672" s="1" t="e">
        <f>VLOOKUP(Tabla_Items_Activos[[#This Row],[CODIGO]],Tabla_Items_Completos[[CODIGO]:[LINEA]],3,0)</f>
        <v>#N/A</v>
      </c>
      <c r="E1672" s="1" t="e">
        <f>VLOOKUP(Tabla_Items_Activos[[#This Row],[CODIGO]],Tabla_Items_Completos[[CODIGO]:[LINEA]],4,0)</f>
        <v>#N/A</v>
      </c>
      <c r="F1672">
        <v>352</v>
      </c>
      <c r="G1672">
        <v>50</v>
      </c>
    </row>
    <row r="1673" spans="1:7">
      <c r="A1673" t="s">
        <v>7388</v>
      </c>
      <c r="B1673" t="s">
        <v>9060</v>
      </c>
      <c r="C1673" s="1" t="e">
        <f>VLOOKUP(Tabla_Items_Activos[[#This Row],[CODIGO]],Tabla_Items_Completos[[CODIGO]:[LINEA]],2,0)</f>
        <v>#N/A</v>
      </c>
      <c r="D1673" s="1" t="e">
        <f>VLOOKUP(Tabla_Items_Activos[[#This Row],[CODIGO]],Tabla_Items_Completos[[CODIGO]:[LINEA]],3,0)</f>
        <v>#N/A</v>
      </c>
      <c r="E1673" s="1" t="e">
        <f>VLOOKUP(Tabla_Items_Activos[[#This Row],[CODIGO]],Tabla_Items_Completos[[CODIGO]:[LINEA]],4,0)</f>
        <v>#N/A</v>
      </c>
      <c r="F1673">
        <v>421</v>
      </c>
      <c r="G1673">
        <v>1</v>
      </c>
    </row>
    <row r="1674" spans="1:7">
      <c r="A1674" t="s">
        <v>7388</v>
      </c>
      <c r="B1674" t="s">
        <v>9061</v>
      </c>
      <c r="C1674" s="1" t="e">
        <f>VLOOKUP(Tabla_Items_Activos[[#This Row],[CODIGO]],Tabla_Items_Completos[[CODIGO]:[LINEA]],2,0)</f>
        <v>#N/A</v>
      </c>
      <c r="D1674" s="1" t="e">
        <f>VLOOKUP(Tabla_Items_Activos[[#This Row],[CODIGO]],Tabla_Items_Completos[[CODIGO]:[LINEA]],3,0)</f>
        <v>#N/A</v>
      </c>
      <c r="E1674" s="1" t="e">
        <f>VLOOKUP(Tabla_Items_Activos[[#This Row],[CODIGO]],Tabla_Items_Completos[[CODIGO]:[LINEA]],4,0)</f>
        <v>#N/A</v>
      </c>
      <c r="F1674">
        <v>610</v>
      </c>
      <c r="G1674">
        <v>0</v>
      </c>
    </row>
    <row r="1675" spans="1:7">
      <c r="A1675" t="s">
        <v>7388</v>
      </c>
      <c r="B1675" t="s">
        <v>9062</v>
      </c>
      <c r="C1675" s="1" t="e">
        <f>VLOOKUP(Tabla_Items_Activos[[#This Row],[CODIGO]],Tabla_Items_Completos[[CODIGO]:[LINEA]],2,0)</f>
        <v>#N/A</v>
      </c>
      <c r="D1675" s="1" t="e">
        <f>VLOOKUP(Tabla_Items_Activos[[#This Row],[CODIGO]],Tabla_Items_Completos[[CODIGO]:[LINEA]],3,0)</f>
        <v>#N/A</v>
      </c>
      <c r="E1675" s="1" t="e">
        <f>VLOOKUP(Tabla_Items_Activos[[#This Row],[CODIGO]],Tabla_Items_Completos[[CODIGO]:[LINEA]],4,0)</f>
        <v>#N/A</v>
      </c>
      <c r="F1675">
        <v>956</v>
      </c>
      <c r="G1675">
        <v>51</v>
      </c>
    </row>
    <row r="1676" spans="1:7">
      <c r="A1676" t="s">
        <v>7388</v>
      </c>
      <c r="B1676" t="s">
        <v>9063</v>
      </c>
      <c r="C1676" s="1" t="e">
        <f>VLOOKUP(Tabla_Items_Activos[[#This Row],[CODIGO]],Tabla_Items_Completos[[CODIGO]:[LINEA]],2,0)</f>
        <v>#N/A</v>
      </c>
      <c r="D1676" s="1" t="e">
        <f>VLOOKUP(Tabla_Items_Activos[[#This Row],[CODIGO]],Tabla_Items_Completos[[CODIGO]:[LINEA]],3,0)</f>
        <v>#N/A</v>
      </c>
      <c r="E1676" s="1" t="e">
        <f>VLOOKUP(Tabla_Items_Activos[[#This Row],[CODIGO]],Tabla_Items_Completos[[CODIGO]:[LINEA]],4,0)</f>
        <v>#N/A</v>
      </c>
      <c r="F1676">
        <v>176</v>
      </c>
      <c r="G1676">
        <v>156</v>
      </c>
    </row>
    <row r="1677" spans="1:7">
      <c r="A1677" t="s">
        <v>7388</v>
      </c>
      <c r="B1677" t="s">
        <v>9064</v>
      </c>
      <c r="C1677" s="1" t="e">
        <f>VLOOKUP(Tabla_Items_Activos[[#This Row],[CODIGO]],Tabla_Items_Completos[[CODIGO]:[LINEA]],2,0)</f>
        <v>#N/A</v>
      </c>
      <c r="D1677" s="1" t="e">
        <f>VLOOKUP(Tabla_Items_Activos[[#This Row],[CODIGO]],Tabla_Items_Completos[[CODIGO]:[LINEA]],3,0)</f>
        <v>#N/A</v>
      </c>
      <c r="E1677" s="1" t="e">
        <f>VLOOKUP(Tabla_Items_Activos[[#This Row],[CODIGO]],Tabla_Items_Completos[[CODIGO]:[LINEA]],4,0)</f>
        <v>#N/A</v>
      </c>
      <c r="F1677">
        <v>738</v>
      </c>
      <c r="G1677">
        <v>0</v>
      </c>
    </row>
    <row r="1678" spans="1:7">
      <c r="A1678" t="s">
        <v>7388</v>
      </c>
      <c r="B1678" t="s">
        <v>9065</v>
      </c>
      <c r="C1678" s="1" t="e">
        <f>VLOOKUP(Tabla_Items_Activos[[#This Row],[CODIGO]],Tabla_Items_Completos[[CODIGO]:[LINEA]],2,0)</f>
        <v>#N/A</v>
      </c>
      <c r="D1678" s="1" t="e">
        <f>VLOOKUP(Tabla_Items_Activos[[#This Row],[CODIGO]],Tabla_Items_Completos[[CODIGO]:[LINEA]],3,0)</f>
        <v>#N/A</v>
      </c>
      <c r="E1678" s="1" t="e">
        <f>VLOOKUP(Tabla_Items_Activos[[#This Row],[CODIGO]],Tabla_Items_Completos[[CODIGO]:[LINEA]],4,0)</f>
        <v>#N/A</v>
      </c>
      <c r="F1678">
        <v>856</v>
      </c>
      <c r="G1678">
        <v>0</v>
      </c>
    </row>
    <row r="1679" spans="1:7">
      <c r="A1679" t="s">
        <v>7388</v>
      </c>
      <c r="B1679" t="s">
        <v>9066</v>
      </c>
      <c r="C1679" s="1" t="e">
        <f>VLOOKUP(Tabla_Items_Activos[[#This Row],[CODIGO]],Tabla_Items_Completos[[CODIGO]:[LINEA]],2,0)</f>
        <v>#N/A</v>
      </c>
      <c r="D1679" s="1" t="e">
        <f>VLOOKUP(Tabla_Items_Activos[[#This Row],[CODIGO]],Tabla_Items_Completos[[CODIGO]:[LINEA]],3,0)</f>
        <v>#N/A</v>
      </c>
      <c r="E1679" s="1" t="e">
        <f>VLOOKUP(Tabla_Items_Activos[[#This Row],[CODIGO]],Tabla_Items_Completos[[CODIGO]:[LINEA]],4,0)</f>
        <v>#N/A</v>
      </c>
      <c r="F1679">
        <v>3</v>
      </c>
      <c r="G1679">
        <v>0</v>
      </c>
    </row>
    <row r="1680" spans="1:7">
      <c r="A1680" t="s">
        <v>7388</v>
      </c>
      <c r="B1680" t="s">
        <v>9067</v>
      </c>
      <c r="C1680" s="1" t="e">
        <f>VLOOKUP(Tabla_Items_Activos[[#This Row],[CODIGO]],Tabla_Items_Completos[[CODIGO]:[LINEA]],2,0)</f>
        <v>#N/A</v>
      </c>
      <c r="D1680" s="1" t="e">
        <f>VLOOKUP(Tabla_Items_Activos[[#This Row],[CODIGO]],Tabla_Items_Completos[[CODIGO]:[LINEA]],3,0)</f>
        <v>#N/A</v>
      </c>
      <c r="E1680" s="1" t="e">
        <f>VLOOKUP(Tabla_Items_Activos[[#This Row],[CODIGO]],Tabla_Items_Completos[[CODIGO]:[LINEA]],4,0)</f>
        <v>#N/A</v>
      </c>
      <c r="F1680">
        <v>3</v>
      </c>
      <c r="G1680">
        <v>0</v>
      </c>
    </row>
    <row r="1681" spans="1:7">
      <c r="A1681" t="s">
        <v>7388</v>
      </c>
      <c r="B1681" t="s">
        <v>9068</v>
      </c>
      <c r="C1681" s="1" t="e">
        <f>VLOOKUP(Tabla_Items_Activos[[#This Row],[CODIGO]],Tabla_Items_Completos[[CODIGO]:[LINEA]],2,0)</f>
        <v>#N/A</v>
      </c>
      <c r="D1681" s="1" t="e">
        <f>VLOOKUP(Tabla_Items_Activos[[#This Row],[CODIGO]],Tabla_Items_Completos[[CODIGO]:[LINEA]],3,0)</f>
        <v>#N/A</v>
      </c>
      <c r="E1681" s="1" t="e">
        <f>VLOOKUP(Tabla_Items_Activos[[#This Row],[CODIGO]],Tabla_Items_Completos[[CODIGO]:[LINEA]],4,0)</f>
        <v>#N/A</v>
      </c>
      <c r="F1681">
        <v>746</v>
      </c>
      <c r="G1681">
        <v>466</v>
      </c>
    </row>
    <row r="1682" spans="1:7">
      <c r="A1682" t="s">
        <v>7388</v>
      </c>
      <c r="B1682" t="s">
        <v>9069</v>
      </c>
      <c r="C1682" s="1" t="e">
        <f>VLOOKUP(Tabla_Items_Activos[[#This Row],[CODIGO]],Tabla_Items_Completos[[CODIGO]:[LINEA]],2,0)</f>
        <v>#N/A</v>
      </c>
      <c r="D1682" s="1" t="e">
        <f>VLOOKUP(Tabla_Items_Activos[[#This Row],[CODIGO]],Tabla_Items_Completos[[CODIGO]:[LINEA]],3,0)</f>
        <v>#N/A</v>
      </c>
      <c r="E1682" s="1" t="e">
        <f>VLOOKUP(Tabla_Items_Activos[[#This Row],[CODIGO]],Tabla_Items_Completos[[CODIGO]:[LINEA]],4,0)</f>
        <v>#N/A</v>
      </c>
      <c r="F1682">
        <v>557</v>
      </c>
      <c r="G1682">
        <v>0</v>
      </c>
    </row>
    <row r="1683" spans="1:7">
      <c r="A1683" t="s">
        <v>7388</v>
      </c>
      <c r="B1683" t="s">
        <v>9070</v>
      </c>
      <c r="C1683" s="1" t="e">
        <f>VLOOKUP(Tabla_Items_Activos[[#This Row],[CODIGO]],Tabla_Items_Completos[[CODIGO]:[LINEA]],2,0)</f>
        <v>#N/A</v>
      </c>
      <c r="D1683" s="1" t="e">
        <f>VLOOKUP(Tabla_Items_Activos[[#This Row],[CODIGO]],Tabla_Items_Completos[[CODIGO]:[LINEA]],3,0)</f>
        <v>#N/A</v>
      </c>
      <c r="E1683" s="1" t="e">
        <f>VLOOKUP(Tabla_Items_Activos[[#This Row],[CODIGO]],Tabla_Items_Completos[[CODIGO]:[LINEA]],4,0)</f>
        <v>#N/A</v>
      </c>
      <c r="F1683">
        <v>2185</v>
      </c>
      <c r="G1683">
        <v>0</v>
      </c>
    </row>
    <row r="1684" spans="1:7">
      <c r="A1684" t="s">
        <v>7388</v>
      </c>
      <c r="B1684" t="s">
        <v>9071</v>
      </c>
      <c r="C1684" s="1" t="e">
        <f>VLOOKUP(Tabla_Items_Activos[[#This Row],[CODIGO]],Tabla_Items_Completos[[CODIGO]:[LINEA]],2,0)</f>
        <v>#N/A</v>
      </c>
      <c r="D1684" s="1" t="e">
        <f>VLOOKUP(Tabla_Items_Activos[[#This Row],[CODIGO]],Tabla_Items_Completos[[CODIGO]:[LINEA]],3,0)</f>
        <v>#N/A</v>
      </c>
      <c r="E1684" s="1" t="e">
        <f>VLOOKUP(Tabla_Items_Activos[[#This Row],[CODIGO]],Tabla_Items_Completos[[CODIGO]:[LINEA]],4,0)</f>
        <v>#N/A</v>
      </c>
      <c r="F1684">
        <v>3645</v>
      </c>
      <c r="G1684">
        <v>0</v>
      </c>
    </row>
    <row r="1685" spans="1:7">
      <c r="A1685" t="s">
        <v>7388</v>
      </c>
      <c r="B1685" t="s">
        <v>9072</v>
      </c>
      <c r="C1685" s="1" t="e">
        <f>VLOOKUP(Tabla_Items_Activos[[#This Row],[CODIGO]],Tabla_Items_Completos[[CODIGO]:[LINEA]],2,0)</f>
        <v>#N/A</v>
      </c>
      <c r="D1685" s="1" t="e">
        <f>VLOOKUP(Tabla_Items_Activos[[#This Row],[CODIGO]],Tabla_Items_Completos[[CODIGO]:[LINEA]],3,0)</f>
        <v>#N/A</v>
      </c>
      <c r="E1685" s="1" t="e">
        <f>VLOOKUP(Tabla_Items_Activos[[#This Row],[CODIGO]],Tabla_Items_Completos[[CODIGO]:[LINEA]],4,0)</f>
        <v>#N/A</v>
      </c>
      <c r="F1685">
        <v>610</v>
      </c>
      <c r="G1685">
        <v>0</v>
      </c>
    </row>
    <row r="1686" spans="1:7">
      <c r="A1686" t="s">
        <v>7388</v>
      </c>
      <c r="B1686" t="s">
        <v>9073</v>
      </c>
      <c r="C1686" s="1" t="e">
        <f>VLOOKUP(Tabla_Items_Activos[[#This Row],[CODIGO]],Tabla_Items_Completos[[CODIGO]:[LINEA]],2,0)</f>
        <v>#N/A</v>
      </c>
      <c r="D1686" s="1" t="e">
        <f>VLOOKUP(Tabla_Items_Activos[[#This Row],[CODIGO]],Tabla_Items_Completos[[CODIGO]:[LINEA]],3,0)</f>
        <v>#N/A</v>
      </c>
      <c r="E1686" s="1" t="e">
        <f>VLOOKUP(Tabla_Items_Activos[[#This Row],[CODIGO]],Tabla_Items_Completos[[CODIGO]:[LINEA]],4,0)</f>
        <v>#N/A</v>
      </c>
      <c r="F1686">
        <v>983</v>
      </c>
      <c r="G1686">
        <v>1098</v>
      </c>
    </row>
    <row r="1687" spans="1:7">
      <c r="A1687" t="s">
        <v>7388</v>
      </c>
      <c r="B1687" t="s">
        <v>9074</v>
      </c>
      <c r="C1687" s="1" t="e">
        <f>VLOOKUP(Tabla_Items_Activos[[#This Row],[CODIGO]],Tabla_Items_Completos[[CODIGO]:[LINEA]],2,0)</f>
        <v>#N/A</v>
      </c>
      <c r="D1687" s="1" t="e">
        <f>VLOOKUP(Tabla_Items_Activos[[#This Row],[CODIGO]],Tabla_Items_Completos[[CODIGO]:[LINEA]],3,0)</f>
        <v>#N/A</v>
      </c>
      <c r="E1687" s="1" t="e">
        <f>VLOOKUP(Tabla_Items_Activos[[#This Row],[CODIGO]],Tabla_Items_Completos[[CODIGO]:[LINEA]],4,0)</f>
        <v>#N/A</v>
      </c>
      <c r="F1687">
        <v>249</v>
      </c>
      <c r="G1687">
        <v>137</v>
      </c>
    </row>
    <row r="1688" spans="1:7">
      <c r="A1688" t="s">
        <v>7388</v>
      </c>
      <c r="B1688" t="s">
        <v>9075</v>
      </c>
      <c r="C1688" s="1" t="e">
        <f>VLOOKUP(Tabla_Items_Activos[[#This Row],[CODIGO]],Tabla_Items_Completos[[CODIGO]:[LINEA]],2,0)</f>
        <v>#N/A</v>
      </c>
      <c r="D1688" s="1" t="e">
        <f>VLOOKUP(Tabla_Items_Activos[[#This Row],[CODIGO]],Tabla_Items_Completos[[CODIGO]:[LINEA]],3,0)</f>
        <v>#N/A</v>
      </c>
      <c r="E1688" s="1" t="e">
        <f>VLOOKUP(Tabla_Items_Activos[[#This Row],[CODIGO]],Tabla_Items_Completos[[CODIGO]:[LINEA]],4,0)</f>
        <v>#N/A</v>
      </c>
      <c r="F1688">
        <v>249</v>
      </c>
      <c r="G1688">
        <v>167</v>
      </c>
    </row>
    <row r="1689" spans="1:7">
      <c r="A1689" t="s">
        <v>7388</v>
      </c>
      <c r="B1689" t="s">
        <v>9076</v>
      </c>
      <c r="C1689" s="1" t="e">
        <f>VLOOKUP(Tabla_Items_Activos[[#This Row],[CODIGO]],Tabla_Items_Completos[[CODIGO]:[LINEA]],2,0)</f>
        <v>#N/A</v>
      </c>
      <c r="D1689" s="1" t="e">
        <f>VLOOKUP(Tabla_Items_Activos[[#This Row],[CODIGO]],Tabla_Items_Completos[[CODIGO]:[LINEA]],3,0)</f>
        <v>#N/A</v>
      </c>
      <c r="E1689" s="1" t="e">
        <f>VLOOKUP(Tabla_Items_Activos[[#This Row],[CODIGO]],Tabla_Items_Completos[[CODIGO]:[LINEA]],4,0)</f>
        <v>#N/A</v>
      </c>
      <c r="F1689">
        <v>441</v>
      </c>
      <c r="G1689">
        <v>0</v>
      </c>
    </row>
    <row r="1690" spans="1:7">
      <c r="A1690" t="s">
        <v>7388</v>
      </c>
      <c r="B1690" t="s">
        <v>9077</v>
      </c>
      <c r="C1690" s="1" t="e">
        <f>VLOOKUP(Tabla_Items_Activos[[#This Row],[CODIGO]],Tabla_Items_Completos[[CODIGO]:[LINEA]],2,0)</f>
        <v>#N/A</v>
      </c>
      <c r="D1690" s="1" t="e">
        <f>VLOOKUP(Tabla_Items_Activos[[#This Row],[CODIGO]],Tabla_Items_Completos[[CODIGO]:[LINEA]],3,0)</f>
        <v>#N/A</v>
      </c>
      <c r="E1690" s="1" t="e">
        <f>VLOOKUP(Tabla_Items_Activos[[#This Row],[CODIGO]],Tabla_Items_Completos[[CODIGO]:[LINEA]],4,0)</f>
        <v>#N/A</v>
      </c>
      <c r="F1690">
        <v>118</v>
      </c>
      <c r="G1690">
        <v>285</v>
      </c>
    </row>
    <row r="1691" spans="1:7">
      <c r="A1691" t="s">
        <v>7388</v>
      </c>
      <c r="B1691" t="s">
        <v>9078</v>
      </c>
      <c r="C1691" s="1" t="e">
        <f>VLOOKUP(Tabla_Items_Activos[[#This Row],[CODIGO]],Tabla_Items_Completos[[CODIGO]:[LINEA]],2,0)</f>
        <v>#N/A</v>
      </c>
      <c r="D1691" s="1" t="e">
        <f>VLOOKUP(Tabla_Items_Activos[[#This Row],[CODIGO]],Tabla_Items_Completos[[CODIGO]:[LINEA]],3,0)</f>
        <v>#N/A</v>
      </c>
      <c r="E1691" s="1" t="e">
        <f>VLOOKUP(Tabla_Items_Activos[[#This Row],[CODIGO]],Tabla_Items_Completos[[CODIGO]:[LINEA]],4,0)</f>
        <v>#N/A</v>
      </c>
      <c r="F1691">
        <v>5566</v>
      </c>
      <c r="G1691">
        <v>1</v>
      </c>
    </row>
    <row r="1692" spans="1:7">
      <c r="A1692" t="s">
        <v>7388</v>
      </c>
      <c r="B1692" t="s">
        <v>9079</v>
      </c>
      <c r="C1692" s="1" t="e">
        <f>VLOOKUP(Tabla_Items_Activos[[#This Row],[CODIGO]],Tabla_Items_Completos[[CODIGO]:[LINEA]],2,0)</f>
        <v>#N/A</v>
      </c>
      <c r="D1692" s="1" t="e">
        <f>VLOOKUP(Tabla_Items_Activos[[#This Row],[CODIGO]],Tabla_Items_Completos[[CODIGO]:[LINEA]],3,0)</f>
        <v>#N/A</v>
      </c>
      <c r="E1692" s="1" t="e">
        <f>VLOOKUP(Tabla_Items_Activos[[#This Row],[CODIGO]],Tabla_Items_Completos[[CODIGO]:[LINEA]],4,0)</f>
        <v>#N/A</v>
      </c>
      <c r="F1692">
        <v>10229</v>
      </c>
      <c r="G1692">
        <v>630</v>
      </c>
    </row>
    <row r="1693" spans="1:7">
      <c r="A1693" t="s">
        <v>7388</v>
      </c>
      <c r="B1693" t="s">
        <v>9080</v>
      </c>
      <c r="C1693" s="1" t="e">
        <f>VLOOKUP(Tabla_Items_Activos[[#This Row],[CODIGO]],Tabla_Items_Completos[[CODIGO]:[LINEA]],2,0)</f>
        <v>#N/A</v>
      </c>
      <c r="D1693" s="1" t="e">
        <f>VLOOKUP(Tabla_Items_Activos[[#This Row],[CODIGO]],Tabla_Items_Completos[[CODIGO]:[LINEA]],3,0)</f>
        <v>#N/A</v>
      </c>
      <c r="E1693" s="1" t="e">
        <f>VLOOKUP(Tabla_Items_Activos[[#This Row],[CODIGO]],Tabla_Items_Completos[[CODIGO]:[LINEA]],4,0)</f>
        <v>#N/A</v>
      </c>
      <c r="F1693">
        <v>1192</v>
      </c>
      <c r="G1693">
        <v>525</v>
      </c>
    </row>
    <row r="1694" spans="1:7">
      <c r="A1694" t="s">
        <v>7388</v>
      </c>
      <c r="B1694" t="s">
        <v>9081</v>
      </c>
      <c r="C1694" s="1" t="e">
        <f>VLOOKUP(Tabla_Items_Activos[[#This Row],[CODIGO]],Tabla_Items_Completos[[CODIGO]:[LINEA]],2,0)</f>
        <v>#N/A</v>
      </c>
      <c r="D1694" s="1" t="e">
        <f>VLOOKUP(Tabla_Items_Activos[[#This Row],[CODIGO]],Tabla_Items_Completos[[CODIGO]:[LINEA]],3,0)</f>
        <v>#N/A</v>
      </c>
      <c r="E1694" s="1" t="e">
        <f>VLOOKUP(Tabla_Items_Activos[[#This Row],[CODIGO]],Tabla_Items_Completos[[CODIGO]:[LINEA]],4,0)</f>
        <v>#N/A</v>
      </c>
      <c r="F1694">
        <v>1943</v>
      </c>
      <c r="G1694">
        <v>0</v>
      </c>
    </row>
    <row r="1695" spans="1:7">
      <c r="A1695" t="s">
        <v>7388</v>
      </c>
      <c r="B1695" t="s">
        <v>9082</v>
      </c>
      <c r="C1695" s="1" t="e">
        <f>VLOOKUP(Tabla_Items_Activos[[#This Row],[CODIGO]],Tabla_Items_Completos[[CODIGO]:[LINEA]],2,0)</f>
        <v>#N/A</v>
      </c>
      <c r="D1695" s="1" t="e">
        <f>VLOOKUP(Tabla_Items_Activos[[#This Row],[CODIGO]],Tabla_Items_Completos[[CODIGO]:[LINEA]],3,0)</f>
        <v>#N/A</v>
      </c>
      <c r="E1695" s="1" t="e">
        <f>VLOOKUP(Tabla_Items_Activos[[#This Row],[CODIGO]],Tabla_Items_Completos[[CODIGO]:[LINEA]],4,0)</f>
        <v>#N/A</v>
      </c>
      <c r="F1695">
        <v>11341</v>
      </c>
      <c r="G1695">
        <v>1050</v>
      </c>
    </row>
    <row r="1696" spans="1:7">
      <c r="A1696" t="s">
        <v>7388</v>
      </c>
      <c r="B1696" t="s">
        <v>9083</v>
      </c>
      <c r="C1696" s="1" t="e">
        <f>VLOOKUP(Tabla_Items_Activos[[#This Row],[CODIGO]],Tabla_Items_Completos[[CODIGO]:[LINEA]],2,0)</f>
        <v>#N/A</v>
      </c>
      <c r="D1696" s="1" t="e">
        <f>VLOOKUP(Tabla_Items_Activos[[#This Row],[CODIGO]],Tabla_Items_Completos[[CODIGO]:[LINEA]],3,0)</f>
        <v>#N/A</v>
      </c>
      <c r="E1696" s="1" t="e">
        <f>VLOOKUP(Tabla_Items_Activos[[#This Row],[CODIGO]],Tabla_Items_Completos[[CODIGO]:[LINEA]],4,0)</f>
        <v>#N/A</v>
      </c>
      <c r="F1696">
        <v>3450</v>
      </c>
      <c r="G1696">
        <v>0</v>
      </c>
    </row>
    <row r="1697" spans="1:7">
      <c r="A1697" t="s">
        <v>7388</v>
      </c>
      <c r="B1697" t="s">
        <v>9084</v>
      </c>
      <c r="C1697" s="1" t="e">
        <f>VLOOKUP(Tabla_Items_Activos[[#This Row],[CODIGO]],Tabla_Items_Completos[[CODIGO]:[LINEA]],2,0)</f>
        <v>#N/A</v>
      </c>
      <c r="D1697" s="1" t="e">
        <f>VLOOKUP(Tabla_Items_Activos[[#This Row],[CODIGO]],Tabla_Items_Completos[[CODIGO]:[LINEA]],3,0)</f>
        <v>#N/A</v>
      </c>
      <c r="E1697" s="1" t="e">
        <f>VLOOKUP(Tabla_Items_Activos[[#This Row],[CODIGO]],Tabla_Items_Completos[[CODIGO]:[LINEA]],4,0)</f>
        <v>#N/A</v>
      </c>
      <c r="F1697">
        <v>3308</v>
      </c>
      <c r="G1697">
        <v>1300</v>
      </c>
    </row>
    <row r="1698" spans="1:7">
      <c r="A1698" t="s">
        <v>7388</v>
      </c>
      <c r="B1698" t="s">
        <v>9085</v>
      </c>
      <c r="C1698" s="1" t="e">
        <f>VLOOKUP(Tabla_Items_Activos[[#This Row],[CODIGO]],Tabla_Items_Completos[[CODIGO]:[LINEA]],2,0)</f>
        <v>#N/A</v>
      </c>
      <c r="D1698" s="1" t="e">
        <f>VLOOKUP(Tabla_Items_Activos[[#This Row],[CODIGO]],Tabla_Items_Completos[[CODIGO]:[LINEA]],3,0)</f>
        <v>#N/A</v>
      </c>
      <c r="E1698" s="1" t="e">
        <f>VLOOKUP(Tabla_Items_Activos[[#This Row],[CODIGO]],Tabla_Items_Completos[[CODIGO]:[LINEA]],4,0)</f>
        <v>#N/A</v>
      </c>
      <c r="F1698">
        <v>599</v>
      </c>
      <c r="G1698">
        <v>0</v>
      </c>
    </row>
    <row r="1699" spans="1:7">
      <c r="A1699" t="s">
        <v>7388</v>
      </c>
      <c r="B1699" t="s">
        <v>9086</v>
      </c>
      <c r="C1699" s="1" t="e">
        <f>VLOOKUP(Tabla_Items_Activos[[#This Row],[CODIGO]],Tabla_Items_Completos[[CODIGO]:[LINEA]],2,0)</f>
        <v>#N/A</v>
      </c>
      <c r="D1699" s="1" t="e">
        <f>VLOOKUP(Tabla_Items_Activos[[#This Row],[CODIGO]],Tabla_Items_Completos[[CODIGO]:[LINEA]],3,0)</f>
        <v>#N/A</v>
      </c>
      <c r="E1699" s="1" t="e">
        <f>VLOOKUP(Tabla_Items_Activos[[#This Row],[CODIGO]],Tabla_Items_Completos[[CODIGO]:[LINEA]],4,0)</f>
        <v>#N/A</v>
      </c>
      <c r="F1699">
        <v>5728</v>
      </c>
      <c r="G1699">
        <v>1740</v>
      </c>
    </row>
    <row r="1700" spans="1:7">
      <c r="A1700" t="s">
        <v>7388</v>
      </c>
      <c r="B1700" t="s">
        <v>9087</v>
      </c>
      <c r="C1700" s="1" t="e">
        <f>VLOOKUP(Tabla_Items_Activos[[#This Row],[CODIGO]],Tabla_Items_Completos[[CODIGO]:[LINEA]],2,0)</f>
        <v>#N/A</v>
      </c>
      <c r="D1700" s="1" t="e">
        <f>VLOOKUP(Tabla_Items_Activos[[#This Row],[CODIGO]],Tabla_Items_Completos[[CODIGO]:[LINEA]],3,0)</f>
        <v>#N/A</v>
      </c>
      <c r="E1700" s="1" t="e">
        <f>VLOOKUP(Tabla_Items_Activos[[#This Row],[CODIGO]],Tabla_Items_Completos[[CODIGO]:[LINEA]],4,0)</f>
        <v>#N/A</v>
      </c>
      <c r="F1700">
        <v>1188</v>
      </c>
      <c r="G1700">
        <v>480</v>
      </c>
    </row>
    <row r="1701" spans="1:7">
      <c r="A1701" t="s">
        <v>7388</v>
      </c>
      <c r="B1701" t="s">
        <v>9088</v>
      </c>
      <c r="C1701" s="1" t="e">
        <f>VLOOKUP(Tabla_Items_Activos[[#This Row],[CODIGO]],Tabla_Items_Completos[[CODIGO]:[LINEA]],2,0)</f>
        <v>#N/A</v>
      </c>
      <c r="D1701" s="1" t="e">
        <f>VLOOKUP(Tabla_Items_Activos[[#This Row],[CODIGO]],Tabla_Items_Completos[[CODIGO]:[LINEA]],3,0)</f>
        <v>#N/A</v>
      </c>
      <c r="E1701" s="1" t="e">
        <f>VLOOKUP(Tabla_Items_Activos[[#This Row],[CODIGO]],Tabla_Items_Completos[[CODIGO]:[LINEA]],4,0)</f>
        <v>#N/A</v>
      </c>
      <c r="F1701">
        <v>1902</v>
      </c>
      <c r="G1701">
        <v>0</v>
      </c>
    </row>
    <row r="1702" spans="1:7">
      <c r="A1702" t="s">
        <v>7388</v>
      </c>
      <c r="B1702" t="s">
        <v>9089</v>
      </c>
      <c r="C1702" s="1" t="e">
        <f>VLOOKUP(Tabla_Items_Activos[[#This Row],[CODIGO]],Tabla_Items_Completos[[CODIGO]:[LINEA]],2,0)</f>
        <v>#N/A</v>
      </c>
      <c r="D1702" s="1" t="e">
        <f>VLOOKUP(Tabla_Items_Activos[[#This Row],[CODIGO]],Tabla_Items_Completos[[CODIGO]:[LINEA]],3,0)</f>
        <v>#N/A</v>
      </c>
      <c r="E1702" s="1" t="e">
        <f>VLOOKUP(Tabla_Items_Activos[[#This Row],[CODIGO]],Tabla_Items_Completos[[CODIGO]:[LINEA]],4,0)</f>
        <v>#N/A</v>
      </c>
      <c r="F1702">
        <v>3623</v>
      </c>
      <c r="G1702">
        <v>2747</v>
      </c>
    </row>
    <row r="1703" spans="1:7">
      <c r="A1703" t="s">
        <v>7388</v>
      </c>
      <c r="B1703" t="s">
        <v>9090</v>
      </c>
      <c r="C1703" s="1" t="e">
        <f>VLOOKUP(Tabla_Items_Activos[[#This Row],[CODIGO]],Tabla_Items_Completos[[CODIGO]:[LINEA]],2,0)</f>
        <v>#N/A</v>
      </c>
      <c r="D1703" s="1" t="e">
        <f>VLOOKUP(Tabla_Items_Activos[[#This Row],[CODIGO]],Tabla_Items_Completos[[CODIGO]:[LINEA]],3,0)</f>
        <v>#N/A</v>
      </c>
      <c r="E1703" s="1" t="e">
        <f>VLOOKUP(Tabla_Items_Activos[[#This Row],[CODIGO]],Tabla_Items_Completos[[CODIGO]:[LINEA]],4,0)</f>
        <v>#N/A</v>
      </c>
      <c r="F1703">
        <v>13</v>
      </c>
      <c r="G1703">
        <v>833</v>
      </c>
    </row>
    <row r="1704" spans="1:7">
      <c r="A1704" t="s">
        <v>7388</v>
      </c>
      <c r="B1704" t="s">
        <v>9091</v>
      </c>
      <c r="C1704" s="1" t="e">
        <f>VLOOKUP(Tabla_Items_Activos[[#This Row],[CODIGO]],Tabla_Items_Completos[[CODIGO]:[LINEA]],2,0)</f>
        <v>#N/A</v>
      </c>
      <c r="D1704" s="1" t="e">
        <f>VLOOKUP(Tabla_Items_Activos[[#This Row],[CODIGO]],Tabla_Items_Completos[[CODIGO]:[LINEA]],3,0)</f>
        <v>#N/A</v>
      </c>
      <c r="E1704" s="1" t="e">
        <f>VLOOKUP(Tabla_Items_Activos[[#This Row],[CODIGO]],Tabla_Items_Completos[[CODIGO]:[LINEA]],4,0)</f>
        <v>#N/A</v>
      </c>
      <c r="F1704">
        <v>312</v>
      </c>
      <c r="G1704">
        <v>335</v>
      </c>
    </row>
    <row r="1705" spans="1:7">
      <c r="A1705" t="s">
        <v>7388</v>
      </c>
      <c r="B1705" t="s">
        <v>9092</v>
      </c>
      <c r="C1705" s="1" t="e">
        <f>VLOOKUP(Tabla_Items_Activos[[#This Row],[CODIGO]],Tabla_Items_Completos[[CODIGO]:[LINEA]],2,0)</f>
        <v>#N/A</v>
      </c>
      <c r="D1705" s="1" t="e">
        <f>VLOOKUP(Tabla_Items_Activos[[#This Row],[CODIGO]],Tabla_Items_Completos[[CODIGO]:[LINEA]],3,0)</f>
        <v>#N/A</v>
      </c>
      <c r="E1705" s="1" t="e">
        <f>VLOOKUP(Tabla_Items_Activos[[#This Row],[CODIGO]],Tabla_Items_Completos[[CODIGO]:[LINEA]],4,0)</f>
        <v>#N/A</v>
      </c>
      <c r="F1705">
        <v>121</v>
      </c>
      <c r="G1705">
        <v>55</v>
      </c>
    </row>
    <row r="1706" spans="1:7">
      <c r="A1706" t="s">
        <v>7388</v>
      </c>
      <c r="B1706" t="s">
        <v>9093</v>
      </c>
      <c r="C1706" s="1" t="e">
        <f>VLOOKUP(Tabla_Items_Activos[[#This Row],[CODIGO]],Tabla_Items_Completos[[CODIGO]:[LINEA]],2,0)</f>
        <v>#N/A</v>
      </c>
      <c r="D1706" s="1" t="e">
        <f>VLOOKUP(Tabla_Items_Activos[[#This Row],[CODIGO]],Tabla_Items_Completos[[CODIGO]:[LINEA]],3,0)</f>
        <v>#N/A</v>
      </c>
      <c r="E1706" s="1" t="e">
        <f>VLOOKUP(Tabla_Items_Activos[[#This Row],[CODIGO]],Tabla_Items_Completos[[CODIGO]:[LINEA]],4,0)</f>
        <v>#N/A</v>
      </c>
      <c r="F1706">
        <v>583</v>
      </c>
      <c r="G1706">
        <v>0</v>
      </c>
    </row>
    <row r="1707" spans="1:7">
      <c r="A1707" t="s">
        <v>7388</v>
      </c>
      <c r="B1707" t="s">
        <v>9094</v>
      </c>
      <c r="C1707" s="1" t="e">
        <f>VLOOKUP(Tabla_Items_Activos[[#This Row],[CODIGO]],Tabla_Items_Completos[[CODIGO]:[LINEA]],2,0)</f>
        <v>#N/A</v>
      </c>
      <c r="D1707" s="1" t="e">
        <f>VLOOKUP(Tabla_Items_Activos[[#This Row],[CODIGO]],Tabla_Items_Completos[[CODIGO]:[LINEA]],3,0)</f>
        <v>#N/A</v>
      </c>
      <c r="E1707" s="1" t="e">
        <f>VLOOKUP(Tabla_Items_Activos[[#This Row],[CODIGO]],Tabla_Items_Completos[[CODIGO]:[LINEA]],4,0)</f>
        <v>#N/A</v>
      </c>
      <c r="F1707">
        <v>310</v>
      </c>
      <c r="G1707">
        <v>38</v>
      </c>
    </row>
    <row r="1708" spans="1:7">
      <c r="A1708" t="s">
        <v>7388</v>
      </c>
      <c r="B1708" t="s">
        <v>9095</v>
      </c>
      <c r="C1708" s="1" t="e">
        <f>VLOOKUP(Tabla_Items_Activos[[#This Row],[CODIGO]],Tabla_Items_Completos[[CODIGO]:[LINEA]],2,0)</f>
        <v>#N/A</v>
      </c>
      <c r="D1708" s="1" t="e">
        <f>VLOOKUP(Tabla_Items_Activos[[#This Row],[CODIGO]],Tabla_Items_Completos[[CODIGO]:[LINEA]],3,0)</f>
        <v>#N/A</v>
      </c>
      <c r="E1708" s="1" t="e">
        <f>VLOOKUP(Tabla_Items_Activos[[#This Row],[CODIGO]],Tabla_Items_Completos[[CODIGO]:[LINEA]],4,0)</f>
        <v>#N/A</v>
      </c>
      <c r="F1708">
        <v>289</v>
      </c>
      <c r="G1708">
        <v>0</v>
      </c>
    </row>
    <row r="1709" spans="1:7">
      <c r="A1709" t="s">
        <v>7388</v>
      </c>
      <c r="B1709" t="s">
        <v>9096</v>
      </c>
      <c r="C1709" s="1" t="e">
        <f>VLOOKUP(Tabla_Items_Activos[[#This Row],[CODIGO]],Tabla_Items_Completos[[CODIGO]:[LINEA]],2,0)</f>
        <v>#N/A</v>
      </c>
      <c r="D1709" s="1" t="e">
        <f>VLOOKUP(Tabla_Items_Activos[[#This Row],[CODIGO]],Tabla_Items_Completos[[CODIGO]:[LINEA]],3,0)</f>
        <v>#N/A</v>
      </c>
      <c r="E1709" s="1" t="e">
        <f>VLOOKUP(Tabla_Items_Activos[[#This Row],[CODIGO]],Tabla_Items_Completos[[CODIGO]:[LINEA]],4,0)</f>
        <v>#N/A</v>
      </c>
      <c r="F1709">
        <v>37</v>
      </c>
      <c r="G1709">
        <v>457</v>
      </c>
    </row>
    <row r="1710" spans="1:7">
      <c r="A1710" t="s">
        <v>7388</v>
      </c>
      <c r="B1710" t="s">
        <v>9097</v>
      </c>
      <c r="C1710" s="1" t="e">
        <f>VLOOKUP(Tabla_Items_Activos[[#This Row],[CODIGO]],Tabla_Items_Completos[[CODIGO]:[LINEA]],2,0)</f>
        <v>#N/A</v>
      </c>
      <c r="D1710" s="1" t="e">
        <f>VLOOKUP(Tabla_Items_Activos[[#This Row],[CODIGO]],Tabla_Items_Completos[[CODIGO]:[LINEA]],3,0)</f>
        <v>#N/A</v>
      </c>
      <c r="E1710" s="1" t="e">
        <f>VLOOKUP(Tabla_Items_Activos[[#This Row],[CODIGO]],Tabla_Items_Completos[[CODIGO]:[LINEA]],4,0)</f>
        <v>#N/A</v>
      </c>
      <c r="F1710">
        <v>431</v>
      </c>
      <c r="G1710">
        <v>193</v>
      </c>
    </row>
    <row r="1711" spans="1:7">
      <c r="A1711" t="s">
        <v>7388</v>
      </c>
      <c r="B1711" t="s">
        <v>9098</v>
      </c>
      <c r="C1711" s="1" t="e">
        <f>VLOOKUP(Tabla_Items_Activos[[#This Row],[CODIGO]],Tabla_Items_Completos[[CODIGO]:[LINEA]],2,0)</f>
        <v>#N/A</v>
      </c>
      <c r="D1711" s="1" t="e">
        <f>VLOOKUP(Tabla_Items_Activos[[#This Row],[CODIGO]],Tabla_Items_Completos[[CODIGO]:[LINEA]],3,0)</f>
        <v>#N/A</v>
      </c>
      <c r="E1711" s="1" t="e">
        <f>VLOOKUP(Tabla_Items_Activos[[#This Row],[CODIGO]],Tabla_Items_Completos[[CODIGO]:[LINEA]],4,0)</f>
        <v>#N/A</v>
      </c>
      <c r="F1711">
        <v>90</v>
      </c>
      <c r="G1711">
        <v>0</v>
      </c>
    </row>
    <row r="1712" spans="1:7">
      <c r="A1712" t="s">
        <v>7388</v>
      </c>
      <c r="B1712" t="s">
        <v>9099</v>
      </c>
      <c r="C1712" s="1" t="e">
        <f>VLOOKUP(Tabla_Items_Activos[[#This Row],[CODIGO]],Tabla_Items_Completos[[CODIGO]:[LINEA]],2,0)</f>
        <v>#N/A</v>
      </c>
      <c r="D1712" s="1" t="e">
        <f>VLOOKUP(Tabla_Items_Activos[[#This Row],[CODIGO]],Tabla_Items_Completos[[CODIGO]:[LINEA]],3,0)</f>
        <v>#N/A</v>
      </c>
      <c r="E1712" s="1" t="e">
        <f>VLOOKUP(Tabla_Items_Activos[[#This Row],[CODIGO]],Tabla_Items_Completos[[CODIGO]:[LINEA]],4,0)</f>
        <v>#N/A</v>
      </c>
      <c r="F1712">
        <v>265</v>
      </c>
      <c r="G1712">
        <v>245</v>
      </c>
    </row>
    <row r="1713" spans="1:7">
      <c r="A1713" t="s">
        <v>7388</v>
      </c>
      <c r="B1713" t="s">
        <v>9100</v>
      </c>
      <c r="C1713" s="1" t="e">
        <f>VLOOKUP(Tabla_Items_Activos[[#This Row],[CODIGO]],Tabla_Items_Completos[[CODIGO]:[LINEA]],2,0)</f>
        <v>#N/A</v>
      </c>
      <c r="D1713" s="1" t="e">
        <f>VLOOKUP(Tabla_Items_Activos[[#This Row],[CODIGO]],Tabla_Items_Completos[[CODIGO]:[LINEA]],3,0)</f>
        <v>#N/A</v>
      </c>
      <c r="E1713" s="1" t="e">
        <f>VLOOKUP(Tabla_Items_Activos[[#This Row],[CODIGO]],Tabla_Items_Completos[[CODIGO]:[LINEA]],4,0)</f>
        <v>#N/A</v>
      </c>
      <c r="F1713">
        <v>3087</v>
      </c>
      <c r="G1713">
        <v>0</v>
      </c>
    </row>
    <row r="1714" spans="1:7">
      <c r="A1714" t="s">
        <v>7388</v>
      </c>
      <c r="B1714" t="s">
        <v>9101</v>
      </c>
      <c r="C1714" s="1" t="e">
        <f>VLOOKUP(Tabla_Items_Activos[[#This Row],[CODIGO]],Tabla_Items_Completos[[CODIGO]:[LINEA]],2,0)</f>
        <v>#N/A</v>
      </c>
      <c r="D1714" s="1" t="e">
        <f>VLOOKUP(Tabla_Items_Activos[[#This Row],[CODIGO]],Tabla_Items_Completos[[CODIGO]:[LINEA]],3,0)</f>
        <v>#N/A</v>
      </c>
      <c r="E1714" s="1" t="e">
        <f>VLOOKUP(Tabla_Items_Activos[[#This Row],[CODIGO]],Tabla_Items_Completos[[CODIGO]:[LINEA]],4,0)</f>
        <v>#N/A</v>
      </c>
      <c r="F1714">
        <v>578</v>
      </c>
      <c r="G1714">
        <v>35</v>
      </c>
    </row>
    <row r="1715" spans="1:7">
      <c r="A1715" t="s">
        <v>7388</v>
      </c>
      <c r="B1715" t="s">
        <v>9102</v>
      </c>
      <c r="C1715" s="1" t="e">
        <f>VLOOKUP(Tabla_Items_Activos[[#This Row],[CODIGO]],Tabla_Items_Completos[[CODIGO]:[LINEA]],2,0)</f>
        <v>#N/A</v>
      </c>
      <c r="D1715" s="1" t="e">
        <f>VLOOKUP(Tabla_Items_Activos[[#This Row],[CODIGO]],Tabla_Items_Completos[[CODIGO]:[LINEA]],3,0)</f>
        <v>#N/A</v>
      </c>
      <c r="E1715" s="1" t="e">
        <f>VLOOKUP(Tabla_Items_Activos[[#This Row],[CODIGO]],Tabla_Items_Completos[[CODIGO]:[LINEA]],4,0)</f>
        <v>#N/A</v>
      </c>
      <c r="F1715">
        <v>184</v>
      </c>
      <c r="G1715">
        <v>0</v>
      </c>
    </row>
    <row r="1716" spans="1:7">
      <c r="A1716" t="s">
        <v>7388</v>
      </c>
      <c r="B1716" t="s">
        <v>9103</v>
      </c>
      <c r="C1716" s="1" t="e">
        <f>VLOOKUP(Tabla_Items_Activos[[#This Row],[CODIGO]],Tabla_Items_Completos[[CODIGO]:[LINEA]],2,0)</f>
        <v>#N/A</v>
      </c>
      <c r="D1716" s="1" t="e">
        <f>VLOOKUP(Tabla_Items_Activos[[#This Row],[CODIGO]],Tabla_Items_Completos[[CODIGO]:[LINEA]],3,0)</f>
        <v>#N/A</v>
      </c>
      <c r="E1716" s="1" t="e">
        <f>VLOOKUP(Tabla_Items_Activos[[#This Row],[CODIGO]],Tabla_Items_Completos[[CODIGO]:[LINEA]],4,0)</f>
        <v>#N/A</v>
      </c>
      <c r="F1716">
        <v>81</v>
      </c>
      <c r="G1716">
        <v>71</v>
      </c>
    </row>
    <row r="1717" spans="1:7">
      <c r="A1717" t="s">
        <v>7388</v>
      </c>
      <c r="B1717" t="s">
        <v>9104</v>
      </c>
      <c r="C1717" s="1" t="e">
        <f>VLOOKUP(Tabla_Items_Activos[[#This Row],[CODIGO]],Tabla_Items_Completos[[CODIGO]:[LINEA]],2,0)</f>
        <v>#N/A</v>
      </c>
      <c r="D1717" s="1" t="e">
        <f>VLOOKUP(Tabla_Items_Activos[[#This Row],[CODIGO]],Tabla_Items_Completos[[CODIGO]:[LINEA]],3,0)</f>
        <v>#N/A</v>
      </c>
      <c r="E1717" s="1" t="e">
        <f>VLOOKUP(Tabla_Items_Activos[[#This Row],[CODIGO]],Tabla_Items_Completos[[CODIGO]:[LINEA]],4,0)</f>
        <v>#N/A</v>
      </c>
      <c r="F1717">
        <v>49</v>
      </c>
      <c r="G1717">
        <v>94</v>
      </c>
    </row>
    <row r="1718" spans="1:7">
      <c r="A1718" t="s">
        <v>7388</v>
      </c>
      <c r="B1718" t="s">
        <v>9105</v>
      </c>
      <c r="C1718" s="1" t="e">
        <f>VLOOKUP(Tabla_Items_Activos[[#This Row],[CODIGO]],Tabla_Items_Completos[[CODIGO]:[LINEA]],2,0)</f>
        <v>#N/A</v>
      </c>
      <c r="D1718" s="1" t="e">
        <f>VLOOKUP(Tabla_Items_Activos[[#This Row],[CODIGO]],Tabla_Items_Completos[[CODIGO]:[LINEA]],3,0)</f>
        <v>#N/A</v>
      </c>
      <c r="E1718" s="1" t="e">
        <f>VLOOKUP(Tabla_Items_Activos[[#This Row],[CODIGO]],Tabla_Items_Completos[[CODIGO]:[LINEA]],4,0)</f>
        <v>#N/A</v>
      </c>
      <c r="F1718">
        <v>305</v>
      </c>
      <c r="G1718">
        <v>0</v>
      </c>
    </row>
    <row r="1719" spans="1:7">
      <c r="A1719" t="s">
        <v>7388</v>
      </c>
      <c r="B1719" t="s">
        <v>9106</v>
      </c>
      <c r="C1719" s="1" t="e">
        <f>VLOOKUP(Tabla_Items_Activos[[#This Row],[CODIGO]],Tabla_Items_Completos[[CODIGO]:[LINEA]],2,0)</f>
        <v>#N/A</v>
      </c>
      <c r="D1719" s="1" t="e">
        <f>VLOOKUP(Tabla_Items_Activos[[#This Row],[CODIGO]],Tabla_Items_Completos[[CODIGO]:[LINEA]],3,0)</f>
        <v>#N/A</v>
      </c>
      <c r="E1719" s="1" t="e">
        <f>VLOOKUP(Tabla_Items_Activos[[#This Row],[CODIGO]],Tabla_Items_Completos[[CODIGO]:[LINEA]],4,0)</f>
        <v>#N/A</v>
      </c>
      <c r="F1719">
        <v>234</v>
      </c>
      <c r="G1719">
        <v>105</v>
      </c>
    </row>
    <row r="1720" spans="1:7">
      <c r="A1720" t="s">
        <v>7388</v>
      </c>
      <c r="B1720" t="s">
        <v>9107</v>
      </c>
      <c r="C1720" s="1" t="e">
        <f>VLOOKUP(Tabla_Items_Activos[[#This Row],[CODIGO]],Tabla_Items_Completos[[CODIGO]:[LINEA]],2,0)</f>
        <v>#N/A</v>
      </c>
      <c r="D1720" s="1" t="e">
        <f>VLOOKUP(Tabla_Items_Activos[[#This Row],[CODIGO]],Tabla_Items_Completos[[CODIGO]:[LINEA]],3,0)</f>
        <v>#N/A</v>
      </c>
      <c r="E1720" s="1" t="e">
        <f>VLOOKUP(Tabla_Items_Activos[[#This Row],[CODIGO]],Tabla_Items_Completos[[CODIGO]:[LINEA]],4,0)</f>
        <v>#N/A</v>
      </c>
      <c r="F1720">
        <v>310</v>
      </c>
      <c r="G1720">
        <v>90</v>
      </c>
    </row>
    <row r="1721" spans="1:7">
      <c r="A1721" t="s">
        <v>7388</v>
      </c>
      <c r="B1721" t="s">
        <v>9108</v>
      </c>
      <c r="C1721" s="1" t="e">
        <f>VLOOKUP(Tabla_Items_Activos[[#This Row],[CODIGO]],Tabla_Items_Completos[[CODIGO]:[LINEA]],2,0)</f>
        <v>#N/A</v>
      </c>
      <c r="D1721" s="1" t="e">
        <f>VLOOKUP(Tabla_Items_Activos[[#This Row],[CODIGO]],Tabla_Items_Completos[[CODIGO]:[LINEA]],3,0)</f>
        <v>#N/A</v>
      </c>
      <c r="E1721" s="1" t="e">
        <f>VLOOKUP(Tabla_Items_Activos[[#This Row],[CODIGO]],Tabla_Items_Completos[[CODIGO]:[LINEA]],4,0)</f>
        <v>#N/A</v>
      </c>
      <c r="F1721">
        <v>678</v>
      </c>
      <c r="G1721">
        <v>247</v>
      </c>
    </row>
    <row r="1722" spans="1:7">
      <c r="A1722" t="s">
        <v>7388</v>
      </c>
      <c r="B1722" t="s">
        <v>9109</v>
      </c>
      <c r="C1722" s="1" t="e">
        <f>VLOOKUP(Tabla_Items_Activos[[#This Row],[CODIGO]],Tabla_Items_Completos[[CODIGO]:[LINEA]],2,0)</f>
        <v>#N/A</v>
      </c>
      <c r="D1722" s="1" t="e">
        <f>VLOOKUP(Tabla_Items_Activos[[#This Row],[CODIGO]],Tabla_Items_Completos[[CODIGO]:[LINEA]],3,0)</f>
        <v>#N/A</v>
      </c>
      <c r="E1722" s="1" t="e">
        <f>VLOOKUP(Tabla_Items_Activos[[#This Row],[CODIGO]],Tabla_Items_Completos[[CODIGO]:[LINEA]],4,0)</f>
        <v>#N/A</v>
      </c>
      <c r="F1722">
        <v>1696</v>
      </c>
      <c r="G1722">
        <v>5623</v>
      </c>
    </row>
    <row r="1723" spans="1:7">
      <c r="A1723" t="s">
        <v>7388</v>
      </c>
      <c r="B1723" t="s">
        <v>9110</v>
      </c>
      <c r="C1723" s="1" t="e">
        <f>VLOOKUP(Tabla_Items_Activos[[#This Row],[CODIGO]],Tabla_Items_Completos[[CODIGO]:[LINEA]],2,0)</f>
        <v>#N/A</v>
      </c>
      <c r="D1723" s="1" t="e">
        <f>VLOOKUP(Tabla_Items_Activos[[#This Row],[CODIGO]],Tabla_Items_Completos[[CODIGO]:[LINEA]],3,0)</f>
        <v>#N/A</v>
      </c>
      <c r="E1723" s="1" t="e">
        <f>VLOOKUP(Tabla_Items_Activos[[#This Row],[CODIGO]],Tabla_Items_Completos[[CODIGO]:[LINEA]],4,0)</f>
        <v>#N/A</v>
      </c>
      <c r="F1723">
        <v>1119</v>
      </c>
      <c r="G1723">
        <v>658</v>
      </c>
    </row>
    <row r="1724" spans="1:7">
      <c r="A1724" t="s">
        <v>7388</v>
      </c>
      <c r="B1724" t="s">
        <v>9111</v>
      </c>
      <c r="C1724" s="1" t="e">
        <f>VLOOKUP(Tabla_Items_Activos[[#This Row],[CODIGO]],Tabla_Items_Completos[[CODIGO]:[LINEA]],2,0)</f>
        <v>#N/A</v>
      </c>
      <c r="D1724" s="1" t="e">
        <f>VLOOKUP(Tabla_Items_Activos[[#This Row],[CODIGO]],Tabla_Items_Completos[[CODIGO]:[LINEA]],3,0)</f>
        <v>#N/A</v>
      </c>
      <c r="E1724" s="1" t="e">
        <f>VLOOKUP(Tabla_Items_Activos[[#This Row],[CODIGO]],Tabla_Items_Completos[[CODIGO]:[LINEA]],4,0)</f>
        <v>#N/A</v>
      </c>
      <c r="F1724">
        <v>636</v>
      </c>
      <c r="G1724">
        <v>62</v>
      </c>
    </row>
    <row r="1725" spans="1:7">
      <c r="A1725" t="s">
        <v>7388</v>
      </c>
      <c r="B1725" t="s">
        <v>9112</v>
      </c>
      <c r="C1725" s="1" t="e">
        <f>VLOOKUP(Tabla_Items_Activos[[#This Row],[CODIGO]],Tabla_Items_Completos[[CODIGO]:[LINEA]],2,0)</f>
        <v>#N/A</v>
      </c>
      <c r="D1725" s="1" t="e">
        <f>VLOOKUP(Tabla_Items_Activos[[#This Row],[CODIGO]],Tabla_Items_Completos[[CODIGO]:[LINEA]],3,0)</f>
        <v>#N/A</v>
      </c>
      <c r="E1725" s="1" t="e">
        <f>VLOOKUP(Tabla_Items_Activos[[#This Row],[CODIGO]],Tabla_Items_Completos[[CODIGO]:[LINEA]],4,0)</f>
        <v>#N/A</v>
      </c>
      <c r="F1725">
        <v>563</v>
      </c>
      <c r="G1725">
        <v>0</v>
      </c>
    </row>
    <row r="1726" spans="1:7">
      <c r="A1726" t="s">
        <v>7388</v>
      </c>
      <c r="B1726" t="s">
        <v>9113</v>
      </c>
      <c r="C1726" s="1" t="e">
        <f>VLOOKUP(Tabla_Items_Activos[[#This Row],[CODIGO]],Tabla_Items_Completos[[CODIGO]:[LINEA]],2,0)</f>
        <v>#N/A</v>
      </c>
      <c r="D1726" s="1" t="e">
        <f>VLOOKUP(Tabla_Items_Activos[[#This Row],[CODIGO]],Tabla_Items_Completos[[CODIGO]:[LINEA]],3,0)</f>
        <v>#N/A</v>
      </c>
      <c r="E1726" s="1" t="e">
        <f>VLOOKUP(Tabla_Items_Activos[[#This Row],[CODIGO]],Tabla_Items_Completos[[CODIGO]:[LINEA]],4,0)</f>
        <v>#N/A</v>
      </c>
      <c r="F1726">
        <v>319</v>
      </c>
      <c r="G1726">
        <v>0</v>
      </c>
    </row>
    <row r="1727" spans="1:7">
      <c r="A1727" t="s">
        <v>7388</v>
      </c>
      <c r="B1727" t="s">
        <v>9114</v>
      </c>
      <c r="C1727" s="1" t="e">
        <f>VLOOKUP(Tabla_Items_Activos[[#This Row],[CODIGO]],Tabla_Items_Completos[[CODIGO]:[LINEA]],2,0)</f>
        <v>#N/A</v>
      </c>
      <c r="D1727" s="1" t="e">
        <f>VLOOKUP(Tabla_Items_Activos[[#This Row],[CODIGO]],Tabla_Items_Completos[[CODIGO]:[LINEA]],3,0)</f>
        <v>#N/A</v>
      </c>
      <c r="E1727" s="1" t="e">
        <f>VLOOKUP(Tabla_Items_Activos[[#This Row],[CODIGO]],Tabla_Items_Completos[[CODIGO]:[LINEA]],4,0)</f>
        <v>#N/A</v>
      </c>
      <c r="F1727">
        <v>316</v>
      </c>
      <c r="G1727">
        <v>107</v>
      </c>
    </row>
    <row r="1728" spans="1:7">
      <c r="A1728" t="s">
        <v>7388</v>
      </c>
      <c r="B1728" t="s">
        <v>9115</v>
      </c>
      <c r="C1728" s="1" t="e">
        <f>VLOOKUP(Tabla_Items_Activos[[#This Row],[CODIGO]],Tabla_Items_Completos[[CODIGO]:[LINEA]],2,0)</f>
        <v>#N/A</v>
      </c>
      <c r="D1728" s="1" t="e">
        <f>VLOOKUP(Tabla_Items_Activos[[#This Row],[CODIGO]],Tabla_Items_Completos[[CODIGO]:[LINEA]],3,0)</f>
        <v>#N/A</v>
      </c>
      <c r="E1728" s="1" t="e">
        <f>VLOOKUP(Tabla_Items_Activos[[#This Row],[CODIGO]],Tabla_Items_Completos[[CODIGO]:[LINEA]],4,0)</f>
        <v>#N/A</v>
      </c>
      <c r="F1728">
        <v>1788</v>
      </c>
      <c r="G1728">
        <v>352</v>
      </c>
    </row>
    <row r="1729" spans="1:7">
      <c r="A1729" t="s">
        <v>7388</v>
      </c>
      <c r="B1729" t="s">
        <v>9116</v>
      </c>
      <c r="C1729" s="1" t="e">
        <f>VLOOKUP(Tabla_Items_Activos[[#This Row],[CODIGO]],Tabla_Items_Completos[[CODIGO]:[LINEA]],2,0)</f>
        <v>#N/A</v>
      </c>
      <c r="D1729" s="1" t="e">
        <f>VLOOKUP(Tabla_Items_Activos[[#This Row],[CODIGO]],Tabla_Items_Completos[[CODIGO]:[LINEA]],3,0)</f>
        <v>#N/A</v>
      </c>
      <c r="E1729" s="1" t="e">
        <f>VLOOKUP(Tabla_Items_Activos[[#This Row],[CODIGO]],Tabla_Items_Completos[[CODIGO]:[LINEA]],4,0)</f>
        <v>#N/A</v>
      </c>
      <c r="F1729">
        <v>652</v>
      </c>
      <c r="G1729">
        <v>96</v>
      </c>
    </row>
    <row r="1730" spans="1:7">
      <c r="A1730" t="s">
        <v>7388</v>
      </c>
      <c r="B1730" t="s">
        <v>9117</v>
      </c>
      <c r="C1730" s="1" t="e">
        <f>VLOOKUP(Tabla_Items_Activos[[#This Row],[CODIGO]],Tabla_Items_Completos[[CODIGO]:[LINEA]],2,0)</f>
        <v>#N/A</v>
      </c>
      <c r="D1730" s="1" t="e">
        <f>VLOOKUP(Tabla_Items_Activos[[#This Row],[CODIGO]],Tabla_Items_Completos[[CODIGO]:[LINEA]],3,0)</f>
        <v>#N/A</v>
      </c>
      <c r="E1730" s="1" t="e">
        <f>VLOOKUP(Tabla_Items_Activos[[#This Row],[CODIGO]],Tabla_Items_Completos[[CODIGO]:[LINEA]],4,0)</f>
        <v>#N/A</v>
      </c>
      <c r="F1730">
        <v>794</v>
      </c>
      <c r="G1730">
        <v>0</v>
      </c>
    </row>
    <row r="1731" spans="1:7">
      <c r="A1731" t="s">
        <v>7388</v>
      </c>
      <c r="B1731" t="s">
        <v>9118</v>
      </c>
      <c r="C1731" s="1" t="e">
        <f>VLOOKUP(Tabla_Items_Activos[[#This Row],[CODIGO]],Tabla_Items_Completos[[CODIGO]:[LINEA]],2,0)</f>
        <v>#N/A</v>
      </c>
      <c r="D1731" s="1" t="e">
        <f>VLOOKUP(Tabla_Items_Activos[[#This Row],[CODIGO]],Tabla_Items_Completos[[CODIGO]:[LINEA]],3,0)</f>
        <v>#N/A</v>
      </c>
      <c r="E1731" s="1" t="e">
        <f>VLOOKUP(Tabla_Items_Activos[[#This Row],[CODIGO]],Tabla_Items_Completos[[CODIGO]:[LINEA]],4,0)</f>
        <v>#N/A</v>
      </c>
      <c r="F1731">
        <v>377</v>
      </c>
      <c r="G1731">
        <v>45</v>
      </c>
    </row>
    <row r="1732" spans="1:7">
      <c r="A1732" t="s">
        <v>7388</v>
      </c>
      <c r="B1732" t="s">
        <v>9119</v>
      </c>
      <c r="C1732" s="1" t="e">
        <f>VLOOKUP(Tabla_Items_Activos[[#This Row],[CODIGO]],Tabla_Items_Completos[[CODIGO]:[LINEA]],2,0)</f>
        <v>#N/A</v>
      </c>
      <c r="D1732" s="1" t="e">
        <f>VLOOKUP(Tabla_Items_Activos[[#This Row],[CODIGO]],Tabla_Items_Completos[[CODIGO]:[LINEA]],3,0)</f>
        <v>#N/A</v>
      </c>
      <c r="E1732" s="1" t="e">
        <f>VLOOKUP(Tabla_Items_Activos[[#This Row],[CODIGO]],Tabla_Items_Completos[[CODIGO]:[LINEA]],4,0)</f>
        <v>#N/A</v>
      </c>
      <c r="F1732">
        <v>620</v>
      </c>
      <c r="G1732">
        <v>76</v>
      </c>
    </row>
    <row r="1733" spans="1:7">
      <c r="A1733" t="s">
        <v>7388</v>
      </c>
      <c r="B1733" t="s">
        <v>9120</v>
      </c>
      <c r="C1733" s="1" t="e">
        <f>VLOOKUP(Tabla_Items_Activos[[#This Row],[CODIGO]],Tabla_Items_Completos[[CODIGO]:[LINEA]],2,0)</f>
        <v>#N/A</v>
      </c>
      <c r="D1733" s="1" t="e">
        <f>VLOOKUP(Tabla_Items_Activos[[#This Row],[CODIGO]],Tabla_Items_Completos[[CODIGO]:[LINEA]],3,0)</f>
        <v>#N/A</v>
      </c>
      <c r="E1733" s="1" t="e">
        <f>VLOOKUP(Tabla_Items_Activos[[#This Row],[CODIGO]],Tabla_Items_Completos[[CODIGO]:[LINEA]],4,0)</f>
        <v>#N/A</v>
      </c>
      <c r="F1733">
        <v>166</v>
      </c>
      <c r="G1733">
        <v>29</v>
      </c>
    </row>
    <row r="1734" spans="1:7">
      <c r="A1734" t="s">
        <v>7388</v>
      </c>
      <c r="B1734" t="s">
        <v>9121</v>
      </c>
      <c r="C1734" s="1" t="e">
        <f>VLOOKUP(Tabla_Items_Activos[[#This Row],[CODIGO]],Tabla_Items_Completos[[CODIGO]:[LINEA]],2,0)</f>
        <v>#N/A</v>
      </c>
      <c r="D1734" s="1" t="e">
        <f>VLOOKUP(Tabla_Items_Activos[[#This Row],[CODIGO]],Tabla_Items_Completos[[CODIGO]:[LINEA]],3,0)</f>
        <v>#N/A</v>
      </c>
      <c r="E1734" s="1" t="e">
        <f>VLOOKUP(Tabla_Items_Activos[[#This Row],[CODIGO]],Tabla_Items_Completos[[CODIGO]:[LINEA]],4,0)</f>
        <v>#N/A</v>
      </c>
      <c r="F1734">
        <v>216</v>
      </c>
      <c r="G1734">
        <v>301</v>
      </c>
    </row>
    <row r="1735" spans="1:7">
      <c r="A1735" t="s">
        <v>7388</v>
      </c>
      <c r="B1735" t="s">
        <v>9122</v>
      </c>
      <c r="C1735" s="1" t="e">
        <f>VLOOKUP(Tabla_Items_Activos[[#This Row],[CODIGO]],Tabla_Items_Completos[[CODIGO]:[LINEA]],2,0)</f>
        <v>#N/A</v>
      </c>
      <c r="D1735" s="1" t="e">
        <f>VLOOKUP(Tabla_Items_Activos[[#This Row],[CODIGO]],Tabla_Items_Completos[[CODIGO]:[LINEA]],3,0)</f>
        <v>#N/A</v>
      </c>
      <c r="E1735" s="1" t="e">
        <f>VLOOKUP(Tabla_Items_Activos[[#This Row],[CODIGO]],Tabla_Items_Completos[[CODIGO]:[LINEA]],4,0)</f>
        <v>#N/A</v>
      </c>
      <c r="F1735">
        <v>128</v>
      </c>
      <c r="G1735">
        <v>17</v>
      </c>
    </row>
    <row r="1736" spans="1:7">
      <c r="A1736" t="s">
        <v>7388</v>
      </c>
      <c r="B1736" t="s">
        <v>9123</v>
      </c>
      <c r="C1736" s="1" t="e">
        <f>VLOOKUP(Tabla_Items_Activos[[#This Row],[CODIGO]],Tabla_Items_Completos[[CODIGO]:[LINEA]],2,0)</f>
        <v>#N/A</v>
      </c>
      <c r="D1736" s="1" t="e">
        <f>VLOOKUP(Tabla_Items_Activos[[#This Row],[CODIGO]],Tabla_Items_Completos[[CODIGO]:[LINEA]],3,0)</f>
        <v>#N/A</v>
      </c>
      <c r="E1736" s="1" t="e">
        <f>VLOOKUP(Tabla_Items_Activos[[#This Row],[CODIGO]],Tabla_Items_Completos[[CODIGO]:[LINEA]],4,0)</f>
        <v>#N/A</v>
      </c>
      <c r="F1736">
        <v>595</v>
      </c>
      <c r="G1736">
        <v>657</v>
      </c>
    </row>
    <row r="1737" spans="1:7">
      <c r="A1737" t="s">
        <v>7388</v>
      </c>
      <c r="B1737" t="s">
        <v>9124</v>
      </c>
      <c r="C1737" s="1" t="e">
        <f>VLOOKUP(Tabla_Items_Activos[[#This Row],[CODIGO]],Tabla_Items_Completos[[CODIGO]:[LINEA]],2,0)</f>
        <v>#N/A</v>
      </c>
      <c r="D1737" s="1" t="e">
        <f>VLOOKUP(Tabla_Items_Activos[[#This Row],[CODIGO]],Tabla_Items_Completos[[CODIGO]:[LINEA]],3,0)</f>
        <v>#N/A</v>
      </c>
      <c r="E1737" s="1" t="e">
        <f>VLOOKUP(Tabla_Items_Activos[[#This Row],[CODIGO]],Tabla_Items_Completos[[CODIGO]:[LINEA]],4,0)</f>
        <v>#N/A</v>
      </c>
      <c r="F1737">
        <v>138</v>
      </c>
      <c r="G1737">
        <v>180</v>
      </c>
    </row>
    <row r="1738" spans="1:7">
      <c r="A1738" t="s">
        <v>7388</v>
      </c>
      <c r="B1738" t="s">
        <v>9125</v>
      </c>
      <c r="C1738" s="1" t="e">
        <f>VLOOKUP(Tabla_Items_Activos[[#This Row],[CODIGO]],Tabla_Items_Completos[[CODIGO]:[LINEA]],2,0)</f>
        <v>#N/A</v>
      </c>
      <c r="D1738" s="1" t="e">
        <f>VLOOKUP(Tabla_Items_Activos[[#This Row],[CODIGO]],Tabla_Items_Completos[[CODIGO]:[LINEA]],3,0)</f>
        <v>#N/A</v>
      </c>
      <c r="E1738" s="1" t="e">
        <f>VLOOKUP(Tabla_Items_Activos[[#This Row],[CODIGO]],Tabla_Items_Completos[[CODIGO]:[LINEA]],4,0)</f>
        <v>#N/A</v>
      </c>
      <c r="F1738">
        <v>76</v>
      </c>
      <c r="G1738">
        <v>116</v>
      </c>
    </row>
    <row r="1739" spans="1:7">
      <c r="A1739" t="s">
        <v>7388</v>
      </c>
      <c r="B1739" t="s">
        <v>9126</v>
      </c>
      <c r="C1739" s="1" t="e">
        <f>VLOOKUP(Tabla_Items_Activos[[#This Row],[CODIGO]],Tabla_Items_Completos[[CODIGO]:[LINEA]],2,0)</f>
        <v>#N/A</v>
      </c>
      <c r="D1739" s="1" t="e">
        <f>VLOOKUP(Tabla_Items_Activos[[#This Row],[CODIGO]],Tabla_Items_Completos[[CODIGO]:[LINEA]],3,0)</f>
        <v>#N/A</v>
      </c>
      <c r="E1739" s="1" t="e">
        <f>VLOOKUP(Tabla_Items_Activos[[#This Row],[CODIGO]],Tabla_Items_Completos[[CODIGO]:[LINEA]],4,0)</f>
        <v>#N/A</v>
      </c>
      <c r="F1739">
        <v>158</v>
      </c>
      <c r="G1739">
        <v>139</v>
      </c>
    </row>
    <row r="1740" spans="1:7">
      <c r="A1740" t="s">
        <v>7388</v>
      </c>
      <c r="B1740" t="s">
        <v>9127</v>
      </c>
      <c r="C1740" s="1" t="e">
        <f>VLOOKUP(Tabla_Items_Activos[[#This Row],[CODIGO]],Tabla_Items_Completos[[CODIGO]:[LINEA]],2,0)</f>
        <v>#N/A</v>
      </c>
      <c r="D1740" s="1" t="e">
        <f>VLOOKUP(Tabla_Items_Activos[[#This Row],[CODIGO]],Tabla_Items_Completos[[CODIGO]:[LINEA]],3,0)</f>
        <v>#N/A</v>
      </c>
      <c r="E1740" s="1" t="e">
        <f>VLOOKUP(Tabla_Items_Activos[[#This Row],[CODIGO]],Tabla_Items_Completos[[CODIGO]:[LINEA]],4,0)</f>
        <v>#N/A</v>
      </c>
      <c r="F1740">
        <v>987</v>
      </c>
      <c r="G1740">
        <v>120</v>
      </c>
    </row>
    <row r="1741" spans="1:7">
      <c r="A1741" t="s">
        <v>7388</v>
      </c>
      <c r="B1741" t="s">
        <v>9128</v>
      </c>
      <c r="C1741" s="1" t="e">
        <f>VLOOKUP(Tabla_Items_Activos[[#This Row],[CODIGO]],Tabla_Items_Completos[[CODIGO]:[LINEA]],2,0)</f>
        <v>#N/A</v>
      </c>
      <c r="D1741" s="1" t="e">
        <f>VLOOKUP(Tabla_Items_Activos[[#This Row],[CODIGO]],Tabla_Items_Completos[[CODIGO]:[LINEA]],3,0)</f>
        <v>#N/A</v>
      </c>
      <c r="E1741" s="1" t="e">
        <f>VLOOKUP(Tabla_Items_Activos[[#This Row],[CODIGO]],Tabla_Items_Completos[[CODIGO]:[LINEA]],4,0)</f>
        <v>#N/A</v>
      </c>
      <c r="F1741">
        <v>705</v>
      </c>
      <c r="G1741">
        <v>0</v>
      </c>
    </row>
    <row r="1742" spans="1:7">
      <c r="A1742" t="s">
        <v>7388</v>
      </c>
      <c r="B1742" t="s">
        <v>9129</v>
      </c>
      <c r="C1742" s="1" t="e">
        <f>VLOOKUP(Tabla_Items_Activos[[#This Row],[CODIGO]],Tabla_Items_Completos[[CODIGO]:[LINEA]],2,0)</f>
        <v>#N/A</v>
      </c>
      <c r="D1742" s="1" t="e">
        <f>VLOOKUP(Tabla_Items_Activos[[#This Row],[CODIGO]],Tabla_Items_Completos[[CODIGO]:[LINEA]],3,0)</f>
        <v>#N/A</v>
      </c>
      <c r="E1742" s="1" t="e">
        <f>VLOOKUP(Tabla_Items_Activos[[#This Row],[CODIGO]],Tabla_Items_Completos[[CODIGO]:[LINEA]],4,0)</f>
        <v>#N/A</v>
      </c>
      <c r="F1742">
        <v>420</v>
      </c>
      <c r="G1742">
        <v>149</v>
      </c>
    </row>
    <row r="1743" spans="1:7">
      <c r="A1743" t="s">
        <v>7388</v>
      </c>
      <c r="B1743" t="s">
        <v>9130</v>
      </c>
      <c r="C1743" s="1" t="e">
        <f>VLOOKUP(Tabla_Items_Activos[[#This Row],[CODIGO]],Tabla_Items_Completos[[CODIGO]:[LINEA]],2,0)</f>
        <v>#N/A</v>
      </c>
      <c r="D1743" s="1" t="e">
        <f>VLOOKUP(Tabla_Items_Activos[[#This Row],[CODIGO]],Tabla_Items_Completos[[CODIGO]:[LINEA]],3,0)</f>
        <v>#N/A</v>
      </c>
      <c r="E1743" s="1" t="e">
        <f>VLOOKUP(Tabla_Items_Activos[[#This Row],[CODIGO]],Tabla_Items_Completos[[CODIGO]:[LINEA]],4,0)</f>
        <v>#N/A</v>
      </c>
      <c r="F1743">
        <v>426</v>
      </c>
      <c r="G1743">
        <v>69</v>
      </c>
    </row>
    <row r="1744" spans="1:7">
      <c r="A1744" t="s">
        <v>7388</v>
      </c>
      <c r="B1744" t="s">
        <v>9131</v>
      </c>
      <c r="C1744" s="1" t="e">
        <f>VLOOKUP(Tabla_Items_Activos[[#This Row],[CODIGO]],Tabla_Items_Completos[[CODIGO]:[LINEA]],2,0)</f>
        <v>#N/A</v>
      </c>
      <c r="D1744" s="1" t="e">
        <f>VLOOKUP(Tabla_Items_Activos[[#This Row],[CODIGO]],Tabla_Items_Completos[[CODIGO]:[LINEA]],3,0)</f>
        <v>#N/A</v>
      </c>
      <c r="E1744" s="1" t="e">
        <f>VLOOKUP(Tabla_Items_Activos[[#This Row],[CODIGO]],Tabla_Items_Completos[[CODIGO]:[LINEA]],4,0)</f>
        <v>#N/A</v>
      </c>
      <c r="F1744">
        <v>2396</v>
      </c>
      <c r="G1744">
        <v>0</v>
      </c>
    </row>
    <row r="1745" spans="1:7">
      <c r="A1745" t="s">
        <v>7388</v>
      </c>
      <c r="B1745" t="s">
        <v>9132</v>
      </c>
      <c r="C1745" s="1" t="e">
        <f>VLOOKUP(Tabla_Items_Activos[[#This Row],[CODIGO]],Tabla_Items_Completos[[CODIGO]:[LINEA]],2,0)</f>
        <v>#N/A</v>
      </c>
      <c r="D1745" s="1" t="e">
        <f>VLOOKUP(Tabla_Items_Activos[[#This Row],[CODIGO]],Tabla_Items_Completos[[CODIGO]:[LINEA]],3,0)</f>
        <v>#N/A</v>
      </c>
      <c r="E1745" s="1" t="e">
        <f>VLOOKUP(Tabla_Items_Activos[[#This Row],[CODIGO]],Tabla_Items_Completos[[CODIGO]:[LINEA]],4,0)</f>
        <v>#N/A</v>
      </c>
      <c r="F1745">
        <v>48</v>
      </c>
      <c r="G1745">
        <v>111</v>
      </c>
    </row>
    <row r="1746" spans="1:7">
      <c r="A1746" t="s">
        <v>7388</v>
      </c>
      <c r="B1746" t="s">
        <v>9133</v>
      </c>
      <c r="C1746" s="1" t="e">
        <f>VLOOKUP(Tabla_Items_Activos[[#This Row],[CODIGO]],Tabla_Items_Completos[[CODIGO]:[LINEA]],2,0)</f>
        <v>#N/A</v>
      </c>
      <c r="D1746" s="1" t="e">
        <f>VLOOKUP(Tabla_Items_Activos[[#This Row],[CODIGO]],Tabla_Items_Completos[[CODIGO]:[LINEA]],3,0)</f>
        <v>#N/A</v>
      </c>
      <c r="E1746" s="1" t="e">
        <f>VLOOKUP(Tabla_Items_Activos[[#This Row],[CODIGO]],Tabla_Items_Completos[[CODIGO]:[LINEA]],4,0)</f>
        <v>#N/A</v>
      </c>
      <c r="F1746">
        <v>1100</v>
      </c>
      <c r="G1746">
        <v>0</v>
      </c>
    </row>
    <row r="1747" spans="1:7">
      <c r="A1747" t="s">
        <v>7388</v>
      </c>
      <c r="B1747" t="s">
        <v>9134</v>
      </c>
      <c r="C1747" s="1" t="e">
        <f>VLOOKUP(Tabla_Items_Activos[[#This Row],[CODIGO]],Tabla_Items_Completos[[CODIGO]:[LINEA]],2,0)</f>
        <v>#N/A</v>
      </c>
      <c r="D1747" s="1" t="e">
        <f>VLOOKUP(Tabla_Items_Activos[[#This Row],[CODIGO]],Tabla_Items_Completos[[CODIGO]:[LINEA]],3,0)</f>
        <v>#N/A</v>
      </c>
      <c r="E1747" s="1" t="e">
        <f>VLOOKUP(Tabla_Items_Activos[[#This Row],[CODIGO]],Tabla_Items_Completos[[CODIGO]:[LINEA]],4,0)</f>
        <v>#N/A</v>
      </c>
      <c r="F1747">
        <v>261</v>
      </c>
      <c r="G1747">
        <v>0</v>
      </c>
    </row>
    <row r="1748" spans="1:7">
      <c r="A1748" t="s">
        <v>7388</v>
      </c>
      <c r="B1748" t="s">
        <v>9135</v>
      </c>
      <c r="C1748" s="1" t="e">
        <f>VLOOKUP(Tabla_Items_Activos[[#This Row],[CODIGO]],Tabla_Items_Completos[[CODIGO]:[LINEA]],2,0)</f>
        <v>#N/A</v>
      </c>
      <c r="D1748" s="1" t="e">
        <f>VLOOKUP(Tabla_Items_Activos[[#This Row],[CODIGO]],Tabla_Items_Completos[[CODIGO]:[LINEA]],3,0)</f>
        <v>#N/A</v>
      </c>
      <c r="E1748" s="1" t="e">
        <f>VLOOKUP(Tabla_Items_Activos[[#This Row],[CODIGO]],Tabla_Items_Completos[[CODIGO]:[LINEA]],4,0)</f>
        <v>#N/A</v>
      </c>
      <c r="F1748">
        <v>4</v>
      </c>
      <c r="G1748">
        <v>0</v>
      </c>
    </row>
    <row r="1749" spans="1:7">
      <c r="A1749" t="s">
        <v>7388</v>
      </c>
      <c r="B1749" t="s">
        <v>9136</v>
      </c>
      <c r="C1749" s="1" t="e">
        <f>VLOOKUP(Tabla_Items_Activos[[#This Row],[CODIGO]],Tabla_Items_Completos[[CODIGO]:[LINEA]],2,0)</f>
        <v>#N/A</v>
      </c>
      <c r="D1749" s="1" t="e">
        <f>VLOOKUP(Tabla_Items_Activos[[#This Row],[CODIGO]],Tabla_Items_Completos[[CODIGO]:[LINEA]],3,0)</f>
        <v>#N/A</v>
      </c>
      <c r="E1749" s="1" t="e">
        <f>VLOOKUP(Tabla_Items_Activos[[#This Row],[CODIGO]],Tabla_Items_Completos[[CODIGO]:[LINEA]],4,0)</f>
        <v>#N/A</v>
      </c>
      <c r="F1749">
        <v>972</v>
      </c>
      <c r="G1749">
        <v>0</v>
      </c>
    </row>
    <row r="1750" spans="1:7">
      <c r="A1750" t="s">
        <v>7388</v>
      </c>
      <c r="B1750" t="s">
        <v>9137</v>
      </c>
      <c r="C1750" s="1" t="e">
        <f>VLOOKUP(Tabla_Items_Activos[[#This Row],[CODIGO]],Tabla_Items_Completos[[CODIGO]:[LINEA]],2,0)</f>
        <v>#N/A</v>
      </c>
      <c r="D1750" s="1" t="e">
        <f>VLOOKUP(Tabla_Items_Activos[[#This Row],[CODIGO]],Tabla_Items_Completos[[CODIGO]:[LINEA]],3,0)</f>
        <v>#N/A</v>
      </c>
      <c r="E1750" s="1" t="e">
        <f>VLOOKUP(Tabla_Items_Activos[[#This Row],[CODIGO]],Tabla_Items_Completos[[CODIGO]:[LINEA]],4,0)</f>
        <v>#N/A</v>
      </c>
      <c r="F1750">
        <v>1631</v>
      </c>
      <c r="G1750">
        <v>0</v>
      </c>
    </row>
    <row r="1751" spans="1:7">
      <c r="A1751" t="s">
        <v>7388</v>
      </c>
      <c r="B1751" t="s">
        <v>9138</v>
      </c>
      <c r="C1751" s="1" t="e">
        <f>VLOOKUP(Tabla_Items_Activos[[#This Row],[CODIGO]],Tabla_Items_Completos[[CODIGO]:[LINEA]],2,0)</f>
        <v>#N/A</v>
      </c>
      <c r="D1751" s="1" t="e">
        <f>VLOOKUP(Tabla_Items_Activos[[#This Row],[CODIGO]],Tabla_Items_Completos[[CODIGO]:[LINEA]],3,0)</f>
        <v>#N/A</v>
      </c>
      <c r="E1751" s="1" t="e">
        <f>VLOOKUP(Tabla_Items_Activos[[#This Row],[CODIGO]],Tabla_Items_Completos[[CODIGO]:[LINEA]],4,0)</f>
        <v>#N/A</v>
      </c>
      <c r="F1751">
        <v>1077</v>
      </c>
      <c r="G1751">
        <v>264</v>
      </c>
    </row>
    <row r="1752" spans="1:7">
      <c r="A1752" t="s">
        <v>7388</v>
      </c>
      <c r="B1752" t="s">
        <v>9139</v>
      </c>
      <c r="C1752" s="1" t="e">
        <f>VLOOKUP(Tabla_Items_Activos[[#This Row],[CODIGO]],Tabla_Items_Completos[[CODIGO]:[LINEA]],2,0)</f>
        <v>#N/A</v>
      </c>
      <c r="D1752" s="1" t="e">
        <f>VLOOKUP(Tabla_Items_Activos[[#This Row],[CODIGO]],Tabla_Items_Completos[[CODIGO]:[LINEA]],3,0)</f>
        <v>#N/A</v>
      </c>
      <c r="E1752" s="1" t="e">
        <f>VLOOKUP(Tabla_Items_Activos[[#This Row],[CODIGO]],Tabla_Items_Completos[[CODIGO]:[LINEA]],4,0)</f>
        <v>#N/A</v>
      </c>
      <c r="F1752">
        <v>1180</v>
      </c>
      <c r="G1752">
        <v>0</v>
      </c>
    </row>
    <row r="1753" spans="1:7">
      <c r="A1753" t="s">
        <v>7388</v>
      </c>
      <c r="B1753" t="s">
        <v>9140</v>
      </c>
      <c r="C1753" s="1" t="e">
        <f>VLOOKUP(Tabla_Items_Activos[[#This Row],[CODIGO]],Tabla_Items_Completos[[CODIGO]:[LINEA]],2,0)</f>
        <v>#N/A</v>
      </c>
      <c r="D1753" s="1" t="e">
        <f>VLOOKUP(Tabla_Items_Activos[[#This Row],[CODIGO]],Tabla_Items_Completos[[CODIGO]:[LINEA]],3,0)</f>
        <v>#N/A</v>
      </c>
      <c r="E1753" s="1" t="e">
        <f>VLOOKUP(Tabla_Items_Activos[[#This Row],[CODIGO]],Tabla_Items_Completos[[CODIGO]:[LINEA]],4,0)</f>
        <v>#N/A</v>
      </c>
      <c r="F1753">
        <v>106</v>
      </c>
      <c r="G1753">
        <v>233</v>
      </c>
    </row>
    <row r="1754" spans="1:7">
      <c r="A1754" t="s">
        <v>7388</v>
      </c>
      <c r="B1754" t="s">
        <v>9141</v>
      </c>
      <c r="C1754" s="1" t="e">
        <f>VLOOKUP(Tabla_Items_Activos[[#This Row],[CODIGO]],Tabla_Items_Completos[[CODIGO]:[LINEA]],2,0)</f>
        <v>#N/A</v>
      </c>
      <c r="D1754" s="1" t="e">
        <f>VLOOKUP(Tabla_Items_Activos[[#This Row],[CODIGO]],Tabla_Items_Completos[[CODIGO]:[LINEA]],3,0)</f>
        <v>#N/A</v>
      </c>
      <c r="E1754" s="1" t="e">
        <f>VLOOKUP(Tabla_Items_Activos[[#This Row],[CODIGO]],Tabla_Items_Completos[[CODIGO]:[LINEA]],4,0)</f>
        <v>#N/A</v>
      </c>
      <c r="F1754">
        <v>3196</v>
      </c>
      <c r="G1754">
        <v>1122</v>
      </c>
    </row>
    <row r="1755" spans="1:7">
      <c r="A1755" t="s">
        <v>7388</v>
      </c>
      <c r="B1755" t="s">
        <v>9142</v>
      </c>
      <c r="C1755" s="1" t="e">
        <f>VLOOKUP(Tabla_Items_Activos[[#This Row],[CODIGO]],Tabla_Items_Completos[[CODIGO]:[LINEA]],2,0)</f>
        <v>#N/A</v>
      </c>
      <c r="D1755" s="1" t="e">
        <f>VLOOKUP(Tabla_Items_Activos[[#This Row],[CODIGO]],Tabla_Items_Completos[[CODIGO]:[LINEA]],3,0)</f>
        <v>#N/A</v>
      </c>
      <c r="E1755" s="1" t="e">
        <f>VLOOKUP(Tabla_Items_Activos[[#This Row],[CODIGO]],Tabla_Items_Completos[[CODIGO]:[LINEA]],4,0)</f>
        <v>#N/A</v>
      </c>
      <c r="F1755">
        <v>1457</v>
      </c>
      <c r="G1755">
        <v>342</v>
      </c>
    </row>
    <row r="1756" spans="1:7">
      <c r="A1756" t="s">
        <v>7388</v>
      </c>
      <c r="B1756" t="s">
        <v>9143</v>
      </c>
      <c r="C1756" s="1" t="e">
        <f>VLOOKUP(Tabla_Items_Activos[[#This Row],[CODIGO]],Tabla_Items_Completos[[CODIGO]:[LINEA]],2,0)</f>
        <v>#N/A</v>
      </c>
      <c r="D1756" s="1" t="e">
        <f>VLOOKUP(Tabla_Items_Activos[[#This Row],[CODIGO]],Tabla_Items_Completos[[CODIGO]:[LINEA]],3,0)</f>
        <v>#N/A</v>
      </c>
      <c r="E1756" s="1" t="e">
        <f>VLOOKUP(Tabla_Items_Activos[[#This Row],[CODIGO]],Tabla_Items_Completos[[CODIGO]:[LINEA]],4,0)</f>
        <v>#N/A</v>
      </c>
      <c r="F1756">
        <v>2285</v>
      </c>
      <c r="G1756">
        <v>0</v>
      </c>
    </row>
    <row r="1757" spans="1:7">
      <c r="A1757" t="s">
        <v>7388</v>
      </c>
      <c r="B1757" t="s">
        <v>9144</v>
      </c>
      <c r="C1757" s="1" t="e">
        <f>VLOOKUP(Tabla_Items_Activos[[#This Row],[CODIGO]],Tabla_Items_Completos[[CODIGO]:[LINEA]],2,0)</f>
        <v>#N/A</v>
      </c>
      <c r="D1757" s="1" t="e">
        <f>VLOOKUP(Tabla_Items_Activos[[#This Row],[CODIGO]],Tabla_Items_Completos[[CODIGO]:[LINEA]],3,0)</f>
        <v>#N/A</v>
      </c>
      <c r="E1757" s="1" t="e">
        <f>VLOOKUP(Tabla_Items_Activos[[#This Row],[CODIGO]],Tabla_Items_Completos[[CODIGO]:[LINEA]],4,0)</f>
        <v>#N/A</v>
      </c>
      <c r="F1757">
        <v>1205</v>
      </c>
      <c r="G1757">
        <v>275</v>
      </c>
    </row>
    <row r="1758" spans="1:7">
      <c r="A1758" t="s">
        <v>7388</v>
      </c>
      <c r="B1758" t="s">
        <v>9145</v>
      </c>
      <c r="C1758" s="1" t="e">
        <f>VLOOKUP(Tabla_Items_Activos[[#This Row],[CODIGO]],Tabla_Items_Completos[[CODIGO]:[LINEA]],2,0)</f>
        <v>#N/A</v>
      </c>
      <c r="D1758" s="1" t="e">
        <f>VLOOKUP(Tabla_Items_Activos[[#This Row],[CODIGO]],Tabla_Items_Completos[[CODIGO]:[LINEA]],3,0)</f>
        <v>#N/A</v>
      </c>
      <c r="E1758" s="1" t="e">
        <f>VLOOKUP(Tabla_Items_Activos[[#This Row],[CODIGO]],Tabla_Items_Completos[[CODIGO]:[LINEA]],4,0)</f>
        <v>#N/A</v>
      </c>
      <c r="F1758">
        <v>1576</v>
      </c>
      <c r="G1758">
        <v>0</v>
      </c>
    </row>
    <row r="1759" spans="1:7">
      <c r="A1759" t="s">
        <v>7388</v>
      </c>
      <c r="B1759" t="s">
        <v>9146</v>
      </c>
      <c r="C1759" s="1" t="e">
        <f>VLOOKUP(Tabla_Items_Activos[[#This Row],[CODIGO]],Tabla_Items_Completos[[CODIGO]:[LINEA]],2,0)</f>
        <v>#N/A</v>
      </c>
      <c r="D1759" s="1" t="e">
        <f>VLOOKUP(Tabla_Items_Activos[[#This Row],[CODIGO]],Tabla_Items_Completos[[CODIGO]:[LINEA]],3,0)</f>
        <v>#N/A</v>
      </c>
      <c r="E1759" s="1" t="e">
        <f>VLOOKUP(Tabla_Items_Activos[[#This Row],[CODIGO]],Tabla_Items_Completos[[CODIGO]:[LINEA]],4,0)</f>
        <v>#N/A</v>
      </c>
      <c r="F1759">
        <v>390</v>
      </c>
      <c r="G1759">
        <v>0</v>
      </c>
    </row>
    <row r="1760" spans="1:7">
      <c r="A1760" t="s">
        <v>7388</v>
      </c>
      <c r="B1760" t="s">
        <v>9147</v>
      </c>
      <c r="C1760" s="1" t="e">
        <f>VLOOKUP(Tabla_Items_Activos[[#This Row],[CODIGO]],Tabla_Items_Completos[[CODIGO]:[LINEA]],2,0)</f>
        <v>#N/A</v>
      </c>
      <c r="D1760" s="1" t="e">
        <f>VLOOKUP(Tabla_Items_Activos[[#This Row],[CODIGO]],Tabla_Items_Completos[[CODIGO]:[LINEA]],3,0)</f>
        <v>#N/A</v>
      </c>
      <c r="E1760" s="1" t="e">
        <f>VLOOKUP(Tabla_Items_Activos[[#This Row],[CODIGO]],Tabla_Items_Completos[[CODIGO]:[LINEA]],4,0)</f>
        <v>#N/A</v>
      </c>
      <c r="F1760">
        <v>334</v>
      </c>
      <c r="G1760">
        <v>46</v>
      </c>
    </row>
    <row r="1761" spans="1:7">
      <c r="A1761" t="s">
        <v>7388</v>
      </c>
      <c r="B1761" t="s">
        <v>9148</v>
      </c>
      <c r="C1761" s="1" t="e">
        <f>VLOOKUP(Tabla_Items_Activos[[#This Row],[CODIGO]],Tabla_Items_Completos[[CODIGO]:[LINEA]],2,0)</f>
        <v>#N/A</v>
      </c>
      <c r="D1761" s="1" t="e">
        <f>VLOOKUP(Tabla_Items_Activos[[#This Row],[CODIGO]],Tabla_Items_Completos[[CODIGO]:[LINEA]],3,0)</f>
        <v>#N/A</v>
      </c>
      <c r="E1761" s="1" t="e">
        <f>VLOOKUP(Tabla_Items_Activos[[#This Row],[CODIGO]],Tabla_Items_Completos[[CODIGO]:[LINEA]],4,0)</f>
        <v>#N/A</v>
      </c>
      <c r="F1761">
        <v>72</v>
      </c>
      <c r="G1761">
        <v>61</v>
      </c>
    </row>
    <row r="1762" spans="1:7">
      <c r="A1762" t="s">
        <v>7388</v>
      </c>
      <c r="B1762" t="s">
        <v>9149</v>
      </c>
      <c r="C1762" s="1" t="e">
        <f>VLOOKUP(Tabla_Items_Activos[[#This Row],[CODIGO]],Tabla_Items_Completos[[CODIGO]:[LINEA]],2,0)</f>
        <v>#N/A</v>
      </c>
      <c r="D1762" s="1" t="e">
        <f>VLOOKUP(Tabla_Items_Activos[[#This Row],[CODIGO]],Tabla_Items_Completos[[CODIGO]:[LINEA]],3,0)</f>
        <v>#N/A</v>
      </c>
      <c r="E1762" s="1" t="e">
        <f>VLOOKUP(Tabla_Items_Activos[[#This Row],[CODIGO]],Tabla_Items_Completos[[CODIGO]:[LINEA]],4,0)</f>
        <v>#N/A</v>
      </c>
      <c r="F1762">
        <v>20</v>
      </c>
      <c r="G1762">
        <v>0</v>
      </c>
    </row>
    <row r="1763" spans="1:7">
      <c r="A1763" t="s">
        <v>7388</v>
      </c>
      <c r="B1763" t="s">
        <v>9150</v>
      </c>
      <c r="C1763" s="1" t="e">
        <f>VLOOKUP(Tabla_Items_Activos[[#This Row],[CODIGO]],Tabla_Items_Completos[[CODIGO]:[LINEA]],2,0)</f>
        <v>#N/A</v>
      </c>
      <c r="D1763" s="1" t="e">
        <f>VLOOKUP(Tabla_Items_Activos[[#This Row],[CODIGO]],Tabla_Items_Completos[[CODIGO]:[LINEA]],3,0)</f>
        <v>#N/A</v>
      </c>
      <c r="E1763" s="1" t="e">
        <f>VLOOKUP(Tabla_Items_Activos[[#This Row],[CODIGO]],Tabla_Items_Completos[[CODIGO]:[LINEA]],4,0)</f>
        <v>#N/A</v>
      </c>
      <c r="F1763">
        <v>28</v>
      </c>
      <c r="G1763">
        <v>0</v>
      </c>
    </row>
    <row r="1764" spans="1:7">
      <c r="A1764" t="s">
        <v>7388</v>
      </c>
      <c r="B1764" t="s">
        <v>9151</v>
      </c>
      <c r="C1764" s="1" t="e">
        <f>VLOOKUP(Tabla_Items_Activos[[#This Row],[CODIGO]],Tabla_Items_Completos[[CODIGO]:[LINEA]],2,0)</f>
        <v>#N/A</v>
      </c>
      <c r="D1764" s="1" t="e">
        <f>VLOOKUP(Tabla_Items_Activos[[#This Row],[CODIGO]],Tabla_Items_Completos[[CODIGO]:[LINEA]],3,0)</f>
        <v>#N/A</v>
      </c>
      <c r="E1764" s="1" t="e">
        <f>VLOOKUP(Tabla_Items_Activos[[#This Row],[CODIGO]],Tabla_Items_Completos[[CODIGO]:[LINEA]],4,0)</f>
        <v>#N/A</v>
      </c>
      <c r="F1764">
        <v>15</v>
      </c>
      <c r="G1764">
        <v>0</v>
      </c>
    </row>
    <row r="1765" spans="1:7">
      <c r="A1765" t="s">
        <v>7388</v>
      </c>
      <c r="B1765" t="s">
        <v>9152</v>
      </c>
      <c r="C1765" s="1" t="e">
        <f>VLOOKUP(Tabla_Items_Activos[[#This Row],[CODIGO]],Tabla_Items_Completos[[CODIGO]:[LINEA]],2,0)</f>
        <v>#N/A</v>
      </c>
      <c r="D1765" s="1" t="e">
        <f>VLOOKUP(Tabla_Items_Activos[[#This Row],[CODIGO]],Tabla_Items_Completos[[CODIGO]:[LINEA]],3,0)</f>
        <v>#N/A</v>
      </c>
      <c r="E1765" s="1" t="e">
        <f>VLOOKUP(Tabla_Items_Activos[[#This Row],[CODIGO]],Tabla_Items_Completos[[CODIGO]:[LINEA]],4,0)</f>
        <v>#N/A</v>
      </c>
      <c r="F1765">
        <v>17</v>
      </c>
      <c r="G1765">
        <v>0</v>
      </c>
    </row>
    <row r="1766" spans="1:7">
      <c r="A1766" t="s">
        <v>7388</v>
      </c>
      <c r="B1766" t="s">
        <v>9153</v>
      </c>
      <c r="C1766" s="1" t="e">
        <f>VLOOKUP(Tabla_Items_Activos[[#This Row],[CODIGO]],Tabla_Items_Completos[[CODIGO]:[LINEA]],2,0)</f>
        <v>#N/A</v>
      </c>
      <c r="D1766" s="1" t="e">
        <f>VLOOKUP(Tabla_Items_Activos[[#This Row],[CODIGO]],Tabla_Items_Completos[[CODIGO]:[LINEA]],3,0)</f>
        <v>#N/A</v>
      </c>
      <c r="E1766" s="1" t="e">
        <f>VLOOKUP(Tabla_Items_Activos[[#This Row],[CODIGO]],Tabla_Items_Completos[[CODIGO]:[LINEA]],4,0)</f>
        <v>#N/A</v>
      </c>
      <c r="F1766">
        <v>3</v>
      </c>
      <c r="G1766">
        <v>20</v>
      </c>
    </row>
    <row r="1767" spans="1:7">
      <c r="A1767" t="s">
        <v>7388</v>
      </c>
      <c r="B1767" t="s">
        <v>9154</v>
      </c>
      <c r="C1767" s="1" t="e">
        <f>VLOOKUP(Tabla_Items_Activos[[#This Row],[CODIGO]],Tabla_Items_Completos[[CODIGO]:[LINEA]],2,0)</f>
        <v>#N/A</v>
      </c>
      <c r="D1767" s="1" t="e">
        <f>VLOOKUP(Tabla_Items_Activos[[#This Row],[CODIGO]],Tabla_Items_Completos[[CODIGO]:[LINEA]],3,0)</f>
        <v>#N/A</v>
      </c>
      <c r="E1767" s="1" t="e">
        <f>VLOOKUP(Tabla_Items_Activos[[#This Row],[CODIGO]],Tabla_Items_Completos[[CODIGO]:[LINEA]],4,0)</f>
        <v>#N/A</v>
      </c>
      <c r="F1767">
        <v>364</v>
      </c>
      <c r="G1767">
        <v>0</v>
      </c>
    </row>
    <row r="1768" spans="1:7">
      <c r="A1768" t="s">
        <v>7388</v>
      </c>
      <c r="B1768" t="s">
        <v>9155</v>
      </c>
      <c r="C1768" s="1" t="e">
        <f>VLOOKUP(Tabla_Items_Activos[[#This Row],[CODIGO]],Tabla_Items_Completos[[CODIGO]:[LINEA]],2,0)</f>
        <v>#N/A</v>
      </c>
      <c r="D1768" s="1" t="e">
        <f>VLOOKUP(Tabla_Items_Activos[[#This Row],[CODIGO]],Tabla_Items_Completos[[CODIGO]:[LINEA]],3,0)</f>
        <v>#N/A</v>
      </c>
      <c r="E1768" s="1" t="e">
        <f>VLOOKUP(Tabla_Items_Activos[[#This Row],[CODIGO]],Tabla_Items_Completos[[CODIGO]:[LINEA]],4,0)</f>
        <v>#N/A</v>
      </c>
      <c r="F1768">
        <v>190</v>
      </c>
      <c r="G1768">
        <v>173</v>
      </c>
    </row>
    <row r="1769" spans="1:7">
      <c r="A1769" t="s">
        <v>7388</v>
      </c>
      <c r="B1769" t="s">
        <v>9156</v>
      </c>
      <c r="C1769" s="1" t="e">
        <f>VLOOKUP(Tabla_Items_Activos[[#This Row],[CODIGO]],Tabla_Items_Completos[[CODIGO]:[LINEA]],2,0)</f>
        <v>#N/A</v>
      </c>
      <c r="D1769" s="1" t="e">
        <f>VLOOKUP(Tabla_Items_Activos[[#This Row],[CODIGO]],Tabla_Items_Completos[[CODIGO]:[LINEA]],3,0)</f>
        <v>#N/A</v>
      </c>
      <c r="E1769" s="1" t="e">
        <f>VLOOKUP(Tabla_Items_Activos[[#This Row],[CODIGO]],Tabla_Items_Completos[[CODIGO]:[LINEA]],4,0)</f>
        <v>#N/A</v>
      </c>
      <c r="F1769">
        <v>231</v>
      </c>
      <c r="G1769">
        <v>149</v>
      </c>
    </row>
    <row r="1770" spans="1:7">
      <c r="A1770" t="s">
        <v>7388</v>
      </c>
      <c r="B1770" t="s">
        <v>9157</v>
      </c>
      <c r="C1770" s="1" t="e">
        <f>VLOOKUP(Tabla_Items_Activos[[#This Row],[CODIGO]],Tabla_Items_Completos[[CODIGO]:[LINEA]],2,0)</f>
        <v>#N/A</v>
      </c>
      <c r="D1770" s="1" t="e">
        <f>VLOOKUP(Tabla_Items_Activos[[#This Row],[CODIGO]],Tabla_Items_Completos[[CODIGO]:[LINEA]],3,0)</f>
        <v>#N/A</v>
      </c>
      <c r="E1770" s="1" t="e">
        <f>VLOOKUP(Tabla_Items_Activos[[#This Row],[CODIGO]],Tabla_Items_Completos[[CODIGO]:[LINEA]],4,0)</f>
        <v>#N/A</v>
      </c>
      <c r="F1770">
        <v>369</v>
      </c>
      <c r="G1770">
        <v>362</v>
      </c>
    </row>
    <row r="1771" spans="1:7">
      <c r="A1771" t="s">
        <v>7388</v>
      </c>
      <c r="B1771" t="s">
        <v>9158</v>
      </c>
      <c r="C1771" s="1" t="e">
        <f>VLOOKUP(Tabla_Items_Activos[[#This Row],[CODIGO]],Tabla_Items_Completos[[CODIGO]:[LINEA]],2,0)</f>
        <v>#N/A</v>
      </c>
      <c r="D1771" s="1" t="e">
        <f>VLOOKUP(Tabla_Items_Activos[[#This Row],[CODIGO]],Tabla_Items_Completos[[CODIGO]:[LINEA]],3,0)</f>
        <v>#N/A</v>
      </c>
      <c r="E1771" s="1" t="e">
        <f>VLOOKUP(Tabla_Items_Activos[[#This Row],[CODIGO]],Tabla_Items_Completos[[CODIGO]:[LINEA]],4,0)</f>
        <v>#N/A</v>
      </c>
      <c r="F1771">
        <v>105</v>
      </c>
      <c r="G1771">
        <v>0</v>
      </c>
    </row>
    <row r="1772" spans="1:7">
      <c r="A1772" t="s">
        <v>7388</v>
      </c>
      <c r="B1772" t="s">
        <v>9159</v>
      </c>
      <c r="C1772" s="1" t="e">
        <f>VLOOKUP(Tabla_Items_Activos[[#This Row],[CODIGO]],Tabla_Items_Completos[[CODIGO]:[LINEA]],2,0)</f>
        <v>#N/A</v>
      </c>
      <c r="D1772" s="1" t="e">
        <f>VLOOKUP(Tabla_Items_Activos[[#This Row],[CODIGO]],Tabla_Items_Completos[[CODIGO]:[LINEA]],3,0)</f>
        <v>#N/A</v>
      </c>
      <c r="E1772" s="1" t="e">
        <f>VLOOKUP(Tabla_Items_Activos[[#This Row],[CODIGO]],Tabla_Items_Completos[[CODIGO]:[LINEA]],4,0)</f>
        <v>#N/A</v>
      </c>
      <c r="F1772">
        <v>762</v>
      </c>
      <c r="G1772">
        <v>0</v>
      </c>
    </row>
    <row r="1773" spans="1:7">
      <c r="A1773" t="s">
        <v>7388</v>
      </c>
      <c r="B1773" t="s">
        <v>9160</v>
      </c>
      <c r="C1773" s="1" t="e">
        <f>VLOOKUP(Tabla_Items_Activos[[#This Row],[CODIGO]],Tabla_Items_Completos[[CODIGO]:[LINEA]],2,0)</f>
        <v>#N/A</v>
      </c>
      <c r="D1773" s="1" t="e">
        <f>VLOOKUP(Tabla_Items_Activos[[#This Row],[CODIGO]],Tabla_Items_Completos[[CODIGO]:[LINEA]],3,0)</f>
        <v>#N/A</v>
      </c>
      <c r="E1773" s="1" t="e">
        <f>VLOOKUP(Tabla_Items_Activos[[#This Row],[CODIGO]],Tabla_Items_Completos[[CODIGO]:[LINEA]],4,0)</f>
        <v>#N/A</v>
      </c>
      <c r="F1773">
        <v>96</v>
      </c>
      <c r="G1773">
        <v>439</v>
      </c>
    </row>
    <row r="1774" spans="1:7">
      <c r="A1774" t="s">
        <v>7388</v>
      </c>
      <c r="B1774" t="s">
        <v>9161</v>
      </c>
      <c r="C1774" s="1" t="e">
        <f>VLOOKUP(Tabla_Items_Activos[[#This Row],[CODIGO]],Tabla_Items_Completos[[CODIGO]:[LINEA]],2,0)</f>
        <v>#N/A</v>
      </c>
      <c r="D1774" s="1" t="e">
        <f>VLOOKUP(Tabla_Items_Activos[[#This Row],[CODIGO]],Tabla_Items_Completos[[CODIGO]:[LINEA]],3,0)</f>
        <v>#N/A</v>
      </c>
      <c r="E1774" s="1" t="e">
        <f>VLOOKUP(Tabla_Items_Activos[[#This Row],[CODIGO]],Tabla_Items_Completos[[CODIGO]:[LINEA]],4,0)</f>
        <v>#N/A</v>
      </c>
      <c r="F1774">
        <v>426</v>
      </c>
      <c r="G1774">
        <v>66</v>
      </c>
    </row>
    <row r="1775" spans="1:7">
      <c r="A1775" t="s">
        <v>7388</v>
      </c>
      <c r="B1775" t="s">
        <v>9162</v>
      </c>
      <c r="C1775" s="1" t="e">
        <f>VLOOKUP(Tabla_Items_Activos[[#This Row],[CODIGO]],Tabla_Items_Completos[[CODIGO]:[LINEA]],2,0)</f>
        <v>#N/A</v>
      </c>
      <c r="D1775" s="1" t="e">
        <f>VLOOKUP(Tabla_Items_Activos[[#This Row],[CODIGO]],Tabla_Items_Completos[[CODIGO]:[LINEA]],3,0)</f>
        <v>#N/A</v>
      </c>
      <c r="E1775" s="1" t="e">
        <f>VLOOKUP(Tabla_Items_Activos[[#This Row],[CODIGO]],Tabla_Items_Completos[[CODIGO]:[LINEA]],4,0)</f>
        <v>#N/A</v>
      </c>
      <c r="F1775">
        <v>1028</v>
      </c>
      <c r="G1775">
        <v>0</v>
      </c>
    </row>
    <row r="1776" spans="1:7">
      <c r="A1776" t="s">
        <v>7388</v>
      </c>
      <c r="B1776" t="s">
        <v>9163</v>
      </c>
      <c r="C1776" s="1" t="e">
        <f>VLOOKUP(Tabla_Items_Activos[[#This Row],[CODIGO]],Tabla_Items_Completos[[CODIGO]:[LINEA]],2,0)</f>
        <v>#N/A</v>
      </c>
      <c r="D1776" s="1" t="e">
        <f>VLOOKUP(Tabla_Items_Activos[[#This Row],[CODIGO]],Tabla_Items_Completos[[CODIGO]:[LINEA]],3,0)</f>
        <v>#N/A</v>
      </c>
      <c r="E1776" s="1" t="e">
        <f>VLOOKUP(Tabla_Items_Activos[[#This Row],[CODIGO]],Tabla_Items_Completos[[CODIGO]:[LINEA]],4,0)</f>
        <v>#N/A</v>
      </c>
      <c r="F1776">
        <v>862</v>
      </c>
      <c r="G1776">
        <v>22</v>
      </c>
    </row>
    <row r="1777" spans="1:7">
      <c r="A1777" t="s">
        <v>7388</v>
      </c>
      <c r="B1777" t="s">
        <v>9164</v>
      </c>
      <c r="C1777" s="1" t="e">
        <f>VLOOKUP(Tabla_Items_Activos[[#This Row],[CODIGO]],Tabla_Items_Completos[[CODIGO]:[LINEA]],2,0)</f>
        <v>#N/A</v>
      </c>
      <c r="D1777" s="1" t="e">
        <f>VLOOKUP(Tabla_Items_Activos[[#This Row],[CODIGO]],Tabla_Items_Completos[[CODIGO]:[LINEA]],3,0)</f>
        <v>#N/A</v>
      </c>
      <c r="E1777" s="1" t="e">
        <f>VLOOKUP(Tabla_Items_Activos[[#This Row],[CODIGO]],Tabla_Items_Completos[[CODIGO]:[LINEA]],4,0)</f>
        <v>#N/A</v>
      </c>
      <c r="F1777">
        <v>1103</v>
      </c>
      <c r="G1777">
        <v>123</v>
      </c>
    </row>
    <row r="1778" spans="1:7">
      <c r="A1778" t="s">
        <v>7388</v>
      </c>
      <c r="B1778" t="s">
        <v>9165</v>
      </c>
      <c r="C1778" s="1" t="e">
        <f>VLOOKUP(Tabla_Items_Activos[[#This Row],[CODIGO]],Tabla_Items_Completos[[CODIGO]:[LINEA]],2,0)</f>
        <v>#N/A</v>
      </c>
      <c r="D1778" s="1" t="e">
        <f>VLOOKUP(Tabla_Items_Activos[[#This Row],[CODIGO]],Tabla_Items_Completos[[CODIGO]:[LINEA]],3,0)</f>
        <v>#N/A</v>
      </c>
      <c r="E1778" s="1" t="e">
        <f>VLOOKUP(Tabla_Items_Activos[[#This Row],[CODIGO]],Tabla_Items_Completos[[CODIGO]:[LINEA]],4,0)</f>
        <v>#N/A</v>
      </c>
      <c r="F1778">
        <v>505</v>
      </c>
      <c r="G1778">
        <v>0</v>
      </c>
    </row>
    <row r="1779" spans="1:7">
      <c r="A1779" t="s">
        <v>7388</v>
      </c>
      <c r="B1779" t="s">
        <v>9166</v>
      </c>
      <c r="C1779" s="1" t="e">
        <f>VLOOKUP(Tabla_Items_Activos[[#This Row],[CODIGO]],Tabla_Items_Completos[[CODIGO]:[LINEA]],2,0)</f>
        <v>#N/A</v>
      </c>
      <c r="D1779" s="1" t="e">
        <f>VLOOKUP(Tabla_Items_Activos[[#This Row],[CODIGO]],Tabla_Items_Completos[[CODIGO]:[LINEA]],3,0)</f>
        <v>#N/A</v>
      </c>
      <c r="E1779" s="1" t="e">
        <f>VLOOKUP(Tabla_Items_Activos[[#This Row],[CODIGO]],Tabla_Items_Completos[[CODIGO]:[LINEA]],4,0)</f>
        <v>#N/A</v>
      </c>
      <c r="F1779">
        <v>410</v>
      </c>
      <c r="G1779">
        <v>30</v>
      </c>
    </row>
    <row r="1780" spans="1:7">
      <c r="A1780" t="s">
        <v>7388</v>
      </c>
      <c r="B1780" t="s">
        <v>9167</v>
      </c>
      <c r="C1780" s="1" t="e">
        <f>VLOOKUP(Tabla_Items_Activos[[#This Row],[CODIGO]],Tabla_Items_Completos[[CODIGO]:[LINEA]],2,0)</f>
        <v>#N/A</v>
      </c>
      <c r="D1780" s="1" t="e">
        <f>VLOOKUP(Tabla_Items_Activos[[#This Row],[CODIGO]],Tabla_Items_Completos[[CODIGO]:[LINEA]],3,0)</f>
        <v>#N/A</v>
      </c>
      <c r="E1780" s="1" t="e">
        <f>VLOOKUP(Tabla_Items_Activos[[#This Row],[CODIGO]],Tabla_Items_Completos[[CODIGO]:[LINEA]],4,0)</f>
        <v>#N/A</v>
      </c>
      <c r="F1780">
        <v>820</v>
      </c>
      <c r="G1780">
        <v>178</v>
      </c>
    </row>
    <row r="1781" spans="1:7">
      <c r="A1781" t="s">
        <v>7388</v>
      </c>
      <c r="B1781" t="s">
        <v>9168</v>
      </c>
      <c r="C1781" s="1" t="e">
        <f>VLOOKUP(Tabla_Items_Activos[[#This Row],[CODIGO]],Tabla_Items_Completos[[CODIGO]:[LINEA]],2,0)</f>
        <v>#N/A</v>
      </c>
      <c r="D1781" s="1" t="e">
        <f>VLOOKUP(Tabla_Items_Activos[[#This Row],[CODIGO]],Tabla_Items_Completos[[CODIGO]:[LINEA]],3,0)</f>
        <v>#N/A</v>
      </c>
      <c r="E1781" s="1" t="e">
        <f>VLOOKUP(Tabla_Items_Activos[[#This Row],[CODIGO]],Tabla_Items_Completos[[CODIGO]:[LINEA]],4,0)</f>
        <v>#N/A</v>
      </c>
      <c r="F1781">
        <v>416</v>
      </c>
      <c r="G1781">
        <v>67</v>
      </c>
    </row>
    <row r="1782" spans="1:7">
      <c r="A1782" t="s">
        <v>7388</v>
      </c>
      <c r="B1782" t="s">
        <v>9169</v>
      </c>
      <c r="C1782" s="1" t="e">
        <f>VLOOKUP(Tabla_Items_Activos[[#This Row],[CODIGO]],Tabla_Items_Completos[[CODIGO]:[LINEA]],2,0)</f>
        <v>#N/A</v>
      </c>
      <c r="D1782" s="1" t="e">
        <f>VLOOKUP(Tabla_Items_Activos[[#This Row],[CODIGO]],Tabla_Items_Completos[[CODIGO]:[LINEA]],3,0)</f>
        <v>#N/A</v>
      </c>
      <c r="E1782" s="1" t="e">
        <f>VLOOKUP(Tabla_Items_Activos[[#This Row],[CODIGO]],Tabla_Items_Completos[[CODIGO]:[LINEA]],4,0)</f>
        <v>#N/A</v>
      </c>
      <c r="F1782">
        <v>511</v>
      </c>
      <c r="G1782">
        <v>92</v>
      </c>
    </row>
    <row r="1783" spans="1:7">
      <c r="A1783" t="s">
        <v>7388</v>
      </c>
      <c r="B1783" t="s">
        <v>9170</v>
      </c>
      <c r="C1783" s="1" t="e">
        <f>VLOOKUP(Tabla_Items_Activos[[#This Row],[CODIGO]],Tabla_Items_Completos[[CODIGO]:[LINEA]],2,0)</f>
        <v>#N/A</v>
      </c>
      <c r="D1783" s="1" t="e">
        <f>VLOOKUP(Tabla_Items_Activos[[#This Row],[CODIGO]],Tabla_Items_Completos[[CODIGO]:[LINEA]],3,0)</f>
        <v>#N/A</v>
      </c>
      <c r="E1783" s="1" t="e">
        <f>VLOOKUP(Tabla_Items_Activos[[#This Row],[CODIGO]],Tabla_Items_Completos[[CODIGO]:[LINEA]],4,0)</f>
        <v>#N/A</v>
      </c>
      <c r="F1783">
        <v>473</v>
      </c>
      <c r="G1783">
        <v>172</v>
      </c>
    </row>
    <row r="1784" spans="1:7">
      <c r="A1784" t="s">
        <v>7388</v>
      </c>
      <c r="B1784" t="s">
        <v>9171</v>
      </c>
      <c r="C1784" s="1" t="e">
        <f>VLOOKUP(Tabla_Items_Activos[[#This Row],[CODIGO]],Tabla_Items_Completos[[CODIGO]:[LINEA]],2,0)</f>
        <v>#N/A</v>
      </c>
      <c r="D1784" s="1" t="e">
        <f>VLOOKUP(Tabla_Items_Activos[[#This Row],[CODIGO]],Tabla_Items_Completos[[CODIGO]:[LINEA]],3,0)</f>
        <v>#N/A</v>
      </c>
      <c r="E1784" s="1" t="e">
        <f>VLOOKUP(Tabla_Items_Activos[[#This Row],[CODIGO]],Tabla_Items_Completos[[CODIGO]:[LINEA]],4,0)</f>
        <v>#N/A</v>
      </c>
      <c r="F1784">
        <v>397</v>
      </c>
      <c r="G1784">
        <v>180</v>
      </c>
    </row>
    <row r="1785" spans="1:7">
      <c r="A1785" t="s">
        <v>7388</v>
      </c>
      <c r="B1785" t="s">
        <v>9172</v>
      </c>
      <c r="C1785" s="1" t="e">
        <f>VLOOKUP(Tabla_Items_Activos[[#This Row],[CODIGO]],Tabla_Items_Completos[[CODIGO]:[LINEA]],2,0)</f>
        <v>#N/A</v>
      </c>
      <c r="D1785" s="1" t="e">
        <f>VLOOKUP(Tabla_Items_Activos[[#This Row],[CODIGO]],Tabla_Items_Completos[[CODIGO]:[LINEA]],3,0)</f>
        <v>#N/A</v>
      </c>
      <c r="E1785" s="1" t="e">
        <f>VLOOKUP(Tabla_Items_Activos[[#This Row],[CODIGO]],Tabla_Items_Completos[[CODIGO]:[LINEA]],4,0)</f>
        <v>#N/A</v>
      </c>
      <c r="F1785">
        <v>963</v>
      </c>
      <c r="G1785">
        <v>147</v>
      </c>
    </row>
    <row r="1786" spans="1:7">
      <c r="A1786" t="s">
        <v>7388</v>
      </c>
      <c r="B1786" t="s">
        <v>9173</v>
      </c>
      <c r="C1786" s="1" t="e">
        <f>VLOOKUP(Tabla_Items_Activos[[#This Row],[CODIGO]],Tabla_Items_Completos[[CODIGO]:[LINEA]],2,0)</f>
        <v>#N/A</v>
      </c>
      <c r="D1786" s="1" t="e">
        <f>VLOOKUP(Tabla_Items_Activos[[#This Row],[CODIGO]],Tabla_Items_Completos[[CODIGO]:[LINEA]],3,0)</f>
        <v>#N/A</v>
      </c>
      <c r="E1786" s="1" t="e">
        <f>VLOOKUP(Tabla_Items_Activos[[#This Row],[CODIGO]],Tabla_Items_Completos[[CODIGO]:[LINEA]],4,0)</f>
        <v>#N/A</v>
      </c>
      <c r="F1786">
        <v>149</v>
      </c>
      <c r="G1786">
        <v>17</v>
      </c>
    </row>
    <row r="1787" spans="1:7">
      <c r="A1787" t="s">
        <v>7388</v>
      </c>
      <c r="B1787" t="s">
        <v>9174</v>
      </c>
      <c r="C1787" s="1" t="e">
        <f>VLOOKUP(Tabla_Items_Activos[[#This Row],[CODIGO]],Tabla_Items_Completos[[CODIGO]:[LINEA]],2,0)</f>
        <v>#N/A</v>
      </c>
      <c r="D1787" s="1" t="e">
        <f>VLOOKUP(Tabla_Items_Activos[[#This Row],[CODIGO]],Tabla_Items_Completos[[CODIGO]:[LINEA]],3,0)</f>
        <v>#N/A</v>
      </c>
      <c r="E1787" s="1" t="e">
        <f>VLOOKUP(Tabla_Items_Activos[[#This Row],[CODIGO]],Tabla_Items_Completos[[CODIGO]:[LINEA]],4,0)</f>
        <v>#N/A</v>
      </c>
      <c r="F1787">
        <v>1172</v>
      </c>
      <c r="G1787">
        <v>706</v>
      </c>
    </row>
    <row r="1788" spans="1:7">
      <c r="A1788" t="s">
        <v>7388</v>
      </c>
      <c r="B1788" t="s">
        <v>9175</v>
      </c>
      <c r="C1788" s="1" t="e">
        <f>VLOOKUP(Tabla_Items_Activos[[#This Row],[CODIGO]],Tabla_Items_Completos[[CODIGO]:[LINEA]],2,0)</f>
        <v>#N/A</v>
      </c>
      <c r="D1788" s="1" t="e">
        <f>VLOOKUP(Tabla_Items_Activos[[#This Row],[CODIGO]],Tabla_Items_Completos[[CODIGO]:[LINEA]],3,0)</f>
        <v>#N/A</v>
      </c>
      <c r="E1788" s="1" t="e">
        <f>VLOOKUP(Tabla_Items_Activos[[#This Row],[CODIGO]],Tabla_Items_Completos[[CODIGO]:[LINEA]],4,0)</f>
        <v>#N/A</v>
      </c>
      <c r="F1788">
        <v>594</v>
      </c>
      <c r="G1788">
        <v>59</v>
      </c>
    </row>
    <row r="1789" spans="1:7">
      <c r="A1789" t="s">
        <v>7388</v>
      </c>
      <c r="B1789" t="s">
        <v>9176</v>
      </c>
      <c r="C1789" s="1" t="e">
        <f>VLOOKUP(Tabla_Items_Activos[[#This Row],[CODIGO]],Tabla_Items_Completos[[CODIGO]:[LINEA]],2,0)</f>
        <v>#N/A</v>
      </c>
      <c r="D1789" s="1" t="e">
        <f>VLOOKUP(Tabla_Items_Activos[[#This Row],[CODIGO]],Tabla_Items_Completos[[CODIGO]:[LINEA]],3,0)</f>
        <v>#N/A</v>
      </c>
      <c r="E1789" s="1" t="e">
        <f>VLOOKUP(Tabla_Items_Activos[[#This Row],[CODIGO]],Tabla_Items_Completos[[CODIGO]:[LINEA]],4,0)</f>
        <v>#N/A</v>
      </c>
      <c r="F1789">
        <v>1056</v>
      </c>
      <c r="G1789">
        <v>0</v>
      </c>
    </row>
    <row r="1790" spans="1:7">
      <c r="A1790" t="s">
        <v>7388</v>
      </c>
      <c r="B1790" t="s">
        <v>9177</v>
      </c>
      <c r="C1790" s="1" t="e">
        <f>VLOOKUP(Tabla_Items_Activos[[#This Row],[CODIGO]],Tabla_Items_Completos[[CODIGO]:[LINEA]],2,0)</f>
        <v>#N/A</v>
      </c>
      <c r="D1790" s="1" t="e">
        <f>VLOOKUP(Tabla_Items_Activos[[#This Row],[CODIGO]],Tabla_Items_Completos[[CODIGO]:[LINEA]],3,0)</f>
        <v>#N/A</v>
      </c>
      <c r="E1790" s="1" t="e">
        <f>VLOOKUP(Tabla_Items_Activos[[#This Row],[CODIGO]],Tabla_Items_Completos[[CODIGO]:[LINEA]],4,0)</f>
        <v>#N/A</v>
      </c>
      <c r="F1790">
        <v>3666</v>
      </c>
      <c r="G1790">
        <v>131</v>
      </c>
    </row>
    <row r="1791" spans="1:7">
      <c r="A1791" t="s">
        <v>7388</v>
      </c>
      <c r="B1791" t="s">
        <v>9178</v>
      </c>
      <c r="C1791" s="1" t="e">
        <f>VLOOKUP(Tabla_Items_Activos[[#This Row],[CODIGO]],Tabla_Items_Completos[[CODIGO]:[LINEA]],2,0)</f>
        <v>#N/A</v>
      </c>
      <c r="D1791" s="1" t="e">
        <f>VLOOKUP(Tabla_Items_Activos[[#This Row],[CODIGO]],Tabla_Items_Completos[[CODIGO]:[LINEA]],3,0)</f>
        <v>#N/A</v>
      </c>
      <c r="E1791" s="1" t="e">
        <f>VLOOKUP(Tabla_Items_Activos[[#This Row],[CODIGO]],Tabla_Items_Completos[[CODIGO]:[LINEA]],4,0)</f>
        <v>#N/A</v>
      </c>
      <c r="F1791">
        <v>1450</v>
      </c>
      <c r="G1791">
        <v>110</v>
      </c>
    </row>
    <row r="1792" spans="1:7">
      <c r="A1792" t="s">
        <v>7388</v>
      </c>
      <c r="B1792" t="s">
        <v>9179</v>
      </c>
      <c r="C1792" s="1" t="e">
        <f>VLOOKUP(Tabla_Items_Activos[[#This Row],[CODIGO]],Tabla_Items_Completos[[CODIGO]:[LINEA]],2,0)</f>
        <v>#N/A</v>
      </c>
      <c r="D1792" s="1" t="e">
        <f>VLOOKUP(Tabla_Items_Activos[[#This Row],[CODIGO]],Tabla_Items_Completos[[CODIGO]:[LINEA]],3,0)</f>
        <v>#N/A</v>
      </c>
      <c r="E1792" s="1" t="e">
        <f>VLOOKUP(Tabla_Items_Activos[[#This Row],[CODIGO]],Tabla_Items_Completos[[CODIGO]:[LINEA]],4,0)</f>
        <v>#N/A</v>
      </c>
      <c r="F1792">
        <v>1145</v>
      </c>
      <c r="G1792">
        <v>0</v>
      </c>
    </row>
    <row r="1793" spans="1:7">
      <c r="A1793" t="s">
        <v>7388</v>
      </c>
      <c r="B1793" t="s">
        <v>9180</v>
      </c>
      <c r="C1793" s="1" t="e">
        <f>VLOOKUP(Tabla_Items_Activos[[#This Row],[CODIGO]],Tabla_Items_Completos[[CODIGO]:[LINEA]],2,0)</f>
        <v>#N/A</v>
      </c>
      <c r="D1793" s="1" t="e">
        <f>VLOOKUP(Tabla_Items_Activos[[#This Row],[CODIGO]],Tabla_Items_Completos[[CODIGO]:[LINEA]],3,0)</f>
        <v>#N/A</v>
      </c>
      <c r="E1793" s="1" t="e">
        <f>VLOOKUP(Tabla_Items_Activos[[#This Row],[CODIGO]],Tabla_Items_Completos[[CODIGO]:[LINEA]],4,0)</f>
        <v>#N/A</v>
      </c>
      <c r="F1793">
        <v>607</v>
      </c>
      <c r="G1793">
        <v>563</v>
      </c>
    </row>
    <row r="1794" spans="1:7">
      <c r="A1794" t="s">
        <v>7388</v>
      </c>
      <c r="B1794" t="s">
        <v>9181</v>
      </c>
      <c r="C1794" s="1" t="e">
        <f>VLOOKUP(Tabla_Items_Activos[[#This Row],[CODIGO]],Tabla_Items_Completos[[CODIGO]:[LINEA]],2,0)</f>
        <v>#N/A</v>
      </c>
      <c r="D1794" s="1" t="e">
        <f>VLOOKUP(Tabla_Items_Activos[[#This Row],[CODIGO]],Tabla_Items_Completos[[CODIGO]:[LINEA]],3,0)</f>
        <v>#N/A</v>
      </c>
      <c r="E1794" s="1" t="e">
        <f>VLOOKUP(Tabla_Items_Activos[[#This Row],[CODIGO]],Tabla_Items_Completos[[CODIGO]:[LINEA]],4,0)</f>
        <v>#N/A</v>
      </c>
      <c r="F1794">
        <v>4</v>
      </c>
      <c r="G1794">
        <v>2</v>
      </c>
    </row>
    <row r="1795" spans="1:7">
      <c r="A1795" t="s">
        <v>7388</v>
      </c>
      <c r="B1795" t="s">
        <v>9182</v>
      </c>
      <c r="C1795" s="1" t="e">
        <f>VLOOKUP(Tabla_Items_Activos[[#This Row],[CODIGO]],Tabla_Items_Completos[[CODIGO]:[LINEA]],2,0)</f>
        <v>#N/A</v>
      </c>
      <c r="D1795" s="1" t="e">
        <f>VLOOKUP(Tabla_Items_Activos[[#This Row],[CODIGO]],Tabla_Items_Completos[[CODIGO]:[LINEA]],3,0)</f>
        <v>#N/A</v>
      </c>
      <c r="E1795" s="1" t="e">
        <f>VLOOKUP(Tabla_Items_Activos[[#This Row],[CODIGO]],Tabla_Items_Completos[[CODIGO]:[LINEA]],4,0)</f>
        <v>#N/A</v>
      </c>
      <c r="F1795">
        <v>2</v>
      </c>
      <c r="G1795">
        <v>0</v>
      </c>
    </row>
    <row r="1796" spans="1:7">
      <c r="A1796" t="s">
        <v>7388</v>
      </c>
      <c r="B1796" t="s">
        <v>9183</v>
      </c>
      <c r="C1796" s="1" t="e">
        <f>VLOOKUP(Tabla_Items_Activos[[#This Row],[CODIGO]],Tabla_Items_Completos[[CODIGO]:[LINEA]],2,0)</f>
        <v>#N/A</v>
      </c>
      <c r="D1796" s="1" t="e">
        <f>VLOOKUP(Tabla_Items_Activos[[#This Row],[CODIGO]],Tabla_Items_Completos[[CODIGO]:[LINEA]],3,0)</f>
        <v>#N/A</v>
      </c>
      <c r="E1796" s="1" t="e">
        <f>VLOOKUP(Tabla_Items_Activos[[#This Row],[CODIGO]],Tabla_Items_Completos[[CODIGO]:[LINEA]],4,0)</f>
        <v>#N/A</v>
      </c>
      <c r="F1796">
        <v>2</v>
      </c>
      <c r="G1796">
        <v>0</v>
      </c>
    </row>
    <row r="1797" spans="1:7">
      <c r="A1797" t="s">
        <v>7388</v>
      </c>
      <c r="B1797" t="s">
        <v>9184</v>
      </c>
      <c r="C1797" s="1" t="e">
        <f>VLOOKUP(Tabla_Items_Activos[[#This Row],[CODIGO]],Tabla_Items_Completos[[CODIGO]:[LINEA]],2,0)</f>
        <v>#N/A</v>
      </c>
      <c r="D1797" s="1" t="e">
        <f>VLOOKUP(Tabla_Items_Activos[[#This Row],[CODIGO]],Tabla_Items_Completos[[CODIGO]:[LINEA]],3,0)</f>
        <v>#N/A</v>
      </c>
      <c r="E1797" s="1" t="e">
        <f>VLOOKUP(Tabla_Items_Activos[[#This Row],[CODIGO]],Tabla_Items_Completos[[CODIGO]:[LINEA]],4,0)</f>
        <v>#N/A</v>
      </c>
      <c r="F1797">
        <v>1965</v>
      </c>
      <c r="G1797">
        <v>0</v>
      </c>
    </row>
    <row r="1798" spans="1:7">
      <c r="A1798" t="s">
        <v>7388</v>
      </c>
      <c r="B1798" t="s">
        <v>9185</v>
      </c>
      <c r="C1798" s="1" t="e">
        <f>VLOOKUP(Tabla_Items_Activos[[#This Row],[CODIGO]],Tabla_Items_Completos[[CODIGO]:[LINEA]],2,0)</f>
        <v>#N/A</v>
      </c>
      <c r="D1798" s="1" t="e">
        <f>VLOOKUP(Tabla_Items_Activos[[#This Row],[CODIGO]],Tabla_Items_Completos[[CODIGO]:[LINEA]],3,0)</f>
        <v>#N/A</v>
      </c>
      <c r="E1798" s="1" t="e">
        <f>VLOOKUP(Tabla_Items_Activos[[#This Row],[CODIGO]],Tabla_Items_Completos[[CODIGO]:[LINEA]],4,0)</f>
        <v>#N/A</v>
      </c>
      <c r="F1798">
        <v>486</v>
      </c>
      <c r="G1798">
        <v>0</v>
      </c>
    </row>
    <row r="1799" spans="1:7">
      <c r="A1799" t="s">
        <v>7388</v>
      </c>
      <c r="B1799" t="s">
        <v>9186</v>
      </c>
      <c r="C1799" s="1" t="e">
        <f>VLOOKUP(Tabla_Items_Activos[[#This Row],[CODIGO]],Tabla_Items_Completos[[CODIGO]:[LINEA]],2,0)</f>
        <v>#N/A</v>
      </c>
      <c r="D1799" s="1" t="e">
        <f>VLOOKUP(Tabla_Items_Activos[[#This Row],[CODIGO]],Tabla_Items_Completos[[CODIGO]:[LINEA]],3,0)</f>
        <v>#N/A</v>
      </c>
      <c r="E1799" s="1" t="e">
        <f>VLOOKUP(Tabla_Items_Activos[[#This Row],[CODIGO]],Tabla_Items_Completos[[CODIGO]:[LINEA]],4,0)</f>
        <v>#N/A</v>
      </c>
      <c r="F1799">
        <v>553</v>
      </c>
      <c r="G1799">
        <v>0</v>
      </c>
    </row>
    <row r="1800" spans="1:7">
      <c r="A1800" t="s">
        <v>7388</v>
      </c>
      <c r="B1800" t="s">
        <v>9187</v>
      </c>
      <c r="C1800" s="1" t="e">
        <f>VLOOKUP(Tabla_Items_Activos[[#This Row],[CODIGO]],Tabla_Items_Completos[[CODIGO]:[LINEA]],2,0)</f>
        <v>#N/A</v>
      </c>
      <c r="D1800" s="1" t="e">
        <f>VLOOKUP(Tabla_Items_Activos[[#This Row],[CODIGO]],Tabla_Items_Completos[[CODIGO]:[LINEA]],3,0)</f>
        <v>#N/A</v>
      </c>
      <c r="E1800" s="1" t="e">
        <f>VLOOKUP(Tabla_Items_Activos[[#This Row],[CODIGO]],Tabla_Items_Completos[[CODIGO]:[LINEA]],4,0)</f>
        <v>#N/A</v>
      </c>
      <c r="F1800">
        <v>336</v>
      </c>
      <c r="G1800">
        <v>192</v>
      </c>
    </row>
    <row r="1801" spans="1:7">
      <c r="A1801" t="s">
        <v>7388</v>
      </c>
      <c r="B1801" t="s">
        <v>9188</v>
      </c>
      <c r="C1801" s="1" t="e">
        <f>VLOOKUP(Tabla_Items_Activos[[#This Row],[CODIGO]],Tabla_Items_Completos[[CODIGO]:[LINEA]],2,0)</f>
        <v>#N/A</v>
      </c>
      <c r="D1801" s="1" t="e">
        <f>VLOOKUP(Tabla_Items_Activos[[#This Row],[CODIGO]],Tabla_Items_Completos[[CODIGO]:[LINEA]],3,0)</f>
        <v>#N/A</v>
      </c>
      <c r="E1801" s="1" t="e">
        <f>VLOOKUP(Tabla_Items_Activos[[#This Row],[CODIGO]],Tabla_Items_Completos[[CODIGO]:[LINEA]],4,0)</f>
        <v>#N/A</v>
      </c>
      <c r="F1801">
        <v>3449</v>
      </c>
      <c r="G1801">
        <v>0</v>
      </c>
    </row>
    <row r="1802" spans="1:7">
      <c r="A1802" t="s">
        <v>7388</v>
      </c>
      <c r="B1802" t="s">
        <v>9189</v>
      </c>
      <c r="C1802" s="1" t="e">
        <f>VLOOKUP(Tabla_Items_Activos[[#This Row],[CODIGO]],Tabla_Items_Completos[[CODIGO]:[LINEA]],2,0)</f>
        <v>#N/A</v>
      </c>
      <c r="D1802" s="1" t="e">
        <f>VLOOKUP(Tabla_Items_Activos[[#This Row],[CODIGO]],Tabla_Items_Completos[[CODIGO]:[LINEA]],3,0)</f>
        <v>#N/A</v>
      </c>
      <c r="E1802" s="1" t="e">
        <f>VLOOKUP(Tabla_Items_Activos[[#This Row],[CODIGO]],Tabla_Items_Completos[[CODIGO]:[LINEA]],4,0)</f>
        <v>#N/A</v>
      </c>
      <c r="F1802">
        <v>69</v>
      </c>
      <c r="G1802">
        <v>44</v>
      </c>
    </row>
    <row r="1803" spans="1:7">
      <c r="A1803" t="s">
        <v>7388</v>
      </c>
      <c r="B1803" t="s">
        <v>9190</v>
      </c>
      <c r="C1803" s="1" t="e">
        <f>VLOOKUP(Tabla_Items_Activos[[#This Row],[CODIGO]],Tabla_Items_Completos[[CODIGO]:[LINEA]],2,0)</f>
        <v>#N/A</v>
      </c>
      <c r="D1803" s="1" t="e">
        <f>VLOOKUP(Tabla_Items_Activos[[#This Row],[CODIGO]],Tabla_Items_Completos[[CODIGO]:[LINEA]],3,0)</f>
        <v>#N/A</v>
      </c>
      <c r="E1803" s="1" t="e">
        <f>VLOOKUP(Tabla_Items_Activos[[#This Row],[CODIGO]],Tabla_Items_Completos[[CODIGO]:[LINEA]],4,0)</f>
        <v>#N/A</v>
      </c>
      <c r="F1803">
        <v>347</v>
      </c>
      <c r="G1803">
        <v>28</v>
      </c>
    </row>
    <row r="1804" spans="1:7">
      <c r="A1804" t="s">
        <v>7388</v>
      </c>
      <c r="B1804" t="s">
        <v>9191</v>
      </c>
      <c r="C1804" s="1" t="e">
        <f>VLOOKUP(Tabla_Items_Activos[[#This Row],[CODIGO]],Tabla_Items_Completos[[CODIGO]:[LINEA]],2,0)</f>
        <v>#N/A</v>
      </c>
      <c r="D1804" s="1" t="e">
        <f>VLOOKUP(Tabla_Items_Activos[[#This Row],[CODIGO]],Tabla_Items_Completos[[CODIGO]:[LINEA]],3,0)</f>
        <v>#N/A</v>
      </c>
      <c r="E1804" s="1" t="e">
        <f>VLOOKUP(Tabla_Items_Activos[[#This Row],[CODIGO]],Tabla_Items_Completos[[CODIGO]:[LINEA]],4,0)</f>
        <v>#N/A</v>
      </c>
      <c r="F1804">
        <v>851</v>
      </c>
      <c r="G1804">
        <v>140</v>
      </c>
    </row>
    <row r="1805" spans="1:7">
      <c r="A1805" t="s">
        <v>7388</v>
      </c>
      <c r="B1805" t="s">
        <v>9192</v>
      </c>
      <c r="C1805" s="1" t="e">
        <f>VLOOKUP(Tabla_Items_Activos[[#This Row],[CODIGO]],Tabla_Items_Completos[[CODIGO]:[LINEA]],2,0)</f>
        <v>#N/A</v>
      </c>
      <c r="D1805" s="1" t="e">
        <f>VLOOKUP(Tabla_Items_Activos[[#This Row],[CODIGO]],Tabla_Items_Completos[[CODIGO]:[LINEA]],3,0)</f>
        <v>#N/A</v>
      </c>
      <c r="E1805" s="1" t="e">
        <f>VLOOKUP(Tabla_Items_Activos[[#This Row],[CODIGO]],Tabla_Items_Completos[[CODIGO]:[LINEA]],4,0)</f>
        <v>#N/A</v>
      </c>
      <c r="F1805">
        <v>153</v>
      </c>
      <c r="G1805">
        <v>78</v>
      </c>
    </row>
    <row r="1806" spans="1:7">
      <c r="A1806" t="s">
        <v>7388</v>
      </c>
      <c r="B1806" t="s">
        <v>9193</v>
      </c>
      <c r="C1806" s="1" t="e">
        <f>VLOOKUP(Tabla_Items_Activos[[#This Row],[CODIGO]],Tabla_Items_Completos[[CODIGO]:[LINEA]],2,0)</f>
        <v>#N/A</v>
      </c>
      <c r="D1806" s="1" t="e">
        <f>VLOOKUP(Tabla_Items_Activos[[#This Row],[CODIGO]],Tabla_Items_Completos[[CODIGO]:[LINEA]],3,0)</f>
        <v>#N/A</v>
      </c>
      <c r="E1806" s="1" t="e">
        <f>VLOOKUP(Tabla_Items_Activos[[#This Row],[CODIGO]],Tabla_Items_Completos[[CODIGO]:[LINEA]],4,0)</f>
        <v>#N/A</v>
      </c>
      <c r="F1806">
        <v>443</v>
      </c>
      <c r="G1806">
        <v>0</v>
      </c>
    </row>
    <row r="1807" spans="1:7">
      <c r="A1807" t="s">
        <v>7388</v>
      </c>
      <c r="B1807" t="s">
        <v>9194</v>
      </c>
      <c r="C1807" s="1" t="e">
        <f>VLOOKUP(Tabla_Items_Activos[[#This Row],[CODIGO]],Tabla_Items_Completos[[CODIGO]:[LINEA]],2,0)</f>
        <v>#N/A</v>
      </c>
      <c r="D1807" s="1" t="e">
        <f>VLOOKUP(Tabla_Items_Activos[[#This Row],[CODIGO]],Tabla_Items_Completos[[CODIGO]:[LINEA]],3,0)</f>
        <v>#N/A</v>
      </c>
      <c r="E1807" s="1" t="e">
        <f>VLOOKUP(Tabla_Items_Activos[[#This Row],[CODIGO]],Tabla_Items_Completos[[CODIGO]:[LINEA]],4,0)</f>
        <v>#N/A</v>
      </c>
      <c r="F1807">
        <v>1392</v>
      </c>
      <c r="G1807">
        <v>0</v>
      </c>
    </row>
    <row r="1808" spans="1:7">
      <c r="A1808" t="s">
        <v>7388</v>
      </c>
      <c r="B1808" t="s">
        <v>9195</v>
      </c>
      <c r="C1808" s="1" t="e">
        <f>VLOOKUP(Tabla_Items_Activos[[#This Row],[CODIGO]],Tabla_Items_Completos[[CODIGO]:[LINEA]],2,0)</f>
        <v>#N/A</v>
      </c>
      <c r="D1808" s="1" t="e">
        <f>VLOOKUP(Tabla_Items_Activos[[#This Row],[CODIGO]],Tabla_Items_Completos[[CODIGO]:[LINEA]],3,0)</f>
        <v>#N/A</v>
      </c>
      <c r="E1808" s="1" t="e">
        <f>VLOOKUP(Tabla_Items_Activos[[#This Row],[CODIGO]],Tabla_Items_Completos[[CODIGO]:[LINEA]],4,0)</f>
        <v>#N/A</v>
      </c>
      <c r="F1808">
        <v>289</v>
      </c>
      <c r="G1808">
        <v>44</v>
      </c>
    </row>
    <row r="1809" spans="1:7">
      <c r="A1809" t="s">
        <v>7388</v>
      </c>
      <c r="B1809" t="s">
        <v>9196</v>
      </c>
      <c r="C1809" s="1" t="e">
        <f>VLOOKUP(Tabla_Items_Activos[[#This Row],[CODIGO]],Tabla_Items_Completos[[CODIGO]:[LINEA]],2,0)</f>
        <v>#N/A</v>
      </c>
      <c r="D1809" s="1" t="e">
        <f>VLOOKUP(Tabla_Items_Activos[[#This Row],[CODIGO]],Tabla_Items_Completos[[CODIGO]:[LINEA]],3,0)</f>
        <v>#N/A</v>
      </c>
      <c r="E1809" s="1" t="e">
        <f>VLOOKUP(Tabla_Items_Activos[[#This Row],[CODIGO]],Tabla_Items_Completos[[CODIGO]:[LINEA]],4,0)</f>
        <v>#N/A</v>
      </c>
      <c r="F1809">
        <v>573</v>
      </c>
      <c r="G1809">
        <v>0</v>
      </c>
    </row>
    <row r="1810" spans="1:7">
      <c r="A1810" t="s">
        <v>7388</v>
      </c>
      <c r="B1810" t="s">
        <v>9197</v>
      </c>
      <c r="C1810" s="1" t="e">
        <f>VLOOKUP(Tabla_Items_Activos[[#This Row],[CODIGO]],Tabla_Items_Completos[[CODIGO]:[LINEA]],2,0)</f>
        <v>#N/A</v>
      </c>
      <c r="D1810" s="1" t="e">
        <f>VLOOKUP(Tabla_Items_Activos[[#This Row],[CODIGO]],Tabla_Items_Completos[[CODIGO]:[LINEA]],3,0)</f>
        <v>#N/A</v>
      </c>
      <c r="E1810" s="1" t="e">
        <f>VLOOKUP(Tabla_Items_Activos[[#This Row],[CODIGO]],Tabla_Items_Completos[[CODIGO]:[LINEA]],4,0)</f>
        <v>#N/A</v>
      </c>
      <c r="F1810">
        <v>1213</v>
      </c>
      <c r="G1810">
        <v>0</v>
      </c>
    </row>
    <row r="1811" spans="1:7">
      <c r="A1811" t="s">
        <v>7388</v>
      </c>
      <c r="B1811" t="s">
        <v>9198</v>
      </c>
      <c r="C1811" s="1" t="e">
        <f>VLOOKUP(Tabla_Items_Activos[[#This Row],[CODIGO]],Tabla_Items_Completos[[CODIGO]:[LINEA]],2,0)</f>
        <v>#N/A</v>
      </c>
      <c r="D1811" s="1" t="e">
        <f>VLOOKUP(Tabla_Items_Activos[[#This Row],[CODIGO]],Tabla_Items_Completos[[CODIGO]:[LINEA]],3,0)</f>
        <v>#N/A</v>
      </c>
      <c r="E1811" s="1" t="e">
        <f>VLOOKUP(Tabla_Items_Activos[[#This Row],[CODIGO]],Tabla_Items_Completos[[CODIGO]:[LINEA]],4,0)</f>
        <v>#N/A</v>
      </c>
      <c r="F1811">
        <v>395</v>
      </c>
      <c r="G1811">
        <v>110</v>
      </c>
    </row>
    <row r="1812" spans="1:7">
      <c r="A1812" t="s">
        <v>7388</v>
      </c>
      <c r="B1812" t="s">
        <v>9199</v>
      </c>
      <c r="C1812" s="1" t="e">
        <f>VLOOKUP(Tabla_Items_Activos[[#This Row],[CODIGO]],Tabla_Items_Completos[[CODIGO]:[LINEA]],2,0)</f>
        <v>#N/A</v>
      </c>
      <c r="D1812" s="1" t="e">
        <f>VLOOKUP(Tabla_Items_Activos[[#This Row],[CODIGO]],Tabla_Items_Completos[[CODIGO]:[LINEA]],3,0)</f>
        <v>#N/A</v>
      </c>
      <c r="E1812" s="1" t="e">
        <f>VLOOKUP(Tabla_Items_Activos[[#This Row],[CODIGO]],Tabla_Items_Completos[[CODIGO]:[LINEA]],4,0)</f>
        <v>#N/A</v>
      </c>
      <c r="F1812">
        <v>1816</v>
      </c>
      <c r="G1812">
        <v>8</v>
      </c>
    </row>
    <row r="1813" spans="1:7">
      <c r="A1813" t="s">
        <v>7388</v>
      </c>
      <c r="B1813" t="s">
        <v>9200</v>
      </c>
      <c r="C1813" s="1" t="e">
        <f>VLOOKUP(Tabla_Items_Activos[[#This Row],[CODIGO]],Tabla_Items_Completos[[CODIGO]:[LINEA]],2,0)</f>
        <v>#N/A</v>
      </c>
      <c r="D1813" s="1" t="e">
        <f>VLOOKUP(Tabla_Items_Activos[[#This Row],[CODIGO]],Tabla_Items_Completos[[CODIGO]:[LINEA]],3,0)</f>
        <v>#N/A</v>
      </c>
      <c r="E1813" s="1" t="e">
        <f>VLOOKUP(Tabla_Items_Activos[[#This Row],[CODIGO]],Tabla_Items_Completos[[CODIGO]:[LINEA]],4,0)</f>
        <v>#N/A</v>
      </c>
      <c r="F1813">
        <v>1015</v>
      </c>
      <c r="G1813">
        <v>136</v>
      </c>
    </row>
    <row r="1814" spans="1:7">
      <c r="A1814" t="s">
        <v>7388</v>
      </c>
      <c r="B1814" t="s">
        <v>9201</v>
      </c>
      <c r="C1814" s="1" t="e">
        <f>VLOOKUP(Tabla_Items_Activos[[#This Row],[CODIGO]],Tabla_Items_Completos[[CODIGO]:[LINEA]],2,0)</f>
        <v>#N/A</v>
      </c>
      <c r="D1814" s="1" t="e">
        <f>VLOOKUP(Tabla_Items_Activos[[#This Row],[CODIGO]],Tabla_Items_Completos[[CODIGO]:[LINEA]],3,0)</f>
        <v>#N/A</v>
      </c>
      <c r="E1814" s="1" t="e">
        <f>VLOOKUP(Tabla_Items_Activos[[#This Row],[CODIGO]],Tabla_Items_Completos[[CODIGO]:[LINEA]],4,0)</f>
        <v>#N/A</v>
      </c>
      <c r="F1814">
        <v>213</v>
      </c>
      <c r="G1814">
        <v>120</v>
      </c>
    </row>
    <row r="1815" spans="1:7">
      <c r="A1815" t="s">
        <v>7388</v>
      </c>
      <c r="B1815" t="s">
        <v>9202</v>
      </c>
      <c r="C1815" s="1" t="e">
        <f>VLOOKUP(Tabla_Items_Activos[[#This Row],[CODIGO]],Tabla_Items_Completos[[CODIGO]:[LINEA]],2,0)</f>
        <v>#N/A</v>
      </c>
      <c r="D1815" s="1" t="e">
        <f>VLOOKUP(Tabla_Items_Activos[[#This Row],[CODIGO]],Tabla_Items_Completos[[CODIGO]:[LINEA]],3,0)</f>
        <v>#N/A</v>
      </c>
      <c r="E1815" s="1" t="e">
        <f>VLOOKUP(Tabla_Items_Activos[[#This Row],[CODIGO]],Tabla_Items_Completos[[CODIGO]:[LINEA]],4,0)</f>
        <v>#N/A</v>
      </c>
      <c r="F1815">
        <v>2909</v>
      </c>
      <c r="G1815">
        <v>489</v>
      </c>
    </row>
    <row r="1816" spans="1:7">
      <c r="A1816" t="s">
        <v>7388</v>
      </c>
      <c r="B1816" t="s">
        <v>9203</v>
      </c>
      <c r="C1816" s="1" t="e">
        <f>VLOOKUP(Tabla_Items_Activos[[#This Row],[CODIGO]],Tabla_Items_Completos[[CODIGO]:[LINEA]],2,0)</f>
        <v>#N/A</v>
      </c>
      <c r="D1816" s="1" t="e">
        <f>VLOOKUP(Tabla_Items_Activos[[#This Row],[CODIGO]],Tabla_Items_Completos[[CODIGO]:[LINEA]],3,0)</f>
        <v>#N/A</v>
      </c>
      <c r="E1816" s="1" t="e">
        <f>VLOOKUP(Tabla_Items_Activos[[#This Row],[CODIGO]],Tabla_Items_Completos[[CODIGO]:[LINEA]],4,0)</f>
        <v>#N/A</v>
      </c>
      <c r="F1816">
        <v>185</v>
      </c>
      <c r="G1816">
        <v>42</v>
      </c>
    </row>
    <row r="1817" spans="1:7">
      <c r="A1817" t="s">
        <v>7388</v>
      </c>
      <c r="B1817" t="s">
        <v>9204</v>
      </c>
      <c r="C1817" s="1" t="e">
        <f>VLOOKUP(Tabla_Items_Activos[[#This Row],[CODIGO]],Tabla_Items_Completos[[CODIGO]:[LINEA]],2,0)</f>
        <v>#N/A</v>
      </c>
      <c r="D1817" s="1" t="e">
        <f>VLOOKUP(Tabla_Items_Activos[[#This Row],[CODIGO]],Tabla_Items_Completos[[CODIGO]:[LINEA]],3,0)</f>
        <v>#N/A</v>
      </c>
      <c r="E1817" s="1" t="e">
        <f>VLOOKUP(Tabla_Items_Activos[[#This Row],[CODIGO]],Tabla_Items_Completos[[CODIGO]:[LINEA]],4,0)</f>
        <v>#N/A</v>
      </c>
      <c r="F1817">
        <v>132</v>
      </c>
      <c r="G1817">
        <v>8</v>
      </c>
    </row>
    <row r="1818" spans="1:7">
      <c r="A1818" t="s">
        <v>7388</v>
      </c>
      <c r="B1818" t="s">
        <v>9205</v>
      </c>
      <c r="C1818" s="1" t="e">
        <f>VLOOKUP(Tabla_Items_Activos[[#This Row],[CODIGO]],Tabla_Items_Completos[[CODIGO]:[LINEA]],2,0)</f>
        <v>#N/A</v>
      </c>
      <c r="D1818" s="1" t="e">
        <f>VLOOKUP(Tabla_Items_Activos[[#This Row],[CODIGO]],Tabla_Items_Completos[[CODIGO]:[LINEA]],3,0)</f>
        <v>#N/A</v>
      </c>
      <c r="E1818" s="1" t="e">
        <f>VLOOKUP(Tabla_Items_Activos[[#This Row],[CODIGO]],Tabla_Items_Completos[[CODIGO]:[LINEA]],4,0)</f>
        <v>#N/A</v>
      </c>
      <c r="F1818">
        <v>463</v>
      </c>
      <c r="G1818">
        <v>232</v>
      </c>
    </row>
    <row r="1819" spans="1:7">
      <c r="A1819" t="s">
        <v>7388</v>
      </c>
      <c r="B1819" t="s">
        <v>9206</v>
      </c>
      <c r="C1819" s="1" t="e">
        <f>VLOOKUP(Tabla_Items_Activos[[#This Row],[CODIGO]],Tabla_Items_Completos[[CODIGO]:[LINEA]],2,0)</f>
        <v>#N/A</v>
      </c>
      <c r="D1819" s="1" t="e">
        <f>VLOOKUP(Tabla_Items_Activos[[#This Row],[CODIGO]],Tabla_Items_Completos[[CODIGO]:[LINEA]],3,0)</f>
        <v>#N/A</v>
      </c>
      <c r="E1819" s="1" t="e">
        <f>VLOOKUP(Tabla_Items_Activos[[#This Row],[CODIGO]],Tabla_Items_Completos[[CODIGO]:[LINEA]],4,0)</f>
        <v>#N/A</v>
      </c>
      <c r="F1819">
        <v>662</v>
      </c>
      <c r="G1819">
        <v>0</v>
      </c>
    </row>
    <row r="1820" spans="1:7">
      <c r="A1820" t="s">
        <v>7388</v>
      </c>
      <c r="B1820" t="s">
        <v>9207</v>
      </c>
      <c r="C1820" s="1" t="e">
        <f>VLOOKUP(Tabla_Items_Activos[[#This Row],[CODIGO]],Tabla_Items_Completos[[CODIGO]:[LINEA]],2,0)</f>
        <v>#N/A</v>
      </c>
      <c r="D1820" s="1" t="e">
        <f>VLOOKUP(Tabla_Items_Activos[[#This Row],[CODIGO]],Tabla_Items_Completos[[CODIGO]:[LINEA]],3,0)</f>
        <v>#N/A</v>
      </c>
      <c r="E1820" s="1" t="e">
        <f>VLOOKUP(Tabla_Items_Activos[[#This Row],[CODIGO]],Tabla_Items_Completos[[CODIGO]:[LINEA]],4,0)</f>
        <v>#N/A</v>
      </c>
      <c r="F1820">
        <v>221</v>
      </c>
      <c r="G1820">
        <v>0</v>
      </c>
    </row>
    <row r="1821" spans="1:7">
      <c r="A1821" t="s">
        <v>7388</v>
      </c>
      <c r="B1821" t="s">
        <v>9208</v>
      </c>
      <c r="C1821" s="1" t="e">
        <f>VLOOKUP(Tabla_Items_Activos[[#This Row],[CODIGO]],Tabla_Items_Completos[[CODIGO]:[LINEA]],2,0)</f>
        <v>#N/A</v>
      </c>
      <c r="D1821" s="1" t="e">
        <f>VLOOKUP(Tabla_Items_Activos[[#This Row],[CODIGO]],Tabla_Items_Completos[[CODIGO]:[LINEA]],3,0)</f>
        <v>#N/A</v>
      </c>
      <c r="E1821" s="1" t="e">
        <f>VLOOKUP(Tabla_Items_Activos[[#This Row],[CODIGO]],Tabla_Items_Completos[[CODIGO]:[LINEA]],4,0)</f>
        <v>#N/A</v>
      </c>
      <c r="F1821">
        <v>149</v>
      </c>
      <c r="G1821">
        <v>29</v>
      </c>
    </row>
    <row r="1822" spans="1:7">
      <c r="A1822" t="s">
        <v>7388</v>
      </c>
      <c r="B1822" t="s">
        <v>9209</v>
      </c>
      <c r="C1822" s="1" t="e">
        <f>VLOOKUP(Tabla_Items_Activos[[#This Row],[CODIGO]],Tabla_Items_Completos[[CODIGO]:[LINEA]],2,0)</f>
        <v>#N/A</v>
      </c>
      <c r="D1822" s="1" t="e">
        <f>VLOOKUP(Tabla_Items_Activos[[#This Row],[CODIGO]],Tabla_Items_Completos[[CODIGO]:[LINEA]],3,0)</f>
        <v>#N/A</v>
      </c>
      <c r="E1822" s="1" t="e">
        <f>VLOOKUP(Tabla_Items_Activos[[#This Row],[CODIGO]],Tabla_Items_Completos[[CODIGO]:[LINEA]],4,0)</f>
        <v>#N/A</v>
      </c>
      <c r="F1822">
        <v>610</v>
      </c>
      <c r="G1822">
        <v>108</v>
      </c>
    </row>
    <row r="1823" spans="1:7">
      <c r="A1823" t="s">
        <v>7388</v>
      </c>
      <c r="B1823" t="s">
        <v>9210</v>
      </c>
      <c r="C1823" s="1" t="e">
        <f>VLOOKUP(Tabla_Items_Activos[[#This Row],[CODIGO]],Tabla_Items_Completos[[CODIGO]:[LINEA]],2,0)</f>
        <v>#N/A</v>
      </c>
      <c r="D1823" s="1" t="e">
        <f>VLOOKUP(Tabla_Items_Activos[[#This Row],[CODIGO]],Tabla_Items_Completos[[CODIGO]:[LINEA]],3,0)</f>
        <v>#N/A</v>
      </c>
      <c r="E1823" s="1" t="e">
        <f>VLOOKUP(Tabla_Items_Activos[[#This Row],[CODIGO]],Tabla_Items_Completos[[CODIGO]:[LINEA]],4,0)</f>
        <v>#N/A</v>
      </c>
      <c r="F1823">
        <v>155</v>
      </c>
      <c r="G1823">
        <v>175</v>
      </c>
    </row>
    <row r="1824" spans="1:7">
      <c r="A1824" t="s">
        <v>7388</v>
      </c>
      <c r="B1824" t="s">
        <v>9211</v>
      </c>
      <c r="C1824" s="1" t="e">
        <f>VLOOKUP(Tabla_Items_Activos[[#This Row],[CODIGO]],Tabla_Items_Completos[[CODIGO]:[LINEA]],2,0)</f>
        <v>#N/A</v>
      </c>
      <c r="D1824" s="1" t="e">
        <f>VLOOKUP(Tabla_Items_Activos[[#This Row],[CODIGO]],Tabla_Items_Completos[[CODIGO]:[LINEA]],3,0)</f>
        <v>#N/A</v>
      </c>
      <c r="E1824" s="1" t="e">
        <f>VLOOKUP(Tabla_Items_Activos[[#This Row],[CODIGO]],Tabla_Items_Completos[[CODIGO]:[LINEA]],4,0)</f>
        <v>#N/A</v>
      </c>
      <c r="F1824">
        <v>205</v>
      </c>
      <c r="G1824">
        <v>65</v>
      </c>
    </row>
    <row r="1825" spans="1:7">
      <c r="A1825" t="s">
        <v>7388</v>
      </c>
      <c r="B1825" t="s">
        <v>9212</v>
      </c>
      <c r="C1825" s="1" t="e">
        <f>VLOOKUP(Tabla_Items_Activos[[#This Row],[CODIGO]],Tabla_Items_Completos[[CODIGO]:[LINEA]],2,0)</f>
        <v>#N/A</v>
      </c>
      <c r="D1825" s="1" t="e">
        <f>VLOOKUP(Tabla_Items_Activos[[#This Row],[CODIGO]],Tabla_Items_Completos[[CODIGO]:[LINEA]],3,0)</f>
        <v>#N/A</v>
      </c>
      <c r="E1825" s="1" t="e">
        <f>VLOOKUP(Tabla_Items_Activos[[#This Row],[CODIGO]],Tabla_Items_Completos[[CODIGO]:[LINEA]],4,0)</f>
        <v>#N/A</v>
      </c>
      <c r="F1825">
        <v>164</v>
      </c>
      <c r="G1825">
        <v>40</v>
      </c>
    </row>
    <row r="1826" spans="1:7">
      <c r="A1826" t="s">
        <v>7388</v>
      </c>
      <c r="B1826" t="s">
        <v>9213</v>
      </c>
      <c r="C1826" s="1" t="e">
        <f>VLOOKUP(Tabla_Items_Activos[[#This Row],[CODIGO]],Tabla_Items_Completos[[CODIGO]:[LINEA]],2,0)</f>
        <v>#N/A</v>
      </c>
      <c r="D1826" s="1" t="e">
        <f>VLOOKUP(Tabla_Items_Activos[[#This Row],[CODIGO]],Tabla_Items_Completos[[CODIGO]:[LINEA]],3,0)</f>
        <v>#N/A</v>
      </c>
      <c r="E1826" s="1" t="e">
        <f>VLOOKUP(Tabla_Items_Activos[[#This Row],[CODIGO]],Tabla_Items_Completos[[CODIGO]:[LINEA]],4,0)</f>
        <v>#N/A</v>
      </c>
      <c r="F1826">
        <v>515</v>
      </c>
      <c r="G1826">
        <v>115</v>
      </c>
    </row>
    <row r="1827" spans="1:7">
      <c r="A1827" t="s">
        <v>7388</v>
      </c>
      <c r="B1827" t="s">
        <v>9214</v>
      </c>
      <c r="C1827" s="1" t="e">
        <f>VLOOKUP(Tabla_Items_Activos[[#This Row],[CODIGO]],Tabla_Items_Completos[[CODIGO]:[LINEA]],2,0)</f>
        <v>#N/A</v>
      </c>
      <c r="D1827" s="1" t="e">
        <f>VLOOKUP(Tabla_Items_Activos[[#This Row],[CODIGO]],Tabla_Items_Completos[[CODIGO]:[LINEA]],3,0)</f>
        <v>#N/A</v>
      </c>
      <c r="E1827" s="1" t="e">
        <f>VLOOKUP(Tabla_Items_Activos[[#This Row],[CODIGO]],Tabla_Items_Completos[[CODIGO]:[LINEA]],4,0)</f>
        <v>#N/A</v>
      </c>
      <c r="F1827">
        <v>1124</v>
      </c>
      <c r="G1827">
        <v>59</v>
      </c>
    </row>
    <row r="1828" spans="1:7">
      <c r="A1828" t="s">
        <v>7388</v>
      </c>
      <c r="B1828" t="s">
        <v>9215</v>
      </c>
      <c r="C1828" s="1" t="e">
        <f>VLOOKUP(Tabla_Items_Activos[[#This Row],[CODIGO]],Tabla_Items_Completos[[CODIGO]:[LINEA]],2,0)</f>
        <v>#N/A</v>
      </c>
      <c r="D1828" s="1" t="e">
        <f>VLOOKUP(Tabla_Items_Activos[[#This Row],[CODIGO]],Tabla_Items_Completos[[CODIGO]:[LINEA]],3,0)</f>
        <v>#N/A</v>
      </c>
      <c r="E1828" s="1" t="e">
        <f>VLOOKUP(Tabla_Items_Activos[[#This Row],[CODIGO]],Tabla_Items_Completos[[CODIGO]:[LINEA]],4,0)</f>
        <v>#N/A</v>
      </c>
      <c r="F1828">
        <v>586</v>
      </c>
      <c r="G1828">
        <v>230</v>
      </c>
    </row>
    <row r="1829" spans="1:7">
      <c r="A1829" t="s">
        <v>7388</v>
      </c>
      <c r="B1829" t="s">
        <v>9216</v>
      </c>
      <c r="C1829" s="1" t="e">
        <f>VLOOKUP(Tabla_Items_Activos[[#This Row],[CODIGO]],Tabla_Items_Completos[[CODIGO]:[LINEA]],2,0)</f>
        <v>#N/A</v>
      </c>
      <c r="D1829" s="1" t="e">
        <f>VLOOKUP(Tabla_Items_Activos[[#This Row],[CODIGO]],Tabla_Items_Completos[[CODIGO]:[LINEA]],3,0)</f>
        <v>#N/A</v>
      </c>
      <c r="E1829" s="1" t="e">
        <f>VLOOKUP(Tabla_Items_Activos[[#This Row],[CODIGO]],Tabla_Items_Completos[[CODIGO]:[LINEA]],4,0)</f>
        <v>#N/A</v>
      </c>
      <c r="F1829">
        <v>693</v>
      </c>
      <c r="G1829">
        <v>0</v>
      </c>
    </row>
    <row r="1830" spans="1:7">
      <c r="A1830" t="s">
        <v>7388</v>
      </c>
      <c r="B1830" t="s">
        <v>9217</v>
      </c>
      <c r="C1830" s="1" t="e">
        <f>VLOOKUP(Tabla_Items_Activos[[#This Row],[CODIGO]],Tabla_Items_Completos[[CODIGO]:[LINEA]],2,0)</f>
        <v>#N/A</v>
      </c>
      <c r="D1830" s="1" t="e">
        <f>VLOOKUP(Tabla_Items_Activos[[#This Row],[CODIGO]],Tabla_Items_Completos[[CODIGO]:[LINEA]],3,0)</f>
        <v>#N/A</v>
      </c>
      <c r="E1830" s="1" t="e">
        <f>VLOOKUP(Tabla_Items_Activos[[#This Row],[CODIGO]],Tabla_Items_Completos[[CODIGO]:[LINEA]],4,0)</f>
        <v>#N/A</v>
      </c>
      <c r="F1830">
        <v>626</v>
      </c>
      <c r="G1830">
        <v>154</v>
      </c>
    </row>
    <row r="1831" spans="1:7">
      <c r="A1831" t="s">
        <v>7388</v>
      </c>
      <c r="B1831" t="s">
        <v>9218</v>
      </c>
      <c r="C1831" s="1" t="e">
        <f>VLOOKUP(Tabla_Items_Activos[[#This Row],[CODIGO]],Tabla_Items_Completos[[CODIGO]:[LINEA]],2,0)</f>
        <v>#N/A</v>
      </c>
      <c r="D1831" s="1" t="e">
        <f>VLOOKUP(Tabla_Items_Activos[[#This Row],[CODIGO]],Tabla_Items_Completos[[CODIGO]:[LINEA]],3,0)</f>
        <v>#N/A</v>
      </c>
      <c r="E1831" s="1" t="e">
        <f>VLOOKUP(Tabla_Items_Activos[[#This Row],[CODIGO]],Tabla_Items_Completos[[CODIGO]:[LINEA]],4,0)</f>
        <v>#N/A</v>
      </c>
      <c r="F1831">
        <v>33</v>
      </c>
      <c r="G1831">
        <v>147</v>
      </c>
    </row>
    <row r="1832" spans="1:7">
      <c r="A1832" t="s">
        <v>7388</v>
      </c>
      <c r="B1832" t="s">
        <v>9219</v>
      </c>
      <c r="C1832" s="1" t="e">
        <f>VLOOKUP(Tabla_Items_Activos[[#This Row],[CODIGO]],Tabla_Items_Completos[[CODIGO]:[LINEA]],2,0)</f>
        <v>#N/A</v>
      </c>
      <c r="D1832" s="1" t="e">
        <f>VLOOKUP(Tabla_Items_Activos[[#This Row],[CODIGO]],Tabla_Items_Completos[[CODIGO]:[LINEA]],3,0)</f>
        <v>#N/A</v>
      </c>
      <c r="E1832" s="1" t="e">
        <f>VLOOKUP(Tabla_Items_Activos[[#This Row],[CODIGO]],Tabla_Items_Completos[[CODIGO]:[LINEA]],4,0)</f>
        <v>#N/A</v>
      </c>
      <c r="F1832">
        <v>1205</v>
      </c>
      <c r="G1832">
        <v>348</v>
      </c>
    </row>
    <row r="1833" spans="1:7">
      <c r="A1833" t="s">
        <v>7388</v>
      </c>
      <c r="B1833" t="s">
        <v>9220</v>
      </c>
      <c r="C1833" s="1" t="e">
        <f>VLOOKUP(Tabla_Items_Activos[[#This Row],[CODIGO]],Tabla_Items_Completos[[CODIGO]:[LINEA]],2,0)</f>
        <v>#N/A</v>
      </c>
      <c r="D1833" s="1" t="e">
        <f>VLOOKUP(Tabla_Items_Activos[[#This Row],[CODIGO]],Tabla_Items_Completos[[CODIGO]:[LINEA]],3,0)</f>
        <v>#N/A</v>
      </c>
      <c r="E1833" s="1" t="e">
        <f>VLOOKUP(Tabla_Items_Activos[[#This Row],[CODIGO]],Tabla_Items_Completos[[CODIGO]:[LINEA]],4,0)</f>
        <v>#N/A</v>
      </c>
      <c r="F1833">
        <v>260</v>
      </c>
      <c r="G1833">
        <v>182</v>
      </c>
    </row>
    <row r="1834" spans="1:7">
      <c r="A1834" t="s">
        <v>7388</v>
      </c>
      <c r="B1834" t="s">
        <v>9221</v>
      </c>
      <c r="C1834" s="1" t="e">
        <f>VLOOKUP(Tabla_Items_Activos[[#This Row],[CODIGO]],Tabla_Items_Completos[[CODIGO]:[LINEA]],2,0)</f>
        <v>#N/A</v>
      </c>
      <c r="D1834" s="1" t="e">
        <f>VLOOKUP(Tabla_Items_Activos[[#This Row],[CODIGO]],Tabla_Items_Completos[[CODIGO]:[LINEA]],3,0)</f>
        <v>#N/A</v>
      </c>
      <c r="E1834" s="1" t="e">
        <f>VLOOKUP(Tabla_Items_Activos[[#This Row],[CODIGO]],Tabla_Items_Completos[[CODIGO]:[LINEA]],4,0)</f>
        <v>#N/A</v>
      </c>
      <c r="F1834">
        <v>142</v>
      </c>
      <c r="G1834">
        <v>373</v>
      </c>
    </row>
    <row r="1835" spans="1:7">
      <c r="A1835" t="s">
        <v>7388</v>
      </c>
      <c r="B1835" t="s">
        <v>9222</v>
      </c>
      <c r="C1835" s="1" t="e">
        <f>VLOOKUP(Tabla_Items_Activos[[#This Row],[CODIGO]],Tabla_Items_Completos[[CODIGO]:[LINEA]],2,0)</f>
        <v>#N/A</v>
      </c>
      <c r="D1835" s="1" t="e">
        <f>VLOOKUP(Tabla_Items_Activos[[#This Row],[CODIGO]],Tabla_Items_Completos[[CODIGO]:[LINEA]],3,0)</f>
        <v>#N/A</v>
      </c>
      <c r="E1835" s="1" t="e">
        <f>VLOOKUP(Tabla_Items_Activos[[#This Row],[CODIGO]],Tabla_Items_Completos[[CODIGO]:[LINEA]],4,0)</f>
        <v>#N/A</v>
      </c>
      <c r="F1835">
        <v>2338</v>
      </c>
      <c r="G1835">
        <v>600</v>
      </c>
    </row>
    <row r="1836" spans="1:7">
      <c r="A1836" t="s">
        <v>7388</v>
      </c>
      <c r="B1836" t="s">
        <v>9223</v>
      </c>
      <c r="C1836" s="1" t="e">
        <f>VLOOKUP(Tabla_Items_Activos[[#This Row],[CODIGO]],Tabla_Items_Completos[[CODIGO]:[LINEA]],2,0)</f>
        <v>#N/A</v>
      </c>
      <c r="D1836" s="1" t="e">
        <f>VLOOKUP(Tabla_Items_Activos[[#This Row],[CODIGO]],Tabla_Items_Completos[[CODIGO]:[LINEA]],3,0)</f>
        <v>#N/A</v>
      </c>
      <c r="E1836" s="1" t="e">
        <f>VLOOKUP(Tabla_Items_Activos[[#This Row],[CODIGO]],Tabla_Items_Completos[[CODIGO]:[LINEA]],4,0)</f>
        <v>#N/A</v>
      </c>
      <c r="F1836">
        <v>1329</v>
      </c>
      <c r="G1836">
        <v>0</v>
      </c>
    </row>
    <row r="1837" spans="1:7">
      <c r="A1837" t="s">
        <v>7388</v>
      </c>
      <c r="B1837" t="s">
        <v>9224</v>
      </c>
      <c r="C1837" s="1" t="e">
        <f>VLOOKUP(Tabla_Items_Activos[[#This Row],[CODIGO]],Tabla_Items_Completos[[CODIGO]:[LINEA]],2,0)</f>
        <v>#N/A</v>
      </c>
      <c r="D1837" s="1" t="e">
        <f>VLOOKUP(Tabla_Items_Activos[[#This Row],[CODIGO]],Tabla_Items_Completos[[CODIGO]:[LINEA]],3,0)</f>
        <v>#N/A</v>
      </c>
      <c r="E1837" s="1" t="e">
        <f>VLOOKUP(Tabla_Items_Activos[[#This Row],[CODIGO]],Tabla_Items_Completos[[CODIGO]:[LINEA]],4,0)</f>
        <v>#N/A</v>
      </c>
      <c r="F1837">
        <v>3851</v>
      </c>
      <c r="G1837">
        <v>0</v>
      </c>
    </row>
    <row r="1838" spans="1:7">
      <c r="A1838" t="s">
        <v>7388</v>
      </c>
      <c r="B1838" t="s">
        <v>9225</v>
      </c>
      <c r="C1838" s="1" t="e">
        <f>VLOOKUP(Tabla_Items_Activos[[#This Row],[CODIGO]],Tabla_Items_Completos[[CODIGO]:[LINEA]],2,0)</f>
        <v>#N/A</v>
      </c>
      <c r="D1838" s="1" t="e">
        <f>VLOOKUP(Tabla_Items_Activos[[#This Row],[CODIGO]],Tabla_Items_Completos[[CODIGO]:[LINEA]],3,0)</f>
        <v>#N/A</v>
      </c>
      <c r="E1838" s="1" t="e">
        <f>VLOOKUP(Tabla_Items_Activos[[#This Row],[CODIGO]],Tabla_Items_Completos[[CODIGO]:[LINEA]],4,0)</f>
        <v>#N/A</v>
      </c>
      <c r="F1838">
        <v>535</v>
      </c>
      <c r="G1838">
        <v>158</v>
      </c>
    </row>
    <row r="1839" spans="1:7">
      <c r="A1839" t="s">
        <v>7388</v>
      </c>
      <c r="B1839" t="s">
        <v>9226</v>
      </c>
      <c r="C1839" s="1" t="e">
        <f>VLOOKUP(Tabla_Items_Activos[[#This Row],[CODIGO]],Tabla_Items_Completos[[CODIGO]:[LINEA]],2,0)</f>
        <v>#N/A</v>
      </c>
      <c r="D1839" s="1" t="e">
        <f>VLOOKUP(Tabla_Items_Activos[[#This Row],[CODIGO]],Tabla_Items_Completos[[CODIGO]:[LINEA]],3,0)</f>
        <v>#N/A</v>
      </c>
      <c r="E1839" s="1" t="e">
        <f>VLOOKUP(Tabla_Items_Activos[[#This Row],[CODIGO]],Tabla_Items_Completos[[CODIGO]:[LINEA]],4,0)</f>
        <v>#N/A</v>
      </c>
      <c r="F1839">
        <v>103</v>
      </c>
      <c r="G1839">
        <v>74</v>
      </c>
    </row>
    <row r="1840" spans="1:7">
      <c r="A1840" t="s">
        <v>7388</v>
      </c>
      <c r="B1840" t="s">
        <v>9227</v>
      </c>
      <c r="C1840" s="1" t="e">
        <f>VLOOKUP(Tabla_Items_Activos[[#This Row],[CODIGO]],Tabla_Items_Completos[[CODIGO]:[LINEA]],2,0)</f>
        <v>#N/A</v>
      </c>
      <c r="D1840" s="1" t="e">
        <f>VLOOKUP(Tabla_Items_Activos[[#This Row],[CODIGO]],Tabla_Items_Completos[[CODIGO]:[LINEA]],3,0)</f>
        <v>#N/A</v>
      </c>
      <c r="E1840" s="1" t="e">
        <f>VLOOKUP(Tabla_Items_Activos[[#This Row],[CODIGO]],Tabla_Items_Completos[[CODIGO]:[LINEA]],4,0)</f>
        <v>#N/A</v>
      </c>
      <c r="F1840">
        <v>167</v>
      </c>
      <c r="G1840">
        <v>937</v>
      </c>
    </row>
    <row r="1841" spans="1:7">
      <c r="A1841" t="s">
        <v>7388</v>
      </c>
      <c r="B1841" t="s">
        <v>9228</v>
      </c>
      <c r="C1841" s="1" t="e">
        <f>VLOOKUP(Tabla_Items_Activos[[#This Row],[CODIGO]],Tabla_Items_Completos[[CODIGO]:[LINEA]],2,0)</f>
        <v>#N/A</v>
      </c>
      <c r="D1841" s="1" t="e">
        <f>VLOOKUP(Tabla_Items_Activos[[#This Row],[CODIGO]],Tabla_Items_Completos[[CODIGO]:[LINEA]],3,0)</f>
        <v>#N/A</v>
      </c>
      <c r="E1841" s="1" t="e">
        <f>VLOOKUP(Tabla_Items_Activos[[#This Row],[CODIGO]],Tabla_Items_Completos[[CODIGO]:[LINEA]],4,0)</f>
        <v>#N/A</v>
      </c>
      <c r="F1841">
        <v>146</v>
      </c>
      <c r="G1841">
        <v>357</v>
      </c>
    </row>
    <row r="1842" spans="1:7">
      <c r="A1842" t="s">
        <v>7388</v>
      </c>
      <c r="B1842" t="s">
        <v>9229</v>
      </c>
      <c r="C1842" s="1" t="e">
        <f>VLOOKUP(Tabla_Items_Activos[[#This Row],[CODIGO]],Tabla_Items_Completos[[CODIGO]:[LINEA]],2,0)</f>
        <v>#N/A</v>
      </c>
      <c r="D1842" s="1" t="e">
        <f>VLOOKUP(Tabla_Items_Activos[[#This Row],[CODIGO]],Tabla_Items_Completos[[CODIGO]:[LINEA]],3,0)</f>
        <v>#N/A</v>
      </c>
      <c r="E1842" s="1" t="e">
        <f>VLOOKUP(Tabla_Items_Activos[[#This Row],[CODIGO]],Tabla_Items_Completos[[CODIGO]:[LINEA]],4,0)</f>
        <v>#N/A</v>
      </c>
      <c r="F1842">
        <v>382</v>
      </c>
      <c r="G1842">
        <v>1655</v>
      </c>
    </row>
    <row r="1843" spans="1:7">
      <c r="A1843" t="s">
        <v>7388</v>
      </c>
      <c r="B1843" t="s">
        <v>9230</v>
      </c>
      <c r="C1843" s="1" t="e">
        <f>VLOOKUP(Tabla_Items_Activos[[#This Row],[CODIGO]],Tabla_Items_Completos[[CODIGO]:[LINEA]],2,0)</f>
        <v>#N/A</v>
      </c>
      <c r="D1843" s="1" t="e">
        <f>VLOOKUP(Tabla_Items_Activos[[#This Row],[CODIGO]],Tabla_Items_Completos[[CODIGO]:[LINEA]],3,0)</f>
        <v>#N/A</v>
      </c>
      <c r="E1843" s="1" t="e">
        <f>VLOOKUP(Tabla_Items_Activos[[#This Row],[CODIGO]],Tabla_Items_Completos[[CODIGO]:[LINEA]],4,0)</f>
        <v>#N/A</v>
      </c>
      <c r="F1843">
        <v>353</v>
      </c>
      <c r="G1843">
        <v>81</v>
      </c>
    </row>
    <row r="1844" spans="1:7">
      <c r="A1844" t="s">
        <v>7388</v>
      </c>
      <c r="B1844" t="s">
        <v>9231</v>
      </c>
      <c r="C1844" s="1" t="e">
        <f>VLOOKUP(Tabla_Items_Activos[[#This Row],[CODIGO]],Tabla_Items_Completos[[CODIGO]:[LINEA]],2,0)</f>
        <v>#N/A</v>
      </c>
      <c r="D1844" s="1" t="e">
        <f>VLOOKUP(Tabla_Items_Activos[[#This Row],[CODIGO]],Tabla_Items_Completos[[CODIGO]:[LINEA]],3,0)</f>
        <v>#N/A</v>
      </c>
      <c r="E1844" s="1" t="e">
        <f>VLOOKUP(Tabla_Items_Activos[[#This Row],[CODIGO]],Tabla_Items_Completos[[CODIGO]:[LINEA]],4,0)</f>
        <v>#N/A</v>
      </c>
      <c r="F1844">
        <v>788</v>
      </c>
      <c r="G1844">
        <v>0</v>
      </c>
    </row>
    <row r="1845" spans="1:7">
      <c r="A1845" t="s">
        <v>7388</v>
      </c>
      <c r="B1845" t="s">
        <v>9232</v>
      </c>
      <c r="C1845" s="1" t="e">
        <f>VLOOKUP(Tabla_Items_Activos[[#This Row],[CODIGO]],Tabla_Items_Completos[[CODIGO]:[LINEA]],2,0)</f>
        <v>#N/A</v>
      </c>
      <c r="D1845" s="1" t="e">
        <f>VLOOKUP(Tabla_Items_Activos[[#This Row],[CODIGO]],Tabla_Items_Completos[[CODIGO]:[LINEA]],3,0)</f>
        <v>#N/A</v>
      </c>
      <c r="E1845" s="1" t="e">
        <f>VLOOKUP(Tabla_Items_Activos[[#This Row],[CODIGO]],Tabla_Items_Completos[[CODIGO]:[LINEA]],4,0)</f>
        <v>#N/A</v>
      </c>
      <c r="F1845">
        <v>408</v>
      </c>
      <c r="G1845">
        <v>105</v>
      </c>
    </row>
    <row r="1846" spans="1:7">
      <c r="A1846" t="s">
        <v>7388</v>
      </c>
      <c r="B1846" t="s">
        <v>9233</v>
      </c>
      <c r="C1846" s="1" t="e">
        <f>VLOOKUP(Tabla_Items_Activos[[#This Row],[CODIGO]],Tabla_Items_Completos[[CODIGO]:[LINEA]],2,0)</f>
        <v>#N/A</v>
      </c>
      <c r="D1846" s="1" t="e">
        <f>VLOOKUP(Tabla_Items_Activos[[#This Row],[CODIGO]],Tabla_Items_Completos[[CODIGO]:[LINEA]],3,0)</f>
        <v>#N/A</v>
      </c>
      <c r="E1846" s="1" t="e">
        <f>VLOOKUP(Tabla_Items_Activos[[#This Row],[CODIGO]],Tabla_Items_Completos[[CODIGO]:[LINEA]],4,0)</f>
        <v>#N/A</v>
      </c>
      <c r="F1846">
        <v>825</v>
      </c>
      <c r="G1846">
        <v>42</v>
      </c>
    </row>
    <row r="1847" spans="1:7">
      <c r="A1847" t="s">
        <v>7388</v>
      </c>
      <c r="B1847" t="s">
        <v>9234</v>
      </c>
      <c r="C1847" s="1" t="e">
        <f>VLOOKUP(Tabla_Items_Activos[[#This Row],[CODIGO]],Tabla_Items_Completos[[CODIGO]:[LINEA]],2,0)</f>
        <v>#N/A</v>
      </c>
      <c r="D1847" s="1" t="e">
        <f>VLOOKUP(Tabla_Items_Activos[[#This Row],[CODIGO]],Tabla_Items_Completos[[CODIGO]:[LINEA]],3,0)</f>
        <v>#N/A</v>
      </c>
      <c r="E1847" s="1" t="e">
        <f>VLOOKUP(Tabla_Items_Activos[[#This Row],[CODIGO]],Tabla_Items_Completos[[CODIGO]:[LINEA]],4,0)</f>
        <v>#N/A</v>
      </c>
      <c r="F1847">
        <v>57</v>
      </c>
      <c r="G1847">
        <v>51</v>
      </c>
    </row>
    <row r="1848" spans="1:7">
      <c r="A1848" t="s">
        <v>7388</v>
      </c>
      <c r="B1848" t="s">
        <v>9235</v>
      </c>
      <c r="C1848" s="1" t="e">
        <f>VLOOKUP(Tabla_Items_Activos[[#This Row],[CODIGO]],Tabla_Items_Completos[[CODIGO]:[LINEA]],2,0)</f>
        <v>#N/A</v>
      </c>
      <c r="D1848" s="1" t="e">
        <f>VLOOKUP(Tabla_Items_Activos[[#This Row],[CODIGO]],Tabla_Items_Completos[[CODIGO]:[LINEA]],3,0)</f>
        <v>#N/A</v>
      </c>
      <c r="E1848" s="1" t="e">
        <f>VLOOKUP(Tabla_Items_Activos[[#This Row],[CODIGO]],Tabla_Items_Completos[[CODIGO]:[LINEA]],4,0)</f>
        <v>#N/A</v>
      </c>
      <c r="F1848">
        <v>40</v>
      </c>
      <c r="G1848">
        <v>57</v>
      </c>
    </row>
    <row r="1849" spans="1:7">
      <c r="A1849" t="s">
        <v>7388</v>
      </c>
      <c r="B1849" t="s">
        <v>9236</v>
      </c>
      <c r="C1849" s="1" t="e">
        <f>VLOOKUP(Tabla_Items_Activos[[#This Row],[CODIGO]],Tabla_Items_Completos[[CODIGO]:[LINEA]],2,0)</f>
        <v>#N/A</v>
      </c>
      <c r="D1849" s="1" t="e">
        <f>VLOOKUP(Tabla_Items_Activos[[#This Row],[CODIGO]],Tabla_Items_Completos[[CODIGO]:[LINEA]],3,0)</f>
        <v>#N/A</v>
      </c>
      <c r="E1849" s="1" t="e">
        <f>VLOOKUP(Tabla_Items_Activos[[#This Row],[CODIGO]],Tabla_Items_Completos[[CODIGO]:[LINEA]],4,0)</f>
        <v>#N/A</v>
      </c>
      <c r="F1849">
        <v>578</v>
      </c>
      <c r="G1849">
        <v>814</v>
      </c>
    </row>
    <row r="1850" spans="1:7">
      <c r="A1850" t="s">
        <v>7388</v>
      </c>
      <c r="B1850" t="s">
        <v>9237</v>
      </c>
      <c r="C1850" s="1" t="e">
        <f>VLOOKUP(Tabla_Items_Activos[[#This Row],[CODIGO]],Tabla_Items_Completos[[CODIGO]:[LINEA]],2,0)</f>
        <v>#N/A</v>
      </c>
      <c r="D1850" s="1" t="e">
        <f>VLOOKUP(Tabla_Items_Activos[[#This Row],[CODIGO]],Tabla_Items_Completos[[CODIGO]:[LINEA]],3,0)</f>
        <v>#N/A</v>
      </c>
      <c r="E1850" s="1" t="e">
        <f>VLOOKUP(Tabla_Items_Activos[[#This Row],[CODIGO]],Tabla_Items_Completos[[CODIGO]:[LINEA]],4,0)</f>
        <v>#N/A</v>
      </c>
      <c r="F1850">
        <v>1403</v>
      </c>
      <c r="G1850">
        <v>843</v>
      </c>
    </row>
    <row r="1851" spans="1:7">
      <c r="A1851" t="s">
        <v>7388</v>
      </c>
      <c r="B1851" t="s">
        <v>9238</v>
      </c>
      <c r="C1851" s="1" t="e">
        <f>VLOOKUP(Tabla_Items_Activos[[#This Row],[CODIGO]],Tabla_Items_Completos[[CODIGO]:[LINEA]],2,0)</f>
        <v>#N/A</v>
      </c>
      <c r="D1851" s="1" t="e">
        <f>VLOOKUP(Tabla_Items_Activos[[#This Row],[CODIGO]],Tabla_Items_Completos[[CODIGO]:[LINEA]],3,0)</f>
        <v>#N/A</v>
      </c>
      <c r="E1851" s="1" t="e">
        <f>VLOOKUP(Tabla_Items_Activos[[#This Row],[CODIGO]],Tabla_Items_Completos[[CODIGO]:[LINEA]],4,0)</f>
        <v>#N/A</v>
      </c>
      <c r="F1851">
        <v>716</v>
      </c>
      <c r="G1851">
        <v>250</v>
      </c>
    </row>
    <row r="1852" spans="1:7">
      <c r="A1852" t="s">
        <v>7388</v>
      </c>
      <c r="B1852" t="s">
        <v>9239</v>
      </c>
      <c r="C1852" s="1" t="e">
        <f>VLOOKUP(Tabla_Items_Activos[[#This Row],[CODIGO]],Tabla_Items_Completos[[CODIGO]:[LINEA]],2,0)</f>
        <v>#N/A</v>
      </c>
      <c r="D1852" s="1" t="e">
        <f>VLOOKUP(Tabla_Items_Activos[[#This Row],[CODIGO]],Tabla_Items_Completos[[CODIGO]:[LINEA]],3,0)</f>
        <v>#N/A</v>
      </c>
      <c r="E1852" s="1" t="e">
        <f>VLOOKUP(Tabla_Items_Activos[[#This Row],[CODIGO]],Tabla_Items_Completos[[CODIGO]:[LINEA]],4,0)</f>
        <v>#N/A</v>
      </c>
      <c r="F1852">
        <v>1206</v>
      </c>
      <c r="G1852">
        <v>508</v>
      </c>
    </row>
    <row r="1853" spans="1:7">
      <c r="A1853" t="s">
        <v>7388</v>
      </c>
      <c r="B1853" t="s">
        <v>9240</v>
      </c>
      <c r="C1853" s="1" t="e">
        <f>VLOOKUP(Tabla_Items_Activos[[#This Row],[CODIGO]],Tabla_Items_Completos[[CODIGO]:[LINEA]],2,0)</f>
        <v>#N/A</v>
      </c>
      <c r="D1853" s="1" t="e">
        <f>VLOOKUP(Tabla_Items_Activos[[#This Row],[CODIGO]],Tabla_Items_Completos[[CODIGO]:[LINEA]],3,0)</f>
        <v>#N/A</v>
      </c>
      <c r="E1853" s="1" t="e">
        <f>VLOOKUP(Tabla_Items_Activos[[#This Row],[CODIGO]],Tabla_Items_Completos[[CODIGO]:[LINEA]],4,0)</f>
        <v>#N/A</v>
      </c>
      <c r="F1853">
        <v>280</v>
      </c>
      <c r="G1853">
        <v>280</v>
      </c>
    </row>
    <row r="1854" spans="1:7">
      <c r="A1854" t="s">
        <v>7388</v>
      </c>
      <c r="B1854" t="s">
        <v>9241</v>
      </c>
      <c r="C1854" s="1" t="e">
        <f>VLOOKUP(Tabla_Items_Activos[[#This Row],[CODIGO]],Tabla_Items_Completos[[CODIGO]:[LINEA]],2,0)</f>
        <v>#N/A</v>
      </c>
      <c r="D1854" s="1" t="e">
        <f>VLOOKUP(Tabla_Items_Activos[[#This Row],[CODIGO]],Tabla_Items_Completos[[CODIGO]:[LINEA]],3,0)</f>
        <v>#N/A</v>
      </c>
      <c r="E1854" s="1" t="e">
        <f>VLOOKUP(Tabla_Items_Activos[[#This Row],[CODIGO]],Tabla_Items_Completos[[CODIGO]:[LINEA]],4,0)</f>
        <v>#N/A</v>
      </c>
      <c r="F1854">
        <v>631</v>
      </c>
      <c r="G1854">
        <v>75</v>
      </c>
    </row>
    <row r="1855" spans="1:7">
      <c r="A1855" t="s">
        <v>7388</v>
      </c>
      <c r="B1855" t="s">
        <v>9242</v>
      </c>
      <c r="C1855" s="1" t="e">
        <f>VLOOKUP(Tabla_Items_Activos[[#This Row],[CODIGO]],Tabla_Items_Completos[[CODIGO]:[LINEA]],2,0)</f>
        <v>#N/A</v>
      </c>
      <c r="D1855" s="1" t="e">
        <f>VLOOKUP(Tabla_Items_Activos[[#This Row],[CODIGO]],Tabla_Items_Completos[[CODIGO]:[LINEA]],3,0)</f>
        <v>#N/A</v>
      </c>
      <c r="E1855" s="1" t="e">
        <f>VLOOKUP(Tabla_Items_Activos[[#This Row],[CODIGO]],Tabla_Items_Completos[[CODIGO]:[LINEA]],4,0)</f>
        <v>#N/A</v>
      </c>
      <c r="F1855">
        <v>833</v>
      </c>
      <c r="G1855">
        <v>950</v>
      </c>
    </row>
    <row r="1856" spans="1:7">
      <c r="A1856" t="s">
        <v>7388</v>
      </c>
      <c r="B1856" t="s">
        <v>9243</v>
      </c>
      <c r="C1856" s="1" t="e">
        <f>VLOOKUP(Tabla_Items_Activos[[#This Row],[CODIGO]],Tabla_Items_Completos[[CODIGO]:[LINEA]],2,0)</f>
        <v>#N/A</v>
      </c>
      <c r="D1856" s="1" t="e">
        <f>VLOOKUP(Tabla_Items_Activos[[#This Row],[CODIGO]],Tabla_Items_Completos[[CODIGO]:[LINEA]],3,0)</f>
        <v>#N/A</v>
      </c>
      <c r="E1856" s="1" t="e">
        <f>VLOOKUP(Tabla_Items_Activos[[#This Row],[CODIGO]],Tabla_Items_Completos[[CODIGO]:[LINEA]],4,0)</f>
        <v>#N/A</v>
      </c>
      <c r="F1856">
        <v>342</v>
      </c>
      <c r="G1856">
        <v>294</v>
      </c>
    </row>
    <row r="1857" spans="1:7">
      <c r="A1857" t="s">
        <v>7388</v>
      </c>
      <c r="B1857" t="s">
        <v>9244</v>
      </c>
      <c r="C1857" s="1" t="e">
        <f>VLOOKUP(Tabla_Items_Activos[[#This Row],[CODIGO]],Tabla_Items_Completos[[CODIGO]:[LINEA]],2,0)</f>
        <v>#N/A</v>
      </c>
      <c r="D1857" s="1" t="e">
        <f>VLOOKUP(Tabla_Items_Activos[[#This Row],[CODIGO]],Tabla_Items_Completos[[CODIGO]:[LINEA]],3,0)</f>
        <v>#N/A</v>
      </c>
      <c r="E1857" s="1" t="e">
        <f>VLOOKUP(Tabla_Items_Activos[[#This Row],[CODIGO]],Tabla_Items_Completos[[CODIGO]:[LINEA]],4,0)</f>
        <v>#N/A</v>
      </c>
      <c r="F1857">
        <v>607</v>
      </c>
      <c r="G1857">
        <v>895</v>
      </c>
    </row>
    <row r="1858" spans="1:7">
      <c r="A1858" t="s">
        <v>7388</v>
      </c>
      <c r="B1858" t="s">
        <v>9245</v>
      </c>
      <c r="C1858" s="1" t="e">
        <f>VLOOKUP(Tabla_Items_Activos[[#This Row],[CODIGO]],Tabla_Items_Completos[[CODIGO]:[LINEA]],2,0)</f>
        <v>#N/A</v>
      </c>
      <c r="D1858" s="1" t="e">
        <f>VLOOKUP(Tabla_Items_Activos[[#This Row],[CODIGO]],Tabla_Items_Completos[[CODIGO]:[LINEA]],3,0)</f>
        <v>#N/A</v>
      </c>
      <c r="E1858" s="1" t="e">
        <f>VLOOKUP(Tabla_Items_Activos[[#This Row],[CODIGO]],Tabla_Items_Completos[[CODIGO]:[LINEA]],4,0)</f>
        <v>#N/A</v>
      </c>
      <c r="F1858">
        <v>867</v>
      </c>
      <c r="G1858">
        <v>610</v>
      </c>
    </row>
    <row r="1859" spans="1:7">
      <c r="A1859" t="s">
        <v>7388</v>
      </c>
      <c r="B1859" t="s">
        <v>9246</v>
      </c>
      <c r="C1859" s="1" t="e">
        <f>VLOOKUP(Tabla_Items_Activos[[#This Row],[CODIGO]],Tabla_Items_Completos[[CODIGO]:[LINEA]],2,0)</f>
        <v>#N/A</v>
      </c>
      <c r="D1859" s="1" t="e">
        <f>VLOOKUP(Tabla_Items_Activos[[#This Row],[CODIGO]],Tabla_Items_Completos[[CODIGO]:[LINEA]],3,0)</f>
        <v>#N/A</v>
      </c>
      <c r="E1859" s="1" t="e">
        <f>VLOOKUP(Tabla_Items_Activos[[#This Row],[CODIGO]],Tabla_Items_Completos[[CODIGO]:[LINEA]],4,0)</f>
        <v>#N/A</v>
      </c>
      <c r="F1859">
        <v>894</v>
      </c>
      <c r="G1859">
        <v>180</v>
      </c>
    </row>
    <row r="1860" spans="1:7">
      <c r="A1860" t="s">
        <v>7388</v>
      </c>
      <c r="B1860" t="s">
        <v>9247</v>
      </c>
      <c r="C1860" s="1" t="e">
        <f>VLOOKUP(Tabla_Items_Activos[[#This Row],[CODIGO]],Tabla_Items_Completos[[CODIGO]:[LINEA]],2,0)</f>
        <v>#N/A</v>
      </c>
      <c r="D1860" s="1" t="e">
        <f>VLOOKUP(Tabla_Items_Activos[[#This Row],[CODIGO]],Tabla_Items_Completos[[CODIGO]:[LINEA]],3,0)</f>
        <v>#N/A</v>
      </c>
      <c r="E1860" s="1" t="e">
        <f>VLOOKUP(Tabla_Items_Activos[[#This Row],[CODIGO]],Tabla_Items_Completos[[CODIGO]:[LINEA]],4,0)</f>
        <v>#N/A</v>
      </c>
      <c r="F1860">
        <v>578</v>
      </c>
      <c r="G1860">
        <v>140</v>
      </c>
    </row>
    <row r="1861" spans="1:7">
      <c r="A1861" t="s">
        <v>7388</v>
      </c>
      <c r="B1861" t="s">
        <v>9248</v>
      </c>
      <c r="C1861" s="1" t="e">
        <f>VLOOKUP(Tabla_Items_Activos[[#This Row],[CODIGO]],Tabla_Items_Completos[[CODIGO]:[LINEA]],2,0)</f>
        <v>#N/A</v>
      </c>
      <c r="D1861" s="1" t="e">
        <f>VLOOKUP(Tabla_Items_Activos[[#This Row],[CODIGO]],Tabla_Items_Completos[[CODIGO]:[LINEA]],3,0)</f>
        <v>#N/A</v>
      </c>
      <c r="E1861" s="1" t="e">
        <f>VLOOKUP(Tabla_Items_Activos[[#This Row],[CODIGO]],Tabla_Items_Completos[[CODIGO]:[LINEA]],4,0)</f>
        <v>#N/A</v>
      </c>
      <c r="F1861">
        <v>649</v>
      </c>
      <c r="G1861">
        <v>325</v>
      </c>
    </row>
    <row r="1862" spans="1:7">
      <c r="A1862" t="s">
        <v>7388</v>
      </c>
      <c r="B1862" t="s">
        <v>9249</v>
      </c>
      <c r="C1862" s="1" t="e">
        <f>VLOOKUP(Tabla_Items_Activos[[#This Row],[CODIGO]],Tabla_Items_Completos[[CODIGO]:[LINEA]],2,0)</f>
        <v>#N/A</v>
      </c>
      <c r="D1862" s="1" t="e">
        <f>VLOOKUP(Tabla_Items_Activos[[#This Row],[CODIGO]],Tabla_Items_Completos[[CODIGO]:[LINEA]],3,0)</f>
        <v>#N/A</v>
      </c>
      <c r="E1862" s="1" t="e">
        <f>VLOOKUP(Tabla_Items_Activos[[#This Row],[CODIGO]],Tabla_Items_Completos[[CODIGO]:[LINEA]],4,0)</f>
        <v>#N/A</v>
      </c>
      <c r="F1862">
        <v>3072</v>
      </c>
      <c r="G1862">
        <v>785</v>
      </c>
    </row>
    <row r="1863" spans="1:7">
      <c r="A1863" t="s">
        <v>7388</v>
      </c>
      <c r="B1863" t="s">
        <v>9250</v>
      </c>
      <c r="C1863" s="1" t="e">
        <f>VLOOKUP(Tabla_Items_Activos[[#This Row],[CODIGO]],Tabla_Items_Completos[[CODIGO]:[LINEA]],2,0)</f>
        <v>#N/A</v>
      </c>
      <c r="D1863" s="1" t="e">
        <f>VLOOKUP(Tabla_Items_Activos[[#This Row],[CODIGO]],Tabla_Items_Completos[[CODIGO]:[LINEA]],3,0)</f>
        <v>#N/A</v>
      </c>
      <c r="E1863" s="1" t="e">
        <f>VLOOKUP(Tabla_Items_Activos[[#This Row],[CODIGO]],Tabla_Items_Completos[[CODIGO]:[LINEA]],4,0)</f>
        <v>#N/A</v>
      </c>
      <c r="F1863">
        <v>999</v>
      </c>
      <c r="G1863">
        <v>865</v>
      </c>
    </row>
    <row r="1864" spans="1:7">
      <c r="A1864" t="s">
        <v>7388</v>
      </c>
      <c r="B1864" t="s">
        <v>9251</v>
      </c>
      <c r="C1864" s="1" t="e">
        <f>VLOOKUP(Tabla_Items_Activos[[#This Row],[CODIGO]],Tabla_Items_Completos[[CODIGO]:[LINEA]],2,0)</f>
        <v>#N/A</v>
      </c>
      <c r="D1864" s="1" t="e">
        <f>VLOOKUP(Tabla_Items_Activos[[#This Row],[CODIGO]],Tabla_Items_Completos[[CODIGO]:[LINEA]],3,0)</f>
        <v>#N/A</v>
      </c>
      <c r="E1864" s="1" t="e">
        <f>VLOOKUP(Tabla_Items_Activos[[#This Row],[CODIGO]],Tabla_Items_Completos[[CODIGO]:[LINEA]],4,0)</f>
        <v>#N/A</v>
      </c>
      <c r="F1864">
        <v>183</v>
      </c>
      <c r="G1864">
        <v>0</v>
      </c>
    </row>
    <row r="1865" spans="1:7">
      <c r="A1865" t="s">
        <v>7388</v>
      </c>
      <c r="B1865" t="s">
        <v>9252</v>
      </c>
      <c r="C1865" s="1" t="e">
        <f>VLOOKUP(Tabla_Items_Activos[[#This Row],[CODIGO]],Tabla_Items_Completos[[CODIGO]:[LINEA]],2,0)</f>
        <v>#N/A</v>
      </c>
      <c r="D1865" s="1" t="e">
        <f>VLOOKUP(Tabla_Items_Activos[[#This Row],[CODIGO]],Tabla_Items_Completos[[CODIGO]:[LINEA]],3,0)</f>
        <v>#N/A</v>
      </c>
      <c r="E1865" s="1" t="e">
        <f>VLOOKUP(Tabla_Items_Activos[[#This Row],[CODIGO]],Tabla_Items_Completos[[CODIGO]:[LINEA]],4,0)</f>
        <v>#N/A</v>
      </c>
      <c r="F1865">
        <v>437</v>
      </c>
      <c r="G1865">
        <v>535</v>
      </c>
    </row>
    <row r="1866" spans="1:7">
      <c r="A1866" t="s">
        <v>7388</v>
      </c>
      <c r="B1866" t="s">
        <v>9253</v>
      </c>
      <c r="C1866" s="1" t="e">
        <f>VLOOKUP(Tabla_Items_Activos[[#This Row],[CODIGO]],Tabla_Items_Completos[[CODIGO]:[LINEA]],2,0)</f>
        <v>#N/A</v>
      </c>
      <c r="D1866" s="1" t="e">
        <f>VLOOKUP(Tabla_Items_Activos[[#This Row],[CODIGO]],Tabla_Items_Completos[[CODIGO]:[LINEA]],3,0)</f>
        <v>#N/A</v>
      </c>
      <c r="E1866" s="1" t="e">
        <f>VLOOKUP(Tabla_Items_Activos[[#This Row],[CODIGO]],Tabla_Items_Completos[[CODIGO]:[LINEA]],4,0)</f>
        <v>#N/A</v>
      </c>
      <c r="F1866">
        <v>1418</v>
      </c>
      <c r="G1866">
        <v>399</v>
      </c>
    </row>
    <row r="1867" spans="1:7">
      <c r="A1867" t="s">
        <v>7388</v>
      </c>
      <c r="B1867" t="s">
        <v>9254</v>
      </c>
      <c r="C1867" s="1" t="e">
        <f>VLOOKUP(Tabla_Items_Activos[[#This Row],[CODIGO]],Tabla_Items_Completos[[CODIGO]:[LINEA]],2,0)</f>
        <v>#N/A</v>
      </c>
      <c r="D1867" s="1" t="e">
        <f>VLOOKUP(Tabla_Items_Activos[[#This Row],[CODIGO]],Tabla_Items_Completos[[CODIGO]:[LINEA]],3,0)</f>
        <v>#N/A</v>
      </c>
      <c r="E1867" s="1" t="e">
        <f>VLOOKUP(Tabla_Items_Activos[[#This Row],[CODIGO]],Tabla_Items_Completos[[CODIGO]:[LINEA]],4,0)</f>
        <v>#N/A</v>
      </c>
      <c r="F1867">
        <v>1129</v>
      </c>
      <c r="G1867">
        <v>430</v>
      </c>
    </row>
    <row r="1868" spans="1:7">
      <c r="A1868" t="s">
        <v>7388</v>
      </c>
      <c r="B1868" t="s">
        <v>9255</v>
      </c>
      <c r="C1868" s="1" t="e">
        <f>VLOOKUP(Tabla_Items_Activos[[#This Row],[CODIGO]],Tabla_Items_Completos[[CODIGO]:[LINEA]],2,0)</f>
        <v>#N/A</v>
      </c>
      <c r="D1868" s="1" t="e">
        <f>VLOOKUP(Tabla_Items_Activos[[#This Row],[CODIGO]],Tabla_Items_Completos[[CODIGO]:[LINEA]],3,0)</f>
        <v>#N/A</v>
      </c>
      <c r="E1868" s="1" t="e">
        <f>VLOOKUP(Tabla_Items_Activos[[#This Row],[CODIGO]],Tabla_Items_Completos[[CODIGO]:[LINEA]],4,0)</f>
        <v>#N/A</v>
      </c>
      <c r="F1868">
        <v>284</v>
      </c>
      <c r="G1868">
        <v>0</v>
      </c>
    </row>
    <row r="1869" spans="1:7">
      <c r="A1869" t="s">
        <v>7388</v>
      </c>
      <c r="B1869" t="s">
        <v>9256</v>
      </c>
      <c r="C1869" s="1" t="e">
        <f>VLOOKUP(Tabla_Items_Activos[[#This Row],[CODIGO]],Tabla_Items_Completos[[CODIGO]:[LINEA]],2,0)</f>
        <v>#N/A</v>
      </c>
      <c r="D1869" s="1" t="e">
        <f>VLOOKUP(Tabla_Items_Activos[[#This Row],[CODIGO]],Tabla_Items_Completos[[CODIGO]:[LINEA]],3,0)</f>
        <v>#N/A</v>
      </c>
      <c r="E1869" s="1" t="e">
        <f>VLOOKUP(Tabla_Items_Activos[[#This Row],[CODIGO]],Tabla_Items_Completos[[CODIGO]:[LINEA]],4,0)</f>
        <v>#N/A</v>
      </c>
      <c r="F1869">
        <v>221</v>
      </c>
      <c r="G1869">
        <v>0</v>
      </c>
    </row>
    <row r="1870" spans="1:7">
      <c r="A1870" t="s">
        <v>7388</v>
      </c>
      <c r="B1870" t="s">
        <v>9257</v>
      </c>
      <c r="C1870" s="1" t="e">
        <f>VLOOKUP(Tabla_Items_Activos[[#This Row],[CODIGO]],Tabla_Items_Completos[[CODIGO]:[LINEA]],2,0)</f>
        <v>#N/A</v>
      </c>
      <c r="D1870" s="1" t="e">
        <f>VLOOKUP(Tabla_Items_Activos[[#This Row],[CODIGO]],Tabla_Items_Completos[[CODIGO]:[LINEA]],3,0)</f>
        <v>#N/A</v>
      </c>
      <c r="E1870" s="1" t="e">
        <f>VLOOKUP(Tabla_Items_Activos[[#This Row],[CODIGO]],Tabla_Items_Completos[[CODIGO]:[LINEA]],4,0)</f>
        <v>#N/A</v>
      </c>
      <c r="F1870">
        <v>893</v>
      </c>
      <c r="G1870">
        <v>9</v>
      </c>
    </row>
    <row r="1871" spans="1:7">
      <c r="A1871" t="s">
        <v>7388</v>
      </c>
      <c r="B1871" t="s">
        <v>9258</v>
      </c>
      <c r="C1871" s="1" t="e">
        <f>VLOOKUP(Tabla_Items_Activos[[#This Row],[CODIGO]],Tabla_Items_Completos[[CODIGO]:[LINEA]],2,0)</f>
        <v>#N/A</v>
      </c>
      <c r="D1871" s="1" t="e">
        <f>VLOOKUP(Tabla_Items_Activos[[#This Row],[CODIGO]],Tabla_Items_Completos[[CODIGO]:[LINEA]],3,0)</f>
        <v>#N/A</v>
      </c>
      <c r="E1871" s="1" t="e">
        <f>VLOOKUP(Tabla_Items_Activos[[#This Row],[CODIGO]],Tabla_Items_Completos[[CODIGO]:[LINEA]],4,0)</f>
        <v>#N/A</v>
      </c>
      <c r="F1871">
        <v>116</v>
      </c>
      <c r="G1871">
        <v>4</v>
      </c>
    </row>
    <row r="1872" spans="1:7">
      <c r="A1872" t="s">
        <v>7388</v>
      </c>
      <c r="B1872" t="s">
        <v>9259</v>
      </c>
      <c r="C1872" s="1" t="e">
        <f>VLOOKUP(Tabla_Items_Activos[[#This Row],[CODIGO]],Tabla_Items_Completos[[CODIGO]:[LINEA]],2,0)</f>
        <v>#N/A</v>
      </c>
      <c r="D1872" s="1" t="e">
        <f>VLOOKUP(Tabla_Items_Activos[[#This Row],[CODIGO]],Tabla_Items_Completos[[CODIGO]:[LINEA]],3,0)</f>
        <v>#N/A</v>
      </c>
      <c r="E1872" s="1" t="e">
        <f>VLOOKUP(Tabla_Items_Activos[[#This Row],[CODIGO]],Tabla_Items_Completos[[CODIGO]:[LINEA]],4,0)</f>
        <v>#N/A</v>
      </c>
      <c r="F1872">
        <v>98</v>
      </c>
      <c r="G1872">
        <v>0</v>
      </c>
    </row>
    <row r="1873" spans="1:7">
      <c r="A1873" t="s">
        <v>7388</v>
      </c>
      <c r="B1873" t="s">
        <v>9260</v>
      </c>
      <c r="C1873" s="1" t="e">
        <f>VLOOKUP(Tabla_Items_Activos[[#This Row],[CODIGO]],Tabla_Items_Completos[[CODIGO]:[LINEA]],2,0)</f>
        <v>#N/A</v>
      </c>
      <c r="D1873" s="1" t="e">
        <f>VLOOKUP(Tabla_Items_Activos[[#This Row],[CODIGO]],Tabla_Items_Completos[[CODIGO]:[LINEA]],3,0)</f>
        <v>#N/A</v>
      </c>
      <c r="E1873" s="1" t="e">
        <f>VLOOKUP(Tabla_Items_Activos[[#This Row],[CODIGO]],Tabla_Items_Completos[[CODIGO]:[LINEA]],4,0)</f>
        <v>#N/A</v>
      </c>
      <c r="F1873">
        <v>51</v>
      </c>
      <c r="G1873">
        <v>13</v>
      </c>
    </row>
    <row r="1874" spans="1:7">
      <c r="A1874" t="s">
        <v>7388</v>
      </c>
      <c r="B1874" t="s">
        <v>9261</v>
      </c>
      <c r="C1874" s="1" t="e">
        <f>VLOOKUP(Tabla_Items_Activos[[#This Row],[CODIGO]],Tabla_Items_Completos[[CODIGO]:[LINEA]],2,0)</f>
        <v>#N/A</v>
      </c>
      <c r="D1874" s="1" t="e">
        <f>VLOOKUP(Tabla_Items_Activos[[#This Row],[CODIGO]],Tabla_Items_Completos[[CODIGO]:[LINEA]],3,0)</f>
        <v>#N/A</v>
      </c>
      <c r="E1874" s="1" t="e">
        <f>VLOOKUP(Tabla_Items_Activos[[#This Row],[CODIGO]],Tabla_Items_Completos[[CODIGO]:[LINEA]],4,0)</f>
        <v>#N/A</v>
      </c>
      <c r="F1874">
        <v>110</v>
      </c>
      <c r="G1874">
        <v>36</v>
      </c>
    </row>
    <row r="1875" spans="1:7">
      <c r="A1875" t="s">
        <v>7388</v>
      </c>
      <c r="B1875" t="s">
        <v>9262</v>
      </c>
      <c r="C1875" s="1" t="e">
        <f>VLOOKUP(Tabla_Items_Activos[[#This Row],[CODIGO]],Tabla_Items_Completos[[CODIGO]:[LINEA]],2,0)</f>
        <v>#N/A</v>
      </c>
      <c r="D1875" s="1" t="e">
        <f>VLOOKUP(Tabla_Items_Activos[[#This Row],[CODIGO]],Tabla_Items_Completos[[CODIGO]:[LINEA]],3,0)</f>
        <v>#N/A</v>
      </c>
      <c r="E1875" s="1" t="e">
        <f>VLOOKUP(Tabla_Items_Activos[[#This Row],[CODIGO]],Tabla_Items_Completos[[CODIGO]:[LINEA]],4,0)</f>
        <v>#N/A</v>
      </c>
      <c r="F1875">
        <v>1550</v>
      </c>
      <c r="G1875">
        <v>280</v>
      </c>
    </row>
    <row r="1876" spans="1:7">
      <c r="A1876" t="s">
        <v>7388</v>
      </c>
      <c r="B1876" t="s">
        <v>9263</v>
      </c>
      <c r="C1876" s="1" t="e">
        <f>VLOOKUP(Tabla_Items_Activos[[#This Row],[CODIGO]],Tabla_Items_Completos[[CODIGO]:[LINEA]],2,0)</f>
        <v>#N/A</v>
      </c>
      <c r="D1876" s="1" t="e">
        <f>VLOOKUP(Tabla_Items_Activos[[#This Row],[CODIGO]],Tabla_Items_Completos[[CODIGO]:[LINEA]],3,0)</f>
        <v>#N/A</v>
      </c>
      <c r="E1876" s="1" t="e">
        <f>VLOOKUP(Tabla_Items_Activos[[#This Row],[CODIGO]],Tabla_Items_Completos[[CODIGO]:[LINEA]],4,0)</f>
        <v>#N/A</v>
      </c>
      <c r="F1876">
        <v>42</v>
      </c>
      <c r="G1876">
        <v>10</v>
      </c>
    </row>
    <row r="1877" spans="1:7">
      <c r="A1877" t="s">
        <v>7388</v>
      </c>
      <c r="B1877" t="s">
        <v>9264</v>
      </c>
      <c r="C1877" s="1" t="e">
        <f>VLOOKUP(Tabla_Items_Activos[[#This Row],[CODIGO]],Tabla_Items_Completos[[CODIGO]:[LINEA]],2,0)</f>
        <v>#N/A</v>
      </c>
      <c r="D1877" s="1" t="e">
        <f>VLOOKUP(Tabla_Items_Activos[[#This Row],[CODIGO]],Tabla_Items_Completos[[CODIGO]:[LINEA]],3,0)</f>
        <v>#N/A</v>
      </c>
      <c r="E1877" s="1" t="e">
        <f>VLOOKUP(Tabla_Items_Activos[[#This Row],[CODIGO]],Tabla_Items_Completos[[CODIGO]:[LINEA]],4,0)</f>
        <v>#N/A</v>
      </c>
      <c r="F1877">
        <v>47</v>
      </c>
      <c r="G1877">
        <v>0</v>
      </c>
    </row>
    <row r="1878" spans="1:7">
      <c r="A1878" t="s">
        <v>7388</v>
      </c>
      <c r="B1878" t="s">
        <v>9265</v>
      </c>
      <c r="C1878" s="1" t="e">
        <f>VLOOKUP(Tabla_Items_Activos[[#This Row],[CODIGO]],Tabla_Items_Completos[[CODIGO]:[LINEA]],2,0)</f>
        <v>#N/A</v>
      </c>
      <c r="D1878" s="1" t="e">
        <f>VLOOKUP(Tabla_Items_Activos[[#This Row],[CODIGO]],Tabla_Items_Completos[[CODIGO]:[LINEA]],3,0)</f>
        <v>#N/A</v>
      </c>
      <c r="E1878" s="1" t="e">
        <f>VLOOKUP(Tabla_Items_Activos[[#This Row],[CODIGO]],Tabla_Items_Completos[[CODIGO]:[LINEA]],4,0)</f>
        <v>#N/A</v>
      </c>
      <c r="F1878">
        <v>59</v>
      </c>
      <c r="G1878">
        <v>5</v>
      </c>
    </row>
    <row r="1879" spans="1:7">
      <c r="A1879" t="s">
        <v>7388</v>
      </c>
      <c r="B1879" t="s">
        <v>9266</v>
      </c>
      <c r="C1879" s="1" t="e">
        <f>VLOOKUP(Tabla_Items_Activos[[#This Row],[CODIGO]],Tabla_Items_Completos[[CODIGO]:[LINEA]],2,0)</f>
        <v>#N/A</v>
      </c>
      <c r="D1879" s="1" t="e">
        <f>VLOOKUP(Tabla_Items_Activos[[#This Row],[CODIGO]],Tabla_Items_Completos[[CODIGO]:[LINEA]],3,0)</f>
        <v>#N/A</v>
      </c>
      <c r="E1879" s="1" t="e">
        <f>VLOOKUP(Tabla_Items_Activos[[#This Row],[CODIGO]],Tabla_Items_Completos[[CODIGO]:[LINEA]],4,0)</f>
        <v>#N/A</v>
      </c>
      <c r="F1879">
        <v>95</v>
      </c>
      <c r="G1879">
        <v>29</v>
      </c>
    </row>
    <row r="1880" spans="1:7">
      <c r="A1880" t="s">
        <v>7388</v>
      </c>
      <c r="B1880" t="s">
        <v>9267</v>
      </c>
      <c r="C1880" s="1" t="e">
        <f>VLOOKUP(Tabla_Items_Activos[[#This Row],[CODIGO]],Tabla_Items_Completos[[CODIGO]:[LINEA]],2,0)</f>
        <v>#N/A</v>
      </c>
      <c r="D1880" s="1" t="e">
        <f>VLOOKUP(Tabla_Items_Activos[[#This Row],[CODIGO]],Tabla_Items_Completos[[CODIGO]:[LINEA]],3,0)</f>
        <v>#N/A</v>
      </c>
      <c r="E1880" s="1" t="e">
        <f>VLOOKUP(Tabla_Items_Activos[[#This Row],[CODIGO]],Tabla_Items_Completos[[CODIGO]:[LINEA]],4,0)</f>
        <v>#N/A</v>
      </c>
      <c r="F1880">
        <v>126</v>
      </c>
      <c r="G1880">
        <v>0</v>
      </c>
    </row>
    <row r="1881" spans="1:7">
      <c r="A1881" t="s">
        <v>7388</v>
      </c>
      <c r="B1881" t="s">
        <v>9268</v>
      </c>
      <c r="C1881" s="1" t="e">
        <f>VLOOKUP(Tabla_Items_Activos[[#This Row],[CODIGO]],Tabla_Items_Completos[[CODIGO]:[LINEA]],2,0)</f>
        <v>#N/A</v>
      </c>
      <c r="D1881" s="1" t="e">
        <f>VLOOKUP(Tabla_Items_Activos[[#This Row],[CODIGO]],Tabla_Items_Completos[[CODIGO]:[LINEA]],3,0)</f>
        <v>#N/A</v>
      </c>
      <c r="E1881" s="1" t="e">
        <f>VLOOKUP(Tabla_Items_Activos[[#This Row],[CODIGO]],Tabla_Items_Completos[[CODIGO]:[LINEA]],4,0)</f>
        <v>#N/A</v>
      </c>
      <c r="F1881">
        <v>253</v>
      </c>
      <c r="G1881">
        <v>85</v>
      </c>
    </row>
    <row r="1882" spans="1:7">
      <c r="A1882" t="s">
        <v>7388</v>
      </c>
      <c r="B1882" t="s">
        <v>9269</v>
      </c>
      <c r="C1882" s="1" t="e">
        <f>VLOOKUP(Tabla_Items_Activos[[#This Row],[CODIGO]],Tabla_Items_Completos[[CODIGO]:[LINEA]],2,0)</f>
        <v>#N/A</v>
      </c>
      <c r="D1882" s="1" t="e">
        <f>VLOOKUP(Tabla_Items_Activos[[#This Row],[CODIGO]],Tabla_Items_Completos[[CODIGO]:[LINEA]],3,0)</f>
        <v>#N/A</v>
      </c>
      <c r="E1882" s="1" t="e">
        <f>VLOOKUP(Tabla_Items_Activos[[#This Row],[CODIGO]],Tabla_Items_Completos[[CODIGO]:[LINEA]],4,0)</f>
        <v>#N/A</v>
      </c>
      <c r="F1882">
        <v>337</v>
      </c>
      <c r="G1882">
        <v>146</v>
      </c>
    </row>
    <row r="1883" spans="1:7">
      <c r="A1883" t="s">
        <v>7388</v>
      </c>
      <c r="B1883" t="s">
        <v>9270</v>
      </c>
      <c r="C1883" s="1" t="e">
        <f>VLOOKUP(Tabla_Items_Activos[[#This Row],[CODIGO]],Tabla_Items_Completos[[CODIGO]:[LINEA]],2,0)</f>
        <v>#N/A</v>
      </c>
      <c r="D1883" s="1" t="e">
        <f>VLOOKUP(Tabla_Items_Activos[[#This Row],[CODIGO]],Tabla_Items_Completos[[CODIGO]:[LINEA]],3,0)</f>
        <v>#N/A</v>
      </c>
      <c r="E1883" s="1" t="e">
        <f>VLOOKUP(Tabla_Items_Activos[[#This Row],[CODIGO]],Tabla_Items_Completos[[CODIGO]:[LINEA]],4,0)</f>
        <v>#N/A</v>
      </c>
      <c r="F1883">
        <v>877</v>
      </c>
      <c r="G1883">
        <v>247</v>
      </c>
    </row>
    <row r="1884" spans="1:7">
      <c r="A1884" t="s">
        <v>7388</v>
      </c>
      <c r="B1884" t="s">
        <v>9271</v>
      </c>
      <c r="C1884" s="1" t="e">
        <f>VLOOKUP(Tabla_Items_Activos[[#This Row],[CODIGO]],Tabla_Items_Completos[[CODIGO]:[LINEA]],2,0)</f>
        <v>#N/A</v>
      </c>
      <c r="D1884" s="1" t="e">
        <f>VLOOKUP(Tabla_Items_Activos[[#This Row],[CODIGO]],Tabla_Items_Completos[[CODIGO]:[LINEA]],3,0)</f>
        <v>#N/A</v>
      </c>
      <c r="E1884" s="1" t="e">
        <f>VLOOKUP(Tabla_Items_Activos[[#This Row],[CODIGO]],Tabla_Items_Completos[[CODIGO]:[LINEA]],4,0)</f>
        <v>#N/A</v>
      </c>
      <c r="F1884">
        <v>284</v>
      </c>
      <c r="G1884">
        <v>152</v>
      </c>
    </row>
    <row r="1885" spans="1:7">
      <c r="A1885" t="s">
        <v>7388</v>
      </c>
      <c r="B1885" t="s">
        <v>9272</v>
      </c>
      <c r="C1885" s="1" t="e">
        <f>VLOOKUP(Tabla_Items_Activos[[#This Row],[CODIGO]],Tabla_Items_Completos[[CODIGO]:[LINEA]],2,0)</f>
        <v>#N/A</v>
      </c>
      <c r="D1885" s="1" t="e">
        <f>VLOOKUP(Tabla_Items_Activos[[#This Row],[CODIGO]],Tabla_Items_Completos[[CODIGO]:[LINEA]],3,0)</f>
        <v>#N/A</v>
      </c>
      <c r="E1885" s="1" t="e">
        <f>VLOOKUP(Tabla_Items_Activos[[#This Row],[CODIGO]],Tabla_Items_Completos[[CODIGO]:[LINEA]],4,0)</f>
        <v>#N/A</v>
      </c>
      <c r="F1885">
        <v>175</v>
      </c>
      <c r="G1885">
        <v>116</v>
      </c>
    </row>
    <row r="1886" spans="1:7">
      <c r="A1886" t="s">
        <v>7388</v>
      </c>
      <c r="B1886" t="s">
        <v>9273</v>
      </c>
      <c r="C1886" s="1" t="e">
        <f>VLOOKUP(Tabla_Items_Activos[[#This Row],[CODIGO]],Tabla_Items_Completos[[CODIGO]:[LINEA]],2,0)</f>
        <v>#N/A</v>
      </c>
      <c r="D1886" s="1" t="e">
        <f>VLOOKUP(Tabla_Items_Activos[[#This Row],[CODIGO]],Tabla_Items_Completos[[CODIGO]:[LINEA]],3,0)</f>
        <v>#N/A</v>
      </c>
      <c r="E1886" s="1" t="e">
        <f>VLOOKUP(Tabla_Items_Activos[[#This Row],[CODIGO]],Tabla_Items_Completos[[CODIGO]:[LINEA]],4,0)</f>
        <v>#N/A</v>
      </c>
      <c r="F1886">
        <v>36</v>
      </c>
      <c r="G1886">
        <v>7</v>
      </c>
    </row>
    <row r="1887" spans="1:7">
      <c r="A1887" t="s">
        <v>7388</v>
      </c>
      <c r="B1887" t="s">
        <v>9274</v>
      </c>
      <c r="C1887" s="1" t="e">
        <f>VLOOKUP(Tabla_Items_Activos[[#This Row],[CODIGO]],Tabla_Items_Completos[[CODIGO]:[LINEA]],2,0)</f>
        <v>#N/A</v>
      </c>
      <c r="D1887" s="1" t="e">
        <f>VLOOKUP(Tabla_Items_Activos[[#This Row],[CODIGO]],Tabla_Items_Completos[[CODIGO]:[LINEA]],3,0)</f>
        <v>#N/A</v>
      </c>
      <c r="E1887" s="1" t="e">
        <f>VLOOKUP(Tabla_Items_Activos[[#This Row],[CODIGO]],Tabla_Items_Completos[[CODIGO]:[LINEA]],4,0)</f>
        <v>#N/A</v>
      </c>
      <c r="F1887">
        <v>373</v>
      </c>
      <c r="G1887">
        <v>0</v>
      </c>
    </row>
    <row r="1888" spans="1:7">
      <c r="A1888" t="s">
        <v>7388</v>
      </c>
      <c r="B1888" t="s">
        <v>9275</v>
      </c>
      <c r="C1888" s="1" t="e">
        <f>VLOOKUP(Tabla_Items_Activos[[#This Row],[CODIGO]],Tabla_Items_Completos[[CODIGO]:[LINEA]],2,0)</f>
        <v>#N/A</v>
      </c>
      <c r="D1888" s="1" t="e">
        <f>VLOOKUP(Tabla_Items_Activos[[#This Row],[CODIGO]],Tabla_Items_Completos[[CODIGO]:[LINEA]],3,0)</f>
        <v>#N/A</v>
      </c>
      <c r="E1888" s="1" t="e">
        <f>VLOOKUP(Tabla_Items_Activos[[#This Row],[CODIGO]],Tabla_Items_Completos[[CODIGO]:[LINEA]],4,0)</f>
        <v>#N/A</v>
      </c>
      <c r="F1888">
        <v>111</v>
      </c>
      <c r="G1888">
        <v>20</v>
      </c>
    </row>
    <row r="1889" spans="1:7">
      <c r="A1889" t="s">
        <v>7388</v>
      </c>
      <c r="B1889" t="s">
        <v>9276</v>
      </c>
      <c r="C1889" s="1" t="e">
        <f>VLOOKUP(Tabla_Items_Activos[[#This Row],[CODIGO]],Tabla_Items_Completos[[CODIGO]:[LINEA]],2,0)</f>
        <v>#N/A</v>
      </c>
      <c r="D1889" s="1" t="e">
        <f>VLOOKUP(Tabla_Items_Activos[[#This Row],[CODIGO]],Tabla_Items_Completos[[CODIGO]:[LINEA]],3,0)</f>
        <v>#N/A</v>
      </c>
      <c r="E1889" s="1" t="e">
        <f>VLOOKUP(Tabla_Items_Activos[[#This Row],[CODIGO]],Tabla_Items_Completos[[CODIGO]:[LINEA]],4,0)</f>
        <v>#N/A</v>
      </c>
      <c r="F1889">
        <v>137</v>
      </c>
      <c r="G1889">
        <v>52</v>
      </c>
    </row>
    <row r="1890" spans="1:7">
      <c r="A1890" t="s">
        <v>7388</v>
      </c>
      <c r="B1890" t="s">
        <v>9277</v>
      </c>
      <c r="C1890" s="1" t="e">
        <f>VLOOKUP(Tabla_Items_Activos[[#This Row],[CODIGO]],Tabla_Items_Completos[[CODIGO]:[LINEA]],2,0)</f>
        <v>#N/A</v>
      </c>
      <c r="D1890" s="1" t="e">
        <f>VLOOKUP(Tabla_Items_Activos[[#This Row],[CODIGO]],Tabla_Items_Completos[[CODIGO]:[LINEA]],3,0)</f>
        <v>#N/A</v>
      </c>
      <c r="E1890" s="1" t="e">
        <f>VLOOKUP(Tabla_Items_Activos[[#This Row],[CODIGO]],Tabla_Items_Completos[[CODIGO]:[LINEA]],4,0)</f>
        <v>#N/A</v>
      </c>
      <c r="F1890">
        <v>205</v>
      </c>
      <c r="G1890">
        <v>40</v>
      </c>
    </row>
    <row r="1891" spans="1:7">
      <c r="A1891" t="s">
        <v>7388</v>
      </c>
      <c r="B1891" t="s">
        <v>9278</v>
      </c>
      <c r="C1891" s="1" t="e">
        <f>VLOOKUP(Tabla_Items_Activos[[#This Row],[CODIGO]],Tabla_Items_Completos[[CODIGO]:[LINEA]],2,0)</f>
        <v>#N/A</v>
      </c>
      <c r="D1891" s="1" t="e">
        <f>VLOOKUP(Tabla_Items_Activos[[#This Row],[CODIGO]],Tabla_Items_Completos[[CODIGO]:[LINEA]],3,0)</f>
        <v>#N/A</v>
      </c>
      <c r="E1891" s="1" t="e">
        <f>VLOOKUP(Tabla_Items_Activos[[#This Row],[CODIGO]],Tabla_Items_Completos[[CODIGO]:[LINEA]],4,0)</f>
        <v>#N/A</v>
      </c>
      <c r="F1891">
        <v>305</v>
      </c>
      <c r="G1891">
        <v>210</v>
      </c>
    </row>
    <row r="1892" spans="1:7">
      <c r="A1892" t="s">
        <v>7388</v>
      </c>
      <c r="B1892" t="s">
        <v>9279</v>
      </c>
      <c r="C1892" s="1" t="e">
        <f>VLOOKUP(Tabla_Items_Activos[[#This Row],[CODIGO]],Tabla_Items_Completos[[CODIGO]:[LINEA]],2,0)</f>
        <v>#N/A</v>
      </c>
      <c r="D1892" s="1" t="e">
        <f>VLOOKUP(Tabla_Items_Activos[[#This Row],[CODIGO]],Tabla_Items_Completos[[CODIGO]:[LINEA]],3,0)</f>
        <v>#N/A</v>
      </c>
      <c r="E1892" s="1" t="e">
        <f>VLOOKUP(Tabla_Items_Activos[[#This Row],[CODIGO]],Tabla_Items_Completos[[CODIGO]:[LINEA]],4,0)</f>
        <v>#N/A</v>
      </c>
      <c r="F1892">
        <v>185</v>
      </c>
      <c r="G1892">
        <v>58</v>
      </c>
    </row>
    <row r="1893" spans="1:7">
      <c r="A1893" t="s">
        <v>7388</v>
      </c>
      <c r="B1893" t="s">
        <v>9280</v>
      </c>
      <c r="C1893" s="1" t="e">
        <f>VLOOKUP(Tabla_Items_Activos[[#This Row],[CODIGO]],Tabla_Items_Completos[[CODIGO]:[LINEA]],2,0)</f>
        <v>#N/A</v>
      </c>
      <c r="D1893" s="1" t="e">
        <f>VLOOKUP(Tabla_Items_Activos[[#This Row],[CODIGO]],Tabla_Items_Completos[[CODIGO]:[LINEA]],3,0)</f>
        <v>#N/A</v>
      </c>
      <c r="E1893" s="1" t="e">
        <f>VLOOKUP(Tabla_Items_Activos[[#This Row],[CODIGO]],Tabla_Items_Completos[[CODIGO]:[LINEA]],4,0)</f>
        <v>#N/A</v>
      </c>
      <c r="F1893">
        <v>49</v>
      </c>
      <c r="G1893">
        <v>15</v>
      </c>
    </row>
    <row r="1894" spans="1:7">
      <c r="A1894" t="s">
        <v>7388</v>
      </c>
      <c r="B1894" t="s">
        <v>9281</v>
      </c>
      <c r="C1894" s="1" t="e">
        <f>VLOOKUP(Tabla_Items_Activos[[#This Row],[CODIGO]],Tabla_Items_Completos[[CODIGO]:[LINEA]],2,0)</f>
        <v>#N/A</v>
      </c>
      <c r="D1894" s="1" t="e">
        <f>VLOOKUP(Tabla_Items_Activos[[#This Row],[CODIGO]],Tabla_Items_Completos[[CODIGO]:[LINEA]],3,0)</f>
        <v>#N/A</v>
      </c>
      <c r="E1894" s="1" t="e">
        <f>VLOOKUP(Tabla_Items_Activos[[#This Row],[CODIGO]],Tabla_Items_Completos[[CODIGO]:[LINEA]],4,0)</f>
        <v>#N/A</v>
      </c>
      <c r="F1894">
        <v>728</v>
      </c>
      <c r="G1894">
        <v>655</v>
      </c>
    </row>
    <row r="1895" spans="1:7">
      <c r="A1895" t="s">
        <v>7388</v>
      </c>
      <c r="B1895" t="s">
        <v>9282</v>
      </c>
      <c r="C1895" s="1" t="e">
        <f>VLOOKUP(Tabla_Items_Activos[[#This Row],[CODIGO]],Tabla_Items_Completos[[CODIGO]:[LINEA]],2,0)</f>
        <v>#N/A</v>
      </c>
      <c r="D1895" s="1" t="e">
        <f>VLOOKUP(Tabla_Items_Activos[[#This Row],[CODIGO]],Tabla_Items_Completos[[CODIGO]:[LINEA]],3,0)</f>
        <v>#N/A</v>
      </c>
      <c r="E1895" s="1" t="e">
        <f>VLOOKUP(Tabla_Items_Activos[[#This Row],[CODIGO]],Tabla_Items_Completos[[CODIGO]:[LINEA]],4,0)</f>
        <v>#N/A</v>
      </c>
      <c r="F1895">
        <v>683</v>
      </c>
      <c r="G1895">
        <v>0</v>
      </c>
    </row>
    <row r="1896" spans="1:7">
      <c r="A1896" t="s">
        <v>7388</v>
      </c>
      <c r="B1896" t="s">
        <v>9283</v>
      </c>
      <c r="C1896" s="1" t="e">
        <f>VLOOKUP(Tabla_Items_Activos[[#This Row],[CODIGO]],Tabla_Items_Completos[[CODIGO]:[LINEA]],2,0)</f>
        <v>#N/A</v>
      </c>
      <c r="D1896" s="1" t="e">
        <f>VLOOKUP(Tabla_Items_Activos[[#This Row],[CODIGO]],Tabla_Items_Completos[[CODIGO]:[LINEA]],3,0)</f>
        <v>#N/A</v>
      </c>
      <c r="E1896" s="1" t="e">
        <f>VLOOKUP(Tabla_Items_Activos[[#This Row],[CODIGO]],Tabla_Items_Completos[[CODIGO]:[LINEA]],4,0)</f>
        <v>#N/A</v>
      </c>
      <c r="F1896">
        <v>605</v>
      </c>
      <c r="G1896">
        <v>4</v>
      </c>
    </row>
    <row r="1897" spans="1:7">
      <c r="A1897" t="s">
        <v>7388</v>
      </c>
      <c r="B1897" t="s">
        <v>9284</v>
      </c>
      <c r="C1897" s="1" t="e">
        <f>VLOOKUP(Tabla_Items_Activos[[#This Row],[CODIGO]],Tabla_Items_Completos[[CODIGO]:[LINEA]],2,0)</f>
        <v>#N/A</v>
      </c>
      <c r="D1897" s="1" t="e">
        <f>VLOOKUP(Tabla_Items_Activos[[#This Row],[CODIGO]],Tabla_Items_Completos[[CODIGO]:[LINEA]],3,0)</f>
        <v>#N/A</v>
      </c>
      <c r="E1897" s="1" t="e">
        <f>VLOOKUP(Tabla_Items_Activos[[#This Row],[CODIGO]],Tabla_Items_Completos[[CODIGO]:[LINEA]],4,0)</f>
        <v>#N/A</v>
      </c>
      <c r="F1897">
        <v>578</v>
      </c>
      <c r="G1897">
        <v>135</v>
      </c>
    </row>
    <row r="1898" spans="1:7">
      <c r="A1898" t="s">
        <v>7388</v>
      </c>
      <c r="B1898" t="s">
        <v>9285</v>
      </c>
      <c r="C1898" s="1" t="e">
        <f>VLOOKUP(Tabla_Items_Activos[[#This Row],[CODIGO]],Tabla_Items_Completos[[CODIGO]:[LINEA]],2,0)</f>
        <v>#N/A</v>
      </c>
      <c r="D1898" s="1" t="e">
        <f>VLOOKUP(Tabla_Items_Activos[[#This Row],[CODIGO]],Tabla_Items_Completos[[CODIGO]:[LINEA]],3,0)</f>
        <v>#N/A</v>
      </c>
      <c r="E1898" s="1" t="e">
        <f>VLOOKUP(Tabla_Items_Activos[[#This Row],[CODIGO]],Tabla_Items_Completos[[CODIGO]:[LINEA]],4,0)</f>
        <v>#N/A</v>
      </c>
      <c r="F1898">
        <v>710</v>
      </c>
      <c r="G1898">
        <v>30</v>
      </c>
    </row>
    <row r="1899" spans="1:7">
      <c r="A1899" t="s">
        <v>7388</v>
      </c>
      <c r="B1899" t="s">
        <v>9286</v>
      </c>
      <c r="C1899" s="1" t="e">
        <f>VLOOKUP(Tabla_Items_Activos[[#This Row],[CODIGO]],Tabla_Items_Completos[[CODIGO]:[LINEA]],2,0)</f>
        <v>#N/A</v>
      </c>
      <c r="D1899" s="1" t="e">
        <f>VLOOKUP(Tabla_Items_Activos[[#This Row],[CODIGO]],Tabla_Items_Completos[[CODIGO]:[LINEA]],3,0)</f>
        <v>#N/A</v>
      </c>
      <c r="E1899" s="1" t="e">
        <f>VLOOKUP(Tabla_Items_Activos[[#This Row],[CODIGO]],Tabla_Items_Completos[[CODIGO]:[LINEA]],4,0)</f>
        <v>#N/A</v>
      </c>
      <c r="F1899">
        <v>305</v>
      </c>
      <c r="G1899">
        <v>44</v>
      </c>
    </row>
    <row r="1900" spans="1:7">
      <c r="A1900" t="s">
        <v>7388</v>
      </c>
      <c r="B1900" t="s">
        <v>9287</v>
      </c>
      <c r="C1900" s="1" t="e">
        <f>VLOOKUP(Tabla_Items_Activos[[#This Row],[CODIGO]],Tabla_Items_Completos[[CODIGO]:[LINEA]],2,0)</f>
        <v>#N/A</v>
      </c>
      <c r="D1900" s="1" t="e">
        <f>VLOOKUP(Tabla_Items_Activos[[#This Row],[CODIGO]],Tabla_Items_Completos[[CODIGO]:[LINEA]],3,0)</f>
        <v>#N/A</v>
      </c>
      <c r="E1900" s="1" t="e">
        <f>VLOOKUP(Tabla_Items_Activos[[#This Row],[CODIGO]],Tabla_Items_Completos[[CODIGO]:[LINEA]],4,0)</f>
        <v>#N/A</v>
      </c>
      <c r="F1900">
        <v>216</v>
      </c>
      <c r="G1900">
        <v>0</v>
      </c>
    </row>
    <row r="1901" spans="1:7">
      <c r="A1901" t="s">
        <v>7388</v>
      </c>
      <c r="B1901" t="s">
        <v>9288</v>
      </c>
      <c r="C1901" s="1" t="e">
        <f>VLOOKUP(Tabla_Items_Activos[[#This Row],[CODIGO]],Tabla_Items_Completos[[CODIGO]:[LINEA]],2,0)</f>
        <v>#N/A</v>
      </c>
      <c r="D1901" s="1" t="e">
        <f>VLOOKUP(Tabla_Items_Activos[[#This Row],[CODIGO]],Tabla_Items_Completos[[CODIGO]:[LINEA]],3,0)</f>
        <v>#N/A</v>
      </c>
      <c r="E1901" s="1" t="e">
        <f>VLOOKUP(Tabla_Items_Activos[[#This Row],[CODIGO]],Tabla_Items_Completos[[CODIGO]:[LINEA]],4,0)</f>
        <v>#N/A</v>
      </c>
      <c r="F1901">
        <v>111</v>
      </c>
      <c r="G1901">
        <v>2</v>
      </c>
    </row>
    <row r="1902" spans="1:7">
      <c r="A1902" t="s">
        <v>7388</v>
      </c>
      <c r="B1902" t="s">
        <v>9289</v>
      </c>
      <c r="C1902" s="1" t="e">
        <f>VLOOKUP(Tabla_Items_Activos[[#This Row],[CODIGO]],Tabla_Items_Completos[[CODIGO]:[LINEA]],2,0)</f>
        <v>#N/A</v>
      </c>
      <c r="D1902" s="1" t="e">
        <f>VLOOKUP(Tabla_Items_Activos[[#This Row],[CODIGO]],Tabla_Items_Completos[[CODIGO]:[LINEA]],3,0)</f>
        <v>#N/A</v>
      </c>
      <c r="E1902" s="1" t="e">
        <f>VLOOKUP(Tabla_Items_Activos[[#This Row],[CODIGO]],Tabla_Items_Completos[[CODIGO]:[LINEA]],4,0)</f>
        <v>#N/A</v>
      </c>
      <c r="F1902">
        <v>95</v>
      </c>
      <c r="G1902">
        <v>0</v>
      </c>
    </row>
    <row r="1903" spans="1:7">
      <c r="A1903" t="s">
        <v>7388</v>
      </c>
      <c r="B1903" t="s">
        <v>9290</v>
      </c>
      <c r="C1903" s="1" t="e">
        <f>VLOOKUP(Tabla_Items_Activos[[#This Row],[CODIGO]],Tabla_Items_Completos[[CODIGO]:[LINEA]],2,0)</f>
        <v>#N/A</v>
      </c>
      <c r="D1903" s="1" t="e">
        <f>VLOOKUP(Tabla_Items_Activos[[#This Row],[CODIGO]],Tabla_Items_Completos[[CODIGO]:[LINEA]],3,0)</f>
        <v>#N/A</v>
      </c>
      <c r="E1903" s="1" t="e">
        <f>VLOOKUP(Tabla_Items_Activos[[#This Row],[CODIGO]],Tabla_Items_Completos[[CODIGO]:[LINEA]],4,0)</f>
        <v>#N/A</v>
      </c>
      <c r="F1903">
        <v>4169</v>
      </c>
      <c r="G1903">
        <v>854</v>
      </c>
    </row>
    <row r="1904" spans="1:7">
      <c r="A1904" t="s">
        <v>7388</v>
      </c>
      <c r="B1904" t="s">
        <v>9291</v>
      </c>
      <c r="C1904" s="1" t="e">
        <f>VLOOKUP(Tabla_Items_Activos[[#This Row],[CODIGO]],Tabla_Items_Completos[[CODIGO]:[LINEA]],2,0)</f>
        <v>#N/A</v>
      </c>
      <c r="D1904" s="1" t="e">
        <f>VLOOKUP(Tabla_Items_Activos[[#This Row],[CODIGO]],Tabla_Items_Completos[[CODIGO]:[LINEA]],3,0)</f>
        <v>#N/A</v>
      </c>
      <c r="E1904" s="1" t="e">
        <f>VLOOKUP(Tabla_Items_Activos[[#This Row],[CODIGO]],Tabla_Items_Completos[[CODIGO]:[LINEA]],4,0)</f>
        <v>#N/A</v>
      </c>
      <c r="F1904">
        <v>4385</v>
      </c>
      <c r="G1904">
        <v>19</v>
      </c>
    </row>
    <row r="1905" spans="1:7">
      <c r="A1905" t="s">
        <v>7388</v>
      </c>
      <c r="B1905" t="s">
        <v>9292</v>
      </c>
      <c r="C1905" s="1" t="e">
        <f>VLOOKUP(Tabla_Items_Activos[[#This Row],[CODIGO]],Tabla_Items_Completos[[CODIGO]:[LINEA]],2,0)</f>
        <v>#N/A</v>
      </c>
      <c r="D1905" s="1" t="e">
        <f>VLOOKUP(Tabla_Items_Activos[[#This Row],[CODIGO]],Tabla_Items_Completos[[CODIGO]:[LINEA]],3,0)</f>
        <v>#N/A</v>
      </c>
      <c r="E1905" s="1" t="e">
        <f>VLOOKUP(Tabla_Items_Activos[[#This Row],[CODIGO]],Tabla_Items_Completos[[CODIGO]:[LINEA]],4,0)</f>
        <v>#N/A</v>
      </c>
      <c r="F1905">
        <v>7419</v>
      </c>
      <c r="G1905">
        <v>166</v>
      </c>
    </row>
    <row r="1906" spans="1:7">
      <c r="A1906" t="s">
        <v>7388</v>
      </c>
      <c r="B1906" t="s">
        <v>9293</v>
      </c>
      <c r="C1906" s="1" t="e">
        <f>VLOOKUP(Tabla_Items_Activos[[#This Row],[CODIGO]],Tabla_Items_Completos[[CODIGO]:[LINEA]],2,0)</f>
        <v>#N/A</v>
      </c>
      <c r="D1906" s="1" t="e">
        <f>VLOOKUP(Tabla_Items_Activos[[#This Row],[CODIGO]],Tabla_Items_Completos[[CODIGO]:[LINEA]],3,0)</f>
        <v>#N/A</v>
      </c>
      <c r="E1906" s="1" t="e">
        <f>VLOOKUP(Tabla_Items_Activos[[#This Row],[CODIGO]],Tabla_Items_Completos[[CODIGO]:[LINEA]],4,0)</f>
        <v>#N/A</v>
      </c>
      <c r="F1906">
        <v>5907</v>
      </c>
      <c r="G1906">
        <v>155</v>
      </c>
    </row>
    <row r="1907" spans="1:7">
      <c r="A1907" t="s">
        <v>7388</v>
      </c>
      <c r="B1907" t="s">
        <v>9294</v>
      </c>
      <c r="C1907" s="1" t="e">
        <f>VLOOKUP(Tabla_Items_Activos[[#This Row],[CODIGO]],Tabla_Items_Completos[[CODIGO]:[LINEA]],2,0)</f>
        <v>#N/A</v>
      </c>
      <c r="D1907" s="1" t="e">
        <f>VLOOKUP(Tabla_Items_Activos[[#This Row],[CODIGO]],Tabla_Items_Completos[[CODIGO]:[LINEA]],3,0)</f>
        <v>#N/A</v>
      </c>
      <c r="E1907" s="1" t="e">
        <f>VLOOKUP(Tabla_Items_Activos[[#This Row],[CODIGO]],Tabla_Items_Completos[[CODIGO]:[LINEA]],4,0)</f>
        <v>#N/A</v>
      </c>
      <c r="F1907">
        <v>1350</v>
      </c>
      <c r="G1907">
        <v>481</v>
      </c>
    </row>
    <row r="1908" spans="1:7">
      <c r="A1908" t="s">
        <v>7388</v>
      </c>
      <c r="B1908" t="s">
        <v>9295</v>
      </c>
      <c r="C1908" s="1" t="e">
        <f>VLOOKUP(Tabla_Items_Activos[[#This Row],[CODIGO]],Tabla_Items_Completos[[CODIGO]:[LINEA]],2,0)</f>
        <v>#N/A</v>
      </c>
      <c r="D1908" s="1" t="e">
        <f>VLOOKUP(Tabla_Items_Activos[[#This Row],[CODIGO]],Tabla_Items_Completos[[CODIGO]:[LINEA]],3,0)</f>
        <v>#N/A</v>
      </c>
      <c r="E1908" s="1" t="e">
        <f>VLOOKUP(Tabla_Items_Activos[[#This Row],[CODIGO]],Tabla_Items_Completos[[CODIGO]:[LINEA]],4,0)</f>
        <v>#N/A</v>
      </c>
      <c r="F1908">
        <v>1744</v>
      </c>
      <c r="G1908">
        <v>129</v>
      </c>
    </row>
    <row r="1909" spans="1:7">
      <c r="A1909" t="s">
        <v>7388</v>
      </c>
      <c r="B1909" t="s">
        <v>9296</v>
      </c>
      <c r="C1909" s="1" t="e">
        <f>VLOOKUP(Tabla_Items_Activos[[#This Row],[CODIGO]],Tabla_Items_Completos[[CODIGO]:[LINEA]],2,0)</f>
        <v>#N/A</v>
      </c>
      <c r="D1909" s="1" t="e">
        <f>VLOOKUP(Tabla_Items_Activos[[#This Row],[CODIGO]],Tabla_Items_Completos[[CODIGO]:[LINEA]],3,0)</f>
        <v>#N/A</v>
      </c>
      <c r="E1909" s="1" t="e">
        <f>VLOOKUP(Tabla_Items_Activos[[#This Row],[CODIGO]],Tabla_Items_Completos[[CODIGO]:[LINEA]],4,0)</f>
        <v>#N/A</v>
      </c>
      <c r="F1909">
        <v>662</v>
      </c>
      <c r="G1909">
        <v>114</v>
      </c>
    </row>
    <row r="1910" spans="1:7">
      <c r="A1910" t="s">
        <v>7388</v>
      </c>
      <c r="B1910" t="s">
        <v>9297</v>
      </c>
      <c r="C1910" s="1" t="e">
        <f>VLOOKUP(Tabla_Items_Activos[[#This Row],[CODIGO]],Tabla_Items_Completos[[CODIGO]:[LINEA]],2,0)</f>
        <v>#N/A</v>
      </c>
      <c r="D1910" s="1" t="e">
        <f>VLOOKUP(Tabla_Items_Activos[[#This Row],[CODIGO]],Tabla_Items_Completos[[CODIGO]:[LINEA]],3,0)</f>
        <v>#N/A</v>
      </c>
      <c r="E1910" s="1" t="e">
        <f>VLOOKUP(Tabla_Items_Activos[[#This Row],[CODIGO]],Tabla_Items_Completos[[CODIGO]:[LINEA]],4,0)</f>
        <v>#N/A</v>
      </c>
      <c r="F1910">
        <v>836</v>
      </c>
      <c r="G1910">
        <v>555</v>
      </c>
    </row>
    <row r="1911" spans="1:7">
      <c r="A1911" t="s">
        <v>7388</v>
      </c>
      <c r="B1911" t="s">
        <v>9298</v>
      </c>
      <c r="C1911" s="1" t="e">
        <f>VLOOKUP(Tabla_Items_Activos[[#This Row],[CODIGO]],Tabla_Items_Completos[[CODIGO]:[LINEA]],2,0)</f>
        <v>#N/A</v>
      </c>
      <c r="D1911" s="1" t="e">
        <f>VLOOKUP(Tabla_Items_Activos[[#This Row],[CODIGO]],Tabla_Items_Completos[[CODIGO]:[LINEA]],3,0)</f>
        <v>#N/A</v>
      </c>
      <c r="E1911" s="1" t="e">
        <f>VLOOKUP(Tabla_Items_Activos[[#This Row],[CODIGO]],Tabla_Items_Completos[[CODIGO]:[LINEA]],4,0)</f>
        <v>#N/A</v>
      </c>
      <c r="F1911">
        <v>557</v>
      </c>
      <c r="G1911">
        <v>254</v>
      </c>
    </row>
    <row r="1912" spans="1:7">
      <c r="A1912" t="s">
        <v>7388</v>
      </c>
      <c r="B1912" t="s">
        <v>9299</v>
      </c>
      <c r="C1912" s="1" t="e">
        <f>VLOOKUP(Tabla_Items_Activos[[#This Row],[CODIGO]],Tabla_Items_Completos[[CODIGO]:[LINEA]],2,0)</f>
        <v>#N/A</v>
      </c>
      <c r="D1912" s="1" t="e">
        <f>VLOOKUP(Tabla_Items_Activos[[#This Row],[CODIGO]],Tabla_Items_Completos[[CODIGO]:[LINEA]],3,0)</f>
        <v>#N/A</v>
      </c>
      <c r="E1912" s="1" t="e">
        <f>VLOOKUP(Tabla_Items_Activos[[#This Row],[CODIGO]],Tabla_Items_Completos[[CODIGO]:[LINEA]],4,0)</f>
        <v>#N/A</v>
      </c>
      <c r="F1912">
        <v>636</v>
      </c>
      <c r="G1912">
        <v>0</v>
      </c>
    </row>
    <row r="1913" spans="1:7">
      <c r="A1913" t="s">
        <v>7388</v>
      </c>
      <c r="B1913" t="s">
        <v>9300</v>
      </c>
      <c r="C1913" s="1" t="e">
        <f>VLOOKUP(Tabla_Items_Activos[[#This Row],[CODIGO]],Tabla_Items_Completos[[CODIGO]:[LINEA]],2,0)</f>
        <v>#N/A</v>
      </c>
      <c r="D1913" s="1" t="e">
        <f>VLOOKUP(Tabla_Items_Activos[[#This Row],[CODIGO]],Tabla_Items_Completos[[CODIGO]:[LINEA]],3,0)</f>
        <v>#N/A</v>
      </c>
      <c r="E1913" s="1" t="e">
        <f>VLOOKUP(Tabla_Items_Activos[[#This Row],[CODIGO]],Tabla_Items_Completos[[CODIGO]:[LINEA]],4,0)</f>
        <v>#N/A</v>
      </c>
      <c r="F1913">
        <v>3271</v>
      </c>
      <c r="G1913">
        <v>0</v>
      </c>
    </row>
    <row r="1914" spans="1:7">
      <c r="A1914" t="s">
        <v>7388</v>
      </c>
      <c r="B1914" t="s">
        <v>9301</v>
      </c>
      <c r="C1914" s="1" t="e">
        <f>VLOOKUP(Tabla_Items_Activos[[#This Row],[CODIGO]],Tabla_Items_Completos[[CODIGO]:[LINEA]],2,0)</f>
        <v>#N/A</v>
      </c>
      <c r="D1914" s="1" t="e">
        <f>VLOOKUP(Tabla_Items_Activos[[#This Row],[CODIGO]],Tabla_Items_Completos[[CODIGO]:[LINEA]],3,0)</f>
        <v>#N/A</v>
      </c>
      <c r="E1914" s="1" t="e">
        <f>VLOOKUP(Tabla_Items_Activos[[#This Row],[CODIGO]],Tabla_Items_Completos[[CODIGO]:[LINEA]],4,0)</f>
        <v>#N/A</v>
      </c>
      <c r="F1914">
        <v>932</v>
      </c>
      <c r="G1914">
        <v>0</v>
      </c>
    </row>
    <row r="1915" spans="1:7">
      <c r="A1915" t="s">
        <v>7388</v>
      </c>
      <c r="B1915" t="s">
        <v>9302</v>
      </c>
      <c r="C1915" s="1" t="e">
        <f>VLOOKUP(Tabla_Items_Activos[[#This Row],[CODIGO]],Tabla_Items_Completos[[CODIGO]:[LINEA]],2,0)</f>
        <v>#N/A</v>
      </c>
      <c r="D1915" s="1" t="e">
        <f>VLOOKUP(Tabla_Items_Activos[[#This Row],[CODIGO]],Tabla_Items_Completos[[CODIGO]:[LINEA]],3,0)</f>
        <v>#N/A</v>
      </c>
      <c r="E1915" s="1" t="e">
        <f>VLOOKUP(Tabla_Items_Activos[[#This Row],[CODIGO]],Tabla_Items_Completos[[CODIGO]:[LINEA]],4,0)</f>
        <v>#N/A</v>
      </c>
      <c r="F1915">
        <v>1524</v>
      </c>
      <c r="G1915">
        <v>146</v>
      </c>
    </row>
    <row r="1916" spans="1:7">
      <c r="A1916" t="s">
        <v>7388</v>
      </c>
      <c r="B1916" t="s">
        <v>9303</v>
      </c>
      <c r="C1916" s="1" t="e">
        <f>VLOOKUP(Tabla_Items_Activos[[#This Row],[CODIGO]],Tabla_Items_Completos[[CODIGO]:[LINEA]],2,0)</f>
        <v>#N/A</v>
      </c>
      <c r="D1916" s="1" t="e">
        <f>VLOOKUP(Tabla_Items_Activos[[#This Row],[CODIGO]],Tabla_Items_Completos[[CODIGO]:[LINEA]],3,0)</f>
        <v>#N/A</v>
      </c>
      <c r="E1916" s="1" t="e">
        <f>VLOOKUP(Tabla_Items_Activos[[#This Row],[CODIGO]],Tabla_Items_Completos[[CODIGO]:[LINEA]],4,0)</f>
        <v>#N/A</v>
      </c>
      <c r="F1916">
        <v>3</v>
      </c>
      <c r="G1916">
        <v>250</v>
      </c>
    </row>
    <row r="1917" spans="1:7">
      <c r="A1917" t="s">
        <v>7388</v>
      </c>
      <c r="B1917" t="s">
        <v>9304</v>
      </c>
      <c r="C1917" s="1" t="e">
        <f>VLOOKUP(Tabla_Items_Activos[[#This Row],[CODIGO]],Tabla_Items_Completos[[CODIGO]:[LINEA]],2,0)</f>
        <v>#N/A</v>
      </c>
      <c r="D1917" s="1" t="e">
        <f>VLOOKUP(Tabla_Items_Activos[[#This Row],[CODIGO]],Tabla_Items_Completos[[CODIGO]:[LINEA]],3,0)</f>
        <v>#N/A</v>
      </c>
      <c r="E1917" s="1" t="e">
        <f>VLOOKUP(Tabla_Items_Activos[[#This Row],[CODIGO]],Tabla_Items_Completos[[CODIGO]:[LINEA]],4,0)</f>
        <v>#N/A</v>
      </c>
      <c r="F1917">
        <v>631</v>
      </c>
      <c r="G1917">
        <v>303</v>
      </c>
    </row>
    <row r="1918" spans="1:7">
      <c r="A1918" t="s">
        <v>7388</v>
      </c>
      <c r="B1918" t="s">
        <v>9305</v>
      </c>
      <c r="C1918" s="1" t="e">
        <f>VLOOKUP(Tabla_Items_Activos[[#This Row],[CODIGO]],Tabla_Items_Completos[[CODIGO]:[LINEA]],2,0)</f>
        <v>#N/A</v>
      </c>
      <c r="D1918" s="1" t="e">
        <f>VLOOKUP(Tabla_Items_Activos[[#This Row],[CODIGO]],Tabla_Items_Completos[[CODIGO]:[LINEA]],3,0)</f>
        <v>#N/A</v>
      </c>
      <c r="E1918" s="1" t="e">
        <f>VLOOKUP(Tabla_Items_Activos[[#This Row],[CODIGO]],Tabla_Items_Completos[[CODIGO]:[LINEA]],4,0)</f>
        <v>#N/A</v>
      </c>
      <c r="F1918">
        <v>1428</v>
      </c>
      <c r="G1918">
        <v>36</v>
      </c>
    </row>
    <row r="1919" spans="1:7">
      <c r="A1919" t="s">
        <v>7388</v>
      </c>
      <c r="B1919" t="s">
        <v>9306</v>
      </c>
      <c r="C1919" s="1" t="e">
        <f>VLOOKUP(Tabla_Items_Activos[[#This Row],[CODIGO]],Tabla_Items_Completos[[CODIGO]:[LINEA]],2,0)</f>
        <v>#N/A</v>
      </c>
      <c r="D1919" s="1" t="e">
        <f>VLOOKUP(Tabla_Items_Activos[[#This Row],[CODIGO]],Tabla_Items_Completos[[CODIGO]:[LINEA]],3,0)</f>
        <v>#N/A</v>
      </c>
      <c r="E1919" s="1" t="e">
        <f>VLOOKUP(Tabla_Items_Activos[[#This Row],[CODIGO]],Tabla_Items_Completos[[CODIGO]:[LINEA]],4,0)</f>
        <v>#N/A</v>
      </c>
      <c r="F1919">
        <v>872</v>
      </c>
      <c r="G1919">
        <v>0</v>
      </c>
    </row>
    <row r="1920" spans="1:7">
      <c r="A1920" t="s">
        <v>7388</v>
      </c>
      <c r="B1920" t="s">
        <v>9307</v>
      </c>
      <c r="C1920" s="1" t="e">
        <f>VLOOKUP(Tabla_Items_Activos[[#This Row],[CODIGO]],Tabla_Items_Completos[[CODIGO]:[LINEA]],2,0)</f>
        <v>#N/A</v>
      </c>
      <c r="D1920" s="1" t="e">
        <f>VLOOKUP(Tabla_Items_Activos[[#This Row],[CODIGO]],Tabla_Items_Completos[[CODIGO]:[LINEA]],3,0)</f>
        <v>#N/A</v>
      </c>
      <c r="E1920" s="1" t="e">
        <f>VLOOKUP(Tabla_Items_Activos[[#This Row],[CODIGO]],Tabla_Items_Completos[[CODIGO]:[LINEA]],4,0)</f>
        <v>#N/A</v>
      </c>
      <c r="F1920">
        <v>851</v>
      </c>
      <c r="G1920">
        <v>7</v>
      </c>
    </row>
    <row r="1921" spans="1:7">
      <c r="A1921" t="s">
        <v>7388</v>
      </c>
      <c r="B1921" t="s">
        <v>9308</v>
      </c>
      <c r="C1921" s="1" t="e">
        <f>VLOOKUP(Tabla_Items_Activos[[#This Row],[CODIGO]],Tabla_Items_Completos[[CODIGO]:[LINEA]],2,0)</f>
        <v>#N/A</v>
      </c>
      <c r="D1921" s="1" t="e">
        <f>VLOOKUP(Tabla_Items_Activos[[#This Row],[CODIGO]],Tabla_Items_Completos[[CODIGO]:[LINEA]],3,0)</f>
        <v>#N/A</v>
      </c>
      <c r="E1921" s="1" t="e">
        <f>VLOOKUP(Tabla_Items_Activos[[#This Row],[CODIGO]],Tabla_Items_Completos[[CODIGO]:[LINEA]],4,0)</f>
        <v>#N/A</v>
      </c>
      <c r="F1921">
        <v>642</v>
      </c>
      <c r="G1921">
        <v>67</v>
      </c>
    </row>
    <row r="1922" spans="1:7">
      <c r="A1922" t="s">
        <v>7388</v>
      </c>
      <c r="B1922" t="s">
        <v>9309</v>
      </c>
      <c r="C1922" s="1" t="e">
        <f>VLOOKUP(Tabla_Items_Activos[[#This Row],[CODIGO]],Tabla_Items_Completos[[CODIGO]:[LINEA]],2,0)</f>
        <v>#N/A</v>
      </c>
      <c r="D1922" s="1" t="e">
        <f>VLOOKUP(Tabla_Items_Activos[[#This Row],[CODIGO]],Tabla_Items_Completos[[CODIGO]:[LINEA]],3,0)</f>
        <v>#N/A</v>
      </c>
      <c r="E1922" s="1" t="e">
        <f>VLOOKUP(Tabla_Items_Activos[[#This Row],[CODIGO]],Tabla_Items_Completos[[CODIGO]:[LINEA]],4,0)</f>
        <v>#N/A</v>
      </c>
      <c r="F1922">
        <v>1140</v>
      </c>
      <c r="G1922">
        <v>263</v>
      </c>
    </row>
    <row r="1923" spans="1:7">
      <c r="A1923" t="s">
        <v>7388</v>
      </c>
      <c r="B1923" t="s">
        <v>9310</v>
      </c>
      <c r="C1923" s="1" t="e">
        <f>VLOOKUP(Tabla_Items_Activos[[#This Row],[CODIGO]],Tabla_Items_Completos[[CODIGO]:[LINEA]],2,0)</f>
        <v>#N/A</v>
      </c>
      <c r="D1923" s="1" t="e">
        <f>VLOOKUP(Tabla_Items_Activos[[#This Row],[CODIGO]],Tabla_Items_Completos[[CODIGO]:[LINEA]],3,0)</f>
        <v>#N/A</v>
      </c>
      <c r="E1923" s="1" t="e">
        <f>VLOOKUP(Tabla_Items_Activos[[#This Row],[CODIGO]],Tabla_Items_Completos[[CODIGO]:[LINEA]],4,0)</f>
        <v>#N/A</v>
      </c>
      <c r="F1923">
        <v>2652</v>
      </c>
      <c r="G1923">
        <v>876</v>
      </c>
    </row>
    <row r="1924" spans="1:7">
      <c r="A1924" t="s">
        <v>7388</v>
      </c>
      <c r="B1924" t="s">
        <v>9311</v>
      </c>
      <c r="C1924" s="1" t="e">
        <f>VLOOKUP(Tabla_Items_Activos[[#This Row],[CODIGO]],Tabla_Items_Completos[[CODIGO]:[LINEA]],2,0)</f>
        <v>#N/A</v>
      </c>
      <c r="D1924" s="1" t="e">
        <f>VLOOKUP(Tabla_Items_Activos[[#This Row],[CODIGO]],Tabla_Items_Completos[[CODIGO]:[LINEA]],3,0)</f>
        <v>#N/A</v>
      </c>
      <c r="E1924" s="1" t="e">
        <f>VLOOKUP(Tabla_Items_Activos[[#This Row],[CODIGO]],Tabla_Items_Completos[[CODIGO]:[LINEA]],4,0)</f>
        <v>#N/A</v>
      </c>
      <c r="F1924">
        <v>1767</v>
      </c>
      <c r="G1924">
        <v>0</v>
      </c>
    </row>
    <row r="1925" spans="1:7">
      <c r="A1925" t="s">
        <v>7388</v>
      </c>
      <c r="B1925" t="s">
        <v>9312</v>
      </c>
      <c r="C1925" s="1" t="e">
        <f>VLOOKUP(Tabla_Items_Activos[[#This Row],[CODIGO]],Tabla_Items_Completos[[CODIGO]:[LINEA]],2,0)</f>
        <v>#N/A</v>
      </c>
      <c r="D1925" s="1" t="e">
        <f>VLOOKUP(Tabla_Items_Activos[[#This Row],[CODIGO]],Tabla_Items_Completos[[CODIGO]:[LINEA]],3,0)</f>
        <v>#N/A</v>
      </c>
      <c r="E1925" s="1" t="e">
        <f>VLOOKUP(Tabla_Items_Activos[[#This Row],[CODIGO]],Tabla_Items_Completos[[CODIGO]:[LINEA]],4,0)</f>
        <v>#N/A</v>
      </c>
      <c r="F1925">
        <v>274</v>
      </c>
      <c r="G1925">
        <v>0</v>
      </c>
    </row>
    <row r="1926" spans="1:7">
      <c r="A1926" t="s">
        <v>7388</v>
      </c>
      <c r="B1926" t="s">
        <v>9313</v>
      </c>
      <c r="C1926" s="1" t="e">
        <f>VLOOKUP(Tabla_Items_Activos[[#This Row],[CODIGO]],Tabla_Items_Completos[[CODIGO]:[LINEA]],2,0)</f>
        <v>#N/A</v>
      </c>
      <c r="D1926" s="1" t="e">
        <f>VLOOKUP(Tabla_Items_Activos[[#This Row],[CODIGO]],Tabla_Items_Completos[[CODIGO]:[LINEA]],3,0)</f>
        <v>#N/A</v>
      </c>
      <c r="E1926" s="1" t="e">
        <f>VLOOKUP(Tabla_Items_Activos[[#This Row],[CODIGO]],Tabla_Items_Completos[[CODIGO]:[LINEA]],4,0)</f>
        <v>#N/A</v>
      </c>
      <c r="F1926">
        <v>2069</v>
      </c>
      <c r="G1926">
        <v>129</v>
      </c>
    </row>
    <row r="1927" spans="1:7">
      <c r="A1927" t="s">
        <v>7388</v>
      </c>
      <c r="B1927" t="s">
        <v>9314</v>
      </c>
      <c r="C1927" s="1" t="e">
        <f>VLOOKUP(Tabla_Items_Activos[[#This Row],[CODIGO]],Tabla_Items_Completos[[CODIGO]:[LINEA]],2,0)</f>
        <v>#N/A</v>
      </c>
      <c r="D1927" s="1" t="e">
        <f>VLOOKUP(Tabla_Items_Activos[[#This Row],[CODIGO]],Tabla_Items_Completos[[CODIGO]:[LINEA]],3,0)</f>
        <v>#N/A</v>
      </c>
      <c r="E1927" s="1" t="e">
        <f>VLOOKUP(Tabla_Items_Activos[[#This Row],[CODIGO]],Tabla_Items_Completos[[CODIGO]:[LINEA]],4,0)</f>
        <v>#N/A</v>
      </c>
      <c r="F1927">
        <v>608</v>
      </c>
      <c r="G1927">
        <v>0</v>
      </c>
    </row>
    <row r="1928" spans="1:7">
      <c r="A1928" t="s">
        <v>7388</v>
      </c>
      <c r="B1928" t="s">
        <v>9315</v>
      </c>
      <c r="C1928" s="1" t="e">
        <f>VLOOKUP(Tabla_Items_Activos[[#This Row],[CODIGO]],Tabla_Items_Completos[[CODIGO]:[LINEA]],2,0)</f>
        <v>#N/A</v>
      </c>
      <c r="D1928" s="1" t="e">
        <f>VLOOKUP(Tabla_Items_Activos[[#This Row],[CODIGO]],Tabla_Items_Completos[[CODIGO]:[LINEA]],3,0)</f>
        <v>#N/A</v>
      </c>
      <c r="E1928" s="1" t="e">
        <f>VLOOKUP(Tabla_Items_Activos[[#This Row],[CODIGO]],Tabla_Items_Completos[[CODIGO]:[LINEA]],4,0)</f>
        <v>#N/A</v>
      </c>
      <c r="F1928">
        <v>523</v>
      </c>
      <c r="G1928">
        <v>1469</v>
      </c>
    </row>
    <row r="1929" spans="1:7">
      <c r="A1929" t="s">
        <v>7388</v>
      </c>
      <c r="B1929" t="s">
        <v>9316</v>
      </c>
      <c r="C1929" s="1" t="e">
        <f>VLOOKUP(Tabla_Items_Activos[[#This Row],[CODIGO]],Tabla_Items_Completos[[CODIGO]:[LINEA]],2,0)</f>
        <v>#N/A</v>
      </c>
      <c r="D1929" s="1" t="e">
        <f>VLOOKUP(Tabla_Items_Activos[[#This Row],[CODIGO]],Tabla_Items_Completos[[CODIGO]:[LINEA]],3,0)</f>
        <v>#N/A</v>
      </c>
      <c r="E1929" s="1" t="e">
        <f>VLOOKUP(Tabla_Items_Activos[[#This Row],[CODIGO]],Tabla_Items_Completos[[CODIGO]:[LINEA]],4,0)</f>
        <v>#N/A</v>
      </c>
      <c r="F1929">
        <v>364</v>
      </c>
      <c r="G1929">
        <v>0</v>
      </c>
    </row>
    <row r="1930" spans="1:7">
      <c r="A1930" t="s">
        <v>7388</v>
      </c>
      <c r="B1930" t="s">
        <v>9317</v>
      </c>
      <c r="C1930" s="1" t="e">
        <f>VLOOKUP(Tabla_Items_Activos[[#This Row],[CODIGO]],Tabla_Items_Completos[[CODIGO]:[LINEA]],2,0)</f>
        <v>#N/A</v>
      </c>
      <c r="D1930" s="1" t="e">
        <f>VLOOKUP(Tabla_Items_Activos[[#This Row],[CODIGO]],Tabla_Items_Completos[[CODIGO]:[LINEA]],3,0)</f>
        <v>#N/A</v>
      </c>
      <c r="E1930" s="1" t="e">
        <f>VLOOKUP(Tabla_Items_Activos[[#This Row],[CODIGO]],Tabla_Items_Completos[[CODIGO]:[LINEA]],4,0)</f>
        <v>#N/A</v>
      </c>
      <c r="F1930">
        <v>315</v>
      </c>
      <c r="G1930">
        <v>0</v>
      </c>
    </row>
    <row r="1931" spans="1:7">
      <c r="A1931" t="s">
        <v>7388</v>
      </c>
      <c r="B1931" t="s">
        <v>9318</v>
      </c>
      <c r="C1931" s="1" t="e">
        <f>VLOOKUP(Tabla_Items_Activos[[#This Row],[CODIGO]],Tabla_Items_Completos[[CODIGO]:[LINEA]],2,0)</f>
        <v>#N/A</v>
      </c>
      <c r="D1931" s="1" t="e">
        <f>VLOOKUP(Tabla_Items_Activos[[#This Row],[CODIGO]],Tabla_Items_Completos[[CODIGO]:[LINEA]],3,0)</f>
        <v>#N/A</v>
      </c>
      <c r="E1931" s="1" t="e">
        <f>VLOOKUP(Tabla_Items_Activos[[#This Row],[CODIGO]],Tabla_Items_Completos[[CODIGO]:[LINEA]],4,0)</f>
        <v>#N/A</v>
      </c>
      <c r="F1931">
        <v>211</v>
      </c>
      <c r="G1931">
        <v>55</v>
      </c>
    </row>
    <row r="1932" spans="1:7">
      <c r="A1932" t="s">
        <v>7388</v>
      </c>
      <c r="B1932" t="s">
        <v>9319</v>
      </c>
      <c r="C1932" s="1" t="e">
        <f>VLOOKUP(Tabla_Items_Activos[[#This Row],[CODIGO]],Tabla_Items_Completos[[CODIGO]:[LINEA]],2,0)</f>
        <v>#N/A</v>
      </c>
      <c r="D1932" s="1" t="e">
        <f>VLOOKUP(Tabla_Items_Activos[[#This Row],[CODIGO]],Tabla_Items_Completos[[CODIGO]:[LINEA]],3,0)</f>
        <v>#N/A</v>
      </c>
      <c r="E1932" s="1" t="e">
        <f>VLOOKUP(Tabla_Items_Activos[[#This Row],[CODIGO]],Tabla_Items_Completos[[CODIGO]:[LINEA]],4,0)</f>
        <v>#N/A</v>
      </c>
      <c r="F1932">
        <v>1011</v>
      </c>
      <c r="G1932">
        <v>788</v>
      </c>
    </row>
    <row r="1933" spans="1:7">
      <c r="A1933" t="s">
        <v>7388</v>
      </c>
      <c r="B1933" t="s">
        <v>9320</v>
      </c>
      <c r="C1933" s="1" t="e">
        <f>VLOOKUP(Tabla_Items_Activos[[#This Row],[CODIGO]],Tabla_Items_Completos[[CODIGO]:[LINEA]],2,0)</f>
        <v>#N/A</v>
      </c>
      <c r="D1933" s="1" t="e">
        <f>VLOOKUP(Tabla_Items_Activos[[#This Row],[CODIGO]],Tabla_Items_Completos[[CODIGO]:[LINEA]],3,0)</f>
        <v>#N/A</v>
      </c>
      <c r="E1933" s="1" t="e">
        <f>VLOOKUP(Tabla_Items_Activos[[#This Row],[CODIGO]],Tabla_Items_Completos[[CODIGO]:[LINEA]],4,0)</f>
        <v>#N/A</v>
      </c>
      <c r="F1933">
        <v>237</v>
      </c>
      <c r="G1933">
        <v>0</v>
      </c>
    </row>
    <row r="1934" spans="1:7">
      <c r="A1934" t="s">
        <v>7388</v>
      </c>
      <c r="B1934" t="s">
        <v>9321</v>
      </c>
      <c r="C1934" s="1" t="e">
        <f>VLOOKUP(Tabla_Items_Activos[[#This Row],[CODIGO]],Tabla_Items_Completos[[CODIGO]:[LINEA]],2,0)</f>
        <v>#N/A</v>
      </c>
      <c r="D1934" s="1" t="e">
        <f>VLOOKUP(Tabla_Items_Activos[[#This Row],[CODIGO]],Tabla_Items_Completos[[CODIGO]:[LINEA]],3,0)</f>
        <v>#N/A</v>
      </c>
      <c r="E1934" s="1" t="e">
        <f>VLOOKUP(Tabla_Items_Activos[[#This Row],[CODIGO]],Tabla_Items_Completos[[CODIGO]:[LINEA]],4,0)</f>
        <v>#N/A</v>
      </c>
      <c r="F1934">
        <v>728</v>
      </c>
      <c r="G1934">
        <v>0</v>
      </c>
    </row>
    <row r="1935" spans="1:7">
      <c r="A1935" t="s">
        <v>7388</v>
      </c>
      <c r="B1935" t="s">
        <v>9322</v>
      </c>
      <c r="C1935" s="1" t="e">
        <f>VLOOKUP(Tabla_Items_Activos[[#This Row],[CODIGO]],Tabla_Items_Completos[[CODIGO]:[LINEA]],2,0)</f>
        <v>#N/A</v>
      </c>
      <c r="D1935" s="1" t="e">
        <f>VLOOKUP(Tabla_Items_Activos[[#This Row],[CODIGO]],Tabla_Items_Completos[[CODIGO]:[LINEA]],3,0)</f>
        <v>#N/A</v>
      </c>
      <c r="E1935" s="1" t="e">
        <f>VLOOKUP(Tabla_Items_Activos[[#This Row],[CODIGO]],Tabla_Items_Completos[[CODIGO]:[LINEA]],4,0)</f>
        <v>#N/A</v>
      </c>
      <c r="F1935">
        <v>968</v>
      </c>
      <c r="G1935">
        <v>0</v>
      </c>
    </row>
    <row r="1936" spans="1:7">
      <c r="A1936" t="s">
        <v>7388</v>
      </c>
      <c r="B1936" t="s">
        <v>9323</v>
      </c>
      <c r="C1936" s="1" t="e">
        <f>VLOOKUP(Tabla_Items_Activos[[#This Row],[CODIGO]],Tabla_Items_Completos[[CODIGO]:[LINEA]],2,0)</f>
        <v>#N/A</v>
      </c>
      <c r="D1936" s="1" t="e">
        <f>VLOOKUP(Tabla_Items_Activos[[#This Row],[CODIGO]],Tabla_Items_Completos[[CODIGO]:[LINEA]],3,0)</f>
        <v>#N/A</v>
      </c>
      <c r="E1936" s="1" t="e">
        <f>VLOOKUP(Tabla_Items_Activos[[#This Row],[CODIGO]],Tabla_Items_Completos[[CODIGO]:[LINEA]],4,0)</f>
        <v>#N/A</v>
      </c>
      <c r="F1936">
        <v>369</v>
      </c>
      <c r="G1936">
        <v>123</v>
      </c>
    </row>
    <row r="1937" spans="1:7">
      <c r="A1937" t="s">
        <v>7388</v>
      </c>
      <c r="B1937" t="s">
        <v>9324</v>
      </c>
      <c r="C1937" s="1" t="e">
        <f>VLOOKUP(Tabla_Items_Activos[[#This Row],[CODIGO]],Tabla_Items_Completos[[CODIGO]:[LINEA]],2,0)</f>
        <v>#N/A</v>
      </c>
      <c r="D1937" s="1" t="e">
        <f>VLOOKUP(Tabla_Items_Activos[[#This Row],[CODIGO]],Tabla_Items_Completos[[CODIGO]:[LINEA]],3,0)</f>
        <v>#N/A</v>
      </c>
      <c r="E1937" s="1" t="e">
        <f>VLOOKUP(Tabla_Items_Activos[[#This Row],[CODIGO]],Tabla_Items_Completos[[CODIGO]:[LINEA]],4,0)</f>
        <v>#N/A</v>
      </c>
      <c r="F1937">
        <v>542</v>
      </c>
      <c r="G1937">
        <v>46</v>
      </c>
    </row>
    <row r="1938" spans="1:7">
      <c r="A1938" t="s">
        <v>7388</v>
      </c>
      <c r="B1938" t="s">
        <v>9325</v>
      </c>
      <c r="C1938" s="1" t="e">
        <f>VLOOKUP(Tabla_Items_Activos[[#This Row],[CODIGO]],Tabla_Items_Completos[[CODIGO]:[LINEA]],2,0)</f>
        <v>#N/A</v>
      </c>
      <c r="D1938" s="1" t="e">
        <f>VLOOKUP(Tabla_Items_Activos[[#This Row],[CODIGO]],Tabla_Items_Completos[[CODIGO]:[LINEA]],3,0)</f>
        <v>#N/A</v>
      </c>
      <c r="E1938" s="1" t="e">
        <f>VLOOKUP(Tabla_Items_Activos[[#This Row],[CODIGO]],Tabla_Items_Completos[[CODIGO]:[LINEA]],4,0)</f>
        <v>#N/A</v>
      </c>
      <c r="F1938">
        <v>1166</v>
      </c>
      <c r="G1938">
        <v>0</v>
      </c>
    </row>
    <row r="1939" spans="1:7">
      <c r="A1939" t="s">
        <v>7388</v>
      </c>
      <c r="B1939" t="s">
        <v>9326</v>
      </c>
      <c r="C1939" s="1" t="e">
        <f>VLOOKUP(Tabla_Items_Activos[[#This Row],[CODIGO]],Tabla_Items_Completos[[CODIGO]:[LINEA]],2,0)</f>
        <v>#N/A</v>
      </c>
      <c r="D1939" s="1" t="e">
        <f>VLOOKUP(Tabla_Items_Activos[[#This Row],[CODIGO]],Tabla_Items_Completos[[CODIGO]:[LINEA]],3,0)</f>
        <v>#N/A</v>
      </c>
      <c r="E1939" s="1" t="e">
        <f>VLOOKUP(Tabla_Items_Activos[[#This Row],[CODIGO]],Tabla_Items_Completos[[CODIGO]:[LINEA]],4,0)</f>
        <v>#N/A</v>
      </c>
      <c r="F1939">
        <v>484</v>
      </c>
      <c r="G1939">
        <v>0</v>
      </c>
    </row>
    <row r="1940" spans="1:7">
      <c r="A1940" t="s">
        <v>7388</v>
      </c>
      <c r="B1940" t="s">
        <v>9327</v>
      </c>
      <c r="C1940" s="1" t="e">
        <f>VLOOKUP(Tabla_Items_Activos[[#This Row],[CODIGO]],Tabla_Items_Completos[[CODIGO]:[LINEA]],2,0)</f>
        <v>#N/A</v>
      </c>
      <c r="D1940" s="1" t="e">
        <f>VLOOKUP(Tabla_Items_Activos[[#This Row],[CODIGO]],Tabla_Items_Completos[[CODIGO]:[LINEA]],3,0)</f>
        <v>#N/A</v>
      </c>
      <c r="E1940" s="1" t="e">
        <f>VLOOKUP(Tabla_Items_Activos[[#This Row],[CODIGO]],Tabla_Items_Completos[[CODIGO]:[LINEA]],4,0)</f>
        <v>#N/A</v>
      </c>
      <c r="F1940">
        <v>87</v>
      </c>
      <c r="G1940">
        <v>111</v>
      </c>
    </row>
    <row r="1941" spans="1:7">
      <c r="A1941" t="s">
        <v>7388</v>
      </c>
      <c r="B1941" t="s">
        <v>9328</v>
      </c>
      <c r="C1941" s="1" t="e">
        <f>VLOOKUP(Tabla_Items_Activos[[#This Row],[CODIGO]],Tabla_Items_Completos[[CODIGO]:[LINEA]],2,0)</f>
        <v>#N/A</v>
      </c>
      <c r="D1941" s="1" t="e">
        <f>VLOOKUP(Tabla_Items_Activos[[#This Row],[CODIGO]],Tabla_Items_Completos[[CODIGO]:[LINEA]],3,0)</f>
        <v>#N/A</v>
      </c>
      <c r="E1941" s="1" t="e">
        <f>VLOOKUP(Tabla_Items_Activos[[#This Row],[CODIGO]],Tabla_Items_Completos[[CODIGO]:[LINEA]],4,0)</f>
        <v>#N/A</v>
      </c>
      <c r="F1941">
        <v>75</v>
      </c>
      <c r="G1941">
        <v>0</v>
      </c>
    </row>
    <row r="1942" spans="1:7">
      <c r="A1942" t="s">
        <v>7388</v>
      </c>
      <c r="B1942" t="s">
        <v>9329</v>
      </c>
      <c r="C1942" s="1" t="e">
        <f>VLOOKUP(Tabla_Items_Activos[[#This Row],[CODIGO]],Tabla_Items_Completos[[CODIGO]:[LINEA]],2,0)</f>
        <v>#N/A</v>
      </c>
      <c r="D1942" s="1" t="e">
        <f>VLOOKUP(Tabla_Items_Activos[[#This Row],[CODIGO]],Tabla_Items_Completos[[CODIGO]:[LINEA]],3,0)</f>
        <v>#N/A</v>
      </c>
      <c r="E1942" s="1" t="e">
        <f>VLOOKUP(Tabla_Items_Activos[[#This Row],[CODIGO]],Tabla_Items_Completos[[CODIGO]:[LINEA]],4,0)</f>
        <v>#N/A</v>
      </c>
      <c r="F1942">
        <v>6347</v>
      </c>
      <c r="G1942">
        <v>0</v>
      </c>
    </row>
    <row r="1943" spans="1:7">
      <c r="A1943" t="s">
        <v>7388</v>
      </c>
      <c r="B1943" t="s">
        <v>9330</v>
      </c>
      <c r="C1943" s="1" t="e">
        <f>VLOOKUP(Tabla_Items_Activos[[#This Row],[CODIGO]],Tabla_Items_Completos[[CODIGO]:[LINEA]],2,0)</f>
        <v>#N/A</v>
      </c>
      <c r="D1943" s="1" t="e">
        <f>VLOOKUP(Tabla_Items_Activos[[#This Row],[CODIGO]],Tabla_Items_Completos[[CODIGO]:[LINEA]],3,0)</f>
        <v>#N/A</v>
      </c>
      <c r="E1943" s="1" t="e">
        <f>VLOOKUP(Tabla_Items_Activos[[#This Row],[CODIGO]],Tabla_Items_Completos[[CODIGO]:[LINEA]],4,0)</f>
        <v>#N/A</v>
      </c>
      <c r="F1943">
        <v>3851</v>
      </c>
      <c r="G1943">
        <v>0</v>
      </c>
    </row>
    <row r="1944" spans="1:7">
      <c r="A1944" t="s">
        <v>7388</v>
      </c>
      <c r="B1944" t="s">
        <v>9331</v>
      </c>
      <c r="C1944" s="1" t="e">
        <f>VLOOKUP(Tabla_Items_Activos[[#This Row],[CODIGO]],Tabla_Items_Completos[[CODIGO]:[LINEA]],2,0)</f>
        <v>#N/A</v>
      </c>
      <c r="D1944" s="1" t="e">
        <f>VLOOKUP(Tabla_Items_Activos[[#This Row],[CODIGO]],Tabla_Items_Completos[[CODIGO]:[LINEA]],3,0)</f>
        <v>#N/A</v>
      </c>
      <c r="E1944" s="1" t="e">
        <f>VLOOKUP(Tabla_Items_Activos[[#This Row],[CODIGO]],Tabla_Items_Completos[[CODIGO]:[LINEA]],4,0)</f>
        <v>#N/A</v>
      </c>
      <c r="F1944">
        <v>1182</v>
      </c>
      <c r="G1944">
        <v>800</v>
      </c>
    </row>
    <row r="1945" spans="1:7">
      <c r="A1945" t="s">
        <v>7388</v>
      </c>
      <c r="B1945" t="s">
        <v>9332</v>
      </c>
      <c r="C1945" s="1" t="e">
        <f>VLOOKUP(Tabla_Items_Activos[[#This Row],[CODIGO]],Tabla_Items_Completos[[CODIGO]:[LINEA]],2,0)</f>
        <v>#N/A</v>
      </c>
      <c r="D1945" s="1" t="e">
        <f>VLOOKUP(Tabla_Items_Activos[[#This Row],[CODIGO]],Tabla_Items_Completos[[CODIGO]:[LINEA]],3,0)</f>
        <v>#N/A</v>
      </c>
      <c r="E1945" s="1" t="e">
        <f>VLOOKUP(Tabla_Items_Activos[[#This Row],[CODIGO]],Tabla_Items_Completos[[CODIGO]:[LINEA]],4,0)</f>
        <v>#N/A</v>
      </c>
      <c r="F1945">
        <v>13531</v>
      </c>
      <c r="G1945">
        <v>0</v>
      </c>
    </row>
    <row r="1946" spans="1:7">
      <c r="A1946" t="s">
        <v>7388</v>
      </c>
      <c r="B1946" t="s">
        <v>9333</v>
      </c>
      <c r="C1946" s="1" t="e">
        <f>VLOOKUP(Tabla_Items_Activos[[#This Row],[CODIGO]],Tabla_Items_Completos[[CODIGO]:[LINEA]],2,0)</f>
        <v>#N/A</v>
      </c>
      <c r="D1946" s="1" t="e">
        <f>VLOOKUP(Tabla_Items_Activos[[#This Row],[CODIGO]],Tabla_Items_Completos[[CODIGO]:[LINEA]],3,0)</f>
        <v>#N/A</v>
      </c>
      <c r="E1946" s="1" t="e">
        <f>VLOOKUP(Tabla_Items_Activos[[#This Row],[CODIGO]],Tabla_Items_Completos[[CODIGO]:[LINEA]],4,0)</f>
        <v>#N/A</v>
      </c>
      <c r="F1946">
        <v>6711</v>
      </c>
      <c r="G1946">
        <v>0</v>
      </c>
    </row>
    <row r="1947" spans="1:7">
      <c r="A1947" t="s">
        <v>7388</v>
      </c>
      <c r="B1947" t="s">
        <v>9334</v>
      </c>
      <c r="C1947" s="1" t="e">
        <f>VLOOKUP(Tabla_Items_Activos[[#This Row],[CODIGO]],Tabla_Items_Completos[[CODIGO]:[LINEA]],2,0)</f>
        <v>#N/A</v>
      </c>
      <c r="D1947" s="1" t="e">
        <f>VLOOKUP(Tabla_Items_Activos[[#This Row],[CODIGO]],Tabla_Items_Completos[[CODIGO]:[LINEA]],3,0)</f>
        <v>#N/A</v>
      </c>
      <c r="E1947" s="1" t="e">
        <f>VLOOKUP(Tabla_Items_Activos[[#This Row],[CODIGO]],Tabla_Items_Completos[[CODIGO]:[LINEA]],4,0)</f>
        <v>#N/A</v>
      </c>
      <c r="F1947">
        <v>7620</v>
      </c>
      <c r="G1947">
        <v>0</v>
      </c>
    </row>
    <row r="1948" spans="1:7">
      <c r="A1948" t="s">
        <v>7388</v>
      </c>
      <c r="B1948" t="s">
        <v>9335</v>
      </c>
      <c r="C1948" s="1" t="e">
        <f>VLOOKUP(Tabla_Items_Activos[[#This Row],[CODIGO]],Tabla_Items_Completos[[CODIGO]:[LINEA]],2,0)</f>
        <v>#N/A</v>
      </c>
      <c r="D1948" s="1" t="e">
        <f>VLOOKUP(Tabla_Items_Activos[[#This Row],[CODIGO]],Tabla_Items_Completos[[CODIGO]:[LINEA]],3,0)</f>
        <v>#N/A</v>
      </c>
      <c r="E1948" s="1" t="e">
        <f>VLOOKUP(Tabla_Items_Activos[[#This Row],[CODIGO]],Tabla_Items_Completos[[CODIGO]:[LINEA]],4,0)</f>
        <v>#N/A</v>
      </c>
      <c r="F1948">
        <v>5226</v>
      </c>
      <c r="G1948">
        <v>0</v>
      </c>
    </row>
    <row r="1949" spans="1:7">
      <c r="A1949" t="s">
        <v>7388</v>
      </c>
      <c r="B1949" t="s">
        <v>9336</v>
      </c>
      <c r="C1949" s="1" t="e">
        <f>VLOOKUP(Tabla_Items_Activos[[#This Row],[CODIGO]],Tabla_Items_Completos[[CODIGO]:[LINEA]],2,0)</f>
        <v>#N/A</v>
      </c>
      <c r="D1949" s="1" t="e">
        <f>VLOOKUP(Tabla_Items_Activos[[#This Row],[CODIGO]],Tabla_Items_Completos[[CODIGO]:[LINEA]],3,0)</f>
        <v>#N/A</v>
      </c>
      <c r="E1949" s="1" t="e">
        <f>VLOOKUP(Tabla_Items_Activos[[#This Row],[CODIGO]],Tabla_Items_Completos[[CODIGO]:[LINEA]],4,0)</f>
        <v>#N/A</v>
      </c>
      <c r="F1949">
        <v>750</v>
      </c>
      <c r="G1949">
        <v>8</v>
      </c>
    </row>
    <row r="1950" spans="1:7">
      <c r="A1950" t="s">
        <v>7388</v>
      </c>
      <c r="B1950" t="s">
        <v>9337</v>
      </c>
      <c r="C1950" s="1" t="e">
        <f>VLOOKUP(Tabla_Items_Activos[[#This Row],[CODIGO]],Tabla_Items_Completos[[CODIGO]:[LINEA]],2,0)</f>
        <v>#N/A</v>
      </c>
      <c r="D1950" s="1" t="e">
        <f>VLOOKUP(Tabla_Items_Activos[[#This Row],[CODIGO]],Tabla_Items_Completos[[CODIGO]:[LINEA]],3,0)</f>
        <v>#N/A</v>
      </c>
      <c r="E1950" s="1" t="e">
        <f>VLOOKUP(Tabla_Items_Activos[[#This Row],[CODIGO]],Tabla_Items_Completos[[CODIGO]:[LINEA]],4,0)</f>
        <v>#N/A</v>
      </c>
      <c r="F1950">
        <v>1274</v>
      </c>
      <c r="G1950">
        <v>1090</v>
      </c>
    </row>
    <row r="1951" spans="1:7">
      <c r="A1951" t="s">
        <v>7388</v>
      </c>
      <c r="B1951" t="s">
        <v>9338</v>
      </c>
      <c r="C1951" s="1" t="e">
        <f>VLOOKUP(Tabla_Items_Activos[[#This Row],[CODIGO]],Tabla_Items_Completos[[CODIGO]:[LINEA]],2,0)</f>
        <v>#N/A</v>
      </c>
      <c r="D1951" s="1" t="e">
        <f>VLOOKUP(Tabla_Items_Activos[[#This Row],[CODIGO]],Tabla_Items_Completos[[CODIGO]:[LINEA]],3,0)</f>
        <v>#N/A</v>
      </c>
      <c r="E1951" s="1" t="e">
        <f>VLOOKUP(Tabla_Items_Activos[[#This Row],[CODIGO]],Tabla_Items_Completos[[CODIGO]:[LINEA]],4,0)</f>
        <v>#N/A</v>
      </c>
      <c r="F1951">
        <v>357</v>
      </c>
      <c r="G1951">
        <v>75</v>
      </c>
    </row>
    <row r="1952" spans="1:7">
      <c r="A1952" t="s">
        <v>7388</v>
      </c>
      <c r="B1952" t="s">
        <v>9339</v>
      </c>
      <c r="C1952" s="1" t="e">
        <f>VLOOKUP(Tabla_Items_Activos[[#This Row],[CODIGO]],Tabla_Items_Completos[[CODIGO]:[LINEA]],2,0)</f>
        <v>#N/A</v>
      </c>
      <c r="D1952" s="1" t="e">
        <f>VLOOKUP(Tabla_Items_Activos[[#This Row],[CODIGO]],Tabla_Items_Completos[[CODIGO]:[LINEA]],3,0)</f>
        <v>#N/A</v>
      </c>
      <c r="E1952" s="1" t="e">
        <f>VLOOKUP(Tabla_Items_Activos[[#This Row],[CODIGO]],Tabla_Items_Completos[[CODIGO]:[LINEA]],4,0)</f>
        <v>#N/A</v>
      </c>
      <c r="F1952">
        <v>370</v>
      </c>
      <c r="G1952">
        <v>0</v>
      </c>
    </row>
    <row r="1953" spans="1:7">
      <c r="A1953" t="s">
        <v>7388</v>
      </c>
      <c r="B1953" t="s">
        <v>9340</v>
      </c>
      <c r="C1953" s="1" t="e">
        <f>VLOOKUP(Tabla_Items_Activos[[#This Row],[CODIGO]],Tabla_Items_Completos[[CODIGO]:[LINEA]],2,0)</f>
        <v>#N/A</v>
      </c>
      <c r="D1953" s="1" t="e">
        <f>VLOOKUP(Tabla_Items_Activos[[#This Row],[CODIGO]],Tabla_Items_Completos[[CODIGO]:[LINEA]],3,0)</f>
        <v>#N/A</v>
      </c>
      <c r="E1953" s="1" t="e">
        <f>VLOOKUP(Tabla_Items_Activos[[#This Row],[CODIGO]],Tabla_Items_Completos[[CODIGO]:[LINEA]],4,0)</f>
        <v>#N/A</v>
      </c>
      <c r="F1953">
        <v>249</v>
      </c>
      <c r="G1953">
        <v>0</v>
      </c>
    </row>
    <row r="1954" spans="1:7">
      <c r="A1954" t="s">
        <v>7388</v>
      </c>
      <c r="B1954" t="s">
        <v>9341</v>
      </c>
      <c r="C1954" s="1" t="e">
        <f>VLOOKUP(Tabla_Items_Activos[[#This Row],[CODIGO]],Tabla_Items_Completos[[CODIGO]:[LINEA]],2,0)</f>
        <v>#N/A</v>
      </c>
      <c r="D1954" s="1" t="e">
        <f>VLOOKUP(Tabla_Items_Activos[[#This Row],[CODIGO]],Tabla_Items_Completos[[CODIGO]:[LINEA]],3,0)</f>
        <v>#N/A</v>
      </c>
      <c r="E1954" s="1" t="e">
        <f>VLOOKUP(Tabla_Items_Activos[[#This Row],[CODIGO]],Tabla_Items_Completos[[CODIGO]:[LINEA]],4,0)</f>
        <v>#N/A</v>
      </c>
      <c r="F1954">
        <v>740</v>
      </c>
      <c r="G1954">
        <v>0</v>
      </c>
    </row>
    <row r="1955" spans="1:7">
      <c r="A1955" t="s">
        <v>7388</v>
      </c>
      <c r="B1955" t="s">
        <v>9342</v>
      </c>
      <c r="C1955" s="1" t="e">
        <f>VLOOKUP(Tabla_Items_Activos[[#This Row],[CODIGO]],Tabla_Items_Completos[[CODIGO]:[LINEA]],2,0)</f>
        <v>#N/A</v>
      </c>
      <c r="D1955" s="1" t="e">
        <f>VLOOKUP(Tabla_Items_Activos[[#This Row],[CODIGO]],Tabla_Items_Completos[[CODIGO]:[LINEA]],3,0)</f>
        <v>#N/A</v>
      </c>
      <c r="E1955" s="1" t="e">
        <f>VLOOKUP(Tabla_Items_Activos[[#This Row],[CODIGO]],Tabla_Items_Completos[[CODIGO]:[LINEA]],4,0)</f>
        <v>#N/A</v>
      </c>
      <c r="F1955">
        <v>301</v>
      </c>
      <c r="G1955">
        <v>218</v>
      </c>
    </row>
    <row r="1956" spans="1:7">
      <c r="A1956" t="s">
        <v>7388</v>
      </c>
      <c r="B1956" t="s">
        <v>9343</v>
      </c>
      <c r="C1956" s="1" t="e">
        <f>VLOOKUP(Tabla_Items_Activos[[#This Row],[CODIGO]],Tabla_Items_Completos[[CODIGO]:[LINEA]],2,0)</f>
        <v>#N/A</v>
      </c>
      <c r="D1956" s="1" t="e">
        <f>VLOOKUP(Tabla_Items_Activos[[#This Row],[CODIGO]],Tabla_Items_Completos[[CODIGO]:[LINEA]],3,0)</f>
        <v>#N/A</v>
      </c>
      <c r="E1956" s="1" t="e">
        <f>VLOOKUP(Tabla_Items_Activos[[#This Row],[CODIGO]],Tabla_Items_Completos[[CODIGO]:[LINEA]],4,0)</f>
        <v>#N/A</v>
      </c>
      <c r="F1956">
        <v>1886</v>
      </c>
      <c r="G1956">
        <v>320</v>
      </c>
    </row>
    <row r="1957" spans="1:7">
      <c r="A1957" t="s">
        <v>7388</v>
      </c>
      <c r="B1957" t="s">
        <v>9344</v>
      </c>
      <c r="C1957" s="1" t="e">
        <f>VLOOKUP(Tabla_Items_Activos[[#This Row],[CODIGO]],Tabla_Items_Completos[[CODIGO]:[LINEA]],2,0)</f>
        <v>#N/A</v>
      </c>
      <c r="D1957" s="1" t="e">
        <f>VLOOKUP(Tabla_Items_Activos[[#This Row],[CODIGO]],Tabla_Items_Completos[[CODIGO]:[LINEA]],3,0)</f>
        <v>#N/A</v>
      </c>
      <c r="E1957" s="1" t="e">
        <f>VLOOKUP(Tabla_Items_Activos[[#This Row],[CODIGO]],Tabla_Items_Completos[[CODIGO]:[LINEA]],4,0)</f>
        <v>#N/A</v>
      </c>
      <c r="F1957">
        <v>841</v>
      </c>
      <c r="G1957">
        <v>0</v>
      </c>
    </row>
    <row r="1958" spans="1:7">
      <c r="A1958" t="s">
        <v>7388</v>
      </c>
      <c r="B1958" t="s">
        <v>9345</v>
      </c>
      <c r="C1958" s="1" t="e">
        <f>VLOOKUP(Tabla_Items_Activos[[#This Row],[CODIGO]],Tabla_Items_Completos[[CODIGO]:[LINEA]],2,0)</f>
        <v>#N/A</v>
      </c>
      <c r="D1958" s="1" t="e">
        <f>VLOOKUP(Tabla_Items_Activos[[#This Row],[CODIGO]],Tabla_Items_Completos[[CODIGO]:[LINEA]],3,0)</f>
        <v>#N/A</v>
      </c>
      <c r="E1958" s="1" t="e">
        <f>VLOOKUP(Tabla_Items_Activos[[#This Row],[CODIGO]],Tabla_Items_Completos[[CODIGO]:[LINEA]],4,0)</f>
        <v>#N/A</v>
      </c>
      <c r="F1958">
        <v>295</v>
      </c>
      <c r="G1958">
        <v>183</v>
      </c>
    </row>
    <row r="1959" spans="1:7">
      <c r="A1959" t="s">
        <v>7388</v>
      </c>
      <c r="B1959" t="s">
        <v>9346</v>
      </c>
      <c r="C1959" s="1" t="e">
        <f>VLOOKUP(Tabla_Items_Activos[[#This Row],[CODIGO]],Tabla_Items_Completos[[CODIGO]:[LINEA]],2,0)</f>
        <v>#N/A</v>
      </c>
      <c r="D1959" s="1" t="e">
        <f>VLOOKUP(Tabla_Items_Activos[[#This Row],[CODIGO]],Tabla_Items_Completos[[CODIGO]:[LINEA]],3,0)</f>
        <v>#N/A</v>
      </c>
      <c r="E1959" s="1" t="e">
        <f>VLOOKUP(Tabla_Items_Activos[[#This Row],[CODIGO]],Tabla_Items_Completos[[CODIGO]:[LINEA]],4,0)</f>
        <v>#N/A</v>
      </c>
      <c r="F1959">
        <v>854</v>
      </c>
      <c r="G1959">
        <v>143</v>
      </c>
    </row>
    <row r="1960" spans="1:7">
      <c r="A1960" t="s">
        <v>7388</v>
      </c>
      <c r="B1960" t="s">
        <v>9347</v>
      </c>
      <c r="C1960" s="1" t="e">
        <f>VLOOKUP(Tabla_Items_Activos[[#This Row],[CODIGO]],Tabla_Items_Completos[[CODIGO]:[LINEA]],2,0)</f>
        <v>#N/A</v>
      </c>
      <c r="D1960" s="1" t="e">
        <f>VLOOKUP(Tabla_Items_Activos[[#This Row],[CODIGO]],Tabla_Items_Completos[[CODIGO]:[LINEA]],3,0)</f>
        <v>#N/A</v>
      </c>
      <c r="E1960" s="1" t="e">
        <f>VLOOKUP(Tabla_Items_Activos[[#This Row],[CODIGO]],Tabla_Items_Completos[[CODIGO]:[LINEA]],4,0)</f>
        <v>#N/A</v>
      </c>
      <c r="F1960">
        <v>1702</v>
      </c>
      <c r="G1960">
        <v>0</v>
      </c>
    </row>
    <row r="1961" spans="1:7">
      <c r="A1961" t="s">
        <v>7388</v>
      </c>
      <c r="B1961" t="s">
        <v>9348</v>
      </c>
      <c r="C1961" s="1" t="e">
        <f>VLOOKUP(Tabla_Items_Activos[[#This Row],[CODIGO]],Tabla_Items_Completos[[CODIGO]:[LINEA]],2,0)</f>
        <v>#N/A</v>
      </c>
      <c r="D1961" s="1" t="e">
        <f>VLOOKUP(Tabla_Items_Activos[[#This Row],[CODIGO]],Tabla_Items_Completos[[CODIGO]:[LINEA]],3,0)</f>
        <v>#N/A</v>
      </c>
      <c r="E1961" s="1" t="e">
        <f>VLOOKUP(Tabla_Items_Activos[[#This Row],[CODIGO]],Tabla_Items_Completos[[CODIGO]:[LINEA]],4,0)</f>
        <v>#N/A</v>
      </c>
      <c r="F1961">
        <v>945</v>
      </c>
      <c r="G1961">
        <v>99</v>
      </c>
    </row>
    <row r="1962" spans="1:7">
      <c r="A1962" t="s">
        <v>7388</v>
      </c>
      <c r="B1962" t="s">
        <v>9349</v>
      </c>
      <c r="C1962" s="1" t="e">
        <f>VLOOKUP(Tabla_Items_Activos[[#This Row],[CODIGO]],Tabla_Items_Completos[[CODIGO]:[LINEA]],2,0)</f>
        <v>#N/A</v>
      </c>
      <c r="D1962" s="1" t="e">
        <f>VLOOKUP(Tabla_Items_Activos[[#This Row],[CODIGO]],Tabla_Items_Completos[[CODIGO]:[LINEA]],3,0)</f>
        <v>#N/A</v>
      </c>
      <c r="E1962" s="1" t="e">
        <f>VLOOKUP(Tabla_Items_Activos[[#This Row],[CODIGO]],Tabla_Items_Completos[[CODIGO]:[LINEA]],4,0)</f>
        <v>#N/A</v>
      </c>
      <c r="F1962">
        <v>1723</v>
      </c>
      <c r="G1962">
        <v>253</v>
      </c>
    </row>
    <row r="1963" spans="1:7">
      <c r="A1963" t="s">
        <v>7388</v>
      </c>
      <c r="B1963" t="s">
        <v>9350</v>
      </c>
      <c r="C1963" s="1" t="e">
        <f>VLOOKUP(Tabla_Items_Activos[[#This Row],[CODIGO]],Tabla_Items_Completos[[CODIGO]:[LINEA]],2,0)</f>
        <v>#N/A</v>
      </c>
      <c r="D1963" s="1" t="e">
        <f>VLOOKUP(Tabla_Items_Activos[[#This Row],[CODIGO]],Tabla_Items_Completos[[CODIGO]:[LINEA]],3,0)</f>
        <v>#N/A</v>
      </c>
      <c r="E1963" s="1" t="e">
        <f>VLOOKUP(Tabla_Items_Activos[[#This Row],[CODIGO]],Tabla_Items_Completos[[CODIGO]:[LINEA]],4,0)</f>
        <v>#N/A</v>
      </c>
      <c r="F1963">
        <v>252</v>
      </c>
      <c r="G1963">
        <v>170</v>
      </c>
    </row>
    <row r="1964" spans="1:7">
      <c r="A1964" t="s">
        <v>7388</v>
      </c>
      <c r="B1964" t="s">
        <v>9351</v>
      </c>
      <c r="C1964" s="1" t="e">
        <f>VLOOKUP(Tabla_Items_Activos[[#This Row],[CODIGO]],Tabla_Items_Completos[[CODIGO]:[LINEA]],2,0)</f>
        <v>#N/A</v>
      </c>
      <c r="D1964" s="1" t="e">
        <f>VLOOKUP(Tabla_Items_Activos[[#This Row],[CODIGO]],Tabla_Items_Completos[[CODIGO]:[LINEA]],3,0)</f>
        <v>#N/A</v>
      </c>
      <c r="E1964" s="1" t="e">
        <f>VLOOKUP(Tabla_Items_Activos[[#This Row],[CODIGO]],Tabla_Items_Completos[[CODIGO]:[LINEA]],4,0)</f>
        <v>#N/A</v>
      </c>
      <c r="F1964">
        <v>354</v>
      </c>
      <c r="G1964">
        <v>161</v>
      </c>
    </row>
    <row r="1965" spans="1:7">
      <c r="A1965" t="s">
        <v>7388</v>
      </c>
      <c r="B1965" t="s">
        <v>9352</v>
      </c>
      <c r="C1965" s="1" t="e">
        <f>VLOOKUP(Tabla_Items_Activos[[#This Row],[CODIGO]],Tabla_Items_Completos[[CODIGO]:[LINEA]],2,0)</f>
        <v>#N/A</v>
      </c>
      <c r="D1965" s="1" t="e">
        <f>VLOOKUP(Tabla_Items_Activos[[#This Row],[CODIGO]],Tabla_Items_Completos[[CODIGO]:[LINEA]],3,0)</f>
        <v>#N/A</v>
      </c>
      <c r="E1965" s="1" t="e">
        <f>VLOOKUP(Tabla_Items_Activos[[#This Row],[CODIGO]],Tabla_Items_Completos[[CODIGO]:[LINEA]],4,0)</f>
        <v>#N/A</v>
      </c>
      <c r="F1965">
        <v>325</v>
      </c>
      <c r="G1965">
        <v>679</v>
      </c>
    </row>
    <row r="1966" spans="1:7">
      <c r="A1966" t="s">
        <v>7388</v>
      </c>
      <c r="B1966" t="s">
        <v>9353</v>
      </c>
      <c r="C1966" s="1" t="e">
        <f>VLOOKUP(Tabla_Items_Activos[[#This Row],[CODIGO]],Tabla_Items_Completos[[CODIGO]:[LINEA]],2,0)</f>
        <v>#N/A</v>
      </c>
      <c r="D1966" s="1" t="e">
        <f>VLOOKUP(Tabla_Items_Activos[[#This Row],[CODIGO]],Tabla_Items_Completos[[CODIGO]:[LINEA]],3,0)</f>
        <v>#N/A</v>
      </c>
      <c r="E1966" s="1" t="e">
        <f>VLOOKUP(Tabla_Items_Activos[[#This Row],[CODIGO]],Tabla_Items_Completos[[CODIGO]:[LINEA]],4,0)</f>
        <v>#N/A</v>
      </c>
      <c r="F1966">
        <v>545</v>
      </c>
      <c r="G1966">
        <v>59</v>
      </c>
    </row>
    <row r="1967" spans="1:7">
      <c r="A1967" t="s">
        <v>7388</v>
      </c>
      <c r="B1967" t="s">
        <v>9354</v>
      </c>
      <c r="C1967" s="1" t="e">
        <f>VLOOKUP(Tabla_Items_Activos[[#This Row],[CODIGO]],Tabla_Items_Completos[[CODIGO]:[LINEA]],2,0)</f>
        <v>#N/A</v>
      </c>
      <c r="D1967" s="1" t="e">
        <f>VLOOKUP(Tabla_Items_Activos[[#This Row],[CODIGO]],Tabla_Items_Completos[[CODIGO]:[LINEA]],3,0)</f>
        <v>#N/A</v>
      </c>
      <c r="E1967" s="1" t="e">
        <f>VLOOKUP(Tabla_Items_Activos[[#This Row],[CODIGO]],Tabla_Items_Completos[[CODIGO]:[LINEA]],4,0)</f>
        <v>#N/A</v>
      </c>
      <c r="F1967">
        <v>976</v>
      </c>
      <c r="G1967">
        <v>338</v>
      </c>
    </row>
    <row r="1968" spans="1:7">
      <c r="A1968" t="s">
        <v>7388</v>
      </c>
      <c r="B1968" t="s">
        <v>9355</v>
      </c>
      <c r="C1968" s="1" t="e">
        <f>VLOOKUP(Tabla_Items_Activos[[#This Row],[CODIGO]],Tabla_Items_Completos[[CODIGO]:[LINEA]],2,0)</f>
        <v>#N/A</v>
      </c>
      <c r="D1968" s="1" t="e">
        <f>VLOOKUP(Tabla_Items_Activos[[#This Row],[CODIGO]],Tabla_Items_Completos[[CODIGO]:[LINEA]],3,0)</f>
        <v>#N/A</v>
      </c>
      <c r="E1968" s="1" t="e">
        <f>VLOOKUP(Tabla_Items_Activos[[#This Row],[CODIGO]],Tabla_Items_Completos[[CODIGO]:[LINEA]],4,0)</f>
        <v>#N/A</v>
      </c>
      <c r="F1968">
        <v>390</v>
      </c>
      <c r="G1968">
        <v>216</v>
      </c>
    </row>
    <row r="1969" spans="1:7">
      <c r="A1969" t="s">
        <v>7388</v>
      </c>
      <c r="B1969" t="s">
        <v>9356</v>
      </c>
      <c r="C1969" s="1" t="e">
        <f>VLOOKUP(Tabla_Items_Activos[[#This Row],[CODIGO]],Tabla_Items_Completos[[CODIGO]:[LINEA]],2,0)</f>
        <v>#N/A</v>
      </c>
      <c r="D1969" s="1" t="e">
        <f>VLOOKUP(Tabla_Items_Activos[[#This Row],[CODIGO]],Tabla_Items_Completos[[CODIGO]:[LINEA]],3,0)</f>
        <v>#N/A</v>
      </c>
      <c r="E1969" s="1" t="e">
        <f>VLOOKUP(Tabla_Items_Activos[[#This Row],[CODIGO]],Tabla_Items_Completos[[CODIGO]:[LINEA]],4,0)</f>
        <v>#N/A</v>
      </c>
      <c r="F1969">
        <v>441</v>
      </c>
      <c r="G1969">
        <v>0</v>
      </c>
    </row>
    <row r="1970" spans="1:7">
      <c r="A1970" t="s">
        <v>7388</v>
      </c>
      <c r="B1970" t="s">
        <v>9357</v>
      </c>
      <c r="C1970" s="1" t="e">
        <f>VLOOKUP(Tabla_Items_Activos[[#This Row],[CODIGO]],Tabla_Items_Completos[[CODIGO]:[LINEA]],2,0)</f>
        <v>#N/A</v>
      </c>
      <c r="D1970" s="1" t="e">
        <f>VLOOKUP(Tabla_Items_Activos[[#This Row],[CODIGO]],Tabla_Items_Completos[[CODIGO]:[LINEA]],3,0)</f>
        <v>#N/A</v>
      </c>
      <c r="E1970" s="1" t="e">
        <f>VLOOKUP(Tabla_Items_Activos[[#This Row],[CODIGO]],Tabla_Items_Completos[[CODIGO]:[LINEA]],4,0)</f>
        <v>#N/A</v>
      </c>
      <c r="F1970">
        <v>223</v>
      </c>
      <c r="G1970">
        <v>0</v>
      </c>
    </row>
    <row r="1971" spans="1:7">
      <c r="A1971" t="s">
        <v>7388</v>
      </c>
      <c r="B1971" t="s">
        <v>9358</v>
      </c>
      <c r="C1971" s="1" t="e">
        <f>VLOOKUP(Tabla_Items_Activos[[#This Row],[CODIGO]],Tabla_Items_Completos[[CODIGO]:[LINEA]],2,0)</f>
        <v>#N/A</v>
      </c>
      <c r="D1971" s="1" t="e">
        <f>VLOOKUP(Tabla_Items_Activos[[#This Row],[CODIGO]],Tabla_Items_Completos[[CODIGO]:[LINEA]],3,0)</f>
        <v>#N/A</v>
      </c>
      <c r="E1971" s="1" t="e">
        <f>VLOOKUP(Tabla_Items_Activos[[#This Row],[CODIGO]],Tabla_Items_Completos[[CODIGO]:[LINEA]],4,0)</f>
        <v>#N/A</v>
      </c>
      <c r="F1971">
        <v>552</v>
      </c>
      <c r="G1971">
        <v>0</v>
      </c>
    </row>
    <row r="1972" spans="1:7">
      <c r="A1972" t="s">
        <v>7388</v>
      </c>
      <c r="B1972" t="s">
        <v>9359</v>
      </c>
      <c r="C1972" s="1" t="e">
        <f>VLOOKUP(Tabla_Items_Activos[[#This Row],[CODIGO]],Tabla_Items_Completos[[CODIGO]:[LINEA]],2,0)</f>
        <v>#N/A</v>
      </c>
      <c r="D1972" s="1" t="e">
        <f>VLOOKUP(Tabla_Items_Activos[[#This Row],[CODIGO]],Tabla_Items_Completos[[CODIGO]:[LINEA]],3,0)</f>
        <v>#N/A</v>
      </c>
      <c r="E1972" s="1" t="e">
        <f>VLOOKUP(Tabla_Items_Activos[[#This Row],[CODIGO]],Tabla_Items_Completos[[CODIGO]:[LINEA]],4,0)</f>
        <v>#N/A</v>
      </c>
      <c r="F1972">
        <v>340</v>
      </c>
      <c r="G1972">
        <v>0</v>
      </c>
    </row>
    <row r="1973" spans="1:7">
      <c r="A1973" t="s">
        <v>7388</v>
      </c>
      <c r="B1973" t="s">
        <v>9360</v>
      </c>
      <c r="C1973" s="1" t="e">
        <f>VLOOKUP(Tabla_Items_Activos[[#This Row],[CODIGO]],Tabla_Items_Completos[[CODIGO]:[LINEA]],2,0)</f>
        <v>#N/A</v>
      </c>
      <c r="D1973" s="1" t="e">
        <f>VLOOKUP(Tabla_Items_Activos[[#This Row],[CODIGO]],Tabla_Items_Completos[[CODIGO]:[LINEA]],3,0)</f>
        <v>#N/A</v>
      </c>
      <c r="E1973" s="1" t="e">
        <f>VLOOKUP(Tabla_Items_Activos[[#This Row],[CODIGO]],Tabla_Items_Completos[[CODIGO]:[LINEA]],4,0)</f>
        <v>#N/A</v>
      </c>
      <c r="F1973">
        <v>522</v>
      </c>
      <c r="G1973">
        <v>0</v>
      </c>
    </row>
    <row r="1974" spans="1:7">
      <c r="A1974" t="s">
        <v>7388</v>
      </c>
      <c r="B1974" t="s">
        <v>9361</v>
      </c>
      <c r="C1974" s="1" t="e">
        <f>VLOOKUP(Tabla_Items_Activos[[#This Row],[CODIGO]],Tabla_Items_Completos[[CODIGO]:[LINEA]],2,0)</f>
        <v>#N/A</v>
      </c>
      <c r="D1974" s="1" t="e">
        <f>VLOOKUP(Tabla_Items_Activos[[#This Row],[CODIGO]],Tabla_Items_Completos[[CODIGO]:[LINEA]],3,0)</f>
        <v>#N/A</v>
      </c>
      <c r="E1974" s="1" t="e">
        <f>VLOOKUP(Tabla_Items_Activos[[#This Row],[CODIGO]],Tabla_Items_Completos[[CODIGO]:[LINEA]],4,0)</f>
        <v>#N/A</v>
      </c>
      <c r="F1974">
        <v>920</v>
      </c>
      <c r="G1974">
        <v>0</v>
      </c>
    </row>
    <row r="1975" spans="1:7">
      <c r="A1975" t="s">
        <v>7388</v>
      </c>
      <c r="B1975" t="s">
        <v>9362</v>
      </c>
      <c r="C1975" s="1" t="e">
        <f>VLOOKUP(Tabla_Items_Activos[[#This Row],[CODIGO]],Tabla_Items_Completos[[CODIGO]:[LINEA]],2,0)</f>
        <v>#N/A</v>
      </c>
      <c r="D1975" s="1" t="e">
        <f>VLOOKUP(Tabla_Items_Activos[[#This Row],[CODIGO]],Tabla_Items_Completos[[CODIGO]:[LINEA]],3,0)</f>
        <v>#N/A</v>
      </c>
      <c r="E1975" s="1" t="e">
        <f>VLOOKUP(Tabla_Items_Activos[[#This Row],[CODIGO]],Tabla_Items_Completos[[CODIGO]:[LINEA]],4,0)</f>
        <v>#N/A</v>
      </c>
      <c r="F1975">
        <v>205</v>
      </c>
      <c r="G1975">
        <v>77</v>
      </c>
    </row>
    <row r="1976" spans="1:7">
      <c r="A1976" t="s">
        <v>7388</v>
      </c>
      <c r="B1976" t="s">
        <v>9363</v>
      </c>
      <c r="C1976" s="1" t="e">
        <f>VLOOKUP(Tabla_Items_Activos[[#This Row],[CODIGO]],Tabla_Items_Completos[[CODIGO]:[LINEA]],2,0)</f>
        <v>#N/A</v>
      </c>
      <c r="D1976" s="1" t="e">
        <f>VLOOKUP(Tabla_Items_Activos[[#This Row],[CODIGO]],Tabla_Items_Completos[[CODIGO]:[LINEA]],3,0)</f>
        <v>#N/A</v>
      </c>
      <c r="E1976" s="1" t="e">
        <f>VLOOKUP(Tabla_Items_Activos[[#This Row],[CODIGO]],Tabla_Items_Completos[[CODIGO]:[LINEA]],4,0)</f>
        <v>#N/A</v>
      </c>
      <c r="F1976">
        <v>440</v>
      </c>
      <c r="G1976">
        <v>75</v>
      </c>
    </row>
    <row r="1977" spans="1:7">
      <c r="A1977" t="s">
        <v>7388</v>
      </c>
      <c r="B1977" t="s">
        <v>9364</v>
      </c>
      <c r="C1977" s="1" t="e">
        <f>VLOOKUP(Tabla_Items_Activos[[#This Row],[CODIGO]],Tabla_Items_Completos[[CODIGO]:[LINEA]],2,0)</f>
        <v>#N/A</v>
      </c>
      <c r="D1977" s="1" t="e">
        <f>VLOOKUP(Tabla_Items_Activos[[#This Row],[CODIGO]],Tabla_Items_Completos[[CODIGO]:[LINEA]],3,0)</f>
        <v>#N/A</v>
      </c>
      <c r="E1977" s="1" t="e">
        <f>VLOOKUP(Tabla_Items_Activos[[#This Row],[CODIGO]],Tabla_Items_Completos[[CODIGO]:[LINEA]],4,0)</f>
        <v>#N/A</v>
      </c>
      <c r="F1977">
        <v>643</v>
      </c>
      <c r="G1977">
        <v>0</v>
      </c>
    </row>
    <row r="1978" spans="1:7">
      <c r="A1978" t="s">
        <v>7388</v>
      </c>
      <c r="B1978" t="s">
        <v>9365</v>
      </c>
      <c r="C1978" s="1" t="e">
        <f>VLOOKUP(Tabla_Items_Activos[[#This Row],[CODIGO]],Tabla_Items_Completos[[CODIGO]:[LINEA]],2,0)</f>
        <v>#N/A</v>
      </c>
      <c r="D1978" s="1" t="e">
        <f>VLOOKUP(Tabla_Items_Activos[[#This Row],[CODIGO]],Tabla_Items_Completos[[CODIGO]:[LINEA]],3,0)</f>
        <v>#N/A</v>
      </c>
      <c r="E1978" s="1" t="e">
        <f>VLOOKUP(Tabla_Items_Activos[[#This Row],[CODIGO]],Tabla_Items_Completos[[CODIGO]:[LINEA]],4,0)</f>
        <v>#N/A</v>
      </c>
      <c r="F1978">
        <v>1247</v>
      </c>
      <c r="G1978">
        <v>0</v>
      </c>
    </row>
    <row r="1979" spans="1:7">
      <c r="A1979" t="s">
        <v>7388</v>
      </c>
      <c r="B1979" t="s">
        <v>9366</v>
      </c>
      <c r="C1979" s="1" t="e">
        <f>VLOOKUP(Tabla_Items_Activos[[#This Row],[CODIGO]],Tabla_Items_Completos[[CODIGO]:[LINEA]],2,0)</f>
        <v>#N/A</v>
      </c>
      <c r="D1979" s="1" t="e">
        <f>VLOOKUP(Tabla_Items_Activos[[#This Row],[CODIGO]],Tabla_Items_Completos[[CODIGO]:[LINEA]],3,0)</f>
        <v>#N/A</v>
      </c>
      <c r="E1979" s="1" t="e">
        <f>VLOOKUP(Tabla_Items_Activos[[#This Row],[CODIGO]],Tabla_Items_Completos[[CODIGO]:[LINEA]],4,0)</f>
        <v>#N/A</v>
      </c>
      <c r="F1979">
        <v>663</v>
      </c>
      <c r="G1979">
        <v>383</v>
      </c>
    </row>
    <row r="1980" spans="1:7">
      <c r="A1980" t="s">
        <v>7388</v>
      </c>
      <c r="B1980" t="s">
        <v>9367</v>
      </c>
      <c r="C1980" s="1" t="e">
        <f>VLOOKUP(Tabla_Items_Activos[[#This Row],[CODIGO]],Tabla_Items_Completos[[CODIGO]:[LINEA]],2,0)</f>
        <v>#N/A</v>
      </c>
      <c r="D1980" s="1" t="e">
        <f>VLOOKUP(Tabla_Items_Activos[[#This Row],[CODIGO]],Tabla_Items_Completos[[CODIGO]:[LINEA]],3,0)</f>
        <v>#N/A</v>
      </c>
      <c r="E1980" s="1" t="e">
        <f>VLOOKUP(Tabla_Items_Activos[[#This Row],[CODIGO]],Tabla_Items_Completos[[CODIGO]:[LINEA]],4,0)</f>
        <v>#N/A</v>
      </c>
      <c r="F1980">
        <v>1388</v>
      </c>
      <c r="G1980">
        <v>290</v>
      </c>
    </row>
    <row r="1981" spans="1:7">
      <c r="A1981" t="s">
        <v>7388</v>
      </c>
      <c r="B1981" t="s">
        <v>9368</v>
      </c>
      <c r="C1981" s="1" t="e">
        <f>VLOOKUP(Tabla_Items_Activos[[#This Row],[CODIGO]],Tabla_Items_Completos[[CODIGO]:[LINEA]],2,0)</f>
        <v>#N/A</v>
      </c>
      <c r="D1981" s="1" t="e">
        <f>VLOOKUP(Tabla_Items_Activos[[#This Row],[CODIGO]],Tabla_Items_Completos[[CODIGO]:[LINEA]],3,0)</f>
        <v>#N/A</v>
      </c>
      <c r="E1981" s="1" t="e">
        <f>VLOOKUP(Tabla_Items_Activos[[#This Row],[CODIGO]],Tabla_Items_Completos[[CODIGO]:[LINEA]],4,0)</f>
        <v>#N/A</v>
      </c>
      <c r="F1981">
        <v>842</v>
      </c>
      <c r="G1981">
        <v>461</v>
      </c>
    </row>
    <row r="1982" spans="1:7">
      <c r="A1982" t="s">
        <v>7388</v>
      </c>
      <c r="B1982" t="s">
        <v>9369</v>
      </c>
      <c r="C1982" s="1" t="e">
        <f>VLOOKUP(Tabla_Items_Activos[[#This Row],[CODIGO]],Tabla_Items_Completos[[CODIGO]:[LINEA]],2,0)</f>
        <v>#N/A</v>
      </c>
      <c r="D1982" s="1" t="e">
        <f>VLOOKUP(Tabla_Items_Activos[[#This Row],[CODIGO]],Tabla_Items_Completos[[CODIGO]:[LINEA]],3,0)</f>
        <v>#N/A</v>
      </c>
      <c r="E1982" s="1" t="e">
        <f>VLOOKUP(Tabla_Items_Activos[[#This Row],[CODIGO]],Tabla_Items_Completos[[CODIGO]:[LINEA]],4,0)</f>
        <v>#N/A</v>
      </c>
      <c r="F1982">
        <v>3</v>
      </c>
      <c r="G1982">
        <v>0</v>
      </c>
    </row>
    <row r="1983" spans="1:7">
      <c r="A1983" t="s">
        <v>7388</v>
      </c>
      <c r="B1983" t="s">
        <v>9370</v>
      </c>
      <c r="C1983" s="1" t="e">
        <f>VLOOKUP(Tabla_Items_Activos[[#This Row],[CODIGO]],Tabla_Items_Completos[[CODIGO]:[LINEA]],2,0)</f>
        <v>#N/A</v>
      </c>
      <c r="D1983" s="1" t="e">
        <f>VLOOKUP(Tabla_Items_Activos[[#This Row],[CODIGO]],Tabla_Items_Completos[[CODIGO]:[LINEA]],3,0)</f>
        <v>#N/A</v>
      </c>
      <c r="E1983" s="1" t="e">
        <f>VLOOKUP(Tabla_Items_Activos[[#This Row],[CODIGO]],Tabla_Items_Completos[[CODIGO]:[LINEA]],4,0)</f>
        <v>#N/A</v>
      </c>
      <c r="F1983">
        <v>3061</v>
      </c>
      <c r="G1983">
        <v>0</v>
      </c>
    </row>
    <row r="1984" spans="1:7">
      <c r="A1984" t="s">
        <v>7388</v>
      </c>
      <c r="B1984" t="s">
        <v>9371</v>
      </c>
      <c r="C1984" s="1" t="e">
        <f>VLOOKUP(Tabla_Items_Activos[[#This Row],[CODIGO]],Tabla_Items_Completos[[CODIGO]:[LINEA]],2,0)</f>
        <v>#N/A</v>
      </c>
      <c r="D1984" s="1" t="e">
        <f>VLOOKUP(Tabla_Items_Activos[[#This Row],[CODIGO]],Tabla_Items_Completos[[CODIGO]:[LINEA]],3,0)</f>
        <v>#N/A</v>
      </c>
      <c r="E1984" s="1" t="e">
        <f>VLOOKUP(Tabla_Items_Activos[[#This Row],[CODIGO]],Tabla_Items_Completos[[CODIGO]:[LINEA]],4,0)</f>
        <v>#N/A</v>
      </c>
      <c r="F1984">
        <v>6330</v>
      </c>
      <c r="G1984">
        <v>208</v>
      </c>
    </row>
    <row r="1985" spans="1:7">
      <c r="A1985" t="s">
        <v>7388</v>
      </c>
      <c r="B1985" t="s">
        <v>9372</v>
      </c>
      <c r="C1985" s="1" t="e">
        <f>VLOOKUP(Tabla_Items_Activos[[#This Row],[CODIGO]],Tabla_Items_Completos[[CODIGO]:[LINEA]],2,0)</f>
        <v>#N/A</v>
      </c>
      <c r="D1985" s="1" t="e">
        <f>VLOOKUP(Tabla_Items_Activos[[#This Row],[CODIGO]],Tabla_Items_Completos[[CODIGO]:[LINEA]],3,0)</f>
        <v>#N/A</v>
      </c>
      <c r="E1985" s="1" t="e">
        <f>VLOOKUP(Tabla_Items_Activos[[#This Row],[CODIGO]],Tabla_Items_Completos[[CODIGO]:[LINEA]],4,0)</f>
        <v>#N/A</v>
      </c>
      <c r="F1985">
        <v>6127</v>
      </c>
      <c r="G1985">
        <v>1</v>
      </c>
    </row>
    <row r="1986" spans="1:7">
      <c r="A1986" t="s">
        <v>7388</v>
      </c>
      <c r="B1986" t="s">
        <v>9373</v>
      </c>
      <c r="C1986" s="1" t="e">
        <f>VLOOKUP(Tabla_Items_Activos[[#This Row],[CODIGO]],Tabla_Items_Completos[[CODIGO]:[LINEA]],2,0)</f>
        <v>#N/A</v>
      </c>
      <c r="D1986" s="1" t="e">
        <f>VLOOKUP(Tabla_Items_Activos[[#This Row],[CODIGO]],Tabla_Items_Completos[[CODIGO]:[LINEA]],3,0)</f>
        <v>#N/A</v>
      </c>
      <c r="E1986" s="1" t="e">
        <f>VLOOKUP(Tabla_Items_Activos[[#This Row],[CODIGO]],Tabla_Items_Completos[[CODIGO]:[LINEA]],4,0)</f>
        <v>#N/A</v>
      </c>
      <c r="F1986">
        <v>573</v>
      </c>
      <c r="G1986">
        <v>0</v>
      </c>
    </row>
    <row r="1987" spans="1:7">
      <c r="A1987" t="s">
        <v>7388</v>
      </c>
      <c r="B1987" t="s">
        <v>9374</v>
      </c>
      <c r="C1987" s="1" t="e">
        <f>VLOOKUP(Tabla_Items_Activos[[#This Row],[CODIGO]],Tabla_Items_Completos[[CODIGO]:[LINEA]],2,0)</f>
        <v>#N/A</v>
      </c>
      <c r="D1987" s="1" t="e">
        <f>VLOOKUP(Tabla_Items_Activos[[#This Row],[CODIGO]],Tabla_Items_Completos[[CODIGO]:[LINEA]],3,0)</f>
        <v>#N/A</v>
      </c>
      <c r="E1987" s="1" t="e">
        <f>VLOOKUP(Tabla_Items_Activos[[#This Row],[CODIGO]],Tabla_Items_Completos[[CODIGO]:[LINEA]],4,0)</f>
        <v>#N/A</v>
      </c>
      <c r="F1987">
        <v>557</v>
      </c>
      <c r="G1987">
        <v>150</v>
      </c>
    </row>
    <row r="1988" spans="1:7">
      <c r="A1988" t="s">
        <v>7388</v>
      </c>
      <c r="B1988" t="s">
        <v>9375</v>
      </c>
      <c r="C1988" s="1" t="e">
        <f>VLOOKUP(Tabla_Items_Activos[[#This Row],[CODIGO]],Tabla_Items_Completos[[CODIGO]:[LINEA]],2,0)</f>
        <v>#N/A</v>
      </c>
      <c r="D1988" s="1" t="e">
        <f>VLOOKUP(Tabla_Items_Activos[[#This Row],[CODIGO]],Tabla_Items_Completos[[CODIGO]:[LINEA]],3,0)</f>
        <v>#N/A</v>
      </c>
      <c r="E1988" s="1" t="e">
        <f>VLOOKUP(Tabla_Items_Activos[[#This Row],[CODIGO]],Tabla_Items_Completos[[CODIGO]:[LINEA]],4,0)</f>
        <v>#N/A</v>
      </c>
      <c r="F1988">
        <v>334</v>
      </c>
      <c r="G1988">
        <v>40</v>
      </c>
    </row>
    <row r="1989" spans="1:7">
      <c r="A1989" t="s">
        <v>7388</v>
      </c>
      <c r="B1989" t="s">
        <v>9376</v>
      </c>
      <c r="C1989" s="1" t="e">
        <f>VLOOKUP(Tabla_Items_Activos[[#This Row],[CODIGO]],Tabla_Items_Completos[[CODIGO]:[LINEA]],2,0)</f>
        <v>#N/A</v>
      </c>
      <c r="D1989" s="1" t="e">
        <f>VLOOKUP(Tabla_Items_Activos[[#This Row],[CODIGO]],Tabla_Items_Completos[[CODIGO]:[LINEA]],3,0)</f>
        <v>#N/A</v>
      </c>
      <c r="E1989" s="1" t="e">
        <f>VLOOKUP(Tabla_Items_Activos[[#This Row],[CODIGO]],Tabla_Items_Completos[[CODIGO]:[LINEA]],4,0)</f>
        <v>#N/A</v>
      </c>
      <c r="F1989">
        <v>734</v>
      </c>
      <c r="G1989">
        <v>55</v>
      </c>
    </row>
    <row r="1990" spans="1:7">
      <c r="A1990" t="s">
        <v>7388</v>
      </c>
      <c r="B1990" t="s">
        <v>9377</v>
      </c>
      <c r="C1990" s="1" t="e">
        <f>VLOOKUP(Tabla_Items_Activos[[#This Row],[CODIGO]],Tabla_Items_Completos[[CODIGO]:[LINEA]],2,0)</f>
        <v>#N/A</v>
      </c>
      <c r="D1990" s="1" t="e">
        <f>VLOOKUP(Tabla_Items_Activos[[#This Row],[CODIGO]],Tabla_Items_Completos[[CODIGO]:[LINEA]],3,0)</f>
        <v>#N/A</v>
      </c>
      <c r="E1990" s="1" t="e">
        <f>VLOOKUP(Tabla_Items_Activos[[#This Row],[CODIGO]],Tabla_Items_Completos[[CODIGO]:[LINEA]],4,0)</f>
        <v>#N/A</v>
      </c>
      <c r="F1990">
        <v>1000</v>
      </c>
      <c r="G1990">
        <v>4</v>
      </c>
    </row>
    <row r="1991" spans="1:7">
      <c r="A1991" t="s">
        <v>7388</v>
      </c>
      <c r="B1991" t="s">
        <v>9378</v>
      </c>
      <c r="C1991" s="1" t="e">
        <f>VLOOKUP(Tabla_Items_Activos[[#This Row],[CODIGO]],Tabla_Items_Completos[[CODIGO]:[LINEA]],2,0)</f>
        <v>#N/A</v>
      </c>
      <c r="D1991" s="1" t="e">
        <f>VLOOKUP(Tabla_Items_Activos[[#This Row],[CODIGO]],Tabla_Items_Completos[[CODIGO]:[LINEA]],3,0)</f>
        <v>#N/A</v>
      </c>
      <c r="E1991" s="1" t="e">
        <f>VLOOKUP(Tabla_Items_Activos[[#This Row],[CODIGO]],Tabla_Items_Completos[[CODIGO]:[LINEA]],4,0)</f>
        <v>#N/A</v>
      </c>
      <c r="F1991">
        <v>437</v>
      </c>
      <c r="G1991">
        <v>235</v>
      </c>
    </row>
    <row r="1992" spans="1:7">
      <c r="A1992" t="s">
        <v>7388</v>
      </c>
      <c r="B1992" t="s">
        <v>9379</v>
      </c>
      <c r="C1992" s="1" t="e">
        <f>VLOOKUP(Tabla_Items_Activos[[#This Row],[CODIGO]],Tabla_Items_Completos[[CODIGO]:[LINEA]],2,0)</f>
        <v>#N/A</v>
      </c>
      <c r="D1992" s="1" t="e">
        <f>VLOOKUP(Tabla_Items_Activos[[#This Row],[CODIGO]],Tabla_Items_Completos[[CODIGO]:[LINEA]],3,0)</f>
        <v>#N/A</v>
      </c>
      <c r="E1992" s="1" t="e">
        <f>VLOOKUP(Tabla_Items_Activos[[#This Row],[CODIGO]],Tabla_Items_Completos[[CODIGO]:[LINEA]],4,0)</f>
        <v>#N/A</v>
      </c>
      <c r="F1992">
        <v>768</v>
      </c>
      <c r="G1992">
        <v>0</v>
      </c>
    </row>
    <row r="1993" spans="1:7">
      <c r="A1993" t="s">
        <v>7388</v>
      </c>
      <c r="B1993" t="s">
        <v>9380</v>
      </c>
      <c r="C1993" s="1" t="e">
        <f>VLOOKUP(Tabla_Items_Activos[[#This Row],[CODIGO]],Tabla_Items_Completos[[CODIGO]:[LINEA]],2,0)</f>
        <v>#N/A</v>
      </c>
      <c r="D1993" s="1" t="e">
        <f>VLOOKUP(Tabla_Items_Activos[[#This Row],[CODIGO]],Tabla_Items_Completos[[CODIGO]:[LINEA]],3,0)</f>
        <v>#N/A</v>
      </c>
      <c r="E1993" s="1" t="e">
        <f>VLOOKUP(Tabla_Items_Activos[[#This Row],[CODIGO]],Tabla_Items_Completos[[CODIGO]:[LINEA]],4,0)</f>
        <v>#N/A</v>
      </c>
      <c r="F1993">
        <v>311</v>
      </c>
      <c r="G1993">
        <v>16</v>
      </c>
    </row>
    <row r="1994" spans="1:7">
      <c r="A1994" t="s">
        <v>7388</v>
      </c>
      <c r="B1994" t="s">
        <v>9381</v>
      </c>
      <c r="C1994" s="1" t="e">
        <f>VLOOKUP(Tabla_Items_Activos[[#This Row],[CODIGO]],Tabla_Items_Completos[[CODIGO]:[LINEA]],2,0)</f>
        <v>#N/A</v>
      </c>
      <c r="D1994" s="1" t="e">
        <f>VLOOKUP(Tabla_Items_Activos[[#This Row],[CODIGO]],Tabla_Items_Completos[[CODIGO]:[LINEA]],3,0)</f>
        <v>#N/A</v>
      </c>
      <c r="E1994" s="1" t="e">
        <f>VLOOKUP(Tabla_Items_Activos[[#This Row],[CODIGO]],Tabla_Items_Completos[[CODIGO]:[LINEA]],4,0)</f>
        <v>#N/A</v>
      </c>
      <c r="F1994">
        <v>87</v>
      </c>
      <c r="G1994">
        <v>0</v>
      </c>
    </row>
    <row r="1995" spans="1:7">
      <c r="A1995" t="s">
        <v>7388</v>
      </c>
      <c r="B1995" t="s">
        <v>9382</v>
      </c>
      <c r="C1995" s="1" t="e">
        <f>VLOOKUP(Tabla_Items_Activos[[#This Row],[CODIGO]],Tabla_Items_Completos[[CODIGO]:[LINEA]],2,0)</f>
        <v>#N/A</v>
      </c>
      <c r="D1995" s="1" t="e">
        <f>VLOOKUP(Tabla_Items_Activos[[#This Row],[CODIGO]],Tabla_Items_Completos[[CODIGO]:[LINEA]],3,0)</f>
        <v>#N/A</v>
      </c>
      <c r="E1995" s="1" t="e">
        <f>VLOOKUP(Tabla_Items_Activos[[#This Row],[CODIGO]],Tabla_Items_Completos[[CODIGO]:[LINEA]],4,0)</f>
        <v>#N/A</v>
      </c>
      <c r="F1995">
        <v>165</v>
      </c>
      <c r="G1995">
        <v>52</v>
      </c>
    </row>
    <row r="1996" spans="1:7">
      <c r="A1996" t="s">
        <v>7388</v>
      </c>
      <c r="B1996" t="s">
        <v>9383</v>
      </c>
      <c r="C1996" s="1" t="e">
        <f>VLOOKUP(Tabla_Items_Activos[[#This Row],[CODIGO]],Tabla_Items_Completos[[CODIGO]:[LINEA]],2,0)</f>
        <v>#N/A</v>
      </c>
      <c r="D1996" s="1" t="e">
        <f>VLOOKUP(Tabla_Items_Activos[[#This Row],[CODIGO]],Tabla_Items_Completos[[CODIGO]:[LINEA]],3,0)</f>
        <v>#N/A</v>
      </c>
      <c r="E1996" s="1" t="e">
        <f>VLOOKUP(Tabla_Items_Activos[[#This Row],[CODIGO]],Tabla_Items_Completos[[CODIGO]:[LINEA]],4,0)</f>
        <v>#N/A</v>
      </c>
      <c r="F1996">
        <v>171</v>
      </c>
      <c r="G1996">
        <v>2</v>
      </c>
    </row>
    <row r="1997" spans="1:7">
      <c r="A1997" t="s">
        <v>7388</v>
      </c>
      <c r="B1997" t="s">
        <v>9384</v>
      </c>
      <c r="C1997" s="1" t="e">
        <f>VLOOKUP(Tabla_Items_Activos[[#This Row],[CODIGO]],Tabla_Items_Completos[[CODIGO]:[LINEA]],2,0)</f>
        <v>#N/A</v>
      </c>
      <c r="D1997" s="1" t="e">
        <f>VLOOKUP(Tabla_Items_Activos[[#This Row],[CODIGO]],Tabla_Items_Completos[[CODIGO]:[LINEA]],3,0)</f>
        <v>#N/A</v>
      </c>
      <c r="E1997" s="1" t="e">
        <f>VLOOKUP(Tabla_Items_Activos[[#This Row],[CODIGO]],Tabla_Items_Completos[[CODIGO]:[LINEA]],4,0)</f>
        <v>#N/A</v>
      </c>
      <c r="F1997">
        <v>410</v>
      </c>
      <c r="G1997">
        <v>97</v>
      </c>
    </row>
    <row r="1998" spans="1:7">
      <c r="A1998" t="s">
        <v>7388</v>
      </c>
      <c r="B1998" t="s">
        <v>9385</v>
      </c>
      <c r="C1998" s="1" t="e">
        <f>VLOOKUP(Tabla_Items_Activos[[#This Row],[CODIGO]],Tabla_Items_Completos[[CODIGO]:[LINEA]],2,0)</f>
        <v>#N/A</v>
      </c>
      <c r="D1998" s="1" t="e">
        <f>VLOOKUP(Tabla_Items_Activos[[#This Row],[CODIGO]],Tabla_Items_Completos[[CODIGO]:[LINEA]],3,0)</f>
        <v>#N/A</v>
      </c>
      <c r="E1998" s="1" t="e">
        <f>VLOOKUP(Tabla_Items_Activos[[#This Row],[CODIGO]],Tabla_Items_Completos[[CODIGO]:[LINEA]],4,0)</f>
        <v>#N/A</v>
      </c>
      <c r="F1998">
        <v>336</v>
      </c>
      <c r="G1998">
        <v>34</v>
      </c>
    </row>
    <row r="1999" spans="1:7">
      <c r="A1999" t="s">
        <v>7388</v>
      </c>
      <c r="B1999" t="s">
        <v>9386</v>
      </c>
      <c r="C1999" s="1" t="e">
        <f>VLOOKUP(Tabla_Items_Activos[[#This Row],[CODIGO]],Tabla_Items_Completos[[CODIGO]:[LINEA]],2,0)</f>
        <v>#N/A</v>
      </c>
      <c r="D1999" s="1" t="e">
        <f>VLOOKUP(Tabla_Items_Activos[[#This Row],[CODIGO]],Tabla_Items_Completos[[CODIGO]:[LINEA]],3,0)</f>
        <v>#N/A</v>
      </c>
      <c r="E1999" s="1" t="e">
        <f>VLOOKUP(Tabla_Items_Activos[[#This Row],[CODIGO]],Tabla_Items_Completos[[CODIGO]:[LINEA]],4,0)</f>
        <v>#N/A</v>
      </c>
      <c r="F1999">
        <v>1854</v>
      </c>
      <c r="G1999">
        <v>866</v>
      </c>
    </row>
    <row r="2000" spans="1:7">
      <c r="A2000" t="s">
        <v>7388</v>
      </c>
      <c r="B2000" t="s">
        <v>9387</v>
      </c>
      <c r="C2000" s="1" t="e">
        <f>VLOOKUP(Tabla_Items_Activos[[#This Row],[CODIGO]],Tabla_Items_Completos[[CODIGO]:[LINEA]],2,0)</f>
        <v>#N/A</v>
      </c>
      <c r="D2000" s="1" t="e">
        <f>VLOOKUP(Tabla_Items_Activos[[#This Row],[CODIGO]],Tabla_Items_Completos[[CODIGO]:[LINEA]],3,0)</f>
        <v>#N/A</v>
      </c>
      <c r="E2000" s="1" t="e">
        <f>VLOOKUP(Tabla_Items_Activos[[#This Row],[CODIGO]],Tabla_Items_Completos[[CODIGO]:[LINEA]],4,0)</f>
        <v>#N/A</v>
      </c>
      <c r="F2000">
        <v>1386</v>
      </c>
      <c r="G2000">
        <v>422</v>
      </c>
    </row>
    <row r="2001" spans="1:7">
      <c r="A2001" t="s">
        <v>7388</v>
      </c>
      <c r="B2001" t="s">
        <v>9388</v>
      </c>
      <c r="C2001" s="1" t="e">
        <f>VLOOKUP(Tabla_Items_Activos[[#This Row],[CODIGO]],Tabla_Items_Completos[[CODIGO]:[LINEA]],2,0)</f>
        <v>#N/A</v>
      </c>
      <c r="D2001" s="1" t="e">
        <f>VLOOKUP(Tabla_Items_Activos[[#This Row],[CODIGO]],Tabla_Items_Completos[[CODIGO]:[LINEA]],3,0)</f>
        <v>#N/A</v>
      </c>
      <c r="E2001" s="1" t="e">
        <f>VLOOKUP(Tabla_Items_Activos[[#This Row],[CODIGO]],Tabla_Items_Completos[[CODIGO]:[LINEA]],4,0)</f>
        <v>#N/A</v>
      </c>
      <c r="F2001">
        <v>337</v>
      </c>
      <c r="G2001">
        <v>0</v>
      </c>
    </row>
    <row r="2002" spans="1:7">
      <c r="A2002" t="s">
        <v>7388</v>
      </c>
      <c r="B2002" t="s">
        <v>9389</v>
      </c>
      <c r="C2002" s="1" t="e">
        <f>VLOOKUP(Tabla_Items_Activos[[#This Row],[CODIGO]],Tabla_Items_Completos[[CODIGO]:[LINEA]],2,0)</f>
        <v>#N/A</v>
      </c>
      <c r="D2002" s="1" t="e">
        <f>VLOOKUP(Tabla_Items_Activos[[#This Row],[CODIGO]],Tabla_Items_Completos[[CODIGO]:[LINEA]],3,0)</f>
        <v>#N/A</v>
      </c>
      <c r="E2002" s="1" t="e">
        <f>VLOOKUP(Tabla_Items_Activos[[#This Row],[CODIGO]],Tabla_Items_Completos[[CODIGO]:[LINEA]],4,0)</f>
        <v>#N/A</v>
      </c>
      <c r="F2002">
        <v>127</v>
      </c>
      <c r="G2002">
        <v>71</v>
      </c>
    </row>
    <row r="2003" spans="1:7">
      <c r="A2003" t="s">
        <v>7388</v>
      </c>
      <c r="B2003" t="s">
        <v>9390</v>
      </c>
      <c r="C2003" s="1" t="e">
        <f>VLOOKUP(Tabla_Items_Activos[[#This Row],[CODIGO]],Tabla_Items_Completos[[CODIGO]:[LINEA]],2,0)</f>
        <v>#N/A</v>
      </c>
      <c r="D2003" s="1" t="e">
        <f>VLOOKUP(Tabla_Items_Activos[[#This Row],[CODIGO]],Tabla_Items_Completos[[CODIGO]:[LINEA]],3,0)</f>
        <v>#N/A</v>
      </c>
      <c r="E2003" s="1" t="e">
        <f>VLOOKUP(Tabla_Items_Activos[[#This Row],[CODIGO]],Tabla_Items_Completos[[CODIGO]:[LINEA]],4,0)</f>
        <v>#N/A</v>
      </c>
      <c r="F2003">
        <v>321</v>
      </c>
      <c r="G2003">
        <v>194</v>
      </c>
    </row>
    <row r="2004" spans="1:7">
      <c r="A2004" t="s">
        <v>7388</v>
      </c>
      <c r="B2004" t="s">
        <v>9391</v>
      </c>
      <c r="C2004" s="1" t="e">
        <f>VLOOKUP(Tabla_Items_Activos[[#This Row],[CODIGO]],Tabla_Items_Completos[[CODIGO]:[LINEA]],2,0)</f>
        <v>#N/A</v>
      </c>
      <c r="D2004" s="1" t="e">
        <f>VLOOKUP(Tabla_Items_Activos[[#This Row],[CODIGO]],Tabla_Items_Completos[[CODIGO]:[LINEA]],3,0)</f>
        <v>#N/A</v>
      </c>
      <c r="E2004" s="1" t="e">
        <f>VLOOKUP(Tabla_Items_Activos[[#This Row],[CODIGO]],Tabla_Items_Completos[[CODIGO]:[LINEA]],4,0)</f>
        <v>#N/A</v>
      </c>
      <c r="F2004">
        <v>176</v>
      </c>
      <c r="G2004">
        <v>98</v>
      </c>
    </row>
    <row r="2005" spans="1:7">
      <c r="A2005" t="s">
        <v>7388</v>
      </c>
      <c r="B2005" t="s">
        <v>9392</v>
      </c>
      <c r="C2005" s="1" t="e">
        <f>VLOOKUP(Tabla_Items_Activos[[#This Row],[CODIGO]],Tabla_Items_Completos[[CODIGO]:[LINEA]],2,0)</f>
        <v>#N/A</v>
      </c>
      <c r="D2005" s="1" t="e">
        <f>VLOOKUP(Tabla_Items_Activos[[#This Row],[CODIGO]],Tabla_Items_Completos[[CODIGO]:[LINEA]],3,0)</f>
        <v>#N/A</v>
      </c>
      <c r="E2005" s="1" t="e">
        <f>VLOOKUP(Tabla_Items_Activos[[#This Row],[CODIGO]],Tabla_Items_Completos[[CODIGO]:[LINEA]],4,0)</f>
        <v>#N/A</v>
      </c>
      <c r="F2005">
        <v>123</v>
      </c>
      <c r="G2005">
        <v>180</v>
      </c>
    </row>
    <row r="2006" spans="1:7">
      <c r="A2006" t="s">
        <v>7388</v>
      </c>
      <c r="B2006" t="s">
        <v>9393</v>
      </c>
      <c r="C2006" s="1" t="e">
        <f>VLOOKUP(Tabla_Items_Activos[[#This Row],[CODIGO]],Tabla_Items_Completos[[CODIGO]:[LINEA]],2,0)</f>
        <v>#N/A</v>
      </c>
      <c r="D2006" s="1" t="e">
        <f>VLOOKUP(Tabla_Items_Activos[[#This Row],[CODIGO]],Tabla_Items_Completos[[CODIGO]:[LINEA]],3,0)</f>
        <v>#N/A</v>
      </c>
      <c r="E2006" s="1" t="e">
        <f>VLOOKUP(Tabla_Items_Activos[[#This Row],[CODIGO]],Tabla_Items_Completos[[CODIGO]:[LINEA]],4,0)</f>
        <v>#N/A</v>
      </c>
      <c r="F2006">
        <v>66</v>
      </c>
      <c r="G2006">
        <v>220</v>
      </c>
    </row>
    <row r="2007" spans="1:7">
      <c r="A2007" t="s">
        <v>7388</v>
      </c>
      <c r="B2007" t="s">
        <v>9394</v>
      </c>
      <c r="C2007" s="1" t="e">
        <f>VLOOKUP(Tabla_Items_Activos[[#This Row],[CODIGO]],Tabla_Items_Completos[[CODIGO]:[LINEA]],2,0)</f>
        <v>#N/A</v>
      </c>
      <c r="D2007" s="1" t="e">
        <f>VLOOKUP(Tabla_Items_Activos[[#This Row],[CODIGO]],Tabla_Items_Completos[[CODIGO]:[LINEA]],3,0)</f>
        <v>#N/A</v>
      </c>
      <c r="E2007" s="1" t="e">
        <f>VLOOKUP(Tabla_Items_Activos[[#This Row],[CODIGO]],Tabla_Items_Completos[[CODIGO]:[LINEA]],4,0)</f>
        <v>#N/A</v>
      </c>
      <c r="F2007">
        <v>382</v>
      </c>
      <c r="G2007">
        <v>851</v>
      </c>
    </row>
    <row r="2008" spans="1:7">
      <c r="A2008" t="s">
        <v>7388</v>
      </c>
      <c r="B2008" t="s">
        <v>9395</v>
      </c>
      <c r="C2008" s="1" t="e">
        <f>VLOOKUP(Tabla_Items_Activos[[#This Row],[CODIGO]],Tabla_Items_Completos[[CODIGO]:[LINEA]],2,0)</f>
        <v>#N/A</v>
      </c>
      <c r="D2008" s="1" t="e">
        <f>VLOOKUP(Tabla_Items_Activos[[#This Row],[CODIGO]],Tabla_Items_Completos[[CODIGO]:[LINEA]],3,0)</f>
        <v>#N/A</v>
      </c>
      <c r="E2008" s="1" t="e">
        <f>VLOOKUP(Tabla_Items_Activos[[#This Row],[CODIGO]],Tabla_Items_Completos[[CODIGO]:[LINEA]],4,0)</f>
        <v>#N/A</v>
      </c>
      <c r="F2008">
        <v>512</v>
      </c>
      <c r="G2008">
        <v>123</v>
      </c>
    </row>
    <row r="2009" spans="1:7">
      <c r="A2009" t="s">
        <v>7388</v>
      </c>
      <c r="B2009" t="s">
        <v>9396</v>
      </c>
      <c r="C2009" s="1" t="e">
        <f>VLOOKUP(Tabla_Items_Activos[[#This Row],[CODIGO]],Tabla_Items_Completos[[CODIGO]:[LINEA]],2,0)</f>
        <v>#N/A</v>
      </c>
      <c r="D2009" s="1" t="e">
        <f>VLOOKUP(Tabla_Items_Activos[[#This Row],[CODIGO]],Tabla_Items_Completos[[CODIGO]:[LINEA]],3,0)</f>
        <v>#N/A</v>
      </c>
      <c r="E2009" s="1" t="e">
        <f>VLOOKUP(Tabla_Items_Activos[[#This Row],[CODIGO]],Tabla_Items_Completos[[CODIGO]:[LINEA]],4,0)</f>
        <v>#N/A</v>
      </c>
      <c r="F2009">
        <v>108</v>
      </c>
      <c r="G2009">
        <v>288</v>
      </c>
    </row>
    <row r="2010" spans="1:7">
      <c r="A2010" t="s">
        <v>7388</v>
      </c>
      <c r="B2010" t="s">
        <v>9397</v>
      </c>
      <c r="C2010" s="1" t="e">
        <f>VLOOKUP(Tabla_Items_Activos[[#This Row],[CODIGO]],Tabla_Items_Completos[[CODIGO]:[LINEA]],2,0)</f>
        <v>#N/A</v>
      </c>
      <c r="D2010" s="1" t="e">
        <f>VLOOKUP(Tabla_Items_Activos[[#This Row],[CODIGO]],Tabla_Items_Completos[[CODIGO]:[LINEA]],3,0)</f>
        <v>#N/A</v>
      </c>
      <c r="E2010" s="1" t="e">
        <f>VLOOKUP(Tabla_Items_Activos[[#This Row],[CODIGO]],Tabla_Items_Completos[[CODIGO]:[LINEA]],4,0)</f>
        <v>#N/A</v>
      </c>
      <c r="F2010">
        <v>557</v>
      </c>
      <c r="G2010">
        <v>298</v>
      </c>
    </row>
    <row r="2011" spans="1:7">
      <c r="A2011" t="s">
        <v>7388</v>
      </c>
      <c r="B2011" t="s">
        <v>9398</v>
      </c>
      <c r="C2011" s="1" t="e">
        <f>VLOOKUP(Tabla_Items_Activos[[#This Row],[CODIGO]],Tabla_Items_Completos[[CODIGO]:[LINEA]],2,0)</f>
        <v>#N/A</v>
      </c>
      <c r="D2011" s="1" t="e">
        <f>VLOOKUP(Tabla_Items_Activos[[#This Row],[CODIGO]],Tabla_Items_Completos[[CODIGO]:[LINEA]],3,0)</f>
        <v>#N/A</v>
      </c>
      <c r="E2011" s="1" t="e">
        <f>VLOOKUP(Tabla_Items_Activos[[#This Row],[CODIGO]],Tabla_Items_Completos[[CODIGO]:[LINEA]],4,0)</f>
        <v>#N/A</v>
      </c>
      <c r="F2011">
        <v>190</v>
      </c>
      <c r="G2011">
        <v>41</v>
      </c>
    </row>
    <row r="2012" spans="1:7">
      <c r="A2012" t="s">
        <v>7388</v>
      </c>
      <c r="B2012" t="s">
        <v>9399</v>
      </c>
      <c r="C2012" s="1" t="e">
        <f>VLOOKUP(Tabla_Items_Activos[[#This Row],[CODIGO]],Tabla_Items_Completos[[CODIGO]:[LINEA]],2,0)</f>
        <v>#N/A</v>
      </c>
      <c r="D2012" s="1" t="e">
        <f>VLOOKUP(Tabla_Items_Activos[[#This Row],[CODIGO]],Tabla_Items_Completos[[CODIGO]:[LINEA]],3,0)</f>
        <v>#N/A</v>
      </c>
      <c r="E2012" s="1" t="e">
        <f>VLOOKUP(Tabla_Items_Activos[[#This Row],[CODIGO]],Tabla_Items_Completos[[CODIGO]:[LINEA]],4,0)</f>
        <v>#N/A</v>
      </c>
      <c r="F2012">
        <v>1067</v>
      </c>
      <c r="G2012">
        <v>389</v>
      </c>
    </row>
    <row r="2013" spans="1:7">
      <c r="A2013" t="s">
        <v>7388</v>
      </c>
      <c r="B2013" t="s">
        <v>9400</v>
      </c>
      <c r="C2013" s="1" t="e">
        <f>VLOOKUP(Tabla_Items_Activos[[#This Row],[CODIGO]],Tabla_Items_Completos[[CODIGO]:[LINEA]],2,0)</f>
        <v>#N/A</v>
      </c>
      <c r="D2013" s="1" t="e">
        <f>VLOOKUP(Tabla_Items_Activos[[#This Row],[CODIGO]],Tabla_Items_Completos[[CODIGO]:[LINEA]],3,0)</f>
        <v>#N/A</v>
      </c>
      <c r="E2013" s="1" t="e">
        <f>VLOOKUP(Tabla_Items_Activos[[#This Row],[CODIGO]],Tabla_Items_Completos[[CODIGO]:[LINEA]],4,0)</f>
        <v>#N/A</v>
      </c>
      <c r="F2013">
        <v>494</v>
      </c>
      <c r="G2013">
        <v>160</v>
      </c>
    </row>
    <row r="2014" spans="1:7">
      <c r="A2014" t="s">
        <v>7388</v>
      </c>
      <c r="B2014" t="s">
        <v>9401</v>
      </c>
      <c r="C2014" s="1" t="e">
        <f>VLOOKUP(Tabla_Items_Activos[[#This Row],[CODIGO]],Tabla_Items_Completos[[CODIGO]:[LINEA]],2,0)</f>
        <v>#N/A</v>
      </c>
      <c r="D2014" s="1" t="e">
        <f>VLOOKUP(Tabla_Items_Activos[[#This Row],[CODIGO]],Tabla_Items_Completos[[CODIGO]:[LINEA]],3,0)</f>
        <v>#N/A</v>
      </c>
      <c r="E2014" s="1" t="e">
        <f>VLOOKUP(Tabla_Items_Activos[[#This Row],[CODIGO]],Tabla_Items_Completos[[CODIGO]:[LINEA]],4,0)</f>
        <v>#N/A</v>
      </c>
      <c r="F2014">
        <v>216</v>
      </c>
      <c r="G2014">
        <v>170</v>
      </c>
    </row>
    <row r="2015" spans="1:7">
      <c r="A2015" t="s">
        <v>7388</v>
      </c>
      <c r="B2015" t="s">
        <v>9402</v>
      </c>
      <c r="C2015" s="1" t="e">
        <f>VLOOKUP(Tabla_Items_Activos[[#This Row],[CODIGO]],Tabla_Items_Completos[[CODIGO]:[LINEA]],2,0)</f>
        <v>#N/A</v>
      </c>
      <c r="D2015" s="1" t="e">
        <f>VLOOKUP(Tabla_Items_Activos[[#This Row],[CODIGO]],Tabla_Items_Completos[[CODIGO]:[LINEA]],3,0)</f>
        <v>#N/A</v>
      </c>
      <c r="E2015" s="1" t="e">
        <f>VLOOKUP(Tabla_Items_Activos[[#This Row],[CODIGO]],Tabla_Items_Completos[[CODIGO]:[LINEA]],4,0)</f>
        <v>#N/A</v>
      </c>
      <c r="F2015">
        <v>1790</v>
      </c>
      <c r="G2015">
        <v>368</v>
      </c>
    </row>
    <row r="2016" spans="1:7">
      <c r="A2016" t="s">
        <v>7388</v>
      </c>
      <c r="B2016" t="s">
        <v>9403</v>
      </c>
      <c r="C2016" s="1" t="e">
        <f>VLOOKUP(Tabla_Items_Activos[[#This Row],[CODIGO]],Tabla_Items_Completos[[CODIGO]:[LINEA]],2,0)</f>
        <v>#N/A</v>
      </c>
      <c r="D2016" s="1" t="e">
        <f>VLOOKUP(Tabla_Items_Activos[[#This Row],[CODIGO]],Tabla_Items_Completos[[CODIGO]:[LINEA]],3,0)</f>
        <v>#N/A</v>
      </c>
      <c r="E2016" s="1" t="e">
        <f>VLOOKUP(Tabla_Items_Activos[[#This Row],[CODIGO]],Tabla_Items_Completos[[CODIGO]:[LINEA]],4,0)</f>
        <v>#N/A</v>
      </c>
      <c r="F2016">
        <v>479</v>
      </c>
      <c r="G2016">
        <v>0</v>
      </c>
    </row>
    <row r="2017" spans="1:7">
      <c r="A2017" t="s">
        <v>7388</v>
      </c>
      <c r="B2017" t="s">
        <v>9404</v>
      </c>
      <c r="C2017" s="1" t="e">
        <f>VLOOKUP(Tabla_Items_Activos[[#This Row],[CODIGO]],Tabla_Items_Completos[[CODIGO]:[LINEA]],2,0)</f>
        <v>#N/A</v>
      </c>
      <c r="D2017" s="1" t="e">
        <f>VLOOKUP(Tabla_Items_Activos[[#This Row],[CODIGO]],Tabla_Items_Completos[[CODIGO]:[LINEA]],3,0)</f>
        <v>#N/A</v>
      </c>
      <c r="E2017" s="1" t="e">
        <f>VLOOKUP(Tabla_Items_Activos[[#This Row],[CODIGO]],Tabla_Items_Completos[[CODIGO]:[LINEA]],4,0)</f>
        <v>#N/A</v>
      </c>
      <c r="F2017">
        <v>214</v>
      </c>
      <c r="G2017">
        <v>36</v>
      </c>
    </row>
    <row r="2018" spans="1:7">
      <c r="A2018" t="s">
        <v>7388</v>
      </c>
      <c r="B2018" t="s">
        <v>9405</v>
      </c>
      <c r="C2018" s="1" t="e">
        <f>VLOOKUP(Tabla_Items_Activos[[#This Row],[CODIGO]],Tabla_Items_Completos[[CODIGO]:[LINEA]],2,0)</f>
        <v>#N/A</v>
      </c>
      <c r="D2018" s="1" t="e">
        <f>VLOOKUP(Tabla_Items_Activos[[#This Row],[CODIGO]],Tabla_Items_Completos[[CODIGO]:[LINEA]],3,0)</f>
        <v>#N/A</v>
      </c>
      <c r="E2018" s="1" t="e">
        <f>VLOOKUP(Tabla_Items_Activos[[#This Row],[CODIGO]],Tabla_Items_Completos[[CODIGO]:[LINEA]],4,0)</f>
        <v>#N/A</v>
      </c>
      <c r="F2018">
        <v>320</v>
      </c>
      <c r="G2018">
        <v>0</v>
      </c>
    </row>
    <row r="2019" spans="1:7">
      <c r="A2019" t="s">
        <v>7388</v>
      </c>
      <c r="B2019" t="s">
        <v>9406</v>
      </c>
      <c r="C2019" s="1" t="e">
        <f>VLOOKUP(Tabla_Items_Activos[[#This Row],[CODIGO]],Tabla_Items_Completos[[CODIGO]:[LINEA]],2,0)</f>
        <v>#N/A</v>
      </c>
      <c r="D2019" s="1" t="e">
        <f>VLOOKUP(Tabla_Items_Activos[[#This Row],[CODIGO]],Tabla_Items_Completos[[CODIGO]:[LINEA]],3,0)</f>
        <v>#N/A</v>
      </c>
      <c r="E2019" s="1" t="e">
        <f>VLOOKUP(Tabla_Items_Activos[[#This Row],[CODIGO]],Tabla_Items_Completos[[CODIGO]:[LINEA]],4,0)</f>
        <v>#N/A</v>
      </c>
      <c r="F2019">
        <v>400</v>
      </c>
      <c r="G2019">
        <v>0</v>
      </c>
    </row>
    <row r="2020" spans="1:7">
      <c r="A2020" t="s">
        <v>7388</v>
      </c>
      <c r="B2020" t="s">
        <v>9407</v>
      </c>
      <c r="C2020" s="1" t="e">
        <f>VLOOKUP(Tabla_Items_Activos[[#This Row],[CODIGO]],Tabla_Items_Completos[[CODIGO]:[LINEA]],2,0)</f>
        <v>#N/A</v>
      </c>
      <c r="D2020" s="1" t="e">
        <f>VLOOKUP(Tabla_Items_Activos[[#This Row],[CODIGO]],Tabla_Items_Completos[[CODIGO]:[LINEA]],3,0)</f>
        <v>#N/A</v>
      </c>
      <c r="E2020" s="1" t="e">
        <f>VLOOKUP(Tabla_Items_Activos[[#This Row],[CODIGO]],Tabla_Items_Completos[[CODIGO]:[LINEA]],4,0)</f>
        <v>#N/A</v>
      </c>
      <c r="F2020">
        <v>431</v>
      </c>
      <c r="G2020">
        <v>0</v>
      </c>
    </row>
    <row r="2021" spans="1:7">
      <c r="A2021" t="s">
        <v>7388</v>
      </c>
      <c r="B2021" t="s">
        <v>9408</v>
      </c>
      <c r="C2021" s="1" t="e">
        <f>VLOOKUP(Tabla_Items_Activos[[#This Row],[CODIGO]],Tabla_Items_Completos[[CODIGO]:[LINEA]],2,0)</f>
        <v>#N/A</v>
      </c>
      <c r="D2021" s="1" t="e">
        <f>VLOOKUP(Tabla_Items_Activos[[#This Row],[CODIGO]],Tabla_Items_Completos[[CODIGO]:[LINEA]],3,0)</f>
        <v>#N/A</v>
      </c>
      <c r="E2021" s="1" t="e">
        <f>VLOOKUP(Tabla_Items_Activos[[#This Row],[CODIGO]],Tabla_Items_Completos[[CODIGO]:[LINEA]],4,0)</f>
        <v>#N/A</v>
      </c>
      <c r="F2021">
        <v>1612</v>
      </c>
      <c r="G2021">
        <v>54</v>
      </c>
    </row>
    <row r="2022" spans="1:7">
      <c r="A2022" t="s">
        <v>7388</v>
      </c>
      <c r="B2022" t="s">
        <v>9409</v>
      </c>
      <c r="C2022" s="1" t="e">
        <f>VLOOKUP(Tabla_Items_Activos[[#This Row],[CODIGO]],Tabla_Items_Completos[[CODIGO]:[LINEA]],2,0)</f>
        <v>#N/A</v>
      </c>
      <c r="D2022" s="1" t="e">
        <f>VLOOKUP(Tabla_Items_Activos[[#This Row],[CODIGO]],Tabla_Items_Completos[[CODIGO]:[LINEA]],3,0)</f>
        <v>#N/A</v>
      </c>
      <c r="E2022" s="1" t="e">
        <f>VLOOKUP(Tabla_Items_Activos[[#This Row],[CODIGO]],Tabla_Items_Completos[[CODIGO]:[LINEA]],4,0)</f>
        <v>#N/A</v>
      </c>
      <c r="F2022">
        <v>293</v>
      </c>
      <c r="G2022">
        <v>96</v>
      </c>
    </row>
    <row r="2023" spans="1:7">
      <c r="A2023" t="s">
        <v>7388</v>
      </c>
      <c r="B2023" t="s">
        <v>9410</v>
      </c>
      <c r="C2023" s="1" t="e">
        <f>VLOOKUP(Tabla_Items_Activos[[#This Row],[CODIGO]],Tabla_Items_Completos[[CODIGO]:[LINEA]],2,0)</f>
        <v>#N/A</v>
      </c>
      <c r="D2023" s="1" t="e">
        <f>VLOOKUP(Tabla_Items_Activos[[#This Row],[CODIGO]],Tabla_Items_Completos[[CODIGO]:[LINEA]],3,0)</f>
        <v>#N/A</v>
      </c>
      <c r="E2023" s="1" t="e">
        <f>VLOOKUP(Tabla_Items_Activos[[#This Row],[CODIGO]],Tabla_Items_Completos[[CODIGO]:[LINEA]],4,0)</f>
        <v>#N/A</v>
      </c>
      <c r="F2023">
        <v>528</v>
      </c>
      <c r="G2023">
        <v>139</v>
      </c>
    </row>
    <row r="2024" spans="1:7">
      <c r="A2024" t="s">
        <v>7388</v>
      </c>
      <c r="B2024" t="s">
        <v>9411</v>
      </c>
      <c r="C2024" s="1" t="e">
        <f>VLOOKUP(Tabla_Items_Activos[[#This Row],[CODIGO]],Tabla_Items_Completos[[CODIGO]:[LINEA]],2,0)</f>
        <v>#N/A</v>
      </c>
      <c r="D2024" s="1" t="e">
        <f>VLOOKUP(Tabla_Items_Activos[[#This Row],[CODIGO]],Tabla_Items_Completos[[CODIGO]:[LINEA]],3,0)</f>
        <v>#N/A</v>
      </c>
      <c r="E2024" s="1" t="e">
        <f>VLOOKUP(Tabla_Items_Activos[[#This Row],[CODIGO]],Tabla_Items_Completos[[CODIGO]:[LINEA]],4,0)</f>
        <v>#N/A</v>
      </c>
      <c r="F2024">
        <v>71</v>
      </c>
      <c r="G2024">
        <v>21</v>
      </c>
    </row>
    <row r="2025" spans="1:7">
      <c r="A2025" t="s">
        <v>7388</v>
      </c>
      <c r="B2025" t="s">
        <v>9412</v>
      </c>
      <c r="C2025" s="1" t="e">
        <f>VLOOKUP(Tabla_Items_Activos[[#This Row],[CODIGO]],Tabla_Items_Completos[[CODIGO]:[LINEA]],2,0)</f>
        <v>#N/A</v>
      </c>
      <c r="D2025" s="1" t="e">
        <f>VLOOKUP(Tabla_Items_Activos[[#This Row],[CODIGO]],Tabla_Items_Completos[[CODIGO]:[LINEA]],3,0)</f>
        <v>#N/A</v>
      </c>
      <c r="E2025" s="1" t="e">
        <f>VLOOKUP(Tabla_Items_Activos[[#This Row],[CODIGO]],Tabla_Items_Completos[[CODIGO]:[LINEA]],4,0)</f>
        <v>#N/A</v>
      </c>
      <c r="F2025">
        <v>181</v>
      </c>
      <c r="G2025">
        <v>41</v>
      </c>
    </row>
    <row r="2026" spans="1:7">
      <c r="A2026" t="s">
        <v>7388</v>
      </c>
      <c r="B2026" t="s">
        <v>9413</v>
      </c>
      <c r="C2026" s="1" t="e">
        <f>VLOOKUP(Tabla_Items_Activos[[#This Row],[CODIGO]],Tabla_Items_Completos[[CODIGO]:[LINEA]],2,0)</f>
        <v>#N/A</v>
      </c>
      <c r="D2026" s="1" t="e">
        <f>VLOOKUP(Tabla_Items_Activos[[#This Row],[CODIGO]],Tabla_Items_Completos[[CODIGO]:[LINEA]],3,0)</f>
        <v>#N/A</v>
      </c>
      <c r="E2026" s="1" t="e">
        <f>VLOOKUP(Tabla_Items_Activos[[#This Row],[CODIGO]],Tabla_Items_Completos[[CODIGO]:[LINEA]],4,0)</f>
        <v>#N/A</v>
      </c>
      <c r="F2026">
        <v>178</v>
      </c>
      <c r="G2026">
        <v>48</v>
      </c>
    </row>
    <row r="2027" spans="1:7">
      <c r="A2027" t="s">
        <v>7388</v>
      </c>
      <c r="B2027" t="s">
        <v>9414</v>
      </c>
      <c r="C2027" s="1" t="e">
        <f>VLOOKUP(Tabla_Items_Activos[[#This Row],[CODIGO]],Tabla_Items_Completos[[CODIGO]:[LINEA]],2,0)</f>
        <v>#N/A</v>
      </c>
      <c r="D2027" s="1" t="e">
        <f>VLOOKUP(Tabla_Items_Activos[[#This Row],[CODIGO]],Tabla_Items_Completos[[CODIGO]:[LINEA]],3,0)</f>
        <v>#N/A</v>
      </c>
      <c r="E2027" s="1" t="e">
        <f>VLOOKUP(Tabla_Items_Activos[[#This Row],[CODIGO]],Tabla_Items_Completos[[CODIGO]:[LINEA]],4,0)</f>
        <v>#N/A</v>
      </c>
      <c r="F2027">
        <v>639</v>
      </c>
      <c r="G2027">
        <v>56</v>
      </c>
    </row>
    <row r="2028" spans="1:7">
      <c r="A2028" t="s">
        <v>7388</v>
      </c>
      <c r="B2028" t="s">
        <v>9415</v>
      </c>
      <c r="C2028" s="1" t="e">
        <f>VLOOKUP(Tabla_Items_Activos[[#This Row],[CODIGO]],Tabla_Items_Completos[[CODIGO]:[LINEA]],2,0)</f>
        <v>#N/A</v>
      </c>
      <c r="D2028" s="1" t="e">
        <f>VLOOKUP(Tabla_Items_Activos[[#This Row],[CODIGO]],Tabla_Items_Completos[[CODIGO]:[LINEA]],3,0)</f>
        <v>#N/A</v>
      </c>
      <c r="E2028" s="1" t="e">
        <f>VLOOKUP(Tabla_Items_Activos[[#This Row],[CODIGO]],Tabla_Items_Completos[[CODIGO]:[LINEA]],4,0)</f>
        <v>#N/A</v>
      </c>
      <c r="F2028">
        <v>384</v>
      </c>
      <c r="G2028">
        <v>79</v>
      </c>
    </row>
    <row r="2029" spans="1:7">
      <c r="A2029" t="s">
        <v>7388</v>
      </c>
      <c r="B2029" t="s">
        <v>9416</v>
      </c>
      <c r="C2029" s="1" t="e">
        <f>VLOOKUP(Tabla_Items_Activos[[#This Row],[CODIGO]],Tabla_Items_Completos[[CODIGO]:[LINEA]],2,0)</f>
        <v>#N/A</v>
      </c>
      <c r="D2029" s="1" t="e">
        <f>VLOOKUP(Tabla_Items_Activos[[#This Row],[CODIGO]],Tabla_Items_Completos[[CODIGO]:[LINEA]],3,0)</f>
        <v>#N/A</v>
      </c>
      <c r="E2029" s="1" t="e">
        <f>VLOOKUP(Tabla_Items_Activos[[#This Row],[CODIGO]],Tabla_Items_Completos[[CODIGO]:[LINEA]],4,0)</f>
        <v>#N/A</v>
      </c>
      <c r="F2029">
        <v>500</v>
      </c>
      <c r="G2029">
        <v>81</v>
      </c>
    </row>
    <row r="2030" spans="1:7">
      <c r="A2030" t="s">
        <v>7388</v>
      </c>
      <c r="B2030" t="s">
        <v>9417</v>
      </c>
      <c r="C2030" s="1" t="e">
        <f>VLOOKUP(Tabla_Items_Activos[[#This Row],[CODIGO]],Tabla_Items_Completos[[CODIGO]:[LINEA]],2,0)</f>
        <v>#N/A</v>
      </c>
      <c r="D2030" s="1" t="e">
        <f>VLOOKUP(Tabla_Items_Activos[[#This Row],[CODIGO]],Tabla_Items_Completos[[CODIGO]:[LINEA]],3,0)</f>
        <v>#N/A</v>
      </c>
      <c r="E2030" s="1" t="e">
        <f>VLOOKUP(Tabla_Items_Activos[[#This Row],[CODIGO]],Tabla_Items_Completos[[CODIGO]:[LINEA]],4,0)</f>
        <v>#N/A</v>
      </c>
      <c r="F2030">
        <v>521</v>
      </c>
      <c r="G2030">
        <v>49</v>
      </c>
    </row>
    <row r="2031" spans="1:7">
      <c r="A2031" t="s">
        <v>7388</v>
      </c>
      <c r="B2031" t="s">
        <v>9418</v>
      </c>
      <c r="C2031" s="1" t="e">
        <f>VLOOKUP(Tabla_Items_Activos[[#This Row],[CODIGO]],Tabla_Items_Completos[[CODIGO]:[LINEA]],2,0)</f>
        <v>#N/A</v>
      </c>
      <c r="D2031" s="1" t="e">
        <f>VLOOKUP(Tabla_Items_Activos[[#This Row],[CODIGO]],Tabla_Items_Completos[[CODIGO]:[LINEA]],3,0)</f>
        <v>#N/A</v>
      </c>
      <c r="E2031" s="1" t="e">
        <f>VLOOKUP(Tabla_Items_Activos[[#This Row],[CODIGO]],Tabla_Items_Completos[[CODIGO]:[LINEA]],4,0)</f>
        <v>#N/A</v>
      </c>
      <c r="F2031">
        <v>2804</v>
      </c>
      <c r="G2031">
        <v>1030</v>
      </c>
    </row>
    <row r="2032" spans="1:7">
      <c r="A2032" t="s">
        <v>7388</v>
      </c>
      <c r="B2032" t="s">
        <v>9419</v>
      </c>
      <c r="C2032" s="1" t="e">
        <f>VLOOKUP(Tabla_Items_Activos[[#This Row],[CODIGO]],Tabla_Items_Completos[[CODIGO]:[LINEA]],2,0)</f>
        <v>#N/A</v>
      </c>
      <c r="D2032" s="1" t="e">
        <f>VLOOKUP(Tabla_Items_Activos[[#This Row],[CODIGO]],Tabla_Items_Completos[[CODIGO]:[LINEA]],3,0)</f>
        <v>#N/A</v>
      </c>
      <c r="E2032" s="1" t="e">
        <f>VLOOKUP(Tabla_Items_Activos[[#This Row],[CODIGO]],Tabla_Items_Completos[[CODIGO]:[LINEA]],4,0)</f>
        <v>#N/A</v>
      </c>
      <c r="F2032">
        <v>193</v>
      </c>
      <c r="G2032">
        <v>0</v>
      </c>
    </row>
    <row r="2033" spans="1:7">
      <c r="A2033" t="s">
        <v>7388</v>
      </c>
      <c r="B2033" t="s">
        <v>9420</v>
      </c>
      <c r="C2033" s="1" t="e">
        <f>VLOOKUP(Tabla_Items_Activos[[#This Row],[CODIGO]],Tabla_Items_Completos[[CODIGO]:[LINEA]],2,0)</f>
        <v>#N/A</v>
      </c>
      <c r="D2033" s="1" t="e">
        <f>VLOOKUP(Tabla_Items_Activos[[#This Row],[CODIGO]],Tabla_Items_Completos[[CODIGO]:[LINEA]],3,0)</f>
        <v>#N/A</v>
      </c>
      <c r="E2033" s="1" t="e">
        <f>VLOOKUP(Tabla_Items_Activos[[#This Row],[CODIGO]],Tabla_Items_Completos[[CODIGO]:[LINEA]],4,0)</f>
        <v>#N/A</v>
      </c>
      <c r="F2033">
        <v>42</v>
      </c>
      <c r="G2033">
        <v>0</v>
      </c>
    </row>
    <row r="2034" spans="1:7">
      <c r="A2034" t="s">
        <v>7388</v>
      </c>
      <c r="B2034" t="s">
        <v>9421</v>
      </c>
      <c r="C2034" s="1" t="e">
        <f>VLOOKUP(Tabla_Items_Activos[[#This Row],[CODIGO]],Tabla_Items_Completos[[CODIGO]:[LINEA]],2,0)</f>
        <v>#N/A</v>
      </c>
      <c r="D2034" s="1" t="e">
        <f>VLOOKUP(Tabla_Items_Activos[[#This Row],[CODIGO]],Tabla_Items_Completos[[CODIGO]:[LINEA]],3,0)</f>
        <v>#N/A</v>
      </c>
      <c r="E2034" s="1" t="e">
        <f>VLOOKUP(Tabla_Items_Activos[[#This Row],[CODIGO]],Tabla_Items_Completos[[CODIGO]:[LINEA]],4,0)</f>
        <v>#N/A</v>
      </c>
      <c r="F2034">
        <v>196</v>
      </c>
      <c r="G2034">
        <v>191</v>
      </c>
    </row>
    <row r="2035" spans="1:7">
      <c r="A2035" t="s">
        <v>7388</v>
      </c>
      <c r="B2035" t="s">
        <v>9422</v>
      </c>
      <c r="C2035" s="1" t="e">
        <f>VLOOKUP(Tabla_Items_Activos[[#This Row],[CODIGO]],Tabla_Items_Completos[[CODIGO]:[LINEA]],2,0)</f>
        <v>#N/A</v>
      </c>
      <c r="D2035" s="1" t="e">
        <f>VLOOKUP(Tabla_Items_Activos[[#This Row],[CODIGO]],Tabla_Items_Completos[[CODIGO]:[LINEA]],3,0)</f>
        <v>#N/A</v>
      </c>
      <c r="E2035" s="1" t="e">
        <f>VLOOKUP(Tabla_Items_Activos[[#This Row],[CODIGO]],Tabla_Items_Completos[[CODIGO]:[LINEA]],4,0)</f>
        <v>#N/A</v>
      </c>
      <c r="F2035">
        <v>154</v>
      </c>
      <c r="G2035">
        <v>0</v>
      </c>
    </row>
    <row r="2036" spans="1:7">
      <c r="A2036" t="s">
        <v>7388</v>
      </c>
      <c r="B2036" t="s">
        <v>9423</v>
      </c>
      <c r="C2036" s="1" t="e">
        <f>VLOOKUP(Tabla_Items_Activos[[#This Row],[CODIGO]],Tabla_Items_Completos[[CODIGO]:[LINEA]],2,0)</f>
        <v>#N/A</v>
      </c>
      <c r="D2036" s="1" t="e">
        <f>VLOOKUP(Tabla_Items_Activos[[#This Row],[CODIGO]],Tabla_Items_Completos[[CODIGO]:[LINEA]],3,0)</f>
        <v>#N/A</v>
      </c>
      <c r="E2036" s="1" t="e">
        <f>VLOOKUP(Tabla_Items_Activos[[#This Row],[CODIGO]],Tabla_Items_Completos[[CODIGO]:[LINEA]],4,0)</f>
        <v>#N/A</v>
      </c>
      <c r="F2036">
        <v>166</v>
      </c>
      <c r="G2036">
        <v>0</v>
      </c>
    </row>
    <row r="2037" spans="1:7">
      <c r="A2037" t="s">
        <v>7388</v>
      </c>
      <c r="B2037" t="s">
        <v>9424</v>
      </c>
      <c r="C2037" s="1" t="e">
        <f>VLOOKUP(Tabla_Items_Activos[[#This Row],[CODIGO]],Tabla_Items_Completos[[CODIGO]:[LINEA]],2,0)</f>
        <v>#N/A</v>
      </c>
      <c r="D2037" s="1" t="e">
        <f>VLOOKUP(Tabla_Items_Activos[[#This Row],[CODIGO]],Tabla_Items_Completos[[CODIGO]:[LINEA]],3,0)</f>
        <v>#N/A</v>
      </c>
      <c r="E2037" s="1" t="e">
        <f>VLOOKUP(Tabla_Items_Activos[[#This Row],[CODIGO]],Tabla_Items_Completos[[CODIGO]:[LINEA]],4,0)</f>
        <v>#N/A</v>
      </c>
      <c r="F2037">
        <v>205</v>
      </c>
      <c r="G2037">
        <v>2</v>
      </c>
    </row>
    <row r="2038" spans="1:7">
      <c r="A2038" t="s">
        <v>7388</v>
      </c>
      <c r="B2038" t="s">
        <v>9425</v>
      </c>
      <c r="C2038" s="1" t="e">
        <f>VLOOKUP(Tabla_Items_Activos[[#This Row],[CODIGO]],Tabla_Items_Completos[[CODIGO]:[LINEA]],2,0)</f>
        <v>#N/A</v>
      </c>
      <c r="D2038" s="1" t="e">
        <f>VLOOKUP(Tabla_Items_Activos[[#This Row],[CODIGO]],Tabla_Items_Completos[[CODIGO]:[LINEA]],3,0)</f>
        <v>#N/A</v>
      </c>
      <c r="E2038" s="1" t="e">
        <f>VLOOKUP(Tabla_Items_Activos[[#This Row],[CODIGO]],Tabla_Items_Completos[[CODIGO]:[LINEA]],4,0)</f>
        <v>#N/A</v>
      </c>
      <c r="F2038">
        <v>145</v>
      </c>
      <c r="G2038">
        <v>0</v>
      </c>
    </row>
    <row r="2039" spans="1:7">
      <c r="A2039" t="s">
        <v>7388</v>
      </c>
      <c r="B2039" t="s">
        <v>9426</v>
      </c>
      <c r="C2039" s="1" t="e">
        <f>VLOOKUP(Tabla_Items_Activos[[#This Row],[CODIGO]],Tabla_Items_Completos[[CODIGO]:[LINEA]],2,0)</f>
        <v>#N/A</v>
      </c>
      <c r="D2039" s="1" t="e">
        <f>VLOOKUP(Tabla_Items_Activos[[#This Row],[CODIGO]],Tabla_Items_Completos[[CODIGO]:[LINEA]],3,0)</f>
        <v>#N/A</v>
      </c>
      <c r="E2039" s="1" t="e">
        <f>VLOOKUP(Tabla_Items_Activos[[#This Row],[CODIGO]],Tabla_Items_Completos[[CODIGO]:[LINEA]],4,0)</f>
        <v>#N/A</v>
      </c>
      <c r="F2039">
        <v>130</v>
      </c>
      <c r="G2039">
        <v>80</v>
      </c>
    </row>
    <row r="2040" spans="1:7">
      <c r="A2040" t="s">
        <v>7388</v>
      </c>
      <c r="B2040" t="s">
        <v>9427</v>
      </c>
      <c r="C2040" s="1" t="e">
        <f>VLOOKUP(Tabla_Items_Activos[[#This Row],[CODIGO]],Tabla_Items_Completos[[CODIGO]:[LINEA]],2,0)</f>
        <v>#N/A</v>
      </c>
      <c r="D2040" s="1" t="e">
        <f>VLOOKUP(Tabla_Items_Activos[[#This Row],[CODIGO]],Tabla_Items_Completos[[CODIGO]:[LINEA]],3,0)</f>
        <v>#N/A</v>
      </c>
      <c r="E2040" s="1" t="e">
        <f>VLOOKUP(Tabla_Items_Activos[[#This Row],[CODIGO]],Tabla_Items_Completos[[CODIGO]:[LINEA]],4,0)</f>
        <v>#N/A</v>
      </c>
      <c r="F2040">
        <v>848</v>
      </c>
      <c r="G2040">
        <v>0</v>
      </c>
    </row>
    <row r="2041" spans="1:7">
      <c r="A2041" t="s">
        <v>7388</v>
      </c>
      <c r="B2041" t="s">
        <v>9428</v>
      </c>
      <c r="C2041" s="1" t="e">
        <f>VLOOKUP(Tabla_Items_Activos[[#This Row],[CODIGO]],Tabla_Items_Completos[[CODIGO]:[LINEA]],2,0)</f>
        <v>#N/A</v>
      </c>
      <c r="D2041" s="1" t="e">
        <f>VLOOKUP(Tabla_Items_Activos[[#This Row],[CODIGO]],Tabla_Items_Completos[[CODIGO]:[LINEA]],3,0)</f>
        <v>#N/A</v>
      </c>
      <c r="E2041" s="1" t="e">
        <f>VLOOKUP(Tabla_Items_Activos[[#This Row],[CODIGO]],Tabla_Items_Completos[[CODIGO]:[LINEA]],4,0)</f>
        <v>#N/A</v>
      </c>
      <c r="F2041">
        <v>673</v>
      </c>
      <c r="G2041">
        <v>0</v>
      </c>
    </row>
    <row r="2042" spans="1:7">
      <c r="A2042" t="s">
        <v>7388</v>
      </c>
      <c r="B2042" t="s">
        <v>9429</v>
      </c>
      <c r="C2042" s="1" t="e">
        <f>VLOOKUP(Tabla_Items_Activos[[#This Row],[CODIGO]],Tabla_Items_Completos[[CODIGO]:[LINEA]],2,0)</f>
        <v>#N/A</v>
      </c>
      <c r="D2042" s="1" t="e">
        <f>VLOOKUP(Tabla_Items_Activos[[#This Row],[CODIGO]],Tabla_Items_Completos[[CODIGO]:[LINEA]],3,0)</f>
        <v>#N/A</v>
      </c>
      <c r="E2042" s="1" t="e">
        <f>VLOOKUP(Tabla_Items_Activos[[#This Row],[CODIGO]],Tabla_Items_Completos[[CODIGO]:[LINEA]],4,0)</f>
        <v>#N/A</v>
      </c>
      <c r="F2042">
        <v>115</v>
      </c>
      <c r="G2042">
        <v>0</v>
      </c>
    </row>
    <row r="2043" spans="1:7">
      <c r="A2043" t="s">
        <v>7388</v>
      </c>
      <c r="B2043" t="s">
        <v>9430</v>
      </c>
      <c r="C2043" s="1" t="e">
        <f>VLOOKUP(Tabla_Items_Activos[[#This Row],[CODIGO]],Tabla_Items_Completos[[CODIGO]:[LINEA]],2,0)</f>
        <v>#N/A</v>
      </c>
      <c r="D2043" s="1" t="e">
        <f>VLOOKUP(Tabla_Items_Activos[[#This Row],[CODIGO]],Tabla_Items_Completos[[CODIGO]:[LINEA]],3,0)</f>
        <v>#N/A</v>
      </c>
      <c r="E2043" s="1" t="e">
        <f>VLOOKUP(Tabla_Items_Activos[[#This Row],[CODIGO]],Tabla_Items_Completos[[CODIGO]:[LINEA]],4,0)</f>
        <v>#N/A</v>
      </c>
      <c r="F2043">
        <v>122</v>
      </c>
      <c r="G2043">
        <v>414</v>
      </c>
    </row>
    <row r="2044" spans="1:7">
      <c r="A2044" t="s">
        <v>7388</v>
      </c>
      <c r="B2044" t="s">
        <v>9431</v>
      </c>
      <c r="C2044" s="1" t="e">
        <f>VLOOKUP(Tabla_Items_Activos[[#This Row],[CODIGO]],Tabla_Items_Completos[[CODIGO]:[LINEA]],2,0)</f>
        <v>#N/A</v>
      </c>
      <c r="D2044" s="1" t="e">
        <f>VLOOKUP(Tabla_Items_Activos[[#This Row],[CODIGO]],Tabla_Items_Completos[[CODIGO]:[LINEA]],3,0)</f>
        <v>#N/A</v>
      </c>
      <c r="E2044" s="1" t="e">
        <f>VLOOKUP(Tabla_Items_Activos[[#This Row],[CODIGO]],Tabla_Items_Completos[[CODIGO]:[LINEA]],4,0)</f>
        <v>#N/A</v>
      </c>
      <c r="F2044">
        <v>158</v>
      </c>
      <c r="G2044">
        <v>250</v>
      </c>
    </row>
    <row r="2045" spans="1:7">
      <c r="A2045" t="s">
        <v>7388</v>
      </c>
      <c r="B2045" t="s">
        <v>9432</v>
      </c>
      <c r="C2045" s="1" t="e">
        <f>VLOOKUP(Tabla_Items_Activos[[#This Row],[CODIGO]],Tabla_Items_Completos[[CODIGO]:[LINEA]],2,0)</f>
        <v>#N/A</v>
      </c>
      <c r="D2045" s="1" t="e">
        <f>VLOOKUP(Tabla_Items_Activos[[#This Row],[CODIGO]],Tabla_Items_Completos[[CODIGO]:[LINEA]],3,0)</f>
        <v>#N/A</v>
      </c>
      <c r="E2045" s="1" t="e">
        <f>VLOOKUP(Tabla_Items_Activos[[#This Row],[CODIGO]],Tabla_Items_Completos[[CODIGO]:[LINEA]],4,0)</f>
        <v>#N/A</v>
      </c>
      <c r="F2045">
        <v>63</v>
      </c>
      <c r="G2045">
        <v>477</v>
      </c>
    </row>
    <row r="2046" spans="1:7">
      <c r="A2046" t="s">
        <v>7388</v>
      </c>
      <c r="B2046" t="s">
        <v>9433</v>
      </c>
      <c r="C2046" s="1" t="e">
        <f>VLOOKUP(Tabla_Items_Activos[[#This Row],[CODIGO]],Tabla_Items_Completos[[CODIGO]:[LINEA]],2,0)</f>
        <v>#N/A</v>
      </c>
      <c r="D2046" s="1" t="e">
        <f>VLOOKUP(Tabla_Items_Activos[[#This Row],[CODIGO]],Tabla_Items_Completos[[CODIGO]:[LINEA]],3,0)</f>
        <v>#N/A</v>
      </c>
      <c r="E2046" s="1" t="e">
        <f>VLOOKUP(Tabla_Items_Activos[[#This Row],[CODIGO]],Tabla_Items_Completos[[CODIGO]:[LINEA]],4,0)</f>
        <v>#N/A</v>
      </c>
      <c r="F2046">
        <v>252</v>
      </c>
      <c r="G2046">
        <v>0</v>
      </c>
    </row>
    <row r="2047" spans="1:7">
      <c r="A2047" t="s">
        <v>7388</v>
      </c>
      <c r="B2047" t="s">
        <v>9434</v>
      </c>
      <c r="C2047" s="1" t="e">
        <f>VLOOKUP(Tabla_Items_Activos[[#This Row],[CODIGO]],Tabla_Items_Completos[[CODIGO]:[LINEA]],2,0)</f>
        <v>#N/A</v>
      </c>
      <c r="D2047" s="1" t="e">
        <f>VLOOKUP(Tabla_Items_Activos[[#This Row],[CODIGO]],Tabla_Items_Completos[[CODIGO]:[LINEA]],3,0)</f>
        <v>#N/A</v>
      </c>
      <c r="E2047" s="1" t="e">
        <f>VLOOKUP(Tabla_Items_Activos[[#This Row],[CODIGO]],Tabla_Items_Completos[[CODIGO]:[LINEA]],4,0)</f>
        <v>#N/A</v>
      </c>
      <c r="F2047">
        <v>1224</v>
      </c>
      <c r="G2047">
        <v>0</v>
      </c>
    </row>
    <row r="2048" spans="1:7">
      <c r="A2048" t="s">
        <v>7388</v>
      </c>
      <c r="B2048" t="s">
        <v>9435</v>
      </c>
      <c r="C2048" s="1" t="e">
        <f>VLOOKUP(Tabla_Items_Activos[[#This Row],[CODIGO]],Tabla_Items_Completos[[CODIGO]:[LINEA]],2,0)</f>
        <v>#N/A</v>
      </c>
      <c r="D2048" s="1" t="e">
        <f>VLOOKUP(Tabla_Items_Activos[[#This Row],[CODIGO]],Tabla_Items_Completos[[CODIGO]:[LINEA]],3,0)</f>
        <v>#N/A</v>
      </c>
      <c r="E2048" s="1" t="e">
        <f>VLOOKUP(Tabla_Items_Activos[[#This Row],[CODIGO]],Tabla_Items_Completos[[CODIGO]:[LINEA]],4,0)</f>
        <v>#N/A</v>
      </c>
      <c r="F2048">
        <v>667</v>
      </c>
      <c r="G2048">
        <v>0</v>
      </c>
    </row>
    <row r="2049" spans="1:7">
      <c r="A2049" t="s">
        <v>7388</v>
      </c>
      <c r="B2049" t="s">
        <v>9436</v>
      </c>
      <c r="C2049" s="1" t="e">
        <f>VLOOKUP(Tabla_Items_Activos[[#This Row],[CODIGO]],Tabla_Items_Completos[[CODIGO]:[LINEA]],2,0)</f>
        <v>#N/A</v>
      </c>
      <c r="D2049" s="1" t="e">
        <f>VLOOKUP(Tabla_Items_Activos[[#This Row],[CODIGO]],Tabla_Items_Completos[[CODIGO]:[LINEA]],3,0)</f>
        <v>#N/A</v>
      </c>
      <c r="E2049" s="1" t="e">
        <f>VLOOKUP(Tabla_Items_Activos[[#This Row],[CODIGO]],Tabla_Items_Completos[[CODIGO]:[LINEA]],4,0)</f>
        <v>#N/A</v>
      </c>
      <c r="F2049">
        <v>213</v>
      </c>
      <c r="G2049">
        <v>0</v>
      </c>
    </row>
    <row r="2050" spans="1:7">
      <c r="A2050" t="s">
        <v>7388</v>
      </c>
      <c r="B2050" t="s">
        <v>9437</v>
      </c>
      <c r="C2050" s="1" t="e">
        <f>VLOOKUP(Tabla_Items_Activos[[#This Row],[CODIGO]],Tabla_Items_Completos[[CODIGO]:[LINEA]],2,0)</f>
        <v>#N/A</v>
      </c>
      <c r="D2050" s="1" t="e">
        <f>VLOOKUP(Tabla_Items_Activos[[#This Row],[CODIGO]],Tabla_Items_Completos[[CODIGO]:[LINEA]],3,0)</f>
        <v>#N/A</v>
      </c>
      <c r="E2050" s="1" t="e">
        <f>VLOOKUP(Tabla_Items_Activos[[#This Row],[CODIGO]],Tabla_Items_Completos[[CODIGO]:[LINEA]],4,0)</f>
        <v>#N/A</v>
      </c>
      <c r="F2050">
        <v>2258</v>
      </c>
      <c r="G2050">
        <v>0</v>
      </c>
    </row>
    <row r="2051" spans="1:7">
      <c r="A2051" t="s">
        <v>7388</v>
      </c>
      <c r="B2051" t="s">
        <v>9438</v>
      </c>
      <c r="C2051" s="1" t="e">
        <f>VLOOKUP(Tabla_Items_Activos[[#This Row],[CODIGO]],Tabla_Items_Completos[[CODIGO]:[LINEA]],2,0)</f>
        <v>#N/A</v>
      </c>
      <c r="D2051" s="1" t="e">
        <f>VLOOKUP(Tabla_Items_Activos[[#This Row],[CODIGO]],Tabla_Items_Completos[[CODIGO]:[LINEA]],3,0)</f>
        <v>#N/A</v>
      </c>
      <c r="E2051" s="1" t="e">
        <f>VLOOKUP(Tabla_Items_Activos[[#This Row],[CODIGO]],Tabla_Items_Completos[[CODIGO]:[LINEA]],4,0)</f>
        <v>#N/A</v>
      </c>
      <c r="F2051">
        <v>265</v>
      </c>
      <c r="G2051">
        <v>0</v>
      </c>
    </row>
    <row r="2052" spans="1:7">
      <c r="A2052" t="s">
        <v>7388</v>
      </c>
      <c r="B2052" t="s">
        <v>9439</v>
      </c>
      <c r="C2052" s="1" t="e">
        <f>VLOOKUP(Tabla_Items_Activos[[#This Row],[CODIGO]],Tabla_Items_Completos[[CODIGO]:[LINEA]],2,0)</f>
        <v>#N/A</v>
      </c>
      <c r="D2052" s="1" t="e">
        <f>VLOOKUP(Tabla_Items_Activos[[#This Row],[CODIGO]],Tabla_Items_Completos[[CODIGO]:[LINEA]],3,0)</f>
        <v>#N/A</v>
      </c>
      <c r="E2052" s="1" t="e">
        <f>VLOOKUP(Tabla_Items_Activos[[#This Row],[CODIGO]],Tabla_Items_Completos[[CODIGO]:[LINEA]],4,0)</f>
        <v>#N/A</v>
      </c>
      <c r="F2052">
        <v>185</v>
      </c>
      <c r="G2052">
        <v>86</v>
      </c>
    </row>
    <row r="2053" spans="1:7">
      <c r="A2053" t="s">
        <v>7388</v>
      </c>
      <c r="B2053" t="s">
        <v>9440</v>
      </c>
      <c r="C2053" s="1" t="e">
        <f>VLOOKUP(Tabla_Items_Activos[[#This Row],[CODIGO]],Tabla_Items_Completos[[CODIGO]:[LINEA]],2,0)</f>
        <v>#N/A</v>
      </c>
      <c r="D2053" s="1" t="e">
        <f>VLOOKUP(Tabla_Items_Activos[[#This Row],[CODIGO]],Tabla_Items_Completos[[CODIGO]:[LINEA]],3,0)</f>
        <v>#N/A</v>
      </c>
      <c r="E2053" s="1" t="e">
        <f>VLOOKUP(Tabla_Items_Activos[[#This Row],[CODIGO]],Tabla_Items_Completos[[CODIGO]:[LINEA]],4,0)</f>
        <v>#N/A</v>
      </c>
      <c r="F2053">
        <v>221</v>
      </c>
      <c r="G2053">
        <v>72</v>
      </c>
    </row>
    <row r="2054" spans="1:7">
      <c r="A2054" t="s">
        <v>7388</v>
      </c>
      <c r="B2054" t="s">
        <v>9441</v>
      </c>
      <c r="C2054" s="1" t="e">
        <f>VLOOKUP(Tabla_Items_Activos[[#This Row],[CODIGO]],Tabla_Items_Completos[[CODIGO]:[LINEA]],2,0)</f>
        <v>#N/A</v>
      </c>
      <c r="D2054" s="1" t="e">
        <f>VLOOKUP(Tabla_Items_Activos[[#This Row],[CODIGO]],Tabla_Items_Completos[[CODIGO]:[LINEA]],3,0)</f>
        <v>#N/A</v>
      </c>
      <c r="E2054" s="1" t="e">
        <f>VLOOKUP(Tabla_Items_Activos[[#This Row],[CODIGO]],Tabla_Items_Completos[[CODIGO]:[LINEA]],4,0)</f>
        <v>#N/A</v>
      </c>
      <c r="F2054">
        <v>463</v>
      </c>
      <c r="G2054">
        <v>0</v>
      </c>
    </row>
    <row r="2055" spans="1:7">
      <c r="A2055" t="s">
        <v>7388</v>
      </c>
      <c r="B2055" t="s">
        <v>9442</v>
      </c>
      <c r="C2055" s="1" t="e">
        <f>VLOOKUP(Tabla_Items_Activos[[#This Row],[CODIGO]],Tabla_Items_Completos[[CODIGO]:[LINEA]],2,0)</f>
        <v>#N/A</v>
      </c>
      <c r="D2055" s="1" t="e">
        <f>VLOOKUP(Tabla_Items_Activos[[#This Row],[CODIGO]],Tabla_Items_Completos[[CODIGO]:[LINEA]],3,0)</f>
        <v>#N/A</v>
      </c>
      <c r="E2055" s="1" t="e">
        <f>VLOOKUP(Tabla_Items_Activos[[#This Row],[CODIGO]],Tabla_Items_Completos[[CODIGO]:[LINEA]],4,0)</f>
        <v>#N/A</v>
      </c>
      <c r="F2055">
        <v>578</v>
      </c>
      <c r="G2055">
        <v>0</v>
      </c>
    </row>
    <row r="2056" spans="1:7">
      <c r="A2056" t="s">
        <v>7388</v>
      </c>
      <c r="B2056" t="s">
        <v>9443</v>
      </c>
      <c r="C2056" s="1" t="e">
        <f>VLOOKUP(Tabla_Items_Activos[[#This Row],[CODIGO]],Tabla_Items_Completos[[CODIGO]:[LINEA]],2,0)</f>
        <v>#N/A</v>
      </c>
      <c r="D2056" s="1" t="e">
        <f>VLOOKUP(Tabla_Items_Activos[[#This Row],[CODIGO]],Tabla_Items_Completos[[CODIGO]:[LINEA]],3,0)</f>
        <v>#N/A</v>
      </c>
      <c r="E2056" s="1" t="e">
        <f>VLOOKUP(Tabla_Items_Activos[[#This Row],[CODIGO]],Tabla_Items_Completos[[CODIGO]:[LINEA]],4,0)</f>
        <v>#N/A</v>
      </c>
      <c r="F2056">
        <v>583</v>
      </c>
      <c r="G2056">
        <v>2413</v>
      </c>
    </row>
    <row r="2057" spans="1:7">
      <c r="A2057" t="s">
        <v>7388</v>
      </c>
      <c r="B2057" t="s">
        <v>9444</v>
      </c>
      <c r="C2057" s="1" t="e">
        <f>VLOOKUP(Tabla_Items_Activos[[#This Row],[CODIGO]],Tabla_Items_Completos[[CODIGO]:[LINEA]],2,0)</f>
        <v>#N/A</v>
      </c>
      <c r="D2057" s="1" t="e">
        <f>VLOOKUP(Tabla_Items_Activos[[#This Row],[CODIGO]],Tabla_Items_Completos[[CODIGO]:[LINEA]],3,0)</f>
        <v>#N/A</v>
      </c>
      <c r="E2057" s="1" t="e">
        <f>VLOOKUP(Tabla_Items_Activos[[#This Row],[CODIGO]],Tabla_Items_Completos[[CODIGO]:[LINEA]],4,0)</f>
        <v>#N/A</v>
      </c>
      <c r="F2057">
        <v>1588</v>
      </c>
      <c r="G2057">
        <v>0</v>
      </c>
    </row>
    <row r="2058" spans="1:7">
      <c r="A2058" t="s">
        <v>7388</v>
      </c>
      <c r="B2058" t="s">
        <v>9445</v>
      </c>
      <c r="C2058" s="1" t="e">
        <f>VLOOKUP(Tabla_Items_Activos[[#This Row],[CODIGO]],Tabla_Items_Completos[[CODIGO]:[LINEA]],2,0)</f>
        <v>#N/A</v>
      </c>
      <c r="D2058" s="1" t="e">
        <f>VLOOKUP(Tabla_Items_Activos[[#This Row],[CODIGO]],Tabla_Items_Completos[[CODIGO]:[LINEA]],3,0)</f>
        <v>#N/A</v>
      </c>
      <c r="E2058" s="1" t="e">
        <f>VLOOKUP(Tabla_Items_Activos[[#This Row],[CODIGO]],Tabla_Items_Completos[[CODIGO]:[LINEA]],4,0)</f>
        <v>#N/A</v>
      </c>
      <c r="F2058">
        <v>3743</v>
      </c>
      <c r="G2058">
        <v>0</v>
      </c>
    </row>
    <row r="2059" spans="1:7">
      <c r="A2059" t="s">
        <v>7388</v>
      </c>
      <c r="B2059" t="s">
        <v>9446</v>
      </c>
      <c r="C2059" s="1" t="e">
        <f>VLOOKUP(Tabla_Items_Activos[[#This Row],[CODIGO]],Tabla_Items_Completos[[CODIGO]:[LINEA]],2,0)</f>
        <v>#N/A</v>
      </c>
      <c r="D2059" s="1" t="e">
        <f>VLOOKUP(Tabla_Items_Activos[[#This Row],[CODIGO]],Tabla_Items_Completos[[CODIGO]:[LINEA]],3,0)</f>
        <v>#N/A</v>
      </c>
      <c r="E2059" s="1" t="e">
        <f>VLOOKUP(Tabla_Items_Activos[[#This Row],[CODIGO]],Tabla_Items_Completos[[CODIGO]:[LINEA]],4,0)</f>
        <v>#N/A</v>
      </c>
      <c r="F2059">
        <v>1431</v>
      </c>
      <c r="G2059">
        <v>0</v>
      </c>
    </row>
    <row r="2060" spans="1:7">
      <c r="A2060" t="s">
        <v>7388</v>
      </c>
      <c r="B2060" t="s">
        <v>9447</v>
      </c>
      <c r="C2060" s="1" t="e">
        <f>VLOOKUP(Tabla_Items_Activos[[#This Row],[CODIGO]],Tabla_Items_Completos[[CODIGO]:[LINEA]],2,0)</f>
        <v>#N/A</v>
      </c>
      <c r="D2060" s="1" t="e">
        <f>VLOOKUP(Tabla_Items_Activos[[#This Row],[CODIGO]],Tabla_Items_Completos[[CODIGO]:[LINEA]],3,0)</f>
        <v>#N/A</v>
      </c>
      <c r="E2060" s="1" t="e">
        <f>VLOOKUP(Tabla_Items_Activos[[#This Row],[CODIGO]],Tabla_Items_Completos[[CODIGO]:[LINEA]],4,0)</f>
        <v>#N/A</v>
      </c>
      <c r="F2060">
        <v>619</v>
      </c>
      <c r="G2060">
        <v>0</v>
      </c>
    </row>
    <row r="2061" spans="1:7">
      <c r="A2061" t="s">
        <v>7388</v>
      </c>
      <c r="B2061" t="s">
        <v>9448</v>
      </c>
      <c r="C2061" s="1" t="e">
        <f>VLOOKUP(Tabla_Items_Activos[[#This Row],[CODIGO]],Tabla_Items_Completos[[CODIGO]:[LINEA]],2,0)</f>
        <v>#N/A</v>
      </c>
      <c r="D2061" s="1" t="e">
        <f>VLOOKUP(Tabla_Items_Activos[[#This Row],[CODIGO]],Tabla_Items_Completos[[CODIGO]:[LINEA]],3,0)</f>
        <v>#N/A</v>
      </c>
      <c r="E2061" s="1" t="e">
        <f>VLOOKUP(Tabla_Items_Activos[[#This Row],[CODIGO]],Tabla_Items_Completos[[CODIGO]:[LINEA]],4,0)</f>
        <v>#N/A</v>
      </c>
      <c r="F2061">
        <v>607</v>
      </c>
      <c r="G2061">
        <v>0</v>
      </c>
    </row>
    <row r="2062" spans="1:7">
      <c r="A2062" t="s">
        <v>7388</v>
      </c>
      <c r="B2062" t="s">
        <v>9449</v>
      </c>
      <c r="C2062" s="1" t="e">
        <f>VLOOKUP(Tabla_Items_Activos[[#This Row],[CODIGO]],Tabla_Items_Completos[[CODIGO]:[LINEA]],2,0)</f>
        <v>#N/A</v>
      </c>
      <c r="D2062" s="1" t="e">
        <f>VLOOKUP(Tabla_Items_Activos[[#This Row],[CODIGO]],Tabla_Items_Completos[[CODIGO]:[LINEA]],3,0)</f>
        <v>#N/A</v>
      </c>
      <c r="E2062" s="1" t="e">
        <f>VLOOKUP(Tabla_Items_Activos[[#This Row],[CODIGO]],Tabla_Items_Completos[[CODIGO]:[LINEA]],4,0)</f>
        <v>#N/A</v>
      </c>
      <c r="F2062">
        <v>643</v>
      </c>
      <c r="G2062">
        <v>0</v>
      </c>
    </row>
    <row r="2063" spans="1:7">
      <c r="A2063" t="s">
        <v>7388</v>
      </c>
      <c r="B2063" t="s">
        <v>9450</v>
      </c>
      <c r="C2063" s="1" t="e">
        <f>VLOOKUP(Tabla_Items_Activos[[#This Row],[CODIGO]],Tabla_Items_Completos[[CODIGO]:[LINEA]],2,0)</f>
        <v>#N/A</v>
      </c>
      <c r="D2063" s="1" t="e">
        <f>VLOOKUP(Tabla_Items_Activos[[#This Row],[CODIGO]],Tabla_Items_Completos[[CODIGO]:[LINEA]],3,0)</f>
        <v>#N/A</v>
      </c>
      <c r="E2063" s="1" t="e">
        <f>VLOOKUP(Tabla_Items_Activos[[#This Row],[CODIGO]],Tabla_Items_Completos[[CODIGO]:[LINEA]],4,0)</f>
        <v>#N/A</v>
      </c>
      <c r="F2063">
        <v>449</v>
      </c>
      <c r="G2063">
        <v>10</v>
      </c>
    </row>
    <row r="2064" spans="1:7">
      <c r="A2064" t="s">
        <v>7388</v>
      </c>
      <c r="B2064" t="s">
        <v>9451</v>
      </c>
      <c r="C2064" s="1" t="e">
        <f>VLOOKUP(Tabla_Items_Activos[[#This Row],[CODIGO]],Tabla_Items_Completos[[CODIGO]:[LINEA]],2,0)</f>
        <v>#N/A</v>
      </c>
      <c r="D2064" s="1" t="e">
        <f>VLOOKUP(Tabla_Items_Activos[[#This Row],[CODIGO]],Tabla_Items_Completos[[CODIGO]:[LINEA]],3,0)</f>
        <v>#N/A</v>
      </c>
      <c r="E2064" s="1" t="e">
        <f>VLOOKUP(Tabla_Items_Activos[[#This Row],[CODIGO]],Tabla_Items_Completos[[CODIGO]:[LINEA]],4,0)</f>
        <v>#N/A</v>
      </c>
      <c r="F2064">
        <v>1405</v>
      </c>
      <c r="G2064">
        <v>0</v>
      </c>
    </row>
    <row r="2065" spans="1:7">
      <c r="A2065" t="s">
        <v>7388</v>
      </c>
      <c r="B2065" t="s">
        <v>9452</v>
      </c>
      <c r="C2065" s="1" t="e">
        <f>VLOOKUP(Tabla_Items_Activos[[#This Row],[CODIGO]],Tabla_Items_Completos[[CODIGO]:[LINEA]],2,0)</f>
        <v>#N/A</v>
      </c>
      <c r="D2065" s="1" t="e">
        <f>VLOOKUP(Tabla_Items_Activos[[#This Row],[CODIGO]],Tabla_Items_Completos[[CODIGO]:[LINEA]],3,0)</f>
        <v>#N/A</v>
      </c>
      <c r="E2065" s="1" t="e">
        <f>VLOOKUP(Tabla_Items_Activos[[#This Row],[CODIGO]],Tabla_Items_Completos[[CODIGO]:[LINEA]],4,0)</f>
        <v>#N/A</v>
      </c>
      <c r="F2065">
        <v>534</v>
      </c>
      <c r="G2065">
        <v>0</v>
      </c>
    </row>
    <row r="2066" spans="1:7">
      <c r="A2066" t="s">
        <v>7388</v>
      </c>
      <c r="B2066" t="s">
        <v>9453</v>
      </c>
      <c r="C2066" s="1" t="e">
        <f>VLOOKUP(Tabla_Items_Activos[[#This Row],[CODIGO]],Tabla_Items_Completos[[CODIGO]:[LINEA]],2,0)</f>
        <v>#N/A</v>
      </c>
      <c r="D2066" s="1" t="e">
        <f>VLOOKUP(Tabla_Items_Activos[[#This Row],[CODIGO]],Tabla_Items_Completos[[CODIGO]:[LINEA]],3,0)</f>
        <v>#N/A</v>
      </c>
      <c r="E2066" s="1" t="e">
        <f>VLOOKUP(Tabla_Items_Activos[[#This Row],[CODIGO]],Tabla_Items_Completos[[CODIGO]:[LINEA]],4,0)</f>
        <v>#N/A</v>
      </c>
      <c r="F2066">
        <v>994</v>
      </c>
      <c r="G2066">
        <v>0</v>
      </c>
    </row>
    <row r="2067" spans="1:7">
      <c r="A2067" t="s">
        <v>7388</v>
      </c>
      <c r="B2067" t="s">
        <v>9454</v>
      </c>
      <c r="C2067" s="1" t="e">
        <f>VLOOKUP(Tabla_Items_Activos[[#This Row],[CODIGO]],Tabla_Items_Completos[[CODIGO]:[LINEA]],2,0)</f>
        <v>#N/A</v>
      </c>
      <c r="D2067" s="1" t="e">
        <f>VLOOKUP(Tabla_Items_Activos[[#This Row],[CODIGO]],Tabla_Items_Completos[[CODIGO]:[LINEA]],3,0)</f>
        <v>#N/A</v>
      </c>
      <c r="E2067" s="1" t="e">
        <f>VLOOKUP(Tabla_Items_Activos[[#This Row],[CODIGO]],Tabla_Items_Completos[[CODIGO]:[LINEA]],4,0)</f>
        <v>#N/A</v>
      </c>
      <c r="F2067">
        <v>2473</v>
      </c>
      <c r="G2067">
        <v>0</v>
      </c>
    </row>
    <row r="2068" spans="1:7">
      <c r="A2068" t="s">
        <v>7388</v>
      </c>
      <c r="B2068" t="s">
        <v>9455</v>
      </c>
      <c r="C2068" s="1" t="e">
        <f>VLOOKUP(Tabla_Items_Activos[[#This Row],[CODIGO]],Tabla_Items_Completos[[CODIGO]:[LINEA]],2,0)</f>
        <v>#N/A</v>
      </c>
      <c r="D2068" s="1" t="e">
        <f>VLOOKUP(Tabla_Items_Activos[[#This Row],[CODIGO]],Tabla_Items_Completos[[CODIGO]:[LINEA]],3,0)</f>
        <v>#N/A</v>
      </c>
      <c r="E2068" s="1" t="e">
        <f>VLOOKUP(Tabla_Items_Activos[[#This Row],[CODIGO]],Tabla_Items_Completos[[CODIGO]:[LINEA]],4,0)</f>
        <v>#N/A</v>
      </c>
      <c r="F2068">
        <v>352</v>
      </c>
      <c r="G2068">
        <v>240</v>
      </c>
    </row>
    <row r="2069" spans="1:7">
      <c r="A2069" t="s">
        <v>7388</v>
      </c>
      <c r="B2069" t="s">
        <v>9456</v>
      </c>
      <c r="C2069" s="1" t="e">
        <f>VLOOKUP(Tabla_Items_Activos[[#This Row],[CODIGO]],Tabla_Items_Completos[[CODIGO]:[LINEA]],2,0)</f>
        <v>#N/A</v>
      </c>
      <c r="D2069" s="1" t="e">
        <f>VLOOKUP(Tabla_Items_Activos[[#This Row],[CODIGO]],Tabla_Items_Completos[[CODIGO]:[LINEA]],3,0)</f>
        <v>#N/A</v>
      </c>
      <c r="E2069" s="1" t="e">
        <f>VLOOKUP(Tabla_Items_Activos[[#This Row],[CODIGO]],Tabla_Items_Completos[[CODIGO]:[LINEA]],4,0)</f>
        <v>#N/A</v>
      </c>
      <c r="F2069">
        <v>498</v>
      </c>
      <c r="G2069">
        <v>80</v>
      </c>
    </row>
    <row r="2070" spans="1:7">
      <c r="A2070" t="s">
        <v>7388</v>
      </c>
      <c r="B2070" t="s">
        <v>9457</v>
      </c>
      <c r="C2070" s="1" t="e">
        <f>VLOOKUP(Tabla_Items_Activos[[#This Row],[CODIGO]],Tabla_Items_Completos[[CODIGO]:[LINEA]],2,0)</f>
        <v>#N/A</v>
      </c>
      <c r="D2070" s="1" t="e">
        <f>VLOOKUP(Tabla_Items_Activos[[#This Row],[CODIGO]],Tabla_Items_Completos[[CODIGO]:[LINEA]],3,0)</f>
        <v>#N/A</v>
      </c>
      <c r="E2070" s="1" t="e">
        <f>VLOOKUP(Tabla_Items_Activos[[#This Row],[CODIGO]],Tabla_Items_Completos[[CODIGO]:[LINEA]],4,0)</f>
        <v>#N/A</v>
      </c>
      <c r="F2070">
        <v>486</v>
      </c>
      <c r="G2070">
        <v>0</v>
      </c>
    </row>
    <row r="2071" spans="1:7">
      <c r="A2071" t="s">
        <v>7388</v>
      </c>
      <c r="B2071" t="s">
        <v>9458</v>
      </c>
      <c r="C2071" s="1" t="e">
        <f>VLOOKUP(Tabla_Items_Activos[[#This Row],[CODIGO]],Tabla_Items_Completos[[CODIGO]:[LINEA]],2,0)</f>
        <v>#N/A</v>
      </c>
      <c r="D2071" s="1" t="e">
        <f>VLOOKUP(Tabla_Items_Activos[[#This Row],[CODIGO]],Tabla_Items_Completos[[CODIGO]:[LINEA]],3,0)</f>
        <v>#N/A</v>
      </c>
      <c r="E2071" s="1" t="e">
        <f>VLOOKUP(Tabla_Items_Activos[[#This Row],[CODIGO]],Tabla_Items_Completos[[CODIGO]:[LINEA]],4,0)</f>
        <v>#N/A</v>
      </c>
      <c r="F2071">
        <v>631</v>
      </c>
      <c r="G2071">
        <v>0</v>
      </c>
    </row>
    <row r="2072" spans="1:7">
      <c r="A2072" t="s">
        <v>7388</v>
      </c>
      <c r="B2072" t="s">
        <v>9459</v>
      </c>
      <c r="C2072" s="1" t="e">
        <f>VLOOKUP(Tabla_Items_Activos[[#This Row],[CODIGO]],Tabla_Items_Completos[[CODIGO]:[LINEA]],2,0)</f>
        <v>#N/A</v>
      </c>
      <c r="D2072" s="1" t="e">
        <f>VLOOKUP(Tabla_Items_Activos[[#This Row],[CODIGO]],Tabla_Items_Completos[[CODIGO]:[LINEA]],3,0)</f>
        <v>#N/A</v>
      </c>
      <c r="E2072" s="1" t="e">
        <f>VLOOKUP(Tabla_Items_Activos[[#This Row],[CODIGO]],Tabla_Items_Completos[[CODIGO]:[LINEA]],4,0)</f>
        <v>#N/A</v>
      </c>
      <c r="F2072">
        <v>280</v>
      </c>
      <c r="G2072">
        <v>200</v>
      </c>
    </row>
    <row r="2073" spans="1:7">
      <c r="A2073" t="s">
        <v>7388</v>
      </c>
      <c r="B2073" t="s">
        <v>9460</v>
      </c>
      <c r="C2073" s="1" t="e">
        <f>VLOOKUP(Tabla_Items_Activos[[#This Row],[CODIGO]],Tabla_Items_Completos[[CODIGO]:[LINEA]],2,0)</f>
        <v>#N/A</v>
      </c>
      <c r="D2073" s="1" t="e">
        <f>VLOOKUP(Tabla_Items_Activos[[#This Row],[CODIGO]],Tabla_Items_Completos[[CODIGO]:[LINEA]],3,0)</f>
        <v>#N/A</v>
      </c>
      <c r="E2073" s="1" t="e">
        <f>VLOOKUP(Tabla_Items_Activos[[#This Row],[CODIGO]],Tabla_Items_Completos[[CODIGO]:[LINEA]],4,0)</f>
        <v>#N/A</v>
      </c>
      <c r="F2073">
        <v>788</v>
      </c>
      <c r="G2073">
        <v>0</v>
      </c>
    </row>
    <row r="2074" spans="1:7">
      <c r="A2074" t="s">
        <v>7388</v>
      </c>
      <c r="B2074" t="s">
        <v>9461</v>
      </c>
      <c r="C2074" s="1" t="e">
        <f>VLOOKUP(Tabla_Items_Activos[[#This Row],[CODIGO]],Tabla_Items_Completos[[CODIGO]:[LINEA]],2,0)</f>
        <v>#N/A</v>
      </c>
      <c r="D2074" s="1" t="e">
        <f>VLOOKUP(Tabla_Items_Activos[[#This Row],[CODIGO]],Tabla_Items_Completos[[CODIGO]:[LINEA]],3,0)</f>
        <v>#N/A</v>
      </c>
      <c r="E2074" s="1" t="e">
        <f>VLOOKUP(Tabla_Items_Activos[[#This Row],[CODIGO]],Tabla_Items_Completos[[CODIGO]:[LINEA]],4,0)</f>
        <v>#N/A</v>
      </c>
      <c r="F2074">
        <v>534</v>
      </c>
      <c r="G2074">
        <v>30</v>
      </c>
    </row>
    <row r="2075" spans="1:7">
      <c r="A2075" t="s">
        <v>7388</v>
      </c>
      <c r="B2075" t="s">
        <v>9462</v>
      </c>
      <c r="C2075" s="1" t="e">
        <f>VLOOKUP(Tabla_Items_Activos[[#This Row],[CODIGO]],Tabla_Items_Completos[[CODIGO]:[LINEA]],2,0)</f>
        <v>#N/A</v>
      </c>
      <c r="D2075" s="1" t="e">
        <f>VLOOKUP(Tabla_Items_Activos[[#This Row],[CODIGO]],Tabla_Items_Completos[[CODIGO]:[LINEA]],3,0)</f>
        <v>#N/A</v>
      </c>
      <c r="E2075" s="1" t="e">
        <f>VLOOKUP(Tabla_Items_Activos[[#This Row],[CODIGO]],Tabla_Items_Completos[[CODIGO]:[LINEA]],4,0)</f>
        <v>#N/A</v>
      </c>
      <c r="F2075">
        <v>788</v>
      </c>
      <c r="G2075">
        <v>290</v>
      </c>
    </row>
    <row r="2076" spans="1:7">
      <c r="A2076" t="s">
        <v>7388</v>
      </c>
      <c r="B2076" t="s">
        <v>9463</v>
      </c>
      <c r="C2076" s="1" t="e">
        <f>VLOOKUP(Tabla_Items_Activos[[#This Row],[CODIGO]],Tabla_Items_Completos[[CODIGO]:[LINEA]],2,0)</f>
        <v>#N/A</v>
      </c>
      <c r="D2076" s="1" t="e">
        <f>VLOOKUP(Tabla_Items_Activos[[#This Row],[CODIGO]],Tabla_Items_Completos[[CODIGO]:[LINEA]],3,0)</f>
        <v>#N/A</v>
      </c>
      <c r="E2076" s="1" t="e">
        <f>VLOOKUP(Tabla_Items_Activos[[#This Row],[CODIGO]],Tabla_Items_Completos[[CODIGO]:[LINEA]],4,0)</f>
        <v>#N/A</v>
      </c>
      <c r="F2076">
        <v>385</v>
      </c>
      <c r="G2076">
        <v>65</v>
      </c>
    </row>
    <row r="2077" spans="1:7">
      <c r="A2077" t="s">
        <v>7388</v>
      </c>
      <c r="B2077" t="s">
        <v>9464</v>
      </c>
      <c r="C2077" s="1" t="e">
        <f>VLOOKUP(Tabla_Items_Activos[[#This Row],[CODIGO]],Tabla_Items_Completos[[CODIGO]:[LINEA]],2,0)</f>
        <v>#N/A</v>
      </c>
      <c r="D2077" s="1" t="e">
        <f>VLOOKUP(Tabla_Items_Activos[[#This Row],[CODIGO]],Tabla_Items_Completos[[CODIGO]:[LINEA]],3,0)</f>
        <v>#N/A</v>
      </c>
      <c r="E2077" s="1" t="e">
        <f>VLOOKUP(Tabla_Items_Activos[[#This Row],[CODIGO]],Tabla_Items_Completos[[CODIGO]:[LINEA]],4,0)</f>
        <v>#N/A</v>
      </c>
      <c r="F2077">
        <v>716</v>
      </c>
      <c r="G2077">
        <v>80</v>
      </c>
    </row>
    <row r="2078" spans="1:7">
      <c r="A2078" t="s">
        <v>7388</v>
      </c>
      <c r="B2078" t="s">
        <v>9465</v>
      </c>
      <c r="C2078" s="1" t="e">
        <f>VLOOKUP(Tabla_Items_Activos[[#This Row],[CODIGO]],Tabla_Items_Completos[[CODIGO]:[LINEA]],2,0)</f>
        <v>#N/A</v>
      </c>
      <c r="D2078" s="1" t="e">
        <f>VLOOKUP(Tabla_Items_Activos[[#This Row],[CODIGO]],Tabla_Items_Completos[[CODIGO]:[LINEA]],3,0)</f>
        <v>#N/A</v>
      </c>
      <c r="E2078" s="1" t="e">
        <f>VLOOKUP(Tabla_Items_Activos[[#This Row],[CODIGO]],Tabla_Items_Completos[[CODIGO]:[LINEA]],4,0)</f>
        <v>#N/A</v>
      </c>
      <c r="F2078">
        <v>2040</v>
      </c>
      <c r="G2078">
        <v>370</v>
      </c>
    </row>
    <row r="2079" spans="1:7">
      <c r="A2079" t="s">
        <v>7388</v>
      </c>
      <c r="B2079" t="s">
        <v>9466</v>
      </c>
      <c r="C2079" s="1" t="e">
        <f>VLOOKUP(Tabla_Items_Activos[[#This Row],[CODIGO]],Tabla_Items_Completos[[CODIGO]:[LINEA]],2,0)</f>
        <v>#N/A</v>
      </c>
      <c r="D2079" s="1" t="e">
        <f>VLOOKUP(Tabla_Items_Activos[[#This Row],[CODIGO]],Tabla_Items_Completos[[CODIGO]:[LINEA]],3,0)</f>
        <v>#N/A</v>
      </c>
      <c r="E2079" s="1" t="e">
        <f>VLOOKUP(Tabla_Items_Activos[[#This Row],[CODIGO]],Tabla_Items_Completos[[CODIGO]:[LINEA]],4,0)</f>
        <v>#N/A</v>
      </c>
      <c r="F2079">
        <v>510</v>
      </c>
      <c r="G2079">
        <v>202</v>
      </c>
    </row>
    <row r="2080" spans="1:7">
      <c r="A2080" t="s">
        <v>7388</v>
      </c>
      <c r="B2080" t="s">
        <v>9467</v>
      </c>
      <c r="C2080" s="1" t="e">
        <f>VLOOKUP(Tabla_Items_Activos[[#This Row],[CODIGO]],Tabla_Items_Completos[[CODIGO]:[LINEA]],2,0)</f>
        <v>#N/A</v>
      </c>
      <c r="D2080" s="1" t="e">
        <f>VLOOKUP(Tabla_Items_Activos[[#This Row],[CODIGO]],Tabla_Items_Completos[[CODIGO]:[LINEA]],3,0)</f>
        <v>#N/A</v>
      </c>
      <c r="E2080" s="1" t="e">
        <f>VLOOKUP(Tabla_Items_Activos[[#This Row],[CODIGO]],Tabla_Items_Completos[[CODIGO]:[LINEA]],4,0)</f>
        <v>#N/A</v>
      </c>
      <c r="F2080">
        <v>1518</v>
      </c>
      <c r="G2080">
        <v>255</v>
      </c>
    </row>
    <row r="2081" spans="1:7">
      <c r="A2081" t="s">
        <v>7388</v>
      </c>
      <c r="B2081" t="s">
        <v>9468</v>
      </c>
      <c r="C2081" s="1" t="e">
        <f>VLOOKUP(Tabla_Items_Activos[[#This Row],[CODIGO]],Tabla_Items_Completos[[CODIGO]:[LINEA]],2,0)</f>
        <v>#N/A</v>
      </c>
      <c r="D2081" s="1" t="e">
        <f>VLOOKUP(Tabla_Items_Activos[[#This Row],[CODIGO]],Tabla_Items_Completos[[CODIGO]:[LINEA]],3,0)</f>
        <v>#N/A</v>
      </c>
      <c r="E2081" s="1" t="e">
        <f>VLOOKUP(Tabla_Items_Activos[[#This Row],[CODIGO]],Tabla_Items_Completos[[CODIGO]:[LINEA]],4,0)</f>
        <v>#N/A</v>
      </c>
      <c r="F2081">
        <v>828</v>
      </c>
      <c r="G2081">
        <v>1306</v>
      </c>
    </row>
    <row r="2082" spans="1:7">
      <c r="A2082" t="s">
        <v>7388</v>
      </c>
      <c r="B2082" t="s">
        <v>9469</v>
      </c>
      <c r="C2082" s="1" t="e">
        <f>VLOOKUP(Tabla_Items_Activos[[#This Row],[CODIGO]],Tabla_Items_Completos[[CODIGO]:[LINEA]],2,0)</f>
        <v>#N/A</v>
      </c>
      <c r="D2082" s="1" t="e">
        <f>VLOOKUP(Tabla_Items_Activos[[#This Row],[CODIGO]],Tabla_Items_Completos[[CODIGO]:[LINEA]],3,0)</f>
        <v>#N/A</v>
      </c>
      <c r="E2082" s="1" t="e">
        <f>VLOOKUP(Tabla_Items_Activos[[#This Row],[CODIGO]],Tabla_Items_Completos[[CODIGO]:[LINEA]],4,0)</f>
        <v>#N/A</v>
      </c>
      <c r="F2082">
        <v>17108</v>
      </c>
      <c r="G2082">
        <v>8390</v>
      </c>
    </row>
    <row r="2083" spans="1:7">
      <c r="A2083" t="s">
        <v>7388</v>
      </c>
      <c r="B2083" t="s">
        <v>9470</v>
      </c>
      <c r="C2083" s="1" t="e">
        <f>VLOOKUP(Tabla_Items_Activos[[#This Row],[CODIGO]],Tabla_Items_Completos[[CODIGO]:[LINEA]],2,0)</f>
        <v>#N/A</v>
      </c>
      <c r="D2083" s="1" t="e">
        <f>VLOOKUP(Tabla_Items_Activos[[#This Row],[CODIGO]],Tabla_Items_Completos[[CODIGO]:[LINEA]],3,0)</f>
        <v>#N/A</v>
      </c>
      <c r="E2083" s="1" t="e">
        <f>VLOOKUP(Tabla_Items_Activos[[#This Row],[CODIGO]],Tabla_Items_Completos[[CODIGO]:[LINEA]],4,0)</f>
        <v>#N/A</v>
      </c>
      <c r="F2083">
        <v>4557</v>
      </c>
      <c r="G2083">
        <v>730</v>
      </c>
    </row>
    <row r="2084" spans="1:7">
      <c r="A2084" t="s">
        <v>7388</v>
      </c>
      <c r="B2084" t="s">
        <v>9471</v>
      </c>
      <c r="C2084" s="1" t="e">
        <f>VLOOKUP(Tabla_Items_Activos[[#This Row],[CODIGO]],Tabla_Items_Completos[[CODIGO]:[LINEA]],2,0)</f>
        <v>#N/A</v>
      </c>
      <c r="D2084" s="1" t="e">
        <f>VLOOKUP(Tabla_Items_Activos[[#This Row],[CODIGO]],Tabla_Items_Completos[[CODIGO]:[LINEA]],3,0)</f>
        <v>#N/A</v>
      </c>
      <c r="E2084" s="1" t="e">
        <f>VLOOKUP(Tabla_Items_Activos[[#This Row],[CODIGO]],Tabla_Items_Completos[[CODIGO]:[LINEA]],4,0)</f>
        <v>#N/A</v>
      </c>
      <c r="F2084">
        <v>2981</v>
      </c>
      <c r="G2084">
        <v>530</v>
      </c>
    </row>
    <row r="2085" spans="1:7">
      <c r="A2085" t="s">
        <v>7388</v>
      </c>
      <c r="B2085" t="s">
        <v>9472</v>
      </c>
      <c r="C2085" s="1" t="e">
        <f>VLOOKUP(Tabla_Items_Activos[[#This Row],[CODIGO]],Tabla_Items_Completos[[CODIGO]:[LINEA]],2,0)</f>
        <v>#N/A</v>
      </c>
      <c r="D2085" s="1" t="e">
        <f>VLOOKUP(Tabla_Items_Activos[[#This Row],[CODIGO]],Tabla_Items_Completos[[CODIGO]:[LINEA]],3,0)</f>
        <v>#N/A</v>
      </c>
      <c r="E2085" s="1" t="e">
        <f>VLOOKUP(Tabla_Items_Activos[[#This Row],[CODIGO]],Tabla_Items_Completos[[CODIGO]:[LINEA]],4,0)</f>
        <v>#N/A</v>
      </c>
      <c r="F2085">
        <v>8768</v>
      </c>
      <c r="G2085">
        <v>120</v>
      </c>
    </row>
    <row r="2086" spans="1:7">
      <c r="A2086" t="s">
        <v>7388</v>
      </c>
      <c r="B2086" t="s">
        <v>9473</v>
      </c>
      <c r="C2086" s="1" t="e">
        <f>VLOOKUP(Tabla_Items_Activos[[#This Row],[CODIGO]],Tabla_Items_Completos[[CODIGO]:[LINEA]],2,0)</f>
        <v>#N/A</v>
      </c>
      <c r="D2086" s="1" t="e">
        <f>VLOOKUP(Tabla_Items_Activos[[#This Row],[CODIGO]],Tabla_Items_Completos[[CODIGO]:[LINEA]],3,0)</f>
        <v>#N/A</v>
      </c>
      <c r="E2086" s="1" t="e">
        <f>VLOOKUP(Tabla_Items_Activos[[#This Row],[CODIGO]],Tabla_Items_Completos[[CODIGO]:[LINEA]],4,0)</f>
        <v>#N/A</v>
      </c>
      <c r="F2086">
        <v>2476</v>
      </c>
      <c r="G2086">
        <v>520</v>
      </c>
    </row>
    <row r="2087" spans="1:7">
      <c r="A2087" t="s">
        <v>7388</v>
      </c>
      <c r="B2087" t="s">
        <v>9474</v>
      </c>
      <c r="C2087" s="1" t="e">
        <f>VLOOKUP(Tabla_Items_Activos[[#This Row],[CODIGO]],Tabla_Items_Completos[[CODIGO]:[LINEA]],2,0)</f>
        <v>#N/A</v>
      </c>
      <c r="D2087" s="1" t="e">
        <f>VLOOKUP(Tabla_Items_Activos[[#This Row],[CODIGO]],Tabla_Items_Completos[[CODIGO]:[LINEA]],3,0)</f>
        <v>#N/A</v>
      </c>
      <c r="E2087" s="1" t="e">
        <f>VLOOKUP(Tabla_Items_Activos[[#This Row],[CODIGO]],Tabla_Items_Completos[[CODIGO]:[LINEA]],4,0)</f>
        <v>#N/A</v>
      </c>
      <c r="F2087">
        <v>85</v>
      </c>
      <c r="G2087">
        <v>0</v>
      </c>
    </row>
    <row r="2088" spans="1:7">
      <c r="A2088" t="s">
        <v>7388</v>
      </c>
      <c r="B2088" t="s">
        <v>9475</v>
      </c>
      <c r="C2088" s="1" t="e">
        <f>VLOOKUP(Tabla_Items_Activos[[#This Row],[CODIGO]],Tabla_Items_Completos[[CODIGO]:[LINEA]],2,0)</f>
        <v>#N/A</v>
      </c>
      <c r="D2088" s="1" t="e">
        <f>VLOOKUP(Tabla_Items_Activos[[#This Row],[CODIGO]],Tabla_Items_Completos[[CODIGO]:[LINEA]],3,0)</f>
        <v>#N/A</v>
      </c>
      <c r="E2088" s="1" t="e">
        <f>VLOOKUP(Tabla_Items_Activos[[#This Row],[CODIGO]],Tabla_Items_Completos[[CODIGO]:[LINEA]],4,0)</f>
        <v>#N/A</v>
      </c>
      <c r="F2088">
        <v>85</v>
      </c>
      <c r="G2088">
        <v>0</v>
      </c>
    </row>
    <row r="2089" spans="1:7">
      <c r="A2089" t="s">
        <v>7388</v>
      </c>
      <c r="B2089" t="s">
        <v>9476</v>
      </c>
      <c r="C2089" s="1" t="e">
        <f>VLOOKUP(Tabla_Items_Activos[[#This Row],[CODIGO]],Tabla_Items_Completos[[CODIGO]:[LINEA]],2,0)</f>
        <v>#N/A</v>
      </c>
      <c r="D2089" s="1" t="e">
        <f>VLOOKUP(Tabla_Items_Activos[[#This Row],[CODIGO]],Tabla_Items_Completos[[CODIGO]:[LINEA]],3,0)</f>
        <v>#N/A</v>
      </c>
      <c r="E2089" s="1" t="e">
        <f>VLOOKUP(Tabla_Items_Activos[[#This Row],[CODIGO]],Tabla_Items_Completos[[CODIGO]:[LINEA]],4,0)</f>
        <v>#N/A</v>
      </c>
      <c r="F2089">
        <v>5461</v>
      </c>
      <c r="G2089">
        <v>0</v>
      </c>
    </row>
    <row r="2090" spans="1:7">
      <c r="A2090" t="s">
        <v>7388</v>
      </c>
      <c r="B2090" t="s">
        <v>9477</v>
      </c>
      <c r="C2090" s="1" t="e">
        <f>VLOOKUP(Tabla_Items_Activos[[#This Row],[CODIGO]],Tabla_Items_Completos[[CODIGO]:[LINEA]],2,0)</f>
        <v>#N/A</v>
      </c>
      <c r="D2090" s="1" t="e">
        <f>VLOOKUP(Tabla_Items_Activos[[#This Row],[CODIGO]],Tabla_Items_Completos[[CODIGO]:[LINEA]],3,0)</f>
        <v>#N/A</v>
      </c>
      <c r="E2090" s="1" t="e">
        <f>VLOOKUP(Tabla_Items_Activos[[#This Row],[CODIGO]],Tabla_Items_Completos[[CODIGO]:[LINEA]],4,0)</f>
        <v>#N/A</v>
      </c>
      <c r="F2090">
        <v>3518</v>
      </c>
      <c r="G2090">
        <v>329</v>
      </c>
    </row>
    <row r="2091" spans="1:7">
      <c r="A2091" t="s">
        <v>7388</v>
      </c>
      <c r="B2091" t="s">
        <v>9478</v>
      </c>
      <c r="C2091" s="1" t="e">
        <f>VLOOKUP(Tabla_Items_Activos[[#This Row],[CODIGO]],Tabla_Items_Completos[[CODIGO]:[LINEA]],2,0)</f>
        <v>#N/A</v>
      </c>
      <c r="D2091" s="1" t="e">
        <f>VLOOKUP(Tabla_Items_Activos[[#This Row],[CODIGO]],Tabla_Items_Completos[[CODIGO]:[LINEA]],3,0)</f>
        <v>#N/A</v>
      </c>
      <c r="E2091" s="1" t="e">
        <f>VLOOKUP(Tabla_Items_Activos[[#This Row],[CODIGO]],Tabla_Items_Completos[[CODIGO]:[LINEA]],4,0)</f>
        <v>#N/A</v>
      </c>
      <c r="F2091">
        <v>5459</v>
      </c>
      <c r="G2091">
        <v>0</v>
      </c>
    </row>
    <row r="2092" spans="1:7">
      <c r="A2092" t="s">
        <v>7388</v>
      </c>
      <c r="B2092" t="s">
        <v>9479</v>
      </c>
      <c r="C2092" s="1" t="e">
        <f>VLOOKUP(Tabla_Items_Activos[[#This Row],[CODIGO]],Tabla_Items_Completos[[CODIGO]:[LINEA]],2,0)</f>
        <v>#N/A</v>
      </c>
      <c r="D2092" s="1" t="e">
        <f>VLOOKUP(Tabla_Items_Activos[[#This Row],[CODIGO]],Tabla_Items_Completos[[CODIGO]:[LINEA]],3,0)</f>
        <v>#N/A</v>
      </c>
      <c r="E2092" s="1" t="e">
        <f>VLOOKUP(Tabla_Items_Activos[[#This Row],[CODIGO]],Tabla_Items_Completos[[CODIGO]:[LINEA]],4,0)</f>
        <v>#N/A</v>
      </c>
      <c r="F2092">
        <v>54</v>
      </c>
      <c r="G2092">
        <v>45</v>
      </c>
    </row>
    <row r="2093" spans="1:7">
      <c r="A2093" t="s">
        <v>7388</v>
      </c>
      <c r="B2093" t="s">
        <v>9480</v>
      </c>
      <c r="C2093" s="1" t="e">
        <f>VLOOKUP(Tabla_Items_Activos[[#This Row],[CODIGO]],Tabla_Items_Completos[[CODIGO]:[LINEA]],2,0)</f>
        <v>#N/A</v>
      </c>
      <c r="D2093" s="1" t="e">
        <f>VLOOKUP(Tabla_Items_Activos[[#This Row],[CODIGO]],Tabla_Items_Completos[[CODIGO]:[LINEA]],3,0)</f>
        <v>#N/A</v>
      </c>
      <c r="E2093" s="1" t="e">
        <f>VLOOKUP(Tabla_Items_Activos[[#This Row],[CODIGO]],Tabla_Items_Completos[[CODIGO]:[LINEA]],4,0)</f>
        <v>#N/A</v>
      </c>
      <c r="F2093">
        <v>264</v>
      </c>
      <c r="G2093">
        <v>3</v>
      </c>
    </row>
    <row r="2094" spans="1:7">
      <c r="A2094" t="s">
        <v>7388</v>
      </c>
      <c r="B2094" t="s">
        <v>9481</v>
      </c>
      <c r="C2094" s="1" t="e">
        <f>VLOOKUP(Tabla_Items_Activos[[#This Row],[CODIGO]],Tabla_Items_Completos[[CODIGO]:[LINEA]],2,0)</f>
        <v>#N/A</v>
      </c>
      <c r="D2094" s="1" t="e">
        <f>VLOOKUP(Tabla_Items_Activos[[#This Row],[CODIGO]],Tabla_Items_Completos[[CODIGO]:[LINEA]],3,0)</f>
        <v>#N/A</v>
      </c>
      <c r="E2094" s="1" t="e">
        <f>VLOOKUP(Tabla_Items_Activos[[#This Row],[CODIGO]],Tabla_Items_Completos[[CODIGO]:[LINEA]],4,0)</f>
        <v>#N/A</v>
      </c>
      <c r="F2094">
        <v>2205</v>
      </c>
      <c r="G2094">
        <v>280</v>
      </c>
    </row>
    <row r="2095" spans="1:7">
      <c r="A2095" t="s">
        <v>7388</v>
      </c>
      <c r="B2095" t="s">
        <v>9482</v>
      </c>
      <c r="C2095" s="1" t="e">
        <f>VLOOKUP(Tabla_Items_Activos[[#This Row],[CODIGO]],Tabla_Items_Completos[[CODIGO]:[LINEA]],2,0)</f>
        <v>#N/A</v>
      </c>
      <c r="D2095" s="1" t="e">
        <f>VLOOKUP(Tabla_Items_Activos[[#This Row],[CODIGO]],Tabla_Items_Completos[[CODIGO]:[LINEA]],3,0)</f>
        <v>#N/A</v>
      </c>
      <c r="E2095" s="1" t="e">
        <f>VLOOKUP(Tabla_Items_Activos[[#This Row],[CODIGO]],Tabla_Items_Completos[[CODIGO]:[LINEA]],4,0)</f>
        <v>#N/A</v>
      </c>
      <c r="F2095">
        <v>525</v>
      </c>
      <c r="G2095">
        <v>200</v>
      </c>
    </row>
    <row r="2096" spans="1:7">
      <c r="A2096" t="s">
        <v>7388</v>
      </c>
      <c r="B2096" t="s">
        <v>9483</v>
      </c>
      <c r="C2096" s="1" t="e">
        <f>VLOOKUP(Tabla_Items_Activos[[#This Row],[CODIGO]],Tabla_Items_Completos[[CODIGO]:[LINEA]],2,0)</f>
        <v>#N/A</v>
      </c>
      <c r="D2096" s="1" t="e">
        <f>VLOOKUP(Tabla_Items_Activos[[#This Row],[CODIGO]],Tabla_Items_Completos[[CODIGO]:[LINEA]],3,0)</f>
        <v>#N/A</v>
      </c>
      <c r="E2096" s="1" t="e">
        <f>VLOOKUP(Tabla_Items_Activos[[#This Row],[CODIGO]],Tabla_Items_Completos[[CODIGO]:[LINEA]],4,0)</f>
        <v>#N/A</v>
      </c>
      <c r="F2096">
        <v>4071</v>
      </c>
      <c r="G2096">
        <v>1017</v>
      </c>
    </row>
    <row r="2097" spans="1:7">
      <c r="A2097" t="s">
        <v>7388</v>
      </c>
      <c r="B2097" t="s">
        <v>9484</v>
      </c>
      <c r="C2097" s="1" t="e">
        <f>VLOOKUP(Tabla_Items_Activos[[#This Row],[CODIGO]],Tabla_Items_Completos[[CODIGO]:[LINEA]],2,0)</f>
        <v>#N/A</v>
      </c>
      <c r="D2097" s="1" t="e">
        <f>VLOOKUP(Tabla_Items_Activos[[#This Row],[CODIGO]],Tabla_Items_Completos[[CODIGO]:[LINEA]],3,0)</f>
        <v>#N/A</v>
      </c>
      <c r="E2097" s="1" t="e">
        <f>VLOOKUP(Tabla_Items_Activos[[#This Row],[CODIGO]],Tabla_Items_Completos[[CODIGO]:[LINEA]],4,0)</f>
        <v>#N/A</v>
      </c>
      <c r="F2097">
        <v>4123</v>
      </c>
      <c r="G2097">
        <v>0</v>
      </c>
    </row>
    <row r="2098" spans="1:7">
      <c r="A2098" t="s">
        <v>7388</v>
      </c>
      <c r="B2098" t="s">
        <v>9485</v>
      </c>
      <c r="C2098" s="1" t="e">
        <f>VLOOKUP(Tabla_Items_Activos[[#This Row],[CODIGO]],Tabla_Items_Completos[[CODIGO]:[LINEA]],2,0)</f>
        <v>#N/A</v>
      </c>
      <c r="D2098" s="1" t="e">
        <f>VLOOKUP(Tabla_Items_Activos[[#This Row],[CODIGO]],Tabla_Items_Completos[[CODIGO]:[LINEA]],3,0)</f>
        <v>#N/A</v>
      </c>
      <c r="E2098" s="1" t="e">
        <f>VLOOKUP(Tabla_Items_Activos[[#This Row],[CODIGO]],Tabla_Items_Completos[[CODIGO]:[LINEA]],4,0)</f>
        <v>#N/A</v>
      </c>
      <c r="F2098">
        <v>312</v>
      </c>
      <c r="G2098">
        <v>2614</v>
      </c>
    </row>
    <row r="2099" spans="1:7">
      <c r="A2099" t="s">
        <v>7388</v>
      </c>
      <c r="B2099" t="s">
        <v>9486</v>
      </c>
      <c r="C2099" s="1" t="e">
        <f>VLOOKUP(Tabla_Items_Activos[[#This Row],[CODIGO]],Tabla_Items_Completos[[CODIGO]:[LINEA]],2,0)</f>
        <v>#N/A</v>
      </c>
      <c r="D2099" s="1" t="e">
        <f>VLOOKUP(Tabla_Items_Activos[[#This Row],[CODIGO]],Tabla_Items_Completos[[CODIGO]:[LINEA]],3,0)</f>
        <v>#N/A</v>
      </c>
      <c r="E2099" s="1" t="e">
        <f>VLOOKUP(Tabla_Items_Activos[[#This Row],[CODIGO]],Tabla_Items_Completos[[CODIGO]:[LINEA]],4,0)</f>
        <v>#N/A</v>
      </c>
      <c r="F2099">
        <v>3466</v>
      </c>
      <c r="G2099">
        <v>510</v>
      </c>
    </row>
    <row r="2100" spans="1:7">
      <c r="A2100" t="s">
        <v>7388</v>
      </c>
      <c r="B2100" t="s">
        <v>9487</v>
      </c>
      <c r="C2100" s="1" t="e">
        <f>VLOOKUP(Tabla_Items_Activos[[#This Row],[CODIGO]],Tabla_Items_Completos[[CODIGO]:[LINEA]],2,0)</f>
        <v>#N/A</v>
      </c>
      <c r="D2100" s="1" t="e">
        <f>VLOOKUP(Tabla_Items_Activos[[#This Row],[CODIGO]],Tabla_Items_Completos[[CODIGO]:[LINEA]],3,0)</f>
        <v>#N/A</v>
      </c>
      <c r="E2100" s="1" t="e">
        <f>VLOOKUP(Tabla_Items_Activos[[#This Row],[CODIGO]],Tabla_Items_Completos[[CODIGO]:[LINEA]],4,0)</f>
        <v>#N/A</v>
      </c>
      <c r="F2100">
        <v>1697</v>
      </c>
      <c r="G2100">
        <v>0</v>
      </c>
    </row>
    <row r="2101" spans="1:7">
      <c r="A2101" t="s">
        <v>7388</v>
      </c>
      <c r="B2101" t="s">
        <v>9488</v>
      </c>
      <c r="C2101" s="1" t="e">
        <f>VLOOKUP(Tabla_Items_Activos[[#This Row],[CODIGO]],Tabla_Items_Completos[[CODIGO]:[LINEA]],2,0)</f>
        <v>#N/A</v>
      </c>
      <c r="D2101" s="1" t="e">
        <f>VLOOKUP(Tabla_Items_Activos[[#This Row],[CODIGO]],Tabla_Items_Completos[[CODIGO]:[LINEA]],3,0)</f>
        <v>#N/A</v>
      </c>
      <c r="E2101" s="1" t="e">
        <f>VLOOKUP(Tabla_Items_Activos[[#This Row],[CODIGO]],Tabla_Items_Completos[[CODIGO]:[LINEA]],4,0)</f>
        <v>#N/A</v>
      </c>
      <c r="F2101">
        <v>3623</v>
      </c>
      <c r="G2101">
        <v>1210</v>
      </c>
    </row>
    <row r="2102" spans="1:7">
      <c r="A2102" t="s">
        <v>7388</v>
      </c>
      <c r="B2102" t="s">
        <v>9489</v>
      </c>
      <c r="C2102" s="1" t="e">
        <f>VLOOKUP(Tabla_Items_Activos[[#This Row],[CODIGO]],Tabla_Items_Completos[[CODIGO]:[LINEA]],2,0)</f>
        <v>#N/A</v>
      </c>
      <c r="D2102" s="1" t="e">
        <f>VLOOKUP(Tabla_Items_Activos[[#This Row],[CODIGO]],Tabla_Items_Completos[[CODIGO]:[LINEA]],3,0)</f>
        <v>#N/A</v>
      </c>
      <c r="E2102" s="1" t="e">
        <f>VLOOKUP(Tabla_Items_Activos[[#This Row],[CODIGO]],Tabla_Items_Completos[[CODIGO]:[LINEA]],4,0)</f>
        <v>#N/A</v>
      </c>
      <c r="F2102">
        <v>547</v>
      </c>
      <c r="G2102">
        <v>0</v>
      </c>
    </row>
    <row r="2103" spans="1:7">
      <c r="A2103" t="s">
        <v>7388</v>
      </c>
      <c r="B2103" t="s">
        <v>9490</v>
      </c>
      <c r="C2103" s="1" t="e">
        <f>VLOOKUP(Tabla_Items_Activos[[#This Row],[CODIGO]],Tabla_Items_Completos[[CODIGO]:[LINEA]],2,0)</f>
        <v>#N/A</v>
      </c>
      <c r="D2103" s="1" t="e">
        <f>VLOOKUP(Tabla_Items_Activos[[#This Row],[CODIGO]],Tabla_Items_Completos[[CODIGO]:[LINEA]],3,0)</f>
        <v>#N/A</v>
      </c>
      <c r="E2103" s="1" t="e">
        <f>VLOOKUP(Tabla_Items_Activos[[#This Row],[CODIGO]],Tabla_Items_Completos[[CODIGO]:[LINEA]],4,0)</f>
        <v>#N/A</v>
      </c>
      <c r="F2103">
        <v>1824</v>
      </c>
      <c r="G2103">
        <v>138</v>
      </c>
    </row>
    <row r="2104" spans="1:7">
      <c r="A2104" t="s">
        <v>7388</v>
      </c>
      <c r="B2104" t="s">
        <v>9491</v>
      </c>
      <c r="C2104" s="1" t="e">
        <f>VLOOKUP(Tabla_Items_Activos[[#This Row],[CODIGO]],Tabla_Items_Completos[[CODIGO]:[LINEA]],2,0)</f>
        <v>#N/A</v>
      </c>
      <c r="D2104" s="1" t="e">
        <f>VLOOKUP(Tabla_Items_Activos[[#This Row],[CODIGO]],Tabla_Items_Completos[[CODIGO]:[LINEA]],3,0)</f>
        <v>#N/A</v>
      </c>
      <c r="E2104" s="1" t="e">
        <f>VLOOKUP(Tabla_Items_Activos[[#This Row],[CODIGO]],Tabla_Items_Completos[[CODIGO]:[LINEA]],4,0)</f>
        <v>#N/A</v>
      </c>
      <c r="F2104">
        <v>385</v>
      </c>
      <c r="G2104">
        <v>89</v>
      </c>
    </row>
    <row r="2105" spans="1:7">
      <c r="A2105" t="s">
        <v>7388</v>
      </c>
      <c r="B2105" t="s">
        <v>9492</v>
      </c>
      <c r="C2105" s="1" t="e">
        <f>VLOOKUP(Tabla_Items_Activos[[#This Row],[CODIGO]],Tabla_Items_Completos[[CODIGO]:[LINEA]],2,0)</f>
        <v>#N/A</v>
      </c>
      <c r="D2105" s="1" t="e">
        <f>VLOOKUP(Tabla_Items_Activos[[#This Row],[CODIGO]],Tabla_Items_Completos[[CODIGO]:[LINEA]],3,0)</f>
        <v>#N/A</v>
      </c>
      <c r="E2105" s="1" t="e">
        <f>VLOOKUP(Tabla_Items_Activos[[#This Row],[CODIGO]],Tabla_Items_Completos[[CODIGO]:[LINEA]],4,0)</f>
        <v>#N/A</v>
      </c>
      <c r="F2105">
        <v>1103</v>
      </c>
      <c r="G2105">
        <v>0</v>
      </c>
    </row>
    <row r="2106" spans="1:7">
      <c r="A2106" t="s">
        <v>7388</v>
      </c>
      <c r="B2106" t="s">
        <v>9493</v>
      </c>
      <c r="C2106" s="1" t="e">
        <f>VLOOKUP(Tabla_Items_Activos[[#This Row],[CODIGO]],Tabla_Items_Completos[[CODIGO]:[LINEA]],2,0)</f>
        <v>#N/A</v>
      </c>
      <c r="D2106" s="1" t="e">
        <f>VLOOKUP(Tabla_Items_Activos[[#This Row],[CODIGO]],Tabla_Items_Completos[[CODIGO]:[LINEA]],3,0)</f>
        <v>#N/A</v>
      </c>
      <c r="E2106" s="1" t="e">
        <f>VLOOKUP(Tabla_Items_Activos[[#This Row],[CODIGO]],Tabla_Items_Completos[[CODIGO]:[LINEA]],4,0)</f>
        <v>#N/A</v>
      </c>
      <c r="F2106">
        <v>872</v>
      </c>
      <c r="G2106">
        <v>78</v>
      </c>
    </row>
    <row r="2107" spans="1:7">
      <c r="A2107" t="s">
        <v>7388</v>
      </c>
      <c r="B2107" t="s">
        <v>9494</v>
      </c>
      <c r="C2107" s="1" t="e">
        <f>VLOOKUP(Tabla_Items_Activos[[#This Row],[CODIGO]],Tabla_Items_Completos[[CODIGO]:[LINEA]],2,0)</f>
        <v>#N/A</v>
      </c>
      <c r="D2107" s="1" t="e">
        <f>VLOOKUP(Tabla_Items_Activos[[#This Row],[CODIGO]],Tabla_Items_Completos[[CODIGO]:[LINEA]],3,0)</f>
        <v>#N/A</v>
      </c>
      <c r="E2107" s="1" t="e">
        <f>VLOOKUP(Tabla_Items_Activos[[#This Row],[CODIGO]],Tabla_Items_Completos[[CODIGO]:[LINEA]],4,0)</f>
        <v>#N/A</v>
      </c>
      <c r="F2107">
        <v>289</v>
      </c>
      <c r="G2107">
        <v>1</v>
      </c>
    </row>
    <row r="2108" spans="1:7">
      <c r="A2108" t="s">
        <v>7388</v>
      </c>
      <c r="B2108" t="s">
        <v>9495</v>
      </c>
      <c r="C2108" s="1" t="e">
        <f>VLOOKUP(Tabla_Items_Activos[[#This Row],[CODIGO]],Tabla_Items_Completos[[CODIGO]:[LINEA]],2,0)</f>
        <v>#N/A</v>
      </c>
      <c r="D2108" s="1" t="e">
        <f>VLOOKUP(Tabla_Items_Activos[[#This Row],[CODIGO]],Tabla_Items_Completos[[CODIGO]:[LINEA]],3,0)</f>
        <v>#N/A</v>
      </c>
      <c r="E2108" s="1" t="e">
        <f>VLOOKUP(Tabla_Items_Activos[[#This Row],[CODIGO]],Tabla_Items_Completos[[CODIGO]:[LINEA]],4,0)</f>
        <v>#N/A</v>
      </c>
      <c r="F2108">
        <v>583</v>
      </c>
      <c r="G2108">
        <v>56</v>
      </c>
    </row>
    <row r="2109" spans="1:7">
      <c r="A2109" t="s">
        <v>7388</v>
      </c>
      <c r="B2109" t="s">
        <v>9496</v>
      </c>
      <c r="C2109" s="1" t="e">
        <f>VLOOKUP(Tabla_Items_Activos[[#This Row],[CODIGO]],Tabla_Items_Completos[[CODIGO]:[LINEA]],2,0)</f>
        <v>#N/A</v>
      </c>
      <c r="D2109" s="1" t="e">
        <f>VLOOKUP(Tabla_Items_Activos[[#This Row],[CODIGO]],Tabla_Items_Completos[[CODIGO]:[LINEA]],3,0)</f>
        <v>#N/A</v>
      </c>
      <c r="E2109" s="1" t="e">
        <f>VLOOKUP(Tabla_Items_Activos[[#This Row],[CODIGO]],Tabla_Items_Completos[[CODIGO]:[LINEA]],4,0)</f>
        <v>#N/A</v>
      </c>
      <c r="F2109">
        <v>647</v>
      </c>
      <c r="G2109">
        <v>0</v>
      </c>
    </row>
    <row r="2110" spans="1:7">
      <c r="A2110" t="s">
        <v>7388</v>
      </c>
      <c r="B2110" t="s">
        <v>9497</v>
      </c>
      <c r="C2110" s="1" t="e">
        <f>VLOOKUP(Tabla_Items_Activos[[#This Row],[CODIGO]],Tabla_Items_Completos[[CODIGO]:[LINEA]],2,0)</f>
        <v>#N/A</v>
      </c>
      <c r="D2110" s="1" t="e">
        <f>VLOOKUP(Tabla_Items_Activos[[#This Row],[CODIGO]],Tabla_Items_Completos[[CODIGO]:[LINEA]],3,0)</f>
        <v>#N/A</v>
      </c>
      <c r="E2110" s="1" t="e">
        <f>VLOOKUP(Tabla_Items_Activos[[#This Row],[CODIGO]],Tabla_Items_Completos[[CODIGO]:[LINEA]],4,0)</f>
        <v>#N/A</v>
      </c>
      <c r="F2110">
        <v>1208</v>
      </c>
      <c r="G2110">
        <v>302</v>
      </c>
    </row>
    <row r="2111" spans="1:7">
      <c r="A2111" t="s">
        <v>7388</v>
      </c>
      <c r="B2111" t="s">
        <v>9498</v>
      </c>
      <c r="C2111" s="1" t="e">
        <f>VLOOKUP(Tabla_Items_Activos[[#This Row],[CODIGO]],Tabla_Items_Completos[[CODIGO]:[LINEA]],2,0)</f>
        <v>#N/A</v>
      </c>
      <c r="D2111" s="1" t="e">
        <f>VLOOKUP(Tabla_Items_Activos[[#This Row],[CODIGO]],Tabla_Items_Completos[[CODIGO]:[LINEA]],3,0)</f>
        <v>#N/A</v>
      </c>
      <c r="E2111" s="1" t="e">
        <f>VLOOKUP(Tabla_Items_Activos[[#This Row],[CODIGO]],Tabla_Items_Completos[[CODIGO]:[LINEA]],4,0)</f>
        <v>#N/A</v>
      </c>
      <c r="F2111">
        <v>1166</v>
      </c>
      <c r="G2111">
        <v>0</v>
      </c>
    </row>
    <row r="2112" spans="1:7">
      <c r="A2112" t="s">
        <v>7388</v>
      </c>
      <c r="B2112" t="s">
        <v>9499</v>
      </c>
      <c r="C2112" s="1" t="e">
        <f>VLOOKUP(Tabla_Items_Activos[[#This Row],[CODIGO]],Tabla_Items_Completos[[CODIGO]:[LINEA]],2,0)</f>
        <v>#N/A</v>
      </c>
      <c r="D2112" s="1" t="e">
        <f>VLOOKUP(Tabla_Items_Activos[[#This Row],[CODIGO]],Tabla_Items_Completos[[CODIGO]:[LINEA]],3,0)</f>
        <v>#N/A</v>
      </c>
      <c r="E2112" s="1" t="e">
        <f>VLOOKUP(Tabla_Items_Activos[[#This Row],[CODIGO]],Tabla_Items_Completos[[CODIGO]:[LINEA]],4,0)</f>
        <v>#N/A</v>
      </c>
      <c r="F2112">
        <v>316</v>
      </c>
      <c r="G2112">
        <v>0</v>
      </c>
    </row>
    <row r="2113" spans="1:7">
      <c r="A2113" t="s">
        <v>7388</v>
      </c>
      <c r="B2113" t="s">
        <v>9500</v>
      </c>
      <c r="C2113" s="1" t="e">
        <f>VLOOKUP(Tabla_Items_Activos[[#This Row],[CODIGO]],Tabla_Items_Completos[[CODIGO]:[LINEA]],2,0)</f>
        <v>#N/A</v>
      </c>
      <c r="D2113" s="1" t="e">
        <f>VLOOKUP(Tabla_Items_Activos[[#This Row],[CODIGO]],Tabla_Items_Completos[[CODIGO]:[LINEA]],3,0)</f>
        <v>#N/A</v>
      </c>
      <c r="E2113" s="1" t="e">
        <f>VLOOKUP(Tabla_Items_Activos[[#This Row],[CODIGO]],Tabla_Items_Completos[[CODIGO]:[LINEA]],4,0)</f>
        <v>#N/A</v>
      </c>
      <c r="F2113">
        <v>647</v>
      </c>
      <c r="G2113">
        <v>93</v>
      </c>
    </row>
    <row r="2114" spans="1:7">
      <c r="A2114" t="s">
        <v>7388</v>
      </c>
      <c r="B2114" t="s">
        <v>9501</v>
      </c>
      <c r="C2114" s="1" t="e">
        <f>VLOOKUP(Tabla_Items_Activos[[#This Row],[CODIGO]],Tabla_Items_Completos[[CODIGO]:[LINEA]],2,0)</f>
        <v>#N/A</v>
      </c>
      <c r="D2114" s="1" t="e">
        <f>VLOOKUP(Tabla_Items_Activos[[#This Row],[CODIGO]],Tabla_Items_Completos[[CODIGO]:[LINEA]],3,0)</f>
        <v>#N/A</v>
      </c>
      <c r="E2114" s="1" t="e">
        <f>VLOOKUP(Tabla_Items_Activos[[#This Row],[CODIGO]],Tabla_Items_Completos[[CODIGO]:[LINEA]],4,0)</f>
        <v>#N/A</v>
      </c>
      <c r="F2114">
        <v>148</v>
      </c>
      <c r="G2114">
        <v>0</v>
      </c>
    </row>
    <row r="2115" spans="1:7">
      <c r="A2115" t="s">
        <v>7388</v>
      </c>
      <c r="B2115" t="s">
        <v>9502</v>
      </c>
      <c r="C2115" s="1" t="e">
        <f>VLOOKUP(Tabla_Items_Activos[[#This Row],[CODIGO]],Tabla_Items_Completos[[CODIGO]:[LINEA]],2,0)</f>
        <v>#N/A</v>
      </c>
      <c r="D2115" s="1" t="e">
        <f>VLOOKUP(Tabla_Items_Activos[[#This Row],[CODIGO]],Tabla_Items_Completos[[CODIGO]:[LINEA]],3,0)</f>
        <v>#N/A</v>
      </c>
      <c r="E2115" s="1" t="e">
        <f>VLOOKUP(Tabla_Items_Activos[[#This Row],[CODIGO]],Tabla_Items_Completos[[CODIGO]:[LINEA]],4,0)</f>
        <v>#N/A</v>
      </c>
      <c r="F2115">
        <v>2557</v>
      </c>
      <c r="G2115">
        <v>0</v>
      </c>
    </row>
    <row r="2116" spans="1:7">
      <c r="A2116" t="s">
        <v>7388</v>
      </c>
      <c r="B2116" t="s">
        <v>9503</v>
      </c>
      <c r="C2116" s="1" t="e">
        <f>VLOOKUP(Tabla_Items_Activos[[#This Row],[CODIGO]],Tabla_Items_Completos[[CODIGO]:[LINEA]],2,0)</f>
        <v>#N/A</v>
      </c>
      <c r="D2116" s="1" t="e">
        <f>VLOOKUP(Tabla_Items_Activos[[#This Row],[CODIGO]],Tabla_Items_Completos[[CODIGO]:[LINEA]],3,0)</f>
        <v>#N/A</v>
      </c>
      <c r="E2116" s="1" t="e">
        <f>VLOOKUP(Tabla_Items_Activos[[#This Row],[CODIGO]],Tabla_Items_Completos[[CODIGO]:[LINEA]],4,0)</f>
        <v>#N/A</v>
      </c>
      <c r="F2116">
        <v>1119</v>
      </c>
      <c r="G2116">
        <v>142</v>
      </c>
    </row>
    <row r="2117" spans="1:7">
      <c r="A2117" t="s">
        <v>7388</v>
      </c>
      <c r="B2117" t="s">
        <v>9504</v>
      </c>
      <c r="C2117" s="1" t="e">
        <f>VLOOKUP(Tabla_Items_Activos[[#This Row],[CODIGO]],Tabla_Items_Completos[[CODIGO]:[LINEA]],2,0)</f>
        <v>#N/A</v>
      </c>
      <c r="D2117" s="1" t="e">
        <f>VLOOKUP(Tabla_Items_Activos[[#This Row],[CODIGO]],Tabla_Items_Completos[[CODIGO]:[LINEA]],3,0)</f>
        <v>#N/A</v>
      </c>
      <c r="E2117" s="1" t="e">
        <f>VLOOKUP(Tabla_Items_Activos[[#This Row],[CODIGO]],Tabla_Items_Completos[[CODIGO]:[LINEA]],4,0)</f>
        <v>#N/A</v>
      </c>
      <c r="F2117">
        <v>527</v>
      </c>
      <c r="G2117">
        <v>100</v>
      </c>
    </row>
    <row r="2118" spans="1:7">
      <c r="A2118" t="s">
        <v>7388</v>
      </c>
      <c r="B2118" t="s">
        <v>9505</v>
      </c>
      <c r="C2118" s="1" t="e">
        <f>VLOOKUP(Tabla_Items_Activos[[#This Row],[CODIGO]],Tabla_Items_Completos[[CODIGO]:[LINEA]],2,0)</f>
        <v>#N/A</v>
      </c>
      <c r="D2118" s="1" t="e">
        <f>VLOOKUP(Tabla_Items_Activos[[#This Row],[CODIGO]],Tabla_Items_Completos[[CODIGO]:[LINEA]],3,0)</f>
        <v>#N/A</v>
      </c>
      <c r="E2118" s="1" t="e">
        <f>VLOOKUP(Tabla_Items_Activos[[#This Row],[CODIGO]],Tabla_Items_Completos[[CODIGO]:[LINEA]],4,0)</f>
        <v>#N/A</v>
      </c>
      <c r="F2118">
        <v>251</v>
      </c>
      <c r="G2118">
        <v>0</v>
      </c>
    </row>
    <row r="2119" spans="1:7">
      <c r="A2119" t="s">
        <v>7388</v>
      </c>
      <c r="B2119" t="s">
        <v>9506</v>
      </c>
      <c r="C2119" s="1" t="e">
        <f>VLOOKUP(Tabla_Items_Activos[[#This Row],[CODIGO]],Tabla_Items_Completos[[CODIGO]:[LINEA]],2,0)</f>
        <v>#N/A</v>
      </c>
      <c r="D2119" s="1" t="e">
        <f>VLOOKUP(Tabla_Items_Activos[[#This Row],[CODIGO]],Tabla_Items_Completos[[CODIGO]:[LINEA]],3,0)</f>
        <v>#N/A</v>
      </c>
      <c r="E2119" s="1" t="e">
        <f>VLOOKUP(Tabla_Items_Activos[[#This Row],[CODIGO]],Tabla_Items_Completos[[CODIGO]:[LINEA]],4,0)</f>
        <v>#N/A</v>
      </c>
      <c r="F2119">
        <v>747</v>
      </c>
      <c r="G2119">
        <v>717</v>
      </c>
    </row>
    <row r="2120" spans="1:7">
      <c r="A2120" t="s">
        <v>7388</v>
      </c>
      <c r="B2120" t="s">
        <v>9507</v>
      </c>
      <c r="C2120" s="1" t="e">
        <f>VLOOKUP(Tabla_Items_Activos[[#This Row],[CODIGO]],Tabla_Items_Completos[[CODIGO]:[LINEA]],2,0)</f>
        <v>#N/A</v>
      </c>
      <c r="D2120" s="1" t="e">
        <f>VLOOKUP(Tabla_Items_Activos[[#This Row],[CODIGO]],Tabla_Items_Completos[[CODIGO]:[LINEA]],3,0)</f>
        <v>#N/A</v>
      </c>
      <c r="E2120" s="1" t="e">
        <f>VLOOKUP(Tabla_Items_Activos[[#This Row],[CODIGO]],Tabla_Items_Completos[[CODIGO]:[LINEA]],4,0)</f>
        <v>#N/A</v>
      </c>
      <c r="F2120">
        <v>115</v>
      </c>
      <c r="G2120">
        <v>0</v>
      </c>
    </row>
    <row r="2121" spans="1:7">
      <c r="A2121" t="s">
        <v>7388</v>
      </c>
      <c r="B2121" t="s">
        <v>9508</v>
      </c>
      <c r="C2121" s="1" t="e">
        <f>VLOOKUP(Tabla_Items_Activos[[#This Row],[CODIGO]],Tabla_Items_Completos[[CODIGO]:[LINEA]],2,0)</f>
        <v>#N/A</v>
      </c>
      <c r="D2121" s="1" t="e">
        <f>VLOOKUP(Tabla_Items_Activos[[#This Row],[CODIGO]],Tabla_Items_Completos[[CODIGO]:[LINEA]],3,0)</f>
        <v>#N/A</v>
      </c>
      <c r="E2121" s="1" t="e">
        <f>VLOOKUP(Tabla_Items_Activos[[#This Row],[CODIGO]],Tabla_Items_Completos[[CODIGO]:[LINEA]],4,0)</f>
        <v>#N/A</v>
      </c>
      <c r="F2121">
        <v>261</v>
      </c>
      <c r="G2121">
        <v>26</v>
      </c>
    </row>
    <row r="2122" spans="1:7">
      <c r="A2122" t="s">
        <v>7388</v>
      </c>
      <c r="B2122" t="s">
        <v>9509</v>
      </c>
      <c r="C2122" s="1" t="e">
        <f>VLOOKUP(Tabla_Items_Activos[[#This Row],[CODIGO]],Tabla_Items_Completos[[CODIGO]:[LINEA]],2,0)</f>
        <v>#N/A</v>
      </c>
      <c r="D2122" s="1" t="e">
        <f>VLOOKUP(Tabla_Items_Activos[[#This Row],[CODIGO]],Tabla_Items_Completos[[CODIGO]:[LINEA]],3,0)</f>
        <v>#N/A</v>
      </c>
      <c r="E2122" s="1" t="e">
        <f>VLOOKUP(Tabla_Items_Activos[[#This Row],[CODIGO]],Tabla_Items_Completos[[CODIGO]:[LINEA]],4,0)</f>
        <v>#N/A</v>
      </c>
      <c r="F2122">
        <v>47</v>
      </c>
      <c r="G2122">
        <v>0</v>
      </c>
    </row>
    <row r="2123" spans="1:7">
      <c r="A2123" t="s">
        <v>7388</v>
      </c>
      <c r="B2123" t="s">
        <v>9510</v>
      </c>
      <c r="C2123" s="1" t="e">
        <f>VLOOKUP(Tabla_Items_Activos[[#This Row],[CODIGO]],Tabla_Items_Completos[[CODIGO]:[LINEA]],2,0)</f>
        <v>#N/A</v>
      </c>
      <c r="D2123" s="1" t="e">
        <f>VLOOKUP(Tabla_Items_Activos[[#This Row],[CODIGO]],Tabla_Items_Completos[[CODIGO]:[LINEA]],3,0)</f>
        <v>#N/A</v>
      </c>
      <c r="E2123" s="1" t="e">
        <f>VLOOKUP(Tabla_Items_Activos[[#This Row],[CODIGO]],Tabla_Items_Completos[[CODIGO]:[LINEA]],4,0)</f>
        <v>#N/A</v>
      </c>
      <c r="F2123">
        <v>62</v>
      </c>
      <c r="G2123">
        <v>0</v>
      </c>
    </row>
    <row r="2124" spans="1:7">
      <c r="A2124" t="s">
        <v>7388</v>
      </c>
      <c r="B2124" t="s">
        <v>9511</v>
      </c>
      <c r="C2124" s="1" t="e">
        <f>VLOOKUP(Tabla_Items_Activos[[#This Row],[CODIGO]],Tabla_Items_Completos[[CODIGO]:[LINEA]],2,0)</f>
        <v>#N/A</v>
      </c>
      <c r="D2124" s="1" t="e">
        <f>VLOOKUP(Tabla_Items_Activos[[#This Row],[CODIGO]],Tabla_Items_Completos[[CODIGO]:[LINEA]],3,0)</f>
        <v>#N/A</v>
      </c>
      <c r="E2124" s="1" t="e">
        <f>VLOOKUP(Tabla_Items_Activos[[#This Row],[CODIGO]],Tabla_Items_Completos[[CODIGO]:[LINEA]],4,0)</f>
        <v>#N/A</v>
      </c>
      <c r="F2124">
        <v>53</v>
      </c>
      <c r="G2124">
        <v>0</v>
      </c>
    </row>
    <row r="2125" spans="1:7">
      <c r="A2125" t="s">
        <v>7388</v>
      </c>
      <c r="B2125" t="s">
        <v>9512</v>
      </c>
      <c r="C2125" s="1" t="e">
        <f>VLOOKUP(Tabla_Items_Activos[[#This Row],[CODIGO]],Tabla_Items_Completos[[CODIGO]:[LINEA]],2,0)</f>
        <v>#N/A</v>
      </c>
      <c r="D2125" s="1" t="e">
        <f>VLOOKUP(Tabla_Items_Activos[[#This Row],[CODIGO]],Tabla_Items_Completos[[CODIGO]:[LINEA]],3,0)</f>
        <v>#N/A</v>
      </c>
      <c r="E2125" s="1" t="e">
        <f>VLOOKUP(Tabla_Items_Activos[[#This Row],[CODIGO]],Tabla_Items_Completos[[CODIGO]:[LINEA]],4,0)</f>
        <v>#N/A</v>
      </c>
      <c r="F2125">
        <v>74</v>
      </c>
      <c r="G2125">
        <v>0</v>
      </c>
    </row>
    <row r="2126" spans="1:7">
      <c r="A2126" t="s">
        <v>7388</v>
      </c>
      <c r="B2126" t="s">
        <v>9513</v>
      </c>
      <c r="C2126" s="1" t="e">
        <f>VLOOKUP(Tabla_Items_Activos[[#This Row],[CODIGO]],Tabla_Items_Completos[[CODIGO]:[LINEA]],2,0)</f>
        <v>#N/A</v>
      </c>
      <c r="D2126" s="1" t="e">
        <f>VLOOKUP(Tabla_Items_Activos[[#This Row],[CODIGO]],Tabla_Items_Completos[[CODIGO]:[LINEA]],3,0)</f>
        <v>#N/A</v>
      </c>
      <c r="E2126" s="1" t="e">
        <f>VLOOKUP(Tabla_Items_Activos[[#This Row],[CODIGO]],Tabla_Items_Completos[[CODIGO]:[LINEA]],4,0)</f>
        <v>#N/A</v>
      </c>
      <c r="F2126">
        <v>53</v>
      </c>
      <c r="G2126">
        <v>0</v>
      </c>
    </row>
    <row r="2127" spans="1:7">
      <c r="A2127" t="s">
        <v>7388</v>
      </c>
      <c r="B2127" t="s">
        <v>9514</v>
      </c>
      <c r="C2127" s="1" t="e">
        <f>VLOOKUP(Tabla_Items_Activos[[#This Row],[CODIGO]],Tabla_Items_Completos[[CODIGO]:[LINEA]],2,0)</f>
        <v>#N/A</v>
      </c>
      <c r="D2127" s="1" t="e">
        <f>VLOOKUP(Tabla_Items_Activos[[#This Row],[CODIGO]],Tabla_Items_Completos[[CODIGO]:[LINEA]],3,0)</f>
        <v>#N/A</v>
      </c>
      <c r="E2127" s="1" t="e">
        <f>VLOOKUP(Tabla_Items_Activos[[#This Row],[CODIGO]],Tabla_Items_Completos[[CODIGO]:[LINEA]],4,0)</f>
        <v>#N/A</v>
      </c>
      <c r="F2127">
        <v>1016</v>
      </c>
      <c r="G2127">
        <v>0</v>
      </c>
    </row>
    <row r="2128" spans="1:7">
      <c r="A2128" t="s">
        <v>7388</v>
      </c>
      <c r="B2128" t="s">
        <v>9515</v>
      </c>
      <c r="C2128" s="1" t="e">
        <f>VLOOKUP(Tabla_Items_Activos[[#This Row],[CODIGO]],Tabla_Items_Completos[[CODIGO]:[LINEA]],2,0)</f>
        <v>#N/A</v>
      </c>
      <c r="D2128" s="1" t="e">
        <f>VLOOKUP(Tabla_Items_Activos[[#This Row],[CODIGO]],Tabla_Items_Completos[[CODIGO]:[LINEA]],3,0)</f>
        <v>#N/A</v>
      </c>
      <c r="E2128" s="1" t="e">
        <f>VLOOKUP(Tabla_Items_Activos[[#This Row],[CODIGO]],Tabla_Items_Completos[[CODIGO]:[LINEA]],4,0)</f>
        <v>#N/A</v>
      </c>
      <c r="F2128">
        <v>58</v>
      </c>
      <c r="G2128">
        <v>0</v>
      </c>
    </row>
    <row r="2129" spans="1:7">
      <c r="A2129" t="s">
        <v>7388</v>
      </c>
      <c r="B2129" t="s">
        <v>9516</v>
      </c>
      <c r="C2129" s="1" t="e">
        <f>VLOOKUP(Tabla_Items_Activos[[#This Row],[CODIGO]],Tabla_Items_Completos[[CODIGO]:[LINEA]],2,0)</f>
        <v>#N/A</v>
      </c>
      <c r="D2129" s="1" t="e">
        <f>VLOOKUP(Tabla_Items_Activos[[#This Row],[CODIGO]],Tabla_Items_Completos[[CODIGO]:[LINEA]],3,0)</f>
        <v>#N/A</v>
      </c>
      <c r="E2129" s="1" t="e">
        <f>VLOOKUP(Tabla_Items_Activos[[#This Row],[CODIGO]],Tabla_Items_Completos[[CODIGO]:[LINEA]],4,0)</f>
        <v>#N/A</v>
      </c>
      <c r="F2129">
        <v>126</v>
      </c>
      <c r="G2129">
        <v>0</v>
      </c>
    </row>
    <row r="2130" spans="1:7">
      <c r="A2130" t="s">
        <v>7388</v>
      </c>
      <c r="B2130" t="s">
        <v>9517</v>
      </c>
      <c r="C2130" s="1" t="e">
        <f>VLOOKUP(Tabla_Items_Activos[[#This Row],[CODIGO]],Tabla_Items_Completos[[CODIGO]:[LINEA]],2,0)</f>
        <v>#N/A</v>
      </c>
      <c r="D2130" s="1" t="e">
        <f>VLOOKUP(Tabla_Items_Activos[[#This Row],[CODIGO]],Tabla_Items_Completos[[CODIGO]:[LINEA]],3,0)</f>
        <v>#N/A</v>
      </c>
      <c r="E2130" s="1" t="e">
        <f>VLOOKUP(Tabla_Items_Activos[[#This Row],[CODIGO]],Tabla_Items_Completos[[CODIGO]:[LINEA]],4,0)</f>
        <v>#N/A</v>
      </c>
      <c r="F2130">
        <v>142</v>
      </c>
      <c r="G2130">
        <v>0</v>
      </c>
    </row>
    <row r="2131" spans="1:7">
      <c r="A2131" t="s">
        <v>7388</v>
      </c>
      <c r="B2131" t="s">
        <v>9518</v>
      </c>
      <c r="C2131" s="1" t="e">
        <f>VLOOKUP(Tabla_Items_Activos[[#This Row],[CODIGO]],Tabla_Items_Completos[[CODIGO]:[LINEA]],2,0)</f>
        <v>#N/A</v>
      </c>
      <c r="D2131" s="1" t="e">
        <f>VLOOKUP(Tabla_Items_Activos[[#This Row],[CODIGO]],Tabla_Items_Completos[[CODIGO]:[LINEA]],3,0)</f>
        <v>#N/A</v>
      </c>
      <c r="E2131" s="1" t="e">
        <f>VLOOKUP(Tabla_Items_Activos[[#This Row],[CODIGO]],Tabla_Items_Completos[[CODIGO]:[LINEA]],4,0)</f>
        <v>#N/A</v>
      </c>
      <c r="F2131">
        <v>138</v>
      </c>
      <c r="G2131">
        <v>54</v>
      </c>
    </row>
    <row r="2132" spans="1:7">
      <c r="A2132" t="s">
        <v>7388</v>
      </c>
      <c r="B2132" t="s">
        <v>9519</v>
      </c>
      <c r="C2132" s="1" t="e">
        <f>VLOOKUP(Tabla_Items_Activos[[#This Row],[CODIGO]],Tabla_Items_Completos[[CODIGO]:[LINEA]],2,0)</f>
        <v>#N/A</v>
      </c>
      <c r="D2132" s="1" t="e">
        <f>VLOOKUP(Tabla_Items_Activos[[#This Row],[CODIGO]],Tabla_Items_Completos[[CODIGO]:[LINEA]],3,0)</f>
        <v>#N/A</v>
      </c>
      <c r="E2132" s="1" t="e">
        <f>VLOOKUP(Tabla_Items_Activos[[#This Row],[CODIGO]],Tabla_Items_Completos[[CODIGO]:[LINEA]],4,0)</f>
        <v>#N/A</v>
      </c>
      <c r="F2132">
        <v>55</v>
      </c>
      <c r="G2132">
        <v>0</v>
      </c>
    </row>
    <row r="2133" spans="1:7">
      <c r="A2133" t="s">
        <v>7388</v>
      </c>
      <c r="B2133" t="s">
        <v>9520</v>
      </c>
      <c r="C2133" s="1" t="e">
        <f>VLOOKUP(Tabla_Items_Activos[[#This Row],[CODIGO]],Tabla_Items_Completos[[CODIGO]:[LINEA]],2,0)</f>
        <v>#N/A</v>
      </c>
      <c r="D2133" s="1" t="e">
        <f>VLOOKUP(Tabla_Items_Activos[[#This Row],[CODIGO]],Tabla_Items_Completos[[CODIGO]:[LINEA]],3,0)</f>
        <v>#N/A</v>
      </c>
      <c r="E2133" s="1" t="e">
        <f>VLOOKUP(Tabla_Items_Activos[[#This Row],[CODIGO]],Tabla_Items_Completos[[CODIGO]:[LINEA]],4,0)</f>
        <v>#N/A</v>
      </c>
      <c r="F2133">
        <v>20</v>
      </c>
      <c r="G2133">
        <v>0</v>
      </c>
    </row>
    <row r="2134" spans="1:7">
      <c r="A2134" t="s">
        <v>7388</v>
      </c>
      <c r="B2134" t="s">
        <v>9521</v>
      </c>
      <c r="C2134" s="1" t="e">
        <f>VLOOKUP(Tabla_Items_Activos[[#This Row],[CODIGO]],Tabla_Items_Completos[[CODIGO]:[LINEA]],2,0)</f>
        <v>#N/A</v>
      </c>
      <c r="D2134" s="1" t="e">
        <f>VLOOKUP(Tabla_Items_Activos[[#This Row],[CODIGO]],Tabla_Items_Completos[[CODIGO]:[LINEA]],3,0)</f>
        <v>#N/A</v>
      </c>
      <c r="E2134" s="1" t="e">
        <f>VLOOKUP(Tabla_Items_Activos[[#This Row],[CODIGO]],Tabla_Items_Completos[[CODIGO]:[LINEA]],4,0)</f>
        <v>#N/A</v>
      </c>
      <c r="F2134">
        <v>48</v>
      </c>
      <c r="G2134">
        <v>0</v>
      </c>
    </row>
    <row r="2135" spans="1:7">
      <c r="A2135" t="s">
        <v>7388</v>
      </c>
      <c r="B2135" t="s">
        <v>9522</v>
      </c>
      <c r="C2135" s="1" t="e">
        <f>VLOOKUP(Tabla_Items_Activos[[#This Row],[CODIGO]],Tabla_Items_Completos[[CODIGO]:[LINEA]],2,0)</f>
        <v>#N/A</v>
      </c>
      <c r="D2135" s="1" t="e">
        <f>VLOOKUP(Tabla_Items_Activos[[#This Row],[CODIGO]],Tabla_Items_Completos[[CODIGO]:[LINEA]],3,0)</f>
        <v>#N/A</v>
      </c>
      <c r="E2135" s="1" t="e">
        <f>VLOOKUP(Tabla_Items_Activos[[#This Row],[CODIGO]],Tabla_Items_Completos[[CODIGO]:[LINEA]],4,0)</f>
        <v>#N/A</v>
      </c>
      <c r="F2135">
        <v>49</v>
      </c>
      <c r="G2135">
        <v>2</v>
      </c>
    </row>
    <row r="2136" spans="1:7">
      <c r="A2136" t="s">
        <v>7388</v>
      </c>
      <c r="B2136" t="s">
        <v>9523</v>
      </c>
      <c r="C2136" s="1" t="e">
        <f>VLOOKUP(Tabla_Items_Activos[[#This Row],[CODIGO]],Tabla_Items_Completos[[CODIGO]:[LINEA]],2,0)</f>
        <v>#N/A</v>
      </c>
      <c r="D2136" s="1" t="e">
        <f>VLOOKUP(Tabla_Items_Activos[[#This Row],[CODIGO]],Tabla_Items_Completos[[CODIGO]:[LINEA]],3,0)</f>
        <v>#N/A</v>
      </c>
      <c r="E2136" s="1" t="e">
        <f>VLOOKUP(Tabla_Items_Activos[[#This Row],[CODIGO]],Tabla_Items_Completos[[CODIGO]:[LINEA]],4,0)</f>
        <v>#N/A</v>
      </c>
      <c r="F2136">
        <v>13</v>
      </c>
      <c r="G2136">
        <v>0</v>
      </c>
    </row>
    <row r="2137" spans="1:7">
      <c r="A2137" t="s">
        <v>7388</v>
      </c>
      <c r="B2137" t="s">
        <v>9524</v>
      </c>
      <c r="C2137" s="1" t="e">
        <f>VLOOKUP(Tabla_Items_Activos[[#This Row],[CODIGO]],Tabla_Items_Completos[[CODIGO]:[LINEA]],2,0)</f>
        <v>#N/A</v>
      </c>
      <c r="D2137" s="1" t="e">
        <f>VLOOKUP(Tabla_Items_Activos[[#This Row],[CODIGO]],Tabla_Items_Completos[[CODIGO]:[LINEA]],3,0)</f>
        <v>#N/A</v>
      </c>
      <c r="E2137" s="1" t="e">
        <f>VLOOKUP(Tabla_Items_Activos[[#This Row],[CODIGO]],Tabla_Items_Completos[[CODIGO]:[LINEA]],4,0)</f>
        <v>#N/A</v>
      </c>
      <c r="F2137">
        <v>200</v>
      </c>
      <c r="G2137">
        <v>1</v>
      </c>
    </row>
    <row r="2138" spans="1:7">
      <c r="A2138" t="s">
        <v>7388</v>
      </c>
      <c r="B2138" t="s">
        <v>9525</v>
      </c>
      <c r="C2138" s="1" t="e">
        <f>VLOOKUP(Tabla_Items_Activos[[#This Row],[CODIGO]],Tabla_Items_Completos[[CODIGO]:[LINEA]],2,0)</f>
        <v>#N/A</v>
      </c>
      <c r="D2138" s="1" t="e">
        <f>VLOOKUP(Tabla_Items_Activos[[#This Row],[CODIGO]],Tabla_Items_Completos[[CODIGO]:[LINEA]],3,0)</f>
        <v>#N/A</v>
      </c>
      <c r="E2138" s="1" t="e">
        <f>VLOOKUP(Tabla_Items_Activos[[#This Row],[CODIGO]],Tabla_Items_Completos[[CODIGO]:[LINEA]],4,0)</f>
        <v>#N/A</v>
      </c>
      <c r="F2138">
        <v>253</v>
      </c>
      <c r="G2138">
        <v>0</v>
      </c>
    </row>
    <row r="2139" spans="1:7">
      <c r="A2139" t="s">
        <v>7388</v>
      </c>
      <c r="B2139" t="s">
        <v>9526</v>
      </c>
      <c r="C2139" s="1" t="e">
        <f>VLOOKUP(Tabla_Items_Activos[[#This Row],[CODIGO]],Tabla_Items_Completos[[CODIGO]:[LINEA]],2,0)</f>
        <v>#N/A</v>
      </c>
      <c r="D2139" s="1" t="e">
        <f>VLOOKUP(Tabla_Items_Activos[[#This Row],[CODIGO]],Tabla_Items_Completos[[CODIGO]:[LINEA]],3,0)</f>
        <v>#N/A</v>
      </c>
      <c r="E2139" s="1" t="e">
        <f>VLOOKUP(Tabla_Items_Activos[[#This Row],[CODIGO]],Tabla_Items_Completos[[CODIGO]:[LINEA]],4,0)</f>
        <v>#N/A</v>
      </c>
      <c r="F2139">
        <v>189</v>
      </c>
      <c r="G2139">
        <v>39</v>
      </c>
    </row>
    <row r="2140" spans="1:7">
      <c r="A2140" t="s">
        <v>7388</v>
      </c>
      <c r="B2140" t="s">
        <v>9527</v>
      </c>
      <c r="C2140" s="1" t="e">
        <f>VLOOKUP(Tabla_Items_Activos[[#This Row],[CODIGO]],Tabla_Items_Completos[[CODIGO]:[LINEA]],2,0)</f>
        <v>#N/A</v>
      </c>
      <c r="D2140" s="1" t="e">
        <f>VLOOKUP(Tabla_Items_Activos[[#This Row],[CODIGO]],Tabla_Items_Completos[[CODIGO]:[LINEA]],3,0)</f>
        <v>#N/A</v>
      </c>
      <c r="E2140" s="1" t="e">
        <f>VLOOKUP(Tabla_Items_Activos[[#This Row],[CODIGO]],Tabla_Items_Completos[[CODIGO]:[LINEA]],4,0)</f>
        <v>#N/A</v>
      </c>
      <c r="F2140">
        <v>93</v>
      </c>
      <c r="G2140">
        <v>0</v>
      </c>
    </row>
    <row r="2141" spans="1:7">
      <c r="A2141" t="s">
        <v>7388</v>
      </c>
      <c r="B2141" t="s">
        <v>9528</v>
      </c>
      <c r="C2141" s="1" t="e">
        <f>VLOOKUP(Tabla_Items_Activos[[#This Row],[CODIGO]],Tabla_Items_Completos[[CODIGO]:[LINEA]],2,0)</f>
        <v>#N/A</v>
      </c>
      <c r="D2141" s="1" t="e">
        <f>VLOOKUP(Tabla_Items_Activos[[#This Row],[CODIGO]],Tabla_Items_Completos[[CODIGO]:[LINEA]],3,0)</f>
        <v>#N/A</v>
      </c>
      <c r="E2141" s="1" t="e">
        <f>VLOOKUP(Tabla_Items_Activos[[#This Row],[CODIGO]],Tabla_Items_Completos[[CODIGO]:[LINEA]],4,0)</f>
        <v>#N/A</v>
      </c>
      <c r="F2141">
        <v>46</v>
      </c>
      <c r="G2141">
        <v>0</v>
      </c>
    </row>
    <row r="2142" spans="1:7">
      <c r="A2142" t="s">
        <v>7388</v>
      </c>
      <c r="B2142" t="s">
        <v>9529</v>
      </c>
      <c r="C2142" s="1" t="e">
        <f>VLOOKUP(Tabla_Items_Activos[[#This Row],[CODIGO]],Tabla_Items_Completos[[CODIGO]:[LINEA]],2,0)</f>
        <v>#N/A</v>
      </c>
      <c r="D2142" s="1" t="e">
        <f>VLOOKUP(Tabla_Items_Activos[[#This Row],[CODIGO]],Tabla_Items_Completos[[CODIGO]:[LINEA]],3,0)</f>
        <v>#N/A</v>
      </c>
      <c r="E2142" s="1" t="e">
        <f>VLOOKUP(Tabla_Items_Activos[[#This Row],[CODIGO]],Tabla_Items_Completos[[CODIGO]:[LINEA]],4,0)</f>
        <v>#N/A</v>
      </c>
      <c r="F2142">
        <v>60</v>
      </c>
      <c r="G2142">
        <v>0</v>
      </c>
    </row>
    <row r="2143" spans="1:7">
      <c r="A2143" t="s">
        <v>7388</v>
      </c>
      <c r="B2143" t="s">
        <v>9530</v>
      </c>
      <c r="C2143" s="1" t="e">
        <f>VLOOKUP(Tabla_Items_Activos[[#This Row],[CODIGO]],Tabla_Items_Completos[[CODIGO]:[LINEA]],2,0)</f>
        <v>#N/A</v>
      </c>
      <c r="D2143" s="1" t="e">
        <f>VLOOKUP(Tabla_Items_Activos[[#This Row],[CODIGO]],Tabla_Items_Completos[[CODIGO]:[LINEA]],3,0)</f>
        <v>#N/A</v>
      </c>
      <c r="E2143" s="1" t="e">
        <f>VLOOKUP(Tabla_Items_Activos[[#This Row],[CODIGO]],Tabla_Items_Completos[[CODIGO]:[LINEA]],4,0)</f>
        <v>#N/A</v>
      </c>
      <c r="F2143">
        <v>55</v>
      </c>
      <c r="G2143">
        <v>2</v>
      </c>
    </row>
    <row r="2144" spans="1:7">
      <c r="A2144" t="s">
        <v>7388</v>
      </c>
      <c r="B2144" t="s">
        <v>9531</v>
      </c>
      <c r="C2144" s="1" t="e">
        <f>VLOOKUP(Tabla_Items_Activos[[#This Row],[CODIGO]],Tabla_Items_Completos[[CODIGO]:[LINEA]],2,0)</f>
        <v>#N/A</v>
      </c>
      <c r="D2144" s="1" t="e">
        <f>VLOOKUP(Tabla_Items_Activos[[#This Row],[CODIGO]],Tabla_Items_Completos[[CODIGO]:[LINEA]],3,0)</f>
        <v>#N/A</v>
      </c>
      <c r="E2144" s="1" t="e">
        <f>VLOOKUP(Tabla_Items_Activos[[#This Row],[CODIGO]],Tabla_Items_Completos[[CODIGO]:[LINEA]],4,0)</f>
        <v>#N/A</v>
      </c>
      <c r="F2144">
        <v>4568</v>
      </c>
      <c r="G2144">
        <v>0</v>
      </c>
    </row>
    <row r="2145" spans="1:7">
      <c r="A2145" t="s">
        <v>7388</v>
      </c>
      <c r="B2145" t="s">
        <v>9532</v>
      </c>
      <c r="C2145" s="1" t="e">
        <f>VLOOKUP(Tabla_Items_Activos[[#This Row],[CODIGO]],Tabla_Items_Completos[[CODIGO]:[LINEA]],2,0)</f>
        <v>#N/A</v>
      </c>
      <c r="D2145" s="1" t="e">
        <f>VLOOKUP(Tabla_Items_Activos[[#This Row],[CODIGO]],Tabla_Items_Completos[[CODIGO]:[LINEA]],3,0)</f>
        <v>#N/A</v>
      </c>
      <c r="E2145" s="1" t="e">
        <f>VLOOKUP(Tabla_Items_Activos[[#This Row],[CODIGO]],Tabla_Items_Completos[[CODIGO]:[LINEA]],4,0)</f>
        <v>#N/A</v>
      </c>
      <c r="F2145">
        <v>421</v>
      </c>
      <c r="G2145">
        <v>0</v>
      </c>
    </row>
    <row r="2146" spans="1:7">
      <c r="A2146" t="s">
        <v>7388</v>
      </c>
      <c r="B2146" t="s">
        <v>9533</v>
      </c>
      <c r="C2146" s="1" t="e">
        <f>VLOOKUP(Tabla_Items_Activos[[#This Row],[CODIGO]],Tabla_Items_Completos[[CODIGO]:[LINEA]],2,0)</f>
        <v>#N/A</v>
      </c>
      <c r="D2146" s="1" t="e">
        <f>VLOOKUP(Tabla_Items_Activos[[#This Row],[CODIGO]],Tabla_Items_Completos[[CODIGO]:[LINEA]],3,0)</f>
        <v>#N/A</v>
      </c>
      <c r="E2146" s="1" t="e">
        <f>VLOOKUP(Tabla_Items_Activos[[#This Row],[CODIGO]],Tabla_Items_Completos[[CODIGO]:[LINEA]],4,0)</f>
        <v>#N/A</v>
      </c>
      <c r="F2146">
        <v>1418</v>
      </c>
      <c r="G2146">
        <v>0</v>
      </c>
    </row>
    <row r="2147" spans="1:7">
      <c r="A2147" t="s">
        <v>7388</v>
      </c>
      <c r="B2147" t="s">
        <v>9534</v>
      </c>
      <c r="C2147" s="1" t="e">
        <f>VLOOKUP(Tabla_Items_Activos[[#This Row],[CODIGO]],Tabla_Items_Completos[[CODIGO]:[LINEA]],2,0)</f>
        <v>#N/A</v>
      </c>
      <c r="D2147" s="1" t="e">
        <f>VLOOKUP(Tabla_Items_Activos[[#This Row],[CODIGO]],Tabla_Items_Completos[[CODIGO]:[LINEA]],3,0)</f>
        <v>#N/A</v>
      </c>
      <c r="E2147" s="1" t="e">
        <f>VLOOKUP(Tabla_Items_Activos[[#This Row],[CODIGO]],Tabla_Items_Completos[[CODIGO]:[LINEA]],4,0)</f>
        <v>#N/A</v>
      </c>
      <c r="F2147">
        <v>542</v>
      </c>
      <c r="G2147">
        <v>85</v>
      </c>
    </row>
    <row r="2148" spans="1:7">
      <c r="A2148" t="s">
        <v>7388</v>
      </c>
      <c r="B2148" t="s">
        <v>9535</v>
      </c>
      <c r="C2148" s="1" t="e">
        <f>VLOOKUP(Tabla_Items_Activos[[#This Row],[CODIGO]],Tabla_Items_Completos[[CODIGO]:[LINEA]],2,0)</f>
        <v>#N/A</v>
      </c>
      <c r="D2148" s="1" t="e">
        <f>VLOOKUP(Tabla_Items_Activos[[#This Row],[CODIGO]],Tabla_Items_Completos[[CODIGO]:[LINEA]],3,0)</f>
        <v>#N/A</v>
      </c>
      <c r="E2148" s="1" t="e">
        <f>VLOOKUP(Tabla_Items_Activos[[#This Row],[CODIGO]],Tabla_Items_Completos[[CODIGO]:[LINEA]],4,0)</f>
        <v>#N/A</v>
      </c>
      <c r="F2148">
        <v>345</v>
      </c>
      <c r="G2148">
        <v>0</v>
      </c>
    </row>
    <row r="2149" spans="1:7">
      <c r="A2149" t="s">
        <v>7388</v>
      </c>
      <c r="B2149" t="s">
        <v>9536</v>
      </c>
      <c r="C2149" s="1" t="e">
        <f>VLOOKUP(Tabla_Items_Activos[[#This Row],[CODIGO]],Tabla_Items_Completos[[CODIGO]:[LINEA]],2,0)</f>
        <v>#N/A</v>
      </c>
      <c r="D2149" s="1" t="e">
        <f>VLOOKUP(Tabla_Items_Activos[[#This Row],[CODIGO]],Tabla_Items_Completos[[CODIGO]:[LINEA]],3,0)</f>
        <v>#N/A</v>
      </c>
      <c r="E2149" s="1" t="e">
        <f>VLOOKUP(Tabla_Items_Activos[[#This Row],[CODIGO]],Tabla_Items_Completos[[CODIGO]:[LINEA]],4,0)</f>
        <v>#N/A</v>
      </c>
      <c r="F2149">
        <v>183</v>
      </c>
      <c r="G2149">
        <v>0</v>
      </c>
    </row>
    <row r="2150" spans="1:7">
      <c r="A2150" t="s">
        <v>7388</v>
      </c>
      <c r="B2150" t="s">
        <v>9537</v>
      </c>
      <c r="C2150" s="1" t="e">
        <f>VLOOKUP(Tabla_Items_Activos[[#This Row],[CODIGO]],Tabla_Items_Completos[[CODIGO]:[LINEA]],2,0)</f>
        <v>#N/A</v>
      </c>
      <c r="D2150" s="1" t="e">
        <f>VLOOKUP(Tabla_Items_Activos[[#This Row],[CODIGO]],Tabla_Items_Completos[[CODIGO]:[LINEA]],3,0)</f>
        <v>#N/A</v>
      </c>
      <c r="E2150" s="1" t="e">
        <f>VLOOKUP(Tabla_Items_Activos[[#This Row],[CODIGO]],Tabla_Items_Completos[[CODIGO]:[LINEA]],4,0)</f>
        <v>#N/A</v>
      </c>
      <c r="F2150">
        <v>179</v>
      </c>
      <c r="G2150">
        <v>24</v>
      </c>
    </row>
    <row r="2151" spans="1:7">
      <c r="A2151" t="s">
        <v>7388</v>
      </c>
      <c r="B2151" t="s">
        <v>9538</v>
      </c>
      <c r="C2151" s="1" t="e">
        <f>VLOOKUP(Tabla_Items_Activos[[#This Row],[CODIGO]],Tabla_Items_Completos[[CODIGO]:[LINEA]],2,0)</f>
        <v>#N/A</v>
      </c>
      <c r="D2151" s="1" t="e">
        <f>VLOOKUP(Tabla_Items_Activos[[#This Row],[CODIGO]],Tabla_Items_Completos[[CODIGO]:[LINEA]],3,0)</f>
        <v>#N/A</v>
      </c>
      <c r="E2151" s="1" t="e">
        <f>VLOOKUP(Tabla_Items_Activos[[#This Row],[CODIGO]],Tabla_Items_Completos[[CODIGO]:[LINEA]],4,0)</f>
        <v>#N/A</v>
      </c>
      <c r="F2151">
        <v>77</v>
      </c>
      <c r="G2151">
        <v>29</v>
      </c>
    </row>
    <row r="2152" spans="1:7">
      <c r="A2152" t="s">
        <v>7388</v>
      </c>
      <c r="B2152" t="s">
        <v>9539</v>
      </c>
      <c r="C2152" s="1" t="e">
        <f>VLOOKUP(Tabla_Items_Activos[[#This Row],[CODIGO]],Tabla_Items_Completos[[CODIGO]:[LINEA]],2,0)</f>
        <v>#N/A</v>
      </c>
      <c r="D2152" s="1" t="e">
        <f>VLOOKUP(Tabla_Items_Activos[[#This Row],[CODIGO]],Tabla_Items_Completos[[CODIGO]:[LINEA]],3,0)</f>
        <v>#N/A</v>
      </c>
      <c r="E2152" s="1" t="e">
        <f>VLOOKUP(Tabla_Items_Activos[[#This Row],[CODIGO]],Tabla_Items_Completos[[CODIGO]:[LINEA]],4,0)</f>
        <v>#N/A</v>
      </c>
      <c r="F2152">
        <v>122</v>
      </c>
      <c r="G2152">
        <v>67</v>
      </c>
    </row>
    <row r="2153" spans="1:7">
      <c r="A2153" t="s">
        <v>7388</v>
      </c>
      <c r="B2153" t="s">
        <v>9540</v>
      </c>
      <c r="C2153" s="1" t="e">
        <f>VLOOKUP(Tabla_Items_Activos[[#This Row],[CODIGO]],Tabla_Items_Completos[[CODIGO]:[LINEA]],2,0)</f>
        <v>#N/A</v>
      </c>
      <c r="D2153" s="1" t="e">
        <f>VLOOKUP(Tabla_Items_Activos[[#This Row],[CODIGO]],Tabla_Items_Completos[[CODIGO]:[LINEA]],3,0)</f>
        <v>#N/A</v>
      </c>
      <c r="E2153" s="1" t="e">
        <f>VLOOKUP(Tabla_Items_Activos[[#This Row],[CODIGO]],Tabla_Items_Completos[[CODIGO]:[LINEA]],4,0)</f>
        <v>#N/A</v>
      </c>
      <c r="F2153">
        <v>30</v>
      </c>
      <c r="G2153">
        <v>0</v>
      </c>
    </row>
    <row r="2154" spans="1:7">
      <c r="A2154" t="s">
        <v>7388</v>
      </c>
      <c r="B2154" t="s">
        <v>9541</v>
      </c>
      <c r="C2154" s="1" t="e">
        <f>VLOOKUP(Tabla_Items_Activos[[#This Row],[CODIGO]],Tabla_Items_Completos[[CODIGO]:[LINEA]],2,0)</f>
        <v>#N/A</v>
      </c>
      <c r="D2154" s="1" t="e">
        <f>VLOOKUP(Tabla_Items_Activos[[#This Row],[CODIGO]],Tabla_Items_Completos[[CODIGO]:[LINEA]],3,0)</f>
        <v>#N/A</v>
      </c>
      <c r="E2154" s="1" t="e">
        <f>VLOOKUP(Tabla_Items_Activos[[#This Row],[CODIGO]],Tabla_Items_Completos[[CODIGO]:[LINEA]],4,0)</f>
        <v>#N/A</v>
      </c>
      <c r="F2154">
        <v>74</v>
      </c>
      <c r="G2154">
        <v>0</v>
      </c>
    </row>
    <row r="2155" spans="1:7">
      <c r="A2155" t="s">
        <v>7388</v>
      </c>
      <c r="B2155" t="s">
        <v>9542</v>
      </c>
      <c r="C2155" s="1" t="e">
        <f>VLOOKUP(Tabla_Items_Activos[[#This Row],[CODIGO]],Tabla_Items_Completos[[CODIGO]:[LINEA]],2,0)</f>
        <v>#N/A</v>
      </c>
      <c r="D2155" s="1" t="e">
        <f>VLOOKUP(Tabla_Items_Activos[[#This Row],[CODIGO]],Tabla_Items_Completos[[CODIGO]:[LINEA]],3,0)</f>
        <v>#N/A</v>
      </c>
      <c r="E2155" s="1" t="e">
        <f>VLOOKUP(Tabla_Items_Activos[[#This Row],[CODIGO]],Tabla_Items_Completos[[CODIGO]:[LINEA]],4,0)</f>
        <v>#N/A</v>
      </c>
      <c r="F2155">
        <v>85</v>
      </c>
      <c r="G2155">
        <v>38</v>
      </c>
    </row>
    <row r="2156" spans="1:7">
      <c r="A2156" t="s">
        <v>7388</v>
      </c>
      <c r="B2156" t="s">
        <v>9543</v>
      </c>
      <c r="C2156" s="1" t="e">
        <f>VLOOKUP(Tabla_Items_Activos[[#This Row],[CODIGO]],Tabla_Items_Completos[[CODIGO]:[LINEA]],2,0)</f>
        <v>#N/A</v>
      </c>
      <c r="D2156" s="1" t="e">
        <f>VLOOKUP(Tabla_Items_Activos[[#This Row],[CODIGO]],Tabla_Items_Completos[[CODIGO]:[LINEA]],3,0)</f>
        <v>#N/A</v>
      </c>
      <c r="E2156" s="1" t="e">
        <f>VLOOKUP(Tabla_Items_Activos[[#This Row],[CODIGO]],Tabla_Items_Completos[[CODIGO]:[LINEA]],4,0)</f>
        <v>#N/A</v>
      </c>
      <c r="F2156">
        <v>38</v>
      </c>
      <c r="G2156">
        <v>111</v>
      </c>
    </row>
    <row r="2157" spans="1:7">
      <c r="A2157" t="s">
        <v>7388</v>
      </c>
      <c r="B2157" t="s">
        <v>9544</v>
      </c>
      <c r="C2157" s="1" t="e">
        <f>VLOOKUP(Tabla_Items_Activos[[#This Row],[CODIGO]],Tabla_Items_Completos[[CODIGO]:[LINEA]],2,0)</f>
        <v>#N/A</v>
      </c>
      <c r="D2157" s="1" t="e">
        <f>VLOOKUP(Tabla_Items_Activos[[#This Row],[CODIGO]],Tabla_Items_Completos[[CODIGO]:[LINEA]],3,0)</f>
        <v>#N/A</v>
      </c>
      <c r="E2157" s="1" t="e">
        <f>VLOOKUP(Tabla_Items_Activos[[#This Row],[CODIGO]],Tabla_Items_Completos[[CODIGO]:[LINEA]],4,0)</f>
        <v>#N/A</v>
      </c>
      <c r="F2157">
        <v>100</v>
      </c>
      <c r="G2157">
        <v>0</v>
      </c>
    </row>
    <row r="2158" spans="1:7">
      <c r="A2158" t="s">
        <v>7388</v>
      </c>
      <c r="B2158" t="s">
        <v>9545</v>
      </c>
      <c r="C2158" s="1" t="e">
        <f>VLOOKUP(Tabla_Items_Activos[[#This Row],[CODIGO]],Tabla_Items_Completos[[CODIGO]:[LINEA]],2,0)</f>
        <v>#N/A</v>
      </c>
      <c r="D2158" s="1" t="e">
        <f>VLOOKUP(Tabla_Items_Activos[[#This Row],[CODIGO]],Tabla_Items_Completos[[CODIGO]:[LINEA]],3,0)</f>
        <v>#N/A</v>
      </c>
      <c r="E2158" s="1" t="e">
        <f>VLOOKUP(Tabla_Items_Activos[[#This Row],[CODIGO]],Tabla_Items_Completos[[CODIGO]:[LINEA]],4,0)</f>
        <v>#N/A</v>
      </c>
      <c r="F2158">
        <v>116</v>
      </c>
      <c r="G2158">
        <v>0</v>
      </c>
    </row>
    <row r="2159" spans="1:7">
      <c r="A2159" t="s">
        <v>7388</v>
      </c>
      <c r="B2159" t="s">
        <v>9546</v>
      </c>
      <c r="C2159" s="1" t="e">
        <f>VLOOKUP(Tabla_Items_Activos[[#This Row],[CODIGO]],Tabla_Items_Completos[[CODIGO]:[LINEA]],2,0)</f>
        <v>#N/A</v>
      </c>
      <c r="D2159" s="1" t="e">
        <f>VLOOKUP(Tabla_Items_Activos[[#This Row],[CODIGO]],Tabla_Items_Completos[[CODIGO]:[LINEA]],3,0)</f>
        <v>#N/A</v>
      </c>
      <c r="E2159" s="1" t="e">
        <f>VLOOKUP(Tabla_Items_Activos[[#This Row],[CODIGO]],Tabla_Items_Completos[[CODIGO]:[LINEA]],4,0)</f>
        <v>#N/A</v>
      </c>
      <c r="F2159">
        <v>154</v>
      </c>
      <c r="G2159">
        <v>89</v>
      </c>
    </row>
    <row r="2160" spans="1:7">
      <c r="A2160" t="s">
        <v>7388</v>
      </c>
      <c r="B2160" t="s">
        <v>9547</v>
      </c>
      <c r="C2160" s="1" t="e">
        <f>VLOOKUP(Tabla_Items_Activos[[#This Row],[CODIGO]],Tabla_Items_Completos[[CODIGO]:[LINEA]],2,0)</f>
        <v>#N/A</v>
      </c>
      <c r="D2160" s="1" t="e">
        <f>VLOOKUP(Tabla_Items_Activos[[#This Row],[CODIGO]],Tabla_Items_Completos[[CODIGO]:[LINEA]],3,0)</f>
        <v>#N/A</v>
      </c>
      <c r="E2160" s="1" t="e">
        <f>VLOOKUP(Tabla_Items_Activos[[#This Row],[CODIGO]],Tabla_Items_Completos[[CODIGO]:[LINEA]],4,0)</f>
        <v>#N/A</v>
      </c>
      <c r="F2160">
        <v>184</v>
      </c>
      <c r="G2160">
        <v>7</v>
      </c>
    </row>
    <row r="2161" spans="1:7">
      <c r="A2161" t="s">
        <v>7388</v>
      </c>
      <c r="B2161" t="s">
        <v>9548</v>
      </c>
      <c r="C2161" s="1" t="e">
        <f>VLOOKUP(Tabla_Items_Activos[[#This Row],[CODIGO]],Tabla_Items_Completos[[CODIGO]:[LINEA]],2,0)</f>
        <v>#N/A</v>
      </c>
      <c r="D2161" s="1" t="e">
        <f>VLOOKUP(Tabla_Items_Activos[[#This Row],[CODIGO]],Tabla_Items_Completos[[CODIGO]:[LINEA]],3,0)</f>
        <v>#N/A</v>
      </c>
      <c r="E2161" s="1" t="e">
        <f>VLOOKUP(Tabla_Items_Activos[[#This Row],[CODIGO]],Tabla_Items_Completos[[CODIGO]:[LINEA]],4,0)</f>
        <v>#N/A</v>
      </c>
      <c r="F2161">
        <v>145</v>
      </c>
      <c r="G2161">
        <v>0</v>
      </c>
    </row>
    <row r="2162" spans="1:7">
      <c r="A2162" t="s">
        <v>7388</v>
      </c>
      <c r="B2162" t="s">
        <v>9549</v>
      </c>
      <c r="C2162" s="1" t="e">
        <f>VLOOKUP(Tabla_Items_Activos[[#This Row],[CODIGO]],Tabla_Items_Completos[[CODIGO]:[LINEA]],2,0)</f>
        <v>#N/A</v>
      </c>
      <c r="D2162" s="1" t="e">
        <f>VLOOKUP(Tabla_Items_Activos[[#This Row],[CODIGO]],Tabla_Items_Completos[[CODIGO]:[LINEA]],3,0)</f>
        <v>#N/A</v>
      </c>
      <c r="E2162" s="1" t="e">
        <f>VLOOKUP(Tabla_Items_Activos[[#This Row],[CODIGO]],Tabla_Items_Completos[[CODIGO]:[LINEA]],4,0)</f>
        <v>#N/A</v>
      </c>
      <c r="F2162">
        <v>150</v>
      </c>
      <c r="G2162">
        <v>58</v>
      </c>
    </row>
    <row r="2163" spans="1:7">
      <c r="A2163" t="s">
        <v>7388</v>
      </c>
      <c r="B2163" t="s">
        <v>9550</v>
      </c>
      <c r="C2163" s="1" t="e">
        <f>VLOOKUP(Tabla_Items_Activos[[#This Row],[CODIGO]],Tabla_Items_Completos[[CODIGO]:[LINEA]],2,0)</f>
        <v>#N/A</v>
      </c>
      <c r="D2163" s="1" t="e">
        <f>VLOOKUP(Tabla_Items_Activos[[#This Row],[CODIGO]],Tabla_Items_Completos[[CODIGO]:[LINEA]],3,0)</f>
        <v>#N/A</v>
      </c>
      <c r="E2163" s="1" t="e">
        <f>VLOOKUP(Tabla_Items_Activos[[#This Row],[CODIGO]],Tabla_Items_Completos[[CODIGO]:[LINEA]],4,0)</f>
        <v>#N/A</v>
      </c>
      <c r="F2163">
        <v>123</v>
      </c>
      <c r="G2163">
        <v>0</v>
      </c>
    </row>
    <row r="2164" spans="1:7">
      <c r="A2164" t="s">
        <v>7388</v>
      </c>
      <c r="B2164" t="s">
        <v>9551</v>
      </c>
      <c r="C2164" s="1" t="e">
        <f>VLOOKUP(Tabla_Items_Activos[[#This Row],[CODIGO]],Tabla_Items_Completos[[CODIGO]:[LINEA]],2,0)</f>
        <v>#N/A</v>
      </c>
      <c r="D2164" s="1" t="e">
        <f>VLOOKUP(Tabla_Items_Activos[[#This Row],[CODIGO]],Tabla_Items_Completos[[CODIGO]:[LINEA]],3,0)</f>
        <v>#N/A</v>
      </c>
      <c r="E2164" s="1" t="e">
        <f>VLOOKUP(Tabla_Items_Activos[[#This Row],[CODIGO]],Tabla_Items_Completos[[CODIGO]:[LINEA]],4,0)</f>
        <v>#N/A</v>
      </c>
      <c r="F2164">
        <v>389</v>
      </c>
      <c r="G2164">
        <v>0</v>
      </c>
    </row>
    <row r="2165" spans="1:7">
      <c r="A2165" t="s">
        <v>7388</v>
      </c>
      <c r="B2165" t="s">
        <v>9552</v>
      </c>
      <c r="C2165" s="1" t="e">
        <f>VLOOKUP(Tabla_Items_Activos[[#This Row],[CODIGO]],Tabla_Items_Completos[[CODIGO]:[LINEA]],2,0)</f>
        <v>#N/A</v>
      </c>
      <c r="D2165" s="1" t="e">
        <f>VLOOKUP(Tabla_Items_Activos[[#This Row],[CODIGO]],Tabla_Items_Completos[[CODIGO]:[LINEA]],3,0)</f>
        <v>#N/A</v>
      </c>
      <c r="E2165" s="1" t="e">
        <f>VLOOKUP(Tabla_Items_Activos[[#This Row],[CODIGO]],Tabla_Items_Completos[[CODIGO]:[LINEA]],4,0)</f>
        <v>#N/A</v>
      </c>
      <c r="F2165">
        <v>431</v>
      </c>
      <c r="G2165">
        <v>123</v>
      </c>
    </row>
    <row r="2166" spans="1:7">
      <c r="A2166" t="s">
        <v>7388</v>
      </c>
      <c r="B2166" t="s">
        <v>9553</v>
      </c>
      <c r="C2166" s="1" t="e">
        <f>VLOOKUP(Tabla_Items_Activos[[#This Row],[CODIGO]],Tabla_Items_Completos[[CODIGO]:[LINEA]],2,0)</f>
        <v>#N/A</v>
      </c>
      <c r="D2166" s="1" t="e">
        <f>VLOOKUP(Tabla_Items_Activos[[#This Row],[CODIGO]],Tabla_Items_Completos[[CODIGO]:[LINEA]],3,0)</f>
        <v>#N/A</v>
      </c>
      <c r="E2166" s="1" t="e">
        <f>VLOOKUP(Tabla_Items_Activos[[#This Row],[CODIGO]],Tabla_Items_Completos[[CODIGO]:[LINEA]],4,0)</f>
        <v>#N/A</v>
      </c>
      <c r="F2166">
        <v>50</v>
      </c>
      <c r="G2166">
        <v>102</v>
      </c>
    </row>
    <row r="2167" spans="1:7">
      <c r="A2167" t="s">
        <v>7388</v>
      </c>
      <c r="B2167" t="s">
        <v>9554</v>
      </c>
      <c r="C2167" s="1" t="e">
        <f>VLOOKUP(Tabla_Items_Activos[[#This Row],[CODIGO]],Tabla_Items_Completos[[CODIGO]:[LINEA]],2,0)</f>
        <v>#N/A</v>
      </c>
      <c r="D2167" s="1" t="e">
        <f>VLOOKUP(Tabla_Items_Activos[[#This Row],[CODIGO]],Tabla_Items_Completos[[CODIGO]:[LINEA]],3,0)</f>
        <v>#N/A</v>
      </c>
      <c r="E2167" s="1" t="e">
        <f>VLOOKUP(Tabla_Items_Activos[[#This Row],[CODIGO]],Tabla_Items_Completos[[CODIGO]:[LINEA]],4,0)</f>
        <v>#N/A</v>
      </c>
      <c r="F2167">
        <v>473</v>
      </c>
      <c r="G2167">
        <v>0</v>
      </c>
    </row>
    <row r="2168" spans="1:7">
      <c r="A2168" t="s">
        <v>7388</v>
      </c>
      <c r="B2168" t="s">
        <v>9555</v>
      </c>
      <c r="C2168" s="1" t="e">
        <f>VLOOKUP(Tabla_Items_Activos[[#This Row],[CODIGO]],Tabla_Items_Completos[[CODIGO]:[LINEA]],2,0)</f>
        <v>#N/A</v>
      </c>
      <c r="D2168" s="1" t="e">
        <f>VLOOKUP(Tabla_Items_Activos[[#This Row],[CODIGO]],Tabla_Items_Completos[[CODIGO]:[LINEA]],3,0)</f>
        <v>#N/A</v>
      </c>
      <c r="E2168" s="1" t="e">
        <f>VLOOKUP(Tabla_Items_Activos[[#This Row],[CODIGO]],Tabla_Items_Completos[[CODIGO]:[LINEA]],4,0)</f>
        <v>#N/A</v>
      </c>
      <c r="F2168">
        <v>326</v>
      </c>
      <c r="G2168">
        <v>0</v>
      </c>
    </row>
    <row r="2169" spans="1:7">
      <c r="A2169" t="s">
        <v>7388</v>
      </c>
      <c r="B2169" t="s">
        <v>9556</v>
      </c>
      <c r="C2169" s="1" t="e">
        <f>VLOOKUP(Tabla_Items_Activos[[#This Row],[CODIGO]],Tabla_Items_Completos[[CODIGO]:[LINEA]],2,0)</f>
        <v>#N/A</v>
      </c>
      <c r="D2169" s="1" t="e">
        <f>VLOOKUP(Tabla_Items_Activos[[#This Row],[CODIGO]],Tabla_Items_Completos[[CODIGO]:[LINEA]],3,0)</f>
        <v>#N/A</v>
      </c>
      <c r="E2169" s="1" t="e">
        <f>VLOOKUP(Tabla_Items_Activos[[#This Row],[CODIGO]],Tabla_Items_Completos[[CODIGO]:[LINEA]],4,0)</f>
        <v>#N/A</v>
      </c>
      <c r="F2169">
        <v>753</v>
      </c>
      <c r="G2169">
        <v>50</v>
      </c>
    </row>
    <row r="2170" spans="1:7">
      <c r="A2170" t="s">
        <v>7388</v>
      </c>
      <c r="B2170" t="s">
        <v>9557</v>
      </c>
      <c r="C2170" s="1" t="e">
        <f>VLOOKUP(Tabla_Items_Activos[[#This Row],[CODIGO]],Tabla_Items_Completos[[CODIGO]:[LINEA]],2,0)</f>
        <v>#N/A</v>
      </c>
      <c r="D2170" s="1" t="e">
        <f>VLOOKUP(Tabla_Items_Activos[[#This Row],[CODIGO]],Tabla_Items_Completos[[CODIGO]:[LINEA]],3,0)</f>
        <v>#N/A</v>
      </c>
      <c r="E2170" s="1" t="e">
        <f>VLOOKUP(Tabla_Items_Activos[[#This Row],[CODIGO]],Tabla_Items_Completos[[CODIGO]:[LINEA]],4,0)</f>
        <v>#N/A</v>
      </c>
      <c r="F2170">
        <v>263</v>
      </c>
      <c r="G2170">
        <v>60</v>
      </c>
    </row>
    <row r="2171" spans="1:7">
      <c r="A2171" t="s">
        <v>7388</v>
      </c>
      <c r="B2171" t="s">
        <v>9558</v>
      </c>
      <c r="C2171" s="1" t="e">
        <f>VLOOKUP(Tabla_Items_Activos[[#This Row],[CODIGO]],Tabla_Items_Completos[[CODIGO]:[LINEA]],2,0)</f>
        <v>#N/A</v>
      </c>
      <c r="D2171" s="1" t="e">
        <f>VLOOKUP(Tabla_Items_Activos[[#This Row],[CODIGO]],Tabla_Items_Completos[[CODIGO]:[LINEA]],3,0)</f>
        <v>#N/A</v>
      </c>
      <c r="E2171" s="1" t="e">
        <f>VLOOKUP(Tabla_Items_Activos[[#This Row],[CODIGO]],Tabla_Items_Completos[[CODIGO]:[LINEA]],4,0)</f>
        <v>#N/A</v>
      </c>
      <c r="F2171">
        <v>1355</v>
      </c>
      <c r="G2171">
        <v>53</v>
      </c>
    </row>
    <row r="2172" spans="1:7">
      <c r="A2172" t="s">
        <v>7388</v>
      </c>
      <c r="B2172" t="s">
        <v>9559</v>
      </c>
      <c r="C2172" s="1" t="e">
        <f>VLOOKUP(Tabla_Items_Activos[[#This Row],[CODIGO]],Tabla_Items_Completos[[CODIGO]:[LINEA]],2,0)</f>
        <v>#N/A</v>
      </c>
      <c r="D2172" s="1" t="e">
        <f>VLOOKUP(Tabla_Items_Activos[[#This Row],[CODIGO]],Tabla_Items_Completos[[CODIGO]:[LINEA]],3,0)</f>
        <v>#N/A</v>
      </c>
      <c r="E2172" s="1" t="e">
        <f>VLOOKUP(Tabla_Items_Activos[[#This Row],[CODIGO]],Tabla_Items_Completos[[CODIGO]:[LINEA]],4,0)</f>
        <v>#N/A</v>
      </c>
      <c r="F2172">
        <v>498</v>
      </c>
      <c r="G2172">
        <v>0</v>
      </c>
    </row>
    <row r="2173" spans="1:7">
      <c r="A2173" t="s">
        <v>7388</v>
      </c>
      <c r="B2173" t="s">
        <v>9560</v>
      </c>
      <c r="C2173" s="1" t="e">
        <f>VLOOKUP(Tabla_Items_Activos[[#This Row],[CODIGO]],Tabla_Items_Completos[[CODIGO]:[LINEA]],2,0)</f>
        <v>#N/A</v>
      </c>
      <c r="D2173" s="1" t="e">
        <f>VLOOKUP(Tabla_Items_Activos[[#This Row],[CODIGO]],Tabla_Items_Completos[[CODIGO]:[LINEA]],3,0)</f>
        <v>#N/A</v>
      </c>
      <c r="E2173" s="1" t="e">
        <f>VLOOKUP(Tabla_Items_Activos[[#This Row],[CODIGO]],Tabla_Items_Completos[[CODIGO]:[LINEA]],4,0)</f>
        <v>#N/A</v>
      </c>
      <c r="F2173">
        <v>430</v>
      </c>
      <c r="G2173">
        <v>0</v>
      </c>
    </row>
    <row r="2174" spans="1:7">
      <c r="A2174" t="s">
        <v>7388</v>
      </c>
      <c r="B2174" t="s">
        <v>9561</v>
      </c>
      <c r="C2174" s="1" t="e">
        <f>VLOOKUP(Tabla_Items_Activos[[#This Row],[CODIGO]],Tabla_Items_Completos[[CODIGO]:[LINEA]],2,0)</f>
        <v>#N/A</v>
      </c>
      <c r="D2174" s="1" t="e">
        <f>VLOOKUP(Tabla_Items_Activos[[#This Row],[CODIGO]],Tabla_Items_Completos[[CODIGO]:[LINEA]],3,0)</f>
        <v>#N/A</v>
      </c>
      <c r="E2174" s="1" t="e">
        <f>VLOOKUP(Tabla_Items_Activos[[#This Row],[CODIGO]],Tabla_Items_Completos[[CODIGO]:[LINEA]],4,0)</f>
        <v>#N/A</v>
      </c>
      <c r="F2174">
        <v>243</v>
      </c>
      <c r="G2174">
        <v>125</v>
      </c>
    </row>
    <row r="2175" spans="1:7">
      <c r="A2175" t="s">
        <v>7388</v>
      </c>
      <c r="B2175" t="s">
        <v>9562</v>
      </c>
      <c r="C2175" s="1" t="e">
        <f>VLOOKUP(Tabla_Items_Activos[[#This Row],[CODIGO]],Tabla_Items_Completos[[CODIGO]:[LINEA]],2,0)</f>
        <v>#N/A</v>
      </c>
      <c r="D2175" s="1" t="e">
        <f>VLOOKUP(Tabla_Items_Activos[[#This Row],[CODIGO]],Tabla_Items_Completos[[CODIGO]:[LINEA]],3,0)</f>
        <v>#N/A</v>
      </c>
      <c r="E2175" s="1" t="e">
        <f>VLOOKUP(Tabla_Items_Activos[[#This Row],[CODIGO]],Tabla_Items_Completos[[CODIGO]:[LINEA]],4,0)</f>
        <v>#N/A</v>
      </c>
      <c r="F2175">
        <v>1335</v>
      </c>
      <c r="G2175">
        <v>0</v>
      </c>
    </row>
    <row r="2176" spans="1:7">
      <c r="A2176" t="s">
        <v>7388</v>
      </c>
      <c r="B2176" t="s">
        <v>9563</v>
      </c>
      <c r="C2176" s="1" t="e">
        <f>VLOOKUP(Tabla_Items_Activos[[#This Row],[CODIGO]],Tabla_Items_Completos[[CODIGO]:[LINEA]],2,0)</f>
        <v>#N/A</v>
      </c>
      <c r="D2176" s="1" t="e">
        <f>VLOOKUP(Tabla_Items_Activos[[#This Row],[CODIGO]],Tabla_Items_Completos[[CODIGO]:[LINEA]],3,0)</f>
        <v>#N/A</v>
      </c>
      <c r="E2176" s="1" t="e">
        <f>VLOOKUP(Tabla_Items_Activos[[#This Row],[CODIGO]],Tabla_Items_Completos[[CODIGO]:[LINEA]],4,0)</f>
        <v>#N/A</v>
      </c>
      <c r="F2176">
        <v>50</v>
      </c>
      <c r="G2176">
        <v>251</v>
      </c>
    </row>
    <row r="2177" spans="1:7">
      <c r="A2177" t="s">
        <v>7388</v>
      </c>
      <c r="B2177" t="s">
        <v>9564</v>
      </c>
      <c r="C2177" s="1" t="e">
        <f>VLOOKUP(Tabla_Items_Activos[[#This Row],[CODIGO]],Tabla_Items_Completos[[CODIGO]:[LINEA]],2,0)</f>
        <v>#N/A</v>
      </c>
      <c r="D2177" s="1" t="e">
        <f>VLOOKUP(Tabla_Items_Activos[[#This Row],[CODIGO]],Tabla_Items_Completos[[CODIGO]:[LINEA]],3,0)</f>
        <v>#N/A</v>
      </c>
      <c r="E2177" s="1" t="e">
        <f>VLOOKUP(Tabla_Items_Activos[[#This Row],[CODIGO]],Tabla_Items_Completos[[CODIGO]:[LINEA]],4,0)</f>
        <v>#N/A</v>
      </c>
      <c r="F2177">
        <v>1576</v>
      </c>
      <c r="G2177">
        <v>0</v>
      </c>
    </row>
    <row r="2178" spans="1:7">
      <c r="A2178" t="s">
        <v>7388</v>
      </c>
      <c r="B2178" t="s">
        <v>9565</v>
      </c>
      <c r="C2178" s="1" t="e">
        <f>VLOOKUP(Tabla_Items_Activos[[#This Row],[CODIGO]],Tabla_Items_Completos[[CODIGO]:[LINEA]],2,0)</f>
        <v>#N/A</v>
      </c>
      <c r="D2178" s="1" t="e">
        <f>VLOOKUP(Tabla_Items_Activos[[#This Row],[CODIGO]],Tabla_Items_Completos[[CODIGO]:[LINEA]],3,0)</f>
        <v>#N/A</v>
      </c>
      <c r="E2178" s="1" t="e">
        <f>VLOOKUP(Tabla_Items_Activos[[#This Row],[CODIGO]],Tabla_Items_Completos[[CODIGO]:[LINEA]],4,0)</f>
        <v>#N/A</v>
      </c>
      <c r="F2178">
        <v>11</v>
      </c>
      <c r="G2178">
        <v>0</v>
      </c>
    </row>
    <row r="2179" spans="1:7">
      <c r="A2179" t="s">
        <v>7388</v>
      </c>
      <c r="B2179" t="s">
        <v>9566</v>
      </c>
      <c r="C2179" s="1" t="e">
        <f>VLOOKUP(Tabla_Items_Activos[[#This Row],[CODIGO]],Tabla_Items_Completos[[CODIGO]:[LINEA]],2,0)</f>
        <v>#N/A</v>
      </c>
      <c r="D2179" s="1" t="e">
        <f>VLOOKUP(Tabla_Items_Activos[[#This Row],[CODIGO]],Tabla_Items_Completos[[CODIGO]:[LINEA]],3,0)</f>
        <v>#N/A</v>
      </c>
      <c r="E2179" s="1" t="e">
        <f>VLOOKUP(Tabla_Items_Activos[[#This Row],[CODIGO]],Tabla_Items_Completos[[CODIGO]:[LINEA]],4,0)</f>
        <v>#N/A</v>
      </c>
      <c r="F2179">
        <v>326</v>
      </c>
      <c r="G2179">
        <v>822</v>
      </c>
    </row>
    <row r="2180" spans="1:7">
      <c r="A2180" t="s">
        <v>7388</v>
      </c>
      <c r="B2180" t="s">
        <v>9567</v>
      </c>
      <c r="C2180" s="1" t="e">
        <f>VLOOKUP(Tabla_Items_Activos[[#This Row],[CODIGO]],Tabla_Items_Completos[[CODIGO]:[LINEA]],2,0)</f>
        <v>#N/A</v>
      </c>
      <c r="D2180" s="1" t="e">
        <f>VLOOKUP(Tabla_Items_Activos[[#This Row],[CODIGO]],Tabla_Items_Completos[[CODIGO]:[LINEA]],3,0)</f>
        <v>#N/A</v>
      </c>
      <c r="E2180" s="1" t="e">
        <f>VLOOKUP(Tabla_Items_Activos[[#This Row],[CODIGO]],Tabla_Items_Completos[[CODIGO]:[LINEA]],4,0)</f>
        <v>#N/A</v>
      </c>
      <c r="F2180">
        <v>1706</v>
      </c>
      <c r="G2180">
        <v>0</v>
      </c>
    </row>
    <row r="2181" spans="1:7">
      <c r="A2181" t="s">
        <v>7388</v>
      </c>
      <c r="B2181" t="s">
        <v>9568</v>
      </c>
      <c r="C2181" s="1" t="e">
        <f>VLOOKUP(Tabla_Items_Activos[[#This Row],[CODIGO]],Tabla_Items_Completos[[CODIGO]:[LINEA]],2,0)</f>
        <v>#N/A</v>
      </c>
      <c r="D2181" s="1" t="e">
        <f>VLOOKUP(Tabla_Items_Activos[[#This Row],[CODIGO]],Tabla_Items_Completos[[CODIGO]:[LINEA]],3,0)</f>
        <v>#N/A</v>
      </c>
      <c r="E2181" s="1" t="e">
        <f>VLOOKUP(Tabla_Items_Activos[[#This Row],[CODIGO]],Tabla_Items_Completos[[CODIGO]:[LINEA]],4,0)</f>
        <v>#N/A</v>
      </c>
      <c r="F2181">
        <v>1203</v>
      </c>
      <c r="G2181">
        <v>196</v>
      </c>
    </row>
    <row r="2182" spans="1:7">
      <c r="A2182" t="s">
        <v>7388</v>
      </c>
      <c r="B2182" t="s">
        <v>9569</v>
      </c>
      <c r="C2182" s="1" t="e">
        <f>VLOOKUP(Tabla_Items_Activos[[#This Row],[CODIGO]],Tabla_Items_Completos[[CODIGO]:[LINEA]],2,0)</f>
        <v>#N/A</v>
      </c>
      <c r="D2182" s="1" t="e">
        <f>VLOOKUP(Tabla_Items_Activos[[#This Row],[CODIGO]],Tabla_Items_Completos[[CODIGO]:[LINEA]],3,0)</f>
        <v>#N/A</v>
      </c>
      <c r="E2182" s="1" t="e">
        <f>VLOOKUP(Tabla_Items_Activos[[#This Row],[CODIGO]],Tabla_Items_Completos[[CODIGO]:[LINEA]],4,0)</f>
        <v>#N/A</v>
      </c>
      <c r="F2182">
        <v>342</v>
      </c>
      <c r="G2182">
        <v>4</v>
      </c>
    </row>
    <row r="2183" spans="1:7">
      <c r="A2183" t="s">
        <v>7388</v>
      </c>
      <c r="B2183" t="s">
        <v>9570</v>
      </c>
      <c r="C2183" s="1" t="e">
        <f>VLOOKUP(Tabla_Items_Activos[[#This Row],[CODIGO]],Tabla_Items_Completos[[CODIGO]:[LINEA]],2,0)</f>
        <v>#N/A</v>
      </c>
      <c r="D2183" s="1" t="e">
        <f>VLOOKUP(Tabla_Items_Activos[[#This Row],[CODIGO]],Tabla_Items_Completos[[CODIGO]:[LINEA]],3,0)</f>
        <v>#N/A</v>
      </c>
      <c r="E2183" s="1" t="e">
        <f>VLOOKUP(Tabla_Items_Activos[[#This Row],[CODIGO]],Tabla_Items_Completos[[CODIGO]:[LINEA]],4,0)</f>
        <v>#N/A</v>
      </c>
      <c r="F2183">
        <v>2745</v>
      </c>
      <c r="G2183">
        <v>1403</v>
      </c>
    </row>
    <row r="2184" spans="1:7">
      <c r="A2184" t="s">
        <v>7388</v>
      </c>
      <c r="B2184" t="s">
        <v>9571</v>
      </c>
      <c r="C2184" s="1" t="e">
        <f>VLOOKUP(Tabla_Items_Activos[[#This Row],[CODIGO]],Tabla_Items_Completos[[CODIGO]:[LINEA]],2,0)</f>
        <v>#N/A</v>
      </c>
      <c r="D2184" s="1" t="e">
        <f>VLOOKUP(Tabla_Items_Activos[[#This Row],[CODIGO]],Tabla_Items_Completos[[CODIGO]:[LINEA]],3,0)</f>
        <v>#N/A</v>
      </c>
      <c r="E2184" s="1" t="e">
        <f>VLOOKUP(Tabla_Items_Activos[[#This Row],[CODIGO]],Tabla_Items_Completos[[CODIGO]:[LINEA]],4,0)</f>
        <v>#N/A</v>
      </c>
      <c r="F2184">
        <v>1838</v>
      </c>
      <c r="G2184">
        <v>713</v>
      </c>
    </row>
    <row r="2185" spans="1:7">
      <c r="A2185" t="s">
        <v>7388</v>
      </c>
      <c r="B2185" t="s">
        <v>9572</v>
      </c>
      <c r="C2185" s="1" t="e">
        <f>VLOOKUP(Tabla_Items_Activos[[#This Row],[CODIGO]],Tabla_Items_Completos[[CODIGO]:[LINEA]],2,0)</f>
        <v>#N/A</v>
      </c>
      <c r="D2185" s="1" t="e">
        <f>VLOOKUP(Tabla_Items_Activos[[#This Row],[CODIGO]],Tabla_Items_Completos[[CODIGO]:[LINEA]],3,0)</f>
        <v>#N/A</v>
      </c>
      <c r="E2185" s="1" t="e">
        <f>VLOOKUP(Tabla_Items_Activos[[#This Row],[CODIGO]],Tabla_Items_Completos[[CODIGO]:[LINEA]],4,0)</f>
        <v>#N/A</v>
      </c>
      <c r="F2185">
        <v>692</v>
      </c>
      <c r="G2185">
        <v>0</v>
      </c>
    </row>
    <row r="2186" spans="1:7">
      <c r="A2186" t="s">
        <v>7388</v>
      </c>
      <c r="B2186" t="s">
        <v>9573</v>
      </c>
      <c r="C2186" s="1" t="e">
        <f>VLOOKUP(Tabla_Items_Activos[[#This Row],[CODIGO]],Tabla_Items_Completos[[CODIGO]:[LINEA]],2,0)</f>
        <v>#N/A</v>
      </c>
      <c r="D2186" s="1" t="e">
        <f>VLOOKUP(Tabla_Items_Activos[[#This Row],[CODIGO]],Tabla_Items_Completos[[CODIGO]:[LINEA]],3,0)</f>
        <v>#N/A</v>
      </c>
      <c r="E2186" s="1" t="e">
        <f>VLOOKUP(Tabla_Items_Activos[[#This Row],[CODIGO]],Tabla_Items_Completos[[CODIGO]:[LINEA]],4,0)</f>
        <v>#N/A</v>
      </c>
      <c r="F2186">
        <v>510</v>
      </c>
      <c r="G2186">
        <v>5</v>
      </c>
    </row>
    <row r="2187" spans="1:7">
      <c r="A2187" t="s">
        <v>7388</v>
      </c>
      <c r="B2187" t="s">
        <v>9574</v>
      </c>
      <c r="C2187" s="1" t="e">
        <f>VLOOKUP(Tabla_Items_Activos[[#This Row],[CODIGO]],Tabla_Items_Completos[[CODIGO]:[LINEA]],2,0)</f>
        <v>#N/A</v>
      </c>
      <c r="D2187" s="1" t="e">
        <f>VLOOKUP(Tabla_Items_Activos[[#This Row],[CODIGO]],Tabla_Items_Completos[[CODIGO]:[LINEA]],3,0)</f>
        <v>#N/A</v>
      </c>
      <c r="E2187" s="1" t="e">
        <f>VLOOKUP(Tabla_Items_Activos[[#This Row],[CODIGO]],Tabla_Items_Completos[[CODIGO]:[LINEA]],4,0)</f>
        <v>#N/A</v>
      </c>
      <c r="F2187">
        <v>962</v>
      </c>
      <c r="G2187">
        <v>136</v>
      </c>
    </row>
    <row r="2188" spans="1:7">
      <c r="A2188" t="s">
        <v>7388</v>
      </c>
      <c r="B2188" t="s">
        <v>9575</v>
      </c>
      <c r="C2188" s="1" t="e">
        <f>VLOOKUP(Tabla_Items_Activos[[#This Row],[CODIGO]],Tabla_Items_Completos[[CODIGO]:[LINEA]],2,0)</f>
        <v>#N/A</v>
      </c>
      <c r="D2188" s="1" t="e">
        <f>VLOOKUP(Tabla_Items_Activos[[#This Row],[CODIGO]],Tabla_Items_Completos[[CODIGO]:[LINEA]],3,0)</f>
        <v>#N/A</v>
      </c>
      <c r="E2188" s="1" t="e">
        <f>VLOOKUP(Tabla_Items_Activos[[#This Row],[CODIGO]],Tabla_Items_Completos[[CODIGO]:[LINEA]],4,0)</f>
        <v>#N/A</v>
      </c>
      <c r="F2188">
        <v>552</v>
      </c>
      <c r="G2188">
        <v>40</v>
      </c>
    </row>
    <row r="2189" spans="1:7">
      <c r="A2189" t="s">
        <v>7388</v>
      </c>
      <c r="B2189" t="s">
        <v>9576</v>
      </c>
      <c r="C2189" s="1" t="e">
        <f>VLOOKUP(Tabla_Items_Activos[[#This Row],[CODIGO]],Tabla_Items_Completos[[CODIGO]:[LINEA]],2,0)</f>
        <v>#N/A</v>
      </c>
      <c r="D2189" s="1" t="e">
        <f>VLOOKUP(Tabla_Items_Activos[[#This Row],[CODIGO]],Tabla_Items_Completos[[CODIGO]:[LINEA]],3,0)</f>
        <v>#N/A</v>
      </c>
      <c r="E2189" s="1" t="e">
        <f>VLOOKUP(Tabla_Items_Activos[[#This Row],[CODIGO]],Tabla_Items_Completos[[CODIGO]:[LINEA]],4,0)</f>
        <v>#N/A</v>
      </c>
      <c r="F2189">
        <v>1340</v>
      </c>
      <c r="G2189">
        <v>0</v>
      </c>
    </row>
    <row r="2190" spans="1:7">
      <c r="A2190" t="s">
        <v>7388</v>
      </c>
      <c r="B2190" t="s">
        <v>9577</v>
      </c>
      <c r="C2190" s="1" t="e">
        <f>VLOOKUP(Tabla_Items_Activos[[#This Row],[CODIGO]],Tabla_Items_Completos[[CODIGO]:[LINEA]],2,0)</f>
        <v>#N/A</v>
      </c>
      <c r="D2190" s="1" t="e">
        <f>VLOOKUP(Tabla_Items_Activos[[#This Row],[CODIGO]],Tabla_Items_Completos[[CODIGO]:[LINEA]],3,0)</f>
        <v>#N/A</v>
      </c>
      <c r="E2190" s="1" t="e">
        <f>VLOOKUP(Tabla_Items_Activos[[#This Row],[CODIGO]],Tabla_Items_Completos[[CODIGO]:[LINEA]],4,0)</f>
        <v>#N/A</v>
      </c>
      <c r="F2190">
        <v>1828</v>
      </c>
      <c r="G2190">
        <v>0</v>
      </c>
    </row>
    <row r="2191" spans="1:7">
      <c r="A2191" t="s">
        <v>7388</v>
      </c>
      <c r="B2191" t="s">
        <v>9578</v>
      </c>
      <c r="C2191" s="1" t="e">
        <f>VLOOKUP(Tabla_Items_Activos[[#This Row],[CODIGO]],Tabla_Items_Completos[[CODIGO]:[LINEA]],2,0)</f>
        <v>#N/A</v>
      </c>
      <c r="D2191" s="1" t="e">
        <f>VLOOKUP(Tabla_Items_Activos[[#This Row],[CODIGO]],Tabla_Items_Completos[[CODIGO]:[LINEA]],3,0)</f>
        <v>#N/A</v>
      </c>
      <c r="E2191" s="1" t="e">
        <f>VLOOKUP(Tabla_Items_Activos[[#This Row],[CODIGO]],Tabla_Items_Completos[[CODIGO]:[LINEA]],4,0)</f>
        <v>#N/A</v>
      </c>
      <c r="F2191">
        <v>391</v>
      </c>
      <c r="G2191">
        <v>99</v>
      </c>
    </row>
    <row r="2192" spans="1:7">
      <c r="A2192" t="s">
        <v>7388</v>
      </c>
      <c r="B2192" t="s">
        <v>9579</v>
      </c>
      <c r="C2192" s="1" t="e">
        <f>VLOOKUP(Tabla_Items_Activos[[#This Row],[CODIGO]],Tabla_Items_Completos[[CODIGO]:[LINEA]],2,0)</f>
        <v>#N/A</v>
      </c>
      <c r="D2192" s="1" t="e">
        <f>VLOOKUP(Tabla_Items_Activos[[#This Row],[CODIGO]],Tabla_Items_Completos[[CODIGO]:[LINEA]],3,0)</f>
        <v>#N/A</v>
      </c>
      <c r="E2192" s="1" t="e">
        <f>VLOOKUP(Tabla_Items_Activos[[#This Row],[CODIGO]],Tabla_Items_Completos[[CODIGO]:[LINEA]],4,0)</f>
        <v>#N/A</v>
      </c>
      <c r="F2192">
        <v>152</v>
      </c>
      <c r="G2192">
        <v>55</v>
      </c>
    </row>
    <row r="2193" spans="1:7">
      <c r="A2193" t="s">
        <v>7388</v>
      </c>
      <c r="B2193" t="s">
        <v>9580</v>
      </c>
      <c r="C2193" s="1" t="e">
        <f>VLOOKUP(Tabla_Items_Activos[[#This Row],[CODIGO]],Tabla_Items_Completos[[CODIGO]:[LINEA]],2,0)</f>
        <v>#N/A</v>
      </c>
      <c r="D2193" s="1" t="e">
        <f>VLOOKUP(Tabla_Items_Activos[[#This Row],[CODIGO]],Tabla_Items_Completos[[CODIGO]:[LINEA]],3,0)</f>
        <v>#N/A</v>
      </c>
      <c r="E2193" s="1" t="e">
        <f>VLOOKUP(Tabla_Items_Activos[[#This Row],[CODIGO]],Tabla_Items_Completos[[CODIGO]:[LINEA]],4,0)</f>
        <v>#N/A</v>
      </c>
      <c r="F2193">
        <v>293</v>
      </c>
      <c r="G2193">
        <v>764</v>
      </c>
    </row>
    <row r="2194" spans="1:7">
      <c r="A2194" t="s">
        <v>7388</v>
      </c>
      <c r="B2194" t="s">
        <v>9581</v>
      </c>
      <c r="C2194" s="1" t="e">
        <f>VLOOKUP(Tabla_Items_Activos[[#This Row],[CODIGO]],Tabla_Items_Completos[[CODIGO]:[LINEA]],2,0)</f>
        <v>#N/A</v>
      </c>
      <c r="D2194" s="1" t="e">
        <f>VLOOKUP(Tabla_Items_Activos[[#This Row],[CODIGO]],Tabla_Items_Completos[[CODIGO]:[LINEA]],3,0)</f>
        <v>#N/A</v>
      </c>
      <c r="E2194" s="1" t="e">
        <f>VLOOKUP(Tabla_Items_Activos[[#This Row],[CODIGO]],Tabla_Items_Completos[[CODIGO]:[LINEA]],4,0)</f>
        <v>#N/A</v>
      </c>
      <c r="F2194">
        <v>280</v>
      </c>
      <c r="G2194">
        <v>753</v>
      </c>
    </row>
    <row r="2195" spans="1:7">
      <c r="A2195" t="s">
        <v>7388</v>
      </c>
      <c r="B2195" t="s">
        <v>9582</v>
      </c>
      <c r="C2195" s="1" t="e">
        <f>VLOOKUP(Tabla_Items_Activos[[#This Row],[CODIGO]],Tabla_Items_Completos[[CODIGO]:[LINEA]],2,0)</f>
        <v>#N/A</v>
      </c>
      <c r="D2195" s="1" t="e">
        <f>VLOOKUP(Tabla_Items_Activos[[#This Row],[CODIGO]],Tabla_Items_Completos[[CODIGO]:[LINEA]],3,0)</f>
        <v>#N/A</v>
      </c>
      <c r="E2195" s="1" t="e">
        <f>VLOOKUP(Tabla_Items_Activos[[#This Row],[CODIGO]],Tabla_Items_Completos[[CODIGO]:[LINEA]],4,0)</f>
        <v>#N/A</v>
      </c>
      <c r="F2195">
        <v>189</v>
      </c>
      <c r="G2195">
        <v>342</v>
      </c>
    </row>
    <row r="2196" spans="1:7">
      <c r="A2196" t="s">
        <v>7388</v>
      </c>
      <c r="B2196" t="s">
        <v>9583</v>
      </c>
      <c r="C2196" s="1" t="e">
        <f>VLOOKUP(Tabla_Items_Activos[[#This Row],[CODIGO]],Tabla_Items_Completos[[CODIGO]:[LINEA]],2,0)</f>
        <v>#N/A</v>
      </c>
      <c r="D2196" s="1" t="e">
        <f>VLOOKUP(Tabla_Items_Activos[[#This Row],[CODIGO]],Tabla_Items_Completos[[CODIGO]:[LINEA]],3,0)</f>
        <v>#N/A</v>
      </c>
      <c r="E2196" s="1" t="e">
        <f>VLOOKUP(Tabla_Items_Activos[[#This Row],[CODIGO]],Tabla_Items_Completos[[CODIGO]:[LINEA]],4,0)</f>
        <v>#N/A</v>
      </c>
      <c r="F2196">
        <v>281</v>
      </c>
      <c r="G2196">
        <v>9</v>
      </c>
    </row>
    <row r="2197" spans="1:7">
      <c r="A2197" t="s">
        <v>7388</v>
      </c>
      <c r="B2197" t="s">
        <v>9584</v>
      </c>
      <c r="C2197" s="1" t="e">
        <f>VLOOKUP(Tabla_Items_Activos[[#This Row],[CODIGO]],Tabla_Items_Completos[[CODIGO]:[LINEA]],2,0)</f>
        <v>#N/A</v>
      </c>
      <c r="D2197" s="1" t="e">
        <f>VLOOKUP(Tabla_Items_Activos[[#This Row],[CODIGO]],Tabla_Items_Completos[[CODIGO]:[LINEA]],3,0)</f>
        <v>#N/A</v>
      </c>
      <c r="E2197" s="1" t="e">
        <f>VLOOKUP(Tabla_Items_Activos[[#This Row],[CODIGO]],Tabla_Items_Completos[[CODIGO]:[LINEA]],4,0)</f>
        <v>#N/A</v>
      </c>
      <c r="F2197">
        <v>908</v>
      </c>
      <c r="G2197">
        <v>357</v>
      </c>
    </row>
    <row r="2198" spans="1:7">
      <c r="A2198" t="s">
        <v>7388</v>
      </c>
      <c r="B2198" t="s">
        <v>9585</v>
      </c>
      <c r="C2198" s="1" t="e">
        <f>VLOOKUP(Tabla_Items_Activos[[#This Row],[CODIGO]],Tabla_Items_Completos[[CODIGO]:[LINEA]],2,0)</f>
        <v>#N/A</v>
      </c>
      <c r="D2198" s="1" t="e">
        <f>VLOOKUP(Tabla_Items_Activos[[#This Row],[CODIGO]],Tabla_Items_Completos[[CODIGO]:[LINEA]],3,0)</f>
        <v>#N/A</v>
      </c>
      <c r="E2198" s="1" t="e">
        <f>VLOOKUP(Tabla_Items_Activos[[#This Row],[CODIGO]],Tabla_Items_Completos[[CODIGO]:[LINEA]],4,0)</f>
        <v>#N/A</v>
      </c>
      <c r="F2198">
        <v>1077</v>
      </c>
      <c r="G2198">
        <v>58</v>
      </c>
    </row>
    <row r="2199" spans="1:7">
      <c r="A2199" t="s">
        <v>7388</v>
      </c>
      <c r="B2199" t="s">
        <v>9586</v>
      </c>
      <c r="C2199" s="1" t="e">
        <f>VLOOKUP(Tabla_Items_Activos[[#This Row],[CODIGO]],Tabla_Items_Completos[[CODIGO]:[LINEA]],2,0)</f>
        <v>#N/A</v>
      </c>
      <c r="D2199" s="1" t="e">
        <f>VLOOKUP(Tabla_Items_Activos[[#This Row],[CODIGO]],Tabla_Items_Completos[[CODIGO]:[LINEA]],3,0)</f>
        <v>#N/A</v>
      </c>
      <c r="E2199" s="1" t="e">
        <f>VLOOKUP(Tabla_Items_Activos[[#This Row],[CODIGO]],Tabla_Items_Completos[[CODIGO]:[LINEA]],4,0)</f>
        <v>#N/A</v>
      </c>
      <c r="F2199">
        <v>9608</v>
      </c>
      <c r="G2199">
        <v>0</v>
      </c>
    </row>
    <row r="2200" spans="1:7">
      <c r="A2200" t="s">
        <v>7388</v>
      </c>
      <c r="B2200" t="s">
        <v>9587</v>
      </c>
      <c r="C2200" s="1" t="e">
        <f>VLOOKUP(Tabla_Items_Activos[[#This Row],[CODIGO]],Tabla_Items_Completos[[CODIGO]:[LINEA]],2,0)</f>
        <v>#N/A</v>
      </c>
      <c r="D2200" s="1" t="e">
        <f>VLOOKUP(Tabla_Items_Activos[[#This Row],[CODIGO]],Tabla_Items_Completos[[CODIGO]:[LINEA]],3,0)</f>
        <v>#N/A</v>
      </c>
      <c r="E2200" s="1" t="e">
        <f>VLOOKUP(Tabla_Items_Activos[[#This Row],[CODIGO]],Tabla_Items_Completos[[CODIGO]:[LINEA]],4,0)</f>
        <v>#N/A</v>
      </c>
      <c r="F2200">
        <v>13498</v>
      </c>
      <c r="G2200">
        <v>0</v>
      </c>
    </row>
    <row r="2201" spans="1:7">
      <c r="A2201" t="s">
        <v>7388</v>
      </c>
      <c r="B2201" t="s">
        <v>9588</v>
      </c>
      <c r="C2201" s="1" t="e">
        <f>VLOOKUP(Tabla_Items_Activos[[#This Row],[CODIGO]],Tabla_Items_Completos[[CODIGO]:[LINEA]],2,0)</f>
        <v>#N/A</v>
      </c>
      <c r="D2201" s="1" t="e">
        <f>VLOOKUP(Tabla_Items_Activos[[#This Row],[CODIGO]],Tabla_Items_Completos[[CODIGO]:[LINEA]],3,0)</f>
        <v>#N/A</v>
      </c>
      <c r="E2201" s="1" t="e">
        <f>VLOOKUP(Tabla_Items_Activos[[#This Row],[CODIGO]],Tabla_Items_Completos[[CODIGO]:[LINEA]],4,0)</f>
        <v>#N/A</v>
      </c>
      <c r="F2201">
        <v>15278</v>
      </c>
      <c r="G2201">
        <v>0</v>
      </c>
    </row>
    <row r="2202" spans="1:7">
      <c r="A2202" t="s">
        <v>7388</v>
      </c>
      <c r="B2202" t="s">
        <v>9589</v>
      </c>
      <c r="C2202" s="1" t="e">
        <f>VLOOKUP(Tabla_Items_Activos[[#This Row],[CODIGO]],Tabla_Items_Completos[[CODIGO]:[LINEA]],2,0)</f>
        <v>#N/A</v>
      </c>
      <c r="D2202" s="1" t="e">
        <f>VLOOKUP(Tabla_Items_Activos[[#This Row],[CODIGO]],Tabla_Items_Completos[[CODIGO]:[LINEA]],3,0)</f>
        <v>#N/A</v>
      </c>
      <c r="E2202" s="1" t="e">
        <f>VLOOKUP(Tabla_Items_Activos[[#This Row],[CODIGO]],Tabla_Items_Completos[[CODIGO]:[LINEA]],4,0)</f>
        <v>#N/A</v>
      </c>
      <c r="F2202">
        <v>9451</v>
      </c>
      <c r="G2202">
        <v>0</v>
      </c>
    </row>
    <row r="2203" spans="1:7">
      <c r="A2203" t="s">
        <v>7388</v>
      </c>
      <c r="B2203" t="s">
        <v>9590</v>
      </c>
      <c r="C2203" s="1" t="e">
        <f>VLOOKUP(Tabla_Items_Activos[[#This Row],[CODIGO]],Tabla_Items_Completos[[CODIGO]:[LINEA]],2,0)</f>
        <v>#N/A</v>
      </c>
      <c r="D2203" s="1" t="e">
        <f>VLOOKUP(Tabla_Items_Activos[[#This Row],[CODIGO]],Tabla_Items_Completos[[CODIGO]:[LINEA]],3,0)</f>
        <v>#N/A</v>
      </c>
      <c r="E2203" s="1" t="e">
        <f>VLOOKUP(Tabla_Items_Activos[[#This Row],[CODIGO]],Tabla_Items_Completos[[CODIGO]:[LINEA]],4,0)</f>
        <v>#N/A</v>
      </c>
      <c r="F2203">
        <v>6458</v>
      </c>
      <c r="G2203">
        <v>0</v>
      </c>
    </row>
    <row r="2204" spans="1:7">
      <c r="A2204" t="s">
        <v>7388</v>
      </c>
      <c r="B2204" t="s">
        <v>9591</v>
      </c>
      <c r="C2204" s="1" t="e">
        <f>VLOOKUP(Tabla_Items_Activos[[#This Row],[CODIGO]],Tabla_Items_Completos[[CODIGO]:[LINEA]],2,0)</f>
        <v>#N/A</v>
      </c>
      <c r="D2204" s="1" t="e">
        <f>VLOOKUP(Tabla_Items_Activos[[#This Row],[CODIGO]],Tabla_Items_Completos[[CODIGO]:[LINEA]],3,0)</f>
        <v>#N/A</v>
      </c>
      <c r="E2204" s="1" t="e">
        <f>VLOOKUP(Tabla_Items_Activos[[#This Row],[CODIGO]],Tabla_Items_Completos[[CODIGO]:[LINEA]],4,0)</f>
        <v>#N/A</v>
      </c>
      <c r="F2204">
        <v>3361</v>
      </c>
      <c r="G2204">
        <v>4290</v>
      </c>
    </row>
    <row r="2205" spans="1:7">
      <c r="A2205" t="s">
        <v>7388</v>
      </c>
      <c r="B2205" t="s">
        <v>9592</v>
      </c>
      <c r="C2205" s="1" t="e">
        <f>VLOOKUP(Tabla_Items_Activos[[#This Row],[CODIGO]],Tabla_Items_Completos[[CODIGO]:[LINEA]],2,0)</f>
        <v>#N/A</v>
      </c>
      <c r="D2205" s="1" t="e">
        <f>VLOOKUP(Tabla_Items_Activos[[#This Row],[CODIGO]],Tabla_Items_Completos[[CODIGO]:[LINEA]],3,0)</f>
        <v>#N/A</v>
      </c>
      <c r="E2205" s="1" t="e">
        <f>VLOOKUP(Tabla_Items_Activos[[#This Row],[CODIGO]],Tabla_Items_Completos[[CODIGO]:[LINEA]],4,0)</f>
        <v>#N/A</v>
      </c>
      <c r="F2205">
        <v>4778</v>
      </c>
      <c r="G2205">
        <v>460</v>
      </c>
    </row>
    <row r="2206" spans="1:7">
      <c r="A2206" t="s">
        <v>7388</v>
      </c>
      <c r="B2206" t="s">
        <v>9593</v>
      </c>
      <c r="C2206" s="1" t="e">
        <f>VLOOKUP(Tabla_Items_Activos[[#This Row],[CODIGO]],Tabla_Items_Completos[[CODIGO]:[LINEA]],2,0)</f>
        <v>#N/A</v>
      </c>
      <c r="D2206" s="1" t="e">
        <f>VLOOKUP(Tabla_Items_Activos[[#This Row],[CODIGO]],Tabla_Items_Completos[[CODIGO]:[LINEA]],3,0)</f>
        <v>#N/A</v>
      </c>
      <c r="E2206" s="1" t="e">
        <f>VLOOKUP(Tabla_Items_Activos[[#This Row],[CODIGO]],Tabla_Items_Completos[[CODIGO]:[LINEA]],4,0)</f>
        <v>#N/A</v>
      </c>
      <c r="F2206">
        <v>9241</v>
      </c>
      <c r="G2206">
        <v>462</v>
      </c>
    </row>
    <row r="2207" spans="1:7">
      <c r="A2207" t="s">
        <v>7388</v>
      </c>
      <c r="B2207" t="s">
        <v>9594</v>
      </c>
      <c r="C2207" s="1" t="e">
        <f>VLOOKUP(Tabla_Items_Activos[[#This Row],[CODIGO]],Tabla_Items_Completos[[CODIGO]:[LINEA]],2,0)</f>
        <v>#N/A</v>
      </c>
      <c r="D2207" s="1" t="e">
        <f>VLOOKUP(Tabla_Items_Activos[[#This Row],[CODIGO]],Tabla_Items_Completos[[CODIGO]:[LINEA]],3,0)</f>
        <v>#N/A</v>
      </c>
      <c r="E2207" s="1" t="e">
        <f>VLOOKUP(Tabla_Items_Activos[[#This Row],[CODIGO]],Tabla_Items_Completos[[CODIGO]:[LINEA]],4,0)</f>
        <v>#N/A</v>
      </c>
      <c r="F2207">
        <v>960</v>
      </c>
      <c r="G2207">
        <v>1570</v>
      </c>
    </row>
    <row r="2208" spans="1:7">
      <c r="A2208" t="s">
        <v>7388</v>
      </c>
      <c r="B2208" t="s">
        <v>9595</v>
      </c>
      <c r="C2208" s="1" t="e">
        <f>VLOOKUP(Tabla_Items_Activos[[#This Row],[CODIGO]],Tabla_Items_Completos[[CODIGO]:[LINEA]],2,0)</f>
        <v>#N/A</v>
      </c>
      <c r="D2208" s="1" t="e">
        <f>VLOOKUP(Tabla_Items_Activos[[#This Row],[CODIGO]],Tabla_Items_Completos[[CODIGO]:[LINEA]],3,0)</f>
        <v>#N/A</v>
      </c>
      <c r="E2208" s="1" t="e">
        <f>VLOOKUP(Tabla_Items_Activos[[#This Row],[CODIGO]],Tabla_Items_Completos[[CODIGO]:[LINEA]],4,0)</f>
        <v>#N/A</v>
      </c>
      <c r="F2208">
        <v>1182</v>
      </c>
      <c r="G2208">
        <v>0</v>
      </c>
    </row>
    <row r="2209" spans="1:7">
      <c r="A2209" t="s">
        <v>7388</v>
      </c>
      <c r="B2209" t="s">
        <v>9596</v>
      </c>
      <c r="C2209" s="1" t="e">
        <f>VLOOKUP(Tabla_Items_Activos[[#This Row],[CODIGO]],Tabla_Items_Completos[[CODIGO]:[LINEA]],2,0)</f>
        <v>#N/A</v>
      </c>
      <c r="D2209" s="1" t="e">
        <f>VLOOKUP(Tabla_Items_Activos[[#This Row],[CODIGO]],Tabla_Items_Completos[[CODIGO]:[LINEA]],3,0)</f>
        <v>#N/A</v>
      </c>
      <c r="E2209" s="1" t="e">
        <f>VLOOKUP(Tabla_Items_Activos[[#This Row],[CODIGO]],Tabla_Items_Completos[[CODIGO]:[LINEA]],4,0)</f>
        <v>#N/A</v>
      </c>
      <c r="F2209">
        <v>473</v>
      </c>
      <c r="G2209">
        <v>0</v>
      </c>
    </row>
    <row r="2210" spans="1:7">
      <c r="A2210" t="s">
        <v>7388</v>
      </c>
      <c r="B2210" t="s">
        <v>9597</v>
      </c>
      <c r="C2210" s="1" t="e">
        <f>VLOOKUP(Tabla_Items_Activos[[#This Row],[CODIGO]],Tabla_Items_Completos[[CODIGO]:[LINEA]],2,0)</f>
        <v>#N/A</v>
      </c>
      <c r="D2210" s="1" t="e">
        <f>VLOOKUP(Tabla_Items_Activos[[#This Row],[CODIGO]],Tabla_Items_Completos[[CODIGO]:[LINEA]],3,0)</f>
        <v>#N/A</v>
      </c>
      <c r="E2210" s="1" t="e">
        <f>VLOOKUP(Tabla_Items_Activos[[#This Row],[CODIGO]],Tabla_Items_Completos[[CODIGO]:[LINEA]],4,0)</f>
        <v>#N/A</v>
      </c>
      <c r="F2210">
        <v>1403</v>
      </c>
      <c r="G2210">
        <v>170</v>
      </c>
    </row>
    <row r="2211" spans="1:7">
      <c r="A2211" t="s">
        <v>7388</v>
      </c>
      <c r="B2211" t="s">
        <v>9598</v>
      </c>
      <c r="C2211" s="1" t="e">
        <f>VLOOKUP(Tabla_Items_Activos[[#This Row],[CODIGO]],Tabla_Items_Completos[[CODIGO]:[LINEA]],2,0)</f>
        <v>#N/A</v>
      </c>
      <c r="D2211" s="1" t="e">
        <f>VLOOKUP(Tabla_Items_Activos[[#This Row],[CODIGO]],Tabla_Items_Completos[[CODIGO]:[LINEA]],3,0)</f>
        <v>#N/A</v>
      </c>
      <c r="E2211" s="1" t="e">
        <f>VLOOKUP(Tabla_Items_Activos[[#This Row],[CODIGO]],Tabla_Items_Completos[[CODIGO]:[LINEA]],4,0)</f>
        <v>#N/A</v>
      </c>
      <c r="F2211">
        <v>3046</v>
      </c>
      <c r="G2211">
        <v>227</v>
      </c>
    </row>
    <row r="2212" spans="1:7">
      <c r="A2212" t="s">
        <v>7388</v>
      </c>
      <c r="B2212" t="s">
        <v>9599</v>
      </c>
      <c r="C2212" s="1" t="e">
        <f>VLOOKUP(Tabla_Items_Activos[[#This Row],[CODIGO]],Tabla_Items_Completos[[CODIGO]:[LINEA]],2,0)</f>
        <v>#N/A</v>
      </c>
      <c r="D2212" s="1" t="e">
        <f>VLOOKUP(Tabla_Items_Activos[[#This Row],[CODIGO]],Tabla_Items_Completos[[CODIGO]:[LINEA]],3,0)</f>
        <v>#N/A</v>
      </c>
      <c r="E2212" s="1" t="e">
        <f>VLOOKUP(Tabla_Items_Activos[[#This Row],[CODIGO]],Tabla_Items_Completos[[CODIGO]:[LINEA]],4,0)</f>
        <v>#N/A</v>
      </c>
      <c r="F2212">
        <v>661</v>
      </c>
      <c r="G2212">
        <v>0</v>
      </c>
    </row>
    <row r="2213" spans="1:7">
      <c r="A2213" t="s">
        <v>7388</v>
      </c>
      <c r="B2213" t="s">
        <v>9600</v>
      </c>
      <c r="C2213" s="1" t="e">
        <f>VLOOKUP(Tabla_Items_Activos[[#This Row],[CODIGO]],Tabla_Items_Completos[[CODIGO]:[LINEA]],2,0)</f>
        <v>#N/A</v>
      </c>
      <c r="D2213" s="1" t="e">
        <f>VLOOKUP(Tabla_Items_Activos[[#This Row],[CODIGO]],Tabla_Items_Completos[[CODIGO]:[LINEA]],3,0)</f>
        <v>#N/A</v>
      </c>
      <c r="E2213" s="1" t="e">
        <f>VLOOKUP(Tabla_Items_Activos[[#This Row],[CODIGO]],Tabla_Items_Completos[[CODIGO]:[LINEA]],4,0)</f>
        <v>#N/A</v>
      </c>
      <c r="F2213">
        <v>137</v>
      </c>
      <c r="G2213">
        <v>0</v>
      </c>
    </row>
    <row r="2214" spans="1:7">
      <c r="A2214" t="s">
        <v>7388</v>
      </c>
      <c r="B2214" t="s">
        <v>9601</v>
      </c>
      <c r="C2214" s="1" t="e">
        <f>VLOOKUP(Tabla_Items_Activos[[#This Row],[CODIGO]],Tabla_Items_Completos[[CODIGO]:[LINEA]],2,0)</f>
        <v>#N/A</v>
      </c>
      <c r="D2214" s="1" t="e">
        <f>VLOOKUP(Tabla_Items_Activos[[#This Row],[CODIGO]],Tabla_Items_Completos[[CODIGO]:[LINEA]],3,0)</f>
        <v>#N/A</v>
      </c>
      <c r="E2214" s="1" t="e">
        <f>VLOOKUP(Tabla_Items_Activos[[#This Row],[CODIGO]],Tabla_Items_Completos[[CODIGO]:[LINEA]],4,0)</f>
        <v>#N/A</v>
      </c>
      <c r="F2214">
        <v>1313</v>
      </c>
      <c r="G2214">
        <v>975</v>
      </c>
    </row>
    <row r="2215" spans="1:7">
      <c r="A2215" t="s">
        <v>7388</v>
      </c>
      <c r="B2215" t="s">
        <v>9602</v>
      </c>
      <c r="C2215" s="1" t="e">
        <f>VLOOKUP(Tabla_Items_Activos[[#This Row],[CODIGO]],Tabla_Items_Completos[[CODIGO]:[LINEA]],2,0)</f>
        <v>#N/A</v>
      </c>
      <c r="D2215" s="1" t="e">
        <f>VLOOKUP(Tabla_Items_Activos[[#This Row],[CODIGO]],Tabla_Items_Completos[[CODIGO]:[LINEA]],3,0)</f>
        <v>#N/A</v>
      </c>
      <c r="E2215" s="1" t="e">
        <f>VLOOKUP(Tabla_Items_Activos[[#This Row],[CODIGO]],Tabla_Items_Completos[[CODIGO]:[LINEA]],4,0)</f>
        <v>#N/A</v>
      </c>
      <c r="F2215">
        <v>736</v>
      </c>
      <c r="G2215">
        <v>285</v>
      </c>
    </row>
    <row r="2216" spans="1:7">
      <c r="A2216" t="s">
        <v>7388</v>
      </c>
      <c r="B2216" t="s">
        <v>9603</v>
      </c>
      <c r="C2216" s="1" t="e">
        <f>VLOOKUP(Tabla_Items_Activos[[#This Row],[CODIGO]],Tabla_Items_Completos[[CODIGO]:[LINEA]],2,0)</f>
        <v>#N/A</v>
      </c>
      <c r="D2216" s="1" t="e">
        <f>VLOOKUP(Tabla_Items_Activos[[#This Row],[CODIGO]],Tabla_Items_Completos[[CODIGO]:[LINEA]],3,0)</f>
        <v>#N/A</v>
      </c>
      <c r="E2216" s="1" t="e">
        <f>VLOOKUP(Tabla_Items_Activos[[#This Row],[CODIGO]],Tabla_Items_Completos[[CODIGO]:[LINEA]],4,0)</f>
        <v>#N/A</v>
      </c>
      <c r="F2216">
        <v>327</v>
      </c>
      <c r="G2216">
        <v>0</v>
      </c>
    </row>
    <row r="2217" spans="1:7">
      <c r="A2217" t="s">
        <v>7388</v>
      </c>
      <c r="B2217" t="s">
        <v>9604</v>
      </c>
      <c r="C2217" s="1" t="e">
        <f>VLOOKUP(Tabla_Items_Activos[[#This Row],[CODIGO]],Tabla_Items_Completos[[CODIGO]:[LINEA]],2,0)</f>
        <v>#N/A</v>
      </c>
      <c r="D2217" s="1" t="e">
        <f>VLOOKUP(Tabla_Items_Activos[[#This Row],[CODIGO]],Tabla_Items_Completos[[CODIGO]:[LINEA]],3,0)</f>
        <v>#N/A</v>
      </c>
      <c r="E2217" s="1" t="e">
        <f>VLOOKUP(Tabla_Items_Activos[[#This Row],[CODIGO]],Tabla_Items_Completos[[CODIGO]:[LINEA]],4,0)</f>
        <v>#N/A</v>
      </c>
      <c r="F2217">
        <v>232</v>
      </c>
      <c r="G2217">
        <v>55</v>
      </c>
    </row>
    <row r="2218" spans="1:7">
      <c r="A2218" t="s">
        <v>7388</v>
      </c>
      <c r="B2218" t="s">
        <v>9605</v>
      </c>
      <c r="C2218" s="1" t="e">
        <f>VLOOKUP(Tabla_Items_Activos[[#This Row],[CODIGO]],Tabla_Items_Completos[[CODIGO]:[LINEA]],2,0)</f>
        <v>#N/A</v>
      </c>
      <c r="D2218" s="1" t="e">
        <f>VLOOKUP(Tabla_Items_Activos[[#This Row],[CODIGO]],Tabla_Items_Completos[[CODIGO]:[LINEA]],3,0)</f>
        <v>#N/A</v>
      </c>
      <c r="E2218" s="1" t="e">
        <f>VLOOKUP(Tabla_Items_Activos[[#This Row],[CODIGO]],Tabla_Items_Completos[[CODIGO]:[LINEA]],4,0)</f>
        <v>#N/A</v>
      </c>
      <c r="F2218">
        <v>209</v>
      </c>
      <c r="G2218">
        <v>4</v>
      </c>
    </row>
    <row r="2219" spans="1:7">
      <c r="A2219" t="s">
        <v>7388</v>
      </c>
      <c r="B2219" t="s">
        <v>9606</v>
      </c>
      <c r="C2219" s="1" t="e">
        <f>VLOOKUP(Tabla_Items_Activos[[#This Row],[CODIGO]],Tabla_Items_Completos[[CODIGO]:[LINEA]],2,0)</f>
        <v>#N/A</v>
      </c>
      <c r="D2219" s="1" t="e">
        <f>VLOOKUP(Tabla_Items_Activos[[#This Row],[CODIGO]],Tabla_Items_Completos[[CODIGO]:[LINEA]],3,0)</f>
        <v>#N/A</v>
      </c>
      <c r="E2219" s="1" t="e">
        <f>VLOOKUP(Tabla_Items_Activos[[#This Row],[CODIGO]],Tabla_Items_Completos[[CODIGO]:[LINEA]],4,0)</f>
        <v>#N/A</v>
      </c>
      <c r="F2219">
        <v>173</v>
      </c>
      <c r="G2219">
        <v>120</v>
      </c>
    </row>
    <row r="2220" spans="1:7">
      <c r="A2220" t="s">
        <v>7388</v>
      </c>
      <c r="B2220" t="s">
        <v>9607</v>
      </c>
      <c r="C2220" s="1" t="e">
        <f>VLOOKUP(Tabla_Items_Activos[[#This Row],[CODIGO]],Tabla_Items_Completos[[CODIGO]:[LINEA]],2,0)</f>
        <v>#N/A</v>
      </c>
      <c r="D2220" s="1" t="e">
        <f>VLOOKUP(Tabla_Items_Activos[[#This Row],[CODIGO]],Tabla_Items_Completos[[CODIGO]:[LINEA]],3,0)</f>
        <v>#N/A</v>
      </c>
      <c r="E2220" s="1" t="e">
        <f>VLOOKUP(Tabla_Items_Activos[[#This Row],[CODIGO]],Tabla_Items_Completos[[CODIGO]:[LINEA]],4,0)</f>
        <v>#N/A</v>
      </c>
      <c r="F2220">
        <v>316</v>
      </c>
      <c r="G2220">
        <v>185</v>
      </c>
    </row>
    <row r="2221" spans="1:7">
      <c r="A2221" t="s">
        <v>7388</v>
      </c>
      <c r="B2221" t="s">
        <v>9608</v>
      </c>
      <c r="C2221" s="1" t="e">
        <f>VLOOKUP(Tabla_Items_Activos[[#This Row],[CODIGO]],Tabla_Items_Completos[[CODIGO]:[LINEA]],2,0)</f>
        <v>#N/A</v>
      </c>
      <c r="D2221" s="1" t="e">
        <f>VLOOKUP(Tabla_Items_Activos[[#This Row],[CODIGO]],Tabla_Items_Completos[[CODIGO]:[LINEA]],3,0)</f>
        <v>#N/A</v>
      </c>
      <c r="E2221" s="1" t="e">
        <f>VLOOKUP(Tabla_Items_Activos[[#This Row],[CODIGO]],Tabla_Items_Completos[[CODIGO]:[LINEA]],4,0)</f>
        <v>#N/A</v>
      </c>
      <c r="F2221">
        <v>855</v>
      </c>
      <c r="G2221">
        <v>211</v>
      </c>
    </row>
    <row r="2222" spans="1:7">
      <c r="A2222" t="s">
        <v>7388</v>
      </c>
      <c r="B2222" t="s">
        <v>9609</v>
      </c>
      <c r="C2222" s="1" t="e">
        <f>VLOOKUP(Tabla_Items_Activos[[#This Row],[CODIGO]],Tabla_Items_Completos[[CODIGO]:[LINEA]],2,0)</f>
        <v>#N/A</v>
      </c>
      <c r="D2222" s="1" t="e">
        <f>VLOOKUP(Tabla_Items_Activos[[#This Row],[CODIGO]],Tabla_Items_Completos[[CODIGO]:[LINEA]],3,0)</f>
        <v>#N/A</v>
      </c>
      <c r="E2222" s="1" t="e">
        <f>VLOOKUP(Tabla_Items_Activos[[#This Row],[CODIGO]],Tabla_Items_Completos[[CODIGO]:[LINEA]],4,0)</f>
        <v>#N/A</v>
      </c>
      <c r="F2222">
        <v>59</v>
      </c>
      <c r="G2222">
        <v>83</v>
      </c>
    </row>
    <row r="2223" spans="1:7">
      <c r="A2223" t="s">
        <v>7388</v>
      </c>
      <c r="B2223" t="s">
        <v>9610</v>
      </c>
      <c r="C2223" s="1" t="e">
        <f>VLOOKUP(Tabla_Items_Activos[[#This Row],[CODIGO]],Tabla_Items_Completos[[CODIGO]:[LINEA]],2,0)</f>
        <v>#N/A</v>
      </c>
      <c r="D2223" s="1" t="e">
        <f>VLOOKUP(Tabla_Items_Activos[[#This Row],[CODIGO]],Tabla_Items_Completos[[CODIGO]:[LINEA]],3,0)</f>
        <v>#N/A</v>
      </c>
      <c r="E2223" s="1" t="e">
        <f>VLOOKUP(Tabla_Items_Activos[[#This Row],[CODIGO]],Tabla_Items_Completos[[CODIGO]:[LINEA]],4,0)</f>
        <v>#N/A</v>
      </c>
      <c r="F2223">
        <v>1996</v>
      </c>
      <c r="G2223">
        <v>1775</v>
      </c>
    </row>
    <row r="2224" spans="1:7">
      <c r="A2224" t="s">
        <v>7388</v>
      </c>
      <c r="B2224" t="s">
        <v>9611</v>
      </c>
      <c r="C2224" s="1" t="e">
        <f>VLOOKUP(Tabla_Items_Activos[[#This Row],[CODIGO]],Tabla_Items_Completos[[CODIGO]:[LINEA]],2,0)</f>
        <v>#N/A</v>
      </c>
      <c r="D2224" s="1" t="e">
        <f>VLOOKUP(Tabla_Items_Activos[[#This Row],[CODIGO]],Tabla_Items_Completos[[CODIGO]:[LINEA]],3,0)</f>
        <v>#N/A</v>
      </c>
      <c r="E2224" s="1" t="e">
        <f>VLOOKUP(Tabla_Items_Activos[[#This Row],[CODIGO]],Tabla_Items_Completos[[CODIGO]:[LINEA]],4,0)</f>
        <v>#N/A</v>
      </c>
      <c r="F2224">
        <v>7</v>
      </c>
      <c r="G2224">
        <v>0</v>
      </c>
    </row>
    <row r="2225" spans="1:7">
      <c r="A2225" t="s">
        <v>7388</v>
      </c>
      <c r="B2225" t="s">
        <v>9612</v>
      </c>
      <c r="C2225" s="1" t="e">
        <f>VLOOKUP(Tabla_Items_Activos[[#This Row],[CODIGO]],Tabla_Items_Completos[[CODIGO]:[LINEA]],2,0)</f>
        <v>#N/A</v>
      </c>
      <c r="D2225" s="1" t="e">
        <f>VLOOKUP(Tabla_Items_Activos[[#This Row],[CODIGO]],Tabla_Items_Completos[[CODIGO]:[LINEA]],3,0)</f>
        <v>#N/A</v>
      </c>
      <c r="E2225" s="1" t="e">
        <f>VLOOKUP(Tabla_Items_Activos[[#This Row],[CODIGO]],Tabla_Items_Completos[[CODIGO]:[LINEA]],4,0)</f>
        <v>#N/A</v>
      </c>
      <c r="F2225">
        <v>342</v>
      </c>
      <c r="G2225">
        <v>30</v>
      </c>
    </row>
    <row r="2226" spans="1:7">
      <c r="A2226" t="s">
        <v>7388</v>
      </c>
      <c r="B2226" t="s">
        <v>9613</v>
      </c>
      <c r="C2226" s="1" t="e">
        <f>VLOOKUP(Tabla_Items_Activos[[#This Row],[CODIGO]],Tabla_Items_Completos[[CODIGO]:[LINEA]],2,0)</f>
        <v>#N/A</v>
      </c>
      <c r="D2226" s="1" t="e">
        <f>VLOOKUP(Tabla_Items_Activos[[#This Row],[CODIGO]],Tabla_Items_Completos[[CODIGO]:[LINEA]],3,0)</f>
        <v>#N/A</v>
      </c>
      <c r="E2226" s="1" t="e">
        <f>VLOOKUP(Tabla_Items_Activos[[#This Row],[CODIGO]],Tabla_Items_Completos[[CODIGO]:[LINEA]],4,0)</f>
        <v>#N/A</v>
      </c>
      <c r="F2226">
        <v>368</v>
      </c>
      <c r="G2226">
        <v>318</v>
      </c>
    </row>
    <row r="2227" spans="1:7">
      <c r="A2227" t="s">
        <v>7388</v>
      </c>
      <c r="B2227" t="s">
        <v>9614</v>
      </c>
      <c r="C2227" s="1" t="e">
        <f>VLOOKUP(Tabla_Items_Activos[[#This Row],[CODIGO]],Tabla_Items_Completos[[CODIGO]:[LINEA]],2,0)</f>
        <v>#N/A</v>
      </c>
      <c r="D2227" s="1" t="e">
        <f>VLOOKUP(Tabla_Items_Activos[[#This Row],[CODIGO]],Tabla_Items_Completos[[CODIGO]:[LINEA]],3,0)</f>
        <v>#N/A</v>
      </c>
      <c r="E2227" s="1" t="e">
        <f>VLOOKUP(Tabla_Items_Activos[[#This Row],[CODIGO]],Tabla_Items_Completos[[CODIGO]:[LINEA]],4,0)</f>
        <v>#N/A</v>
      </c>
      <c r="F2227">
        <v>65</v>
      </c>
      <c r="G2227">
        <v>86</v>
      </c>
    </row>
    <row r="2228" spans="1:7">
      <c r="A2228" t="s">
        <v>7388</v>
      </c>
      <c r="B2228" t="s">
        <v>9615</v>
      </c>
      <c r="C2228" s="1" t="e">
        <f>VLOOKUP(Tabla_Items_Activos[[#This Row],[CODIGO]],Tabla_Items_Completos[[CODIGO]:[LINEA]],2,0)</f>
        <v>#N/A</v>
      </c>
      <c r="D2228" s="1" t="e">
        <f>VLOOKUP(Tabla_Items_Activos[[#This Row],[CODIGO]],Tabla_Items_Completos[[CODIGO]:[LINEA]],3,0)</f>
        <v>#N/A</v>
      </c>
      <c r="E2228" s="1" t="e">
        <f>VLOOKUP(Tabla_Items_Activos[[#This Row],[CODIGO]],Tabla_Items_Completos[[CODIGO]:[LINEA]],4,0)</f>
        <v>#N/A</v>
      </c>
      <c r="F2228">
        <v>178</v>
      </c>
      <c r="G2228">
        <v>47</v>
      </c>
    </row>
    <row r="2229" spans="1:7">
      <c r="A2229" t="s">
        <v>7388</v>
      </c>
      <c r="B2229" t="s">
        <v>9616</v>
      </c>
      <c r="C2229" s="1" t="e">
        <f>VLOOKUP(Tabla_Items_Activos[[#This Row],[CODIGO]],Tabla_Items_Completos[[CODIGO]:[LINEA]],2,0)</f>
        <v>#N/A</v>
      </c>
      <c r="D2229" s="1" t="e">
        <f>VLOOKUP(Tabla_Items_Activos[[#This Row],[CODIGO]],Tabla_Items_Completos[[CODIGO]:[LINEA]],3,0)</f>
        <v>#N/A</v>
      </c>
      <c r="E2229" s="1" t="e">
        <f>VLOOKUP(Tabla_Items_Activos[[#This Row],[CODIGO]],Tabla_Items_Completos[[CODIGO]:[LINEA]],4,0)</f>
        <v>#N/A</v>
      </c>
      <c r="F2229">
        <v>170</v>
      </c>
      <c r="G2229">
        <v>49</v>
      </c>
    </row>
    <row r="2230" spans="1:7">
      <c r="A2230" t="s">
        <v>7388</v>
      </c>
      <c r="B2230" t="s">
        <v>9617</v>
      </c>
      <c r="C2230" s="1" t="e">
        <f>VLOOKUP(Tabla_Items_Activos[[#This Row],[CODIGO]],Tabla_Items_Completos[[CODIGO]:[LINEA]],2,0)</f>
        <v>#N/A</v>
      </c>
      <c r="D2230" s="1" t="e">
        <f>VLOOKUP(Tabla_Items_Activos[[#This Row],[CODIGO]],Tabla_Items_Completos[[CODIGO]:[LINEA]],3,0)</f>
        <v>#N/A</v>
      </c>
      <c r="E2230" s="1" t="e">
        <f>VLOOKUP(Tabla_Items_Activos[[#This Row],[CODIGO]],Tabla_Items_Completos[[CODIGO]:[LINEA]],4,0)</f>
        <v>#N/A</v>
      </c>
      <c r="F2230">
        <v>138</v>
      </c>
      <c r="G2230">
        <v>132</v>
      </c>
    </row>
    <row r="2231" spans="1:7">
      <c r="A2231" t="s">
        <v>7388</v>
      </c>
      <c r="B2231" t="s">
        <v>9618</v>
      </c>
      <c r="C2231" s="1" t="e">
        <f>VLOOKUP(Tabla_Items_Activos[[#This Row],[CODIGO]],Tabla_Items_Completos[[CODIGO]:[LINEA]],2,0)</f>
        <v>#N/A</v>
      </c>
      <c r="D2231" s="1" t="e">
        <f>VLOOKUP(Tabla_Items_Activos[[#This Row],[CODIGO]],Tabla_Items_Completos[[CODIGO]:[LINEA]],3,0)</f>
        <v>#N/A</v>
      </c>
      <c r="E2231" s="1" t="e">
        <f>VLOOKUP(Tabla_Items_Activos[[#This Row],[CODIGO]],Tabla_Items_Completos[[CODIGO]:[LINEA]],4,0)</f>
        <v>#N/A</v>
      </c>
      <c r="F2231">
        <v>56</v>
      </c>
      <c r="G2231">
        <v>121</v>
      </c>
    </row>
    <row r="2232" spans="1:7">
      <c r="A2232" t="s">
        <v>7388</v>
      </c>
      <c r="B2232" t="s">
        <v>9619</v>
      </c>
      <c r="C2232" s="1" t="e">
        <f>VLOOKUP(Tabla_Items_Activos[[#This Row],[CODIGO]],Tabla_Items_Completos[[CODIGO]:[LINEA]],2,0)</f>
        <v>#N/A</v>
      </c>
      <c r="D2232" s="1" t="e">
        <f>VLOOKUP(Tabla_Items_Activos[[#This Row],[CODIGO]],Tabla_Items_Completos[[CODIGO]:[LINEA]],3,0)</f>
        <v>#N/A</v>
      </c>
      <c r="E2232" s="1" t="e">
        <f>VLOOKUP(Tabla_Items_Activos[[#This Row],[CODIGO]],Tabla_Items_Completos[[CODIGO]:[LINEA]],4,0)</f>
        <v>#N/A</v>
      </c>
      <c r="F2232">
        <v>44</v>
      </c>
      <c r="G2232">
        <v>132</v>
      </c>
    </row>
    <row r="2233" spans="1:7">
      <c r="A2233" t="s">
        <v>7388</v>
      </c>
      <c r="B2233" t="s">
        <v>9620</v>
      </c>
      <c r="C2233" s="1" t="e">
        <f>VLOOKUP(Tabla_Items_Activos[[#This Row],[CODIGO]],Tabla_Items_Completos[[CODIGO]:[LINEA]],2,0)</f>
        <v>#N/A</v>
      </c>
      <c r="D2233" s="1" t="e">
        <f>VLOOKUP(Tabla_Items_Activos[[#This Row],[CODIGO]],Tabla_Items_Completos[[CODIGO]:[LINEA]],3,0)</f>
        <v>#N/A</v>
      </c>
      <c r="E2233" s="1" t="e">
        <f>VLOOKUP(Tabla_Items_Activos[[#This Row],[CODIGO]],Tabla_Items_Completos[[CODIGO]:[LINEA]],4,0)</f>
        <v>#N/A</v>
      </c>
      <c r="F2233">
        <v>5513</v>
      </c>
      <c r="G2233">
        <v>960</v>
      </c>
    </row>
    <row r="2234" spans="1:7">
      <c r="A2234" t="s">
        <v>7388</v>
      </c>
      <c r="B2234" t="s">
        <v>9621</v>
      </c>
      <c r="C2234" s="1" t="e">
        <f>VLOOKUP(Tabla_Items_Activos[[#This Row],[CODIGO]],Tabla_Items_Completos[[CODIGO]:[LINEA]],2,0)</f>
        <v>#N/A</v>
      </c>
      <c r="D2234" s="1" t="e">
        <f>VLOOKUP(Tabla_Items_Activos[[#This Row],[CODIGO]],Tabla_Items_Completos[[CODIGO]:[LINEA]],3,0)</f>
        <v>#N/A</v>
      </c>
      <c r="E2234" s="1" t="e">
        <f>VLOOKUP(Tabla_Items_Activos[[#This Row],[CODIGO]],Tabla_Items_Completos[[CODIGO]:[LINEA]],4,0)</f>
        <v>#N/A</v>
      </c>
      <c r="F2234">
        <v>130</v>
      </c>
      <c r="G2234">
        <v>199</v>
      </c>
    </row>
    <row r="2235" spans="1:7">
      <c r="A2235" t="s">
        <v>7388</v>
      </c>
      <c r="B2235" t="s">
        <v>9622</v>
      </c>
      <c r="C2235" s="1" t="e">
        <f>VLOOKUP(Tabla_Items_Activos[[#This Row],[CODIGO]],Tabla_Items_Completos[[CODIGO]:[LINEA]],2,0)</f>
        <v>#N/A</v>
      </c>
      <c r="D2235" s="1" t="e">
        <f>VLOOKUP(Tabla_Items_Activos[[#This Row],[CODIGO]],Tabla_Items_Completos[[CODIGO]:[LINEA]],3,0)</f>
        <v>#N/A</v>
      </c>
      <c r="E2235" s="1" t="e">
        <f>VLOOKUP(Tabla_Items_Activos[[#This Row],[CODIGO]],Tabla_Items_Completos[[CODIGO]:[LINEA]],4,0)</f>
        <v>#N/A</v>
      </c>
      <c r="F2235">
        <v>61</v>
      </c>
      <c r="G2235">
        <v>0</v>
      </c>
    </row>
    <row r="2236" spans="1:7">
      <c r="A2236" t="s">
        <v>7388</v>
      </c>
      <c r="B2236" t="s">
        <v>9623</v>
      </c>
      <c r="C2236" s="1" t="e">
        <f>VLOOKUP(Tabla_Items_Activos[[#This Row],[CODIGO]],Tabla_Items_Completos[[CODIGO]:[LINEA]],2,0)</f>
        <v>#N/A</v>
      </c>
      <c r="D2236" s="1" t="e">
        <f>VLOOKUP(Tabla_Items_Activos[[#This Row],[CODIGO]],Tabla_Items_Completos[[CODIGO]:[LINEA]],3,0)</f>
        <v>#N/A</v>
      </c>
      <c r="E2236" s="1" t="e">
        <f>VLOOKUP(Tabla_Items_Activos[[#This Row],[CODIGO]],Tabla_Items_Completos[[CODIGO]:[LINEA]],4,0)</f>
        <v>#N/A</v>
      </c>
      <c r="F2236">
        <v>76</v>
      </c>
      <c r="G2236">
        <v>92</v>
      </c>
    </row>
    <row r="2237" spans="1:7">
      <c r="A2237" t="s">
        <v>7388</v>
      </c>
      <c r="B2237" t="s">
        <v>9624</v>
      </c>
      <c r="C2237" s="1" t="e">
        <f>VLOOKUP(Tabla_Items_Activos[[#This Row],[CODIGO]],Tabla_Items_Completos[[CODIGO]:[LINEA]],2,0)</f>
        <v>#N/A</v>
      </c>
      <c r="D2237" s="1" t="e">
        <f>VLOOKUP(Tabla_Items_Activos[[#This Row],[CODIGO]],Tabla_Items_Completos[[CODIGO]:[LINEA]],3,0)</f>
        <v>#N/A</v>
      </c>
      <c r="E2237" s="1" t="e">
        <f>VLOOKUP(Tabla_Items_Activos[[#This Row],[CODIGO]],Tabla_Items_Completos[[CODIGO]:[LINEA]],4,0)</f>
        <v>#N/A</v>
      </c>
      <c r="F2237">
        <v>4</v>
      </c>
      <c r="G2237">
        <v>2</v>
      </c>
    </row>
    <row r="2238" spans="1:7">
      <c r="A2238" t="s">
        <v>7388</v>
      </c>
      <c r="B2238" t="s">
        <v>9625</v>
      </c>
      <c r="C2238" s="1" t="e">
        <f>VLOOKUP(Tabla_Items_Activos[[#This Row],[CODIGO]],Tabla_Items_Completos[[CODIGO]:[LINEA]],2,0)</f>
        <v>#N/A</v>
      </c>
      <c r="D2238" s="1" t="e">
        <f>VLOOKUP(Tabla_Items_Activos[[#This Row],[CODIGO]],Tabla_Items_Completos[[CODIGO]:[LINEA]],3,0)</f>
        <v>#N/A</v>
      </c>
      <c r="E2238" s="1" t="e">
        <f>VLOOKUP(Tabla_Items_Activos[[#This Row],[CODIGO]],Tabla_Items_Completos[[CODIGO]:[LINEA]],4,0)</f>
        <v>#N/A</v>
      </c>
      <c r="F2238">
        <v>3</v>
      </c>
      <c r="G2238">
        <v>0</v>
      </c>
    </row>
    <row r="2239" spans="1:7">
      <c r="A2239" t="s">
        <v>7388</v>
      </c>
      <c r="B2239" t="s">
        <v>9626</v>
      </c>
      <c r="C2239" s="1" t="e">
        <f>VLOOKUP(Tabla_Items_Activos[[#This Row],[CODIGO]],Tabla_Items_Completos[[CODIGO]:[LINEA]],2,0)</f>
        <v>#N/A</v>
      </c>
      <c r="D2239" s="1" t="e">
        <f>VLOOKUP(Tabla_Items_Activos[[#This Row],[CODIGO]],Tabla_Items_Completos[[CODIGO]:[LINEA]],3,0)</f>
        <v>#N/A</v>
      </c>
      <c r="E2239" s="1" t="e">
        <f>VLOOKUP(Tabla_Items_Activos[[#This Row],[CODIGO]],Tabla_Items_Completos[[CODIGO]:[LINEA]],4,0)</f>
        <v>#N/A</v>
      </c>
      <c r="F2239">
        <v>168</v>
      </c>
      <c r="G2239">
        <v>1</v>
      </c>
    </row>
    <row r="2240" spans="1:7">
      <c r="A2240" t="s">
        <v>7388</v>
      </c>
      <c r="B2240" t="s">
        <v>9627</v>
      </c>
      <c r="C2240" s="1" t="e">
        <f>VLOOKUP(Tabla_Items_Activos[[#This Row],[CODIGO]],Tabla_Items_Completos[[CODIGO]:[LINEA]],2,0)</f>
        <v>#N/A</v>
      </c>
      <c r="D2240" s="1" t="e">
        <f>VLOOKUP(Tabla_Items_Activos[[#This Row],[CODIGO]],Tabla_Items_Completos[[CODIGO]:[LINEA]],3,0)</f>
        <v>#N/A</v>
      </c>
      <c r="E2240" s="1" t="e">
        <f>VLOOKUP(Tabla_Items_Activos[[#This Row],[CODIGO]],Tabla_Items_Completos[[CODIGO]:[LINEA]],4,0)</f>
        <v>#N/A</v>
      </c>
      <c r="F2240">
        <v>106</v>
      </c>
      <c r="G2240">
        <v>0</v>
      </c>
    </row>
    <row r="2241" spans="1:7">
      <c r="A2241" t="s">
        <v>7388</v>
      </c>
      <c r="B2241" t="s">
        <v>9628</v>
      </c>
      <c r="C2241" s="1" t="e">
        <f>VLOOKUP(Tabla_Items_Activos[[#This Row],[CODIGO]],Tabla_Items_Completos[[CODIGO]:[LINEA]],2,0)</f>
        <v>#N/A</v>
      </c>
      <c r="D2241" s="1" t="e">
        <f>VLOOKUP(Tabla_Items_Activos[[#This Row],[CODIGO]],Tabla_Items_Completos[[CODIGO]:[LINEA]],3,0)</f>
        <v>#N/A</v>
      </c>
      <c r="E2241" s="1" t="e">
        <f>VLOOKUP(Tabla_Items_Activos[[#This Row],[CODIGO]],Tabla_Items_Completos[[CODIGO]:[LINEA]],4,0)</f>
        <v>#N/A</v>
      </c>
      <c r="F2241">
        <v>3</v>
      </c>
      <c r="G2241">
        <v>0</v>
      </c>
    </row>
    <row r="2242" spans="1:7">
      <c r="A2242" t="s">
        <v>7388</v>
      </c>
      <c r="B2242" t="s">
        <v>9629</v>
      </c>
      <c r="C2242" s="1" t="e">
        <f>VLOOKUP(Tabla_Items_Activos[[#This Row],[CODIGO]],Tabla_Items_Completos[[CODIGO]:[LINEA]],2,0)</f>
        <v>#N/A</v>
      </c>
      <c r="D2242" s="1" t="e">
        <f>VLOOKUP(Tabla_Items_Activos[[#This Row],[CODIGO]],Tabla_Items_Completos[[CODIGO]:[LINEA]],3,0)</f>
        <v>#N/A</v>
      </c>
      <c r="E2242" s="1" t="e">
        <f>VLOOKUP(Tabla_Items_Activos[[#This Row],[CODIGO]],Tabla_Items_Completos[[CODIGO]:[LINEA]],4,0)</f>
        <v>#N/A</v>
      </c>
      <c r="F2242">
        <v>3</v>
      </c>
      <c r="G2242">
        <v>0</v>
      </c>
    </row>
    <row r="2243" spans="1:7">
      <c r="A2243" t="s">
        <v>7388</v>
      </c>
      <c r="B2243" t="s">
        <v>9630</v>
      </c>
      <c r="C2243" s="1" t="e">
        <f>VLOOKUP(Tabla_Items_Activos[[#This Row],[CODIGO]],Tabla_Items_Completos[[CODIGO]:[LINEA]],2,0)</f>
        <v>#N/A</v>
      </c>
      <c r="D2243" s="1" t="e">
        <f>VLOOKUP(Tabla_Items_Activos[[#This Row],[CODIGO]],Tabla_Items_Completos[[CODIGO]:[LINEA]],3,0)</f>
        <v>#N/A</v>
      </c>
      <c r="E2243" s="1" t="e">
        <f>VLOOKUP(Tabla_Items_Activos[[#This Row],[CODIGO]],Tabla_Items_Completos[[CODIGO]:[LINEA]],4,0)</f>
        <v>#N/A</v>
      </c>
      <c r="F2243">
        <v>3</v>
      </c>
      <c r="G2243">
        <v>0</v>
      </c>
    </row>
    <row r="2244" spans="1:7">
      <c r="A2244" t="s">
        <v>7388</v>
      </c>
      <c r="B2244" t="s">
        <v>9631</v>
      </c>
      <c r="C2244" s="1" t="e">
        <f>VLOOKUP(Tabla_Items_Activos[[#This Row],[CODIGO]],Tabla_Items_Completos[[CODIGO]:[LINEA]],2,0)</f>
        <v>#N/A</v>
      </c>
      <c r="D2244" s="1" t="e">
        <f>VLOOKUP(Tabla_Items_Activos[[#This Row],[CODIGO]],Tabla_Items_Completos[[CODIGO]:[LINEA]],3,0)</f>
        <v>#N/A</v>
      </c>
      <c r="E2244" s="1" t="e">
        <f>VLOOKUP(Tabla_Items_Activos[[#This Row],[CODIGO]],Tabla_Items_Completos[[CODIGO]:[LINEA]],4,0)</f>
        <v>#N/A</v>
      </c>
      <c r="F2244">
        <v>3</v>
      </c>
      <c r="G2244">
        <v>0</v>
      </c>
    </row>
    <row r="2245" spans="1:7">
      <c r="A2245" t="s">
        <v>7388</v>
      </c>
      <c r="B2245" t="s">
        <v>9632</v>
      </c>
      <c r="C2245" s="1" t="e">
        <f>VLOOKUP(Tabla_Items_Activos[[#This Row],[CODIGO]],Tabla_Items_Completos[[CODIGO]:[LINEA]],2,0)</f>
        <v>#N/A</v>
      </c>
      <c r="D2245" s="1" t="e">
        <f>VLOOKUP(Tabla_Items_Activos[[#This Row],[CODIGO]],Tabla_Items_Completos[[CODIGO]:[LINEA]],3,0)</f>
        <v>#N/A</v>
      </c>
      <c r="E2245" s="1" t="e">
        <f>VLOOKUP(Tabla_Items_Activos[[#This Row],[CODIGO]],Tabla_Items_Completos[[CODIGO]:[LINEA]],4,0)</f>
        <v>#N/A</v>
      </c>
      <c r="F2245">
        <v>3</v>
      </c>
      <c r="G2245">
        <v>0</v>
      </c>
    </row>
    <row r="2246" spans="1:7">
      <c r="A2246" t="s">
        <v>7388</v>
      </c>
      <c r="B2246" t="s">
        <v>9633</v>
      </c>
      <c r="C2246" s="1" t="e">
        <f>VLOOKUP(Tabla_Items_Activos[[#This Row],[CODIGO]],Tabla_Items_Completos[[CODIGO]:[LINEA]],2,0)</f>
        <v>#N/A</v>
      </c>
      <c r="D2246" s="1" t="e">
        <f>VLOOKUP(Tabla_Items_Activos[[#This Row],[CODIGO]],Tabla_Items_Completos[[CODIGO]:[LINEA]],3,0)</f>
        <v>#N/A</v>
      </c>
      <c r="E2246" s="1" t="e">
        <f>VLOOKUP(Tabla_Items_Activos[[#This Row],[CODIGO]],Tabla_Items_Completos[[CODIGO]:[LINEA]],4,0)</f>
        <v>#N/A</v>
      </c>
      <c r="F2246">
        <v>3</v>
      </c>
      <c r="G2246">
        <v>0</v>
      </c>
    </row>
    <row r="2247" spans="1:7">
      <c r="A2247" t="s">
        <v>7388</v>
      </c>
      <c r="B2247" t="s">
        <v>9634</v>
      </c>
      <c r="C2247" s="1" t="e">
        <f>VLOOKUP(Tabla_Items_Activos[[#This Row],[CODIGO]],Tabla_Items_Completos[[CODIGO]:[LINEA]],2,0)</f>
        <v>#N/A</v>
      </c>
      <c r="D2247" s="1" t="e">
        <f>VLOOKUP(Tabla_Items_Activos[[#This Row],[CODIGO]],Tabla_Items_Completos[[CODIGO]:[LINEA]],3,0)</f>
        <v>#N/A</v>
      </c>
      <c r="E2247" s="1" t="e">
        <f>VLOOKUP(Tabla_Items_Activos[[#This Row],[CODIGO]],Tabla_Items_Completos[[CODIGO]:[LINEA]],4,0)</f>
        <v>#N/A</v>
      </c>
      <c r="F2247">
        <v>3</v>
      </c>
      <c r="G2247">
        <v>0</v>
      </c>
    </row>
    <row r="2248" spans="1:7">
      <c r="A2248" t="s">
        <v>7388</v>
      </c>
      <c r="B2248" t="s">
        <v>9635</v>
      </c>
      <c r="C2248" s="1" t="e">
        <f>VLOOKUP(Tabla_Items_Activos[[#This Row],[CODIGO]],Tabla_Items_Completos[[CODIGO]:[LINEA]],2,0)</f>
        <v>#N/A</v>
      </c>
      <c r="D2248" s="1" t="e">
        <f>VLOOKUP(Tabla_Items_Activos[[#This Row],[CODIGO]],Tabla_Items_Completos[[CODIGO]:[LINEA]],3,0)</f>
        <v>#N/A</v>
      </c>
      <c r="E2248" s="1" t="e">
        <f>VLOOKUP(Tabla_Items_Activos[[#This Row],[CODIGO]],Tabla_Items_Completos[[CODIGO]:[LINEA]],4,0)</f>
        <v>#N/A</v>
      </c>
      <c r="F2248">
        <v>3</v>
      </c>
      <c r="G2248">
        <v>0</v>
      </c>
    </row>
    <row r="2249" spans="1:7">
      <c r="A2249" t="s">
        <v>7388</v>
      </c>
      <c r="B2249" t="s">
        <v>9636</v>
      </c>
      <c r="C2249" s="1" t="e">
        <f>VLOOKUP(Tabla_Items_Activos[[#This Row],[CODIGO]],Tabla_Items_Completos[[CODIGO]:[LINEA]],2,0)</f>
        <v>#N/A</v>
      </c>
      <c r="D2249" s="1" t="e">
        <f>VLOOKUP(Tabla_Items_Activos[[#This Row],[CODIGO]],Tabla_Items_Completos[[CODIGO]:[LINEA]],3,0)</f>
        <v>#N/A</v>
      </c>
      <c r="E2249" s="1" t="e">
        <f>VLOOKUP(Tabla_Items_Activos[[#This Row],[CODIGO]],Tabla_Items_Completos[[CODIGO]:[LINEA]],4,0)</f>
        <v>#N/A</v>
      </c>
      <c r="F2249">
        <v>3</v>
      </c>
      <c r="G2249">
        <v>0</v>
      </c>
    </row>
    <row r="2250" spans="1:7">
      <c r="A2250" t="s">
        <v>7388</v>
      </c>
      <c r="B2250" t="s">
        <v>9637</v>
      </c>
      <c r="C2250" s="1" t="e">
        <f>VLOOKUP(Tabla_Items_Activos[[#This Row],[CODIGO]],Tabla_Items_Completos[[CODIGO]:[LINEA]],2,0)</f>
        <v>#N/A</v>
      </c>
      <c r="D2250" s="1" t="e">
        <f>VLOOKUP(Tabla_Items_Activos[[#This Row],[CODIGO]],Tabla_Items_Completos[[CODIGO]:[LINEA]],3,0)</f>
        <v>#N/A</v>
      </c>
      <c r="E2250" s="1" t="e">
        <f>VLOOKUP(Tabla_Items_Activos[[#This Row],[CODIGO]],Tabla_Items_Completos[[CODIGO]:[LINEA]],4,0)</f>
        <v>#N/A</v>
      </c>
      <c r="F2250">
        <v>3</v>
      </c>
      <c r="G2250">
        <v>0</v>
      </c>
    </row>
    <row r="2251" spans="1:7">
      <c r="A2251" t="s">
        <v>7388</v>
      </c>
      <c r="B2251" t="s">
        <v>9638</v>
      </c>
      <c r="C2251" s="1" t="e">
        <f>VLOOKUP(Tabla_Items_Activos[[#This Row],[CODIGO]],Tabla_Items_Completos[[CODIGO]:[LINEA]],2,0)</f>
        <v>#N/A</v>
      </c>
      <c r="D2251" s="1" t="e">
        <f>VLOOKUP(Tabla_Items_Activos[[#This Row],[CODIGO]],Tabla_Items_Completos[[CODIGO]:[LINEA]],3,0)</f>
        <v>#N/A</v>
      </c>
      <c r="E2251" s="1" t="e">
        <f>VLOOKUP(Tabla_Items_Activos[[#This Row],[CODIGO]],Tabla_Items_Completos[[CODIGO]:[LINEA]],4,0)</f>
        <v>#N/A</v>
      </c>
      <c r="F2251">
        <v>3</v>
      </c>
      <c r="G2251">
        <v>0</v>
      </c>
    </row>
    <row r="2252" spans="1:7">
      <c r="A2252" t="s">
        <v>7388</v>
      </c>
      <c r="B2252" t="s">
        <v>9639</v>
      </c>
      <c r="C2252" s="1" t="e">
        <f>VLOOKUP(Tabla_Items_Activos[[#This Row],[CODIGO]],Tabla_Items_Completos[[CODIGO]:[LINEA]],2,0)</f>
        <v>#N/A</v>
      </c>
      <c r="D2252" s="1" t="e">
        <f>VLOOKUP(Tabla_Items_Activos[[#This Row],[CODIGO]],Tabla_Items_Completos[[CODIGO]:[LINEA]],3,0)</f>
        <v>#N/A</v>
      </c>
      <c r="E2252" s="1" t="e">
        <f>VLOOKUP(Tabla_Items_Activos[[#This Row],[CODIGO]],Tabla_Items_Completos[[CODIGO]:[LINEA]],4,0)</f>
        <v>#N/A</v>
      </c>
      <c r="F2252">
        <v>3</v>
      </c>
      <c r="G2252">
        <v>0</v>
      </c>
    </row>
    <row r="2253" spans="1:7">
      <c r="A2253" t="s">
        <v>7388</v>
      </c>
      <c r="B2253" t="s">
        <v>9640</v>
      </c>
      <c r="C2253" s="1" t="e">
        <f>VLOOKUP(Tabla_Items_Activos[[#This Row],[CODIGO]],Tabla_Items_Completos[[CODIGO]:[LINEA]],2,0)</f>
        <v>#N/A</v>
      </c>
      <c r="D2253" s="1" t="e">
        <f>VLOOKUP(Tabla_Items_Activos[[#This Row],[CODIGO]],Tabla_Items_Completos[[CODIGO]:[LINEA]],3,0)</f>
        <v>#N/A</v>
      </c>
      <c r="E2253" s="1" t="e">
        <f>VLOOKUP(Tabla_Items_Activos[[#This Row],[CODIGO]],Tabla_Items_Completos[[CODIGO]:[LINEA]],4,0)</f>
        <v>#N/A</v>
      </c>
      <c r="F2253">
        <v>3</v>
      </c>
      <c r="G2253">
        <v>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ITEMS_COMPLETOS</vt:lpstr>
      <vt:lpstr>ITEMS_CON_EXISTENCIA</vt:lpstr>
      <vt:lpstr>ITEMS_ACTIVOS</vt:lpstr>
    </vt:vector>
  </TitlesOfParts>
  <Company>Updatesofts Forums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</dc:creator>
  <cp:lastModifiedBy>usuario</cp:lastModifiedBy>
  <dcterms:created xsi:type="dcterms:W3CDTF">2011-04-30T00:03:27Z</dcterms:created>
  <dcterms:modified xsi:type="dcterms:W3CDTF">2013-10-16T13:05:53Z</dcterms:modified>
</cp:coreProperties>
</file>