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DINAMICOS\"/>
    </mc:Choice>
  </mc:AlternateContent>
  <bookViews>
    <workbookView xWindow="120" yWindow="630" windowWidth="17400" windowHeight="11505"/>
  </bookViews>
  <sheets>
    <sheet name="vexistenciaxproducto" sheetId="1" r:id="rId1"/>
    <sheet name="Empresas" sheetId="2" state="hidden" r:id="rId2"/>
    <sheet name="BodegasConsolidables" sheetId="3" state="hidden" r:id="rId3"/>
    <sheet name="TransitoActual" sheetId="4" state="hidden" r:id="rId4"/>
    <sheet name="ItemsUnicosActivosEnBuffers" sheetId="5" state="hidden" r:id="rId5"/>
  </sheets>
  <definedNames>
    <definedName name="Consulta_desde_ODBC_MySQL_en_AGROTA" localSheetId="1" hidden="1">Empresas!$A$1:$B$4</definedName>
    <definedName name="Consulta_desde_ODBC_MySQL_en_AGROTA" localSheetId="0" hidden="1">vexistenciaxproducto!$B$1:$R$2</definedName>
    <definedName name="Consulta_desde_reportes_en_Access" localSheetId="2" hidden="1">BodegasConsolidables!$A$1:$A$41</definedName>
    <definedName name="Consulta_desde_reportes_en_Access" localSheetId="4" hidden="1">ItemsUnicosActivosEnBuffers!$A$1:$B$2557</definedName>
    <definedName name="Consulta_desde_reportes_en_Access" localSheetId="3" hidden="1">TransitoActual!$A$1:$C$258</definedName>
  </definedNames>
  <calcPr calcId="152511"/>
</workbook>
</file>

<file path=xl/calcChain.xml><?xml version="1.0" encoding="utf-8"?>
<calcChain xmlns="http://schemas.openxmlformats.org/spreadsheetml/2006/main">
  <c r="C2" i="2" l="1"/>
  <c r="C3" i="2"/>
  <c r="C4" i="2"/>
  <c r="D3" i="4" l="1" a="1"/>
  <c r="D3" i="4" s="1"/>
  <c r="E3" i="4" s="1"/>
  <c r="D4" i="4" a="1"/>
  <c r="D4" i="4" s="1"/>
  <c r="E4" i="4" s="1"/>
  <c r="D6" i="4" a="1"/>
  <c r="D6" i="4" s="1"/>
  <c r="E6" i="4" s="1"/>
  <c r="D8" i="4" a="1"/>
  <c r="D8" i="4" s="1"/>
  <c r="E8" i="4" s="1"/>
  <c r="D10" i="4" a="1"/>
  <c r="D10" i="4" s="1"/>
  <c r="E10" i="4" s="1"/>
  <c r="D13" i="4" a="1"/>
  <c r="D13" i="4" s="1"/>
  <c r="E13" i="4" s="1"/>
  <c r="D14" i="4" a="1"/>
  <c r="D14" i="4" s="1"/>
  <c r="E14" i="4" s="1"/>
  <c r="D16" i="4" a="1"/>
  <c r="D16" i="4" s="1"/>
  <c r="E16" i="4" s="1"/>
  <c r="D18" i="4" a="1"/>
  <c r="D18" i="4" s="1"/>
  <c r="E18" i="4" s="1"/>
  <c r="D21" i="4" a="1"/>
  <c r="D21" i="4" s="1"/>
  <c r="E21" i="4" s="1"/>
  <c r="D23" i="4" a="1"/>
  <c r="D23" i="4" s="1"/>
  <c r="E23" i="4" s="1"/>
  <c r="D25" i="4" a="1"/>
  <c r="D25" i="4" s="1"/>
  <c r="E25" i="4" s="1"/>
  <c r="D27" i="4" a="1"/>
  <c r="D27" i="4" s="1"/>
  <c r="E27" i="4" s="1"/>
  <c r="D29" i="4" a="1"/>
  <c r="D29" i="4" s="1"/>
  <c r="E29" i="4" s="1"/>
  <c r="D31" i="4" a="1"/>
  <c r="D31" i="4" s="1"/>
  <c r="E31" i="4" s="1"/>
  <c r="D32" i="4" a="1"/>
  <c r="D32" i="4" s="1"/>
  <c r="E32" i="4" s="1"/>
  <c r="D35" i="4" a="1"/>
  <c r="D35" i="4" s="1"/>
  <c r="E35" i="4" s="1"/>
  <c r="D37" i="4" a="1"/>
  <c r="D37" i="4" s="1"/>
  <c r="E37" i="4" s="1"/>
  <c r="D38" i="4" a="1"/>
  <c r="D38" i="4" s="1"/>
  <c r="E38" i="4" s="1"/>
  <c r="D40" i="4" a="1"/>
  <c r="D40" i="4" s="1"/>
  <c r="E40" i="4" s="1"/>
  <c r="D43" i="4" a="1"/>
  <c r="D43" i="4" s="1"/>
  <c r="E43" i="4" s="1"/>
  <c r="D45" i="4" a="1"/>
  <c r="D45" i="4" s="1"/>
  <c r="E45" i="4" s="1"/>
  <c r="D47" i="4" a="1"/>
  <c r="D47" i="4" s="1"/>
  <c r="E47" i="4" s="1"/>
  <c r="D49" i="4" a="1"/>
  <c r="D49" i="4" s="1"/>
  <c r="E49" i="4" s="1"/>
  <c r="D50" i="4" a="1"/>
  <c r="D50" i="4" s="1"/>
  <c r="E50" i="4" s="1"/>
  <c r="D52" i="4" a="1"/>
  <c r="D52" i="4" s="1"/>
  <c r="E52" i="4" s="1"/>
  <c r="D54" i="4" a="1"/>
  <c r="D54" i="4" s="1"/>
  <c r="E54" i="4" s="1"/>
  <c r="D57" i="4" a="1"/>
  <c r="D57" i="4" s="1"/>
  <c r="E57" i="4" s="1"/>
  <c r="D59" i="4" a="1"/>
  <c r="D59" i="4" s="1"/>
  <c r="E59" i="4" s="1"/>
  <c r="D61" i="4" a="1"/>
  <c r="D61" i="4" s="1"/>
  <c r="E61" i="4" s="1"/>
  <c r="D63" i="4" a="1"/>
  <c r="D63" i="4" s="1"/>
  <c r="E63" i="4" s="1"/>
  <c r="D65" i="4" a="1"/>
  <c r="D65" i="4" s="1"/>
  <c r="E65" i="4" s="1"/>
  <c r="D67" i="4" a="1"/>
  <c r="D67" i="4" s="1"/>
  <c r="E67" i="4" s="1"/>
  <c r="D69" i="4" a="1"/>
  <c r="D69" i="4" s="1"/>
  <c r="E69" i="4" s="1"/>
  <c r="D71" i="4" a="1"/>
  <c r="D71" i="4" s="1"/>
  <c r="E71" i="4" s="1"/>
  <c r="D73" i="4" a="1"/>
  <c r="D73" i="4" s="1"/>
  <c r="E73" i="4" s="1"/>
  <c r="D75" i="4" a="1"/>
  <c r="D75" i="4" s="1"/>
  <c r="E75" i="4" s="1"/>
  <c r="D77" i="4" a="1"/>
  <c r="D77" i="4" s="1"/>
  <c r="E77" i="4" s="1"/>
  <c r="D79" i="4" a="1"/>
  <c r="D79" i="4" s="1"/>
  <c r="E79" i="4" s="1"/>
  <c r="D81" i="4" a="1"/>
  <c r="D81" i="4" s="1"/>
  <c r="E81" i="4" s="1"/>
  <c r="D83" i="4" a="1"/>
  <c r="D83" i="4" s="1"/>
  <c r="E83" i="4" s="1"/>
  <c r="D85" i="4" a="1"/>
  <c r="D85" i="4" s="1"/>
  <c r="E85" i="4" s="1"/>
  <c r="D87" i="4" a="1"/>
  <c r="D87" i="4" s="1"/>
  <c r="E87" i="4" s="1"/>
  <c r="D89" i="4" a="1"/>
  <c r="D89" i="4" s="1"/>
  <c r="E89" i="4" s="1"/>
  <c r="D91" i="4" a="1"/>
  <c r="D91" i="4" s="1"/>
  <c r="E91" i="4" s="1"/>
  <c r="D93" i="4" a="1"/>
  <c r="D93" i="4" s="1"/>
  <c r="E93" i="4" s="1"/>
  <c r="D95" i="4" a="1"/>
  <c r="D95" i="4" s="1"/>
  <c r="E95" i="4" s="1"/>
  <c r="D97" i="4" a="1"/>
  <c r="D97" i="4" s="1"/>
  <c r="E97" i="4" s="1"/>
  <c r="D99" i="4" a="1"/>
  <c r="D99" i="4" s="1"/>
  <c r="E99" i="4" s="1"/>
  <c r="D101" i="4" a="1"/>
  <c r="D101" i="4" s="1"/>
  <c r="E101" i="4" s="1"/>
  <c r="D103" i="4" a="1"/>
  <c r="D103" i="4" s="1"/>
  <c r="E103" i="4" s="1"/>
  <c r="D105" i="4" a="1"/>
  <c r="D105" i="4" s="1"/>
  <c r="E105" i="4" s="1"/>
  <c r="D107" i="4" a="1"/>
  <c r="D107" i="4" s="1"/>
  <c r="E107" i="4" s="1"/>
  <c r="D109" i="4" a="1"/>
  <c r="D109" i="4" s="1"/>
  <c r="E109" i="4" s="1"/>
  <c r="D111" i="4" a="1"/>
  <c r="D111" i="4" s="1"/>
  <c r="E111" i="4" s="1"/>
  <c r="D113" i="4" a="1"/>
  <c r="D113" i="4" s="1"/>
  <c r="E113" i="4" s="1"/>
  <c r="D115" i="4" a="1"/>
  <c r="D115" i="4" s="1"/>
  <c r="E115" i="4" s="1"/>
  <c r="D117" i="4" a="1"/>
  <c r="D117" i="4" s="1"/>
  <c r="E117" i="4" s="1"/>
  <c r="D119" i="4" a="1"/>
  <c r="D119" i="4" s="1"/>
  <c r="E119" i="4" s="1"/>
  <c r="D121" i="4" a="1"/>
  <c r="D121" i="4" s="1"/>
  <c r="E121" i="4" s="1"/>
  <c r="D123" i="4" a="1"/>
  <c r="D123" i="4" s="1"/>
  <c r="E123" i="4" s="1"/>
  <c r="D125" i="4" a="1"/>
  <c r="D125" i="4" s="1"/>
  <c r="E125" i="4" s="1"/>
  <c r="D127" i="4" a="1"/>
  <c r="D127" i="4" s="1"/>
  <c r="E127" i="4" s="1"/>
  <c r="D129" i="4" a="1"/>
  <c r="D129" i="4" s="1"/>
  <c r="E129" i="4" s="1"/>
  <c r="D131" i="4" a="1"/>
  <c r="D131" i="4" s="1"/>
  <c r="E131" i="4" s="1"/>
  <c r="D133" i="4" a="1"/>
  <c r="D133" i="4" s="1"/>
  <c r="E133" i="4" s="1"/>
  <c r="D135" i="4" a="1"/>
  <c r="D135" i="4" s="1"/>
  <c r="E135" i="4" s="1"/>
  <c r="D137" i="4" a="1"/>
  <c r="D137" i="4" s="1"/>
  <c r="E137" i="4" s="1"/>
  <c r="D139" i="4" a="1"/>
  <c r="D139" i="4" s="1"/>
  <c r="E139" i="4" s="1"/>
  <c r="D141" i="4" a="1"/>
  <c r="D141" i="4" s="1"/>
  <c r="E141" i="4" s="1"/>
  <c r="D143" i="4" a="1"/>
  <c r="D143" i="4" s="1"/>
  <c r="E143" i="4" s="1"/>
  <c r="D145" i="4" a="1"/>
  <c r="D145" i="4" s="1"/>
  <c r="E145" i="4" s="1"/>
  <c r="D147" i="4" a="1"/>
  <c r="D147" i="4" s="1"/>
  <c r="E147" i="4" s="1"/>
  <c r="D149" i="4" a="1"/>
  <c r="D149" i="4" s="1"/>
  <c r="E149" i="4" s="1"/>
  <c r="D151" i="4" a="1"/>
  <c r="D151" i="4" s="1"/>
  <c r="E151" i="4" s="1"/>
  <c r="D153" i="4" a="1"/>
  <c r="D153" i="4" s="1"/>
  <c r="E153" i="4" s="1"/>
  <c r="D155" i="4" a="1"/>
  <c r="D155" i="4" s="1"/>
  <c r="E155" i="4" s="1"/>
  <c r="D157" i="4" a="1"/>
  <c r="D157" i="4" s="1"/>
  <c r="E157" i="4" s="1"/>
  <c r="D159" i="4" a="1"/>
  <c r="D159" i="4" s="1"/>
  <c r="E159" i="4" s="1"/>
  <c r="D161" i="4" a="1"/>
  <c r="D161" i="4" s="1"/>
  <c r="E161" i="4" s="1"/>
  <c r="D163" i="4" a="1"/>
  <c r="D163" i="4" s="1"/>
  <c r="E163" i="4" s="1"/>
  <c r="D165" i="4" a="1"/>
  <c r="D165" i="4" s="1"/>
  <c r="E165" i="4" s="1"/>
  <c r="D167" i="4" a="1"/>
  <c r="D167" i="4" s="1"/>
  <c r="E167" i="4" s="1"/>
  <c r="D169" i="4" a="1"/>
  <c r="D169" i="4" s="1"/>
  <c r="E169" i="4" s="1"/>
  <c r="D171" i="4" a="1"/>
  <c r="D171" i="4" s="1"/>
  <c r="E171" i="4" s="1"/>
  <c r="D173" i="4" a="1"/>
  <c r="D173" i="4" s="1"/>
  <c r="E173" i="4" s="1"/>
  <c r="D175" i="4" a="1"/>
  <c r="D175" i="4" s="1"/>
  <c r="E175" i="4" s="1"/>
  <c r="D177" i="4" a="1"/>
  <c r="D177" i="4" s="1"/>
  <c r="E177" i="4" s="1"/>
  <c r="D179" i="4" a="1"/>
  <c r="D179" i="4" s="1"/>
  <c r="E179" i="4" s="1"/>
  <c r="D181" i="4" a="1"/>
  <c r="D181" i="4" s="1"/>
  <c r="E181" i="4" s="1"/>
  <c r="D183" i="4" a="1"/>
  <c r="D183" i="4" s="1"/>
  <c r="E183" i="4" s="1"/>
  <c r="D185" i="4" a="1"/>
  <c r="D185" i="4" s="1"/>
  <c r="E185" i="4" s="1"/>
  <c r="D187" i="4" a="1"/>
  <c r="D187" i="4" s="1"/>
  <c r="E187" i="4" s="1"/>
  <c r="D189" i="4" a="1"/>
  <c r="D189" i="4" s="1"/>
  <c r="E189" i="4" s="1"/>
  <c r="D191" i="4" a="1"/>
  <c r="D191" i="4" s="1"/>
  <c r="E191" i="4" s="1"/>
  <c r="D193" i="4" a="1"/>
  <c r="D193" i="4" s="1"/>
  <c r="E193" i="4" s="1"/>
  <c r="D195" i="4" a="1"/>
  <c r="D195" i="4" s="1"/>
  <c r="E195" i="4" s="1"/>
  <c r="D197" i="4" a="1"/>
  <c r="D197" i="4" s="1"/>
  <c r="E197" i="4" s="1"/>
  <c r="D199" i="4" a="1"/>
  <c r="D199" i="4" s="1"/>
  <c r="E199" i="4" s="1"/>
  <c r="D201" i="4" a="1"/>
  <c r="D201" i="4" s="1"/>
  <c r="E201" i="4" s="1"/>
  <c r="D203" i="4" a="1"/>
  <c r="D203" i="4" s="1"/>
  <c r="E203" i="4" s="1"/>
  <c r="D205" i="4" a="1"/>
  <c r="D205" i="4" s="1"/>
  <c r="E205" i="4" s="1"/>
  <c r="D207" i="4" a="1"/>
  <c r="D207" i="4" s="1"/>
  <c r="E207" i="4" s="1"/>
  <c r="D209" i="4" a="1"/>
  <c r="D209" i="4" s="1"/>
  <c r="E209" i="4" s="1"/>
  <c r="D211" i="4" a="1"/>
  <c r="D211" i="4" s="1"/>
  <c r="E211" i="4" s="1"/>
  <c r="D213" i="4" a="1"/>
  <c r="D213" i="4" s="1"/>
  <c r="E213" i="4" s="1"/>
  <c r="D215" i="4" a="1"/>
  <c r="D215" i="4" s="1"/>
  <c r="E215" i="4" s="1"/>
  <c r="D217" i="4" a="1"/>
  <c r="D217" i="4" s="1"/>
  <c r="E217" i="4" s="1"/>
  <c r="D219" i="4" a="1"/>
  <c r="D219" i="4" s="1"/>
  <c r="E219" i="4" s="1"/>
  <c r="D221" i="4" a="1"/>
  <c r="D221" i="4" s="1"/>
  <c r="E221" i="4" s="1"/>
  <c r="D223" i="4" a="1"/>
  <c r="D223" i="4" s="1"/>
  <c r="E223" i="4" s="1"/>
  <c r="D225" i="4" a="1"/>
  <c r="D225" i="4" s="1"/>
  <c r="E225" i="4" s="1"/>
  <c r="D227" i="4" a="1"/>
  <c r="D227" i="4" s="1"/>
  <c r="E227" i="4" s="1"/>
  <c r="D229" i="4" a="1"/>
  <c r="D229" i="4" s="1"/>
  <c r="E229" i="4" s="1"/>
  <c r="D231" i="4" a="1"/>
  <c r="D231" i="4" s="1"/>
  <c r="E231" i="4" s="1"/>
  <c r="D233" i="4" a="1"/>
  <c r="D233" i="4" s="1"/>
  <c r="E233" i="4" s="1"/>
  <c r="D235" i="4" a="1"/>
  <c r="D235" i="4" s="1"/>
  <c r="E235" i="4" s="1"/>
  <c r="D237" i="4" a="1"/>
  <c r="D237" i="4" s="1"/>
  <c r="E237" i="4" s="1"/>
  <c r="D239" i="4" a="1"/>
  <c r="D239" i="4" s="1"/>
  <c r="E239" i="4" s="1"/>
  <c r="D241" i="4" a="1"/>
  <c r="D241" i="4" s="1"/>
  <c r="E241" i="4" s="1"/>
  <c r="D243" i="4" a="1"/>
  <c r="D243" i="4" s="1"/>
  <c r="E243" i="4" s="1"/>
  <c r="D245" i="4" a="1"/>
  <c r="D245" i="4" s="1"/>
  <c r="E245" i="4" s="1"/>
  <c r="D247" i="4" a="1"/>
  <c r="D247" i="4" s="1"/>
  <c r="E247" i="4" s="1"/>
  <c r="D249" i="4" a="1"/>
  <c r="D249" i="4" s="1"/>
  <c r="E249" i="4" s="1"/>
  <c r="D251" i="4" a="1"/>
  <c r="D251" i="4" s="1"/>
  <c r="E251" i="4" s="1"/>
  <c r="D253" i="4" a="1"/>
  <c r="D253" i="4" s="1"/>
  <c r="E253" i="4" s="1"/>
  <c r="D255" i="4" a="1"/>
  <c r="D255" i="4" s="1"/>
  <c r="E255" i="4" s="1"/>
  <c r="D257" i="4" a="1"/>
  <c r="D257" i="4" s="1"/>
  <c r="E257" i="4" s="1"/>
  <c r="D2" i="4" a="1"/>
  <c r="D2" i="4" s="1"/>
  <c r="E2" i="4" s="1"/>
  <c r="D5" i="4" a="1"/>
  <c r="D5" i="4" s="1"/>
  <c r="E5" i="4" s="1"/>
  <c r="D7" i="4" a="1"/>
  <c r="D7" i="4" s="1"/>
  <c r="E7" i="4" s="1"/>
  <c r="D9" i="4" a="1"/>
  <c r="D9" i="4" s="1"/>
  <c r="E9" i="4" s="1"/>
  <c r="D11" i="4" a="1"/>
  <c r="D11" i="4" s="1"/>
  <c r="E11" i="4" s="1"/>
  <c r="D12" i="4" a="1"/>
  <c r="D12" i="4" s="1"/>
  <c r="E12" i="4" s="1"/>
  <c r="D15" i="4" a="1"/>
  <c r="D15" i="4" s="1"/>
  <c r="E15" i="4" s="1"/>
  <c r="D17" i="4" a="1"/>
  <c r="D17" i="4" s="1"/>
  <c r="E17" i="4" s="1"/>
  <c r="D19" i="4" a="1"/>
  <c r="D19" i="4" s="1"/>
  <c r="E19" i="4" s="1"/>
  <c r="D20" i="4" a="1"/>
  <c r="D20" i="4" s="1"/>
  <c r="E20" i="4" s="1"/>
  <c r="D22" i="4" a="1"/>
  <c r="D22" i="4" s="1"/>
  <c r="E22" i="4" s="1"/>
  <c r="D24" i="4" a="1"/>
  <c r="D24" i="4" s="1"/>
  <c r="E24" i="4" s="1"/>
  <c r="D26" i="4" a="1"/>
  <c r="D26" i="4" s="1"/>
  <c r="E26" i="4" s="1"/>
  <c r="D28" i="4" a="1"/>
  <c r="D28" i="4" s="1"/>
  <c r="E28" i="4" s="1"/>
  <c r="D30" i="4" a="1"/>
  <c r="D30" i="4" s="1"/>
  <c r="E30" i="4" s="1"/>
  <c r="D33" i="4" a="1"/>
  <c r="D33" i="4" s="1"/>
  <c r="E33" i="4" s="1"/>
  <c r="D34" i="4" a="1"/>
  <c r="D34" i="4" s="1"/>
  <c r="E34" i="4" s="1"/>
  <c r="D36" i="4" a="1"/>
  <c r="D36" i="4" s="1"/>
  <c r="E36" i="4" s="1"/>
  <c r="D39" i="4" a="1"/>
  <c r="D39" i="4" s="1"/>
  <c r="E39" i="4" s="1"/>
  <c r="D41" i="4" a="1"/>
  <c r="D41" i="4" s="1"/>
  <c r="E41" i="4" s="1"/>
  <c r="D42" i="4" a="1"/>
  <c r="D42" i="4" s="1"/>
  <c r="E42" i="4" s="1"/>
  <c r="D44" i="4" a="1"/>
  <c r="D44" i="4" s="1"/>
  <c r="E44" i="4" s="1"/>
  <c r="D46" i="4" a="1"/>
  <c r="D46" i="4" s="1"/>
  <c r="E46" i="4" s="1"/>
  <c r="D48" i="4" a="1"/>
  <c r="D48" i="4" s="1"/>
  <c r="E48" i="4" s="1"/>
  <c r="D51" i="4" a="1"/>
  <c r="D51" i="4" s="1"/>
  <c r="E51" i="4" s="1"/>
  <c r="D53" i="4" a="1"/>
  <c r="D53" i="4" s="1"/>
  <c r="E53" i="4" s="1"/>
  <c r="D55" i="4" a="1"/>
  <c r="D55" i="4" s="1"/>
  <c r="E55" i="4" s="1"/>
  <c r="D56" i="4" a="1"/>
  <c r="D56" i="4" s="1"/>
  <c r="E56" i="4" s="1"/>
  <c r="D58" i="4" a="1"/>
  <c r="D58" i="4" s="1"/>
  <c r="E58" i="4" s="1"/>
  <c r="D60" i="4" a="1"/>
  <c r="D60" i="4" s="1"/>
  <c r="E60" i="4" s="1"/>
  <c r="D62" i="4" a="1"/>
  <c r="D62" i="4" s="1"/>
  <c r="E62" i="4" s="1"/>
  <c r="D64" i="4" a="1"/>
  <c r="D64" i="4" s="1"/>
  <c r="E64" i="4" s="1"/>
  <c r="D66" i="4" a="1"/>
  <c r="D66" i="4" s="1"/>
  <c r="E66" i="4" s="1"/>
  <c r="D68" i="4" a="1"/>
  <c r="D68" i="4" s="1"/>
  <c r="E68" i="4" s="1"/>
  <c r="D70" i="4" a="1"/>
  <c r="D70" i="4" s="1"/>
  <c r="E70" i="4" s="1"/>
  <c r="D72" i="4" a="1"/>
  <c r="D72" i="4" s="1"/>
  <c r="E72" i="4" s="1"/>
  <c r="D74" i="4" a="1"/>
  <c r="D74" i="4" s="1"/>
  <c r="E74" i="4" s="1"/>
  <c r="D76" i="4" a="1"/>
  <c r="D76" i="4" s="1"/>
  <c r="E76" i="4" s="1"/>
  <c r="D78" i="4" a="1"/>
  <c r="D78" i="4" s="1"/>
  <c r="E78" i="4" s="1"/>
  <c r="D80" i="4" a="1"/>
  <c r="D80" i="4" s="1"/>
  <c r="E80" i="4" s="1"/>
  <c r="D82" i="4" a="1"/>
  <c r="D82" i="4" s="1"/>
  <c r="E82" i="4" s="1"/>
  <c r="D84" i="4" a="1"/>
  <c r="D84" i="4" s="1"/>
  <c r="E84" i="4" s="1"/>
  <c r="D86" i="4" a="1"/>
  <c r="D86" i="4" s="1"/>
  <c r="E86" i="4" s="1"/>
  <c r="D88" i="4" a="1"/>
  <c r="D88" i="4" s="1"/>
  <c r="E88" i="4" s="1"/>
  <c r="D90" i="4" a="1"/>
  <c r="D90" i="4" s="1"/>
  <c r="E90" i="4" s="1"/>
  <c r="D92" i="4" a="1"/>
  <c r="D92" i="4" s="1"/>
  <c r="E92" i="4" s="1"/>
  <c r="D94" i="4" a="1"/>
  <c r="D94" i="4" s="1"/>
  <c r="E94" i="4" s="1"/>
  <c r="D96" i="4" a="1"/>
  <c r="D96" i="4" s="1"/>
  <c r="E96" i="4" s="1"/>
  <c r="D98" i="4" a="1"/>
  <c r="D98" i="4" s="1"/>
  <c r="E98" i="4" s="1"/>
  <c r="D100" i="4" a="1"/>
  <c r="D100" i="4" s="1"/>
  <c r="E100" i="4" s="1"/>
  <c r="D102" i="4" a="1"/>
  <c r="D102" i="4" s="1"/>
  <c r="E102" i="4" s="1"/>
  <c r="D104" i="4" a="1"/>
  <c r="D104" i="4" s="1"/>
  <c r="E104" i="4" s="1"/>
  <c r="D106" i="4" a="1"/>
  <c r="D106" i="4" s="1"/>
  <c r="E106" i="4" s="1"/>
  <c r="D108" i="4" a="1"/>
  <c r="D108" i="4" s="1"/>
  <c r="E108" i="4" s="1"/>
  <c r="D110" i="4" a="1"/>
  <c r="D110" i="4" s="1"/>
  <c r="E110" i="4" s="1"/>
  <c r="D112" i="4" a="1"/>
  <c r="D112" i="4" s="1"/>
  <c r="E112" i="4" s="1"/>
  <c r="D114" i="4" a="1"/>
  <c r="D114" i="4" s="1"/>
  <c r="E114" i="4" s="1"/>
  <c r="D116" i="4" a="1"/>
  <c r="D116" i="4" s="1"/>
  <c r="E116" i="4" s="1"/>
  <c r="D118" i="4" a="1"/>
  <c r="D118" i="4" s="1"/>
  <c r="E118" i="4" s="1"/>
  <c r="D120" i="4" a="1"/>
  <c r="D120" i="4" s="1"/>
  <c r="E120" i="4" s="1"/>
  <c r="D122" i="4" a="1"/>
  <c r="D122" i="4" s="1"/>
  <c r="E122" i="4" s="1"/>
  <c r="D124" i="4" a="1"/>
  <c r="D124" i="4" s="1"/>
  <c r="E124" i="4" s="1"/>
  <c r="D126" i="4" a="1"/>
  <c r="D126" i="4" s="1"/>
  <c r="E126" i="4" s="1"/>
  <c r="D128" i="4" a="1"/>
  <c r="D128" i="4" s="1"/>
  <c r="E128" i="4" s="1"/>
  <c r="D130" i="4" a="1"/>
  <c r="D130" i="4" s="1"/>
  <c r="E130" i="4" s="1"/>
  <c r="D132" i="4" a="1"/>
  <c r="D132" i="4" s="1"/>
  <c r="E132" i="4" s="1"/>
  <c r="D134" i="4" a="1"/>
  <c r="D134" i="4" s="1"/>
  <c r="E134" i="4" s="1"/>
  <c r="D136" i="4" a="1"/>
  <c r="D136" i="4" s="1"/>
  <c r="E136" i="4" s="1"/>
  <c r="D138" i="4" a="1"/>
  <c r="D138" i="4" s="1"/>
  <c r="E138" i="4" s="1"/>
  <c r="D140" i="4" a="1"/>
  <c r="D140" i="4" s="1"/>
  <c r="E140" i="4" s="1"/>
  <c r="D142" i="4" a="1"/>
  <c r="D142" i="4" s="1"/>
  <c r="E142" i="4" s="1"/>
  <c r="D144" i="4" a="1"/>
  <c r="D144" i="4" s="1"/>
  <c r="E144" i="4" s="1"/>
  <c r="D146" i="4" a="1"/>
  <c r="D146" i="4" s="1"/>
  <c r="E146" i="4" s="1"/>
  <c r="D148" i="4" a="1"/>
  <c r="D148" i="4" s="1"/>
  <c r="E148" i="4" s="1"/>
  <c r="D150" i="4" a="1"/>
  <c r="D150" i="4" s="1"/>
  <c r="E150" i="4" s="1"/>
  <c r="D152" i="4" a="1"/>
  <c r="D152" i="4" s="1"/>
  <c r="E152" i="4" s="1"/>
  <c r="D154" i="4" a="1"/>
  <c r="D154" i="4" s="1"/>
  <c r="E154" i="4" s="1"/>
  <c r="D156" i="4" a="1"/>
  <c r="D156" i="4" s="1"/>
  <c r="E156" i="4" s="1"/>
  <c r="D158" i="4" a="1"/>
  <c r="D158" i="4" s="1"/>
  <c r="E158" i="4" s="1"/>
  <c r="D160" i="4" a="1"/>
  <c r="D160" i="4" s="1"/>
  <c r="E160" i="4" s="1"/>
  <c r="D162" i="4" a="1"/>
  <c r="D162" i="4" s="1"/>
  <c r="E162" i="4" s="1"/>
  <c r="D164" i="4" a="1"/>
  <c r="D164" i="4" s="1"/>
  <c r="E164" i="4" s="1"/>
  <c r="D166" i="4" a="1"/>
  <c r="D166" i="4" s="1"/>
  <c r="E166" i="4" s="1"/>
  <c r="D168" i="4" a="1"/>
  <c r="D168" i="4" s="1"/>
  <c r="E168" i="4" s="1"/>
  <c r="D170" i="4" a="1"/>
  <c r="D170" i="4" s="1"/>
  <c r="E170" i="4" s="1"/>
  <c r="D172" i="4" a="1"/>
  <c r="D172" i="4" s="1"/>
  <c r="E172" i="4" s="1"/>
  <c r="D174" i="4" a="1"/>
  <c r="D174" i="4" s="1"/>
  <c r="E174" i="4" s="1"/>
  <c r="D176" i="4" a="1"/>
  <c r="D176" i="4" s="1"/>
  <c r="E176" i="4" s="1"/>
  <c r="D178" i="4" a="1"/>
  <c r="D178" i="4" s="1"/>
  <c r="E178" i="4" s="1"/>
  <c r="D180" i="4" a="1"/>
  <c r="D180" i="4" s="1"/>
  <c r="E180" i="4" s="1"/>
  <c r="D182" i="4" a="1"/>
  <c r="D182" i="4" s="1"/>
  <c r="E182" i="4" s="1"/>
  <c r="D184" i="4" a="1"/>
  <c r="D184" i="4" s="1"/>
  <c r="E184" i="4" s="1"/>
  <c r="D186" i="4" a="1"/>
  <c r="D186" i="4" s="1"/>
  <c r="E186" i="4" s="1"/>
  <c r="D188" i="4" a="1"/>
  <c r="D188" i="4" s="1"/>
  <c r="E188" i="4" s="1"/>
  <c r="D190" i="4" a="1"/>
  <c r="D190" i="4" s="1"/>
  <c r="E190" i="4" s="1"/>
  <c r="D192" i="4" a="1"/>
  <c r="D192" i="4" s="1"/>
  <c r="E192" i="4" s="1"/>
  <c r="D194" i="4" a="1"/>
  <c r="D194" i="4" s="1"/>
  <c r="E194" i="4" s="1"/>
  <c r="D196" i="4" a="1"/>
  <c r="D196" i="4" s="1"/>
  <c r="E196" i="4" s="1"/>
  <c r="D198" i="4" a="1"/>
  <c r="D198" i="4" s="1"/>
  <c r="E198" i="4" s="1"/>
  <c r="D200" i="4" a="1"/>
  <c r="D200" i="4" s="1"/>
  <c r="E200" i="4" s="1"/>
  <c r="D202" i="4" a="1"/>
  <c r="D202" i="4" s="1"/>
  <c r="E202" i="4" s="1"/>
  <c r="D204" i="4" a="1"/>
  <c r="D204" i="4" s="1"/>
  <c r="E204" i="4" s="1"/>
  <c r="D206" i="4" a="1"/>
  <c r="D206" i="4" s="1"/>
  <c r="E206" i="4" s="1"/>
  <c r="D208" i="4" a="1"/>
  <c r="D208" i="4" s="1"/>
  <c r="E208" i="4" s="1"/>
  <c r="D210" i="4" a="1"/>
  <c r="D210" i="4" s="1"/>
  <c r="E210" i="4" s="1"/>
  <c r="D212" i="4" a="1"/>
  <c r="D212" i="4" s="1"/>
  <c r="E212" i="4" s="1"/>
  <c r="D214" i="4" a="1"/>
  <c r="D214" i="4" s="1"/>
  <c r="E214" i="4" s="1"/>
  <c r="D216" i="4" a="1"/>
  <c r="D216" i="4" s="1"/>
  <c r="E216" i="4" s="1"/>
  <c r="D218" i="4" a="1"/>
  <c r="D218" i="4" s="1"/>
  <c r="E218" i="4" s="1"/>
  <c r="D220" i="4" a="1"/>
  <c r="D220" i="4" s="1"/>
  <c r="E220" i="4" s="1"/>
  <c r="D222" i="4" a="1"/>
  <c r="D222" i="4" s="1"/>
  <c r="E222" i="4" s="1"/>
  <c r="D224" i="4" a="1"/>
  <c r="D224" i="4" s="1"/>
  <c r="E224" i="4" s="1"/>
  <c r="D226" i="4" a="1"/>
  <c r="D226" i="4" s="1"/>
  <c r="E226" i="4" s="1"/>
  <c r="D228" i="4" a="1"/>
  <c r="D228" i="4" s="1"/>
  <c r="E228" i="4" s="1"/>
  <c r="D230" i="4" a="1"/>
  <c r="D230" i="4" s="1"/>
  <c r="E230" i="4" s="1"/>
  <c r="D232" i="4" a="1"/>
  <c r="D232" i="4" s="1"/>
  <c r="E232" i="4" s="1"/>
  <c r="D234" i="4" a="1"/>
  <c r="D234" i="4" s="1"/>
  <c r="E234" i="4" s="1"/>
  <c r="D236" i="4" a="1"/>
  <c r="D236" i="4" s="1"/>
  <c r="E236" i="4" s="1"/>
  <c r="D238" i="4" a="1"/>
  <c r="D238" i="4" s="1"/>
  <c r="E238" i="4" s="1"/>
  <c r="D240" i="4" a="1"/>
  <c r="D240" i="4" s="1"/>
  <c r="E240" i="4" s="1"/>
  <c r="D242" i="4" a="1"/>
  <c r="D242" i="4" s="1"/>
  <c r="E242" i="4" s="1"/>
  <c r="D244" i="4" a="1"/>
  <c r="D244" i="4" s="1"/>
  <c r="E244" i="4" s="1"/>
  <c r="D246" i="4" a="1"/>
  <c r="D246" i="4" s="1"/>
  <c r="E246" i="4" s="1"/>
  <c r="D248" i="4" a="1"/>
  <c r="D248" i="4" s="1"/>
  <c r="E248" i="4" s="1"/>
  <c r="D250" i="4" a="1"/>
  <c r="D250" i="4" s="1"/>
  <c r="E250" i="4" s="1"/>
  <c r="D252" i="4" a="1"/>
  <c r="D252" i="4" s="1"/>
  <c r="E252" i="4" s="1"/>
  <c r="D254" i="4" a="1"/>
  <c r="D254" i="4" s="1"/>
  <c r="E254" i="4" s="1"/>
  <c r="D256" i="4" a="1"/>
  <c r="D256" i="4" s="1"/>
  <c r="E256" i="4" s="1"/>
  <c r="D258" i="4" a="1"/>
  <c r="D258" i="4" s="1"/>
  <c r="E258" i="4" s="1"/>
</calcChain>
</file>

<file path=xl/connections.xml><?xml version="1.0" encoding="utf-8"?>
<connections xmlns="http://schemas.openxmlformats.org/spreadsheetml/2006/main">
  <connection id="1" name="Consulta desde ODBC MySQL en AGROTA" type="1" refreshedVersion="3" saveData="1">
    <dbPr connection="DSN=ODBC MySQL en AGROTA;" command="SELECT vexistenciaxproducto_0.EmpresasEmpresaProducto, vexistenciaxproducto_0.NombreBodega AS 'BODEGA', vexistenciaxproducto_0.CodigoVentaProducto AS 'CODIGO', vexistenciaxproducto_0.CodigoCatalogoProducto AS 'COD CATALOGO', vexistenciaxproducto_0.DescripcionProducto AS 'DESCRIPCION', vexistenciaxproducto_0.NombreGrupo AS 'GRUPO', vexistenciaxproducto_0.NombreLinea AS 'LINEA', vexistenciaxproducto_0.ExistenciaProductoBodegaSinP AS 'INV FISICO', vexistenciaxproducto_0.NombreUnidad AS 'UNIDAD', vexistenciaxproducto_0.PrecioVentaProducto AS 'PRECIO', vexistenciaxproducto_0.CostoProducto AS 'COSTO'_x000d__x000a_FROM baseevolution.vexistenciaxproducto vexistenciaxproducto_0_x000d__x000a_WHERE (vexistenciaxproducto_0.NombreLinea&lt;&gt;'ACTIVO FIJO')"/>
  </connection>
  <connection id="2" name="Consulta desde ODBC MySQL en AGROTA1" type="1" refreshedVersion="3" saveData="1">
    <dbPr connection="DSN=ODBC MySQL en AGROTA;" command="SELECT empresas_0.CodigoEmpresa, empresas_0.NombreEmpresa_x000d__x000a_FROM baseevolution.empresas empresas_0"/>
  </connection>
  <connection id="3" name="Consulta desde reportes en Access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BodegasConsolidables.NombreBodega_x000d__x000a_FROM qryBodegasConsolidables qryBodegasConsolidables"/>
  </connection>
  <connection id="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TransitoCompras.EMPRESA, qryTransitoCompras.CODIGO, qryTransitoCompras.Tránsito_x000d__x000a_FROM .qryTransitoCompras qryTransitoCompras"/>
  </connection>
  <connection id="5" name="Consulta desde reportes en Access2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UnicosActivosEnBuffers.EMPRESA, qryItemsUnicosActivosEnBuffers.CODIGO_x000d__x000a_FROM qryItemsUnicosActivosEnBuffers qryItemsUnicosActivosEnBuffers"/>
  </connection>
</connections>
</file>

<file path=xl/sharedStrings.xml><?xml version="1.0" encoding="utf-8"?>
<sst xmlns="http://schemas.openxmlformats.org/spreadsheetml/2006/main" count="5701" uniqueCount="2100">
  <si>
    <t>EmpresasEmpresaProducto</t>
  </si>
  <si>
    <t>NombreBodega</t>
  </si>
  <si>
    <t>2</t>
  </si>
  <si>
    <t>Productos Terminado</t>
  </si>
  <si>
    <t>PRODUCCION</t>
  </si>
  <si>
    <t>Materia Prima</t>
  </si>
  <si>
    <t>Produccion</t>
  </si>
  <si>
    <t>Problemas Agroinsumos</t>
  </si>
  <si>
    <t>Consignacion agroinsumos</t>
  </si>
  <si>
    <t>PRODUCTO TERMINADO ( BODEGA CUADRADA )</t>
  </si>
  <si>
    <t>MATERIA PRIMA ( BODEGA CUADRADA )</t>
  </si>
  <si>
    <t>110427120444117</t>
  </si>
  <si>
    <t>Sucre Sukampo</t>
  </si>
  <si>
    <t>IN-091</t>
  </si>
  <si>
    <t>Loja Sukampo</t>
  </si>
  <si>
    <t>FERIA LIBRE SUKAMPO</t>
  </si>
  <si>
    <t>Bodega Naranjal</t>
  </si>
  <si>
    <t>MATERIA PRIMA</t>
  </si>
  <si>
    <t>F-011</t>
  </si>
  <si>
    <t>F-018</t>
  </si>
  <si>
    <t>IN - 126</t>
  </si>
  <si>
    <t>IN-0004</t>
  </si>
  <si>
    <t>IN-0007</t>
  </si>
  <si>
    <t>IN-0008</t>
  </si>
  <si>
    <t>IN-00102</t>
  </si>
  <si>
    <t>IN-0012</t>
  </si>
  <si>
    <t>IN-0014</t>
  </si>
  <si>
    <t>IN-0042</t>
  </si>
  <si>
    <t>IN-035</t>
  </si>
  <si>
    <t>IN-036</t>
  </si>
  <si>
    <t>IN-037</t>
  </si>
  <si>
    <t>IN-104</t>
  </si>
  <si>
    <t>IN-127</t>
  </si>
  <si>
    <t>IN-140</t>
  </si>
  <si>
    <t>IN-141</t>
  </si>
  <si>
    <t>IN-32</t>
  </si>
  <si>
    <t>IN-33</t>
  </si>
  <si>
    <t>IN-35</t>
  </si>
  <si>
    <t>IN-362</t>
  </si>
  <si>
    <t>IN-81</t>
  </si>
  <si>
    <t>1</t>
  </si>
  <si>
    <t>El Molino</t>
  </si>
  <si>
    <t>Plaza Carbon(Byron)</t>
  </si>
  <si>
    <t>Problemas Agrota</t>
  </si>
  <si>
    <t>Consignacion agrota</t>
  </si>
  <si>
    <t>Maquinas para Prueba</t>
  </si>
  <si>
    <t>Bodega Central</t>
  </si>
  <si>
    <t>Maquinas desarmadas</t>
  </si>
  <si>
    <t>OT-693</t>
  </si>
  <si>
    <t>G-0011</t>
  </si>
  <si>
    <t>IN-0081</t>
  </si>
  <si>
    <t>IN-6611</t>
  </si>
  <si>
    <t>IN-6615</t>
  </si>
  <si>
    <t>IN-668</t>
  </si>
  <si>
    <t>IN-5421</t>
  </si>
  <si>
    <t>IN-5422</t>
  </si>
  <si>
    <t>IN-6617</t>
  </si>
  <si>
    <t>IN-00171</t>
  </si>
  <si>
    <t>IN-00172</t>
  </si>
  <si>
    <t>IN - 1271</t>
  </si>
  <si>
    <t>IN-00173</t>
  </si>
  <si>
    <t>MP-7881</t>
  </si>
  <si>
    <t>IN-1945</t>
  </si>
  <si>
    <t>IN-1131</t>
  </si>
  <si>
    <t>IN-0976</t>
  </si>
  <si>
    <t>IN-0977</t>
  </si>
  <si>
    <t>IN-5665</t>
  </si>
  <si>
    <t>BR-CAT-SC3305</t>
  </si>
  <si>
    <t>BR-CAT-SC2170</t>
  </si>
  <si>
    <t>OT-113</t>
  </si>
  <si>
    <t>OT-1131</t>
  </si>
  <si>
    <t>OT-VANG18HP</t>
  </si>
  <si>
    <t>CR-EC4000</t>
  </si>
  <si>
    <t>CR-039</t>
  </si>
  <si>
    <t>JF-086</t>
  </si>
  <si>
    <t>OT-481</t>
  </si>
  <si>
    <t>CR-092</t>
  </si>
  <si>
    <t>CR-001</t>
  </si>
  <si>
    <t>CR-DPFSR</t>
  </si>
  <si>
    <t>CT-0001</t>
  </si>
  <si>
    <t>CT-0002</t>
  </si>
  <si>
    <t>CT-0003</t>
  </si>
  <si>
    <t>CT-0004</t>
  </si>
  <si>
    <t>EC-10000039130</t>
  </si>
  <si>
    <t>EC-10000060931</t>
  </si>
  <si>
    <t>EC-10001101110</t>
  </si>
  <si>
    <t>EC-10001108360</t>
  </si>
  <si>
    <t>EC-10001110530</t>
  </si>
  <si>
    <t>EC-10001130831</t>
  </si>
  <si>
    <t>EC-10001132431</t>
  </si>
  <si>
    <t>EC-10001139731</t>
  </si>
  <si>
    <t>EC-10001142230</t>
  </si>
  <si>
    <t>EC-10001143230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</si>
  <si>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</si>
  <si>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</si>
  <si>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</si>
  <si>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</si>
  <si>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</si>
  <si>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</si>
  <si>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</si>
  <si>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</si>
  <si>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</si>
  <si>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</si>
  <si>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</si>
  <si>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</si>
  <si>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</si>
  <si>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EC-10101006211</t>
  </si>
  <si>
    <t>EC-10101030830</t>
  </si>
  <si>
    <t>EC-10101032431</t>
  </si>
  <si>
    <t>EC-10101055430</t>
  </si>
  <si>
    <t>EC-10101056030</t>
  </si>
  <si>
    <t>EC-10101147530</t>
  </si>
  <si>
    <t>EC-10101161230</t>
  </si>
  <si>
    <t>EC-10103456532</t>
  </si>
  <si>
    <t>EC-12300038832</t>
  </si>
  <si>
    <t>EC-12300047532</t>
  </si>
  <si>
    <t>EC-12300055630</t>
  </si>
  <si>
    <t>EC-12300057731</t>
  </si>
  <si>
    <t>EC-12300060131</t>
  </si>
  <si>
    <t>EC-12300060930</t>
  </si>
  <si>
    <t>EC-12311824430</t>
  </si>
  <si>
    <t>EC-12312009560</t>
  </si>
  <si>
    <t>EC-12312203660</t>
  </si>
  <si>
    <t>EC-12312338330</t>
  </si>
  <si>
    <t>SH-22100-81230</t>
  </si>
  <si>
    <t>EC-12312509560</t>
  </si>
  <si>
    <t>EC-12313704260</t>
  </si>
  <si>
    <t>EC-12314103930</t>
  </si>
  <si>
    <t>EC-12318139130</t>
  </si>
  <si>
    <t>EC-12318140630</t>
  </si>
  <si>
    <t>SH-20036-81670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</si>
  <si>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</si>
  <si>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</si>
  <si>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</si>
  <si>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</si>
  <si>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</si>
  <si>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</si>
  <si>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</si>
  <si>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</si>
  <si>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EC-12532308260</t>
  </si>
  <si>
    <t>EC-12532508360</t>
  </si>
  <si>
    <t>EC-12533708260</t>
  </si>
  <si>
    <t>EC-12534107360</t>
  </si>
  <si>
    <t>EC-13000039131</t>
  </si>
  <si>
    <t>EC-13000739932</t>
  </si>
  <si>
    <t>EC-13001038330</t>
  </si>
  <si>
    <t>EC-13001743130</t>
  </si>
  <si>
    <t>EC-13001755630</t>
  </si>
  <si>
    <t>EC-13001756431</t>
  </si>
  <si>
    <t>EC-13002151530</t>
  </si>
  <si>
    <t>EC-13030013411</t>
  </si>
  <si>
    <t>EC-13030039730</t>
  </si>
  <si>
    <t>EC-13030252131</t>
  </si>
  <si>
    <t>EC-13031013410</t>
  </si>
  <si>
    <t>EC-13031051730</t>
  </si>
  <si>
    <t>EC-13031051830</t>
  </si>
  <si>
    <t>EC-13031306230</t>
  </si>
  <si>
    <t>EC-13040652131</t>
  </si>
  <si>
    <t>EC-13051030830</t>
  </si>
  <si>
    <t>EC-13051039932</t>
  </si>
  <si>
    <t>EC-13101064931</t>
  </si>
  <si>
    <t>EC-13120519831</t>
  </si>
  <si>
    <t>EC-13191043130</t>
  </si>
  <si>
    <t>EC-13192055430</t>
  </si>
  <si>
    <t>EC-13201035430</t>
  </si>
  <si>
    <t>EC-13211555930</t>
  </si>
  <si>
    <t>EC-14551055932</t>
  </si>
  <si>
    <t>EC-15262655430</t>
  </si>
  <si>
    <t>EC-15262655932</t>
  </si>
  <si>
    <t>EC-15262656032</t>
  </si>
  <si>
    <t>EC-15660106211</t>
  </si>
  <si>
    <t>EC-15660112920</t>
  </si>
  <si>
    <t>EC-15660130832</t>
  </si>
  <si>
    <t>EC-15660132632</t>
  </si>
  <si>
    <t>EC-15662639130</t>
  </si>
  <si>
    <t>EC-15662660930</t>
  </si>
  <si>
    <t>EC-15680142230</t>
  </si>
  <si>
    <t>EC-17500030832</t>
  </si>
  <si>
    <t>EC-17500539133</t>
  </si>
  <si>
    <t>EC-17500543130</t>
  </si>
  <si>
    <t>EC-17500549930</t>
  </si>
  <si>
    <t>EC-17500555930</t>
  </si>
  <si>
    <t>EC-17500955931</t>
  </si>
  <si>
    <t>EC-17501805533</t>
  </si>
  <si>
    <t>EC-17501849932</t>
  </si>
  <si>
    <t>EC-17504606230</t>
  </si>
  <si>
    <t>EC-17504646430</t>
  </si>
  <si>
    <t>EC-17504656030</t>
  </si>
  <si>
    <t>EC-17504803920</t>
  </si>
  <si>
    <t>EC-17504805530</t>
  </si>
  <si>
    <t>EC-17504903920</t>
  </si>
  <si>
    <t>EC-17510530831</t>
  </si>
  <si>
    <t>EC-17510532431</t>
  </si>
  <si>
    <t>EC-17720006210</t>
  </si>
  <si>
    <t>EC-17720055631</t>
  </si>
  <si>
    <t>EC-17720055931</t>
  </si>
  <si>
    <t>EC-17720241030</t>
  </si>
  <si>
    <t>EC-17720360930</t>
  </si>
  <si>
    <t>EC-17721532330</t>
  </si>
  <si>
    <t>EC-17721535632</t>
  </si>
  <si>
    <t>EC-17721538330</t>
  </si>
  <si>
    <t>EC-17721540630</t>
  </si>
  <si>
    <t>EC-17721560930</t>
  </si>
  <si>
    <t>EC-17722002834</t>
  </si>
  <si>
    <t>EC-17722006310</t>
  </si>
  <si>
    <t>EC-17722040630</t>
  </si>
  <si>
    <t>SH-20024-75130</t>
  </si>
  <si>
    <t>EC-17722135631</t>
  </si>
  <si>
    <t>EC-17722138330</t>
  </si>
  <si>
    <t>EC-17722601110</t>
  </si>
  <si>
    <t>EC-17723440630</t>
  </si>
  <si>
    <t>EC-17800147530</t>
  </si>
  <si>
    <t>EC-17800159230</t>
  </si>
  <si>
    <t>EC-17812743230</t>
  </si>
  <si>
    <t>EC-A575000430</t>
  </si>
  <si>
    <t>EC-17531320430</t>
  </si>
  <si>
    <t>EC-17500544331</t>
  </si>
  <si>
    <t>SH-22152-41231</t>
  </si>
  <si>
    <t>EC-V580000100</t>
  </si>
  <si>
    <t>EC-10021330830</t>
  </si>
  <si>
    <t>EC-15901201620</t>
  </si>
  <si>
    <t>EC-30100156831</t>
  </si>
  <si>
    <t>EC-30511055630</t>
  </si>
  <si>
    <t>EC-35101052931</t>
  </si>
  <si>
    <t>EC-35110247530</t>
  </si>
  <si>
    <t>EC-35121452931</t>
  </si>
  <si>
    <t>EC-10021219830</t>
  </si>
  <si>
    <t>EC-61001125530</t>
  </si>
  <si>
    <t>EC-61020623030</t>
  </si>
  <si>
    <t>EC-61020643130</t>
  </si>
  <si>
    <t>EC-61031307132</t>
  </si>
  <si>
    <t>EC-61031421231</t>
  </si>
  <si>
    <t>EC-61032027430</t>
  </si>
  <si>
    <t>EC-61043450031</t>
  </si>
  <si>
    <t>EC-14551206211</t>
  </si>
  <si>
    <t>EC-13192311120</t>
  </si>
  <si>
    <t>EC-70602034770</t>
  </si>
  <si>
    <t>EC-70602035911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</si>
  <si>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</si>
  <si>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</si>
  <si>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</si>
  <si>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</si>
  <si>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</si>
  <si>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</si>
  <si>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EC-70604060762</t>
  </si>
  <si>
    <t>EC-70613005230</t>
  </si>
  <si>
    <t>EC-70615050520</t>
  </si>
  <si>
    <t>EC-70617038721</t>
  </si>
  <si>
    <t>EC-13201119831</t>
  </si>
  <si>
    <t>EC-14586130830</t>
  </si>
  <si>
    <t>EC-V309000040</t>
  </si>
  <si>
    <t>EC-90016205050</t>
  </si>
  <si>
    <t>EC-90016205057</t>
  </si>
  <si>
    <t>EC-900302</t>
  </si>
  <si>
    <t>EC-91032</t>
  </si>
  <si>
    <t>EC-A011000120</t>
  </si>
  <si>
    <t>EC-A011000250</t>
  </si>
  <si>
    <t>EC-A021000220</t>
  </si>
  <si>
    <t>EC-A021000290</t>
  </si>
  <si>
    <t>EC-A021001680</t>
  </si>
  <si>
    <t>EC-A051000070</t>
  </si>
  <si>
    <t>EC-A052000030</t>
  </si>
  <si>
    <t>EC-A052000380</t>
  </si>
  <si>
    <t>EC-A056000010</t>
  </si>
  <si>
    <t>EC-A056000050</t>
  </si>
  <si>
    <t>EC-A101000000</t>
  </si>
  <si>
    <t>EC-A101000010</t>
  </si>
  <si>
    <t>EC-A101000150</t>
  </si>
  <si>
    <t>EC-A101000160</t>
  </si>
  <si>
    <t>EC-A130000111</t>
  </si>
  <si>
    <t>EC-A130000292</t>
  </si>
  <si>
    <t>EC-A130000601</t>
  </si>
  <si>
    <t>EC-A200000140</t>
  </si>
  <si>
    <t>EC-A202000011</t>
  </si>
  <si>
    <t>EC-A202000060</t>
  </si>
  <si>
    <t>EC-A225000400</t>
  </si>
  <si>
    <t>EC-A226000070</t>
  </si>
  <si>
    <t>EC-A235000220</t>
  </si>
  <si>
    <t>EC-A350000131</t>
  </si>
  <si>
    <t>EC-A393000050</t>
  </si>
  <si>
    <t>EC-A409000520</t>
  </si>
  <si>
    <t>EC-A411000031</t>
  </si>
  <si>
    <t>EC-A411000050</t>
  </si>
  <si>
    <t>EC-A411000264</t>
  </si>
  <si>
    <t>EC-A426000000</t>
  </si>
  <si>
    <t>EC-A427000000</t>
  </si>
  <si>
    <t>EC-A506000080</t>
  </si>
  <si>
    <t>EC-A553000000</t>
  </si>
  <si>
    <t>EC-A556000021</t>
  </si>
  <si>
    <t>EC-A556000181</t>
  </si>
  <si>
    <t>EC-SHP-800EUSTD</t>
  </si>
  <si>
    <t>OT-584</t>
  </si>
  <si>
    <t>EC-C400000211</t>
  </si>
  <si>
    <t>EC-C535000001</t>
  </si>
  <si>
    <t>EC-C536000030</t>
  </si>
  <si>
    <t>EC-SRM-270UEU</t>
  </si>
  <si>
    <t>EC-SRM-3605UEU</t>
  </si>
  <si>
    <t>EC-SRM-4300R</t>
  </si>
  <si>
    <t>EC-SRM-4605UEU</t>
  </si>
  <si>
    <t>EC-CS-3500-40EUSTD</t>
  </si>
  <si>
    <t>EC-CS-420ES-45EU</t>
  </si>
  <si>
    <t>EC-DM-6110EUSTD</t>
  </si>
  <si>
    <t>EC-P003000240</t>
  </si>
  <si>
    <t>EC-P003000250</t>
  </si>
  <si>
    <t>EC-P005001080</t>
  </si>
  <si>
    <t>EC-P005001110</t>
  </si>
  <si>
    <t>EC-P005001130</t>
  </si>
  <si>
    <t>EC-P005001150</t>
  </si>
  <si>
    <t>EC-P005001160</t>
  </si>
  <si>
    <t>EC-P021000371</t>
  </si>
  <si>
    <t>EC-P021000803</t>
  </si>
  <si>
    <t>EC-P021001820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</si>
  <si>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</si>
  <si>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</si>
  <si>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</si>
  <si>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</si>
  <si>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</si>
  <si>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</si>
  <si>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</si>
  <si>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</si>
  <si>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EC-P021006200</t>
  </si>
  <si>
    <t>EC-P021010210</t>
  </si>
  <si>
    <t>EC-P021010574</t>
  </si>
  <si>
    <t>EC-P021010582</t>
  </si>
  <si>
    <t>EC-P021012620</t>
  </si>
  <si>
    <t>EC-P021012780</t>
  </si>
  <si>
    <t>EC-P021012781</t>
  </si>
  <si>
    <t>EC-P021012791</t>
  </si>
  <si>
    <t>EC-P021012831</t>
  </si>
  <si>
    <t>EC-P021012920</t>
  </si>
  <si>
    <t>EC-P021013620</t>
  </si>
  <si>
    <t>EC-P021014440</t>
  </si>
  <si>
    <t>EC-P021015290</t>
  </si>
  <si>
    <t>EC-P021015780</t>
  </si>
  <si>
    <t>EC-P021029730</t>
  </si>
  <si>
    <t>EC-P022002080</t>
  </si>
  <si>
    <t>EC-P022006970</t>
  </si>
  <si>
    <t>EC-P022006980</t>
  </si>
  <si>
    <t>EC-P022007030</t>
  </si>
  <si>
    <t>EC-P022007041</t>
  </si>
  <si>
    <t>EC-P022007081</t>
  </si>
  <si>
    <t>EC-P022007090</t>
  </si>
  <si>
    <t>EC-P022007131</t>
  </si>
  <si>
    <t>EC-P022007160</t>
  </si>
  <si>
    <t>EC-P022007230</t>
  </si>
  <si>
    <t>EC-P022007430</t>
  </si>
  <si>
    <t>EC-P022007460</t>
  </si>
  <si>
    <t>EC-P022010440</t>
  </si>
  <si>
    <t>EC-SRAH-205</t>
  </si>
  <si>
    <t>EC-V102000001</t>
  </si>
  <si>
    <t>EC-V430001330</t>
  </si>
  <si>
    <t>EC-X405000011</t>
  </si>
  <si>
    <t>EC-SHP-800-2</t>
  </si>
  <si>
    <t>EC-70617005560</t>
  </si>
  <si>
    <t>EC-001107</t>
  </si>
  <si>
    <t>EC-P021014320</t>
  </si>
  <si>
    <t>EC-70617027722</t>
  </si>
  <si>
    <t>EC-P022006870</t>
  </si>
  <si>
    <t>EC-P022006900</t>
  </si>
  <si>
    <t>EC-P022007310</t>
  </si>
  <si>
    <t>EC-P022002090</t>
  </si>
  <si>
    <t>EC-12538108660</t>
  </si>
  <si>
    <t>EC-A226000300</t>
  </si>
  <si>
    <t>EC-A232000312</t>
  </si>
  <si>
    <t>EC-P021010232</t>
  </si>
  <si>
    <t>EC-A230000000</t>
  </si>
  <si>
    <t>EC-P022006910</t>
  </si>
  <si>
    <t>EC-V100000040</t>
  </si>
  <si>
    <t>EC-17800143230</t>
  </si>
  <si>
    <t>EC-17722811120</t>
  </si>
  <si>
    <t>EC-61032052130</t>
  </si>
  <si>
    <t>EC-21001201112</t>
  </si>
  <si>
    <t>EC-P022007020</t>
  </si>
  <si>
    <t>EC-13031002910</t>
  </si>
  <si>
    <t>EC-17500942231</t>
  </si>
  <si>
    <t>EC-10101042231</t>
  </si>
  <si>
    <t>EC-CS-680S-60EUSTD</t>
  </si>
  <si>
    <t>EC-70617047620</t>
  </si>
  <si>
    <t>EC-70617051631</t>
  </si>
  <si>
    <t>EC-P021015350</t>
  </si>
  <si>
    <t>EC-70604061461</t>
  </si>
  <si>
    <t>EC-61091051830</t>
  </si>
  <si>
    <t>EC-V304000010</t>
  </si>
  <si>
    <t>EC-A051000170</t>
  </si>
  <si>
    <t>EC-70602018220</t>
  </si>
  <si>
    <t>EC-21250001111</t>
  </si>
  <si>
    <t>EC-10000043231</t>
  </si>
  <si>
    <t>EC-P021012591</t>
  </si>
  <si>
    <t>EC-43021330833</t>
  </si>
  <si>
    <t>EC-43052737333</t>
  </si>
  <si>
    <t>EC-CS-1201-90EUSTD</t>
  </si>
  <si>
    <t>EC-EDR-210</t>
  </si>
  <si>
    <t>EC-A130000980</t>
  </si>
  <si>
    <t>EC-V224000031</t>
  </si>
  <si>
    <t>EC-10001105330</t>
  </si>
  <si>
    <t>EC-12436312710</t>
  </si>
  <si>
    <t>EC-A226000310</t>
  </si>
  <si>
    <t>EC-13001606232</t>
  </si>
  <si>
    <t>EC-13030747533</t>
  </si>
  <si>
    <t>EC-X411000950</t>
  </si>
  <si>
    <t>EC-13031043130</t>
  </si>
  <si>
    <t>EC-13211544330</t>
  </si>
  <si>
    <t>EC-43301912330</t>
  </si>
  <si>
    <t>EC-17501842230</t>
  </si>
  <si>
    <t>EC-P022007170</t>
  </si>
  <si>
    <t>EC-A320000080</t>
  </si>
  <si>
    <t>OT-00404</t>
  </si>
  <si>
    <t>EC-A172000320</t>
  </si>
  <si>
    <t>EC-WP-1000</t>
  </si>
  <si>
    <t>EC-A057000011</t>
  </si>
  <si>
    <t>EC-70102005510</t>
  </si>
  <si>
    <t>EC-V104000210</t>
  </si>
  <si>
    <t>EC-A021000681</t>
  </si>
  <si>
    <t>EC-V103000070</t>
  </si>
  <si>
    <t>EC-70602066011</t>
  </si>
  <si>
    <t>EC-70602068010</t>
  </si>
  <si>
    <t>EC-P021015770</t>
  </si>
  <si>
    <t>EC-PPT-2400STD</t>
  </si>
  <si>
    <t>EC-70615086060</t>
  </si>
  <si>
    <t>EC-P022007320</t>
  </si>
  <si>
    <t>EC-P022007270</t>
  </si>
  <si>
    <t>EC-9007200012</t>
  </si>
  <si>
    <t>EC-P022007260</t>
  </si>
  <si>
    <t>EC-P022006990</t>
  </si>
  <si>
    <t>EC-P022006940</t>
  </si>
  <si>
    <t>EC-70617055030</t>
  </si>
  <si>
    <t>EC-70616002061</t>
  </si>
  <si>
    <t>EC-70602033710</t>
  </si>
  <si>
    <t>EC-70602032010</t>
  </si>
  <si>
    <t>EC-69922956830</t>
  </si>
  <si>
    <t>EC-61031452130</t>
  </si>
  <si>
    <t>EC-61031056931</t>
  </si>
  <si>
    <t>EC-61030056930</t>
  </si>
  <si>
    <t>EC-43721015130</t>
  </si>
  <si>
    <t>EC-43301903933</t>
  </si>
  <si>
    <t>EC-43301119830</t>
  </si>
  <si>
    <t>EC-25021111610</t>
  </si>
  <si>
    <t>EC-17721840630</t>
  </si>
  <si>
    <t>SH-20024-75220</t>
  </si>
  <si>
    <t>EC-CS-3000-30EUSTD</t>
  </si>
  <si>
    <t>EC-CS-8002-70EUSTD</t>
  </si>
  <si>
    <t>EC-DMAD-4610EUSTD</t>
  </si>
  <si>
    <t>EC-P021014260</t>
  </si>
  <si>
    <t>EC-P005000790</t>
  </si>
  <si>
    <t>EC-43101330831</t>
  </si>
  <si>
    <t>EC-102922452</t>
  </si>
  <si>
    <t>EC-70604003770</t>
  </si>
  <si>
    <t>EC-13201043130</t>
  </si>
  <si>
    <t>EC-V652000030</t>
  </si>
  <si>
    <t>EC-A409000100</t>
  </si>
  <si>
    <t>EC-SRM-4300F</t>
  </si>
  <si>
    <t>EC-90072000012</t>
  </si>
  <si>
    <t>EC-A020000080</t>
  </si>
  <si>
    <t>EC-A037000000</t>
  </si>
  <si>
    <t>EC-P021027280</t>
  </si>
  <si>
    <t>SH-60119-98310</t>
  </si>
  <si>
    <t>EC-V651000001</t>
  </si>
  <si>
    <t>EC-13051630830</t>
  </si>
  <si>
    <t>EC-10024230830</t>
  </si>
  <si>
    <t>EC-13030330831</t>
  </si>
  <si>
    <t>EC-80250</t>
  </si>
  <si>
    <t>EC-10101108961</t>
  </si>
  <si>
    <t>EC-10101044332</t>
  </si>
  <si>
    <t>EC-10000052130</t>
  </si>
  <si>
    <t>EC-14551030830</t>
  </si>
  <si>
    <t>EC-10001121230</t>
  </si>
  <si>
    <t>EC-A011000101</t>
  </si>
  <si>
    <t>EC-17720030831</t>
  </si>
  <si>
    <t>EC-17724230830</t>
  </si>
  <si>
    <t>EC-10024242030</t>
  </si>
  <si>
    <t>EC-17720614330</t>
  </si>
  <si>
    <t>EC-17500542030</t>
  </si>
  <si>
    <t>EC-17500056831</t>
  </si>
  <si>
    <t>EC-17721830830</t>
  </si>
  <si>
    <t>EC-17720042033</t>
  </si>
  <si>
    <t>EC-17723430830</t>
  </si>
  <si>
    <t>EC-10091730830</t>
  </si>
  <si>
    <t>EC-10091030830</t>
  </si>
  <si>
    <t>EC-17720212220</t>
  </si>
  <si>
    <t>EC-10092230830</t>
  </si>
  <si>
    <t>EC-15662652730</t>
  </si>
  <si>
    <t>EC-43700237530</t>
  </si>
  <si>
    <t>EC-43710019832</t>
  </si>
  <si>
    <t>EC-17721844330</t>
  </si>
  <si>
    <t>EC-12312232630</t>
  </si>
  <si>
    <t>EC-682100</t>
  </si>
  <si>
    <t>EC-12300052133</t>
  </si>
  <si>
    <t>EC-12314016131</t>
  </si>
  <si>
    <t>EC-12314116131</t>
  </si>
  <si>
    <t>EC-13001005960</t>
  </si>
  <si>
    <t>EC-13001742031</t>
  </si>
  <si>
    <t>EC-13051016431</t>
  </si>
  <si>
    <t>EC-13051214731</t>
  </si>
  <si>
    <t>EC-V103000490</t>
  </si>
  <si>
    <t>EC-10101016431</t>
  </si>
  <si>
    <t>EC-10001116431</t>
  </si>
  <si>
    <t>EC-A226001410</t>
  </si>
  <si>
    <t>EC-10020416430</t>
  </si>
  <si>
    <t>EC-13030516430</t>
  </si>
  <si>
    <t>EC-12200032930</t>
  </si>
  <si>
    <t>EC-15262660730</t>
  </si>
  <si>
    <t>EC-17722010631</t>
  </si>
  <si>
    <t>EC-17721510632</t>
  </si>
  <si>
    <t>EC-10091716430</t>
  </si>
  <si>
    <t>EC-10091016430</t>
  </si>
  <si>
    <t>EC-10091516430</t>
  </si>
  <si>
    <t>EC-43710016430</t>
  </si>
  <si>
    <t>EC-17500660730</t>
  </si>
  <si>
    <t>EC-43301616430</t>
  </si>
  <si>
    <t>EC-43301416430</t>
  </si>
  <si>
    <t>EC-12213700230</t>
  </si>
  <si>
    <t>EC-12212500230</t>
  </si>
  <si>
    <t>EC-P003000570</t>
  </si>
  <si>
    <t>EC-12214000230</t>
  </si>
  <si>
    <t>EC-12310052130</t>
  </si>
  <si>
    <t>EC-13100546831</t>
  </si>
  <si>
    <t>EC-30511042030</t>
  </si>
  <si>
    <t>EC-13120507320</t>
  </si>
  <si>
    <t>EC-12214100230</t>
  </si>
  <si>
    <t>EC-35110022362</t>
  </si>
  <si>
    <t>EC-10021300310</t>
  </si>
  <si>
    <t>EC-17801022560</t>
  </si>
  <si>
    <t>EC-8003009</t>
  </si>
  <si>
    <t>EC-17809022560</t>
  </si>
  <si>
    <t>EC-61022222360</t>
  </si>
  <si>
    <t>EC-P022007440</t>
  </si>
  <si>
    <t>EC-P021003540</t>
  </si>
  <si>
    <t>EC-10494022560</t>
  </si>
  <si>
    <t>EC-61001122061</t>
  </si>
  <si>
    <t>EC-17800151030</t>
  </si>
  <si>
    <t>EC-C510000120</t>
  </si>
  <si>
    <t>EC-61001222361</t>
  </si>
  <si>
    <t>EC-61028222460</t>
  </si>
  <si>
    <t>EC-10024232430</t>
  </si>
  <si>
    <t>EC-61028222360</t>
  </si>
  <si>
    <t>EC-10020452132</t>
  </si>
  <si>
    <t>EC-61010522360</t>
  </si>
  <si>
    <t>EC-12A0CD3744</t>
  </si>
  <si>
    <t>EC-61001122460</t>
  </si>
  <si>
    <t>EC-91VX44CQ</t>
  </si>
  <si>
    <t>EC-61021022461</t>
  </si>
  <si>
    <t>EC-P021016370</t>
  </si>
  <si>
    <t>EC-61029822360</t>
  </si>
  <si>
    <t>EC-C316000010</t>
  </si>
  <si>
    <t>EC-C531000030</t>
  </si>
  <si>
    <t>EC-C051000120</t>
  </si>
  <si>
    <t>EC-P021011610</t>
  </si>
  <si>
    <t>EC-89757005560</t>
  </si>
  <si>
    <t>EC-X114000000</t>
  </si>
  <si>
    <t>EC-A130000910</t>
  </si>
  <si>
    <t>EC-A030000190</t>
  </si>
  <si>
    <t>EC-A202000080</t>
  </si>
  <si>
    <t>EC-A206000010</t>
  </si>
  <si>
    <t>EC-V360000060</t>
  </si>
  <si>
    <t>EC-V100000270</t>
  </si>
  <si>
    <t>EC-P021015190</t>
  </si>
  <si>
    <t>EC-A101000210</t>
  </si>
  <si>
    <t>EC-A011000540</t>
  </si>
  <si>
    <t>EC-17801335631</t>
  </si>
  <si>
    <t>EC-17801005960</t>
  </si>
  <si>
    <t>EC-V102000060</t>
  </si>
  <si>
    <t>EC-C305000040</t>
  </si>
  <si>
    <t>EC-P021015132</t>
  </si>
  <si>
    <t>EC-HC-150STD</t>
  </si>
  <si>
    <t>EC-43301330830</t>
  </si>
  <si>
    <t>EC-A021001660</t>
  </si>
  <si>
    <t>EC-V104000910</t>
  </si>
  <si>
    <t>EC-V203000110</t>
  </si>
  <si>
    <t>EC-17722107060</t>
  </si>
  <si>
    <t>EC-C309000030</t>
  </si>
  <si>
    <t>EC-A411000450</t>
  </si>
  <si>
    <t>EC-GT-22GES</t>
  </si>
  <si>
    <t>EC-V651000011</t>
  </si>
  <si>
    <t>EC-P021015160</t>
  </si>
  <si>
    <t>EC-SRM-22GUES</t>
  </si>
  <si>
    <t>EC-90016205014</t>
  </si>
  <si>
    <t>EC-17722035430</t>
  </si>
  <si>
    <t>EC-A506000110</t>
  </si>
  <si>
    <t>EC-A056000220</t>
  </si>
  <si>
    <t>EC-V205000400</t>
  </si>
  <si>
    <t>EC-12313719830</t>
  </si>
  <si>
    <t>EC-17721832631</t>
  </si>
  <si>
    <t>EC-17723419832</t>
  </si>
  <si>
    <t>EC-17801205960</t>
  </si>
  <si>
    <t>EC-C454000181</t>
  </si>
  <si>
    <t>EC-17809037930</t>
  </si>
  <si>
    <t>EC-P021016250</t>
  </si>
  <si>
    <t>EC-V450000150</t>
  </si>
  <si>
    <t>EC-V420000530</t>
  </si>
  <si>
    <t>EC-16340032430</t>
  </si>
  <si>
    <t>EC-72LPX60CQ</t>
  </si>
  <si>
    <t>EC-60405105560</t>
  </si>
  <si>
    <t>EC-A300000781</t>
  </si>
  <si>
    <t>EC-V104000920</t>
  </si>
  <si>
    <t>EC-17724214730</t>
  </si>
  <si>
    <t>EC-43301910631</t>
  </si>
  <si>
    <t>EC-43301116430</t>
  </si>
  <si>
    <t>EC-12211200230</t>
  </si>
  <si>
    <t>EC-12212300230</t>
  </si>
  <si>
    <t>EC-12534408560</t>
  </si>
  <si>
    <t>EC-C450000042</t>
  </si>
  <si>
    <t>EC-9922956830</t>
  </si>
  <si>
    <t>EC-10010055931</t>
  </si>
  <si>
    <t>EC-CS-680S-70EUSTD</t>
  </si>
  <si>
    <t>EC-V356000352</t>
  </si>
  <si>
    <t>EC-10021227930</t>
  </si>
  <si>
    <t>EC-10021302830</t>
  </si>
  <si>
    <t>EC-10010006210</t>
  </si>
  <si>
    <t>EC-17720206210</t>
  </si>
  <si>
    <t>EC-25001102011</t>
  </si>
  <si>
    <t>EC-25001708013</t>
  </si>
  <si>
    <t>EC-A021000740</t>
  </si>
  <si>
    <t>EC-P021007772</t>
  </si>
  <si>
    <t>EC-A052000160</t>
  </si>
  <si>
    <t>EC-17500905131</t>
  </si>
  <si>
    <t>EC-A101000090</t>
  </si>
  <si>
    <t>EC-21001304111</t>
  </si>
  <si>
    <t>EC-P021008630</t>
  </si>
  <si>
    <t>EC-14551006211</t>
  </si>
  <si>
    <t>EC-35810001111</t>
  </si>
  <si>
    <t>EC-35791100111</t>
  </si>
  <si>
    <t>EC-12411511120</t>
  </si>
  <si>
    <t>EC-99944200904</t>
  </si>
  <si>
    <t>EC-A411000130</t>
  </si>
  <si>
    <t>EC-70602040771</t>
  </si>
  <si>
    <t>EC-70602038720</t>
  </si>
  <si>
    <t>EC-70615001951</t>
  </si>
  <si>
    <t>OT-585</t>
  </si>
  <si>
    <t>EC-28D8TW3892</t>
  </si>
  <si>
    <t>EC-24D8TW3884</t>
  </si>
  <si>
    <t>EC-20D8TW3872</t>
  </si>
  <si>
    <t>EC-10505</t>
  </si>
  <si>
    <t>EC-313105055</t>
  </si>
  <si>
    <t>EC-10000060730</t>
  </si>
  <si>
    <t>EC-E025000260</t>
  </si>
  <si>
    <t>EC-A052000011</t>
  </si>
  <si>
    <t>EC-6450009</t>
  </si>
  <si>
    <t>EC-315105055</t>
  </si>
  <si>
    <t>EC-A033000330</t>
  </si>
  <si>
    <t>EC-V104001620</t>
  </si>
  <si>
    <t>EC-61031507130</t>
  </si>
  <si>
    <t>EC-CS-8002-80EUSTD</t>
  </si>
  <si>
    <t>EC-91VX57X</t>
  </si>
  <si>
    <t>EC-12436112710</t>
  </si>
  <si>
    <t>EC-12436412710</t>
  </si>
  <si>
    <t>EC-13001642231</t>
  </si>
  <si>
    <t>EC-A320000890</t>
  </si>
  <si>
    <t>EC-13192443130</t>
  </si>
  <si>
    <t>EC-61020543131</t>
  </si>
  <si>
    <t>EC-61023904130</t>
  </si>
  <si>
    <t>EC-70602004970</t>
  </si>
  <si>
    <t>EC-70602013250</t>
  </si>
  <si>
    <t>EC-70602016970</t>
  </si>
  <si>
    <t>EC-70602028970</t>
  </si>
  <si>
    <t>EC-70602031A13</t>
  </si>
  <si>
    <t>EC-70602050000</t>
  </si>
  <si>
    <t>EC-90016205025</t>
  </si>
  <si>
    <t>EC-90024205057</t>
  </si>
  <si>
    <t>EC-90050000005</t>
  </si>
  <si>
    <t>EC-P022007050</t>
  </si>
  <si>
    <t>EC-P022007060</t>
  </si>
  <si>
    <t>EC-P022007110</t>
  </si>
  <si>
    <t>EC-P022007120</t>
  </si>
  <si>
    <t>EC-A409000620</t>
  </si>
  <si>
    <t>EC-P021027031</t>
  </si>
  <si>
    <t>EC-P021027030</t>
  </si>
  <si>
    <t>EC-P004002680</t>
  </si>
  <si>
    <t>EC-9311503010</t>
  </si>
  <si>
    <t>EC-70617050720</t>
  </si>
  <si>
    <t>EC-70617052970</t>
  </si>
  <si>
    <t>EC-70604062621</t>
  </si>
  <si>
    <t>EC-E025000470</t>
  </si>
  <si>
    <t>EC-P021012810</t>
  </si>
  <si>
    <t>EC-C460000072</t>
  </si>
  <si>
    <t>EC-C450000212</t>
  </si>
  <si>
    <t>EC-43700037530</t>
  </si>
  <si>
    <t>EC-C022000020</t>
  </si>
  <si>
    <t>EC-70602056411</t>
  </si>
  <si>
    <t>EC-10101055930</t>
  </si>
  <si>
    <t>EC-17501230831</t>
  </si>
  <si>
    <t>EC-43700632330</t>
  </si>
  <si>
    <t>EC-43706319930</t>
  </si>
  <si>
    <t>EC-P003002210</t>
  </si>
  <si>
    <t>EC-32D8PS3805</t>
  </si>
  <si>
    <t>EC-10021232430</t>
  </si>
  <si>
    <t>EC-CS-600-60EUSTD</t>
  </si>
  <si>
    <t>EC-P021017220</t>
  </si>
  <si>
    <t>EC-10001212331</t>
  </si>
  <si>
    <t>EC-89770819835</t>
  </si>
  <si>
    <t>EC-22400010610</t>
  </si>
  <si>
    <t>EC-A130000430</t>
  </si>
  <si>
    <t>EC-P021010642</t>
  </si>
  <si>
    <t>EC-35161638130</t>
  </si>
  <si>
    <t>EC-43301402830</t>
  </si>
  <si>
    <t>EC-43301611031</t>
  </si>
  <si>
    <t>EC-43302811030</t>
  </si>
  <si>
    <t>EC-A051000982</t>
  </si>
  <si>
    <t>EC-A100000610</t>
  </si>
  <si>
    <t>EC-A556001270</t>
  </si>
  <si>
    <t>EC-P021007312</t>
  </si>
  <si>
    <t>EC-V043000420</t>
  </si>
  <si>
    <t>EC-70602039720</t>
  </si>
  <si>
    <t>EC-70602041720</t>
  </si>
  <si>
    <t>EC-P021001102</t>
  </si>
  <si>
    <t>EC-17501830830</t>
  </si>
  <si>
    <t>EC-V401000050</t>
  </si>
  <si>
    <t>INCO-9061910</t>
  </si>
  <si>
    <t>INCO-9051910</t>
  </si>
  <si>
    <t>INCO-9031910</t>
  </si>
  <si>
    <t>INCO-9511900</t>
  </si>
  <si>
    <t>MOT-004</t>
  </si>
  <si>
    <t>JF-008</t>
  </si>
  <si>
    <t>JF-014</t>
  </si>
  <si>
    <t>JF-012</t>
  </si>
  <si>
    <t>JF-021</t>
  </si>
  <si>
    <t>JF-022</t>
  </si>
  <si>
    <t>JF-017</t>
  </si>
  <si>
    <t>JF-018</t>
  </si>
  <si>
    <t>JF-019</t>
  </si>
  <si>
    <t>JF-025</t>
  </si>
  <si>
    <t>JF-029</t>
  </si>
  <si>
    <t>JF-281</t>
  </si>
  <si>
    <t>JF-016</t>
  </si>
  <si>
    <t>JF-023</t>
  </si>
  <si>
    <t>JF-026</t>
  </si>
  <si>
    <t>JF-041</t>
  </si>
  <si>
    <t>JF-002</t>
  </si>
  <si>
    <t>JF-125</t>
  </si>
  <si>
    <t>JF-033</t>
  </si>
  <si>
    <t>JF-003</t>
  </si>
  <si>
    <t>JF-039</t>
  </si>
  <si>
    <t>JF-038</t>
  </si>
  <si>
    <t>JF-040</t>
  </si>
  <si>
    <t>IMP-271</t>
  </si>
  <si>
    <t>IN-34</t>
  </si>
  <si>
    <t>ALEN 5X25</t>
  </si>
  <si>
    <t>JA-001</t>
  </si>
  <si>
    <t>OT-02030-06202</t>
  </si>
  <si>
    <t>ALEN 5X16 CC</t>
  </si>
  <si>
    <t>ALEN 5X30</t>
  </si>
  <si>
    <t>ALEN 5X40</t>
  </si>
  <si>
    <t>OT-478</t>
  </si>
  <si>
    <t>EC-X411000960</t>
  </si>
  <si>
    <t>EC-73LGX72X</t>
  </si>
  <si>
    <t>OR-65789</t>
  </si>
  <si>
    <t>OR-206045</t>
  </si>
  <si>
    <t>OR-205963</t>
  </si>
  <si>
    <t>EC-43113516431</t>
  </si>
  <si>
    <t>EC-73LGX92X</t>
  </si>
  <si>
    <t>EC-90080206000</t>
  </si>
  <si>
    <t>OT-02002-06001</t>
  </si>
  <si>
    <t>OT-02006-06000</t>
  </si>
  <si>
    <t>EC-9242422000</t>
  </si>
  <si>
    <t>EC-9242426000</t>
  </si>
  <si>
    <t>EC-9242428000</t>
  </si>
  <si>
    <t>EC-9242440000</t>
  </si>
  <si>
    <t>EC-X605000090</t>
  </si>
  <si>
    <t>EC-X605000100</t>
  </si>
  <si>
    <t>SH-108644-30</t>
  </si>
  <si>
    <t>EC-12438055430</t>
  </si>
  <si>
    <t>EC-90080406001</t>
  </si>
  <si>
    <t>SH-20000-21211</t>
  </si>
  <si>
    <t>SH-20000-41210</t>
  </si>
  <si>
    <t>SH-20000-72230</t>
  </si>
  <si>
    <t>SH-20000-72241</t>
  </si>
  <si>
    <t>SH-20000-75130</t>
  </si>
  <si>
    <t>EC-A518000050</t>
  </si>
  <si>
    <t>SH-20000-75160</t>
  </si>
  <si>
    <t>SH-20000-75220</t>
  </si>
  <si>
    <t>SH-20000-81150</t>
  </si>
  <si>
    <t>EC-P004000880</t>
  </si>
  <si>
    <t>EC-P004000930</t>
  </si>
  <si>
    <t>SH-20000-81740</t>
  </si>
  <si>
    <t>SH-20000-85500</t>
  </si>
  <si>
    <t>SH-20010-12121</t>
  </si>
  <si>
    <t>SH-20010-21211</t>
  </si>
  <si>
    <t>SH-20010-41210</t>
  </si>
  <si>
    <t>EC-A011000860</t>
  </si>
  <si>
    <t>SH-20010-71631</t>
  </si>
  <si>
    <t>EC-V352000140</t>
  </si>
  <si>
    <t>SH-20010-72221</t>
  </si>
  <si>
    <t>SH-20010-75190</t>
  </si>
  <si>
    <t>EC-A225000500</t>
  </si>
  <si>
    <t>SH-20010-86130</t>
  </si>
  <si>
    <t>EC-V420002390</t>
  </si>
  <si>
    <t>SH-20011-31200</t>
  </si>
  <si>
    <t>EC-V583000181</t>
  </si>
  <si>
    <t>EC-A575000400</t>
  </si>
  <si>
    <t>EC-A575000420</t>
  </si>
  <si>
    <t>EC-P004000440</t>
  </si>
  <si>
    <t>EC-12435521330</t>
  </si>
  <si>
    <t>SH-20011-81451</t>
  </si>
  <si>
    <t>EC-P004001360</t>
  </si>
  <si>
    <t>EC-12436721330</t>
  </si>
  <si>
    <t>EC-A393000190</t>
  </si>
  <si>
    <t>EC-C044000480</t>
  </si>
  <si>
    <t>SH-20016-12112</t>
  </si>
  <si>
    <t>SH-20016-12120</t>
  </si>
  <si>
    <t>SH-20016-12222</t>
  </si>
  <si>
    <t>EC-A556000650</t>
  </si>
  <si>
    <t>EC-A409000730</t>
  </si>
  <si>
    <t>EC-12311605160</t>
  </si>
  <si>
    <t>EC-A038000430</t>
  </si>
  <si>
    <t>SH-20016-85400</t>
  </si>
  <si>
    <t>EC-V299000420</t>
  </si>
  <si>
    <t>SH-20018-81750</t>
  </si>
  <si>
    <t>SH-20019-81440</t>
  </si>
  <si>
    <t>EC-P004001660</t>
  </si>
  <si>
    <t>EC-A555000130</t>
  </si>
  <si>
    <t>EC-A566000220</t>
  </si>
  <si>
    <t>SH-20020-75120</t>
  </si>
  <si>
    <t>EC-A506000270</t>
  </si>
  <si>
    <t>SH-20020-75180</t>
  </si>
  <si>
    <t>SH-20020-81140</t>
  </si>
  <si>
    <t>SH-20020-86140</t>
  </si>
  <si>
    <t>SH-20021-31200</t>
  </si>
  <si>
    <t>EC-A055000020</t>
  </si>
  <si>
    <t>SH-20021-41210</t>
  </si>
  <si>
    <t>EC-V556000020</t>
  </si>
  <si>
    <t>SH-20021-51102</t>
  </si>
  <si>
    <t>EC-V420002620</t>
  </si>
  <si>
    <t>EC-P004001890</t>
  </si>
  <si>
    <t>SH-20021-81920</t>
  </si>
  <si>
    <t>SH-20021-83411</t>
  </si>
  <si>
    <t>EC-A393000180</t>
  </si>
  <si>
    <t>SH-20021-96601</t>
  </si>
  <si>
    <t>EC-A101000330</t>
  </si>
  <si>
    <t>EC-A506000230</t>
  </si>
  <si>
    <t>EC-P022002100</t>
  </si>
  <si>
    <t>SH-20024-83410</t>
  </si>
  <si>
    <t>EC-A052000430</t>
  </si>
  <si>
    <t>SH-20037-82130</t>
  </si>
  <si>
    <t>EC-12433149930</t>
  </si>
  <si>
    <t>SH-20056-81740</t>
  </si>
  <si>
    <t>SH-20060-12210</t>
  </si>
  <si>
    <t>EC-A200000640</t>
  </si>
  <si>
    <t>SH-20060-81760</t>
  </si>
  <si>
    <t>SH-20060-81781</t>
  </si>
  <si>
    <t>EC-12435412710</t>
  </si>
  <si>
    <t>EC-A556000700</t>
  </si>
  <si>
    <t>EC-P004002520</t>
  </si>
  <si>
    <t>SH-20087-81820</t>
  </si>
  <si>
    <t>EC-A200000470</t>
  </si>
  <si>
    <t>EC-V103000720</t>
  </si>
  <si>
    <t>EC-P021035261</t>
  </si>
  <si>
    <t>SH-20140-82210</t>
  </si>
  <si>
    <t>EC-A101000300</t>
  </si>
  <si>
    <t>SH-20870-33120</t>
  </si>
  <si>
    <t>SH-22000-12413</t>
  </si>
  <si>
    <t>EC-C535001010</t>
  </si>
  <si>
    <t>SH-22015-12120</t>
  </si>
  <si>
    <t>SH-22015-13120</t>
  </si>
  <si>
    <t>SH-22015-13220</t>
  </si>
  <si>
    <t>SH-22015-13230</t>
  </si>
  <si>
    <t>SH-22015-13241</t>
  </si>
  <si>
    <t>SH-22015-13261</t>
  </si>
  <si>
    <t>SH-22015-13270</t>
  </si>
  <si>
    <t>SH-22015-13390</t>
  </si>
  <si>
    <t>SH-22015-13410</t>
  </si>
  <si>
    <t>SH-22015-13420</t>
  </si>
  <si>
    <t>SH-22015-14301</t>
  </si>
  <si>
    <t>SH-22015-96500</t>
  </si>
  <si>
    <t>EC-C063000030</t>
  </si>
  <si>
    <t>EC-P021035340</t>
  </si>
  <si>
    <t>EC-C624000070</t>
  </si>
  <si>
    <t>EC-V420002400</t>
  </si>
  <si>
    <t>EC-A575000380</t>
  </si>
  <si>
    <t>EC-C501000080</t>
  </si>
  <si>
    <t>SH-22024-13291</t>
  </si>
  <si>
    <t>SH-22035-13140</t>
  </si>
  <si>
    <t>EC-V651000690</t>
  </si>
  <si>
    <t>SH-22035-13242</t>
  </si>
  <si>
    <t>SH-22035-13271</t>
  </si>
  <si>
    <t>SH-22035-13290</t>
  </si>
  <si>
    <t>EC-V651000700</t>
  </si>
  <si>
    <t>EC-C050001920</t>
  </si>
  <si>
    <t>EC-C504000770</t>
  </si>
  <si>
    <t>EC-C057000070</t>
  </si>
  <si>
    <t>SH-22051-11922</t>
  </si>
  <si>
    <t>EC-C504000500</t>
  </si>
  <si>
    <t>SH-22100-41230</t>
  </si>
  <si>
    <t>SH-22102-72220</t>
  </si>
  <si>
    <t>EC-A511000210</t>
  </si>
  <si>
    <t>SH-22150-12152</t>
  </si>
  <si>
    <t>EC-V204000640</t>
  </si>
  <si>
    <t>EC-V505000140</t>
  </si>
  <si>
    <t>EC-A566000210</t>
  </si>
  <si>
    <t>EC-V558000000</t>
  </si>
  <si>
    <t>EC-V265000230</t>
  </si>
  <si>
    <t>EC-C309000110</t>
  </si>
  <si>
    <t>EC-A514000230</t>
  </si>
  <si>
    <t>EC-A511000250</t>
  </si>
  <si>
    <t>EC-A130001660</t>
  </si>
  <si>
    <t>EC-A101000550</t>
  </si>
  <si>
    <t>EC-V508000080</t>
  </si>
  <si>
    <t>SH-22155-51200</t>
  </si>
  <si>
    <t>SH-22155-55110</t>
  </si>
  <si>
    <t>EC-V452000960</t>
  </si>
  <si>
    <t>SH-22155-75410</t>
  </si>
  <si>
    <t>EC-X640000150</t>
  </si>
  <si>
    <t>EC-X602000210</t>
  </si>
  <si>
    <t>EC-X602000230</t>
  </si>
  <si>
    <t>SH-22157-41210</t>
  </si>
  <si>
    <t>EC-A202000160</t>
  </si>
  <si>
    <t>EC-A033000230</t>
  </si>
  <si>
    <t>SH-22160-51200</t>
  </si>
  <si>
    <t>EC-A055000100</t>
  </si>
  <si>
    <t>EC-C022000130</t>
  </si>
  <si>
    <t>EC-V100000570</t>
  </si>
  <si>
    <t>EC-A030000610</t>
  </si>
  <si>
    <t>EC-A313001590</t>
  </si>
  <si>
    <t>EC-V104001610</t>
  </si>
  <si>
    <t>EC-P021022520</t>
  </si>
  <si>
    <t>EC-C020000070</t>
  </si>
  <si>
    <t>EC-V225000180</t>
  </si>
  <si>
    <t>EC-V510000030</t>
  </si>
  <si>
    <t>EC-P021022550</t>
  </si>
  <si>
    <t>EC-V401000390</t>
  </si>
  <si>
    <t>SH-22169-35400</t>
  </si>
  <si>
    <t>SH-22169-41210</t>
  </si>
  <si>
    <t>EC-A011001060</t>
  </si>
  <si>
    <t>EC-A556001170</t>
  </si>
  <si>
    <t>EC-V309000080</t>
  </si>
  <si>
    <t>EC-V582000200</t>
  </si>
  <si>
    <t>EC-A056000650</t>
  </si>
  <si>
    <t>EC-C305000370</t>
  </si>
  <si>
    <t>EC-C300000740</t>
  </si>
  <si>
    <t>EC-C305000380</t>
  </si>
  <si>
    <t>EC-V452000950</t>
  </si>
  <si>
    <t>SH-22169-55110</t>
  </si>
  <si>
    <t>EC-V358000140</t>
  </si>
  <si>
    <t>EC-V470001600</t>
  </si>
  <si>
    <t>EC-C209000080</t>
  </si>
  <si>
    <t>EC-A427000150</t>
  </si>
  <si>
    <t>EC-A021003120</t>
  </si>
  <si>
    <t>EC-A225000530</t>
  </si>
  <si>
    <t>SH-22169-96580</t>
  </si>
  <si>
    <t>EC-V100000560</t>
  </si>
  <si>
    <t>EC-P021022720</t>
  </si>
  <si>
    <t>EC-A409000960</t>
  </si>
  <si>
    <t>EC-A021003110</t>
  </si>
  <si>
    <t>EC-A226001220</t>
  </si>
  <si>
    <t>EC-A235000300</t>
  </si>
  <si>
    <t>SH-22182-41210</t>
  </si>
  <si>
    <t>EC-A575000270</t>
  </si>
  <si>
    <t>EC-V490000530</t>
  </si>
  <si>
    <t>EC-C044000540</t>
  </si>
  <si>
    <t>EC-X475000050</t>
  </si>
  <si>
    <t>SH-3014111</t>
  </si>
  <si>
    <t>EC-33SL0-72X</t>
  </si>
  <si>
    <t>EC-35131122431</t>
  </si>
  <si>
    <t>EC-C535000850</t>
  </si>
  <si>
    <t>EC-A411000650</t>
  </si>
  <si>
    <t>EC-A226000620</t>
  </si>
  <si>
    <t>EC-4037771</t>
  </si>
  <si>
    <t>EC-4044231</t>
  </si>
  <si>
    <t>EC-4048451</t>
  </si>
  <si>
    <t>EC-22412713710</t>
  </si>
  <si>
    <t>EC-4070981</t>
  </si>
  <si>
    <t>EC-4073281</t>
  </si>
  <si>
    <t>EC-450095060</t>
  </si>
  <si>
    <t>EC-4525920</t>
  </si>
  <si>
    <t>EC-4529110</t>
  </si>
  <si>
    <t>EC-4555310</t>
  </si>
  <si>
    <t>EC-4557850</t>
  </si>
  <si>
    <t>EC-452009480</t>
  </si>
  <si>
    <t>EC-4573060</t>
  </si>
  <si>
    <t>EC-4573110</t>
  </si>
  <si>
    <t>EC-4574920</t>
  </si>
  <si>
    <t>EC-4575060</t>
  </si>
  <si>
    <t>EC-4579070</t>
  </si>
  <si>
    <t>SH-60020-98310</t>
  </si>
  <si>
    <t>SH-60023-98031</t>
  </si>
  <si>
    <t>SH-60035-98030</t>
  </si>
  <si>
    <t>SH-60035-98061</t>
  </si>
  <si>
    <t>EC-C580000570</t>
  </si>
  <si>
    <t>EC-P021036030</t>
  </si>
  <si>
    <t>EC-61001106230</t>
  </si>
  <si>
    <t>EC-61031005730</t>
  </si>
  <si>
    <t>SH-62035-12111</t>
  </si>
  <si>
    <t>SH-62035-12120</t>
  </si>
  <si>
    <t>EC-V103001020</t>
  </si>
  <si>
    <t>EC-A030000270</t>
  </si>
  <si>
    <t>SH-62035-15210</t>
  </si>
  <si>
    <t>EC-P021027760</t>
  </si>
  <si>
    <t>EC-P021027770</t>
  </si>
  <si>
    <t>EC-A172001270</t>
  </si>
  <si>
    <t>SH-62035-31212</t>
  </si>
  <si>
    <t>SH-62035-31310</t>
  </si>
  <si>
    <t>SH-62035-32310</t>
  </si>
  <si>
    <t>EC-V299000390</t>
  </si>
  <si>
    <t>EC-A058000010</t>
  </si>
  <si>
    <t>EC-A575000440</t>
  </si>
  <si>
    <t>SH-62035-41120</t>
  </si>
  <si>
    <t>EC-A409000650</t>
  </si>
  <si>
    <t>SH-62035-75120</t>
  </si>
  <si>
    <t>SH-62035-75310</t>
  </si>
  <si>
    <t>SH-62035-81310</t>
  </si>
  <si>
    <t>EC-12436755430</t>
  </si>
  <si>
    <t>EC-A023000160</t>
  </si>
  <si>
    <t>SH-62035-82121</t>
  </si>
  <si>
    <t>EC-A232000840</t>
  </si>
  <si>
    <t>SH-62035-82330</t>
  </si>
  <si>
    <t>SH-62035-83111</t>
  </si>
  <si>
    <t>EC-A038000330</t>
  </si>
  <si>
    <t>EC-P021034560</t>
  </si>
  <si>
    <t>EC-V420002510</t>
  </si>
  <si>
    <t>SH-62035-85351</t>
  </si>
  <si>
    <t>EC-V420002520</t>
  </si>
  <si>
    <t>SH-62035-85360</t>
  </si>
  <si>
    <t>SH-62074-12120</t>
  </si>
  <si>
    <t>EC-12411305910</t>
  </si>
  <si>
    <t>EC-V043000550</t>
  </si>
  <si>
    <t>SH-62809-12111</t>
  </si>
  <si>
    <t>EC-C550000430</t>
  </si>
  <si>
    <t>SH-63019-12102</t>
  </si>
  <si>
    <t>EC-C534000600</t>
  </si>
  <si>
    <t>EC-C535000990</t>
  </si>
  <si>
    <t>SH-63019-63310</t>
  </si>
  <si>
    <t>EC-V206000230</t>
  </si>
  <si>
    <t>SH-63020-63111</t>
  </si>
  <si>
    <t>SH-63901-63022</t>
  </si>
  <si>
    <t>SH-64000-66311</t>
  </si>
  <si>
    <t>SH-64007-64253</t>
  </si>
  <si>
    <t>SH-64007-64310</t>
  </si>
  <si>
    <t>EC-A056000330</t>
  </si>
  <si>
    <t>SH-67001-62211</t>
  </si>
  <si>
    <t>SH-68501-12210</t>
  </si>
  <si>
    <t>EC-P004002860</t>
  </si>
  <si>
    <t>EC-V043000870</t>
  </si>
  <si>
    <t>EC-P021035221</t>
  </si>
  <si>
    <t>EC-A575000410</t>
  </si>
  <si>
    <t>EC-A556000660</t>
  </si>
  <si>
    <t>SH-70030-71620</t>
  </si>
  <si>
    <t>SH-70036-75100</t>
  </si>
  <si>
    <t>EC-A051002180</t>
  </si>
  <si>
    <t>SH-70051-31210</t>
  </si>
  <si>
    <t>EC-A566000120</t>
  </si>
  <si>
    <t>EC-A175000150</t>
  </si>
  <si>
    <t>EC-P021035720</t>
  </si>
  <si>
    <t>EC-17721543130</t>
  </si>
  <si>
    <t>EC-A052000370</t>
  </si>
  <si>
    <t>EC-P004002900</t>
  </si>
  <si>
    <t>EC-A030000120</t>
  </si>
  <si>
    <t>SH-70140-51220</t>
  </si>
  <si>
    <t>EC-A232000940</t>
  </si>
  <si>
    <t>SH-70157-51101</t>
  </si>
  <si>
    <t>EC-A051001660</t>
  </si>
  <si>
    <t>EC-A130001371</t>
  </si>
  <si>
    <t>SH-70200-33112</t>
  </si>
  <si>
    <t>EC-V471002660</t>
  </si>
  <si>
    <t>SH-70210-12111</t>
  </si>
  <si>
    <t>EC-A030000250</t>
  </si>
  <si>
    <t>SH-70210-15212</t>
  </si>
  <si>
    <t>EC-17501232430</t>
  </si>
  <si>
    <t>SH-70210-83110</t>
  </si>
  <si>
    <t>EC-P021030550</t>
  </si>
  <si>
    <t>SH-70870-98020</t>
  </si>
  <si>
    <t>SH-72005-92630</t>
  </si>
  <si>
    <t>EC-C551000110</t>
  </si>
  <si>
    <t>EC-V357000180</t>
  </si>
  <si>
    <t>EC-C535000480</t>
  </si>
  <si>
    <t>SH-72051-98011</t>
  </si>
  <si>
    <t>SH-72080-98011</t>
  </si>
  <si>
    <t>SH-72080-98020</t>
  </si>
  <si>
    <t>EC-V225000160</t>
  </si>
  <si>
    <t>EC-V255000030</t>
  </si>
  <si>
    <t>SH-72330-33710</t>
  </si>
  <si>
    <t>EC-A226001260</t>
  </si>
  <si>
    <t>EC-P021032390</t>
  </si>
  <si>
    <t>EC-P021032440</t>
  </si>
  <si>
    <t>EC-C535000500</t>
  </si>
  <si>
    <t>SH-72441-12100</t>
  </si>
  <si>
    <t>EC-P021032670</t>
  </si>
  <si>
    <t>EC-P021032700</t>
  </si>
  <si>
    <t>SH-72447-13121</t>
  </si>
  <si>
    <t>EC-C535000770</t>
  </si>
  <si>
    <t>EC-C044000870</t>
  </si>
  <si>
    <t>SH-72451-14570</t>
  </si>
  <si>
    <t>EC-P021035430</t>
  </si>
  <si>
    <t>SH-72481-98310</t>
  </si>
  <si>
    <t>SH-72550-12400</t>
  </si>
  <si>
    <t>EC-C504000740</t>
  </si>
  <si>
    <t>SH-72550-82120</t>
  </si>
  <si>
    <t>EC-P021033230</t>
  </si>
  <si>
    <t>EC-12416011120</t>
  </si>
  <si>
    <t>EC-A051001861</t>
  </si>
  <si>
    <t>EC-73LGX84X</t>
  </si>
  <si>
    <t>EC-8000142</t>
  </si>
  <si>
    <t>EC-80023</t>
  </si>
  <si>
    <t>EC-80247</t>
  </si>
  <si>
    <t>EC-80255</t>
  </si>
  <si>
    <t>EC-80405</t>
  </si>
  <si>
    <t>SH-80424</t>
  </si>
  <si>
    <t>EC-80550</t>
  </si>
  <si>
    <t>EC-80676</t>
  </si>
  <si>
    <t>EC-80677</t>
  </si>
  <si>
    <t>SH-80728</t>
  </si>
  <si>
    <t>EC-82002</t>
  </si>
  <si>
    <t>EC-82003</t>
  </si>
  <si>
    <t>EC-88102</t>
  </si>
  <si>
    <t>EC-88198-S</t>
  </si>
  <si>
    <t>SH-8890802</t>
  </si>
  <si>
    <t>EC-90SG-39X</t>
  </si>
  <si>
    <t>EC-9701401</t>
  </si>
  <si>
    <t>EC-9711151</t>
  </si>
  <si>
    <t>EC-9720135</t>
  </si>
  <si>
    <t>SH-99909-12212</t>
  </si>
  <si>
    <t>EC-99909-156</t>
  </si>
  <si>
    <t>EC-99909-159</t>
  </si>
  <si>
    <t>EC-99909-160</t>
  </si>
  <si>
    <t>EC-99909-207</t>
  </si>
  <si>
    <t>EC-99909-229</t>
  </si>
  <si>
    <t>EC-99909-306</t>
  </si>
  <si>
    <t>EC-99909-307</t>
  </si>
  <si>
    <t>EC-99909-450</t>
  </si>
  <si>
    <t>EC-99909-453</t>
  </si>
  <si>
    <t>EC-V451000040</t>
  </si>
  <si>
    <t>EC-GP450INTL</t>
  </si>
  <si>
    <t>SH-CAB.- BUJIA</t>
  </si>
  <si>
    <t>SHDW-036</t>
  </si>
  <si>
    <t>EC-22CINTL</t>
  </si>
  <si>
    <t>EC-B450EMC</t>
  </si>
  <si>
    <t>EC-B530INTL</t>
  </si>
  <si>
    <t>EC-B450/AUS</t>
  </si>
  <si>
    <t>EC-BP35INTL</t>
  </si>
  <si>
    <t>EC-C230INTL</t>
  </si>
  <si>
    <t>EC-C270EMC</t>
  </si>
  <si>
    <t>SHDW-016</t>
  </si>
  <si>
    <t>SHDW-037</t>
  </si>
  <si>
    <t>SHDW-038</t>
  </si>
  <si>
    <t>OT-694</t>
  </si>
  <si>
    <t>EC-M230/EMC</t>
  </si>
  <si>
    <t>SHDW-048</t>
  </si>
  <si>
    <t>EC-488-50EMC</t>
  </si>
  <si>
    <t>EC-757CINTL</t>
  </si>
  <si>
    <t>OT-2356</t>
  </si>
  <si>
    <t>EC-P021027040</t>
  </si>
  <si>
    <t>EC-P022024750</t>
  </si>
  <si>
    <t>EC-10510</t>
  </si>
  <si>
    <t>EC-13010</t>
  </si>
  <si>
    <t>EC-EB500/EC1</t>
  </si>
  <si>
    <t>EC-V430002910</t>
  </si>
  <si>
    <t>SH-80771</t>
  </si>
  <si>
    <t>EC-108636-10</t>
  </si>
  <si>
    <t>EC-80794A</t>
  </si>
  <si>
    <t>EC-UN10</t>
  </si>
  <si>
    <t>EC-13100455530</t>
  </si>
  <si>
    <t>EC-A553000060</t>
  </si>
  <si>
    <t>SH-22000-13512</t>
  </si>
  <si>
    <t>EC-C350INTL</t>
  </si>
  <si>
    <t>EC-ES726</t>
  </si>
  <si>
    <t>EC-A429000120</t>
  </si>
  <si>
    <t>EC-P021033250</t>
  </si>
  <si>
    <t>EC-P021033070</t>
  </si>
  <si>
    <t>EC-A200000680</t>
  </si>
  <si>
    <t>EC-577-60INTL</t>
  </si>
  <si>
    <t>EC-V420002500</t>
  </si>
  <si>
    <t>EC-A506000410</t>
  </si>
  <si>
    <t>EC-V430003240</t>
  </si>
  <si>
    <t>EC-A011000830</t>
  </si>
  <si>
    <t>EC-A160001640</t>
  </si>
  <si>
    <t>EC-A320000790</t>
  </si>
  <si>
    <t>SH-224127-13710</t>
  </si>
  <si>
    <t>SH-8003009</t>
  </si>
  <si>
    <t>EC-A369000100</t>
  </si>
  <si>
    <t>EC-A409000640</t>
  </si>
  <si>
    <t>EC-X602000020</t>
  </si>
  <si>
    <t>EC-A101000350</t>
  </si>
  <si>
    <t>EC-A101000360</t>
  </si>
  <si>
    <t>EC-90080206002</t>
  </si>
  <si>
    <t>EC-A101000370</t>
  </si>
  <si>
    <t>EC-1001141</t>
  </si>
  <si>
    <t>EC-A101000380</t>
  </si>
  <si>
    <t>EC-V205000480</t>
  </si>
  <si>
    <t>EC-A101000400</t>
  </si>
  <si>
    <t>EC-V206000220</t>
  </si>
  <si>
    <t>EC-V204000410</t>
  </si>
  <si>
    <t>EC-V206000250</t>
  </si>
  <si>
    <t>EC-V216000040</t>
  </si>
  <si>
    <t>EC-12411411120</t>
  </si>
  <si>
    <t>EC-A130001150</t>
  </si>
  <si>
    <t>EC-A130001340</t>
  </si>
  <si>
    <t>EC-12415905530</t>
  </si>
  <si>
    <t>EC-13031303710</t>
  </si>
  <si>
    <t>SH-20011-12220</t>
  </si>
  <si>
    <t>EC-V265000250</t>
  </si>
  <si>
    <t>SH-20010-81760</t>
  </si>
  <si>
    <t>SH-20011-85401</t>
  </si>
  <si>
    <t>EC-V299000410</t>
  </si>
  <si>
    <t>EC-A011000720</t>
  </si>
  <si>
    <t>EC-V307000230</t>
  </si>
  <si>
    <t>SH-20018-31260</t>
  </si>
  <si>
    <t>EC-V353000430</t>
  </si>
  <si>
    <t>EC-A130001370</t>
  </si>
  <si>
    <t>EC-V358000130</t>
  </si>
  <si>
    <t>EC-A130001780</t>
  </si>
  <si>
    <t>EC-V401000430</t>
  </si>
  <si>
    <t>EC-V430002900</t>
  </si>
  <si>
    <t>EC-V452000520</t>
  </si>
  <si>
    <t>EC-A172001300</t>
  </si>
  <si>
    <t>EC-V452000550</t>
  </si>
  <si>
    <t>EC-A175000180</t>
  </si>
  <si>
    <t>EC-V452000560</t>
  </si>
  <si>
    <t>EC-A175000200</t>
  </si>
  <si>
    <t>EC-A175000210</t>
  </si>
  <si>
    <t>EC-A200000560</t>
  </si>
  <si>
    <t>EC-V505000080</t>
  </si>
  <si>
    <t>EC-A011000770</t>
  </si>
  <si>
    <t>EC-V508000050</t>
  </si>
  <si>
    <t>EC-V509000000</t>
  </si>
  <si>
    <t>EC-P004000430</t>
  </si>
  <si>
    <t>EC-V513000000</t>
  </si>
  <si>
    <t>EC-A504000110</t>
  </si>
  <si>
    <t>SH-22000-13290</t>
  </si>
  <si>
    <t>EC-V592000290</t>
  </si>
  <si>
    <t>EC-A200000870</t>
  </si>
  <si>
    <t>EC-V304000180</t>
  </si>
  <si>
    <t>EC-V641000140</t>
  </si>
  <si>
    <t>EC-A202000180</t>
  </si>
  <si>
    <t>EC-V651000520</t>
  </si>
  <si>
    <t>EC-V651000540</t>
  </si>
  <si>
    <t>EC-A225000490</t>
  </si>
  <si>
    <t>EC-C450000510</t>
  </si>
  <si>
    <t>EC-V651000550</t>
  </si>
  <si>
    <t>EC-12437455430</t>
  </si>
  <si>
    <t>EC-C504000720</t>
  </si>
  <si>
    <t>EC-A226000520</t>
  </si>
  <si>
    <t>EC-V652000180</t>
  </si>
  <si>
    <t>SH-22021-13390</t>
  </si>
  <si>
    <t>EC-12438012710</t>
  </si>
  <si>
    <t>EC-V652000190</t>
  </si>
  <si>
    <t>EC-A226000650</t>
  </si>
  <si>
    <t>EC-A226000660</t>
  </si>
  <si>
    <t>SH-28820-08000</t>
  </si>
  <si>
    <t>EC-4517530</t>
  </si>
  <si>
    <t>EC-A232000820</t>
  </si>
  <si>
    <t>EC-4575700</t>
  </si>
  <si>
    <t>EC-A244000180</t>
  </si>
  <si>
    <t>EC-A356000050</t>
  </si>
  <si>
    <t>EC-A392000060</t>
  </si>
  <si>
    <t>EC-A410000030</t>
  </si>
  <si>
    <t>EC-A411000780</t>
  </si>
  <si>
    <t>EC-A411000790</t>
  </si>
  <si>
    <t>EC-A411000820</t>
  </si>
  <si>
    <t>EC-P021027130</t>
  </si>
  <si>
    <t>EC-A416000000</t>
  </si>
  <si>
    <t>EC-A426000050</t>
  </si>
  <si>
    <t>EC-A427000090</t>
  </si>
  <si>
    <t>EC-A429000110</t>
  </si>
  <si>
    <t>EC-A504000060</t>
  </si>
  <si>
    <t>EC-A504000130</t>
  </si>
  <si>
    <t>SH-62035-82340</t>
  </si>
  <si>
    <t>EC-A504000140</t>
  </si>
  <si>
    <t>EC-A506000120</t>
  </si>
  <si>
    <t>EC-65001</t>
  </si>
  <si>
    <t>EC-A506000150</t>
  </si>
  <si>
    <t>EC-A506000260</t>
  </si>
  <si>
    <t>EC-65002</t>
  </si>
  <si>
    <t>EC-A509000320</t>
  </si>
  <si>
    <t>EC-65003</t>
  </si>
  <si>
    <t>EC-A510000110</t>
  </si>
  <si>
    <t>SH-69012-98310</t>
  </si>
  <si>
    <t>EC-A511000160</t>
  </si>
  <si>
    <t>EC-A556000810</t>
  </si>
  <si>
    <t>EC-A514000080</t>
  </si>
  <si>
    <t>SH-70064-75190</t>
  </si>
  <si>
    <t>EC-A514000130</t>
  </si>
  <si>
    <t>EC-A518000010</t>
  </si>
  <si>
    <t>EC-A520000170</t>
  </si>
  <si>
    <t>EC-A056000520</t>
  </si>
  <si>
    <t>EC-A050000240</t>
  </si>
  <si>
    <t>EC-A050000200</t>
  </si>
  <si>
    <t>EC-A556000890</t>
  </si>
  <si>
    <t>EC-A039000020</t>
  </si>
  <si>
    <t>EC-A033000070</t>
  </si>
  <si>
    <t>SHDW-006</t>
  </si>
  <si>
    <t>EC-A021003180</t>
  </si>
  <si>
    <t>EC-A021002540</t>
  </si>
  <si>
    <t>EC-V104001360</t>
  </si>
  <si>
    <t>EC-V104001330</t>
  </si>
  <si>
    <t>EC-A021002470</t>
  </si>
  <si>
    <t>EC-V103001040</t>
  </si>
  <si>
    <t>EC-A021002190</t>
  </si>
  <si>
    <t>EC-V103001030</t>
  </si>
  <si>
    <t>EC-A021002140</t>
  </si>
  <si>
    <t>EC-V103001010</t>
  </si>
  <si>
    <t>EC-V103000950</t>
  </si>
  <si>
    <t>EC-A566000130</t>
  </si>
  <si>
    <t>EC-A011000840</t>
  </si>
  <si>
    <t>EC-P021036460</t>
  </si>
  <si>
    <t>EC-V100000490</t>
  </si>
  <si>
    <t>EC-A011000810</t>
  </si>
  <si>
    <t>EC-V100000470</t>
  </si>
  <si>
    <t>EC-A021002520</t>
  </si>
  <si>
    <t>EC-V100000450</t>
  </si>
  <si>
    <t>EC-70602067820</t>
  </si>
  <si>
    <t>EC-V043000560</t>
  </si>
  <si>
    <t>EC-A566000200</t>
  </si>
  <si>
    <t>SH-72435-13920</t>
  </si>
  <si>
    <t>EC-C535000650</t>
  </si>
  <si>
    <t>EC-A570000200</t>
  </si>
  <si>
    <t>EC-C044000410</t>
  </si>
  <si>
    <t>EC-C050001880</t>
  </si>
  <si>
    <t>EC-9103006010</t>
  </si>
  <si>
    <t>EC-8890802</t>
  </si>
  <si>
    <t>EC-81630</t>
  </si>
  <si>
    <t>EC-80256</t>
  </si>
  <si>
    <t>SH-80253</t>
  </si>
  <si>
    <t>EC-P021035440</t>
  </si>
  <si>
    <t>EC-80253</t>
  </si>
  <si>
    <t>EC-80221</t>
  </si>
  <si>
    <t>EC-C062000340</t>
  </si>
  <si>
    <t>EC-80678</t>
  </si>
  <si>
    <t>EC-C062000430</t>
  </si>
  <si>
    <t>EC-70602042040</t>
  </si>
  <si>
    <t>EC-80786</t>
  </si>
  <si>
    <t>EC-C482000070</t>
  </si>
  <si>
    <t>EC-P021031630</t>
  </si>
  <si>
    <t>EC-P021031560</t>
  </si>
  <si>
    <t>EC-C501000070</t>
  </si>
  <si>
    <t>EC-61041307130</t>
  </si>
  <si>
    <t>EC-P021030570</t>
  </si>
  <si>
    <t>EC-P021030360</t>
  </si>
  <si>
    <t>EC-C504000620</t>
  </si>
  <si>
    <t>EC-P021028900</t>
  </si>
  <si>
    <t>EC-C504000690</t>
  </si>
  <si>
    <t>EC-P021028610</t>
  </si>
  <si>
    <t>EC-P021027090</t>
  </si>
  <si>
    <t>EC-P021023260</t>
  </si>
  <si>
    <t>EC-82067A</t>
  </si>
  <si>
    <t>EC-C506000200</t>
  </si>
  <si>
    <t>EC-9242432000</t>
  </si>
  <si>
    <t>SH-99909-55130</t>
  </si>
  <si>
    <t>EC-A440000300</t>
  </si>
  <si>
    <t>EC-C535000510</t>
  </si>
  <si>
    <t>EC-C534000680</t>
  </si>
  <si>
    <t>EC-4575740</t>
  </si>
  <si>
    <t>EC-C535000520</t>
  </si>
  <si>
    <t>EC-C535000530</t>
  </si>
  <si>
    <t>EC-C535000640</t>
  </si>
  <si>
    <t>EC-C535000790</t>
  </si>
  <si>
    <t>EC-C535000860</t>
  </si>
  <si>
    <t>EC-P021021240</t>
  </si>
  <si>
    <t>EC-ES-255</t>
  </si>
  <si>
    <t>EC-P004000700</t>
  </si>
  <si>
    <t>EC-P004000890</t>
  </si>
  <si>
    <t>EC-P021017990</t>
  </si>
  <si>
    <t>EC-P004001340</t>
  </si>
  <si>
    <t>EC-P004001940</t>
  </si>
  <si>
    <t>EC-P230S/EC1</t>
  </si>
  <si>
    <t>EC-V104001500</t>
  </si>
  <si>
    <t>EC-400442310</t>
  </si>
  <si>
    <t>EC-13-58</t>
  </si>
  <si>
    <t>EC-A130001670</t>
  </si>
  <si>
    <t>EC-17722005730</t>
  </si>
  <si>
    <t>EC-A021002120</t>
  </si>
  <si>
    <t>EC-A130001750</t>
  </si>
  <si>
    <t>EC-V322000040</t>
  </si>
  <si>
    <t>EC-A200000500</t>
  </si>
  <si>
    <t>EC-9242435000</t>
  </si>
  <si>
    <t>EC-V580000110</t>
  </si>
  <si>
    <t>EC-A051001860</t>
  </si>
  <si>
    <t>EC-A023000230</t>
  </si>
  <si>
    <t>EC-A410000010</t>
  </si>
  <si>
    <t>EC-A411000880</t>
  </si>
  <si>
    <t>EC-A411000910</t>
  </si>
  <si>
    <t>EC-A411001080</t>
  </si>
  <si>
    <t>EC-V043000540</t>
  </si>
  <si>
    <t>EC-P022025180</t>
  </si>
  <si>
    <t>EC-V043000530</t>
  </si>
  <si>
    <t>EC-C051000680</t>
  </si>
  <si>
    <t>EC-A021002570</t>
  </si>
  <si>
    <t>EC-A021002690</t>
  </si>
  <si>
    <t>EC-A130001390</t>
  </si>
  <si>
    <t>EC-A130001380</t>
  </si>
  <si>
    <t>EC-90081036202</t>
  </si>
  <si>
    <t>EC-V555000140</t>
  </si>
  <si>
    <t>EC-A160001650</t>
  </si>
  <si>
    <t>EC-A160002240</t>
  </si>
  <si>
    <t>EC-A232000710</t>
  </si>
  <si>
    <t>EC-X411000940</t>
  </si>
  <si>
    <t>EC-A509000190</t>
  </si>
  <si>
    <t>EC-C506000160</t>
  </si>
  <si>
    <t>EC-A056000640</t>
  </si>
  <si>
    <t>EC-V103001200</t>
  </si>
  <si>
    <t>EC-V103000850</t>
  </si>
  <si>
    <t>EC-V103001080</t>
  </si>
  <si>
    <t>EC-V100000410</t>
  </si>
  <si>
    <t>EC-V652000170</t>
  </si>
  <si>
    <t>EC-A226000580</t>
  </si>
  <si>
    <t>EC-A226000670</t>
  </si>
  <si>
    <t>EC-A226000740</t>
  </si>
  <si>
    <t>EC-A369000070</t>
  </si>
  <si>
    <t>EC-A226000600</t>
  </si>
  <si>
    <t>EC-P021022580</t>
  </si>
  <si>
    <t>EC-A101000560</t>
  </si>
  <si>
    <t>EC-A101000520</t>
  </si>
  <si>
    <t>EC-P021032910</t>
  </si>
  <si>
    <t>EC-V475004810</t>
  </si>
  <si>
    <t>EC-V138000020</t>
  </si>
  <si>
    <t>EC-61031056831</t>
  </si>
  <si>
    <t>EC-99909-451</t>
  </si>
  <si>
    <t>EC-12312318330</t>
  </si>
  <si>
    <t>EC-V430002930</t>
  </si>
  <si>
    <t>EC-A320000760</t>
  </si>
  <si>
    <t>EC-17721544430</t>
  </si>
  <si>
    <t>EC-17722042030</t>
  </si>
  <si>
    <t>EC-17723412220</t>
  </si>
  <si>
    <t>EC-12312512330</t>
  </si>
  <si>
    <t>EC-12311212330</t>
  </si>
  <si>
    <t>EC-12314016130</t>
  </si>
  <si>
    <t>EC-10021305530</t>
  </si>
  <si>
    <t>EC-A101000250</t>
  </si>
  <si>
    <t>EC-P021033470</t>
  </si>
  <si>
    <t>EC-A130001070</t>
  </si>
  <si>
    <t>SH-78890-11000</t>
  </si>
  <si>
    <t>EC-SP40BPS</t>
  </si>
  <si>
    <t>EC-SP45BPE</t>
  </si>
  <si>
    <t>EC-A504000190</t>
  </si>
  <si>
    <t>EC-V356000490</t>
  </si>
  <si>
    <t>EC-SP30BPE</t>
  </si>
  <si>
    <t>EC-P021031650</t>
  </si>
  <si>
    <t>EC-SP20HPS</t>
  </si>
  <si>
    <t>EC-90060300005</t>
  </si>
  <si>
    <t>EC-C535000760</t>
  </si>
  <si>
    <t>EC-A520000080</t>
  </si>
  <si>
    <t>EC-P021022590</t>
  </si>
  <si>
    <t>EC-757-70INTL</t>
  </si>
  <si>
    <t>EC-T230XREMC</t>
  </si>
  <si>
    <t>EC-A411000550</t>
  </si>
  <si>
    <t>EC-C535000630</t>
  </si>
  <si>
    <t>EC-C051000480</t>
  </si>
  <si>
    <t>EC-A021002010</t>
  </si>
  <si>
    <t>EC-10503</t>
  </si>
  <si>
    <t>EC-99944100480</t>
  </si>
  <si>
    <t>EC-83003</t>
  </si>
  <si>
    <t>EC-P021022530</t>
  </si>
  <si>
    <t>EC-X602000150</t>
  </si>
  <si>
    <t>EC-P021033200</t>
  </si>
  <si>
    <t>EC-V652000090</t>
  </si>
  <si>
    <t>EC-P021034100</t>
  </si>
  <si>
    <t>EC-V265000240</t>
  </si>
  <si>
    <t>EC-P004002730</t>
  </si>
  <si>
    <t>EC-99909-55113</t>
  </si>
  <si>
    <t>EC-C044000640</t>
  </si>
  <si>
    <t>EC-P021028840</t>
  </si>
  <si>
    <t>SH-63880-63121</t>
  </si>
  <si>
    <t>EC-V356000480</t>
  </si>
  <si>
    <t>IN-033</t>
  </si>
  <si>
    <t>IN-352</t>
  </si>
  <si>
    <t>IN-378</t>
  </si>
  <si>
    <t>QU-012</t>
  </si>
  <si>
    <t>QU-013</t>
  </si>
  <si>
    <t>QUIM-001</t>
  </si>
  <si>
    <t>QUIM-002</t>
  </si>
  <si>
    <t>QUIM-003</t>
  </si>
  <si>
    <t>QUIM-004</t>
  </si>
  <si>
    <t>QUIM-005</t>
  </si>
  <si>
    <t>QUIM-008</t>
  </si>
  <si>
    <t>QUIM-010</t>
  </si>
  <si>
    <t>QUIM-011</t>
  </si>
  <si>
    <t>QUIM-013</t>
  </si>
  <si>
    <t>QUIM-014</t>
  </si>
  <si>
    <t>QUIM-015</t>
  </si>
  <si>
    <t>QUIM-016</t>
  </si>
  <si>
    <t>QUIM-018</t>
  </si>
  <si>
    <t>QUIM-019</t>
  </si>
  <si>
    <t>QUIM-020</t>
  </si>
  <si>
    <t>QUIM-021</t>
  </si>
  <si>
    <t>QUIM-022</t>
  </si>
  <si>
    <t>IN-1130</t>
  </si>
  <si>
    <t>CY-001</t>
  </si>
  <si>
    <t>SC-002</t>
  </si>
  <si>
    <t>LDF50C-2</t>
  </si>
  <si>
    <t>RULIT-009</t>
  </si>
  <si>
    <t>OT-B83</t>
  </si>
  <si>
    <t>OT-B48</t>
  </si>
  <si>
    <t>OT-A48</t>
  </si>
  <si>
    <t>OT-848</t>
  </si>
  <si>
    <t>OT-653</t>
  </si>
  <si>
    <t>OT-B95</t>
  </si>
  <si>
    <t>OT-5633</t>
  </si>
  <si>
    <t>OT-5635</t>
  </si>
  <si>
    <t>OT-B75</t>
  </si>
  <si>
    <t>OT-B87</t>
  </si>
  <si>
    <t>COR-002</t>
  </si>
  <si>
    <t>COR-001</t>
  </si>
  <si>
    <t>CR-049</t>
  </si>
  <si>
    <t>PRO-001</t>
  </si>
  <si>
    <t>OT-701</t>
  </si>
  <si>
    <t>ZM-028</t>
  </si>
  <si>
    <t>ZM-027</t>
  </si>
  <si>
    <t>ZM-017</t>
  </si>
  <si>
    <t>ZM-018</t>
  </si>
  <si>
    <t>ZM-021</t>
  </si>
  <si>
    <t>ZM-026</t>
  </si>
  <si>
    <t>ZM-025</t>
  </si>
  <si>
    <t>ZM-001</t>
  </si>
  <si>
    <t>ZM-023</t>
  </si>
  <si>
    <t>ZM-024</t>
  </si>
  <si>
    <t>ZM-031</t>
  </si>
  <si>
    <t>ZM-013</t>
  </si>
  <si>
    <t>ZM-056</t>
  </si>
  <si>
    <t>ZM-016</t>
  </si>
  <si>
    <t>ZM-071</t>
  </si>
  <si>
    <t>ZM-064</t>
  </si>
  <si>
    <t>ZM-070</t>
  </si>
  <si>
    <t>ZM-065</t>
  </si>
  <si>
    <t>ZM-066</t>
  </si>
  <si>
    <t>ZM-029</t>
  </si>
  <si>
    <t>ZM-044</t>
  </si>
  <si>
    <t>ZM-069</t>
  </si>
  <si>
    <t>ZM-019</t>
  </si>
  <si>
    <t>ZM-020</t>
  </si>
  <si>
    <t>ZM-014</t>
  </si>
  <si>
    <t>ZM-015</t>
  </si>
  <si>
    <t>ZM-036</t>
  </si>
  <si>
    <t>ZM-010</t>
  </si>
  <si>
    <t>ZM-051</t>
  </si>
  <si>
    <t>ZM-067</t>
  </si>
  <si>
    <t>ZM-068</t>
  </si>
  <si>
    <t>ZM-072</t>
  </si>
  <si>
    <t>ZM-073</t>
  </si>
  <si>
    <t>ZM-074</t>
  </si>
  <si>
    <t>ZM-037</t>
  </si>
  <si>
    <t>ZM-057</t>
  </si>
  <si>
    <t>ZM-058</t>
  </si>
  <si>
    <t>ZM-049</t>
  </si>
  <si>
    <t>ZM-011</t>
  </si>
  <si>
    <t>CodigoEmpresa</t>
  </si>
  <si>
    <t>NombreEmpresa</t>
  </si>
  <si>
    <t>Agroinsumos Cia. Ltda</t>
  </si>
  <si>
    <t>Agrota Cia. Ltda</t>
  </si>
  <si>
    <t>Sukampo S.A.</t>
  </si>
  <si>
    <t>EMPRESA</t>
  </si>
  <si>
    <t>IN-0998</t>
  </si>
  <si>
    <t>BodegaConsolidable</t>
  </si>
  <si>
    <t>CODIGO</t>
  </si>
  <si>
    <t>EMPRESA CAS</t>
  </si>
  <si>
    <t>INV TRANSITO</t>
  </si>
  <si>
    <t>BODEGA</t>
  </si>
  <si>
    <t>COD CATALOGO</t>
  </si>
  <si>
    <t>DESCRIPCION</t>
  </si>
  <si>
    <t>GRUPO</t>
  </si>
  <si>
    <t>LINEA</t>
  </si>
  <si>
    <t>INV FISICO</t>
  </si>
  <si>
    <t>UNIDAD</t>
  </si>
  <si>
    <t>PRECIO</t>
  </si>
  <si>
    <t>COSTO</t>
  </si>
  <si>
    <t>Tipo</t>
  </si>
  <si>
    <t>TRUPUT UNIT</t>
  </si>
  <si>
    <t>COSTO INV FISICO</t>
  </si>
  <si>
    <t>Costo</t>
  </si>
  <si>
    <t>Costo Tránsito</t>
  </si>
  <si>
    <t>TRANSITO</t>
  </si>
  <si>
    <t>HE-001</t>
  </si>
  <si>
    <t>HE-002</t>
  </si>
  <si>
    <t>PTHER009</t>
  </si>
  <si>
    <t>PTHER010</t>
  </si>
  <si>
    <t>EC-09510</t>
  </si>
  <si>
    <t>EC-10014230830</t>
  </si>
  <si>
    <t>EC-10152130832</t>
  </si>
  <si>
    <t>EC-10153430830</t>
  </si>
  <si>
    <t>EC-103942180</t>
  </si>
  <si>
    <t>EC-10530</t>
  </si>
  <si>
    <t>EC-12311215030</t>
  </si>
  <si>
    <t>EC-12314003930</t>
  </si>
  <si>
    <t>EC-13031305863</t>
  </si>
  <si>
    <t>EC-13131406320</t>
  </si>
  <si>
    <t>EC-13132840630</t>
  </si>
  <si>
    <t>EC-15680032631</t>
  </si>
  <si>
    <t>EC-16A0ED3757</t>
  </si>
  <si>
    <t>EC-17511412530</t>
  </si>
  <si>
    <t>EC-18F8LS3372</t>
  </si>
  <si>
    <t>EC-21002300210</t>
  </si>
  <si>
    <t>EC-21041752730</t>
  </si>
  <si>
    <t>EC-21560056</t>
  </si>
  <si>
    <t>EC-21BPX72X</t>
  </si>
  <si>
    <t>EC-22906-99010</t>
  </si>
  <si>
    <t>EC-25000105610</t>
  </si>
  <si>
    <t>EC-25090206310</t>
  </si>
  <si>
    <t>EC-27001806210</t>
  </si>
  <si>
    <t>EC-400806410</t>
  </si>
  <si>
    <t>EC-61041056931</t>
  </si>
  <si>
    <t>EC-6450061</t>
  </si>
  <si>
    <t>EC-6450102</t>
  </si>
  <si>
    <t>EC-90070600012</t>
  </si>
  <si>
    <t>EC-91VX45X</t>
  </si>
  <si>
    <t>EC-99909-55123</t>
  </si>
  <si>
    <t>EC-99909-55133</t>
  </si>
  <si>
    <t>EC-A011000930</t>
  </si>
  <si>
    <t>EC-A021000991</t>
  </si>
  <si>
    <t>EC-A055000140</t>
  </si>
  <si>
    <t>EC-A056000451</t>
  </si>
  <si>
    <t>EC-A130002010</t>
  </si>
  <si>
    <t>EC-A226001250</t>
  </si>
  <si>
    <t>EC-A356000031</t>
  </si>
  <si>
    <t>EC-A440000310</t>
  </si>
  <si>
    <t>EC-A556001300</t>
  </si>
  <si>
    <t>EC-A575000390</t>
  </si>
  <si>
    <t>EC-C044000910</t>
  </si>
  <si>
    <t>EC-C051000562</t>
  </si>
  <si>
    <t>EC-C051000603</t>
  </si>
  <si>
    <t>EC-C051000612</t>
  </si>
  <si>
    <t>EC-C309000160</t>
  </si>
  <si>
    <t>EC-C450000022</t>
  </si>
  <si>
    <t>EC-C460000011</t>
  </si>
  <si>
    <t>EC-C463000000</t>
  </si>
  <si>
    <t>EC-C531000601</t>
  </si>
  <si>
    <t>EC-C531000960</t>
  </si>
  <si>
    <t>EC-C532000210</t>
  </si>
  <si>
    <t>EC-C534000610</t>
  </si>
  <si>
    <t>EC-C535000780</t>
  </si>
  <si>
    <t>EC-C551000060</t>
  </si>
  <si>
    <t>EC-HT230/40EPA</t>
  </si>
  <si>
    <t>EC-P003003140</t>
  </si>
  <si>
    <t>EC-P003003160</t>
  </si>
  <si>
    <t>EC-P005001090</t>
  </si>
  <si>
    <t>EC-P005001140</t>
  </si>
  <si>
    <t>EC-P005001170</t>
  </si>
  <si>
    <t>EC-P021002612</t>
  </si>
  <si>
    <t>EC-P021002801</t>
  </si>
  <si>
    <t>EC-P021007630</t>
  </si>
  <si>
    <t>EC-P021009950</t>
  </si>
  <si>
    <t>EC-P021018110</t>
  </si>
  <si>
    <t>EC-P021022030</t>
  </si>
  <si>
    <t>EC-P021027910</t>
  </si>
  <si>
    <t>EC-P021027920</t>
  </si>
  <si>
    <t>EC-P021028811</t>
  </si>
  <si>
    <t>EC-P021038920</t>
  </si>
  <si>
    <t>EC-P021038930</t>
  </si>
  <si>
    <t>EC-P021038950</t>
  </si>
  <si>
    <t>EC-P021038960</t>
  </si>
  <si>
    <t>EC-P021038970</t>
  </si>
  <si>
    <t>EC-P021038980</t>
  </si>
  <si>
    <t>EC-P021038990</t>
  </si>
  <si>
    <t>EC-P021039000</t>
  </si>
  <si>
    <t>EC-P021039010</t>
  </si>
  <si>
    <t>EC-P021039020</t>
  </si>
  <si>
    <t>EC-P021039030</t>
  </si>
  <si>
    <t>EC-P021039360</t>
  </si>
  <si>
    <t>EC-P022006950</t>
  </si>
  <si>
    <t>EC-P022007000</t>
  </si>
  <si>
    <t>EC-P022007210</t>
  </si>
  <si>
    <t>EC-P022007220</t>
  </si>
  <si>
    <t>EC-P022024680</t>
  </si>
  <si>
    <t>EC-P022024740</t>
  </si>
  <si>
    <t>EC-P022033110</t>
  </si>
  <si>
    <t>EC-P050009350</t>
  </si>
  <si>
    <t>EC-S20A8TW3378</t>
  </si>
  <si>
    <t>EC-V000000040</t>
  </si>
  <si>
    <t>EC-V137000080</t>
  </si>
  <si>
    <t>EC-V203000610</t>
  </si>
  <si>
    <t>EC-V356000500</t>
  </si>
  <si>
    <t>EC-V452000060</t>
  </si>
  <si>
    <t>EC-V452000130</t>
  </si>
  <si>
    <t>EC-V452000220</t>
  </si>
  <si>
    <t>EC-V452000690</t>
  </si>
  <si>
    <t>EC-V510000010</t>
  </si>
  <si>
    <t>EC-V651000460</t>
  </si>
  <si>
    <t>EC-V651000590</t>
  </si>
  <si>
    <t>EC-V651000600</t>
  </si>
  <si>
    <t>EC-X047000520</t>
  </si>
  <si>
    <t>EC-X411001010</t>
  </si>
  <si>
    <t>ZM-0012</t>
  </si>
  <si>
    <t>ZM-8424.30.00</t>
  </si>
  <si>
    <t>Tránsito</t>
  </si>
  <si>
    <t>JF-03.100094</t>
  </si>
  <si>
    <t>JF-03.100566</t>
  </si>
  <si>
    <t>BODEGA SUKAMPO</t>
  </si>
  <si>
    <t>PROBLEMAS MAQ. PRUEBA</t>
  </si>
  <si>
    <t>FALTANTES DE IMPORTACION Y COMPRAS</t>
  </si>
  <si>
    <t>Bodega Yamabiko</t>
  </si>
  <si>
    <t>BODEGA TALLER SUKAMPO</t>
  </si>
  <si>
    <t>REPUESTOS PARA MAQUINAS SIN IP</t>
  </si>
  <si>
    <t>BODEGA MAQUINAS PERDIDAS TRANSPORTE</t>
  </si>
  <si>
    <t>MAQUINAS DESARMADAS XAVIER</t>
  </si>
  <si>
    <t>BODEGAS GARANTIAS AGROPECUARIA</t>
  </si>
  <si>
    <t>Hacienda Chuquipata</t>
  </si>
  <si>
    <t>PROBLEMAS PRODUCCION</t>
  </si>
  <si>
    <t>Taller Feria Libre</t>
  </si>
  <si>
    <t>SH-72550-14531</t>
  </si>
  <si>
    <t>EC-P021012603</t>
  </si>
  <si>
    <t>EC-A556001480</t>
  </si>
  <si>
    <t>EC-13031044330</t>
  </si>
  <si>
    <t>B177Z</t>
  </si>
  <si>
    <t>B26A</t>
  </si>
  <si>
    <t>EC-P021039350</t>
  </si>
  <si>
    <t>EC-12312515030</t>
  </si>
  <si>
    <t>EC-C450000581</t>
  </si>
  <si>
    <t>EC-14551042231</t>
  </si>
  <si>
    <t>EC-A566000160</t>
  </si>
  <si>
    <t>EC-15510</t>
  </si>
  <si>
    <t>6P1010F</t>
  </si>
  <si>
    <t>EC-10010056032</t>
  </si>
  <si>
    <t>EC-V651000450</t>
  </si>
  <si>
    <t>EC-69621206032</t>
  </si>
  <si>
    <t>EC-17721511120</t>
  </si>
  <si>
    <t>C00765B</t>
  </si>
  <si>
    <t>BLS915</t>
  </si>
  <si>
    <t>Z1314S</t>
  </si>
  <si>
    <t>SU-AGROSAD-HER-002-001</t>
  </si>
  <si>
    <t>AGROSAD-HER-003</t>
  </si>
  <si>
    <t>AGROSAD-HER-002</t>
  </si>
  <si>
    <t>SU-ECUAQ-22500002</t>
  </si>
  <si>
    <t>SU-ECUAQ-22500001</t>
  </si>
  <si>
    <t>SU-ECUAQ-22230002</t>
  </si>
  <si>
    <t>SU-ECUAQ-22070019</t>
  </si>
  <si>
    <t>SU-ECUAQ-22070023</t>
  </si>
  <si>
    <t>SU-ECUAQ-22490005</t>
  </si>
  <si>
    <t>SU-ECUAQ-22490026</t>
  </si>
  <si>
    <t>HER-22520028</t>
  </si>
  <si>
    <t>HER-22520016</t>
  </si>
  <si>
    <t>SU-ECUAQ-22530006</t>
  </si>
  <si>
    <t>SU-ECUAQ-22010125</t>
  </si>
  <si>
    <t>SU-ECUAQ-22350050</t>
  </si>
  <si>
    <t>SU-IMVAB-06.013</t>
  </si>
  <si>
    <t>SU-IMVAB-01.146</t>
  </si>
  <si>
    <t>SU-IMVAB-04.018</t>
  </si>
  <si>
    <t>SU-IMVAB-01.129</t>
  </si>
  <si>
    <t>SU-IMVAB-01.133</t>
  </si>
  <si>
    <t>SU-IMVAB-01.015</t>
  </si>
  <si>
    <t>SU-IMVAB-01.014</t>
  </si>
  <si>
    <t>SU-IMVAB-01.040</t>
  </si>
  <si>
    <t>SU-IMVAB-01.039</t>
  </si>
  <si>
    <t>SU-IMVAB-01.038</t>
  </si>
  <si>
    <t>SU-IMVAB-01.003</t>
  </si>
  <si>
    <t>SU-IMVAB-06.016</t>
  </si>
  <si>
    <t>SU-IMVAB-04.001</t>
  </si>
  <si>
    <t>SU-IMVAB-01.101</t>
  </si>
  <si>
    <t>SU-IMVAB-01.103</t>
  </si>
  <si>
    <t>SU-IMVAB-01.108</t>
  </si>
  <si>
    <t>SU-IMVAB-01.109</t>
  </si>
  <si>
    <t>SU-IMVAB-04.021</t>
  </si>
  <si>
    <t>SU-IMVAB-01.148</t>
  </si>
  <si>
    <t>SU-IMVAB-01.1110</t>
  </si>
  <si>
    <t>SU-IMVAB-04.031</t>
  </si>
  <si>
    <t>SU-IMVAB-04.030</t>
  </si>
  <si>
    <t>SU-IMVAB-04.019</t>
  </si>
  <si>
    <t>SU-IMVAB-01.121</t>
  </si>
  <si>
    <t>SU-IMVAB-04.047</t>
  </si>
  <si>
    <t>SU-IMVAB-04.033.04</t>
  </si>
  <si>
    <t>SU-IMVAB-04.033.03</t>
  </si>
  <si>
    <t>SU-IMVAB-01.036</t>
  </si>
  <si>
    <t>SU-IMVAB-09.001</t>
  </si>
  <si>
    <t>SU-IMVAB-04.038</t>
  </si>
  <si>
    <t>SU-IMVAB-01.0151</t>
  </si>
  <si>
    <t>MI-002</t>
  </si>
  <si>
    <t>SU-IMVAB-001</t>
  </si>
  <si>
    <t>SU-IMVAB-002</t>
  </si>
  <si>
    <t>SU-IMVAB-003</t>
  </si>
  <si>
    <t>GAL-DER-001</t>
  </si>
  <si>
    <t>GAL-VER-001</t>
  </si>
  <si>
    <t>GAL-B-001</t>
  </si>
  <si>
    <t>GAL-B-OO1-1</t>
  </si>
  <si>
    <t>GAL-OPI-001</t>
  </si>
  <si>
    <t>GAL-AB-001</t>
  </si>
  <si>
    <t>TRI-01</t>
  </si>
  <si>
    <t>FBZ-01</t>
  </si>
  <si>
    <t>ABZ-01</t>
  </si>
  <si>
    <t>BOVI-01</t>
  </si>
  <si>
    <t>TRI-02</t>
  </si>
  <si>
    <t>FBZ-02</t>
  </si>
  <si>
    <t>ABZ-02</t>
  </si>
  <si>
    <t>BOVI-02</t>
  </si>
  <si>
    <t>FBZ-03</t>
  </si>
  <si>
    <t>AGSO-023</t>
  </si>
  <si>
    <t>AGSO-024</t>
  </si>
  <si>
    <t>AGSO-025</t>
  </si>
  <si>
    <t>TYLOC-01</t>
  </si>
  <si>
    <t>SU-BOTA-190628</t>
  </si>
  <si>
    <t>SU-BOTA-190629</t>
  </si>
  <si>
    <t>SU-BOTA-190633</t>
  </si>
  <si>
    <t>SU-BOTA-190634</t>
  </si>
  <si>
    <t>SU-BOTA-190635</t>
  </si>
  <si>
    <t>SU-BOTA-190678</t>
  </si>
  <si>
    <t>SU-BOTA-190679</t>
  </si>
  <si>
    <t>SU-BOTA-190680</t>
  </si>
  <si>
    <t>SU-BOTA-190681</t>
  </si>
  <si>
    <t>M-585037</t>
  </si>
  <si>
    <t>M-585036</t>
  </si>
  <si>
    <t>M-585065</t>
  </si>
  <si>
    <t>M-585071</t>
  </si>
  <si>
    <t>M-585108</t>
  </si>
  <si>
    <t>M-585072</t>
  </si>
  <si>
    <t>SU-BOTA-190700</t>
  </si>
  <si>
    <t>SU-BOTA-190702</t>
  </si>
  <si>
    <t>SU-BOTA-190703</t>
  </si>
  <si>
    <t>GAL-C-OO1</t>
  </si>
  <si>
    <t>GAL-C001-1</t>
  </si>
  <si>
    <t>GAL-C001-2</t>
  </si>
  <si>
    <t>GAL-C001-3</t>
  </si>
  <si>
    <t>GAL-B001-1</t>
  </si>
  <si>
    <t>GAL-B001-2</t>
  </si>
  <si>
    <t>GAL-B001-3</t>
  </si>
  <si>
    <t>M-585033</t>
  </si>
  <si>
    <t>SU-BOTA-190666</t>
  </si>
  <si>
    <t>M-585034</t>
  </si>
  <si>
    <t>GAL-C001-4</t>
  </si>
  <si>
    <t>GAL-C001-5</t>
  </si>
  <si>
    <t>GAL-B001-4</t>
  </si>
  <si>
    <t>GAL-B002-2</t>
  </si>
  <si>
    <t>AGSO-037</t>
  </si>
  <si>
    <t>JUJ-007</t>
  </si>
  <si>
    <t>JUJ-008</t>
  </si>
  <si>
    <t>JUJ-016</t>
  </si>
  <si>
    <t>GAL-PIX-001</t>
  </si>
  <si>
    <t>GAL-PIX-001-1</t>
  </si>
  <si>
    <t>GAL-INS-001</t>
  </si>
  <si>
    <t>AGSO-015</t>
  </si>
  <si>
    <t>AGSO-017</t>
  </si>
  <si>
    <t>AGSO-018</t>
  </si>
  <si>
    <t>AGSO-019</t>
  </si>
  <si>
    <t>SAL-06</t>
  </si>
  <si>
    <t>AGSO-030</t>
  </si>
  <si>
    <t>AGSO-038</t>
  </si>
  <si>
    <t>AGSO-039</t>
  </si>
  <si>
    <t>PROC-001</t>
  </si>
  <si>
    <t>PROC-002</t>
  </si>
  <si>
    <t>PROC-003</t>
  </si>
  <si>
    <t>PROC-004</t>
  </si>
  <si>
    <t>PROC-005</t>
  </si>
  <si>
    <t>PROC-006</t>
  </si>
  <si>
    <t>PROC-007</t>
  </si>
  <si>
    <t>PROC-008</t>
  </si>
  <si>
    <t>PROC-009</t>
  </si>
  <si>
    <t>PROC-010</t>
  </si>
  <si>
    <t>PROC-011</t>
  </si>
  <si>
    <t>MI-001</t>
  </si>
  <si>
    <t>AGSO-CL-001</t>
  </si>
  <si>
    <t>AGSO-FL-001</t>
  </si>
  <si>
    <t>AGSO-CL-002</t>
  </si>
  <si>
    <t>JERINGADESC-04</t>
  </si>
  <si>
    <t>JERINGADESC-05</t>
  </si>
  <si>
    <t>AGUDESC-02</t>
  </si>
  <si>
    <t>AGUDESC-01</t>
  </si>
  <si>
    <t>GUANTE-02</t>
  </si>
  <si>
    <t>LAZA-01</t>
  </si>
  <si>
    <t>EMAS-01</t>
  </si>
  <si>
    <t>JERINGA-01</t>
  </si>
  <si>
    <t>TERMO-01</t>
  </si>
  <si>
    <t>BEBE-01</t>
  </si>
  <si>
    <t>BEBE-02</t>
  </si>
  <si>
    <t>JERING-05</t>
  </si>
  <si>
    <t>JERING-01</t>
  </si>
  <si>
    <t>ARREA-01</t>
  </si>
  <si>
    <t>TROCAR-01</t>
  </si>
  <si>
    <t>PERFORA-01</t>
  </si>
  <si>
    <t>CINTA-01</t>
  </si>
  <si>
    <t>ANTIMA-01</t>
  </si>
  <si>
    <t>APLICA-01</t>
  </si>
  <si>
    <t>SAL-04</t>
  </si>
  <si>
    <t>SAL-03</t>
  </si>
  <si>
    <t>SAL-02</t>
  </si>
  <si>
    <t>SAL-01</t>
  </si>
  <si>
    <t>CATE-01</t>
  </si>
  <si>
    <t>JERING-07</t>
  </si>
  <si>
    <t>RASQUETA-01</t>
  </si>
  <si>
    <t>CEPILLO-01</t>
  </si>
  <si>
    <t>TERMO-06</t>
  </si>
  <si>
    <t>JUEGOINTRA-01</t>
  </si>
  <si>
    <t>BOTE-01</t>
  </si>
  <si>
    <t>CRIA-02</t>
  </si>
  <si>
    <t>TERMO-02</t>
  </si>
  <si>
    <t>MANGO-02</t>
  </si>
  <si>
    <t>TERMO-05</t>
  </si>
  <si>
    <t>EMAS-02</t>
  </si>
  <si>
    <t>TERMO-04</t>
  </si>
  <si>
    <t>AGSO-026</t>
  </si>
  <si>
    <t>AGSO-028</t>
  </si>
  <si>
    <t>AGSO-031</t>
  </si>
  <si>
    <t>AGSO-009</t>
  </si>
  <si>
    <t>AGSO-013</t>
  </si>
  <si>
    <t>AGSO-016</t>
  </si>
  <si>
    <t>AGSO-SEM-001</t>
  </si>
  <si>
    <t>AGSO-SEM-002</t>
  </si>
  <si>
    <t>AGSO-SEM-003</t>
  </si>
  <si>
    <t>AGSO-SEM-004</t>
  </si>
  <si>
    <t>AGSO-SEM-005</t>
  </si>
  <si>
    <t>AGSO-SEM-006</t>
  </si>
  <si>
    <t>AGSO-SEM-007</t>
  </si>
  <si>
    <t>IVAN BOHMAN-393957S</t>
  </si>
  <si>
    <t>IVAN BOHMAN-693394</t>
  </si>
  <si>
    <t>MARTÍNEZ-INSEC-1</t>
  </si>
  <si>
    <t>MARTÍNEZ-INSEC-2</t>
  </si>
  <si>
    <t>SOL-CAB</t>
  </si>
  <si>
    <t>SOL-2004</t>
  </si>
  <si>
    <t>SOL-2006</t>
  </si>
  <si>
    <t>SOL-2010</t>
  </si>
  <si>
    <t>SOL-2012</t>
  </si>
  <si>
    <t>SOL-2004-L</t>
  </si>
  <si>
    <t>SOL-2006-L</t>
  </si>
  <si>
    <t>SOL-3022</t>
  </si>
  <si>
    <t>SOL-701</t>
  </si>
  <si>
    <t>SOL-801</t>
  </si>
  <si>
    <t>SOL-701-L</t>
  </si>
  <si>
    <t>SOL-801-L</t>
  </si>
  <si>
    <t>4M10136</t>
  </si>
  <si>
    <t>4P4105H</t>
  </si>
  <si>
    <t>FRT-1130449</t>
  </si>
  <si>
    <t>FRT-1130486</t>
  </si>
  <si>
    <t>INSF-001</t>
  </si>
  <si>
    <t>INSF-002</t>
  </si>
  <si>
    <t>INSF-003</t>
  </si>
  <si>
    <t>FRT-1130445</t>
  </si>
  <si>
    <t>EURO-10022-45</t>
  </si>
  <si>
    <t>EURO-10004-E</t>
  </si>
  <si>
    <t>EURO-25111</t>
  </si>
  <si>
    <t>EURO-10050-I</t>
  </si>
  <si>
    <t>EURO-10473</t>
  </si>
  <si>
    <t>EURO-10093</t>
  </si>
  <si>
    <t>EURO-10235</t>
  </si>
  <si>
    <t>EURO-10236</t>
  </si>
  <si>
    <t>EURO-10217-B</t>
  </si>
  <si>
    <t>EURO-10217-N</t>
  </si>
  <si>
    <t>EURO-17011</t>
  </si>
  <si>
    <t>EURO-10747-A</t>
  </si>
  <si>
    <t>EURO-10772-A</t>
  </si>
  <si>
    <t>EURO-20101</t>
  </si>
  <si>
    <t>EURO-10766</t>
  </si>
  <si>
    <t>EURO-17004</t>
  </si>
  <si>
    <t>EURO-17028</t>
  </si>
  <si>
    <t>EURO-10069</t>
  </si>
  <si>
    <t>EURO-10070</t>
  </si>
  <si>
    <t>EURO-10073-A</t>
  </si>
  <si>
    <t>EURO-10078</t>
  </si>
  <si>
    <t>EURO-10080</t>
  </si>
  <si>
    <t>EURO-10081</t>
  </si>
  <si>
    <t>EURO-10082</t>
  </si>
  <si>
    <t>EURO-10515</t>
  </si>
  <si>
    <t>EURO-10133</t>
  </si>
  <si>
    <t>EURO-10193</t>
  </si>
  <si>
    <t>EURO-11000</t>
  </si>
  <si>
    <t>EURO-10200</t>
  </si>
  <si>
    <t>EURO-10200-B</t>
  </si>
  <si>
    <t>EURO-10492</t>
  </si>
  <si>
    <t>EURO-10510</t>
  </si>
  <si>
    <t>EURO-10200-C</t>
  </si>
  <si>
    <t>EURO-10200-F</t>
  </si>
  <si>
    <t>EURO-10241</t>
  </si>
  <si>
    <t>EURO-10383</t>
  </si>
  <si>
    <t>EURO-10271</t>
  </si>
  <si>
    <t>EURO-10282-A</t>
  </si>
  <si>
    <t>EURO-10284</t>
  </si>
  <si>
    <t>EURO-10290-B</t>
  </si>
  <si>
    <t>EURO-10291</t>
  </si>
  <si>
    <t>EURO-10086</t>
  </si>
  <si>
    <t>EURO-10500</t>
  </si>
  <si>
    <t>EURO-10364</t>
  </si>
  <si>
    <t>EURO-10106</t>
  </si>
  <si>
    <t>EURO-10105</t>
  </si>
  <si>
    <t>EURO-10445-B</t>
  </si>
  <si>
    <t>EURO-10443</t>
  </si>
  <si>
    <t>EURO-10444</t>
  </si>
  <si>
    <t>EURO-10470-L</t>
  </si>
  <si>
    <t>EURO-10446</t>
  </si>
  <si>
    <t>EURO-10755</t>
  </si>
  <si>
    <t>EURO-10755-B</t>
  </si>
  <si>
    <t>EURO-0001</t>
  </si>
  <si>
    <t>B-CAN-001</t>
  </si>
  <si>
    <t>B-CAN-002</t>
  </si>
  <si>
    <t>B-CAN-004</t>
  </si>
  <si>
    <t>B-CAN-005</t>
  </si>
  <si>
    <t>B-CAN-006</t>
  </si>
  <si>
    <t>B-CAN-003</t>
  </si>
  <si>
    <t>B-CAN-003-1</t>
  </si>
  <si>
    <t>B-CAN-003-2</t>
  </si>
  <si>
    <t>B-CAN-003-3</t>
  </si>
  <si>
    <t>B-CAN-004-1</t>
  </si>
  <si>
    <t>B-CAN-004-2</t>
  </si>
  <si>
    <t>B-CAN-004-3</t>
  </si>
  <si>
    <t>B-CAN-005-1</t>
  </si>
  <si>
    <t>B-CAN-006-1</t>
  </si>
  <si>
    <t>B-CAN-006-2</t>
  </si>
  <si>
    <t>B-CAN-002-1</t>
  </si>
  <si>
    <t>B-CAN-004-4</t>
  </si>
  <si>
    <t>DSTR-009</t>
  </si>
  <si>
    <t>DSTR-010</t>
  </si>
  <si>
    <t>AGSO-040</t>
  </si>
  <si>
    <t>AGSO-041</t>
  </si>
  <si>
    <t>AGSO-042</t>
  </si>
  <si>
    <t>AGSO-045</t>
  </si>
  <si>
    <t>FRONT-001</t>
  </si>
  <si>
    <t>AGSO-035</t>
  </si>
  <si>
    <t>AGSO-010</t>
  </si>
  <si>
    <t>AGSO-011</t>
  </si>
  <si>
    <t>AGSO-012</t>
  </si>
  <si>
    <t>AGSO-027</t>
  </si>
  <si>
    <t>AGSO-014</t>
  </si>
  <si>
    <t>AGSO-020</t>
  </si>
  <si>
    <t>AGSO-021</t>
  </si>
  <si>
    <t>MA-001</t>
  </si>
  <si>
    <t>MA-002</t>
  </si>
  <si>
    <t>CHAN-001</t>
  </si>
  <si>
    <t>CHAN-002</t>
  </si>
  <si>
    <t>CHAN-003</t>
  </si>
  <si>
    <t>CHAN-004</t>
  </si>
  <si>
    <t>SMA-001</t>
  </si>
  <si>
    <t>BLC-001</t>
  </si>
  <si>
    <t>AGSO-022</t>
  </si>
  <si>
    <t>AGSO-029</t>
  </si>
  <si>
    <t>AGSO-036</t>
  </si>
  <si>
    <t>AGSO-032</t>
  </si>
  <si>
    <t>AGSO-033</t>
  </si>
  <si>
    <t>AGSO-034</t>
  </si>
  <si>
    <t>JUJ-001</t>
  </si>
  <si>
    <t>JUJ-002</t>
  </si>
  <si>
    <t>JUJ-003</t>
  </si>
  <si>
    <t>JUJ-006</t>
  </si>
  <si>
    <t>JUJ-017</t>
  </si>
  <si>
    <t>JUJ-018</t>
  </si>
  <si>
    <t>JUJ-019</t>
  </si>
  <si>
    <t>JUJ-020</t>
  </si>
  <si>
    <t>JUJ-021</t>
  </si>
  <si>
    <t>JUJ-024</t>
  </si>
  <si>
    <t>JUJ-025</t>
  </si>
  <si>
    <t>JUJ-022</t>
  </si>
  <si>
    <t>JUJ-005</t>
  </si>
  <si>
    <t>JUJ-004</t>
  </si>
  <si>
    <t>JUJ-009</t>
  </si>
  <si>
    <t>JUJ-010</t>
  </si>
  <si>
    <t>JUJ-011</t>
  </si>
  <si>
    <t>JUJ-012</t>
  </si>
  <si>
    <t>JUJ-013</t>
  </si>
  <si>
    <t>JUJ-014</t>
  </si>
  <si>
    <t>JUJ-015</t>
  </si>
  <si>
    <t>JUJ-023</t>
  </si>
  <si>
    <t>JUJ-026</t>
  </si>
  <si>
    <t>JUJ-027</t>
  </si>
  <si>
    <t>SU-BALDE-583027</t>
  </si>
  <si>
    <t>EC-16340030830</t>
  </si>
  <si>
    <t>EC-C022000010</t>
  </si>
  <si>
    <t>EC-A514000180</t>
  </si>
  <si>
    <t>IH-001</t>
  </si>
  <si>
    <t>B999</t>
  </si>
  <si>
    <t>Z655PO</t>
  </si>
  <si>
    <t>Z655PFM</t>
  </si>
  <si>
    <t>B200</t>
  </si>
  <si>
    <t>B300</t>
  </si>
  <si>
    <t>B555</t>
  </si>
  <si>
    <t>BLK751</t>
  </si>
  <si>
    <t>BLK752</t>
  </si>
  <si>
    <t>BR4000</t>
  </si>
  <si>
    <t>Z13</t>
  </si>
  <si>
    <t>Z130</t>
  </si>
  <si>
    <t>Z14</t>
  </si>
  <si>
    <t>Z14-1</t>
  </si>
  <si>
    <t>Z180</t>
  </si>
  <si>
    <t>Z270</t>
  </si>
  <si>
    <t>Z555</t>
  </si>
  <si>
    <t>Z555P</t>
  </si>
  <si>
    <t>Z555P2</t>
  </si>
  <si>
    <t>B1100L</t>
  </si>
  <si>
    <t>B1010L</t>
  </si>
  <si>
    <t>Z555PR</t>
  </si>
  <si>
    <t>Z-HEAD</t>
  </si>
  <si>
    <t>Z550</t>
  </si>
  <si>
    <t>B175</t>
  </si>
  <si>
    <t>BSHARP</t>
  </si>
  <si>
    <t>A32A</t>
  </si>
  <si>
    <t>B88T</t>
  </si>
  <si>
    <t>BLK730</t>
  </si>
  <si>
    <t>BLK727</t>
  </si>
  <si>
    <t>FALTANTES COMPRAS LOCALES</t>
  </si>
  <si>
    <t>SUKAMPO FALTANTE COMPRAS LOCALES</t>
  </si>
  <si>
    <t>SUKAMPO BODEGAS MAQUINAS USADAS</t>
  </si>
  <si>
    <t>MAQUINAS USADAS SUKAMPO</t>
  </si>
  <si>
    <t>EC-91116</t>
  </si>
  <si>
    <t>EC-20091603210</t>
  </si>
  <si>
    <t>PROC-012</t>
  </si>
  <si>
    <t>HOND-1017143</t>
  </si>
  <si>
    <t>HOND-1019759</t>
  </si>
  <si>
    <t>EC-35121005560</t>
  </si>
  <si>
    <t>AGROTA</t>
  </si>
  <si>
    <t>EC-10024255930</t>
  </si>
  <si>
    <t>EC-13100437632</t>
  </si>
  <si>
    <t>EC-20091006210</t>
  </si>
  <si>
    <t>EC-21003204110</t>
  </si>
  <si>
    <t>EC-21003604110</t>
  </si>
  <si>
    <t>EC-35131128330</t>
  </si>
  <si>
    <t>EC-C040000610</t>
  </si>
  <si>
    <t>EC-C044000881</t>
  </si>
  <si>
    <t>EC-E034000060</t>
  </si>
  <si>
    <t>EC-P004003410</t>
  </si>
  <si>
    <t>EC-P021039510</t>
  </si>
  <si>
    <t>EC-P050009190</t>
  </si>
  <si>
    <t>EC-V495001170</t>
  </si>
  <si>
    <t>EC-V495001200</t>
  </si>
  <si>
    <t>EC-X411001151</t>
  </si>
  <si>
    <t>SUKAMPO</t>
  </si>
  <si>
    <t>B-CAN-002-2</t>
  </si>
  <si>
    <t>B86</t>
  </si>
  <si>
    <t>BMJ-001</t>
  </si>
  <si>
    <t>DSTR-016</t>
  </si>
  <si>
    <t>HOND-1077597</t>
  </si>
  <si>
    <t>SUKAMPO BODEGA TALLER SUCRE</t>
  </si>
  <si>
    <t>SUKAMPO BODEGA REPUESTOS SUCRE</t>
  </si>
  <si>
    <t>CONSIGNACION AGROINSUMOS</t>
  </si>
  <si>
    <t>PRODUCTO TERMINADO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</si>
</sst>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2"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&quot;$&quot;\ #,##0.00"/>
    </dxf>
    <dxf>
      <numFmt numFmtId="164" formatCode="&quot;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Consulta desde ODBC MySQL en AGROTA" backgroundRefresh="0" connectionId="1" autoFormatId="16" applyNumberFormats="0" applyBorderFormats="0" applyFontFormats="0" applyPatternFormats="0" applyAlignmentFormats="0" applyWidthHeightFormats="0">
  <queryTableRefresh nextId="48" unboundColumnsLeft="1">
    <queryTableFields count="18">
      <queryTableField id="12" dataBound="0" tableColumnId="12"/>
      <queryTableField id="30" name="BODEGA" tableColumnId="15"/>
      <queryTableField id="31" name="CODIGO" tableColumnId="16"/>
      <queryTableField id="32" name="COD CATALOGO" tableColumnId="17"/>
      <queryTableField id="33" name="DESCRIPCION" tableColumnId="18"/>
      <queryTableField id="34" name="GRUPO" tableColumnId="19"/>
      <queryTableField id="35" name="LINEA" tableColumnId="20"/>
      <queryTableField id="36" name="INV FISICO" tableColumnId="21"/>
      <queryTableField id="27" dataBound="0" tableColumnId="14"/>
      <queryTableField id="47" dataBound="0" tableColumnId="4"/>
      <queryTableField id="37" name="UNIDAD" tableColumnId="22"/>
      <queryTableField id="38" name="PRECIO" tableColumnId="23"/>
      <queryTableField id="39" name="COSTO" tableColumnId="24"/>
      <queryTableField id="44" dataBound="0" tableColumnId="2"/>
      <queryTableField id="45" dataBound="0" tableColumnId="3"/>
      <queryTableField id="26" dataBound="0" tableColumnId="13"/>
      <queryTableField id="43" dataBound="0" tableColumnId="25"/>
      <queryTableField id="1" name="EmpresasEmpresaProducto" tableColumnId="1"/>
    </queryTableFields>
  </queryTableRefresh>
</queryTable>
</file>

<file path=xl/queryTables/queryTable2.xml><?xml version="1.0" encoding="utf-8"?>
<queryTable xmlns="http://schemas.openxmlformats.org/spreadsheetml/2006/main" name="Consulta desde ODBC MySQL en AGROTA" backgroundRefresh="0" connectionId="2" autoFormatId="16" applyNumberFormats="0" applyBorderFormats="0" applyFontFormats="0" applyPatternFormats="0" applyAlignmentFormats="0" applyWidthHeightFormats="0">
  <queryTableRefresh nextId="5" unboundColumnsRight="1">
    <queryTableFields count="3">
      <queryTableField id="1" name="CodigoEmpresa" tableColumnId="1"/>
      <queryTableField id="2" name="NombreEmpresa" tableColumnId="2"/>
      <queryTableField id="3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reportes en Access" backgroundRefresh="0" connectionId="3" autoFormatId="16" applyNumberFormats="0" applyBorderFormats="0" applyFontFormats="0" applyPatternFormats="0" applyAlignmentFormats="0" applyWidthHeightFormats="0">
  <queryTableRefresh nextId="3">
    <queryTableFields count="1">
      <queryTableField id="2" name="NombreBodega" tableColumnId="2"/>
    </queryTableFields>
  </queryTableRefresh>
</queryTable>
</file>

<file path=xl/queryTables/queryTable4.xml><?xml version="1.0" encoding="utf-8"?>
<queryTable xmlns="http://schemas.openxmlformats.org/spreadsheetml/2006/main" name="Consulta desde reportes en Access" backgroundRefresh="0" connectionId="4" autoFormatId="16" applyNumberFormats="0" applyBorderFormats="0" applyFontFormats="0" applyPatternFormats="0" applyAlignmentFormats="0" applyWidthHeightFormats="0">
  <queryTableRefresh nextId="7" unboundColumnsRight="2">
    <queryTableFields count="5">
      <queryTableField id="1" name="EMPRESA" tableColumnId="1"/>
      <queryTableField id="2" name="CODIGO" tableColumnId="2"/>
      <queryTableField id="6" name="Tránsito" tableColumnId="3"/>
      <queryTableField id="4" dataBound="0" tableColumnId="4"/>
      <queryTableField id="5" dataBound="0" tableColumnId="5"/>
    </queryTableFields>
  </queryTableRefresh>
</queryTable>
</file>

<file path=xl/queryTables/queryTable5.xml><?xml version="1.0" encoding="utf-8"?>
<queryTable xmlns="http://schemas.openxmlformats.org/spreadsheetml/2006/main" name="Consulta desde reportes en Access" backgroundRefresh="0" connectionId="5" autoFormatId="16" applyNumberFormats="0" applyBorderFormats="0" applyFontFormats="0" applyPatternFormats="0" applyAlignmentFormats="0" applyWidthHeightFormats="0">
  <queryTableRefresh nextId="3">
    <queryTableFields count="2">
      <queryTableField id="1" name="EMPRESA" tableColumnId="1"/>
      <queryTableField id="2" name="CODIG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_vexistenciaxproducto" displayName="T_vexistenciaxproducto" ref="A1:R2" tableType="queryTable" insertRow="1" totalsRowShown="0">
  <autoFilter ref="A1:R2"/>
  <tableColumns count="18">
    <tableColumn id="12" uniqueName="12" name="EMPRESA" queryTableFieldId="12" dataDxfId="21">
      <calculatedColumnFormula>VLOOKUP(T_vexistenciaxproducto[[#This Row],[EmpresasEmpresaProducto]],T_Empresas[],3,0)</calculatedColumnFormula>
    </tableColumn>
    <tableColumn id="15" uniqueName="15" name="BODEGA" queryTableFieldId="30" dataDxfId="20"/>
    <tableColumn id="16" uniqueName="16" name="CODIGO" queryTableFieldId="31" dataDxfId="19"/>
    <tableColumn id="17" uniqueName="17" name="COD CATALOGO" queryTableFieldId="32" dataDxfId="18"/>
    <tableColumn id="18" uniqueName="18" name="DESCRIPCION" queryTableFieldId="33" dataDxfId="17"/>
    <tableColumn id="19" uniqueName="19" name="GRUPO" queryTableFieldId="34" dataDxfId="16"/>
    <tableColumn id="20" uniqueName="20" name="LINEA" queryTableFieldId="35" dataDxfId="15"/>
    <tableColumn id="21" uniqueName="21" name="INV FISICO" queryTableFieldId="36" dataDxfId="14"/>
    <tableColumn id="14" uniqueName="14" name="INV TRANSITO" queryTableFieldId="27" dataDxfId="13">
      <calculatedColumnFormula array="1">IF(OR(AND(T_vexistenciaxproducto[[#This Row],[EMPRESA]]="AGROINSUMOS",T_vexistenciaxproducto[[#This Row],[BODEGA]]="MATERIA PRIMA ( BODEGA CUADRADA )"),AND(T_vexistenciaxproducto[[#This Row],[EMPRESA]]="AGROTA",T_vexistenciaxproducto[[#This Row],[BODEGA]]="Bodega Central")),IFERROR(INDEX(#REF!,MATCH(T_vexistenciaxproducto[[#This Row],[EMPRESA]]&amp;T_vexistenciaxproducto[[#This Row],[CODIGO]],T_TránsitoCompras[EMPRESA]&amp;T_TránsitoCompras[CODIGO],0),1),0),0)</calculatedColumnFormula>
    </tableColumn>
    <tableColumn id="4" uniqueName="4" name="TRANSITO" queryTableFieldId="47" dataDxfId="12">
      <calculatedColumnFormula>IF(OR(AND(T_vexistenciaxproducto[[#This Row],[EMPRESA]]="AGROINSUMOS",T_vexistenciaxproducto[[#This Row],[BODEGA]]="MATERIA PRIMA ( BODEGA CUADRADA )"),AND(T_vexistenciaxproducto[[#This Row],[EMPRESA]]="AGROTA",T_vexistenciaxproducto[[#This Row],[BODEGA]]="Bodega Central")),1,0)</calculatedColumnFormula>
    </tableColumn>
    <tableColumn id="22" uniqueName="22" name="UNIDAD" queryTableFieldId="37" dataDxfId="11"/>
    <tableColumn id="23" uniqueName="23" name="PRECIO" queryTableFieldId="38" dataDxfId="10"/>
    <tableColumn id="24" uniqueName="24" name="COSTO" queryTableFieldId="39" dataDxfId="9"/>
    <tableColumn id="2" uniqueName="2" name="TRUPUT UNIT" queryTableFieldId="44" dataDxfId="8">
      <calculatedColumnFormula>T_vexistenciaxproducto[[#This Row],[PRECIO]]-T_vexistenciaxproducto[[#This Row],[COSTO]]</calculatedColumnFormula>
    </tableColumn>
    <tableColumn id="3" uniqueName="3" name="COSTO INV FISICO" queryTableFieldId="45" dataDxfId="7">
      <calculatedColumnFormula>T_vexistenciaxproducto[[#This Row],[COSTO]]*T_vexistenciaxproducto[[#This Row],[INV FISICO]]</calculatedColumnFormula>
    </tableColumn>
    <tableColumn id="13" uniqueName="13" name="BodegaConsolidable" queryTableFieldId="26" dataDxfId="6">
      <calculatedColumnFormula>IF(ISERROR(MATCH(T_vexistenciaxproducto[[#This Row],[BODEGA]],T_BodegasConsolidables[NombreBodega],0)),0,1)</calculatedColumnFormula>
    </tableColumn>
    <tableColumn id="25" uniqueName="25" name="Tipo" queryTableFieldId="43" dataDxfId="5">
      <calculatedColumnFormula>IF(ISERROR(MATCH(T_vexistenciaxproducto[[#This Row],[CODIGO]],T_ItemsUnicosActivosEnBuffers[CODIGO],0)),"H","A")</calculatedColumnFormula>
    </tableColumn>
    <tableColumn id="1" uniqueName="1" name="EmpresasEmpresaProducto" queryTableFieldId="1" dataDxfId="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2" name="T_Empresas" displayName="T_Empresas" ref="A1:C4" tableType="queryTable" totalsRowShown="0">
  <autoFilter ref="A1:C4"/>
  <tableColumns count="3">
    <tableColumn id="1" uniqueName="1" name="CodigoEmpresa" queryTableFieldId="1"/>
    <tableColumn id="2" uniqueName="2" name="NombreEmpresa" queryTableFieldId="2"/>
    <tableColumn id="3" uniqueName="3" name="EMPRESA CAS" queryTableFieldId="3" dataDxfId="3">
      <calculatedColumnFormula>UPPER(LEFT(T_Empresas[[#This Row],[NombreEmpresa]],SEARCH(" ",T_Empresas[[#This Row],[NombreEmpresa]])-1))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3" name="T_BodegasConsolidables" displayName="T_BodegasConsolidables" ref="A1:A41" tableType="queryTable" totalsRowShown="0">
  <autoFilter ref="A1:A41"/>
  <tableColumns count="1">
    <tableColumn id="2" uniqueName="2" name="NombreBodega" queryTableFieldId="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_TránsitoCompras" displayName="T_TránsitoCompras" ref="A1:E258" tableType="queryTable" totalsRowShown="0">
  <autoFilter ref="A1:E258"/>
  <tableColumns count="5">
    <tableColumn id="1" uniqueName="1" name="EMPRESA" queryTableFieldId="1"/>
    <tableColumn id="2" uniqueName="2" name="CODIGO" queryTableFieldId="2"/>
    <tableColumn id="3" uniqueName="3" name="Tránsito" queryTableFieldId="6"/>
    <tableColumn id="4" uniqueName="4" name="Costo" queryTableFieldId="4" dataDxfId="2">
      <calculatedColumnFormula array="1">INDEX(T_vexistenciaxproducto[COSTO],MATCH(T_TránsitoCompras[[#This Row],[EMPRESA]]&amp;T_TránsitoCompras[[#This Row],[CODIGO]],T_vexistenciaxproducto[EMPRESA]&amp;T_vexistenciaxproducto[CODIGO],0),1)</calculatedColumnFormula>
    </tableColumn>
    <tableColumn id="5" uniqueName="5" name="Costo Tránsito" queryTableFieldId="5" dataDxfId="1">
      <calculatedColumnFormula>T_TránsitoCompras[[#This Row],[Tránsito]]
*T_TránsitoCompras[[#This Row],[Costo]]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5" name="T_ItemsUnicosActivosEnBuffers" displayName="T_ItemsUnicosActivosEnBuffers" ref="A1:B2557" tableType="queryTable" totalsRowShown="0">
  <autoFilter ref="A1:B2557"/>
  <tableColumns count="2">
    <tableColumn id="1" uniqueName="1" name="EMPRESA" queryTableFieldId="1"/>
    <tableColumn id="2" uniqueName="2" name="CODIGO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2"/>
  <sheetViews>
    <sheetView showGridLines="0" tabSelected="1" topLeftCell="F1" workbookViewId="0">
      <selection activeCell="F2" sqref="F2:F122607"/>
    </sheetView>
  </sheetViews>
  <sheetFormatPr baseColWidth="10" defaultRowHeight="15" x14ac:dyDescent="0.25"/>
  <cols>
    <col min="1" max="1" width="14.5703125" bestFit="1" customWidth="1"/>
    <col min="2" max="2" width="43.5703125" bestFit="1" customWidth="1"/>
    <col min="3" max="4" width="42" bestFit="1" customWidth="1"/>
    <col min="5" max="5" width="81.140625" bestFit="1" customWidth="1"/>
    <col min="6" max="6" width="59.28515625" bestFit="1" customWidth="1"/>
    <col min="7" max="7" width="25.5703125" bestFit="1" customWidth="1"/>
    <col min="8" max="8" width="12.7109375" bestFit="1" customWidth="1"/>
    <col min="9" max="9" width="15.85546875" bestFit="1" customWidth="1"/>
    <col min="10" max="10" width="12.140625" bestFit="1" customWidth="1"/>
    <col min="11" max="11" width="18.42578125" bestFit="1" customWidth="1"/>
    <col min="12" max="12" width="9.7109375" bestFit="1" customWidth="1"/>
    <col min="13" max="13" width="10.5703125" bestFit="1" customWidth="1"/>
    <col min="14" max="14" width="14.85546875" bestFit="1" customWidth="1"/>
    <col min="15" max="15" width="19.28515625" bestFit="1" customWidth="1"/>
    <col min="16" max="16" width="21.5703125" bestFit="1" customWidth="1"/>
    <col min="17" max="17" width="7.140625" bestFit="1" customWidth="1"/>
    <col min="18" max="18" width="27.5703125" bestFit="1" customWidth="1"/>
    <col min="19" max="19" width="81.140625" bestFit="1" customWidth="1"/>
    <col min="20" max="20" width="59.28515625" bestFit="1" customWidth="1"/>
    <col min="21" max="21" width="15.28515625" bestFit="1" customWidth="1"/>
    <col min="22" max="22" width="31" bestFit="1" customWidth="1"/>
    <col min="23" max="23" width="18.42578125" bestFit="1" customWidth="1"/>
    <col min="24" max="24" width="22.28515625" bestFit="1" customWidth="1"/>
    <col min="25" max="25" width="16.28515625" bestFit="1" customWidth="1"/>
    <col min="26" max="26" width="21.5703125" customWidth="1"/>
    <col min="27" max="27" width="27.85546875" bestFit="1" customWidth="1"/>
    <col min="28" max="28" width="81.140625" bestFit="1" customWidth="1"/>
    <col min="29" max="29" width="22.28515625" bestFit="1" customWidth="1"/>
    <col min="30" max="30" width="16.28515625" bestFit="1" customWidth="1"/>
    <col min="31" max="31" width="27.28515625" bestFit="1" customWidth="1"/>
    <col min="32" max="32" width="31" bestFit="1" customWidth="1"/>
    <col min="33" max="33" width="15.28515625" bestFit="1" customWidth="1"/>
    <col min="34" max="35" width="59.28515625" bestFit="1" customWidth="1"/>
  </cols>
  <sheetData>
    <row r="1" spans="1:18" x14ac:dyDescent="0.25">
      <c r="A1" t="s">
        <v>1535</v>
      </c>
      <c r="B1" t="s">
        <v>1541</v>
      </c>
      <c r="C1" t="s">
        <v>1538</v>
      </c>
      <c r="D1" t="s">
        <v>1542</v>
      </c>
      <c r="E1" t="s">
        <v>1543</v>
      </c>
      <c r="F1" t="s">
        <v>1544</v>
      </c>
      <c r="G1" t="s">
        <v>1545</v>
      </c>
      <c r="H1" t="s">
        <v>1546</v>
      </c>
      <c r="I1" t="s">
        <v>1540</v>
      </c>
      <c r="J1" t="s">
        <v>1555</v>
      </c>
      <c r="K1" t="s">
        <v>1547</v>
      </c>
      <c r="L1" t="s">
        <v>1548</v>
      </c>
      <c r="M1" t="s">
        <v>1549</v>
      </c>
      <c r="N1" t="s">
        <v>1551</v>
      </c>
      <c r="O1" t="s">
        <v>1552</v>
      </c>
      <c r="P1" t="s">
        <v>1537</v>
      </c>
      <c r="Q1" t="s">
        <v>1550</v>
      </c>
      <c r="R1" t="s">
        <v>0</v>
      </c>
    </row>
    <row r="2" spans="1:1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2"/>
      <c r="P2" s="1"/>
      <c r="Q2" s="1"/>
    </row>
  </sheetData>
  <conditionalFormatting sqref="N2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"/>
  <sheetViews>
    <sheetView workbookViewId="0">
      <selection activeCell="B2" sqref="B2"/>
    </sheetView>
  </sheetViews>
  <sheetFormatPr baseColWidth="10" defaultRowHeight="15" x14ac:dyDescent="0.25"/>
  <cols>
    <col min="1" max="1" width="17" bestFit="1" customWidth="1"/>
    <col min="2" max="2" width="20.5703125" bestFit="1" customWidth="1"/>
    <col min="3" max="3" width="15.5703125" bestFit="1" customWidth="1"/>
  </cols>
  <sheetData>
    <row r="1" spans="1:3" x14ac:dyDescent="0.25">
      <c r="A1" t="s">
        <v>1530</v>
      </c>
      <c r="B1" t="s">
        <v>1531</v>
      </c>
      <c r="C1" t="s">
        <v>1539</v>
      </c>
    </row>
    <row r="2" spans="1:3" x14ac:dyDescent="0.25">
      <c r="A2" t="s">
        <v>2</v>
      </c>
      <c r="B2" t="s">
        <v>1532</v>
      </c>
      <c r="C2" s="1" t="str">
        <f>UPPER(LEFT(T_Empresas[[#This Row],[NombreEmpresa]],SEARCH(" ",T_Empresas[[#This Row],[NombreEmpresa]])-1))</f>
        <v>AGROINSUMOS</v>
      </c>
    </row>
    <row r="3" spans="1:3" x14ac:dyDescent="0.25">
      <c r="A3" t="s">
        <v>40</v>
      </c>
      <c r="B3" t="s">
        <v>1533</v>
      </c>
      <c r="C3" s="1" t="str">
        <f>UPPER(LEFT(T_Empresas[[#This Row],[NombreEmpresa]],SEARCH(" ",T_Empresas[[#This Row],[NombreEmpresa]])-1))</f>
        <v>AGROTA</v>
      </c>
    </row>
    <row r="4" spans="1:3" x14ac:dyDescent="0.25">
      <c r="A4" t="s">
        <v>11</v>
      </c>
      <c r="B4" t="s">
        <v>1534</v>
      </c>
      <c r="C4" s="1" t="str">
        <f>UPPER(LEFT(T_Empresas[[#This Row],[NombreEmpresa]],SEARCH(" ",T_Empresas[[#This Row],[NombreEmpresa]])-1))</f>
        <v>SUKAMPO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41"/>
  <sheetViews>
    <sheetView workbookViewId="0">
      <selection activeCell="B11" sqref="B11"/>
    </sheetView>
  </sheetViews>
  <sheetFormatPr baseColWidth="10" defaultRowHeight="15" x14ac:dyDescent="0.25"/>
  <cols>
    <col min="1" max="2" width="43.5703125" bestFit="1" customWidth="1"/>
  </cols>
  <sheetData>
    <row r="1" spans="1:1" x14ac:dyDescent="0.25">
      <c r="A1" t="s">
        <v>1</v>
      </c>
    </row>
    <row r="2" spans="1:1" x14ac:dyDescent="0.25">
      <c r="A2" t="s">
        <v>3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7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8</v>
      </c>
    </row>
    <row r="11" spans="1:1" x14ac:dyDescent="0.25">
      <c r="A11" t="s">
        <v>45</v>
      </c>
    </row>
    <row r="12" spans="1:1" x14ac:dyDescent="0.25">
      <c r="A12" t="s">
        <v>46</v>
      </c>
    </row>
    <row r="13" spans="1:1" x14ac:dyDescent="0.25">
      <c r="A13" t="s">
        <v>12</v>
      </c>
    </row>
    <row r="14" spans="1:1" x14ac:dyDescent="0.25">
      <c r="A14" t="s">
        <v>47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9</v>
      </c>
    </row>
    <row r="18" spans="1:1" x14ac:dyDescent="0.25">
      <c r="A18" t="s">
        <v>10</v>
      </c>
    </row>
    <row r="19" spans="1:1" x14ac:dyDescent="0.25">
      <c r="A19" t="s">
        <v>1672</v>
      </c>
    </row>
    <row r="20" spans="1:1" x14ac:dyDescent="0.25">
      <c r="A20" t="s">
        <v>16</v>
      </c>
    </row>
    <row r="21" spans="1:1" x14ac:dyDescent="0.25">
      <c r="A21" t="s">
        <v>1681</v>
      </c>
    </row>
    <row r="22" spans="1:1" x14ac:dyDescent="0.25">
      <c r="A22" t="s">
        <v>1673</v>
      </c>
    </row>
    <row r="23" spans="1:1" x14ac:dyDescent="0.25">
      <c r="A23" t="s">
        <v>1679</v>
      </c>
    </row>
    <row r="24" spans="1:1" x14ac:dyDescent="0.25">
      <c r="A24" t="s">
        <v>1674</v>
      </c>
    </row>
    <row r="25" spans="1:1" x14ac:dyDescent="0.25">
      <c r="A25" t="s">
        <v>1670</v>
      </c>
    </row>
    <row r="26" spans="1:1" x14ac:dyDescent="0.25">
      <c r="A26" t="s">
        <v>1675</v>
      </c>
    </row>
    <row r="27" spans="1:1" x14ac:dyDescent="0.25">
      <c r="A27" t="s">
        <v>1676</v>
      </c>
    </row>
    <row r="28" spans="1:1" x14ac:dyDescent="0.25">
      <c r="A28" t="s">
        <v>1677</v>
      </c>
    </row>
    <row r="29" spans="1:1" x14ac:dyDescent="0.25">
      <c r="A29" t="s">
        <v>1678</v>
      </c>
    </row>
    <row r="30" spans="1:1" x14ac:dyDescent="0.25">
      <c r="A30" t="s">
        <v>1671</v>
      </c>
    </row>
    <row r="31" spans="1:1" x14ac:dyDescent="0.25">
      <c r="A31" t="s">
        <v>1680</v>
      </c>
    </row>
    <row r="32" spans="1:1" x14ac:dyDescent="0.25">
      <c r="A32" t="s">
        <v>2064</v>
      </c>
    </row>
    <row r="33" spans="1:1" x14ac:dyDescent="0.25">
      <c r="A33" t="s">
        <v>2065</v>
      </c>
    </row>
    <row r="34" spans="1:1" x14ac:dyDescent="0.25">
      <c r="A34" t="s">
        <v>2066</v>
      </c>
    </row>
    <row r="35" spans="1:1" x14ac:dyDescent="0.25">
      <c r="A35" t="s">
        <v>2067</v>
      </c>
    </row>
    <row r="36" spans="1:1" x14ac:dyDescent="0.25">
      <c r="A36" t="s">
        <v>2096</v>
      </c>
    </row>
    <row r="37" spans="1:1" x14ac:dyDescent="0.25">
      <c r="A37" t="s">
        <v>2097</v>
      </c>
    </row>
    <row r="38" spans="1:1" x14ac:dyDescent="0.25">
      <c r="A38" t="s">
        <v>2098</v>
      </c>
    </row>
    <row r="39" spans="1:1" x14ac:dyDescent="0.25">
      <c r="A39" t="s">
        <v>17</v>
      </c>
    </row>
    <row r="40" spans="1:1" x14ac:dyDescent="0.25">
      <c r="A40" t="s">
        <v>4</v>
      </c>
    </row>
    <row r="41" spans="1:1" x14ac:dyDescent="0.25">
      <c r="A41" t="s">
        <v>2099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58"/>
  <sheetViews>
    <sheetView topLeftCell="A621" workbookViewId="0">
      <selection activeCell="D31" sqref="D31"/>
    </sheetView>
  </sheetViews>
  <sheetFormatPr baseColWidth="10" defaultRowHeight="15" x14ac:dyDescent="0.25"/>
  <cols>
    <col min="1" max="1" width="11.7109375" bestFit="1" customWidth="1"/>
    <col min="2" max="2" width="19.140625" bestFit="1" customWidth="1"/>
    <col min="3" max="3" width="10.42578125" bestFit="1" customWidth="1"/>
    <col min="4" max="4" width="9.5703125" bestFit="1" customWidth="1"/>
    <col min="5" max="6" width="15.85546875" bestFit="1" customWidth="1"/>
  </cols>
  <sheetData>
    <row r="1" spans="1:5" x14ac:dyDescent="0.25">
      <c r="A1" t="s">
        <v>1535</v>
      </c>
      <c r="B1" t="s">
        <v>1538</v>
      </c>
      <c r="C1" t="s">
        <v>1667</v>
      </c>
      <c r="D1" t="s">
        <v>1553</v>
      </c>
      <c r="E1" t="s">
        <v>1554</v>
      </c>
    </row>
    <row r="2" spans="1:5" x14ac:dyDescent="0.25">
      <c r="A2" t="s">
        <v>2074</v>
      </c>
      <c r="B2" t="s">
        <v>1560</v>
      </c>
      <c r="C2">
        <v>8</v>
      </c>
      <c r="D2" s="2" t="e">
        <f t="array" ref="D2">INDEX(T_vexistenciaxproducto[COSTO],MATCH(T_TránsitoCompras[[#This Row],[EMPRESA]]&amp;T_TránsitoCompras[[#This Row],[CODIGO]],T_vexistenciaxproducto[EMPRESA]&amp;T_vexistenciaxproducto[CODIGO],0),1)</f>
        <v>#VALUE!</v>
      </c>
      <c r="E2" s="2" t="e">
        <f>T_TránsitoCompras[[#This Row],[Tránsito]]
*T_TránsitoCompras[[#This Row],[Costo]]</f>
        <v>#VALUE!</v>
      </c>
    </row>
    <row r="3" spans="1:5" x14ac:dyDescent="0.25">
      <c r="A3" t="s">
        <v>2074</v>
      </c>
      <c r="B3" t="s">
        <v>1564</v>
      </c>
      <c r="C3">
        <v>6</v>
      </c>
      <c r="D3" s="2" t="e">
        <f t="array" ref="D3">INDEX(T_vexistenciaxproducto[COSTO],MATCH(T_TránsitoCompras[[#This Row],[EMPRESA]]&amp;T_TránsitoCompras[[#This Row],[CODIGO]],T_vexistenciaxproducto[EMPRESA]&amp;T_vexistenciaxproducto[CODIGO],0),1)</f>
        <v>#VALUE!</v>
      </c>
      <c r="E3" s="2" t="e">
        <f>T_TránsitoCompras[[#This Row],[Tránsito]]
*T_TránsitoCompras[[#This Row],[Costo]]</f>
        <v>#VALUE!</v>
      </c>
    </row>
    <row r="4" spans="1:5" x14ac:dyDescent="0.25">
      <c r="A4" t="s">
        <v>2074</v>
      </c>
      <c r="B4" t="s">
        <v>1139</v>
      </c>
      <c r="C4">
        <v>4</v>
      </c>
      <c r="D4" s="2" t="e">
        <f t="array" ref="D4">INDEX(T_vexistenciaxproducto[COSTO],MATCH(T_TránsitoCompras[[#This Row],[EMPRESA]]&amp;T_TránsitoCompras[[#This Row],[CODIGO]],T_vexistenciaxproducto[EMPRESA]&amp;T_vexistenciaxproducto[CODIGO],0),1)</f>
        <v>#VALUE!</v>
      </c>
      <c r="E4" s="2" t="e">
        <f>T_TránsitoCompras[[#This Row],[Tránsito]]
*T_TránsitoCompras[[#This Row],[Costo]]</f>
        <v>#VALUE!</v>
      </c>
    </row>
    <row r="5" spans="1:5" x14ac:dyDescent="0.25">
      <c r="A5" t="s">
        <v>2074</v>
      </c>
      <c r="B5" t="s">
        <v>115</v>
      </c>
      <c r="C5">
        <v>4</v>
      </c>
      <c r="D5" s="2" t="e">
        <f t="array" ref="D5">INDEX(T_vexistenciaxproducto[COSTO],MATCH(T_TránsitoCompras[[#This Row],[EMPRESA]]&amp;T_TránsitoCompras[[#This Row],[CODIGO]],T_vexistenciaxproducto[EMPRESA]&amp;T_vexistenciaxproducto[CODIGO],0),1)</f>
        <v>#VALUE!</v>
      </c>
      <c r="E5" s="2" t="e">
        <f>T_TránsitoCompras[[#This Row],[Tránsito]]
*T_TránsitoCompras[[#This Row],[Costo]]</f>
        <v>#VALUE!</v>
      </c>
    </row>
    <row r="6" spans="1:5" x14ac:dyDescent="0.25">
      <c r="A6" t="s">
        <v>2074</v>
      </c>
      <c r="B6" t="s">
        <v>116</v>
      </c>
      <c r="C6">
        <v>6</v>
      </c>
      <c r="D6" s="2" t="e">
        <f t="array" ref="D6">INDEX(T_vexistenciaxproducto[COSTO],MATCH(T_TránsitoCompras[[#This Row],[EMPRESA]]&amp;T_TránsitoCompras[[#This Row],[CODIGO]],T_vexistenciaxproducto[EMPRESA]&amp;T_vexistenciaxproducto[CODIGO],0),1)</f>
        <v>#VALUE!</v>
      </c>
      <c r="E6" s="2" t="e">
        <f>T_TránsitoCompras[[#This Row],[Tránsito]]
*T_TránsitoCompras[[#This Row],[Costo]]</f>
        <v>#VALUE!</v>
      </c>
    </row>
    <row r="7" spans="1:5" x14ac:dyDescent="0.25">
      <c r="A7" t="s">
        <v>2074</v>
      </c>
      <c r="B7" t="s">
        <v>1566</v>
      </c>
      <c r="C7">
        <v>5</v>
      </c>
      <c r="D7" s="2" t="e">
        <f t="array" ref="D7">INDEX(T_vexistenciaxproducto[COSTO],MATCH(T_TránsitoCompras[[#This Row],[EMPRESA]]&amp;T_TránsitoCompras[[#This Row],[CODIGO]],T_vexistenciaxproducto[EMPRESA]&amp;T_vexistenciaxproducto[CODIGO],0),1)</f>
        <v>#VALUE!</v>
      </c>
      <c r="E7" s="2" t="e">
        <f>T_TránsitoCompras[[#This Row],[Tránsito]]
*T_TránsitoCompras[[#This Row],[Costo]]</f>
        <v>#VALUE!</v>
      </c>
    </row>
    <row r="8" spans="1:5" x14ac:dyDescent="0.25">
      <c r="A8" t="s">
        <v>2074</v>
      </c>
      <c r="B8" t="s">
        <v>801</v>
      </c>
      <c r="C8">
        <v>2</v>
      </c>
      <c r="D8" s="2" t="e">
        <f t="array" ref="D8">INDEX(T_vexistenciaxproducto[COSTO],MATCH(T_TránsitoCompras[[#This Row],[EMPRESA]]&amp;T_TránsitoCompras[[#This Row],[CODIGO]],T_vexistenciaxproducto[EMPRESA]&amp;T_vexistenciaxproducto[CODIGO],0),1)</f>
        <v>#VALUE!</v>
      </c>
      <c r="E8" s="2" t="e">
        <f>T_TránsitoCompras[[#This Row],[Tránsito]]
*T_TránsitoCompras[[#This Row],[Costo]]</f>
        <v>#VALUE!</v>
      </c>
    </row>
    <row r="9" spans="1:5" x14ac:dyDescent="0.25">
      <c r="A9" t="s">
        <v>2074</v>
      </c>
      <c r="B9" t="s">
        <v>1567</v>
      </c>
      <c r="C9">
        <v>6</v>
      </c>
      <c r="D9" s="2" t="e">
        <f t="array" ref="D9">INDEX(T_vexistenciaxproducto[COSTO],MATCH(T_TránsitoCompras[[#This Row],[EMPRESA]]&amp;T_TránsitoCompras[[#This Row],[CODIGO]],T_vexistenciaxproducto[EMPRESA]&amp;T_vexistenciaxproducto[CODIGO],0),1)</f>
        <v>#VALUE!</v>
      </c>
      <c r="E9" s="2" t="e">
        <f>T_TránsitoCompras[[#This Row],[Tránsito]]
*T_TránsitoCompras[[#This Row],[Costo]]</f>
        <v>#VALUE!</v>
      </c>
    </row>
    <row r="10" spans="1:5" x14ac:dyDescent="0.25">
      <c r="A10" t="s">
        <v>2074</v>
      </c>
      <c r="B10" t="s">
        <v>1230</v>
      </c>
      <c r="C10">
        <v>40</v>
      </c>
      <c r="D10" s="2" t="e">
        <f t="array" ref="D10">INDEX(T_vexistenciaxproducto[COSTO],MATCH(T_TránsitoCompras[[#This Row],[EMPRESA]]&amp;T_TránsitoCompras[[#This Row],[CODIGO]],T_vexistenciaxproducto[EMPRESA]&amp;T_vexistenciaxproducto[CODIGO],0),1)</f>
        <v>#VALUE!</v>
      </c>
      <c r="E10" s="2" t="e">
        <f>T_TránsitoCompras[[#This Row],[Tránsito]]
*T_TránsitoCompras[[#This Row],[Costo]]</f>
        <v>#VALUE!</v>
      </c>
    </row>
    <row r="11" spans="1:5" x14ac:dyDescent="0.25">
      <c r="A11" t="s">
        <v>2074</v>
      </c>
      <c r="B11" t="s">
        <v>140</v>
      </c>
      <c r="C11">
        <v>10</v>
      </c>
      <c r="D11" s="2" t="e">
        <f t="array" ref="D11">INDEX(T_vexistenciaxproducto[COSTO],MATCH(T_TránsitoCompras[[#This Row],[EMPRESA]]&amp;T_TránsitoCompras[[#This Row],[CODIGO]],T_vexistenciaxproducto[EMPRESA]&amp;T_vexistenciaxproducto[CODIGO],0),1)</f>
        <v>#VALUE!</v>
      </c>
      <c r="E11" s="2" t="e">
        <f>T_TránsitoCompras[[#This Row],[Tránsito]]
*T_TránsitoCompras[[#This Row],[Costo]]</f>
        <v>#VALUE!</v>
      </c>
    </row>
    <row r="12" spans="1:5" x14ac:dyDescent="0.25">
      <c r="A12" t="s">
        <v>2074</v>
      </c>
      <c r="B12" t="s">
        <v>361</v>
      </c>
      <c r="C12">
        <v>70</v>
      </c>
      <c r="D12" s="2" t="e">
        <f t="array" ref="D12">INDEX(T_vexistenciaxproducto[COSTO],MATCH(T_TránsitoCompras[[#This Row],[EMPRESA]]&amp;T_TránsitoCompras[[#This Row],[CODIGO]],T_vexistenciaxproducto[EMPRESA]&amp;T_vexistenciaxproducto[CODIGO],0),1)</f>
        <v>#VALUE!</v>
      </c>
      <c r="E12" s="2" t="e">
        <f>T_TránsitoCompras[[#This Row],[Tránsito]]
*T_TránsitoCompras[[#This Row],[Costo]]</f>
        <v>#VALUE!</v>
      </c>
    </row>
    <row r="13" spans="1:5" x14ac:dyDescent="0.25">
      <c r="A13" t="s">
        <v>2074</v>
      </c>
      <c r="B13" t="s">
        <v>1353</v>
      </c>
      <c r="C13">
        <v>12</v>
      </c>
      <c r="D13" s="2" t="e">
        <f t="array" ref="D13">INDEX(T_vexistenciaxproducto[COSTO],MATCH(T_TránsitoCompras[[#This Row],[EMPRESA]]&amp;T_TránsitoCompras[[#This Row],[CODIGO]],T_vexistenciaxproducto[EMPRESA]&amp;T_vexistenciaxproducto[CODIGO],0),1)</f>
        <v>#VALUE!</v>
      </c>
      <c r="E13" s="2" t="e">
        <f>T_TránsitoCompras[[#This Row],[Tránsito]]
*T_TránsitoCompras[[#This Row],[Costo]]</f>
        <v>#VALUE!</v>
      </c>
    </row>
    <row r="14" spans="1:5" x14ac:dyDescent="0.25">
      <c r="A14" t="s">
        <v>2074</v>
      </c>
      <c r="B14" t="s">
        <v>1140</v>
      </c>
      <c r="C14">
        <v>8</v>
      </c>
      <c r="D14" s="2" t="e">
        <f t="array" ref="D14">INDEX(T_vexistenciaxproducto[COSTO],MATCH(T_TránsitoCompras[[#This Row],[EMPRESA]]&amp;T_TránsitoCompras[[#This Row],[CODIGO]],T_vexistenciaxproducto[EMPRESA]&amp;T_vexistenciaxproducto[CODIGO],0),1)</f>
        <v>#VALUE!</v>
      </c>
      <c r="E14" s="2" t="e">
        <f>T_TránsitoCompras[[#This Row],[Tránsito]]
*T_TránsitoCompras[[#This Row],[Costo]]</f>
        <v>#VALUE!</v>
      </c>
    </row>
    <row r="15" spans="1:5" x14ac:dyDescent="0.25">
      <c r="A15" t="s">
        <v>2074</v>
      </c>
      <c r="B15" t="s">
        <v>161</v>
      </c>
      <c r="C15">
        <v>30</v>
      </c>
      <c r="D15" s="2" t="e">
        <f t="array" ref="D15">INDEX(T_vexistenciaxproducto[COSTO],MATCH(T_TránsitoCompras[[#This Row],[EMPRESA]]&amp;T_TránsitoCompras[[#This Row],[CODIGO]],T_vexistenciaxproducto[EMPRESA]&amp;T_vexistenciaxproducto[CODIGO],0),1)</f>
        <v>#VALUE!</v>
      </c>
      <c r="E15" s="2" t="e">
        <f>T_TránsitoCompras[[#This Row],[Tránsito]]
*T_TránsitoCompras[[#This Row],[Costo]]</f>
        <v>#VALUE!</v>
      </c>
    </row>
    <row r="16" spans="1:5" x14ac:dyDescent="0.25">
      <c r="A16" t="s">
        <v>2074</v>
      </c>
      <c r="B16" t="s">
        <v>165</v>
      </c>
      <c r="C16">
        <v>5</v>
      </c>
      <c r="D16" s="2" t="e">
        <f t="array" ref="D16">INDEX(T_vexistenciaxproducto[COSTO],MATCH(T_TránsitoCompras[[#This Row],[EMPRESA]]&amp;T_TránsitoCompras[[#This Row],[CODIGO]],T_vexistenciaxproducto[EMPRESA]&amp;T_vexistenciaxproducto[CODIGO],0),1)</f>
        <v>#VALUE!</v>
      </c>
      <c r="E16" s="2" t="e">
        <f>T_TránsitoCompras[[#This Row],[Tránsito]]
*T_TránsitoCompras[[#This Row],[Costo]]</f>
        <v>#VALUE!</v>
      </c>
    </row>
    <row r="17" spans="1:5" x14ac:dyDescent="0.25">
      <c r="A17" t="s">
        <v>2074</v>
      </c>
      <c r="B17" t="s">
        <v>167</v>
      </c>
      <c r="C17">
        <v>2</v>
      </c>
      <c r="D17" s="2" t="e">
        <f t="array" ref="D17">INDEX(T_vexistenciaxproducto[COSTO],MATCH(T_TránsitoCompras[[#This Row],[EMPRESA]]&amp;T_TránsitoCompras[[#This Row],[CODIGO]],T_vexistenciaxproducto[EMPRESA]&amp;T_vexistenciaxproducto[CODIGO],0),1)</f>
        <v>#VALUE!</v>
      </c>
      <c r="E17" s="2" t="e">
        <f>T_TránsitoCompras[[#This Row],[Tránsito]]
*T_TránsitoCompras[[#This Row],[Costo]]</f>
        <v>#VALUE!</v>
      </c>
    </row>
    <row r="18" spans="1:5" x14ac:dyDescent="0.25">
      <c r="A18" t="s">
        <v>2074</v>
      </c>
      <c r="B18" t="s">
        <v>1693</v>
      </c>
      <c r="C18">
        <v>4</v>
      </c>
      <c r="D18" s="2" t="e">
        <f t="array" ref="D18">INDEX(T_vexistenciaxproducto[COSTO],MATCH(T_TránsitoCompras[[#This Row],[EMPRESA]]&amp;T_TránsitoCompras[[#This Row],[CODIGO]],T_vexistenciaxproducto[EMPRESA]&amp;T_vexistenciaxproducto[CODIGO],0),1)</f>
        <v>#VALUE!</v>
      </c>
      <c r="E18" s="2" t="e">
        <f>T_TránsitoCompras[[#This Row],[Tránsito]]
*T_TránsitoCompras[[#This Row],[Costo]]</f>
        <v>#VALUE!</v>
      </c>
    </row>
    <row r="19" spans="1:5" x14ac:dyDescent="0.25">
      <c r="A19" t="s">
        <v>2074</v>
      </c>
      <c r="B19" t="s">
        <v>172</v>
      </c>
      <c r="C19">
        <v>1</v>
      </c>
      <c r="D19" s="2" t="e">
        <f t="array" ref="D19">INDEX(T_vexistenciaxproducto[COSTO],MATCH(T_TránsitoCompras[[#This Row],[EMPRESA]]&amp;T_TránsitoCompras[[#This Row],[CODIGO]],T_vexistenciaxproducto[EMPRESA]&amp;T_vexistenciaxproducto[CODIGO],0),1)</f>
        <v>#VALUE!</v>
      </c>
      <c r="E19" s="2" t="e">
        <f>T_TránsitoCompras[[#This Row],[Tránsito]]
*T_TránsitoCompras[[#This Row],[Costo]]</f>
        <v>#VALUE!</v>
      </c>
    </row>
    <row r="20" spans="1:5" x14ac:dyDescent="0.25">
      <c r="A20" t="s">
        <v>2074</v>
      </c>
      <c r="B20" t="s">
        <v>1572</v>
      </c>
      <c r="C20">
        <v>2</v>
      </c>
      <c r="D20" s="2" t="e">
        <f t="array" ref="D20">INDEX(T_vexistenciaxproducto[COSTO],MATCH(T_TránsitoCompras[[#This Row],[EMPRESA]]&amp;T_TránsitoCompras[[#This Row],[CODIGO]],T_vexistenciaxproducto[EMPRESA]&amp;T_vexistenciaxproducto[CODIGO],0),1)</f>
        <v>#VALUE!</v>
      </c>
      <c r="E20" s="2" t="e">
        <f>T_TránsitoCompras[[#This Row],[Tránsito]]
*T_TránsitoCompras[[#This Row],[Costo]]</f>
        <v>#VALUE!</v>
      </c>
    </row>
    <row r="21" spans="1:5" x14ac:dyDescent="0.25">
      <c r="A21" t="s">
        <v>2074</v>
      </c>
      <c r="B21" t="s">
        <v>216</v>
      </c>
      <c r="C21">
        <v>2</v>
      </c>
      <c r="D21" s="2" t="e">
        <f t="array" ref="D21">INDEX(T_vexistenciaxproducto[COSTO],MATCH(T_TránsitoCompras[[#This Row],[EMPRESA]]&amp;T_TránsitoCompras[[#This Row],[CODIGO]],T_vexistenciaxproducto[EMPRESA]&amp;T_vexistenciaxproducto[CODIGO],0),1)</f>
        <v>#VALUE!</v>
      </c>
      <c r="E21" s="2" t="e">
        <f>T_TránsitoCompras[[#This Row],[Tránsito]]
*T_TránsitoCompras[[#This Row],[Costo]]</f>
        <v>#VALUE!</v>
      </c>
    </row>
    <row r="22" spans="1:5" x14ac:dyDescent="0.25">
      <c r="A22" t="s">
        <v>2074</v>
      </c>
      <c r="B22" t="s">
        <v>180</v>
      </c>
      <c r="C22">
        <v>5</v>
      </c>
      <c r="D22" s="2" t="e">
        <f t="array" ref="D22">INDEX(T_vexistenciaxproducto[COSTO],MATCH(T_TránsitoCompras[[#This Row],[EMPRESA]]&amp;T_TránsitoCompras[[#This Row],[CODIGO]],T_vexistenciaxproducto[EMPRESA]&amp;T_vexistenciaxproducto[CODIGO],0),1)</f>
        <v>#VALUE!</v>
      </c>
      <c r="E22" s="2" t="e">
        <f>T_TránsitoCompras[[#This Row],[Tránsito]]
*T_TránsitoCompras[[#This Row],[Costo]]</f>
        <v>#VALUE!</v>
      </c>
    </row>
    <row r="23" spans="1:5" x14ac:dyDescent="0.25">
      <c r="A23" t="s">
        <v>2074</v>
      </c>
      <c r="B23" t="s">
        <v>374</v>
      </c>
      <c r="C23">
        <v>5</v>
      </c>
      <c r="D23" s="2" t="e">
        <f t="array" ref="D23">INDEX(T_vexistenciaxproducto[COSTO],MATCH(T_TránsitoCompras[[#This Row],[EMPRESA]]&amp;T_TránsitoCompras[[#This Row],[CODIGO]],T_vexistenciaxproducto[EMPRESA]&amp;T_vexistenciaxproducto[CODIGO],0),1)</f>
        <v>#VALUE!</v>
      </c>
      <c r="E23" s="2" t="e">
        <f>T_TránsitoCompras[[#This Row],[Tránsito]]
*T_TránsitoCompras[[#This Row],[Costo]]</f>
        <v>#VALUE!</v>
      </c>
    </row>
    <row r="24" spans="1:5" x14ac:dyDescent="0.25">
      <c r="A24" t="s">
        <v>2074</v>
      </c>
      <c r="B24" t="s">
        <v>403</v>
      </c>
      <c r="C24">
        <v>10</v>
      </c>
      <c r="D24" s="2" t="e">
        <f t="array" ref="D24">INDEX(T_vexistenciaxproducto[COSTO],MATCH(T_TránsitoCompras[[#This Row],[EMPRESA]]&amp;T_TránsitoCompras[[#This Row],[CODIGO]],T_vexistenciaxproducto[EMPRESA]&amp;T_vexistenciaxproducto[CODIGO],0),1)</f>
        <v>#VALUE!</v>
      </c>
      <c r="E24" s="2" t="e">
        <f>T_TránsitoCompras[[#This Row],[Tránsito]]
*T_TránsitoCompras[[#This Row],[Costo]]</f>
        <v>#VALUE!</v>
      </c>
    </row>
    <row r="25" spans="1:5" x14ac:dyDescent="0.25">
      <c r="A25" t="s">
        <v>2074</v>
      </c>
      <c r="B25" t="s">
        <v>184</v>
      </c>
      <c r="C25">
        <v>15</v>
      </c>
      <c r="D25" s="2" t="e">
        <f t="array" ref="D25">INDEX(T_vexistenciaxproducto[COSTO],MATCH(T_TránsitoCompras[[#This Row],[EMPRESA]]&amp;T_TránsitoCompras[[#This Row],[CODIGO]],T_vexistenciaxproducto[EMPRESA]&amp;T_vexistenciaxproducto[CODIGO],0),1)</f>
        <v>#VALUE!</v>
      </c>
      <c r="E25" s="2" t="e">
        <f>T_TránsitoCompras[[#This Row],[Tránsito]]
*T_TránsitoCompras[[#This Row],[Costo]]</f>
        <v>#VALUE!</v>
      </c>
    </row>
    <row r="26" spans="1:5" x14ac:dyDescent="0.25">
      <c r="A26" t="s">
        <v>2074</v>
      </c>
      <c r="B26" t="s">
        <v>185</v>
      </c>
      <c r="C26">
        <v>15</v>
      </c>
      <c r="D26" s="2" t="e">
        <f t="array" ref="D26">INDEX(T_vexistenciaxproducto[COSTO],MATCH(T_TránsitoCompras[[#This Row],[EMPRESA]]&amp;T_TránsitoCompras[[#This Row],[CODIGO]],T_vexistenciaxproducto[EMPRESA]&amp;T_vexistenciaxproducto[CODIGO],0),1)</f>
        <v>#VALUE!</v>
      </c>
      <c r="E26" s="2" t="e">
        <f>T_TránsitoCompras[[#This Row],[Tránsito]]
*T_TránsitoCompras[[#This Row],[Costo]]</f>
        <v>#VALUE!</v>
      </c>
    </row>
    <row r="27" spans="1:5" x14ac:dyDescent="0.25">
      <c r="A27" t="s">
        <v>2074</v>
      </c>
      <c r="B27" t="s">
        <v>193</v>
      </c>
      <c r="C27">
        <v>2</v>
      </c>
      <c r="D27" s="2" t="e">
        <f t="array" ref="D27">INDEX(T_vexistenciaxproducto[COSTO],MATCH(T_TránsitoCompras[[#This Row],[EMPRESA]]&amp;T_TránsitoCompras[[#This Row],[CODIGO]],T_vexistenciaxproducto[EMPRESA]&amp;T_vexistenciaxproducto[CODIGO],0),1)</f>
        <v>#VALUE!</v>
      </c>
      <c r="E27" s="2" t="e">
        <f>T_TránsitoCompras[[#This Row],[Tránsito]]
*T_TránsitoCompras[[#This Row],[Costo]]</f>
        <v>#VALUE!</v>
      </c>
    </row>
    <row r="28" spans="1:5" x14ac:dyDescent="0.25">
      <c r="A28" t="s">
        <v>2074</v>
      </c>
      <c r="B28" t="s">
        <v>470</v>
      </c>
      <c r="C28">
        <v>14</v>
      </c>
      <c r="D28" s="2" t="e">
        <f t="array" ref="D28">INDEX(T_vexistenciaxproducto[COSTO],MATCH(T_TránsitoCompras[[#This Row],[EMPRESA]]&amp;T_TránsitoCompras[[#This Row],[CODIGO]],T_vexistenciaxproducto[EMPRESA]&amp;T_vexistenciaxproducto[CODIGO],0),1)</f>
        <v>#VALUE!</v>
      </c>
      <c r="E28" s="2" t="e">
        <f>T_TránsitoCompras[[#This Row],[Tránsito]]
*T_TránsitoCompras[[#This Row],[Costo]]</f>
        <v>#VALUE!</v>
      </c>
    </row>
    <row r="29" spans="1:5" x14ac:dyDescent="0.25">
      <c r="A29" t="s">
        <v>2074</v>
      </c>
      <c r="B29" t="s">
        <v>1406</v>
      </c>
      <c r="C29">
        <v>10</v>
      </c>
      <c r="D29" s="2" t="e">
        <f t="array" ref="D29">INDEX(T_vexistenciaxproducto[COSTO],MATCH(T_TránsitoCompras[[#This Row],[EMPRESA]]&amp;T_TránsitoCompras[[#This Row],[CODIGO]],T_vexistenciaxproducto[EMPRESA]&amp;T_vexistenciaxproducto[CODIGO],0),1)</f>
        <v>#VALUE!</v>
      </c>
      <c r="E29" s="2" t="e">
        <f>T_TránsitoCompras[[#This Row],[Tránsito]]
*T_TránsitoCompras[[#This Row],[Costo]]</f>
        <v>#VALUE!</v>
      </c>
    </row>
    <row r="30" spans="1:5" x14ac:dyDescent="0.25">
      <c r="A30" t="s">
        <v>2074</v>
      </c>
      <c r="B30" t="s">
        <v>473</v>
      </c>
      <c r="C30">
        <v>4</v>
      </c>
      <c r="D30" s="2" t="e">
        <f t="array" ref="D30">INDEX(T_vexistenciaxproducto[COSTO],MATCH(T_TránsitoCompras[[#This Row],[EMPRESA]]&amp;T_TránsitoCompras[[#This Row],[CODIGO]],T_vexistenciaxproducto[EMPRESA]&amp;T_vexistenciaxproducto[CODIGO],0),1)</f>
        <v>#VALUE!</v>
      </c>
      <c r="E30" s="2" t="e">
        <f>T_TránsitoCompras[[#This Row],[Tránsito]]
*T_TránsitoCompras[[#This Row],[Costo]]</f>
        <v>#VALUE!</v>
      </c>
    </row>
    <row r="31" spans="1:5" x14ac:dyDescent="0.25">
      <c r="A31" t="s">
        <v>2074</v>
      </c>
      <c r="B31" t="s">
        <v>437</v>
      </c>
      <c r="C31">
        <v>15</v>
      </c>
      <c r="D31" s="2" t="e">
        <f t="array" ref="D31">INDEX(T_vexistenciaxproducto[COSTO],MATCH(T_TránsitoCompras[[#This Row],[EMPRESA]]&amp;T_TránsitoCompras[[#This Row],[CODIGO]],T_vexistenciaxproducto[EMPRESA]&amp;T_vexistenciaxproducto[CODIGO],0),1)</f>
        <v>#VALUE!</v>
      </c>
      <c r="E31" s="2" t="e">
        <f>T_TránsitoCompras[[#This Row],[Tránsito]]
*T_TránsitoCompras[[#This Row],[Costo]]</f>
        <v>#VALUE!</v>
      </c>
    </row>
    <row r="32" spans="1:5" x14ac:dyDescent="0.25">
      <c r="A32" t="s">
        <v>2074</v>
      </c>
      <c r="B32" t="s">
        <v>204</v>
      </c>
      <c r="C32">
        <v>60</v>
      </c>
      <c r="D32" s="2" t="e">
        <f t="array" ref="D32">INDEX(T_vexistenciaxproducto[COSTO],MATCH(T_TránsitoCompras[[#This Row],[EMPRESA]]&amp;T_TránsitoCompras[[#This Row],[CODIGO]],T_vexistenciaxproducto[EMPRESA]&amp;T_vexistenciaxproducto[CODIGO],0),1)</f>
        <v>#VALUE!</v>
      </c>
      <c r="E32" s="2" t="e">
        <f>T_TránsitoCompras[[#This Row],[Tránsito]]
*T_TránsitoCompras[[#This Row],[Costo]]</f>
        <v>#VALUE!</v>
      </c>
    </row>
    <row r="33" spans="1:5" x14ac:dyDescent="0.25">
      <c r="A33" t="s">
        <v>2074</v>
      </c>
      <c r="B33" t="s">
        <v>205</v>
      </c>
      <c r="C33">
        <v>5</v>
      </c>
      <c r="D33" s="2" t="e">
        <f t="array" ref="D33">INDEX(T_vexistenciaxproducto[COSTO],MATCH(T_TránsitoCompras[[#This Row],[EMPRESA]]&amp;T_TránsitoCompras[[#This Row],[CODIGO]],T_vexistenciaxproducto[EMPRESA]&amp;T_vexistenciaxproducto[CODIGO],0),1)</f>
        <v>#VALUE!</v>
      </c>
      <c r="E33" s="2" t="e">
        <f>T_TránsitoCompras[[#This Row],[Tránsito]]
*T_TránsitoCompras[[#This Row],[Costo]]</f>
        <v>#VALUE!</v>
      </c>
    </row>
    <row r="34" spans="1:5" x14ac:dyDescent="0.25">
      <c r="A34" t="s">
        <v>2074</v>
      </c>
      <c r="B34" t="s">
        <v>1407</v>
      </c>
      <c r="C34">
        <v>5</v>
      </c>
      <c r="D34" s="2" t="e">
        <f t="array" ref="D34">INDEX(T_vexistenciaxproducto[COSTO],MATCH(T_TránsitoCompras[[#This Row],[EMPRESA]]&amp;T_TránsitoCompras[[#This Row],[CODIGO]],T_vexistenciaxproducto[EMPRESA]&amp;T_vexistenciaxproducto[CODIGO],0),1)</f>
        <v>#VALUE!</v>
      </c>
      <c r="E34" s="2" t="e">
        <f>T_TránsitoCompras[[#This Row],[Tránsito]]
*T_TránsitoCompras[[#This Row],[Costo]]</f>
        <v>#VALUE!</v>
      </c>
    </row>
    <row r="35" spans="1:5" x14ac:dyDescent="0.25">
      <c r="A35" t="s">
        <v>2074</v>
      </c>
      <c r="B35" t="s">
        <v>475</v>
      </c>
      <c r="C35">
        <v>4</v>
      </c>
      <c r="D35" s="2" t="e">
        <f t="array" ref="D35">INDEX(T_vexistenciaxproducto[COSTO],MATCH(T_TránsitoCompras[[#This Row],[EMPRESA]]&amp;T_TránsitoCompras[[#This Row],[CODIGO]],T_vexistenciaxproducto[EMPRESA]&amp;T_vexistenciaxproducto[CODIGO],0),1)</f>
        <v>#VALUE!</v>
      </c>
      <c r="E35" s="2" t="e">
        <f>T_TránsitoCompras[[#This Row],[Tránsito]]
*T_TránsitoCompras[[#This Row],[Costo]]</f>
        <v>#VALUE!</v>
      </c>
    </row>
    <row r="36" spans="1:5" x14ac:dyDescent="0.25">
      <c r="A36" t="s">
        <v>2074</v>
      </c>
      <c r="B36" t="s">
        <v>368</v>
      </c>
      <c r="C36">
        <v>25</v>
      </c>
      <c r="D36" s="2" t="e">
        <f t="array" ref="D36">INDEX(T_vexistenciaxproducto[COSTO],MATCH(T_TránsitoCompras[[#This Row],[EMPRESA]]&amp;T_TránsitoCompras[[#This Row],[CODIGO]],T_vexistenciaxproducto[EMPRESA]&amp;T_vexistenciaxproducto[CODIGO],0),1)</f>
        <v>#VALUE!</v>
      </c>
      <c r="E36" s="2" t="e">
        <f>T_TránsitoCompras[[#This Row],[Tránsito]]
*T_TránsitoCompras[[#This Row],[Costo]]</f>
        <v>#VALUE!</v>
      </c>
    </row>
    <row r="37" spans="1:5" x14ac:dyDescent="0.25">
      <c r="A37" t="s">
        <v>2074</v>
      </c>
      <c r="B37" t="s">
        <v>1574</v>
      </c>
      <c r="C37">
        <v>2</v>
      </c>
      <c r="D37" s="2" t="e">
        <f t="array" ref="D37">INDEX(T_vexistenciaxproducto[COSTO],MATCH(T_TránsitoCompras[[#This Row],[EMPRESA]]&amp;T_TránsitoCompras[[#This Row],[CODIGO]],T_vexistenciaxproducto[EMPRESA]&amp;T_vexistenciaxproducto[CODIGO],0),1)</f>
        <v>#VALUE!</v>
      </c>
      <c r="E37" s="2" t="e">
        <f>T_TránsitoCompras[[#This Row],[Tránsito]]
*T_TránsitoCompras[[#This Row],[Costo]]</f>
        <v>#VALUE!</v>
      </c>
    </row>
    <row r="38" spans="1:5" x14ac:dyDescent="0.25">
      <c r="A38" t="s">
        <v>2074</v>
      </c>
      <c r="B38" t="s">
        <v>2077</v>
      </c>
      <c r="C38">
        <v>6</v>
      </c>
      <c r="D38" s="2" t="e">
        <f t="array" ref="D38">INDEX(T_vexistenciaxproducto[COSTO],MATCH(T_TránsitoCompras[[#This Row],[EMPRESA]]&amp;T_TránsitoCompras[[#This Row],[CODIGO]],T_vexistenciaxproducto[EMPRESA]&amp;T_vexistenciaxproducto[CODIGO],0),1)</f>
        <v>#VALUE!</v>
      </c>
      <c r="E38" s="2" t="e">
        <f>T_TránsitoCompras[[#This Row],[Tránsito]]
*T_TránsitoCompras[[#This Row],[Costo]]</f>
        <v>#VALUE!</v>
      </c>
    </row>
    <row r="39" spans="1:5" x14ac:dyDescent="0.25">
      <c r="A39" t="s">
        <v>2074</v>
      </c>
      <c r="B39" t="s">
        <v>616</v>
      </c>
      <c r="C39">
        <v>2</v>
      </c>
      <c r="D39" s="2" t="e">
        <f t="array" ref="D39">INDEX(T_vexistenciaxproducto[COSTO],MATCH(T_TránsitoCompras[[#This Row],[EMPRESA]]&amp;T_TránsitoCompras[[#This Row],[CODIGO]],T_vexistenciaxproducto[EMPRESA]&amp;T_vexistenciaxproducto[CODIGO],0),1)</f>
        <v>#VALUE!</v>
      </c>
      <c r="E39" s="2" t="e">
        <f>T_TránsitoCompras[[#This Row],[Tránsito]]
*T_TránsitoCompras[[#This Row],[Costo]]</f>
        <v>#VALUE!</v>
      </c>
    </row>
    <row r="40" spans="1:5" x14ac:dyDescent="0.25">
      <c r="A40" t="s">
        <v>2074</v>
      </c>
      <c r="B40" t="s">
        <v>1578</v>
      </c>
      <c r="C40">
        <v>10</v>
      </c>
      <c r="D40" s="2" t="e">
        <f t="array" ref="D40">INDEX(T_vexistenciaxproducto[COSTO],MATCH(T_TránsitoCompras[[#This Row],[EMPRESA]]&amp;T_TránsitoCompras[[#This Row],[CODIGO]],T_vexistenciaxproducto[EMPRESA]&amp;T_vexistenciaxproducto[CODIGO],0),1)</f>
        <v>#VALUE!</v>
      </c>
      <c r="E40" s="2" t="e">
        <f>T_TránsitoCompras[[#This Row],[Tránsito]]
*T_TránsitoCompras[[#This Row],[Costo]]</f>
        <v>#VALUE!</v>
      </c>
    </row>
    <row r="41" spans="1:5" x14ac:dyDescent="0.25">
      <c r="A41" t="s">
        <v>2074</v>
      </c>
      <c r="B41" t="s">
        <v>957</v>
      </c>
      <c r="C41">
        <v>10</v>
      </c>
      <c r="D41" s="2" t="e">
        <f t="array" ref="D41">INDEX(T_vexistenciaxproducto[COSTO],MATCH(T_TránsitoCompras[[#This Row],[EMPRESA]]&amp;T_TránsitoCompras[[#This Row],[CODIGO]],T_vexistenciaxproducto[EMPRESA]&amp;T_vexistenciaxproducto[CODIGO],0),1)</f>
        <v>#VALUE!</v>
      </c>
      <c r="E41" s="2" t="e">
        <f>T_TránsitoCompras[[#This Row],[Tránsito]]
*T_TránsitoCompras[[#This Row],[Costo]]</f>
        <v>#VALUE!</v>
      </c>
    </row>
    <row r="42" spans="1:5" x14ac:dyDescent="0.25">
      <c r="A42" t="s">
        <v>2074</v>
      </c>
      <c r="B42" t="s">
        <v>436</v>
      </c>
      <c r="C42">
        <v>2</v>
      </c>
      <c r="D42" s="2" t="e">
        <f t="array" ref="D42">INDEX(T_vexistenciaxproducto[COSTO],MATCH(T_TránsitoCompras[[#This Row],[EMPRESA]]&amp;T_TránsitoCompras[[#This Row],[CODIGO]],T_vexistenciaxproducto[EMPRESA]&amp;T_vexistenciaxproducto[CODIGO],0),1)</f>
        <v>#VALUE!</v>
      </c>
      <c r="E42" s="2" t="e">
        <f>T_TránsitoCompras[[#This Row],[Tránsito]]
*T_TránsitoCompras[[#This Row],[Costo]]</f>
        <v>#VALUE!</v>
      </c>
    </row>
    <row r="43" spans="1:5" x14ac:dyDescent="0.25">
      <c r="A43" t="s">
        <v>2074</v>
      </c>
      <c r="B43" t="s">
        <v>1581</v>
      </c>
      <c r="C43">
        <v>3</v>
      </c>
      <c r="D43" s="2" t="e">
        <f t="array" ref="D43">INDEX(T_vexistenciaxproducto[COSTO],MATCH(T_TránsitoCompras[[#This Row],[EMPRESA]]&amp;T_TránsitoCompras[[#This Row],[CODIGO]],T_vexistenciaxproducto[EMPRESA]&amp;T_vexistenciaxproducto[CODIGO],0),1)</f>
        <v>#VALUE!</v>
      </c>
      <c r="E43" s="2" t="e">
        <f>T_TránsitoCompras[[#This Row],[Tránsito]]
*T_TránsitoCompras[[#This Row],[Costo]]</f>
        <v>#VALUE!</v>
      </c>
    </row>
    <row r="44" spans="1:5" x14ac:dyDescent="0.25">
      <c r="A44" t="s">
        <v>2074</v>
      </c>
      <c r="B44" t="s">
        <v>949</v>
      </c>
      <c r="C44">
        <v>5</v>
      </c>
      <c r="D44" s="2" t="e">
        <f t="array" ref="D44">INDEX(T_vexistenciaxproducto[COSTO],MATCH(T_TránsitoCompras[[#This Row],[EMPRESA]]&amp;T_TránsitoCompras[[#This Row],[CODIGO]],T_vexistenciaxproducto[EMPRESA]&amp;T_vexistenciaxproducto[CODIGO],0),1)</f>
        <v>#VALUE!</v>
      </c>
      <c r="E44" s="2" t="e">
        <f>T_TránsitoCompras[[#This Row],[Tránsito]]
*T_TránsitoCompras[[#This Row],[Costo]]</f>
        <v>#VALUE!</v>
      </c>
    </row>
    <row r="45" spans="1:5" x14ac:dyDescent="0.25">
      <c r="A45" t="s">
        <v>2074</v>
      </c>
      <c r="B45" t="s">
        <v>2073</v>
      </c>
      <c r="C45">
        <v>3</v>
      </c>
      <c r="D45" s="2" t="e">
        <f t="array" ref="D45">INDEX(T_vexistenciaxproducto[COSTO],MATCH(T_TránsitoCompras[[#This Row],[EMPRESA]]&amp;T_TránsitoCompras[[#This Row],[CODIGO]],T_vexistenciaxproducto[EMPRESA]&amp;T_vexistenciaxproducto[CODIGO],0),1)</f>
        <v>#VALUE!</v>
      </c>
      <c r="E45" s="2" t="e">
        <f>T_TránsitoCompras[[#This Row],[Tránsito]]
*T_TránsitoCompras[[#This Row],[Costo]]</f>
        <v>#VALUE!</v>
      </c>
    </row>
    <row r="46" spans="1:5" x14ac:dyDescent="0.25">
      <c r="A46" t="s">
        <v>2074</v>
      </c>
      <c r="B46" t="s">
        <v>2080</v>
      </c>
      <c r="C46">
        <v>3</v>
      </c>
      <c r="D46" s="2" t="e">
        <f t="array" ref="D46">INDEX(T_vexistenciaxproducto[COSTO],MATCH(T_TránsitoCompras[[#This Row],[EMPRESA]]&amp;T_TránsitoCompras[[#This Row],[CODIGO]],T_vexistenciaxproducto[EMPRESA]&amp;T_vexistenciaxproducto[CODIGO],0),1)</f>
        <v>#VALUE!</v>
      </c>
      <c r="E46" s="2" t="e">
        <f>T_TránsitoCompras[[#This Row],[Tránsito]]
*T_TránsitoCompras[[#This Row],[Costo]]</f>
        <v>#VALUE!</v>
      </c>
    </row>
    <row r="47" spans="1:5" x14ac:dyDescent="0.25">
      <c r="A47" t="s">
        <v>2074</v>
      </c>
      <c r="B47" t="s">
        <v>482</v>
      </c>
      <c r="C47">
        <v>2</v>
      </c>
      <c r="D47" s="2" t="e">
        <f t="array" ref="D47">INDEX(T_vexistenciaxproducto[COSTO],MATCH(T_TránsitoCompras[[#This Row],[EMPRESA]]&amp;T_TránsitoCompras[[#This Row],[CODIGO]],T_vexistenciaxproducto[EMPRESA]&amp;T_vexistenciaxproducto[CODIGO],0),1)</f>
        <v>#VALUE!</v>
      </c>
      <c r="E47" s="2" t="e">
        <f>T_TránsitoCompras[[#This Row],[Tránsito]]
*T_TránsitoCompras[[#This Row],[Costo]]</f>
        <v>#VALUE!</v>
      </c>
    </row>
    <row r="48" spans="1:5" x14ac:dyDescent="0.25">
      <c r="A48" t="s">
        <v>2074</v>
      </c>
      <c r="B48" t="s">
        <v>977</v>
      </c>
      <c r="C48">
        <v>2</v>
      </c>
      <c r="D48" s="2" t="e">
        <f t="array" ref="D48">INDEX(T_vexistenciaxproducto[COSTO],MATCH(T_TránsitoCompras[[#This Row],[EMPRESA]]&amp;T_TránsitoCompras[[#This Row],[CODIGO]],T_vexistenciaxproducto[EMPRESA]&amp;T_vexistenciaxproducto[CODIGO],0),1)</f>
        <v>#VALUE!</v>
      </c>
      <c r="E48" s="2" t="e">
        <f>T_TránsitoCompras[[#This Row],[Tránsito]]
*T_TránsitoCompras[[#This Row],[Costo]]</f>
        <v>#VALUE!</v>
      </c>
    </row>
    <row r="49" spans="1:5" x14ac:dyDescent="0.25">
      <c r="A49" t="s">
        <v>2074</v>
      </c>
      <c r="B49" t="s">
        <v>432</v>
      </c>
      <c r="C49">
        <v>2</v>
      </c>
      <c r="D49" s="2" t="e">
        <f t="array" ref="D49">INDEX(T_vexistenciaxproducto[COSTO],MATCH(T_TránsitoCompras[[#This Row],[EMPRESA]]&amp;T_TránsitoCompras[[#This Row],[CODIGO]],T_vexistenciaxproducto[EMPRESA]&amp;T_vexistenciaxproducto[CODIGO],0),1)</f>
        <v>#VALUE!</v>
      </c>
      <c r="E49" s="2" t="e">
        <f>T_TránsitoCompras[[#This Row],[Tránsito]]
*T_TránsitoCompras[[#This Row],[Costo]]</f>
        <v>#VALUE!</v>
      </c>
    </row>
    <row r="50" spans="1:5" x14ac:dyDescent="0.25">
      <c r="A50" t="s">
        <v>2074</v>
      </c>
      <c r="B50" t="s">
        <v>232</v>
      </c>
      <c r="C50">
        <v>38</v>
      </c>
      <c r="D50" s="2" t="e">
        <f t="array" ref="D50">INDEX(T_vexistenciaxproducto[COSTO],MATCH(T_TránsitoCompras[[#This Row],[EMPRESA]]&amp;T_TránsitoCompras[[#This Row],[CODIGO]],T_vexistenciaxproducto[EMPRESA]&amp;T_vexistenciaxproducto[CODIGO],0),1)</f>
        <v>#VALUE!</v>
      </c>
      <c r="E50" s="2" t="e">
        <f>T_TránsitoCompras[[#This Row],[Tránsito]]
*T_TránsitoCompras[[#This Row],[Costo]]</f>
        <v>#VALUE!</v>
      </c>
    </row>
    <row r="51" spans="1:5" x14ac:dyDescent="0.25">
      <c r="A51" t="s">
        <v>2074</v>
      </c>
      <c r="B51" t="s">
        <v>1584</v>
      </c>
      <c r="C51">
        <v>2</v>
      </c>
      <c r="D51" s="2" t="e">
        <f t="array" ref="D51">INDEX(T_vexistenciaxproducto[COSTO],MATCH(T_TránsitoCompras[[#This Row],[EMPRESA]]&amp;T_TránsitoCompras[[#This Row],[CODIGO]],T_vexistenciaxproducto[EMPRESA]&amp;T_vexistenciaxproducto[CODIGO],0),1)</f>
        <v>#VALUE!</v>
      </c>
      <c r="E51" s="2" t="e">
        <f>T_TránsitoCompras[[#This Row],[Tránsito]]
*T_TránsitoCompras[[#This Row],[Costo]]</f>
        <v>#VALUE!</v>
      </c>
    </row>
    <row r="52" spans="1:5" x14ac:dyDescent="0.25">
      <c r="A52" t="s">
        <v>2074</v>
      </c>
      <c r="B52" t="s">
        <v>233</v>
      </c>
      <c r="C52">
        <v>30</v>
      </c>
      <c r="D52" s="2" t="e">
        <f t="array" ref="D52">INDEX(T_vexistenciaxproducto[COSTO],MATCH(T_TránsitoCompras[[#This Row],[EMPRESA]]&amp;T_TránsitoCompras[[#This Row],[CODIGO]],T_vexistenciaxproducto[EMPRESA]&amp;T_vexistenciaxproducto[CODIGO],0),1)</f>
        <v>#VALUE!</v>
      </c>
      <c r="E52" s="2" t="e">
        <f>T_TránsitoCompras[[#This Row],[Tránsito]]
*T_TránsitoCompras[[#This Row],[Costo]]</f>
        <v>#VALUE!</v>
      </c>
    </row>
    <row r="53" spans="1:5" x14ac:dyDescent="0.25">
      <c r="A53" t="s">
        <v>2074</v>
      </c>
      <c r="B53" t="s">
        <v>1260</v>
      </c>
      <c r="C53">
        <v>1</v>
      </c>
      <c r="D53" s="2" t="e">
        <f t="array" ref="D53">INDEX(T_vexistenciaxproducto[COSTO],MATCH(T_TránsitoCompras[[#This Row],[EMPRESA]]&amp;T_TránsitoCompras[[#This Row],[CODIGO]],T_vexistenciaxproducto[EMPRESA]&amp;T_vexistenciaxproducto[CODIGO],0),1)</f>
        <v>#VALUE!</v>
      </c>
      <c r="E53" s="2" t="e">
        <f>T_TránsitoCompras[[#This Row],[Tránsito]]
*T_TránsitoCompras[[#This Row],[Costo]]</f>
        <v>#VALUE!</v>
      </c>
    </row>
    <row r="54" spans="1:5" x14ac:dyDescent="0.25">
      <c r="A54" t="s">
        <v>2074</v>
      </c>
      <c r="B54" t="s">
        <v>384</v>
      </c>
      <c r="C54">
        <v>2</v>
      </c>
      <c r="D54" s="2" t="e">
        <f t="array" ref="D54">INDEX(T_vexistenciaxproducto[COSTO],MATCH(T_TránsitoCompras[[#This Row],[EMPRESA]]&amp;T_TránsitoCompras[[#This Row],[CODIGO]],T_vexistenciaxproducto[EMPRESA]&amp;T_vexistenciaxproducto[CODIGO],0),1)</f>
        <v>#VALUE!</v>
      </c>
      <c r="E54" s="2" t="e">
        <f>T_TránsitoCompras[[#This Row],[Tránsito]]
*T_TránsitoCompras[[#This Row],[Costo]]</f>
        <v>#VALUE!</v>
      </c>
    </row>
    <row r="55" spans="1:5" x14ac:dyDescent="0.25">
      <c r="A55" t="s">
        <v>2074</v>
      </c>
      <c r="B55" t="s">
        <v>236</v>
      </c>
      <c r="C55">
        <v>6</v>
      </c>
      <c r="D55" s="2" t="e">
        <f t="array" ref="D55">INDEX(T_vexistenciaxproducto[COSTO],MATCH(T_TránsitoCompras[[#This Row],[EMPRESA]]&amp;T_TránsitoCompras[[#This Row],[CODIGO]],T_vexistenciaxproducto[EMPRESA]&amp;T_vexistenciaxproducto[CODIGO],0),1)</f>
        <v>#VALUE!</v>
      </c>
      <c r="E55" s="2" t="e">
        <f>T_TránsitoCompras[[#This Row],[Tránsito]]
*T_TránsitoCompras[[#This Row],[Costo]]</f>
        <v>#VALUE!</v>
      </c>
    </row>
    <row r="56" spans="1:5" x14ac:dyDescent="0.25">
      <c r="A56" t="s">
        <v>2074</v>
      </c>
      <c r="B56" t="s">
        <v>242</v>
      </c>
      <c r="C56">
        <v>3</v>
      </c>
      <c r="D56" s="2" t="e">
        <f t="array" ref="D56">INDEX(T_vexistenciaxproducto[COSTO],MATCH(T_TránsitoCompras[[#This Row],[EMPRESA]]&amp;T_TránsitoCompras[[#This Row],[CODIGO]],T_vexistenciaxproducto[EMPRESA]&amp;T_vexistenciaxproducto[CODIGO],0),1)</f>
        <v>#VALUE!</v>
      </c>
      <c r="E56" s="2" t="e">
        <f>T_TránsitoCompras[[#This Row],[Tránsito]]
*T_TránsitoCompras[[#This Row],[Costo]]</f>
        <v>#VALUE!</v>
      </c>
    </row>
    <row r="57" spans="1:5" x14ac:dyDescent="0.25">
      <c r="A57" t="s">
        <v>2074</v>
      </c>
      <c r="B57" t="s">
        <v>244</v>
      </c>
      <c r="C57">
        <v>5</v>
      </c>
      <c r="D57" s="2" t="e">
        <f t="array" ref="D57">INDEX(T_vexistenciaxproducto[COSTO],MATCH(T_TránsitoCompras[[#This Row],[EMPRESA]]&amp;T_TránsitoCompras[[#This Row],[CODIGO]],T_vexistenciaxproducto[EMPRESA]&amp;T_vexistenciaxproducto[CODIGO],0),1)</f>
        <v>#VALUE!</v>
      </c>
      <c r="E57" s="2" t="e">
        <f>T_TránsitoCompras[[#This Row],[Tránsito]]
*T_TránsitoCompras[[#This Row],[Costo]]</f>
        <v>#VALUE!</v>
      </c>
    </row>
    <row r="58" spans="1:5" x14ac:dyDescent="0.25">
      <c r="A58" t="s">
        <v>2074</v>
      </c>
      <c r="B58" t="s">
        <v>247</v>
      </c>
      <c r="C58">
        <v>5</v>
      </c>
      <c r="D58" s="2" t="e">
        <f t="array" ref="D58">INDEX(T_vexistenciaxproducto[COSTO],MATCH(T_TránsitoCompras[[#This Row],[EMPRESA]]&amp;T_TránsitoCompras[[#This Row],[CODIGO]],T_vexistenciaxproducto[EMPRESA]&amp;T_vexistenciaxproducto[CODIGO],0),1)</f>
        <v>#VALUE!</v>
      </c>
      <c r="E58" s="2" t="e">
        <f>T_TránsitoCompras[[#This Row],[Tránsito]]
*T_TránsitoCompras[[#This Row],[Costo]]</f>
        <v>#VALUE!</v>
      </c>
    </row>
    <row r="59" spans="1:5" x14ac:dyDescent="0.25">
      <c r="A59" t="s">
        <v>2074</v>
      </c>
      <c r="B59" t="s">
        <v>1090</v>
      </c>
      <c r="C59">
        <v>2</v>
      </c>
      <c r="D59" s="2" t="e">
        <f t="array" ref="D59">INDEX(T_vexistenciaxproducto[COSTO],MATCH(T_TránsitoCompras[[#This Row],[EMPRESA]]&amp;T_TránsitoCompras[[#This Row],[CODIGO]],T_vexistenciaxproducto[EMPRESA]&amp;T_vexistenciaxproducto[CODIGO],0),1)</f>
        <v>#VALUE!</v>
      </c>
      <c r="E59" s="2" t="e">
        <f>T_TránsitoCompras[[#This Row],[Tránsito]]
*T_TránsitoCompras[[#This Row],[Costo]]</f>
        <v>#VALUE!</v>
      </c>
    </row>
    <row r="60" spans="1:5" x14ac:dyDescent="0.25">
      <c r="A60" t="s">
        <v>2074</v>
      </c>
      <c r="B60" t="s">
        <v>1094</v>
      </c>
      <c r="C60">
        <v>3</v>
      </c>
      <c r="D60" s="2" t="e">
        <f t="array" ref="D60">INDEX(T_vexistenciaxproducto[COSTO],MATCH(T_TránsitoCompras[[#This Row],[EMPRESA]]&amp;T_TránsitoCompras[[#This Row],[CODIGO]],T_vexistenciaxproducto[EMPRESA]&amp;T_vexistenciaxproducto[CODIGO],0),1)</f>
        <v>#VALUE!</v>
      </c>
      <c r="E60" s="2" t="e">
        <f>T_TránsitoCompras[[#This Row],[Tránsito]]
*T_TránsitoCompras[[#This Row],[Costo]]</f>
        <v>#VALUE!</v>
      </c>
    </row>
    <row r="61" spans="1:5" x14ac:dyDescent="0.25">
      <c r="A61" t="s">
        <v>2074</v>
      </c>
      <c r="B61" t="s">
        <v>1096</v>
      </c>
      <c r="C61">
        <v>15</v>
      </c>
      <c r="D61" s="2" t="e">
        <f t="array" ref="D61">INDEX(T_vexistenciaxproducto[COSTO],MATCH(T_TránsitoCompras[[#This Row],[EMPRESA]]&amp;T_TránsitoCompras[[#This Row],[CODIGO]],T_vexistenciaxproducto[EMPRESA]&amp;T_vexistenciaxproducto[CODIGO],0),1)</f>
        <v>#VALUE!</v>
      </c>
      <c r="E61" s="2" t="e">
        <f>T_TránsitoCompras[[#This Row],[Tránsito]]
*T_TránsitoCompras[[#This Row],[Costo]]</f>
        <v>#VALUE!</v>
      </c>
    </row>
    <row r="62" spans="1:5" x14ac:dyDescent="0.25">
      <c r="A62" t="s">
        <v>2074</v>
      </c>
      <c r="B62" t="s">
        <v>1313</v>
      </c>
      <c r="C62">
        <v>100</v>
      </c>
      <c r="D62" s="2" t="e">
        <f t="array" ref="D62">INDEX(T_vexistenciaxproducto[COSTO],MATCH(T_TránsitoCompras[[#This Row],[EMPRESA]]&amp;T_TránsitoCompras[[#This Row],[CODIGO]],T_vexistenciaxproducto[EMPRESA]&amp;T_vexistenciaxproducto[CODIGO],0),1)</f>
        <v>#VALUE!</v>
      </c>
      <c r="E62" s="2" t="e">
        <f>T_TránsitoCompras[[#This Row],[Tránsito]]
*T_TránsitoCompras[[#This Row],[Costo]]</f>
        <v>#VALUE!</v>
      </c>
    </row>
    <row r="63" spans="1:5" x14ac:dyDescent="0.25">
      <c r="A63" t="s">
        <v>2074</v>
      </c>
      <c r="B63" t="s">
        <v>1098</v>
      </c>
      <c r="C63">
        <v>30</v>
      </c>
      <c r="D63" s="2" t="e">
        <f t="array" ref="D63">INDEX(T_vexistenciaxproducto[COSTO],MATCH(T_TránsitoCompras[[#This Row],[EMPRESA]]&amp;T_TránsitoCompras[[#This Row],[CODIGO]],T_vexistenciaxproducto[EMPRESA]&amp;T_vexistenciaxproducto[CODIGO],0),1)</f>
        <v>#VALUE!</v>
      </c>
      <c r="E63" s="2" t="e">
        <f>T_TránsitoCompras[[#This Row],[Tránsito]]
*T_TránsitoCompras[[#This Row],[Costo]]</f>
        <v>#VALUE!</v>
      </c>
    </row>
    <row r="64" spans="1:5" x14ac:dyDescent="0.25">
      <c r="A64" t="s">
        <v>2074</v>
      </c>
      <c r="B64" t="s">
        <v>1099</v>
      </c>
      <c r="C64">
        <v>30</v>
      </c>
      <c r="D64" s="2" t="e">
        <f t="array" ref="D64">INDEX(T_vexistenciaxproducto[COSTO],MATCH(T_TránsitoCompras[[#This Row],[EMPRESA]]&amp;T_TránsitoCompras[[#This Row],[CODIGO]],T_vexistenciaxproducto[EMPRESA]&amp;T_vexistenciaxproducto[CODIGO],0),1)</f>
        <v>#VALUE!</v>
      </c>
      <c r="E64" s="2" t="e">
        <f>T_TránsitoCompras[[#This Row],[Tránsito]]
*T_TránsitoCompras[[#This Row],[Costo]]</f>
        <v>#VALUE!</v>
      </c>
    </row>
    <row r="65" spans="1:5" x14ac:dyDescent="0.25">
      <c r="A65" t="s">
        <v>2074</v>
      </c>
      <c r="B65" t="s">
        <v>1330</v>
      </c>
      <c r="C65">
        <v>200</v>
      </c>
      <c r="D65" s="2" t="e">
        <f t="array" ref="D65">INDEX(T_vexistenciaxproducto[COSTO],MATCH(T_TránsitoCompras[[#This Row],[EMPRESA]]&amp;T_TránsitoCompras[[#This Row],[CODIGO]],T_vexistenciaxproducto[EMPRESA]&amp;T_vexistenciaxproducto[CODIGO],0),1)</f>
        <v>#VALUE!</v>
      </c>
      <c r="E65" s="2" t="e">
        <f>T_TránsitoCompras[[#This Row],[Tránsito]]
*T_TránsitoCompras[[#This Row],[Costo]]</f>
        <v>#VALUE!</v>
      </c>
    </row>
    <row r="66" spans="1:5" x14ac:dyDescent="0.25">
      <c r="A66" t="s">
        <v>2074</v>
      </c>
      <c r="B66" t="s">
        <v>688</v>
      </c>
      <c r="C66">
        <v>4</v>
      </c>
      <c r="D66" s="2" t="e">
        <f t="array" ref="D66">INDEX(T_vexistenciaxproducto[COSTO],MATCH(T_TránsitoCompras[[#This Row],[EMPRESA]]&amp;T_TránsitoCompras[[#This Row],[CODIGO]],T_vexistenciaxproducto[EMPRESA]&amp;T_vexistenciaxproducto[CODIGO],0),1)</f>
        <v>#VALUE!</v>
      </c>
      <c r="E66" s="2" t="e">
        <f>T_TránsitoCompras[[#This Row],[Tránsito]]
*T_TránsitoCompras[[#This Row],[Costo]]</f>
        <v>#VALUE!</v>
      </c>
    </row>
    <row r="67" spans="1:5" x14ac:dyDescent="0.25">
      <c r="A67" t="s">
        <v>2074</v>
      </c>
      <c r="B67" t="s">
        <v>451</v>
      </c>
      <c r="C67">
        <v>40</v>
      </c>
      <c r="D67" s="2" t="e">
        <f t="array" ref="D67">INDEX(T_vexistenciaxproducto[COSTO],MATCH(T_TránsitoCompras[[#This Row],[EMPRESA]]&amp;T_TránsitoCompras[[#This Row],[CODIGO]],T_vexistenciaxproducto[EMPRESA]&amp;T_vexistenciaxproducto[CODIGO],0),1)</f>
        <v>#VALUE!</v>
      </c>
      <c r="E67" s="2" t="e">
        <f>T_TránsitoCompras[[#This Row],[Tránsito]]
*T_TránsitoCompras[[#This Row],[Costo]]</f>
        <v>#VALUE!</v>
      </c>
    </row>
    <row r="68" spans="1:5" x14ac:dyDescent="0.25">
      <c r="A68" t="s">
        <v>2074</v>
      </c>
      <c r="B68" t="s">
        <v>760</v>
      </c>
      <c r="C68">
        <v>20</v>
      </c>
      <c r="D68" s="2" t="e">
        <f t="array" ref="D68">INDEX(T_vexistenciaxproducto[COSTO],MATCH(T_TránsitoCompras[[#This Row],[EMPRESA]]&amp;T_TránsitoCompras[[#This Row],[CODIGO]],T_vexistenciaxproducto[EMPRESA]&amp;T_vexistenciaxproducto[CODIGO],0),1)</f>
        <v>#VALUE!</v>
      </c>
      <c r="E68" s="2" t="e">
        <f>T_TránsitoCompras[[#This Row],[Tránsito]]
*T_TránsitoCompras[[#This Row],[Costo]]</f>
        <v>#VALUE!</v>
      </c>
    </row>
    <row r="69" spans="1:5" x14ac:dyDescent="0.25">
      <c r="A69" t="s">
        <v>2074</v>
      </c>
      <c r="B69" t="s">
        <v>1376</v>
      </c>
      <c r="C69">
        <v>20</v>
      </c>
      <c r="D69" s="2" t="e">
        <f t="array" ref="D69">INDEX(T_vexistenciaxproducto[COSTO],MATCH(T_TránsitoCompras[[#This Row],[EMPRESA]]&amp;T_TránsitoCompras[[#This Row],[CODIGO]],T_vexistenciaxproducto[EMPRESA]&amp;T_vexistenciaxproducto[CODIGO],0),1)</f>
        <v>#VALUE!</v>
      </c>
      <c r="E69" s="2" t="e">
        <f>T_TránsitoCompras[[#This Row],[Tránsito]]
*T_TránsitoCompras[[#This Row],[Costo]]</f>
        <v>#VALUE!</v>
      </c>
    </row>
    <row r="70" spans="1:5" x14ac:dyDescent="0.25">
      <c r="A70" t="s">
        <v>2074</v>
      </c>
      <c r="B70" t="s">
        <v>254</v>
      </c>
      <c r="C70">
        <v>2</v>
      </c>
      <c r="D70" s="2" t="e">
        <f t="array" ref="D70">INDEX(T_vexistenciaxproducto[COSTO],MATCH(T_TránsitoCompras[[#This Row],[EMPRESA]]&amp;T_TránsitoCompras[[#This Row],[CODIGO]],T_vexistenciaxproducto[EMPRESA]&amp;T_vexistenciaxproducto[CODIGO],0),1)</f>
        <v>#VALUE!</v>
      </c>
      <c r="E70" s="2" t="e">
        <f>T_TránsitoCompras[[#This Row],[Tránsito]]
*T_TránsitoCompras[[#This Row],[Costo]]</f>
        <v>#VALUE!</v>
      </c>
    </row>
    <row r="71" spans="1:5" x14ac:dyDescent="0.25">
      <c r="A71" t="s">
        <v>2074</v>
      </c>
      <c r="B71" t="s">
        <v>1108</v>
      </c>
      <c r="C71">
        <v>4</v>
      </c>
      <c r="D71" s="2" t="e">
        <f t="array" ref="D71">INDEX(T_vexistenciaxproducto[COSTO],MATCH(T_TránsitoCompras[[#This Row],[EMPRESA]]&amp;T_TránsitoCompras[[#This Row],[CODIGO]],T_vexistenciaxproducto[EMPRESA]&amp;T_vexistenciaxproducto[CODIGO],0),1)</f>
        <v>#VALUE!</v>
      </c>
      <c r="E71" s="2" t="e">
        <f>T_TránsitoCompras[[#This Row],[Tránsito]]
*T_TránsitoCompras[[#This Row],[Costo]]</f>
        <v>#VALUE!</v>
      </c>
    </row>
    <row r="72" spans="1:5" x14ac:dyDescent="0.25">
      <c r="A72" t="s">
        <v>2074</v>
      </c>
      <c r="B72" t="s">
        <v>1112</v>
      </c>
      <c r="C72">
        <v>2</v>
      </c>
      <c r="D72" s="2" t="e">
        <f t="array" ref="D72">INDEX(T_vexistenciaxproducto[COSTO],MATCH(T_TránsitoCompras[[#This Row],[EMPRESA]]&amp;T_TránsitoCompras[[#This Row],[CODIGO]],T_vexistenciaxproducto[EMPRESA]&amp;T_vexistenciaxproducto[CODIGO],0),1)</f>
        <v>#VALUE!</v>
      </c>
      <c r="E72" s="2" t="e">
        <f>T_TránsitoCompras[[#This Row],[Tránsito]]
*T_TránsitoCompras[[#This Row],[Costo]]</f>
        <v>#VALUE!</v>
      </c>
    </row>
    <row r="73" spans="1:5" x14ac:dyDescent="0.25">
      <c r="A73" t="s">
        <v>2074</v>
      </c>
      <c r="B73" t="s">
        <v>1115</v>
      </c>
      <c r="C73">
        <v>20</v>
      </c>
      <c r="D73" s="2" t="e">
        <f t="array" ref="D73">INDEX(T_vexistenciaxproducto[COSTO],MATCH(T_TránsitoCompras[[#This Row],[EMPRESA]]&amp;T_TránsitoCompras[[#This Row],[CODIGO]],T_vexistenciaxproducto[EMPRESA]&amp;T_vexistenciaxproducto[CODIGO],0),1)</f>
        <v>#VALUE!</v>
      </c>
      <c r="E73" s="2" t="e">
        <f>T_TránsitoCompras[[#This Row],[Tránsito]]
*T_TránsitoCompras[[#This Row],[Costo]]</f>
        <v>#VALUE!</v>
      </c>
    </row>
    <row r="74" spans="1:5" x14ac:dyDescent="0.25">
      <c r="A74" t="s">
        <v>2074</v>
      </c>
      <c r="B74" t="s">
        <v>1402</v>
      </c>
      <c r="C74">
        <v>20</v>
      </c>
      <c r="D74" s="2" t="e">
        <f t="array" ref="D74">INDEX(T_vexistenciaxproducto[COSTO],MATCH(T_TránsitoCompras[[#This Row],[EMPRESA]]&amp;T_TránsitoCompras[[#This Row],[CODIGO]],T_vexistenciaxproducto[EMPRESA]&amp;T_vexistenciaxproducto[CODIGO],0),1)</f>
        <v>#VALUE!</v>
      </c>
      <c r="E74" s="2" t="e">
        <f>T_TránsitoCompras[[#This Row],[Tránsito]]
*T_TránsitoCompras[[#This Row],[Costo]]</f>
        <v>#VALUE!</v>
      </c>
    </row>
    <row r="75" spans="1:5" x14ac:dyDescent="0.25">
      <c r="A75" t="s">
        <v>2074</v>
      </c>
      <c r="B75" t="s">
        <v>255</v>
      </c>
      <c r="C75">
        <v>1</v>
      </c>
      <c r="D75" s="2" t="e">
        <f t="array" ref="D75">INDEX(T_vexistenciaxproducto[COSTO],MATCH(T_TránsitoCompras[[#This Row],[EMPRESA]]&amp;T_TránsitoCompras[[#This Row],[CODIGO]],T_vexistenciaxproducto[EMPRESA]&amp;T_vexistenciaxproducto[CODIGO],0),1)</f>
        <v>#VALUE!</v>
      </c>
      <c r="E75" s="2" t="e">
        <f>T_TránsitoCompras[[#This Row],[Tránsito]]
*T_TránsitoCompras[[#This Row],[Costo]]</f>
        <v>#VALUE!</v>
      </c>
    </row>
    <row r="76" spans="1:5" x14ac:dyDescent="0.25">
      <c r="A76" t="s">
        <v>2074</v>
      </c>
      <c r="B76" t="s">
        <v>1190</v>
      </c>
      <c r="C76">
        <v>1</v>
      </c>
      <c r="D76" s="2" t="e">
        <f t="array" ref="D76">INDEX(T_vexistenciaxproducto[COSTO],MATCH(T_TránsitoCompras[[#This Row],[EMPRESA]]&amp;T_TránsitoCompras[[#This Row],[CODIGO]],T_vexistenciaxproducto[EMPRESA]&amp;T_vexistenciaxproducto[CODIGO],0),1)</f>
        <v>#VALUE!</v>
      </c>
      <c r="E76" s="2" t="e">
        <f>T_TránsitoCompras[[#This Row],[Tránsito]]
*T_TránsitoCompras[[#This Row],[Costo]]</f>
        <v>#VALUE!</v>
      </c>
    </row>
    <row r="77" spans="1:5" x14ac:dyDescent="0.25">
      <c r="A77" t="s">
        <v>2074</v>
      </c>
      <c r="B77" t="s">
        <v>1160</v>
      </c>
      <c r="C77">
        <v>3</v>
      </c>
      <c r="D77" s="2" t="e">
        <f t="array" ref="D77">INDEX(T_vexistenciaxproducto[COSTO],MATCH(T_TránsitoCompras[[#This Row],[EMPRESA]]&amp;T_TránsitoCompras[[#This Row],[CODIGO]],T_vexistenciaxproducto[EMPRESA]&amp;T_vexistenciaxproducto[CODIGO],0),1)</f>
        <v>#VALUE!</v>
      </c>
      <c r="E77" s="2" t="e">
        <f>T_TránsitoCompras[[#This Row],[Tránsito]]
*T_TránsitoCompras[[#This Row],[Costo]]</f>
        <v>#VALUE!</v>
      </c>
    </row>
    <row r="78" spans="1:5" x14ac:dyDescent="0.25">
      <c r="A78" t="s">
        <v>2074</v>
      </c>
      <c r="B78" t="s">
        <v>1289</v>
      </c>
      <c r="C78">
        <v>4</v>
      </c>
      <c r="D78" s="2" t="e">
        <f t="array" ref="D78">INDEX(T_vexistenciaxproducto[COSTO],MATCH(T_TránsitoCompras[[#This Row],[EMPRESA]]&amp;T_TránsitoCompras[[#This Row],[CODIGO]],T_vexistenciaxproducto[EMPRESA]&amp;T_vexistenciaxproducto[CODIGO],0),1)</f>
        <v>#VALUE!</v>
      </c>
      <c r="E78" s="2" t="e">
        <f>T_TránsitoCompras[[#This Row],[Tránsito]]
*T_TránsitoCompras[[#This Row],[Costo]]</f>
        <v>#VALUE!</v>
      </c>
    </row>
    <row r="79" spans="1:5" x14ac:dyDescent="0.25">
      <c r="A79" t="s">
        <v>2074</v>
      </c>
      <c r="B79" t="s">
        <v>920</v>
      </c>
      <c r="C79">
        <v>1</v>
      </c>
      <c r="D79" s="2" t="e">
        <f t="array" ref="D79">INDEX(T_vexistenciaxproducto[COSTO],MATCH(T_TránsitoCompras[[#This Row],[EMPRESA]]&amp;T_TránsitoCompras[[#This Row],[CODIGO]],T_vexistenciaxproducto[EMPRESA]&amp;T_vexistenciaxproducto[CODIGO],0),1)</f>
        <v>#VALUE!</v>
      </c>
      <c r="E79" s="2" t="e">
        <f>T_TránsitoCompras[[#This Row],[Tránsito]]
*T_TránsitoCompras[[#This Row],[Costo]]</f>
        <v>#VALUE!</v>
      </c>
    </row>
    <row r="80" spans="1:5" x14ac:dyDescent="0.25">
      <c r="A80" t="s">
        <v>2074</v>
      </c>
      <c r="B80" t="s">
        <v>412</v>
      </c>
      <c r="C80">
        <v>5</v>
      </c>
      <c r="D80" s="2" t="e">
        <f t="array" ref="D80">INDEX(T_vexistenciaxproducto[COSTO],MATCH(T_TránsitoCompras[[#This Row],[EMPRESA]]&amp;T_TránsitoCompras[[#This Row],[CODIGO]],T_vexistenciaxproducto[EMPRESA]&amp;T_vexistenciaxproducto[CODIGO],0),1)</f>
        <v>#VALUE!</v>
      </c>
      <c r="E80" s="2" t="e">
        <f>T_TránsitoCompras[[#This Row],[Tránsito]]
*T_TránsitoCompras[[#This Row],[Costo]]</f>
        <v>#VALUE!</v>
      </c>
    </row>
    <row r="81" spans="1:5" x14ac:dyDescent="0.25">
      <c r="A81" t="s">
        <v>2074</v>
      </c>
      <c r="B81" t="s">
        <v>1372</v>
      </c>
      <c r="C81">
        <v>4</v>
      </c>
      <c r="D81" s="2" t="e">
        <f t="array" ref="D81">INDEX(T_vexistenciaxproducto[COSTO],MATCH(T_TránsitoCompras[[#This Row],[EMPRESA]]&amp;T_TránsitoCompras[[#This Row],[CODIGO]],T_vexistenciaxproducto[EMPRESA]&amp;T_vexistenciaxproducto[CODIGO],0),1)</f>
        <v>#VALUE!</v>
      </c>
      <c r="E81" s="2" t="e">
        <f>T_TránsitoCompras[[#This Row],[Tránsito]]
*T_TránsitoCompras[[#This Row],[Costo]]</f>
        <v>#VALUE!</v>
      </c>
    </row>
    <row r="82" spans="1:5" x14ac:dyDescent="0.25">
      <c r="A82" t="s">
        <v>2074</v>
      </c>
      <c r="B82" t="s">
        <v>999</v>
      </c>
      <c r="C82">
        <v>3</v>
      </c>
      <c r="D82" s="2" t="e">
        <f t="array" ref="D82">INDEX(T_vexistenciaxproducto[COSTO],MATCH(T_TránsitoCompras[[#This Row],[EMPRESA]]&amp;T_TránsitoCompras[[#This Row],[CODIGO]],T_vexistenciaxproducto[EMPRESA]&amp;T_vexistenciaxproducto[CODIGO],0),1)</f>
        <v>#VALUE!</v>
      </c>
      <c r="E82" s="2" t="e">
        <f>T_TránsitoCompras[[#This Row],[Tránsito]]
*T_TránsitoCompras[[#This Row],[Costo]]</f>
        <v>#VALUE!</v>
      </c>
    </row>
    <row r="83" spans="1:5" x14ac:dyDescent="0.25">
      <c r="A83" t="s">
        <v>2074</v>
      </c>
      <c r="B83" t="s">
        <v>904</v>
      </c>
      <c r="C83">
        <v>1</v>
      </c>
      <c r="D83" s="2" t="e">
        <f t="array" ref="D83">INDEX(T_vexistenciaxproducto[COSTO],MATCH(T_TránsitoCompras[[#This Row],[EMPRESA]]&amp;T_TránsitoCompras[[#This Row],[CODIGO]],T_vexistenciaxproducto[EMPRESA]&amp;T_vexistenciaxproducto[CODIGO],0),1)</f>
        <v>#VALUE!</v>
      </c>
      <c r="E83" s="2" t="e">
        <f>T_TránsitoCompras[[#This Row],[Tránsito]]
*T_TránsitoCompras[[#This Row],[Costo]]</f>
        <v>#VALUE!</v>
      </c>
    </row>
    <row r="84" spans="1:5" x14ac:dyDescent="0.25">
      <c r="A84" t="s">
        <v>2074</v>
      </c>
      <c r="B84" t="s">
        <v>1004</v>
      </c>
      <c r="C84">
        <v>1</v>
      </c>
      <c r="D84" s="2" t="e">
        <f t="array" ref="D84">INDEX(T_vexistenciaxproducto[COSTO],MATCH(T_TránsitoCompras[[#This Row],[EMPRESA]]&amp;T_TránsitoCompras[[#This Row],[CODIGO]],T_vexistenciaxproducto[EMPRESA]&amp;T_vexistenciaxproducto[CODIGO],0),1)</f>
        <v>#VALUE!</v>
      </c>
      <c r="E84" s="2" t="e">
        <f>T_TránsitoCompras[[#This Row],[Tránsito]]
*T_TránsitoCompras[[#This Row],[Costo]]</f>
        <v>#VALUE!</v>
      </c>
    </row>
    <row r="85" spans="1:5" x14ac:dyDescent="0.25">
      <c r="A85" t="s">
        <v>2074</v>
      </c>
      <c r="B85" t="s">
        <v>260</v>
      </c>
      <c r="C85">
        <v>5</v>
      </c>
      <c r="D85" s="2" t="e">
        <f t="array" ref="D85">INDEX(T_vexistenciaxproducto[COSTO],MATCH(T_TránsitoCompras[[#This Row],[EMPRESA]]&amp;T_TránsitoCompras[[#This Row],[CODIGO]],T_vexistenciaxproducto[EMPRESA]&amp;T_vexistenciaxproducto[CODIGO],0),1)</f>
        <v>#VALUE!</v>
      </c>
      <c r="E85" s="2" t="e">
        <f>T_TránsitoCompras[[#This Row],[Tránsito]]
*T_TránsitoCompras[[#This Row],[Costo]]</f>
        <v>#VALUE!</v>
      </c>
    </row>
    <row r="86" spans="1:5" x14ac:dyDescent="0.25">
      <c r="A86" t="s">
        <v>2074</v>
      </c>
      <c r="B86" t="s">
        <v>1047</v>
      </c>
      <c r="C86">
        <v>2</v>
      </c>
      <c r="D86" s="2" t="e">
        <f t="array" ref="D86">INDEX(T_vexistenciaxproducto[COSTO],MATCH(T_TránsitoCompras[[#This Row],[EMPRESA]]&amp;T_TránsitoCompras[[#This Row],[CODIGO]],T_vexistenciaxproducto[EMPRESA]&amp;T_vexistenciaxproducto[CODIGO],0),1)</f>
        <v>#VALUE!</v>
      </c>
      <c r="E86" s="2" t="e">
        <f>T_TránsitoCompras[[#This Row],[Tránsito]]
*T_TránsitoCompras[[#This Row],[Costo]]</f>
        <v>#VALUE!</v>
      </c>
    </row>
    <row r="87" spans="1:5" x14ac:dyDescent="0.25">
      <c r="A87" t="s">
        <v>2074</v>
      </c>
      <c r="B87" t="s">
        <v>830</v>
      </c>
      <c r="C87">
        <v>5</v>
      </c>
      <c r="D87" s="2" t="e">
        <f t="array" ref="D87">INDEX(T_vexistenciaxproducto[COSTO],MATCH(T_TránsitoCompras[[#This Row],[EMPRESA]]&amp;T_TránsitoCompras[[#This Row],[CODIGO]],T_vexistenciaxproducto[EMPRESA]&amp;T_vexistenciaxproducto[CODIGO],0),1)</f>
        <v>#VALUE!</v>
      </c>
      <c r="E87" s="2" t="e">
        <f>T_TránsitoCompras[[#This Row],[Tránsito]]
*T_TránsitoCompras[[#This Row],[Costo]]</f>
        <v>#VALUE!</v>
      </c>
    </row>
    <row r="88" spans="1:5" x14ac:dyDescent="0.25">
      <c r="A88" t="s">
        <v>2074</v>
      </c>
      <c r="B88" t="s">
        <v>1593</v>
      </c>
      <c r="C88">
        <v>25</v>
      </c>
      <c r="D88" s="2" t="e">
        <f t="array" ref="D88">INDEX(T_vexistenciaxproducto[COSTO],MATCH(T_TránsitoCompras[[#This Row],[EMPRESA]]&amp;T_TránsitoCompras[[#This Row],[CODIGO]],T_vexistenciaxproducto[EMPRESA]&amp;T_vexistenciaxproducto[CODIGO],0),1)</f>
        <v>#VALUE!</v>
      </c>
      <c r="E88" s="2" t="e">
        <f>T_TránsitoCompras[[#This Row],[Tránsito]]
*T_TránsitoCompras[[#This Row],[Costo]]</f>
        <v>#VALUE!</v>
      </c>
    </row>
    <row r="89" spans="1:5" x14ac:dyDescent="0.25">
      <c r="A89" t="s">
        <v>2074</v>
      </c>
      <c r="B89" t="s">
        <v>1594</v>
      </c>
      <c r="C89">
        <v>20</v>
      </c>
      <c r="D89" s="2" t="e">
        <f t="array" ref="D89">INDEX(T_vexistenciaxproducto[COSTO],MATCH(T_TránsitoCompras[[#This Row],[EMPRESA]]&amp;T_TránsitoCompras[[#This Row],[CODIGO]],T_vexistenciaxproducto[EMPRESA]&amp;T_vexistenciaxproducto[CODIGO],0),1)</f>
        <v>#VALUE!</v>
      </c>
      <c r="E89" s="2" t="e">
        <f>T_TránsitoCompras[[#This Row],[Tránsito]]
*T_TránsitoCompras[[#This Row],[Costo]]</f>
        <v>#VALUE!</v>
      </c>
    </row>
    <row r="90" spans="1:5" x14ac:dyDescent="0.25">
      <c r="A90" t="s">
        <v>2074</v>
      </c>
      <c r="B90" t="s">
        <v>1384</v>
      </c>
      <c r="C90">
        <v>4</v>
      </c>
      <c r="D90" s="2" t="e">
        <f t="array" ref="D90">INDEX(T_vexistenciaxproducto[COSTO],MATCH(T_TránsitoCompras[[#This Row],[EMPRESA]]&amp;T_TránsitoCompras[[#This Row],[CODIGO]],T_vexistenciaxproducto[EMPRESA]&amp;T_vexistenciaxproducto[CODIGO],0),1)</f>
        <v>#VALUE!</v>
      </c>
      <c r="E90" s="2" t="e">
        <f>T_TránsitoCompras[[#This Row],[Tránsito]]
*T_TránsitoCompras[[#This Row],[Costo]]</f>
        <v>#VALUE!</v>
      </c>
    </row>
    <row r="91" spans="1:5" x14ac:dyDescent="0.25">
      <c r="A91" t="s">
        <v>2074</v>
      </c>
      <c r="B91" t="s">
        <v>409</v>
      </c>
      <c r="C91">
        <v>2</v>
      </c>
      <c r="D91" s="2" t="e">
        <f t="array" ref="D91">INDEX(T_vexistenciaxproducto[COSTO],MATCH(T_TránsitoCompras[[#This Row],[EMPRESA]]&amp;T_TránsitoCompras[[#This Row],[CODIGO]],T_vexistenciaxproducto[EMPRESA]&amp;T_vexistenciaxproducto[CODIGO],0),1)</f>
        <v>#VALUE!</v>
      </c>
      <c r="E91" s="2" t="e">
        <f>T_TránsitoCompras[[#This Row],[Tránsito]]
*T_TránsitoCompras[[#This Row],[Costo]]</f>
        <v>#VALUE!</v>
      </c>
    </row>
    <row r="92" spans="1:5" x14ac:dyDescent="0.25">
      <c r="A92" t="s">
        <v>2074</v>
      </c>
      <c r="B92" t="s">
        <v>1169</v>
      </c>
      <c r="C92">
        <v>40</v>
      </c>
      <c r="D92" s="2" t="e">
        <f t="array" ref="D92">INDEX(T_vexistenciaxproducto[COSTO],MATCH(T_TránsitoCompras[[#This Row],[EMPRESA]]&amp;T_TránsitoCompras[[#This Row],[CODIGO]],T_vexistenciaxproducto[EMPRESA]&amp;T_vexistenciaxproducto[CODIGO],0),1)</f>
        <v>#VALUE!</v>
      </c>
      <c r="E92" s="2" t="e">
        <f>T_TránsitoCompras[[#This Row],[Tránsito]]
*T_TránsitoCompras[[#This Row],[Costo]]</f>
        <v>#VALUE!</v>
      </c>
    </row>
    <row r="93" spans="1:5" x14ac:dyDescent="0.25">
      <c r="A93" t="s">
        <v>2074</v>
      </c>
      <c r="B93" t="s">
        <v>1173</v>
      </c>
      <c r="C93">
        <v>34</v>
      </c>
      <c r="D93" s="2" t="e">
        <f t="array" ref="D93">INDEX(T_vexistenciaxproducto[COSTO],MATCH(T_TránsitoCompras[[#This Row],[EMPRESA]]&amp;T_TránsitoCompras[[#This Row],[CODIGO]],T_vexistenciaxproducto[EMPRESA]&amp;T_vexistenciaxproducto[CODIGO],0),1)</f>
        <v>#VALUE!</v>
      </c>
      <c r="E93" s="2" t="e">
        <f>T_TránsitoCompras[[#This Row],[Tránsito]]
*T_TránsitoCompras[[#This Row],[Costo]]</f>
        <v>#VALUE!</v>
      </c>
    </row>
    <row r="94" spans="1:5" x14ac:dyDescent="0.25">
      <c r="A94" t="s">
        <v>2074</v>
      </c>
      <c r="B94" t="s">
        <v>1175</v>
      </c>
      <c r="C94">
        <v>10</v>
      </c>
      <c r="D94" s="2" t="e">
        <f t="array" ref="D94">INDEX(T_vexistenciaxproducto[COSTO],MATCH(T_TránsitoCompras[[#This Row],[EMPRESA]]&amp;T_TránsitoCompras[[#This Row],[CODIGO]],T_vexistenciaxproducto[EMPRESA]&amp;T_vexistenciaxproducto[CODIGO],0),1)</f>
        <v>#VALUE!</v>
      </c>
      <c r="E94" s="2" t="e">
        <f>T_TránsitoCompras[[#This Row],[Tránsito]]
*T_TránsitoCompras[[#This Row],[Costo]]</f>
        <v>#VALUE!</v>
      </c>
    </row>
    <row r="95" spans="1:5" x14ac:dyDescent="0.25">
      <c r="A95" t="s">
        <v>2074</v>
      </c>
      <c r="B95" t="s">
        <v>1397</v>
      </c>
      <c r="C95">
        <v>6</v>
      </c>
      <c r="D95" s="2" t="e">
        <f t="array" ref="D95">INDEX(T_vexistenciaxproducto[COSTO],MATCH(T_TránsitoCompras[[#This Row],[EMPRESA]]&amp;T_TránsitoCompras[[#This Row],[CODIGO]],T_vexistenciaxproducto[EMPRESA]&amp;T_vexistenciaxproducto[CODIGO],0),1)</f>
        <v>#VALUE!</v>
      </c>
      <c r="E95" s="2" t="e">
        <f>T_TránsitoCompras[[#This Row],[Tránsito]]
*T_TránsitoCompras[[#This Row],[Costo]]</f>
        <v>#VALUE!</v>
      </c>
    </row>
    <row r="96" spans="1:5" x14ac:dyDescent="0.25">
      <c r="A96" t="s">
        <v>2074</v>
      </c>
      <c r="B96" t="s">
        <v>271</v>
      </c>
      <c r="C96">
        <v>3</v>
      </c>
      <c r="D96" s="2" t="e">
        <f t="array" ref="D96">INDEX(T_vexistenciaxproducto[COSTO],MATCH(T_TránsitoCompras[[#This Row],[EMPRESA]]&amp;T_TránsitoCompras[[#This Row],[CODIGO]],T_vexistenciaxproducto[EMPRESA]&amp;T_vexistenciaxproducto[CODIGO],0),1)</f>
        <v>#VALUE!</v>
      </c>
      <c r="E96" s="2" t="e">
        <f>T_TránsitoCompras[[#This Row],[Tránsito]]
*T_TránsitoCompras[[#This Row],[Costo]]</f>
        <v>#VALUE!</v>
      </c>
    </row>
    <row r="97" spans="1:5" x14ac:dyDescent="0.25">
      <c r="A97" t="s">
        <v>2074</v>
      </c>
      <c r="B97" t="s">
        <v>1181</v>
      </c>
      <c r="C97">
        <v>1</v>
      </c>
      <c r="D97" s="2" t="e">
        <f t="array" ref="D97">INDEX(T_vexistenciaxproducto[COSTO],MATCH(T_TránsitoCompras[[#This Row],[EMPRESA]]&amp;T_TránsitoCompras[[#This Row],[CODIGO]],T_vexistenciaxproducto[EMPRESA]&amp;T_vexistenciaxproducto[CODIGO],0),1)</f>
        <v>#VALUE!</v>
      </c>
      <c r="E97" s="2" t="e">
        <f>T_TránsitoCompras[[#This Row],[Tránsito]]
*T_TránsitoCompras[[#This Row],[Costo]]</f>
        <v>#VALUE!</v>
      </c>
    </row>
    <row r="98" spans="1:5" x14ac:dyDescent="0.25">
      <c r="A98" t="s">
        <v>2074</v>
      </c>
      <c r="B98" t="s">
        <v>1048</v>
      </c>
      <c r="C98">
        <v>2</v>
      </c>
      <c r="D98" s="2" t="e">
        <f t="array" ref="D98">INDEX(T_vexistenciaxproducto[COSTO],MATCH(T_TránsitoCompras[[#This Row],[EMPRESA]]&amp;T_TránsitoCompras[[#This Row],[CODIGO]],T_vexistenciaxproducto[EMPRESA]&amp;T_vexistenciaxproducto[CODIGO],0),1)</f>
        <v>#VALUE!</v>
      </c>
      <c r="E98" s="2" t="e">
        <f>T_TránsitoCompras[[#This Row],[Tránsito]]
*T_TránsitoCompras[[#This Row],[Costo]]</f>
        <v>#VALUE!</v>
      </c>
    </row>
    <row r="99" spans="1:5" x14ac:dyDescent="0.25">
      <c r="A99" t="s">
        <v>2074</v>
      </c>
      <c r="B99" t="s">
        <v>1200</v>
      </c>
      <c r="C99">
        <v>2</v>
      </c>
      <c r="D99" s="2" t="e">
        <f t="array" ref="D99">INDEX(T_vexistenciaxproducto[COSTO],MATCH(T_TránsitoCompras[[#This Row],[EMPRESA]]&amp;T_TránsitoCompras[[#This Row],[CODIGO]],T_vexistenciaxproducto[EMPRESA]&amp;T_vexistenciaxproducto[CODIGO],0),1)</f>
        <v>#VALUE!</v>
      </c>
      <c r="E99" s="2" t="e">
        <f>T_TránsitoCompras[[#This Row],[Tránsito]]
*T_TránsitoCompras[[#This Row],[Costo]]</f>
        <v>#VALUE!</v>
      </c>
    </row>
    <row r="100" spans="1:5" x14ac:dyDescent="0.25">
      <c r="A100" t="s">
        <v>2074</v>
      </c>
      <c r="B100" t="s">
        <v>1202</v>
      </c>
      <c r="C100">
        <v>10</v>
      </c>
      <c r="D100" s="2" t="e">
        <f t="array" ref="D100">INDEX(T_vexistenciaxproducto[COSTO],MATCH(T_TránsitoCompras[[#This Row],[EMPRESA]]&amp;T_TránsitoCompras[[#This Row],[CODIGO]],T_vexistenciaxproducto[EMPRESA]&amp;T_vexistenciaxproducto[CODIGO],0),1)</f>
        <v>#VALUE!</v>
      </c>
      <c r="E100" s="2" t="e">
        <f>T_TránsitoCompras[[#This Row],[Tránsito]]
*T_TránsitoCompras[[#This Row],[Costo]]</f>
        <v>#VALUE!</v>
      </c>
    </row>
    <row r="101" spans="1:5" x14ac:dyDescent="0.25">
      <c r="A101" t="s">
        <v>2074</v>
      </c>
      <c r="B101" t="s">
        <v>835</v>
      </c>
      <c r="C101">
        <v>5</v>
      </c>
      <c r="D101" s="2" t="e">
        <f t="array" ref="D101">INDEX(T_vexistenciaxproducto[COSTO],MATCH(T_TránsitoCompras[[#This Row],[EMPRESA]]&amp;T_TránsitoCompras[[#This Row],[CODIGO]],T_vexistenciaxproducto[EMPRESA]&amp;T_vexistenciaxproducto[CODIGO],0),1)</f>
        <v>#VALUE!</v>
      </c>
      <c r="E101" s="2" t="e">
        <f>T_TránsitoCompras[[#This Row],[Tránsito]]
*T_TránsitoCompras[[#This Row],[Costo]]</f>
        <v>#VALUE!</v>
      </c>
    </row>
    <row r="102" spans="1:5" x14ac:dyDescent="0.25">
      <c r="A102" t="s">
        <v>2074</v>
      </c>
      <c r="B102" t="s">
        <v>1155</v>
      </c>
      <c r="C102">
        <v>8</v>
      </c>
      <c r="D102" s="2" t="e">
        <f t="array" ref="D102">INDEX(T_vexistenciaxproducto[COSTO],MATCH(T_TránsitoCompras[[#This Row],[EMPRESA]]&amp;T_TránsitoCompras[[#This Row],[CODIGO]],T_vexistenciaxproducto[EMPRESA]&amp;T_vexistenciaxproducto[CODIGO],0),1)</f>
        <v>#VALUE!</v>
      </c>
      <c r="E102" s="2" t="e">
        <f>T_TránsitoCompras[[#This Row],[Tránsito]]
*T_TránsitoCompras[[#This Row],[Costo]]</f>
        <v>#VALUE!</v>
      </c>
    </row>
    <row r="103" spans="1:5" x14ac:dyDescent="0.25">
      <c r="A103" t="s">
        <v>2074</v>
      </c>
      <c r="B103" t="s">
        <v>903</v>
      </c>
      <c r="C103">
        <v>2</v>
      </c>
      <c r="D103" s="2" t="e">
        <f t="array" ref="D103">INDEX(T_vexistenciaxproducto[COSTO],MATCH(T_TránsitoCompras[[#This Row],[EMPRESA]]&amp;T_TránsitoCompras[[#This Row],[CODIGO]],T_vexistenciaxproducto[EMPRESA]&amp;T_vexistenciaxproducto[CODIGO],0),1)</f>
        <v>#VALUE!</v>
      </c>
      <c r="E103" s="2" t="e">
        <f>T_TránsitoCompras[[#This Row],[Tránsito]]
*T_TránsitoCompras[[#This Row],[Costo]]</f>
        <v>#VALUE!</v>
      </c>
    </row>
    <row r="104" spans="1:5" x14ac:dyDescent="0.25">
      <c r="A104" t="s">
        <v>2074</v>
      </c>
      <c r="B104" t="s">
        <v>1219</v>
      </c>
      <c r="C104">
        <v>5</v>
      </c>
      <c r="D104" s="2" t="e">
        <f t="array" ref="D104">INDEX(T_vexistenciaxproducto[COSTO],MATCH(T_TránsitoCompras[[#This Row],[EMPRESA]]&amp;T_TránsitoCompras[[#This Row],[CODIGO]],T_vexistenciaxproducto[EMPRESA]&amp;T_vexistenciaxproducto[CODIGO],0),1)</f>
        <v>#VALUE!</v>
      </c>
      <c r="E104" s="2" t="e">
        <f>T_TránsitoCompras[[#This Row],[Tránsito]]
*T_TránsitoCompras[[#This Row],[Costo]]</f>
        <v>#VALUE!</v>
      </c>
    </row>
    <row r="105" spans="1:5" x14ac:dyDescent="0.25">
      <c r="A105" t="s">
        <v>2074</v>
      </c>
      <c r="B105" t="s">
        <v>1232</v>
      </c>
      <c r="C105">
        <v>40</v>
      </c>
      <c r="D105" s="2" t="e">
        <f t="array" ref="D105">INDEX(T_vexistenciaxproducto[COSTO],MATCH(T_TránsitoCompras[[#This Row],[EMPRESA]]&amp;T_TránsitoCompras[[#This Row],[CODIGO]],T_vexistenciaxproducto[EMPRESA]&amp;T_vexistenciaxproducto[CODIGO],0),1)</f>
        <v>#VALUE!</v>
      </c>
      <c r="E105" s="2" t="e">
        <f>T_TránsitoCompras[[#This Row],[Tránsito]]
*T_TránsitoCompras[[#This Row],[Costo]]</f>
        <v>#VALUE!</v>
      </c>
    </row>
    <row r="106" spans="1:5" x14ac:dyDescent="0.25">
      <c r="A106" t="s">
        <v>2074</v>
      </c>
      <c r="B106" t="s">
        <v>1233</v>
      </c>
      <c r="C106">
        <v>80</v>
      </c>
      <c r="D106" s="2" t="e">
        <f t="array" ref="D106">INDEX(T_vexistenciaxproducto[COSTO],MATCH(T_TránsitoCompras[[#This Row],[EMPRESA]]&amp;T_TránsitoCompras[[#This Row],[CODIGO]],T_vexistenciaxproducto[EMPRESA]&amp;T_vexistenciaxproducto[CODIGO],0),1)</f>
        <v>#VALUE!</v>
      </c>
      <c r="E106" s="2" t="e">
        <f>T_TránsitoCompras[[#This Row],[Tránsito]]
*T_TránsitoCompras[[#This Row],[Costo]]</f>
        <v>#VALUE!</v>
      </c>
    </row>
    <row r="107" spans="1:5" x14ac:dyDescent="0.25">
      <c r="A107" t="s">
        <v>2074</v>
      </c>
      <c r="B107" t="s">
        <v>363</v>
      </c>
      <c r="C107">
        <v>3</v>
      </c>
      <c r="D107" s="2" t="e">
        <f t="array" ref="D107">INDEX(T_vexistenciaxproducto[COSTO],MATCH(T_TránsitoCompras[[#This Row],[EMPRESA]]&amp;T_TránsitoCompras[[#This Row],[CODIGO]],T_vexistenciaxproducto[EMPRESA]&amp;T_vexistenciaxproducto[CODIGO],0),1)</f>
        <v>#VALUE!</v>
      </c>
      <c r="E107" s="2" t="e">
        <f>T_TránsitoCompras[[#This Row],[Tránsito]]
*T_TránsitoCompras[[#This Row],[Costo]]</f>
        <v>#VALUE!</v>
      </c>
    </row>
    <row r="108" spans="1:5" x14ac:dyDescent="0.25">
      <c r="A108" t="s">
        <v>2074</v>
      </c>
      <c r="B108" t="s">
        <v>1380</v>
      </c>
      <c r="C108">
        <v>2</v>
      </c>
      <c r="D108" s="2" t="e">
        <f t="array" ref="D108">INDEX(T_vexistenciaxproducto[COSTO],MATCH(T_TránsitoCompras[[#This Row],[EMPRESA]]&amp;T_TránsitoCompras[[#This Row],[CODIGO]],T_vexistenciaxproducto[EMPRESA]&amp;T_vexistenciaxproducto[CODIGO],0),1)</f>
        <v>#VALUE!</v>
      </c>
      <c r="E108" s="2" t="e">
        <f>T_TránsitoCompras[[#This Row],[Tránsito]]
*T_TránsitoCompras[[#This Row],[Costo]]</f>
        <v>#VALUE!</v>
      </c>
    </row>
    <row r="109" spans="1:5" x14ac:dyDescent="0.25">
      <c r="A109" t="s">
        <v>2074</v>
      </c>
      <c r="B109" t="s">
        <v>1236</v>
      </c>
      <c r="C109">
        <v>5</v>
      </c>
      <c r="D109" s="2" t="e">
        <f t="array" ref="D109">INDEX(T_vexistenciaxproducto[COSTO],MATCH(T_TránsitoCompras[[#This Row],[EMPRESA]]&amp;T_TránsitoCompras[[#This Row],[CODIGO]],T_vexistenciaxproducto[EMPRESA]&amp;T_vexistenciaxproducto[CODIGO],0),1)</f>
        <v>#VALUE!</v>
      </c>
      <c r="E109" s="2" t="e">
        <f>T_TránsitoCompras[[#This Row],[Tránsito]]
*T_TránsitoCompras[[#This Row],[Costo]]</f>
        <v>#VALUE!</v>
      </c>
    </row>
    <row r="110" spans="1:5" x14ac:dyDescent="0.25">
      <c r="A110" t="s">
        <v>2074</v>
      </c>
      <c r="B110" t="s">
        <v>1238</v>
      </c>
      <c r="C110">
        <v>5</v>
      </c>
      <c r="D110" s="2" t="e">
        <f t="array" ref="D110">INDEX(T_vexistenciaxproducto[COSTO],MATCH(T_TránsitoCompras[[#This Row],[EMPRESA]]&amp;T_TránsitoCompras[[#This Row],[CODIGO]],T_vexistenciaxproducto[EMPRESA]&amp;T_vexistenciaxproducto[CODIGO],0),1)</f>
        <v>#VALUE!</v>
      </c>
      <c r="E110" s="2" t="e">
        <f>T_TránsitoCompras[[#This Row],[Tránsito]]
*T_TránsitoCompras[[#This Row],[Costo]]</f>
        <v>#VALUE!</v>
      </c>
    </row>
    <row r="111" spans="1:5" x14ac:dyDescent="0.25">
      <c r="A111" t="s">
        <v>2074</v>
      </c>
      <c r="B111" t="s">
        <v>1405</v>
      </c>
      <c r="C111">
        <v>5</v>
      </c>
      <c r="D111" s="2" t="e">
        <f t="array" ref="D111">INDEX(T_vexistenciaxproducto[COSTO],MATCH(T_TránsitoCompras[[#This Row],[EMPRESA]]&amp;T_TránsitoCompras[[#This Row],[CODIGO]],T_vexistenciaxproducto[EMPRESA]&amp;T_vexistenciaxproducto[CODIGO],0),1)</f>
        <v>#VALUE!</v>
      </c>
      <c r="E111" s="2" t="e">
        <f>T_TránsitoCompras[[#This Row],[Tránsito]]
*T_TránsitoCompras[[#This Row],[Costo]]</f>
        <v>#VALUE!</v>
      </c>
    </row>
    <row r="112" spans="1:5" x14ac:dyDescent="0.25">
      <c r="A112" t="s">
        <v>2074</v>
      </c>
      <c r="B112" t="s">
        <v>1165</v>
      </c>
      <c r="C112">
        <v>20</v>
      </c>
      <c r="D112" s="2" t="e">
        <f t="array" ref="D112">INDEX(T_vexistenciaxproducto[COSTO],MATCH(T_TránsitoCompras[[#This Row],[EMPRESA]]&amp;T_TránsitoCompras[[#This Row],[CODIGO]],T_vexistenciaxproducto[EMPRESA]&amp;T_vexistenciaxproducto[CODIGO],0),1)</f>
        <v>#VALUE!</v>
      </c>
      <c r="E112" s="2" t="e">
        <f>T_TránsitoCompras[[#This Row],[Tránsito]]
*T_TránsitoCompras[[#This Row],[Costo]]</f>
        <v>#VALUE!</v>
      </c>
    </row>
    <row r="113" spans="1:5" x14ac:dyDescent="0.25">
      <c r="A113" t="s">
        <v>2074</v>
      </c>
      <c r="B113" t="s">
        <v>1240</v>
      </c>
      <c r="C113">
        <v>20</v>
      </c>
      <c r="D113" s="2" t="e">
        <f t="array" ref="D113">INDEX(T_vexistenciaxproducto[COSTO],MATCH(T_TránsitoCompras[[#This Row],[EMPRESA]]&amp;T_TránsitoCompras[[#This Row],[CODIGO]],T_vexistenciaxproducto[EMPRESA]&amp;T_vexistenciaxproducto[CODIGO],0),1)</f>
        <v>#VALUE!</v>
      </c>
      <c r="E113" s="2" t="e">
        <f>T_TránsitoCompras[[#This Row],[Tránsito]]
*T_TránsitoCompras[[#This Row],[Costo]]</f>
        <v>#VALUE!</v>
      </c>
    </row>
    <row r="114" spans="1:5" x14ac:dyDescent="0.25">
      <c r="A114" t="s">
        <v>2074</v>
      </c>
      <c r="B114" t="s">
        <v>794</v>
      </c>
      <c r="C114">
        <v>5</v>
      </c>
      <c r="D114" s="2" t="e">
        <f t="array" ref="D114">INDEX(T_vexistenciaxproducto[COSTO],MATCH(T_TránsitoCompras[[#This Row],[EMPRESA]]&amp;T_TránsitoCompras[[#This Row],[CODIGO]],T_vexistenciaxproducto[EMPRESA]&amp;T_vexistenciaxproducto[CODIGO],0),1)</f>
        <v>#VALUE!</v>
      </c>
      <c r="E114" s="2" t="e">
        <f>T_TránsitoCompras[[#This Row],[Tránsito]]
*T_TránsitoCompras[[#This Row],[Costo]]</f>
        <v>#VALUE!</v>
      </c>
    </row>
    <row r="115" spans="1:5" x14ac:dyDescent="0.25">
      <c r="A115" t="s">
        <v>2074</v>
      </c>
      <c r="B115" t="s">
        <v>1241</v>
      </c>
      <c r="C115">
        <v>4</v>
      </c>
      <c r="D115" s="2" t="e">
        <f t="array" ref="D115">INDEX(T_vexistenciaxproducto[COSTO],MATCH(T_TránsitoCompras[[#This Row],[EMPRESA]]&amp;T_TránsitoCompras[[#This Row],[CODIGO]],T_vexistenciaxproducto[EMPRESA]&amp;T_vexistenciaxproducto[CODIGO],0),1)</f>
        <v>#VALUE!</v>
      </c>
      <c r="E115" s="2" t="e">
        <f>T_TránsitoCompras[[#This Row],[Tránsito]]
*T_TránsitoCompras[[#This Row],[Costo]]</f>
        <v>#VALUE!</v>
      </c>
    </row>
    <row r="116" spans="1:5" x14ac:dyDescent="0.25">
      <c r="A116" t="s">
        <v>2074</v>
      </c>
      <c r="B116" t="s">
        <v>623</v>
      </c>
      <c r="C116">
        <v>1</v>
      </c>
      <c r="D116" s="2" t="e">
        <f t="array" ref="D116">INDEX(T_vexistenciaxproducto[COSTO],MATCH(T_TránsitoCompras[[#This Row],[EMPRESA]]&amp;T_TránsitoCompras[[#This Row],[CODIGO]],T_vexistenciaxproducto[EMPRESA]&amp;T_vexistenciaxproducto[CODIGO],0),1)</f>
        <v>#VALUE!</v>
      </c>
      <c r="E116" s="2" t="e">
        <f>T_TránsitoCompras[[#This Row],[Tránsito]]
*T_TránsitoCompras[[#This Row],[Costo]]</f>
        <v>#VALUE!</v>
      </c>
    </row>
    <row r="117" spans="1:5" x14ac:dyDescent="0.25">
      <c r="A117" t="s">
        <v>2074</v>
      </c>
      <c r="B117" t="s">
        <v>1243</v>
      </c>
      <c r="C117">
        <v>7</v>
      </c>
      <c r="D117" s="2" t="e">
        <f t="array" ref="D117">INDEX(T_vexistenciaxproducto[COSTO],MATCH(T_TránsitoCompras[[#This Row],[EMPRESA]]&amp;T_TránsitoCompras[[#This Row],[CODIGO]],T_vexistenciaxproducto[EMPRESA]&amp;T_vexistenciaxproducto[CODIGO],0),1)</f>
        <v>#VALUE!</v>
      </c>
      <c r="E117" s="2" t="e">
        <f>T_TránsitoCompras[[#This Row],[Tránsito]]
*T_TránsitoCompras[[#This Row],[Costo]]</f>
        <v>#VALUE!</v>
      </c>
    </row>
    <row r="118" spans="1:5" x14ac:dyDescent="0.25">
      <c r="A118" t="s">
        <v>2074</v>
      </c>
      <c r="B118" t="s">
        <v>1367</v>
      </c>
      <c r="C118">
        <v>3</v>
      </c>
      <c r="D118" s="2" t="e">
        <f t="array" ref="D118">INDEX(T_vexistenciaxproducto[COSTO],MATCH(T_TránsitoCompras[[#This Row],[EMPRESA]]&amp;T_TránsitoCompras[[#This Row],[CODIGO]],T_vexistenciaxproducto[EMPRESA]&amp;T_vexistenciaxproducto[CODIGO],0),1)</f>
        <v>#VALUE!</v>
      </c>
      <c r="E118" s="2" t="e">
        <f>T_TránsitoCompras[[#This Row],[Tránsito]]
*T_TránsitoCompras[[#This Row],[Costo]]</f>
        <v>#VALUE!</v>
      </c>
    </row>
    <row r="119" spans="1:5" x14ac:dyDescent="0.25">
      <c r="A119" t="s">
        <v>2074</v>
      </c>
      <c r="B119" t="s">
        <v>1419</v>
      </c>
      <c r="C119">
        <v>2</v>
      </c>
      <c r="D119" s="2" t="e">
        <f t="array" ref="D119">INDEX(T_vexistenciaxproducto[COSTO],MATCH(T_TránsitoCompras[[#This Row],[EMPRESA]]&amp;T_TránsitoCompras[[#This Row],[CODIGO]],T_vexistenciaxproducto[EMPRESA]&amp;T_vexistenciaxproducto[CODIGO],0),1)</f>
        <v>#VALUE!</v>
      </c>
      <c r="E119" s="2" t="e">
        <f>T_TránsitoCompras[[#This Row],[Tránsito]]
*T_TránsitoCompras[[#This Row],[Costo]]</f>
        <v>#VALUE!</v>
      </c>
    </row>
    <row r="120" spans="1:5" x14ac:dyDescent="0.25">
      <c r="A120" t="s">
        <v>2074</v>
      </c>
      <c r="B120" t="s">
        <v>811</v>
      </c>
      <c r="C120">
        <v>10</v>
      </c>
      <c r="D120" s="2" t="e">
        <f t="array" ref="D120">INDEX(T_vexistenciaxproducto[COSTO],MATCH(T_TránsitoCompras[[#This Row],[EMPRESA]]&amp;T_TránsitoCompras[[#This Row],[CODIGO]],T_vexistenciaxproducto[EMPRESA]&amp;T_vexistenciaxproducto[CODIGO],0),1)</f>
        <v>#VALUE!</v>
      </c>
      <c r="E120" s="2" t="e">
        <f>T_TránsitoCompras[[#This Row],[Tránsito]]
*T_TránsitoCompras[[#This Row],[Costo]]</f>
        <v>#VALUE!</v>
      </c>
    </row>
    <row r="121" spans="1:5" x14ac:dyDescent="0.25">
      <c r="A121" t="s">
        <v>2074</v>
      </c>
      <c r="B121" t="s">
        <v>1158</v>
      </c>
      <c r="C121">
        <v>2</v>
      </c>
      <c r="D121" s="2" t="e">
        <f t="array" ref="D121">INDEX(T_vexistenciaxproducto[COSTO],MATCH(T_TránsitoCompras[[#This Row],[EMPRESA]]&amp;T_TránsitoCompras[[#This Row],[CODIGO]],T_vexistenciaxproducto[EMPRESA]&amp;T_vexistenciaxproducto[CODIGO],0),1)</f>
        <v>#VALUE!</v>
      </c>
      <c r="E121" s="2" t="e">
        <f>T_TránsitoCompras[[#This Row],[Tránsito]]
*T_TránsitoCompras[[#This Row],[Costo]]</f>
        <v>#VALUE!</v>
      </c>
    </row>
    <row r="122" spans="1:5" x14ac:dyDescent="0.25">
      <c r="A122" t="s">
        <v>2074</v>
      </c>
      <c r="B122" t="s">
        <v>1259</v>
      </c>
      <c r="C122">
        <v>1</v>
      </c>
      <c r="D122" s="2" t="e">
        <f t="array" ref="D122">INDEX(T_vexistenciaxproducto[COSTO],MATCH(T_TránsitoCompras[[#This Row],[EMPRESA]]&amp;T_TránsitoCompras[[#This Row],[CODIGO]],T_vexistenciaxproducto[EMPRESA]&amp;T_vexistenciaxproducto[CODIGO],0),1)</f>
        <v>#VALUE!</v>
      </c>
      <c r="E122" s="2" t="e">
        <f>T_TránsitoCompras[[#This Row],[Tránsito]]
*T_TránsitoCompras[[#This Row],[Costo]]</f>
        <v>#VALUE!</v>
      </c>
    </row>
    <row r="123" spans="1:5" x14ac:dyDescent="0.25">
      <c r="A123" t="s">
        <v>2074</v>
      </c>
      <c r="B123" t="s">
        <v>1267</v>
      </c>
      <c r="C123">
        <v>10</v>
      </c>
      <c r="D123" s="2" t="e">
        <f t="array" ref="D123">INDEX(T_vexistenciaxproducto[COSTO],MATCH(T_TránsitoCompras[[#This Row],[EMPRESA]]&amp;T_TránsitoCompras[[#This Row],[CODIGO]],T_vexistenciaxproducto[EMPRESA]&amp;T_vexistenciaxproducto[CODIGO],0),1)</f>
        <v>#VALUE!</v>
      </c>
      <c r="E123" s="2" t="e">
        <f>T_TránsitoCompras[[#This Row],[Tránsito]]
*T_TránsitoCompras[[#This Row],[Costo]]</f>
        <v>#VALUE!</v>
      </c>
    </row>
    <row r="124" spans="1:5" x14ac:dyDescent="0.25">
      <c r="A124" t="s">
        <v>2074</v>
      </c>
      <c r="B124" t="s">
        <v>287</v>
      </c>
      <c r="C124">
        <v>4</v>
      </c>
      <c r="D124" s="2" t="e">
        <f t="array" ref="D124">INDEX(T_vexistenciaxproducto[COSTO],MATCH(T_TránsitoCompras[[#This Row],[EMPRESA]]&amp;T_TránsitoCompras[[#This Row],[CODIGO]],T_vexistenciaxproducto[EMPRESA]&amp;T_vexistenciaxproducto[CODIGO],0),1)</f>
        <v>#VALUE!</v>
      </c>
      <c r="E124" s="2" t="e">
        <f>T_TránsitoCompras[[#This Row],[Tránsito]]
*T_TránsitoCompras[[#This Row],[Costo]]</f>
        <v>#VALUE!</v>
      </c>
    </row>
    <row r="125" spans="1:5" x14ac:dyDescent="0.25">
      <c r="A125" t="s">
        <v>2074</v>
      </c>
      <c r="B125" t="s">
        <v>808</v>
      </c>
      <c r="C125">
        <v>50</v>
      </c>
      <c r="D125" s="2" t="e">
        <f t="array" ref="D125">INDEX(T_vexistenciaxproducto[COSTO],MATCH(T_TránsitoCompras[[#This Row],[EMPRESA]]&amp;T_TránsitoCompras[[#This Row],[CODIGO]],T_vexistenciaxproducto[EMPRESA]&amp;T_vexistenciaxproducto[CODIGO],0),1)</f>
        <v>#VALUE!</v>
      </c>
      <c r="E125" s="2" t="e">
        <f>T_TránsitoCompras[[#This Row],[Tránsito]]
*T_TránsitoCompras[[#This Row],[Costo]]</f>
        <v>#VALUE!</v>
      </c>
    </row>
    <row r="126" spans="1:5" x14ac:dyDescent="0.25">
      <c r="A126" t="s">
        <v>2074</v>
      </c>
      <c r="B126" t="s">
        <v>1264</v>
      </c>
      <c r="C126">
        <v>3</v>
      </c>
      <c r="D126" s="2" t="e">
        <f t="array" ref="D126">INDEX(T_vexistenciaxproducto[COSTO],MATCH(T_TránsitoCompras[[#This Row],[EMPRESA]]&amp;T_TránsitoCompras[[#This Row],[CODIGO]],T_vexistenciaxproducto[EMPRESA]&amp;T_vexistenciaxproducto[CODIGO],0),1)</f>
        <v>#VALUE!</v>
      </c>
      <c r="E126" s="2" t="e">
        <f>T_TránsitoCompras[[#This Row],[Tránsito]]
*T_TránsitoCompras[[#This Row],[Costo]]</f>
        <v>#VALUE!</v>
      </c>
    </row>
    <row r="127" spans="1:5" x14ac:dyDescent="0.25">
      <c r="A127" t="s">
        <v>2074</v>
      </c>
      <c r="B127" t="s">
        <v>1273</v>
      </c>
      <c r="C127">
        <v>2</v>
      </c>
      <c r="D127" s="2" t="e">
        <f t="array" ref="D127">INDEX(T_vexistenciaxproducto[COSTO],MATCH(T_TránsitoCompras[[#This Row],[EMPRESA]]&amp;T_TránsitoCompras[[#This Row],[CODIGO]],T_vexistenciaxproducto[EMPRESA]&amp;T_vexistenciaxproducto[CODIGO],0),1)</f>
        <v>#VALUE!</v>
      </c>
      <c r="E127" s="2" t="e">
        <f>T_TránsitoCompras[[#This Row],[Tránsito]]
*T_TránsitoCompras[[#This Row],[Costo]]</f>
        <v>#VALUE!</v>
      </c>
    </row>
    <row r="128" spans="1:5" x14ac:dyDescent="0.25">
      <c r="A128" t="s">
        <v>2074</v>
      </c>
      <c r="B128" t="s">
        <v>698</v>
      </c>
      <c r="C128">
        <v>4</v>
      </c>
      <c r="D128" s="2" t="e">
        <f t="array" ref="D128">INDEX(T_vexistenciaxproducto[COSTO],MATCH(T_TránsitoCompras[[#This Row],[EMPRESA]]&amp;T_TránsitoCompras[[#This Row],[CODIGO]],T_vexistenciaxproducto[EMPRESA]&amp;T_vexistenciaxproducto[CODIGO],0),1)</f>
        <v>#VALUE!</v>
      </c>
      <c r="E128" s="2" t="e">
        <f>T_TránsitoCompras[[#This Row],[Tránsito]]
*T_TránsitoCompras[[#This Row],[Costo]]</f>
        <v>#VALUE!</v>
      </c>
    </row>
    <row r="129" spans="1:5" x14ac:dyDescent="0.25">
      <c r="A129" t="s">
        <v>2074</v>
      </c>
      <c r="B129" t="s">
        <v>1684</v>
      </c>
      <c r="C129">
        <v>5</v>
      </c>
      <c r="D129" s="2" t="e">
        <f t="array" ref="D129">INDEX(T_vexistenciaxproducto[COSTO],MATCH(T_TránsitoCompras[[#This Row],[EMPRESA]]&amp;T_TránsitoCompras[[#This Row],[CODIGO]],T_vexistenciaxproducto[EMPRESA]&amp;T_vexistenciaxproducto[CODIGO],0),1)</f>
        <v>#VALUE!</v>
      </c>
      <c r="E129" s="2" t="e">
        <f>T_TránsitoCompras[[#This Row],[Tránsito]]
*T_TránsitoCompras[[#This Row],[Costo]]</f>
        <v>#VALUE!</v>
      </c>
    </row>
    <row r="130" spans="1:5" x14ac:dyDescent="0.25">
      <c r="A130" t="s">
        <v>2074</v>
      </c>
      <c r="B130" t="s">
        <v>1298</v>
      </c>
      <c r="C130">
        <v>20</v>
      </c>
      <c r="D130" s="2" t="e">
        <f t="array" ref="D130">INDEX(T_vexistenciaxproducto[COSTO],MATCH(T_TránsitoCompras[[#This Row],[EMPRESA]]&amp;T_TránsitoCompras[[#This Row],[CODIGO]],T_vexistenciaxproducto[EMPRESA]&amp;T_vexistenciaxproducto[CODIGO],0),1)</f>
        <v>#VALUE!</v>
      </c>
      <c r="E130" s="2" t="e">
        <f>T_TránsitoCompras[[#This Row],[Tránsito]]
*T_TránsitoCompras[[#This Row],[Costo]]</f>
        <v>#VALUE!</v>
      </c>
    </row>
    <row r="131" spans="1:5" x14ac:dyDescent="0.25">
      <c r="A131" t="s">
        <v>2074</v>
      </c>
      <c r="B131" t="s">
        <v>809</v>
      </c>
      <c r="C131">
        <v>30</v>
      </c>
      <c r="D131" s="2" t="e">
        <f t="array" ref="D131">INDEX(T_vexistenciaxproducto[COSTO],MATCH(T_TránsitoCompras[[#This Row],[EMPRESA]]&amp;T_TránsitoCompras[[#This Row],[CODIGO]],T_vexistenciaxproducto[EMPRESA]&amp;T_vexistenciaxproducto[CODIGO],0),1)</f>
        <v>#VALUE!</v>
      </c>
      <c r="E131" s="2" t="e">
        <f>T_TránsitoCompras[[#This Row],[Tránsito]]
*T_TránsitoCompras[[#This Row],[Costo]]</f>
        <v>#VALUE!</v>
      </c>
    </row>
    <row r="132" spans="1:5" x14ac:dyDescent="0.25">
      <c r="A132" t="s">
        <v>2074</v>
      </c>
      <c r="B132" t="s">
        <v>1124</v>
      </c>
      <c r="C132">
        <v>13</v>
      </c>
      <c r="D132" s="2" t="e">
        <f t="array" ref="D132">INDEX(T_vexistenciaxproducto[COSTO],MATCH(T_TránsitoCompras[[#This Row],[EMPRESA]]&amp;T_TránsitoCompras[[#This Row],[CODIGO]],T_vexistenciaxproducto[EMPRESA]&amp;T_vexistenciaxproducto[CODIGO],0),1)</f>
        <v>#VALUE!</v>
      </c>
      <c r="E132" s="2" t="e">
        <f>T_TránsitoCompras[[#This Row],[Tránsito]]
*T_TránsitoCompras[[#This Row],[Costo]]</f>
        <v>#VALUE!</v>
      </c>
    </row>
    <row r="133" spans="1:5" x14ac:dyDescent="0.25">
      <c r="A133" t="s">
        <v>2074</v>
      </c>
      <c r="B133" t="s">
        <v>1122</v>
      </c>
      <c r="C133">
        <v>144</v>
      </c>
      <c r="D133" s="2" t="e">
        <f t="array" ref="D133">INDEX(T_vexistenciaxproducto[COSTO],MATCH(T_TránsitoCompras[[#This Row],[EMPRESA]]&amp;T_TránsitoCompras[[#This Row],[CODIGO]],T_vexistenciaxproducto[EMPRESA]&amp;T_vexistenciaxproducto[CODIGO],0),1)</f>
        <v>#VALUE!</v>
      </c>
      <c r="E133" s="2" t="e">
        <f>T_TránsitoCompras[[#This Row],[Tránsito]]
*T_TránsitoCompras[[#This Row],[Costo]]</f>
        <v>#VALUE!</v>
      </c>
    </row>
    <row r="134" spans="1:5" x14ac:dyDescent="0.25">
      <c r="A134" t="s">
        <v>2074</v>
      </c>
      <c r="B134" t="s">
        <v>1125</v>
      </c>
      <c r="C134">
        <v>1</v>
      </c>
      <c r="D134" s="2" t="e">
        <f t="array" ref="D134">INDEX(T_vexistenciaxproducto[COSTO],MATCH(T_TránsitoCompras[[#This Row],[EMPRESA]]&amp;T_TránsitoCompras[[#This Row],[CODIGO]],T_vexistenciaxproducto[EMPRESA]&amp;T_vexistenciaxproducto[CODIGO],0),1)</f>
        <v>#VALUE!</v>
      </c>
      <c r="E134" s="2" t="e">
        <f>T_TránsitoCompras[[#This Row],[Tránsito]]
*T_TránsitoCompras[[#This Row],[Costo]]</f>
        <v>#VALUE!</v>
      </c>
    </row>
    <row r="135" spans="1:5" x14ac:dyDescent="0.25">
      <c r="A135" t="s">
        <v>2074</v>
      </c>
      <c r="B135" t="s">
        <v>2081</v>
      </c>
      <c r="C135">
        <v>2</v>
      </c>
      <c r="D135" s="2" t="e">
        <f t="array" ref="D135">INDEX(T_vexistenciaxproducto[COSTO],MATCH(T_TránsitoCompras[[#This Row],[EMPRESA]]&amp;T_TránsitoCompras[[#This Row],[CODIGO]],T_vexistenciaxproducto[EMPRESA]&amp;T_vexistenciaxproducto[CODIGO],0),1)</f>
        <v>#VALUE!</v>
      </c>
      <c r="E135" s="2" t="e">
        <f>T_TránsitoCompras[[#This Row],[Tránsito]]
*T_TránsitoCompras[[#This Row],[Costo]]</f>
        <v>#VALUE!</v>
      </c>
    </row>
    <row r="136" spans="1:5" x14ac:dyDescent="0.25">
      <c r="A136" t="s">
        <v>2074</v>
      </c>
      <c r="B136" t="s">
        <v>1302</v>
      </c>
      <c r="C136">
        <v>2</v>
      </c>
      <c r="D136" s="2" t="e">
        <f t="array" ref="D136">INDEX(T_vexistenciaxproducto[COSTO],MATCH(T_TránsitoCompras[[#This Row],[EMPRESA]]&amp;T_TránsitoCompras[[#This Row],[CODIGO]],T_vexistenciaxproducto[EMPRESA]&amp;T_vexistenciaxproducto[CODIGO],0),1)</f>
        <v>#VALUE!</v>
      </c>
      <c r="E136" s="2" t="e">
        <f>T_TránsitoCompras[[#This Row],[Tránsito]]
*T_TránsitoCompras[[#This Row],[Costo]]</f>
        <v>#VALUE!</v>
      </c>
    </row>
    <row r="137" spans="1:5" x14ac:dyDescent="0.25">
      <c r="A137" t="s">
        <v>2074</v>
      </c>
      <c r="B137" t="s">
        <v>1303</v>
      </c>
      <c r="C137">
        <v>3</v>
      </c>
      <c r="D137" s="2" t="e">
        <f t="array" ref="D137">INDEX(T_vexistenciaxproducto[COSTO],MATCH(T_TránsitoCompras[[#This Row],[EMPRESA]]&amp;T_TránsitoCompras[[#This Row],[CODIGO]],T_vexistenciaxproducto[EMPRESA]&amp;T_vexistenciaxproducto[CODIGO],0),1)</f>
        <v>#VALUE!</v>
      </c>
      <c r="E137" s="2" t="e">
        <f>T_TránsitoCompras[[#This Row],[Tránsito]]
*T_TránsitoCompras[[#This Row],[Costo]]</f>
        <v>#VALUE!</v>
      </c>
    </row>
    <row r="138" spans="1:5" x14ac:dyDescent="0.25">
      <c r="A138" t="s">
        <v>2074</v>
      </c>
      <c r="B138" t="s">
        <v>1432</v>
      </c>
      <c r="C138">
        <v>1</v>
      </c>
      <c r="D138" s="2" t="e">
        <f t="array" ref="D138">INDEX(T_vexistenciaxproducto[COSTO],MATCH(T_TránsitoCompras[[#This Row],[EMPRESA]]&amp;T_TránsitoCompras[[#This Row],[CODIGO]],T_vexistenciaxproducto[EMPRESA]&amp;T_vexistenciaxproducto[CODIGO],0),1)</f>
        <v>#VALUE!</v>
      </c>
      <c r="E138" s="2" t="e">
        <f>T_TránsitoCompras[[#This Row],[Tránsito]]
*T_TránsitoCompras[[#This Row],[Costo]]</f>
        <v>#VALUE!</v>
      </c>
    </row>
    <row r="139" spans="1:5" x14ac:dyDescent="0.25">
      <c r="A139" t="s">
        <v>2074</v>
      </c>
      <c r="B139" t="s">
        <v>1602</v>
      </c>
      <c r="C139">
        <v>4</v>
      </c>
      <c r="D139" s="2" t="e">
        <f t="array" ref="D139">INDEX(T_vexistenciaxproducto[COSTO],MATCH(T_TránsitoCompras[[#This Row],[EMPRESA]]&amp;T_TránsitoCompras[[#This Row],[CODIGO]],T_vexistenciaxproducto[EMPRESA]&amp;T_vexistenciaxproducto[CODIGO],0),1)</f>
        <v>#VALUE!</v>
      </c>
      <c r="E139" s="2" t="e">
        <f>T_TránsitoCompras[[#This Row],[Tránsito]]
*T_TránsitoCompras[[#This Row],[Costo]]</f>
        <v>#VALUE!</v>
      </c>
    </row>
    <row r="140" spans="1:5" x14ac:dyDescent="0.25">
      <c r="A140" t="s">
        <v>2074</v>
      </c>
      <c r="B140" t="s">
        <v>1603</v>
      </c>
      <c r="C140">
        <v>5</v>
      </c>
      <c r="D140" s="2" t="e">
        <f t="array" ref="D140">INDEX(T_vexistenciaxproducto[COSTO],MATCH(T_TránsitoCompras[[#This Row],[EMPRESA]]&amp;T_TránsitoCompras[[#This Row],[CODIGO]],T_vexistenciaxproducto[EMPRESA]&amp;T_vexistenciaxproducto[CODIGO],0),1)</f>
        <v>#VALUE!</v>
      </c>
      <c r="E140" s="2" t="e">
        <f>T_TránsitoCompras[[#This Row],[Tránsito]]
*T_TránsitoCompras[[#This Row],[Costo]]</f>
        <v>#VALUE!</v>
      </c>
    </row>
    <row r="141" spans="1:5" x14ac:dyDescent="0.25">
      <c r="A141" t="s">
        <v>2074</v>
      </c>
      <c r="B141" t="s">
        <v>877</v>
      </c>
      <c r="C141">
        <v>2</v>
      </c>
      <c r="D141" s="2" t="e">
        <f t="array" ref="D141">INDEX(T_vexistenciaxproducto[COSTO],MATCH(T_TránsitoCompras[[#This Row],[EMPRESA]]&amp;T_TránsitoCompras[[#This Row],[CODIGO]],T_vexistenciaxproducto[EMPRESA]&amp;T_vexistenciaxproducto[CODIGO],0),1)</f>
        <v>#VALUE!</v>
      </c>
      <c r="E141" s="2" t="e">
        <f>T_TránsitoCompras[[#This Row],[Tránsito]]
*T_TránsitoCompras[[#This Row],[Costo]]</f>
        <v>#VALUE!</v>
      </c>
    </row>
    <row r="142" spans="1:5" x14ac:dyDescent="0.25">
      <c r="A142" t="s">
        <v>2074</v>
      </c>
      <c r="B142" t="s">
        <v>1314</v>
      </c>
      <c r="C142">
        <v>10</v>
      </c>
      <c r="D142" s="2" t="e">
        <f t="array" ref="D142">INDEX(T_vexistenciaxproducto[COSTO],MATCH(T_TránsitoCompras[[#This Row],[EMPRESA]]&amp;T_TránsitoCompras[[#This Row],[CODIGO]],T_vexistenciaxproducto[EMPRESA]&amp;T_vexistenciaxproducto[CODIGO],0),1)</f>
        <v>#VALUE!</v>
      </c>
      <c r="E142" s="2" t="e">
        <f>T_TránsitoCompras[[#This Row],[Tránsito]]
*T_TránsitoCompras[[#This Row],[Costo]]</f>
        <v>#VALUE!</v>
      </c>
    </row>
    <row r="143" spans="1:5" x14ac:dyDescent="0.25">
      <c r="A143" t="s">
        <v>2074</v>
      </c>
      <c r="B143" t="s">
        <v>1126</v>
      </c>
      <c r="C143">
        <v>10</v>
      </c>
      <c r="D143" s="2" t="e">
        <f t="array" ref="D143">INDEX(T_vexistenciaxproducto[COSTO],MATCH(T_TránsitoCompras[[#This Row],[EMPRESA]]&amp;T_TránsitoCompras[[#This Row],[CODIGO]],T_vexistenciaxproducto[EMPRESA]&amp;T_vexistenciaxproducto[CODIGO],0),1)</f>
        <v>#VALUE!</v>
      </c>
      <c r="E143" s="2" t="e">
        <f>T_TránsitoCompras[[#This Row],[Tránsito]]
*T_TránsitoCompras[[#This Row],[Costo]]</f>
        <v>#VALUE!</v>
      </c>
    </row>
    <row r="144" spans="1:5" x14ac:dyDescent="0.25">
      <c r="A144" t="s">
        <v>2074</v>
      </c>
      <c r="B144" t="s">
        <v>1127</v>
      </c>
      <c r="C144">
        <v>13</v>
      </c>
      <c r="D144" s="2" t="e">
        <f t="array" ref="D144">INDEX(T_vexistenciaxproducto[COSTO],MATCH(T_TránsitoCompras[[#This Row],[EMPRESA]]&amp;T_TránsitoCompras[[#This Row],[CODIGO]],T_vexistenciaxproducto[EMPRESA]&amp;T_vexistenciaxproducto[CODIGO],0),1)</f>
        <v>#VALUE!</v>
      </c>
      <c r="E144" s="2" t="e">
        <f>T_TránsitoCompras[[#This Row],[Tránsito]]
*T_TránsitoCompras[[#This Row],[Costo]]</f>
        <v>#VALUE!</v>
      </c>
    </row>
    <row r="145" spans="1:5" x14ac:dyDescent="0.25">
      <c r="A145" t="s">
        <v>2074</v>
      </c>
      <c r="B145" t="s">
        <v>1150</v>
      </c>
      <c r="C145">
        <v>14</v>
      </c>
      <c r="D145" s="2" t="e">
        <f t="array" ref="D145">INDEX(T_vexistenciaxproducto[COSTO],MATCH(T_TránsitoCompras[[#This Row],[EMPRESA]]&amp;T_TránsitoCompras[[#This Row],[CODIGO]],T_vexistenciaxproducto[EMPRESA]&amp;T_vexistenciaxproducto[CODIGO],0),1)</f>
        <v>#VALUE!</v>
      </c>
      <c r="E145" s="2" t="e">
        <f>T_TránsitoCompras[[#This Row],[Tránsito]]
*T_TránsitoCompras[[#This Row],[Costo]]</f>
        <v>#VALUE!</v>
      </c>
    </row>
    <row r="146" spans="1:5" x14ac:dyDescent="0.25">
      <c r="A146" t="s">
        <v>2074</v>
      </c>
      <c r="B146" t="s">
        <v>1317</v>
      </c>
      <c r="C146">
        <v>22</v>
      </c>
      <c r="D146" s="2" t="e">
        <f t="array" ref="D146">INDEX(T_vexistenciaxproducto[COSTO],MATCH(T_TránsitoCompras[[#This Row],[EMPRESA]]&amp;T_TránsitoCompras[[#This Row],[CODIGO]],T_vexistenciaxproducto[EMPRESA]&amp;T_vexistenciaxproducto[CODIGO],0),1)</f>
        <v>#VALUE!</v>
      </c>
      <c r="E146" s="2" t="e">
        <f>T_TránsitoCompras[[#This Row],[Tránsito]]
*T_TránsitoCompras[[#This Row],[Costo]]</f>
        <v>#VALUE!</v>
      </c>
    </row>
    <row r="147" spans="1:5" x14ac:dyDescent="0.25">
      <c r="A147" t="s">
        <v>2074</v>
      </c>
      <c r="B147" t="s">
        <v>1320</v>
      </c>
      <c r="C147">
        <v>20</v>
      </c>
      <c r="D147" s="2" t="e">
        <f t="array" ref="D147">INDEX(T_vexistenciaxproducto[COSTO],MATCH(T_TránsitoCompras[[#This Row],[EMPRESA]]&amp;T_TránsitoCompras[[#This Row],[CODIGO]],T_vexistenciaxproducto[EMPRESA]&amp;T_vexistenciaxproducto[CODIGO],0),1)</f>
        <v>#VALUE!</v>
      </c>
      <c r="E147" s="2" t="e">
        <f>T_TránsitoCompras[[#This Row],[Tránsito]]
*T_TránsitoCompras[[#This Row],[Costo]]</f>
        <v>#VALUE!</v>
      </c>
    </row>
    <row r="148" spans="1:5" x14ac:dyDescent="0.25">
      <c r="A148" t="s">
        <v>2074</v>
      </c>
      <c r="B148" t="s">
        <v>1326</v>
      </c>
      <c r="C148">
        <v>5</v>
      </c>
      <c r="D148" s="2" t="e">
        <f t="array" ref="D148">INDEX(T_vexistenciaxproducto[COSTO],MATCH(T_TránsitoCompras[[#This Row],[EMPRESA]]&amp;T_TránsitoCompras[[#This Row],[CODIGO]],T_vexistenciaxproducto[EMPRESA]&amp;T_vexistenciaxproducto[CODIGO],0),1)</f>
        <v>#VALUE!</v>
      </c>
      <c r="E148" s="2" t="e">
        <f>T_TránsitoCompras[[#This Row],[Tránsito]]
*T_TránsitoCompras[[#This Row],[Costo]]</f>
        <v>#VALUE!</v>
      </c>
    </row>
    <row r="149" spans="1:5" x14ac:dyDescent="0.25">
      <c r="A149" t="s">
        <v>2074</v>
      </c>
      <c r="B149" t="s">
        <v>1226</v>
      </c>
      <c r="C149">
        <v>2</v>
      </c>
      <c r="D149" s="2" t="e">
        <f t="array" ref="D149">INDEX(T_vexistenciaxproducto[COSTO],MATCH(T_TránsitoCompras[[#This Row],[EMPRESA]]&amp;T_TránsitoCompras[[#This Row],[CODIGO]],T_vexistenciaxproducto[EMPRESA]&amp;T_vexistenciaxproducto[CODIGO],0),1)</f>
        <v>#VALUE!</v>
      </c>
      <c r="E149" s="2" t="e">
        <f>T_TránsitoCompras[[#This Row],[Tránsito]]
*T_TránsitoCompras[[#This Row],[Costo]]</f>
        <v>#VALUE!</v>
      </c>
    </row>
    <row r="150" spans="1:5" x14ac:dyDescent="0.25">
      <c r="A150" t="s">
        <v>2074</v>
      </c>
      <c r="B150" t="s">
        <v>1082</v>
      </c>
      <c r="C150">
        <v>5</v>
      </c>
      <c r="D150" s="2" t="e">
        <f t="array" ref="D150">INDEX(T_vexistenciaxproducto[COSTO],MATCH(T_TránsitoCompras[[#This Row],[EMPRESA]]&amp;T_TránsitoCompras[[#This Row],[CODIGO]],T_vexistenciaxproducto[EMPRESA]&amp;T_vexistenciaxproducto[CODIGO],0),1)</f>
        <v>#VALUE!</v>
      </c>
      <c r="E150" s="2" t="e">
        <f>T_TránsitoCompras[[#This Row],[Tránsito]]
*T_TránsitoCompras[[#This Row],[Costo]]</f>
        <v>#VALUE!</v>
      </c>
    </row>
    <row r="151" spans="1:5" x14ac:dyDescent="0.25">
      <c r="A151" t="s">
        <v>2074</v>
      </c>
      <c r="B151" t="s">
        <v>1331</v>
      </c>
      <c r="C151">
        <v>12</v>
      </c>
      <c r="D151" s="2" t="e">
        <f t="array" ref="D151">INDEX(T_vexistenciaxproducto[COSTO],MATCH(T_TránsitoCompras[[#This Row],[EMPRESA]]&amp;T_TránsitoCompras[[#This Row],[CODIGO]],T_vexistenciaxproducto[EMPRESA]&amp;T_vexistenciaxproducto[CODIGO],0),1)</f>
        <v>#VALUE!</v>
      </c>
      <c r="E151" s="2" t="e">
        <f>T_TránsitoCompras[[#This Row],[Tránsito]]
*T_TránsitoCompras[[#This Row],[Costo]]</f>
        <v>#VALUE!</v>
      </c>
    </row>
    <row r="152" spans="1:5" x14ac:dyDescent="0.25">
      <c r="A152" t="s">
        <v>2074</v>
      </c>
      <c r="B152" t="s">
        <v>1609</v>
      </c>
      <c r="C152">
        <v>30</v>
      </c>
      <c r="D152" s="2" t="e">
        <f t="array" ref="D152">INDEX(T_vexistenciaxproducto[COSTO],MATCH(T_TránsitoCompras[[#This Row],[EMPRESA]]&amp;T_TránsitoCompras[[#This Row],[CODIGO]],T_vexistenciaxproducto[EMPRESA]&amp;T_vexistenciaxproducto[CODIGO],0),1)</f>
        <v>#VALUE!</v>
      </c>
      <c r="E152" s="2" t="e">
        <f>T_TránsitoCompras[[#This Row],[Tránsito]]
*T_TránsitoCompras[[#This Row],[Costo]]</f>
        <v>#VALUE!</v>
      </c>
    </row>
    <row r="153" spans="1:5" x14ac:dyDescent="0.25">
      <c r="A153" t="s">
        <v>2074</v>
      </c>
      <c r="B153" t="s">
        <v>1338</v>
      </c>
      <c r="C153">
        <v>4</v>
      </c>
      <c r="D153" s="2" t="e">
        <f t="array" ref="D153">INDEX(T_vexistenciaxproducto[COSTO],MATCH(T_TránsitoCompras[[#This Row],[EMPRESA]]&amp;T_TránsitoCompras[[#This Row],[CODIGO]],T_vexistenciaxproducto[EMPRESA]&amp;T_vexistenciaxproducto[CODIGO],0),1)</f>
        <v>#VALUE!</v>
      </c>
      <c r="E153" s="2" t="e">
        <f>T_TránsitoCompras[[#This Row],[Tránsito]]
*T_TránsitoCompras[[#This Row],[Costo]]</f>
        <v>#VALUE!</v>
      </c>
    </row>
    <row r="154" spans="1:5" x14ac:dyDescent="0.25">
      <c r="A154" t="s">
        <v>2074</v>
      </c>
      <c r="B154" t="s">
        <v>1613</v>
      </c>
      <c r="C154">
        <v>10</v>
      </c>
      <c r="D154" s="2" t="e">
        <f t="array" ref="D154">INDEX(T_vexistenciaxproducto[COSTO],MATCH(T_TránsitoCompras[[#This Row],[EMPRESA]]&amp;T_TránsitoCompras[[#This Row],[CODIGO]],T_vexistenciaxproducto[EMPRESA]&amp;T_vexistenciaxproducto[CODIGO],0),1)</f>
        <v>#VALUE!</v>
      </c>
      <c r="E154" s="2" t="e">
        <f>T_TránsitoCompras[[#This Row],[Tránsito]]
*T_TránsitoCompras[[#This Row],[Costo]]</f>
        <v>#VALUE!</v>
      </c>
    </row>
    <row r="155" spans="1:5" x14ac:dyDescent="0.25">
      <c r="A155" t="s">
        <v>2074</v>
      </c>
      <c r="B155" t="s">
        <v>1341</v>
      </c>
      <c r="C155">
        <v>140</v>
      </c>
      <c r="D155" s="2" t="e">
        <f t="array" ref="D155">INDEX(T_vexistenciaxproducto[COSTO],MATCH(T_TránsitoCompras[[#This Row],[EMPRESA]]&amp;T_TránsitoCompras[[#This Row],[CODIGO]],T_vexistenciaxproducto[EMPRESA]&amp;T_vexistenciaxproducto[CODIGO],0),1)</f>
        <v>#VALUE!</v>
      </c>
      <c r="E155" s="2" t="e">
        <f>T_TránsitoCompras[[#This Row],[Tránsito]]
*T_TránsitoCompras[[#This Row],[Costo]]</f>
        <v>#VALUE!</v>
      </c>
    </row>
    <row r="156" spans="1:5" x14ac:dyDescent="0.25">
      <c r="A156" t="s">
        <v>2074</v>
      </c>
      <c r="B156" t="s">
        <v>1017</v>
      </c>
      <c r="C156">
        <v>5</v>
      </c>
      <c r="D156" s="2" t="e">
        <f t="array" ref="D156">INDEX(T_vexistenciaxproducto[COSTO],MATCH(T_TránsitoCompras[[#This Row],[EMPRESA]]&amp;T_TránsitoCompras[[#This Row],[CODIGO]],T_vexistenciaxproducto[EMPRESA]&amp;T_vexistenciaxproducto[CODIGO],0),1)</f>
        <v>#VALUE!</v>
      </c>
      <c r="E156" s="2" t="e">
        <f>T_TránsitoCompras[[#This Row],[Tránsito]]
*T_TránsitoCompras[[#This Row],[Costo]]</f>
        <v>#VALUE!</v>
      </c>
    </row>
    <row r="157" spans="1:5" x14ac:dyDescent="0.25">
      <c r="A157" t="s">
        <v>2074</v>
      </c>
      <c r="B157" t="s">
        <v>864</v>
      </c>
      <c r="C157">
        <v>6</v>
      </c>
      <c r="D157" s="2" t="e">
        <f t="array" ref="D157">INDEX(T_vexistenciaxproducto[COSTO],MATCH(T_TránsitoCompras[[#This Row],[EMPRESA]]&amp;T_TránsitoCompras[[#This Row],[CODIGO]],T_vexistenciaxproducto[EMPRESA]&amp;T_vexistenciaxproducto[CODIGO],0),1)</f>
        <v>#VALUE!</v>
      </c>
      <c r="E157" s="2" t="e">
        <f>T_TránsitoCompras[[#This Row],[Tránsito]]
*T_TránsitoCompras[[#This Row],[Costo]]</f>
        <v>#VALUE!</v>
      </c>
    </row>
    <row r="158" spans="1:5" x14ac:dyDescent="0.25">
      <c r="A158" t="s">
        <v>2074</v>
      </c>
      <c r="B158" t="s">
        <v>299</v>
      </c>
      <c r="C158">
        <v>1</v>
      </c>
      <c r="D158" s="2" t="e">
        <f t="array" ref="D158">INDEX(T_vexistenciaxproducto[COSTO],MATCH(T_TránsitoCompras[[#This Row],[EMPRESA]]&amp;T_TránsitoCompras[[#This Row],[CODIGO]],T_vexistenciaxproducto[EMPRESA]&amp;T_vexistenciaxproducto[CODIGO],0),1)</f>
        <v>#VALUE!</v>
      </c>
      <c r="E158" s="2" t="e">
        <f>T_TránsitoCompras[[#This Row],[Tránsito]]
*T_TránsitoCompras[[#This Row],[Costo]]</f>
        <v>#VALUE!</v>
      </c>
    </row>
    <row r="159" spans="1:5" x14ac:dyDescent="0.25">
      <c r="A159" t="s">
        <v>2074</v>
      </c>
      <c r="B159" t="s">
        <v>300</v>
      </c>
      <c r="C159">
        <v>6</v>
      </c>
      <c r="D159" s="2" t="e">
        <f t="array" ref="D159">INDEX(T_vexistenciaxproducto[COSTO],MATCH(T_TránsitoCompras[[#This Row],[EMPRESA]]&amp;T_TránsitoCompras[[#This Row],[CODIGO]],T_vexistenciaxproducto[EMPRESA]&amp;T_vexistenciaxproducto[CODIGO],0),1)</f>
        <v>#VALUE!</v>
      </c>
      <c r="E159" s="2" t="e">
        <f>T_TránsitoCompras[[#This Row],[Tránsito]]
*T_TránsitoCompras[[#This Row],[Costo]]</f>
        <v>#VALUE!</v>
      </c>
    </row>
    <row r="160" spans="1:5" x14ac:dyDescent="0.25">
      <c r="A160" t="s">
        <v>2074</v>
      </c>
      <c r="B160" t="s">
        <v>603</v>
      </c>
      <c r="C160">
        <v>1</v>
      </c>
      <c r="D160" s="2" t="e">
        <f t="array" ref="D160">INDEX(T_vexistenciaxproducto[COSTO],MATCH(T_TránsitoCompras[[#This Row],[EMPRESA]]&amp;T_TránsitoCompras[[#This Row],[CODIGO]],T_vexistenciaxproducto[EMPRESA]&amp;T_vexistenciaxproducto[CODIGO],0),1)</f>
        <v>#VALUE!</v>
      </c>
      <c r="E160" s="2" t="e">
        <f>T_TránsitoCompras[[#This Row],[Tránsito]]
*T_TránsitoCompras[[#This Row],[Costo]]</f>
        <v>#VALUE!</v>
      </c>
    </row>
    <row r="161" spans="1:5" x14ac:dyDescent="0.25">
      <c r="A161" t="s">
        <v>2074</v>
      </c>
      <c r="B161" t="s">
        <v>634</v>
      </c>
      <c r="C161">
        <v>5</v>
      </c>
      <c r="D161" s="2" t="e">
        <f t="array" ref="D161">INDEX(T_vexistenciaxproducto[COSTO],MATCH(T_TránsitoCompras[[#This Row],[EMPRESA]]&amp;T_TránsitoCompras[[#This Row],[CODIGO]],T_vexistenciaxproducto[EMPRESA]&amp;T_vexistenciaxproducto[CODIGO],0),1)</f>
        <v>#VALUE!</v>
      </c>
      <c r="E161" s="2" t="e">
        <f>T_TránsitoCompras[[#This Row],[Tránsito]]
*T_TránsitoCompras[[#This Row],[Costo]]</f>
        <v>#VALUE!</v>
      </c>
    </row>
    <row r="162" spans="1:5" x14ac:dyDescent="0.25">
      <c r="A162" t="s">
        <v>2074</v>
      </c>
      <c r="B162" t="s">
        <v>1141</v>
      </c>
      <c r="C162">
        <v>1</v>
      </c>
      <c r="D162" s="2" t="e">
        <f t="array" ref="D162">INDEX(T_vexistenciaxproducto[COSTO],MATCH(T_TránsitoCompras[[#This Row],[EMPRESA]]&amp;T_TránsitoCompras[[#This Row],[CODIGO]],T_vexistenciaxproducto[EMPRESA]&amp;T_vexistenciaxproducto[CODIGO],0),1)</f>
        <v>#VALUE!</v>
      </c>
      <c r="E162" s="2" t="e">
        <f>T_TránsitoCompras[[#This Row],[Tránsito]]
*T_TránsitoCompras[[#This Row],[Costo]]</f>
        <v>#VALUE!</v>
      </c>
    </row>
    <row r="163" spans="1:5" x14ac:dyDescent="0.25">
      <c r="A163" t="s">
        <v>2074</v>
      </c>
      <c r="B163" t="s">
        <v>391</v>
      </c>
      <c r="C163">
        <v>1</v>
      </c>
      <c r="D163" s="2" t="e">
        <f t="array" ref="D163">INDEX(T_vexistenciaxproducto[COSTO],MATCH(T_TránsitoCompras[[#This Row],[EMPRESA]]&amp;T_TránsitoCompras[[#This Row],[CODIGO]],T_vexistenciaxproducto[EMPRESA]&amp;T_vexistenciaxproducto[CODIGO],0),1)</f>
        <v>#VALUE!</v>
      </c>
      <c r="E163" s="2" t="e">
        <f>T_TránsitoCompras[[#This Row],[Tránsito]]
*T_TránsitoCompras[[#This Row],[Costo]]</f>
        <v>#VALUE!</v>
      </c>
    </row>
    <row r="164" spans="1:5" x14ac:dyDescent="0.25">
      <c r="A164" t="s">
        <v>2074</v>
      </c>
      <c r="B164" t="s">
        <v>1151</v>
      </c>
      <c r="C164">
        <v>21</v>
      </c>
      <c r="D164" s="2" t="e">
        <f t="array" ref="D164">INDEX(T_vexistenciaxproducto[COSTO],MATCH(T_TránsitoCompras[[#This Row],[EMPRESA]]&amp;T_TránsitoCompras[[#This Row],[CODIGO]],T_vexistenciaxproducto[EMPRESA]&amp;T_vexistenciaxproducto[CODIGO],0),1)</f>
        <v>#VALUE!</v>
      </c>
      <c r="E164" s="2" t="e">
        <f>T_TránsitoCompras[[#This Row],[Tránsito]]
*T_TránsitoCompras[[#This Row],[Costo]]</f>
        <v>#VALUE!</v>
      </c>
    </row>
    <row r="165" spans="1:5" x14ac:dyDescent="0.25">
      <c r="A165" t="s">
        <v>2074</v>
      </c>
      <c r="B165" t="s">
        <v>1118</v>
      </c>
      <c r="C165">
        <v>2</v>
      </c>
      <c r="D165" s="2" t="e">
        <f t="array" ref="D165">INDEX(T_vexistenciaxproducto[COSTO],MATCH(T_TránsitoCompras[[#This Row],[EMPRESA]]&amp;T_TránsitoCompras[[#This Row],[CODIGO]],T_vexistenciaxproducto[EMPRESA]&amp;T_vexistenciaxproducto[CODIGO],0),1)</f>
        <v>#VALUE!</v>
      </c>
      <c r="E165" s="2" t="e">
        <f>T_TránsitoCompras[[#This Row],[Tránsito]]
*T_TránsitoCompras[[#This Row],[Costo]]</f>
        <v>#VALUE!</v>
      </c>
    </row>
    <row r="166" spans="1:5" x14ac:dyDescent="0.25">
      <c r="A166" t="s">
        <v>2074</v>
      </c>
      <c r="B166" t="s">
        <v>571</v>
      </c>
      <c r="C166">
        <v>4</v>
      </c>
      <c r="D166" s="2" t="e">
        <f t="array" ref="D166">INDEX(T_vexistenciaxproducto[COSTO],MATCH(T_TránsitoCompras[[#This Row],[EMPRESA]]&amp;T_TránsitoCompras[[#This Row],[CODIGO]],T_vexistenciaxproducto[EMPRESA]&amp;T_vexistenciaxproducto[CODIGO],0),1)</f>
        <v>#VALUE!</v>
      </c>
      <c r="E166" s="2" t="e">
        <f>T_TránsitoCompras[[#This Row],[Tránsito]]
*T_TránsitoCompras[[#This Row],[Costo]]</f>
        <v>#VALUE!</v>
      </c>
    </row>
    <row r="167" spans="1:5" x14ac:dyDescent="0.25">
      <c r="A167" t="s">
        <v>2074</v>
      </c>
      <c r="B167" t="s">
        <v>1615</v>
      </c>
      <c r="C167">
        <v>2</v>
      </c>
      <c r="D167" s="2" t="e">
        <f t="array" ref="D167">INDEX(T_vexistenciaxproducto[COSTO],MATCH(T_TránsitoCompras[[#This Row],[EMPRESA]]&amp;T_TránsitoCompras[[#This Row],[CODIGO]],T_vexistenciaxproducto[EMPRESA]&amp;T_vexistenciaxproducto[CODIGO],0),1)</f>
        <v>#VALUE!</v>
      </c>
      <c r="E167" s="2" t="e">
        <f>T_TránsitoCompras[[#This Row],[Tránsito]]
*T_TránsitoCompras[[#This Row],[Costo]]</f>
        <v>#VALUE!</v>
      </c>
    </row>
    <row r="168" spans="1:5" x14ac:dyDescent="0.25">
      <c r="A168" t="s">
        <v>2074</v>
      </c>
      <c r="B168" t="s">
        <v>1042</v>
      </c>
      <c r="C168">
        <v>5</v>
      </c>
      <c r="D168" s="2" t="e">
        <f t="array" ref="D168">INDEX(T_vexistenciaxproducto[COSTO],MATCH(T_TránsitoCompras[[#This Row],[EMPRESA]]&amp;T_TránsitoCompras[[#This Row],[CODIGO]],T_vexistenciaxproducto[EMPRESA]&amp;T_vexistenciaxproducto[CODIGO],0),1)</f>
        <v>#VALUE!</v>
      </c>
      <c r="E168" s="2" t="e">
        <f>T_TránsitoCompras[[#This Row],[Tránsito]]
*T_TránsitoCompras[[#This Row],[Costo]]</f>
        <v>#VALUE!</v>
      </c>
    </row>
    <row r="169" spans="1:5" x14ac:dyDescent="0.25">
      <c r="A169" t="s">
        <v>2074</v>
      </c>
      <c r="B169" t="s">
        <v>306</v>
      </c>
      <c r="C169">
        <v>10</v>
      </c>
      <c r="D169" s="2" t="e">
        <f t="array" ref="D169">INDEX(T_vexistenciaxproducto[COSTO],MATCH(T_TránsitoCompras[[#This Row],[EMPRESA]]&amp;T_TránsitoCompras[[#This Row],[CODIGO]],T_vexistenciaxproducto[EMPRESA]&amp;T_vexistenciaxproducto[CODIGO],0),1)</f>
        <v>#VALUE!</v>
      </c>
      <c r="E169" s="2" t="e">
        <f>T_TránsitoCompras[[#This Row],[Tránsito]]
*T_TránsitoCompras[[#This Row],[Costo]]</f>
        <v>#VALUE!</v>
      </c>
    </row>
    <row r="170" spans="1:5" x14ac:dyDescent="0.25">
      <c r="A170" t="s">
        <v>2074</v>
      </c>
      <c r="B170" t="s">
        <v>1619</v>
      </c>
      <c r="C170">
        <v>5</v>
      </c>
      <c r="D170" s="2" t="e">
        <f t="array" ref="D170">INDEX(T_vexistenciaxproducto[COSTO],MATCH(T_TránsitoCompras[[#This Row],[EMPRESA]]&amp;T_TránsitoCompras[[#This Row],[CODIGO]],T_vexistenciaxproducto[EMPRESA]&amp;T_vexistenciaxproducto[CODIGO],0),1)</f>
        <v>#VALUE!</v>
      </c>
      <c r="E170" s="2" t="e">
        <f>T_TránsitoCompras[[#This Row],[Tránsito]]
*T_TránsitoCompras[[#This Row],[Costo]]</f>
        <v>#VALUE!</v>
      </c>
    </row>
    <row r="171" spans="1:5" x14ac:dyDescent="0.25">
      <c r="A171" t="s">
        <v>2074</v>
      </c>
      <c r="B171" t="s">
        <v>315</v>
      </c>
      <c r="C171">
        <v>1</v>
      </c>
      <c r="D171" s="2" t="e">
        <f t="array" ref="D171">INDEX(T_vexistenciaxproducto[COSTO],MATCH(T_TránsitoCompras[[#This Row],[EMPRESA]]&amp;T_TránsitoCompras[[#This Row],[CODIGO]],T_vexistenciaxproducto[EMPRESA]&amp;T_vexistenciaxproducto[CODIGO],0),1)</f>
        <v>#VALUE!</v>
      </c>
      <c r="E171" s="2" t="e">
        <f>T_TránsitoCompras[[#This Row],[Tránsito]]
*T_TránsitoCompras[[#This Row],[Costo]]</f>
        <v>#VALUE!</v>
      </c>
    </row>
    <row r="172" spans="1:5" x14ac:dyDescent="0.25">
      <c r="A172" t="s">
        <v>2074</v>
      </c>
      <c r="B172" t="s">
        <v>316</v>
      </c>
      <c r="C172">
        <v>10</v>
      </c>
      <c r="D172" s="2" t="e">
        <f t="array" ref="D172">INDEX(T_vexistenciaxproducto[COSTO],MATCH(T_TránsitoCompras[[#This Row],[EMPRESA]]&amp;T_TránsitoCompras[[#This Row],[CODIGO]],T_vexistenciaxproducto[EMPRESA]&amp;T_vexistenciaxproducto[CODIGO],0),1)</f>
        <v>#VALUE!</v>
      </c>
      <c r="E172" s="2" t="e">
        <f>T_TránsitoCompras[[#This Row],[Tránsito]]
*T_TránsitoCompras[[#This Row],[Costo]]</f>
        <v>#VALUE!</v>
      </c>
    </row>
    <row r="173" spans="1:5" x14ac:dyDescent="0.25">
      <c r="A173" t="s">
        <v>2074</v>
      </c>
      <c r="B173" t="s">
        <v>1683</v>
      </c>
      <c r="C173">
        <v>2</v>
      </c>
      <c r="D173" s="2" t="e">
        <f t="array" ref="D173">INDEX(T_vexistenciaxproducto[COSTO],MATCH(T_TránsitoCompras[[#This Row],[EMPRESA]]&amp;T_TránsitoCompras[[#This Row],[CODIGO]],T_vexistenciaxproducto[EMPRESA]&amp;T_vexistenciaxproducto[CODIGO],0),1)</f>
        <v>#VALUE!</v>
      </c>
      <c r="E173" s="2" t="e">
        <f>T_TránsitoCompras[[#This Row],[Tránsito]]
*T_TránsitoCompras[[#This Row],[Costo]]</f>
        <v>#VALUE!</v>
      </c>
    </row>
    <row r="174" spans="1:5" x14ac:dyDescent="0.25">
      <c r="A174" t="s">
        <v>2074</v>
      </c>
      <c r="B174" t="s">
        <v>416</v>
      </c>
      <c r="C174">
        <v>8</v>
      </c>
      <c r="D174" s="2" t="e">
        <f t="array" ref="D174">INDEX(T_vexistenciaxproducto[COSTO],MATCH(T_TránsitoCompras[[#This Row],[EMPRESA]]&amp;T_TránsitoCompras[[#This Row],[CODIGO]],T_vexistenciaxproducto[EMPRESA]&amp;T_vexistenciaxproducto[CODIGO],0),1)</f>
        <v>#VALUE!</v>
      </c>
      <c r="E174" s="2" t="e">
        <f>T_TránsitoCompras[[#This Row],[Tránsito]]
*T_TránsitoCompras[[#This Row],[Costo]]</f>
        <v>#VALUE!</v>
      </c>
    </row>
    <row r="175" spans="1:5" x14ac:dyDescent="0.25">
      <c r="A175" t="s">
        <v>2074</v>
      </c>
      <c r="B175" t="s">
        <v>333</v>
      </c>
      <c r="C175">
        <v>6</v>
      </c>
      <c r="D175" s="2" t="e">
        <f t="array" ref="D175">INDEX(T_vexistenciaxproducto[COSTO],MATCH(T_TránsitoCompras[[#This Row],[EMPRESA]]&amp;T_TránsitoCompras[[#This Row],[CODIGO]],T_vexistenciaxproducto[EMPRESA]&amp;T_vexistenciaxproducto[CODIGO],0),1)</f>
        <v>#VALUE!</v>
      </c>
      <c r="E175" s="2" t="e">
        <f>T_TránsitoCompras[[#This Row],[Tránsito]]
*T_TránsitoCompras[[#This Row],[Costo]]</f>
        <v>#VALUE!</v>
      </c>
    </row>
    <row r="176" spans="1:5" x14ac:dyDescent="0.25">
      <c r="A176" t="s">
        <v>2074</v>
      </c>
      <c r="B176" t="s">
        <v>1343</v>
      </c>
      <c r="C176">
        <v>5</v>
      </c>
      <c r="D176" s="2" t="e">
        <f t="array" ref="D176">INDEX(T_vexistenciaxproducto[COSTO],MATCH(T_TránsitoCompras[[#This Row],[EMPRESA]]&amp;T_TránsitoCompras[[#This Row],[CODIGO]],T_vexistenciaxproducto[EMPRESA]&amp;T_vexistenciaxproducto[CODIGO],0),1)</f>
        <v>#VALUE!</v>
      </c>
      <c r="E176" s="2" t="e">
        <f>T_TránsitoCompras[[#This Row],[Tránsito]]
*T_TránsitoCompras[[#This Row],[Costo]]</f>
        <v>#VALUE!</v>
      </c>
    </row>
    <row r="177" spans="1:5" x14ac:dyDescent="0.25">
      <c r="A177" t="s">
        <v>2074</v>
      </c>
      <c r="B177" t="s">
        <v>912</v>
      </c>
      <c r="C177">
        <v>2</v>
      </c>
      <c r="D177" s="2" t="e">
        <f t="array" ref="D177">INDEX(T_vexistenciaxproducto[COSTO],MATCH(T_TránsitoCompras[[#This Row],[EMPRESA]]&amp;T_TránsitoCompras[[#This Row],[CODIGO]],T_vexistenciaxproducto[EMPRESA]&amp;T_vexistenciaxproducto[CODIGO],0),1)</f>
        <v>#VALUE!</v>
      </c>
      <c r="E177" s="2" t="e">
        <f>T_TránsitoCompras[[#This Row],[Tránsito]]
*T_TránsitoCompras[[#This Row],[Costo]]</f>
        <v>#VALUE!</v>
      </c>
    </row>
    <row r="178" spans="1:5" x14ac:dyDescent="0.25">
      <c r="A178" t="s">
        <v>2074</v>
      </c>
      <c r="B178" t="s">
        <v>1629</v>
      </c>
      <c r="C178">
        <v>1</v>
      </c>
      <c r="D178" s="2" t="e">
        <f t="array" ref="D178">INDEX(T_vexistenciaxproducto[COSTO],MATCH(T_TránsitoCompras[[#This Row],[EMPRESA]]&amp;T_TránsitoCompras[[#This Row],[CODIGO]],T_vexistenciaxproducto[EMPRESA]&amp;T_vexistenciaxproducto[CODIGO],0),1)</f>
        <v>#VALUE!</v>
      </c>
      <c r="E178" s="2" t="e">
        <f>T_TránsitoCompras[[#This Row],[Tránsito]]
*T_TránsitoCompras[[#This Row],[Costo]]</f>
        <v>#VALUE!</v>
      </c>
    </row>
    <row r="179" spans="1:5" x14ac:dyDescent="0.25">
      <c r="A179" t="s">
        <v>2074</v>
      </c>
      <c r="B179" t="s">
        <v>1325</v>
      </c>
      <c r="C179">
        <v>5</v>
      </c>
      <c r="D179" s="2" t="e">
        <f t="array" ref="D179">INDEX(T_vexistenciaxproducto[COSTO],MATCH(T_TránsitoCompras[[#This Row],[EMPRESA]]&amp;T_TránsitoCompras[[#This Row],[CODIGO]],T_vexistenciaxproducto[EMPRESA]&amp;T_vexistenciaxproducto[CODIGO],0),1)</f>
        <v>#VALUE!</v>
      </c>
      <c r="E179" s="2" t="e">
        <f>T_TránsitoCompras[[#This Row],[Tránsito]]
*T_TránsitoCompras[[#This Row],[Costo]]</f>
        <v>#VALUE!</v>
      </c>
    </row>
    <row r="180" spans="1:5" x14ac:dyDescent="0.25">
      <c r="A180" t="s">
        <v>2074</v>
      </c>
      <c r="B180" t="s">
        <v>334</v>
      </c>
      <c r="C180">
        <v>3</v>
      </c>
      <c r="D180" s="2" t="e">
        <f t="array" ref="D180">INDEX(T_vexistenciaxproducto[COSTO],MATCH(T_TránsitoCompras[[#This Row],[EMPRESA]]&amp;T_TránsitoCompras[[#This Row],[CODIGO]],T_vexistenciaxproducto[EMPRESA]&amp;T_vexistenciaxproducto[CODIGO],0),1)</f>
        <v>#VALUE!</v>
      </c>
      <c r="E180" s="2" t="e">
        <f>T_TránsitoCompras[[#This Row],[Tránsito]]
*T_TránsitoCompras[[#This Row],[Costo]]</f>
        <v>#VALUE!</v>
      </c>
    </row>
    <row r="181" spans="1:5" x14ac:dyDescent="0.25">
      <c r="A181" t="s">
        <v>2074</v>
      </c>
      <c r="B181" t="s">
        <v>1322</v>
      </c>
      <c r="C181">
        <v>12</v>
      </c>
      <c r="D181" s="2" t="e">
        <f t="array" ref="D181">INDEX(T_vexistenciaxproducto[COSTO],MATCH(T_TránsitoCompras[[#This Row],[EMPRESA]]&amp;T_TránsitoCompras[[#This Row],[CODIGO]],T_vexistenciaxproducto[EMPRESA]&amp;T_vexistenciaxproducto[CODIGO],0),1)</f>
        <v>#VALUE!</v>
      </c>
      <c r="E181" s="2" t="e">
        <f>T_TránsitoCompras[[#This Row],[Tránsito]]
*T_TránsitoCompras[[#This Row],[Costo]]</f>
        <v>#VALUE!</v>
      </c>
    </row>
    <row r="182" spans="1:5" x14ac:dyDescent="0.25">
      <c r="A182" t="s">
        <v>2074</v>
      </c>
      <c r="B182" t="s">
        <v>1319</v>
      </c>
      <c r="C182">
        <v>11</v>
      </c>
      <c r="D182" s="2" t="e">
        <f t="array" ref="D182">INDEX(T_vexistenciaxproducto[COSTO],MATCH(T_TránsitoCompras[[#This Row],[EMPRESA]]&amp;T_TránsitoCompras[[#This Row],[CODIGO]],T_vexistenciaxproducto[EMPRESA]&amp;T_vexistenciaxproducto[CODIGO],0),1)</f>
        <v>#VALUE!</v>
      </c>
      <c r="E182" s="2" t="e">
        <f>T_TránsitoCompras[[#This Row],[Tránsito]]
*T_TránsitoCompras[[#This Row],[Costo]]</f>
        <v>#VALUE!</v>
      </c>
    </row>
    <row r="183" spans="1:5" x14ac:dyDescent="0.25">
      <c r="A183" t="s">
        <v>2074</v>
      </c>
      <c r="B183" t="s">
        <v>1398</v>
      </c>
      <c r="C183">
        <v>2</v>
      </c>
      <c r="D183" s="2" t="e">
        <f t="array" ref="D183">INDEX(T_vexistenciaxproducto[COSTO],MATCH(T_TránsitoCompras[[#This Row],[EMPRESA]]&amp;T_TránsitoCompras[[#This Row],[CODIGO]],T_vexistenciaxproducto[EMPRESA]&amp;T_vexistenciaxproducto[CODIGO],0),1)</f>
        <v>#VALUE!</v>
      </c>
      <c r="E183" s="2" t="e">
        <f>T_TránsitoCompras[[#This Row],[Tránsito]]
*T_TránsitoCompras[[#This Row],[Costo]]</f>
        <v>#VALUE!</v>
      </c>
    </row>
    <row r="184" spans="1:5" x14ac:dyDescent="0.25">
      <c r="A184" t="s">
        <v>2074</v>
      </c>
      <c r="B184" t="s">
        <v>1154</v>
      </c>
      <c r="C184">
        <v>6</v>
      </c>
      <c r="D184" s="2" t="e">
        <f t="array" ref="D184">INDEX(T_vexistenciaxproducto[COSTO],MATCH(T_TránsitoCompras[[#This Row],[EMPRESA]]&amp;T_TránsitoCompras[[#This Row],[CODIGO]],T_vexistenciaxproducto[EMPRESA]&amp;T_vexistenciaxproducto[CODIGO],0),1)</f>
        <v>#VALUE!</v>
      </c>
      <c r="E184" s="2" t="e">
        <f>T_TránsitoCompras[[#This Row],[Tránsito]]
*T_TránsitoCompras[[#This Row],[Costo]]</f>
        <v>#VALUE!</v>
      </c>
    </row>
    <row r="185" spans="1:5" x14ac:dyDescent="0.25">
      <c r="A185" t="s">
        <v>2074</v>
      </c>
      <c r="B185" t="s">
        <v>1439</v>
      </c>
      <c r="C185">
        <v>10</v>
      </c>
      <c r="D185" s="2" t="e">
        <f t="array" ref="D185">INDEX(T_vexistenciaxproducto[COSTO],MATCH(T_TránsitoCompras[[#This Row],[EMPRESA]]&amp;T_TránsitoCompras[[#This Row],[CODIGO]],T_vexistenciaxproducto[EMPRESA]&amp;T_vexistenciaxproducto[CODIGO],0),1)</f>
        <v>#VALUE!</v>
      </c>
      <c r="E185" s="2" t="e">
        <f>T_TránsitoCompras[[#This Row],[Tránsito]]
*T_TránsitoCompras[[#This Row],[Costo]]</f>
        <v>#VALUE!</v>
      </c>
    </row>
    <row r="186" spans="1:5" x14ac:dyDescent="0.25">
      <c r="A186" t="s">
        <v>2074</v>
      </c>
      <c r="B186" t="s">
        <v>1441</v>
      </c>
      <c r="C186">
        <v>3</v>
      </c>
      <c r="D186" s="2" t="e">
        <f t="array" ref="D186">INDEX(T_vexistenciaxproducto[COSTO],MATCH(T_TránsitoCompras[[#This Row],[EMPRESA]]&amp;T_TránsitoCompras[[#This Row],[CODIGO]],T_vexistenciaxproducto[EMPRESA]&amp;T_vexistenciaxproducto[CODIGO],0),1)</f>
        <v>#VALUE!</v>
      </c>
      <c r="E186" s="2" t="e">
        <f>T_TránsitoCompras[[#This Row],[Tránsito]]
*T_TránsitoCompras[[#This Row],[Costo]]</f>
        <v>#VALUE!</v>
      </c>
    </row>
    <row r="187" spans="1:5" x14ac:dyDescent="0.25">
      <c r="A187" t="s">
        <v>2074</v>
      </c>
      <c r="B187" t="s">
        <v>844</v>
      </c>
      <c r="C187">
        <v>1</v>
      </c>
      <c r="D187" s="2" t="e">
        <f t="array" ref="D187">INDEX(T_vexistenciaxproducto[COSTO],MATCH(T_TránsitoCompras[[#This Row],[EMPRESA]]&amp;T_TránsitoCompras[[#This Row],[CODIGO]],T_vexistenciaxproducto[EMPRESA]&amp;T_vexistenciaxproducto[CODIGO],0),1)</f>
        <v>#VALUE!</v>
      </c>
      <c r="E187" s="2" t="e">
        <f>T_TránsitoCompras[[#This Row],[Tránsito]]
*T_TránsitoCompras[[#This Row],[Costo]]</f>
        <v>#VALUE!</v>
      </c>
    </row>
    <row r="188" spans="1:5" x14ac:dyDescent="0.25">
      <c r="A188" t="s">
        <v>2074</v>
      </c>
      <c r="B188" t="s">
        <v>1309</v>
      </c>
      <c r="C188">
        <v>5</v>
      </c>
      <c r="D188" s="2" t="e">
        <f t="array" ref="D188">INDEX(T_vexistenciaxproducto[COSTO],MATCH(T_TránsitoCompras[[#This Row],[EMPRESA]]&amp;T_TránsitoCompras[[#This Row],[CODIGO]],T_vexistenciaxproducto[EMPRESA]&amp;T_vexistenciaxproducto[CODIGO],0),1)</f>
        <v>#VALUE!</v>
      </c>
      <c r="E188" s="2" t="e">
        <f>T_TránsitoCompras[[#This Row],[Tránsito]]
*T_TránsitoCompras[[#This Row],[Costo]]</f>
        <v>#VALUE!</v>
      </c>
    </row>
    <row r="189" spans="1:5" x14ac:dyDescent="0.25">
      <c r="A189" t="s">
        <v>2074</v>
      </c>
      <c r="B189" t="s">
        <v>1039</v>
      </c>
      <c r="C189">
        <v>10</v>
      </c>
      <c r="D189" s="2" t="e">
        <f t="array" ref="D189">INDEX(T_vexistenciaxproducto[COSTO],MATCH(T_TránsitoCompras[[#This Row],[EMPRESA]]&amp;T_TránsitoCompras[[#This Row],[CODIGO]],T_vexistenciaxproducto[EMPRESA]&amp;T_vexistenciaxproducto[CODIGO],0),1)</f>
        <v>#VALUE!</v>
      </c>
      <c r="E189" s="2" t="e">
        <f>T_TránsitoCompras[[#This Row],[Tránsito]]
*T_TránsitoCompras[[#This Row],[Costo]]</f>
        <v>#VALUE!</v>
      </c>
    </row>
    <row r="190" spans="1:5" x14ac:dyDescent="0.25">
      <c r="A190" t="s">
        <v>2074</v>
      </c>
      <c r="B190" t="s">
        <v>1630</v>
      </c>
      <c r="C190">
        <v>1</v>
      </c>
      <c r="D190" s="2" t="e">
        <f t="array" ref="D190">INDEX(T_vexistenciaxproducto[COSTO],MATCH(T_TránsitoCompras[[#This Row],[EMPRESA]]&amp;T_TránsitoCompras[[#This Row],[CODIGO]],T_vexistenciaxproducto[EMPRESA]&amp;T_vexistenciaxproducto[CODIGO],0),1)</f>
        <v>#VALUE!</v>
      </c>
      <c r="E190" s="2" t="e">
        <f>T_TránsitoCompras[[#This Row],[Tránsito]]
*T_TránsitoCompras[[#This Row],[Costo]]</f>
        <v>#VALUE!</v>
      </c>
    </row>
    <row r="191" spans="1:5" x14ac:dyDescent="0.25">
      <c r="A191" t="s">
        <v>2074</v>
      </c>
      <c r="B191" t="s">
        <v>1637</v>
      </c>
      <c r="C191">
        <v>2</v>
      </c>
      <c r="D191" s="2" t="e">
        <f t="array" ref="D191">INDEX(T_vexistenciaxproducto[COSTO],MATCH(T_TránsitoCompras[[#This Row],[EMPRESA]]&amp;T_TránsitoCompras[[#This Row],[CODIGO]],T_vexistenciaxproducto[EMPRESA]&amp;T_vexistenciaxproducto[CODIGO],0),1)</f>
        <v>#VALUE!</v>
      </c>
      <c r="E191" s="2" t="e">
        <f>T_TránsitoCompras[[#This Row],[Tránsito]]
*T_TránsitoCompras[[#This Row],[Costo]]</f>
        <v>#VALUE!</v>
      </c>
    </row>
    <row r="192" spans="1:5" x14ac:dyDescent="0.25">
      <c r="A192" t="s">
        <v>2074</v>
      </c>
      <c r="B192" t="s">
        <v>1639</v>
      </c>
      <c r="C192">
        <v>4</v>
      </c>
      <c r="D192" s="2" t="e">
        <f t="array" ref="D192">INDEX(T_vexistenciaxproducto[COSTO],MATCH(T_TránsitoCompras[[#This Row],[EMPRESA]]&amp;T_TránsitoCompras[[#This Row],[CODIGO]],T_vexistenciaxproducto[EMPRESA]&amp;T_vexistenciaxproducto[CODIGO],0),1)</f>
        <v>#VALUE!</v>
      </c>
      <c r="E192" s="2" t="e">
        <f>T_TránsitoCompras[[#This Row],[Tránsito]]
*T_TránsitoCompras[[#This Row],[Costo]]</f>
        <v>#VALUE!</v>
      </c>
    </row>
    <row r="193" spans="1:5" x14ac:dyDescent="0.25">
      <c r="A193" t="s">
        <v>2074</v>
      </c>
      <c r="B193" t="s">
        <v>2085</v>
      </c>
      <c r="C193">
        <v>1</v>
      </c>
      <c r="D193" s="2" t="e">
        <f t="array" ref="D193">INDEX(T_vexistenciaxproducto[COSTO],MATCH(T_TránsitoCompras[[#This Row],[EMPRESA]]&amp;T_TránsitoCompras[[#This Row],[CODIGO]],T_vexistenciaxproducto[EMPRESA]&amp;T_vexistenciaxproducto[CODIGO],0),1)</f>
        <v>#VALUE!</v>
      </c>
      <c r="E193" s="2" t="e">
        <f>T_TránsitoCompras[[#This Row],[Tránsito]]
*T_TránsitoCompras[[#This Row],[Costo]]</f>
        <v>#VALUE!</v>
      </c>
    </row>
    <row r="194" spans="1:5" x14ac:dyDescent="0.25">
      <c r="A194" t="s">
        <v>2074</v>
      </c>
      <c r="B194" t="s">
        <v>335</v>
      </c>
      <c r="C194">
        <v>30</v>
      </c>
      <c r="D194" s="2" t="e">
        <f t="array" ref="D194">INDEX(T_vexistenciaxproducto[COSTO],MATCH(T_TránsitoCompras[[#This Row],[EMPRESA]]&amp;T_TránsitoCompras[[#This Row],[CODIGO]],T_vexistenciaxproducto[EMPRESA]&amp;T_vexistenciaxproducto[CODIGO],0),1)</f>
        <v>#VALUE!</v>
      </c>
      <c r="E194" s="2" t="e">
        <f>T_TránsitoCompras[[#This Row],[Tránsito]]
*T_TránsitoCompras[[#This Row],[Costo]]</f>
        <v>#VALUE!</v>
      </c>
    </row>
    <row r="195" spans="1:5" x14ac:dyDescent="0.25">
      <c r="A195" t="s">
        <v>2074</v>
      </c>
      <c r="B195" t="s">
        <v>360</v>
      </c>
      <c r="C195">
        <v>5</v>
      </c>
      <c r="D195" s="2" t="e">
        <f t="array" ref="D195">INDEX(T_vexistenciaxproducto[COSTO],MATCH(T_TránsitoCompras[[#This Row],[EMPRESA]]&amp;T_TránsitoCompras[[#This Row],[CODIGO]],T_vexistenciaxproducto[EMPRESA]&amp;T_vexistenciaxproducto[CODIGO],0),1)</f>
        <v>#VALUE!</v>
      </c>
      <c r="E195" s="2" t="e">
        <f>T_TránsitoCompras[[#This Row],[Tránsito]]
*T_TránsitoCompras[[#This Row],[Costo]]</f>
        <v>#VALUE!</v>
      </c>
    </row>
    <row r="196" spans="1:5" x14ac:dyDescent="0.25">
      <c r="A196" t="s">
        <v>2074</v>
      </c>
      <c r="B196" t="s">
        <v>366</v>
      </c>
      <c r="C196">
        <v>10</v>
      </c>
      <c r="D196" s="2" t="e">
        <f t="array" ref="D196">INDEX(T_vexistenciaxproducto[COSTO],MATCH(T_TránsitoCompras[[#This Row],[EMPRESA]]&amp;T_TránsitoCompras[[#This Row],[CODIGO]],T_vexistenciaxproducto[EMPRESA]&amp;T_vexistenciaxproducto[CODIGO],0),1)</f>
        <v>#VALUE!</v>
      </c>
      <c r="E196" s="2" t="e">
        <f>T_TránsitoCompras[[#This Row],[Tránsito]]
*T_TránsitoCompras[[#This Row],[Costo]]</f>
        <v>#VALUE!</v>
      </c>
    </row>
    <row r="197" spans="1:5" x14ac:dyDescent="0.25">
      <c r="A197" t="s">
        <v>2074</v>
      </c>
      <c r="B197" t="s">
        <v>424</v>
      </c>
      <c r="C197">
        <v>2</v>
      </c>
      <c r="D197" s="2" t="e">
        <f t="array" ref="D197">INDEX(T_vexistenciaxproducto[COSTO],MATCH(T_TránsitoCompras[[#This Row],[EMPRESA]]&amp;T_TránsitoCompras[[#This Row],[CODIGO]],T_vexistenciaxproducto[EMPRESA]&amp;T_vexistenciaxproducto[CODIGO],0),1)</f>
        <v>#VALUE!</v>
      </c>
      <c r="E197" s="2" t="e">
        <f>T_TránsitoCompras[[#This Row],[Tránsito]]
*T_TránsitoCompras[[#This Row],[Costo]]</f>
        <v>#VALUE!</v>
      </c>
    </row>
    <row r="198" spans="1:5" x14ac:dyDescent="0.25">
      <c r="A198" t="s">
        <v>2074</v>
      </c>
      <c r="B198" t="s">
        <v>337</v>
      </c>
      <c r="C198">
        <v>10</v>
      </c>
      <c r="D198" s="2" t="e">
        <f t="array" ref="D198">INDEX(T_vexistenciaxproducto[COSTO],MATCH(T_TránsitoCompras[[#This Row],[EMPRESA]]&amp;T_TránsitoCompras[[#This Row],[CODIGO]],T_vexistenciaxproducto[EMPRESA]&amp;T_vexistenciaxproducto[CODIGO],0),1)</f>
        <v>#VALUE!</v>
      </c>
      <c r="E198" s="2" t="e">
        <f>T_TránsitoCompras[[#This Row],[Tránsito]]
*T_TránsitoCompras[[#This Row],[Costo]]</f>
        <v>#VALUE!</v>
      </c>
    </row>
    <row r="199" spans="1:5" x14ac:dyDescent="0.25">
      <c r="A199" t="s">
        <v>2074</v>
      </c>
      <c r="B199" t="s">
        <v>423</v>
      </c>
      <c r="C199">
        <v>3</v>
      </c>
      <c r="D199" s="2" t="e">
        <f t="array" ref="D199">INDEX(T_vexistenciaxproducto[COSTO],MATCH(T_TránsitoCompras[[#This Row],[EMPRESA]]&amp;T_TránsitoCompras[[#This Row],[CODIGO]],T_vexistenciaxproducto[EMPRESA]&amp;T_vexistenciaxproducto[CODIGO],0),1)</f>
        <v>#VALUE!</v>
      </c>
      <c r="E199" s="2" t="e">
        <f>T_TránsitoCompras[[#This Row],[Tránsito]]
*T_TránsitoCompras[[#This Row],[Costo]]</f>
        <v>#VALUE!</v>
      </c>
    </row>
    <row r="200" spans="1:5" x14ac:dyDescent="0.25">
      <c r="A200" t="s">
        <v>2074</v>
      </c>
      <c r="B200" t="s">
        <v>339</v>
      </c>
      <c r="C200">
        <v>8</v>
      </c>
      <c r="D200" s="2" t="e">
        <f t="array" ref="D200">INDEX(T_vexistenciaxproducto[COSTO],MATCH(T_TránsitoCompras[[#This Row],[EMPRESA]]&amp;T_TránsitoCompras[[#This Row],[CODIGO]],T_vexistenciaxproducto[EMPRESA]&amp;T_vexistenciaxproducto[CODIGO],0),1)</f>
        <v>#VALUE!</v>
      </c>
      <c r="E200" s="2" t="e">
        <f>T_TránsitoCompras[[#This Row],[Tránsito]]
*T_TránsitoCompras[[#This Row],[Costo]]</f>
        <v>#VALUE!</v>
      </c>
    </row>
    <row r="201" spans="1:5" x14ac:dyDescent="0.25">
      <c r="A201" t="s">
        <v>2074</v>
      </c>
      <c r="B201" t="s">
        <v>342</v>
      </c>
      <c r="C201">
        <v>10</v>
      </c>
      <c r="D201" s="2" t="e">
        <f t="array" ref="D201">INDEX(T_vexistenciaxproducto[COSTO],MATCH(T_TránsitoCompras[[#This Row],[EMPRESA]]&amp;T_TránsitoCompras[[#This Row],[CODIGO]],T_vexistenciaxproducto[EMPRESA]&amp;T_vexistenciaxproducto[CODIGO],0),1)</f>
        <v>#VALUE!</v>
      </c>
      <c r="E201" s="2" t="e">
        <f>T_TránsitoCompras[[#This Row],[Tránsito]]
*T_TránsitoCompras[[#This Row],[Costo]]</f>
        <v>#VALUE!</v>
      </c>
    </row>
    <row r="202" spans="1:5" x14ac:dyDescent="0.25">
      <c r="A202" t="s">
        <v>2074</v>
      </c>
      <c r="B202" t="s">
        <v>1645</v>
      </c>
      <c r="C202">
        <v>10</v>
      </c>
      <c r="D202" s="2" t="e">
        <f t="array" ref="D202">INDEX(T_vexistenciaxproducto[COSTO],MATCH(T_TránsitoCompras[[#This Row],[EMPRESA]]&amp;T_TránsitoCompras[[#This Row],[CODIGO]],T_vexistenciaxproducto[EMPRESA]&amp;T_vexistenciaxproducto[CODIGO],0),1)</f>
        <v>#VALUE!</v>
      </c>
      <c r="E202" s="2" t="e">
        <f>T_TránsitoCompras[[#This Row],[Tránsito]]
*T_TránsitoCompras[[#This Row],[Costo]]</f>
        <v>#VALUE!</v>
      </c>
    </row>
    <row r="203" spans="1:5" x14ac:dyDescent="0.25">
      <c r="A203" t="s">
        <v>2074</v>
      </c>
      <c r="B203" t="s">
        <v>359</v>
      </c>
      <c r="C203">
        <v>30</v>
      </c>
      <c r="D203" s="2" t="e">
        <f t="array" ref="D203">INDEX(T_vexistenciaxproducto[COSTO],MATCH(T_TránsitoCompras[[#This Row],[EMPRESA]]&amp;T_TránsitoCompras[[#This Row],[CODIGO]],T_vexistenciaxproducto[EMPRESA]&amp;T_vexistenciaxproducto[CODIGO],0),1)</f>
        <v>#VALUE!</v>
      </c>
      <c r="E203" s="2" t="e">
        <f>T_TránsitoCompras[[#This Row],[Tránsito]]
*T_TránsitoCompras[[#This Row],[Costo]]</f>
        <v>#VALUE!</v>
      </c>
    </row>
    <row r="204" spans="1:5" x14ac:dyDescent="0.25">
      <c r="A204" t="s">
        <v>2074</v>
      </c>
      <c r="B204" t="s">
        <v>345</v>
      </c>
      <c r="C204">
        <v>33</v>
      </c>
      <c r="D204" s="2" t="e">
        <f t="array" ref="D204">INDEX(T_vexistenciaxproducto[COSTO],MATCH(T_TránsitoCompras[[#This Row],[EMPRESA]]&amp;T_TránsitoCompras[[#This Row],[CODIGO]],T_vexistenciaxproducto[EMPRESA]&amp;T_vexistenciaxproducto[CODIGO],0),1)</f>
        <v>#VALUE!</v>
      </c>
      <c r="E204" s="2" t="e">
        <f>T_TránsitoCompras[[#This Row],[Tránsito]]
*T_TránsitoCompras[[#This Row],[Costo]]</f>
        <v>#VALUE!</v>
      </c>
    </row>
    <row r="205" spans="1:5" x14ac:dyDescent="0.25">
      <c r="A205" t="s">
        <v>2074</v>
      </c>
      <c r="B205" t="s">
        <v>525</v>
      </c>
      <c r="C205">
        <v>9</v>
      </c>
      <c r="D205" s="2" t="e">
        <f t="array" ref="D205">INDEX(T_vexistenciaxproducto[COSTO],MATCH(T_TránsitoCompras[[#This Row],[EMPRESA]]&amp;T_TránsitoCompras[[#This Row],[CODIGO]],T_vexistenciaxproducto[EMPRESA]&amp;T_vexistenciaxproducto[CODIGO],0),1)</f>
        <v>#VALUE!</v>
      </c>
      <c r="E205" s="2" t="e">
        <f>T_TránsitoCompras[[#This Row],[Tránsito]]
*T_TránsitoCompras[[#This Row],[Costo]]</f>
        <v>#VALUE!</v>
      </c>
    </row>
    <row r="206" spans="1:5" x14ac:dyDescent="0.25">
      <c r="A206" t="s">
        <v>2074</v>
      </c>
      <c r="B206" t="s">
        <v>346</v>
      </c>
      <c r="C206">
        <v>6</v>
      </c>
      <c r="D206" s="2" t="e">
        <f t="array" ref="D206">INDEX(T_vexistenciaxproducto[COSTO],MATCH(T_TránsitoCompras[[#This Row],[EMPRESA]]&amp;T_TránsitoCompras[[#This Row],[CODIGO]],T_vexistenciaxproducto[EMPRESA]&amp;T_vexistenciaxproducto[CODIGO],0),1)</f>
        <v>#VALUE!</v>
      </c>
      <c r="E206" s="2" t="e">
        <f>T_TránsitoCompras[[#This Row],[Tránsito]]
*T_TránsitoCompras[[#This Row],[Costo]]</f>
        <v>#VALUE!</v>
      </c>
    </row>
    <row r="207" spans="1:5" x14ac:dyDescent="0.25">
      <c r="A207" t="s">
        <v>2074</v>
      </c>
      <c r="B207" t="s">
        <v>1138</v>
      </c>
      <c r="C207">
        <v>19</v>
      </c>
      <c r="D207" s="2" t="e">
        <f t="array" ref="D207">INDEX(T_vexistenciaxproducto[COSTO],MATCH(T_TránsitoCompras[[#This Row],[EMPRESA]]&amp;T_TránsitoCompras[[#This Row],[CODIGO]],T_vexistenciaxproducto[EMPRESA]&amp;T_vexistenciaxproducto[CODIGO],0),1)</f>
        <v>#VALUE!</v>
      </c>
      <c r="E207" s="2" t="e">
        <f>T_TránsitoCompras[[#This Row],[Tránsito]]
*T_TránsitoCompras[[#This Row],[Costo]]</f>
        <v>#VALUE!</v>
      </c>
    </row>
    <row r="208" spans="1:5" x14ac:dyDescent="0.25">
      <c r="A208" t="s">
        <v>2074</v>
      </c>
      <c r="B208" t="s">
        <v>1369</v>
      </c>
      <c r="C208">
        <v>15</v>
      </c>
      <c r="D208" s="2" t="e">
        <f t="array" ref="D208">INDEX(T_vexistenciaxproducto[COSTO],MATCH(T_TránsitoCompras[[#This Row],[EMPRESA]]&amp;T_TránsitoCompras[[#This Row],[CODIGO]],T_vexistenciaxproducto[EMPRESA]&amp;T_vexistenciaxproducto[CODIGO],0),1)</f>
        <v>#VALUE!</v>
      </c>
      <c r="E208" s="2" t="e">
        <f>T_TránsitoCompras[[#This Row],[Tránsito]]
*T_TránsitoCompras[[#This Row],[Costo]]</f>
        <v>#VALUE!</v>
      </c>
    </row>
    <row r="209" spans="1:5" x14ac:dyDescent="0.25">
      <c r="A209" t="s">
        <v>2074</v>
      </c>
      <c r="B209" t="s">
        <v>1648</v>
      </c>
      <c r="C209">
        <v>2</v>
      </c>
      <c r="D209" s="2" t="e">
        <f t="array" ref="D209">INDEX(T_vexistenciaxproducto[COSTO],MATCH(T_TránsitoCompras[[#This Row],[EMPRESA]]&amp;T_TránsitoCompras[[#This Row],[CODIGO]],T_vexistenciaxproducto[EMPRESA]&amp;T_vexistenciaxproducto[CODIGO],0),1)</f>
        <v>#VALUE!</v>
      </c>
      <c r="E209" s="2" t="e">
        <f>T_TránsitoCompras[[#This Row],[Tránsito]]
*T_TránsitoCompras[[#This Row],[Costo]]</f>
        <v>#VALUE!</v>
      </c>
    </row>
    <row r="210" spans="1:5" x14ac:dyDescent="0.25">
      <c r="A210" t="s">
        <v>2074</v>
      </c>
      <c r="B210" t="s">
        <v>2086</v>
      </c>
      <c r="C210">
        <v>6</v>
      </c>
      <c r="D210" s="2" t="e">
        <f t="array" ref="D210">INDEX(T_vexistenciaxproducto[COSTO],MATCH(T_TránsitoCompras[[#This Row],[EMPRESA]]&amp;T_TránsitoCompras[[#This Row],[CODIGO]],T_vexistenciaxproducto[EMPRESA]&amp;T_vexistenciaxproducto[CODIGO],0),1)</f>
        <v>#VALUE!</v>
      </c>
      <c r="E210" s="2" t="e">
        <f>T_TránsitoCompras[[#This Row],[Tránsito]]
*T_TránsitoCompras[[#This Row],[Costo]]</f>
        <v>#VALUE!</v>
      </c>
    </row>
    <row r="211" spans="1:5" x14ac:dyDescent="0.25">
      <c r="A211" t="s">
        <v>2074</v>
      </c>
      <c r="B211" t="s">
        <v>417</v>
      </c>
      <c r="C211">
        <v>1</v>
      </c>
      <c r="D211" s="2" t="e">
        <f t="array" ref="D211">INDEX(T_vexistenciaxproducto[COSTO],MATCH(T_TránsitoCompras[[#This Row],[EMPRESA]]&amp;T_TránsitoCompras[[#This Row],[CODIGO]],T_vexistenciaxproducto[EMPRESA]&amp;T_vexistenciaxproducto[CODIGO],0),1)</f>
        <v>#VALUE!</v>
      </c>
      <c r="E211" s="2" t="e">
        <f>T_TránsitoCompras[[#This Row],[Tránsito]]
*T_TránsitoCompras[[#This Row],[Costo]]</f>
        <v>#VALUE!</v>
      </c>
    </row>
    <row r="212" spans="1:5" x14ac:dyDescent="0.25">
      <c r="A212" t="s">
        <v>2074</v>
      </c>
      <c r="B212" t="s">
        <v>1650</v>
      </c>
      <c r="C212">
        <v>2</v>
      </c>
      <c r="D212" s="2" t="e">
        <f t="array" ref="D212">INDEX(T_vexistenciaxproducto[COSTO],MATCH(T_TránsitoCompras[[#This Row],[EMPRESA]]&amp;T_TránsitoCompras[[#This Row],[CODIGO]],T_vexistenciaxproducto[EMPRESA]&amp;T_vexistenciaxproducto[CODIGO],0),1)</f>
        <v>#VALUE!</v>
      </c>
      <c r="E212" s="2" t="e">
        <f>T_TránsitoCompras[[#This Row],[Tránsito]]
*T_TránsitoCompras[[#This Row],[Costo]]</f>
        <v>#VALUE!</v>
      </c>
    </row>
    <row r="213" spans="1:5" x14ac:dyDescent="0.25">
      <c r="A213" t="s">
        <v>2074</v>
      </c>
      <c r="B213" t="s">
        <v>352</v>
      </c>
      <c r="C213">
        <v>2</v>
      </c>
      <c r="D213" s="2" t="e">
        <f t="array" ref="D213">INDEX(T_vexistenciaxproducto[COSTO],MATCH(T_TránsitoCompras[[#This Row],[EMPRESA]]&amp;T_TránsitoCompras[[#This Row],[CODIGO]],T_vexistenciaxproducto[EMPRESA]&amp;T_vexistenciaxproducto[CODIGO],0),1)</f>
        <v>#VALUE!</v>
      </c>
      <c r="E213" s="2" t="e">
        <f>T_TránsitoCompras[[#This Row],[Tránsito]]
*T_TránsitoCompras[[#This Row],[Costo]]</f>
        <v>#VALUE!</v>
      </c>
    </row>
    <row r="214" spans="1:5" x14ac:dyDescent="0.25">
      <c r="A214" t="s">
        <v>2074</v>
      </c>
      <c r="B214" t="s">
        <v>348</v>
      </c>
      <c r="C214">
        <v>20</v>
      </c>
      <c r="D214" s="2" t="e">
        <f t="array" ref="D214">INDEX(T_vexistenciaxproducto[COSTO],MATCH(T_TránsitoCompras[[#This Row],[EMPRESA]]&amp;T_TránsitoCompras[[#This Row],[CODIGO]],T_vexistenciaxproducto[EMPRESA]&amp;T_vexistenciaxproducto[CODIGO],0),1)</f>
        <v>#VALUE!</v>
      </c>
      <c r="E214" s="2" t="e">
        <f>T_TránsitoCompras[[#This Row],[Tránsito]]
*T_TránsitoCompras[[#This Row],[Costo]]</f>
        <v>#VALUE!</v>
      </c>
    </row>
    <row r="215" spans="1:5" x14ac:dyDescent="0.25">
      <c r="A215" t="s">
        <v>2074</v>
      </c>
      <c r="B215" t="s">
        <v>295</v>
      </c>
      <c r="C215">
        <v>4</v>
      </c>
      <c r="D215" s="2" t="e">
        <f t="array" ref="D215">INDEX(T_vexistenciaxproducto[COSTO],MATCH(T_TránsitoCompras[[#This Row],[EMPRESA]]&amp;T_TránsitoCompras[[#This Row],[CODIGO]],T_vexistenciaxproducto[EMPRESA]&amp;T_vexistenciaxproducto[CODIGO],0),1)</f>
        <v>#VALUE!</v>
      </c>
      <c r="E215" s="2" t="e">
        <f>T_TránsitoCompras[[#This Row],[Tránsito]]
*T_TránsitoCompras[[#This Row],[Costo]]</f>
        <v>#VALUE!</v>
      </c>
    </row>
    <row r="216" spans="1:5" x14ac:dyDescent="0.25">
      <c r="A216" t="s">
        <v>2074</v>
      </c>
      <c r="B216" t="s">
        <v>298</v>
      </c>
      <c r="C216">
        <v>4</v>
      </c>
      <c r="D216" s="2" t="e">
        <f t="array" ref="D216">INDEX(T_vexistenciaxproducto[COSTO],MATCH(T_TránsitoCompras[[#This Row],[EMPRESA]]&amp;T_TránsitoCompras[[#This Row],[CODIGO]],T_vexistenciaxproducto[EMPRESA]&amp;T_vexistenciaxproducto[CODIGO],0),1)</f>
        <v>#VALUE!</v>
      </c>
      <c r="E216" s="2" t="e">
        <f>T_TránsitoCompras[[#This Row],[Tránsito]]
*T_TránsitoCompras[[#This Row],[Costo]]</f>
        <v>#VALUE!</v>
      </c>
    </row>
    <row r="217" spans="1:5" x14ac:dyDescent="0.25">
      <c r="A217" t="s">
        <v>2074</v>
      </c>
      <c r="B217" t="s">
        <v>1146</v>
      </c>
      <c r="C217">
        <v>18</v>
      </c>
      <c r="D217" s="2" t="e">
        <f t="array" ref="D217">INDEX(T_vexistenciaxproducto[COSTO],MATCH(T_TránsitoCompras[[#This Row],[EMPRESA]]&amp;T_TránsitoCompras[[#This Row],[CODIGO]],T_vexistenciaxproducto[EMPRESA]&amp;T_vexistenciaxproducto[CODIGO],0),1)</f>
        <v>#VALUE!</v>
      </c>
      <c r="E217" s="2" t="e">
        <f>T_TránsitoCompras[[#This Row],[Tránsito]]
*T_TránsitoCompras[[#This Row],[Costo]]</f>
        <v>#VALUE!</v>
      </c>
    </row>
    <row r="218" spans="1:5" x14ac:dyDescent="0.25">
      <c r="A218" t="s">
        <v>2074</v>
      </c>
      <c r="B218" t="s">
        <v>1368</v>
      </c>
      <c r="C218">
        <v>4</v>
      </c>
      <c r="D218" s="2" t="e">
        <f t="array" ref="D218">INDEX(T_vexistenciaxproducto[COSTO],MATCH(T_TránsitoCompras[[#This Row],[EMPRESA]]&amp;T_TránsitoCompras[[#This Row],[CODIGO]],T_vexistenciaxproducto[EMPRESA]&amp;T_vexistenciaxproducto[CODIGO],0),1)</f>
        <v>#VALUE!</v>
      </c>
      <c r="E218" s="2" t="e">
        <f>T_TránsitoCompras[[#This Row],[Tránsito]]
*T_TránsitoCompras[[#This Row],[Costo]]</f>
        <v>#VALUE!</v>
      </c>
    </row>
    <row r="219" spans="1:5" x14ac:dyDescent="0.25">
      <c r="A219" t="s">
        <v>2074</v>
      </c>
      <c r="B219" t="s">
        <v>1012</v>
      </c>
      <c r="C219">
        <v>6</v>
      </c>
      <c r="D219" s="2" t="e">
        <f t="array" ref="D219">INDEX(T_vexistenciaxproducto[COSTO],MATCH(T_TránsitoCompras[[#This Row],[EMPRESA]]&amp;T_TránsitoCompras[[#This Row],[CODIGO]],T_vexistenciaxproducto[EMPRESA]&amp;T_vexistenciaxproducto[CODIGO],0),1)</f>
        <v>#VALUE!</v>
      </c>
      <c r="E219" s="2" t="e">
        <f>T_TránsitoCompras[[#This Row],[Tránsito]]
*T_TránsitoCompras[[#This Row],[Costo]]</f>
        <v>#VALUE!</v>
      </c>
    </row>
    <row r="220" spans="1:5" x14ac:dyDescent="0.25">
      <c r="A220" t="s">
        <v>2074</v>
      </c>
      <c r="B220" t="s">
        <v>1297</v>
      </c>
      <c r="C220">
        <v>6</v>
      </c>
      <c r="D220" s="2" t="e">
        <f t="array" ref="D220">INDEX(T_vexistenciaxproducto[COSTO],MATCH(T_TránsitoCompras[[#This Row],[EMPRESA]]&amp;T_TránsitoCompras[[#This Row],[CODIGO]],T_vexistenciaxproducto[EMPRESA]&amp;T_vexistenciaxproducto[CODIGO],0),1)</f>
        <v>#VALUE!</v>
      </c>
      <c r="E220" s="2" t="e">
        <f>T_TránsitoCompras[[#This Row],[Tránsito]]
*T_TránsitoCompras[[#This Row],[Costo]]</f>
        <v>#VALUE!</v>
      </c>
    </row>
    <row r="221" spans="1:5" x14ac:dyDescent="0.25">
      <c r="A221" t="s">
        <v>2074</v>
      </c>
      <c r="B221" t="s">
        <v>1295</v>
      </c>
      <c r="C221">
        <v>20</v>
      </c>
      <c r="D221" s="2" t="e">
        <f t="array" ref="D221">INDEX(T_vexistenciaxproducto[COSTO],MATCH(T_TránsitoCompras[[#This Row],[EMPRESA]]&amp;T_TránsitoCompras[[#This Row],[CODIGO]],T_vexistenciaxproducto[EMPRESA]&amp;T_vexistenciaxproducto[CODIGO],0),1)</f>
        <v>#VALUE!</v>
      </c>
      <c r="E221" s="2" t="e">
        <f>T_TránsitoCompras[[#This Row],[Tránsito]]
*T_TránsitoCompras[[#This Row],[Costo]]</f>
        <v>#VALUE!</v>
      </c>
    </row>
    <row r="222" spans="1:5" x14ac:dyDescent="0.25">
      <c r="A222" t="s">
        <v>2074</v>
      </c>
      <c r="B222" t="s">
        <v>1293</v>
      </c>
      <c r="C222">
        <v>10</v>
      </c>
      <c r="D222" s="2" t="e">
        <f t="array" ref="D222">INDEX(T_vexistenciaxproducto[COSTO],MATCH(T_TránsitoCompras[[#This Row],[EMPRESA]]&amp;T_TránsitoCompras[[#This Row],[CODIGO]],T_vexistenciaxproducto[EMPRESA]&amp;T_vexistenciaxproducto[CODIGO],0),1)</f>
        <v>#VALUE!</v>
      </c>
      <c r="E222" s="2" t="e">
        <f>T_TránsitoCompras[[#This Row],[Tránsito]]
*T_TránsitoCompras[[#This Row],[Costo]]</f>
        <v>#VALUE!</v>
      </c>
    </row>
    <row r="223" spans="1:5" x14ac:dyDescent="0.25">
      <c r="A223" t="s">
        <v>2074</v>
      </c>
      <c r="B223" t="s">
        <v>1287</v>
      </c>
      <c r="C223">
        <v>40</v>
      </c>
      <c r="D223" s="2" t="e">
        <f t="array" ref="D223">INDEX(T_vexistenciaxproducto[COSTO],MATCH(T_TránsitoCompras[[#This Row],[EMPRESA]]&amp;T_TránsitoCompras[[#This Row],[CODIGO]],T_vexistenciaxproducto[EMPRESA]&amp;T_vexistenciaxproducto[CODIGO],0),1)</f>
        <v>#VALUE!</v>
      </c>
      <c r="E223" s="2" t="e">
        <f>T_TránsitoCompras[[#This Row],[Tránsito]]
*T_TránsitoCompras[[#This Row],[Costo]]</f>
        <v>#VALUE!</v>
      </c>
    </row>
    <row r="224" spans="1:5" x14ac:dyDescent="0.25">
      <c r="A224" t="s">
        <v>2074</v>
      </c>
      <c r="B224" t="s">
        <v>1286</v>
      </c>
      <c r="C224">
        <v>30</v>
      </c>
      <c r="D224" s="2" t="e">
        <f t="array" ref="D224">INDEX(T_vexistenciaxproducto[COSTO],MATCH(T_TránsitoCompras[[#This Row],[EMPRESA]]&amp;T_TránsitoCompras[[#This Row],[CODIGO]],T_vexistenciaxproducto[EMPRESA]&amp;T_vexistenciaxproducto[CODIGO],0),1)</f>
        <v>#VALUE!</v>
      </c>
      <c r="E224" s="2" t="e">
        <f>T_TránsitoCompras[[#This Row],[Tránsito]]
*T_TránsitoCompras[[#This Row],[Costo]]</f>
        <v>#VALUE!</v>
      </c>
    </row>
    <row r="225" spans="1:5" x14ac:dyDescent="0.25">
      <c r="A225" t="s">
        <v>2074</v>
      </c>
      <c r="B225" t="s">
        <v>981</v>
      </c>
      <c r="C225">
        <v>10</v>
      </c>
      <c r="D225" s="2" t="e">
        <f t="array" ref="D225">INDEX(T_vexistenciaxproducto[COSTO],MATCH(T_TránsitoCompras[[#This Row],[EMPRESA]]&amp;T_TránsitoCompras[[#This Row],[CODIGO]],T_vexistenciaxproducto[EMPRESA]&amp;T_vexistenciaxproducto[CODIGO],0),1)</f>
        <v>#VALUE!</v>
      </c>
      <c r="E225" s="2" t="e">
        <f>T_TránsitoCompras[[#This Row],[Tránsito]]
*T_TránsitoCompras[[#This Row],[Costo]]</f>
        <v>#VALUE!</v>
      </c>
    </row>
    <row r="226" spans="1:5" x14ac:dyDescent="0.25">
      <c r="A226" t="s">
        <v>2074</v>
      </c>
      <c r="B226" t="s">
        <v>1351</v>
      </c>
      <c r="C226">
        <v>5</v>
      </c>
      <c r="D226" s="2" t="e">
        <f t="array" ref="D226">INDEX(T_vexistenciaxproducto[COSTO],MATCH(T_TránsitoCompras[[#This Row],[EMPRESA]]&amp;T_TránsitoCompras[[#This Row],[CODIGO]],T_vexistenciaxproducto[EMPRESA]&amp;T_vexistenciaxproducto[CODIGO],0),1)</f>
        <v>#VALUE!</v>
      </c>
      <c r="E226" s="2" t="e">
        <f>T_TránsitoCompras[[#This Row],[Tránsito]]
*T_TránsitoCompras[[#This Row],[Costo]]</f>
        <v>#VALUE!</v>
      </c>
    </row>
    <row r="227" spans="1:5" x14ac:dyDescent="0.25">
      <c r="A227" t="s">
        <v>2074</v>
      </c>
      <c r="B227" t="s">
        <v>1652</v>
      </c>
      <c r="C227">
        <v>5</v>
      </c>
      <c r="D227" s="2" t="e">
        <f t="array" ref="D227">INDEX(T_vexistenciaxproducto[COSTO],MATCH(T_TránsitoCompras[[#This Row],[EMPRESA]]&amp;T_TránsitoCompras[[#This Row],[CODIGO]],T_vexistenciaxproducto[EMPRESA]&amp;T_vexistenciaxproducto[CODIGO],0),1)</f>
        <v>#VALUE!</v>
      </c>
      <c r="E227" s="2" t="e">
        <f>T_TránsitoCompras[[#This Row],[Tránsito]]
*T_TránsitoCompras[[#This Row],[Costo]]</f>
        <v>#VALUE!</v>
      </c>
    </row>
    <row r="228" spans="1:5" x14ac:dyDescent="0.25">
      <c r="A228" t="s">
        <v>2074</v>
      </c>
      <c r="B228" t="s">
        <v>567</v>
      </c>
      <c r="C228">
        <v>5</v>
      </c>
      <c r="D228" s="2" t="e">
        <f t="array" ref="D228">INDEX(T_vexistenciaxproducto[COSTO],MATCH(T_TránsitoCompras[[#This Row],[EMPRESA]]&amp;T_TránsitoCompras[[#This Row],[CODIGO]],T_vexistenciaxproducto[EMPRESA]&amp;T_vexistenciaxproducto[CODIGO],0),1)</f>
        <v>#VALUE!</v>
      </c>
      <c r="E228" s="2" t="e">
        <f>T_TránsitoCompras[[#This Row],[Tránsito]]
*T_TránsitoCompras[[#This Row],[Costo]]</f>
        <v>#VALUE!</v>
      </c>
    </row>
    <row r="229" spans="1:5" x14ac:dyDescent="0.25">
      <c r="A229" t="s">
        <v>2074</v>
      </c>
      <c r="B229" t="s">
        <v>1653</v>
      </c>
      <c r="C229">
        <v>50</v>
      </c>
      <c r="D229" s="2" t="e">
        <f t="array" ref="D229">INDEX(T_vexistenciaxproducto[COSTO],MATCH(T_TránsitoCompras[[#This Row],[EMPRESA]]&amp;T_TránsitoCompras[[#This Row],[CODIGO]],T_vexistenciaxproducto[EMPRESA]&amp;T_vexistenciaxproducto[CODIGO],0),1)</f>
        <v>#VALUE!</v>
      </c>
      <c r="E229" s="2" t="e">
        <f>T_TránsitoCompras[[#This Row],[Tránsito]]
*T_TránsitoCompras[[#This Row],[Costo]]</f>
        <v>#VALUE!</v>
      </c>
    </row>
    <row r="230" spans="1:5" x14ac:dyDescent="0.25">
      <c r="A230" t="s">
        <v>2074</v>
      </c>
      <c r="B230" t="s">
        <v>1176</v>
      </c>
      <c r="C230">
        <v>110</v>
      </c>
      <c r="D230" s="2" t="e">
        <f t="array" ref="D230">INDEX(T_vexistenciaxproducto[COSTO],MATCH(T_TránsitoCompras[[#This Row],[EMPRESA]]&amp;T_TránsitoCompras[[#This Row],[CODIGO]],T_vexistenciaxproducto[EMPRESA]&amp;T_vexistenciaxproducto[CODIGO],0),1)</f>
        <v>#VALUE!</v>
      </c>
      <c r="E230" s="2" t="e">
        <f>T_TránsitoCompras[[#This Row],[Tránsito]]
*T_TránsitoCompras[[#This Row],[Costo]]</f>
        <v>#VALUE!</v>
      </c>
    </row>
    <row r="231" spans="1:5" x14ac:dyDescent="0.25">
      <c r="A231" t="s">
        <v>2074</v>
      </c>
      <c r="B231" t="s">
        <v>1019</v>
      </c>
      <c r="C231">
        <v>15</v>
      </c>
      <c r="D231" s="2" t="e">
        <f t="array" ref="D231">INDEX(T_vexistenciaxproducto[COSTO],MATCH(T_TránsitoCompras[[#This Row],[EMPRESA]]&amp;T_TránsitoCompras[[#This Row],[CODIGO]],T_vexistenciaxproducto[EMPRESA]&amp;T_vexistenciaxproducto[CODIGO],0),1)</f>
        <v>#VALUE!</v>
      </c>
      <c r="E231" s="2" t="e">
        <f>T_TránsitoCompras[[#This Row],[Tránsito]]
*T_TránsitoCompras[[#This Row],[Costo]]</f>
        <v>#VALUE!</v>
      </c>
    </row>
    <row r="232" spans="1:5" x14ac:dyDescent="0.25">
      <c r="A232" t="s">
        <v>2074</v>
      </c>
      <c r="B232" t="s">
        <v>1178</v>
      </c>
      <c r="C232">
        <v>55</v>
      </c>
      <c r="D232" s="2" t="e">
        <f t="array" ref="D232">INDEX(T_vexistenciaxproducto[COSTO],MATCH(T_TránsitoCompras[[#This Row],[EMPRESA]]&amp;T_TránsitoCompras[[#This Row],[CODIGO]],T_vexistenciaxproducto[EMPRESA]&amp;T_vexistenciaxproducto[CODIGO],0),1)</f>
        <v>#VALUE!</v>
      </c>
      <c r="E232" s="2" t="e">
        <f>T_TránsitoCompras[[#This Row],[Tránsito]]
*T_TránsitoCompras[[#This Row],[Costo]]</f>
        <v>#VALUE!</v>
      </c>
    </row>
    <row r="233" spans="1:5" x14ac:dyDescent="0.25">
      <c r="A233" t="s">
        <v>2074</v>
      </c>
      <c r="B233" t="s">
        <v>1191</v>
      </c>
      <c r="C233">
        <v>50</v>
      </c>
      <c r="D233" s="2" t="e">
        <f t="array" ref="D233">INDEX(T_vexistenciaxproducto[COSTO],MATCH(T_TránsitoCompras[[#This Row],[EMPRESA]]&amp;T_TránsitoCompras[[#This Row],[CODIGO]],T_vexistenciaxproducto[EMPRESA]&amp;T_vexistenciaxproducto[CODIGO],0),1)</f>
        <v>#VALUE!</v>
      </c>
      <c r="E233" s="2" t="e">
        <f>T_TránsitoCompras[[#This Row],[Tránsito]]
*T_TránsitoCompras[[#This Row],[Costo]]</f>
        <v>#VALUE!</v>
      </c>
    </row>
    <row r="234" spans="1:5" x14ac:dyDescent="0.25">
      <c r="A234" t="s">
        <v>2074</v>
      </c>
      <c r="B234" t="s">
        <v>1448</v>
      </c>
      <c r="C234">
        <v>5</v>
      </c>
      <c r="D234" s="2" t="e">
        <f t="array" ref="D234">INDEX(T_vexistenciaxproducto[COSTO],MATCH(T_TránsitoCompras[[#This Row],[EMPRESA]]&amp;T_TránsitoCompras[[#This Row],[CODIGO]],T_vexistenciaxproducto[EMPRESA]&amp;T_vexistenciaxproducto[CODIGO],0),1)</f>
        <v>#VALUE!</v>
      </c>
      <c r="E234" s="2" t="e">
        <f>T_TránsitoCompras[[#This Row],[Tránsito]]
*T_TránsitoCompras[[#This Row],[Costo]]</f>
        <v>#VALUE!</v>
      </c>
    </row>
    <row r="235" spans="1:5" x14ac:dyDescent="0.25">
      <c r="A235" t="s">
        <v>2074</v>
      </c>
      <c r="B235" t="s">
        <v>1195</v>
      </c>
      <c r="C235">
        <v>5</v>
      </c>
      <c r="D235" s="2" t="e">
        <f t="array" ref="D235">INDEX(T_vexistenciaxproducto[COSTO],MATCH(T_TránsitoCompras[[#This Row],[EMPRESA]]&amp;T_TránsitoCompras[[#This Row],[CODIGO]],T_vexistenciaxproducto[EMPRESA]&amp;T_vexistenciaxproducto[CODIGO],0),1)</f>
        <v>#VALUE!</v>
      </c>
      <c r="E235" s="2" t="e">
        <f>T_TránsitoCompras[[#This Row],[Tránsito]]
*T_TránsitoCompras[[#This Row],[Costo]]</f>
        <v>#VALUE!</v>
      </c>
    </row>
    <row r="236" spans="1:5" x14ac:dyDescent="0.25">
      <c r="A236" t="s">
        <v>2074</v>
      </c>
      <c r="B236" t="s">
        <v>553</v>
      </c>
      <c r="C236">
        <v>5</v>
      </c>
      <c r="D236" s="2" t="e">
        <f t="array" ref="D236">INDEX(T_vexistenciaxproducto[COSTO],MATCH(T_TránsitoCompras[[#This Row],[EMPRESA]]&amp;T_TránsitoCompras[[#This Row],[CODIGO]],T_vexistenciaxproducto[EMPRESA]&amp;T_vexistenciaxproducto[CODIGO],0),1)</f>
        <v>#VALUE!</v>
      </c>
      <c r="E236" s="2" t="e">
        <f>T_TránsitoCompras[[#This Row],[Tránsito]]
*T_TránsitoCompras[[#This Row],[Costo]]</f>
        <v>#VALUE!</v>
      </c>
    </row>
    <row r="237" spans="1:5" x14ac:dyDescent="0.25">
      <c r="A237" t="s">
        <v>2074</v>
      </c>
      <c r="B237" t="s">
        <v>865</v>
      </c>
      <c r="C237">
        <v>12</v>
      </c>
      <c r="D237" s="2" t="e">
        <f t="array" ref="D237">INDEX(T_vexistenciaxproducto[COSTO],MATCH(T_TránsitoCompras[[#This Row],[EMPRESA]]&amp;T_TránsitoCompras[[#This Row],[CODIGO]],T_vexistenciaxproducto[EMPRESA]&amp;T_vexistenciaxproducto[CODIGO],0),1)</f>
        <v>#VALUE!</v>
      </c>
      <c r="E237" s="2" t="e">
        <f>T_TránsitoCompras[[#This Row],[Tránsito]]
*T_TránsitoCompras[[#This Row],[Costo]]</f>
        <v>#VALUE!</v>
      </c>
    </row>
    <row r="238" spans="1:5" x14ac:dyDescent="0.25">
      <c r="A238" t="s">
        <v>2074</v>
      </c>
      <c r="B238" t="s">
        <v>1006</v>
      </c>
      <c r="C238">
        <v>20</v>
      </c>
      <c r="D238" s="2" t="e">
        <f t="array" ref="D238">INDEX(T_vexistenciaxproducto[COSTO],MATCH(T_TránsitoCompras[[#This Row],[EMPRESA]]&amp;T_TránsitoCompras[[#This Row],[CODIGO]],T_vexistenciaxproducto[EMPRESA]&amp;T_vexistenciaxproducto[CODIGO],0),1)</f>
        <v>#VALUE!</v>
      </c>
      <c r="E238" s="2" t="e">
        <f>T_TránsitoCompras[[#This Row],[Tránsito]]
*T_TránsitoCompras[[#This Row],[Costo]]</f>
        <v>#VALUE!</v>
      </c>
    </row>
    <row r="239" spans="1:5" x14ac:dyDescent="0.25">
      <c r="A239" t="s">
        <v>2074</v>
      </c>
      <c r="B239" t="s">
        <v>1198</v>
      </c>
      <c r="C239">
        <v>10</v>
      </c>
      <c r="D239" s="2" t="e">
        <f t="array" ref="D239">INDEX(T_vexistenciaxproducto[COSTO],MATCH(T_TránsitoCompras[[#This Row],[EMPRESA]]&amp;T_TránsitoCompras[[#This Row],[CODIGO]],T_vexistenciaxproducto[EMPRESA]&amp;T_vexistenciaxproducto[CODIGO],0),1)</f>
        <v>#VALUE!</v>
      </c>
      <c r="E239" s="2" t="e">
        <f>T_TránsitoCompras[[#This Row],[Tránsito]]
*T_TránsitoCompras[[#This Row],[Costo]]</f>
        <v>#VALUE!</v>
      </c>
    </row>
    <row r="240" spans="1:5" x14ac:dyDescent="0.25">
      <c r="A240" t="s">
        <v>2074</v>
      </c>
      <c r="B240" t="s">
        <v>1117</v>
      </c>
      <c r="C240">
        <v>5</v>
      </c>
      <c r="D240" s="2" t="e">
        <f t="array" ref="D240">INDEX(T_vexistenciaxproducto[COSTO],MATCH(T_TránsitoCompras[[#This Row],[EMPRESA]]&amp;T_TránsitoCompras[[#This Row],[CODIGO]],T_vexistenciaxproducto[EMPRESA]&amp;T_vexistenciaxproducto[CODIGO],0),1)</f>
        <v>#VALUE!</v>
      </c>
      <c r="E240" s="2" t="e">
        <f>T_TránsitoCompras[[#This Row],[Tránsito]]
*T_TránsitoCompras[[#This Row],[Costo]]</f>
        <v>#VALUE!</v>
      </c>
    </row>
    <row r="241" spans="1:5" x14ac:dyDescent="0.25">
      <c r="A241" t="s">
        <v>2074</v>
      </c>
      <c r="B241" t="s">
        <v>1050</v>
      </c>
      <c r="C241">
        <v>5</v>
      </c>
      <c r="D241" s="2" t="e">
        <f t="array" ref="D241">INDEX(T_vexistenciaxproducto[COSTO],MATCH(T_TránsitoCompras[[#This Row],[EMPRESA]]&amp;T_TránsitoCompras[[#This Row],[CODIGO]],T_vexistenciaxproducto[EMPRESA]&amp;T_vexistenciaxproducto[CODIGO],0),1)</f>
        <v>#VALUE!</v>
      </c>
      <c r="E241" s="2" t="e">
        <f>T_TránsitoCompras[[#This Row],[Tránsito]]
*T_TránsitoCompras[[#This Row],[Costo]]</f>
        <v>#VALUE!</v>
      </c>
    </row>
    <row r="242" spans="1:5" x14ac:dyDescent="0.25">
      <c r="A242" t="s">
        <v>2074</v>
      </c>
      <c r="B242" t="s">
        <v>1399</v>
      </c>
      <c r="C242">
        <v>30</v>
      </c>
      <c r="D242" s="2" t="e">
        <f t="array" ref="D242">INDEX(T_vexistenciaxproducto[COSTO],MATCH(T_TránsitoCompras[[#This Row],[EMPRESA]]&amp;T_TránsitoCompras[[#This Row],[CODIGO]],T_vexistenciaxproducto[EMPRESA]&amp;T_vexistenciaxproducto[CODIGO],0),1)</f>
        <v>#VALUE!</v>
      </c>
      <c r="E242" s="2" t="e">
        <f>T_TránsitoCompras[[#This Row],[Tránsito]]
*T_TránsitoCompras[[#This Row],[Costo]]</f>
        <v>#VALUE!</v>
      </c>
    </row>
    <row r="243" spans="1:5" x14ac:dyDescent="0.25">
      <c r="A243" t="s">
        <v>2074</v>
      </c>
      <c r="B243" t="s">
        <v>945</v>
      </c>
      <c r="C243">
        <v>10</v>
      </c>
      <c r="D243" s="2" t="e">
        <f t="array" ref="D243">INDEX(T_vexistenciaxproducto[COSTO],MATCH(T_TránsitoCompras[[#This Row],[EMPRESA]]&amp;T_TránsitoCompras[[#This Row],[CODIGO]],T_vexistenciaxproducto[EMPRESA]&amp;T_vexistenciaxproducto[CODIGO],0),1)</f>
        <v>#VALUE!</v>
      </c>
      <c r="E243" s="2" t="e">
        <f>T_TránsitoCompras[[#This Row],[Tránsito]]
*T_TránsitoCompras[[#This Row],[Costo]]</f>
        <v>#VALUE!</v>
      </c>
    </row>
    <row r="244" spans="1:5" x14ac:dyDescent="0.25">
      <c r="A244" t="s">
        <v>2074</v>
      </c>
      <c r="B244" t="s">
        <v>1209</v>
      </c>
      <c r="C244">
        <v>14</v>
      </c>
      <c r="D244" s="2" t="e">
        <f t="array" ref="D244">INDEX(T_vexistenciaxproducto[COSTO],MATCH(T_TránsitoCompras[[#This Row],[EMPRESA]]&amp;T_TránsitoCompras[[#This Row],[CODIGO]],T_vexistenciaxproducto[EMPRESA]&amp;T_vexistenciaxproducto[CODIGO],0),1)</f>
        <v>#VALUE!</v>
      </c>
      <c r="E244" s="2" t="e">
        <f>T_TránsitoCompras[[#This Row],[Tránsito]]
*T_TránsitoCompras[[#This Row],[Costo]]</f>
        <v>#VALUE!</v>
      </c>
    </row>
    <row r="245" spans="1:5" x14ac:dyDescent="0.25">
      <c r="A245" t="s">
        <v>2074</v>
      </c>
      <c r="B245" t="s">
        <v>1377</v>
      </c>
      <c r="C245">
        <v>5</v>
      </c>
      <c r="D245" s="2" t="e">
        <f t="array" ref="D245">INDEX(T_vexistenciaxproducto[COSTO],MATCH(T_TránsitoCompras[[#This Row],[EMPRESA]]&amp;T_TránsitoCompras[[#This Row],[CODIGO]],T_vexistenciaxproducto[EMPRESA]&amp;T_vexistenciaxproducto[CODIGO],0),1)</f>
        <v>#VALUE!</v>
      </c>
      <c r="E245" s="2" t="e">
        <f>T_TránsitoCompras[[#This Row],[Tránsito]]
*T_TránsitoCompras[[#This Row],[Costo]]</f>
        <v>#VALUE!</v>
      </c>
    </row>
    <row r="246" spans="1:5" x14ac:dyDescent="0.25">
      <c r="A246" t="s">
        <v>2074</v>
      </c>
      <c r="B246" t="s">
        <v>1218</v>
      </c>
      <c r="C246">
        <v>20</v>
      </c>
      <c r="D246" s="2" t="e">
        <f t="array" ref="D246">INDEX(T_vexistenciaxproducto[COSTO],MATCH(T_TránsitoCompras[[#This Row],[EMPRESA]]&amp;T_TránsitoCompras[[#This Row],[CODIGO]],T_vexistenciaxproducto[EMPRESA]&amp;T_vexistenciaxproducto[CODIGO],0),1)</f>
        <v>#VALUE!</v>
      </c>
      <c r="E246" s="2" t="e">
        <f>T_TránsitoCompras[[#This Row],[Tránsito]]
*T_TránsitoCompras[[#This Row],[Costo]]</f>
        <v>#VALUE!</v>
      </c>
    </row>
    <row r="247" spans="1:5" x14ac:dyDescent="0.25">
      <c r="A247" t="s">
        <v>2074</v>
      </c>
      <c r="B247" t="s">
        <v>1221</v>
      </c>
      <c r="C247">
        <v>5</v>
      </c>
      <c r="D247" s="2" t="e">
        <f t="array" ref="D247">INDEX(T_vexistenciaxproducto[COSTO],MATCH(T_TránsitoCompras[[#This Row],[EMPRESA]]&amp;T_TránsitoCompras[[#This Row],[CODIGO]],T_vexistenciaxproducto[EMPRESA]&amp;T_vexistenciaxproducto[CODIGO],0),1)</f>
        <v>#VALUE!</v>
      </c>
      <c r="E247" s="2" t="e">
        <f>T_TránsitoCompras[[#This Row],[Tránsito]]
*T_TránsitoCompras[[#This Row],[Costo]]</f>
        <v>#VALUE!</v>
      </c>
    </row>
    <row r="248" spans="1:5" x14ac:dyDescent="0.25">
      <c r="A248" t="s">
        <v>2074</v>
      </c>
      <c r="B248" t="s">
        <v>1231</v>
      </c>
      <c r="C248">
        <v>5</v>
      </c>
      <c r="D248" s="2" t="e">
        <f t="array" ref="D248">INDEX(T_vexistenciaxproducto[COSTO],MATCH(T_TránsitoCompras[[#This Row],[EMPRESA]]&amp;T_TránsitoCompras[[#This Row],[CODIGO]],T_vexistenciaxproducto[EMPRESA]&amp;T_vexistenciaxproducto[CODIGO],0),1)</f>
        <v>#VALUE!</v>
      </c>
      <c r="E248" s="2" t="e">
        <f>T_TránsitoCompras[[#This Row],[Tránsito]]
*T_TránsitoCompras[[#This Row],[Costo]]</f>
        <v>#VALUE!</v>
      </c>
    </row>
    <row r="249" spans="1:5" x14ac:dyDescent="0.25">
      <c r="A249" t="s">
        <v>2074</v>
      </c>
      <c r="B249" t="s">
        <v>1167</v>
      </c>
      <c r="C249">
        <v>30</v>
      </c>
      <c r="D249" s="2" t="e">
        <f t="array" ref="D249">INDEX(T_vexistenciaxproducto[COSTO],MATCH(T_TránsitoCompras[[#This Row],[EMPRESA]]&amp;T_TránsitoCompras[[#This Row],[CODIGO]],T_vexistenciaxproducto[EMPRESA]&amp;T_vexistenciaxproducto[CODIGO],0),1)</f>
        <v>#VALUE!</v>
      </c>
      <c r="E249" s="2" t="e">
        <f>T_TránsitoCompras[[#This Row],[Tránsito]]
*T_TránsitoCompras[[#This Row],[Costo]]</f>
        <v>#VALUE!</v>
      </c>
    </row>
    <row r="250" spans="1:5" x14ac:dyDescent="0.25">
      <c r="A250" t="s">
        <v>2074</v>
      </c>
      <c r="B250" t="s">
        <v>726</v>
      </c>
      <c r="C250">
        <v>2</v>
      </c>
      <c r="D250" s="2" t="e">
        <f t="array" ref="D250">INDEX(T_vexistenciaxproducto[COSTO],MATCH(T_TránsitoCompras[[#This Row],[EMPRESA]]&amp;T_TránsitoCompras[[#This Row],[CODIGO]],T_vexistenciaxproducto[EMPRESA]&amp;T_vexistenciaxproducto[CODIGO],0),1)</f>
        <v>#VALUE!</v>
      </c>
      <c r="E250" s="2" t="e">
        <f>T_TránsitoCompras[[#This Row],[Tránsito]]
*T_TránsitoCompras[[#This Row],[Costo]]</f>
        <v>#VALUE!</v>
      </c>
    </row>
    <row r="251" spans="1:5" x14ac:dyDescent="0.25">
      <c r="A251" t="s">
        <v>2074</v>
      </c>
      <c r="B251" t="s">
        <v>728</v>
      </c>
      <c r="C251">
        <v>1</v>
      </c>
      <c r="D251" s="2" t="e">
        <f t="array" ref="D251">INDEX(T_vexistenciaxproducto[COSTO],MATCH(T_TránsitoCompras[[#This Row],[EMPRESA]]&amp;T_TránsitoCompras[[#This Row],[CODIGO]],T_vexistenciaxproducto[EMPRESA]&amp;T_vexistenciaxproducto[CODIGO],0),1)</f>
        <v>#VALUE!</v>
      </c>
      <c r="E251" s="2" t="e">
        <f>T_TránsitoCompras[[#This Row],[Tránsito]]
*T_TránsitoCompras[[#This Row],[Costo]]</f>
        <v>#VALUE!</v>
      </c>
    </row>
    <row r="252" spans="1:5" x14ac:dyDescent="0.25">
      <c r="A252" t="s">
        <v>2074</v>
      </c>
      <c r="B252" t="s">
        <v>732</v>
      </c>
      <c r="C252">
        <v>60</v>
      </c>
      <c r="D252" s="2" t="e">
        <f t="array" ref="D252">INDEX(T_vexistenciaxproducto[COSTO],MATCH(T_TránsitoCompras[[#This Row],[EMPRESA]]&amp;T_TránsitoCompras[[#This Row],[CODIGO]],T_vexistenciaxproducto[EMPRESA]&amp;T_vexistenciaxproducto[CODIGO],0),1)</f>
        <v>#VALUE!</v>
      </c>
      <c r="E252" s="2" t="e">
        <f>T_TránsitoCompras[[#This Row],[Tránsito]]
*T_TránsitoCompras[[#This Row],[Costo]]</f>
        <v>#VALUE!</v>
      </c>
    </row>
    <row r="253" spans="1:5" x14ac:dyDescent="0.25">
      <c r="A253" t="s">
        <v>2074</v>
      </c>
      <c r="B253" t="s">
        <v>727</v>
      </c>
      <c r="C253">
        <v>35</v>
      </c>
      <c r="D253" s="2" t="e">
        <f t="array" ref="D253">INDEX(T_vexistenciaxproducto[COSTO],MATCH(T_TránsitoCompras[[#This Row],[EMPRESA]]&amp;T_TránsitoCompras[[#This Row],[CODIGO]],T_vexistenciaxproducto[EMPRESA]&amp;T_vexistenciaxproducto[CODIGO],0),1)</f>
        <v>#VALUE!</v>
      </c>
      <c r="E253" s="2" t="e">
        <f>T_TránsitoCompras[[#This Row],[Tránsito]]
*T_TránsitoCompras[[#This Row],[Costo]]</f>
        <v>#VALUE!</v>
      </c>
    </row>
    <row r="254" spans="1:5" x14ac:dyDescent="0.25">
      <c r="A254" t="s">
        <v>2074</v>
      </c>
      <c r="B254" t="s">
        <v>1234</v>
      </c>
      <c r="C254">
        <v>18</v>
      </c>
      <c r="D254" s="2" t="e">
        <f t="array" ref="D254">INDEX(T_vexistenciaxproducto[COSTO],MATCH(T_TránsitoCompras[[#This Row],[EMPRESA]]&amp;T_TránsitoCompras[[#This Row],[CODIGO]],T_vexistenciaxproducto[EMPRESA]&amp;T_vexistenciaxproducto[CODIGO],0),1)</f>
        <v>#VALUE!</v>
      </c>
      <c r="E254" s="2" t="e">
        <f>T_TránsitoCompras[[#This Row],[Tránsito]]
*T_TránsitoCompras[[#This Row],[Costo]]</f>
        <v>#VALUE!</v>
      </c>
    </row>
    <row r="255" spans="1:5" x14ac:dyDescent="0.25">
      <c r="A255" t="s">
        <v>2074</v>
      </c>
      <c r="B255" t="s">
        <v>1058</v>
      </c>
      <c r="C255">
        <v>125</v>
      </c>
      <c r="D255" s="2" t="e">
        <f t="array" ref="D255">INDEX(T_vexistenciaxproducto[COSTO],MATCH(T_TránsitoCompras[[#This Row],[EMPRESA]]&amp;T_TránsitoCompras[[#This Row],[CODIGO]],T_vexistenciaxproducto[EMPRESA]&amp;T_vexistenciaxproducto[CODIGO],0),1)</f>
        <v>#VALUE!</v>
      </c>
      <c r="E255" s="2" t="e">
        <f>T_TránsitoCompras[[#This Row],[Tránsito]]
*T_TránsitoCompras[[#This Row],[Costo]]</f>
        <v>#VALUE!</v>
      </c>
    </row>
    <row r="256" spans="1:5" x14ac:dyDescent="0.25">
      <c r="A256" t="s">
        <v>2074</v>
      </c>
      <c r="B256" t="s">
        <v>1498</v>
      </c>
      <c r="C256">
        <v>2</v>
      </c>
      <c r="D256" s="2" t="e">
        <f t="array" ref="D256">INDEX(T_vexistenciaxproducto[COSTO],MATCH(T_TránsitoCompras[[#This Row],[EMPRESA]]&amp;T_TránsitoCompras[[#This Row],[CODIGO]],T_vexistenciaxproducto[EMPRESA]&amp;T_vexistenciaxproducto[CODIGO],0),1)</f>
        <v>#VALUE!</v>
      </c>
      <c r="E256" s="2" t="e">
        <f>T_TránsitoCompras[[#This Row],[Tránsito]]
*T_TránsitoCompras[[#This Row],[Costo]]</f>
        <v>#VALUE!</v>
      </c>
    </row>
    <row r="257" spans="1:5" x14ac:dyDescent="0.25">
      <c r="A257" t="s">
        <v>2074</v>
      </c>
      <c r="B257" t="s">
        <v>1665</v>
      </c>
      <c r="C257">
        <v>3</v>
      </c>
      <c r="D257" s="2" t="e">
        <f t="array" ref="D257">INDEX(T_vexistenciaxproducto[COSTO],MATCH(T_TránsitoCompras[[#This Row],[EMPRESA]]&amp;T_TránsitoCompras[[#This Row],[CODIGO]],T_vexistenciaxproducto[EMPRESA]&amp;T_vexistenciaxproducto[CODIGO],0),1)</f>
        <v>#VALUE!</v>
      </c>
      <c r="E257" s="2" t="e">
        <f>T_TránsitoCompras[[#This Row],[Tránsito]]
*T_TránsitoCompras[[#This Row],[Costo]]</f>
        <v>#VALUE!</v>
      </c>
    </row>
    <row r="258" spans="1:5" x14ac:dyDescent="0.25">
      <c r="A258" t="s">
        <v>2074</v>
      </c>
      <c r="B258" t="s">
        <v>1666</v>
      </c>
      <c r="C258">
        <v>5</v>
      </c>
      <c r="D258" s="2" t="e">
        <f t="array" ref="D258">INDEX(T_vexistenciaxproducto[COSTO],MATCH(T_TránsitoCompras[[#This Row],[EMPRESA]]&amp;T_TránsitoCompras[[#This Row],[CODIGO]],T_vexistenciaxproducto[EMPRESA]&amp;T_vexistenciaxproducto[CODIGO],0),1)</f>
        <v>#VALUE!</v>
      </c>
      <c r="E258" s="2" t="e">
        <f>T_TránsitoCompras[[#This Row],[Tránsito]]
*T_TránsitoCompras[[#This Row],[Costo]]</f>
        <v>#VALUE!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557"/>
  <sheetViews>
    <sheetView topLeftCell="A1640" workbookViewId="0">
      <selection activeCell="A1674" sqref="A1674"/>
    </sheetView>
  </sheetViews>
  <sheetFormatPr baseColWidth="10" defaultRowHeight="15" x14ac:dyDescent="0.25"/>
  <cols>
    <col min="1" max="1" width="11.7109375" bestFit="1" customWidth="1"/>
    <col min="2" max="2" width="24.5703125" bestFit="1" customWidth="1"/>
  </cols>
  <sheetData>
    <row r="1" spans="1:2" x14ac:dyDescent="0.25">
      <c r="A1" t="s">
        <v>1535</v>
      </c>
      <c r="B1" t="s">
        <v>1538</v>
      </c>
    </row>
    <row r="2" spans="1:2" x14ac:dyDescent="0.25">
      <c r="A2" t="s">
        <v>2074</v>
      </c>
      <c r="B2" t="s">
        <v>738</v>
      </c>
    </row>
    <row r="3" spans="1:2" x14ac:dyDescent="0.25">
      <c r="A3" t="s">
        <v>2074</v>
      </c>
      <c r="B3" t="s">
        <v>735</v>
      </c>
    </row>
    <row r="4" spans="1:2" x14ac:dyDescent="0.25">
      <c r="A4" t="s">
        <v>2074</v>
      </c>
      <c r="B4" t="s">
        <v>739</v>
      </c>
    </row>
    <row r="5" spans="1:2" x14ac:dyDescent="0.25">
      <c r="A5" t="s">
        <v>2074</v>
      </c>
      <c r="B5" t="s">
        <v>740</v>
      </c>
    </row>
    <row r="6" spans="1:2" x14ac:dyDescent="0.25">
      <c r="A6" t="s">
        <v>2074</v>
      </c>
      <c r="B6" t="s">
        <v>68</v>
      </c>
    </row>
    <row r="7" spans="1:2" x14ac:dyDescent="0.25">
      <c r="A7" t="s">
        <v>2074</v>
      </c>
      <c r="B7" t="s">
        <v>67</v>
      </c>
    </row>
    <row r="8" spans="1:2" x14ac:dyDescent="0.25">
      <c r="A8" t="s">
        <v>2074</v>
      </c>
      <c r="B8" t="s">
        <v>1487</v>
      </c>
    </row>
    <row r="9" spans="1:2" x14ac:dyDescent="0.25">
      <c r="A9" t="s">
        <v>2074</v>
      </c>
      <c r="B9" t="s">
        <v>1486</v>
      </c>
    </row>
    <row r="10" spans="1:2" x14ac:dyDescent="0.25">
      <c r="A10" t="s">
        <v>2074</v>
      </c>
      <c r="B10" t="s">
        <v>77</v>
      </c>
    </row>
    <row r="11" spans="1:2" x14ac:dyDescent="0.25">
      <c r="A11" t="s">
        <v>2074</v>
      </c>
      <c r="B11" t="s">
        <v>73</v>
      </c>
    </row>
    <row r="12" spans="1:2" x14ac:dyDescent="0.25">
      <c r="A12" t="s">
        <v>2074</v>
      </c>
      <c r="B12" t="s">
        <v>1488</v>
      </c>
    </row>
    <row r="13" spans="1:2" x14ac:dyDescent="0.25">
      <c r="A13" t="s">
        <v>2074</v>
      </c>
      <c r="B13" t="s">
        <v>76</v>
      </c>
    </row>
    <row r="14" spans="1:2" x14ac:dyDescent="0.25">
      <c r="A14" t="s">
        <v>2074</v>
      </c>
      <c r="B14" t="s">
        <v>72</v>
      </c>
    </row>
    <row r="15" spans="1:2" x14ac:dyDescent="0.25">
      <c r="A15" t="s">
        <v>2074</v>
      </c>
      <c r="B15" t="s">
        <v>354</v>
      </c>
    </row>
    <row r="16" spans="1:2" x14ac:dyDescent="0.25">
      <c r="A16" t="s">
        <v>2074</v>
      </c>
      <c r="B16" t="s">
        <v>1560</v>
      </c>
    </row>
    <row r="17" spans="1:2" x14ac:dyDescent="0.25">
      <c r="A17" t="s">
        <v>2074</v>
      </c>
      <c r="B17" t="s">
        <v>83</v>
      </c>
    </row>
    <row r="18" spans="1:2" x14ac:dyDescent="0.25">
      <c r="A18" t="s">
        <v>2074</v>
      </c>
      <c r="B18" t="s">
        <v>463</v>
      </c>
    </row>
    <row r="19" spans="1:2" x14ac:dyDescent="0.25">
      <c r="A19" t="s">
        <v>2074</v>
      </c>
      <c r="B19" t="s">
        <v>633</v>
      </c>
    </row>
    <row r="20" spans="1:2" x14ac:dyDescent="0.25">
      <c r="A20" t="s">
        <v>2074</v>
      </c>
      <c r="B20" t="s">
        <v>84</v>
      </c>
    </row>
    <row r="21" spans="1:2" x14ac:dyDescent="0.25">
      <c r="A21" t="s">
        <v>2074</v>
      </c>
      <c r="B21" t="s">
        <v>85</v>
      </c>
    </row>
    <row r="22" spans="1:2" x14ac:dyDescent="0.25">
      <c r="A22" t="s">
        <v>2074</v>
      </c>
      <c r="B22" t="s">
        <v>86</v>
      </c>
    </row>
    <row r="23" spans="1:2" x14ac:dyDescent="0.25">
      <c r="A23" t="s">
        <v>2074</v>
      </c>
      <c r="B23" t="s">
        <v>87</v>
      </c>
    </row>
    <row r="24" spans="1:2" x14ac:dyDescent="0.25">
      <c r="A24" t="s">
        <v>2074</v>
      </c>
      <c r="B24" t="s">
        <v>495</v>
      </c>
    </row>
    <row r="25" spans="1:2" x14ac:dyDescent="0.25">
      <c r="A25" t="s">
        <v>2074</v>
      </c>
      <c r="B25" t="s">
        <v>465</v>
      </c>
    </row>
    <row r="26" spans="1:2" x14ac:dyDescent="0.25">
      <c r="A26" t="s">
        <v>2074</v>
      </c>
      <c r="B26" t="s">
        <v>88</v>
      </c>
    </row>
    <row r="27" spans="1:2" x14ac:dyDescent="0.25">
      <c r="A27" t="s">
        <v>2074</v>
      </c>
      <c r="B27" t="s">
        <v>89</v>
      </c>
    </row>
    <row r="28" spans="1:2" x14ac:dyDescent="0.25">
      <c r="A28" t="s">
        <v>2074</v>
      </c>
      <c r="B28" t="s">
        <v>90</v>
      </c>
    </row>
    <row r="29" spans="1:2" x14ac:dyDescent="0.25">
      <c r="A29" t="s">
        <v>2074</v>
      </c>
      <c r="B29" t="s">
        <v>91</v>
      </c>
    </row>
    <row r="30" spans="1:2" x14ac:dyDescent="0.25">
      <c r="A30" t="s">
        <v>2074</v>
      </c>
      <c r="B30" t="s">
        <v>92</v>
      </c>
    </row>
    <row r="31" spans="1:2" x14ac:dyDescent="0.25">
      <c r="A31" t="s">
        <v>2074</v>
      </c>
      <c r="B31" t="s">
        <v>93</v>
      </c>
    </row>
    <row r="32" spans="1:2" x14ac:dyDescent="0.25">
      <c r="A32" t="s">
        <v>2074</v>
      </c>
      <c r="B32" t="s">
        <v>687</v>
      </c>
    </row>
    <row r="33" spans="1:2" x14ac:dyDescent="0.25">
      <c r="A33" t="s">
        <v>2074</v>
      </c>
      <c r="B33" t="s">
        <v>607</v>
      </c>
    </row>
    <row r="34" spans="1:2" x14ac:dyDescent="0.25">
      <c r="A34" t="s">
        <v>2074</v>
      </c>
      <c r="B34" t="s">
        <v>94</v>
      </c>
    </row>
    <row r="35" spans="1:2" x14ac:dyDescent="0.25">
      <c r="A35" t="s">
        <v>2074</v>
      </c>
      <c r="B35" t="s">
        <v>95</v>
      </c>
    </row>
    <row r="36" spans="1:2" x14ac:dyDescent="0.25">
      <c r="A36" t="s">
        <v>2074</v>
      </c>
      <c r="B36" t="s">
        <v>96</v>
      </c>
    </row>
    <row r="37" spans="1:2" x14ac:dyDescent="0.25">
      <c r="A37" t="s">
        <v>2074</v>
      </c>
      <c r="B37" t="s">
        <v>602</v>
      </c>
    </row>
    <row r="38" spans="1:2" x14ac:dyDescent="0.25">
      <c r="A38" t="s">
        <v>2074</v>
      </c>
      <c r="B38" t="s">
        <v>1695</v>
      </c>
    </row>
    <row r="39" spans="1:2" x14ac:dyDescent="0.25">
      <c r="A39" t="s">
        <v>2074</v>
      </c>
      <c r="B39" t="s">
        <v>97</v>
      </c>
    </row>
    <row r="40" spans="1:2" x14ac:dyDescent="0.25">
      <c r="A40" t="s">
        <v>2074</v>
      </c>
      <c r="B40" t="s">
        <v>1172</v>
      </c>
    </row>
    <row r="41" spans="1:2" x14ac:dyDescent="0.25">
      <c r="A41" t="s">
        <v>2074</v>
      </c>
      <c r="B41" t="s">
        <v>98</v>
      </c>
    </row>
    <row r="42" spans="1:2" x14ac:dyDescent="0.25">
      <c r="A42" t="s">
        <v>2074</v>
      </c>
      <c r="B42" t="s">
        <v>1561</v>
      </c>
    </row>
    <row r="43" spans="1:2" x14ac:dyDescent="0.25">
      <c r="A43" t="s">
        <v>2074</v>
      </c>
      <c r="B43" t="s">
        <v>497</v>
      </c>
    </row>
    <row r="44" spans="1:2" x14ac:dyDescent="0.25">
      <c r="A44" t="s">
        <v>2074</v>
      </c>
      <c r="B44" t="s">
        <v>99</v>
      </c>
    </row>
    <row r="45" spans="1:2" x14ac:dyDescent="0.25">
      <c r="A45" t="s">
        <v>2074</v>
      </c>
      <c r="B45" t="s">
        <v>535</v>
      </c>
    </row>
    <row r="46" spans="1:2" x14ac:dyDescent="0.25">
      <c r="A46" t="s">
        <v>2074</v>
      </c>
      <c r="B46" t="s">
        <v>100</v>
      </c>
    </row>
    <row r="47" spans="1:2" x14ac:dyDescent="0.25">
      <c r="A47" t="s">
        <v>2074</v>
      </c>
      <c r="B47" t="s">
        <v>101</v>
      </c>
    </row>
    <row r="48" spans="1:2" x14ac:dyDescent="0.25">
      <c r="A48" t="s">
        <v>2074</v>
      </c>
      <c r="B48" t="s">
        <v>226</v>
      </c>
    </row>
    <row r="49" spans="1:2" x14ac:dyDescent="0.25">
      <c r="A49" t="s">
        <v>2074</v>
      </c>
      <c r="B49" t="s">
        <v>605</v>
      </c>
    </row>
    <row r="50" spans="1:2" x14ac:dyDescent="0.25">
      <c r="A50" t="s">
        <v>2074</v>
      </c>
      <c r="B50" t="s">
        <v>684</v>
      </c>
    </row>
    <row r="51" spans="1:2" x14ac:dyDescent="0.25">
      <c r="A51" t="s">
        <v>2074</v>
      </c>
      <c r="B51" t="s">
        <v>520</v>
      </c>
    </row>
    <row r="52" spans="1:2" x14ac:dyDescent="0.25">
      <c r="A52" t="s">
        <v>2074</v>
      </c>
      <c r="B52" t="s">
        <v>606</v>
      </c>
    </row>
    <row r="53" spans="1:2" x14ac:dyDescent="0.25">
      <c r="A53" t="s">
        <v>2074</v>
      </c>
      <c r="B53" t="s">
        <v>1412</v>
      </c>
    </row>
    <row r="54" spans="1:2" x14ac:dyDescent="0.25">
      <c r="A54" t="s">
        <v>2074</v>
      </c>
      <c r="B54" t="s">
        <v>219</v>
      </c>
    </row>
    <row r="55" spans="1:2" x14ac:dyDescent="0.25">
      <c r="A55" t="s">
        <v>2074</v>
      </c>
      <c r="B55" t="s">
        <v>458</v>
      </c>
    </row>
    <row r="56" spans="1:2" x14ac:dyDescent="0.25">
      <c r="A56" t="s">
        <v>2074</v>
      </c>
      <c r="B56" t="s">
        <v>533</v>
      </c>
    </row>
    <row r="57" spans="1:2" x14ac:dyDescent="0.25">
      <c r="A57" t="s">
        <v>2074</v>
      </c>
      <c r="B57" t="s">
        <v>469</v>
      </c>
    </row>
    <row r="58" spans="1:2" x14ac:dyDescent="0.25">
      <c r="A58" t="s">
        <v>2074</v>
      </c>
      <c r="B58" t="s">
        <v>102</v>
      </c>
    </row>
    <row r="59" spans="1:2" x14ac:dyDescent="0.25">
      <c r="A59" t="s">
        <v>2074</v>
      </c>
      <c r="B59" t="s">
        <v>103</v>
      </c>
    </row>
    <row r="60" spans="1:2" x14ac:dyDescent="0.25">
      <c r="A60" t="s">
        <v>2074</v>
      </c>
      <c r="B60" t="s">
        <v>2075</v>
      </c>
    </row>
    <row r="61" spans="1:2" x14ac:dyDescent="0.25">
      <c r="A61" t="s">
        <v>2074</v>
      </c>
      <c r="B61" t="s">
        <v>504</v>
      </c>
    </row>
    <row r="62" spans="1:2" x14ac:dyDescent="0.25">
      <c r="A62" t="s">
        <v>2074</v>
      </c>
      <c r="B62" t="s">
        <v>477</v>
      </c>
    </row>
    <row r="63" spans="1:2" x14ac:dyDescent="0.25">
      <c r="A63" t="s">
        <v>2074</v>
      </c>
      <c r="B63" t="s">
        <v>505</v>
      </c>
    </row>
    <row r="64" spans="1:2" x14ac:dyDescent="0.25">
      <c r="A64" t="s">
        <v>2074</v>
      </c>
      <c r="B64" t="s">
        <v>104</v>
      </c>
    </row>
    <row r="65" spans="1:2" x14ac:dyDescent="0.25">
      <c r="A65" t="s">
        <v>2074</v>
      </c>
      <c r="B65" t="s">
        <v>503</v>
      </c>
    </row>
    <row r="66" spans="1:2" x14ac:dyDescent="0.25">
      <c r="A66" t="s">
        <v>2074</v>
      </c>
      <c r="B66" t="s">
        <v>476</v>
      </c>
    </row>
    <row r="67" spans="1:2" x14ac:dyDescent="0.25">
      <c r="A67" t="s">
        <v>2074</v>
      </c>
      <c r="B67" t="s">
        <v>105</v>
      </c>
    </row>
    <row r="68" spans="1:2" x14ac:dyDescent="0.25">
      <c r="A68" t="s">
        <v>2074</v>
      </c>
      <c r="B68" t="s">
        <v>479</v>
      </c>
    </row>
    <row r="69" spans="1:2" x14ac:dyDescent="0.25">
      <c r="A69" t="s">
        <v>2074</v>
      </c>
      <c r="B69" t="s">
        <v>106</v>
      </c>
    </row>
    <row r="70" spans="1:2" x14ac:dyDescent="0.25">
      <c r="A70" t="s">
        <v>2074</v>
      </c>
      <c r="B70" t="s">
        <v>494</v>
      </c>
    </row>
    <row r="71" spans="1:2" x14ac:dyDescent="0.25">
      <c r="A71" t="s">
        <v>2074</v>
      </c>
      <c r="B71" t="s">
        <v>107</v>
      </c>
    </row>
    <row r="72" spans="1:2" x14ac:dyDescent="0.25">
      <c r="A72" t="s">
        <v>2074</v>
      </c>
      <c r="B72" t="s">
        <v>108</v>
      </c>
    </row>
    <row r="73" spans="1:2" x14ac:dyDescent="0.25">
      <c r="A73" t="s">
        <v>2074</v>
      </c>
      <c r="B73" t="s">
        <v>375</v>
      </c>
    </row>
    <row r="74" spans="1:2" x14ac:dyDescent="0.25">
      <c r="A74" t="s">
        <v>2074</v>
      </c>
      <c r="B74" t="s">
        <v>462</v>
      </c>
    </row>
    <row r="75" spans="1:2" x14ac:dyDescent="0.25">
      <c r="A75" t="s">
        <v>2074</v>
      </c>
      <c r="B75" t="s">
        <v>109</v>
      </c>
    </row>
    <row r="76" spans="1:2" x14ac:dyDescent="0.25">
      <c r="A76" t="s">
        <v>2074</v>
      </c>
      <c r="B76" t="s">
        <v>678</v>
      </c>
    </row>
    <row r="77" spans="1:2" x14ac:dyDescent="0.25">
      <c r="A77" t="s">
        <v>2074</v>
      </c>
      <c r="B77" t="s">
        <v>110</v>
      </c>
    </row>
    <row r="78" spans="1:2" x14ac:dyDescent="0.25">
      <c r="A78" t="s">
        <v>2074</v>
      </c>
      <c r="B78" t="s">
        <v>461</v>
      </c>
    </row>
    <row r="79" spans="1:2" x14ac:dyDescent="0.25">
      <c r="A79" t="s">
        <v>2074</v>
      </c>
      <c r="B79" t="s">
        <v>111</v>
      </c>
    </row>
    <row r="80" spans="1:2" x14ac:dyDescent="0.25">
      <c r="A80" t="s">
        <v>2074</v>
      </c>
      <c r="B80" t="s">
        <v>112</v>
      </c>
    </row>
    <row r="81" spans="1:2" x14ac:dyDescent="0.25">
      <c r="A81" t="s">
        <v>2074</v>
      </c>
      <c r="B81" t="s">
        <v>113</v>
      </c>
    </row>
    <row r="82" spans="1:2" x14ac:dyDescent="0.25">
      <c r="A82" t="s">
        <v>2074</v>
      </c>
      <c r="B82" t="s">
        <v>1562</v>
      </c>
    </row>
    <row r="83" spans="1:2" x14ac:dyDescent="0.25">
      <c r="A83" t="s">
        <v>2074</v>
      </c>
      <c r="B83" t="s">
        <v>1563</v>
      </c>
    </row>
    <row r="84" spans="1:2" x14ac:dyDescent="0.25">
      <c r="A84" t="s">
        <v>2074</v>
      </c>
      <c r="B84" t="s">
        <v>445</v>
      </c>
    </row>
    <row r="85" spans="1:2" x14ac:dyDescent="0.25">
      <c r="A85" t="s">
        <v>2074</v>
      </c>
      <c r="B85" t="s">
        <v>1564</v>
      </c>
    </row>
    <row r="86" spans="1:2" x14ac:dyDescent="0.25">
      <c r="A86" t="s">
        <v>2074</v>
      </c>
      <c r="B86" t="s">
        <v>527</v>
      </c>
    </row>
    <row r="87" spans="1:2" x14ac:dyDescent="0.25">
      <c r="A87" t="s">
        <v>2074</v>
      </c>
      <c r="B87" t="s">
        <v>1434</v>
      </c>
    </row>
    <row r="88" spans="1:2" x14ac:dyDescent="0.25">
      <c r="A88" t="s">
        <v>2074</v>
      </c>
      <c r="B88" t="s">
        <v>631</v>
      </c>
    </row>
    <row r="89" spans="1:2" x14ac:dyDescent="0.25">
      <c r="A89" t="s">
        <v>2074</v>
      </c>
      <c r="B89" t="s">
        <v>1139</v>
      </c>
    </row>
    <row r="90" spans="1:2" x14ac:dyDescent="0.25">
      <c r="A90" t="s">
        <v>2074</v>
      </c>
      <c r="B90" t="s">
        <v>1565</v>
      </c>
    </row>
    <row r="91" spans="1:2" x14ac:dyDescent="0.25">
      <c r="A91" t="s">
        <v>2074</v>
      </c>
      <c r="B91" t="s">
        <v>1144</v>
      </c>
    </row>
    <row r="92" spans="1:2" x14ac:dyDescent="0.25">
      <c r="A92" t="s">
        <v>2074</v>
      </c>
      <c r="B92" t="s">
        <v>499</v>
      </c>
    </row>
    <row r="93" spans="1:2" x14ac:dyDescent="0.25">
      <c r="A93" t="s">
        <v>2074</v>
      </c>
      <c r="B93" t="s">
        <v>597</v>
      </c>
    </row>
    <row r="94" spans="1:2" x14ac:dyDescent="0.25">
      <c r="A94" t="s">
        <v>2074</v>
      </c>
      <c r="B94" t="s">
        <v>598</v>
      </c>
    </row>
    <row r="95" spans="1:2" x14ac:dyDescent="0.25">
      <c r="A95" t="s">
        <v>2074</v>
      </c>
      <c r="B95" t="s">
        <v>511</v>
      </c>
    </row>
    <row r="96" spans="1:2" x14ac:dyDescent="0.25">
      <c r="A96" t="s">
        <v>2074</v>
      </c>
      <c r="B96" t="s">
        <v>510</v>
      </c>
    </row>
    <row r="97" spans="1:2" x14ac:dyDescent="0.25">
      <c r="A97" t="s">
        <v>2074</v>
      </c>
      <c r="B97" t="s">
        <v>513</v>
      </c>
    </row>
    <row r="98" spans="1:2" x14ac:dyDescent="0.25">
      <c r="A98" t="s">
        <v>2074</v>
      </c>
      <c r="B98" t="s">
        <v>518</v>
      </c>
    </row>
    <row r="99" spans="1:2" x14ac:dyDescent="0.25">
      <c r="A99" t="s">
        <v>2074</v>
      </c>
      <c r="B99" t="s">
        <v>114</v>
      </c>
    </row>
    <row r="100" spans="1:2" x14ac:dyDescent="0.25">
      <c r="A100" t="s">
        <v>2074</v>
      </c>
      <c r="B100" t="s">
        <v>115</v>
      </c>
    </row>
    <row r="101" spans="1:2" x14ac:dyDescent="0.25">
      <c r="A101" t="s">
        <v>2074</v>
      </c>
      <c r="B101" t="s">
        <v>486</v>
      </c>
    </row>
    <row r="102" spans="1:2" x14ac:dyDescent="0.25">
      <c r="A102" t="s">
        <v>2074</v>
      </c>
      <c r="B102" t="s">
        <v>116</v>
      </c>
    </row>
    <row r="103" spans="1:2" x14ac:dyDescent="0.25">
      <c r="A103" t="s">
        <v>2074</v>
      </c>
      <c r="B103" t="s">
        <v>117</v>
      </c>
    </row>
    <row r="104" spans="1:2" x14ac:dyDescent="0.25">
      <c r="A104" t="s">
        <v>2074</v>
      </c>
      <c r="B104" t="s">
        <v>118</v>
      </c>
    </row>
    <row r="105" spans="1:2" x14ac:dyDescent="0.25">
      <c r="A105" t="s">
        <v>2074</v>
      </c>
      <c r="B105" t="s">
        <v>119</v>
      </c>
    </row>
    <row r="106" spans="1:2" x14ac:dyDescent="0.25">
      <c r="A106" t="s">
        <v>2074</v>
      </c>
      <c r="B106" t="s">
        <v>514</v>
      </c>
    </row>
    <row r="107" spans="1:2" x14ac:dyDescent="0.25">
      <c r="A107" t="s">
        <v>2074</v>
      </c>
      <c r="B107" t="s">
        <v>1410</v>
      </c>
    </row>
    <row r="108" spans="1:2" x14ac:dyDescent="0.25">
      <c r="A108" t="s">
        <v>2074</v>
      </c>
      <c r="B108" t="s">
        <v>1566</v>
      </c>
    </row>
    <row r="109" spans="1:2" x14ac:dyDescent="0.25">
      <c r="A109" t="s">
        <v>2074</v>
      </c>
      <c r="B109" t="s">
        <v>801</v>
      </c>
    </row>
    <row r="110" spans="1:2" x14ac:dyDescent="0.25">
      <c r="A110" t="s">
        <v>2074</v>
      </c>
      <c r="B110" t="s">
        <v>120</v>
      </c>
    </row>
    <row r="111" spans="1:2" x14ac:dyDescent="0.25">
      <c r="A111" t="s">
        <v>2074</v>
      </c>
      <c r="B111" t="s">
        <v>121</v>
      </c>
    </row>
    <row r="112" spans="1:2" x14ac:dyDescent="0.25">
      <c r="A112" t="s">
        <v>2074</v>
      </c>
      <c r="B112" t="s">
        <v>122</v>
      </c>
    </row>
    <row r="113" spans="1:2" x14ac:dyDescent="0.25">
      <c r="A113" t="s">
        <v>2074</v>
      </c>
      <c r="B113" t="s">
        <v>484</v>
      </c>
    </row>
    <row r="114" spans="1:2" x14ac:dyDescent="0.25">
      <c r="A114" t="s">
        <v>2074</v>
      </c>
      <c r="B114" t="s">
        <v>1403</v>
      </c>
    </row>
    <row r="115" spans="1:2" x14ac:dyDescent="0.25">
      <c r="A115" t="s">
        <v>2074</v>
      </c>
      <c r="B115" t="s">
        <v>123</v>
      </c>
    </row>
    <row r="116" spans="1:2" x14ac:dyDescent="0.25">
      <c r="A116" t="s">
        <v>2074</v>
      </c>
      <c r="B116" t="s">
        <v>125</v>
      </c>
    </row>
    <row r="117" spans="1:2" x14ac:dyDescent="0.25">
      <c r="A117" t="s">
        <v>2074</v>
      </c>
      <c r="B117" t="s">
        <v>1409</v>
      </c>
    </row>
    <row r="118" spans="1:2" x14ac:dyDescent="0.25">
      <c r="A118" t="s">
        <v>2074</v>
      </c>
      <c r="B118" t="s">
        <v>126</v>
      </c>
    </row>
    <row r="119" spans="1:2" x14ac:dyDescent="0.25">
      <c r="A119" t="s">
        <v>2074</v>
      </c>
      <c r="B119" t="s">
        <v>580</v>
      </c>
    </row>
    <row r="120" spans="1:2" x14ac:dyDescent="0.25">
      <c r="A120" t="s">
        <v>2074</v>
      </c>
      <c r="B120" t="s">
        <v>1567</v>
      </c>
    </row>
    <row r="121" spans="1:2" x14ac:dyDescent="0.25">
      <c r="A121" t="s">
        <v>2074</v>
      </c>
      <c r="B121" t="s">
        <v>1411</v>
      </c>
    </row>
    <row r="122" spans="1:2" x14ac:dyDescent="0.25">
      <c r="A122" t="s">
        <v>2074</v>
      </c>
      <c r="B122" t="s">
        <v>487</v>
      </c>
    </row>
    <row r="123" spans="1:2" x14ac:dyDescent="0.25">
      <c r="A123" t="s">
        <v>2074</v>
      </c>
      <c r="B123" t="s">
        <v>127</v>
      </c>
    </row>
    <row r="124" spans="1:2" x14ac:dyDescent="0.25">
      <c r="A124" t="s">
        <v>2074</v>
      </c>
      <c r="B124" t="s">
        <v>488</v>
      </c>
    </row>
    <row r="125" spans="1:2" x14ac:dyDescent="0.25">
      <c r="A125" t="s">
        <v>2074</v>
      </c>
      <c r="B125" t="s">
        <v>128</v>
      </c>
    </row>
    <row r="126" spans="1:2" x14ac:dyDescent="0.25">
      <c r="A126" t="s">
        <v>2074</v>
      </c>
      <c r="B126" t="s">
        <v>129</v>
      </c>
    </row>
    <row r="127" spans="1:2" x14ac:dyDescent="0.25">
      <c r="A127" t="s">
        <v>2074</v>
      </c>
      <c r="B127" t="s">
        <v>1011</v>
      </c>
    </row>
    <row r="128" spans="1:2" x14ac:dyDescent="0.25">
      <c r="A128" t="s">
        <v>2074</v>
      </c>
      <c r="B128" t="s">
        <v>131</v>
      </c>
    </row>
    <row r="129" spans="1:2" x14ac:dyDescent="0.25">
      <c r="A129" t="s">
        <v>2074</v>
      </c>
      <c r="B129" t="s">
        <v>1180</v>
      </c>
    </row>
    <row r="130" spans="1:2" x14ac:dyDescent="0.25">
      <c r="A130" t="s">
        <v>2074</v>
      </c>
      <c r="B130" t="s">
        <v>132</v>
      </c>
    </row>
    <row r="131" spans="1:2" x14ac:dyDescent="0.25">
      <c r="A131" t="s">
        <v>2074</v>
      </c>
      <c r="B131" t="s">
        <v>621</v>
      </c>
    </row>
    <row r="132" spans="1:2" x14ac:dyDescent="0.25">
      <c r="A132" t="s">
        <v>2074</v>
      </c>
      <c r="B132" t="s">
        <v>133</v>
      </c>
    </row>
    <row r="133" spans="1:2" x14ac:dyDescent="0.25">
      <c r="A133" t="s">
        <v>2074</v>
      </c>
      <c r="B133" t="s">
        <v>134</v>
      </c>
    </row>
    <row r="134" spans="1:2" x14ac:dyDescent="0.25">
      <c r="A134" t="s">
        <v>2074</v>
      </c>
      <c r="B134" t="s">
        <v>1183</v>
      </c>
    </row>
    <row r="135" spans="1:2" x14ac:dyDescent="0.25">
      <c r="A135" t="s">
        <v>2074</v>
      </c>
      <c r="B135" t="s">
        <v>1085</v>
      </c>
    </row>
    <row r="136" spans="1:2" x14ac:dyDescent="0.25">
      <c r="A136" t="s">
        <v>2074</v>
      </c>
      <c r="B136" t="s">
        <v>135</v>
      </c>
    </row>
    <row r="137" spans="1:2" x14ac:dyDescent="0.25">
      <c r="A137" t="s">
        <v>2074</v>
      </c>
      <c r="B137" t="s">
        <v>136</v>
      </c>
    </row>
    <row r="138" spans="1:2" x14ac:dyDescent="0.25">
      <c r="A138" t="s">
        <v>2074</v>
      </c>
      <c r="B138" t="s">
        <v>832</v>
      </c>
    </row>
    <row r="139" spans="1:2" x14ac:dyDescent="0.25">
      <c r="A139" t="s">
        <v>2074</v>
      </c>
      <c r="B139" t="s">
        <v>838</v>
      </c>
    </row>
    <row r="140" spans="1:2" x14ac:dyDescent="0.25">
      <c r="A140" t="s">
        <v>2074</v>
      </c>
      <c r="B140" t="s">
        <v>790</v>
      </c>
    </row>
    <row r="141" spans="1:2" x14ac:dyDescent="0.25">
      <c r="A141" t="s">
        <v>2074</v>
      </c>
      <c r="B141" t="s">
        <v>137</v>
      </c>
    </row>
    <row r="142" spans="1:2" x14ac:dyDescent="0.25">
      <c r="A142" t="s">
        <v>2074</v>
      </c>
      <c r="B142" t="s">
        <v>643</v>
      </c>
    </row>
    <row r="143" spans="1:2" x14ac:dyDescent="0.25">
      <c r="A143" t="s">
        <v>2074</v>
      </c>
      <c r="B143" t="s">
        <v>138</v>
      </c>
    </row>
    <row r="144" spans="1:2" x14ac:dyDescent="0.25">
      <c r="A144" t="s">
        <v>2074</v>
      </c>
      <c r="B144" t="s">
        <v>395</v>
      </c>
    </row>
    <row r="145" spans="1:2" x14ac:dyDescent="0.25">
      <c r="A145" t="s">
        <v>2074</v>
      </c>
      <c r="B145" t="s">
        <v>644</v>
      </c>
    </row>
    <row r="146" spans="1:2" x14ac:dyDescent="0.25">
      <c r="A146" t="s">
        <v>2074</v>
      </c>
      <c r="B146" t="s">
        <v>793</v>
      </c>
    </row>
    <row r="147" spans="1:2" x14ac:dyDescent="0.25">
      <c r="A147" t="s">
        <v>2074</v>
      </c>
      <c r="B147" t="s">
        <v>998</v>
      </c>
    </row>
    <row r="148" spans="1:2" x14ac:dyDescent="0.25">
      <c r="A148" t="s">
        <v>2074</v>
      </c>
      <c r="B148" t="s">
        <v>1225</v>
      </c>
    </row>
    <row r="149" spans="1:2" x14ac:dyDescent="0.25">
      <c r="A149" t="s">
        <v>2074</v>
      </c>
      <c r="B149" t="s">
        <v>1230</v>
      </c>
    </row>
    <row r="150" spans="1:2" x14ac:dyDescent="0.25">
      <c r="A150" t="s">
        <v>2074</v>
      </c>
      <c r="B150" t="s">
        <v>759</v>
      </c>
    </row>
    <row r="151" spans="1:2" x14ac:dyDescent="0.25">
      <c r="A151" t="s">
        <v>2074</v>
      </c>
      <c r="B151" t="s">
        <v>139</v>
      </c>
    </row>
    <row r="152" spans="1:2" x14ac:dyDescent="0.25">
      <c r="A152" t="s">
        <v>2074</v>
      </c>
      <c r="B152" t="s">
        <v>140</v>
      </c>
    </row>
    <row r="153" spans="1:2" x14ac:dyDescent="0.25">
      <c r="A153" t="s">
        <v>2074</v>
      </c>
      <c r="B153" t="s">
        <v>141</v>
      </c>
    </row>
    <row r="154" spans="1:2" x14ac:dyDescent="0.25">
      <c r="A154" t="s">
        <v>2074</v>
      </c>
      <c r="B154" t="s">
        <v>142</v>
      </c>
    </row>
    <row r="155" spans="1:2" x14ac:dyDescent="0.25">
      <c r="A155" t="s">
        <v>2074</v>
      </c>
      <c r="B155" t="s">
        <v>599</v>
      </c>
    </row>
    <row r="156" spans="1:2" x14ac:dyDescent="0.25">
      <c r="A156" t="s">
        <v>2074</v>
      </c>
      <c r="B156" t="s">
        <v>361</v>
      </c>
    </row>
    <row r="157" spans="1:2" x14ac:dyDescent="0.25">
      <c r="A157" t="s">
        <v>2074</v>
      </c>
      <c r="B157" t="s">
        <v>537</v>
      </c>
    </row>
    <row r="158" spans="1:2" x14ac:dyDescent="0.25">
      <c r="A158" t="s">
        <v>2074</v>
      </c>
      <c r="B158" t="s">
        <v>1353</v>
      </c>
    </row>
    <row r="159" spans="1:2" x14ac:dyDescent="0.25">
      <c r="A159" t="s">
        <v>2074</v>
      </c>
      <c r="B159" t="s">
        <v>143</v>
      </c>
    </row>
    <row r="160" spans="1:2" x14ac:dyDescent="0.25">
      <c r="A160" t="s">
        <v>2074</v>
      </c>
      <c r="B160" t="s">
        <v>144</v>
      </c>
    </row>
    <row r="161" spans="1:2" x14ac:dyDescent="0.25">
      <c r="A161" t="s">
        <v>2074</v>
      </c>
      <c r="B161" t="s">
        <v>489</v>
      </c>
    </row>
    <row r="162" spans="1:2" x14ac:dyDescent="0.25">
      <c r="A162" t="s">
        <v>2074</v>
      </c>
      <c r="B162" t="s">
        <v>145</v>
      </c>
    </row>
    <row r="163" spans="1:2" x14ac:dyDescent="0.25">
      <c r="A163" t="s">
        <v>2074</v>
      </c>
      <c r="B163" t="s">
        <v>397</v>
      </c>
    </row>
    <row r="164" spans="1:2" x14ac:dyDescent="0.25">
      <c r="A164" t="s">
        <v>2074</v>
      </c>
      <c r="B164" t="s">
        <v>645</v>
      </c>
    </row>
    <row r="165" spans="1:2" x14ac:dyDescent="0.25">
      <c r="A165" t="s">
        <v>2074</v>
      </c>
      <c r="B165" t="s">
        <v>490</v>
      </c>
    </row>
    <row r="166" spans="1:2" x14ac:dyDescent="0.25">
      <c r="A166" t="s">
        <v>2074</v>
      </c>
      <c r="B166" t="s">
        <v>146</v>
      </c>
    </row>
    <row r="167" spans="1:2" x14ac:dyDescent="0.25">
      <c r="A167" t="s">
        <v>2074</v>
      </c>
      <c r="B167" t="s">
        <v>147</v>
      </c>
    </row>
    <row r="168" spans="1:2" x14ac:dyDescent="0.25">
      <c r="A168" t="s">
        <v>2074</v>
      </c>
      <c r="B168" t="s">
        <v>148</v>
      </c>
    </row>
    <row r="169" spans="1:2" x14ac:dyDescent="0.25">
      <c r="A169" t="s">
        <v>2074</v>
      </c>
      <c r="B169" t="s">
        <v>149</v>
      </c>
    </row>
    <row r="170" spans="1:2" x14ac:dyDescent="0.25">
      <c r="A170" t="s">
        <v>2074</v>
      </c>
      <c r="B170" t="s">
        <v>1140</v>
      </c>
    </row>
    <row r="171" spans="1:2" x14ac:dyDescent="0.25">
      <c r="A171" t="s">
        <v>2074</v>
      </c>
      <c r="B171" t="s">
        <v>150</v>
      </c>
    </row>
    <row r="172" spans="1:2" x14ac:dyDescent="0.25">
      <c r="A172" t="s">
        <v>2074</v>
      </c>
      <c r="B172" t="s">
        <v>151</v>
      </c>
    </row>
    <row r="173" spans="1:2" x14ac:dyDescent="0.25">
      <c r="A173" t="s">
        <v>2074</v>
      </c>
      <c r="B173" t="s">
        <v>152</v>
      </c>
    </row>
    <row r="174" spans="1:2" x14ac:dyDescent="0.25">
      <c r="A174" t="s">
        <v>2074</v>
      </c>
      <c r="B174" t="s">
        <v>459</v>
      </c>
    </row>
    <row r="175" spans="1:2" x14ac:dyDescent="0.25">
      <c r="A175" t="s">
        <v>2074</v>
      </c>
      <c r="B175" t="s">
        <v>498</v>
      </c>
    </row>
    <row r="176" spans="1:2" x14ac:dyDescent="0.25">
      <c r="A176" t="s">
        <v>2074</v>
      </c>
      <c r="B176" t="s">
        <v>398</v>
      </c>
    </row>
    <row r="177" spans="1:2" x14ac:dyDescent="0.25">
      <c r="A177" t="s">
        <v>2074</v>
      </c>
      <c r="B177" t="s">
        <v>373</v>
      </c>
    </row>
    <row r="178" spans="1:2" x14ac:dyDescent="0.25">
      <c r="A178" t="s">
        <v>2074</v>
      </c>
      <c r="B178" t="s">
        <v>153</v>
      </c>
    </row>
    <row r="179" spans="1:2" x14ac:dyDescent="0.25">
      <c r="A179" t="s">
        <v>2074</v>
      </c>
      <c r="B179" t="s">
        <v>400</v>
      </c>
    </row>
    <row r="180" spans="1:2" x14ac:dyDescent="0.25">
      <c r="A180" t="s">
        <v>2074</v>
      </c>
      <c r="B180" t="s">
        <v>1685</v>
      </c>
    </row>
    <row r="181" spans="1:2" x14ac:dyDescent="0.25">
      <c r="A181" t="s">
        <v>2074</v>
      </c>
      <c r="B181" t="s">
        <v>154</v>
      </c>
    </row>
    <row r="182" spans="1:2" x14ac:dyDescent="0.25">
      <c r="A182" t="s">
        <v>2074</v>
      </c>
      <c r="B182" t="s">
        <v>155</v>
      </c>
    </row>
    <row r="183" spans="1:2" x14ac:dyDescent="0.25">
      <c r="A183" t="s">
        <v>2074</v>
      </c>
      <c r="B183" t="s">
        <v>1184</v>
      </c>
    </row>
    <row r="184" spans="1:2" x14ac:dyDescent="0.25">
      <c r="A184" t="s">
        <v>2074</v>
      </c>
      <c r="B184" t="s">
        <v>1568</v>
      </c>
    </row>
    <row r="185" spans="1:2" x14ac:dyDescent="0.25">
      <c r="A185" t="s">
        <v>2074</v>
      </c>
      <c r="B185" t="s">
        <v>156</v>
      </c>
    </row>
    <row r="186" spans="1:2" x14ac:dyDescent="0.25">
      <c r="A186" t="s">
        <v>2074</v>
      </c>
      <c r="B186" t="s">
        <v>157</v>
      </c>
    </row>
    <row r="187" spans="1:2" x14ac:dyDescent="0.25">
      <c r="A187" t="s">
        <v>2074</v>
      </c>
      <c r="B187" t="s">
        <v>491</v>
      </c>
    </row>
    <row r="188" spans="1:2" x14ac:dyDescent="0.25">
      <c r="A188" t="s">
        <v>2074</v>
      </c>
      <c r="B188" t="s">
        <v>158</v>
      </c>
    </row>
    <row r="189" spans="1:2" x14ac:dyDescent="0.25">
      <c r="A189" t="s">
        <v>2074</v>
      </c>
      <c r="B189" t="s">
        <v>159</v>
      </c>
    </row>
    <row r="190" spans="1:2" x14ac:dyDescent="0.25">
      <c r="A190" t="s">
        <v>2074</v>
      </c>
      <c r="B190" t="s">
        <v>492</v>
      </c>
    </row>
    <row r="191" spans="1:2" x14ac:dyDescent="0.25">
      <c r="A191" t="s">
        <v>2074</v>
      </c>
      <c r="B191" t="s">
        <v>457</v>
      </c>
    </row>
    <row r="192" spans="1:2" x14ac:dyDescent="0.25">
      <c r="A192" t="s">
        <v>2074</v>
      </c>
      <c r="B192" t="s">
        <v>2076</v>
      </c>
    </row>
    <row r="193" spans="1:2" x14ac:dyDescent="0.25">
      <c r="A193" t="s">
        <v>2074</v>
      </c>
      <c r="B193" t="s">
        <v>1147</v>
      </c>
    </row>
    <row r="194" spans="1:2" x14ac:dyDescent="0.25">
      <c r="A194" t="s">
        <v>2074</v>
      </c>
      <c r="B194" t="s">
        <v>515</v>
      </c>
    </row>
    <row r="195" spans="1:2" x14ac:dyDescent="0.25">
      <c r="A195" t="s">
        <v>2074</v>
      </c>
      <c r="B195" t="s">
        <v>160</v>
      </c>
    </row>
    <row r="196" spans="1:2" x14ac:dyDescent="0.25">
      <c r="A196" t="s">
        <v>2074</v>
      </c>
      <c r="B196" t="s">
        <v>517</v>
      </c>
    </row>
    <row r="197" spans="1:2" x14ac:dyDescent="0.25">
      <c r="A197" t="s">
        <v>2074</v>
      </c>
      <c r="B197" t="s">
        <v>161</v>
      </c>
    </row>
    <row r="198" spans="1:2" x14ac:dyDescent="0.25">
      <c r="A198" t="s">
        <v>2074</v>
      </c>
      <c r="B198" t="s">
        <v>1569</v>
      </c>
    </row>
    <row r="199" spans="1:2" x14ac:dyDescent="0.25">
      <c r="A199" t="s">
        <v>2074</v>
      </c>
      <c r="B199" t="s">
        <v>1570</v>
      </c>
    </row>
    <row r="200" spans="1:2" x14ac:dyDescent="0.25">
      <c r="A200" t="s">
        <v>2074</v>
      </c>
      <c r="B200" t="s">
        <v>162</v>
      </c>
    </row>
    <row r="201" spans="1:2" x14ac:dyDescent="0.25">
      <c r="A201" t="s">
        <v>2074</v>
      </c>
      <c r="B201" t="s">
        <v>163</v>
      </c>
    </row>
    <row r="202" spans="1:2" x14ac:dyDescent="0.25">
      <c r="A202" t="s">
        <v>2074</v>
      </c>
      <c r="B202" t="s">
        <v>235</v>
      </c>
    </row>
    <row r="203" spans="1:2" x14ac:dyDescent="0.25">
      <c r="A203" t="s">
        <v>2074</v>
      </c>
      <c r="B203" t="s">
        <v>647</v>
      </c>
    </row>
    <row r="204" spans="1:2" x14ac:dyDescent="0.25">
      <c r="A204" t="s">
        <v>2074</v>
      </c>
      <c r="B204" t="s">
        <v>164</v>
      </c>
    </row>
    <row r="205" spans="1:2" x14ac:dyDescent="0.25">
      <c r="A205" t="s">
        <v>2074</v>
      </c>
      <c r="B205" t="s">
        <v>447</v>
      </c>
    </row>
    <row r="206" spans="1:2" x14ac:dyDescent="0.25">
      <c r="A206" t="s">
        <v>2074</v>
      </c>
      <c r="B206" t="s">
        <v>248</v>
      </c>
    </row>
    <row r="207" spans="1:2" x14ac:dyDescent="0.25">
      <c r="A207" t="s">
        <v>2074</v>
      </c>
      <c r="B207" t="s">
        <v>401</v>
      </c>
    </row>
    <row r="208" spans="1:2" x14ac:dyDescent="0.25">
      <c r="A208" t="s">
        <v>2074</v>
      </c>
      <c r="B208" t="s">
        <v>165</v>
      </c>
    </row>
    <row r="209" spans="1:2" x14ac:dyDescent="0.25">
      <c r="A209" t="s">
        <v>2074</v>
      </c>
      <c r="B209" t="s">
        <v>618</v>
      </c>
    </row>
    <row r="210" spans="1:2" x14ac:dyDescent="0.25">
      <c r="A210" t="s">
        <v>2074</v>
      </c>
      <c r="B210" t="s">
        <v>464</v>
      </c>
    </row>
    <row r="211" spans="1:2" x14ac:dyDescent="0.25">
      <c r="A211" t="s">
        <v>2074</v>
      </c>
      <c r="B211" t="s">
        <v>1691</v>
      </c>
    </row>
    <row r="212" spans="1:2" x14ac:dyDescent="0.25">
      <c r="A212" t="s">
        <v>2074</v>
      </c>
      <c r="B212" t="s">
        <v>166</v>
      </c>
    </row>
    <row r="213" spans="1:2" x14ac:dyDescent="0.25">
      <c r="A213" t="s">
        <v>2074</v>
      </c>
      <c r="B213" t="s">
        <v>234</v>
      </c>
    </row>
    <row r="214" spans="1:2" x14ac:dyDescent="0.25">
      <c r="A214" t="s">
        <v>2074</v>
      </c>
      <c r="B214" t="s">
        <v>249</v>
      </c>
    </row>
    <row r="215" spans="1:2" x14ac:dyDescent="0.25">
      <c r="A215" t="s">
        <v>2074</v>
      </c>
      <c r="B215" t="s">
        <v>167</v>
      </c>
    </row>
    <row r="216" spans="1:2" x14ac:dyDescent="0.25">
      <c r="A216" t="s">
        <v>2074</v>
      </c>
      <c r="B216" t="s">
        <v>168</v>
      </c>
    </row>
    <row r="217" spans="1:2" x14ac:dyDescent="0.25">
      <c r="A217" t="s">
        <v>2074</v>
      </c>
      <c r="B217" t="s">
        <v>169</v>
      </c>
    </row>
    <row r="218" spans="1:2" x14ac:dyDescent="0.25">
      <c r="A218" t="s">
        <v>2074</v>
      </c>
      <c r="B218" t="s">
        <v>500</v>
      </c>
    </row>
    <row r="219" spans="1:2" x14ac:dyDescent="0.25">
      <c r="A219" t="s">
        <v>2074</v>
      </c>
      <c r="B219" t="s">
        <v>170</v>
      </c>
    </row>
    <row r="220" spans="1:2" x14ac:dyDescent="0.25">
      <c r="A220" t="s">
        <v>2074</v>
      </c>
      <c r="B220" t="s">
        <v>171</v>
      </c>
    </row>
    <row r="221" spans="1:2" x14ac:dyDescent="0.25">
      <c r="A221" t="s">
        <v>2074</v>
      </c>
      <c r="B221" t="s">
        <v>172</v>
      </c>
    </row>
    <row r="222" spans="1:2" x14ac:dyDescent="0.25">
      <c r="A222" t="s">
        <v>2074</v>
      </c>
      <c r="B222" t="s">
        <v>173</v>
      </c>
    </row>
    <row r="223" spans="1:2" x14ac:dyDescent="0.25">
      <c r="A223" t="s">
        <v>2074</v>
      </c>
      <c r="B223" t="s">
        <v>174</v>
      </c>
    </row>
    <row r="224" spans="1:2" x14ac:dyDescent="0.25">
      <c r="A224" t="s">
        <v>2074</v>
      </c>
      <c r="B224" t="s">
        <v>480</v>
      </c>
    </row>
    <row r="225" spans="1:2" x14ac:dyDescent="0.25">
      <c r="A225" t="s">
        <v>2074</v>
      </c>
      <c r="B225" t="s">
        <v>175</v>
      </c>
    </row>
    <row r="226" spans="1:2" x14ac:dyDescent="0.25">
      <c r="A226" t="s">
        <v>2074</v>
      </c>
      <c r="B226" t="s">
        <v>1571</v>
      </c>
    </row>
    <row r="227" spans="1:2" x14ac:dyDescent="0.25">
      <c r="A227" t="s">
        <v>2074</v>
      </c>
      <c r="B227" t="s">
        <v>176</v>
      </c>
    </row>
    <row r="228" spans="1:2" x14ac:dyDescent="0.25">
      <c r="A228" t="s">
        <v>2074</v>
      </c>
      <c r="B228" t="s">
        <v>220</v>
      </c>
    </row>
    <row r="229" spans="1:2" x14ac:dyDescent="0.25">
      <c r="A229" t="s">
        <v>2074</v>
      </c>
      <c r="B229" t="s">
        <v>589</v>
      </c>
    </row>
    <row r="230" spans="1:2" x14ac:dyDescent="0.25">
      <c r="A230" t="s">
        <v>2074</v>
      </c>
      <c r="B230" t="s">
        <v>1572</v>
      </c>
    </row>
    <row r="231" spans="1:2" x14ac:dyDescent="0.25">
      <c r="A231" t="s">
        <v>2074</v>
      </c>
      <c r="B231" t="s">
        <v>177</v>
      </c>
    </row>
    <row r="232" spans="1:2" x14ac:dyDescent="0.25">
      <c r="A232" t="s">
        <v>2074</v>
      </c>
      <c r="B232" t="s">
        <v>472</v>
      </c>
    </row>
    <row r="233" spans="1:2" x14ac:dyDescent="0.25">
      <c r="A233" t="s">
        <v>2074</v>
      </c>
      <c r="B233" t="s">
        <v>178</v>
      </c>
    </row>
    <row r="234" spans="1:2" x14ac:dyDescent="0.25">
      <c r="A234" t="s">
        <v>2074</v>
      </c>
      <c r="B234" t="s">
        <v>471</v>
      </c>
    </row>
    <row r="235" spans="1:2" x14ac:dyDescent="0.25">
      <c r="A235" t="s">
        <v>2074</v>
      </c>
      <c r="B235" t="s">
        <v>179</v>
      </c>
    </row>
    <row r="236" spans="1:2" x14ac:dyDescent="0.25">
      <c r="A236" t="s">
        <v>2074</v>
      </c>
      <c r="B236" t="s">
        <v>216</v>
      </c>
    </row>
    <row r="237" spans="1:2" x14ac:dyDescent="0.25">
      <c r="A237" t="s">
        <v>2074</v>
      </c>
      <c r="B237" t="s">
        <v>180</v>
      </c>
    </row>
    <row r="238" spans="1:2" x14ac:dyDescent="0.25">
      <c r="A238" t="s">
        <v>2074</v>
      </c>
      <c r="B238" t="s">
        <v>181</v>
      </c>
    </row>
    <row r="239" spans="1:2" x14ac:dyDescent="0.25">
      <c r="A239" t="s">
        <v>2074</v>
      </c>
      <c r="B239" t="s">
        <v>507</v>
      </c>
    </row>
    <row r="240" spans="1:2" x14ac:dyDescent="0.25">
      <c r="A240" t="s">
        <v>2074</v>
      </c>
      <c r="B240" t="s">
        <v>614</v>
      </c>
    </row>
    <row r="241" spans="1:2" x14ac:dyDescent="0.25">
      <c r="A241" t="s">
        <v>2074</v>
      </c>
      <c r="B241" t="s">
        <v>374</v>
      </c>
    </row>
    <row r="242" spans="1:2" x14ac:dyDescent="0.25">
      <c r="A242" t="s">
        <v>2074</v>
      </c>
      <c r="B242" t="s">
        <v>182</v>
      </c>
    </row>
    <row r="243" spans="1:2" x14ac:dyDescent="0.25">
      <c r="A243" t="s">
        <v>2074</v>
      </c>
      <c r="B243" t="s">
        <v>679</v>
      </c>
    </row>
    <row r="244" spans="1:2" x14ac:dyDescent="0.25">
      <c r="A244" t="s">
        <v>2074</v>
      </c>
      <c r="B244" t="s">
        <v>1054</v>
      </c>
    </row>
    <row r="245" spans="1:2" x14ac:dyDescent="0.25">
      <c r="A245" t="s">
        <v>2074</v>
      </c>
      <c r="B245" t="s">
        <v>183</v>
      </c>
    </row>
    <row r="246" spans="1:2" x14ac:dyDescent="0.25">
      <c r="A246" t="s">
        <v>2074</v>
      </c>
      <c r="B246" t="s">
        <v>704</v>
      </c>
    </row>
    <row r="247" spans="1:2" x14ac:dyDescent="0.25">
      <c r="A247" t="s">
        <v>2074</v>
      </c>
      <c r="B247" t="s">
        <v>403</v>
      </c>
    </row>
    <row r="248" spans="1:2" x14ac:dyDescent="0.25">
      <c r="A248" t="s">
        <v>2074</v>
      </c>
      <c r="B248" t="s">
        <v>184</v>
      </c>
    </row>
    <row r="249" spans="1:2" x14ac:dyDescent="0.25">
      <c r="A249" t="s">
        <v>2074</v>
      </c>
      <c r="B249" t="s">
        <v>185</v>
      </c>
    </row>
    <row r="250" spans="1:2" x14ac:dyDescent="0.25">
      <c r="A250" t="s">
        <v>2074</v>
      </c>
      <c r="B250" t="s">
        <v>186</v>
      </c>
    </row>
    <row r="251" spans="1:2" x14ac:dyDescent="0.25">
      <c r="A251" t="s">
        <v>2074</v>
      </c>
      <c r="B251" t="s">
        <v>187</v>
      </c>
    </row>
    <row r="252" spans="1:2" x14ac:dyDescent="0.25">
      <c r="A252" t="s">
        <v>2074</v>
      </c>
      <c r="B252" t="s">
        <v>188</v>
      </c>
    </row>
    <row r="253" spans="1:2" x14ac:dyDescent="0.25">
      <c r="A253" t="s">
        <v>2074</v>
      </c>
      <c r="B253" t="s">
        <v>189</v>
      </c>
    </row>
    <row r="254" spans="1:2" x14ac:dyDescent="0.25">
      <c r="A254" t="s">
        <v>2074</v>
      </c>
      <c r="B254" t="s">
        <v>190</v>
      </c>
    </row>
    <row r="255" spans="1:2" x14ac:dyDescent="0.25">
      <c r="A255" t="s">
        <v>2074</v>
      </c>
      <c r="B255" t="s">
        <v>191</v>
      </c>
    </row>
    <row r="256" spans="1:2" x14ac:dyDescent="0.25">
      <c r="A256" t="s">
        <v>2074</v>
      </c>
      <c r="B256" t="s">
        <v>192</v>
      </c>
    </row>
    <row r="257" spans="1:2" x14ac:dyDescent="0.25">
      <c r="A257" t="s">
        <v>2074</v>
      </c>
      <c r="B257" t="s">
        <v>1573</v>
      </c>
    </row>
    <row r="258" spans="1:2" x14ac:dyDescent="0.25">
      <c r="A258" t="s">
        <v>2074</v>
      </c>
      <c r="B258" t="s">
        <v>215</v>
      </c>
    </row>
    <row r="259" spans="1:2" x14ac:dyDescent="0.25">
      <c r="A259" t="s">
        <v>2074</v>
      </c>
      <c r="B259" t="s">
        <v>193</v>
      </c>
    </row>
    <row r="260" spans="1:2" x14ac:dyDescent="0.25">
      <c r="A260" t="s">
        <v>2074</v>
      </c>
      <c r="B260" t="s">
        <v>467</v>
      </c>
    </row>
    <row r="261" spans="1:2" x14ac:dyDescent="0.25">
      <c r="A261" t="s">
        <v>2074</v>
      </c>
      <c r="B261" t="s">
        <v>474</v>
      </c>
    </row>
    <row r="262" spans="1:2" x14ac:dyDescent="0.25">
      <c r="A262" t="s">
        <v>2074</v>
      </c>
      <c r="B262" t="s">
        <v>194</v>
      </c>
    </row>
    <row r="263" spans="1:2" x14ac:dyDescent="0.25">
      <c r="A263" t="s">
        <v>2074</v>
      </c>
      <c r="B263" t="s">
        <v>195</v>
      </c>
    </row>
    <row r="264" spans="1:2" x14ac:dyDescent="0.25">
      <c r="A264" t="s">
        <v>2074</v>
      </c>
      <c r="B264" t="s">
        <v>608</v>
      </c>
    </row>
    <row r="265" spans="1:2" x14ac:dyDescent="0.25">
      <c r="A265" t="s">
        <v>2074</v>
      </c>
      <c r="B265" t="s">
        <v>478</v>
      </c>
    </row>
    <row r="266" spans="1:2" x14ac:dyDescent="0.25">
      <c r="A266" t="s">
        <v>2074</v>
      </c>
      <c r="B266" t="s">
        <v>197</v>
      </c>
    </row>
    <row r="267" spans="1:2" x14ac:dyDescent="0.25">
      <c r="A267" t="s">
        <v>2074</v>
      </c>
      <c r="B267" t="s">
        <v>470</v>
      </c>
    </row>
    <row r="268" spans="1:2" x14ac:dyDescent="0.25">
      <c r="A268" t="s">
        <v>2074</v>
      </c>
      <c r="B268" t="s">
        <v>502</v>
      </c>
    </row>
    <row r="269" spans="1:2" x14ac:dyDescent="0.25">
      <c r="A269" t="s">
        <v>2074</v>
      </c>
      <c r="B269" t="s">
        <v>198</v>
      </c>
    </row>
    <row r="270" spans="1:2" x14ac:dyDescent="0.25">
      <c r="A270" t="s">
        <v>2074</v>
      </c>
      <c r="B270" t="s">
        <v>199</v>
      </c>
    </row>
    <row r="271" spans="1:2" x14ac:dyDescent="0.25">
      <c r="A271" t="s">
        <v>2074</v>
      </c>
      <c r="B271" t="s">
        <v>200</v>
      </c>
    </row>
    <row r="272" spans="1:2" x14ac:dyDescent="0.25">
      <c r="A272" t="s">
        <v>2074</v>
      </c>
      <c r="B272" t="s">
        <v>201</v>
      </c>
    </row>
    <row r="273" spans="1:2" x14ac:dyDescent="0.25">
      <c r="A273" t="s">
        <v>2074</v>
      </c>
      <c r="B273" t="s">
        <v>1040</v>
      </c>
    </row>
    <row r="274" spans="1:2" x14ac:dyDescent="0.25">
      <c r="A274" t="s">
        <v>2074</v>
      </c>
      <c r="B274" t="s">
        <v>1406</v>
      </c>
    </row>
    <row r="275" spans="1:2" x14ac:dyDescent="0.25">
      <c r="A275" t="s">
        <v>2074</v>
      </c>
      <c r="B275" t="s">
        <v>202</v>
      </c>
    </row>
    <row r="276" spans="1:2" x14ac:dyDescent="0.25">
      <c r="A276" t="s">
        <v>2074</v>
      </c>
      <c r="B276" t="s">
        <v>473</v>
      </c>
    </row>
    <row r="277" spans="1:2" x14ac:dyDescent="0.25">
      <c r="A277" t="s">
        <v>2074</v>
      </c>
      <c r="B277" t="s">
        <v>581</v>
      </c>
    </row>
    <row r="278" spans="1:2" x14ac:dyDescent="0.25">
      <c r="A278" t="s">
        <v>2074</v>
      </c>
      <c r="B278" t="s">
        <v>437</v>
      </c>
    </row>
    <row r="279" spans="1:2" x14ac:dyDescent="0.25">
      <c r="A279" t="s">
        <v>2074</v>
      </c>
      <c r="B279" t="s">
        <v>483</v>
      </c>
    </row>
    <row r="280" spans="1:2" x14ac:dyDescent="0.25">
      <c r="A280" t="s">
        <v>2074</v>
      </c>
      <c r="B280" t="s">
        <v>203</v>
      </c>
    </row>
    <row r="281" spans="1:2" x14ac:dyDescent="0.25">
      <c r="A281" t="s">
        <v>2074</v>
      </c>
      <c r="B281" t="s">
        <v>1355</v>
      </c>
    </row>
    <row r="282" spans="1:2" x14ac:dyDescent="0.25">
      <c r="A282" t="s">
        <v>2074</v>
      </c>
      <c r="B282" t="s">
        <v>204</v>
      </c>
    </row>
    <row r="283" spans="1:2" x14ac:dyDescent="0.25">
      <c r="A283" t="s">
        <v>2074</v>
      </c>
      <c r="B283" t="s">
        <v>501</v>
      </c>
    </row>
    <row r="284" spans="1:2" x14ac:dyDescent="0.25">
      <c r="A284" t="s">
        <v>2074</v>
      </c>
      <c r="B284" t="s">
        <v>576</v>
      </c>
    </row>
    <row r="285" spans="1:2" x14ac:dyDescent="0.25">
      <c r="A285" t="s">
        <v>2074</v>
      </c>
      <c r="B285" t="s">
        <v>205</v>
      </c>
    </row>
    <row r="286" spans="1:2" x14ac:dyDescent="0.25">
      <c r="A286" t="s">
        <v>2074</v>
      </c>
      <c r="B286" t="s">
        <v>1407</v>
      </c>
    </row>
    <row r="287" spans="1:2" x14ac:dyDescent="0.25">
      <c r="A287" t="s">
        <v>2074</v>
      </c>
      <c r="B287" t="s">
        <v>568</v>
      </c>
    </row>
    <row r="288" spans="1:2" x14ac:dyDescent="0.25">
      <c r="A288" t="s">
        <v>2074</v>
      </c>
      <c r="B288" t="s">
        <v>207</v>
      </c>
    </row>
    <row r="289" spans="1:2" x14ac:dyDescent="0.25">
      <c r="A289" t="s">
        <v>2074</v>
      </c>
      <c r="B289" t="s">
        <v>208</v>
      </c>
    </row>
    <row r="290" spans="1:2" x14ac:dyDescent="0.25">
      <c r="A290" t="s">
        <v>2074</v>
      </c>
      <c r="B290" t="s">
        <v>209</v>
      </c>
    </row>
    <row r="291" spans="1:2" x14ac:dyDescent="0.25">
      <c r="A291" t="s">
        <v>2074</v>
      </c>
      <c r="B291" t="s">
        <v>369</v>
      </c>
    </row>
    <row r="292" spans="1:2" x14ac:dyDescent="0.25">
      <c r="A292" t="s">
        <v>2074</v>
      </c>
      <c r="B292" t="s">
        <v>1408</v>
      </c>
    </row>
    <row r="293" spans="1:2" x14ac:dyDescent="0.25">
      <c r="A293" t="s">
        <v>2074</v>
      </c>
      <c r="B293" t="s">
        <v>582</v>
      </c>
    </row>
    <row r="294" spans="1:2" x14ac:dyDescent="0.25">
      <c r="A294" t="s">
        <v>2074</v>
      </c>
      <c r="B294" t="s">
        <v>475</v>
      </c>
    </row>
    <row r="295" spans="1:2" x14ac:dyDescent="0.25">
      <c r="A295" t="s">
        <v>2074</v>
      </c>
      <c r="B295" t="s">
        <v>210</v>
      </c>
    </row>
    <row r="296" spans="1:2" x14ac:dyDescent="0.25">
      <c r="A296" t="s">
        <v>2074</v>
      </c>
      <c r="B296" t="s">
        <v>594</v>
      </c>
    </row>
    <row r="297" spans="1:2" x14ac:dyDescent="0.25">
      <c r="A297" t="s">
        <v>2074</v>
      </c>
      <c r="B297" t="s">
        <v>468</v>
      </c>
    </row>
    <row r="298" spans="1:2" x14ac:dyDescent="0.25">
      <c r="A298" t="s">
        <v>2074</v>
      </c>
      <c r="B298" t="s">
        <v>368</v>
      </c>
    </row>
    <row r="299" spans="1:2" x14ac:dyDescent="0.25">
      <c r="A299" t="s">
        <v>2074</v>
      </c>
      <c r="B299" t="s">
        <v>211</v>
      </c>
    </row>
    <row r="300" spans="1:2" x14ac:dyDescent="0.25">
      <c r="A300" t="s">
        <v>2074</v>
      </c>
      <c r="B300" t="s">
        <v>529</v>
      </c>
    </row>
    <row r="301" spans="1:2" x14ac:dyDescent="0.25">
      <c r="A301" t="s">
        <v>2074</v>
      </c>
      <c r="B301" t="s">
        <v>212</v>
      </c>
    </row>
    <row r="302" spans="1:2" x14ac:dyDescent="0.25">
      <c r="A302" t="s">
        <v>2074</v>
      </c>
      <c r="B302" t="s">
        <v>559</v>
      </c>
    </row>
    <row r="303" spans="1:2" x14ac:dyDescent="0.25">
      <c r="A303" t="s">
        <v>2074</v>
      </c>
      <c r="B303" t="s">
        <v>521</v>
      </c>
    </row>
    <row r="304" spans="1:2" x14ac:dyDescent="0.25">
      <c r="A304" t="s">
        <v>2074</v>
      </c>
      <c r="B304" t="s">
        <v>583</v>
      </c>
    </row>
    <row r="305" spans="1:2" x14ac:dyDescent="0.25">
      <c r="A305" t="s">
        <v>2074</v>
      </c>
      <c r="B305" t="s">
        <v>558</v>
      </c>
    </row>
    <row r="306" spans="1:2" x14ac:dyDescent="0.25">
      <c r="A306" t="s">
        <v>2074</v>
      </c>
      <c r="B306" t="s">
        <v>523</v>
      </c>
    </row>
    <row r="307" spans="1:2" x14ac:dyDescent="0.25">
      <c r="A307" t="s">
        <v>2074</v>
      </c>
      <c r="B307" t="s">
        <v>585</v>
      </c>
    </row>
    <row r="308" spans="1:2" x14ac:dyDescent="0.25">
      <c r="A308" t="s">
        <v>2074</v>
      </c>
      <c r="B308" t="s">
        <v>213</v>
      </c>
    </row>
    <row r="309" spans="1:2" x14ac:dyDescent="0.25">
      <c r="A309" t="s">
        <v>2074</v>
      </c>
      <c r="B309" t="s">
        <v>1574</v>
      </c>
    </row>
    <row r="310" spans="1:2" x14ac:dyDescent="0.25">
      <c r="A310" t="s">
        <v>2074</v>
      </c>
      <c r="B310" t="s">
        <v>2077</v>
      </c>
    </row>
    <row r="311" spans="1:2" x14ac:dyDescent="0.25">
      <c r="A311" t="s">
        <v>2074</v>
      </c>
      <c r="B311" t="s">
        <v>2069</v>
      </c>
    </row>
    <row r="312" spans="1:2" x14ac:dyDescent="0.25">
      <c r="A312" t="s">
        <v>2074</v>
      </c>
      <c r="B312" t="s">
        <v>630</v>
      </c>
    </row>
    <row r="313" spans="1:2" x14ac:dyDescent="0.25">
      <c r="A313" t="s">
        <v>2074</v>
      </c>
      <c r="B313" t="s">
        <v>616</v>
      </c>
    </row>
    <row r="314" spans="1:2" x14ac:dyDescent="0.25">
      <c r="A314" t="s">
        <v>2074</v>
      </c>
      <c r="B314" t="s">
        <v>1575</v>
      </c>
    </row>
    <row r="315" spans="1:2" x14ac:dyDescent="0.25">
      <c r="A315" t="s">
        <v>2074</v>
      </c>
      <c r="B315" t="s">
        <v>2078</v>
      </c>
    </row>
    <row r="316" spans="1:2" x14ac:dyDescent="0.25">
      <c r="A316" t="s">
        <v>2074</v>
      </c>
      <c r="B316" t="s">
        <v>2079</v>
      </c>
    </row>
    <row r="317" spans="1:2" x14ac:dyDescent="0.25">
      <c r="A317" t="s">
        <v>2074</v>
      </c>
      <c r="B317" t="s">
        <v>1576</v>
      </c>
    </row>
    <row r="318" spans="1:2" x14ac:dyDescent="0.25">
      <c r="A318" t="s">
        <v>2074</v>
      </c>
      <c r="B318" t="s">
        <v>385</v>
      </c>
    </row>
    <row r="319" spans="1:2" x14ac:dyDescent="0.25">
      <c r="A319" t="s">
        <v>2074</v>
      </c>
      <c r="B319" t="s">
        <v>1577</v>
      </c>
    </row>
    <row r="320" spans="1:2" x14ac:dyDescent="0.25">
      <c r="A320" t="s">
        <v>2074</v>
      </c>
      <c r="B320" t="s">
        <v>1578</v>
      </c>
    </row>
    <row r="321" spans="1:2" x14ac:dyDescent="0.25">
      <c r="A321" t="s">
        <v>2074</v>
      </c>
      <c r="B321" t="s">
        <v>689</v>
      </c>
    </row>
    <row r="322" spans="1:2" x14ac:dyDescent="0.25">
      <c r="A322" t="s">
        <v>2074</v>
      </c>
      <c r="B322" t="s">
        <v>957</v>
      </c>
    </row>
    <row r="323" spans="1:2" x14ac:dyDescent="0.25">
      <c r="A323" t="s">
        <v>2074</v>
      </c>
      <c r="B323" t="s">
        <v>1579</v>
      </c>
    </row>
    <row r="324" spans="1:2" x14ac:dyDescent="0.25">
      <c r="A324" t="s">
        <v>2074</v>
      </c>
      <c r="B324" t="s">
        <v>1121</v>
      </c>
    </row>
    <row r="325" spans="1:2" x14ac:dyDescent="0.25">
      <c r="A325" t="s">
        <v>2074</v>
      </c>
      <c r="B325" t="s">
        <v>629</v>
      </c>
    </row>
    <row r="326" spans="1:2" x14ac:dyDescent="0.25">
      <c r="A326" t="s">
        <v>2074</v>
      </c>
      <c r="B326" t="s">
        <v>1580</v>
      </c>
    </row>
    <row r="327" spans="1:2" x14ac:dyDescent="0.25">
      <c r="A327" t="s">
        <v>2074</v>
      </c>
      <c r="B327" t="s">
        <v>609</v>
      </c>
    </row>
    <row r="328" spans="1:2" x14ac:dyDescent="0.25">
      <c r="A328" t="s">
        <v>2074</v>
      </c>
      <c r="B328" t="s">
        <v>610</v>
      </c>
    </row>
    <row r="329" spans="1:2" x14ac:dyDescent="0.25">
      <c r="A329" t="s">
        <v>2074</v>
      </c>
      <c r="B329" t="s">
        <v>436</v>
      </c>
    </row>
    <row r="330" spans="1:2" x14ac:dyDescent="0.25">
      <c r="A330" t="s">
        <v>2074</v>
      </c>
      <c r="B330" t="s">
        <v>1581</v>
      </c>
    </row>
    <row r="331" spans="1:2" x14ac:dyDescent="0.25">
      <c r="A331" t="s">
        <v>2074</v>
      </c>
      <c r="B331" t="s">
        <v>1582</v>
      </c>
    </row>
    <row r="332" spans="1:2" x14ac:dyDescent="0.25">
      <c r="A332" t="s">
        <v>2074</v>
      </c>
      <c r="B332" t="s">
        <v>628</v>
      </c>
    </row>
    <row r="333" spans="1:2" x14ac:dyDescent="0.25">
      <c r="A333" t="s">
        <v>2074</v>
      </c>
      <c r="B333" t="s">
        <v>221</v>
      </c>
    </row>
    <row r="334" spans="1:2" x14ac:dyDescent="0.25">
      <c r="A334" t="s">
        <v>2074</v>
      </c>
      <c r="B334" t="s">
        <v>516</v>
      </c>
    </row>
    <row r="335" spans="1:2" x14ac:dyDescent="0.25">
      <c r="A335" t="s">
        <v>2074</v>
      </c>
      <c r="B335" t="s">
        <v>222</v>
      </c>
    </row>
    <row r="336" spans="1:2" x14ac:dyDescent="0.25">
      <c r="A336" t="s">
        <v>2074</v>
      </c>
      <c r="B336" t="s">
        <v>632</v>
      </c>
    </row>
    <row r="337" spans="1:2" x14ac:dyDescent="0.25">
      <c r="A337" t="s">
        <v>2074</v>
      </c>
      <c r="B337" t="s">
        <v>637</v>
      </c>
    </row>
    <row r="338" spans="1:2" x14ac:dyDescent="0.25">
      <c r="A338" t="s">
        <v>2074</v>
      </c>
      <c r="B338" t="s">
        <v>683</v>
      </c>
    </row>
    <row r="339" spans="1:2" x14ac:dyDescent="0.25">
      <c r="A339" t="s">
        <v>2074</v>
      </c>
      <c r="B339" t="s">
        <v>949</v>
      </c>
    </row>
    <row r="340" spans="1:2" x14ac:dyDescent="0.25">
      <c r="A340" t="s">
        <v>2074</v>
      </c>
      <c r="B340" t="s">
        <v>223</v>
      </c>
    </row>
    <row r="341" spans="1:2" x14ac:dyDescent="0.25">
      <c r="A341" t="s">
        <v>2074</v>
      </c>
      <c r="B341" t="s">
        <v>519</v>
      </c>
    </row>
    <row r="342" spans="1:2" x14ac:dyDescent="0.25">
      <c r="A342" t="s">
        <v>2074</v>
      </c>
      <c r="B342" t="s">
        <v>224</v>
      </c>
    </row>
    <row r="343" spans="1:2" x14ac:dyDescent="0.25">
      <c r="A343" t="s">
        <v>2074</v>
      </c>
      <c r="B343" t="s">
        <v>2073</v>
      </c>
    </row>
    <row r="344" spans="1:2" x14ac:dyDescent="0.25">
      <c r="A344" t="s">
        <v>2074</v>
      </c>
      <c r="B344" t="s">
        <v>225</v>
      </c>
    </row>
    <row r="345" spans="1:2" x14ac:dyDescent="0.25">
      <c r="A345" t="s">
        <v>2074</v>
      </c>
      <c r="B345" t="s">
        <v>950</v>
      </c>
    </row>
    <row r="346" spans="1:2" x14ac:dyDescent="0.25">
      <c r="A346" t="s">
        <v>2074</v>
      </c>
      <c r="B346" t="s">
        <v>2080</v>
      </c>
    </row>
    <row r="347" spans="1:2" x14ac:dyDescent="0.25">
      <c r="A347" t="s">
        <v>2074</v>
      </c>
      <c r="B347" t="s">
        <v>692</v>
      </c>
    </row>
    <row r="348" spans="1:2" x14ac:dyDescent="0.25">
      <c r="A348" t="s">
        <v>2074</v>
      </c>
      <c r="B348" t="s">
        <v>620</v>
      </c>
    </row>
    <row r="349" spans="1:2" x14ac:dyDescent="0.25">
      <c r="A349" t="s">
        <v>2074</v>
      </c>
      <c r="B349" t="s">
        <v>619</v>
      </c>
    </row>
    <row r="350" spans="1:2" x14ac:dyDescent="0.25">
      <c r="A350" t="s">
        <v>2074</v>
      </c>
      <c r="B350" t="s">
        <v>1352</v>
      </c>
    </row>
    <row r="351" spans="1:2" x14ac:dyDescent="0.25">
      <c r="A351" t="s">
        <v>2074</v>
      </c>
      <c r="B351" t="s">
        <v>1583</v>
      </c>
    </row>
    <row r="352" spans="1:2" x14ac:dyDescent="0.25">
      <c r="A352" t="s">
        <v>2074</v>
      </c>
      <c r="B352" t="s">
        <v>954</v>
      </c>
    </row>
    <row r="353" spans="1:2" x14ac:dyDescent="0.25">
      <c r="A353" t="s">
        <v>2074</v>
      </c>
      <c r="B353" t="s">
        <v>956</v>
      </c>
    </row>
    <row r="354" spans="1:2" x14ac:dyDescent="0.25">
      <c r="A354" t="s">
        <v>2074</v>
      </c>
      <c r="B354" t="s">
        <v>958</v>
      </c>
    </row>
    <row r="355" spans="1:2" x14ac:dyDescent="0.25">
      <c r="A355" t="s">
        <v>2074</v>
      </c>
      <c r="B355" t="s">
        <v>959</v>
      </c>
    </row>
    <row r="356" spans="1:2" x14ac:dyDescent="0.25">
      <c r="A356" t="s">
        <v>2074</v>
      </c>
      <c r="B356" t="s">
        <v>388</v>
      </c>
    </row>
    <row r="357" spans="1:2" x14ac:dyDescent="0.25">
      <c r="A357" t="s">
        <v>2074</v>
      </c>
      <c r="B357" t="s">
        <v>389</v>
      </c>
    </row>
    <row r="358" spans="1:2" x14ac:dyDescent="0.25">
      <c r="A358" t="s">
        <v>2074</v>
      </c>
      <c r="B358" t="s">
        <v>444</v>
      </c>
    </row>
    <row r="359" spans="1:2" x14ac:dyDescent="0.25">
      <c r="A359" t="s">
        <v>2074</v>
      </c>
      <c r="B359" t="s">
        <v>747</v>
      </c>
    </row>
    <row r="360" spans="1:2" x14ac:dyDescent="0.25">
      <c r="A360" t="s">
        <v>2074</v>
      </c>
      <c r="B360" t="s">
        <v>596</v>
      </c>
    </row>
    <row r="361" spans="1:2" x14ac:dyDescent="0.25">
      <c r="A361" t="s">
        <v>2074</v>
      </c>
      <c r="B361" t="s">
        <v>435</v>
      </c>
    </row>
    <row r="362" spans="1:2" x14ac:dyDescent="0.25">
      <c r="A362" t="s">
        <v>2074</v>
      </c>
      <c r="B362" t="s">
        <v>564</v>
      </c>
    </row>
    <row r="363" spans="1:2" x14ac:dyDescent="0.25">
      <c r="A363" t="s">
        <v>2074</v>
      </c>
      <c r="B363" t="s">
        <v>693</v>
      </c>
    </row>
    <row r="364" spans="1:2" x14ac:dyDescent="0.25">
      <c r="A364" t="s">
        <v>2074</v>
      </c>
      <c r="B364" t="s">
        <v>509</v>
      </c>
    </row>
    <row r="365" spans="1:2" x14ac:dyDescent="0.25">
      <c r="A365" t="s">
        <v>2074</v>
      </c>
      <c r="B365" t="s">
        <v>694</v>
      </c>
    </row>
    <row r="366" spans="1:2" x14ac:dyDescent="0.25">
      <c r="A366" t="s">
        <v>2074</v>
      </c>
      <c r="B366" t="s">
        <v>508</v>
      </c>
    </row>
    <row r="367" spans="1:2" x14ac:dyDescent="0.25">
      <c r="A367" t="s">
        <v>2074</v>
      </c>
      <c r="B367" t="s">
        <v>434</v>
      </c>
    </row>
    <row r="368" spans="1:2" x14ac:dyDescent="0.25">
      <c r="A368" t="s">
        <v>2074</v>
      </c>
      <c r="B368" t="s">
        <v>595</v>
      </c>
    </row>
    <row r="369" spans="1:2" x14ac:dyDescent="0.25">
      <c r="A369" t="s">
        <v>2074</v>
      </c>
      <c r="B369" t="s">
        <v>402</v>
      </c>
    </row>
    <row r="370" spans="1:2" x14ac:dyDescent="0.25">
      <c r="A370" t="s">
        <v>2074</v>
      </c>
      <c r="B370" t="s">
        <v>695</v>
      </c>
    </row>
    <row r="371" spans="1:2" x14ac:dyDescent="0.25">
      <c r="A371" t="s">
        <v>2074</v>
      </c>
      <c r="B371" t="s">
        <v>675</v>
      </c>
    </row>
    <row r="372" spans="1:2" x14ac:dyDescent="0.25">
      <c r="A372" t="s">
        <v>2074</v>
      </c>
      <c r="B372" t="s">
        <v>481</v>
      </c>
    </row>
    <row r="373" spans="1:2" x14ac:dyDescent="0.25">
      <c r="A373" t="s">
        <v>2074</v>
      </c>
      <c r="B373" t="s">
        <v>680</v>
      </c>
    </row>
    <row r="374" spans="1:2" x14ac:dyDescent="0.25">
      <c r="A374" t="s">
        <v>2074</v>
      </c>
      <c r="B374" t="s">
        <v>681</v>
      </c>
    </row>
    <row r="375" spans="1:2" x14ac:dyDescent="0.25">
      <c r="A375" t="s">
        <v>2074</v>
      </c>
      <c r="B375" t="s">
        <v>506</v>
      </c>
    </row>
    <row r="376" spans="1:2" x14ac:dyDescent="0.25">
      <c r="A376" t="s">
        <v>2074</v>
      </c>
      <c r="B376" t="s">
        <v>482</v>
      </c>
    </row>
    <row r="377" spans="1:2" x14ac:dyDescent="0.25">
      <c r="A377" t="s">
        <v>2074</v>
      </c>
      <c r="B377" t="s">
        <v>433</v>
      </c>
    </row>
    <row r="378" spans="1:2" x14ac:dyDescent="0.25">
      <c r="A378" t="s">
        <v>2074</v>
      </c>
      <c r="B378" t="s">
        <v>960</v>
      </c>
    </row>
    <row r="379" spans="1:2" x14ac:dyDescent="0.25">
      <c r="A379" t="s">
        <v>2074</v>
      </c>
      <c r="B379" t="s">
        <v>1235</v>
      </c>
    </row>
    <row r="380" spans="1:2" x14ac:dyDescent="0.25">
      <c r="A380" t="s">
        <v>2074</v>
      </c>
      <c r="B380" t="s">
        <v>965</v>
      </c>
    </row>
    <row r="381" spans="1:2" x14ac:dyDescent="0.25">
      <c r="A381" t="s">
        <v>2074</v>
      </c>
      <c r="B381" t="s">
        <v>961</v>
      </c>
    </row>
    <row r="382" spans="1:2" x14ac:dyDescent="0.25">
      <c r="A382" t="s">
        <v>2074</v>
      </c>
      <c r="B382" t="s">
        <v>962</v>
      </c>
    </row>
    <row r="383" spans="1:2" x14ac:dyDescent="0.25">
      <c r="A383" t="s">
        <v>2074</v>
      </c>
      <c r="B383" t="s">
        <v>963</v>
      </c>
    </row>
    <row r="384" spans="1:2" x14ac:dyDescent="0.25">
      <c r="A384" t="s">
        <v>2074</v>
      </c>
      <c r="B384" t="s">
        <v>964</v>
      </c>
    </row>
    <row r="385" spans="1:2" x14ac:dyDescent="0.25">
      <c r="A385" t="s">
        <v>2074</v>
      </c>
      <c r="B385" t="s">
        <v>966</v>
      </c>
    </row>
    <row r="386" spans="1:2" x14ac:dyDescent="0.25">
      <c r="A386" t="s">
        <v>2074</v>
      </c>
      <c r="B386" t="s">
        <v>967</v>
      </c>
    </row>
    <row r="387" spans="1:2" x14ac:dyDescent="0.25">
      <c r="A387" t="s">
        <v>2074</v>
      </c>
      <c r="B387" t="s">
        <v>968</v>
      </c>
    </row>
    <row r="388" spans="1:2" x14ac:dyDescent="0.25">
      <c r="A388" t="s">
        <v>2074</v>
      </c>
      <c r="B388" t="s">
        <v>969</v>
      </c>
    </row>
    <row r="389" spans="1:2" x14ac:dyDescent="0.25">
      <c r="A389" t="s">
        <v>2074</v>
      </c>
      <c r="B389" t="s">
        <v>1237</v>
      </c>
    </row>
    <row r="390" spans="1:2" x14ac:dyDescent="0.25">
      <c r="A390" t="s">
        <v>2074</v>
      </c>
      <c r="B390" t="s">
        <v>1337</v>
      </c>
    </row>
    <row r="391" spans="1:2" x14ac:dyDescent="0.25">
      <c r="A391" t="s">
        <v>2074</v>
      </c>
      <c r="B391" t="s">
        <v>970</v>
      </c>
    </row>
    <row r="392" spans="1:2" x14ac:dyDescent="0.25">
      <c r="A392" t="s">
        <v>2074</v>
      </c>
      <c r="B392" t="s">
        <v>591</v>
      </c>
    </row>
    <row r="393" spans="1:2" x14ac:dyDescent="0.25">
      <c r="A393" t="s">
        <v>2074</v>
      </c>
      <c r="B393" t="s">
        <v>977</v>
      </c>
    </row>
    <row r="394" spans="1:2" x14ac:dyDescent="0.25">
      <c r="A394" t="s">
        <v>2074</v>
      </c>
      <c r="B394" t="s">
        <v>528</v>
      </c>
    </row>
    <row r="395" spans="1:2" x14ac:dyDescent="0.25">
      <c r="A395" t="s">
        <v>2074</v>
      </c>
      <c r="B395" t="s">
        <v>538</v>
      </c>
    </row>
    <row r="396" spans="1:2" x14ac:dyDescent="0.25">
      <c r="A396" t="s">
        <v>2074</v>
      </c>
      <c r="B396" t="s">
        <v>227</v>
      </c>
    </row>
    <row r="397" spans="1:2" x14ac:dyDescent="0.25">
      <c r="A397" t="s">
        <v>2074</v>
      </c>
      <c r="B397" t="s">
        <v>531</v>
      </c>
    </row>
    <row r="398" spans="1:2" x14ac:dyDescent="0.25">
      <c r="A398" t="s">
        <v>2074</v>
      </c>
      <c r="B398" t="s">
        <v>536</v>
      </c>
    </row>
    <row r="399" spans="1:2" x14ac:dyDescent="0.25">
      <c r="A399" t="s">
        <v>2074</v>
      </c>
      <c r="B399" t="s">
        <v>648</v>
      </c>
    </row>
    <row r="400" spans="1:2" x14ac:dyDescent="0.25">
      <c r="A400" t="s">
        <v>2074</v>
      </c>
      <c r="B400" t="s">
        <v>228</v>
      </c>
    </row>
    <row r="401" spans="1:2" x14ac:dyDescent="0.25">
      <c r="A401" t="s">
        <v>2074</v>
      </c>
      <c r="B401" t="s">
        <v>229</v>
      </c>
    </row>
    <row r="402" spans="1:2" x14ac:dyDescent="0.25">
      <c r="A402" t="s">
        <v>2074</v>
      </c>
      <c r="B402" t="s">
        <v>540</v>
      </c>
    </row>
    <row r="403" spans="1:2" x14ac:dyDescent="0.25">
      <c r="A403" t="s">
        <v>2074</v>
      </c>
      <c r="B403" t="s">
        <v>524</v>
      </c>
    </row>
    <row r="404" spans="1:2" x14ac:dyDescent="0.25">
      <c r="A404" t="s">
        <v>2074</v>
      </c>
      <c r="B404" t="s">
        <v>649</v>
      </c>
    </row>
    <row r="405" spans="1:2" x14ac:dyDescent="0.25">
      <c r="A405" t="s">
        <v>2074</v>
      </c>
      <c r="B405" t="s">
        <v>534</v>
      </c>
    </row>
    <row r="406" spans="1:2" x14ac:dyDescent="0.25">
      <c r="A406" t="s">
        <v>2074</v>
      </c>
      <c r="B406" t="s">
        <v>532</v>
      </c>
    </row>
    <row r="407" spans="1:2" x14ac:dyDescent="0.25">
      <c r="A407" t="s">
        <v>2074</v>
      </c>
      <c r="B407" t="s">
        <v>542</v>
      </c>
    </row>
    <row r="408" spans="1:2" x14ac:dyDescent="0.25">
      <c r="A408" t="s">
        <v>2074</v>
      </c>
      <c r="B408" t="s">
        <v>432</v>
      </c>
    </row>
    <row r="409" spans="1:2" x14ac:dyDescent="0.25">
      <c r="A409" t="s">
        <v>2074</v>
      </c>
      <c r="B409" t="s">
        <v>978</v>
      </c>
    </row>
    <row r="410" spans="1:2" x14ac:dyDescent="0.25">
      <c r="A410" t="s">
        <v>2074</v>
      </c>
      <c r="B410" t="s">
        <v>1401</v>
      </c>
    </row>
    <row r="411" spans="1:2" x14ac:dyDescent="0.25">
      <c r="A411" t="s">
        <v>2074</v>
      </c>
      <c r="B411" t="s">
        <v>431</v>
      </c>
    </row>
    <row r="412" spans="1:2" x14ac:dyDescent="0.25">
      <c r="A412" t="s">
        <v>2074</v>
      </c>
      <c r="B412" t="s">
        <v>230</v>
      </c>
    </row>
    <row r="413" spans="1:2" x14ac:dyDescent="0.25">
      <c r="A413" t="s">
        <v>2074</v>
      </c>
      <c r="B413" t="s">
        <v>231</v>
      </c>
    </row>
    <row r="414" spans="1:2" x14ac:dyDescent="0.25">
      <c r="A414" t="s">
        <v>2074</v>
      </c>
      <c r="B414" t="s">
        <v>430</v>
      </c>
    </row>
    <row r="415" spans="1:2" x14ac:dyDescent="0.25">
      <c r="A415" t="s">
        <v>2074</v>
      </c>
      <c r="B415" t="s">
        <v>640</v>
      </c>
    </row>
    <row r="416" spans="1:2" x14ac:dyDescent="0.25">
      <c r="A416" t="s">
        <v>2074</v>
      </c>
      <c r="B416" t="s">
        <v>232</v>
      </c>
    </row>
    <row r="417" spans="1:2" x14ac:dyDescent="0.25">
      <c r="A417" t="s">
        <v>2074</v>
      </c>
      <c r="B417" t="s">
        <v>370</v>
      </c>
    </row>
    <row r="418" spans="1:2" x14ac:dyDescent="0.25">
      <c r="A418" t="s">
        <v>2074</v>
      </c>
      <c r="B418" t="s">
        <v>1584</v>
      </c>
    </row>
    <row r="419" spans="1:2" x14ac:dyDescent="0.25">
      <c r="A419" t="s">
        <v>2074</v>
      </c>
      <c r="B419" t="s">
        <v>1321</v>
      </c>
    </row>
    <row r="420" spans="1:2" x14ac:dyDescent="0.25">
      <c r="A420" t="s">
        <v>2074</v>
      </c>
      <c r="B420" t="s">
        <v>233</v>
      </c>
    </row>
    <row r="421" spans="1:2" x14ac:dyDescent="0.25">
      <c r="A421" t="s">
        <v>2074</v>
      </c>
      <c r="B421" t="s">
        <v>381</v>
      </c>
    </row>
    <row r="422" spans="1:2" x14ac:dyDescent="0.25">
      <c r="A422" t="s">
        <v>2074</v>
      </c>
      <c r="B422" t="s">
        <v>636</v>
      </c>
    </row>
    <row r="423" spans="1:2" x14ac:dyDescent="0.25">
      <c r="A423" t="s">
        <v>2074</v>
      </c>
      <c r="B423" t="s">
        <v>1585</v>
      </c>
    </row>
    <row r="424" spans="1:2" x14ac:dyDescent="0.25">
      <c r="A424" t="s">
        <v>2074</v>
      </c>
      <c r="B424" t="s">
        <v>1586</v>
      </c>
    </row>
    <row r="425" spans="1:2" x14ac:dyDescent="0.25">
      <c r="A425" t="s">
        <v>2074</v>
      </c>
      <c r="B425" t="s">
        <v>1255</v>
      </c>
    </row>
    <row r="426" spans="1:2" x14ac:dyDescent="0.25">
      <c r="A426" t="s">
        <v>2074</v>
      </c>
      <c r="B426" t="s">
        <v>1258</v>
      </c>
    </row>
    <row r="427" spans="1:2" x14ac:dyDescent="0.25">
      <c r="A427" t="s">
        <v>2074</v>
      </c>
      <c r="B427" t="s">
        <v>1260</v>
      </c>
    </row>
    <row r="428" spans="1:2" x14ac:dyDescent="0.25">
      <c r="A428" t="s">
        <v>2074</v>
      </c>
      <c r="B428" t="s">
        <v>485</v>
      </c>
    </row>
    <row r="429" spans="1:2" x14ac:dyDescent="0.25">
      <c r="A429" t="s">
        <v>2074</v>
      </c>
      <c r="B429" t="s">
        <v>1697</v>
      </c>
    </row>
    <row r="430" spans="1:2" x14ac:dyDescent="0.25">
      <c r="A430" t="s">
        <v>2074</v>
      </c>
      <c r="B430" t="s">
        <v>429</v>
      </c>
    </row>
    <row r="431" spans="1:2" x14ac:dyDescent="0.25">
      <c r="A431" t="s">
        <v>2074</v>
      </c>
      <c r="B431" t="s">
        <v>410</v>
      </c>
    </row>
    <row r="432" spans="1:2" x14ac:dyDescent="0.25">
      <c r="A432" t="s">
        <v>2074</v>
      </c>
      <c r="B432" t="s">
        <v>650</v>
      </c>
    </row>
    <row r="433" spans="1:2" x14ac:dyDescent="0.25">
      <c r="A433" t="s">
        <v>2074</v>
      </c>
      <c r="B433" t="s">
        <v>651</v>
      </c>
    </row>
    <row r="434" spans="1:2" x14ac:dyDescent="0.25">
      <c r="A434" t="s">
        <v>2074</v>
      </c>
      <c r="B434" t="s">
        <v>652</v>
      </c>
    </row>
    <row r="435" spans="1:2" x14ac:dyDescent="0.25">
      <c r="A435" t="s">
        <v>2074</v>
      </c>
      <c r="B435" t="s">
        <v>384</v>
      </c>
    </row>
    <row r="436" spans="1:2" x14ac:dyDescent="0.25">
      <c r="A436" t="s">
        <v>2074</v>
      </c>
      <c r="B436" t="s">
        <v>653</v>
      </c>
    </row>
    <row r="437" spans="1:2" x14ac:dyDescent="0.25">
      <c r="A437" t="s">
        <v>2074</v>
      </c>
      <c r="B437" t="s">
        <v>654</v>
      </c>
    </row>
    <row r="438" spans="1:2" x14ac:dyDescent="0.25">
      <c r="A438" t="s">
        <v>2074</v>
      </c>
      <c r="B438" t="s">
        <v>428</v>
      </c>
    </row>
    <row r="439" spans="1:2" x14ac:dyDescent="0.25">
      <c r="A439" t="s">
        <v>2074</v>
      </c>
      <c r="B439" t="s">
        <v>427</v>
      </c>
    </row>
    <row r="440" spans="1:2" x14ac:dyDescent="0.25">
      <c r="A440" t="s">
        <v>2074</v>
      </c>
      <c r="B440" t="s">
        <v>236</v>
      </c>
    </row>
    <row r="441" spans="1:2" x14ac:dyDescent="0.25">
      <c r="A441" t="s">
        <v>2074</v>
      </c>
      <c r="B441" t="s">
        <v>237</v>
      </c>
    </row>
    <row r="442" spans="1:2" x14ac:dyDescent="0.25">
      <c r="A442" t="s">
        <v>2074</v>
      </c>
      <c r="B442" t="s">
        <v>625</v>
      </c>
    </row>
    <row r="443" spans="1:2" x14ac:dyDescent="0.25">
      <c r="A443" t="s">
        <v>2074</v>
      </c>
      <c r="B443" t="s">
        <v>701</v>
      </c>
    </row>
    <row r="444" spans="1:2" x14ac:dyDescent="0.25">
      <c r="A444" t="s">
        <v>2074</v>
      </c>
      <c r="B444" t="s">
        <v>624</v>
      </c>
    </row>
    <row r="445" spans="1:2" x14ac:dyDescent="0.25">
      <c r="A445" t="s">
        <v>2074</v>
      </c>
      <c r="B445" t="s">
        <v>702</v>
      </c>
    </row>
    <row r="446" spans="1:2" x14ac:dyDescent="0.25">
      <c r="A446" t="s">
        <v>2074</v>
      </c>
      <c r="B446" t="s">
        <v>1315</v>
      </c>
    </row>
    <row r="447" spans="1:2" x14ac:dyDescent="0.25">
      <c r="A447" t="s">
        <v>2074</v>
      </c>
      <c r="B447" t="s">
        <v>238</v>
      </c>
    </row>
    <row r="448" spans="1:2" x14ac:dyDescent="0.25">
      <c r="A448" t="s">
        <v>2074</v>
      </c>
      <c r="B448" t="s">
        <v>239</v>
      </c>
    </row>
    <row r="449" spans="1:2" x14ac:dyDescent="0.25">
      <c r="A449" t="s">
        <v>2074</v>
      </c>
      <c r="B449" t="s">
        <v>240</v>
      </c>
    </row>
    <row r="450" spans="1:2" x14ac:dyDescent="0.25">
      <c r="A450" t="s">
        <v>2074</v>
      </c>
      <c r="B450" t="s">
        <v>241</v>
      </c>
    </row>
    <row r="451" spans="1:2" x14ac:dyDescent="0.25">
      <c r="A451" t="s">
        <v>2074</v>
      </c>
      <c r="B451" t="s">
        <v>655</v>
      </c>
    </row>
    <row r="452" spans="1:2" x14ac:dyDescent="0.25">
      <c r="A452" t="s">
        <v>2074</v>
      </c>
      <c r="B452" t="s">
        <v>677</v>
      </c>
    </row>
    <row r="453" spans="1:2" x14ac:dyDescent="0.25">
      <c r="A453" t="s">
        <v>2074</v>
      </c>
      <c r="B453" t="s">
        <v>242</v>
      </c>
    </row>
    <row r="454" spans="1:2" x14ac:dyDescent="0.25">
      <c r="A454" t="s">
        <v>2074</v>
      </c>
      <c r="B454" t="s">
        <v>414</v>
      </c>
    </row>
    <row r="455" spans="1:2" x14ac:dyDescent="0.25">
      <c r="A455" t="s">
        <v>2074</v>
      </c>
      <c r="B455" t="s">
        <v>1296</v>
      </c>
    </row>
    <row r="456" spans="1:2" x14ac:dyDescent="0.25">
      <c r="A456" t="s">
        <v>2074</v>
      </c>
      <c r="B456" t="s">
        <v>415</v>
      </c>
    </row>
    <row r="457" spans="1:2" x14ac:dyDescent="0.25">
      <c r="A457" t="s">
        <v>2074</v>
      </c>
      <c r="B457" t="s">
        <v>243</v>
      </c>
    </row>
    <row r="458" spans="1:2" x14ac:dyDescent="0.25">
      <c r="A458" t="s">
        <v>2074</v>
      </c>
      <c r="B458" t="s">
        <v>446</v>
      </c>
    </row>
    <row r="459" spans="1:2" x14ac:dyDescent="0.25">
      <c r="A459" t="s">
        <v>2074</v>
      </c>
      <c r="B459" t="s">
        <v>244</v>
      </c>
    </row>
    <row r="460" spans="1:2" x14ac:dyDescent="0.25">
      <c r="A460" t="s">
        <v>2074</v>
      </c>
      <c r="B460" t="s">
        <v>380</v>
      </c>
    </row>
    <row r="461" spans="1:2" x14ac:dyDescent="0.25">
      <c r="A461" t="s">
        <v>2074</v>
      </c>
      <c r="B461" t="s">
        <v>670</v>
      </c>
    </row>
    <row r="462" spans="1:2" x14ac:dyDescent="0.25">
      <c r="A462" t="s">
        <v>2074</v>
      </c>
      <c r="B462" t="s">
        <v>245</v>
      </c>
    </row>
    <row r="463" spans="1:2" x14ac:dyDescent="0.25">
      <c r="A463" t="s">
        <v>2074</v>
      </c>
      <c r="B463" t="s">
        <v>626</v>
      </c>
    </row>
    <row r="464" spans="1:2" x14ac:dyDescent="0.25">
      <c r="A464" t="s">
        <v>2074</v>
      </c>
      <c r="B464" t="s">
        <v>246</v>
      </c>
    </row>
    <row r="465" spans="1:2" x14ac:dyDescent="0.25">
      <c r="A465" t="s">
        <v>2074</v>
      </c>
      <c r="B465" t="s">
        <v>418</v>
      </c>
    </row>
    <row r="466" spans="1:2" x14ac:dyDescent="0.25">
      <c r="A466" t="s">
        <v>2074</v>
      </c>
      <c r="B466" t="s">
        <v>426</v>
      </c>
    </row>
    <row r="467" spans="1:2" x14ac:dyDescent="0.25">
      <c r="A467" t="s">
        <v>2074</v>
      </c>
      <c r="B467" t="s">
        <v>353</v>
      </c>
    </row>
    <row r="468" spans="1:2" x14ac:dyDescent="0.25">
      <c r="A468" t="s">
        <v>2074</v>
      </c>
      <c r="B468" t="s">
        <v>356</v>
      </c>
    </row>
    <row r="469" spans="1:2" x14ac:dyDescent="0.25">
      <c r="A469" t="s">
        <v>2074</v>
      </c>
      <c r="B469" t="s">
        <v>247</v>
      </c>
    </row>
    <row r="470" spans="1:2" x14ac:dyDescent="0.25">
      <c r="A470" t="s">
        <v>2074</v>
      </c>
      <c r="B470" t="s">
        <v>377</v>
      </c>
    </row>
    <row r="471" spans="1:2" x14ac:dyDescent="0.25">
      <c r="A471" t="s">
        <v>2074</v>
      </c>
      <c r="B471" t="s">
        <v>668</v>
      </c>
    </row>
    <row r="472" spans="1:2" x14ac:dyDescent="0.25">
      <c r="A472" t="s">
        <v>2074</v>
      </c>
      <c r="B472" t="s">
        <v>378</v>
      </c>
    </row>
    <row r="473" spans="1:2" x14ac:dyDescent="0.25">
      <c r="A473" t="s">
        <v>2074</v>
      </c>
      <c r="B473" t="s">
        <v>669</v>
      </c>
    </row>
    <row r="474" spans="1:2" x14ac:dyDescent="0.25">
      <c r="A474" t="s">
        <v>2074</v>
      </c>
      <c r="B474" t="s">
        <v>425</v>
      </c>
    </row>
    <row r="475" spans="1:2" x14ac:dyDescent="0.25">
      <c r="A475" t="s">
        <v>2074</v>
      </c>
      <c r="B475" t="s">
        <v>590</v>
      </c>
    </row>
    <row r="476" spans="1:2" x14ac:dyDescent="0.25">
      <c r="A476" t="s">
        <v>2074</v>
      </c>
      <c r="B476" t="s">
        <v>743</v>
      </c>
    </row>
    <row r="477" spans="1:2" x14ac:dyDescent="0.25">
      <c r="A477" t="s">
        <v>2074</v>
      </c>
      <c r="B477" t="s">
        <v>1087</v>
      </c>
    </row>
    <row r="478" spans="1:2" x14ac:dyDescent="0.25">
      <c r="A478" t="s">
        <v>2074</v>
      </c>
      <c r="B478" t="s">
        <v>748</v>
      </c>
    </row>
    <row r="479" spans="1:2" x14ac:dyDescent="0.25">
      <c r="A479" t="s">
        <v>2074</v>
      </c>
      <c r="B479" t="s">
        <v>1428</v>
      </c>
    </row>
    <row r="480" spans="1:2" x14ac:dyDescent="0.25">
      <c r="A480" t="s">
        <v>2074</v>
      </c>
      <c r="B480" t="s">
        <v>1088</v>
      </c>
    </row>
    <row r="481" spans="1:2" x14ac:dyDescent="0.25">
      <c r="A481" t="s">
        <v>2074</v>
      </c>
      <c r="B481" t="s">
        <v>1089</v>
      </c>
    </row>
    <row r="482" spans="1:2" x14ac:dyDescent="0.25">
      <c r="A482" t="s">
        <v>2074</v>
      </c>
      <c r="B482" t="s">
        <v>522</v>
      </c>
    </row>
    <row r="483" spans="1:2" x14ac:dyDescent="0.25">
      <c r="A483" t="s">
        <v>2074</v>
      </c>
      <c r="B483" t="s">
        <v>1311</v>
      </c>
    </row>
    <row r="484" spans="1:2" x14ac:dyDescent="0.25">
      <c r="A484" t="s">
        <v>2074</v>
      </c>
      <c r="B484" t="s">
        <v>1090</v>
      </c>
    </row>
    <row r="485" spans="1:2" x14ac:dyDescent="0.25">
      <c r="A485" t="s">
        <v>2074</v>
      </c>
      <c r="B485" t="s">
        <v>460</v>
      </c>
    </row>
    <row r="486" spans="1:2" x14ac:dyDescent="0.25">
      <c r="A486" t="s">
        <v>2074</v>
      </c>
      <c r="B486" t="s">
        <v>1310</v>
      </c>
    </row>
    <row r="487" spans="1:2" x14ac:dyDescent="0.25">
      <c r="A487" t="s">
        <v>2074</v>
      </c>
      <c r="B487" t="s">
        <v>1091</v>
      </c>
    </row>
    <row r="488" spans="1:2" x14ac:dyDescent="0.25">
      <c r="A488" t="s">
        <v>2074</v>
      </c>
      <c r="B488" t="s">
        <v>1307</v>
      </c>
    </row>
    <row r="489" spans="1:2" x14ac:dyDescent="0.25">
      <c r="A489" t="s">
        <v>2074</v>
      </c>
      <c r="B489" t="s">
        <v>1092</v>
      </c>
    </row>
    <row r="490" spans="1:2" x14ac:dyDescent="0.25">
      <c r="A490" t="s">
        <v>2074</v>
      </c>
      <c r="B490" t="s">
        <v>1094</v>
      </c>
    </row>
    <row r="491" spans="1:2" x14ac:dyDescent="0.25">
      <c r="A491" t="s">
        <v>2074</v>
      </c>
      <c r="B491" t="s">
        <v>1095</v>
      </c>
    </row>
    <row r="492" spans="1:2" x14ac:dyDescent="0.25">
      <c r="A492" t="s">
        <v>2074</v>
      </c>
      <c r="B492" t="s">
        <v>1096</v>
      </c>
    </row>
    <row r="493" spans="1:2" x14ac:dyDescent="0.25">
      <c r="A493" t="s">
        <v>2074</v>
      </c>
      <c r="B493" t="s">
        <v>1313</v>
      </c>
    </row>
    <row r="494" spans="1:2" x14ac:dyDescent="0.25">
      <c r="A494" t="s">
        <v>2074</v>
      </c>
      <c r="B494" t="s">
        <v>1316</v>
      </c>
    </row>
    <row r="495" spans="1:2" x14ac:dyDescent="0.25">
      <c r="A495" t="s">
        <v>2074</v>
      </c>
      <c r="B495" t="s">
        <v>1145</v>
      </c>
    </row>
    <row r="496" spans="1:2" x14ac:dyDescent="0.25">
      <c r="A496" t="s">
        <v>2074</v>
      </c>
      <c r="B496" t="s">
        <v>1306</v>
      </c>
    </row>
    <row r="497" spans="1:2" x14ac:dyDescent="0.25">
      <c r="A497" t="s">
        <v>2074</v>
      </c>
      <c r="B497" t="s">
        <v>1098</v>
      </c>
    </row>
    <row r="498" spans="1:2" x14ac:dyDescent="0.25">
      <c r="A498" t="s">
        <v>2074</v>
      </c>
      <c r="B498" t="s">
        <v>1099</v>
      </c>
    </row>
    <row r="499" spans="1:2" x14ac:dyDescent="0.25">
      <c r="A499" t="s">
        <v>2074</v>
      </c>
      <c r="B499" t="s">
        <v>1330</v>
      </c>
    </row>
    <row r="500" spans="1:2" x14ac:dyDescent="0.25">
      <c r="A500" t="s">
        <v>2074</v>
      </c>
      <c r="B500" t="s">
        <v>1436</v>
      </c>
    </row>
    <row r="501" spans="1:2" x14ac:dyDescent="0.25">
      <c r="A501" t="s">
        <v>2074</v>
      </c>
      <c r="B501" t="s">
        <v>1100</v>
      </c>
    </row>
    <row r="502" spans="1:2" x14ac:dyDescent="0.25">
      <c r="A502" t="s">
        <v>2074</v>
      </c>
      <c r="B502" t="s">
        <v>1101</v>
      </c>
    </row>
    <row r="503" spans="1:2" x14ac:dyDescent="0.25">
      <c r="A503" t="s">
        <v>2074</v>
      </c>
      <c r="B503" t="s">
        <v>1305</v>
      </c>
    </row>
    <row r="504" spans="1:2" x14ac:dyDescent="0.25">
      <c r="A504" t="s">
        <v>2074</v>
      </c>
      <c r="B504" t="s">
        <v>547</v>
      </c>
    </row>
    <row r="505" spans="1:2" x14ac:dyDescent="0.25">
      <c r="A505" t="s">
        <v>2074</v>
      </c>
      <c r="B505" t="s">
        <v>688</v>
      </c>
    </row>
    <row r="506" spans="1:2" x14ac:dyDescent="0.25">
      <c r="A506" t="s">
        <v>2074</v>
      </c>
      <c r="B506" t="s">
        <v>575</v>
      </c>
    </row>
    <row r="507" spans="1:2" x14ac:dyDescent="0.25">
      <c r="A507" t="s">
        <v>2074</v>
      </c>
      <c r="B507" t="s">
        <v>656</v>
      </c>
    </row>
    <row r="508" spans="1:2" x14ac:dyDescent="0.25">
      <c r="A508" t="s">
        <v>2074</v>
      </c>
      <c r="B508" t="s">
        <v>251</v>
      </c>
    </row>
    <row r="509" spans="1:2" x14ac:dyDescent="0.25">
      <c r="A509" t="s">
        <v>2074</v>
      </c>
      <c r="B509" t="s">
        <v>252</v>
      </c>
    </row>
    <row r="510" spans="1:2" x14ac:dyDescent="0.25">
      <c r="A510" t="s">
        <v>2074</v>
      </c>
      <c r="B510" t="s">
        <v>657</v>
      </c>
    </row>
    <row r="511" spans="1:2" x14ac:dyDescent="0.25">
      <c r="A511" t="s">
        <v>2074</v>
      </c>
      <c r="B511" t="s">
        <v>253</v>
      </c>
    </row>
    <row r="512" spans="1:2" x14ac:dyDescent="0.25">
      <c r="A512" t="s">
        <v>2074</v>
      </c>
      <c r="B512" t="s">
        <v>658</v>
      </c>
    </row>
    <row r="513" spans="1:2" x14ac:dyDescent="0.25">
      <c r="A513" t="s">
        <v>2074</v>
      </c>
      <c r="B513" t="s">
        <v>1424</v>
      </c>
    </row>
    <row r="514" spans="1:2" x14ac:dyDescent="0.25">
      <c r="A514" t="s">
        <v>2074</v>
      </c>
      <c r="B514" t="s">
        <v>1587</v>
      </c>
    </row>
    <row r="515" spans="1:2" x14ac:dyDescent="0.25">
      <c r="A515" t="s">
        <v>2074</v>
      </c>
      <c r="B515" t="s">
        <v>451</v>
      </c>
    </row>
    <row r="516" spans="1:2" x14ac:dyDescent="0.25">
      <c r="A516" t="s">
        <v>2074</v>
      </c>
      <c r="B516" t="s">
        <v>421</v>
      </c>
    </row>
    <row r="517" spans="1:2" x14ac:dyDescent="0.25">
      <c r="A517" t="s">
        <v>2074</v>
      </c>
      <c r="B517" t="s">
        <v>760</v>
      </c>
    </row>
    <row r="518" spans="1:2" x14ac:dyDescent="0.25">
      <c r="A518" t="s">
        <v>2074</v>
      </c>
      <c r="B518" t="s">
        <v>1376</v>
      </c>
    </row>
    <row r="519" spans="1:2" x14ac:dyDescent="0.25">
      <c r="A519" t="s">
        <v>2074</v>
      </c>
      <c r="B519" t="s">
        <v>1103</v>
      </c>
    </row>
    <row r="520" spans="1:2" x14ac:dyDescent="0.25">
      <c r="A520" t="s">
        <v>2074</v>
      </c>
      <c r="B520" t="s">
        <v>1304</v>
      </c>
    </row>
    <row r="521" spans="1:2" x14ac:dyDescent="0.25">
      <c r="A521" t="s">
        <v>2074</v>
      </c>
      <c r="B521" t="s">
        <v>2068</v>
      </c>
    </row>
    <row r="522" spans="1:2" x14ac:dyDescent="0.25">
      <c r="A522" t="s">
        <v>2074</v>
      </c>
      <c r="B522" t="s">
        <v>539</v>
      </c>
    </row>
    <row r="523" spans="1:2" x14ac:dyDescent="0.25">
      <c r="A523" t="s">
        <v>2074</v>
      </c>
      <c r="B523" t="s">
        <v>1588</v>
      </c>
    </row>
    <row r="524" spans="1:2" x14ac:dyDescent="0.25">
      <c r="A524" t="s">
        <v>2074</v>
      </c>
      <c r="B524" t="s">
        <v>642</v>
      </c>
    </row>
    <row r="525" spans="1:2" x14ac:dyDescent="0.25">
      <c r="A525" t="s">
        <v>2074</v>
      </c>
      <c r="B525" t="s">
        <v>754</v>
      </c>
    </row>
    <row r="526" spans="1:2" x14ac:dyDescent="0.25">
      <c r="A526" t="s">
        <v>2074</v>
      </c>
      <c r="B526" t="s">
        <v>1332</v>
      </c>
    </row>
    <row r="527" spans="1:2" x14ac:dyDescent="0.25">
      <c r="A527" t="s">
        <v>2074</v>
      </c>
      <c r="B527" t="s">
        <v>1360</v>
      </c>
    </row>
    <row r="528" spans="1:2" x14ac:dyDescent="0.25">
      <c r="A528" t="s">
        <v>2074</v>
      </c>
      <c r="B528" t="s">
        <v>667</v>
      </c>
    </row>
    <row r="529" spans="1:2" x14ac:dyDescent="0.25">
      <c r="A529" t="s">
        <v>2074</v>
      </c>
      <c r="B529" t="s">
        <v>1104</v>
      </c>
    </row>
    <row r="530" spans="1:2" x14ac:dyDescent="0.25">
      <c r="A530" t="s">
        <v>2074</v>
      </c>
      <c r="B530" t="s">
        <v>1105</v>
      </c>
    </row>
    <row r="531" spans="1:2" x14ac:dyDescent="0.25">
      <c r="A531" t="s">
        <v>2074</v>
      </c>
      <c r="B531" t="s">
        <v>1106</v>
      </c>
    </row>
    <row r="532" spans="1:2" x14ac:dyDescent="0.25">
      <c r="A532" t="s">
        <v>2074</v>
      </c>
      <c r="B532" t="s">
        <v>1108</v>
      </c>
    </row>
    <row r="533" spans="1:2" x14ac:dyDescent="0.25">
      <c r="A533" t="s">
        <v>2074</v>
      </c>
      <c r="B533" t="s">
        <v>1109</v>
      </c>
    </row>
    <row r="534" spans="1:2" x14ac:dyDescent="0.25">
      <c r="A534" t="s">
        <v>2074</v>
      </c>
      <c r="B534" t="s">
        <v>1110</v>
      </c>
    </row>
    <row r="535" spans="1:2" x14ac:dyDescent="0.25">
      <c r="A535" t="s">
        <v>2074</v>
      </c>
      <c r="B535" t="s">
        <v>1111</v>
      </c>
    </row>
    <row r="536" spans="1:2" x14ac:dyDescent="0.25">
      <c r="A536" t="s">
        <v>2074</v>
      </c>
      <c r="B536" t="s">
        <v>1112</v>
      </c>
    </row>
    <row r="537" spans="1:2" x14ac:dyDescent="0.25">
      <c r="A537" t="s">
        <v>2074</v>
      </c>
      <c r="B537" t="s">
        <v>1113</v>
      </c>
    </row>
    <row r="538" spans="1:2" x14ac:dyDescent="0.25">
      <c r="A538" t="s">
        <v>2074</v>
      </c>
      <c r="B538" t="s">
        <v>1114</v>
      </c>
    </row>
    <row r="539" spans="1:2" x14ac:dyDescent="0.25">
      <c r="A539" t="s">
        <v>2074</v>
      </c>
      <c r="B539" t="s">
        <v>1115</v>
      </c>
    </row>
    <row r="540" spans="1:2" x14ac:dyDescent="0.25">
      <c r="A540" t="s">
        <v>2074</v>
      </c>
      <c r="B540" t="s">
        <v>1402</v>
      </c>
    </row>
    <row r="541" spans="1:2" x14ac:dyDescent="0.25">
      <c r="A541" t="s">
        <v>2074</v>
      </c>
      <c r="B541" t="s">
        <v>1116</v>
      </c>
    </row>
    <row r="542" spans="1:2" x14ac:dyDescent="0.25">
      <c r="A542" t="s">
        <v>2074</v>
      </c>
      <c r="B542" t="s">
        <v>1444</v>
      </c>
    </row>
    <row r="543" spans="1:2" x14ac:dyDescent="0.25">
      <c r="A543" t="s">
        <v>2074</v>
      </c>
      <c r="B543" t="s">
        <v>1589</v>
      </c>
    </row>
    <row r="544" spans="1:2" x14ac:dyDescent="0.25">
      <c r="A544" t="s">
        <v>2074</v>
      </c>
      <c r="B544" t="s">
        <v>1590</v>
      </c>
    </row>
    <row r="545" spans="1:2" x14ac:dyDescent="0.25">
      <c r="A545" t="s">
        <v>2074</v>
      </c>
      <c r="B545" t="s">
        <v>1435</v>
      </c>
    </row>
    <row r="546" spans="1:2" x14ac:dyDescent="0.25">
      <c r="A546" t="s">
        <v>2074</v>
      </c>
      <c r="B546" t="s">
        <v>622</v>
      </c>
    </row>
    <row r="547" spans="1:2" x14ac:dyDescent="0.25">
      <c r="A547" t="s">
        <v>2074</v>
      </c>
      <c r="B547" t="s">
        <v>466</v>
      </c>
    </row>
    <row r="548" spans="1:2" x14ac:dyDescent="0.25">
      <c r="A548" t="s">
        <v>2074</v>
      </c>
      <c r="B548" t="s">
        <v>255</v>
      </c>
    </row>
    <row r="549" spans="1:2" x14ac:dyDescent="0.25">
      <c r="A549" t="s">
        <v>2074</v>
      </c>
      <c r="B549" t="s">
        <v>256</v>
      </c>
    </row>
    <row r="550" spans="1:2" x14ac:dyDescent="0.25">
      <c r="A550" t="s">
        <v>2074</v>
      </c>
      <c r="B550" t="s">
        <v>557</v>
      </c>
    </row>
    <row r="551" spans="1:2" x14ac:dyDescent="0.25">
      <c r="A551" t="s">
        <v>2074</v>
      </c>
      <c r="B551" t="s">
        <v>1190</v>
      </c>
    </row>
    <row r="552" spans="1:2" x14ac:dyDescent="0.25">
      <c r="A552" t="s">
        <v>2074</v>
      </c>
      <c r="B552" t="s">
        <v>1208</v>
      </c>
    </row>
    <row r="553" spans="1:2" x14ac:dyDescent="0.25">
      <c r="A553" t="s">
        <v>2074</v>
      </c>
      <c r="B553" t="s">
        <v>1292</v>
      </c>
    </row>
    <row r="554" spans="1:2" x14ac:dyDescent="0.25">
      <c r="A554" t="s">
        <v>2074</v>
      </c>
      <c r="B554" t="s">
        <v>1160</v>
      </c>
    </row>
    <row r="555" spans="1:2" x14ac:dyDescent="0.25">
      <c r="A555" t="s">
        <v>2074</v>
      </c>
      <c r="B555" t="s">
        <v>1289</v>
      </c>
    </row>
    <row r="556" spans="1:2" x14ac:dyDescent="0.25">
      <c r="A556" t="s">
        <v>2074</v>
      </c>
      <c r="B556" t="s">
        <v>777</v>
      </c>
    </row>
    <row r="557" spans="1:2" x14ac:dyDescent="0.25">
      <c r="A557" t="s">
        <v>2074</v>
      </c>
      <c r="B557" t="s">
        <v>1591</v>
      </c>
    </row>
    <row r="558" spans="1:2" x14ac:dyDescent="0.25">
      <c r="A558" t="s">
        <v>2074</v>
      </c>
      <c r="B558" t="s">
        <v>920</v>
      </c>
    </row>
    <row r="559" spans="1:2" x14ac:dyDescent="0.25">
      <c r="A559" t="s">
        <v>2074</v>
      </c>
      <c r="B559" t="s">
        <v>452</v>
      </c>
    </row>
    <row r="560" spans="1:2" x14ac:dyDescent="0.25">
      <c r="A560" t="s">
        <v>2074</v>
      </c>
      <c r="B560" t="s">
        <v>257</v>
      </c>
    </row>
    <row r="561" spans="1:2" x14ac:dyDescent="0.25">
      <c r="A561" t="s">
        <v>2074</v>
      </c>
      <c r="B561" t="s">
        <v>258</v>
      </c>
    </row>
    <row r="562" spans="1:2" x14ac:dyDescent="0.25">
      <c r="A562" t="s">
        <v>2074</v>
      </c>
      <c r="B562" t="s">
        <v>412</v>
      </c>
    </row>
    <row r="563" spans="1:2" x14ac:dyDescent="0.25">
      <c r="A563" t="s">
        <v>2074</v>
      </c>
      <c r="B563" t="s">
        <v>611</v>
      </c>
    </row>
    <row r="564" spans="1:2" x14ac:dyDescent="0.25">
      <c r="A564" t="s">
        <v>2074</v>
      </c>
      <c r="B564" t="s">
        <v>1592</v>
      </c>
    </row>
    <row r="565" spans="1:2" x14ac:dyDescent="0.25">
      <c r="A565" t="s">
        <v>2074</v>
      </c>
      <c r="B565" t="s">
        <v>565</v>
      </c>
    </row>
    <row r="566" spans="1:2" x14ac:dyDescent="0.25">
      <c r="A566" t="s">
        <v>2074</v>
      </c>
      <c r="B566" t="s">
        <v>259</v>
      </c>
    </row>
    <row r="567" spans="1:2" x14ac:dyDescent="0.25">
      <c r="A567" t="s">
        <v>2074</v>
      </c>
      <c r="B567" t="s">
        <v>1433</v>
      </c>
    </row>
    <row r="568" spans="1:2" x14ac:dyDescent="0.25">
      <c r="A568" t="s">
        <v>2074</v>
      </c>
      <c r="B568" t="s">
        <v>1356</v>
      </c>
    </row>
    <row r="569" spans="1:2" x14ac:dyDescent="0.25">
      <c r="A569" t="s">
        <v>2074</v>
      </c>
      <c r="B569" t="s">
        <v>1283</v>
      </c>
    </row>
    <row r="570" spans="1:2" x14ac:dyDescent="0.25">
      <c r="A570" t="s">
        <v>2074</v>
      </c>
      <c r="B570" t="s">
        <v>1281</v>
      </c>
    </row>
    <row r="571" spans="1:2" x14ac:dyDescent="0.25">
      <c r="A571" t="s">
        <v>2074</v>
      </c>
      <c r="B571" t="s">
        <v>1294</v>
      </c>
    </row>
    <row r="572" spans="1:2" x14ac:dyDescent="0.25">
      <c r="A572" t="s">
        <v>2074</v>
      </c>
      <c r="B572" t="s">
        <v>1278</v>
      </c>
    </row>
    <row r="573" spans="1:2" x14ac:dyDescent="0.25">
      <c r="A573" t="s">
        <v>2074</v>
      </c>
      <c r="B573" t="s">
        <v>1372</v>
      </c>
    </row>
    <row r="574" spans="1:2" x14ac:dyDescent="0.25">
      <c r="A574" t="s">
        <v>2074</v>
      </c>
      <c r="B574" t="s">
        <v>1373</v>
      </c>
    </row>
    <row r="575" spans="1:2" x14ac:dyDescent="0.25">
      <c r="A575" t="s">
        <v>2074</v>
      </c>
      <c r="B575" t="s">
        <v>934</v>
      </c>
    </row>
    <row r="576" spans="1:2" x14ac:dyDescent="0.25">
      <c r="A576" t="s">
        <v>2074</v>
      </c>
      <c r="B576" t="s">
        <v>1277</v>
      </c>
    </row>
    <row r="577" spans="1:2" x14ac:dyDescent="0.25">
      <c r="A577" t="s">
        <v>2074</v>
      </c>
      <c r="B577" t="s">
        <v>999</v>
      </c>
    </row>
    <row r="578" spans="1:2" x14ac:dyDescent="0.25">
      <c r="A578" t="s">
        <v>2074</v>
      </c>
      <c r="B578" t="s">
        <v>1363</v>
      </c>
    </row>
    <row r="579" spans="1:2" x14ac:dyDescent="0.25">
      <c r="A579" t="s">
        <v>2074</v>
      </c>
      <c r="B579" t="s">
        <v>1043</v>
      </c>
    </row>
    <row r="580" spans="1:2" x14ac:dyDescent="0.25">
      <c r="A580" t="s">
        <v>2074</v>
      </c>
      <c r="B580" t="s">
        <v>550</v>
      </c>
    </row>
    <row r="581" spans="1:2" x14ac:dyDescent="0.25">
      <c r="A581" t="s">
        <v>2074</v>
      </c>
      <c r="B581" t="s">
        <v>1052</v>
      </c>
    </row>
    <row r="582" spans="1:2" x14ac:dyDescent="0.25">
      <c r="A582" t="s">
        <v>2074</v>
      </c>
      <c r="B582" t="s">
        <v>982</v>
      </c>
    </row>
    <row r="583" spans="1:2" x14ac:dyDescent="0.25">
      <c r="A583" t="s">
        <v>2074</v>
      </c>
      <c r="B583" t="s">
        <v>1275</v>
      </c>
    </row>
    <row r="584" spans="1:2" x14ac:dyDescent="0.25">
      <c r="A584" t="s">
        <v>2074</v>
      </c>
      <c r="B584" t="s">
        <v>904</v>
      </c>
    </row>
    <row r="585" spans="1:2" x14ac:dyDescent="0.25">
      <c r="A585" t="s">
        <v>2074</v>
      </c>
      <c r="B585" t="s">
        <v>638</v>
      </c>
    </row>
    <row r="586" spans="1:2" x14ac:dyDescent="0.25">
      <c r="A586" t="s">
        <v>2074</v>
      </c>
      <c r="B586" t="s">
        <v>453</v>
      </c>
    </row>
    <row r="587" spans="1:2" x14ac:dyDescent="0.25">
      <c r="A587" t="s">
        <v>2074</v>
      </c>
      <c r="B587" t="s">
        <v>1004</v>
      </c>
    </row>
    <row r="588" spans="1:2" x14ac:dyDescent="0.25">
      <c r="A588" t="s">
        <v>2074</v>
      </c>
      <c r="B588" t="s">
        <v>802</v>
      </c>
    </row>
    <row r="589" spans="1:2" x14ac:dyDescent="0.25">
      <c r="A589" t="s">
        <v>2074</v>
      </c>
      <c r="B589" t="s">
        <v>1274</v>
      </c>
    </row>
    <row r="590" spans="1:2" x14ac:dyDescent="0.25">
      <c r="A590" t="s">
        <v>2074</v>
      </c>
      <c r="B590" t="s">
        <v>1272</v>
      </c>
    </row>
    <row r="591" spans="1:2" x14ac:dyDescent="0.25">
      <c r="A591" t="s">
        <v>2074</v>
      </c>
      <c r="B591" t="s">
        <v>1271</v>
      </c>
    </row>
    <row r="592" spans="1:2" x14ac:dyDescent="0.25">
      <c r="A592" t="s">
        <v>2074</v>
      </c>
      <c r="B592" t="s">
        <v>260</v>
      </c>
    </row>
    <row r="593" spans="1:2" x14ac:dyDescent="0.25">
      <c r="A593" t="s">
        <v>2074</v>
      </c>
      <c r="B593" t="s">
        <v>383</v>
      </c>
    </row>
    <row r="594" spans="1:2" x14ac:dyDescent="0.25">
      <c r="A594" t="s">
        <v>2074</v>
      </c>
      <c r="B594" t="s">
        <v>696</v>
      </c>
    </row>
    <row r="595" spans="1:2" x14ac:dyDescent="0.25">
      <c r="A595" t="s">
        <v>2074</v>
      </c>
      <c r="B595" t="s">
        <v>1047</v>
      </c>
    </row>
    <row r="596" spans="1:2" x14ac:dyDescent="0.25">
      <c r="A596" t="s">
        <v>2074</v>
      </c>
      <c r="B596" t="s">
        <v>1086</v>
      </c>
    </row>
    <row r="597" spans="1:2" x14ac:dyDescent="0.25">
      <c r="A597" t="s">
        <v>2074</v>
      </c>
      <c r="B597" t="s">
        <v>1035</v>
      </c>
    </row>
    <row r="598" spans="1:2" x14ac:dyDescent="0.25">
      <c r="A598" t="s">
        <v>2074</v>
      </c>
      <c r="B598" t="s">
        <v>635</v>
      </c>
    </row>
    <row r="599" spans="1:2" x14ac:dyDescent="0.25">
      <c r="A599" t="s">
        <v>2074</v>
      </c>
      <c r="B599" t="s">
        <v>261</v>
      </c>
    </row>
    <row r="600" spans="1:2" x14ac:dyDescent="0.25">
      <c r="A600" t="s">
        <v>2074</v>
      </c>
      <c r="B600" t="s">
        <v>613</v>
      </c>
    </row>
    <row r="601" spans="1:2" x14ac:dyDescent="0.25">
      <c r="A601" t="s">
        <v>2074</v>
      </c>
      <c r="B601" t="s">
        <v>1041</v>
      </c>
    </row>
    <row r="602" spans="1:2" x14ac:dyDescent="0.25">
      <c r="A602" t="s">
        <v>2074</v>
      </c>
      <c r="B602" t="s">
        <v>262</v>
      </c>
    </row>
    <row r="603" spans="1:2" x14ac:dyDescent="0.25">
      <c r="A603" t="s">
        <v>2074</v>
      </c>
      <c r="B603" t="s">
        <v>830</v>
      </c>
    </row>
    <row r="604" spans="1:2" x14ac:dyDescent="0.25">
      <c r="A604" t="s">
        <v>2074</v>
      </c>
      <c r="B604" t="s">
        <v>816</v>
      </c>
    </row>
    <row r="605" spans="1:2" x14ac:dyDescent="0.25">
      <c r="A605" t="s">
        <v>2074</v>
      </c>
      <c r="B605" t="s">
        <v>906</v>
      </c>
    </row>
    <row r="606" spans="1:2" x14ac:dyDescent="0.25">
      <c r="A606" t="s">
        <v>2074</v>
      </c>
      <c r="B606" t="s">
        <v>1593</v>
      </c>
    </row>
    <row r="607" spans="1:2" x14ac:dyDescent="0.25">
      <c r="A607" t="s">
        <v>2074</v>
      </c>
      <c r="B607" t="s">
        <v>263</v>
      </c>
    </row>
    <row r="608" spans="1:2" x14ac:dyDescent="0.25">
      <c r="A608" t="s">
        <v>2074</v>
      </c>
      <c r="B608" t="s">
        <v>264</v>
      </c>
    </row>
    <row r="609" spans="1:2" x14ac:dyDescent="0.25">
      <c r="A609" t="s">
        <v>2074</v>
      </c>
      <c r="B609" t="s">
        <v>578</v>
      </c>
    </row>
    <row r="610" spans="1:2" x14ac:dyDescent="0.25">
      <c r="A610" t="s">
        <v>2074</v>
      </c>
      <c r="B610" t="s">
        <v>1025</v>
      </c>
    </row>
    <row r="611" spans="1:2" x14ac:dyDescent="0.25">
      <c r="A611" t="s">
        <v>2074</v>
      </c>
      <c r="B611" t="s">
        <v>1594</v>
      </c>
    </row>
    <row r="612" spans="1:2" x14ac:dyDescent="0.25">
      <c r="A612" t="s">
        <v>2074</v>
      </c>
      <c r="B612" t="s">
        <v>1270</v>
      </c>
    </row>
    <row r="613" spans="1:2" x14ac:dyDescent="0.25">
      <c r="A613" t="s">
        <v>2074</v>
      </c>
      <c r="B613" t="s">
        <v>1384</v>
      </c>
    </row>
    <row r="614" spans="1:2" x14ac:dyDescent="0.25">
      <c r="A614" t="s">
        <v>2074</v>
      </c>
      <c r="B614" t="s">
        <v>924</v>
      </c>
    </row>
    <row r="615" spans="1:2" x14ac:dyDescent="0.25">
      <c r="A615" t="s">
        <v>2074</v>
      </c>
      <c r="B615" t="s">
        <v>409</v>
      </c>
    </row>
    <row r="616" spans="1:2" x14ac:dyDescent="0.25">
      <c r="A616" t="s">
        <v>2074</v>
      </c>
      <c r="B616" t="s">
        <v>991</v>
      </c>
    </row>
    <row r="617" spans="1:2" x14ac:dyDescent="0.25">
      <c r="A617" t="s">
        <v>2074</v>
      </c>
      <c r="B617" t="s">
        <v>265</v>
      </c>
    </row>
    <row r="618" spans="1:2" x14ac:dyDescent="0.25">
      <c r="A618" t="s">
        <v>2074</v>
      </c>
      <c r="B618" t="s">
        <v>266</v>
      </c>
    </row>
    <row r="619" spans="1:2" x14ac:dyDescent="0.25">
      <c r="A619" t="s">
        <v>2074</v>
      </c>
      <c r="B619" t="s">
        <v>615</v>
      </c>
    </row>
    <row r="620" spans="1:2" x14ac:dyDescent="0.25">
      <c r="A620" t="s">
        <v>2074</v>
      </c>
      <c r="B620" t="s">
        <v>267</v>
      </c>
    </row>
    <row r="621" spans="1:2" x14ac:dyDescent="0.25">
      <c r="A621" t="s">
        <v>2074</v>
      </c>
      <c r="B621" t="s">
        <v>268</v>
      </c>
    </row>
    <row r="622" spans="1:2" x14ac:dyDescent="0.25">
      <c r="A622" t="s">
        <v>2074</v>
      </c>
      <c r="B622" t="s">
        <v>556</v>
      </c>
    </row>
    <row r="623" spans="1:2" x14ac:dyDescent="0.25">
      <c r="A623" t="s">
        <v>2074</v>
      </c>
      <c r="B623" t="s">
        <v>1413</v>
      </c>
    </row>
    <row r="624" spans="1:2" x14ac:dyDescent="0.25">
      <c r="A624" t="s">
        <v>2074</v>
      </c>
      <c r="B624" t="s">
        <v>846</v>
      </c>
    </row>
    <row r="625" spans="1:2" x14ac:dyDescent="0.25">
      <c r="A625" t="s">
        <v>2074</v>
      </c>
      <c r="B625" t="s">
        <v>826</v>
      </c>
    </row>
    <row r="626" spans="1:2" x14ac:dyDescent="0.25">
      <c r="A626" t="s">
        <v>2074</v>
      </c>
      <c r="B626" t="s">
        <v>1168</v>
      </c>
    </row>
    <row r="627" spans="1:2" x14ac:dyDescent="0.25">
      <c r="A627" t="s">
        <v>2074</v>
      </c>
      <c r="B627" t="s">
        <v>1169</v>
      </c>
    </row>
    <row r="628" spans="1:2" x14ac:dyDescent="0.25">
      <c r="A628" t="s">
        <v>2074</v>
      </c>
      <c r="B628" t="s">
        <v>1171</v>
      </c>
    </row>
    <row r="629" spans="1:2" x14ac:dyDescent="0.25">
      <c r="A629" t="s">
        <v>2074</v>
      </c>
      <c r="B629" t="s">
        <v>1173</v>
      </c>
    </row>
    <row r="630" spans="1:2" x14ac:dyDescent="0.25">
      <c r="A630" t="s">
        <v>2074</v>
      </c>
      <c r="B630" t="s">
        <v>1175</v>
      </c>
    </row>
    <row r="631" spans="1:2" x14ac:dyDescent="0.25">
      <c r="A631" t="s">
        <v>2074</v>
      </c>
      <c r="B631" t="s">
        <v>1397</v>
      </c>
    </row>
    <row r="632" spans="1:2" x14ac:dyDescent="0.25">
      <c r="A632" t="s">
        <v>2074</v>
      </c>
      <c r="B632" t="s">
        <v>893</v>
      </c>
    </row>
    <row r="633" spans="1:2" x14ac:dyDescent="0.25">
      <c r="A633" t="s">
        <v>2074</v>
      </c>
      <c r="B633" t="s">
        <v>1396</v>
      </c>
    </row>
    <row r="634" spans="1:2" x14ac:dyDescent="0.25">
      <c r="A634" t="s">
        <v>2074</v>
      </c>
      <c r="B634" t="s">
        <v>269</v>
      </c>
    </row>
    <row r="635" spans="1:2" x14ac:dyDescent="0.25">
      <c r="A635" t="s">
        <v>2074</v>
      </c>
      <c r="B635" t="s">
        <v>270</v>
      </c>
    </row>
    <row r="636" spans="1:2" x14ac:dyDescent="0.25">
      <c r="A636" t="s">
        <v>2074</v>
      </c>
      <c r="B636" t="s">
        <v>690</v>
      </c>
    </row>
    <row r="637" spans="1:2" x14ac:dyDescent="0.25">
      <c r="A637" t="s">
        <v>2074</v>
      </c>
      <c r="B637" t="s">
        <v>271</v>
      </c>
    </row>
    <row r="638" spans="1:2" x14ac:dyDescent="0.25">
      <c r="A638" t="s">
        <v>2074</v>
      </c>
      <c r="B638" t="s">
        <v>549</v>
      </c>
    </row>
    <row r="639" spans="1:2" x14ac:dyDescent="0.25">
      <c r="A639" t="s">
        <v>2074</v>
      </c>
      <c r="B639" t="s">
        <v>392</v>
      </c>
    </row>
    <row r="640" spans="1:2" x14ac:dyDescent="0.25">
      <c r="A640" t="s">
        <v>2074</v>
      </c>
      <c r="B640" t="s">
        <v>1415</v>
      </c>
    </row>
    <row r="641" spans="1:2" x14ac:dyDescent="0.25">
      <c r="A641" t="s">
        <v>2074</v>
      </c>
      <c r="B641" t="s">
        <v>1181</v>
      </c>
    </row>
    <row r="642" spans="1:2" x14ac:dyDescent="0.25">
      <c r="A642" t="s">
        <v>2074</v>
      </c>
      <c r="B642" t="s">
        <v>1182</v>
      </c>
    </row>
    <row r="643" spans="1:2" x14ac:dyDescent="0.25">
      <c r="A643" t="s">
        <v>2074</v>
      </c>
      <c r="B643" t="s">
        <v>1048</v>
      </c>
    </row>
    <row r="644" spans="1:2" x14ac:dyDescent="0.25">
      <c r="A644" t="s">
        <v>2074</v>
      </c>
      <c r="B644" t="s">
        <v>1375</v>
      </c>
    </row>
    <row r="645" spans="1:2" x14ac:dyDescent="0.25">
      <c r="A645" t="s">
        <v>2074</v>
      </c>
      <c r="B645" t="s">
        <v>1374</v>
      </c>
    </row>
    <row r="646" spans="1:2" x14ac:dyDescent="0.25">
      <c r="A646" t="s">
        <v>2074</v>
      </c>
      <c r="B646" t="s">
        <v>1357</v>
      </c>
    </row>
    <row r="647" spans="1:2" x14ac:dyDescent="0.25">
      <c r="A647" t="s">
        <v>2074</v>
      </c>
      <c r="B647" t="s">
        <v>1196</v>
      </c>
    </row>
    <row r="648" spans="1:2" x14ac:dyDescent="0.25">
      <c r="A648" t="s">
        <v>2074</v>
      </c>
      <c r="B648" t="s">
        <v>1595</v>
      </c>
    </row>
    <row r="649" spans="1:2" x14ac:dyDescent="0.25">
      <c r="A649" t="s">
        <v>2074</v>
      </c>
      <c r="B649" t="s">
        <v>1161</v>
      </c>
    </row>
    <row r="650" spans="1:2" x14ac:dyDescent="0.25">
      <c r="A650" t="s">
        <v>2074</v>
      </c>
      <c r="B650" t="s">
        <v>1378</v>
      </c>
    </row>
    <row r="651" spans="1:2" x14ac:dyDescent="0.25">
      <c r="A651" t="s">
        <v>2074</v>
      </c>
      <c r="B651" t="s">
        <v>1379</v>
      </c>
    </row>
    <row r="652" spans="1:2" x14ac:dyDescent="0.25">
      <c r="A652" t="s">
        <v>2074</v>
      </c>
      <c r="B652" t="s">
        <v>407</v>
      </c>
    </row>
    <row r="653" spans="1:2" x14ac:dyDescent="0.25">
      <c r="A653" t="s">
        <v>2074</v>
      </c>
      <c r="B653" t="s">
        <v>986</v>
      </c>
    </row>
    <row r="654" spans="1:2" x14ac:dyDescent="0.25">
      <c r="A654" t="s">
        <v>2074</v>
      </c>
      <c r="B654" t="s">
        <v>1200</v>
      </c>
    </row>
    <row r="655" spans="1:2" x14ac:dyDescent="0.25">
      <c r="A655" t="s">
        <v>2074</v>
      </c>
      <c r="B655" t="s">
        <v>1038</v>
      </c>
    </row>
    <row r="656" spans="1:2" x14ac:dyDescent="0.25">
      <c r="A656" t="s">
        <v>2074</v>
      </c>
      <c r="B656" t="s">
        <v>1202</v>
      </c>
    </row>
    <row r="657" spans="1:2" x14ac:dyDescent="0.25">
      <c r="A657" t="s">
        <v>2074</v>
      </c>
      <c r="B657" t="s">
        <v>1204</v>
      </c>
    </row>
    <row r="658" spans="1:2" x14ac:dyDescent="0.25">
      <c r="A658" t="s">
        <v>2074</v>
      </c>
      <c r="B658" t="s">
        <v>1205</v>
      </c>
    </row>
    <row r="659" spans="1:2" x14ac:dyDescent="0.25">
      <c r="A659" t="s">
        <v>2074</v>
      </c>
      <c r="B659" t="s">
        <v>272</v>
      </c>
    </row>
    <row r="660" spans="1:2" x14ac:dyDescent="0.25">
      <c r="A660" t="s">
        <v>2074</v>
      </c>
      <c r="B660" t="s">
        <v>842</v>
      </c>
    </row>
    <row r="661" spans="1:2" x14ac:dyDescent="0.25">
      <c r="A661" t="s">
        <v>2074</v>
      </c>
      <c r="B661" t="s">
        <v>1359</v>
      </c>
    </row>
    <row r="662" spans="1:2" x14ac:dyDescent="0.25">
      <c r="A662" t="s">
        <v>2074</v>
      </c>
      <c r="B662" t="s">
        <v>1206</v>
      </c>
    </row>
    <row r="663" spans="1:2" x14ac:dyDescent="0.25">
      <c r="A663" t="s">
        <v>2074</v>
      </c>
      <c r="B663" t="s">
        <v>835</v>
      </c>
    </row>
    <row r="664" spans="1:2" x14ac:dyDescent="0.25">
      <c r="A664" t="s">
        <v>2074</v>
      </c>
      <c r="B664" t="s">
        <v>1155</v>
      </c>
    </row>
    <row r="665" spans="1:2" x14ac:dyDescent="0.25">
      <c r="A665" t="s">
        <v>2074</v>
      </c>
      <c r="B665" t="s">
        <v>1216</v>
      </c>
    </row>
    <row r="666" spans="1:2" x14ac:dyDescent="0.25">
      <c r="A666" t="s">
        <v>2074</v>
      </c>
      <c r="B666" t="s">
        <v>273</v>
      </c>
    </row>
    <row r="667" spans="1:2" x14ac:dyDescent="0.25">
      <c r="A667" t="s">
        <v>2074</v>
      </c>
      <c r="B667" t="s">
        <v>274</v>
      </c>
    </row>
    <row r="668" spans="1:2" x14ac:dyDescent="0.25">
      <c r="A668" t="s">
        <v>2074</v>
      </c>
      <c r="B668" t="s">
        <v>551</v>
      </c>
    </row>
    <row r="669" spans="1:2" x14ac:dyDescent="0.25">
      <c r="A669" t="s">
        <v>2074</v>
      </c>
      <c r="B669" t="s">
        <v>903</v>
      </c>
    </row>
    <row r="670" spans="1:2" x14ac:dyDescent="0.25">
      <c r="A670" t="s">
        <v>2074</v>
      </c>
      <c r="B670" t="s">
        <v>1219</v>
      </c>
    </row>
    <row r="671" spans="1:2" x14ac:dyDescent="0.25">
      <c r="A671" t="s">
        <v>2074</v>
      </c>
      <c r="B671" t="s">
        <v>552</v>
      </c>
    </row>
    <row r="672" spans="1:2" x14ac:dyDescent="0.25">
      <c r="A672" t="s">
        <v>2074</v>
      </c>
      <c r="B672" t="s">
        <v>275</v>
      </c>
    </row>
    <row r="673" spans="1:2" x14ac:dyDescent="0.25">
      <c r="A673" t="s">
        <v>2074</v>
      </c>
      <c r="B673" t="s">
        <v>1222</v>
      </c>
    </row>
    <row r="674" spans="1:2" x14ac:dyDescent="0.25">
      <c r="A674" t="s">
        <v>2074</v>
      </c>
      <c r="B674" t="s">
        <v>935</v>
      </c>
    </row>
    <row r="675" spans="1:2" x14ac:dyDescent="0.25">
      <c r="A675" t="s">
        <v>2074</v>
      </c>
      <c r="B675" t="s">
        <v>276</v>
      </c>
    </row>
    <row r="676" spans="1:2" x14ac:dyDescent="0.25">
      <c r="A676" t="s">
        <v>2074</v>
      </c>
      <c r="B676" t="s">
        <v>362</v>
      </c>
    </row>
    <row r="677" spans="1:2" x14ac:dyDescent="0.25">
      <c r="A677" t="s">
        <v>2074</v>
      </c>
      <c r="B677" t="s">
        <v>396</v>
      </c>
    </row>
    <row r="678" spans="1:2" x14ac:dyDescent="0.25">
      <c r="A678" t="s">
        <v>2074</v>
      </c>
      <c r="B678" t="s">
        <v>1227</v>
      </c>
    </row>
    <row r="679" spans="1:2" x14ac:dyDescent="0.25">
      <c r="A679" t="s">
        <v>2074</v>
      </c>
      <c r="B679" t="s">
        <v>1390</v>
      </c>
    </row>
    <row r="680" spans="1:2" x14ac:dyDescent="0.25">
      <c r="A680" t="s">
        <v>2074</v>
      </c>
      <c r="B680" t="s">
        <v>1394</v>
      </c>
    </row>
    <row r="681" spans="1:2" x14ac:dyDescent="0.25">
      <c r="A681" t="s">
        <v>2074</v>
      </c>
      <c r="B681" t="s">
        <v>953</v>
      </c>
    </row>
    <row r="682" spans="1:2" x14ac:dyDescent="0.25">
      <c r="A682" t="s">
        <v>2074</v>
      </c>
      <c r="B682" t="s">
        <v>1232</v>
      </c>
    </row>
    <row r="683" spans="1:2" x14ac:dyDescent="0.25">
      <c r="A683" t="s">
        <v>2074</v>
      </c>
      <c r="B683" t="s">
        <v>1233</v>
      </c>
    </row>
    <row r="684" spans="1:2" x14ac:dyDescent="0.25">
      <c r="A684" t="s">
        <v>2074</v>
      </c>
      <c r="B684" t="s">
        <v>1391</v>
      </c>
    </row>
    <row r="685" spans="1:2" x14ac:dyDescent="0.25">
      <c r="A685" t="s">
        <v>2074</v>
      </c>
      <c r="B685" t="s">
        <v>1392</v>
      </c>
    </row>
    <row r="686" spans="1:2" x14ac:dyDescent="0.25">
      <c r="A686" t="s">
        <v>2074</v>
      </c>
      <c r="B686" t="s">
        <v>941</v>
      </c>
    </row>
    <row r="687" spans="1:2" x14ac:dyDescent="0.25">
      <c r="A687" t="s">
        <v>2074</v>
      </c>
      <c r="B687" t="s">
        <v>1596</v>
      </c>
    </row>
    <row r="688" spans="1:2" x14ac:dyDescent="0.25">
      <c r="A688" t="s">
        <v>2074</v>
      </c>
      <c r="B688" t="s">
        <v>1068</v>
      </c>
    </row>
    <row r="689" spans="1:2" x14ac:dyDescent="0.25">
      <c r="A689" t="s">
        <v>2074</v>
      </c>
      <c r="B689" t="s">
        <v>496</v>
      </c>
    </row>
    <row r="690" spans="1:2" x14ac:dyDescent="0.25">
      <c r="A690" t="s">
        <v>2074</v>
      </c>
      <c r="B690" t="s">
        <v>365</v>
      </c>
    </row>
    <row r="691" spans="1:2" x14ac:dyDescent="0.25">
      <c r="A691" t="s">
        <v>2074</v>
      </c>
      <c r="B691" t="s">
        <v>363</v>
      </c>
    </row>
    <row r="692" spans="1:2" x14ac:dyDescent="0.25">
      <c r="A692" t="s">
        <v>2074</v>
      </c>
      <c r="B692" t="s">
        <v>1380</v>
      </c>
    </row>
    <row r="693" spans="1:2" x14ac:dyDescent="0.25">
      <c r="A693" t="s">
        <v>2074</v>
      </c>
      <c r="B693" t="s">
        <v>1236</v>
      </c>
    </row>
    <row r="694" spans="1:2" x14ac:dyDescent="0.25">
      <c r="A694" t="s">
        <v>2074</v>
      </c>
      <c r="B694" t="s">
        <v>1001</v>
      </c>
    </row>
    <row r="695" spans="1:2" x14ac:dyDescent="0.25">
      <c r="A695" t="s">
        <v>2074</v>
      </c>
      <c r="B695" t="s">
        <v>1045</v>
      </c>
    </row>
    <row r="696" spans="1:2" x14ac:dyDescent="0.25">
      <c r="A696" t="s">
        <v>2074</v>
      </c>
      <c r="B696" t="s">
        <v>277</v>
      </c>
    </row>
    <row r="697" spans="1:2" x14ac:dyDescent="0.25">
      <c r="A697" t="s">
        <v>2074</v>
      </c>
      <c r="B697" t="s">
        <v>942</v>
      </c>
    </row>
    <row r="698" spans="1:2" x14ac:dyDescent="0.25">
      <c r="A698" t="s">
        <v>2074</v>
      </c>
      <c r="B698" t="s">
        <v>1238</v>
      </c>
    </row>
    <row r="699" spans="1:2" x14ac:dyDescent="0.25">
      <c r="A699" t="s">
        <v>2074</v>
      </c>
      <c r="B699" t="s">
        <v>592</v>
      </c>
    </row>
    <row r="700" spans="1:2" x14ac:dyDescent="0.25">
      <c r="A700" t="s">
        <v>2074</v>
      </c>
      <c r="B700" t="s">
        <v>405</v>
      </c>
    </row>
    <row r="701" spans="1:2" x14ac:dyDescent="0.25">
      <c r="A701" t="s">
        <v>2074</v>
      </c>
      <c r="B701" t="s">
        <v>1405</v>
      </c>
    </row>
    <row r="702" spans="1:2" x14ac:dyDescent="0.25">
      <c r="A702" t="s">
        <v>2074</v>
      </c>
      <c r="B702" t="s">
        <v>1162</v>
      </c>
    </row>
    <row r="703" spans="1:2" x14ac:dyDescent="0.25">
      <c r="A703" t="s">
        <v>2074</v>
      </c>
      <c r="B703" t="s">
        <v>646</v>
      </c>
    </row>
    <row r="704" spans="1:2" x14ac:dyDescent="0.25">
      <c r="A704" t="s">
        <v>2074</v>
      </c>
      <c r="B704" t="s">
        <v>278</v>
      </c>
    </row>
    <row r="705" spans="1:2" x14ac:dyDescent="0.25">
      <c r="A705" t="s">
        <v>2074</v>
      </c>
      <c r="B705" t="s">
        <v>1597</v>
      </c>
    </row>
    <row r="706" spans="1:2" x14ac:dyDescent="0.25">
      <c r="A706" t="s">
        <v>2074</v>
      </c>
      <c r="B706" t="s">
        <v>1239</v>
      </c>
    </row>
    <row r="707" spans="1:2" x14ac:dyDescent="0.25">
      <c r="A707" t="s">
        <v>2074</v>
      </c>
      <c r="B707" t="s">
        <v>1393</v>
      </c>
    </row>
    <row r="708" spans="1:2" x14ac:dyDescent="0.25">
      <c r="A708" t="s">
        <v>2074</v>
      </c>
      <c r="B708" t="s">
        <v>1165</v>
      </c>
    </row>
    <row r="709" spans="1:2" x14ac:dyDescent="0.25">
      <c r="A709" t="s">
        <v>2074</v>
      </c>
      <c r="B709" t="s">
        <v>1240</v>
      </c>
    </row>
    <row r="710" spans="1:2" x14ac:dyDescent="0.25">
      <c r="A710" t="s">
        <v>2074</v>
      </c>
      <c r="B710" t="s">
        <v>279</v>
      </c>
    </row>
    <row r="711" spans="1:2" x14ac:dyDescent="0.25">
      <c r="A711" t="s">
        <v>2074</v>
      </c>
      <c r="B711" t="s">
        <v>824</v>
      </c>
    </row>
    <row r="712" spans="1:2" x14ac:dyDescent="0.25">
      <c r="A712" t="s">
        <v>2074</v>
      </c>
      <c r="B712" t="s">
        <v>794</v>
      </c>
    </row>
    <row r="713" spans="1:2" x14ac:dyDescent="0.25">
      <c r="A713" t="s">
        <v>2074</v>
      </c>
      <c r="B713" t="s">
        <v>449</v>
      </c>
    </row>
    <row r="714" spans="1:2" x14ac:dyDescent="0.25">
      <c r="A714" t="s">
        <v>2074</v>
      </c>
      <c r="B714" t="s">
        <v>280</v>
      </c>
    </row>
    <row r="715" spans="1:2" x14ac:dyDescent="0.25">
      <c r="A715" t="s">
        <v>2074</v>
      </c>
      <c r="B715" t="s">
        <v>663</v>
      </c>
    </row>
    <row r="716" spans="1:2" x14ac:dyDescent="0.25">
      <c r="A716" t="s">
        <v>2074</v>
      </c>
      <c r="B716" t="s">
        <v>1166</v>
      </c>
    </row>
    <row r="717" spans="1:2" x14ac:dyDescent="0.25">
      <c r="A717" t="s">
        <v>2074</v>
      </c>
      <c r="B717" t="s">
        <v>994</v>
      </c>
    </row>
    <row r="718" spans="1:2" x14ac:dyDescent="0.25">
      <c r="A718" t="s">
        <v>2074</v>
      </c>
      <c r="B718" t="s">
        <v>800</v>
      </c>
    </row>
    <row r="719" spans="1:2" x14ac:dyDescent="0.25">
      <c r="A719" t="s">
        <v>2074</v>
      </c>
      <c r="B719" t="s">
        <v>939</v>
      </c>
    </row>
    <row r="720" spans="1:2" x14ac:dyDescent="0.25">
      <c r="A720" t="s">
        <v>2074</v>
      </c>
      <c r="B720" t="s">
        <v>1364</v>
      </c>
    </row>
    <row r="721" spans="1:2" x14ac:dyDescent="0.25">
      <c r="A721" t="s">
        <v>2074</v>
      </c>
      <c r="B721" t="s">
        <v>1241</v>
      </c>
    </row>
    <row r="722" spans="1:2" x14ac:dyDescent="0.25">
      <c r="A722" t="s">
        <v>2074</v>
      </c>
      <c r="B722" t="s">
        <v>281</v>
      </c>
    </row>
    <row r="723" spans="1:2" x14ac:dyDescent="0.25">
      <c r="A723" t="s">
        <v>2074</v>
      </c>
      <c r="B723" t="s">
        <v>282</v>
      </c>
    </row>
    <row r="724" spans="1:2" x14ac:dyDescent="0.25">
      <c r="A724" t="s">
        <v>2074</v>
      </c>
      <c r="B724" t="s">
        <v>623</v>
      </c>
    </row>
    <row r="725" spans="1:2" x14ac:dyDescent="0.25">
      <c r="A725" t="s">
        <v>2074</v>
      </c>
      <c r="B725" t="s">
        <v>283</v>
      </c>
    </row>
    <row r="726" spans="1:2" x14ac:dyDescent="0.25">
      <c r="A726" t="s">
        <v>2074</v>
      </c>
      <c r="B726" t="s">
        <v>570</v>
      </c>
    </row>
    <row r="727" spans="1:2" x14ac:dyDescent="0.25">
      <c r="A727" t="s">
        <v>2074</v>
      </c>
      <c r="B727" t="s">
        <v>1430</v>
      </c>
    </row>
    <row r="728" spans="1:2" x14ac:dyDescent="0.25">
      <c r="A728" t="s">
        <v>2074</v>
      </c>
      <c r="B728" t="s">
        <v>952</v>
      </c>
    </row>
    <row r="729" spans="1:2" x14ac:dyDescent="0.25">
      <c r="A729" t="s">
        <v>2074</v>
      </c>
      <c r="B729" t="s">
        <v>1242</v>
      </c>
    </row>
    <row r="730" spans="1:2" x14ac:dyDescent="0.25">
      <c r="A730" t="s">
        <v>2074</v>
      </c>
      <c r="B730" t="s">
        <v>1243</v>
      </c>
    </row>
    <row r="731" spans="1:2" x14ac:dyDescent="0.25">
      <c r="A731" t="s">
        <v>2074</v>
      </c>
      <c r="B731" t="s">
        <v>1244</v>
      </c>
    </row>
    <row r="732" spans="1:2" x14ac:dyDescent="0.25">
      <c r="A732" t="s">
        <v>2074</v>
      </c>
      <c r="B732" t="s">
        <v>1365</v>
      </c>
    </row>
    <row r="733" spans="1:2" x14ac:dyDescent="0.25">
      <c r="A733" t="s">
        <v>2074</v>
      </c>
      <c r="B733" t="s">
        <v>1366</v>
      </c>
    </row>
    <row r="734" spans="1:2" x14ac:dyDescent="0.25">
      <c r="A734" t="s">
        <v>2074</v>
      </c>
      <c r="B734" t="s">
        <v>1367</v>
      </c>
    </row>
    <row r="735" spans="1:2" x14ac:dyDescent="0.25">
      <c r="A735" t="s">
        <v>2074</v>
      </c>
      <c r="B735" t="s">
        <v>1246</v>
      </c>
    </row>
    <row r="736" spans="1:2" x14ac:dyDescent="0.25">
      <c r="A736" t="s">
        <v>2074</v>
      </c>
      <c r="B736" t="s">
        <v>284</v>
      </c>
    </row>
    <row r="737" spans="1:2" x14ac:dyDescent="0.25">
      <c r="A737" t="s">
        <v>2074</v>
      </c>
      <c r="B737" t="s">
        <v>1247</v>
      </c>
    </row>
    <row r="738" spans="1:2" x14ac:dyDescent="0.25">
      <c r="A738" t="s">
        <v>2074</v>
      </c>
      <c r="B738" t="s">
        <v>285</v>
      </c>
    </row>
    <row r="739" spans="1:2" x14ac:dyDescent="0.25">
      <c r="A739" t="s">
        <v>2074</v>
      </c>
      <c r="B739" t="s">
        <v>1248</v>
      </c>
    </row>
    <row r="740" spans="1:2" x14ac:dyDescent="0.25">
      <c r="A740" t="s">
        <v>2074</v>
      </c>
      <c r="B740" t="s">
        <v>1249</v>
      </c>
    </row>
    <row r="741" spans="1:2" x14ac:dyDescent="0.25">
      <c r="A741" t="s">
        <v>2074</v>
      </c>
      <c r="B741" t="s">
        <v>1152</v>
      </c>
    </row>
    <row r="742" spans="1:2" x14ac:dyDescent="0.25">
      <c r="A742" t="s">
        <v>2074</v>
      </c>
      <c r="B742" t="s">
        <v>1334</v>
      </c>
    </row>
    <row r="743" spans="1:2" x14ac:dyDescent="0.25">
      <c r="A743" t="s">
        <v>2074</v>
      </c>
      <c r="B743" t="s">
        <v>1598</v>
      </c>
    </row>
    <row r="744" spans="1:2" x14ac:dyDescent="0.25">
      <c r="A744" t="s">
        <v>2074</v>
      </c>
      <c r="B744" t="s">
        <v>1213</v>
      </c>
    </row>
    <row r="745" spans="1:2" x14ac:dyDescent="0.25">
      <c r="A745" t="s">
        <v>2074</v>
      </c>
      <c r="B745" t="s">
        <v>1419</v>
      </c>
    </row>
    <row r="746" spans="1:2" x14ac:dyDescent="0.25">
      <c r="A746" t="s">
        <v>2074</v>
      </c>
      <c r="B746" t="s">
        <v>286</v>
      </c>
    </row>
    <row r="747" spans="1:2" x14ac:dyDescent="0.25">
      <c r="A747" t="s">
        <v>2074</v>
      </c>
      <c r="B747" t="s">
        <v>577</v>
      </c>
    </row>
    <row r="748" spans="1:2" x14ac:dyDescent="0.25">
      <c r="A748" t="s">
        <v>2074</v>
      </c>
      <c r="B748" t="s">
        <v>1254</v>
      </c>
    </row>
    <row r="749" spans="1:2" x14ac:dyDescent="0.25">
      <c r="A749" t="s">
        <v>2074</v>
      </c>
      <c r="B749" t="s">
        <v>827</v>
      </c>
    </row>
    <row r="750" spans="1:2" x14ac:dyDescent="0.25">
      <c r="A750" t="s">
        <v>2074</v>
      </c>
      <c r="B750" t="s">
        <v>811</v>
      </c>
    </row>
    <row r="751" spans="1:2" x14ac:dyDescent="0.25">
      <c r="A751" t="s">
        <v>2074</v>
      </c>
      <c r="B751" t="s">
        <v>1158</v>
      </c>
    </row>
    <row r="752" spans="1:2" x14ac:dyDescent="0.25">
      <c r="A752" t="s">
        <v>2074</v>
      </c>
      <c r="B752" t="s">
        <v>1382</v>
      </c>
    </row>
    <row r="753" spans="1:2" x14ac:dyDescent="0.25">
      <c r="A753" t="s">
        <v>2074</v>
      </c>
      <c r="B753" t="s">
        <v>1259</v>
      </c>
    </row>
    <row r="754" spans="1:2" x14ac:dyDescent="0.25">
      <c r="A754" t="s">
        <v>2074</v>
      </c>
      <c r="B754" t="s">
        <v>1261</v>
      </c>
    </row>
    <row r="755" spans="1:2" x14ac:dyDescent="0.25">
      <c r="A755" t="s">
        <v>2074</v>
      </c>
      <c r="B755" t="s">
        <v>1263</v>
      </c>
    </row>
    <row r="756" spans="1:2" x14ac:dyDescent="0.25">
      <c r="A756" t="s">
        <v>2074</v>
      </c>
      <c r="B756" t="s">
        <v>882</v>
      </c>
    </row>
    <row r="757" spans="1:2" x14ac:dyDescent="0.25">
      <c r="A757" t="s">
        <v>2074</v>
      </c>
      <c r="B757" t="s">
        <v>1267</v>
      </c>
    </row>
    <row r="758" spans="1:2" x14ac:dyDescent="0.25">
      <c r="A758" t="s">
        <v>2074</v>
      </c>
      <c r="B758" t="s">
        <v>2033</v>
      </c>
    </row>
    <row r="759" spans="1:2" x14ac:dyDescent="0.25">
      <c r="A759" t="s">
        <v>2074</v>
      </c>
      <c r="B759" t="s">
        <v>1268</v>
      </c>
    </row>
    <row r="760" spans="1:2" x14ac:dyDescent="0.25">
      <c r="A760" t="s">
        <v>2074</v>
      </c>
      <c r="B760" t="s">
        <v>766</v>
      </c>
    </row>
    <row r="761" spans="1:2" x14ac:dyDescent="0.25">
      <c r="A761" t="s">
        <v>2074</v>
      </c>
      <c r="B761" t="s">
        <v>1426</v>
      </c>
    </row>
    <row r="762" spans="1:2" x14ac:dyDescent="0.25">
      <c r="A762" t="s">
        <v>2074</v>
      </c>
      <c r="B762" t="s">
        <v>1269</v>
      </c>
    </row>
    <row r="763" spans="1:2" x14ac:dyDescent="0.25">
      <c r="A763" t="s">
        <v>2074</v>
      </c>
      <c r="B763" t="s">
        <v>287</v>
      </c>
    </row>
    <row r="764" spans="1:2" x14ac:dyDescent="0.25">
      <c r="A764" t="s">
        <v>2074</v>
      </c>
      <c r="B764" t="s">
        <v>1148</v>
      </c>
    </row>
    <row r="765" spans="1:2" x14ac:dyDescent="0.25">
      <c r="A765" t="s">
        <v>2074</v>
      </c>
      <c r="B765" t="s">
        <v>808</v>
      </c>
    </row>
    <row r="766" spans="1:2" x14ac:dyDescent="0.25">
      <c r="A766" t="s">
        <v>2074</v>
      </c>
      <c r="B766" t="s">
        <v>288</v>
      </c>
    </row>
    <row r="767" spans="1:2" x14ac:dyDescent="0.25">
      <c r="A767" t="s">
        <v>2074</v>
      </c>
      <c r="B767" t="s">
        <v>289</v>
      </c>
    </row>
    <row r="768" spans="1:2" x14ac:dyDescent="0.25">
      <c r="A768" t="s">
        <v>2074</v>
      </c>
      <c r="B768" t="s">
        <v>799</v>
      </c>
    </row>
    <row r="769" spans="1:2" x14ac:dyDescent="0.25">
      <c r="A769" t="s">
        <v>2074</v>
      </c>
      <c r="B769" t="s">
        <v>1032</v>
      </c>
    </row>
    <row r="770" spans="1:2" x14ac:dyDescent="0.25">
      <c r="A770" t="s">
        <v>2074</v>
      </c>
      <c r="B770" t="s">
        <v>1264</v>
      </c>
    </row>
    <row r="771" spans="1:2" x14ac:dyDescent="0.25">
      <c r="A771" t="s">
        <v>2074</v>
      </c>
      <c r="B771" t="s">
        <v>1273</v>
      </c>
    </row>
    <row r="772" spans="1:2" x14ac:dyDescent="0.25">
      <c r="A772" t="s">
        <v>2074</v>
      </c>
      <c r="B772" t="s">
        <v>921</v>
      </c>
    </row>
    <row r="773" spans="1:2" x14ac:dyDescent="0.25">
      <c r="A773" t="s">
        <v>2074</v>
      </c>
      <c r="B773" t="s">
        <v>698</v>
      </c>
    </row>
    <row r="774" spans="1:2" x14ac:dyDescent="0.25">
      <c r="A774" t="s">
        <v>2074</v>
      </c>
      <c r="B774" t="s">
        <v>1599</v>
      </c>
    </row>
    <row r="775" spans="1:2" x14ac:dyDescent="0.25">
      <c r="A775" t="s">
        <v>2074</v>
      </c>
      <c r="B775" t="s">
        <v>1684</v>
      </c>
    </row>
    <row r="776" spans="1:2" x14ac:dyDescent="0.25">
      <c r="A776" t="s">
        <v>2074</v>
      </c>
      <c r="B776" t="s">
        <v>1037</v>
      </c>
    </row>
    <row r="777" spans="1:2" x14ac:dyDescent="0.25">
      <c r="A777" t="s">
        <v>2074</v>
      </c>
      <c r="B777" t="s">
        <v>1288</v>
      </c>
    </row>
    <row r="778" spans="1:2" x14ac:dyDescent="0.25">
      <c r="A778" t="s">
        <v>2074</v>
      </c>
      <c r="B778" t="s">
        <v>1692</v>
      </c>
    </row>
    <row r="779" spans="1:2" x14ac:dyDescent="0.25">
      <c r="A779" t="s">
        <v>2074</v>
      </c>
      <c r="B779" t="s">
        <v>1298</v>
      </c>
    </row>
    <row r="780" spans="1:2" x14ac:dyDescent="0.25">
      <c r="A780" t="s">
        <v>2074</v>
      </c>
      <c r="B780" t="s">
        <v>809</v>
      </c>
    </row>
    <row r="781" spans="1:2" x14ac:dyDescent="0.25">
      <c r="A781" t="s">
        <v>2074</v>
      </c>
      <c r="B781" t="s">
        <v>1301</v>
      </c>
    </row>
    <row r="782" spans="1:2" x14ac:dyDescent="0.25">
      <c r="A782" t="s">
        <v>2074</v>
      </c>
      <c r="B782" t="s">
        <v>866</v>
      </c>
    </row>
    <row r="783" spans="1:2" x14ac:dyDescent="0.25">
      <c r="A783" t="s">
        <v>2074</v>
      </c>
      <c r="B783" t="s">
        <v>1600</v>
      </c>
    </row>
    <row r="784" spans="1:2" x14ac:dyDescent="0.25">
      <c r="A784" t="s">
        <v>2074</v>
      </c>
      <c r="B784" t="s">
        <v>787</v>
      </c>
    </row>
    <row r="785" spans="1:2" x14ac:dyDescent="0.25">
      <c r="A785" t="s">
        <v>2074</v>
      </c>
      <c r="B785" t="s">
        <v>1031</v>
      </c>
    </row>
    <row r="786" spans="1:2" x14ac:dyDescent="0.25">
      <c r="A786" t="s">
        <v>2074</v>
      </c>
      <c r="B786" t="s">
        <v>788</v>
      </c>
    </row>
    <row r="787" spans="1:2" x14ac:dyDescent="0.25">
      <c r="A787" t="s">
        <v>2074</v>
      </c>
      <c r="B787" t="s">
        <v>214</v>
      </c>
    </row>
    <row r="788" spans="1:2" x14ac:dyDescent="0.25">
      <c r="A788" t="s">
        <v>2074</v>
      </c>
      <c r="B788" t="s">
        <v>1124</v>
      </c>
    </row>
    <row r="789" spans="1:2" x14ac:dyDescent="0.25">
      <c r="A789" t="s">
        <v>2074</v>
      </c>
      <c r="B789" t="s">
        <v>1122</v>
      </c>
    </row>
    <row r="790" spans="1:2" x14ac:dyDescent="0.25">
      <c r="A790" t="s">
        <v>2074</v>
      </c>
      <c r="B790" t="s">
        <v>1123</v>
      </c>
    </row>
    <row r="791" spans="1:2" x14ac:dyDescent="0.25">
      <c r="A791" t="s">
        <v>2074</v>
      </c>
      <c r="B791" t="s">
        <v>1125</v>
      </c>
    </row>
    <row r="792" spans="1:2" x14ac:dyDescent="0.25">
      <c r="A792" t="s">
        <v>2074</v>
      </c>
      <c r="B792" t="s">
        <v>913</v>
      </c>
    </row>
    <row r="793" spans="1:2" x14ac:dyDescent="0.25">
      <c r="A793" t="s">
        <v>2074</v>
      </c>
      <c r="B793" t="s">
        <v>676</v>
      </c>
    </row>
    <row r="794" spans="1:2" x14ac:dyDescent="0.25">
      <c r="A794" t="s">
        <v>2074</v>
      </c>
      <c r="B794" t="s">
        <v>907</v>
      </c>
    </row>
    <row r="795" spans="1:2" x14ac:dyDescent="0.25">
      <c r="A795" t="s">
        <v>2074</v>
      </c>
      <c r="B795" t="s">
        <v>2081</v>
      </c>
    </row>
    <row r="796" spans="1:2" x14ac:dyDescent="0.25">
      <c r="A796" t="s">
        <v>2074</v>
      </c>
      <c r="B796" t="s">
        <v>1302</v>
      </c>
    </row>
    <row r="797" spans="1:2" x14ac:dyDescent="0.25">
      <c r="A797" t="s">
        <v>2074</v>
      </c>
      <c r="B797" t="s">
        <v>795</v>
      </c>
    </row>
    <row r="798" spans="1:2" x14ac:dyDescent="0.25">
      <c r="A798" t="s">
        <v>2074</v>
      </c>
      <c r="B798" t="s">
        <v>1445</v>
      </c>
    </row>
    <row r="799" spans="1:2" x14ac:dyDescent="0.25">
      <c r="A799" t="s">
        <v>2074</v>
      </c>
      <c r="B799" t="s">
        <v>1077</v>
      </c>
    </row>
    <row r="800" spans="1:2" x14ac:dyDescent="0.25">
      <c r="A800" t="s">
        <v>2074</v>
      </c>
      <c r="B800" t="s">
        <v>2082</v>
      </c>
    </row>
    <row r="801" spans="1:2" x14ac:dyDescent="0.25">
      <c r="A801" t="s">
        <v>2074</v>
      </c>
      <c r="B801" t="s">
        <v>1601</v>
      </c>
    </row>
    <row r="802" spans="1:2" x14ac:dyDescent="0.25">
      <c r="A802" t="s">
        <v>2074</v>
      </c>
      <c r="B802" t="s">
        <v>1303</v>
      </c>
    </row>
    <row r="803" spans="1:2" x14ac:dyDescent="0.25">
      <c r="A803" t="s">
        <v>2074</v>
      </c>
      <c r="B803" t="s">
        <v>875</v>
      </c>
    </row>
    <row r="804" spans="1:2" x14ac:dyDescent="0.25">
      <c r="A804" t="s">
        <v>2074</v>
      </c>
      <c r="B804" t="s">
        <v>545</v>
      </c>
    </row>
    <row r="805" spans="1:2" x14ac:dyDescent="0.25">
      <c r="A805" t="s">
        <v>2074</v>
      </c>
      <c r="B805" t="s">
        <v>1432</v>
      </c>
    </row>
    <row r="806" spans="1:2" x14ac:dyDescent="0.25">
      <c r="A806" t="s">
        <v>2074</v>
      </c>
      <c r="B806" t="s">
        <v>1602</v>
      </c>
    </row>
    <row r="807" spans="1:2" x14ac:dyDescent="0.25">
      <c r="A807" t="s">
        <v>2074</v>
      </c>
      <c r="B807" t="s">
        <v>1603</v>
      </c>
    </row>
    <row r="808" spans="1:2" x14ac:dyDescent="0.25">
      <c r="A808" t="s">
        <v>2074</v>
      </c>
      <c r="B808" t="s">
        <v>1604</v>
      </c>
    </row>
    <row r="809" spans="1:2" x14ac:dyDescent="0.25">
      <c r="A809" t="s">
        <v>2074</v>
      </c>
      <c r="B809" t="s">
        <v>1371</v>
      </c>
    </row>
    <row r="810" spans="1:2" x14ac:dyDescent="0.25">
      <c r="A810" t="s">
        <v>2074</v>
      </c>
      <c r="B810" t="s">
        <v>877</v>
      </c>
    </row>
    <row r="811" spans="1:2" x14ac:dyDescent="0.25">
      <c r="A811" t="s">
        <v>2074</v>
      </c>
      <c r="B811" t="s">
        <v>1312</v>
      </c>
    </row>
    <row r="812" spans="1:2" x14ac:dyDescent="0.25">
      <c r="A812" t="s">
        <v>2074</v>
      </c>
      <c r="B812" t="s">
        <v>1314</v>
      </c>
    </row>
    <row r="813" spans="1:2" x14ac:dyDescent="0.25">
      <c r="A813" t="s">
        <v>2074</v>
      </c>
      <c r="B813" t="s">
        <v>862</v>
      </c>
    </row>
    <row r="814" spans="1:2" x14ac:dyDescent="0.25">
      <c r="A814" t="s">
        <v>2074</v>
      </c>
      <c r="B814" t="s">
        <v>932</v>
      </c>
    </row>
    <row r="815" spans="1:2" x14ac:dyDescent="0.25">
      <c r="A815" t="s">
        <v>2074</v>
      </c>
      <c r="B815" t="s">
        <v>1126</v>
      </c>
    </row>
    <row r="816" spans="1:2" x14ac:dyDescent="0.25">
      <c r="A816" t="s">
        <v>2074</v>
      </c>
      <c r="B816" t="s">
        <v>1127</v>
      </c>
    </row>
    <row r="817" spans="1:2" x14ac:dyDescent="0.25">
      <c r="A817" t="s">
        <v>2074</v>
      </c>
      <c r="B817" t="s">
        <v>926</v>
      </c>
    </row>
    <row r="818" spans="1:2" x14ac:dyDescent="0.25">
      <c r="A818" t="s">
        <v>2074</v>
      </c>
      <c r="B818" t="s">
        <v>561</v>
      </c>
    </row>
    <row r="819" spans="1:2" x14ac:dyDescent="0.25">
      <c r="A819" t="s">
        <v>2074</v>
      </c>
      <c r="B819" t="s">
        <v>925</v>
      </c>
    </row>
    <row r="820" spans="1:2" x14ac:dyDescent="0.25">
      <c r="A820" t="s">
        <v>2074</v>
      </c>
      <c r="B820" t="s">
        <v>927</v>
      </c>
    </row>
    <row r="821" spans="1:2" x14ac:dyDescent="0.25">
      <c r="A821" t="s">
        <v>2074</v>
      </c>
      <c r="B821" t="s">
        <v>569</v>
      </c>
    </row>
    <row r="822" spans="1:2" x14ac:dyDescent="0.25">
      <c r="A822" t="s">
        <v>2074</v>
      </c>
      <c r="B822" t="s">
        <v>889</v>
      </c>
    </row>
    <row r="823" spans="1:2" x14ac:dyDescent="0.25">
      <c r="A823" t="s">
        <v>2074</v>
      </c>
      <c r="B823" t="s">
        <v>1605</v>
      </c>
    </row>
    <row r="824" spans="1:2" x14ac:dyDescent="0.25">
      <c r="A824" t="s">
        <v>2074</v>
      </c>
      <c r="B824" t="s">
        <v>543</v>
      </c>
    </row>
    <row r="825" spans="1:2" x14ac:dyDescent="0.25">
      <c r="A825" t="s">
        <v>2074</v>
      </c>
      <c r="B825" t="s">
        <v>1150</v>
      </c>
    </row>
    <row r="826" spans="1:2" x14ac:dyDescent="0.25">
      <c r="A826" t="s">
        <v>2074</v>
      </c>
      <c r="B826" t="s">
        <v>292</v>
      </c>
    </row>
    <row r="827" spans="1:2" x14ac:dyDescent="0.25">
      <c r="A827" t="s">
        <v>2074</v>
      </c>
      <c r="B827" t="s">
        <v>1606</v>
      </c>
    </row>
    <row r="828" spans="1:2" x14ac:dyDescent="0.25">
      <c r="A828" t="s">
        <v>2074</v>
      </c>
      <c r="B828" t="s">
        <v>600</v>
      </c>
    </row>
    <row r="829" spans="1:2" x14ac:dyDescent="0.25">
      <c r="A829" t="s">
        <v>2074</v>
      </c>
      <c r="B829" t="s">
        <v>674</v>
      </c>
    </row>
    <row r="830" spans="1:2" x14ac:dyDescent="0.25">
      <c r="A830" t="s">
        <v>2074</v>
      </c>
      <c r="B830" t="s">
        <v>1690</v>
      </c>
    </row>
    <row r="831" spans="1:2" x14ac:dyDescent="0.25">
      <c r="A831" t="s">
        <v>2074</v>
      </c>
      <c r="B831" t="s">
        <v>584</v>
      </c>
    </row>
    <row r="832" spans="1:2" x14ac:dyDescent="0.25">
      <c r="A832" t="s">
        <v>2074</v>
      </c>
      <c r="B832" t="s">
        <v>1607</v>
      </c>
    </row>
    <row r="833" spans="1:2" x14ac:dyDescent="0.25">
      <c r="A833" t="s">
        <v>2074</v>
      </c>
      <c r="B833" t="s">
        <v>673</v>
      </c>
    </row>
    <row r="834" spans="1:2" x14ac:dyDescent="0.25">
      <c r="A834" t="s">
        <v>2074</v>
      </c>
      <c r="B834" t="s">
        <v>1608</v>
      </c>
    </row>
    <row r="835" spans="1:2" x14ac:dyDescent="0.25">
      <c r="A835" t="s">
        <v>2074</v>
      </c>
      <c r="B835" t="s">
        <v>1317</v>
      </c>
    </row>
    <row r="836" spans="1:2" x14ac:dyDescent="0.25">
      <c r="A836" t="s">
        <v>2074</v>
      </c>
      <c r="B836" t="s">
        <v>1320</v>
      </c>
    </row>
    <row r="837" spans="1:2" x14ac:dyDescent="0.25">
      <c r="A837" t="s">
        <v>2074</v>
      </c>
      <c r="B837" t="s">
        <v>867</v>
      </c>
    </row>
    <row r="838" spans="1:2" x14ac:dyDescent="0.25">
      <c r="A838" t="s">
        <v>2074</v>
      </c>
      <c r="B838" t="s">
        <v>879</v>
      </c>
    </row>
    <row r="839" spans="1:2" x14ac:dyDescent="0.25">
      <c r="A839" t="s">
        <v>2074</v>
      </c>
      <c r="B839" t="s">
        <v>1324</v>
      </c>
    </row>
    <row r="840" spans="1:2" x14ac:dyDescent="0.25">
      <c r="A840" t="s">
        <v>2074</v>
      </c>
      <c r="B840" t="s">
        <v>1326</v>
      </c>
    </row>
    <row r="841" spans="1:2" x14ac:dyDescent="0.25">
      <c r="A841" t="s">
        <v>2074</v>
      </c>
      <c r="B841" t="s">
        <v>1226</v>
      </c>
    </row>
    <row r="842" spans="1:2" x14ac:dyDescent="0.25">
      <c r="A842" t="s">
        <v>2074</v>
      </c>
      <c r="B842" t="s">
        <v>1082</v>
      </c>
    </row>
    <row r="843" spans="1:2" x14ac:dyDescent="0.25">
      <c r="A843" t="s">
        <v>2074</v>
      </c>
      <c r="B843" t="s">
        <v>876</v>
      </c>
    </row>
    <row r="844" spans="1:2" x14ac:dyDescent="0.25">
      <c r="A844" t="s">
        <v>2074</v>
      </c>
      <c r="B844" t="s">
        <v>1331</v>
      </c>
    </row>
    <row r="845" spans="1:2" x14ac:dyDescent="0.25">
      <c r="A845" t="s">
        <v>2074</v>
      </c>
      <c r="B845" t="s">
        <v>530</v>
      </c>
    </row>
    <row r="846" spans="1:2" x14ac:dyDescent="0.25">
      <c r="A846" t="s">
        <v>2074</v>
      </c>
      <c r="B846" t="s">
        <v>544</v>
      </c>
    </row>
    <row r="847" spans="1:2" x14ac:dyDescent="0.25">
      <c r="A847" t="s">
        <v>2074</v>
      </c>
      <c r="B847" t="s">
        <v>1609</v>
      </c>
    </row>
    <row r="848" spans="1:2" x14ac:dyDescent="0.25">
      <c r="A848" t="s">
        <v>2074</v>
      </c>
      <c r="B848" t="s">
        <v>1610</v>
      </c>
    </row>
    <row r="849" spans="1:2" x14ac:dyDescent="0.25">
      <c r="A849" t="s">
        <v>2074</v>
      </c>
      <c r="B849" t="s">
        <v>1611</v>
      </c>
    </row>
    <row r="850" spans="1:2" x14ac:dyDescent="0.25">
      <c r="A850" t="s">
        <v>2074</v>
      </c>
      <c r="B850" t="s">
        <v>1016</v>
      </c>
    </row>
    <row r="851" spans="1:2" x14ac:dyDescent="0.25">
      <c r="A851" t="s">
        <v>2074</v>
      </c>
      <c r="B851" t="s">
        <v>1612</v>
      </c>
    </row>
    <row r="852" spans="1:2" x14ac:dyDescent="0.25">
      <c r="A852" t="s">
        <v>2074</v>
      </c>
      <c r="B852" t="s">
        <v>1336</v>
      </c>
    </row>
    <row r="853" spans="1:2" x14ac:dyDescent="0.25">
      <c r="A853" t="s">
        <v>2074</v>
      </c>
      <c r="B853" t="s">
        <v>293</v>
      </c>
    </row>
    <row r="854" spans="1:2" x14ac:dyDescent="0.25">
      <c r="A854" t="s">
        <v>2074</v>
      </c>
      <c r="B854" t="s">
        <v>1061</v>
      </c>
    </row>
    <row r="855" spans="1:2" x14ac:dyDescent="0.25">
      <c r="A855" t="s">
        <v>2074</v>
      </c>
      <c r="B855" t="s">
        <v>1335</v>
      </c>
    </row>
    <row r="856" spans="1:2" x14ac:dyDescent="0.25">
      <c r="A856" t="s">
        <v>2074</v>
      </c>
      <c r="B856" t="s">
        <v>1338</v>
      </c>
    </row>
    <row r="857" spans="1:2" x14ac:dyDescent="0.25">
      <c r="A857" t="s">
        <v>2074</v>
      </c>
      <c r="B857" t="s">
        <v>1339</v>
      </c>
    </row>
    <row r="858" spans="1:2" x14ac:dyDescent="0.25">
      <c r="A858" t="s">
        <v>2074</v>
      </c>
      <c r="B858" t="s">
        <v>1431</v>
      </c>
    </row>
    <row r="859" spans="1:2" x14ac:dyDescent="0.25">
      <c r="A859" t="s">
        <v>2074</v>
      </c>
      <c r="B859" t="s">
        <v>1425</v>
      </c>
    </row>
    <row r="860" spans="1:2" x14ac:dyDescent="0.25">
      <c r="A860" t="s">
        <v>2074</v>
      </c>
      <c r="B860" t="s">
        <v>1076</v>
      </c>
    </row>
    <row r="861" spans="1:2" x14ac:dyDescent="0.25">
      <c r="A861" t="s">
        <v>2074</v>
      </c>
      <c r="B861" t="s">
        <v>1613</v>
      </c>
    </row>
    <row r="862" spans="1:2" x14ac:dyDescent="0.25">
      <c r="A862" t="s">
        <v>2074</v>
      </c>
      <c r="B862" t="s">
        <v>1341</v>
      </c>
    </row>
    <row r="863" spans="1:2" x14ac:dyDescent="0.25">
      <c r="A863" t="s">
        <v>2074</v>
      </c>
      <c r="B863" t="s">
        <v>951</v>
      </c>
    </row>
    <row r="864" spans="1:2" x14ac:dyDescent="0.25">
      <c r="A864" t="s">
        <v>2074</v>
      </c>
      <c r="B864" t="s">
        <v>1342</v>
      </c>
    </row>
    <row r="865" spans="1:2" x14ac:dyDescent="0.25">
      <c r="A865" t="s">
        <v>2074</v>
      </c>
      <c r="B865" t="s">
        <v>1017</v>
      </c>
    </row>
    <row r="866" spans="1:2" x14ac:dyDescent="0.25">
      <c r="A866" t="s">
        <v>2074</v>
      </c>
      <c r="B866" t="s">
        <v>849</v>
      </c>
    </row>
    <row r="867" spans="1:2" x14ac:dyDescent="0.25">
      <c r="A867" t="s">
        <v>2074</v>
      </c>
      <c r="B867" t="s">
        <v>294</v>
      </c>
    </row>
    <row r="868" spans="1:2" x14ac:dyDescent="0.25">
      <c r="A868" t="s">
        <v>2074</v>
      </c>
      <c r="B868" t="s">
        <v>1014</v>
      </c>
    </row>
    <row r="869" spans="1:2" x14ac:dyDescent="0.25">
      <c r="A869" t="s">
        <v>2074</v>
      </c>
      <c r="B869" t="s">
        <v>1614</v>
      </c>
    </row>
    <row r="870" spans="1:2" x14ac:dyDescent="0.25">
      <c r="A870" t="s">
        <v>2074</v>
      </c>
      <c r="B870" t="s">
        <v>1059</v>
      </c>
    </row>
    <row r="871" spans="1:2" x14ac:dyDescent="0.25">
      <c r="A871" t="s">
        <v>2074</v>
      </c>
      <c r="B871" t="s">
        <v>864</v>
      </c>
    </row>
    <row r="872" spans="1:2" x14ac:dyDescent="0.25">
      <c r="A872" t="s">
        <v>2074</v>
      </c>
      <c r="B872" t="s">
        <v>439</v>
      </c>
    </row>
    <row r="873" spans="1:2" x14ac:dyDescent="0.25">
      <c r="A873" t="s">
        <v>2074</v>
      </c>
      <c r="B873" t="s">
        <v>299</v>
      </c>
    </row>
    <row r="874" spans="1:2" x14ac:dyDescent="0.25">
      <c r="A874" t="s">
        <v>2074</v>
      </c>
      <c r="B874" t="s">
        <v>300</v>
      </c>
    </row>
    <row r="875" spans="1:2" x14ac:dyDescent="0.25">
      <c r="A875" t="s">
        <v>2074</v>
      </c>
      <c r="B875" t="s">
        <v>685</v>
      </c>
    </row>
    <row r="876" spans="1:2" x14ac:dyDescent="0.25">
      <c r="A876" t="s">
        <v>2074</v>
      </c>
      <c r="B876" t="s">
        <v>603</v>
      </c>
    </row>
    <row r="877" spans="1:2" x14ac:dyDescent="0.25">
      <c r="A877" t="s">
        <v>2074</v>
      </c>
      <c r="B877" t="s">
        <v>641</v>
      </c>
    </row>
    <row r="878" spans="1:2" x14ac:dyDescent="0.25">
      <c r="A878" t="s">
        <v>2074</v>
      </c>
      <c r="B878" t="s">
        <v>301</v>
      </c>
    </row>
    <row r="879" spans="1:2" x14ac:dyDescent="0.25">
      <c r="A879" t="s">
        <v>2074</v>
      </c>
      <c r="B879" t="s">
        <v>441</v>
      </c>
    </row>
    <row r="880" spans="1:2" x14ac:dyDescent="0.25">
      <c r="A880" t="s">
        <v>2074</v>
      </c>
      <c r="B880" t="s">
        <v>634</v>
      </c>
    </row>
    <row r="881" spans="1:2" x14ac:dyDescent="0.25">
      <c r="A881" t="s">
        <v>2074</v>
      </c>
      <c r="B881" t="s">
        <v>671</v>
      </c>
    </row>
    <row r="882" spans="1:2" x14ac:dyDescent="0.25">
      <c r="A882" t="s">
        <v>2074</v>
      </c>
      <c r="B882" t="s">
        <v>2083</v>
      </c>
    </row>
    <row r="883" spans="1:2" x14ac:dyDescent="0.25">
      <c r="A883" t="s">
        <v>2074</v>
      </c>
      <c r="B883" t="s">
        <v>1141</v>
      </c>
    </row>
    <row r="884" spans="1:2" x14ac:dyDescent="0.25">
      <c r="A884" t="s">
        <v>2074</v>
      </c>
      <c r="B884" t="s">
        <v>391</v>
      </c>
    </row>
    <row r="885" spans="1:2" x14ac:dyDescent="0.25">
      <c r="A885" t="s">
        <v>2074</v>
      </c>
      <c r="B885" t="s">
        <v>1151</v>
      </c>
    </row>
    <row r="886" spans="1:2" x14ac:dyDescent="0.25">
      <c r="A886" t="s">
        <v>2074</v>
      </c>
      <c r="B886" t="s">
        <v>1118</v>
      </c>
    </row>
    <row r="887" spans="1:2" x14ac:dyDescent="0.25">
      <c r="A887" t="s">
        <v>2074</v>
      </c>
      <c r="B887" t="s">
        <v>571</v>
      </c>
    </row>
    <row r="888" spans="1:2" x14ac:dyDescent="0.25">
      <c r="A888" t="s">
        <v>2074</v>
      </c>
      <c r="B888" t="s">
        <v>563</v>
      </c>
    </row>
    <row r="889" spans="1:2" x14ac:dyDescent="0.25">
      <c r="A889" t="s">
        <v>2074</v>
      </c>
      <c r="B889" t="s">
        <v>1615</v>
      </c>
    </row>
    <row r="890" spans="1:2" x14ac:dyDescent="0.25">
      <c r="A890" t="s">
        <v>2074</v>
      </c>
      <c r="B890" t="s">
        <v>1132</v>
      </c>
    </row>
    <row r="891" spans="1:2" x14ac:dyDescent="0.25">
      <c r="A891" t="s">
        <v>2074</v>
      </c>
      <c r="B891" t="s">
        <v>302</v>
      </c>
    </row>
    <row r="892" spans="1:2" x14ac:dyDescent="0.25">
      <c r="A892" t="s">
        <v>2074</v>
      </c>
      <c r="B892" t="s">
        <v>303</v>
      </c>
    </row>
    <row r="893" spans="1:2" x14ac:dyDescent="0.25">
      <c r="A893" t="s">
        <v>2074</v>
      </c>
      <c r="B893" t="s">
        <v>512</v>
      </c>
    </row>
    <row r="894" spans="1:2" x14ac:dyDescent="0.25">
      <c r="A894" t="s">
        <v>2074</v>
      </c>
      <c r="B894" t="s">
        <v>682</v>
      </c>
    </row>
    <row r="895" spans="1:2" x14ac:dyDescent="0.25">
      <c r="A895" t="s">
        <v>2074</v>
      </c>
      <c r="B895" t="s">
        <v>1616</v>
      </c>
    </row>
    <row r="896" spans="1:2" x14ac:dyDescent="0.25">
      <c r="A896" t="s">
        <v>2074</v>
      </c>
      <c r="B896" t="s">
        <v>1617</v>
      </c>
    </row>
    <row r="897" spans="1:2" x14ac:dyDescent="0.25">
      <c r="A897" t="s">
        <v>2074</v>
      </c>
      <c r="B897" t="s">
        <v>1211</v>
      </c>
    </row>
    <row r="898" spans="1:2" x14ac:dyDescent="0.25">
      <c r="A898" t="s">
        <v>2074</v>
      </c>
      <c r="B898" t="s">
        <v>789</v>
      </c>
    </row>
    <row r="899" spans="1:2" x14ac:dyDescent="0.25">
      <c r="A899" t="s">
        <v>2074</v>
      </c>
      <c r="B899" t="s">
        <v>1345</v>
      </c>
    </row>
    <row r="900" spans="1:2" x14ac:dyDescent="0.25">
      <c r="A900" t="s">
        <v>2074</v>
      </c>
      <c r="B900" t="s">
        <v>770</v>
      </c>
    </row>
    <row r="901" spans="1:2" x14ac:dyDescent="0.25">
      <c r="A901" t="s">
        <v>2074</v>
      </c>
      <c r="B901" t="s">
        <v>1346</v>
      </c>
    </row>
    <row r="902" spans="1:2" x14ac:dyDescent="0.25">
      <c r="A902" t="s">
        <v>2074</v>
      </c>
      <c r="B902" t="s">
        <v>771</v>
      </c>
    </row>
    <row r="903" spans="1:2" x14ac:dyDescent="0.25">
      <c r="A903" t="s">
        <v>2074</v>
      </c>
      <c r="B903" t="s">
        <v>1348</v>
      </c>
    </row>
    <row r="904" spans="1:2" x14ac:dyDescent="0.25">
      <c r="A904" t="s">
        <v>2074</v>
      </c>
      <c r="B904" t="s">
        <v>792</v>
      </c>
    </row>
    <row r="905" spans="1:2" x14ac:dyDescent="0.25">
      <c r="A905" t="s">
        <v>2074</v>
      </c>
      <c r="B905" t="s">
        <v>807</v>
      </c>
    </row>
    <row r="906" spans="1:2" x14ac:dyDescent="0.25">
      <c r="A906" t="s">
        <v>2074</v>
      </c>
      <c r="B906" t="s">
        <v>821</v>
      </c>
    </row>
    <row r="907" spans="1:2" x14ac:dyDescent="0.25">
      <c r="A907" t="s">
        <v>2074</v>
      </c>
      <c r="B907" t="s">
        <v>840</v>
      </c>
    </row>
    <row r="908" spans="1:2" x14ac:dyDescent="0.25">
      <c r="A908" t="s">
        <v>2074</v>
      </c>
      <c r="B908" t="s">
        <v>666</v>
      </c>
    </row>
    <row r="909" spans="1:2" x14ac:dyDescent="0.25">
      <c r="A909" t="s">
        <v>2074</v>
      </c>
      <c r="B909" t="s">
        <v>1443</v>
      </c>
    </row>
    <row r="910" spans="1:2" x14ac:dyDescent="0.25">
      <c r="A910" t="s">
        <v>2074</v>
      </c>
      <c r="B910" t="s">
        <v>1028</v>
      </c>
    </row>
    <row r="911" spans="1:2" x14ac:dyDescent="0.25">
      <c r="A911" t="s">
        <v>2074</v>
      </c>
      <c r="B911" t="s">
        <v>1042</v>
      </c>
    </row>
    <row r="912" spans="1:2" x14ac:dyDescent="0.25">
      <c r="A912" t="s">
        <v>2074</v>
      </c>
      <c r="B912" t="s">
        <v>2084</v>
      </c>
    </row>
    <row r="913" spans="1:2" x14ac:dyDescent="0.25">
      <c r="A913" t="s">
        <v>2074</v>
      </c>
      <c r="B913" t="s">
        <v>443</v>
      </c>
    </row>
    <row r="914" spans="1:2" x14ac:dyDescent="0.25">
      <c r="A914" t="s">
        <v>2074</v>
      </c>
      <c r="B914" t="s">
        <v>304</v>
      </c>
    </row>
    <row r="915" spans="1:2" x14ac:dyDescent="0.25">
      <c r="A915" t="s">
        <v>2074</v>
      </c>
      <c r="B915" t="s">
        <v>1618</v>
      </c>
    </row>
    <row r="916" spans="1:2" x14ac:dyDescent="0.25">
      <c r="A916" t="s">
        <v>2074</v>
      </c>
      <c r="B916" t="s">
        <v>305</v>
      </c>
    </row>
    <row r="917" spans="1:2" x14ac:dyDescent="0.25">
      <c r="A917" t="s">
        <v>2074</v>
      </c>
      <c r="B917" t="s">
        <v>306</v>
      </c>
    </row>
    <row r="918" spans="1:2" x14ac:dyDescent="0.25">
      <c r="A918" t="s">
        <v>2074</v>
      </c>
      <c r="B918" t="s">
        <v>1619</v>
      </c>
    </row>
    <row r="919" spans="1:2" x14ac:dyDescent="0.25">
      <c r="A919" t="s">
        <v>2074</v>
      </c>
      <c r="B919" t="s">
        <v>307</v>
      </c>
    </row>
    <row r="920" spans="1:2" x14ac:dyDescent="0.25">
      <c r="A920" t="s">
        <v>2074</v>
      </c>
      <c r="B920" t="s">
        <v>308</v>
      </c>
    </row>
    <row r="921" spans="1:2" x14ac:dyDescent="0.25">
      <c r="A921" t="s">
        <v>2074</v>
      </c>
      <c r="B921" t="s">
        <v>1620</v>
      </c>
    </row>
    <row r="922" spans="1:2" x14ac:dyDescent="0.25">
      <c r="A922" t="s">
        <v>2074</v>
      </c>
      <c r="B922" t="s">
        <v>309</v>
      </c>
    </row>
    <row r="923" spans="1:2" x14ac:dyDescent="0.25">
      <c r="A923" t="s">
        <v>2074</v>
      </c>
      <c r="B923" t="s">
        <v>310</v>
      </c>
    </row>
    <row r="924" spans="1:2" x14ac:dyDescent="0.25">
      <c r="A924" t="s">
        <v>2074</v>
      </c>
      <c r="B924" t="s">
        <v>703</v>
      </c>
    </row>
    <row r="925" spans="1:2" x14ac:dyDescent="0.25">
      <c r="A925" t="s">
        <v>2074</v>
      </c>
      <c r="B925" t="s">
        <v>311</v>
      </c>
    </row>
    <row r="926" spans="1:2" x14ac:dyDescent="0.25">
      <c r="A926" t="s">
        <v>2074</v>
      </c>
      <c r="B926" t="s">
        <v>312</v>
      </c>
    </row>
    <row r="927" spans="1:2" x14ac:dyDescent="0.25">
      <c r="A927" t="s">
        <v>2074</v>
      </c>
      <c r="B927" t="s">
        <v>1621</v>
      </c>
    </row>
    <row r="928" spans="1:2" x14ac:dyDescent="0.25">
      <c r="A928" t="s">
        <v>2074</v>
      </c>
      <c r="B928" t="s">
        <v>313</v>
      </c>
    </row>
    <row r="929" spans="1:2" x14ac:dyDescent="0.25">
      <c r="A929" t="s">
        <v>2074</v>
      </c>
      <c r="B929" t="s">
        <v>1622</v>
      </c>
    </row>
    <row r="930" spans="1:2" x14ac:dyDescent="0.25">
      <c r="A930" t="s">
        <v>2074</v>
      </c>
      <c r="B930" t="s">
        <v>526</v>
      </c>
    </row>
    <row r="931" spans="1:2" x14ac:dyDescent="0.25">
      <c r="A931" t="s">
        <v>2074</v>
      </c>
      <c r="B931" t="s">
        <v>314</v>
      </c>
    </row>
    <row r="932" spans="1:2" x14ac:dyDescent="0.25">
      <c r="A932" t="s">
        <v>2074</v>
      </c>
      <c r="B932" t="s">
        <v>315</v>
      </c>
    </row>
    <row r="933" spans="1:2" x14ac:dyDescent="0.25">
      <c r="A933" t="s">
        <v>2074</v>
      </c>
      <c r="B933" t="s">
        <v>316</v>
      </c>
    </row>
    <row r="934" spans="1:2" x14ac:dyDescent="0.25">
      <c r="A934" t="s">
        <v>2074</v>
      </c>
      <c r="B934" t="s">
        <v>317</v>
      </c>
    </row>
    <row r="935" spans="1:2" x14ac:dyDescent="0.25">
      <c r="A935" t="s">
        <v>2074</v>
      </c>
      <c r="B935" t="s">
        <v>318</v>
      </c>
    </row>
    <row r="936" spans="1:2" x14ac:dyDescent="0.25">
      <c r="A936" t="s">
        <v>2074</v>
      </c>
      <c r="B936" t="s">
        <v>319</v>
      </c>
    </row>
    <row r="937" spans="1:2" x14ac:dyDescent="0.25">
      <c r="A937" t="s">
        <v>2074</v>
      </c>
      <c r="B937" t="s">
        <v>320</v>
      </c>
    </row>
    <row r="938" spans="1:2" x14ac:dyDescent="0.25">
      <c r="A938" t="s">
        <v>2074</v>
      </c>
      <c r="B938" t="s">
        <v>699</v>
      </c>
    </row>
    <row r="939" spans="1:2" x14ac:dyDescent="0.25">
      <c r="A939" t="s">
        <v>2074</v>
      </c>
      <c r="B939" t="s">
        <v>1623</v>
      </c>
    </row>
    <row r="940" spans="1:2" x14ac:dyDescent="0.25">
      <c r="A940" t="s">
        <v>2074</v>
      </c>
      <c r="B940" t="s">
        <v>612</v>
      </c>
    </row>
    <row r="941" spans="1:2" x14ac:dyDescent="0.25">
      <c r="A941" t="s">
        <v>2074</v>
      </c>
      <c r="B941" t="s">
        <v>617</v>
      </c>
    </row>
    <row r="942" spans="1:2" x14ac:dyDescent="0.25">
      <c r="A942" t="s">
        <v>2074</v>
      </c>
      <c r="B942" t="s">
        <v>1624</v>
      </c>
    </row>
    <row r="943" spans="1:2" x14ac:dyDescent="0.25">
      <c r="A943" t="s">
        <v>2074</v>
      </c>
      <c r="B943" t="s">
        <v>321</v>
      </c>
    </row>
    <row r="944" spans="1:2" x14ac:dyDescent="0.25">
      <c r="A944" t="s">
        <v>2074</v>
      </c>
      <c r="B944" t="s">
        <v>364</v>
      </c>
    </row>
    <row r="945" spans="1:2" x14ac:dyDescent="0.25">
      <c r="A945" t="s">
        <v>2074</v>
      </c>
      <c r="B945" t="s">
        <v>322</v>
      </c>
    </row>
    <row r="946" spans="1:2" x14ac:dyDescent="0.25">
      <c r="A946" t="s">
        <v>2074</v>
      </c>
      <c r="B946" t="s">
        <v>323</v>
      </c>
    </row>
    <row r="947" spans="1:2" x14ac:dyDescent="0.25">
      <c r="A947" t="s">
        <v>2074</v>
      </c>
      <c r="B947" t="s">
        <v>691</v>
      </c>
    </row>
    <row r="948" spans="1:2" x14ac:dyDescent="0.25">
      <c r="A948" t="s">
        <v>2074</v>
      </c>
      <c r="B948" t="s">
        <v>546</v>
      </c>
    </row>
    <row r="949" spans="1:2" x14ac:dyDescent="0.25">
      <c r="A949" t="s">
        <v>2074</v>
      </c>
      <c r="B949" t="s">
        <v>387</v>
      </c>
    </row>
    <row r="950" spans="1:2" x14ac:dyDescent="0.25">
      <c r="A950" t="s">
        <v>2074</v>
      </c>
      <c r="B950" t="s">
        <v>1683</v>
      </c>
    </row>
    <row r="951" spans="1:2" x14ac:dyDescent="0.25">
      <c r="A951" t="s">
        <v>2074</v>
      </c>
      <c r="B951" t="s">
        <v>324</v>
      </c>
    </row>
    <row r="952" spans="1:2" x14ac:dyDescent="0.25">
      <c r="A952" t="s">
        <v>2074</v>
      </c>
      <c r="B952" t="s">
        <v>325</v>
      </c>
    </row>
    <row r="953" spans="1:2" x14ac:dyDescent="0.25">
      <c r="A953" t="s">
        <v>2074</v>
      </c>
      <c r="B953" t="s">
        <v>326</v>
      </c>
    </row>
    <row r="954" spans="1:2" x14ac:dyDescent="0.25">
      <c r="A954" t="s">
        <v>2074</v>
      </c>
      <c r="B954" t="s">
        <v>327</v>
      </c>
    </row>
    <row r="955" spans="1:2" x14ac:dyDescent="0.25">
      <c r="A955" t="s">
        <v>2074</v>
      </c>
      <c r="B955" t="s">
        <v>672</v>
      </c>
    </row>
    <row r="956" spans="1:2" x14ac:dyDescent="0.25">
      <c r="A956" t="s">
        <v>2074</v>
      </c>
      <c r="B956" t="s">
        <v>328</v>
      </c>
    </row>
    <row r="957" spans="1:2" x14ac:dyDescent="0.25">
      <c r="A957" t="s">
        <v>2074</v>
      </c>
      <c r="B957" t="s">
        <v>329</v>
      </c>
    </row>
    <row r="958" spans="1:2" x14ac:dyDescent="0.25">
      <c r="A958" t="s">
        <v>2074</v>
      </c>
      <c r="B958" t="s">
        <v>330</v>
      </c>
    </row>
    <row r="959" spans="1:2" x14ac:dyDescent="0.25">
      <c r="A959" t="s">
        <v>2074</v>
      </c>
      <c r="B959" t="s">
        <v>442</v>
      </c>
    </row>
    <row r="960" spans="1:2" x14ac:dyDescent="0.25">
      <c r="A960" t="s">
        <v>2074</v>
      </c>
      <c r="B960" t="s">
        <v>355</v>
      </c>
    </row>
    <row r="961" spans="1:2" x14ac:dyDescent="0.25">
      <c r="A961" t="s">
        <v>2074</v>
      </c>
      <c r="B961" t="s">
        <v>331</v>
      </c>
    </row>
    <row r="962" spans="1:2" x14ac:dyDescent="0.25">
      <c r="A962" t="s">
        <v>2074</v>
      </c>
      <c r="B962" t="s">
        <v>562</v>
      </c>
    </row>
    <row r="963" spans="1:2" x14ac:dyDescent="0.25">
      <c r="A963" t="s">
        <v>2074</v>
      </c>
      <c r="B963" t="s">
        <v>573</v>
      </c>
    </row>
    <row r="964" spans="1:2" x14ac:dyDescent="0.25">
      <c r="A964" t="s">
        <v>2074</v>
      </c>
      <c r="B964" t="s">
        <v>555</v>
      </c>
    </row>
    <row r="965" spans="1:2" x14ac:dyDescent="0.25">
      <c r="A965" t="s">
        <v>2074</v>
      </c>
      <c r="B965" t="s">
        <v>332</v>
      </c>
    </row>
    <row r="966" spans="1:2" x14ac:dyDescent="0.25">
      <c r="A966" t="s">
        <v>2074</v>
      </c>
      <c r="B966" t="s">
        <v>379</v>
      </c>
    </row>
    <row r="967" spans="1:2" x14ac:dyDescent="0.25">
      <c r="A967" t="s">
        <v>2074</v>
      </c>
      <c r="B967" t="s">
        <v>416</v>
      </c>
    </row>
    <row r="968" spans="1:2" x14ac:dyDescent="0.25">
      <c r="A968" t="s">
        <v>2074</v>
      </c>
      <c r="B968" t="s">
        <v>333</v>
      </c>
    </row>
    <row r="969" spans="1:2" x14ac:dyDescent="0.25">
      <c r="A969" t="s">
        <v>2074</v>
      </c>
      <c r="B969" t="s">
        <v>586</v>
      </c>
    </row>
    <row r="970" spans="1:2" x14ac:dyDescent="0.25">
      <c r="A970" t="s">
        <v>2074</v>
      </c>
      <c r="B970" t="s">
        <v>541</v>
      </c>
    </row>
    <row r="971" spans="1:2" x14ac:dyDescent="0.25">
      <c r="A971" t="s">
        <v>2074</v>
      </c>
      <c r="B971" t="s">
        <v>686</v>
      </c>
    </row>
    <row r="972" spans="1:2" x14ac:dyDescent="0.25">
      <c r="A972" t="s">
        <v>2074</v>
      </c>
      <c r="B972" t="s">
        <v>1347</v>
      </c>
    </row>
    <row r="973" spans="1:2" x14ac:dyDescent="0.25">
      <c r="A973" t="s">
        <v>2074</v>
      </c>
      <c r="B973" t="s">
        <v>1625</v>
      </c>
    </row>
    <row r="974" spans="1:2" x14ac:dyDescent="0.25">
      <c r="A974" t="s">
        <v>2074</v>
      </c>
      <c r="B974" t="s">
        <v>1343</v>
      </c>
    </row>
    <row r="975" spans="1:2" x14ac:dyDescent="0.25">
      <c r="A975" t="s">
        <v>2074</v>
      </c>
      <c r="B975" t="s">
        <v>1626</v>
      </c>
    </row>
    <row r="976" spans="1:2" x14ac:dyDescent="0.25">
      <c r="A976" t="s">
        <v>2074</v>
      </c>
      <c r="B976" t="s">
        <v>912</v>
      </c>
    </row>
    <row r="977" spans="1:2" x14ac:dyDescent="0.25">
      <c r="A977" t="s">
        <v>2074</v>
      </c>
      <c r="B977" t="s">
        <v>1437</v>
      </c>
    </row>
    <row r="978" spans="1:2" x14ac:dyDescent="0.25">
      <c r="A978" t="s">
        <v>2074</v>
      </c>
      <c r="B978" t="s">
        <v>1395</v>
      </c>
    </row>
    <row r="979" spans="1:2" x14ac:dyDescent="0.25">
      <c r="A979" t="s">
        <v>2074</v>
      </c>
      <c r="B979" t="s">
        <v>1427</v>
      </c>
    </row>
    <row r="980" spans="1:2" x14ac:dyDescent="0.25">
      <c r="A980" t="s">
        <v>2074</v>
      </c>
      <c r="B980" t="s">
        <v>938</v>
      </c>
    </row>
    <row r="981" spans="1:2" x14ac:dyDescent="0.25">
      <c r="A981" t="s">
        <v>2074</v>
      </c>
      <c r="B981" t="s">
        <v>1329</v>
      </c>
    </row>
    <row r="982" spans="1:2" x14ac:dyDescent="0.25">
      <c r="A982" t="s">
        <v>2074</v>
      </c>
      <c r="B982" t="s">
        <v>664</v>
      </c>
    </row>
    <row r="983" spans="1:2" x14ac:dyDescent="0.25">
      <c r="A983" t="s">
        <v>2074</v>
      </c>
      <c r="B983" t="s">
        <v>1137</v>
      </c>
    </row>
    <row r="984" spans="1:2" x14ac:dyDescent="0.25">
      <c r="A984" t="s">
        <v>2074</v>
      </c>
      <c r="B984" t="s">
        <v>1328</v>
      </c>
    </row>
    <row r="985" spans="1:2" x14ac:dyDescent="0.25">
      <c r="A985" t="s">
        <v>2074</v>
      </c>
      <c r="B985" t="s">
        <v>1245</v>
      </c>
    </row>
    <row r="986" spans="1:2" x14ac:dyDescent="0.25">
      <c r="A986" t="s">
        <v>2074</v>
      </c>
      <c r="B986" t="s">
        <v>454</v>
      </c>
    </row>
    <row r="987" spans="1:2" x14ac:dyDescent="0.25">
      <c r="A987" t="s">
        <v>2074</v>
      </c>
      <c r="B987" t="s">
        <v>984</v>
      </c>
    </row>
    <row r="988" spans="1:2" x14ac:dyDescent="0.25">
      <c r="A988" t="s">
        <v>2074</v>
      </c>
      <c r="B988" t="s">
        <v>985</v>
      </c>
    </row>
    <row r="989" spans="1:2" x14ac:dyDescent="0.25">
      <c r="A989" t="s">
        <v>2074</v>
      </c>
      <c r="B989" t="s">
        <v>1627</v>
      </c>
    </row>
    <row r="990" spans="1:2" x14ac:dyDescent="0.25">
      <c r="A990" t="s">
        <v>2074</v>
      </c>
      <c r="B990" t="s">
        <v>1628</v>
      </c>
    </row>
    <row r="991" spans="1:2" x14ac:dyDescent="0.25">
      <c r="A991" t="s">
        <v>2074</v>
      </c>
      <c r="B991" t="s">
        <v>1327</v>
      </c>
    </row>
    <row r="992" spans="1:2" x14ac:dyDescent="0.25">
      <c r="A992" t="s">
        <v>2074</v>
      </c>
      <c r="B992" t="s">
        <v>1629</v>
      </c>
    </row>
    <row r="993" spans="1:2" x14ac:dyDescent="0.25">
      <c r="A993" t="s">
        <v>2074</v>
      </c>
      <c r="B993" t="s">
        <v>1446</v>
      </c>
    </row>
    <row r="994" spans="1:2" x14ac:dyDescent="0.25">
      <c r="A994" t="s">
        <v>2074</v>
      </c>
      <c r="B994" t="s">
        <v>1325</v>
      </c>
    </row>
    <row r="995" spans="1:2" x14ac:dyDescent="0.25">
      <c r="A995" t="s">
        <v>2074</v>
      </c>
      <c r="B995" t="s">
        <v>334</v>
      </c>
    </row>
    <row r="996" spans="1:2" x14ac:dyDescent="0.25">
      <c r="A996" t="s">
        <v>2074</v>
      </c>
      <c r="B996" t="s">
        <v>1323</v>
      </c>
    </row>
    <row r="997" spans="1:2" x14ac:dyDescent="0.25">
      <c r="A997" t="s">
        <v>2074</v>
      </c>
      <c r="B997" t="s">
        <v>1056</v>
      </c>
    </row>
    <row r="998" spans="1:2" x14ac:dyDescent="0.25">
      <c r="A998" t="s">
        <v>2074</v>
      </c>
      <c r="B998" t="s">
        <v>1322</v>
      </c>
    </row>
    <row r="999" spans="1:2" x14ac:dyDescent="0.25">
      <c r="A999" t="s">
        <v>2074</v>
      </c>
      <c r="B999" t="s">
        <v>1319</v>
      </c>
    </row>
    <row r="1000" spans="1:2" x14ac:dyDescent="0.25">
      <c r="A1000" t="s">
        <v>2074</v>
      </c>
      <c r="B1000" t="s">
        <v>1318</v>
      </c>
    </row>
    <row r="1001" spans="1:2" x14ac:dyDescent="0.25">
      <c r="A1001" t="s">
        <v>2074</v>
      </c>
      <c r="B1001" t="s">
        <v>1422</v>
      </c>
    </row>
    <row r="1002" spans="1:2" x14ac:dyDescent="0.25">
      <c r="A1002" t="s">
        <v>2074</v>
      </c>
      <c r="B1002" t="s">
        <v>1069</v>
      </c>
    </row>
    <row r="1003" spans="1:2" x14ac:dyDescent="0.25">
      <c r="A1003" t="s">
        <v>2074</v>
      </c>
      <c r="B1003" t="s">
        <v>1070</v>
      </c>
    </row>
    <row r="1004" spans="1:2" x14ac:dyDescent="0.25">
      <c r="A1004" t="s">
        <v>2074</v>
      </c>
      <c r="B1004" t="s">
        <v>1073</v>
      </c>
    </row>
    <row r="1005" spans="1:2" x14ac:dyDescent="0.25">
      <c r="A1005" t="s">
        <v>2074</v>
      </c>
      <c r="B1005" t="s">
        <v>1398</v>
      </c>
    </row>
    <row r="1006" spans="1:2" x14ac:dyDescent="0.25">
      <c r="A1006" t="s">
        <v>2074</v>
      </c>
      <c r="B1006" t="s">
        <v>1154</v>
      </c>
    </row>
    <row r="1007" spans="1:2" x14ac:dyDescent="0.25">
      <c r="A1007" t="s">
        <v>2074</v>
      </c>
      <c r="B1007" t="s">
        <v>1439</v>
      </c>
    </row>
    <row r="1008" spans="1:2" x14ac:dyDescent="0.25">
      <c r="A1008" t="s">
        <v>2074</v>
      </c>
      <c r="B1008" t="s">
        <v>1084</v>
      </c>
    </row>
    <row r="1009" spans="1:2" x14ac:dyDescent="0.25">
      <c r="A1009" t="s">
        <v>2074</v>
      </c>
      <c r="B1009" t="s">
        <v>1153</v>
      </c>
    </row>
    <row r="1010" spans="1:2" x14ac:dyDescent="0.25">
      <c r="A1010" t="s">
        <v>2074</v>
      </c>
      <c r="B1010" t="s">
        <v>1414</v>
      </c>
    </row>
    <row r="1011" spans="1:2" x14ac:dyDescent="0.25">
      <c r="A1011" t="s">
        <v>2074</v>
      </c>
      <c r="B1011" t="s">
        <v>1441</v>
      </c>
    </row>
    <row r="1012" spans="1:2" x14ac:dyDescent="0.25">
      <c r="A1012" t="s">
        <v>2074</v>
      </c>
      <c r="B1012" t="s">
        <v>1005</v>
      </c>
    </row>
    <row r="1013" spans="1:2" x14ac:dyDescent="0.25">
      <c r="A1013" t="s">
        <v>2074</v>
      </c>
      <c r="B1013" t="s">
        <v>1030</v>
      </c>
    </row>
    <row r="1014" spans="1:2" x14ac:dyDescent="0.25">
      <c r="A1014" t="s">
        <v>2074</v>
      </c>
      <c r="B1014" t="s">
        <v>844</v>
      </c>
    </row>
    <row r="1015" spans="1:2" x14ac:dyDescent="0.25">
      <c r="A1015" t="s">
        <v>2074</v>
      </c>
      <c r="B1015" t="s">
        <v>863</v>
      </c>
    </row>
    <row r="1016" spans="1:2" x14ac:dyDescent="0.25">
      <c r="A1016" t="s">
        <v>2074</v>
      </c>
      <c r="B1016" t="s">
        <v>1079</v>
      </c>
    </row>
    <row r="1017" spans="1:2" x14ac:dyDescent="0.25">
      <c r="A1017" t="s">
        <v>2074</v>
      </c>
      <c r="B1017" t="s">
        <v>1309</v>
      </c>
    </row>
    <row r="1018" spans="1:2" x14ac:dyDescent="0.25">
      <c r="A1018" t="s">
        <v>2074</v>
      </c>
      <c r="B1018" t="s">
        <v>1039</v>
      </c>
    </row>
    <row r="1019" spans="1:2" x14ac:dyDescent="0.25">
      <c r="A1019" t="s">
        <v>2074</v>
      </c>
      <c r="B1019" t="s">
        <v>976</v>
      </c>
    </row>
    <row r="1020" spans="1:2" x14ac:dyDescent="0.25">
      <c r="A1020" t="s">
        <v>2074</v>
      </c>
      <c r="B1020" t="s">
        <v>1290</v>
      </c>
    </row>
    <row r="1021" spans="1:2" x14ac:dyDescent="0.25">
      <c r="A1021" t="s">
        <v>2074</v>
      </c>
      <c r="B1021" t="s">
        <v>1630</v>
      </c>
    </row>
    <row r="1022" spans="1:2" x14ac:dyDescent="0.25">
      <c r="A1022" t="s">
        <v>2074</v>
      </c>
      <c r="B1022" t="s">
        <v>1631</v>
      </c>
    </row>
    <row r="1023" spans="1:2" x14ac:dyDescent="0.25">
      <c r="A1023" t="s">
        <v>2074</v>
      </c>
      <c r="B1023" t="s">
        <v>1632</v>
      </c>
    </row>
    <row r="1024" spans="1:2" x14ac:dyDescent="0.25">
      <c r="A1024" t="s">
        <v>2074</v>
      </c>
      <c r="B1024" t="s">
        <v>1633</v>
      </c>
    </row>
    <row r="1025" spans="1:2" x14ac:dyDescent="0.25">
      <c r="A1025" t="s">
        <v>2074</v>
      </c>
      <c r="B1025" t="s">
        <v>1634</v>
      </c>
    </row>
    <row r="1026" spans="1:2" x14ac:dyDescent="0.25">
      <c r="A1026" t="s">
        <v>2074</v>
      </c>
      <c r="B1026" t="s">
        <v>1635</v>
      </c>
    </row>
    <row r="1027" spans="1:2" x14ac:dyDescent="0.25">
      <c r="A1027" t="s">
        <v>2074</v>
      </c>
      <c r="B1027" t="s">
        <v>1636</v>
      </c>
    </row>
    <row r="1028" spans="1:2" x14ac:dyDescent="0.25">
      <c r="A1028" t="s">
        <v>2074</v>
      </c>
      <c r="B1028" t="s">
        <v>1637</v>
      </c>
    </row>
    <row r="1029" spans="1:2" x14ac:dyDescent="0.25">
      <c r="A1029" t="s">
        <v>2074</v>
      </c>
      <c r="B1029" t="s">
        <v>1638</v>
      </c>
    </row>
    <row r="1030" spans="1:2" x14ac:dyDescent="0.25">
      <c r="A1030" t="s">
        <v>2074</v>
      </c>
      <c r="B1030" t="s">
        <v>1639</v>
      </c>
    </row>
    <row r="1031" spans="1:2" x14ac:dyDescent="0.25">
      <c r="A1031" t="s">
        <v>2074</v>
      </c>
      <c r="B1031" t="s">
        <v>1640</v>
      </c>
    </row>
    <row r="1032" spans="1:2" x14ac:dyDescent="0.25">
      <c r="A1032" t="s">
        <v>2074</v>
      </c>
      <c r="B1032" t="s">
        <v>1688</v>
      </c>
    </row>
    <row r="1033" spans="1:2" x14ac:dyDescent="0.25">
      <c r="A1033" t="s">
        <v>2074</v>
      </c>
      <c r="B1033" t="s">
        <v>1641</v>
      </c>
    </row>
    <row r="1034" spans="1:2" x14ac:dyDescent="0.25">
      <c r="A1034" t="s">
        <v>2074</v>
      </c>
      <c r="B1034" t="s">
        <v>2085</v>
      </c>
    </row>
    <row r="1035" spans="1:2" x14ac:dyDescent="0.25">
      <c r="A1035" t="s">
        <v>2074</v>
      </c>
      <c r="B1035" t="s">
        <v>335</v>
      </c>
    </row>
    <row r="1036" spans="1:2" x14ac:dyDescent="0.25">
      <c r="A1036" t="s">
        <v>2074</v>
      </c>
      <c r="B1036" t="s">
        <v>360</v>
      </c>
    </row>
    <row r="1037" spans="1:2" x14ac:dyDescent="0.25">
      <c r="A1037" t="s">
        <v>2074</v>
      </c>
      <c r="B1037" t="s">
        <v>828</v>
      </c>
    </row>
    <row r="1038" spans="1:2" x14ac:dyDescent="0.25">
      <c r="A1038" t="s">
        <v>2074</v>
      </c>
      <c r="B1038" t="s">
        <v>357</v>
      </c>
    </row>
    <row r="1039" spans="1:2" x14ac:dyDescent="0.25">
      <c r="A1039" t="s">
        <v>2074</v>
      </c>
      <c r="B1039" t="s">
        <v>358</v>
      </c>
    </row>
    <row r="1040" spans="1:2" x14ac:dyDescent="0.25">
      <c r="A1040" t="s">
        <v>2074</v>
      </c>
      <c r="B1040" t="s">
        <v>366</v>
      </c>
    </row>
    <row r="1041" spans="1:2" x14ac:dyDescent="0.25">
      <c r="A1041" t="s">
        <v>2074</v>
      </c>
      <c r="B1041" t="s">
        <v>424</v>
      </c>
    </row>
    <row r="1042" spans="1:2" x14ac:dyDescent="0.25">
      <c r="A1042" t="s">
        <v>2074</v>
      </c>
      <c r="B1042" t="s">
        <v>1642</v>
      </c>
    </row>
    <row r="1043" spans="1:2" x14ac:dyDescent="0.25">
      <c r="A1043" t="s">
        <v>2074</v>
      </c>
      <c r="B1043" t="s">
        <v>336</v>
      </c>
    </row>
    <row r="1044" spans="1:2" x14ac:dyDescent="0.25">
      <c r="A1044" t="s">
        <v>2074</v>
      </c>
      <c r="B1044" t="s">
        <v>337</v>
      </c>
    </row>
    <row r="1045" spans="1:2" x14ac:dyDescent="0.25">
      <c r="A1045" t="s">
        <v>2074</v>
      </c>
      <c r="B1045" t="s">
        <v>423</v>
      </c>
    </row>
    <row r="1046" spans="1:2" x14ac:dyDescent="0.25">
      <c r="A1046" t="s">
        <v>2074</v>
      </c>
      <c r="B1046" t="s">
        <v>1643</v>
      </c>
    </row>
    <row r="1047" spans="1:2" x14ac:dyDescent="0.25">
      <c r="A1047" t="s">
        <v>2074</v>
      </c>
      <c r="B1047" t="s">
        <v>372</v>
      </c>
    </row>
    <row r="1048" spans="1:2" x14ac:dyDescent="0.25">
      <c r="A1048" t="s">
        <v>2074</v>
      </c>
      <c r="B1048" t="s">
        <v>338</v>
      </c>
    </row>
    <row r="1049" spans="1:2" x14ac:dyDescent="0.25">
      <c r="A1049" t="s">
        <v>2074</v>
      </c>
      <c r="B1049" t="s">
        <v>339</v>
      </c>
    </row>
    <row r="1050" spans="1:2" x14ac:dyDescent="0.25">
      <c r="A1050" t="s">
        <v>2074</v>
      </c>
      <c r="B1050" t="s">
        <v>659</v>
      </c>
    </row>
    <row r="1051" spans="1:2" x14ac:dyDescent="0.25">
      <c r="A1051" t="s">
        <v>2074</v>
      </c>
      <c r="B1051" t="s">
        <v>660</v>
      </c>
    </row>
    <row r="1052" spans="1:2" x14ac:dyDescent="0.25">
      <c r="A1052" t="s">
        <v>2074</v>
      </c>
      <c r="B1052" t="s">
        <v>340</v>
      </c>
    </row>
    <row r="1053" spans="1:2" x14ac:dyDescent="0.25">
      <c r="A1053" t="s">
        <v>2074</v>
      </c>
      <c r="B1053" t="s">
        <v>341</v>
      </c>
    </row>
    <row r="1054" spans="1:2" x14ac:dyDescent="0.25">
      <c r="A1054" t="s">
        <v>2074</v>
      </c>
      <c r="B1054" t="s">
        <v>661</v>
      </c>
    </row>
    <row r="1055" spans="1:2" x14ac:dyDescent="0.25">
      <c r="A1055" t="s">
        <v>2074</v>
      </c>
      <c r="B1055" t="s">
        <v>662</v>
      </c>
    </row>
    <row r="1056" spans="1:2" x14ac:dyDescent="0.25">
      <c r="A1056" t="s">
        <v>2074</v>
      </c>
      <c r="B1056" t="s">
        <v>342</v>
      </c>
    </row>
    <row r="1057" spans="1:2" x14ac:dyDescent="0.25">
      <c r="A1057" t="s">
        <v>2074</v>
      </c>
      <c r="B1057" t="s">
        <v>343</v>
      </c>
    </row>
    <row r="1058" spans="1:2" x14ac:dyDescent="0.25">
      <c r="A1058" t="s">
        <v>2074</v>
      </c>
      <c r="B1058" t="s">
        <v>404</v>
      </c>
    </row>
    <row r="1059" spans="1:2" x14ac:dyDescent="0.25">
      <c r="A1059" t="s">
        <v>2074</v>
      </c>
      <c r="B1059" t="s">
        <v>1644</v>
      </c>
    </row>
    <row r="1060" spans="1:2" x14ac:dyDescent="0.25">
      <c r="A1060" t="s">
        <v>2074</v>
      </c>
      <c r="B1060" t="s">
        <v>1645</v>
      </c>
    </row>
    <row r="1061" spans="1:2" x14ac:dyDescent="0.25">
      <c r="A1061" t="s">
        <v>2074</v>
      </c>
      <c r="B1061" t="s">
        <v>344</v>
      </c>
    </row>
    <row r="1062" spans="1:2" x14ac:dyDescent="0.25">
      <c r="A1062" t="s">
        <v>2074</v>
      </c>
      <c r="B1062" t="s">
        <v>422</v>
      </c>
    </row>
    <row r="1063" spans="1:2" x14ac:dyDescent="0.25">
      <c r="A1063" t="s">
        <v>2074</v>
      </c>
      <c r="B1063" t="s">
        <v>420</v>
      </c>
    </row>
    <row r="1064" spans="1:2" x14ac:dyDescent="0.25">
      <c r="A1064" t="s">
        <v>2074</v>
      </c>
      <c r="B1064" t="s">
        <v>359</v>
      </c>
    </row>
    <row r="1065" spans="1:2" x14ac:dyDescent="0.25">
      <c r="A1065" t="s">
        <v>2074</v>
      </c>
      <c r="B1065" t="s">
        <v>419</v>
      </c>
    </row>
    <row r="1066" spans="1:2" x14ac:dyDescent="0.25">
      <c r="A1066" t="s">
        <v>2074</v>
      </c>
      <c r="B1066" t="s">
        <v>345</v>
      </c>
    </row>
    <row r="1067" spans="1:2" x14ac:dyDescent="0.25">
      <c r="A1067" t="s">
        <v>2074</v>
      </c>
      <c r="B1067" t="s">
        <v>525</v>
      </c>
    </row>
    <row r="1068" spans="1:2" x14ac:dyDescent="0.25">
      <c r="A1068" t="s">
        <v>2074</v>
      </c>
      <c r="B1068" t="s">
        <v>346</v>
      </c>
    </row>
    <row r="1069" spans="1:2" x14ac:dyDescent="0.25">
      <c r="A1069" t="s">
        <v>2074</v>
      </c>
      <c r="B1069" t="s">
        <v>347</v>
      </c>
    </row>
    <row r="1070" spans="1:2" x14ac:dyDescent="0.25">
      <c r="A1070" t="s">
        <v>2074</v>
      </c>
      <c r="B1070" t="s">
        <v>1646</v>
      </c>
    </row>
    <row r="1071" spans="1:2" x14ac:dyDescent="0.25">
      <c r="A1071" t="s">
        <v>2074</v>
      </c>
      <c r="B1071" t="s">
        <v>1647</v>
      </c>
    </row>
    <row r="1072" spans="1:2" x14ac:dyDescent="0.25">
      <c r="A1072" t="s">
        <v>2074</v>
      </c>
      <c r="B1072" t="s">
        <v>1138</v>
      </c>
    </row>
    <row r="1073" spans="1:2" x14ac:dyDescent="0.25">
      <c r="A1073" t="s">
        <v>2074</v>
      </c>
      <c r="B1073" t="s">
        <v>1369</v>
      </c>
    </row>
    <row r="1074" spans="1:2" x14ac:dyDescent="0.25">
      <c r="A1074" t="s">
        <v>2074</v>
      </c>
      <c r="B1074" t="s">
        <v>1648</v>
      </c>
    </row>
    <row r="1075" spans="1:2" x14ac:dyDescent="0.25">
      <c r="A1075" t="s">
        <v>2074</v>
      </c>
      <c r="B1075" t="s">
        <v>2086</v>
      </c>
    </row>
    <row r="1076" spans="1:2" x14ac:dyDescent="0.25">
      <c r="A1076" t="s">
        <v>2074</v>
      </c>
      <c r="B1076" t="s">
        <v>1649</v>
      </c>
    </row>
    <row r="1077" spans="1:2" x14ac:dyDescent="0.25">
      <c r="A1077" t="s">
        <v>2074</v>
      </c>
      <c r="B1077" t="s">
        <v>417</v>
      </c>
    </row>
    <row r="1078" spans="1:2" x14ac:dyDescent="0.25">
      <c r="A1078" t="s">
        <v>2074</v>
      </c>
      <c r="B1078" t="s">
        <v>1650</v>
      </c>
    </row>
    <row r="1079" spans="1:2" x14ac:dyDescent="0.25">
      <c r="A1079" t="s">
        <v>2074</v>
      </c>
      <c r="B1079" t="s">
        <v>352</v>
      </c>
    </row>
    <row r="1080" spans="1:2" x14ac:dyDescent="0.25">
      <c r="A1080" t="s">
        <v>2074</v>
      </c>
      <c r="B1080" t="s">
        <v>290</v>
      </c>
    </row>
    <row r="1081" spans="1:2" x14ac:dyDescent="0.25">
      <c r="A1081" t="s">
        <v>2074</v>
      </c>
      <c r="B1081" t="s">
        <v>1417</v>
      </c>
    </row>
    <row r="1082" spans="1:2" x14ac:dyDescent="0.25">
      <c r="A1082" t="s">
        <v>2074</v>
      </c>
      <c r="B1082" t="s">
        <v>348</v>
      </c>
    </row>
    <row r="1083" spans="1:2" x14ac:dyDescent="0.25">
      <c r="A1083" t="s">
        <v>2074</v>
      </c>
      <c r="B1083" t="s">
        <v>574</v>
      </c>
    </row>
    <row r="1084" spans="1:2" x14ac:dyDescent="0.25">
      <c r="A1084" t="s">
        <v>2074</v>
      </c>
      <c r="B1084" t="s">
        <v>295</v>
      </c>
    </row>
    <row r="1085" spans="1:2" x14ac:dyDescent="0.25">
      <c r="A1085" t="s">
        <v>2074</v>
      </c>
      <c r="B1085" t="s">
        <v>296</v>
      </c>
    </row>
    <row r="1086" spans="1:2" x14ac:dyDescent="0.25">
      <c r="A1086" t="s">
        <v>2074</v>
      </c>
      <c r="B1086" t="s">
        <v>450</v>
      </c>
    </row>
    <row r="1087" spans="1:2" x14ac:dyDescent="0.25">
      <c r="A1087" t="s">
        <v>2074</v>
      </c>
      <c r="B1087" t="s">
        <v>297</v>
      </c>
    </row>
    <row r="1088" spans="1:2" x14ac:dyDescent="0.25">
      <c r="A1088" t="s">
        <v>2074</v>
      </c>
      <c r="B1088" t="s">
        <v>298</v>
      </c>
    </row>
    <row r="1089" spans="1:2" x14ac:dyDescent="0.25">
      <c r="A1089" t="s">
        <v>2074</v>
      </c>
      <c r="B1089" t="s">
        <v>1429</v>
      </c>
    </row>
    <row r="1090" spans="1:2" x14ac:dyDescent="0.25">
      <c r="A1090" t="s">
        <v>2074</v>
      </c>
      <c r="B1090" t="s">
        <v>1146</v>
      </c>
    </row>
    <row r="1091" spans="1:2" x14ac:dyDescent="0.25">
      <c r="A1091" t="s">
        <v>2074</v>
      </c>
      <c r="B1091" t="s">
        <v>1651</v>
      </c>
    </row>
    <row r="1092" spans="1:2" x14ac:dyDescent="0.25">
      <c r="A1092" t="s">
        <v>2074</v>
      </c>
      <c r="B1092" t="s">
        <v>700</v>
      </c>
    </row>
    <row r="1093" spans="1:2" x14ac:dyDescent="0.25">
      <c r="A1093" t="s">
        <v>2074</v>
      </c>
      <c r="B1093" t="s">
        <v>1370</v>
      </c>
    </row>
    <row r="1094" spans="1:2" x14ac:dyDescent="0.25">
      <c r="A1094" t="s">
        <v>2074</v>
      </c>
      <c r="B1094" t="s">
        <v>1368</v>
      </c>
    </row>
    <row r="1095" spans="1:2" x14ac:dyDescent="0.25">
      <c r="A1095" t="s">
        <v>2074</v>
      </c>
      <c r="B1095" t="s">
        <v>1012</v>
      </c>
    </row>
    <row r="1096" spans="1:2" x14ac:dyDescent="0.25">
      <c r="A1096" t="s">
        <v>2074</v>
      </c>
      <c r="B1096" t="s">
        <v>1297</v>
      </c>
    </row>
    <row r="1097" spans="1:2" x14ac:dyDescent="0.25">
      <c r="A1097" t="s">
        <v>2074</v>
      </c>
      <c r="B1097" t="s">
        <v>1029</v>
      </c>
    </row>
    <row r="1098" spans="1:2" x14ac:dyDescent="0.25">
      <c r="A1098" t="s">
        <v>2074</v>
      </c>
      <c r="B1098" t="s">
        <v>367</v>
      </c>
    </row>
    <row r="1099" spans="1:2" x14ac:dyDescent="0.25">
      <c r="A1099" t="s">
        <v>2074</v>
      </c>
      <c r="B1099" t="s">
        <v>554</v>
      </c>
    </row>
    <row r="1100" spans="1:2" x14ac:dyDescent="0.25">
      <c r="A1100" t="s">
        <v>2074</v>
      </c>
      <c r="B1100" t="s">
        <v>1388</v>
      </c>
    </row>
    <row r="1101" spans="1:2" x14ac:dyDescent="0.25">
      <c r="A1101" t="s">
        <v>2074</v>
      </c>
      <c r="B1101" t="s">
        <v>1295</v>
      </c>
    </row>
    <row r="1102" spans="1:2" x14ac:dyDescent="0.25">
      <c r="A1102" t="s">
        <v>2074</v>
      </c>
      <c r="B1102" t="s">
        <v>1293</v>
      </c>
    </row>
    <row r="1103" spans="1:2" x14ac:dyDescent="0.25">
      <c r="A1103" t="s">
        <v>2074</v>
      </c>
      <c r="B1103" t="s">
        <v>1291</v>
      </c>
    </row>
    <row r="1104" spans="1:2" x14ac:dyDescent="0.25">
      <c r="A1104" t="s">
        <v>2074</v>
      </c>
      <c r="B1104" t="s">
        <v>908</v>
      </c>
    </row>
    <row r="1105" spans="1:2" x14ac:dyDescent="0.25">
      <c r="A1105" t="s">
        <v>2074</v>
      </c>
      <c r="B1105" t="s">
        <v>349</v>
      </c>
    </row>
    <row r="1106" spans="1:2" x14ac:dyDescent="0.25">
      <c r="A1106" t="s">
        <v>2074</v>
      </c>
      <c r="B1106" t="s">
        <v>560</v>
      </c>
    </row>
    <row r="1107" spans="1:2" x14ac:dyDescent="0.25">
      <c r="A1107" t="s">
        <v>2074</v>
      </c>
      <c r="B1107" t="s">
        <v>413</v>
      </c>
    </row>
    <row r="1108" spans="1:2" x14ac:dyDescent="0.25">
      <c r="A1108" t="s">
        <v>2074</v>
      </c>
      <c r="B1108" t="s">
        <v>493</v>
      </c>
    </row>
    <row r="1109" spans="1:2" x14ac:dyDescent="0.25">
      <c r="A1109" t="s">
        <v>2074</v>
      </c>
      <c r="B1109" t="s">
        <v>843</v>
      </c>
    </row>
    <row r="1110" spans="1:2" x14ac:dyDescent="0.25">
      <c r="A1110" t="s">
        <v>2074</v>
      </c>
      <c r="B1110" t="s">
        <v>1386</v>
      </c>
    </row>
    <row r="1111" spans="1:2" x14ac:dyDescent="0.25">
      <c r="A1111" t="s">
        <v>2074</v>
      </c>
      <c r="B1111" t="s">
        <v>1287</v>
      </c>
    </row>
    <row r="1112" spans="1:2" x14ac:dyDescent="0.25">
      <c r="A1112" t="s">
        <v>2074</v>
      </c>
      <c r="B1112" t="s">
        <v>1286</v>
      </c>
    </row>
    <row r="1113" spans="1:2" x14ac:dyDescent="0.25">
      <c r="A1113" t="s">
        <v>2074</v>
      </c>
      <c r="B1113" t="s">
        <v>981</v>
      </c>
    </row>
    <row r="1114" spans="1:2" x14ac:dyDescent="0.25">
      <c r="A1114" t="s">
        <v>2074</v>
      </c>
      <c r="B1114" t="s">
        <v>1284</v>
      </c>
    </row>
    <row r="1115" spans="1:2" x14ac:dyDescent="0.25">
      <c r="A1115" t="s">
        <v>2074</v>
      </c>
      <c r="B1115" t="s">
        <v>1282</v>
      </c>
    </row>
    <row r="1116" spans="1:2" x14ac:dyDescent="0.25">
      <c r="A1116" t="s">
        <v>2074</v>
      </c>
      <c r="B1116" t="s">
        <v>1387</v>
      </c>
    </row>
    <row r="1117" spans="1:2" x14ac:dyDescent="0.25">
      <c r="A1117" t="s">
        <v>2074</v>
      </c>
      <c r="B1117" t="s">
        <v>1385</v>
      </c>
    </row>
    <row r="1118" spans="1:2" x14ac:dyDescent="0.25">
      <c r="A1118" t="s">
        <v>2074</v>
      </c>
      <c r="B1118" t="s">
        <v>411</v>
      </c>
    </row>
    <row r="1119" spans="1:2" x14ac:dyDescent="0.25">
      <c r="A1119" t="s">
        <v>2074</v>
      </c>
      <c r="B1119" t="s">
        <v>566</v>
      </c>
    </row>
    <row r="1120" spans="1:2" x14ac:dyDescent="0.25">
      <c r="A1120" t="s">
        <v>2074</v>
      </c>
      <c r="B1120" t="s">
        <v>593</v>
      </c>
    </row>
    <row r="1121" spans="1:2" x14ac:dyDescent="0.25">
      <c r="A1121" t="s">
        <v>2074</v>
      </c>
      <c r="B1121" t="s">
        <v>1280</v>
      </c>
    </row>
    <row r="1122" spans="1:2" x14ac:dyDescent="0.25">
      <c r="A1122" t="s">
        <v>2074</v>
      </c>
      <c r="B1122" t="s">
        <v>1279</v>
      </c>
    </row>
    <row r="1123" spans="1:2" x14ac:dyDescent="0.25">
      <c r="A1123" t="s">
        <v>2074</v>
      </c>
      <c r="B1123" t="s">
        <v>1351</v>
      </c>
    </row>
    <row r="1124" spans="1:2" x14ac:dyDescent="0.25">
      <c r="A1124" t="s">
        <v>2074</v>
      </c>
      <c r="B1124" t="s">
        <v>911</v>
      </c>
    </row>
    <row r="1125" spans="1:2" x14ac:dyDescent="0.25">
      <c r="A1125" t="s">
        <v>2074</v>
      </c>
      <c r="B1125" t="s">
        <v>639</v>
      </c>
    </row>
    <row r="1126" spans="1:2" x14ac:dyDescent="0.25">
      <c r="A1126" t="s">
        <v>2074</v>
      </c>
      <c r="B1126" t="s">
        <v>1652</v>
      </c>
    </row>
    <row r="1127" spans="1:2" x14ac:dyDescent="0.25">
      <c r="A1127" t="s">
        <v>2074</v>
      </c>
      <c r="B1127" t="s">
        <v>1400</v>
      </c>
    </row>
    <row r="1128" spans="1:2" x14ac:dyDescent="0.25">
      <c r="A1128" t="s">
        <v>2074</v>
      </c>
      <c r="B1128" t="s">
        <v>567</v>
      </c>
    </row>
    <row r="1129" spans="1:2" x14ac:dyDescent="0.25">
      <c r="A1129" t="s">
        <v>2074</v>
      </c>
      <c r="B1129" t="s">
        <v>1653</v>
      </c>
    </row>
    <row r="1130" spans="1:2" x14ac:dyDescent="0.25">
      <c r="A1130" t="s">
        <v>2074</v>
      </c>
      <c r="B1130" t="s">
        <v>579</v>
      </c>
    </row>
    <row r="1131" spans="1:2" x14ac:dyDescent="0.25">
      <c r="A1131" t="s">
        <v>2074</v>
      </c>
      <c r="B1131" t="s">
        <v>1174</v>
      </c>
    </row>
    <row r="1132" spans="1:2" x14ac:dyDescent="0.25">
      <c r="A1132" t="s">
        <v>2074</v>
      </c>
      <c r="B1132" t="s">
        <v>1176</v>
      </c>
    </row>
    <row r="1133" spans="1:2" x14ac:dyDescent="0.25">
      <c r="A1133" t="s">
        <v>2074</v>
      </c>
      <c r="B1133" t="s">
        <v>1019</v>
      </c>
    </row>
    <row r="1134" spans="1:2" x14ac:dyDescent="0.25">
      <c r="A1134" t="s">
        <v>2074</v>
      </c>
      <c r="B1134" t="s">
        <v>1178</v>
      </c>
    </row>
    <row r="1135" spans="1:2" x14ac:dyDescent="0.25">
      <c r="A1135" t="s">
        <v>2074</v>
      </c>
      <c r="B1135" t="s">
        <v>1179</v>
      </c>
    </row>
    <row r="1136" spans="1:2" x14ac:dyDescent="0.25">
      <c r="A1136" t="s">
        <v>2074</v>
      </c>
      <c r="B1136" t="s">
        <v>393</v>
      </c>
    </row>
    <row r="1137" spans="1:2" x14ac:dyDescent="0.25">
      <c r="A1137" t="s">
        <v>2074</v>
      </c>
      <c r="B1137" t="s">
        <v>1065</v>
      </c>
    </row>
    <row r="1138" spans="1:2" x14ac:dyDescent="0.25">
      <c r="A1138" t="s">
        <v>2074</v>
      </c>
      <c r="B1138" t="s">
        <v>914</v>
      </c>
    </row>
    <row r="1139" spans="1:2" x14ac:dyDescent="0.25">
      <c r="A1139" t="s">
        <v>2074</v>
      </c>
      <c r="B1139" t="s">
        <v>1066</v>
      </c>
    </row>
    <row r="1140" spans="1:2" x14ac:dyDescent="0.25">
      <c r="A1140" t="s">
        <v>2074</v>
      </c>
      <c r="B1140" t="s">
        <v>1442</v>
      </c>
    </row>
    <row r="1141" spans="1:2" x14ac:dyDescent="0.25">
      <c r="A1141" t="s">
        <v>2074</v>
      </c>
      <c r="B1141" t="s">
        <v>1186</v>
      </c>
    </row>
    <row r="1142" spans="1:2" x14ac:dyDescent="0.25">
      <c r="A1142" t="s">
        <v>2074</v>
      </c>
      <c r="B1142" t="s">
        <v>990</v>
      </c>
    </row>
    <row r="1143" spans="1:2" x14ac:dyDescent="0.25">
      <c r="A1143" t="s">
        <v>2074</v>
      </c>
      <c r="B1143" t="s">
        <v>1189</v>
      </c>
    </row>
    <row r="1144" spans="1:2" x14ac:dyDescent="0.25">
      <c r="A1144" t="s">
        <v>2074</v>
      </c>
      <c r="B1144" t="s">
        <v>804</v>
      </c>
    </row>
    <row r="1145" spans="1:2" x14ac:dyDescent="0.25">
      <c r="A1145" t="s">
        <v>2074</v>
      </c>
      <c r="B1145" t="s">
        <v>382</v>
      </c>
    </row>
    <row r="1146" spans="1:2" x14ac:dyDescent="0.25">
      <c r="A1146" t="s">
        <v>2074</v>
      </c>
      <c r="B1146" t="s">
        <v>1217</v>
      </c>
    </row>
    <row r="1147" spans="1:2" x14ac:dyDescent="0.25">
      <c r="A1147" t="s">
        <v>2074</v>
      </c>
      <c r="B1147" t="s">
        <v>1191</v>
      </c>
    </row>
    <row r="1148" spans="1:2" x14ac:dyDescent="0.25">
      <c r="A1148" t="s">
        <v>2074</v>
      </c>
      <c r="B1148" t="s">
        <v>250</v>
      </c>
    </row>
    <row r="1149" spans="1:2" x14ac:dyDescent="0.25">
      <c r="A1149" t="s">
        <v>2074</v>
      </c>
      <c r="B1149" t="s">
        <v>922</v>
      </c>
    </row>
    <row r="1150" spans="1:2" x14ac:dyDescent="0.25">
      <c r="A1150" t="s">
        <v>2074</v>
      </c>
      <c r="B1150" t="s">
        <v>1358</v>
      </c>
    </row>
    <row r="1151" spans="1:2" x14ac:dyDescent="0.25">
      <c r="A1151" t="s">
        <v>2074</v>
      </c>
      <c r="B1151" t="s">
        <v>779</v>
      </c>
    </row>
    <row r="1152" spans="1:2" x14ac:dyDescent="0.25">
      <c r="A1152" t="s">
        <v>2074</v>
      </c>
      <c r="B1152" t="s">
        <v>1193</v>
      </c>
    </row>
    <row r="1153" spans="1:2" x14ac:dyDescent="0.25">
      <c r="A1153" t="s">
        <v>2074</v>
      </c>
      <c r="B1153" t="s">
        <v>604</v>
      </c>
    </row>
    <row r="1154" spans="1:2" x14ac:dyDescent="0.25">
      <c r="A1154" t="s">
        <v>2074</v>
      </c>
      <c r="B1154" t="s">
        <v>1448</v>
      </c>
    </row>
    <row r="1155" spans="1:2" x14ac:dyDescent="0.25">
      <c r="A1155" t="s">
        <v>2074</v>
      </c>
      <c r="B1155" t="s">
        <v>1654</v>
      </c>
    </row>
    <row r="1156" spans="1:2" x14ac:dyDescent="0.25">
      <c r="A1156" t="s">
        <v>2074</v>
      </c>
      <c r="B1156" t="s">
        <v>1060</v>
      </c>
    </row>
    <row r="1157" spans="1:2" x14ac:dyDescent="0.25">
      <c r="A1157" t="s">
        <v>2074</v>
      </c>
      <c r="B1157" t="s">
        <v>1195</v>
      </c>
    </row>
    <row r="1158" spans="1:2" x14ac:dyDescent="0.25">
      <c r="A1158" t="s">
        <v>2074</v>
      </c>
      <c r="B1158" t="s">
        <v>930</v>
      </c>
    </row>
    <row r="1159" spans="1:2" x14ac:dyDescent="0.25">
      <c r="A1159" t="s">
        <v>2074</v>
      </c>
      <c r="B1159" t="s">
        <v>553</v>
      </c>
    </row>
    <row r="1160" spans="1:2" x14ac:dyDescent="0.25">
      <c r="A1160" t="s">
        <v>2074</v>
      </c>
      <c r="B1160" t="s">
        <v>705</v>
      </c>
    </row>
    <row r="1161" spans="1:2" x14ac:dyDescent="0.25">
      <c r="A1161" t="s">
        <v>2074</v>
      </c>
      <c r="B1161" t="s">
        <v>917</v>
      </c>
    </row>
    <row r="1162" spans="1:2" x14ac:dyDescent="0.25">
      <c r="A1162" t="s">
        <v>2074</v>
      </c>
      <c r="B1162" t="s">
        <v>1197</v>
      </c>
    </row>
    <row r="1163" spans="1:2" x14ac:dyDescent="0.25">
      <c r="A1163" t="s">
        <v>2074</v>
      </c>
      <c r="B1163" t="s">
        <v>588</v>
      </c>
    </row>
    <row r="1164" spans="1:2" x14ac:dyDescent="0.25">
      <c r="A1164" t="s">
        <v>2074</v>
      </c>
      <c r="B1164" t="s">
        <v>784</v>
      </c>
    </row>
    <row r="1165" spans="1:2" x14ac:dyDescent="0.25">
      <c r="A1165" t="s">
        <v>2074</v>
      </c>
      <c r="B1165" t="s">
        <v>865</v>
      </c>
    </row>
    <row r="1166" spans="1:2" x14ac:dyDescent="0.25">
      <c r="A1166" t="s">
        <v>2074</v>
      </c>
      <c r="B1166" t="s">
        <v>1157</v>
      </c>
    </row>
    <row r="1167" spans="1:2" x14ac:dyDescent="0.25">
      <c r="A1167" t="s">
        <v>2074</v>
      </c>
      <c r="B1167" t="s">
        <v>1006</v>
      </c>
    </row>
    <row r="1168" spans="1:2" x14ac:dyDescent="0.25">
      <c r="A1168" t="s">
        <v>2074</v>
      </c>
      <c r="B1168" t="s">
        <v>1008</v>
      </c>
    </row>
    <row r="1169" spans="1:2" x14ac:dyDescent="0.25">
      <c r="A1169" t="s">
        <v>2074</v>
      </c>
      <c r="B1169" t="s">
        <v>350</v>
      </c>
    </row>
    <row r="1170" spans="1:2" x14ac:dyDescent="0.25">
      <c r="A1170" t="s">
        <v>2074</v>
      </c>
      <c r="B1170" t="s">
        <v>1198</v>
      </c>
    </row>
    <row r="1171" spans="1:2" x14ac:dyDescent="0.25">
      <c r="A1171" t="s">
        <v>2074</v>
      </c>
      <c r="B1171" t="s">
        <v>1142</v>
      </c>
    </row>
    <row r="1172" spans="1:2" x14ac:dyDescent="0.25">
      <c r="A1172" t="s">
        <v>2074</v>
      </c>
      <c r="B1172" t="s">
        <v>1404</v>
      </c>
    </row>
    <row r="1173" spans="1:2" x14ac:dyDescent="0.25">
      <c r="A1173" t="s">
        <v>2074</v>
      </c>
      <c r="B1173" t="s">
        <v>1159</v>
      </c>
    </row>
    <row r="1174" spans="1:2" x14ac:dyDescent="0.25">
      <c r="A1174" t="s">
        <v>2074</v>
      </c>
      <c r="B1174" t="s">
        <v>587</v>
      </c>
    </row>
    <row r="1175" spans="1:2" x14ac:dyDescent="0.25">
      <c r="A1175" t="s">
        <v>2074</v>
      </c>
      <c r="B1175" t="s">
        <v>1117</v>
      </c>
    </row>
    <row r="1176" spans="1:2" x14ac:dyDescent="0.25">
      <c r="A1176" t="s">
        <v>2074</v>
      </c>
      <c r="B1176" t="s">
        <v>1655</v>
      </c>
    </row>
    <row r="1177" spans="1:2" x14ac:dyDescent="0.25">
      <c r="A1177" t="s">
        <v>2074</v>
      </c>
      <c r="B1177" t="s">
        <v>1656</v>
      </c>
    </row>
    <row r="1178" spans="1:2" x14ac:dyDescent="0.25">
      <c r="A1178" t="s">
        <v>2074</v>
      </c>
      <c r="B1178" t="s">
        <v>1657</v>
      </c>
    </row>
    <row r="1179" spans="1:2" x14ac:dyDescent="0.25">
      <c r="A1179" t="s">
        <v>2074</v>
      </c>
      <c r="B1179" t="s">
        <v>1199</v>
      </c>
    </row>
    <row r="1180" spans="1:2" x14ac:dyDescent="0.25">
      <c r="A1180" t="s">
        <v>2074</v>
      </c>
      <c r="B1180" t="s">
        <v>1201</v>
      </c>
    </row>
    <row r="1181" spans="1:2" x14ac:dyDescent="0.25">
      <c r="A1181" t="s">
        <v>2074</v>
      </c>
      <c r="B1181" t="s">
        <v>1203</v>
      </c>
    </row>
    <row r="1182" spans="1:2" x14ac:dyDescent="0.25">
      <c r="A1182" t="s">
        <v>2074</v>
      </c>
      <c r="B1182" t="s">
        <v>1658</v>
      </c>
    </row>
    <row r="1183" spans="1:2" x14ac:dyDescent="0.25">
      <c r="A1183" t="s">
        <v>2074</v>
      </c>
      <c r="B1183" t="s">
        <v>928</v>
      </c>
    </row>
    <row r="1184" spans="1:2" x14ac:dyDescent="0.25">
      <c r="A1184" t="s">
        <v>2074</v>
      </c>
      <c r="B1184" t="s">
        <v>897</v>
      </c>
    </row>
    <row r="1185" spans="1:2" x14ac:dyDescent="0.25">
      <c r="A1185" t="s">
        <v>2074</v>
      </c>
      <c r="B1185" t="s">
        <v>931</v>
      </c>
    </row>
    <row r="1186" spans="1:2" x14ac:dyDescent="0.25">
      <c r="A1186" t="s">
        <v>2074</v>
      </c>
      <c r="B1186" t="s">
        <v>1050</v>
      </c>
    </row>
    <row r="1187" spans="1:2" x14ac:dyDescent="0.25">
      <c r="A1187" t="s">
        <v>2074</v>
      </c>
      <c r="B1187" t="s">
        <v>1399</v>
      </c>
    </row>
    <row r="1188" spans="1:2" x14ac:dyDescent="0.25">
      <c r="A1188" t="s">
        <v>2074</v>
      </c>
      <c r="B1188" t="s">
        <v>945</v>
      </c>
    </row>
    <row r="1189" spans="1:2" x14ac:dyDescent="0.25">
      <c r="A1189" t="s">
        <v>2074</v>
      </c>
      <c r="B1189" t="s">
        <v>2087</v>
      </c>
    </row>
    <row r="1190" spans="1:2" x14ac:dyDescent="0.25">
      <c r="A1190" t="s">
        <v>2074</v>
      </c>
      <c r="B1190" t="s">
        <v>2088</v>
      </c>
    </row>
    <row r="1191" spans="1:2" x14ac:dyDescent="0.25">
      <c r="A1191" t="s">
        <v>2074</v>
      </c>
      <c r="B1191" t="s">
        <v>1207</v>
      </c>
    </row>
    <row r="1192" spans="1:2" x14ac:dyDescent="0.25">
      <c r="A1192" t="s">
        <v>2074</v>
      </c>
      <c r="B1192" t="s">
        <v>885</v>
      </c>
    </row>
    <row r="1193" spans="1:2" x14ac:dyDescent="0.25">
      <c r="A1193" t="s">
        <v>2074</v>
      </c>
      <c r="B1193" t="s">
        <v>1209</v>
      </c>
    </row>
    <row r="1194" spans="1:2" x14ac:dyDescent="0.25">
      <c r="A1194" t="s">
        <v>2074</v>
      </c>
      <c r="B1194" t="s">
        <v>894</v>
      </c>
    </row>
    <row r="1195" spans="1:2" x14ac:dyDescent="0.25">
      <c r="A1195" t="s">
        <v>2074</v>
      </c>
      <c r="B1195" t="s">
        <v>1210</v>
      </c>
    </row>
    <row r="1196" spans="1:2" x14ac:dyDescent="0.25">
      <c r="A1196" t="s">
        <v>2074</v>
      </c>
      <c r="B1196" t="s">
        <v>1659</v>
      </c>
    </row>
    <row r="1197" spans="1:2" x14ac:dyDescent="0.25">
      <c r="A1197" t="s">
        <v>2074</v>
      </c>
      <c r="B1197" t="s">
        <v>915</v>
      </c>
    </row>
    <row r="1198" spans="1:2" x14ac:dyDescent="0.25">
      <c r="A1198" t="s">
        <v>2074</v>
      </c>
      <c r="B1198" t="s">
        <v>1212</v>
      </c>
    </row>
    <row r="1199" spans="1:2" x14ac:dyDescent="0.25">
      <c r="A1199" t="s">
        <v>2074</v>
      </c>
      <c r="B1199" t="s">
        <v>1377</v>
      </c>
    </row>
    <row r="1200" spans="1:2" x14ac:dyDescent="0.25">
      <c r="A1200" t="s">
        <v>2074</v>
      </c>
      <c r="B1200" t="s">
        <v>218</v>
      </c>
    </row>
    <row r="1201" spans="1:2" x14ac:dyDescent="0.25">
      <c r="A1201" t="s">
        <v>2074</v>
      </c>
      <c r="B1201" t="s">
        <v>1361</v>
      </c>
    </row>
    <row r="1202" spans="1:2" x14ac:dyDescent="0.25">
      <c r="A1202" t="s">
        <v>2074</v>
      </c>
      <c r="B1202" t="s">
        <v>923</v>
      </c>
    </row>
    <row r="1203" spans="1:2" x14ac:dyDescent="0.25">
      <c r="A1203" t="s">
        <v>2074</v>
      </c>
      <c r="B1203" t="s">
        <v>786</v>
      </c>
    </row>
    <row r="1204" spans="1:2" x14ac:dyDescent="0.25">
      <c r="A1204" t="s">
        <v>2074</v>
      </c>
      <c r="B1204" t="s">
        <v>1218</v>
      </c>
    </row>
    <row r="1205" spans="1:2" x14ac:dyDescent="0.25">
      <c r="A1205" t="s">
        <v>2074</v>
      </c>
      <c r="B1205" t="s">
        <v>456</v>
      </c>
    </row>
    <row r="1206" spans="1:2" x14ac:dyDescent="0.25">
      <c r="A1206" t="s">
        <v>2074</v>
      </c>
      <c r="B1206" t="s">
        <v>572</v>
      </c>
    </row>
    <row r="1207" spans="1:2" x14ac:dyDescent="0.25">
      <c r="A1207" t="s">
        <v>2074</v>
      </c>
      <c r="B1207" t="s">
        <v>1696</v>
      </c>
    </row>
    <row r="1208" spans="1:2" x14ac:dyDescent="0.25">
      <c r="A1208" t="s">
        <v>2074</v>
      </c>
      <c r="B1208" t="s">
        <v>1660</v>
      </c>
    </row>
    <row r="1209" spans="1:2" x14ac:dyDescent="0.25">
      <c r="A1209" t="s">
        <v>2074</v>
      </c>
      <c r="B1209" t="s">
        <v>1220</v>
      </c>
    </row>
    <row r="1210" spans="1:2" x14ac:dyDescent="0.25">
      <c r="A1210" t="s">
        <v>2074</v>
      </c>
      <c r="B1210" t="s">
        <v>1221</v>
      </c>
    </row>
    <row r="1211" spans="1:2" x14ac:dyDescent="0.25">
      <c r="A1211" t="s">
        <v>2074</v>
      </c>
      <c r="B1211" t="s">
        <v>1224</v>
      </c>
    </row>
    <row r="1212" spans="1:2" x14ac:dyDescent="0.25">
      <c r="A1212" t="s">
        <v>2074</v>
      </c>
      <c r="B1212" t="s">
        <v>1661</v>
      </c>
    </row>
    <row r="1213" spans="1:2" x14ac:dyDescent="0.25">
      <c r="A1213" t="s">
        <v>2074</v>
      </c>
      <c r="B1213" t="s">
        <v>1662</v>
      </c>
    </row>
    <row r="1214" spans="1:2" x14ac:dyDescent="0.25">
      <c r="A1214" t="s">
        <v>2074</v>
      </c>
      <c r="B1214" t="s">
        <v>870</v>
      </c>
    </row>
    <row r="1215" spans="1:2" x14ac:dyDescent="0.25">
      <c r="A1215" t="s">
        <v>2074</v>
      </c>
      <c r="B1215" t="s">
        <v>874</v>
      </c>
    </row>
    <row r="1216" spans="1:2" x14ac:dyDescent="0.25">
      <c r="A1216" t="s">
        <v>2074</v>
      </c>
      <c r="B1216" t="s">
        <v>448</v>
      </c>
    </row>
    <row r="1217" spans="1:2" x14ac:dyDescent="0.25">
      <c r="A1217" t="s">
        <v>2074</v>
      </c>
      <c r="B1217" t="s">
        <v>1389</v>
      </c>
    </row>
    <row r="1218" spans="1:2" x14ac:dyDescent="0.25">
      <c r="A1218" t="s">
        <v>2074</v>
      </c>
      <c r="B1218" t="s">
        <v>1228</v>
      </c>
    </row>
    <row r="1219" spans="1:2" x14ac:dyDescent="0.25">
      <c r="A1219" t="s">
        <v>2074</v>
      </c>
      <c r="B1219" t="s">
        <v>1231</v>
      </c>
    </row>
    <row r="1220" spans="1:2" x14ac:dyDescent="0.25">
      <c r="A1220" t="s">
        <v>2074</v>
      </c>
      <c r="B1220" t="s">
        <v>408</v>
      </c>
    </row>
    <row r="1221" spans="1:2" x14ac:dyDescent="0.25">
      <c r="A1221" t="s">
        <v>2074</v>
      </c>
      <c r="B1221" t="s">
        <v>1663</v>
      </c>
    </row>
    <row r="1222" spans="1:2" x14ac:dyDescent="0.25">
      <c r="A1222" t="s">
        <v>2074</v>
      </c>
      <c r="B1222" t="s">
        <v>548</v>
      </c>
    </row>
    <row r="1223" spans="1:2" x14ac:dyDescent="0.25">
      <c r="A1223" t="s">
        <v>2074</v>
      </c>
      <c r="B1223" t="s">
        <v>351</v>
      </c>
    </row>
    <row r="1224" spans="1:2" x14ac:dyDescent="0.25">
      <c r="A1224" t="s">
        <v>2074</v>
      </c>
      <c r="B1224" t="s">
        <v>1381</v>
      </c>
    </row>
    <row r="1225" spans="1:2" x14ac:dyDescent="0.25">
      <c r="A1225" t="s">
        <v>2074</v>
      </c>
      <c r="B1225" t="s">
        <v>399</v>
      </c>
    </row>
    <row r="1226" spans="1:2" x14ac:dyDescent="0.25">
      <c r="A1226" t="s">
        <v>2074</v>
      </c>
      <c r="B1226" t="s">
        <v>742</v>
      </c>
    </row>
    <row r="1227" spans="1:2" x14ac:dyDescent="0.25">
      <c r="A1227" t="s">
        <v>2074</v>
      </c>
      <c r="B1227" t="s">
        <v>1664</v>
      </c>
    </row>
    <row r="1228" spans="1:2" x14ac:dyDescent="0.25">
      <c r="A1228" t="s">
        <v>2074</v>
      </c>
      <c r="B1228" t="s">
        <v>2089</v>
      </c>
    </row>
    <row r="1229" spans="1:2" x14ac:dyDescent="0.25">
      <c r="A1229" t="s">
        <v>2074</v>
      </c>
      <c r="B1229" t="s">
        <v>947</v>
      </c>
    </row>
    <row r="1230" spans="1:2" x14ac:dyDescent="0.25">
      <c r="A1230" t="s">
        <v>2074</v>
      </c>
      <c r="B1230" t="s">
        <v>1167</v>
      </c>
    </row>
    <row r="1231" spans="1:2" x14ac:dyDescent="0.25">
      <c r="A1231" t="s">
        <v>2074</v>
      </c>
      <c r="B1231" t="s">
        <v>1438</v>
      </c>
    </row>
    <row r="1232" spans="1:2" x14ac:dyDescent="0.25">
      <c r="A1232" t="s">
        <v>2074</v>
      </c>
      <c r="B1232" t="s">
        <v>900</v>
      </c>
    </row>
    <row r="1233" spans="1:2" x14ac:dyDescent="0.25">
      <c r="A1233" t="s">
        <v>2074</v>
      </c>
      <c r="B1233" t="s">
        <v>901</v>
      </c>
    </row>
    <row r="1234" spans="1:2" x14ac:dyDescent="0.25">
      <c r="A1234" t="s">
        <v>2074</v>
      </c>
      <c r="B1234" t="s">
        <v>756</v>
      </c>
    </row>
    <row r="1235" spans="1:2" x14ac:dyDescent="0.25">
      <c r="A1235" t="s">
        <v>2074</v>
      </c>
      <c r="B1235" t="s">
        <v>757</v>
      </c>
    </row>
    <row r="1236" spans="1:2" x14ac:dyDescent="0.25">
      <c r="A1236" t="s">
        <v>2074</v>
      </c>
      <c r="B1236" t="s">
        <v>899</v>
      </c>
    </row>
    <row r="1237" spans="1:2" x14ac:dyDescent="0.25">
      <c r="A1237" t="s">
        <v>2074</v>
      </c>
      <c r="B1237" t="s">
        <v>733</v>
      </c>
    </row>
    <row r="1238" spans="1:2" x14ac:dyDescent="0.25">
      <c r="A1238" t="s">
        <v>2074</v>
      </c>
      <c r="B1238" t="s">
        <v>708</v>
      </c>
    </row>
    <row r="1239" spans="1:2" x14ac:dyDescent="0.25">
      <c r="A1239" t="s">
        <v>2074</v>
      </c>
      <c r="B1239" t="s">
        <v>707</v>
      </c>
    </row>
    <row r="1240" spans="1:2" x14ac:dyDescent="0.25">
      <c r="A1240" t="s">
        <v>2074</v>
      </c>
      <c r="B1240" t="s">
        <v>706</v>
      </c>
    </row>
    <row r="1241" spans="1:2" x14ac:dyDescent="0.25">
      <c r="A1241" t="s">
        <v>2074</v>
      </c>
      <c r="B1241" t="s">
        <v>709</v>
      </c>
    </row>
    <row r="1242" spans="1:2" x14ac:dyDescent="0.25">
      <c r="A1242" t="s">
        <v>2074</v>
      </c>
      <c r="B1242" t="s">
        <v>726</v>
      </c>
    </row>
    <row r="1243" spans="1:2" x14ac:dyDescent="0.25">
      <c r="A1243" t="s">
        <v>2074</v>
      </c>
      <c r="B1243" t="s">
        <v>729</v>
      </c>
    </row>
    <row r="1244" spans="1:2" x14ac:dyDescent="0.25">
      <c r="A1244" t="s">
        <v>2074</v>
      </c>
      <c r="B1244" t="s">
        <v>711</v>
      </c>
    </row>
    <row r="1245" spans="1:2" x14ac:dyDescent="0.25">
      <c r="A1245" t="s">
        <v>2074</v>
      </c>
      <c r="B1245" t="s">
        <v>713</v>
      </c>
    </row>
    <row r="1246" spans="1:2" x14ac:dyDescent="0.25">
      <c r="A1246" t="s">
        <v>2074</v>
      </c>
      <c r="B1246" t="s">
        <v>712</v>
      </c>
    </row>
    <row r="1247" spans="1:2" x14ac:dyDescent="0.25">
      <c r="A1247" t="s">
        <v>2074</v>
      </c>
      <c r="B1247" t="s">
        <v>722</v>
      </c>
    </row>
    <row r="1248" spans="1:2" x14ac:dyDescent="0.25">
      <c r="A1248" t="s">
        <v>2074</v>
      </c>
      <c r="B1248" t="s">
        <v>716</v>
      </c>
    </row>
    <row r="1249" spans="1:2" x14ac:dyDescent="0.25">
      <c r="A1249" t="s">
        <v>2074</v>
      </c>
      <c r="B1249" t="s">
        <v>717</v>
      </c>
    </row>
    <row r="1250" spans="1:2" x14ac:dyDescent="0.25">
      <c r="A1250" t="s">
        <v>2074</v>
      </c>
      <c r="B1250" t="s">
        <v>718</v>
      </c>
    </row>
    <row r="1251" spans="1:2" x14ac:dyDescent="0.25">
      <c r="A1251" t="s">
        <v>2074</v>
      </c>
      <c r="B1251" t="s">
        <v>714</v>
      </c>
    </row>
    <row r="1252" spans="1:2" x14ac:dyDescent="0.25">
      <c r="A1252" t="s">
        <v>2074</v>
      </c>
      <c r="B1252" t="s">
        <v>715</v>
      </c>
    </row>
    <row r="1253" spans="1:2" x14ac:dyDescent="0.25">
      <c r="A1253" t="s">
        <v>2074</v>
      </c>
      <c r="B1253" t="s">
        <v>723</v>
      </c>
    </row>
    <row r="1254" spans="1:2" x14ac:dyDescent="0.25">
      <c r="A1254" t="s">
        <v>2074</v>
      </c>
      <c r="B1254" t="s">
        <v>719</v>
      </c>
    </row>
    <row r="1255" spans="1:2" x14ac:dyDescent="0.25">
      <c r="A1255" t="s">
        <v>2074</v>
      </c>
      <c r="B1255" t="s">
        <v>724</v>
      </c>
    </row>
    <row r="1256" spans="1:2" x14ac:dyDescent="0.25">
      <c r="A1256" t="s">
        <v>2074</v>
      </c>
      <c r="B1256" t="s">
        <v>720</v>
      </c>
    </row>
    <row r="1257" spans="1:2" x14ac:dyDescent="0.25">
      <c r="A1257" t="s">
        <v>2074</v>
      </c>
      <c r="B1257" t="s">
        <v>1668</v>
      </c>
    </row>
    <row r="1258" spans="1:2" x14ac:dyDescent="0.25">
      <c r="A1258" t="s">
        <v>2074</v>
      </c>
      <c r="B1258" t="s">
        <v>1669</v>
      </c>
    </row>
    <row r="1259" spans="1:2" x14ac:dyDescent="0.25">
      <c r="A1259" t="s">
        <v>2074</v>
      </c>
      <c r="B1259" t="s">
        <v>728</v>
      </c>
    </row>
    <row r="1260" spans="1:2" x14ac:dyDescent="0.25">
      <c r="A1260" t="s">
        <v>2074</v>
      </c>
      <c r="B1260" t="s">
        <v>731</v>
      </c>
    </row>
    <row r="1261" spans="1:2" x14ac:dyDescent="0.25">
      <c r="A1261" t="s">
        <v>2074</v>
      </c>
      <c r="B1261" t="s">
        <v>730</v>
      </c>
    </row>
    <row r="1262" spans="1:2" x14ac:dyDescent="0.25">
      <c r="A1262" t="s">
        <v>2074</v>
      </c>
      <c r="B1262" t="s">
        <v>732</v>
      </c>
    </row>
    <row r="1263" spans="1:2" x14ac:dyDescent="0.25">
      <c r="A1263" t="s">
        <v>2074</v>
      </c>
      <c r="B1263" t="s">
        <v>725</v>
      </c>
    </row>
    <row r="1264" spans="1:2" x14ac:dyDescent="0.25">
      <c r="A1264" t="s">
        <v>2074</v>
      </c>
      <c r="B1264" t="s">
        <v>74</v>
      </c>
    </row>
    <row r="1265" spans="1:2" x14ac:dyDescent="0.25">
      <c r="A1265" t="s">
        <v>2074</v>
      </c>
      <c r="B1265" t="s">
        <v>727</v>
      </c>
    </row>
    <row r="1266" spans="1:2" x14ac:dyDescent="0.25">
      <c r="A1266" t="s">
        <v>2074</v>
      </c>
      <c r="B1266" t="s">
        <v>721</v>
      </c>
    </row>
    <row r="1267" spans="1:2" x14ac:dyDescent="0.25">
      <c r="A1267" t="s">
        <v>2074</v>
      </c>
      <c r="B1267" t="s">
        <v>710</v>
      </c>
    </row>
    <row r="1268" spans="1:2" x14ac:dyDescent="0.25">
      <c r="A1268" t="s">
        <v>2074</v>
      </c>
      <c r="B1268" t="s">
        <v>746</v>
      </c>
    </row>
    <row r="1269" spans="1:2" x14ac:dyDescent="0.25">
      <c r="A1269" t="s">
        <v>2074</v>
      </c>
      <c r="B1269" t="s">
        <v>745</v>
      </c>
    </row>
    <row r="1270" spans="1:2" x14ac:dyDescent="0.25">
      <c r="A1270" t="s">
        <v>2074</v>
      </c>
      <c r="B1270" t="s">
        <v>744</v>
      </c>
    </row>
    <row r="1271" spans="1:2" x14ac:dyDescent="0.25">
      <c r="A1271" t="s">
        <v>2074</v>
      </c>
      <c r="B1271" t="s">
        <v>406</v>
      </c>
    </row>
    <row r="1272" spans="1:2" x14ac:dyDescent="0.25">
      <c r="A1272" t="s">
        <v>2074</v>
      </c>
      <c r="B1272" t="s">
        <v>750</v>
      </c>
    </row>
    <row r="1273" spans="1:2" x14ac:dyDescent="0.25">
      <c r="A1273" t="s">
        <v>2074</v>
      </c>
      <c r="B1273" t="s">
        <v>751</v>
      </c>
    </row>
    <row r="1274" spans="1:2" x14ac:dyDescent="0.25">
      <c r="A1274" t="s">
        <v>2074</v>
      </c>
      <c r="B1274" t="s">
        <v>737</v>
      </c>
    </row>
    <row r="1275" spans="1:2" x14ac:dyDescent="0.25">
      <c r="A1275" t="s">
        <v>2074</v>
      </c>
      <c r="B1275" t="s">
        <v>69</v>
      </c>
    </row>
    <row r="1276" spans="1:2" x14ac:dyDescent="0.25">
      <c r="A1276" t="s">
        <v>2074</v>
      </c>
      <c r="B1276" t="s">
        <v>70</v>
      </c>
    </row>
    <row r="1277" spans="1:2" x14ac:dyDescent="0.25">
      <c r="A1277" t="s">
        <v>2074</v>
      </c>
      <c r="B1277" t="s">
        <v>1136</v>
      </c>
    </row>
    <row r="1278" spans="1:2" x14ac:dyDescent="0.25">
      <c r="A1278" t="s">
        <v>2074</v>
      </c>
      <c r="B1278" t="s">
        <v>741</v>
      </c>
    </row>
    <row r="1279" spans="1:2" x14ac:dyDescent="0.25">
      <c r="A1279" t="s">
        <v>2074</v>
      </c>
      <c r="B1279" t="s">
        <v>75</v>
      </c>
    </row>
    <row r="1280" spans="1:2" x14ac:dyDescent="0.25">
      <c r="A1280" t="s">
        <v>2074</v>
      </c>
      <c r="B1280" t="s">
        <v>1482</v>
      </c>
    </row>
    <row r="1281" spans="1:2" x14ac:dyDescent="0.25">
      <c r="A1281" t="s">
        <v>2074</v>
      </c>
      <c r="B1281" t="s">
        <v>1483</v>
      </c>
    </row>
    <row r="1282" spans="1:2" x14ac:dyDescent="0.25">
      <c r="A1282" t="s">
        <v>2074</v>
      </c>
      <c r="B1282" t="s">
        <v>291</v>
      </c>
    </row>
    <row r="1283" spans="1:2" x14ac:dyDescent="0.25">
      <c r="A1283" t="s">
        <v>2074</v>
      </c>
      <c r="B1283" t="s">
        <v>627</v>
      </c>
    </row>
    <row r="1284" spans="1:2" x14ac:dyDescent="0.25">
      <c r="A1284" t="s">
        <v>2074</v>
      </c>
      <c r="B1284" t="s">
        <v>1480</v>
      </c>
    </row>
    <row r="1285" spans="1:2" x14ac:dyDescent="0.25">
      <c r="A1285" t="s">
        <v>2074</v>
      </c>
      <c r="B1285" t="s">
        <v>1131</v>
      </c>
    </row>
    <row r="1286" spans="1:2" x14ac:dyDescent="0.25">
      <c r="A1286" t="s">
        <v>2074</v>
      </c>
      <c r="B1286" t="s">
        <v>1490</v>
      </c>
    </row>
    <row r="1287" spans="1:2" x14ac:dyDescent="0.25">
      <c r="A1287" t="s">
        <v>2074</v>
      </c>
      <c r="B1287" t="s">
        <v>1479</v>
      </c>
    </row>
    <row r="1288" spans="1:2" x14ac:dyDescent="0.25">
      <c r="A1288" t="s">
        <v>2074</v>
      </c>
      <c r="B1288" t="s">
        <v>1478</v>
      </c>
    </row>
    <row r="1289" spans="1:2" x14ac:dyDescent="0.25">
      <c r="A1289" t="s">
        <v>2074</v>
      </c>
      <c r="B1289" t="s">
        <v>1477</v>
      </c>
    </row>
    <row r="1290" spans="1:2" x14ac:dyDescent="0.25">
      <c r="A1290" t="s">
        <v>2074</v>
      </c>
      <c r="B1290" t="s">
        <v>1484</v>
      </c>
    </row>
    <row r="1291" spans="1:2" x14ac:dyDescent="0.25">
      <c r="A1291" t="s">
        <v>2074</v>
      </c>
      <c r="B1291" t="s">
        <v>1476</v>
      </c>
    </row>
    <row r="1292" spans="1:2" x14ac:dyDescent="0.25">
      <c r="A1292" t="s">
        <v>2074</v>
      </c>
      <c r="B1292" t="s">
        <v>1485</v>
      </c>
    </row>
    <row r="1293" spans="1:2" x14ac:dyDescent="0.25">
      <c r="A1293" t="s">
        <v>2074</v>
      </c>
      <c r="B1293" t="s">
        <v>1481</v>
      </c>
    </row>
    <row r="1294" spans="1:2" x14ac:dyDescent="0.25">
      <c r="A1294" t="s">
        <v>2074</v>
      </c>
      <c r="B1294" t="s">
        <v>71</v>
      </c>
    </row>
    <row r="1295" spans="1:2" x14ac:dyDescent="0.25">
      <c r="A1295" t="s">
        <v>2074</v>
      </c>
      <c r="B1295" t="s">
        <v>1489</v>
      </c>
    </row>
    <row r="1296" spans="1:2" x14ac:dyDescent="0.25">
      <c r="A1296" t="s">
        <v>2074</v>
      </c>
      <c r="B1296" t="s">
        <v>1475</v>
      </c>
    </row>
    <row r="1297" spans="1:2" x14ac:dyDescent="0.25">
      <c r="A1297" t="s">
        <v>2074</v>
      </c>
      <c r="B1297" t="s">
        <v>758</v>
      </c>
    </row>
    <row r="1298" spans="1:2" x14ac:dyDescent="0.25">
      <c r="A1298" t="s">
        <v>2074</v>
      </c>
      <c r="B1298" t="s">
        <v>822</v>
      </c>
    </row>
    <row r="1299" spans="1:2" x14ac:dyDescent="0.25">
      <c r="A1299" t="s">
        <v>2074</v>
      </c>
      <c r="B1299" t="s">
        <v>825</v>
      </c>
    </row>
    <row r="1300" spans="1:2" x14ac:dyDescent="0.25">
      <c r="A1300" t="s">
        <v>2074</v>
      </c>
      <c r="B1300" t="s">
        <v>861</v>
      </c>
    </row>
    <row r="1301" spans="1:2" x14ac:dyDescent="0.25">
      <c r="A1301" t="s">
        <v>2074</v>
      </c>
      <c r="B1301" t="s">
        <v>936</v>
      </c>
    </row>
    <row r="1302" spans="1:2" x14ac:dyDescent="0.25">
      <c r="A1302" t="s">
        <v>2074</v>
      </c>
      <c r="B1302" t="s">
        <v>1234</v>
      </c>
    </row>
    <row r="1303" spans="1:2" x14ac:dyDescent="0.25">
      <c r="A1303" t="s">
        <v>2074</v>
      </c>
      <c r="B1303" t="s">
        <v>974</v>
      </c>
    </row>
    <row r="1304" spans="1:2" x14ac:dyDescent="0.25">
      <c r="A1304" t="s">
        <v>2074</v>
      </c>
      <c r="B1304" t="s">
        <v>1058</v>
      </c>
    </row>
    <row r="1305" spans="1:2" x14ac:dyDescent="0.25">
      <c r="A1305" t="s">
        <v>2074</v>
      </c>
      <c r="B1305" t="s">
        <v>1064</v>
      </c>
    </row>
    <row r="1306" spans="1:2" x14ac:dyDescent="0.25">
      <c r="A1306" t="s">
        <v>2074</v>
      </c>
      <c r="B1306" t="s">
        <v>1416</v>
      </c>
    </row>
    <row r="1307" spans="1:2" x14ac:dyDescent="0.25">
      <c r="A1307" t="s">
        <v>2074</v>
      </c>
      <c r="B1307" t="s">
        <v>1143</v>
      </c>
    </row>
    <row r="1308" spans="1:2" x14ac:dyDescent="0.25">
      <c r="A1308" t="s">
        <v>2074</v>
      </c>
      <c r="B1308" t="s">
        <v>1107</v>
      </c>
    </row>
    <row r="1309" spans="1:2" x14ac:dyDescent="0.25">
      <c r="A1309" t="s">
        <v>2074</v>
      </c>
      <c r="B1309" t="s">
        <v>1333</v>
      </c>
    </row>
    <row r="1310" spans="1:2" x14ac:dyDescent="0.25">
      <c r="A1310" t="s">
        <v>2074</v>
      </c>
      <c r="B1310" t="s">
        <v>1119</v>
      </c>
    </row>
    <row r="1311" spans="1:2" x14ac:dyDescent="0.25">
      <c r="A1311" t="s">
        <v>2074</v>
      </c>
      <c r="B1311" t="s">
        <v>1128</v>
      </c>
    </row>
    <row r="1312" spans="1:2" x14ac:dyDescent="0.25">
      <c r="A1312" t="s">
        <v>2074</v>
      </c>
      <c r="B1312" t="s">
        <v>1120</v>
      </c>
    </row>
    <row r="1313" spans="1:2" x14ac:dyDescent="0.25">
      <c r="A1313" t="s">
        <v>2074</v>
      </c>
      <c r="B1313" t="s">
        <v>1130</v>
      </c>
    </row>
    <row r="1314" spans="1:2" x14ac:dyDescent="0.25">
      <c r="A1314" t="s">
        <v>2074</v>
      </c>
      <c r="B1314" t="s">
        <v>1133</v>
      </c>
    </row>
    <row r="1315" spans="1:2" x14ac:dyDescent="0.25">
      <c r="A1315" t="s">
        <v>2074</v>
      </c>
      <c r="B1315" t="s">
        <v>1498</v>
      </c>
    </row>
    <row r="1316" spans="1:2" x14ac:dyDescent="0.25">
      <c r="A1316" t="s">
        <v>2074</v>
      </c>
      <c r="B1316" t="s">
        <v>1665</v>
      </c>
    </row>
    <row r="1317" spans="1:2" x14ac:dyDescent="0.25">
      <c r="A1317" t="s">
        <v>2074</v>
      </c>
      <c r="B1317" t="s">
        <v>1518</v>
      </c>
    </row>
    <row r="1318" spans="1:2" x14ac:dyDescent="0.25">
      <c r="A1318" t="s">
        <v>2074</v>
      </c>
      <c r="B1318" t="s">
        <v>1529</v>
      </c>
    </row>
    <row r="1319" spans="1:2" x14ac:dyDescent="0.25">
      <c r="A1319" t="s">
        <v>2074</v>
      </c>
      <c r="B1319" t="s">
        <v>1502</v>
      </c>
    </row>
    <row r="1320" spans="1:2" x14ac:dyDescent="0.25">
      <c r="A1320" t="s">
        <v>2074</v>
      </c>
      <c r="B1320" t="s">
        <v>1515</v>
      </c>
    </row>
    <row r="1321" spans="1:2" x14ac:dyDescent="0.25">
      <c r="A1321" t="s">
        <v>2074</v>
      </c>
      <c r="B1321" t="s">
        <v>1516</v>
      </c>
    </row>
    <row r="1322" spans="1:2" x14ac:dyDescent="0.25">
      <c r="A1322" t="s">
        <v>2074</v>
      </c>
      <c r="B1322" t="s">
        <v>1504</v>
      </c>
    </row>
    <row r="1323" spans="1:2" x14ac:dyDescent="0.25">
      <c r="A1323" t="s">
        <v>2074</v>
      </c>
      <c r="B1323" t="s">
        <v>1493</v>
      </c>
    </row>
    <row r="1324" spans="1:2" x14ac:dyDescent="0.25">
      <c r="A1324" t="s">
        <v>2074</v>
      </c>
      <c r="B1324" t="s">
        <v>1494</v>
      </c>
    </row>
    <row r="1325" spans="1:2" x14ac:dyDescent="0.25">
      <c r="A1325" t="s">
        <v>2074</v>
      </c>
      <c r="B1325" t="s">
        <v>1513</v>
      </c>
    </row>
    <row r="1326" spans="1:2" x14ac:dyDescent="0.25">
      <c r="A1326" t="s">
        <v>2074</v>
      </c>
      <c r="B1326" t="s">
        <v>1514</v>
      </c>
    </row>
    <row r="1327" spans="1:2" x14ac:dyDescent="0.25">
      <c r="A1327" t="s">
        <v>2074</v>
      </c>
      <c r="B1327" t="s">
        <v>1495</v>
      </c>
    </row>
    <row r="1328" spans="1:2" x14ac:dyDescent="0.25">
      <c r="A1328" t="s">
        <v>2074</v>
      </c>
      <c r="B1328" t="s">
        <v>1499</v>
      </c>
    </row>
    <row r="1329" spans="1:2" x14ac:dyDescent="0.25">
      <c r="A1329" t="s">
        <v>2074</v>
      </c>
      <c r="B1329" t="s">
        <v>1500</v>
      </c>
    </row>
    <row r="1330" spans="1:2" x14ac:dyDescent="0.25">
      <c r="A1330" t="s">
        <v>2074</v>
      </c>
      <c r="B1330" t="s">
        <v>1497</v>
      </c>
    </row>
    <row r="1331" spans="1:2" x14ac:dyDescent="0.25">
      <c r="A1331" t="s">
        <v>2074</v>
      </c>
      <c r="B1331" t="s">
        <v>1496</v>
      </c>
    </row>
    <row r="1332" spans="1:2" x14ac:dyDescent="0.25">
      <c r="A1332" t="s">
        <v>2074</v>
      </c>
      <c r="B1332" t="s">
        <v>1492</v>
      </c>
    </row>
    <row r="1333" spans="1:2" x14ac:dyDescent="0.25">
      <c r="A1333" t="s">
        <v>2074</v>
      </c>
      <c r="B1333" t="s">
        <v>1491</v>
      </c>
    </row>
    <row r="1334" spans="1:2" x14ac:dyDescent="0.25">
      <c r="A1334" t="s">
        <v>2074</v>
      </c>
      <c r="B1334" t="s">
        <v>1510</v>
      </c>
    </row>
    <row r="1335" spans="1:2" x14ac:dyDescent="0.25">
      <c r="A1335" t="s">
        <v>2074</v>
      </c>
      <c r="B1335" t="s">
        <v>1501</v>
      </c>
    </row>
    <row r="1336" spans="1:2" x14ac:dyDescent="0.25">
      <c r="A1336" t="s">
        <v>2074</v>
      </c>
      <c r="B1336" t="s">
        <v>1517</v>
      </c>
    </row>
    <row r="1337" spans="1:2" x14ac:dyDescent="0.25">
      <c r="A1337" t="s">
        <v>2074</v>
      </c>
      <c r="B1337" t="s">
        <v>1525</v>
      </c>
    </row>
    <row r="1338" spans="1:2" x14ac:dyDescent="0.25">
      <c r="A1338" t="s">
        <v>2074</v>
      </c>
      <c r="B1338" t="s">
        <v>1511</v>
      </c>
    </row>
    <row r="1339" spans="1:2" x14ac:dyDescent="0.25">
      <c r="A1339" t="s">
        <v>2074</v>
      </c>
      <c r="B1339" t="s">
        <v>1528</v>
      </c>
    </row>
    <row r="1340" spans="1:2" x14ac:dyDescent="0.25">
      <c r="A1340" t="s">
        <v>2074</v>
      </c>
      <c r="B1340" t="s">
        <v>1519</v>
      </c>
    </row>
    <row r="1341" spans="1:2" x14ac:dyDescent="0.25">
      <c r="A1341" t="s">
        <v>2074</v>
      </c>
      <c r="B1341" t="s">
        <v>1503</v>
      </c>
    </row>
    <row r="1342" spans="1:2" x14ac:dyDescent="0.25">
      <c r="A1342" t="s">
        <v>2074</v>
      </c>
      <c r="B1342" t="s">
        <v>1526</v>
      </c>
    </row>
    <row r="1343" spans="1:2" x14ac:dyDescent="0.25">
      <c r="A1343" t="s">
        <v>2074</v>
      </c>
      <c r="B1343" t="s">
        <v>1527</v>
      </c>
    </row>
    <row r="1344" spans="1:2" x14ac:dyDescent="0.25">
      <c r="A1344" t="s">
        <v>2074</v>
      </c>
      <c r="B1344" t="s">
        <v>1506</v>
      </c>
    </row>
    <row r="1345" spans="1:2" x14ac:dyDescent="0.25">
      <c r="A1345" t="s">
        <v>2074</v>
      </c>
      <c r="B1345" t="s">
        <v>1508</v>
      </c>
    </row>
    <row r="1346" spans="1:2" x14ac:dyDescent="0.25">
      <c r="A1346" t="s">
        <v>2074</v>
      </c>
      <c r="B1346" t="s">
        <v>1509</v>
      </c>
    </row>
    <row r="1347" spans="1:2" x14ac:dyDescent="0.25">
      <c r="A1347" t="s">
        <v>2074</v>
      </c>
      <c r="B1347" t="s">
        <v>1520</v>
      </c>
    </row>
    <row r="1348" spans="1:2" x14ac:dyDescent="0.25">
      <c r="A1348" t="s">
        <v>2074</v>
      </c>
      <c r="B1348" t="s">
        <v>1521</v>
      </c>
    </row>
    <row r="1349" spans="1:2" x14ac:dyDescent="0.25">
      <c r="A1349" t="s">
        <v>2074</v>
      </c>
      <c r="B1349" t="s">
        <v>1512</v>
      </c>
    </row>
    <row r="1350" spans="1:2" x14ac:dyDescent="0.25">
      <c r="A1350" t="s">
        <v>2074</v>
      </c>
      <c r="B1350" t="s">
        <v>1507</v>
      </c>
    </row>
    <row r="1351" spans="1:2" x14ac:dyDescent="0.25">
      <c r="A1351" t="s">
        <v>2074</v>
      </c>
      <c r="B1351" t="s">
        <v>1505</v>
      </c>
    </row>
    <row r="1352" spans="1:2" x14ac:dyDescent="0.25">
      <c r="A1352" t="s">
        <v>2074</v>
      </c>
      <c r="B1352" t="s">
        <v>1522</v>
      </c>
    </row>
    <row r="1353" spans="1:2" x14ac:dyDescent="0.25">
      <c r="A1353" t="s">
        <v>2074</v>
      </c>
      <c r="B1353" t="s">
        <v>1523</v>
      </c>
    </row>
    <row r="1354" spans="1:2" x14ac:dyDescent="0.25">
      <c r="A1354" t="s">
        <v>2074</v>
      </c>
      <c r="B1354" t="s">
        <v>1524</v>
      </c>
    </row>
    <row r="1355" spans="1:2" x14ac:dyDescent="0.25">
      <c r="A1355" t="s">
        <v>2074</v>
      </c>
      <c r="B1355" t="s">
        <v>1666</v>
      </c>
    </row>
    <row r="1356" spans="1:2" x14ac:dyDescent="0.25">
      <c r="A1356" t="s">
        <v>2090</v>
      </c>
      <c r="B1356" t="s">
        <v>1898</v>
      </c>
    </row>
    <row r="1357" spans="1:2" x14ac:dyDescent="0.25">
      <c r="A1357" t="s">
        <v>2090</v>
      </c>
      <c r="B1357" t="s">
        <v>1899</v>
      </c>
    </row>
    <row r="1358" spans="1:2" x14ac:dyDescent="0.25">
      <c r="A1358" t="s">
        <v>2090</v>
      </c>
      <c r="B1358" t="s">
        <v>1694</v>
      </c>
    </row>
    <row r="1359" spans="1:2" x14ac:dyDescent="0.25">
      <c r="A1359" t="s">
        <v>2090</v>
      </c>
      <c r="B1359" t="s">
        <v>2060</v>
      </c>
    </row>
    <row r="1360" spans="1:2" x14ac:dyDescent="0.25">
      <c r="A1360" t="s">
        <v>2090</v>
      </c>
      <c r="B1360" t="s">
        <v>1760</v>
      </c>
    </row>
    <row r="1361" spans="1:2" x14ac:dyDescent="0.25">
      <c r="A1361" t="s">
        <v>2090</v>
      </c>
      <c r="B1361" t="s">
        <v>1764</v>
      </c>
    </row>
    <row r="1362" spans="1:2" x14ac:dyDescent="0.25">
      <c r="A1362" t="s">
        <v>2090</v>
      </c>
      <c r="B1362" t="s">
        <v>1704</v>
      </c>
    </row>
    <row r="1363" spans="1:2" x14ac:dyDescent="0.25">
      <c r="A1363" t="s">
        <v>2090</v>
      </c>
      <c r="B1363" t="s">
        <v>1703</v>
      </c>
    </row>
    <row r="1364" spans="1:2" x14ac:dyDescent="0.25">
      <c r="A1364" t="s">
        <v>2090</v>
      </c>
      <c r="B1364" t="s">
        <v>1872</v>
      </c>
    </row>
    <row r="1365" spans="1:2" x14ac:dyDescent="0.25">
      <c r="A1365" t="s">
        <v>2090</v>
      </c>
      <c r="B1365" t="s">
        <v>1985</v>
      </c>
    </row>
    <row r="1366" spans="1:2" x14ac:dyDescent="0.25">
      <c r="A1366" t="s">
        <v>2090</v>
      </c>
      <c r="B1366" t="s">
        <v>1986</v>
      </c>
    </row>
    <row r="1367" spans="1:2" x14ac:dyDescent="0.25">
      <c r="A1367" t="s">
        <v>2090</v>
      </c>
      <c r="B1367" t="s">
        <v>1987</v>
      </c>
    </row>
    <row r="1368" spans="1:2" x14ac:dyDescent="0.25">
      <c r="A1368" t="s">
        <v>2090</v>
      </c>
      <c r="B1368" t="s">
        <v>1873</v>
      </c>
    </row>
    <row r="1369" spans="1:2" x14ac:dyDescent="0.25">
      <c r="A1369" t="s">
        <v>2090</v>
      </c>
      <c r="B1369" t="s">
        <v>1989</v>
      </c>
    </row>
    <row r="1370" spans="1:2" x14ac:dyDescent="0.25">
      <c r="A1370" t="s">
        <v>2090</v>
      </c>
      <c r="B1370" t="s">
        <v>1810</v>
      </c>
    </row>
    <row r="1371" spans="1:2" x14ac:dyDescent="0.25">
      <c r="A1371" t="s">
        <v>2090</v>
      </c>
      <c r="B1371" t="s">
        <v>1874</v>
      </c>
    </row>
    <row r="1372" spans="1:2" x14ac:dyDescent="0.25">
      <c r="A1372" t="s">
        <v>2090</v>
      </c>
      <c r="B1372" t="s">
        <v>1811</v>
      </c>
    </row>
    <row r="1373" spans="1:2" x14ac:dyDescent="0.25">
      <c r="A1373" t="s">
        <v>2090</v>
      </c>
      <c r="B1373" t="s">
        <v>1812</v>
      </c>
    </row>
    <row r="1374" spans="1:2" x14ac:dyDescent="0.25">
      <c r="A1374" t="s">
        <v>2090</v>
      </c>
      <c r="B1374" t="s">
        <v>1813</v>
      </c>
    </row>
    <row r="1375" spans="1:2" x14ac:dyDescent="0.25">
      <c r="A1375" t="s">
        <v>2090</v>
      </c>
      <c r="B1375" t="s">
        <v>1990</v>
      </c>
    </row>
    <row r="1376" spans="1:2" x14ac:dyDescent="0.25">
      <c r="A1376" t="s">
        <v>2090</v>
      </c>
      <c r="B1376" t="s">
        <v>1991</v>
      </c>
    </row>
    <row r="1377" spans="1:2" x14ac:dyDescent="0.25">
      <c r="A1377" t="s">
        <v>2090</v>
      </c>
      <c r="B1377" t="s">
        <v>2000</v>
      </c>
    </row>
    <row r="1378" spans="1:2" x14ac:dyDescent="0.25">
      <c r="A1378" t="s">
        <v>2090</v>
      </c>
      <c r="B1378" t="s">
        <v>1767</v>
      </c>
    </row>
    <row r="1379" spans="1:2" x14ac:dyDescent="0.25">
      <c r="A1379" t="s">
        <v>2090</v>
      </c>
      <c r="B1379" t="s">
        <v>1768</v>
      </c>
    </row>
    <row r="1380" spans="1:2" x14ac:dyDescent="0.25">
      <c r="A1380" t="s">
        <v>2090</v>
      </c>
      <c r="B1380" t="s">
        <v>1769</v>
      </c>
    </row>
    <row r="1381" spans="1:2" x14ac:dyDescent="0.25">
      <c r="A1381" t="s">
        <v>2090</v>
      </c>
      <c r="B1381" t="s">
        <v>1869</v>
      </c>
    </row>
    <row r="1382" spans="1:2" x14ac:dyDescent="0.25">
      <c r="A1382" t="s">
        <v>2090</v>
      </c>
      <c r="B1382" t="s">
        <v>1988</v>
      </c>
    </row>
    <row r="1383" spans="1:2" x14ac:dyDescent="0.25">
      <c r="A1383" t="s">
        <v>2090</v>
      </c>
      <c r="B1383" t="s">
        <v>1870</v>
      </c>
    </row>
    <row r="1384" spans="1:2" x14ac:dyDescent="0.25">
      <c r="A1384" t="s">
        <v>2090</v>
      </c>
      <c r="B1384" t="s">
        <v>2001</v>
      </c>
    </row>
    <row r="1385" spans="1:2" x14ac:dyDescent="0.25">
      <c r="A1385" t="s">
        <v>2090</v>
      </c>
      <c r="B1385" t="s">
        <v>1815</v>
      </c>
    </row>
    <row r="1386" spans="1:2" x14ac:dyDescent="0.25">
      <c r="A1386" t="s">
        <v>2090</v>
      </c>
      <c r="B1386" t="s">
        <v>1871</v>
      </c>
    </row>
    <row r="1387" spans="1:2" x14ac:dyDescent="0.25">
      <c r="A1387" t="s">
        <v>2090</v>
      </c>
      <c r="B1387" t="s">
        <v>2003</v>
      </c>
    </row>
    <row r="1388" spans="1:2" x14ac:dyDescent="0.25">
      <c r="A1388" t="s">
        <v>2090</v>
      </c>
      <c r="B1388" t="s">
        <v>2004</v>
      </c>
    </row>
    <row r="1389" spans="1:2" x14ac:dyDescent="0.25">
      <c r="A1389" t="s">
        <v>2090</v>
      </c>
      <c r="B1389" t="s">
        <v>2005</v>
      </c>
    </row>
    <row r="1390" spans="1:2" x14ac:dyDescent="0.25">
      <c r="A1390" t="s">
        <v>2090</v>
      </c>
      <c r="B1390" t="s">
        <v>1984</v>
      </c>
    </row>
    <row r="1391" spans="1:2" x14ac:dyDescent="0.25">
      <c r="A1391" t="s">
        <v>2090</v>
      </c>
      <c r="B1391" t="s">
        <v>2002</v>
      </c>
    </row>
    <row r="1392" spans="1:2" x14ac:dyDescent="0.25">
      <c r="A1392" t="s">
        <v>2090</v>
      </c>
      <c r="B1392" t="s">
        <v>1803</v>
      </c>
    </row>
    <row r="1393" spans="1:2" x14ac:dyDescent="0.25">
      <c r="A1393" t="s">
        <v>2090</v>
      </c>
      <c r="B1393" t="s">
        <v>1816</v>
      </c>
    </row>
    <row r="1394" spans="1:2" x14ac:dyDescent="0.25">
      <c r="A1394" t="s">
        <v>2090</v>
      </c>
      <c r="B1394" t="s">
        <v>1817</v>
      </c>
    </row>
    <row r="1395" spans="1:2" x14ac:dyDescent="0.25">
      <c r="A1395" t="s">
        <v>2090</v>
      </c>
      <c r="B1395" t="s">
        <v>1979</v>
      </c>
    </row>
    <row r="1396" spans="1:2" x14ac:dyDescent="0.25">
      <c r="A1396" t="s">
        <v>2090</v>
      </c>
      <c r="B1396" t="s">
        <v>1980</v>
      </c>
    </row>
    <row r="1397" spans="1:2" x14ac:dyDescent="0.25">
      <c r="A1397" t="s">
        <v>2090</v>
      </c>
      <c r="B1397" t="s">
        <v>1981</v>
      </c>
    </row>
    <row r="1398" spans="1:2" x14ac:dyDescent="0.25">
      <c r="A1398" t="s">
        <v>2090</v>
      </c>
      <c r="B1398" t="s">
        <v>1982</v>
      </c>
    </row>
    <row r="1399" spans="1:2" x14ac:dyDescent="0.25">
      <c r="A1399" t="s">
        <v>2090</v>
      </c>
      <c r="B1399" t="s">
        <v>1830</v>
      </c>
    </row>
    <row r="1400" spans="1:2" x14ac:dyDescent="0.25">
      <c r="A1400" t="s">
        <v>2090</v>
      </c>
      <c r="B1400" t="s">
        <v>1832</v>
      </c>
    </row>
    <row r="1401" spans="1:2" x14ac:dyDescent="0.25">
      <c r="A1401" t="s">
        <v>2090</v>
      </c>
      <c r="B1401" t="s">
        <v>1831</v>
      </c>
    </row>
    <row r="1402" spans="1:2" x14ac:dyDescent="0.25">
      <c r="A1402" t="s">
        <v>2090</v>
      </c>
      <c r="B1402" t="s">
        <v>1875</v>
      </c>
    </row>
    <row r="1403" spans="1:2" x14ac:dyDescent="0.25">
      <c r="A1403" t="s">
        <v>2090</v>
      </c>
      <c r="B1403" t="s">
        <v>1876</v>
      </c>
    </row>
    <row r="1404" spans="1:2" x14ac:dyDescent="0.25">
      <c r="A1404" t="s">
        <v>2090</v>
      </c>
      <c r="B1404" t="s">
        <v>1877</v>
      </c>
    </row>
    <row r="1405" spans="1:2" x14ac:dyDescent="0.25">
      <c r="A1405" t="s">
        <v>2090</v>
      </c>
      <c r="B1405" t="s">
        <v>1878</v>
      </c>
    </row>
    <row r="1406" spans="1:2" x14ac:dyDescent="0.25">
      <c r="A1406" t="s">
        <v>2090</v>
      </c>
      <c r="B1406" t="s">
        <v>1879</v>
      </c>
    </row>
    <row r="1407" spans="1:2" x14ac:dyDescent="0.25">
      <c r="A1407" t="s">
        <v>2090</v>
      </c>
      <c r="B1407" t="s">
        <v>1880</v>
      </c>
    </row>
    <row r="1408" spans="1:2" x14ac:dyDescent="0.25">
      <c r="A1408" t="s">
        <v>2090</v>
      </c>
      <c r="B1408" t="s">
        <v>1881</v>
      </c>
    </row>
    <row r="1409" spans="1:2" x14ac:dyDescent="0.25">
      <c r="A1409" t="s">
        <v>2090</v>
      </c>
      <c r="B1409" t="s">
        <v>1836</v>
      </c>
    </row>
    <row r="1410" spans="1:2" x14ac:dyDescent="0.25">
      <c r="A1410" t="s">
        <v>2090</v>
      </c>
      <c r="B1410" t="s">
        <v>1835</v>
      </c>
    </row>
    <row r="1411" spans="1:2" x14ac:dyDescent="0.25">
      <c r="A1411" t="s">
        <v>2090</v>
      </c>
      <c r="B1411" t="s">
        <v>1850</v>
      </c>
    </row>
    <row r="1412" spans="1:2" x14ac:dyDescent="0.25">
      <c r="A1412" t="s">
        <v>2090</v>
      </c>
      <c r="B1412" t="s">
        <v>1851</v>
      </c>
    </row>
    <row r="1413" spans="1:2" x14ac:dyDescent="0.25">
      <c r="A1413" t="s">
        <v>2090</v>
      </c>
      <c r="B1413" t="s">
        <v>1846</v>
      </c>
    </row>
    <row r="1414" spans="1:2" x14ac:dyDescent="0.25">
      <c r="A1414" t="s">
        <v>2090</v>
      </c>
      <c r="B1414" t="s">
        <v>1960</v>
      </c>
    </row>
    <row r="1415" spans="1:2" x14ac:dyDescent="0.25">
      <c r="A1415" t="s">
        <v>2090</v>
      </c>
      <c r="B1415" t="s">
        <v>1961</v>
      </c>
    </row>
    <row r="1416" spans="1:2" x14ac:dyDescent="0.25">
      <c r="A1416" t="s">
        <v>2090</v>
      </c>
      <c r="B1416" t="s">
        <v>1975</v>
      </c>
    </row>
    <row r="1417" spans="1:2" x14ac:dyDescent="0.25">
      <c r="A1417" t="s">
        <v>2090</v>
      </c>
      <c r="B1417" t="s">
        <v>2091</v>
      </c>
    </row>
    <row r="1418" spans="1:2" x14ac:dyDescent="0.25">
      <c r="A1418" t="s">
        <v>2090</v>
      </c>
      <c r="B1418" t="s">
        <v>1965</v>
      </c>
    </row>
    <row r="1419" spans="1:2" x14ac:dyDescent="0.25">
      <c r="A1419" t="s">
        <v>2090</v>
      </c>
      <c r="B1419" t="s">
        <v>1966</v>
      </c>
    </row>
    <row r="1420" spans="1:2" x14ac:dyDescent="0.25">
      <c r="A1420" t="s">
        <v>2090</v>
      </c>
      <c r="B1420" t="s">
        <v>1967</v>
      </c>
    </row>
    <row r="1421" spans="1:2" x14ac:dyDescent="0.25">
      <c r="A1421" t="s">
        <v>2090</v>
      </c>
      <c r="B1421" t="s">
        <v>1968</v>
      </c>
    </row>
    <row r="1422" spans="1:2" x14ac:dyDescent="0.25">
      <c r="A1422" t="s">
        <v>2090</v>
      </c>
      <c r="B1422" t="s">
        <v>1962</v>
      </c>
    </row>
    <row r="1423" spans="1:2" x14ac:dyDescent="0.25">
      <c r="A1423" t="s">
        <v>2090</v>
      </c>
      <c r="B1423" t="s">
        <v>1969</v>
      </c>
    </row>
    <row r="1424" spans="1:2" x14ac:dyDescent="0.25">
      <c r="A1424" t="s">
        <v>2090</v>
      </c>
      <c r="B1424" t="s">
        <v>1970</v>
      </c>
    </row>
    <row r="1425" spans="1:2" x14ac:dyDescent="0.25">
      <c r="A1425" t="s">
        <v>2090</v>
      </c>
      <c r="B1425" t="s">
        <v>1971</v>
      </c>
    </row>
    <row r="1426" spans="1:2" x14ac:dyDescent="0.25">
      <c r="A1426" t="s">
        <v>2090</v>
      </c>
      <c r="B1426" t="s">
        <v>1976</v>
      </c>
    </row>
    <row r="1427" spans="1:2" x14ac:dyDescent="0.25">
      <c r="A1427" t="s">
        <v>2090</v>
      </c>
      <c r="B1427" t="s">
        <v>1963</v>
      </c>
    </row>
    <row r="1428" spans="1:2" x14ac:dyDescent="0.25">
      <c r="A1428" t="s">
        <v>2090</v>
      </c>
      <c r="B1428" t="s">
        <v>1972</v>
      </c>
    </row>
    <row r="1429" spans="1:2" x14ac:dyDescent="0.25">
      <c r="A1429" t="s">
        <v>2090</v>
      </c>
      <c r="B1429" t="s">
        <v>1964</v>
      </c>
    </row>
    <row r="1430" spans="1:2" x14ac:dyDescent="0.25">
      <c r="A1430" t="s">
        <v>2090</v>
      </c>
      <c r="B1430" t="s">
        <v>1973</v>
      </c>
    </row>
    <row r="1431" spans="1:2" x14ac:dyDescent="0.25">
      <c r="A1431" t="s">
        <v>2090</v>
      </c>
      <c r="B1431" t="s">
        <v>1974</v>
      </c>
    </row>
    <row r="1432" spans="1:2" x14ac:dyDescent="0.25">
      <c r="A1432" t="s">
        <v>2090</v>
      </c>
      <c r="B1432" t="s">
        <v>2054</v>
      </c>
    </row>
    <row r="1433" spans="1:2" x14ac:dyDescent="0.25">
      <c r="A1433" t="s">
        <v>2090</v>
      </c>
      <c r="B1433" t="s">
        <v>2053</v>
      </c>
    </row>
    <row r="1434" spans="1:2" x14ac:dyDescent="0.25">
      <c r="A1434" t="s">
        <v>2090</v>
      </c>
      <c r="B1434" t="s">
        <v>2058</v>
      </c>
    </row>
    <row r="1435" spans="1:2" x14ac:dyDescent="0.25">
      <c r="A1435" t="s">
        <v>2090</v>
      </c>
      <c r="B1435" t="s">
        <v>1686</v>
      </c>
    </row>
    <row r="1436" spans="1:2" x14ac:dyDescent="0.25">
      <c r="A1436" t="s">
        <v>2090</v>
      </c>
      <c r="B1436" t="s">
        <v>2038</v>
      </c>
    </row>
    <row r="1437" spans="1:2" x14ac:dyDescent="0.25">
      <c r="A1437" t="s">
        <v>2090</v>
      </c>
      <c r="B1437" t="s">
        <v>1687</v>
      </c>
    </row>
    <row r="1438" spans="1:2" x14ac:dyDescent="0.25">
      <c r="A1438" t="s">
        <v>2090</v>
      </c>
      <c r="B1438" t="s">
        <v>2039</v>
      </c>
    </row>
    <row r="1439" spans="1:2" x14ac:dyDescent="0.25">
      <c r="A1439" t="s">
        <v>2090</v>
      </c>
      <c r="B1439" t="s">
        <v>2040</v>
      </c>
    </row>
    <row r="1440" spans="1:2" x14ac:dyDescent="0.25">
      <c r="A1440" t="s">
        <v>2090</v>
      </c>
      <c r="B1440" t="s">
        <v>2092</v>
      </c>
    </row>
    <row r="1441" spans="1:2" x14ac:dyDescent="0.25">
      <c r="A1441" t="s">
        <v>2090</v>
      </c>
      <c r="B1441" t="s">
        <v>2061</v>
      </c>
    </row>
    <row r="1442" spans="1:2" x14ac:dyDescent="0.25">
      <c r="A1442" t="s">
        <v>2090</v>
      </c>
      <c r="B1442" t="s">
        <v>2035</v>
      </c>
    </row>
    <row r="1443" spans="1:2" x14ac:dyDescent="0.25">
      <c r="A1443" t="s">
        <v>2090</v>
      </c>
      <c r="B1443" t="s">
        <v>1842</v>
      </c>
    </row>
    <row r="1444" spans="1:2" x14ac:dyDescent="0.25">
      <c r="A1444" t="s">
        <v>2090</v>
      </c>
      <c r="B1444" t="s">
        <v>1843</v>
      </c>
    </row>
    <row r="1445" spans="1:2" x14ac:dyDescent="0.25">
      <c r="A1445" t="s">
        <v>2090</v>
      </c>
      <c r="B1445" t="s">
        <v>1999</v>
      </c>
    </row>
    <row r="1446" spans="1:2" x14ac:dyDescent="0.25">
      <c r="A1446" t="s">
        <v>2090</v>
      </c>
      <c r="B1446" t="s">
        <v>2063</v>
      </c>
    </row>
    <row r="1447" spans="1:2" x14ac:dyDescent="0.25">
      <c r="A1447" t="s">
        <v>2090</v>
      </c>
      <c r="B1447" t="s">
        <v>2062</v>
      </c>
    </row>
    <row r="1448" spans="1:2" x14ac:dyDescent="0.25">
      <c r="A1448" t="s">
        <v>2090</v>
      </c>
      <c r="B1448" t="s">
        <v>2041</v>
      </c>
    </row>
    <row r="1449" spans="1:2" x14ac:dyDescent="0.25">
      <c r="A1449" t="s">
        <v>2090</v>
      </c>
      <c r="B1449" t="s">
        <v>2042</v>
      </c>
    </row>
    <row r="1450" spans="1:2" x14ac:dyDescent="0.25">
      <c r="A1450" t="s">
        <v>2090</v>
      </c>
      <c r="B1450" t="s">
        <v>1700</v>
      </c>
    </row>
    <row r="1451" spans="1:2" x14ac:dyDescent="0.25">
      <c r="A1451" t="s">
        <v>2090</v>
      </c>
      <c r="B1451" t="s">
        <v>2093</v>
      </c>
    </row>
    <row r="1452" spans="1:2" x14ac:dyDescent="0.25">
      <c r="A1452" t="s">
        <v>2090</v>
      </c>
      <c r="B1452" t="s">
        <v>1862</v>
      </c>
    </row>
    <row r="1453" spans="1:2" x14ac:dyDescent="0.25">
      <c r="A1453" t="s">
        <v>2090</v>
      </c>
      <c r="B1453" t="s">
        <v>1761</v>
      </c>
    </row>
    <row r="1454" spans="1:2" x14ac:dyDescent="0.25">
      <c r="A1454" t="s">
        <v>2090</v>
      </c>
      <c r="B1454" t="s">
        <v>1765</v>
      </c>
    </row>
    <row r="1455" spans="1:2" x14ac:dyDescent="0.25">
      <c r="A1455" t="s">
        <v>2090</v>
      </c>
      <c r="B1455" t="s">
        <v>68</v>
      </c>
    </row>
    <row r="1456" spans="1:2" x14ac:dyDescent="0.25">
      <c r="A1456" t="s">
        <v>2090</v>
      </c>
      <c r="B1456" t="s">
        <v>67</v>
      </c>
    </row>
    <row r="1457" spans="1:2" x14ac:dyDescent="0.25">
      <c r="A1457" t="s">
        <v>2090</v>
      </c>
      <c r="B1457" t="s">
        <v>2043</v>
      </c>
    </row>
    <row r="1458" spans="1:2" x14ac:dyDescent="0.25">
      <c r="A1458" t="s">
        <v>2090</v>
      </c>
      <c r="B1458" t="s">
        <v>2059</v>
      </c>
    </row>
    <row r="1459" spans="1:2" x14ac:dyDescent="0.25">
      <c r="A1459" t="s">
        <v>2090</v>
      </c>
      <c r="B1459" t="s">
        <v>1699</v>
      </c>
    </row>
    <row r="1460" spans="1:2" x14ac:dyDescent="0.25">
      <c r="A1460" t="s">
        <v>2090</v>
      </c>
      <c r="B1460" t="s">
        <v>1856</v>
      </c>
    </row>
    <row r="1461" spans="1:2" x14ac:dyDescent="0.25">
      <c r="A1461" t="s">
        <v>2090</v>
      </c>
      <c r="B1461" t="s">
        <v>1859</v>
      </c>
    </row>
    <row r="1462" spans="1:2" x14ac:dyDescent="0.25">
      <c r="A1462" t="s">
        <v>2090</v>
      </c>
      <c r="B1462" t="s">
        <v>1994</v>
      </c>
    </row>
    <row r="1463" spans="1:2" x14ac:dyDescent="0.25">
      <c r="A1463" t="s">
        <v>2090</v>
      </c>
      <c r="B1463" t="s">
        <v>1995</v>
      </c>
    </row>
    <row r="1464" spans="1:2" x14ac:dyDescent="0.25">
      <c r="A1464" t="s">
        <v>2090</v>
      </c>
      <c r="B1464" t="s">
        <v>1996</v>
      </c>
    </row>
    <row r="1465" spans="1:2" x14ac:dyDescent="0.25">
      <c r="A1465" t="s">
        <v>2090</v>
      </c>
      <c r="B1465" t="s">
        <v>1997</v>
      </c>
    </row>
    <row r="1466" spans="1:2" x14ac:dyDescent="0.25">
      <c r="A1466" t="s">
        <v>2090</v>
      </c>
      <c r="B1466" t="s">
        <v>1849</v>
      </c>
    </row>
    <row r="1467" spans="1:2" x14ac:dyDescent="0.25">
      <c r="A1467" t="s">
        <v>2090</v>
      </c>
      <c r="B1467" t="s">
        <v>1487</v>
      </c>
    </row>
    <row r="1468" spans="1:2" x14ac:dyDescent="0.25">
      <c r="A1468" t="s">
        <v>2090</v>
      </c>
      <c r="B1468" t="s">
        <v>78</v>
      </c>
    </row>
    <row r="1469" spans="1:2" x14ac:dyDescent="0.25">
      <c r="A1469" t="s">
        <v>2090</v>
      </c>
      <c r="B1469" t="s">
        <v>72</v>
      </c>
    </row>
    <row r="1470" spans="1:2" x14ac:dyDescent="0.25">
      <c r="A1470" t="s">
        <v>2090</v>
      </c>
      <c r="B1470" t="s">
        <v>1863</v>
      </c>
    </row>
    <row r="1471" spans="1:2" x14ac:dyDescent="0.25">
      <c r="A1471" t="s">
        <v>2090</v>
      </c>
      <c r="B1471" t="s">
        <v>79</v>
      </c>
    </row>
    <row r="1472" spans="1:2" x14ac:dyDescent="0.25">
      <c r="A1472" t="s">
        <v>2090</v>
      </c>
      <c r="B1472" t="s">
        <v>80</v>
      </c>
    </row>
    <row r="1473" spans="1:2" x14ac:dyDescent="0.25">
      <c r="A1473" t="s">
        <v>2090</v>
      </c>
      <c r="B1473" t="s">
        <v>81</v>
      </c>
    </row>
    <row r="1474" spans="1:2" x14ac:dyDescent="0.25">
      <c r="A1474" t="s">
        <v>2090</v>
      </c>
      <c r="B1474" t="s">
        <v>82</v>
      </c>
    </row>
    <row r="1475" spans="1:2" x14ac:dyDescent="0.25">
      <c r="A1475" t="s">
        <v>2090</v>
      </c>
      <c r="B1475" t="s">
        <v>1472</v>
      </c>
    </row>
    <row r="1476" spans="1:2" x14ac:dyDescent="0.25">
      <c r="A1476" t="s">
        <v>2090</v>
      </c>
      <c r="B1476" t="s">
        <v>1977</v>
      </c>
    </row>
    <row r="1477" spans="1:2" x14ac:dyDescent="0.25">
      <c r="A1477" t="s">
        <v>2090</v>
      </c>
      <c r="B1477" t="s">
        <v>1978</v>
      </c>
    </row>
    <row r="1478" spans="1:2" x14ac:dyDescent="0.25">
      <c r="A1478" t="s">
        <v>2090</v>
      </c>
      <c r="B1478" t="s">
        <v>2094</v>
      </c>
    </row>
    <row r="1479" spans="1:2" x14ac:dyDescent="0.25">
      <c r="A1479" t="s">
        <v>2090</v>
      </c>
      <c r="B1479" t="s">
        <v>354</v>
      </c>
    </row>
    <row r="1480" spans="1:2" x14ac:dyDescent="0.25">
      <c r="A1480" t="s">
        <v>2090</v>
      </c>
      <c r="B1480" t="s">
        <v>1560</v>
      </c>
    </row>
    <row r="1481" spans="1:2" x14ac:dyDescent="0.25">
      <c r="A1481" t="s">
        <v>2090</v>
      </c>
      <c r="B1481" t="s">
        <v>83</v>
      </c>
    </row>
    <row r="1482" spans="1:2" x14ac:dyDescent="0.25">
      <c r="A1482" t="s">
        <v>2090</v>
      </c>
      <c r="B1482" t="s">
        <v>386</v>
      </c>
    </row>
    <row r="1483" spans="1:2" x14ac:dyDescent="0.25">
      <c r="A1483" t="s">
        <v>2090</v>
      </c>
      <c r="B1483" t="s">
        <v>463</v>
      </c>
    </row>
    <row r="1484" spans="1:2" x14ac:dyDescent="0.25">
      <c r="A1484" t="s">
        <v>2090</v>
      </c>
      <c r="B1484" t="s">
        <v>84</v>
      </c>
    </row>
    <row r="1485" spans="1:2" x14ac:dyDescent="0.25">
      <c r="A1485" t="s">
        <v>2090</v>
      </c>
      <c r="B1485" t="s">
        <v>85</v>
      </c>
    </row>
    <row r="1486" spans="1:2" x14ac:dyDescent="0.25">
      <c r="A1486" t="s">
        <v>2090</v>
      </c>
      <c r="B1486" t="s">
        <v>394</v>
      </c>
    </row>
    <row r="1487" spans="1:2" x14ac:dyDescent="0.25">
      <c r="A1487" t="s">
        <v>2090</v>
      </c>
      <c r="B1487" t="s">
        <v>86</v>
      </c>
    </row>
    <row r="1488" spans="1:2" x14ac:dyDescent="0.25">
      <c r="A1488" t="s">
        <v>2090</v>
      </c>
      <c r="B1488" t="s">
        <v>87</v>
      </c>
    </row>
    <row r="1489" spans="1:2" x14ac:dyDescent="0.25">
      <c r="A1489" t="s">
        <v>2090</v>
      </c>
      <c r="B1489" t="s">
        <v>465</v>
      </c>
    </row>
    <row r="1490" spans="1:2" x14ac:dyDescent="0.25">
      <c r="A1490" t="s">
        <v>2090</v>
      </c>
      <c r="B1490" t="s">
        <v>88</v>
      </c>
    </row>
    <row r="1491" spans="1:2" x14ac:dyDescent="0.25">
      <c r="A1491" t="s">
        <v>2090</v>
      </c>
      <c r="B1491" t="s">
        <v>91</v>
      </c>
    </row>
    <row r="1492" spans="1:2" x14ac:dyDescent="0.25">
      <c r="A1492" t="s">
        <v>2090</v>
      </c>
      <c r="B1492" t="s">
        <v>92</v>
      </c>
    </row>
    <row r="1493" spans="1:2" x14ac:dyDescent="0.25">
      <c r="A1493" t="s">
        <v>2090</v>
      </c>
      <c r="B1493" t="s">
        <v>93</v>
      </c>
    </row>
    <row r="1494" spans="1:2" x14ac:dyDescent="0.25">
      <c r="A1494" t="s">
        <v>2090</v>
      </c>
      <c r="B1494" t="s">
        <v>226</v>
      </c>
    </row>
    <row r="1495" spans="1:2" x14ac:dyDescent="0.25">
      <c r="A1495" t="s">
        <v>2090</v>
      </c>
      <c r="B1495" t="s">
        <v>605</v>
      </c>
    </row>
    <row r="1496" spans="1:2" x14ac:dyDescent="0.25">
      <c r="A1496" t="s">
        <v>2090</v>
      </c>
      <c r="B1496" t="s">
        <v>684</v>
      </c>
    </row>
    <row r="1497" spans="1:2" x14ac:dyDescent="0.25">
      <c r="A1497" t="s">
        <v>2090</v>
      </c>
      <c r="B1497" t="s">
        <v>219</v>
      </c>
    </row>
    <row r="1498" spans="1:2" x14ac:dyDescent="0.25">
      <c r="A1498" t="s">
        <v>2090</v>
      </c>
      <c r="B1498" t="s">
        <v>458</v>
      </c>
    </row>
    <row r="1499" spans="1:2" x14ac:dyDescent="0.25">
      <c r="A1499" t="s">
        <v>2090</v>
      </c>
      <c r="B1499" t="s">
        <v>533</v>
      </c>
    </row>
    <row r="1500" spans="1:2" x14ac:dyDescent="0.25">
      <c r="A1500" t="s">
        <v>2090</v>
      </c>
      <c r="B1500" t="s">
        <v>102</v>
      </c>
    </row>
    <row r="1501" spans="1:2" x14ac:dyDescent="0.25">
      <c r="A1501" t="s">
        <v>2090</v>
      </c>
      <c r="B1501" t="s">
        <v>107</v>
      </c>
    </row>
    <row r="1502" spans="1:2" x14ac:dyDescent="0.25">
      <c r="A1502" t="s">
        <v>2090</v>
      </c>
      <c r="B1502" t="s">
        <v>1139</v>
      </c>
    </row>
    <row r="1503" spans="1:2" x14ac:dyDescent="0.25">
      <c r="A1503" t="s">
        <v>2090</v>
      </c>
      <c r="B1503" t="s">
        <v>122</v>
      </c>
    </row>
    <row r="1504" spans="1:2" x14ac:dyDescent="0.25">
      <c r="A1504" t="s">
        <v>2090</v>
      </c>
      <c r="B1504" t="s">
        <v>123</v>
      </c>
    </row>
    <row r="1505" spans="1:2" x14ac:dyDescent="0.25">
      <c r="A1505" t="s">
        <v>2090</v>
      </c>
      <c r="B1505" t="s">
        <v>1409</v>
      </c>
    </row>
    <row r="1506" spans="1:2" x14ac:dyDescent="0.25">
      <c r="A1506" t="s">
        <v>2090</v>
      </c>
      <c r="B1506" t="s">
        <v>1689</v>
      </c>
    </row>
    <row r="1507" spans="1:2" x14ac:dyDescent="0.25">
      <c r="A1507" t="s">
        <v>2090</v>
      </c>
      <c r="B1507" t="s">
        <v>487</v>
      </c>
    </row>
    <row r="1508" spans="1:2" x14ac:dyDescent="0.25">
      <c r="A1508" t="s">
        <v>2090</v>
      </c>
      <c r="B1508" t="s">
        <v>129</v>
      </c>
    </row>
    <row r="1509" spans="1:2" x14ac:dyDescent="0.25">
      <c r="A1509" t="s">
        <v>2090</v>
      </c>
      <c r="B1509" t="s">
        <v>1011</v>
      </c>
    </row>
    <row r="1510" spans="1:2" x14ac:dyDescent="0.25">
      <c r="A1510" t="s">
        <v>2090</v>
      </c>
      <c r="B1510" t="s">
        <v>131</v>
      </c>
    </row>
    <row r="1511" spans="1:2" x14ac:dyDescent="0.25">
      <c r="A1511" t="s">
        <v>2090</v>
      </c>
      <c r="B1511" t="s">
        <v>1180</v>
      </c>
    </row>
    <row r="1512" spans="1:2" x14ac:dyDescent="0.25">
      <c r="A1512" t="s">
        <v>2090</v>
      </c>
      <c r="B1512" t="s">
        <v>132</v>
      </c>
    </row>
    <row r="1513" spans="1:2" x14ac:dyDescent="0.25">
      <c r="A1513" t="s">
        <v>2090</v>
      </c>
      <c r="B1513" t="s">
        <v>133</v>
      </c>
    </row>
    <row r="1514" spans="1:2" x14ac:dyDescent="0.25">
      <c r="A1514" t="s">
        <v>2090</v>
      </c>
      <c r="B1514" t="s">
        <v>1183</v>
      </c>
    </row>
    <row r="1515" spans="1:2" x14ac:dyDescent="0.25">
      <c r="A1515" t="s">
        <v>2090</v>
      </c>
      <c r="B1515" t="s">
        <v>1085</v>
      </c>
    </row>
    <row r="1516" spans="1:2" x14ac:dyDescent="0.25">
      <c r="A1516" t="s">
        <v>2090</v>
      </c>
      <c r="B1516" t="s">
        <v>136</v>
      </c>
    </row>
    <row r="1517" spans="1:2" x14ac:dyDescent="0.25">
      <c r="A1517" t="s">
        <v>2090</v>
      </c>
      <c r="B1517" t="s">
        <v>832</v>
      </c>
    </row>
    <row r="1518" spans="1:2" x14ac:dyDescent="0.25">
      <c r="A1518" t="s">
        <v>2090</v>
      </c>
      <c r="B1518" t="s">
        <v>838</v>
      </c>
    </row>
    <row r="1519" spans="1:2" x14ac:dyDescent="0.25">
      <c r="A1519" t="s">
        <v>2090</v>
      </c>
      <c r="B1519" t="s">
        <v>395</v>
      </c>
    </row>
    <row r="1520" spans="1:2" x14ac:dyDescent="0.25">
      <c r="A1520" t="s">
        <v>2090</v>
      </c>
      <c r="B1520" t="s">
        <v>1225</v>
      </c>
    </row>
    <row r="1521" spans="1:2" x14ac:dyDescent="0.25">
      <c r="A1521" t="s">
        <v>2090</v>
      </c>
      <c r="B1521" t="s">
        <v>1230</v>
      </c>
    </row>
    <row r="1522" spans="1:2" x14ac:dyDescent="0.25">
      <c r="A1522" t="s">
        <v>2090</v>
      </c>
      <c r="B1522" t="s">
        <v>759</v>
      </c>
    </row>
    <row r="1523" spans="1:2" x14ac:dyDescent="0.25">
      <c r="A1523" t="s">
        <v>2090</v>
      </c>
      <c r="B1523" t="s">
        <v>139</v>
      </c>
    </row>
    <row r="1524" spans="1:2" x14ac:dyDescent="0.25">
      <c r="A1524" t="s">
        <v>2090</v>
      </c>
      <c r="B1524" t="s">
        <v>142</v>
      </c>
    </row>
    <row r="1525" spans="1:2" x14ac:dyDescent="0.25">
      <c r="A1525" t="s">
        <v>2090</v>
      </c>
      <c r="B1525" t="s">
        <v>599</v>
      </c>
    </row>
    <row r="1526" spans="1:2" x14ac:dyDescent="0.25">
      <c r="A1526" t="s">
        <v>2090</v>
      </c>
      <c r="B1526" t="s">
        <v>361</v>
      </c>
    </row>
    <row r="1527" spans="1:2" x14ac:dyDescent="0.25">
      <c r="A1527" t="s">
        <v>2090</v>
      </c>
      <c r="B1527" t="s">
        <v>1353</v>
      </c>
    </row>
    <row r="1528" spans="1:2" x14ac:dyDescent="0.25">
      <c r="A1528" t="s">
        <v>2090</v>
      </c>
      <c r="B1528" t="s">
        <v>397</v>
      </c>
    </row>
    <row r="1529" spans="1:2" x14ac:dyDescent="0.25">
      <c r="A1529" t="s">
        <v>2090</v>
      </c>
      <c r="B1529" t="s">
        <v>645</v>
      </c>
    </row>
    <row r="1530" spans="1:2" x14ac:dyDescent="0.25">
      <c r="A1530" t="s">
        <v>2090</v>
      </c>
      <c r="B1530" t="s">
        <v>146</v>
      </c>
    </row>
    <row r="1531" spans="1:2" x14ac:dyDescent="0.25">
      <c r="A1531" t="s">
        <v>2090</v>
      </c>
      <c r="B1531" t="s">
        <v>147</v>
      </c>
    </row>
    <row r="1532" spans="1:2" x14ac:dyDescent="0.25">
      <c r="A1532" t="s">
        <v>2090</v>
      </c>
      <c r="B1532" t="s">
        <v>148</v>
      </c>
    </row>
    <row r="1533" spans="1:2" x14ac:dyDescent="0.25">
      <c r="A1533" t="s">
        <v>2090</v>
      </c>
      <c r="B1533" t="s">
        <v>150</v>
      </c>
    </row>
    <row r="1534" spans="1:2" x14ac:dyDescent="0.25">
      <c r="A1534" t="s">
        <v>2090</v>
      </c>
      <c r="B1534" t="s">
        <v>151</v>
      </c>
    </row>
    <row r="1535" spans="1:2" x14ac:dyDescent="0.25">
      <c r="A1535" t="s">
        <v>2090</v>
      </c>
      <c r="B1535" t="s">
        <v>459</v>
      </c>
    </row>
    <row r="1536" spans="1:2" x14ac:dyDescent="0.25">
      <c r="A1536" t="s">
        <v>2090</v>
      </c>
      <c r="B1536" t="s">
        <v>153</v>
      </c>
    </row>
    <row r="1537" spans="1:2" x14ac:dyDescent="0.25">
      <c r="A1537" t="s">
        <v>2090</v>
      </c>
      <c r="B1537" t="s">
        <v>400</v>
      </c>
    </row>
    <row r="1538" spans="1:2" x14ac:dyDescent="0.25">
      <c r="A1538" t="s">
        <v>2090</v>
      </c>
      <c r="B1538" t="s">
        <v>154</v>
      </c>
    </row>
    <row r="1539" spans="1:2" x14ac:dyDescent="0.25">
      <c r="A1539" t="s">
        <v>2090</v>
      </c>
      <c r="B1539" t="s">
        <v>155</v>
      </c>
    </row>
    <row r="1540" spans="1:2" x14ac:dyDescent="0.25">
      <c r="A1540" t="s">
        <v>2090</v>
      </c>
      <c r="B1540" t="s">
        <v>1184</v>
      </c>
    </row>
    <row r="1541" spans="1:2" x14ac:dyDescent="0.25">
      <c r="A1541" t="s">
        <v>2090</v>
      </c>
      <c r="B1541" t="s">
        <v>158</v>
      </c>
    </row>
    <row r="1542" spans="1:2" x14ac:dyDescent="0.25">
      <c r="A1542" t="s">
        <v>2090</v>
      </c>
      <c r="B1542" t="s">
        <v>159</v>
      </c>
    </row>
    <row r="1543" spans="1:2" x14ac:dyDescent="0.25">
      <c r="A1543" t="s">
        <v>2090</v>
      </c>
      <c r="B1543" t="s">
        <v>161</v>
      </c>
    </row>
    <row r="1544" spans="1:2" x14ac:dyDescent="0.25">
      <c r="A1544" t="s">
        <v>2090</v>
      </c>
      <c r="B1544" t="s">
        <v>162</v>
      </c>
    </row>
    <row r="1545" spans="1:2" x14ac:dyDescent="0.25">
      <c r="A1545" t="s">
        <v>2090</v>
      </c>
      <c r="B1545" t="s">
        <v>163</v>
      </c>
    </row>
    <row r="1546" spans="1:2" x14ac:dyDescent="0.25">
      <c r="A1546" t="s">
        <v>2090</v>
      </c>
      <c r="B1546" t="s">
        <v>235</v>
      </c>
    </row>
    <row r="1547" spans="1:2" x14ac:dyDescent="0.25">
      <c r="A1547" t="s">
        <v>2090</v>
      </c>
      <c r="B1547" t="s">
        <v>647</v>
      </c>
    </row>
    <row r="1548" spans="1:2" x14ac:dyDescent="0.25">
      <c r="A1548" t="s">
        <v>2090</v>
      </c>
      <c r="B1548" t="s">
        <v>164</v>
      </c>
    </row>
    <row r="1549" spans="1:2" x14ac:dyDescent="0.25">
      <c r="A1549" t="s">
        <v>2090</v>
      </c>
      <c r="B1549" t="s">
        <v>447</v>
      </c>
    </row>
    <row r="1550" spans="1:2" x14ac:dyDescent="0.25">
      <c r="A1550" t="s">
        <v>2090</v>
      </c>
      <c r="B1550" t="s">
        <v>248</v>
      </c>
    </row>
    <row r="1551" spans="1:2" x14ac:dyDescent="0.25">
      <c r="A1551" t="s">
        <v>2090</v>
      </c>
      <c r="B1551" t="s">
        <v>464</v>
      </c>
    </row>
    <row r="1552" spans="1:2" x14ac:dyDescent="0.25">
      <c r="A1552" t="s">
        <v>2090</v>
      </c>
      <c r="B1552" t="s">
        <v>166</v>
      </c>
    </row>
    <row r="1553" spans="1:2" x14ac:dyDescent="0.25">
      <c r="A1553" t="s">
        <v>2090</v>
      </c>
      <c r="B1553" t="s">
        <v>234</v>
      </c>
    </row>
    <row r="1554" spans="1:2" x14ac:dyDescent="0.25">
      <c r="A1554" t="s">
        <v>2090</v>
      </c>
      <c r="B1554" t="s">
        <v>168</v>
      </c>
    </row>
    <row r="1555" spans="1:2" x14ac:dyDescent="0.25">
      <c r="A1555" t="s">
        <v>2090</v>
      </c>
      <c r="B1555" t="s">
        <v>170</v>
      </c>
    </row>
    <row r="1556" spans="1:2" x14ac:dyDescent="0.25">
      <c r="A1556" t="s">
        <v>2090</v>
      </c>
      <c r="B1556" t="s">
        <v>171</v>
      </c>
    </row>
    <row r="1557" spans="1:2" x14ac:dyDescent="0.25">
      <c r="A1557" t="s">
        <v>2090</v>
      </c>
      <c r="B1557" t="s">
        <v>172</v>
      </c>
    </row>
    <row r="1558" spans="1:2" x14ac:dyDescent="0.25">
      <c r="A1558" t="s">
        <v>2090</v>
      </c>
      <c r="B1558" t="s">
        <v>173</v>
      </c>
    </row>
    <row r="1559" spans="1:2" x14ac:dyDescent="0.25">
      <c r="A1559" t="s">
        <v>2090</v>
      </c>
      <c r="B1559" t="s">
        <v>175</v>
      </c>
    </row>
    <row r="1560" spans="1:2" x14ac:dyDescent="0.25">
      <c r="A1560" t="s">
        <v>2090</v>
      </c>
      <c r="B1560" t="s">
        <v>2031</v>
      </c>
    </row>
    <row r="1561" spans="1:2" x14ac:dyDescent="0.25">
      <c r="A1561" t="s">
        <v>2090</v>
      </c>
      <c r="B1561" t="s">
        <v>177</v>
      </c>
    </row>
    <row r="1562" spans="1:2" x14ac:dyDescent="0.25">
      <c r="A1562" t="s">
        <v>2090</v>
      </c>
      <c r="B1562" t="s">
        <v>178</v>
      </c>
    </row>
    <row r="1563" spans="1:2" x14ac:dyDescent="0.25">
      <c r="A1563" t="s">
        <v>2090</v>
      </c>
      <c r="B1563" t="s">
        <v>216</v>
      </c>
    </row>
    <row r="1564" spans="1:2" x14ac:dyDescent="0.25">
      <c r="A1564" t="s">
        <v>2090</v>
      </c>
      <c r="B1564" t="s">
        <v>180</v>
      </c>
    </row>
    <row r="1565" spans="1:2" x14ac:dyDescent="0.25">
      <c r="A1565" t="s">
        <v>2090</v>
      </c>
      <c r="B1565" t="s">
        <v>181</v>
      </c>
    </row>
    <row r="1566" spans="1:2" x14ac:dyDescent="0.25">
      <c r="A1566" t="s">
        <v>2090</v>
      </c>
      <c r="B1566" t="s">
        <v>182</v>
      </c>
    </row>
    <row r="1567" spans="1:2" x14ac:dyDescent="0.25">
      <c r="A1567" t="s">
        <v>2090</v>
      </c>
      <c r="B1567" t="s">
        <v>183</v>
      </c>
    </row>
    <row r="1568" spans="1:2" x14ac:dyDescent="0.25">
      <c r="A1568" t="s">
        <v>2090</v>
      </c>
      <c r="B1568" t="s">
        <v>704</v>
      </c>
    </row>
    <row r="1569" spans="1:2" x14ac:dyDescent="0.25">
      <c r="A1569" t="s">
        <v>2090</v>
      </c>
      <c r="B1569" t="s">
        <v>403</v>
      </c>
    </row>
    <row r="1570" spans="1:2" x14ac:dyDescent="0.25">
      <c r="A1570" t="s">
        <v>2090</v>
      </c>
      <c r="B1570" t="s">
        <v>190</v>
      </c>
    </row>
    <row r="1571" spans="1:2" x14ac:dyDescent="0.25">
      <c r="A1571" t="s">
        <v>2090</v>
      </c>
      <c r="B1571" t="s">
        <v>191</v>
      </c>
    </row>
    <row r="1572" spans="1:2" x14ac:dyDescent="0.25">
      <c r="A1572" t="s">
        <v>2090</v>
      </c>
      <c r="B1572" t="s">
        <v>192</v>
      </c>
    </row>
    <row r="1573" spans="1:2" x14ac:dyDescent="0.25">
      <c r="A1573" t="s">
        <v>2090</v>
      </c>
      <c r="B1573" t="s">
        <v>215</v>
      </c>
    </row>
    <row r="1574" spans="1:2" x14ac:dyDescent="0.25">
      <c r="A1574" t="s">
        <v>2090</v>
      </c>
      <c r="B1574" t="s">
        <v>467</v>
      </c>
    </row>
    <row r="1575" spans="1:2" x14ac:dyDescent="0.25">
      <c r="A1575" t="s">
        <v>2090</v>
      </c>
      <c r="B1575" t="s">
        <v>195</v>
      </c>
    </row>
    <row r="1576" spans="1:2" x14ac:dyDescent="0.25">
      <c r="A1576" t="s">
        <v>2090</v>
      </c>
      <c r="B1576" t="s">
        <v>196</v>
      </c>
    </row>
    <row r="1577" spans="1:2" x14ac:dyDescent="0.25">
      <c r="A1577" t="s">
        <v>2090</v>
      </c>
      <c r="B1577" t="s">
        <v>197</v>
      </c>
    </row>
    <row r="1578" spans="1:2" x14ac:dyDescent="0.25">
      <c r="A1578" t="s">
        <v>2090</v>
      </c>
      <c r="B1578" t="s">
        <v>470</v>
      </c>
    </row>
    <row r="1579" spans="1:2" x14ac:dyDescent="0.25">
      <c r="A1579" t="s">
        <v>2090</v>
      </c>
      <c r="B1579" t="s">
        <v>1698</v>
      </c>
    </row>
    <row r="1580" spans="1:2" x14ac:dyDescent="0.25">
      <c r="A1580" t="s">
        <v>2090</v>
      </c>
      <c r="B1580" t="s">
        <v>198</v>
      </c>
    </row>
    <row r="1581" spans="1:2" x14ac:dyDescent="0.25">
      <c r="A1581" t="s">
        <v>2090</v>
      </c>
      <c r="B1581" t="s">
        <v>199</v>
      </c>
    </row>
    <row r="1582" spans="1:2" x14ac:dyDescent="0.25">
      <c r="A1582" t="s">
        <v>2090</v>
      </c>
      <c r="B1582" t="s">
        <v>201</v>
      </c>
    </row>
    <row r="1583" spans="1:2" x14ac:dyDescent="0.25">
      <c r="A1583" t="s">
        <v>2090</v>
      </c>
      <c r="B1583" t="s">
        <v>1406</v>
      </c>
    </row>
    <row r="1584" spans="1:2" x14ac:dyDescent="0.25">
      <c r="A1584" t="s">
        <v>2090</v>
      </c>
      <c r="B1584" t="s">
        <v>202</v>
      </c>
    </row>
    <row r="1585" spans="1:2" x14ac:dyDescent="0.25">
      <c r="A1585" t="s">
        <v>2090</v>
      </c>
      <c r="B1585" t="s">
        <v>473</v>
      </c>
    </row>
    <row r="1586" spans="1:2" x14ac:dyDescent="0.25">
      <c r="A1586" t="s">
        <v>2090</v>
      </c>
      <c r="B1586" t="s">
        <v>581</v>
      </c>
    </row>
    <row r="1587" spans="1:2" x14ac:dyDescent="0.25">
      <c r="A1587" t="s">
        <v>2090</v>
      </c>
      <c r="B1587" t="s">
        <v>437</v>
      </c>
    </row>
    <row r="1588" spans="1:2" x14ac:dyDescent="0.25">
      <c r="A1588" t="s">
        <v>2090</v>
      </c>
      <c r="B1588" t="s">
        <v>483</v>
      </c>
    </row>
    <row r="1589" spans="1:2" x14ac:dyDescent="0.25">
      <c r="A1589" t="s">
        <v>2090</v>
      </c>
      <c r="B1589" t="s">
        <v>203</v>
      </c>
    </row>
    <row r="1590" spans="1:2" x14ac:dyDescent="0.25">
      <c r="A1590" t="s">
        <v>2090</v>
      </c>
      <c r="B1590" t="s">
        <v>1355</v>
      </c>
    </row>
    <row r="1591" spans="1:2" x14ac:dyDescent="0.25">
      <c r="A1591" t="s">
        <v>2090</v>
      </c>
      <c r="B1591" t="s">
        <v>204</v>
      </c>
    </row>
    <row r="1592" spans="1:2" x14ac:dyDescent="0.25">
      <c r="A1592" t="s">
        <v>2090</v>
      </c>
      <c r="B1592" t="s">
        <v>576</v>
      </c>
    </row>
    <row r="1593" spans="1:2" x14ac:dyDescent="0.25">
      <c r="A1593" t="s">
        <v>2090</v>
      </c>
      <c r="B1593" t="s">
        <v>205</v>
      </c>
    </row>
    <row r="1594" spans="1:2" x14ac:dyDescent="0.25">
      <c r="A1594" t="s">
        <v>2090</v>
      </c>
      <c r="B1594" t="s">
        <v>1407</v>
      </c>
    </row>
    <row r="1595" spans="1:2" x14ac:dyDescent="0.25">
      <c r="A1595" t="s">
        <v>2090</v>
      </c>
      <c r="B1595" t="s">
        <v>568</v>
      </c>
    </row>
    <row r="1596" spans="1:2" x14ac:dyDescent="0.25">
      <c r="A1596" t="s">
        <v>2090</v>
      </c>
      <c r="B1596" t="s">
        <v>209</v>
      </c>
    </row>
    <row r="1597" spans="1:2" x14ac:dyDescent="0.25">
      <c r="A1597" t="s">
        <v>2090</v>
      </c>
      <c r="B1597" t="s">
        <v>582</v>
      </c>
    </row>
    <row r="1598" spans="1:2" x14ac:dyDescent="0.25">
      <c r="A1598" t="s">
        <v>2090</v>
      </c>
      <c r="B1598" t="s">
        <v>475</v>
      </c>
    </row>
    <row r="1599" spans="1:2" x14ac:dyDescent="0.25">
      <c r="A1599" t="s">
        <v>2090</v>
      </c>
      <c r="B1599" t="s">
        <v>210</v>
      </c>
    </row>
    <row r="1600" spans="1:2" x14ac:dyDescent="0.25">
      <c r="A1600" t="s">
        <v>2090</v>
      </c>
      <c r="B1600" t="s">
        <v>468</v>
      </c>
    </row>
    <row r="1601" spans="1:2" x14ac:dyDescent="0.25">
      <c r="A1601" t="s">
        <v>2090</v>
      </c>
      <c r="B1601" t="s">
        <v>368</v>
      </c>
    </row>
    <row r="1602" spans="1:2" x14ac:dyDescent="0.25">
      <c r="A1602" t="s">
        <v>2090</v>
      </c>
      <c r="B1602" t="s">
        <v>211</v>
      </c>
    </row>
    <row r="1603" spans="1:2" x14ac:dyDescent="0.25">
      <c r="A1603" t="s">
        <v>2090</v>
      </c>
      <c r="B1603" t="s">
        <v>529</v>
      </c>
    </row>
    <row r="1604" spans="1:2" x14ac:dyDescent="0.25">
      <c r="A1604" t="s">
        <v>2090</v>
      </c>
      <c r="B1604" t="s">
        <v>212</v>
      </c>
    </row>
    <row r="1605" spans="1:2" x14ac:dyDescent="0.25">
      <c r="A1605" t="s">
        <v>2090</v>
      </c>
      <c r="B1605" t="s">
        <v>371</v>
      </c>
    </row>
    <row r="1606" spans="1:2" x14ac:dyDescent="0.25">
      <c r="A1606" t="s">
        <v>2090</v>
      </c>
      <c r="B1606" t="s">
        <v>616</v>
      </c>
    </row>
    <row r="1607" spans="1:2" x14ac:dyDescent="0.25">
      <c r="A1607" t="s">
        <v>2090</v>
      </c>
      <c r="B1607" t="s">
        <v>1576</v>
      </c>
    </row>
    <row r="1608" spans="1:2" x14ac:dyDescent="0.25">
      <c r="A1608" t="s">
        <v>2090</v>
      </c>
      <c r="B1608" t="s">
        <v>385</v>
      </c>
    </row>
    <row r="1609" spans="1:2" x14ac:dyDescent="0.25">
      <c r="A1609" t="s">
        <v>2090</v>
      </c>
      <c r="B1609" t="s">
        <v>957</v>
      </c>
    </row>
    <row r="1610" spans="1:2" x14ac:dyDescent="0.25">
      <c r="A1610" t="s">
        <v>2090</v>
      </c>
      <c r="B1610" t="s">
        <v>1121</v>
      </c>
    </row>
    <row r="1611" spans="1:2" x14ac:dyDescent="0.25">
      <c r="A1611" t="s">
        <v>2090</v>
      </c>
      <c r="B1611" t="s">
        <v>436</v>
      </c>
    </row>
    <row r="1612" spans="1:2" x14ac:dyDescent="0.25">
      <c r="A1612" t="s">
        <v>2090</v>
      </c>
      <c r="B1612" t="s">
        <v>222</v>
      </c>
    </row>
    <row r="1613" spans="1:2" x14ac:dyDescent="0.25">
      <c r="A1613" t="s">
        <v>2090</v>
      </c>
      <c r="B1613" t="s">
        <v>223</v>
      </c>
    </row>
    <row r="1614" spans="1:2" x14ac:dyDescent="0.25">
      <c r="A1614" t="s">
        <v>2090</v>
      </c>
      <c r="B1614" t="s">
        <v>224</v>
      </c>
    </row>
    <row r="1615" spans="1:2" x14ac:dyDescent="0.25">
      <c r="A1615" t="s">
        <v>2090</v>
      </c>
      <c r="B1615" t="s">
        <v>619</v>
      </c>
    </row>
    <row r="1616" spans="1:2" x14ac:dyDescent="0.25">
      <c r="A1616" t="s">
        <v>2090</v>
      </c>
      <c r="B1616" t="s">
        <v>1352</v>
      </c>
    </row>
    <row r="1617" spans="1:2" x14ac:dyDescent="0.25">
      <c r="A1617" t="s">
        <v>2090</v>
      </c>
      <c r="B1617" t="s">
        <v>954</v>
      </c>
    </row>
    <row r="1618" spans="1:2" x14ac:dyDescent="0.25">
      <c r="A1618" t="s">
        <v>2090</v>
      </c>
      <c r="B1618" t="s">
        <v>955</v>
      </c>
    </row>
    <row r="1619" spans="1:2" x14ac:dyDescent="0.25">
      <c r="A1619" t="s">
        <v>2090</v>
      </c>
      <c r="B1619" t="s">
        <v>958</v>
      </c>
    </row>
    <row r="1620" spans="1:2" x14ac:dyDescent="0.25">
      <c r="A1620" t="s">
        <v>2090</v>
      </c>
      <c r="B1620" t="s">
        <v>435</v>
      </c>
    </row>
    <row r="1621" spans="1:2" x14ac:dyDescent="0.25">
      <c r="A1621" t="s">
        <v>2090</v>
      </c>
      <c r="B1621" t="s">
        <v>564</v>
      </c>
    </row>
    <row r="1622" spans="1:2" x14ac:dyDescent="0.25">
      <c r="A1622" t="s">
        <v>2090</v>
      </c>
      <c r="B1622" t="s">
        <v>693</v>
      </c>
    </row>
    <row r="1623" spans="1:2" x14ac:dyDescent="0.25">
      <c r="A1623" t="s">
        <v>2090</v>
      </c>
      <c r="B1623" t="s">
        <v>694</v>
      </c>
    </row>
    <row r="1624" spans="1:2" x14ac:dyDescent="0.25">
      <c r="A1624" t="s">
        <v>2090</v>
      </c>
      <c r="B1624" t="s">
        <v>434</v>
      </c>
    </row>
    <row r="1625" spans="1:2" x14ac:dyDescent="0.25">
      <c r="A1625" t="s">
        <v>2090</v>
      </c>
      <c r="B1625" t="s">
        <v>695</v>
      </c>
    </row>
    <row r="1626" spans="1:2" x14ac:dyDescent="0.25">
      <c r="A1626" t="s">
        <v>2090</v>
      </c>
      <c r="B1626" t="s">
        <v>680</v>
      </c>
    </row>
    <row r="1627" spans="1:2" x14ac:dyDescent="0.25">
      <c r="A1627" t="s">
        <v>2090</v>
      </c>
      <c r="B1627" t="s">
        <v>681</v>
      </c>
    </row>
    <row r="1628" spans="1:2" x14ac:dyDescent="0.25">
      <c r="A1628" t="s">
        <v>2090</v>
      </c>
      <c r="B1628" t="s">
        <v>482</v>
      </c>
    </row>
    <row r="1629" spans="1:2" x14ac:dyDescent="0.25">
      <c r="A1629" t="s">
        <v>2090</v>
      </c>
      <c r="B1629" t="s">
        <v>433</v>
      </c>
    </row>
    <row r="1630" spans="1:2" x14ac:dyDescent="0.25">
      <c r="A1630" t="s">
        <v>2090</v>
      </c>
      <c r="B1630" t="s">
        <v>966</v>
      </c>
    </row>
    <row r="1631" spans="1:2" x14ac:dyDescent="0.25">
      <c r="A1631" t="s">
        <v>2090</v>
      </c>
      <c r="B1631" t="s">
        <v>967</v>
      </c>
    </row>
    <row r="1632" spans="1:2" x14ac:dyDescent="0.25">
      <c r="A1632" t="s">
        <v>2090</v>
      </c>
      <c r="B1632" t="s">
        <v>968</v>
      </c>
    </row>
    <row r="1633" spans="1:2" x14ac:dyDescent="0.25">
      <c r="A1633" t="s">
        <v>2090</v>
      </c>
      <c r="B1633" t="s">
        <v>969</v>
      </c>
    </row>
    <row r="1634" spans="1:2" x14ac:dyDescent="0.25">
      <c r="A1634" t="s">
        <v>2090</v>
      </c>
      <c r="B1634" t="s">
        <v>1237</v>
      </c>
    </row>
    <row r="1635" spans="1:2" x14ac:dyDescent="0.25">
      <c r="A1635" t="s">
        <v>2090</v>
      </c>
      <c r="B1635" t="s">
        <v>1134</v>
      </c>
    </row>
    <row r="1636" spans="1:2" x14ac:dyDescent="0.25">
      <c r="A1636" t="s">
        <v>2090</v>
      </c>
      <c r="B1636" t="s">
        <v>1156</v>
      </c>
    </row>
    <row r="1637" spans="1:2" x14ac:dyDescent="0.25">
      <c r="A1637" t="s">
        <v>2090</v>
      </c>
      <c r="B1637" t="s">
        <v>432</v>
      </c>
    </row>
    <row r="1638" spans="1:2" x14ac:dyDescent="0.25">
      <c r="A1638" t="s">
        <v>2090</v>
      </c>
      <c r="B1638" t="s">
        <v>978</v>
      </c>
    </row>
    <row r="1639" spans="1:2" x14ac:dyDescent="0.25">
      <c r="A1639" t="s">
        <v>2090</v>
      </c>
      <c r="B1639" t="s">
        <v>1401</v>
      </c>
    </row>
    <row r="1640" spans="1:2" x14ac:dyDescent="0.25">
      <c r="A1640" t="s">
        <v>2090</v>
      </c>
      <c r="B1640" t="s">
        <v>431</v>
      </c>
    </row>
    <row r="1641" spans="1:2" x14ac:dyDescent="0.25">
      <c r="A1641" t="s">
        <v>2090</v>
      </c>
      <c r="B1641" t="s">
        <v>381</v>
      </c>
    </row>
    <row r="1642" spans="1:2" x14ac:dyDescent="0.25">
      <c r="A1642" t="s">
        <v>2090</v>
      </c>
      <c r="B1642" t="s">
        <v>1586</v>
      </c>
    </row>
    <row r="1643" spans="1:2" x14ac:dyDescent="0.25">
      <c r="A1643" t="s">
        <v>2090</v>
      </c>
      <c r="B1643" t="s">
        <v>485</v>
      </c>
    </row>
    <row r="1644" spans="1:2" x14ac:dyDescent="0.25">
      <c r="A1644" t="s">
        <v>2090</v>
      </c>
      <c r="B1644" t="s">
        <v>652</v>
      </c>
    </row>
    <row r="1645" spans="1:2" x14ac:dyDescent="0.25">
      <c r="A1645" t="s">
        <v>2090</v>
      </c>
      <c r="B1645" t="s">
        <v>384</v>
      </c>
    </row>
    <row r="1646" spans="1:2" x14ac:dyDescent="0.25">
      <c r="A1646" t="s">
        <v>2090</v>
      </c>
      <c r="B1646" t="s">
        <v>653</v>
      </c>
    </row>
    <row r="1647" spans="1:2" x14ac:dyDescent="0.25">
      <c r="A1647" t="s">
        <v>2090</v>
      </c>
      <c r="B1647" t="s">
        <v>654</v>
      </c>
    </row>
    <row r="1648" spans="1:2" x14ac:dyDescent="0.25">
      <c r="A1648" t="s">
        <v>2090</v>
      </c>
      <c r="B1648" t="s">
        <v>428</v>
      </c>
    </row>
    <row r="1649" spans="1:2" x14ac:dyDescent="0.25">
      <c r="A1649" t="s">
        <v>2090</v>
      </c>
      <c r="B1649" t="s">
        <v>427</v>
      </c>
    </row>
    <row r="1650" spans="1:2" x14ac:dyDescent="0.25">
      <c r="A1650" t="s">
        <v>2090</v>
      </c>
      <c r="B1650" t="s">
        <v>236</v>
      </c>
    </row>
    <row r="1651" spans="1:2" x14ac:dyDescent="0.25">
      <c r="A1651" t="s">
        <v>2090</v>
      </c>
      <c r="B1651" t="s">
        <v>237</v>
      </c>
    </row>
    <row r="1652" spans="1:2" x14ac:dyDescent="0.25">
      <c r="A1652" t="s">
        <v>2090</v>
      </c>
      <c r="B1652" t="s">
        <v>625</v>
      </c>
    </row>
    <row r="1653" spans="1:2" x14ac:dyDescent="0.25">
      <c r="A1653" t="s">
        <v>2090</v>
      </c>
      <c r="B1653" t="s">
        <v>701</v>
      </c>
    </row>
    <row r="1654" spans="1:2" x14ac:dyDescent="0.25">
      <c r="A1654" t="s">
        <v>2090</v>
      </c>
      <c r="B1654" t="s">
        <v>624</v>
      </c>
    </row>
    <row r="1655" spans="1:2" x14ac:dyDescent="0.25">
      <c r="A1655" t="s">
        <v>2090</v>
      </c>
      <c r="B1655" t="s">
        <v>702</v>
      </c>
    </row>
    <row r="1656" spans="1:2" x14ac:dyDescent="0.25">
      <c r="A1656" t="s">
        <v>2090</v>
      </c>
      <c r="B1656" t="s">
        <v>1315</v>
      </c>
    </row>
    <row r="1657" spans="1:2" x14ac:dyDescent="0.25">
      <c r="A1657" t="s">
        <v>2090</v>
      </c>
      <c r="B1657" t="s">
        <v>238</v>
      </c>
    </row>
    <row r="1658" spans="1:2" x14ac:dyDescent="0.25">
      <c r="A1658" t="s">
        <v>2090</v>
      </c>
      <c r="B1658" t="s">
        <v>239</v>
      </c>
    </row>
    <row r="1659" spans="1:2" x14ac:dyDescent="0.25">
      <c r="A1659" t="s">
        <v>2090</v>
      </c>
      <c r="B1659" t="s">
        <v>240</v>
      </c>
    </row>
    <row r="1660" spans="1:2" x14ac:dyDescent="0.25">
      <c r="A1660" t="s">
        <v>2090</v>
      </c>
      <c r="B1660" t="s">
        <v>242</v>
      </c>
    </row>
    <row r="1661" spans="1:2" x14ac:dyDescent="0.25">
      <c r="A1661" t="s">
        <v>2090</v>
      </c>
      <c r="B1661" t="s">
        <v>414</v>
      </c>
    </row>
    <row r="1662" spans="1:2" x14ac:dyDescent="0.25">
      <c r="A1662" t="s">
        <v>2090</v>
      </c>
      <c r="B1662" t="s">
        <v>1296</v>
      </c>
    </row>
    <row r="1663" spans="1:2" x14ac:dyDescent="0.25">
      <c r="A1663" t="s">
        <v>2090</v>
      </c>
      <c r="B1663" t="s">
        <v>415</v>
      </c>
    </row>
    <row r="1664" spans="1:2" x14ac:dyDescent="0.25">
      <c r="A1664" t="s">
        <v>2090</v>
      </c>
      <c r="B1664" t="s">
        <v>446</v>
      </c>
    </row>
    <row r="1665" spans="1:2" x14ac:dyDescent="0.25">
      <c r="A1665" t="s">
        <v>2090</v>
      </c>
      <c r="B1665" t="s">
        <v>1135</v>
      </c>
    </row>
    <row r="1666" spans="1:2" x14ac:dyDescent="0.25">
      <c r="A1666" t="s">
        <v>2090</v>
      </c>
      <c r="B1666" t="s">
        <v>1088</v>
      </c>
    </row>
    <row r="1667" spans="1:2" x14ac:dyDescent="0.25">
      <c r="A1667" t="s">
        <v>2090</v>
      </c>
      <c r="B1667" t="s">
        <v>522</v>
      </c>
    </row>
    <row r="1668" spans="1:2" x14ac:dyDescent="0.25">
      <c r="A1668" t="s">
        <v>2090</v>
      </c>
      <c r="B1668" t="s">
        <v>1090</v>
      </c>
    </row>
    <row r="1669" spans="1:2" x14ac:dyDescent="0.25">
      <c r="A1669" t="s">
        <v>2090</v>
      </c>
      <c r="B1669" t="s">
        <v>460</v>
      </c>
    </row>
    <row r="1670" spans="1:2" x14ac:dyDescent="0.25">
      <c r="A1670" t="s">
        <v>2090</v>
      </c>
      <c r="B1670" t="s">
        <v>1091</v>
      </c>
    </row>
    <row r="1671" spans="1:2" x14ac:dyDescent="0.25">
      <c r="A1671" t="s">
        <v>2090</v>
      </c>
      <c r="B1671" t="s">
        <v>1094</v>
      </c>
    </row>
    <row r="1672" spans="1:2" x14ac:dyDescent="0.25">
      <c r="A1672" t="s">
        <v>2090</v>
      </c>
      <c r="B1672" t="s">
        <v>1095</v>
      </c>
    </row>
    <row r="1673" spans="1:2" x14ac:dyDescent="0.25">
      <c r="A1673" t="s">
        <v>2090</v>
      </c>
      <c r="B1673" t="s">
        <v>1096</v>
      </c>
    </row>
    <row r="1674" spans="1:2" x14ac:dyDescent="0.25">
      <c r="A1674" t="s">
        <v>2090</v>
      </c>
      <c r="B1674" t="s">
        <v>1313</v>
      </c>
    </row>
    <row r="1675" spans="1:2" x14ac:dyDescent="0.25">
      <c r="A1675" t="s">
        <v>2090</v>
      </c>
      <c r="B1675" t="s">
        <v>1098</v>
      </c>
    </row>
    <row r="1676" spans="1:2" x14ac:dyDescent="0.25">
      <c r="A1676" t="s">
        <v>2090</v>
      </c>
      <c r="B1676" t="s">
        <v>1099</v>
      </c>
    </row>
    <row r="1677" spans="1:2" x14ac:dyDescent="0.25">
      <c r="A1677" t="s">
        <v>2090</v>
      </c>
      <c r="B1677" t="s">
        <v>1330</v>
      </c>
    </row>
    <row r="1678" spans="1:2" x14ac:dyDescent="0.25">
      <c r="A1678" t="s">
        <v>2090</v>
      </c>
      <c r="B1678" t="s">
        <v>1436</v>
      </c>
    </row>
    <row r="1679" spans="1:2" x14ac:dyDescent="0.25">
      <c r="A1679" t="s">
        <v>2090</v>
      </c>
      <c r="B1679" t="s">
        <v>658</v>
      </c>
    </row>
    <row r="1680" spans="1:2" x14ac:dyDescent="0.25">
      <c r="A1680" t="s">
        <v>2090</v>
      </c>
      <c r="B1680" t="s">
        <v>451</v>
      </c>
    </row>
    <row r="1681" spans="1:2" x14ac:dyDescent="0.25">
      <c r="A1681" t="s">
        <v>2090</v>
      </c>
      <c r="B1681" t="s">
        <v>749</v>
      </c>
    </row>
    <row r="1682" spans="1:2" x14ac:dyDescent="0.25">
      <c r="A1682" t="s">
        <v>2090</v>
      </c>
      <c r="B1682" t="s">
        <v>1170</v>
      </c>
    </row>
    <row r="1683" spans="1:2" x14ac:dyDescent="0.25">
      <c r="A1683" t="s">
        <v>2090</v>
      </c>
      <c r="B1683" t="s">
        <v>760</v>
      </c>
    </row>
    <row r="1684" spans="1:2" x14ac:dyDescent="0.25">
      <c r="A1684" t="s">
        <v>2090</v>
      </c>
      <c r="B1684" t="s">
        <v>1376</v>
      </c>
    </row>
    <row r="1685" spans="1:2" x14ac:dyDescent="0.25">
      <c r="A1685" t="s">
        <v>2090</v>
      </c>
      <c r="B1685" t="s">
        <v>1304</v>
      </c>
    </row>
    <row r="1686" spans="1:2" x14ac:dyDescent="0.25">
      <c r="A1686" t="s">
        <v>2090</v>
      </c>
      <c r="B1686" t="s">
        <v>752</v>
      </c>
    </row>
    <row r="1687" spans="1:2" x14ac:dyDescent="0.25">
      <c r="A1687" t="s">
        <v>2090</v>
      </c>
      <c r="B1687" t="s">
        <v>753</v>
      </c>
    </row>
    <row r="1688" spans="1:2" x14ac:dyDescent="0.25">
      <c r="A1688" t="s">
        <v>2090</v>
      </c>
      <c r="B1688" t="s">
        <v>754</v>
      </c>
    </row>
    <row r="1689" spans="1:2" x14ac:dyDescent="0.25">
      <c r="A1689" t="s">
        <v>2090</v>
      </c>
      <c r="B1689" t="s">
        <v>1332</v>
      </c>
    </row>
    <row r="1690" spans="1:2" x14ac:dyDescent="0.25">
      <c r="A1690" t="s">
        <v>2090</v>
      </c>
      <c r="B1690" t="s">
        <v>1360</v>
      </c>
    </row>
    <row r="1691" spans="1:2" x14ac:dyDescent="0.25">
      <c r="A1691" t="s">
        <v>2090</v>
      </c>
      <c r="B1691" t="s">
        <v>755</v>
      </c>
    </row>
    <row r="1692" spans="1:2" x14ac:dyDescent="0.25">
      <c r="A1692" t="s">
        <v>2090</v>
      </c>
      <c r="B1692" t="s">
        <v>667</v>
      </c>
    </row>
    <row r="1693" spans="1:2" x14ac:dyDescent="0.25">
      <c r="A1693" t="s">
        <v>2090</v>
      </c>
      <c r="B1693" t="s">
        <v>1104</v>
      </c>
    </row>
    <row r="1694" spans="1:2" x14ac:dyDescent="0.25">
      <c r="A1694" t="s">
        <v>2090</v>
      </c>
      <c r="B1694" t="s">
        <v>1105</v>
      </c>
    </row>
    <row r="1695" spans="1:2" x14ac:dyDescent="0.25">
      <c r="A1695" t="s">
        <v>2090</v>
      </c>
      <c r="B1695" t="s">
        <v>1106</v>
      </c>
    </row>
    <row r="1696" spans="1:2" x14ac:dyDescent="0.25">
      <c r="A1696" t="s">
        <v>2090</v>
      </c>
      <c r="B1696" t="s">
        <v>601</v>
      </c>
    </row>
    <row r="1697" spans="1:2" x14ac:dyDescent="0.25">
      <c r="A1697" t="s">
        <v>2090</v>
      </c>
      <c r="B1697" t="s">
        <v>1112</v>
      </c>
    </row>
    <row r="1698" spans="1:2" x14ac:dyDescent="0.25">
      <c r="A1698" t="s">
        <v>2090</v>
      </c>
      <c r="B1698" t="s">
        <v>1115</v>
      </c>
    </row>
    <row r="1699" spans="1:2" x14ac:dyDescent="0.25">
      <c r="A1699" t="s">
        <v>2090</v>
      </c>
      <c r="B1699" t="s">
        <v>1402</v>
      </c>
    </row>
    <row r="1700" spans="1:2" x14ac:dyDescent="0.25">
      <c r="A1700" t="s">
        <v>2090</v>
      </c>
      <c r="B1700" t="s">
        <v>1444</v>
      </c>
    </row>
    <row r="1701" spans="1:2" x14ac:dyDescent="0.25">
      <c r="A1701" t="s">
        <v>2090</v>
      </c>
      <c r="B1701" t="s">
        <v>1589</v>
      </c>
    </row>
    <row r="1702" spans="1:2" x14ac:dyDescent="0.25">
      <c r="A1702" t="s">
        <v>2090</v>
      </c>
      <c r="B1702" t="s">
        <v>1590</v>
      </c>
    </row>
    <row r="1703" spans="1:2" x14ac:dyDescent="0.25">
      <c r="A1703" t="s">
        <v>2090</v>
      </c>
      <c r="B1703" t="s">
        <v>622</v>
      </c>
    </row>
    <row r="1704" spans="1:2" x14ac:dyDescent="0.25">
      <c r="A1704" t="s">
        <v>2090</v>
      </c>
      <c r="B1704" t="s">
        <v>255</v>
      </c>
    </row>
    <row r="1705" spans="1:2" x14ac:dyDescent="0.25">
      <c r="A1705" t="s">
        <v>2090</v>
      </c>
      <c r="B1705" t="s">
        <v>1190</v>
      </c>
    </row>
    <row r="1706" spans="1:2" x14ac:dyDescent="0.25">
      <c r="A1706" t="s">
        <v>2090</v>
      </c>
      <c r="B1706" t="s">
        <v>1292</v>
      </c>
    </row>
    <row r="1707" spans="1:2" x14ac:dyDescent="0.25">
      <c r="A1707" t="s">
        <v>2090</v>
      </c>
      <c r="B1707" t="s">
        <v>1160</v>
      </c>
    </row>
    <row r="1708" spans="1:2" x14ac:dyDescent="0.25">
      <c r="A1708" t="s">
        <v>2090</v>
      </c>
      <c r="B1708" t="s">
        <v>1289</v>
      </c>
    </row>
    <row r="1709" spans="1:2" x14ac:dyDescent="0.25">
      <c r="A1709" t="s">
        <v>2090</v>
      </c>
      <c r="B1709" t="s">
        <v>777</v>
      </c>
    </row>
    <row r="1710" spans="1:2" x14ac:dyDescent="0.25">
      <c r="A1710" t="s">
        <v>2090</v>
      </c>
      <c r="B1710" t="s">
        <v>920</v>
      </c>
    </row>
    <row r="1711" spans="1:2" x14ac:dyDescent="0.25">
      <c r="A1711" t="s">
        <v>2090</v>
      </c>
      <c r="B1711" t="s">
        <v>1356</v>
      </c>
    </row>
    <row r="1712" spans="1:2" x14ac:dyDescent="0.25">
      <c r="A1712" t="s">
        <v>2090</v>
      </c>
      <c r="B1712" t="s">
        <v>1285</v>
      </c>
    </row>
    <row r="1713" spans="1:2" x14ac:dyDescent="0.25">
      <c r="A1713" t="s">
        <v>2090</v>
      </c>
      <c r="B1713" t="s">
        <v>1281</v>
      </c>
    </row>
    <row r="1714" spans="1:2" x14ac:dyDescent="0.25">
      <c r="A1714" t="s">
        <v>2090</v>
      </c>
      <c r="B1714" t="s">
        <v>1278</v>
      </c>
    </row>
    <row r="1715" spans="1:2" x14ac:dyDescent="0.25">
      <c r="A1715" t="s">
        <v>2090</v>
      </c>
      <c r="B1715" t="s">
        <v>1372</v>
      </c>
    </row>
    <row r="1716" spans="1:2" x14ac:dyDescent="0.25">
      <c r="A1716" t="s">
        <v>2090</v>
      </c>
      <c r="B1716" t="s">
        <v>940</v>
      </c>
    </row>
    <row r="1717" spans="1:2" x14ac:dyDescent="0.25">
      <c r="A1717" t="s">
        <v>2090</v>
      </c>
      <c r="B1717" t="s">
        <v>934</v>
      </c>
    </row>
    <row r="1718" spans="1:2" x14ac:dyDescent="0.25">
      <c r="A1718" t="s">
        <v>2090</v>
      </c>
      <c r="B1718" t="s">
        <v>1277</v>
      </c>
    </row>
    <row r="1719" spans="1:2" x14ac:dyDescent="0.25">
      <c r="A1719" t="s">
        <v>2090</v>
      </c>
      <c r="B1719" t="s">
        <v>999</v>
      </c>
    </row>
    <row r="1720" spans="1:2" x14ac:dyDescent="0.25">
      <c r="A1720" t="s">
        <v>2090</v>
      </c>
      <c r="B1720" t="s">
        <v>1052</v>
      </c>
    </row>
    <row r="1721" spans="1:2" x14ac:dyDescent="0.25">
      <c r="A1721" t="s">
        <v>2090</v>
      </c>
      <c r="B1721" t="s">
        <v>982</v>
      </c>
    </row>
    <row r="1722" spans="1:2" x14ac:dyDescent="0.25">
      <c r="A1722" t="s">
        <v>2090</v>
      </c>
      <c r="B1722" t="s">
        <v>909</v>
      </c>
    </row>
    <row r="1723" spans="1:2" x14ac:dyDescent="0.25">
      <c r="A1723" t="s">
        <v>2090</v>
      </c>
      <c r="B1723" t="s">
        <v>1004</v>
      </c>
    </row>
    <row r="1724" spans="1:2" x14ac:dyDescent="0.25">
      <c r="A1724" t="s">
        <v>2090</v>
      </c>
      <c r="B1724" t="s">
        <v>1272</v>
      </c>
    </row>
    <row r="1725" spans="1:2" x14ac:dyDescent="0.25">
      <c r="A1725" t="s">
        <v>2090</v>
      </c>
      <c r="B1725" t="s">
        <v>260</v>
      </c>
    </row>
    <row r="1726" spans="1:2" x14ac:dyDescent="0.25">
      <c r="A1726" t="s">
        <v>2090</v>
      </c>
      <c r="B1726" t="s">
        <v>383</v>
      </c>
    </row>
    <row r="1727" spans="1:2" x14ac:dyDescent="0.25">
      <c r="A1727" t="s">
        <v>2090</v>
      </c>
      <c r="B1727" t="s">
        <v>1362</v>
      </c>
    </row>
    <row r="1728" spans="1:2" x14ac:dyDescent="0.25">
      <c r="A1728" t="s">
        <v>2090</v>
      </c>
      <c r="B1728" t="s">
        <v>1035</v>
      </c>
    </row>
    <row r="1729" spans="1:2" x14ac:dyDescent="0.25">
      <c r="A1729" t="s">
        <v>2090</v>
      </c>
      <c r="B1729" t="s">
        <v>1041</v>
      </c>
    </row>
    <row r="1730" spans="1:2" x14ac:dyDescent="0.25">
      <c r="A1730" t="s">
        <v>2090</v>
      </c>
      <c r="B1730" t="s">
        <v>262</v>
      </c>
    </row>
    <row r="1731" spans="1:2" x14ac:dyDescent="0.25">
      <c r="A1731" t="s">
        <v>2090</v>
      </c>
      <c r="B1731" t="s">
        <v>830</v>
      </c>
    </row>
    <row r="1732" spans="1:2" x14ac:dyDescent="0.25">
      <c r="A1732" t="s">
        <v>2090</v>
      </c>
      <c r="B1732" t="s">
        <v>816</v>
      </c>
    </row>
    <row r="1733" spans="1:2" x14ac:dyDescent="0.25">
      <c r="A1733" t="s">
        <v>2090</v>
      </c>
      <c r="B1733" t="s">
        <v>1593</v>
      </c>
    </row>
    <row r="1734" spans="1:2" x14ac:dyDescent="0.25">
      <c r="A1734" t="s">
        <v>2090</v>
      </c>
      <c r="B1734" t="s">
        <v>264</v>
      </c>
    </row>
    <row r="1735" spans="1:2" x14ac:dyDescent="0.25">
      <c r="A1735" t="s">
        <v>2090</v>
      </c>
      <c r="B1735" t="s">
        <v>1025</v>
      </c>
    </row>
    <row r="1736" spans="1:2" x14ac:dyDescent="0.25">
      <c r="A1736" t="s">
        <v>2090</v>
      </c>
      <c r="B1736" t="s">
        <v>1384</v>
      </c>
    </row>
    <row r="1737" spans="1:2" x14ac:dyDescent="0.25">
      <c r="A1737" t="s">
        <v>2090</v>
      </c>
      <c r="B1737" t="s">
        <v>924</v>
      </c>
    </row>
    <row r="1738" spans="1:2" x14ac:dyDescent="0.25">
      <c r="A1738" t="s">
        <v>2090</v>
      </c>
      <c r="B1738" t="s">
        <v>991</v>
      </c>
    </row>
    <row r="1739" spans="1:2" x14ac:dyDescent="0.25">
      <c r="A1739" t="s">
        <v>2090</v>
      </c>
      <c r="B1739" t="s">
        <v>697</v>
      </c>
    </row>
    <row r="1740" spans="1:2" x14ac:dyDescent="0.25">
      <c r="A1740" t="s">
        <v>2090</v>
      </c>
      <c r="B1740" t="s">
        <v>265</v>
      </c>
    </row>
    <row r="1741" spans="1:2" x14ac:dyDescent="0.25">
      <c r="A1741" t="s">
        <v>2090</v>
      </c>
      <c r="B1741" t="s">
        <v>266</v>
      </c>
    </row>
    <row r="1742" spans="1:2" x14ac:dyDescent="0.25">
      <c r="A1742" t="s">
        <v>2090</v>
      </c>
      <c r="B1742" t="s">
        <v>615</v>
      </c>
    </row>
    <row r="1743" spans="1:2" x14ac:dyDescent="0.25">
      <c r="A1743" t="s">
        <v>2090</v>
      </c>
      <c r="B1743" t="s">
        <v>267</v>
      </c>
    </row>
    <row r="1744" spans="1:2" x14ac:dyDescent="0.25">
      <c r="A1744" t="s">
        <v>2090</v>
      </c>
      <c r="B1744" t="s">
        <v>268</v>
      </c>
    </row>
    <row r="1745" spans="1:2" x14ac:dyDescent="0.25">
      <c r="A1745" t="s">
        <v>2090</v>
      </c>
      <c r="B1745" t="s">
        <v>556</v>
      </c>
    </row>
    <row r="1746" spans="1:2" x14ac:dyDescent="0.25">
      <c r="A1746" t="s">
        <v>2090</v>
      </c>
      <c r="B1746" t="s">
        <v>1413</v>
      </c>
    </row>
    <row r="1747" spans="1:2" x14ac:dyDescent="0.25">
      <c r="A1747" t="s">
        <v>2090</v>
      </c>
      <c r="B1747" t="s">
        <v>846</v>
      </c>
    </row>
    <row r="1748" spans="1:2" x14ac:dyDescent="0.25">
      <c r="A1748" t="s">
        <v>2090</v>
      </c>
      <c r="B1748" t="s">
        <v>826</v>
      </c>
    </row>
    <row r="1749" spans="1:2" x14ac:dyDescent="0.25">
      <c r="A1749" t="s">
        <v>2090</v>
      </c>
      <c r="B1749" t="s">
        <v>1169</v>
      </c>
    </row>
    <row r="1750" spans="1:2" x14ac:dyDescent="0.25">
      <c r="A1750" t="s">
        <v>2090</v>
      </c>
      <c r="B1750" t="s">
        <v>1171</v>
      </c>
    </row>
    <row r="1751" spans="1:2" x14ac:dyDescent="0.25">
      <c r="A1751" t="s">
        <v>2090</v>
      </c>
      <c r="B1751" t="s">
        <v>1173</v>
      </c>
    </row>
    <row r="1752" spans="1:2" x14ac:dyDescent="0.25">
      <c r="A1752" t="s">
        <v>2090</v>
      </c>
      <c r="B1752" t="s">
        <v>1175</v>
      </c>
    </row>
    <row r="1753" spans="1:2" x14ac:dyDescent="0.25">
      <c r="A1753" t="s">
        <v>2090</v>
      </c>
      <c r="B1753" t="s">
        <v>1396</v>
      </c>
    </row>
    <row r="1754" spans="1:2" x14ac:dyDescent="0.25">
      <c r="A1754" t="s">
        <v>2090</v>
      </c>
      <c r="B1754" t="s">
        <v>1181</v>
      </c>
    </row>
    <row r="1755" spans="1:2" x14ac:dyDescent="0.25">
      <c r="A1755" t="s">
        <v>2090</v>
      </c>
      <c r="B1755" t="s">
        <v>1182</v>
      </c>
    </row>
    <row r="1756" spans="1:2" x14ac:dyDescent="0.25">
      <c r="A1756" t="s">
        <v>2090</v>
      </c>
      <c r="B1756" t="s">
        <v>1194</v>
      </c>
    </row>
    <row r="1757" spans="1:2" x14ac:dyDescent="0.25">
      <c r="A1757" t="s">
        <v>2090</v>
      </c>
      <c r="B1757" t="s">
        <v>1374</v>
      </c>
    </row>
    <row r="1758" spans="1:2" x14ac:dyDescent="0.25">
      <c r="A1758" t="s">
        <v>2090</v>
      </c>
      <c r="B1758" t="s">
        <v>892</v>
      </c>
    </row>
    <row r="1759" spans="1:2" x14ac:dyDescent="0.25">
      <c r="A1759" t="s">
        <v>2090</v>
      </c>
      <c r="B1759" t="s">
        <v>1354</v>
      </c>
    </row>
    <row r="1760" spans="1:2" x14ac:dyDescent="0.25">
      <c r="A1760" t="s">
        <v>2090</v>
      </c>
      <c r="B1760" t="s">
        <v>1196</v>
      </c>
    </row>
    <row r="1761" spans="1:2" x14ac:dyDescent="0.25">
      <c r="A1761" t="s">
        <v>2090</v>
      </c>
      <c r="B1761" t="s">
        <v>1161</v>
      </c>
    </row>
    <row r="1762" spans="1:2" x14ac:dyDescent="0.25">
      <c r="A1762" t="s">
        <v>2090</v>
      </c>
      <c r="B1762" t="s">
        <v>1202</v>
      </c>
    </row>
    <row r="1763" spans="1:2" x14ac:dyDescent="0.25">
      <c r="A1763" t="s">
        <v>2090</v>
      </c>
      <c r="B1763" t="s">
        <v>272</v>
      </c>
    </row>
    <row r="1764" spans="1:2" x14ac:dyDescent="0.25">
      <c r="A1764" t="s">
        <v>2090</v>
      </c>
      <c r="B1764" t="s">
        <v>842</v>
      </c>
    </row>
    <row r="1765" spans="1:2" x14ac:dyDescent="0.25">
      <c r="A1765" t="s">
        <v>2090</v>
      </c>
      <c r="B1765" t="s">
        <v>1359</v>
      </c>
    </row>
    <row r="1766" spans="1:2" x14ac:dyDescent="0.25">
      <c r="A1766" t="s">
        <v>2090</v>
      </c>
      <c r="B1766" t="s">
        <v>1206</v>
      </c>
    </row>
    <row r="1767" spans="1:2" x14ac:dyDescent="0.25">
      <c r="A1767" t="s">
        <v>2090</v>
      </c>
      <c r="B1767" t="s">
        <v>835</v>
      </c>
    </row>
    <row r="1768" spans="1:2" x14ac:dyDescent="0.25">
      <c r="A1768" t="s">
        <v>2090</v>
      </c>
      <c r="B1768" t="s">
        <v>1155</v>
      </c>
    </row>
    <row r="1769" spans="1:2" x14ac:dyDescent="0.25">
      <c r="A1769" t="s">
        <v>2090</v>
      </c>
      <c r="B1769" t="s">
        <v>273</v>
      </c>
    </row>
    <row r="1770" spans="1:2" x14ac:dyDescent="0.25">
      <c r="A1770" t="s">
        <v>2090</v>
      </c>
      <c r="B1770" t="s">
        <v>1219</v>
      </c>
    </row>
    <row r="1771" spans="1:2" x14ac:dyDescent="0.25">
      <c r="A1771" t="s">
        <v>2090</v>
      </c>
      <c r="B1771" t="s">
        <v>1222</v>
      </c>
    </row>
    <row r="1772" spans="1:2" x14ac:dyDescent="0.25">
      <c r="A1772" t="s">
        <v>2090</v>
      </c>
      <c r="B1772" t="s">
        <v>782</v>
      </c>
    </row>
    <row r="1773" spans="1:2" x14ac:dyDescent="0.25">
      <c r="A1773" t="s">
        <v>2090</v>
      </c>
      <c r="B1773" t="s">
        <v>935</v>
      </c>
    </row>
    <row r="1774" spans="1:2" x14ac:dyDescent="0.25">
      <c r="A1774" t="s">
        <v>2090</v>
      </c>
      <c r="B1774" t="s">
        <v>1227</v>
      </c>
    </row>
    <row r="1775" spans="1:2" x14ac:dyDescent="0.25">
      <c r="A1775" t="s">
        <v>2090</v>
      </c>
      <c r="B1775" t="s">
        <v>1390</v>
      </c>
    </row>
    <row r="1776" spans="1:2" x14ac:dyDescent="0.25">
      <c r="A1776" t="s">
        <v>2090</v>
      </c>
      <c r="B1776" t="s">
        <v>1394</v>
      </c>
    </row>
    <row r="1777" spans="1:2" x14ac:dyDescent="0.25">
      <c r="A1777" t="s">
        <v>2090</v>
      </c>
      <c r="B1777" t="s">
        <v>1232</v>
      </c>
    </row>
    <row r="1778" spans="1:2" x14ac:dyDescent="0.25">
      <c r="A1778" t="s">
        <v>2090</v>
      </c>
      <c r="B1778" t="s">
        <v>1233</v>
      </c>
    </row>
    <row r="1779" spans="1:2" x14ac:dyDescent="0.25">
      <c r="A1779" t="s">
        <v>2090</v>
      </c>
      <c r="B1779" t="s">
        <v>1392</v>
      </c>
    </row>
    <row r="1780" spans="1:2" x14ac:dyDescent="0.25">
      <c r="A1780" t="s">
        <v>2090</v>
      </c>
      <c r="B1780" t="s">
        <v>496</v>
      </c>
    </row>
    <row r="1781" spans="1:2" x14ac:dyDescent="0.25">
      <c r="A1781" t="s">
        <v>2090</v>
      </c>
      <c r="B1781" t="s">
        <v>363</v>
      </c>
    </row>
    <row r="1782" spans="1:2" x14ac:dyDescent="0.25">
      <c r="A1782" t="s">
        <v>2090</v>
      </c>
      <c r="B1782" t="s">
        <v>1001</v>
      </c>
    </row>
    <row r="1783" spans="1:2" x14ac:dyDescent="0.25">
      <c r="A1783" t="s">
        <v>2090</v>
      </c>
      <c r="B1783" t="s">
        <v>910</v>
      </c>
    </row>
    <row r="1784" spans="1:2" x14ac:dyDescent="0.25">
      <c r="A1784" t="s">
        <v>2090</v>
      </c>
      <c r="B1784" t="s">
        <v>1597</v>
      </c>
    </row>
    <row r="1785" spans="1:2" x14ac:dyDescent="0.25">
      <c r="A1785" t="s">
        <v>2090</v>
      </c>
      <c r="B1785" t="s">
        <v>1239</v>
      </c>
    </row>
    <row r="1786" spans="1:2" x14ac:dyDescent="0.25">
      <c r="A1786" t="s">
        <v>2090</v>
      </c>
      <c r="B1786" t="s">
        <v>1393</v>
      </c>
    </row>
    <row r="1787" spans="1:2" x14ac:dyDescent="0.25">
      <c r="A1787" t="s">
        <v>2090</v>
      </c>
      <c r="B1787" t="s">
        <v>1165</v>
      </c>
    </row>
    <row r="1788" spans="1:2" x14ac:dyDescent="0.25">
      <c r="A1788" t="s">
        <v>2090</v>
      </c>
      <c r="B1788" t="s">
        <v>1240</v>
      </c>
    </row>
    <row r="1789" spans="1:2" x14ac:dyDescent="0.25">
      <c r="A1789" t="s">
        <v>2090</v>
      </c>
      <c r="B1789" t="s">
        <v>824</v>
      </c>
    </row>
    <row r="1790" spans="1:2" x14ac:dyDescent="0.25">
      <c r="A1790" t="s">
        <v>2090</v>
      </c>
      <c r="B1790" t="s">
        <v>794</v>
      </c>
    </row>
    <row r="1791" spans="1:2" x14ac:dyDescent="0.25">
      <c r="A1791" t="s">
        <v>2090</v>
      </c>
      <c r="B1791" t="s">
        <v>1241</v>
      </c>
    </row>
    <row r="1792" spans="1:2" x14ac:dyDescent="0.25">
      <c r="A1792" t="s">
        <v>2090</v>
      </c>
      <c r="B1792" t="s">
        <v>282</v>
      </c>
    </row>
    <row r="1793" spans="1:2" x14ac:dyDescent="0.25">
      <c r="A1793" t="s">
        <v>2090</v>
      </c>
      <c r="B1793" t="s">
        <v>952</v>
      </c>
    </row>
    <row r="1794" spans="1:2" x14ac:dyDescent="0.25">
      <c r="A1794" t="s">
        <v>2090</v>
      </c>
      <c r="B1794" t="s">
        <v>1242</v>
      </c>
    </row>
    <row r="1795" spans="1:2" x14ac:dyDescent="0.25">
      <c r="A1795" t="s">
        <v>2090</v>
      </c>
      <c r="B1795" t="s">
        <v>1243</v>
      </c>
    </row>
    <row r="1796" spans="1:2" x14ac:dyDescent="0.25">
      <c r="A1796" t="s">
        <v>2090</v>
      </c>
      <c r="B1796" t="s">
        <v>1365</v>
      </c>
    </row>
    <row r="1797" spans="1:2" x14ac:dyDescent="0.25">
      <c r="A1797" t="s">
        <v>2090</v>
      </c>
      <c r="B1797" t="s">
        <v>1366</v>
      </c>
    </row>
    <row r="1798" spans="1:2" x14ac:dyDescent="0.25">
      <c r="A1798" t="s">
        <v>2090</v>
      </c>
      <c r="B1798" t="s">
        <v>1367</v>
      </c>
    </row>
    <row r="1799" spans="1:2" x14ac:dyDescent="0.25">
      <c r="A1799" t="s">
        <v>2090</v>
      </c>
      <c r="B1799" t="s">
        <v>1246</v>
      </c>
    </row>
    <row r="1800" spans="1:2" x14ac:dyDescent="0.25">
      <c r="A1800" t="s">
        <v>2090</v>
      </c>
      <c r="B1800" t="s">
        <v>284</v>
      </c>
    </row>
    <row r="1801" spans="1:2" x14ac:dyDescent="0.25">
      <c r="A1801" t="s">
        <v>2090</v>
      </c>
      <c r="B1801" t="s">
        <v>1247</v>
      </c>
    </row>
    <row r="1802" spans="1:2" x14ac:dyDescent="0.25">
      <c r="A1802" t="s">
        <v>2090</v>
      </c>
      <c r="B1802" t="s">
        <v>1248</v>
      </c>
    </row>
    <row r="1803" spans="1:2" x14ac:dyDescent="0.25">
      <c r="A1803" t="s">
        <v>2090</v>
      </c>
      <c r="B1803" t="s">
        <v>933</v>
      </c>
    </row>
    <row r="1804" spans="1:2" x14ac:dyDescent="0.25">
      <c r="A1804" t="s">
        <v>2090</v>
      </c>
      <c r="B1804" t="s">
        <v>1152</v>
      </c>
    </row>
    <row r="1805" spans="1:2" x14ac:dyDescent="0.25">
      <c r="A1805" t="s">
        <v>2090</v>
      </c>
      <c r="B1805" t="s">
        <v>1250</v>
      </c>
    </row>
    <row r="1806" spans="1:2" x14ac:dyDescent="0.25">
      <c r="A1806" t="s">
        <v>2090</v>
      </c>
      <c r="B1806" t="s">
        <v>1213</v>
      </c>
    </row>
    <row r="1807" spans="1:2" x14ac:dyDescent="0.25">
      <c r="A1807" t="s">
        <v>2090</v>
      </c>
      <c r="B1807" t="s">
        <v>1251</v>
      </c>
    </row>
    <row r="1808" spans="1:2" x14ac:dyDescent="0.25">
      <c r="A1808" t="s">
        <v>2090</v>
      </c>
      <c r="B1808" t="s">
        <v>1253</v>
      </c>
    </row>
    <row r="1809" spans="1:2" x14ac:dyDescent="0.25">
      <c r="A1809" t="s">
        <v>2090</v>
      </c>
      <c r="B1809" t="s">
        <v>1419</v>
      </c>
    </row>
    <row r="1810" spans="1:2" x14ac:dyDescent="0.25">
      <c r="A1810" t="s">
        <v>2090</v>
      </c>
      <c r="B1810" t="s">
        <v>1254</v>
      </c>
    </row>
    <row r="1811" spans="1:2" x14ac:dyDescent="0.25">
      <c r="A1811" t="s">
        <v>2090</v>
      </c>
      <c r="B1811" t="s">
        <v>1256</v>
      </c>
    </row>
    <row r="1812" spans="1:2" x14ac:dyDescent="0.25">
      <c r="A1812" t="s">
        <v>2090</v>
      </c>
      <c r="B1812" t="s">
        <v>1257</v>
      </c>
    </row>
    <row r="1813" spans="1:2" x14ac:dyDescent="0.25">
      <c r="A1813" t="s">
        <v>2090</v>
      </c>
      <c r="B1813" t="s">
        <v>811</v>
      </c>
    </row>
    <row r="1814" spans="1:2" x14ac:dyDescent="0.25">
      <c r="A1814" t="s">
        <v>2090</v>
      </c>
      <c r="B1814" t="s">
        <v>1158</v>
      </c>
    </row>
    <row r="1815" spans="1:2" x14ac:dyDescent="0.25">
      <c r="A1815" t="s">
        <v>2090</v>
      </c>
      <c r="B1815" t="s">
        <v>1382</v>
      </c>
    </row>
    <row r="1816" spans="1:2" x14ac:dyDescent="0.25">
      <c r="A1816" t="s">
        <v>2090</v>
      </c>
      <c r="B1816" t="s">
        <v>1259</v>
      </c>
    </row>
    <row r="1817" spans="1:2" x14ac:dyDescent="0.25">
      <c r="A1817" t="s">
        <v>2090</v>
      </c>
      <c r="B1817" t="s">
        <v>1261</v>
      </c>
    </row>
    <row r="1818" spans="1:2" x14ac:dyDescent="0.25">
      <c r="A1818" t="s">
        <v>2090</v>
      </c>
      <c r="B1818" t="s">
        <v>1263</v>
      </c>
    </row>
    <row r="1819" spans="1:2" x14ac:dyDescent="0.25">
      <c r="A1819" t="s">
        <v>2090</v>
      </c>
      <c r="B1819" t="s">
        <v>882</v>
      </c>
    </row>
    <row r="1820" spans="1:2" x14ac:dyDescent="0.25">
      <c r="A1820" t="s">
        <v>2090</v>
      </c>
      <c r="B1820" t="s">
        <v>891</v>
      </c>
    </row>
    <row r="1821" spans="1:2" x14ac:dyDescent="0.25">
      <c r="A1821" t="s">
        <v>2090</v>
      </c>
      <c r="B1821" t="s">
        <v>1265</v>
      </c>
    </row>
    <row r="1822" spans="1:2" x14ac:dyDescent="0.25">
      <c r="A1822" t="s">
        <v>2090</v>
      </c>
      <c r="B1822" t="s">
        <v>1267</v>
      </c>
    </row>
    <row r="1823" spans="1:2" x14ac:dyDescent="0.25">
      <c r="A1823" t="s">
        <v>2090</v>
      </c>
      <c r="B1823" t="s">
        <v>890</v>
      </c>
    </row>
    <row r="1824" spans="1:2" x14ac:dyDescent="0.25">
      <c r="A1824" t="s">
        <v>2090</v>
      </c>
      <c r="B1824" t="s">
        <v>1268</v>
      </c>
    </row>
    <row r="1825" spans="1:2" x14ac:dyDescent="0.25">
      <c r="A1825" t="s">
        <v>2090</v>
      </c>
      <c r="B1825" t="s">
        <v>1269</v>
      </c>
    </row>
    <row r="1826" spans="1:2" x14ac:dyDescent="0.25">
      <c r="A1826" t="s">
        <v>2090</v>
      </c>
      <c r="B1826" t="s">
        <v>1148</v>
      </c>
    </row>
    <row r="1827" spans="1:2" x14ac:dyDescent="0.25">
      <c r="A1827" t="s">
        <v>2090</v>
      </c>
      <c r="B1827" t="s">
        <v>289</v>
      </c>
    </row>
    <row r="1828" spans="1:2" x14ac:dyDescent="0.25">
      <c r="A1828" t="s">
        <v>2090</v>
      </c>
      <c r="B1828" t="s">
        <v>799</v>
      </c>
    </row>
    <row r="1829" spans="1:2" x14ac:dyDescent="0.25">
      <c r="A1829" t="s">
        <v>2090</v>
      </c>
      <c r="B1829" t="s">
        <v>839</v>
      </c>
    </row>
    <row r="1830" spans="1:2" x14ac:dyDescent="0.25">
      <c r="A1830" t="s">
        <v>2090</v>
      </c>
      <c r="B1830" t="s">
        <v>1264</v>
      </c>
    </row>
    <row r="1831" spans="1:2" x14ac:dyDescent="0.25">
      <c r="A1831" t="s">
        <v>2090</v>
      </c>
      <c r="B1831" t="s">
        <v>1273</v>
      </c>
    </row>
    <row r="1832" spans="1:2" x14ac:dyDescent="0.25">
      <c r="A1832" t="s">
        <v>2090</v>
      </c>
      <c r="B1832" t="s">
        <v>1599</v>
      </c>
    </row>
    <row r="1833" spans="1:2" x14ac:dyDescent="0.25">
      <c r="A1833" t="s">
        <v>2090</v>
      </c>
      <c r="B1833" t="s">
        <v>1037</v>
      </c>
    </row>
    <row r="1834" spans="1:2" x14ac:dyDescent="0.25">
      <c r="A1834" t="s">
        <v>2090</v>
      </c>
      <c r="B1834" t="s">
        <v>1298</v>
      </c>
    </row>
    <row r="1835" spans="1:2" x14ac:dyDescent="0.25">
      <c r="A1835" t="s">
        <v>2090</v>
      </c>
      <c r="B1835" t="s">
        <v>886</v>
      </c>
    </row>
    <row r="1836" spans="1:2" x14ac:dyDescent="0.25">
      <c r="A1836" t="s">
        <v>2090</v>
      </c>
      <c r="B1836" t="s">
        <v>809</v>
      </c>
    </row>
    <row r="1837" spans="1:2" x14ac:dyDescent="0.25">
      <c r="A1837" t="s">
        <v>2090</v>
      </c>
      <c r="B1837" t="s">
        <v>944</v>
      </c>
    </row>
    <row r="1838" spans="1:2" x14ac:dyDescent="0.25">
      <c r="A1838" t="s">
        <v>2090</v>
      </c>
      <c r="B1838" t="s">
        <v>866</v>
      </c>
    </row>
    <row r="1839" spans="1:2" x14ac:dyDescent="0.25">
      <c r="A1839" t="s">
        <v>2090</v>
      </c>
      <c r="B1839" t="s">
        <v>787</v>
      </c>
    </row>
    <row r="1840" spans="1:2" x14ac:dyDescent="0.25">
      <c r="A1840" t="s">
        <v>2090</v>
      </c>
      <c r="B1840" t="s">
        <v>1031</v>
      </c>
    </row>
    <row r="1841" spans="1:2" x14ac:dyDescent="0.25">
      <c r="A1841" t="s">
        <v>2090</v>
      </c>
      <c r="B1841" t="s">
        <v>788</v>
      </c>
    </row>
    <row r="1842" spans="1:2" x14ac:dyDescent="0.25">
      <c r="A1842" t="s">
        <v>2090</v>
      </c>
      <c r="B1842" t="s">
        <v>214</v>
      </c>
    </row>
    <row r="1843" spans="1:2" x14ac:dyDescent="0.25">
      <c r="A1843" t="s">
        <v>2090</v>
      </c>
      <c r="B1843" t="s">
        <v>992</v>
      </c>
    </row>
    <row r="1844" spans="1:2" x14ac:dyDescent="0.25">
      <c r="A1844" t="s">
        <v>2090</v>
      </c>
      <c r="B1844" t="s">
        <v>1124</v>
      </c>
    </row>
    <row r="1845" spans="1:2" x14ac:dyDescent="0.25">
      <c r="A1845" t="s">
        <v>2090</v>
      </c>
      <c r="B1845" t="s">
        <v>1122</v>
      </c>
    </row>
    <row r="1846" spans="1:2" x14ac:dyDescent="0.25">
      <c r="A1846" t="s">
        <v>2090</v>
      </c>
      <c r="B1846" t="s">
        <v>1123</v>
      </c>
    </row>
    <row r="1847" spans="1:2" x14ac:dyDescent="0.25">
      <c r="A1847" t="s">
        <v>2090</v>
      </c>
      <c r="B1847" t="s">
        <v>1125</v>
      </c>
    </row>
    <row r="1848" spans="1:2" x14ac:dyDescent="0.25">
      <c r="A1848" t="s">
        <v>2090</v>
      </c>
      <c r="B1848" t="s">
        <v>2032</v>
      </c>
    </row>
    <row r="1849" spans="1:2" x14ac:dyDescent="0.25">
      <c r="A1849" t="s">
        <v>2090</v>
      </c>
      <c r="B1849" t="s">
        <v>907</v>
      </c>
    </row>
    <row r="1850" spans="1:2" x14ac:dyDescent="0.25">
      <c r="A1850" t="s">
        <v>2090</v>
      </c>
      <c r="B1850" t="s">
        <v>946</v>
      </c>
    </row>
    <row r="1851" spans="1:2" x14ac:dyDescent="0.25">
      <c r="A1851" t="s">
        <v>2090</v>
      </c>
      <c r="B1851" t="s">
        <v>1077</v>
      </c>
    </row>
    <row r="1852" spans="1:2" x14ac:dyDescent="0.25">
      <c r="A1852" t="s">
        <v>2090</v>
      </c>
      <c r="B1852" t="s">
        <v>1303</v>
      </c>
    </row>
    <row r="1853" spans="1:2" x14ac:dyDescent="0.25">
      <c r="A1853" t="s">
        <v>2090</v>
      </c>
      <c r="B1853" t="s">
        <v>877</v>
      </c>
    </row>
    <row r="1854" spans="1:2" x14ac:dyDescent="0.25">
      <c r="A1854" t="s">
        <v>2090</v>
      </c>
      <c r="B1854" t="s">
        <v>1126</v>
      </c>
    </row>
    <row r="1855" spans="1:2" x14ac:dyDescent="0.25">
      <c r="A1855" t="s">
        <v>2090</v>
      </c>
      <c r="B1855" t="s">
        <v>1127</v>
      </c>
    </row>
    <row r="1856" spans="1:2" x14ac:dyDescent="0.25">
      <c r="A1856" t="s">
        <v>2090</v>
      </c>
      <c r="B1856" t="s">
        <v>569</v>
      </c>
    </row>
    <row r="1857" spans="1:2" x14ac:dyDescent="0.25">
      <c r="A1857" t="s">
        <v>2090</v>
      </c>
      <c r="B1857" t="s">
        <v>889</v>
      </c>
    </row>
    <row r="1858" spans="1:2" x14ac:dyDescent="0.25">
      <c r="A1858" t="s">
        <v>2090</v>
      </c>
      <c r="B1858" t="s">
        <v>1150</v>
      </c>
    </row>
    <row r="1859" spans="1:2" x14ac:dyDescent="0.25">
      <c r="A1859" t="s">
        <v>2090</v>
      </c>
      <c r="B1859" t="s">
        <v>1223</v>
      </c>
    </row>
    <row r="1860" spans="1:2" x14ac:dyDescent="0.25">
      <c r="A1860" t="s">
        <v>2090</v>
      </c>
      <c r="B1860" t="s">
        <v>1317</v>
      </c>
    </row>
    <row r="1861" spans="1:2" x14ac:dyDescent="0.25">
      <c r="A1861" t="s">
        <v>2090</v>
      </c>
      <c r="B1861" t="s">
        <v>867</v>
      </c>
    </row>
    <row r="1862" spans="1:2" x14ac:dyDescent="0.25">
      <c r="A1862" t="s">
        <v>2090</v>
      </c>
      <c r="B1862" t="s">
        <v>879</v>
      </c>
    </row>
    <row r="1863" spans="1:2" x14ac:dyDescent="0.25">
      <c r="A1863" t="s">
        <v>2090</v>
      </c>
      <c r="B1863" t="s">
        <v>1326</v>
      </c>
    </row>
    <row r="1864" spans="1:2" x14ac:dyDescent="0.25">
      <c r="A1864" t="s">
        <v>2090</v>
      </c>
      <c r="B1864" t="s">
        <v>1082</v>
      </c>
    </row>
    <row r="1865" spans="1:2" x14ac:dyDescent="0.25">
      <c r="A1865" t="s">
        <v>2090</v>
      </c>
      <c r="B1865" t="s">
        <v>1383</v>
      </c>
    </row>
    <row r="1866" spans="1:2" x14ac:dyDescent="0.25">
      <c r="A1866" t="s">
        <v>2090</v>
      </c>
      <c r="B1866" t="s">
        <v>1016</v>
      </c>
    </row>
    <row r="1867" spans="1:2" x14ac:dyDescent="0.25">
      <c r="A1867" t="s">
        <v>2090</v>
      </c>
      <c r="B1867" t="s">
        <v>1336</v>
      </c>
    </row>
    <row r="1868" spans="1:2" x14ac:dyDescent="0.25">
      <c r="A1868" t="s">
        <v>2090</v>
      </c>
      <c r="B1868" t="s">
        <v>1061</v>
      </c>
    </row>
    <row r="1869" spans="1:2" x14ac:dyDescent="0.25">
      <c r="A1869" t="s">
        <v>2090</v>
      </c>
      <c r="B1869" t="s">
        <v>1071</v>
      </c>
    </row>
    <row r="1870" spans="1:2" x14ac:dyDescent="0.25">
      <c r="A1870" t="s">
        <v>2090</v>
      </c>
      <c r="B1870" t="s">
        <v>1335</v>
      </c>
    </row>
    <row r="1871" spans="1:2" x14ac:dyDescent="0.25">
      <c r="A1871" t="s">
        <v>2090</v>
      </c>
      <c r="B1871" t="s">
        <v>1338</v>
      </c>
    </row>
    <row r="1872" spans="1:2" x14ac:dyDescent="0.25">
      <c r="A1872" t="s">
        <v>2090</v>
      </c>
      <c r="B1872" t="s">
        <v>1339</v>
      </c>
    </row>
    <row r="1873" spans="1:2" x14ac:dyDescent="0.25">
      <c r="A1873" t="s">
        <v>2090</v>
      </c>
      <c r="B1873" t="s">
        <v>1431</v>
      </c>
    </row>
    <row r="1874" spans="1:2" x14ac:dyDescent="0.25">
      <c r="A1874" t="s">
        <v>2090</v>
      </c>
      <c r="B1874" t="s">
        <v>1340</v>
      </c>
    </row>
    <row r="1875" spans="1:2" x14ac:dyDescent="0.25">
      <c r="A1875" t="s">
        <v>2090</v>
      </c>
      <c r="B1875" t="s">
        <v>1300</v>
      </c>
    </row>
    <row r="1876" spans="1:2" x14ac:dyDescent="0.25">
      <c r="A1876" t="s">
        <v>2090</v>
      </c>
      <c r="B1876" t="s">
        <v>1076</v>
      </c>
    </row>
    <row r="1877" spans="1:2" x14ac:dyDescent="0.25">
      <c r="A1877" t="s">
        <v>2090</v>
      </c>
      <c r="B1877" t="s">
        <v>1014</v>
      </c>
    </row>
    <row r="1878" spans="1:2" x14ac:dyDescent="0.25">
      <c r="A1878" t="s">
        <v>2090</v>
      </c>
      <c r="B1878" t="s">
        <v>1059</v>
      </c>
    </row>
    <row r="1879" spans="1:2" x14ac:dyDescent="0.25">
      <c r="A1879" t="s">
        <v>2090</v>
      </c>
      <c r="B1879" t="s">
        <v>975</v>
      </c>
    </row>
    <row r="1880" spans="1:2" x14ac:dyDescent="0.25">
      <c r="A1880" t="s">
        <v>2090</v>
      </c>
      <c r="B1880" t="s">
        <v>390</v>
      </c>
    </row>
    <row r="1881" spans="1:2" x14ac:dyDescent="0.25">
      <c r="A1881" t="s">
        <v>2090</v>
      </c>
      <c r="B1881" t="s">
        <v>439</v>
      </c>
    </row>
    <row r="1882" spans="1:2" x14ac:dyDescent="0.25">
      <c r="A1882" t="s">
        <v>2090</v>
      </c>
      <c r="B1882" t="s">
        <v>299</v>
      </c>
    </row>
    <row r="1883" spans="1:2" x14ac:dyDescent="0.25">
      <c r="A1883" t="s">
        <v>2090</v>
      </c>
      <c r="B1883" t="s">
        <v>300</v>
      </c>
    </row>
    <row r="1884" spans="1:2" x14ac:dyDescent="0.25">
      <c r="A1884" t="s">
        <v>2090</v>
      </c>
      <c r="B1884" t="s">
        <v>685</v>
      </c>
    </row>
    <row r="1885" spans="1:2" x14ac:dyDescent="0.25">
      <c r="A1885" t="s">
        <v>2090</v>
      </c>
      <c r="B1885" t="s">
        <v>376</v>
      </c>
    </row>
    <row r="1886" spans="1:2" x14ac:dyDescent="0.25">
      <c r="A1886" t="s">
        <v>2090</v>
      </c>
      <c r="B1886" t="s">
        <v>603</v>
      </c>
    </row>
    <row r="1887" spans="1:2" x14ac:dyDescent="0.25">
      <c r="A1887" t="s">
        <v>2090</v>
      </c>
      <c r="B1887" t="s">
        <v>440</v>
      </c>
    </row>
    <row r="1888" spans="1:2" x14ac:dyDescent="0.25">
      <c r="A1888" t="s">
        <v>2090</v>
      </c>
      <c r="B1888" t="s">
        <v>641</v>
      </c>
    </row>
    <row r="1889" spans="1:2" x14ac:dyDescent="0.25">
      <c r="A1889" t="s">
        <v>2090</v>
      </c>
      <c r="B1889" t="s">
        <v>301</v>
      </c>
    </row>
    <row r="1890" spans="1:2" x14ac:dyDescent="0.25">
      <c r="A1890" t="s">
        <v>2090</v>
      </c>
      <c r="B1890" t="s">
        <v>1141</v>
      </c>
    </row>
    <row r="1891" spans="1:2" x14ac:dyDescent="0.25">
      <c r="A1891" t="s">
        <v>2090</v>
      </c>
      <c r="B1891" t="s">
        <v>391</v>
      </c>
    </row>
    <row r="1892" spans="1:2" x14ac:dyDescent="0.25">
      <c r="A1892" t="s">
        <v>2090</v>
      </c>
      <c r="B1892" t="s">
        <v>1344</v>
      </c>
    </row>
    <row r="1893" spans="1:2" x14ac:dyDescent="0.25">
      <c r="A1893" t="s">
        <v>2090</v>
      </c>
      <c r="B1893" t="s">
        <v>1151</v>
      </c>
    </row>
    <row r="1894" spans="1:2" x14ac:dyDescent="0.25">
      <c r="A1894" t="s">
        <v>2090</v>
      </c>
      <c r="B1894" t="s">
        <v>1118</v>
      </c>
    </row>
    <row r="1895" spans="1:2" x14ac:dyDescent="0.25">
      <c r="A1895" t="s">
        <v>2090</v>
      </c>
      <c r="B1895" t="s">
        <v>571</v>
      </c>
    </row>
    <row r="1896" spans="1:2" x14ac:dyDescent="0.25">
      <c r="A1896" t="s">
        <v>2090</v>
      </c>
      <c r="B1896" t="s">
        <v>563</v>
      </c>
    </row>
    <row r="1897" spans="1:2" x14ac:dyDescent="0.25">
      <c r="A1897" t="s">
        <v>2090</v>
      </c>
      <c r="B1897" t="s">
        <v>1615</v>
      </c>
    </row>
    <row r="1898" spans="1:2" x14ac:dyDescent="0.25">
      <c r="A1898" t="s">
        <v>2090</v>
      </c>
      <c r="B1898" t="s">
        <v>1132</v>
      </c>
    </row>
    <row r="1899" spans="1:2" x14ac:dyDescent="0.25">
      <c r="A1899" t="s">
        <v>2090</v>
      </c>
      <c r="B1899" t="s">
        <v>1345</v>
      </c>
    </row>
    <row r="1900" spans="1:2" x14ac:dyDescent="0.25">
      <c r="A1900" t="s">
        <v>2090</v>
      </c>
      <c r="B1900" t="s">
        <v>1346</v>
      </c>
    </row>
    <row r="1901" spans="1:2" x14ac:dyDescent="0.25">
      <c r="A1901" t="s">
        <v>2090</v>
      </c>
      <c r="B1901" t="s">
        <v>792</v>
      </c>
    </row>
    <row r="1902" spans="1:2" x14ac:dyDescent="0.25">
      <c r="A1902" t="s">
        <v>2090</v>
      </c>
      <c r="B1902" t="s">
        <v>807</v>
      </c>
    </row>
    <row r="1903" spans="1:2" x14ac:dyDescent="0.25">
      <c r="A1903" t="s">
        <v>2090</v>
      </c>
      <c r="B1903" t="s">
        <v>821</v>
      </c>
    </row>
    <row r="1904" spans="1:2" x14ac:dyDescent="0.25">
      <c r="A1904" t="s">
        <v>2090</v>
      </c>
      <c r="B1904" t="s">
        <v>1349</v>
      </c>
    </row>
    <row r="1905" spans="1:2" x14ac:dyDescent="0.25">
      <c r="A1905" t="s">
        <v>2090</v>
      </c>
      <c r="B1905" t="s">
        <v>666</v>
      </c>
    </row>
    <row r="1906" spans="1:2" x14ac:dyDescent="0.25">
      <c r="A1906" t="s">
        <v>2090</v>
      </c>
      <c r="B1906" t="s">
        <v>1443</v>
      </c>
    </row>
    <row r="1907" spans="1:2" x14ac:dyDescent="0.25">
      <c r="A1907" t="s">
        <v>2090</v>
      </c>
      <c r="B1907" t="s">
        <v>443</v>
      </c>
    </row>
    <row r="1908" spans="1:2" x14ac:dyDescent="0.25">
      <c r="A1908" t="s">
        <v>2090</v>
      </c>
      <c r="B1908" t="s">
        <v>1619</v>
      </c>
    </row>
    <row r="1909" spans="1:2" x14ac:dyDescent="0.25">
      <c r="A1909" t="s">
        <v>2090</v>
      </c>
      <c r="B1909" t="s">
        <v>309</v>
      </c>
    </row>
    <row r="1910" spans="1:2" x14ac:dyDescent="0.25">
      <c r="A1910" t="s">
        <v>2090</v>
      </c>
      <c r="B1910" t="s">
        <v>315</v>
      </c>
    </row>
    <row r="1911" spans="1:2" x14ac:dyDescent="0.25">
      <c r="A1911" t="s">
        <v>2090</v>
      </c>
      <c r="B1911" t="s">
        <v>316</v>
      </c>
    </row>
    <row r="1912" spans="1:2" x14ac:dyDescent="0.25">
      <c r="A1912" t="s">
        <v>2090</v>
      </c>
      <c r="B1912" t="s">
        <v>329</v>
      </c>
    </row>
    <row r="1913" spans="1:2" x14ac:dyDescent="0.25">
      <c r="A1913" t="s">
        <v>2090</v>
      </c>
      <c r="B1913" t="s">
        <v>442</v>
      </c>
    </row>
    <row r="1914" spans="1:2" x14ac:dyDescent="0.25">
      <c r="A1914" t="s">
        <v>2090</v>
      </c>
      <c r="B1914" t="s">
        <v>331</v>
      </c>
    </row>
    <row r="1915" spans="1:2" x14ac:dyDescent="0.25">
      <c r="A1915" t="s">
        <v>2090</v>
      </c>
      <c r="B1915" t="s">
        <v>555</v>
      </c>
    </row>
    <row r="1916" spans="1:2" x14ac:dyDescent="0.25">
      <c r="A1916" t="s">
        <v>2090</v>
      </c>
      <c r="B1916" t="s">
        <v>541</v>
      </c>
    </row>
    <row r="1917" spans="1:2" x14ac:dyDescent="0.25">
      <c r="A1917" t="s">
        <v>2090</v>
      </c>
      <c r="B1917" t="s">
        <v>1437</v>
      </c>
    </row>
    <row r="1918" spans="1:2" x14ac:dyDescent="0.25">
      <c r="A1918" t="s">
        <v>2090</v>
      </c>
      <c r="B1918" t="s">
        <v>916</v>
      </c>
    </row>
    <row r="1919" spans="1:2" x14ac:dyDescent="0.25">
      <c r="A1919" t="s">
        <v>2090</v>
      </c>
      <c r="B1919" t="s">
        <v>1329</v>
      </c>
    </row>
    <row r="1920" spans="1:2" x14ac:dyDescent="0.25">
      <c r="A1920" t="s">
        <v>2090</v>
      </c>
      <c r="B1920" t="s">
        <v>665</v>
      </c>
    </row>
    <row r="1921" spans="1:2" x14ac:dyDescent="0.25">
      <c r="A1921" t="s">
        <v>2090</v>
      </c>
      <c r="B1921" t="s">
        <v>1137</v>
      </c>
    </row>
    <row r="1922" spans="1:2" x14ac:dyDescent="0.25">
      <c r="A1922" t="s">
        <v>2090</v>
      </c>
      <c r="B1922" t="s">
        <v>1328</v>
      </c>
    </row>
    <row r="1923" spans="1:2" x14ac:dyDescent="0.25">
      <c r="A1923" t="s">
        <v>2090</v>
      </c>
      <c r="B1923" t="s">
        <v>1327</v>
      </c>
    </row>
    <row r="1924" spans="1:2" x14ac:dyDescent="0.25">
      <c r="A1924" t="s">
        <v>2090</v>
      </c>
      <c r="B1924" t="s">
        <v>334</v>
      </c>
    </row>
    <row r="1925" spans="1:2" x14ac:dyDescent="0.25">
      <c r="A1925" t="s">
        <v>2090</v>
      </c>
      <c r="B1925" t="s">
        <v>1422</v>
      </c>
    </row>
    <row r="1926" spans="1:2" x14ac:dyDescent="0.25">
      <c r="A1926" t="s">
        <v>2090</v>
      </c>
      <c r="B1926" t="s">
        <v>1069</v>
      </c>
    </row>
    <row r="1927" spans="1:2" x14ac:dyDescent="0.25">
      <c r="A1927" t="s">
        <v>2090</v>
      </c>
      <c r="B1927" t="s">
        <v>1070</v>
      </c>
    </row>
    <row r="1928" spans="1:2" x14ac:dyDescent="0.25">
      <c r="A1928" t="s">
        <v>2090</v>
      </c>
      <c r="B1928" t="s">
        <v>1073</v>
      </c>
    </row>
    <row r="1929" spans="1:2" x14ac:dyDescent="0.25">
      <c r="A1929" t="s">
        <v>2090</v>
      </c>
      <c r="B1929" t="s">
        <v>1074</v>
      </c>
    </row>
    <row r="1930" spans="1:2" x14ac:dyDescent="0.25">
      <c r="A1930" t="s">
        <v>2090</v>
      </c>
      <c r="B1930" t="s">
        <v>1398</v>
      </c>
    </row>
    <row r="1931" spans="1:2" x14ac:dyDescent="0.25">
      <c r="A1931" t="s">
        <v>2090</v>
      </c>
      <c r="B1931" t="s">
        <v>1084</v>
      </c>
    </row>
    <row r="1932" spans="1:2" x14ac:dyDescent="0.25">
      <c r="A1932" t="s">
        <v>2090</v>
      </c>
      <c r="B1932" t="s">
        <v>1441</v>
      </c>
    </row>
    <row r="1933" spans="1:2" x14ac:dyDescent="0.25">
      <c r="A1933" t="s">
        <v>2090</v>
      </c>
      <c r="B1933" t="s">
        <v>976</v>
      </c>
    </row>
    <row r="1934" spans="1:2" x14ac:dyDescent="0.25">
      <c r="A1934" t="s">
        <v>2090</v>
      </c>
      <c r="B1934" t="s">
        <v>1632</v>
      </c>
    </row>
    <row r="1935" spans="1:2" x14ac:dyDescent="0.25">
      <c r="A1935" t="s">
        <v>2090</v>
      </c>
      <c r="B1935" t="s">
        <v>1634</v>
      </c>
    </row>
    <row r="1936" spans="1:2" x14ac:dyDescent="0.25">
      <c r="A1936" t="s">
        <v>2090</v>
      </c>
      <c r="B1936" t="s">
        <v>1635</v>
      </c>
    </row>
    <row r="1937" spans="1:2" x14ac:dyDescent="0.25">
      <c r="A1937" t="s">
        <v>2090</v>
      </c>
      <c r="B1937" t="s">
        <v>1636</v>
      </c>
    </row>
    <row r="1938" spans="1:2" x14ac:dyDescent="0.25">
      <c r="A1938" t="s">
        <v>2090</v>
      </c>
      <c r="B1938" t="s">
        <v>335</v>
      </c>
    </row>
    <row r="1939" spans="1:2" x14ac:dyDescent="0.25">
      <c r="A1939" t="s">
        <v>2090</v>
      </c>
      <c r="B1939" t="s">
        <v>828</v>
      </c>
    </row>
    <row r="1940" spans="1:2" x14ac:dyDescent="0.25">
      <c r="A1940" t="s">
        <v>2090</v>
      </c>
      <c r="B1940" t="s">
        <v>366</v>
      </c>
    </row>
    <row r="1941" spans="1:2" x14ac:dyDescent="0.25">
      <c r="A1941" t="s">
        <v>2090</v>
      </c>
      <c r="B1941" t="s">
        <v>1369</v>
      </c>
    </row>
    <row r="1942" spans="1:2" x14ac:dyDescent="0.25">
      <c r="A1942" t="s">
        <v>2090</v>
      </c>
      <c r="B1942" t="s">
        <v>1649</v>
      </c>
    </row>
    <row r="1943" spans="1:2" x14ac:dyDescent="0.25">
      <c r="A1943" t="s">
        <v>2090</v>
      </c>
      <c r="B1943" t="s">
        <v>1350</v>
      </c>
    </row>
    <row r="1944" spans="1:2" x14ac:dyDescent="0.25">
      <c r="A1944" t="s">
        <v>2090</v>
      </c>
      <c r="B1944" t="s">
        <v>417</v>
      </c>
    </row>
    <row r="1945" spans="1:2" x14ac:dyDescent="0.25">
      <c r="A1945" t="s">
        <v>2090</v>
      </c>
      <c r="B1945" t="s">
        <v>352</v>
      </c>
    </row>
    <row r="1946" spans="1:2" x14ac:dyDescent="0.25">
      <c r="A1946" t="s">
        <v>2090</v>
      </c>
      <c r="B1946" t="s">
        <v>290</v>
      </c>
    </row>
    <row r="1947" spans="1:2" x14ac:dyDescent="0.25">
      <c r="A1947" t="s">
        <v>2090</v>
      </c>
      <c r="B1947" t="s">
        <v>1423</v>
      </c>
    </row>
    <row r="1948" spans="1:2" x14ac:dyDescent="0.25">
      <c r="A1948" t="s">
        <v>2090</v>
      </c>
      <c r="B1948" t="s">
        <v>1421</v>
      </c>
    </row>
    <row r="1949" spans="1:2" x14ac:dyDescent="0.25">
      <c r="A1949" t="s">
        <v>2090</v>
      </c>
      <c r="B1949" t="s">
        <v>1417</v>
      </c>
    </row>
    <row r="1950" spans="1:2" x14ac:dyDescent="0.25">
      <c r="A1950" t="s">
        <v>2090</v>
      </c>
      <c r="B1950" t="s">
        <v>1418</v>
      </c>
    </row>
    <row r="1951" spans="1:2" x14ac:dyDescent="0.25">
      <c r="A1951" t="s">
        <v>2090</v>
      </c>
      <c r="B1951" t="s">
        <v>348</v>
      </c>
    </row>
    <row r="1952" spans="1:2" x14ac:dyDescent="0.25">
      <c r="A1952" t="s">
        <v>2090</v>
      </c>
      <c r="B1952" t="s">
        <v>574</v>
      </c>
    </row>
    <row r="1953" spans="1:2" x14ac:dyDescent="0.25">
      <c r="A1953" t="s">
        <v>2090</v>
      </c>
      <c r="B1953" t="s">
        <v>295</v>
      </c>
    </row>
    <row r="1954" spans="1:2" x14ac:dyDescent="0.25">
      <c r="A1954" t="s">
        <v>2090</v>
      </c>
      <c r="B1954" t="s">
        <v>296</v>
      </c>
    </row>
    <row r="1955" spans="1:2" x14ac:dyDescent="0.25">
      <c r="A1955" t="s">
        <v>2090</v>
      </c>
      <c r="B1955" t="s">
        <v>450</v>
      </c>
    </row>
    <row r="1956" spans="1:2" x14ac:dyDescent="0.25">
      <c r="A1956" t="s">
        <v>2090</v>
      </c>
      <c r="B1956" t="s">
        <v>297</v>
      </c>
    </row>
    <row r="1957" spans="1:2" x14ac:dyDescent="0.25">
      <c r="A1957" t="s">
        <v>2090</v>
      </c>
      <c r="B1957" t="s">
        <v>298</v>
      </c>
    </row>
    <row r="1958" spans="1:2" x14ac:dyDescent="0.25">
      <c r="A1958" t="s">
        <v>2090</v>
      </c>
      <c r="B1958" t="s">
        <v>1429</v>
      </c>
    </row>
    <row r="1959" spans="1:2" x14ac:dyDescent="0.25">
      <c r="A1959" t="s">
        <v>2090</v>
      </c>
      <c r="B1959" t="s">
        <v>700</v>
      </c>
    </row>
    <row r="1960" spans="1:2" x14ac:dyDescent="0.25">
      <c r="A1960" t="s">
        <v>2090</v>
      </c>
      <c r="B1960" t="s">
        <v>1370</v>
      </c>
    </row>
    <row r="1961" spans="1:2" x14ac:dyDescent="0.25">
      <c r="A1961" t="s">
        <v>2090</v>
      </c>
      <c r="B1961" t="s">
        <v>1368</v>
      </c>
    </row>
    <row r="1962" spans="1:2" x14ac:dyDescent="0.25">
      <c r="A1962" t="s">
        <v>2090</v>
      </c>
      <c r="B1962" t="s">
        <v>1012</v>
      </c>
    </row>
    <row r="1963" spans="1:2" x14ac:dyDescent="0.25">
      <c r="A1963" t="s">
        <v>2090</v>
      </c>
      <c r="B1963" t="s">
        <v>1297</v>
      </c>
    </row>
    <row r="1964" spans="1:2" x14ac:dyDescent="0.25">
      <c r="A1964" t="s">
        <v>2090</v>
      </c>
      <c r="B1964" t="s">
        <v>1029</v>
      </c>
    </row>
    <row r="1965" spans="1:2" x14ac:dyDescent="0.25">
      <c r="A1965" t="s">
        <v>2090</v>
      </c>
      <c r="B1965" t="s">
        <v>367</v>
      </c>
    </row>
    <row r="1966" spans="1:2" x14ac:dyDescent="0.25">
      <c r="A1966" t="s">
        <v>2090</v>
      </c>
      <c r="B1966" t="s">
        <v>554</v>
      </c>
    </row>
    <row r="1967" spans="1:2" x14ac:dyDescent="0.25">
      <c r="A1967" t="s">
        <v>2090</v>
      </c>
      <c r="B1967" t="s">
        <v>1295</v>
      </c>
    </row>
    <row r="1968" spans="1:2" x14ac:dyDescent="0.25">
      <c r="A1968" t="s">
        <v>2090</v>
      </c>
      <c r="B1968" t="s">
        <v>1293</v>
      </c>
    </row>
    <row r="1969" spans="1:2" x14ac:dyDescent="0.25">
      <c r="A1969" t="s">
        <v>2090</v>
      </c>
      <c r="B1969" t="s">
        <v>1291</v>
      </c>
    </row>
    <row r="1970" spans="1:2" x14ac:dyDescent="0.25">
      <c r="A1970" t="s">
        <v>2090</v>
      </c>
      <c r="B1970" t="s">
        <v>937</v>
      </c>
    </row>
    <row r="1971" spans="1:2" x14ac:dyDescent="0.25">
      <c r="A1971" t="s">
        <v>2090</v>
      </c>
      <c r="B1971" t="s">
        <v>908</v>
      </c>
    </row>
    <row r="1972" spans="1:2" x14ac:dyDescent="0.25">
      <c r="A1972" t="s">
        <v>2090</v>
      </c>
      <c r="B1972" t="s">
        <v>349</v>
      </c>
    </row>
    <row r="1973" spans="1:2" x14ac:dyDescent="0.25">
      <c r="A1973" t="s">
        <v>2090</v>
      </c>
      <c r="B1973" t="s">
        <v>560</v>
      </c>
    </row>
    <row r="1974" spans="1:2" x14ac:dyDescent="0.25">
      <c r="A1974" t="s">
        <v>2090</v>
      </c>
      <c r="B1974" t="s">
        <v>413</v>
      </c>
    </row>
    <row r="1975" spans="1:2" x14ac:dyDescent="0.25">
      <c r="A1975" t="s">
        <v>2090</v>
      </c>
      <c r="B1975" t="s">
        <v>843</v>
      </c>
    </row>
    <row r="1976" spans="1:2" x14ac:dyDescent="0.25">
      <c r="A1976" t="s">
        <v>2090</v>
      </c>
      <c r="B1976" t="s">
        <v>1287</v>
      </c>
    </row>
    <row r="1977" spans="1:2" x14ac:dyDescent="0.25">
      <c r="A1977" t="s">
        <v>2090</v>
      </c>
      <c r="B1977" t="s">
        <v>1286</v>
      </c>
    </row>
    <row r="1978" spans="1:2" x14ac:dyDescent="0.25">
      <c r="A1978" t="s">
        <v>2090</v>
      </c>
      <c r="B1978" t="s">
        <v>981</v>
      </c>
    </row>
    <row r="1979" spans="1:2" x14ac:dyDescent="0.25">
      <c r="A1979" t="s">
        <v>2090</v>
      </c>
      <c r="B1979" t="s">
        <v>1284</v>
      </c>
    </row>
    <row r="1980" spans="1:2" x14ac:dyDescent="0.25">
      <c r="A1980" t="s">
        <v>2090</v>
      </c>
      <c r="B1980" t="s">
        <v>1282</v>
      </c>
    </row>
    <row r="1981" spans="1:2" x14ac:dyDescent="0.25">
      <c r="A1981" t="s">
        <v>2090</v>
      </c>
      <c r="B1981" t="s">
        <v>1387</v>
      </c>
    </row>
    <row r="1982" spans="1:2" x14ac:dyDescent="0.25">
      <c r="A1982" t="s">
        <v>2090</v>
      </c>
      <c r="B1982" t="s">
        <v>1385</v>
      </c>
    </row>
    <row r="1983" spans="1:2" x14ac:dyDescent="0.25">
      <c r="A1983" t="s">
        <v>2090</v>
      </c>
      <c r="B1983" t="s">
        <v>411</v>
      </c>
    </row>
    <row r="1984" spans="1:2" x14ac:dyDescent="0.25">
      <c r="A1984" t="s">
        <v>2090</v>
      </c>
      <c r="B1984" t="s">
        <v>1280</v>
      </c>
    </row>
    <row r="1985" spans="1:2" x14ac:dyDescent="0.25">
      <c r="A1985" t="s">
        <v>2090</v>
      </c>
      <c r="B1985" t="s">
        <v>1279</v>
      </c>
    </row>
    <row r="1986" spans="1:2" x14ac:dyDescent="0.25">
      <c r="A1986" t="s">
        <v>2090</v>
      </c>
      <c r="B1986" t="s">
        <v>1351</v>
      </c>
    </row>
    <row r="1987" spans="1:2" x14ac:dyDescent="0.25">
      <c r="A1987" t="s">
        <v>2090</v>
      </c>
      <c r="B1987" t="s">
        <v>911</v>
      </c>
    </row>
    <row r="1988" spans="1:2" x14ac:dyDescent="0.25">
      <c r="A1988" t="s">
        <v>2090</v>
      </c>
      <c r="B1988" t="s">
        <v>567</v>
      </c>
    </row>
    <row r="1989" spans="1:2" x14ac:dyDescent="0.25">
      <c r="A1989" t="s">
        <v>2090</v>
      </c>
      <c r="B1989" t="s">
        <v>1177</v>
      </c>
    </row>
    <row r="1990" spans="1:2" x14ac:dyDescent="0.25">
      <c r="A1990" t="s">
        <v>2090</v>
      </c>
      <c r="B1990" t="s">
        <v>884</v>
      </c>
    </row>
    <row r="1991" spans="1:2" x14ac:dyDescent="0.25">
      <c r="A1991" t="s">
        <v>2090</v>
      </c>
      <c r="B1991" t="s">
        <v>579</v>
      </c>
    </row>
    <row r="1992" spans="1:2" x14ac:dyDescent="0.25">
      <c r="A1992" t="s">
        <v>2090</v>
      </c>
      <c r="B1992" t="s">
        <v>1178</v>
      </c>
    </row>
    <row r="1993" spans="1:2" x14ac:dyDescent="0.25">
      <c r="A1993" t="s">
        <v>2090</v>
      </c>
      <c r="B1993" t="s">
        <v>1179</v>
      </c>
    </row>
    <row r="1994" spans="1:2" x14ac:dyDescent="0.25">
      <c r="A1994" t="s">
        <v>2090</v>
      </c>
      <c r="B1994" t="s">
        <v>1066</v>
      </c>
    </row>
    <row r="1995" spans="1:2" x14ac:dyDescent="0.25">
      <c r="A1995" t="s">
        <v>2090</v>
      </c>
      <c r="B1995" t="s">
        <v>888</v>
      </c>
    </row>
    <row r="1996" spans="1:2" x14ac:dyDescent="0.25">
      <c r="A1996" t="s">
        <v>2090</v>
      </c>
      <c r="B1996" t="s">
        <v>1186</v>
      </c>
    </row>
    <row r="1997" spans="1:2" x14ac:dyDescent="0.25">
      <c r="A1997" t="s">
        <v>2090</v>
      </c>
      <c r="B1997" t="s">
        <v>990</v>
      </c>
    </row>
    <row r="1998" spans="1:2" x14ac:dyDescent="0.25">
      <c r="A1998" t="s">
        <v>2090</v>
      </c>
      <c r="B1998" t="s">
        <v>1189</v>
      </c>
    </row>
    <row r="1999" spans="1:2" x14ac:dyDescent="0.25">
      <c r="A1999" t="s">
        <v>2090</v>
      </c>
      <c r="B1999" t="s">
        <v>1191</v>
      </c>
    </row>
    <row r="2000" spans="1:2" x14ac:dyDescent="0.25">
      <c r="A2000" t="s">
        <v>2090</v>
      </c>
      <c r="B2000" t="s">
        <v>250</v>
      </c>
    </row>
    <row r="2001" spans="1:2" x14ac:dyDescent="0.25">
      <c r="A2001" t="s">
        <v>2090</v>
      </c>
      <c r="B2001" t="s">
        <v>922</v>
      </c>
    </row>
    <row r="2002" spans="1:2" x14ac:dyDescent="0.25">
      <c r="A2002" t="s">
        <v>2090</v>
      </c>
      <c r="B2002" t="s">
        <v>1358</v>
      </c>
    </row>
    <row r="2003" spans="1:2" x14ac:dyDescent="0.25">
      <c r="A2003" t="s">
        <v>2090</v>
      </c>
      <c r="B2003" t="s">
        <v>779</v>
      </c>
    </row>
    <row r="2004" spans="1:2" x14ac:dyDescent="0.25">
      <c r="A2004" t="s">
        <v>2090</v>
      </c>
      <c r="B2004" t="s">
        <v>1193</v>
      </c>
    </row>
    <row r="2005" spans="1:2" x14ac:dyDescent="0.25">
      <c r="A2005" t="s">
        <v>2090</v>
      </c>
      <c r="B2005" t="s">
        <v>1448</v>
      </c>
    </row>
    <row r="2006" spans="1:2" x14ac:dyDescent="0.25">
      <c r="A2006" t="s">
        <v>2090</v>
      </c>
      <c r="B2006" t="s">
        <v>1420</v>
      </c>
    </row>
    <row r="2007" spans="1:2" x14ac:dyDescent="0.25">
      <c r="A2007" t="s">
        <v>2090</v>
      </c>
      <c r="B2007" t="s">
        <v>1654</v>
      </c>
    </row>
    <row r="2008" spans="1:2" x14ac:dyDescent="0.25">
      <c r="A2008" t="s">
        <v>2090</v>
      </c>
      <c r="B2008" t="s">
        <v>1060</v>
      </c>
    </row>
    <row r="2009" spans="1:2" x14ac:dyDescent="0.25">
      <c r="A2009" t="s">
        <v>2090</v>
      </c>
      <c r="B2009" t="s">
        <v>1195</v>
      </c>
    </row>
    <row r="2010" spans="1:2" x14ac:dyDescent="0.25">
      <c r="A2010" t="s">
        <v>2090</v>
      </c>
      <c r="B2010" t="s">
        <v>930</v>
      </c>
    </row>
    <row r="2011" spans="1:2" x14ac:dyDescent="0.25">
      <c r="A2011" t="s">
        <v>2090</v>
      </c>
      <c r="B2011" t="s">
        <v>553</v>
      </c>
    </row>
    <row r="2012" spans="1:2" x14ac:dyDescent="0.25">
      <c r="A2012" t="s">
        <v>2090</v>
      </c>
      <c r="B2012" t="s">
        <v>917</v>
      </c>
    </row>
    <row r="2013" spans="1:2" x14ac:dyDescent="0.25">
      <c r="A2013" t="s">
        <v>2090</v>
      </c>
      <c r="B2013" t="s">
        <v>1197</v>
      </c>
    </row>
    <row r="2014" spans="1:2" x14ac:dyDescent="0.25">
      <c r="A2014" t="s">
        <v>2090</v>
      </c>
      <c r="B2014" t="s">
        <v>784</v>
      </c>
    </row>
    <row r="2015" spans="1:2" x14ac:dyDescent="0.25">
      <c r="A2015" t="s">
        <v>2090</v>
      </c>
      <c r="B2015" t="s">
        <v>865</v>
      </c>
    </row>
    <row r="2016" spans="1:2" x14ac:dyDescent="0.25">
      <c r="A2016" t="s">
        <v>2090</v>
      </c>
      <c r="B2016" t="s">
        <v>1157</v>
      </c>
    </row>
    <row r="2017" spans="1:2" x14ac:dyDescent="0.25">
      <c r="A2017" t="s">
        <v>2090</v>
      </c>
      <c r="B2017" t="s">
        <v>1006</v>
      </c>
    </row>
    <row r="2018" spans="1:2" x14ac:dyDescent="0.25">
      <c r="A2018" t="s">
        <v>2090</v>
      </c>
      <c r="B2018" t="s">
        <v>1008</v>
      </c>
    </row>
    <row r="2019" spans="1:2" x14ac:dyDescent="0.25">
      <c r="A2019" t="s">
        <v>2090</v>
      </c>
      <c r="B2019" t="s">
        <v>820</v>
      </c>
    </row>
    <row r="2020" spans="1:2" x14ac:dyDescent="0.25">
      <c r="A2020" t="s">
        <v>2090</v>
      </c>
      <c r="B2020" t="s">
        <v>1198</v>
      </c>
    </row>
    <row r="2021" spans="1:2" x14ac:dyDescent="0.25">
      <c r="A2021" t="s">
        <v>2090</v>
      </c>
      <c r="B2021" t="s">
        <v>1142</v>
      </c>
    </row>
    <row r="2022" spans="1:2" x14ac:dyDescent="0.25">
      <c r="A2022" t="s">
        <v>2090</v>
      </c>
      <c r="B2022" t="s">
        <v>1404</v>
      </c>
    </row>
    <row r="2023" spans="1:2" x14ac:dyDescent="0.25">
      <c r="A2023" t="s">
        <v>2090</v>
      </c>
      <c r="B2023" t="s">
        <v>1159</v>
      </c>
    </row>
    <row r="2024" spans="1:2" x14ac:dyDescent="0.25">
      <c r="A2024" t="s">
        <v>2090</v>
      </c>
      <c r="B2024" t="s">
        <v>1117</v>
      </c>
    </row>
    <row r="2025" spans="1:2" x14ac:dyDescent="0.25">
      <c r="A2025" t="s">
        <v>2090</v>
      </c>
      <c r="B2025" t="s">
        <v>1199</v>
      </c>
    </row>
    <row r="2026" spans="1:2" x14ac:dyDescent="0.25">
      <c r="A2026" t="s">
        <v>2090</v>
      </c>
      <c r="B2026" t="s">
        <v>1203</v>
      </c>
    </row>
    <row r="2027" spans="1:2" x14ac:dyDescent="0.25">
      <c r="A2027" t="s">
        <v>2090</v>
      </c>
      <c r="B2027" t="s">
        <v>897</v>
      </c>
    </row>
    <row r="2028" spans="1:2" x14ac:dyDescent="0.25">
      <c r="A2028" t="s">
        <v>2090</v>
      </c>
      <c r="B2028" t="s">
        <v>1050</v>
      </c>
    </row>
    <row r="2029" spans="1:2" x14ac:dyDescent="0.25">
      <c r="A2029" t="s">
        <v>2090</v>
      </c>
      <c r="B2029" t="s">
        <v>1399</v>
      </c>
    </row>
    <row r="2030" spans="1:2" x14ac:dyDescent="0.25">
      <c r="A2030" t="s">
        <v>2090</v>
      </c>
      <c r="B2030" t="s">
        <v>945</v>
      </c>
    </row>
    <row r="2031" spans="1:2" x14ac:dyDescent="0.25">
      <c r="A2031" t="s">
        <v>2090</v>
      </c>
      <c r="B2031" t="s">
        <v>1207</v>
      </c>
    </row>
    <row r="2032" spans="1:2" x14ac:dyDescent="0.25">
      <c r="A2032" t="s">
        <v>2090</v>
      </c>
      <c r="B2032" t="s">
        <v>885</v>
      </c>
    </row>
    <row r="2033" spans="1:2" x14ac:dyDescent="0.25">
      <c r="A2033" t="s">
        <v>2090</v>
      </c>
      <c r="B2033" t="s">
        <v>1209</v>
      </c>
    </row>
    <row r="2034" spans="1:2" x14ac:dyDescent="0.25">
      <c r="A2034" t="s">
        <v>2090</v>
      </c>
      <c r="B2034" t="s">
        <v>894</v>
      </c>
    </row>
    <row r="2035" spans="1:2" x14ac:dyDescent="0.25">
      <c r="A2035" t="s">
        <v>2090</v>
      </c>
      <c r="B2035" t="s">
        <v>1210</v>
      </c>
    </row>
    <row r="2036" spans="1:2" x14ac:dyDescent="0.25">
      <c r="A2036" t="s">
        <v>2090</v>
      </c>
      <c r="B2036" t="s">
        <v>915</v>
      </c>
    </row>
    <row r="2037" spans="1:2" x14ac:dyDescent="0.25">
      <c r="A2037" t="s">
        <v>2090</v>
      </c>
      <c r="B2037" t="s">
        <v>1212</v>
      </c>
    </row>
    <row r="2038" spans="1:2" x14ac:dyDescent="0.25">
      <c r="A2038" t="s">
        <v>2090</v>
      </c>
      <c r="B2038" t="s">
        <v>818</v>
      </c>
    </row>
    <row r="2039" spans="1:2" x14ac:dyDescent="0.25">
      <c r="A2039" t="s">
        <v>2090</v>
      </c>
      <c r="B2039" t="s">
        <v>887</v>
      </c>
    </row>
    <row r="2040" spans="1:2" x14ac:dyDescent="0.25">
      <c r="A2040" t="s">
        <v>2090</v>
      </c>
      <c r="B2040" t="s">
        <v>1215</v>
      </c>
    </row>
    <row r="2041" spans="1:2" x14ac:dyDescent="0.25">
      <c r="A2041" t="s">
        <v>2090</v>
      </c>
      <c r="B2041" t="s">
        <v>1660</v>
      </c>
    </row>
    <row r="2042" spans="1:2" x14ac:dyDescent="0.25">
      <c r="A2042" t="s">
        <v>2090</v>
      </c>
      <c r="B2042" t="s">
        <v>1220</v>
      </c>
    </row>
    <row r="2043" spans="1:2" x14ac:dyDescent="0.25">
      <c r="A2043" t="s">
        <v>2090</v>
      </c>
      <c r="B2043" t="s">
        <v>1221</v>
      </c>
    </row>
    <row r="2044" spans="1:2" x14ac:dyDescent="0.25">
      <c r="A2044" t="s">
        <v>2090</v>
      </c>
      <c r="B2044" t="s">
        <v>1224</v>
      </c>
    </row>
    <row r="2045" spans="1:2" x14ac:dyDescent="0.25">
      <c r="A2045" t="s">
        <v>2090</v>
      </c>
      <c r="B2045" t="s">
        <v>870</v>
      </c>
    </row>
    <row r="2046" spans="1:2" x14ac:dyDescent="0.25">
      <c r="A2046" t="s">
        <v>2090</v>
      </c>
      <c r="B2046" t="s">
        <v>874</v>
      </c>
    </row>
    <row r="2047" spans="1:2" x14ac:dyDescent="0.25">
      <c r="A2047" t="s">
        <v>2090</v>
      </c>
      <c r="B2047" t="s">
        <v>1440</v>
      </c>
    </row>
    <row r="2048" spans="1:2" x14ac:dyDescent="0.25">
      <c r="A2048" t="s">
        <v>2090</v>
      </c>
      <c r="B2048" t="s">
        <v>1228</v>
      </c>
    </row>
    <row r="2049" spans="1:2" x14ac:dyDescent="0.25">
      <c r="A2049" t="s">
        <v>2090</v>
      </c>
      <c r="B2049" t="s">
        <v>1231</v>
      </c>
    </row>
    <row r="2050" spans="1:2" x14ac:dyDescent="0.25">
      <c r="A2050" t="s">
        <v>2090</v>
      </c>
      <c r="B2050" t="s">
        <v>408</v>
      </c>
    </row>
    <row r="2051" spans="1:2" x14ac:dyDescent="0.25">
      <c r="A2051" t="s">
        <v>2090</v>
      </c>
      <c r="B2051" t="s">
        <v>1663</v>
      </c>
    </row>
    <row r="2052" spans="1:2" x14ac:dyDescent="0.25">
      <c r="A2052" t="s">
        <v>2090</v>
      </c>
      <c r="B2052" t="s">
        <v>351</v>
      </c>
    </row>
    <row r="2053" spans="1:2" x14ac:dyDescent="0.25">
      <c r="A2053" t="s">
        <v>2090</v>
      </c>
      <c r="B2053" t="s">
        <v>1839</v>
      </c>
    </row>
    <row r="2054" spans="1:2" x14ac:dyDescent="0.25">
      <c r="A2054" t="s">
        <v>2090</v>
      </c>
      <c r="B2054" t="s">
        <v>1867</v>
      </c>
    </row>
    <row r="2055" spans="1:2" x14ac:dyDescent="0.25">
      <c r="A2055" t="s">
        <v>2090</v>
      </c>
      <c r="B2055" t="s">
        <v>1959</v>
      </c>
    </row>
    <row r="2056" spans="1:2" x14ac:dyDescent="0.25">
      <c r="A2056" t="s">
        <v>2090</v>
      </c>
      <c r="B2056" t="s">
        <v>1907</v>
      </c>
    </row>
    <row r="2057" spans="1:2" x14ac:dyDescent="0.25">
      <c r="A2057" t="s">
        <v>2090</v>
      </c>
      <c r="B2057" t="s">
        <v>1906</v>
      </c>
    </row>
    <row r="2058" spans="1:2" x14ac:dyDescent="0.25">
      <c r="A2058" t="s">
        <v>2090</v>
      </c>
      <c r="B2058" t="s">
        <v>1909</v>
      </c>
    </row>
    <row r="2059" spans="1:2" x14ac:dyDescent="0.25">
      <c r="A2059" t="s">
        <v>2090</v>
      </c>
      <c r="B2059" t="s">
        <v>1923</v>
      </c>
    </row>
    <row r="2060" spans="1:2" x14ac:dyDescent="0.25">
      <c r="A2060" t="s">
        <v>2090</v>
      </c>
      <c r="B2060" t="s">
        <v>1924</v>
      </c>
    </row>
    <row r="2061" spans="1:2" x14ac:dyDescent="0.25">
      <c r="A2061" t="s">
        <v>2090</v>
      </c>
      <c r="B2061" t="s">
        <v>1925</v>
      </c>
    </row>
    <row r="2062" spans="1:2" x14ac:dyDescent="0.25">
      <c r="A2062" t="s">
        <v>2090</v>
      </c>
      <c r="B2062" t="s">
        <v>1926</v>
      </c>
    </row>
    <row r="2063" spans="1:2" x14ac:dyDescent="0.25">
      <c r="A2063" t="s">
        <v>2090</v>
      </c>
      <c r="B2063" t="s">
        <v>1927</v>
      </c>
    </row>
    <row r="2064" spans="1:2" x14ac:dyDescent="0.25">
      <c r="A2064" t="s">
        <v>2090</v>
      </c>
      <c r="B2064" t="s">
        <v>1928</v>
      </c>
    </row>
    <row r="2065" spans="1:2" x14ac:dyDescent="0.25">
      <c r="A2065" t="s">
        <v>2090</v>
      </c>
      <c r="B2065" t="s">
        <v>1929</v>
      </c>
    </row>
    <row r="2066" spans="1:2" x14ac:dyDescent="0.25">
      <c r="A2066" t="s">
        <v>2090</v>
      </c>
      <c r="B2066" t="s">
        <v>1947</v>
      </c>
    </row>
    <row r="2067" spans="1:2" x14ac:dyDescent="0.25">
      <c r="A2067" t="s">
        <v>2090</v>
      </c>
      <c r="B2067" t="s">
        <v>1911</v>
      </c>
    </row>
    <row r="2068" spans="1:2" x14ac:dyDescent="0.25">
      <c r="A2068" t="s">
        <v>2090</v>
      </c>
      <c r="B2068" t="s">
        <v>1951</v>
      </c>
    </row>
    <row r="2069" spans="1:2" x14ac:dyDescent="0.25">
      <c r="A2069" t="s">
        <v>2090</v>
      </c>
      <c r="B2069" t="s">
        <v>1950</v>
      </c>
    </row>
    <row r="2070" spans="1:2" x14ac:dyDescent="0.25">
      <c r="A2070" t="s">
        <v>2090</v>
      </c>
      <c r="B2070" t="s">
        <v>1931</v>
      </c>
    </row>
    <row r="2071" spans="1:2" x14ac:dyDescent="0.25">
      <c r="A2071" t="s">
        <v>2090</v>
      </c>
      <c r="B2071" t="s">
        <v>1932</v>
      </c>
    </row>
    <row r="2072" spans="1:2" x14ac:dyDescent="0.25">
      <c r="A2072" t="s">
        <v>2090</v>
      </c>
      <c r="B2072" t="s">
        <v>1934</v>
      </c>
    </row>
    <row r="2073" spans="1:2" x14ac:dyDescent="0.25">
      <c r="A2073" t="s">
        <v>2090</v>
      </c>
      <c r="B2073" t="s">
        <v>1935</v>
      </c>
    </row>
    <row r="2074" spans="1:2" x14ac:dyDescent="0.25">
      <c r="A2074" t="s">
        <v>2090</v>
      </c>
      <c r="B2074" t="s">
        <v>1938</v>
      </c>
    </row>
    <row r="2075" spans="1:2" x14ac:dyDescent="0.25">
      <c r="A2075" t="s">
        <v>2090</v>
      </c>
      <c r="B2075" t="s">
        <v>1939</v>
      </c>
    </row>
    <row r="2076" spans="1:2" x14ac:dyDescent="0.25">
      <c r="A2076" t="s">
        <v>2090</v>
      </c>
      <c r="B2076" t="s">
        <v>1914</v>
      </c>
    </row>
    <row r="2077" spans="1:2" x14ac:dyDescent="0.25">
      <c r="A2077" t="s">
        <v>2090</v>
      </c>
      <c r="B2077" t="s">
        <v>1915</v>
      </c>
    </row>
    <row r="2078" spans="1:2" x14ac:dyDescent="0.25">
      <c r="A2078" t="s">
        <v>2090</v>
      </c>
      <c r="B2078" t="s">
        <v>1912</v>
      </c>
    </row>
    <row r="2079" spans="1:2" x14ac:dyDescent="0.25">
      <c r="A2079" t="s">
        <v>2090</v>
      </c>
      <c r="B2079" t="s">
        <v>1913</v>
      </c>
    </row>
    <row r="2080" spans="1:2" x14ac:dyDescent="0.25">
      <c r="A2080" t="s">
        <v>2090</v>
      </c>
      <c r="B2080" t="s">
        <v>1940</v>
      </c>
    </row>
    <row r="2081" spans="1:2" x14ac:dyDescent="0.25">
      <c r="A2081" t="s">
        <v>2090</v>
      </c>
      <c r="B2081" t="s">
        <v>1942</v>
      </c>
    </row>
    <row r="2082" spans="1:2" x14ac:dyDescent="0.25">
      <c r="A2082" t="s">
        <v>2090</v>
      </c>
      <c r="B2082" t="s">
        <v>1943</v>
      </c>
    </row>
    <row r="2083" spans="1:2" x14ac:dyDescent="0.25">
      <c r="A2083" t="s">
        <v>2090</v>
      </c>
      <c r="B2083" t="s">
        <v>1944</v>
      </c>
    </row>
    <row r="2084" spans="1:2" x14ac:dyDescent="0.25">
      <c r="A2084" t="s">
        <v>2090</v>
      </c>
      <c r="B2084" t="s">
        <v>1945</v>
      </c>
    </row>
    <row r="2085" spans="1:2" x14ac:dyDescent="0.25">
      <c r="A2085" t="s">
        <v>2090</v>
      </c>
      <c r="B2085" t="s">
        <v>1946</v>
      </c>
    </row>
    <row r="2086" spans="1:2" x14ac:dyDescent="0.25">
      <c r="A2086" t="s">
        <v>2090</v>
      </c>
      <c r="B2086" t="s">
        <v>1949</v>
      </c>
    </row>
    <row r="2087" spans="1:2" x14ac:dyDescent="0.25">
      <c r="A2087" t="s">
        <v>2090</v>
      </c>
      <c r="B2087" t="s">
        <v>1941</v>
      </c>
    </row>
    <row r="2088" spans="1:2" x14ac:dyDescent="0.25">
      <c r="A2088" t="s">
        <v>2090</v>
      </c>
      <c r="B2088" t="s">
        <v>1953</v>
      </c>
    </row>
    <row r="2089" spans="1:2" x14ac:dyDescent="0.25">
      <c r="A2089" t="s">
        <v>2090</v>
      </c>
      <c r="B2089" t="s">
        <v>1954</v>
      </c>
    </row>
    <row r="2090" spans="1:2" x14ac:dyDescent="0.25">
      <c r="A2090" t="s">
        <v>2090</v>
      </c>
      <c r="B2090" t="s">
        <v>1952</v>
      </c>
    </row>
    <row r="2091" spans="1:2" x14ac:dyDescent="0.25">
      <c r="A2091" t="s">
        <v>2090</v>
      </c>
      <c r="B2091" t="s">
        <v>1956</v>
      </c>
    </row>
    <row r="2092" spans="1:2" x14ac:dyDescent="0.25">
      <c r="A2092" t="s">
        <v>2090</v>
      </c>
      <c r="B2092" t="s">
        <v>1955</v>
      </c>
    </row>
    <row r="2093" spans="1:2" x14ac:dyDescent="0.25">
      <c r="A2093" t="s">
        <v>2090</v>
      </c>
      <c r="B2093" t="s">
        <v>1910</v>
      </c>
    </row>
    <row r="2094" spans="1:2" x14ac:dyDescent="0.25">
      <c r="A2094" t="s">
        <v>2090</v>
      </c>
      <c r="B2094" t="s">
        <v>1936</v>
      </c>
    </row>
    <row r="2095" spans="1:2" x14ac:dyDescent="0.25">
      <c r="A2095" t="s">
        <v>2090</v>
      </c>
      <c r="B2095" t="s">
        <v>1948</v>
      </c>
    </row>
    <row r="2096" spans="1:2" x14ac:dyDescent="0.25">
      <c r="A2096" t="s">
        <v>2090</v>
      </c>
      <c r="B2096" t="s">
        <v>1937</v>
      </c>
    </row>
    <row r="2097" spans="1:2" x14ac:dyDescent="0.25">
      <c r="A2097" t="s">
        <v>2090</v>
      </c>
      <c r="B2097" t="s">
        <v>1930</v>
      </c>
    </row>
    <row r="2098" spans="1:2" x14ac:dyDescent="0.25">
      <c r="A2098" t="s">
        <v>2090</v>
      </c>
      <c r="B2098" t="s">
        <v>1917</v>
      </c>
    </row>
    <row r="2099" spans="1:2" x14ac:dyDescent="0.25">
      <c r="A2099" t="s">
        <v>2090</v>
      </c>
      <c r="B2099" t="s">
        <v>1957</v>
      </c>
    </row>
    <row r="2100" spans="1:2" x14ac:dyDescent="0.25">
      <c r="A2100" t="s">
        <v>2090</v>
      </c>
      <c r="B2100" t="s">
        <v>1958</v>
      </c>
    </row>
    <row r="2101" spans="1:2" x14ac:dyDescent="0.25">
      <c r="A2101" t="s">
        <v>2090</v>
      </c>
      <c r="B2101" t="s">
        <v>1920</v>
      </c>
    </row>
    <row r="2102" spans="1:2" x14ac:dyDescent="0.25">
      <c r="A2102" t="s">
        <v>2090</v>
      </c>
      <c r="B2102" t="s">
        <v>1918</v>
      </c>
    </row>
    <row r="2103" spans="1:2" x14ac:dyDescent="0.25">
      <c r="A2103" t="s">
        <v>2090</v>
      </c>
      <c r="B2103" t="s">
        <v>1933</v>
      </c>
    </row>
    <row r="2104" spans="1:2" x14ac:dyDescent="0.25">
      <c r="A2104" t="s">
        <v>2090</v>
      </c>
      <c r="B2104" t="s">
        <v>1921</v>
      </c>
    </row>
    <row r="2105" spans="1:2" x14ac:dyDescent="0.25">
      <c r="A2105" t="s">
        <v>2090</v>
      </c>
      <c r="B2105" t="s">
        <v>1916</v>
      </c>
    </row>
    <row r="2106" spans="1:2" x14ac:dyDescent="0.25">
      <c r="A2106" t="s">
        <v>2090</v>
      </c>
      <c r="B2106" t="s">
        <v>1922</v>
      </c>
    </row>
    <row r="2107" spans="1:2" x14ac:dyDescent="0.25">
      <c r="A2107" t="s">
        <v>2090</v>
      </c>
      <c r="B2107" t="s">
        <v>1919</v>
      </c>
    </row>
    <row r="2108" spans="1:2" x14ac:dyDescent="0.25">
      <c r="A2108" t="s">
        <v>2090</v>
      </c>
      <c r="B2108" t="s">
        <v>1908</v>
      </c>
    </row>
    <row r="2109" spans="1:2" x14ac:dyDescent="0.25">
      <c r="A2109" t="s">
        <v>2090</v>
      </c>
      <c r="B2109" t="s">
        <v>18</v>
      </c>
    </row>
    <row r="2110" spans="1:2" x14ac:dyDescent="0.25">
      <c r="A2110" t="s">
        <v>2090</v>
      </c>
      <c r="B2110" t="s">
        <v>19</v>
      </c>
    </row>
    <row r="2111" spans="1:2" x14ac:dyDescent="0.25">
      <c r="A2111" t="s">
        <v>2090</v>
      </c>
      <c r="B2111" t="s">
        <v>1759</v>
      </c>
    </row>
    <row r="2112" spans="1:2" x14ac:dyDescent="0.25">
      <c r="A2112" t="s">
        <v>2090</v>
      </c>
      <c r="B2112" t="s">
        <v>1763</v>
      </c>
    </row>
    <row r="2113" spans="1:2" x14ac:dyDescent="0.25">
      <c r="A2113" t="s">
        <v>2090</v>
      </c>
      <c r="B2113" t="s">
        <v>1766</v>
      </c>
    </row>
    <row r="2114" spans="1:2" x14ac:dyDescent="0.25">
      <c r="A2114" t="s">
        <v>2090</v>
      </c>
      <c r="B2114" t="s">
        <v>1983</v>
      </c>
    </row>
    <row r="2115" spans="1:2" x14ac:dyDescent="0.25">
      <c r="A2115" t="s">
        <v>2090</v>
      </c>
      <c r="B2115" t="s">
        <v>1905</v>
      </c>
    </row>
    <row r="2116" spans="1:2" x14ac:dyDescent="0.25">
      <c r="A2116" t="s">
        <v>2090</v>
      </c>
      <c r="B2116" t="s">
        <v>1900</v>
      </c>
    </row>
    <row r="2117" spans="1:2" x14ac:dyDescent="0.25">
      <c r="A2117" t="s">
        <v>2090</v>
      </c>
      <c r="B2117" t="s">
        <v>1901</v>
      </c>
    </row>
    <row r="2118" spans="1:2" x14ac:dyDescent="0.25">
      <c r="A2118" t="s">
        <v>2090</v>
      </c>
      <c r="B2118" t="s">
        <v>49</v>
      </c>
    </row>
    <row r="2119" spans="1:2" x14ac:dyDescent="0.25">
      <c r="A2119" t="s">
        <v>2090</v>
      </c>
      <c r="B2119" t="s">
        <v>1757</v>
      </c>
    </row>
    <row r="2120" spans="1:2" x14ac:dyDescent="0.25">
      <c r="A2120" t="s">
        <v>2090</v>
      </c>
      <c r="B2120" t="s">
        <v>1754</v>
      </c>
    </row>
    <row r="2121" spans="1:2" x14ac:dyDescent="0.25">
      <c r="A2121" t="s">
        <v>2090</v>
      </c>
      <c r="B2121" t="s">
        <v>1755</v>
      </c>
    </row>
    <row r="2122" spans="1:2" x14ac:dyDescent="0.25">
      <c r="A2122" t="s">
        <v>2090</v>
      </c>
      <c r="B2122" t="s">
        <v>1793</v>
      </c>
    </row>
    <row r="2123" spans="1:2" x14ac:dyDescent="0.25">
      <c r="A2123" t="s">
        <v>2090</v>
      </c>
      <c r="B2123" t="s">
        <v>1794</v>
      </c>
    </row>
    <row r="2124" spans="1:2" x14ac:dyDescent="0.25">
      <c r="A2124" t="s">
        <v>2090</v>
      </c>
      <c r="B2124" t="s">
        <v>1795</v>
      </c>
    </row>
    <row r="2125" spans="1:2" x14ac:dyDescent="0.25">
      <c r="A2125" t="s">
        <v>2090</v>
      </c>
      <c r="B2125" t="s">
        <v>1801</v>
      </c>
    </row>
    <row r="2126" spans="1:2" x14ac:dyDescent="0.25">
      <c r="A2126" t="s">
        <v>2090</v>
      </c>
      <c r="B2126" t="s">
        <v>1802</v>
      </c>
    </row>
    <row r="2127" spans="1:2" x14ac:dyDescent="0.25">
      <c r="A2127" t="s">
        <v>2090</v>
      </c>
      <c r="B2127" t="s">
        <v>1789</v>
      </c>
    </row>
    <row r="2128" spans="1:2" x14ac:dyDescent="0.25">
      <c r="A2128" t="s">
        <v>2090</v>
      </c>
      <c r="B2128" t="s">
        <v>1790</v>
      </c>
    </row>
    <row r="2129" spans="1:2" x14ac:dyDescent="0.25">
      <c r="A2129" t="s">
        <v>2090</v>
      </c>
      <c r="B2129" t="s">
        <v>1791</v>
      </c>
    </row>
    <row r="2130" spans="1:2" x14ac:dyDescent="0.25">
      <c r="A2130" t="s">
        <v>2090</v>
      </c>
      <c r="B2130" t="s">
        <v>1792</v>
      </c>
    </row>
    <row r="2131" spans="1:2" x14ac:dyDescent="0.25">
      <c r="A2131" t="s">
        <v>2090</v>
      </c>
      <c r="B2131" t="s">
        <v>1799</v>
      </c>
    </row>
    <row r="2132" spans="1:2" x14ac:dyDescent="0.25">
      <c r="A2132" t="s">
        <v>2090</v>
      </c>
      <c r="B2132" t="s">
        <v>1800</v>
      </c>
    </row>
    <row r="2133" spans="1:2" x14ac:dyDescent="0.25">
      <c r="A2133" t="s">
        <v>2090</v>
      </c>
      <c r="B2133" t="s">
        <v>1752</v>
      </c>
    </row>
    <row r="2134" spans="1:2" x14ac:dyDescent="0.25">
      <c r="A2134" t="s">
        <v>2090</v>
      </c>
      <c r="B2134" t="s">
        <v>1809</v>
      </c>
    </row>
    <row r="2135" spans="1:2" x14ac:dyDescent="0.25">
      <c r="A2135" t="s">
        <v>2090</v>
      </c>
      <c r="B2135" t="s">
        <v>1756</v>
      </c>
    </row>
    <row r="2136" spans="1:2" x14ac:dyDescent="0.25">
      <c r="A2136" t="s">
        <v>2090</v>
      </c>
      <c r="B2136" t="s">
        <v>1807</v>
      </c>
    </row>
    <row r="2137" spans="1:2" x14ac:dyDescent="0.25">
      <c r="A2137" t="s">
        <v>2090</v>
      </c>
      <c r="B2137" t="s">
        <v>1808</v>
      </c>
    </row>
    <row r="2138" spans="1:2" x14ac:dyDescent="0.25">
      <c r="A2138" t="s">
        <v>2090</v>
      </c>
      <c r="B2138" t="s">
        <v>1753</v>
      </c>
    </row>
    <row r="2139" spans="1:2" x14ac:dyDescent="0.25">
      <c r="A2139" t="s">
        <v>2090</v>
      </c>
      <c r="B2139" t="s">
        <v>1837</v>
      </c>
    </row>
    <row r="2140" spans="1:2" x14ac:dyDescent="0.25">
      <c r="A2140" t="s">
        <v>2090</v>
      </c>
      <c r="B2140" t="s">
        <v>1556</v>
      </c>
    </row>
    <row r="2141" spans="1:2" x14ac:dyDescent="0.25">
      <c r="A2141" t="s">
        <v>2090</v>
      </c>
      <c r="B2141" t="s">
        <v>1557</v>
      </c>
    </row>
    <row r="2142" spans="1:2" x14ac:dyDescent="0.25">
      <c r="A2142" t="s">
        <v>2090</v>
      </c>
      <c r="B2142" t="s">
        <v>1713</v>
      </c>
    </row>
    <row r="2143" spans="1:2" x14ac:dyDescent="0.25">
      <c r="A2143" t="s">
        <v>2090</v>
      </c>
      <c r="B2143" t="s">
        <v>1712</v>
      </c>
    </row>
    <row r="2144" spans="1:2" x14ac:dyDescent="0.25">
      <c r="A2144" t="s">
        <v>2090</v>
      </c>
      <c r="B2144" t="s">
        <v>2071</v>
      </c>
    </row>
    <row r="2145" spans="1:2" x14ac:dyDescent="0.25">
      <c r="A2145" t="s">
        <v>2090</v>
      </c>
      <c r="B2145" t="s">
        <v>2072</v>
      </c>
    </row>
    <row r="2146" spans="1:2" x14ac:dyDescent="0.25">
      <c r="A2146" t="s">
        <v>2090</v>
      </c>
      <c r="B2146" t="s">
        <v>2095</v>
      </c>
    </row>
    <row r="2147" spans="1:2" x14ac:dyDescent="0.25">
      <c r="A2147" t="s">
        <v>2090</v>
      </c>
      <c r="B2147" t="s">
        <v>2034</v>
      </c>
    </row>
    <row r="2148" spans="1:2" x14ac:dyDescent="0.25">
      <c r="A2148" t="s">
        <v>2090</v>
      </c>
      <c r="B2148" t="s">
        <v>20</v>
      </c>
    </row>
    <row r="2149" spans="1:2" x14ac:dyDescent="0.25">
      <c r="A2149" t="s">
        <v>2090</v>
      </c>
      <c r="B2149" t="s">
        <v>59</v>
      </c>
    </row>
    <row r="2150" spans="1:2" x14ac:dyDescent="0.25">
      <c r="A2150" t="s">
        <v>2090</v>
      </c>
      <c r="B2150" t="s">
        <v>21</v>
      </c>
    </row>
    <row r="2151" spans="1:2" x14ac:dyDescent="0.25">
      <c r="A2151" t="s">
        <v>2090</v>
      </c>
      <c r="B2151" t="s">
        <v>22</v>
      </c>
    </row>
    <row r="2152" spans="1:2" x14ac:dyDescent="0.25">
      <c r="A2152" t="s">
        <v>2090</v>
      </c>
      <c r="B2152" t="s">
        <v>23</v>
      </c>
    </row>
    <row r="2153" spans="1:2" x14ac:dyDescent="0.25">
      <c r="A2153" t="s">
        <v>2090</v>
      </c>
      <c r="B2153" t="s">
        <v>24</v>
      </c>
    </row>
    <row r="2154" spans="1:2" x14ac:dyDescent="0.25">
      <c r="A2154" t="s">
        <v>2090</v>
      </c>
      <c r="B2154" t="s">
        <v>25</v>
      </c>
    </row>
    <row r="2155" spans="1:2" x14ac:dyDescent="0.25">
      <c r="A2155" t="s">
        <v>2090</v>
      </c>
      <c r="B2155" t="s">
        <v>26</v>
      </c>
    </row>
    <row r="2156" spans="1:2" x14ac:dyDescent="0.25">
      <c r="A2156" t="s">
        <v>2090</v>
      </c>
      <c r="B2156" t="s">
        <v>57</v>
      </c>
    </row>
    <row r="2157" spans="1:2" x14ac:dyDescent="0.25">
      <c r="A2157" t="s">
        <v>2090</v>
      </c>
      <c r="B2157" t="s">
        <v>58</v>
      </c>
    </row>
    <row r="2158" spans="1:2" x14ac:dyDescent="0.25">
      <c r="A2158" t="s">
        <v>2090</v>
      </c>
      <c r="B2158" t="s">
        <v>60</v>
      </c>
    </row>
    <row r="2159" spans="1:2" x14ac:dyDescent="0.25">
      <c r="A2159" t="s">
        <v>2090</v>
      </c>
      <c r="B2159" t="s">
        <v>27</v>
      </c>
    </row>
    <row r="2160" spans="1:2" x14ac:dyDescent="0.25">
      <c r="A2160" t="s">
        <v>2090</v>
      </c>
      <c r="B2160" t="s">
        <v>50</v>
      </c>
    </row>
    <row r="2161" spans="1:2" x14ac:dyDescent="0.25">
      <c r="A2161" t="s">
        <v>2090</v>
      </c>
      <c r="B2161" t="s">
        <v>1449</v>
      </c>
    </row>
    <row r="2162" spans="1:2" x14ac:dyDescent="0.25">
      <c r="A2162" t="s">
        <v>2090</v>
      </c>
      <c r="B2162" t="s">
        <v>28</v>
      </c>
    </row>
    <row r="2163" spans="1:2" x14ac:dyDescent="0.25">
      <c r="A2163" t="s">
        <v>2090</v>
      </c>
      <c r="B2163" t="s">
        <v>29</v>
      </c>
    </row>
    <row r="2164" spans="1:2" x14ac:dyDescent="0.25">
      <c r="A2164" t="s">
        <v>2090</v>
      </c>
      <c r="B2164" t="s">
        <v>30</v>
      </c>
    </row>
    <row r="2165" spans="1:2" x14ac:dyDescent="0.25">
      <c r="A2165" t="s">
        <v>2090</v>
      </c>
      <c r="B2165" t="s">
        <v>13</v>
      </c>
    </row>
    <row r="2166" spans="1:2" x14ac:dyDescent="0.25">
      <c r="A2166" t="s">
        <v>2090</v>
      </c>
      <c r="B2166" t="s">
        <v>64</v>
      </c>
    </row>
    <row r="2167" spans="1:2" x14ac:dyDescent="0.25">
      <c r="A2167" t="s">
        <v>2090</v>
      </c>
      <c r="B2167" t="s">
        <v>65</v>
      </c>
    </row>
    <row r="2168" spans="1:2" x14ac:dyDescent="0.25">
      <c r="A2168" t="s">
        <v>2090</v>
      </c>
      <c r="B2168" t="s">
        <v>1536</v>
      </c>
    </row>
    <row r="2169" spans="1:2" x14ac:dyDescent="0.25">
      <c r="A2169" t="s">
        <v>2090</v>
      </c>
      <c r="B2169" t="s">
        <v>31</v>
      </c>
    </row>
    <row r="2170" spans="1:2" x14ac:dyDescent="0.25">
      <c r="A2170" t="s">
        <v>2090</v>
      </c>
      <c r="B2170" t="s">
        <v>1471</v>
      </c>
    </row>
    <row r="2171" spans="1:2" x14ac:dyDescent="0.25">
      <c r="A2171" t="s">
        <v>2090</v>
      </c>
      <c r="B2171" t="s">
        <v>63</v>
      </c>
    </row>
    <row r="2172" spans="1:2" x14ac:dyDescent="0.25">
      <c r="A2172" t="s">
        <v>2090</v>
      </c>
      <c r="B2172" t="s">
        <v>32</v>
      </c>
    </row>
    <row r="2173" spans="1:2" x14ac:dyDescent="0.25">
      <c r="A2173" t="s">
        <v>2090</v>
      </c>
      <c r="B2173" t="s">
        <v>33</v>
      </c>
    </row>
    <row r="2174" spans="1:2" x14ac:dyDescent="0.25">
      <c r="A2174" t="s">
        <v>2090</v>
      </c>
      <c r="B2174" t="s">
        <v>34</v>
      </c>
    </row>
    <row r="2175" spans="1:2" x14ac:dyDescent="0.25">
      <c r="A2175" t="s">
        <v>2090</v>
      </c>
      <c r="B2175" t="s">
        <v>62</v>
      </c>
    </row>
    <row r="2176" spans="1:2" x14ac:dyDescent="0.25">
      <c r="A2176" t="s">
        <v>2090</v>
      </c>
      <c r="B2176" t="s">
        <v>35</v>
      </c>
    </row>
    <row r="2177" spans="1:2" x14ac:dyDescent="0.25">
      <c r="A2177" t="s">
        <v>2090</v>
      </c>
      <c r="B2177" t="s">
        <v>36</v>
      </c>
    </row>
    <row r="2178" spans="1:2" x14ac:dyDescent="0.25">
      <c r="A2178" t="s">
        <v>2090</v>
      </c>
      <c r="B2178" t="s">
        <v>734</v>
      </c>
    </row>
    <row r="2179" spans="1:2" x14ac:dyDescent="0.25">
      <c r="A2179" t="s">
        <v>2090</v>
      </c>
      <c r="B2179" t="s">
        <v>37</v>
      </c>
    </row>
    <row r="2180" spans="1:2" x14ac:dyDescent="0.25">
      <c r="A2180" t="s">
        <v>2090</v>
      </c>
      <c r="B2180" t="s">
        <v>1450</v>
      </c>
    </row>
    <row r="2181" spans="1:2" x14ac:dyDescent="0.25">
      <c r="A2181" t="s">
        <v>2090</v>
      </c>
      <c r="B2181" t="s">
        <v>38</v>
      </c>
    </row>
    <row r="2182" spans="1:2" x14ac:dyDescent="0.25">
      <c r="A2182" t="s">
        <v>2090</v>
      </c>
      <c r="B2182" t="s">
        <v>1451</v>
      </c>
    </row>
    <row r="2183" spans="1:2" x14ac:dyDescent="0.25">
      <c r="A2183" t="s">
        <v>2090</v>
      </c>
      <c r="B2183" t="s">
        <v>54</v>
      </c>
    </row>
    <row r="2184" spans="1:2" x14ac:dyDescent="0.25">
      <c r="A2184" t="s">
        <v>2090</v>
      </c>
      <c r="B2184" t="s">
        <v>55</v>
      </c>
    </row>
    <row r="2185" spans="1:2" x14ac:dyDescent="0.25">
      <c r="A2185" t="s">
        <v>2090</v>
      </c>
      <c r="B2185" t="s">
        <v>66</v>
      </c>
    </row>
    <row r="2186" spans="1:2" x14ac:dyDescent="0.25">
      <c r="A2186" t="s">
        <v>2090</v>
      </c>
      <c r="B2186" t="s">
        <v>51</v>
      </c>
    </row>
    <row r="2187" spans="1:2" x14ac:dyDescent="0.25">
      <c r="A2187" t="s">
        <v>2090</v>
      </c>
      <c r="B2187" t="s">
        <v>52</v>
      </c>
    </row>
    <row r="2188" spans="1:2" x14ac:dyDescent="0.25">
      <c r="A2188" t="s">
        <v>2090</v>
      </c>
      <c r="B2188" t="s">
        <v>56</v>
      </c>
    </row>
    <row r="2189" spans="1:2" x14ac:dyDescent="0.25">
      <c r="A2189" t="s">
        <v>2090</v>
      </c>
      <c r="B2189" t="s">
        <v>53</v>
      </c>
    </row>
    <row r="2190" spans="1:2" x14ac:dyDescent="0.25">
      <c r="A2190" t="s">
        <v>2090</v>
      </c>
      <c r="B2190" t="s">
        <v>39</v>
      </c>
    </row>
    <row r="2191" spans="1:2" x14ac:dyDescent="0.25">
      <c r="A2191" t="s">
        <v>2090</v>
      </c>
      <c r="B2191" t="s">
        <v>1902</v>
      </c>
    </row>
    <row r="2192" spans="1:2" x14ac:dyDescent="0.25">
      <c r="A2192" t="s">
        <v>2090</v>
      </c>
      <c r="B2192" t="s">
        <v>1903</v>
      </c>
    </row>
    <row r="2193" spans="1:2" x14ac:dyDescent="0.25">
      <c r="A2193" t="s">
        <v>2090</v>
      </c>
      <c r="B2193" t="s">
        <v>1904</v>
      </c>
    </row>
    <row r="2194" spans="1:2" x14ac:dyDescent="0.25">
      <c r="A2194" t="s">
        <v>2090</v>
      </c>
      <c r="B2194" t="s">
        <v>1882</v>
      </c>
    </row>
    <row r="2195" spans="1:2" x14ac:dyDescent="0.25">
      <c r="A2195" t="s">
        <v>2090</v>
      </c>
      <c r="B2195" t="s">
        <v>1883</v>
      </c>
    </row>
    <row r="2196" spans="1:2" x14ac:dyDescent="0.25">
      <c r="A2196" t="s">
        <v>2090</v>
      </c>
      <c r="B2196" t="s">
        <v>736</v>
      </c>
    </row>
    <row r="2197" spans="1:2" x14ac:dyDescent="0.25">
      <c r="A2197" t="s">
        <v>2090</v>
      </c>
      <c r="B2197" t="s">
        <v>1845</v>
      </c>
    </row>
    <row r="2198" spans="1:2" x14ac:dyDescent="0.25">
      <c r="A2198" t="s">
        <v>2090</v>
      </c>
      <c r="B2198" t="s">
        <v>1844</v>
      </c>
    </row>
    <row r="2199" spans="1:2" x14ac:dyDescent="0.25">
      <c r="A2199" t="s">
        <v>2090</v>
      </c>
      <c r="B2199" t="s">
        <v>1857</v>
      </c>
    </row>
    <row r="2200" spans="1:2" x14ac:dyDescent="0.25">
      <c r="A2200" t="s">
        <v>2090</v>
      </c>
      <c r="B2200" t="s">
        <v>1840</v>
      </c>
    </row>
    <row r="2201" spans="1:2" x14ac:dyDescent="0.25">
      <c r="A2201" t="s">
        <v>2090</v>
      </c>
      <c r="B2201" t="s">
        <v>1833</v>
      </c>
    </row>
    <row r="2202" spans="1:2" x14ac:dyDescent="0.25">
      <c r="A2202" t="s">
        <v>2090</v>
      </c>
      <c r="B2202" t="s">
        <v>1834</v>
      </c>
    </row>
    <row r="2203" spans="1:2" x14ac:dyDescent="0.25">
      <c r="A2203" t="s">
        <v>2090</v>
      </c>
      <c r="B2203" t="s">
        <v>726</v>
      </c>
    </row>
    <row r="2204" spans="1:2" x14ac:dyDescent="0.25">
      <c r="A2204" t="s">
        <v>2090</v>
      </c>
      <c r="B2204" t="s">
        <v>729</v>
      </c>
    </row>
    <row r="2205" spans="1:2" x14ac:dyDescent="0.25">
      <c r="A2205" t="s">
        <v>2090</v>
      </c>
      <c r="B2205" t="s">
        <v>728</v>
      </c>
    </row>
    <row r="2206" spans="1:2" x14ac:dyDescent="0.25">
      <c r="A2206" t="s">
        <v>2090</v>
      </c>
      <c r="B2206" t="s">
        <v>731</v>
      </c>
    </row>
    <row r="2207" spans="1:2" x14ac:dyDescent="0.25">
      <c r="A2207" t="s">
        <v>2090</v>
      </c>
      <c r="B2207" t="s">
        <v>730</v>
      </c>
    </row>
    <row r="2208" spans="1:2" x14ac:dyDescent="0.25">
      <c r="A2208" t="s">
        <v>2090</v>
      </c>
      <c r="B2208" t="s">
        <v>732</v>
      </c>
    </row>
    <row r="2209" spans="1:2" x14ac:dyDescent="0.25">
      <c r="A2209" t="s">
        <v>2090</v>
      </c>
      <c r="B2209" t="s">
        <v>727</v>
      </c>
    </row>
    <row r="2210" spans="1:2" x14ac:dyDescent="0.25">
      <c r="A2210" t="s">
        <v>2090</v>
      </c>
      <c r="B2210" t="s">
        <v>1861</v>
      </c>
    </row>
    <row r="2211" spans="1:2" x14ac:dyDescent="0.25">
      <c r="A2211" t="s">
        <v>2090</v>
      </c>
      <c r="B2211" t="s">
        <v>2006</v>
      </c>
    </row>
    <row r="2212" spans="1:2" x14ac:dyDescent="0.25">
      <c r="A2212" t="s">
        <v>2090</v>
      </c>
      <c r="B2212" t="s">
        <v>2007</v>
      </c>
    </row>
    <row r="2213" spans="1:2" x14ac:dyDescent="0.25">
      <c r="A2213" t="s">
        <v>2090</v>
      </c>
      <c r="B2213" t="s">
        <v>2008</v>
      </c>
    </row>
    <row r="2214" spans="1:2" x14ac:dyDescent="0.25">
      <c r="A2214" t="s">
        <v>2090</v>
      </c>
      <c r="B2214" t="s">
        <v>2019</v>
      </c>
    </row>
    <row r="2215" spans="1:2" x14ac:dyDescent="0.25">
      <c r="A2215" t="s">
        <v>2090</v>
      </c>
      <c r="B2215" t="s">
        <v>2018</v>
      </c>
    </row>
    <row r="2216" spans="1:2" x14ac:dyDescent="0.25">
      <c r="A2216" t="s">
        <v>2090</v>
      </c>
      <c r="B2216" t="s">
        <v>2009</v>
      </c>
    </row>
    <row r="2217" spans="1:2" x14ac:dyDescent="0.25">
      <c r="A2217" t="s">
        <v>2090</v>
      </c>
      <c r="B2217" t="s">
        <v>1804</v>
      </c>
    </row>
    <row r="2218" spans="1:2" x14ac:dyDescent="0.25">
      <c r="A2218" t="s">
        <v>2090</v>
      </c>
      <c r="B2218" t="s">
        <v>1805</v>
      </c>
    </row>
    <row r="2219" spans="1:2" x14ac:dyDescent="0.25">
      <c r="A2219" t="s">
        <v>2090</v>
      </c>
      <c r="B2219" t="s">
        <v>2020</v>
      </c>
    </row>
    <row r="2220" spans="1:2" x14ac:dyDescent="0.25">
      <c r="A2220" t="s">
        <v>2090</v>
      </c>
      <c r="B2220" t="s">
        <v>2021</v>
      </c>
    </row>
    <row r="2221" spans="1:2" x14ac:dyDescent="0.25">
      <c r="A2221" t="s">
        <v>2090</v>
      </c>
      <c r="B2221" t="s">
        <v>2022</v>
      </c>
    </row>
    <row r="2222" spans="1:2" x14ac:dyDescent="0.25">
      <c r="A2222" t="s">
        <v>2090</v>
      </c>
      <c r="B2222" t="s">
        <v>2023</v>
      </c>
    </row>
    <row r="2223" spans="1:2" x14ac:dyDescent="0.25">
      <c r="A2223" t="s">
        <v>2090</v>
      </c>
      <c r="B2223" t="s">
        <v>2024</v>
      </c>
    </row>
    <row r="2224" spans="1:2" x14ac:dyDescent="0.25">
      <c r="A2224" t="s">
        <v>2090</v>
      </c>
      <c r="B2224" t="s">
        <v>2025</v>
      </c>
    </row>
    <row r="2225" spans="1:2" x14ac:dyDescent="0.25">
      <c r="A2225" t="s">
        <v>2090</v>
      </c>
      <c r="B2225" t="s">
        <v>2026</v>
      </c>
    </row>
    <row r="2226" spans="1:2" x14ac:dyDescent="0.25">
      <c r="A2226" t="s">
        <v>2090</v>
      </c>
      <c r="B2226" t="s">
        <v>1806</v>
      </c>
    </row>
    <row r="2227" spans="1:2" x14ac:dyDescent="0.25">
      <c r="A2227" t="s">
        <v>2090</v>
      </c>
      <c r="B2227" t="s">
        <v>2010</v>
      </c>
    </row>
    <row r="2228" spans="1:2" x14ac:dyDescent="0.25">
      <c r="A2228" t="s">
        <v>2090</v>
      </c>
      <c r="B2228" t="s">
        <v>2011</v>
      </c>
    </row>
    <row r="2229" spans="1:2" x14ac:dyDescent="0.25">
      <c r="A2229" t="s">
        <v>2090</v>
      </c>
      <c r="B2229" t="s">
        <v>2012</v>
      </c>
    </row>
    <row r="2230" spans="1:2" x14ac:dyDescent="0.25">
      <c r="A2230" t="s">
        <v>2090</v>
      </c>
      <c r="B2230" t="s">
        <v>2013</v>
      </c>
    </row>
    <row r="2231" spans="1:2" x14ac:dyDescent="0.25">
      <c r="A2231" t="s">
        <v>2090</v>
      </c>
      <c r="B2231" t="s">
        <v>2014</v>
      </c>
    </row>
    <row r="2232" spans="1:2" x14ac:dyDescent="0.25">
      <c r="A2232" t="s">
        <v>2090</v>
      </c>
      <c r="B2232" t="s">
        <v>2017</v>
      </c>
    </row>
    <row r="2233" spans="1:2" x14ac:dyDescent="0.25">
      <c r="A2233" t="s">
        <v>2090</v>
      </c>
      <c r="B2233" t="s">
        <v>2027</v>
      </c>
    </row>
    <row r="2234" spans="1:2" x14ac:dyDescent="0.25">
      <c r="A2234" t="s">
        <v>2090</v>
      </c>
      <c r="B2234" t="s">
        <v>2015</v>
      </c>
    </row>
    <row r="2235" spans="1:2" x14ac:dyDescent="0.25">
      <c r="A2235" t="s">
        <v>2090</v>
      </c>
      <c r="B2235" t="s">
        <v>2016</v>
      </c>
    </row>
    <row r="2236" spans="1:2" x14ac:dyDescent="0.25">
      <c r="A2236" t="s">
        <v>2090</v>
      </c>
      <c r="B2236" t="s">
        <v>2028</v>
      </c>
    </row>
    <row r="2237" spans="1:2" x14ac:dyDescent="0.25">
      <c r="A2237" t="s">
        <v>2090</v>
      </c>
      <c r="B2237" t="s">
        <v>2029</v>
      </c>
    </row>
    <row r="2238" spans="1:2" x14ac:dyDescent="0.25">
      <c r="A2238" t="s">
        <v>2090</v>
      </c>
      <c r="B2238" t="s">
        <v>1838</v>
      </c>
    </row>
    <row r="2239" spans="1:2" x14ac:dyDescent="0.25">
      <c r="A2239" t="s">
        <v>2090</v>
      </c>
      <c r="B2239" t="s">
        <v>1474</v>
      </c>
    </row>
    <row r="2240" spans="1:2" x14ac:dyDescent="0.25">
      <c r="A2240" t="s">
        <v>2090</v>
      </c>
      <c r="B2240" t="s">
        <v>1796</v>
      </c>
    </row>
    <row r="2241" spans="1:2" x14ac:dyDescent="0.25">
      <c r="A2241" t="s">
        <v>2090</v>
      </c>
      <c r="B2241" t="s">
        <v>1798</v>
      </c>
    </row>
    <row r="2242" spans="1:2" x14ac:dyDescent="0.25">
      <c r="A2242" t="s">
        <v>2090</v>
      </c>
      <c r="B2242" t="s">
        <v>1781</v>
      </c>
    </row>
    <row r="2243" spans="1:2" x14ac:dyDescent="0.25">
      <c r="A2243" t="s">
        <v>2090</v>
      </c>
      <c r="B2243" t="s">
        <v>1780</v>
      </c>
    </row>
    <row r="2244" spans="1:2" x14ac:dyDescent="0.25">
      <c r="A2244" t="s">
        <v>2090</v>
      </c>
      <c r="B2244" t="s">
        <v>1782</v>
      </c>
    </row>
    <row r="2245" spans="1:2" x14ac:dyDescent="0.25">
      <c r="A2245" t="s">
        <v>2090</v>
      </c>
      <c r="B2245" t="s">
        <v>1783</v>
      </c>
    </row>
    <row r="2246" spans="1:2" x14ac:dyDescent="0.25">
      <c r="A2246" t="s">
        <v>2090</v>
      </c>
      <c r="B2246" t="s">
        <v>1785</v>
      </c>
    </row>
    <row r="2247" spans="1:2" x14ac:dyDescent="0.25">
      <c r="A2247" t="s">
        <v>2090</v>
      </c>
      <c r="B2247" t="s">
        <v>1784</v>
      </c>
    </row>
    <row r="2248" spans="1:2" x14ac:dyDescent="0.25">
      <c r="A2248" t="s">
        <v>2090</v>
      </c>
      <c r="B2248" t="s">
        <v>1992</v>
      </c>
    </row>
    <row r="2249" spans="1:2" x14ac:dyDescent="0.25">
      <c r="A2249" t="s">
        <v>2090</v>
      </c>
      <c r="B2249" t="s">
        <v>1993</v>
      </c>
    </row>
    <row r="2250" spans="1:2" x14ac:dyDescent="0.25">
      <c r="A2250" t="s">
        <v>2090</v>
      </c>
      <c r="B2250" t="s">
        <v>1865</v>
      </c>
    </row>
    <row r="2251" spans="1:2" x14ac:dyDescent="0.25">
      <c r="A2251" t="s">
        <v>2090</v>
      </c>
      <c r="B2251" t="s">
        <v>1884</v>
      </c>
    </row>
    <row r="2252" spans="1:2" x14ac:dyDescent="0.25">
      <c r="A2252" t="s">
        <v>2090</v>
      </c>
      <c r="B2252" t="s">
        <v>1885</v>
      </c>
    </row>
    <row r="2253" spans="1:2" x14ac:dyDescent="0.25">
      <c r="A2253" t="s">
        <v>2090</v>
      </c>
      <c r="B2253" t="s">
        <v>1829</v>
      </c>
    </row>
    <row r="2254" spans="1:2" x14ac:dyDescent="0.25">
      <c r="A2254" t="s">
        <v>2090</v>
      </c>
      <c r="B2254" t="s">
        <v>1748</v>
      </c>
    </row>
    <row r="2255" spans="1:2" x14ac:dyDescent="0.25">
      <c r="A2255" t="s">
        <v>2090</v>
      </c>
      <c r="B2255" t="s">
        <v>61</v>
      </c>
    </row>
    <row r="2256" spans="1:2" x14ac:dyDescent="0.25">
      <c r="A2256" t="s">
        <v>2090</v>
      </c>
      <c r="B2256" t="s">
        <v>1136</v>
      </c>
    </row>
    <row r="2257" spans="1:2" x14ac:dyDescent="0.25">
      <c r="A2257" t="s">
        <v>2090</v>
      </c>
      <c r="B2257" t="s">
        <v>291</v>
      </c>
    </row>
    <row r="2258" spans="1:2" x14ac:dyDescent="0.25">
      <c r="A2258" t="s">
        <v>2090</v>
      </c>
      <c r="B2258" t="s">
        <v>627</v>
      </c>
    </row>
    <row r="2259" spans="1:2" x14ac:dyDescent="0.25">
      <c r="A2259" t="s">
        <v>2090</v>
      </c>
      <c r="B2259" t="s">
        <v>48</v>
      </c>
    </row>
    <row r="2260" spans="1:2" x14ac:dyDescent="0.25">
      <c r="A2260" t="s">
        <v>2090</v>
      </c>
      <c r="B2260" t="s">
        <v>1131</v>
      </c>
    </row>
    <row r="2261" spans="1:2" x14ac:dyDescent="0.25">
      <c r="A2261" t="s">
        <v>2090</v>
      </c>
      <c r="B2261" t="s">
        <v>1848</v>
      </c>
    </row>
    <row r="2262" spans="1:2" x14ac:dyDescent="0.25">
      <c r="A2262" t="s">
        <v>2090</v>
      </c>
      <c r="B2262" t="s">
        <v>1818</v>
      </c>
    </row>
    <row r="2263" spans="1:2" x14ac:dyDescent="0.25">
      <c r="A2263" t="s">
        <v>2090</v>
      </c>
      <c r="B2263" t="s">
        <v>1819</v>
      </c>
    </row>
    <row r="2264" spans="1:2" x14ac:dyDescent="0.25">
      <c r="A2264" t="s">
        <v>2090</v>
      </c>
      <c r="B2264" t="s">
        <v>1820</v>
      </c>
    </row>
    <row r="2265" spans="1:2" x14ac:dyDescent="0.25">
      <c r="A2265" t="s">
        <v>2090</v>
      </c>
      <c r="B2265" t="s">
        <v>1821</v>
      </c>
    </row>
    <row r="2266" spans="1:2" x14ac:dyDescent="0.25">
      <c r="A2266" t="s">
        <v>2090</v>
      </c>
      <c r="B2266" t="s">
        <v>1822</v>
      </c>
    </row>
    <row r="2267" spans="1:2" x14ac:dyDescent="0.25">
      <c r="A2267" t="s">
        <v>2090</v>
      </c>
      <c r="B2267" t="s">
        <v>1823</v>
      </c>
    </row>
    <row r="2268" spans="1:2" x14ac:dyDescent="0.25">
      <c r="A2268" t="s">
        <v>2090</v>
      </c>
      <c r="B2268" t="s">
        <v>1824</v>
      </c>
    </row>
    <row r="2269" spans="1:2" x14ac:dyDescent="0.25">
      <c r="A2269" t="s">
        <v>2090</v>
      </c>
      <c r="B2269" t="s">
        <v>1825</v>
      </c>
    </row>
    <row r="2270" spans="1:2" x14ac:dyDescent="0.25">
      <c r="A2270" t="s">
        <v>2090</v>
      </c>
      <c r="B2270" t="s">
        <v>1826</v>
      </c>
    </row>
    <row r="2271" spans="1:2" x14ac:dyDescent="0.25">
      <c r="A2271" t="s">
        <v>2090</v>
      </c>
      <c r="B2271" t="s">
        <v>1827</v>
      </c>
    </row>
    <row r="2272" spans="1:2" x14ac:dyDescent="0.25">
      <c r="A2272" t="s">
        <v>2090</v>
      </c>
      <c r="B2272" t="s">
        <v>1828</v>
      </c>
    </row>
    <row r="2273" spans="1:2" x14ac:dyDescent="0.25">
      <c r="A2273" t="s">
        <v>2090</v>
      </c>
      <c r="B2273" t="s">
        <v>2070</v>
      </c>
    </row>
    <row r="2274" spans="1:2" x14ac:dyDescent="0.25">
      <c r="A2274" t="s">
        <v>2090</v>
      </c>
      <c r="B2274" t="s">
        <v>1558</v>
      </c>
    </row>
    <row r="2275" spans="1:2" x14ac:dyDescent="0.25">
      <c r="A2275" t="s">
        <v>2090</v>
      </c>
      <c r="B2275" t="s">
        <v>1559</v>
      </c>
    </row>
    <row r="2276" spans="1:2" x14ac:dyDescent="0.25">
      <c r="A2276" t="s">
        <v>2090</v>
      </c>
      <c r="B2276" t="s">
        <v>1452</v>
      </c>
    </row>
    <row r="2277" spans="1:2" x14ac:dyDescent="0.25">
      <c r="A2277" t="s">
        <v>2090</v>
      </c>
      <c r="B2277" t="s">
        <v>1453</v>
      </c>
    </row>
    <row r="2278" spans="1:2" x14ac:dyDescent="0.25">
      <c r="A2278" t="s">
        <v>2090</v>
      </c>
      <c r="B2278" t="s">
        <v>1454</v>
      </c>
    </row>
    <row r="2279" spans="1:2" x14ac:dyDescent="0.25">
      <c r="A2279" t="s">
        <v>2090</v>
      </c>
      <c r="B2279" t="s">
        <v>1455</v>
      </c>
    </row>
    <row r="2280" spans="1:2" x14ac:dyDescent="0.25">
      <c r="A2280" t="s">
        <v>2090</v>
      </c>
      <c r="B2280" t="s">
        <v>1456</v>
      </c>
    </row>
    <row r="2281" spans="1:2" x14ac:dyDescent="0.25">
      <c r="A2281" t="s">
        <v>2090</v>
      </c>
      <c r="B2281" t="s">
        <v>1457</v>
      </c>
    </row>
    <row r="2282" spans="1:2" x14ac:dyDescent="0.25">
      <c r="A2282" t="s">
        <v>2090</v>
      </c>
      <c r="B2282" t="s">
        <v>1458</v>
      </c>
    </row>
    <row r="2283" spans="1:2" x14ac:dyDescent="0.25">
      <c r="A2283" t="s">
        <v>2090</v>
      </c>
      <c r="B2283" t="s">
        <v>1459</v>
      </c>
    </row>
    <row r="2284" spans="1:2" x14ac:dyDescent="0.25">
      <c r="A2284" t="s">
        <v>2090</v>
      </c>
      <c r="B2284" t="s">
        <v>1460</v>
      </c>
    </row>
    <row r="2285" spans="1:2" x14ac:dyDescent="0.25">
      <c r="A2285" t="s">
        <v>2090</v>
      </c>
      <c r="B2285" t="s">
        <v>1461</v>
      </c>
    </row>
    <row r="2286" spans="1:2" x14ac:dyDescent="0.25">
      <c r="A2286" t="s">
        <v>2090</v>
      </c>
      <c r="B2286" t="s">
        <v>1462</v>
      </c>
    </row>
    <row r="2287" spans="1:2" x14ac:dyDescent="0.25">
      <c r="A2287" t="s">
        <v>2090</v>
      </c>
      <c r="B2287" t="s">
        <v>1463</v>
      </c>
    </row>
    <row r="2288" spans="1:2" x14ac:dyDescent="0.25">
      <c r="A2288" t="s">
        <v>2090</v>
      </c>
      <c r="B2288" t="s">
        <v>1464</v>
      </c>
    </row>
    <row r="2289" spans="1:2" x14ac:dyDescent="0.25">
      <c r="A2289" t="s">
        <v>2090</v>
      </c>
      <c r="B2289" t="s">
        <v>1465</v>
      </c>
    </row>
    <row r="2290" spans="1:2" x14ac:dyDescent="0.25">
      <c r="A2290" t="s">
        <v>2090</v>
      </c>
      <c r="B2290" t="s">
        <v>1466</v>
      </c>
    </row>
    <row r="2291" spans="1:2" x14ac:dyDescent="0.25">
      <c r="A2291" t="s">
        <v>2090</v>
      </c>
      <c r="B2291" t="s">
        <v>1467</v>
      </c>
    </row>
    <row r="2292" spans="1:2" x14ac:dyDescent="0.25">
      <c r="A2292" t="s">
        <v>2090</v>
      </c>
      <c r="B2292" t="s">
        <v>1468</v>
      </c>
    </row>
    <row r="2293" spans="1:2" x14ac:dyDescent="0.25">
      <c r="A2293" t="s">
        <v>2090</v>
      </c>
      <c r="B2293" t="s">
        <v>1469</v>
      </c>
    </row>
    <row r="2294" spans="1:2" x14ac:dyDescent="0.25">
      <c r="A2294" t="s">
        <v>2090</v>
      </c>
      <c r="B2294" t="s">
        <v>1470</v>
      </c>
    </row>
    <row r="2295" spans="1:2" x14ac:dyDescent="0.25">
      <c r="A2295" t="s">
        <v>2090</v>
      </c>
      <c r="B2295" t="s">
        <v>1858</v>
      </c>
    </row>
    <row r="2296" spans="1:2" x14ac:dyDescent="0.25">
      <c r="A2296" t="s">
        <v>2090</v>
      </c>
      <c r="B2296" t="s">
        <v>1855</v>
      </c>
    </row>
    <row r="2297" spans="1:2" x14ac:dyDescent="0.25">
      <c r="A2297" t="s">
        <v>2090</v>
      </c>
      <c r="B2297" t="s">
        <v>1854</v>
      </c>
    </row>
    <row r="2298" spans="1:2" x14ac:dyDescent="0.25">
      <c r="A2298" t="s">
        <v>2090</v>
      </c>
      <c r="B2298" t="s">
        <v>1853</v>
      </c>
    </row>
    <row r="2299" spans="1:2" x14ac:dyDescent="0.25">
      <c r="A2299" t="s">
        <v>2090</v>
      </c>
      <c r="B2299" t="s">
        <v>1852</v>
      </c>
    </row>
    <row r="2300" spans="1:2" x14ac:dyDescent="0.25">
      <c r="A2300" t="s">
        <v>2090</v>
      </c>
      <c r="B2300" t="s">
        <v>1814</v>
      </c>
    </row>
    <row r="2301" spans="1:2" x14ac:dyDescent="0.25">
      <c r="A2301" t="s">
        <v>2090</v>
      </c>
      <c r="B2301" t="s">
        <v>1473</v>
      </c>
    </row>
    <row r="2302" spans="1:2" x14ac:dyDescent="0.25">
      <c r="A2302" t="s">
        <v>2090</v>
      </c>
      <c r="B2302" t="s">
        <v>761</v>
      </c>
    </row>
    <row r="2303" spans="1:2" x14ac:dyDescent="0.25">
      <c r="A2303" t="s">
        <v>2090</v>
      </c>
      <c r="B2303" t="s">
        <v>762</v>
      </c>
    </row>
    <row r="2304" spans="1:2" x14ac:dyDescent="0.25">
      <c r="A2304" t="s">
        <v>2090</v>
      </c>
      <c r="B2304" t="s">
        <v>763</v>
      </c>
    </row>
    <row r="2305" spans="1:2" x14ac:dyDescent="0.25">
      <c r="A2305" t="s">
        <v>2090</v>
      </c>
      <c r="B2305" t="s">
        <v>764</v>
      </c>
    </row>
    <row r="2306" spans="1:2" x14ac:dyDescent="0.25">
      <c r="A2306" t="s">
        <v>2090</v>
      </c>
      <c r="B2306" t="s">
        <v>765</v>
      </c>
    </row>
    <row r="2307" spans="1:2" x14ac:dyDescent="0.25">
      <c r="A2307" t="s">
        <v>2090</v>
      </c>
      <c r="B2307" t="s">
        <v>767</v>
      </c>
    </row>
    <row r="2308" spans="1:2" x14ac:dyDescent="0.25">
      <c r="A2308" t="s">
        <v>2090</v>
      </c>
      <c r="B2308" t="s">
        <v>768</v>
      </c>
    </row>
    <row r="2309" spans="1:2" x14ac:dyDescent="0.25">
      <c r="A2309" t="s">
        <v>2090</v>
      </c>
      <c r="B2309" t="s">
        <v>769</v>
      </c>
    </row>
    <row r="2310" spans="1:2" x14ac:dyDescent="0.25">
      <c r="A2310" t="s">
        <v>2090</v>
      </c>
      <c r="B2310" t="s">
        <v>772</v>
      </c>
    </row>
    <row r="2311" spans="1:2" x14ac:dyDescent="0.25">
      <c r="A2311" t="s">
        <v>2090</v>
      </c>
      <c r="B2311" t="s">
        <v>773</v>
      </c>
    </row>
    <row r="2312" spans="1:2" x14ac:dyDescent="0.25">
      <c r="A2312" t="s">
        <v>2090</v>
      </c>
      <c r="B2312" t="s">
        <v>774</v>
      </c>
    </row>
    <row r="2313" spans="1:2" x14ac:dyDescent="0.25">
      <c r="A2313" t="s">
        <v>2090</v>
      </c>
      <c r="B2313" t="s">
        <v>775</v>
      </c>
    </row>
    <row r="2314" spans="1:2" x14ac:dyDescent="0.25">
      <c r="A2314" t="s">
        <v>2090</v>
      </c>
      <c r="B2314" t="s">
        <v>776</v>
      </c>
    </row>
    <row r="2315" spans="1:2" x14ac:dyDescent="0.25">
      <c r="A2315" t="s">
        <v>2090</v>
      </c>
      <c r="B2315" t="s">
        <v>778</v>
      </c>
    </row>
    <row r="2316" spans="1:2" x14ac:dyDescent="0.25">
      <c r="A2316" t="s">
        <v>2090</v>
      </c>
      <c r="B2316" t="s">
        <v>780</v>
      </c>
    </row>
    <row r="2317" spans="1:2" x14ac:dyDescent="0.25">
      <c r="A2317" t="s">
        <v>2090</v>
      </c>
      <c r="B2317" t="s">
        <v>781</v>
      </c>
    </row>
    <row r="2318" spans="1:2" x14ac:dyDescent="0.25">
      <c r="A2318" t="s">
        <v>2090</v>
      </c>
      <c r="B2318" t="s">
        <v>1187</v>
      </c>
    </row>
    <row r="2319" spans="1:2" x14ac:dyDescent="0.25">
      <c r="A2319" t="s">
        <v>2090</v>
      </c>
      <c r="B2319" t="s">
        <v>783</v>
      </c>
    </row>
    <row r="2320" spans="1:2" x14ac:dyDescent="0.25">
      <c r="A2320" t="s">
        <v>2090</v>
      </c>
      <c r="B2320" t="s">
        <v>1185</v>
      </c>
    </row>
    <row r="2321" spans="1:2" x14ac:dyDescent="0.25">
      <c r="A2321" t="s">
        <v>2090</v>
      </c>
      <c r="B2321" t="s">
        <v>785</v>
      </c>
    </row>
    <row r="2322" spans="1:2" x14ac:dyDescent="0.25">
      <c r="A2322" t="s">
        <v>2090</v>
      </c>
      <c r="B2322" t="s">
        <v>791</v>
      </c>
    </row>
    <row r="2323" spans="1:2" x14ac:dyDescent="0.25">
      <c r="A2323" t="s">
        <v>2090</v>
      </c>
      <c r="B2323" t="s">
        <v>1188</v>
      </c>
    </row>
    <row r="2324" spans="1:2" x14ac:dyDescent="0.25">
      <c r="A2324" t="s">
        <v>2090</v>
      </c>
      <c r="B2324" t="s">
        <v>796</v>
      </c>
    </row>
    <row r="2325" spans="1:2" x14ac:dyDescent="0.25">
      <c r="A2325" t="s">
        <v>2090</v>
      </c>
      <c r="B2325" t="s">
        <v>797</v>
      </c>
    </row>
    <row r="2326" spans="1:2" x14ac:dyDescent="0.25">
      <c r="A2326" t="s">
        <v>2090</v>
      </c>
      <c r="B2326" t="s">
        <v>798</v>
      </c>
    </row>
    <row r="2327" spans="1:2" x14ac:dyDescent="0.25">
      <c r="A2327" t="s">
        <v>2090</v>
      </c>
      <c r="B2327" t="s">
        <v>803</v>
      </c>
    </row>
    <row r="2328" spans="1:2" x14ac:dyDescent="0.25">
      <c r="A2328" t="s">
        <v>2090</v>
      </c>
      <c r="B2328" t="s">
        <v>1192</v>
      </c>
    </row>
    <row r="2329" spans="1:2" x14ac:dyDescent="0.25">
      <c r="A2329" t="s">
        <v>2090</v>
      </c>
      <c r="B2329" t="s">
        <v>805</v>
      </c>
    </row>
    <row r="2330" spans="1:2" x14ac:dyDescent="0.25">
      <c r="A2330" t="s">
        <v>2090</v>
      </c>
      <c r="B2330" t="s">
        <v>806</v>
      </c>
    </row>
    <row r="2331" spans="1:2" x14ac:dyDescent="0.25">
      <c r="A2331" t="s">
        <v>2090</v>
      </c>
      <c r="B2331" t="s">
        <v>810</v>
      </c>
    </row>
    <row r="2332" spans="1:2" x14ac:dyDescent="0.25">
      <c r="A2332" t="s">
        <v>2090</v>
      </c>
      <c r="B2332" t="s">
        <v>812</v>
      </c>
    </row>
    <row r="2333" spans="1:2" x14ac:dyDescent="0.25">
      <c r="A2333" t="s">
        <v>2090</v>
      </c>
      <c r="B2333" t="s">
        <v>813</v>
      </c>
    </row>
    <row r="2334" spans="1:2" x14ac:dyDescent="0.25">
      <c r="A2334" t="s">
        <v>2090</v>
      </c>
      <c r="B2334" t="s">
        <v>814</v>
      </c>
    </row>
    <row r="2335" spans="1:2" x14ac:dyDescent="0.25">
      <c r="A2335" t="s">
        <v>2090</v>
      </c>
      <c r="B2335" t="s">
        <v>815</v>
      </c>
    </row>
    <row r="2336" spans="1:2" x14ac:dyDescent="0.25">
      <c r="A2336" t="s">
        <v>2090</v>
      </c>
      <c r="B2336" t="s">
        <v>817</v>
      </c>
    </row>
    <row r="2337" spans="1:2" x14ac:dyDescent="0.25">
      <c r="A2337" t="s">
        <v>2090</v>
      </c>
      <c r="B2337" t="s">
        <v>819</v>
      </c>
    </row>
    <row r="2338" spans="1:2" x14ac:dyDescent="0.25">
      <c r="A2338" t="s">
        <v>2090</v>
      </c>
      <c r="B2338" t="s">
        <v>822</v>
      </c>
    </row>
    <row r="2339" spans="1:2" x14ac:dyDescent="0.25">
      <c r="A2339" t="s">
        <v>2090</v>
      </c>
      <c r="B2339" t="s">
        <v>823</v>
      </c>
    </row>
    <row r="2340" spans="1:2" x14ac:dyDescent="0.25">
      <c r="A2340" t="s">
        <v>2090</v>
      </c>
      <c r="B2340" t="s">
        <v>206</v>
      </c>
    </row>
    <row r="2341" spans="1:2" x14ac:dyDescent="0.25">
      <c r="A2341" t="s">
        <v>2090</v>
      </c>
      <c r="B2341" t="s">
        <v>438</v>
      </c>
    </row>
    <row r="2342" spans="1:2" x14ac:dyDescent="0.25">
      <c r="A2342" t="s">
        <v>2090</v>
      </c>
      <c r="B2342" t="s">
        <v>829</v>
      </c>
    </row>
    <row r="2343" spans="1:2" x14ac:dyDescent="0.25">
      <c r="A2343" t="s">
        <v>2090</v>
      </c>
      <c r="B2343" t="s">
        <v>130</v>
      </c>
    </row>
    <row r="2344" spans="1:2" x14ac:dyDescent="0.25">
      <c r="A2344" t="s">
        <v>2090</v>
      </c>
      <c r="B2344" t="s">
        <v>831</v>
      </c>
    </row>
    <row r="2345" spans="1:2" x14ac:dyDescent="0.25">
      <c r="A2345" t="s">
        <v>2090</v>
      </c>
      <c r="B2345" t="s">
        <v>833</v>
      </c>
    </row>
    <row r="2346" spans="1:2" x14ac:dyDescent="0.25">
      <c r="A2346" t="s">
        <v>2090</v>
      </c>
      <c r="B2346" t="s">
        <v>834</v>
      </c>
    </row>
    <row r="2347" spans="1:2" x14ac:dyDescent="0.25">
      <c r="A2347" t="s">
        <v>2090</v>
      </c>
      <c r="B2347" t="s">
        <v>836</v>
      </c>
    </row>
    <row r="2348" spans="1:2" x14ac:dyDescent="0.25">
      <c r="A2348" t="s">
        <v>2090</v>
      </c>
      <c r="B2348" t="s">
        <v>837</v>
      </c>
    </row>
    <row r="2349" spans="1:2" x14ac:dyDescent="0.25">
      <c r="A2349" t="s">
        <v>2090</v>
      </c>
      <c r="B2349" t="s">
        <v>841</v>
      </c>
    </row>
    <row r="2350" spans="1:2" x14ac:dyDescent="0.25">
      <c r="A2350" t="s">
        <v>2090</v>
      </c>
      <c r="B2350" t="s">
        <v>845</v>
      </c>
    </row>
    <row r="2351" spans="1:2" x14ac:dyDescent="0.25">
      <c r="A2351" t="s">
        <v>2090</v>
      </c>
      <c r="B2351" t="s">
        <v>847</v>
      </c>
    </row>
    <row r="2352" spans="1:2" x14ac:dyDescent="0.25">
      <c r="A2352" t="s">
        <v>2090</v>
      </c>
      <c r="B2352" t="s">
        <v>848</v>
      </c>
    </row>
    <row r="2353" spans="1:2" x14ac:dyDescent="0.25">
      <c r="A2353" t="s">
        <v>2090</v>
      </c>
      <c r="B2353" t="s">
        <v>1214</v>
      </c>
    </row>
    <row r="2354" spans="1:2" x14ac:dyDescent="0.25">
      <c r="A2354" t="s">
        <v>2090</v>
      </c>
      <c r="B2354" t="s">
        <v>1149</v>
      </c>
    </row>
    <row r="2355" spans="1:2" x14ac:dyDescent="0.25">
      <c r="A2355" t="s">
        <v>2090</v>
      </c>
      <c r="B2355" t="s">
        <v>850</v>
      </c>
    </row>
    <row r="2356" spans="1:2" x14ac:dyDescent="0.25">
      <c r="A2356" t="s">
        <v>2090</v>
      </c>
      <c r="B2356" t="s">
        <v>851</v>
      </c>
    </row>
    <row r="2357" spans="1:2" x14ac:dyDescent="0.25">
      <c r="A2357" t="s">
        <v>2090</v>
      </c>
      <c r="B2357" t="s">
        <v>852</v>
      </c>
    </row>
    <row r="2358" spans="1:2" x14ac:dyDescent="0.25">
      <c r="A2358" t="s">
        <v>2090</v>
      </c>
      <c r="B2358" t="s">
        <v>853</v>
      </c>
    </row>
    <row r="2359" spans="1:2" x14ac:dyDescent="0.25">
      <c r="A2359" t="s">
        <v>2090</v>
      </c>
      <c r="B2359" t="s">
        <v>854</v>
      </c>
    </row>
    <row r="2360" spans="1:2" x14ac:dyDescent="0.25">
      <c r="A2360" t="s">
        <v>2090</v>
      </c>
      <c r="B2360" t="s">
        <v>855</v>
      </c>
    </row>
    <row r="2361" spans="1:2" x14ac:dyDescent="0.25">
      <c r="A2361" t="s">
        <v>2090</v>
      </c>
      <c r="B2361" t="s">
        <v>856</v>
      </c>
    </row>
    <row r="2362" spans="1:2" x14ac:dyDescent="0.25">
      <c r="A2362" t="s">
        <v>2090</v>
      </c>
      <c r="B2362" t="s">
        <v>857</v>
      </c>
    </row>
    <row r="2363" spans="1:2" x14ac:dyDescent="0.25">
      <c r="A2363" t="s">
        <v>2090</v>
      </c>
      <c r="B2363" t="s">
        <v>858</v>
      </c>
    </row>
    <row r="2364" spans="1:2" x14ac:dyDescent="0.25">
      <c r="A2364" t="s">
        <v>2090</v>
      </c>
      <c r="B2364" t="s">
        <v>859</v>
      </c>
    </row>
    <row r="2365" spans="1:2" x14ac:dyDescent="0.25">
      <c r="A2365" t="s">
        <v>2090</v>
      </c>
      <c r="B2365" t="s">
        <v>860</v>
      </c>
    </row>
    <row r="2366" spans="1:2" x14ac:dyDescent="0.25">
      <c r="A2366" t="s">
        <v>2090</v>
      </c>
      <c r="B2366" t="s">
        <v>1229</v>
      </c>
    </row>
    <row r="2367" spans="1:2" x14ac:dyDescent="0.25">
      <c r="A2367" t="s">
        <v>2090</v>
      </c>
      <c r="B2367" t="s">
        <v>868</v>
      </c>
    </row>
    <row r="2368" spans="1:2" x14ac:dyDescent="0.25">
      <c r="A2368" t="s">
        <v>2090</v>
      </c>
      <c r="B2368" t="s">
        <v>869</v>
      </c>
    </row>
    <row r="2369" spans="1:2" x14ac:dyDescent="0.25">
      <c r="A2369" t="s">
        <v>2090</v>
      </c>
      <c r="B2369" t="s">
        <v>871</v>
      </c>
    </row>
    <row r="2370" spans="1:2" x14ac:dyDescent="0.25">
      <c r="A2370" t="s">
        <v>2090</v>
      </c>
      <c r="B2370" t="s">
        <v>872</v>
      </c>
    </row>
    <row r="2371" spans="1:2" x14ac:dyDescent="0.25">
      <c r="A2371" t="s">
        <v>2090</v>
      </c>
      <c r="B2371" t="s">
        <v>873</v>
      </c>
    </row>
    <row r="2372" spans="1:2" x14ac:dyDescent="0.25">
      <c r="A2372" t="s">
        <v>2090</v>
      </c>
      <c r="B2372" t="s">
        <v>878</v>
      </c>
    </row>
    <row r="2373" spans="1:2" x14ac:dyDescent="0.25">
      <c r="A2373" t="s">
        <v>2090</v>
      </c>
      <c r="B2373" t="s">
        <v>880</v>
      </c>
    </row>
    <row r="2374" spans="1:2" x14ac:dyDescent="0.25">
      <c r="A2374" t="s">
        <v>2090</v>
      </c>
      <c r="B2374" t="s">
        <v>124</v>
      </c>
    </row>
    <row r="2375" spans="1:2" x14ac:dyDescent="0.25">
      <c r="A2375" t="s">
        <v>2090</v>
      </c>
      <c r="B2375" t="s">
        <v>881</v>
      </c>
    </row>
    <row r="2376" spans="1:2" x14ac:dyDescent="0.25">
      <c r="A2376" t="s">
        <v>2090</v>
      </c>
      <c r="B2376" t="s">
        <v>883</v>
      </c>
    </row>
    <row r="2377" spans="1:2" x14ac:dyDescent="0.25">
      <c r="A2377" t="s">
        <v>2090</v>
      </c>
      <c r="B2377" t="s">
        <v>217</v>
      </c>
    </row>
    <row r="2378" spans="1:2" x14ac:dyDescent="0.25">
      <c r="A2378" t="s">
        <v>2090</v>
      </c>
      <c r="B2378" t="s">
        <v>895</v>
      </c>
    </row>
    <row r="2379" spans="1:2" x14ac:dyDescent="0.25">
      <c r="A2379" t="s">
        <v>2090</v>
      </c>
      <c r="B2379" t="s">
        <v>896</v>
      </c>
    </row>
    <row r="2380" spans="1:2" x14ac:dyDescent="0.25">
      <c r="A2380" t="s">
        <v>2090</v>
      </c>
      <c r="B2380" t="s">
        <v>898</v>
      </c>
    </row>
    <row r="2381" spans="1:2" x14ac:dyDescent="0.25">
      <c r="A2381" t="s">
        <v>2090</v>
      </c>
      <c r="B2381" t="s">
        <v>902</v>
      </c>
    </row>
    <row r="2382" spans="1:2" x14ac:dyDescent="0.25">
      <c r="A2382" t="s">
        <v>2090</v>
      </c>
      <c r="B2382" t="s">
        <v>905</v>
      </c>
    </row>
    <row r="2383" spans="1:2" x14ac:dyDescent="0.25">
      <c r="A2383" t="s">
        <v>2090</v>
      </c>
      <c r="B2383" t="s">
        <v>918</v>
      </c>
    </row>
    <row r="2384" spans="1:2" x14ac:dyDescent="0.25">
      <c r="A2384" t="s">
        <v>2090</v>
      </c>
      <c r="B2384" t="s">
        <v>919</v>
      </c>
    </row>
    <row r="2385" spans="1:2" x14ac:dyDescent="0.25">
      <c r="A2385" t="s">
        <v>2090</v>
      </c>
      <c r="B2385" t="s">
        <v>929</v>
      </c>
    </row>
    <row r="2386" spans="1:2" x14ac:dyDescent="0.25">
      <c r="A2386" t="s">
        <v>2090</v>
      </c>
      <c r="B2386" t="s">
        <v>943</v>
      </c>
    </row>
    <row r="2387" spans="1:2" x14ac:dyDescent="0.25">
      <c r="A2387" t="s">
        <v>2090</v>
      </c>
      <c r="B2387" t="s">
        <v>1163</v>
      </c>
    </row>
    <row r="2388" spans="1:2" x14ac:dyDescent="0.25">
      <c r="A2388" t="s">
        <v>2090</v>
      </c>
      <c r="B2388" t="s">
        <v>1234</v>
      </c>
    </row>
    <row r="2389" spans="1:2" x14ac:dyDescent="0.25">
      <c r="A2389" t="s">
        <v>2090</v>
      </c>
      <c r="B2389" t="s">
        <v>948</v>
      </c>
    </row>
    <row r="2390" spans="1:2" x14ac:dyDescent="0.25">
      <c r="A2390" t="s">
        <v>2090</v>
      </c>
      <c r="B2390" t="s">
        <v>971</v>
      </c>
    </row>
    <row r="2391" spans="1:2" x14ac:dyDescent="0.25">
      <c r="A2391" t="s">
        <v>2090</v>
      </c>
      <c r="B2391" t="s">
        <v>972</v>
      </c>
    </row>
    <row r="2392" spans="1:2" x14ac:dyDescent="0.25">
      <c r="A2392" t="s">
        <v>2090</v>
      </c>
      <c r="B2392" t="s">
        <v>973</v>
      </c>
    </row>
    <row r="2393" spans="1:2" x14ac:dyDescent="0.25">
      <c r="A2393" t="s">
        <v>2090</v>
      </c>
      <c r="B2393" t="s">
        <v>455</v>
      </c>
    </row>
    <row r="2394" spans="1:2" x14ac:dyDescent="0.25">
      <c r="A2394" t="s">
        <v>2090</v>
      </c>
      <c r="B2394" t="s">
        <v>979</v>
      </c>
    </row>
    <row r="2395" spans="1:2" x14ac:dyDescent="0.25">
      <c r="A2395" t="s">
        <v>2090</v>
      </c>
      <c r="B2395" t="s">
        <v>980</v>
      </c>
    </row>
    <row r="2396" spans="1:2" x14ac:dyDescent="0.25">
      <c r="A2396" t="s">
        <v>2090</v>
      </c>
      <c r="B2396" t="s">
        <v>983</v>
      </c>
    </row>
    <row r="2397" spans="1:2" x14ac:dyDescent="0.25">
      <c r="A2397" t="s">
        <v>2090</v>
      </c>
      <c r="B2397" t="s">
        <v>987</v>
      </c>
    </row>
    <row r="2398" spans="1:2" x14ac:dyDescent="0.25">
      <c r="A2398" t="s">
        <v>2090</v>
      </c>
      <c r="B2398" t="s">
        <v>988</v>
      </c>
    </row>
    <row r="2399" spans="1:2" x14ac:dyDescent="0.25">
      <c r="A2399" t="s">
        <v>2090</v>
      </c>
      <c r="B2399" t="s">
        <v>989</v>
      </c>
    </row>
    <row r="2400" spans="1:2" x14ac:dyDescent="0.25">
      <c r="A2400" t="s">
        <v>2090</v>
      </c>
      <c r="B2400" t="s">
        <v>993</v>
      </c>
    </row>
    <row r="2401" spans="1:2" x14ac:dyDescent="0.25">
      <c r="A2401" t="s">
        <v>2090</v>
      </c>
      <c r="B2401" t="s">
        <v>995</v>
      </c>
    </row>
    <row r="2402" spans="1:2" x14ac:dyDescent="0.25">
      <c r="A2402" t="s">
        <v>2090</v>
      </c>
      <c r="B2402" t="s">
        <v>996</v>
      </c>
    </row>
    <row r="2403" spans="1:2" x14ac:dyDescent="0.25">
      <c r="A2403" t="s">
        <v>2090</v>
      </c>
      <c r="B2403" t="s">
        <v>997</v>
      </c>
    </row>
    <row r="2404" spans="1:2" x14ac:dyDescent="0.25">
      <c r="A2404" t="s">
        <v>2090</v>
      </c>
      <c r="B2404" t="s">
        <v>1000</v>
      </c>
    </row>
    <row r="2405" spans="1:2" x14ac:dyDescent="0.25">
      <c r="A2405" t="s">
        <v>2090</v>
      </c>
      <c r="B2405" t="s">
        <v>1002</v>
      </c>
    </row>
    <row r="2406" spans="1:2" x14ac:dyDescent="0.25">
      <c r="A2406" t="s">
        <v>2090</v>
      </c>
      <c r="B2406" t="s">
        <v>1252</v>
      </c>
    </row>
    <row r="2407" spans="1:2" x14ac:dyDescent="0.25">
      <c r="A2407" t="s">
        <v>2090</v>
      </c>
      <c r="B2407" t="s">
        <v>1003</v>
      </c>
    </row>
    <row r="2408" spans="1:2" x14ac:dyDescent="0.25">
      <c r="A2408" t="s">
        <v>2090</v>
      </c>
      <c r="B2408" t="s">
        <v>1007</v>
      </c>
    </row>
    <row r="2409" spans="1:2" x14ac:dyDescent="0.25">
      <c r="A2409" t="s">
        <v>2090</v>
      </c>
      <c r="B2409" t="s">
        <v>1009</v>
      </c>
    </row>
    <row r="2410" spans="1:2" x14ac:dyDescent="0.25">
      <c r="A2410" t="s">
        <v>2090</v>
      </c>
      <c r="B2410" t="s">
        <v>1010</v>
      </c>
    </row>
    <row r="2411" spans="1:2" x14ac:dyDescent="0.25">
      <c r="A2411" t="s">
        <v>2090</v>
      </c>
      <c r="B2411" t="s">
        <v>1013</v>
      </c>
    </row>
    <row r="2412" spans="1:2" x14ac:dyDescent="0.25">
      <c r="A2412" t="s">
        <v>2090</v>
      </c>
      <c r="B2412" t="s">
        <v>1015</v>
      </c>
    </row>
    <row r="2413" spans="1:2" x14ac:dyDescent="0.25">
      <c r="A2413" t="s">
        <v>2090</v>
      </c>
      <c r="B2413" t="s">
        <v>1018</v>
      </c>
    </row>
    <row r="2414" spans="1:2" x14ac:dyDescent="0.25">
      <c r="A2414" t="s">
        <v>2090</v>
      </c>
      <c r="B2414" t="s">
        <v>1020</v>
      </c>
    </row>
    <row r="2415" spans="1:2" x14ac:dyDescent="0.25">
      <c r="A2415" t="s">
        <v>2090</v>
      </c>
      <c r="B2415" t="s">
        <v>1447</v>
      </c>
    </row>
    <row r="2416" spans="1:2" x14ac:dyDescent="0.25">
      <c r="A2416" t="s">
        <v>2090</v>
      </c>
      <c r="B2416" t="s">
        <v>1021</v>
      </c>
    </row>
    <row r="2417" spans="1:2" x14ac:dyDescent="0.25">
      <c r="A2417" t="s">
        <v>2090</v>
      </c>
      <c r="B2417" t="s">
        <v>1022</v>
      </c>
    </row>
    <row r="2418" spans="1:2" x14ac:dyDescent="0.25">
      <c r="A2418" t="s">
        <v>2090</v>
      </c>
      <c r="B2418" t="s">
        <v>1023</v>
      </c>
    </row>
    <row r="2419" spans="1:2" x14ac:dyDescent="0.25">
      <c r="A2419" t="s">
        <v>2090</v>
      </c>
      <c r="B2419" t="s">
        <v>1024</v>
      </c>
    </row>
    <row r="2420" spans="1:2" x14ac:dyDescent="0.25">
      <c r="A2420" t="s">
        <v>2090</v>
      </c>
      <c r="B2420" t="s">
        <v>1026</v>
      </c>
    </row>
    <row r="2421" spans="1:2" x14ac:dyDescent="0.25">
      <c r="A2421" t="s">
        <v>2090</v>
      </c>
      <c r="B2421" t="s">
        <v>1027</v>
      </c>
    </row>
    <row r="2422" spans="1:2" x14ac:dyDescent="0.25">
      <c r="A2422" t="s">
        <v>2090</v>
      </c>
      <c r="B2422" t="s">
        <v>1262</v>
      </c>
    </row>
    <row r="2423" spans="1:2" x14ac:dyDescent="0.25">
      <c r="A2423" t="s">
        <v>2090</v>
      </c>
      <c r="B2423" t="s">
        <v>1033</v>
      </c>
    </row>
    <row r="2424" spans="1:2" x14ac:dyDescent="0.25">
      <c r="A2424" t="s">
        <v>2090</v>
      </c>
      <c r="B2424" t="s">
        <v>1034</v>
      </c>
    </row>
    <row r="2425" spans="1:2" x14ac:dyDescent="0.25">
      <c r="A2425" t="s">
        <v>2090</v>
      </c>
      <c r="B2425" t="s">
        <v>1036</v>
      </c>
    </row>
    <row r="2426" spans="1:2" x14ac:dyDescent="0.25">
      <c r="A2426" t="s">
        <v>2090</v>
      </c>
      <c r="B2426" t="s">
        <v>1266</v>
      </c>
    </row>
    <row r="2427" spans="1:2" x14ac:dyDescent="0.25">
      <c r="A2427" t="s">
        <v>2090</v>
      </c>
      <c r="B2427" t="s">
        <v>1044</v>
      </c>
    </row>
    <row r="2428" spans="1:2" x14ac:dyDescent="0.25">
      <c r="A2428" t="s">
        <v>2090</v>
      </c>
      <c r="B2428" t="s">
        <v>1046</v>
      </c>
    </row>
    <row r="2429" spans="1:2" x14ac:dyDescent="0.25">
      <c r="A2429" t="s">
        <v>2090</v>
      </c>
      <c r="B2429" t="s">
        <v>1049</v>
      </c>
    </row>
    <row r="2430" spans="1:2" x14ac:dyDescent="0.25">
      <c r="A2430" t="s">
        <v>2090</v>
      </c>
      <c r="B2430" t="s">
        <v>1051</v>
      </c>
    </row>
    <row r="2431" spans="1:2" x14ac:dyDescent="0.25">
      <c r="A2431" t="s">
        <v>2090</v>
      </c>
      <c r="B2431" t="s">
        <v>1053</v>
      </c>
    </row>
    <row r="2432" spans="1:2" x14ac:dyDescent="0.25">
      <c r="A2432" t="s">
        <v>2090</v>
      </c>
      <c r="B2432" t="s">
        <v>1055</v>
      </c>
    </row>
    <row r="2433" spans="1:2" x14ac:dyDescent="0.25">
      <c r="A2433" t="s">
        <v>2090</v>
      </c>
      <c r="B2433" t="s">
        <v>1057</v>
      </c>
    </row>
    <row r="2434" spans="1:2" x14ac:dyDescent="0.25">
      <c r="A2434" t="s">
        <v>2090</v>
      </c>
      <c r="B2434" t="s">
        <v>1058</v>
      </c>
    </row>
    <row r="2435" spans="1:2" x14ac:dyDescent="0.25">
      <c r="A2435" t="s">
        <v>2090</v>
      </c>
      <c r="B2435" t="s">
        <v>1062</v>
      </c>
    </row>
    <row r="2436" spans="1:2" x14ac:dyDescent="0.25">
      <c r="A2436" t="s">
        <v>2090</v>
      </c>
      <c r="B2436" t="s">
        <v>1063</v>
      </c>
    </row>
    <row r="2437" spans="1:2" x14ac:dyDescent="0.25">
      <c r="A2437" t="s">
        <v>2090</v>
      </c>
      <c r="B2437" t="s">
        <v>1064</v>
      </c>
    </row>
    <row r="2438" spans="1:2" x14ac:dyDescent="0.25">
      <c r="A2438" t="s">
        <v>2090</v>
      </c>
      <c r="B2438" t="s">
        <v>1067</v>
      </c>
    </row>
    <row r="2439" spans="1:2" x14ac:dyDescent="0.25">
      <c r="A2439" t="s">
        <v>2090</v>
      </c>
      <c r="B2439" t="s">
        <v>1299</v>
      </c>
    </row>
    <row r="2440" spans="1:2" x14ac:dyDescent="0.25">
      <c r="A2440" t="s">
        <v>2090</v>
      </c>
      <c r="B2440" t="s">
        <v>1072</v>
      </c>
    </row>
    <row r="2441" spans="1:2" x14ac:dyDescent="0.25">
      <c r="A2441" t="s">
        <v>2090</v>
      </c>
      <c r="B2441" t="s">
        <v>1075</v>
      </c>
    </row>
    <row r="2442" spans="1:2" x14ac:dyDescent="0.25">
      <c r="A2442" t="s">
        <v>2090</v>
      </c>
      <c r="B2442" t="s">
        <v>1078</v>
      </c>
    </row>
    <row r="2443" spans="1:2" x14ac:dyDescent="0.25">
      <c r="A2443" t="s">
        <v>2090</v>
      </c>
      <c r="B2443" t="s">
        <v>1080</v>
      </c>
    </row>
    <row r="2444" spans="1:2" x14ac:dyDescent="0.25">
      <c r="A2444" t="s">
        <v>2090</v>
      </c>
      <c r="B2444" t="s">
        <v>1081</v>
      </c>
    </row>
    <row r="2445" spans="1:2" x14ac:dyDescent="0.25">
      <c r="A2445" t="s">
        <v>2090</v>
      </c>
      <c r="B2445" t="s">
        <v>1682</v>
      </c>
    </row>
    <row r="2446" spans="1:2" x14ac:dyDescent="0.25">
      <c r="A2446" t="s">
        <v>2090</v>
      </c>
      <c r="B2446" t="s">
        <v>1083</v>
      </c>
    </row>
    <row r="2447" spans="1:2" x14ac:dyDescent="0.25">
      <c r="A2447" t="s">
        <v>2090</v>
      </c>
      <c r="B2447" t="s">
        <v>1164</v>
      </c>
    </row>
    <row r="2448" spans="1:2" x14ac:dyDescent="0.25">
      <c r="A2448" t="s">
        <v>2090</v>
      </c>
      <c r="B2448" t="s">
        <v>1308</v>
      </c>
    </row>
    <row r="2449" spans="1:2" x14ac:dyDescent="0.25">
      <c r="A2449" t="s">
        <v>2090</v>
      </c>
      <c r="B2449" t="s">
        <v>1093</v>
      </c>
    </row>
    <row r="2450" spans="1:2" x14ac:dyDescent="0.25">
      <c r="A2450" t="s">
        <v>2090</v>
      </c>
      <c r="B2450" t="s">
        <v>1097</v>
      </c>
    </row>
    <row r="2451" spans="1:2" x14ac:dyDescent="0.25">
      <c r="A2451" t="s">
        <v>2090</v>
      </c>
      <c r="B2451" t="s">
        <v>1143</v>
      </c>
    </row>
    <row r="2452" spans="1:2" x14ac:dyDescent="0.25">
      <c r="A2452" t="s">
        <v>2090</v>
      </c>
      <c r="B2452" t="s">
        <v>1102</v>
      </c>
    </row>
    <row r="2453" spans="1:2" x14ac:dyDescent="0.25">
      <c r="A2453" t="s">
        <v>2090</v>
      </c>
      <c r="B2453" t="s">
        <v>1107</v>
      </c>
    </row>
    <row r="2454" spans="1:2" x14ac:dyDescent="0.25">
      <c r="A2454" t="s">
        <v>2090</v>
      </c>
      <c r="B2454" t="s">
        <v>1333</v>
      </c>
    </row>
    <row r="2455" spans="1:2" x14ac:dyDescent="0.25">
      <c r="A2455" t="s">
        <v>2090</v>
      </c>
      <c r="B2455" t="s">
        <v>1119</v>
      </c>
    </row>
    <row r="2456" spans="1:2" x14ac:dyDescent="0.25">
      <c r="A2456" t="s">
        <v>2090</v>
      </c>
      <c r="B2456" t="s">
        <v>1276</v>
      </c>
    </row>
    <row r="2457" spans="1:2" x14ac:dyDescent="0.25">
      <c r="A2457" t="s">
        <v>2090</v>
      </c>
      <c r="B2457" t="s">
        <v>1128</v>
      </c>
    </row>
    <row r="2458" spans="1:2" x14ac:dyDescent="0.25">
      <c r="A2458" t="s">
        <v>2090</v>
      </c>
      <c r="B2458" t="s">
        <v>1120</v>
      </c>
    </row>
    <row r="2459" spans="1:2" x14ac:dyDescent="0.25">
      <c r="A2459" t="s">
        <v>2090</v>
      </c>
      <c r="B2459" t="s">
        <v>1129</v>
      </c>
    </row>
    <row r="2460" spans="1:2" x14ac:dyDescent="0.25">
      <c r="A2460" t="s">
        <v>2090</v>
      </c>
      <c r="B2460" t="s">
        <v>1130</v>
      </c>
    </row>
    <row r="2461" spans="1:2" x14ac:dyDescent="0.25">
      <c r="A2461" t="s">
        <v>2090</v>
      </c>
      <c r="B2461" t="s">
        <v>1133</v>
      </c>
    </row>
    <row r="2462" spans="1:2" x14ac:dyDescent="0.25">
      <c r="A2462" t="s">
        <v>2090</v>
      </c>
      <c r="B2462" t="s">
        <v>1998</v>
      </c>
    </row>
    <row r="2463" spans="1:2" x14ac:dyDescent="0.25">
      <c r="A2463" t="s">
        <v>2090</v>
      </c>
      <c r="B2463" t="s">
        <v>1887</v>
      </c>
    </row>
    <row r="2464" spans="1:2" x14ac:dyDescent="0.25">
      <c r="A2464" t="s">
        <v>2090</v>
      </c>
      <c r="B2464" t="s">
        <v>1891</v>
      </c>
    </row>
    <row r="2465" spans="1:2" x14ac:dyDescent="0.25">
      <c r="A2465" t="s">
        <v>2090</v>
      </c>
      <c r="B2465" t="s">
        <v>1888</v>
      </c>
    </row>
    <row r="2466" spans="1:2" x14ac:dyDescent="0.25">
      <c r="A2466" t="s">
        <v>2090</v>
      </c>
      <c r="B2466" t="s">
        <v>1892</v>
      </c>
    </row>
    <row r="2467" spans="1:2" x14ac:dyDescent="0.25">
      <c r="A2467" t="s">
        <v>2090</v>
      </c>
      <c r="B2467" t="s">
        <v>1889</v>
      </c>
    </row>
    <row r="2468" spans="1:2" x14ac:dyDescent="0.25">
      <c r="A2468" t="s">
        <v>2090</v>
      </c>
      <c r="B2468" t="s">
        <v>1890</v>
      </c>
    </row>
    <row r="2469" spans="1:2" x14ac:dyDescent="0.25">
      <c r="A2469" t="s">
        <v>2090</v>
      </c>
      <c r="B2469" t="s">
        <v>1893</v>
      </c>
    </row>
    <row r="2470" spans="1:2" x14ac:dyDescent="0.25">
      <c r="A2470" t="s">
        <v>2090</v>
      </c>
      <c r="B2470" t="s">
        <v>1894</v>
      </c>
    </row>
    <row r="2471" spans="1:2" x14ac:dyDescent="0.25">
      <c r="A2471" t="s">
        <v>2090</v>
      </c>
      <c r="B2471" t="s">
        <v>1896</v>
      </c>
    </row>
    <row r="2472" spans="1:2" x14ac:dyDescent="0.25">
      <c r="A2472" t="s">
        <v>2090</v>
      </c>
      <c r="B2472" t="s">
        <v>1895</v>
      </c>
    </row>
    <row r="2473" spans="1:2" x14ac:dyDescent="0.25">
      <c r="A2473" t="s">
        <v>2090</v>
      </c>
      <c r="B2473" t="s">
        <v>1897</v>
      </c>
    </row>
    <row r="2474" spans="1:2" x14ac:dyDescent="0.25">
      <c r="A2474" t="s">
        <v>2090</v>
      </c>
      <c r="B2474" t="s">
        <v>1886</v>
      </c>
    </row>
    <row r="2475" spans="1:2" x14ac:dyDescent="0.25">
      <c r="A2475" t="s">
        <v>2090</v>
      </c>
      <c r="B2475" t="s">
        <v>1702</v>
      </c>
    </row>
    <row r="2476" spans="1:2" x14ac:dyDescent="0.25">
      <c r="A2476" t="s">
        <v>2090</v>
      </c>
      <c r="B2476" t="s">
        <v>2030</v>
      </c>
    </row>
    <row r="2477" spans="1:2" x14ac:dyDescent="0.25">
      <c r="A2477" t="s">
        <v>2090</v>
      </c>
      <c r="B2477" t="s">
        <v>1771</v>
      </c>
    </row>
    <row r="2478" spans="1:2" x14ac:dyDescent="0.25">
      <c r="A2478" t="s">
        <v>2090</v>
      </c>
      <c r="B2478" t="s">
        <v>1772</v>
      </c>
    </row>
    <row r="2479" spans="1:2" x14ac:dyDescent="0.25">
      <c r="A2479" t="s">
        <v>2090</v>
      </c>
      <c r="B2479" t="s">
        <v>1773</v>
      </c>
    </row>
    <row r="2480" spans="1:2" x14ac:dyDescent="0.25">
      <c r="A2480" t="s">
        <v>2090</v>
      </c>
      <c r="B2480" t="s">
        <v>1774</v>
      </c>
    </row>
    <row r="2481" spans="1:2" x14ac:dyDescent="0.25">
      <c r="A2481" t="s">
        <v>2090</v>
      </c>
      <c r="B2481" t="s">
        <v>1775</v>
      </c>
    </row>
    <row r="2482" spans="1:2" x14ac:dyDescent="0.25">
      <c r="A2482" t="s">
        <v>2090</v>
      </c>
      <c r="B2482" t="s">
        <v>1797</v>
      </c>
    </row>
    <row r="2483" spans="1:2" x14ac:dyDescent="0.25">
      <c r="A2483" t="s">
        <v>2090</v>
      </c>
      <c r="B2483" t="s">
        <v>1776</v>
      </c>
    </row>
    <row r="2484" spans="1:2" x14ac:dyDescent="0.25">
      <c r="A2484" t="s">
        <v>2090</v>
      </c>
      <c r="B2484" t="s">
        <v>1777</v>
      </c>
    </row>
    <row r="2485" spans="1:2" x14ac:dyDescent="0.25">
      <c r="A2485" t="s">
        <v>2090</v>
      </c>
      <c r="B2485" t="s">
        <v>1778</v>
      </c>
    </row>
    <row r="2486" spans="1:2" x14ac:dyDescent="0.25">
      <c r="A2486" t="s">
        <v>2090</v>
      </c>
      <c r="B2486" t="s">
        <v>1779</v>
      </c>
    </row>
    <row r="2487" spans="1:2" x14ac:dyDescent="0.25">
      <c r="A2487" t="s">
        <v>2090</v>
      </c>
      <c r="B2487" t="s">
        <v>1786</v>
      </c>
    </row>
    <row r="2488" spans="1:2" x14ac:dyDescent="0.25">
      <c r="A2488" t="s">
        <v>2090</v>
      </c>
      <c r="B2488" t="s">
        <v>1787</v>
      </c>
    </row>
    <row r="2489" spans="1:2" x14ac:dyDescent="0.25">
      <c r="A2489" t="s">
        <v>2090</v>
      </c>
      <c r="B2489" t="s">
        <v>1788</v>
      </c>
    </row>
    <row r="2490" spans="1:2" x14ac:dyDescent="0.25">
      <c r="A2490" t="s">
        <v>2090</v>
      </c>
      <c r="B2490" t="s">
        <v>1715</v>
      </c>
    </row>
    <row r="2491" spans="1:2" x14ac:dyDescent="0.25">
      <c r="A2491" t="s">
        <v>2090</v>
      </c>
      <c r="B2491" t="s">
        <v>1708</v>
      </c>
    </row>
    <row r="2492" spans="1:2" x14ac:dyDescent="0.25">
      <c r="A2492" t="s">
        <v>2090</v>
      </c>
      <c r="B2492" t="s">
        <v>1709</v>
      </c>
    </row>
    <row r="2493" spans="1:2" x14ac:dyDescent="0.25">
      <c r="A2493" t="s">
        <v>2090</v>
      </c>
      <c r="B2493" t="s">
        <v>1707</v>
      </c>
    </row>
    <row r="2494" spans="1:2" x14ac:dyDescent="0.25">
      <c r="A2494" t="s">
        <v>2090</v>
      </c>
      <c r="B2494" t="s">
        <v>1716</v>
      </c>
    </row>
    <row r="2495" spans="1:2" x14ac:dyDescent="0.25">
      <c r="A2495" t="s">
        <v>2090</v>
      </c>
      <c r="B2495" t="s">
        <v>1710</v>
      </c>
    </row>
    <row r="2496" spans="1:2" x14ac:dyDescent="0.25">
      <c r="A2496" t="s">
        <v>2090</v>
      </c>
      <c r="B2496" t="s">
        <v>1711</v>
      </c>
    </row>
    <row r="2497" spans="1:2" x14ac:dyDescent="0.25">
      <c r="A2497" t="s">
        <v>2090</v>
      </c>
      <c r="B2497" t="s">
        <v>1706</v>
      </c>
    </row>
    <row r="2498" spans="1:2" x14ac:dyDescent="0.25">
      <c r="A2498" t="s">
        <v>2090</v>
      </c>
      <c r="B2498" t="s">
        <v>1705</v>
      </c>
    </row>
    <row r="2499" spans="1:2" x14ac:dyDescent="0.25">
      <c r="A2499" t="s">
        <v>2090</v>
      </c>
      <c r="B2499" t="s">
        <v>1714</v>
      </c>
    </row>
    <row r="2500" spans="1:2" x14ac:dyDescent="0.25">
      <c r="A2500" t="s">
        <v>2090</v>
      </c>
      <c r="B2500" t="s">
        <v>1749</v>
      </c>
    </row>
    <row r="2501" spans="1:2" x14ac:dyDescent="0.25">
      <c r="A2501" t="s">
        <v>2090</v>
      </c>
      <c r="B2501" t="s">
        <v>1750</v>
      </c>
    </row>
    <row r="2502" spans="1:2" x14ac:dyDescent="0.25">
      <c r="A2502" t="s">
        <v>2090</v>
      </c>
      <c r="B2502" t="s">
        <v>1751</v>
      </c>
    </row>
    <row r="2503" spans="1:2" x14ac:dyDescent="0.25">
      <c r="A2503" t="s">
        <v>2090</v>
      </c>
      <c r="B2503" t="s">
        <v>1727</v>
      </c>
    </row>
    <row r="2504" spans="1:2" x14ac:dyDescent="0.25">
      <c r="A2504" t="s">
        <v>2090</v>
      </c>
      <c r="B2504" t="s">
        <v>1723</v>
      </c>
    </row>
    <row r="2505" spans="1:2" x14ac:dyDescent="0.25">
      <c r="A2505" t="s">
        <v>2090</v>
      </c>
      <c r="B2505" t="s">
        <v>1722</v>
      </c>
    </row>
    <row r="2506" spans="1:2" x14ac:dyDescent="0.25">
      <c r="A2506" t="s">
        <v>2090</v>
      </c>
      <c r="B2506" t="s">
        <v>1747</v>
      </c>
    </row>
    <row r="2507" spans="1:2" x14ac:dyDescent="0.25">
      <c r="A2507" t="s">
        <v>2090</v>
      </c>
      <c r="B2507" t="s">
        <v>1744</v>
      </c>
    </row>
    <row r="2508" spans="1:2" x14ac:dyDescent="0.25">
      <c r="A2508" t="s">
        <v>2090</v>
      </c>
      <c r="B2508" t="s">
        <v>1726</v>
      </c>
    </row>
    <row r="2509" spans="1:2" x14ac:dyDescent="0.25">
      <c r="A2509" t="s">
        <v>2090</v>
      </c>
      <c r="B2509" t="s">
        <v>1725</v>
      </c>
    </row>
    <row r="2510" spans="1:2" x14ac:dyDescent="0.25">
      <c r="A2510" t="s">
        <v>2090</v>
      </c>
      <c r="B2510" t="s">
        <v>1724</v>
      </c>
    </row>
    <row r="2511" spans="1:2" x14ac:dyDescent="0.25">
      <c r="A2511" t="s">
        <v>2090</v>
      </c>
      <c r="B2511" t="s">
        <v>1730</v>
      </c>
    </row>
    <row r="2512" spans="1:2" x14ac:dyDescent="0.25">
      <c r="A2512" t="s">
        <v>2090</v>
      </c>
      <c r="B2512" t="s">
        <v>1731</v>
      </c>
    </row>
    <row r="2513" spans="1:2" x14ac:dyDescent="0.25">
      <c r="A2513" t="s">
        <v>2090</v>
      </c>
      <c r="B2513" t="s">
        <v>1732</v>
      </c>
    </row>
    <row r="2514" spans="1:2" x14ac:dyDescent="0.25">
      <c r="A2514" t="s">
        <v>2090</v>
      </c>
      <c r="B2514" t="s">
        <v>1733</v>
      </c>
    </row>
    <row r="2515" spans="1:2" x14ac:dyDescent="0.25">
      <c r="A2515" t="s">
        <v>2090</v>
      </c>
      <c r="B2515" t="s">
        <v>1736</v>
      </c>
    </row>
    <row r="2516" spans="1:2" x14ac:dyDescent="0.25">
      <c r="A2516" t="s">
        <v>2090</v>
      </c>
      <c r="B2516" t="s">
        <v>1740</v>
      </c>
    </row>
    <row r="2517" spans="1:2" x14ac:dyDescent="0.25">
      <c r="A2517" t="s">
        <v>2090</v>
      </c>
      <c r="B2517" t="s">
        <v>1720</v>
      </c>
    </row>
    <row r="2518" spans="1:2" x14ac:dyDescent="0.25">
      <c r="A2518" t="s">
        <v>2090</v>
      </c>
      <c r="B2518" t="s">
        <v>1721</v>
      </c>
    </row>
    <row r="2519" spans="1:2" x14ac:dyDescent="0.25">
      <c r="A2519" t="s">
        <v>2090</v>
      </c>
      <c r="B2519" t="s">
        <v>1718</v>
      </c>
    </row>
    <row r="2520" spans="1:2" x14ac:dyDescent="0.25">
      <c r="A2520" t="s">
        <v>2090</v>
      </c>
      <c r="B2520" t="s">
        <v>1735</v>
      </c>
    </row>
    <row r="2521" spans="1:2" x14ac:dyDescent="0.25">
      <c r="A2521" t="s">
        <v>2090</v>
      </c>
      <c r="B2521" t="s">
        <v>1729</v>
      </c>
    </row>
    <row r="2522" spans="1:2" x14ac:dyDescent="0.25">
      <c r="A2522" t="s">
        <v>2090</v>
      </c>
      <c r="B2522" t="s">
        <v>1719</v>
      </c>
    </row>
    <row r="2523" spans="1:2" x14ac:dyDescent="0.25">
      <c r="A2523" t="s">
        <v>2090</v>
      </c>
      <c r="B2523" t="s">
        <v>1739</v>
      </c>
    </row>
    <row r="2524" spans="1:2" x14ac:dyDescent="0.25">
      <c r="A2524" t="s">
        <v>2090</v>
      </c>
      <c r="B2524" t="s">
        <v>1734</v>
      </c>
    </row>
    <row r="2525" spans="1:2" x14ac:dyDescent="0.25">
      <c r="A2525" t="s">
        <v>2090</v>
      </c>
      <c r="B2525" t="s">
        <v>1738</v>
      </c>
    </row>
    <row r="2526" spans="1:2" x14ac:dyDescent="0.25">
      <c r="A2526" t="s">
        <v>2090</v>
      </c>
      <c r="B2526" t="s">
        <v>1737</v>
      </c>
    </row>
    <row r="2527" spans="1:2" x14ac:dyDescent="0.25">
      <c r="A2527" t="s">
        <v>2090</v>
      </c>
      <c r="B2527" t="s">
        <v>1743</v>
      </c>
    </row>
    <row r="2528" spans="1:2" x14ac:dyDescent="0.25">
      <c r="A2528" t="s">
        <v>2090</v>
      </c>
      <c r="B2528" t="s">
        <v>1742</v>
      </c>
    </row>
    <row r="2529" spans="1:2" x14ac:dyDescent="0.25">
      <c r="A2529" t="s">
        <v>2090</v>
      </c>
      <c r="B2529" t="s">
        <v>1746</v>
      </c>
    </row>
    <row r="2530" spans="1:2" x14ac:dyDescent="0.25">
      <c r="A2530" t="s">
        <v>2090</v>
      </c>
      <c r="B2530" t="s">
        <v>1741</v>
      </c>
    </row>
    <row r="2531" spans="1:2" x14ac:dyDescent="0.25">
      <c r="A2531" t="s">
        <v>2090</v>
      </c>
      <c r="B2531" t="s">
        <v>1717</v>
      </c>
    </row>
    <row r="2532" spans="1:2" x14ac:dyDescent="0.25">
      <c r="A2532" t="s">
        <v>2090</v>
      </c>
      <c r="B2532" t="s">
        <v>1728</v>
      </c>
    </row>
    <row r="2533" spans="1:2" x14ac:dyDescent="0.25">
      <c r="A2533" t="s">
        <v>2090</v>
      </c>
      <c r="B2533" t="s">
        <v>1745</v>
      </c>
    </row>
    <row r="2534" spans="1:2" x14ac:dyDescent="0.25">
      <c r="A2534" t="s">
        <v>2090</v>
      </c>
      <c r="B2534" t="s">
        <v>1841</v>
      </c>
    </row>
    <row r="2535" spans="1:2" x14ac:dyDescent="0.25">
      <c r="A2535" t="s">
        <v>2090</v>
      </c>
      <c r="B2535" t="s">
        <v>1864</v>
      </c>
    </row>
    <row r="2536" spans="1:2" x14ac:dyDescent="0.25">
      <c r="A2536" t="s">
        <v>2090</v>
      </c>
      <c r="B2536" t="s">
        <v>1868</v>
      </c>
    </row>
    <row r="2537" spans="1:2" x14ac:dyDescent="0.25">
      <c r="A2537" t="s">
        <v>2090</v>
      </c>
      <c r="B2537" t="s">
        <v>1866</v>
      </c>
    </row>
    <row r="2538" spans="1:2" x14ac:dyDescent="0.25">
      <c r="A2538" t="s">
        <v>2090</v>
      </c>
      <c r="B2538" t="s">
        <v>1860</v>
      </c>
    </row>
    <row r="2539" spans="1:2" x14ac:dyDescent="0.25">
      <c r="A2539" t="s">
        <v>2090</v>
      </c>
      <c r="B2539" t="s">
        <v>1758</v>
      </c>
    </row>
    <row r="2540" spans="1:2" x14ac:dyDescent="0.25">
      <c r="A2540" t="s">
        <v>2090</v>
      </c>
      <c r="B2540" t="s">
        <v>1762</v>
      </c>
    </row>
    <row r="2541" spans="1:2" x14ac:dyDescent="0.25">
      <c r="A2541" t="s">
        <v>2090</v>
      </c>
      <c r="B2541" t="s">
        <v>1847</v>
      </c>
    </row>
    <row r="2542" spans="1:2" x14ac:dyDescent="0.25">
      <c r="A2542" t="s">
        <v>2090</v>
      </c>
      <c r="B2542" t="s">
        <v>1770</v>
      </c>
    </row>
    <row r="2543" spans="1:2" x14ac:dyDescent="0.25">
      <c r="A2543" t="s">
        <v>2090</v>
      </c>
      <c r="B2543" t="s">
        <v>2056</v>
      </c>
    </row>
    <row r="2544" spans="1:2" x14ac:dyDescent="0.25">
      <c r="A2544" t="s">
        <v>2090</v>
      </c>
      <c r="B2544" t="s">
        <v>2044</v>
      </c>
    </row>
    <row r="2545" spans="1:2" x14ac:dyDescent="0.25">
      <c r="A2545" t="s">
        <v>2090</v>
      </c>
      <c r="B2545" t="s">
        <v>2045</v>
      </c>
    </row>
    <row r="2546" spans="1:2" x14ac:dyDescent="0.25">
      <c r="A2546" t="s">
        <v>2090</v>
      </c>
      <c r="B2546" t="s">
        <v>1701</v>
      </c>
    </row>
    <row r="2547" spans="1:2" x14ac:dyDescent="0.25">
      <c r="A2547" t="s">
        <v>2090</v>
      </c>
      <c r="B2547" t="s">
        <v>2046</v>
      </c>
    </row>
    <row r="2548" spans="1:2" x14ac:dyDescent="0.25">
      <c r="A2548" t="s">
        <v>2090</v>
      </c>
      <c r="B2548" t="s">
        <v>2047</v>
      </c>
    </row>
    <row r="2549" spans="1:2" x14ac:dyDescent="0.25">
      <c r="A2549" t="s">
        <v>2090</v>
      </c>
      <c r="B2549" t="s">
        <v>2048</v>
      </c>
    </row>
    <row r="2550" spans="1:2" x14ac:dyDescent="0.25">
      <c r="A2550" t="s">
        <v>2090</v>
      </c>
      <c r="B2550" t="s">
        <v>2049</v>
      </c>
    </row>
    <row r="2551" spans="1:2" x14ac:dyDescent="0.25">
      <c r="A2551" t="s">
        <v>2090</v>
      </c>
      <c r="B2551" t="s">
        <v>2057</v>
      </c>
    </row>
    <row r="2552" spans="1:2" x14ac:dyDescent="0.25">
      <c r="A2552" t="s">
        <v>2090</v>
      </c>
      <c r="B2552" t="s">
        <v>2050</v>
      </c>
    </row>
    <row r="2553" spans="1:2" x14ac:dyDescent="0.25">
      <c r="A2553" t="s">
        <v>2090</v>
      </c>
      <c r="B2553" t="s">
        <v>2051</v>
      </c>
    </row>
    <row r="2554" spans="1:2" x14ac:dyDescent="0.25">
      <c r="A2554" t="s">
        <v>2090</v>
      </c>
      <c r="B2554" t="s">
        <v>2052</v>
      </c>
    </row>
    <row r="2555" spans="1:2" x14ac:dyDescent="0.25">
      <c r="A2555" t="s">
        <v>2090</v>
      </c>
      <c r="B2555" t="s">
        <v>2055</v>
      </c>
    </row>
    <row r="2556" spans="1:2" x14ac:dyDescent="0.25">
      <c r="A2556" t="s">
        <v>2090</v>
      </c>
      <c r="B2556" t="s">
        <v>2037</v>
      </c>
    </row>
    <row r="2557" spans="1:2" x14ac:dyDescent="0.25">
      <c r="A2557" t="s">
        <v>2090</v>
      </c>
      <c r="B2557" t="s">
        <v>2036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vexistenciaxproducto</vt:lpstr>
      <vt:lpstr>Empresas</vt:lpstr>
      <vt:lpstr>BodegasConsolidables</vt:lpstr>
      <vt:lpstr>TransitoActual</vt:lpstr>
      <vt:lpstr>ItemsUnicosActivosEnBuffers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2011-12-16T20:04:39Z</dcterms:created>
  <dcterms:modified xsi:type="dcterms:W3CDTF">2016-01-13T04:50:40Z</dcterms:modified>
</cp:coreProperties>
</file>