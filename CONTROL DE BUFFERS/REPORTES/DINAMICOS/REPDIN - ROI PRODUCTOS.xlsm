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240" yWindow="30" windowWidth="15480" windowHeight="11505" activeTab="1"/>
  </bookViews>
  <sheets>
    <sheet name="TD_ROI" sheetId="11" r:id="rId1"/>
    <sheet name="ROI_PRODUCTOS" sheetId="1" r:id="rId2"/>
    <sheet name="Buffers_Totales" sheetId="7" state="hidden" r:id="rId3"/>
    <sheet name="Parametros" sheetId="9" state="hidden" r:id="rId4"/>
    <sheet name="ROI_AGROINSUMOS_PT" sheetId="12" state="hidden" r:id="rId5"/>
    <sheet name="ROI_AGROINSUMOS_MP" sheetId="13" state="hidden" r:id="rId6"/>
  </sheets>
  <definedNames>
    <definedName name="Agrota" localSheetId="1" hidden="1">ROI_PRODUCTOS!#REF!</definedName>
    <definedName name="Consulta_desde_DatosConsolidados_1" localSheetId="2" hidden="1">Buffers_Totales!#REF!</definedName>
    <definedName name="Consulta_desde_DatosConsolidados_2" localSheetId="2" hidden="1">Buffers_Totales!$A$1:$B$1928</definedName>
    <definedName name="Consulta_desde_DatosConsolidados_3" localSheetId="2" hidden="1">Buffers_Totales!#REF!</definedName>
    <definedName name="Consulta_desde_ODBC_MySQL_en_AGROTA" localSheetId="1" hidden="1">ROI_PRODUCTOS!#REF!</definedName>
    <definedName name="Consulta_desde_ODBC_MySQL_en_AGROTA_1" localSheetId="1" hidden="1">ROI_PRODUCTOS!#REF!</definedName>
    <definedName name="Consulta_desde_ODBC_MySQL_en_AGROTA_2" localSheetId="1" hidden="1">ROI_PRODUCTOS!#REF!</definedName>
    <definedName name="Consulta_desde_ODBC_MySQL_en_AGROTA_3" localSheetId="1" hidden="1">ROI_PRODUCTOS!#REF!</definedName>
    <definedName name="Consulta_desde_reportes_en_Access" localSheetId="4" hidden="1">ROI_AGROINSUMOS_PT!$A$1:$B$102</definedName>
    <definedName name="Consulta_desde_reportes_en_Access" localSheetId="1" hidden="1">ROI_PRODUCTOS!#REF!</definedName>
    <definedName name="Consulta_desde_reportes_en_Access_1" localSheetId="5" hidden="1">ROI_AGROINSUMOS_MP!$A$1:$B$93</definedName>
    <definedName name="Consulta_desde_reportes_en_Access_1" localSheetId="1" hidden="1">ROI_PRODUCTOS!#REF!</definedName>
    <definedName name="Consulta_desde_reportes_en_Access_2" localSheetId="1" hidden="1">ROI_PRODUCTOS!$A$1:$J$2</definedName>
    <definedName name="Ventas" localSheetId="1" hidden="1">ROI_PRODUCTOS!#REF!</definedName>
  </definedNames>
  <calcPr calcId="125725" calcOnSave="0"/>
  <pivotCaches>
    <pivotCache cacheId="5" r:id="rId7"/>
  </pivotCaches>
</workbook>
</file>

<file path=xl/calcChain.xml><?xml version="1.0" encoding="utf-8"?>
<calcChain xmlns="http://schemas.openxmlformats.org/spreadsheetml/2006/main">
  <c r="F2" i="9"/>
  <c r="E2"/>
  <c r="D2"/>
  <c r="A2"/>
  <c r="B2" s="1"/>
  <c r="G2" l="1"/>
  <c r="H2" s="1"/>
  <c r="I2" s="1"/>
</calcChain>
</file>

<file path=xl/connections.xml><?xml version="1.0" encoding="utf-8"?>
<connections xmlns="http://schemas.openxmlformats.org/spreadsheetml/2006/main">
  <connection id="1" odcFile="C:\Users\CAS\AppData\Roaming\Microsoft\Queries\Agrota.dqy" name="Agrota1" type="1" refreshedVersion="3" savePassword="1" saveData="1">
    <dbPr connection="DRIVER={MySQL ODBC 5.1 Driver};UID=root;PWD=Keilo_107;SERVER=5.100.164.169;DATABASE=baseevolution;PORT=3306;" command="SELECT vreporteventasdetalle_0.EmpresasFacturaCabecera, vreporteventasdetalle_0.NombreSucursal, vreporteventasdetalle_0.NumeroFacturaCabecera, vreporteventasdetalle_0.NombreCliente, vreporteventasdetalle_0.CodigoProducto, vreporteventasdetalle_0.CodigoVentaProducto, vreporteventasdetalle_0.DescripcionProducto, vreporteventasdetalle_0.NombreMarca, vreporteventasdetalle_0.NombreLinea, vreporteventasdetalle_0.NombreCategoria, vreporteventasdetalle_0.NombreGrupo, vreporteventasdetalle_0.CantidadFacturaDetalle, vreporteventasdetalle_0.PrecioVentaFacturaDetalle, vreporteventasdetalle_0.PrecioNegociadoFacturaDetalle, vreporteventasdetalle_0.DescuentoFacturaDetalle, vreporteventasdetalle_0.PorcentajeDescuentoFacturaDetalle, vreporteventasdetalle_0.CostoProductoFacturaDetalle, vreporteventasdetalle_0.IvaProductoFacturaDetalle, vreporteventasdetalle_0.CodigoMarca, vreporteventasdetalle_0.CodigoLinea, vreporteventasdetalle_0.CodigoCategoria, vreporteventasdetalle_0.CodigoGrupo, vreporteventasdetalle_0.FechaFacturaDetalle, vreporteventasdetalle_0.ValorDetalle, vreporteventasdetalle_0.AnuladoFacturaCabecera_x000d__x000a_FROM baseevolution.vreporteventasdetalle vreporteventasdetalle_0_x000d__x000a_WHERE (vreporteventasdetalle_0.NombreEmpresa='Agroinsumos')"/>
  </connection>
  <connection id="2" name="Consulta desde Archivo_DATOS" type="1" refreshedVersion="3" saveData="1">
    <dbPr connection="DBQ=C:\RAM CAS\MEJORA CONTINUA\CONTROL DE BUFFERS\ARCHIVO\DATOS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HISTINVENTARIOS$`.CODIGO, `HISTINVENTARIOS$`.BODEGA, `HISTINVENTARIOS$`.FECHA, `HISTINVENTARIOS$`.Archivo, `HISTINVENTARIOS$`.`Nuevo Buff Sug`, `HISTINVENTARIOS$`.`Nuevo Buff Real`, `HISTINVENTARIOS$`.Observaciones, `HISTINVENTARIOS$`.Tipo, `HISTINVENTARIOS$`.CTV, `HISTINVENTARIOS$`.PV, `HISTINVENTARIOS$`.`Inv Proveed`, `HISTINVENTARIOS$`.`Buff Act`, `HISTINVENTARIOS$`.`Inv Fís Act`, `HISTINVENTARIOS$`.`Tráns Act`, `HISTINVENTARIOS$`.Comprom, `HISTINVENTARIOS$`.Backorders, `HISTINVENTARIOS$`.`Inv Proy Act`, `HISTINVENTARIOS$`.PEDIDCalc, `HISTINVENTARIOS$`.`PEDID Real`, `HISTINVENTARIOS$`.Rentabilid, `HISTINVENTARIOS$`.`Rojo Acum`, `HISTINVENTARIOS$`.Negro, `HISTINVENTARIOS$`.Rojo, `HISTINVENTARIOS$`.Amarillo, `HISTINVENTARIOS$`.Verde, `HISTINVENTARIOS$`.Lila_x000d__x000a_FROM `HISTINVENTARIOS$` `HISTINVENTARIOS$`_x000d__x000a_ORDER BY `HISTINVENTARIOS$`.CODIGO"/>
  </connection>
  <connection id="3" name="Consulta desde DatosConsolidados21" type="1" refreshedVersion="3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Codigo, Sum(`CONSOLIDADO$`.`Buff Act`*`CONSOLIDADO$`.CTV) AS [COSTO TOTAL] _x000d__x000a_FROM `CONSOLIDADO$` `CONSOLIDADO$`_x000d__x000a_WHERE (`CONSOLIDADO$`.Bodega&lt;&gt;'AGROTACENTRALPROPIA') and (`CONSOLIDADO$`.Bodega&lt;&gt;'AGROINSUMOSCENTRALPROPIA')_x000d__x000a_GROUP BY `CONSOLIDADO$`.Codigo_x000d__x000a_ORDER BY `CONSOLIDADO$`.Codigo_x000d__x000a_"/>
  </connection>
  <connection id="4" name="Consulta desde reportes en Access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RoiAgroinsumosPT.CODIGO,  qryRoiAgroinsumosPT.ROI_x000d__x000a_FROM `C:\RAM CAS\MEJORA CONTINUA\CONTROL DE BUFFERS\REPORTES\REPORTES.accdb`.qryRoiAgroinsumosPT qryRoiAgroinsumosPT"/>
  </connection>
  <connection id="5" name="Consulta desde reportes en Access1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RoiAgroinsumosMP.CODIGO, qryRoiAgroinsumosMP.ROI_x000d__x000a_FROM `C:\RAM CAS\MEJORA CONTINUA\CONTROL DE BUFFERS\REPORTES\REPORTES.accdb`.qryRoiAgroinsumosMP qryRoiAgroinsumosMP"/>
  </connection>
  <connection id="6" name="Consulta desde reportes en Access12" type="1" refreshedVersion="3" saveData="1">
    <dbPr connection="DSN=ODBC RAMCAS1;" command="SELECT * from buffroiporempresa"/>
  </connection>
</connections>
</file>

<file path=xl/sharedStrings.xml><?xml version="1.0" encoding="utf-8"?>
<sst xmlns="http://schemas.openxmlformats.org/spreadsheetml/2006/main" count="6200" uniqueCount="3413">
  <si>
    <t>SH-108644-30</t>
  </si>
  <si>
    <t>SH-73DP-98X</t>
  </si>
  <si>
    <t>SHDW-036</t>
  </si>
  <si>
    <t>EC-B450EMC</t>
  </si>
  <si>
    <t>EC-SRM-4605UEU</t>
  </si>
  <si>
    <t>SHDW-009</t>
  </si>
  <si>
    <t>EC-SRAH-205</t>
  </si>
  <si>
    <t>EC-ES726</t>
  </si>
  <si>
    <t>SH-99909-55133</t>
  </si>
  <si>
    <t>CR-85.021.05</t>
  </si>
  <si>
    <t>SH-22000-92812</t>
  </si>
  <si>
    <t>EC-B530INTL</t>
  </si>
  <si>
    <t>SHDW-038</t>
  </si>
  <si>
    <t>EC-C350INTL</t>
  </si>
  <si>
    <t>SH-28820-08000</t>
  </si>
  <si>
    <t>OT-2356</t>
  </si>
  <si>
    <t>EC-89852017130</t>
  </si>
  <si>
    <t>SHDW-048</t>
  </si>
  <si>
    <t>EC-B450/AUS</t>
  </si>
  <si>
    <t>SH-813010</t>
  </si>
  <si>
    <t>SHDW-013</t>
  </si>
  <si>
    <t>SH-80771</t>
  </si>
  <si>
    <t>EC-22CINTL</t>
  </si>
  <si>
    <t>SH-78890-14000</t>
  </si>
  <si>
    <t>OT-694</t>
  </si>
  <si>
    <t>EC-13-58</t>
  </si>
  <si>
    <t>CR-039</t>
  </si>
  <si>
    <t>SH-20000-81310</t>
  </si>
  <si>
    <t>SH-20020-75120</t>
  </si>
  <si>
    <t>EC-C504000690</t>
  </si>
  <si>
    <t>CR-052</t>
  </si>
  <si>
    <t>EC-A055000000</t>
  </si>
  <si>
    <t>EC-A056000450</t>
  </si>
  <si>
    <t>SH-22169-35400</t>
  </si>
  <si>
    <t>SH-20010-41210</t>
  </si>
  <si>
    <t>SH-20010-12121</t>
  </si>
  <si>
    <t>EC-A101000360</t>
  </si>
  <si>
    <t>EC-V513000000</t>
  </si>
  <si>
    <t>SH-20021-83411</t>
  </si>
  <si>
    <t>EC-A226000650</t>
  </si>
  <si>
    <t>EC-C044000880</t>
  </si>
  <si>
    <t>SHDW-016</t>
  </si>
  <si>
    <t>EC-P022007151</t>
  </si>
  <si>
    <t>EC-V651000550</t>
  </si>
  <si>
    <t>EC-P022007020</t>
  </si>
  <si>
    <t>EC-22412713710</t>
  </si>
  <si>
    <t>EC-4555310</t>
  </si>
  <si>
    <t>EC-A021000681</t>
  </si>
  <si>
    <t>EC-17500543130</t>
  </si>
  <si>
    <t>EC-35101052931</t>
  </si>
  <si>
    <t>EC-C504000740</t>
  </si>
  <si>
    <t>SH-20010-86130</t>
  </si>
  <si>
    <t>EC-61043450031</t>
  </si>
  <si>
    <t>EC-61001106230</t>
  </si>
  <si>
    <t>EC-P022007440</t>
  </si>
  <si>
    <t>EC-P022007430</t>
  </si>
  <si>
    <t>EC-P022007460</t>
  </si>
  <si>
    <t>EC-P021031560</t>
  </si>
  <si>
    <t>SH-63020-63111</t>
  </si>
  <si>
    <t>SH-72447-13121</t>
  </si>
  <si>
    <t>EC-A175000180</t>
  </si>
  <si>
    <t>SH-70210-81022</t>
  </si>
  <si>
    <t>EC-P021014260</t>
  </si>
  <si>
    <t>EC-CS-600-50EUSTD</t>
  </si>
  <si>
    <t>EC-GP450INTL</t>
  </si>
  <si>
    <t>EC-WP-1000</t>
  </si>
  <si>
    <t>EC-SP45BPE</t>
  </si>
  <si>
    <t>EC-SP40BPS</t>
  </si>
  <si>
    <t>EC-SP30BPE</t>
  </si>
  <si>
    <t>EC-SP20HPS</t>
  </si>
  <si>
    <t>EC-102922452</t>
  </si>
  <si>
    <t>EC-SRM-4300R</t>
  </si>
  <si>
    <t>EC-P022007310</t>
  </si>
  <si>
    <t>EC-P021006200</t>
  </si>
  <si>
    <t>EC-13030747533</t>
  </si>
  <si>
    <t>EC-P022006910</t>
  </si>
  <si>
    <t>EC-43700237530</t>
  </si>
  <si>
    <t>EC-P021015770</t>
  </si>
  <si>
    <t>EC-SHP-800EUSTD</t>
  </si>
  <si>
    <t>EC-A058000010</t>
  </si>
  <si>
    <t>EC-70602034770</t>
  </si>
  <si>
    <t>EC-70602047412</t>
  </si>
  <si>
    <t>EC-C230INTL</t>
  </si>
  <si>
    <t>EC-A226000300</t>
  </si>
  <si>
    <t>EC-P021010232</t>
  </si>
  <si>
    <t>EC-P022006980</t>
  </si>
  <si>
    <t>EC-001107</t>
  </si>
  <si>
    <t>OR-238337</t>
  </si>
  <si>
    <t>SH-108642-24</t>
  </si>
  <si>
    <t>EC-CS-3000-30EUSTD</t>
  </si>
  <si>
    <t>SH-99909-55130</t>
  </si>
  <si>
    <t>JF-125</t>
  </si>
  <si>
    <t>COR-001</t>
  </si>
  <si>
    <t>CR-241</t>
  </si>
  <si>
    <t>IB-007</t>
  </si>
  <si>
    <t>EC-CS-420ES-45EU</t>
  </si>
  <si>
    <t>SH-64007-67011</t>
  </si>
  <si>
    <t>EC-43021531731</t>
  </si>
  <si>
    <t>EC-BP35INTL</t>
  </si>
  <si>
    <t>SH-80424</t>
  </si>
  <si>
    <t>OT-A48</t>
  </si>
  <si>
    <t>EC-GT-22GES</t>
  </si>
  <si>
    <t>EC-CS-1201-90EUSTD</t>
  </si>
  <si>
    <t>COR-002</t>
  </si>
  <si>
    <t>EC-SRM-22GUES</t>
  </si>
  <si>
    <t>EC-70604060762</t>
  </si>
  <si>
    <t>SH-22015-13410</t>
  </si>
  <si>
    <t>SH-22015-13420</t>
  </si>
  <si>
    <t>EC-A504000140</t>
  </si>
  <si>
    <t>EC-A518000010</t>
  </si>
  <si>
    <t>SH-62035-82121</t>
  </si>
  <si>
    <t>CR-240</t>
  </si>
  <si>
    <t>SH-22015-13261</t>
  </si>
  <si>
    <t>EC-61031421231</t>
  </si>
  <si>
    <t>EC-A051000070</t>
  </si>
  <si>
    <t>SH-20060-81760</t>
  </si>
  <si>
    <t>EC-61032027430</t>
  </si>
  <si>
    <t>EC-61091051830</t>
  </si>
  <si>
    <t>SH-20021-31200</t>
  </si>
  <si>
    <t>SH-22015-13270</t>
  </si>
  <si>
    <t>SH-62035-41120</t>
  </si>
  <si>
    <t>EC-10001143230</t>
  </si>
  <si>
    <t>EC-61031307132</t>
  </si>
  <si>
    <t>EC-V103000070</t>
  </si>
  <si>
    <t>EC-13001606232</t>
  </si>
  <si>
    <t>EC-C536000030</t>
  </si>
  <si>
    <t>EC-A055000020</t>
  </si>
  <si>
    <t>SH-60035-98040</t>
  </si>
  <si>
    <t>SH-60035-98030</t>
  </si>
  <si>
    <t>EC-12538108660</t>
  </si>
  <si>
    <t>EC-V100000040</t>
  </si>
  <si>
    <t>EC-17501842230</t>
  </si>
  <si>
    <t>EC-V102000001</t>
  </si>
  <si>
    <t>SH-22000-13512</t>
  </si>
  <si>
    <t>EC-A504000130</t>
  </si>
  <si>
    <t>EC-V420002520</t>
  </si>
  <si>
    <t>SH-22015-13220</t>
  </si>
  <si>
    <t>EC-V103000950</t>
  </si>
  <si>
    <t>EC-A051000170</t>
  </si>
  <si>
    <t>EC-13100455530</t>
  </si>
  <si>
    <t>EC-A320000080</t>
  </si>
  <si>
    <t>EC-17722006310</t>
  </si>
  <si>
    <t>EC-61032052130</t>
  </si>
  <si>
    <t>EC-10001110530</t>
  </si>
  <si>
    <t>EC-V508000050</t>
  </si>
  <si>
    <t>SH-22015-13120</t>
  </si>
  <si>
    <t>SH-22015-12120</t>
  </si>
  <si>
    <t>SH-22000-12413</t>
  </si>
  <si>
    <t>EC-P021032670</t>
  </si>
  <si>
    <t>SH-22051-11922</t>
  </si>
  <si>
    <t>SH-70200-71610</t>
  </si>
  <si>
    <t>EC-C062000430</t>
  </si>
  <si>
    <t>EC-V206000220</t>
  </si>
  <si>
    <t>SH-22015-13290</t>
  </si>
  <si>
    <t>EC-V206000230</t>
  </si>
  <si>
    <t>EC-70602018220</t>
  </si>
  <si>
    <t>SH-20060-12210</t>
  </si>
  <si>
    <t>SH-22182-41210</t>
  </si>
  <si>
    <t>EC-A226000660</t>
  </si>
  <si>
    <t>EC-A225000490</t>
  </si>
  <si>
    <t>SH-20056-81740</t>
  </si>
  <si>
    <t>SH-62035-12120</t>
  </si>
  <si>
    <t>SH-70140-51220</t>
  </si>
  <si>
    <t>SH-22169-55110</t>
  </si>
  <si>
    <t>EC-P021030570</t>
  </si>
  <si>
    <t>SH-20024-75130</t>
  </si>
  <si>
    <t>SH-22015-13390</t>
  </si>
  <si>
    <t>SH-22015-13230</t>
  </si>
  <si>
    <t>SH-20000-75130</t>
  </si>
  <si>
    <t>EC-10024242230</t>
  </si>
  <si>
    <t>EC-10101042231</t>
  </si>
  <si>
    <t>EC-17800143230</t>
  </si>
  <si>
    <t>EC-V104001330</t>
  </si>
  <si>
    <t>EC-17720241030</t>
  </si>
  <si>
    <t>EC-17721540630</t>
  </si>
  <si>
    <t>EC-A426000000</t>
  </si>
  <si>
    <t>EC-17723440630</t>
  </si>
  <si>
    <t>EC-61041307130</t>
  </si>
  <si>
    <t>EC-P022007030</t>
  </si>
  <si>
    <t>EC-17504606230</t>
  </si>
  <si>
    <t>EC-V452000550</t>
  </si>
  <si>
    <t>EC-V430002900</t>
  </si>
  <si>
    <t>EC-V104000210</t>
  </si>
  <si>
    <t>SH-20020-86140</t>
  </si>
  <si>
    <t>JF-030</t>
  </si>
  <si>
    <t>SH-22169-71700</t>
  </si>
  <si>
    <t>SH-69012-98310</t>
  </si>
  <si>
    <t>SH-70036-75100</t>
  </si>
  <si>
    <t>EC-V307000230</t>
  </si>
  <si>
    <t>EC-A506000150</t>
  </si>
  <si>
    <t>EC-A050000200</t>
  </si>
  <si>
    <t>EC-69922956830</t>
  </si>
  <si>
    <t>EC-80794A</t>
  </si>
  <si>
    <t>EC-SRM-3605UEU</t>
  </si>
  <si>
    <t>EC-V430002910</t>
  </si>
  <si>
    <t>SH-72451-14570</t>
  </si>
  <si>
    <t>SH-38490-18</t>
  </si>
  <si>
    <t>EC-61020643130</t>
  </si>
  <si>
    <t>EC-P022006970</t>
  </si>
  <si>
    <t>EC-17500549930</t>
  </si>
  <si>
    <t>EC-A200000140</t>
  </si>
  <si>
    <t>SH-62035-83111</t>
  </si>
  <si>
    <t>SH-64007-64310</t>
  </si>
  <si>
    <t>SH-72550-12400</t>
  </si>
  <si>
    <t>EC-A244000180</t>
  </si>
  <si>
    <t>SH-72550-82120</t>
  </si>
  <si>
    <t>SH-20037-82130</t>
  </si>
  <si>
    <t>SH-62035-85351</t>
  </si>
  <si>
    <t>EC-V100000470</t>
  </si>
  <si>
    <t>EC-V100000450</t>
  </si>
  <si>
    <t>EC-A411000790</t>
  </si>
  <si>
    <t>SH-62035-71020</t>
  </si>
  <si>
    <t>EC-V592000290</t>
  </si>
  <si>
    <t>EC-A226000310</t>
  </si>
  <si>
    <t>EC-A052000430</t>
  </si>
  <si>
    <t>SH-20087-81820</t>
  </si>
  <si>
    <t>EC-70602060A22</t>
  </si>
  <si>
    <t>SH-60020-98310</t>
  </si>
  <si>
    <t>EC-A021002540</t>
  </si>
  <si>
    <t>EC-70617038721</t>
  </si>
  <si>
    <t>SH-80387</t>
  </si>
  <si>
    <t>EC-C535000790</t>
  </si>
  <si>
    <t>SHDW-025</t>
  </si>
  <si>
    <t>SH-22169-71510</t>
  </si>
  <si>
    <t>SH-70244-98050</t>
  </si>
  <si>
    <t>SH-63901-63022</t>
  </si>
  <si>
    <t>EC-P021015780</t>
  </si>
  <si>
    <t>EC-10020442230</t>
  </si>
  <si>
    <t>EC-A411000820</t>
  </si>
  <si>
    <t>SH-20016-12120</t>
  </si>
  <si>
    <t>SH-20000-41210</t>
  </si>
  <si>
    <t>SH-20000-21211</t>
  </si>
  <si>
    <t>SH-20016-85400</t>
  </si>
  <si>
    <t>SH-70210-83110</t>
  </si>
  <si>
    <t>SH-62035-81013</t>
  </si>
  <si>
    <t>SH-70210-12111</t>
  </si>
  <si>
    <t>SH-72080-13013</t>
  </si>
  <si>
    <t>EC-SRM-270UEU</t>
  </si>
  <si>
    <t>EC-A021003180</t>
  </si>
  <si>
    <t>SH-68501-98010</t>
  </si>
  <si>
    <t>EC-A050000240</t>
  </si>
  <si>
    <t>EC-A514000080</t>
  </si>
  <si>
    <t>SH-62035-75120</t>
  </si>
  <si>
    <t>EC-V452000520</t>
  </si>
  <si>
    <t>EC-12532308260</t>
  </si>
  <si>
    <t>SH-20011-81451</t>
  </si>
  <si>
    <t>SH-20019-81440</t>
  </si>
  <si>
    <t>JF-038</t>
  </si>
  <si>
    <t>JF-040</t>
  </si>
  <si>
    <t>JF-002</t>
  </si>
  <si>
    <t>EC-V651000700</t>
  </si>
  <si>
    <t>EC-V651000690</t>
  </si>
  <si>
    <t>SH-20016-71601</t>
  </si>
  <si>
    <t>EC-A052000380</t>
  </si>
  <si>
    <t>EC-A411000050</t>
  </si>
  <si>
    <t>EC-P021015290</t>
  </si>
  <si>
    <t>EC-15660112920</t>
  </si>
  <si>
    <t>SH-22035-13242</t>
  </si>
  <si>
    <t>EC-P021012591</t>
  </si>
  <si>
    <t>SH-80265</t>
  </si>
  <si>
    <t>SH-22150-12152</t>
  </si>
  <si>
    <t>EC-A202000180</t>
  </si>
  <si>
    <t>SHDW-045</t>
  </si>
  <si>
    <t>SH-20021-51102</t>
  </si>
  <si>
    <t>EC-P022007090</t>
  </si>
  <si>
    <t>EC-P022007081</t>
  </si>
  <si>
    <t>EC-P022007160</t>
  </si>
  <si>
    <t>EC-A021000990</t>
  </si>
  <si>
    <t>EC-15660106211</t>
  </si>
  <si>
    <t>EC-P021001820</t>
  </si>
  <si>
    <t>ZM-001</t>
  </si>
  <si>
    <t>EC-10001108360</t>
  </si>
  <si>
    <t>EC-A101000000</t>
  </si>
  <si>
    <t>EC-A101000400</t>
  </si>
  <si>
    <t>EC-P021023260</t>
  </si>
  <si>
    <t>EC-EDR-210</t>
  </si>
  <si>
    <t>JF-085</t>
  </si>
  <si>
    <t>SH-20011-85401</t>
  </si>
  <si>
    <t>EC-80786</t>
  </si>
  <si>
    <t>EC-43021530833</t>
  </si>
  <si>
    <t>EC-10101161230</t>
  </si>
  <si>
    <t>EC-P021014440</t>
  </si>
  <si>
    <t>EC-CS-3500-35EUSTD</t>
  </si>
  <si>
    <t>SH-22035-13271</t>
  </si>
  <si>
    <t>EC-43052737333</t>
  </si>
  <si>
    <t>EC-43171730230</t>
  </si>
  <si>
    <t>EC-PPT-2400STD</t>
  </si>
  <si>
    <t>SH-20870-33120</t>
  </si>
  <si>
    <t>EC-43021330833</t>
  </si>
  <si>
    <t>EC-43101330831</t>
  </si>
  <si>
    <t>SH-70870-98020</t>
  </si>
  <si>
    <t>EC-A556000181</t>
  </si>
  <si>
    <t>EC-A506000260</t>
  </si>
  <si>
    <t>EC-V471002660</t>
  </si>
  <si>
    <t>OT-02002-06001</t>
  </si>
  <si>
    <t>EC-13120519831</t>
  </si>
  <si>
    <t>JF-019</t>
  </si>
  <si>
    <t>CR-012</t>
  </si>
  <si>
    <t>EC-A056000050</t>
  </si>
  <si>
    <t>EC-9103006010</t>
  </si>
  <si>
    <t>SH-22024-13291</t>
  </si>
  <si>
    <t>EC-12437455430</t>
  </si>
  <si>
    <t>SH-20020-75180</t>
  </si>
  <si>
    <t>EC-P022007041</t>
  </si>
  <si>
    <t>EC-81630</t>
  </si>
  <si>
    <t>SH-72080-98020</t>
  </si>
  <si>
    <t>EC-P021027040</t>
  </si>
  <si>
    <t>EC-P005001130</t>
  </si>
  <si>
    <t>EC-A226000070</t>
  </si>
  <si>
    <t>EC-13031013410</t>
  </si>
  <si>
    <t>EC-17504803920</t>
  </si>
  <si>
    <t>EC-17500942231</t>
  </si>
  <si>
    <t>EC-P022002080</t>
  </si>
  <si>
    <t>SH-20000-75220</t>
  </si>
  <si>
    <t>SH-20010-72221</t>
  </si>
  <si>
    <t>EC-C506000200</t>
  </si>
  <si>
    <t>ZM-037</t>
  </si>
  <si>
    <t>ZM-051</t>
  </si>
  <si>
    <t>EC-P021014320</t>
  </si>
  <si>
    <t>SH-72005-92630</t>
  </si>
  <si>
    <t>EC-P004001660</t>
  </si>
  <si>
    <t>EC-A175000200</t>
  </si>
  <si>
    <t>SH-22155-75410</t>
  </si>
  <si>
    <t>EC-12300047532</t>
  </si>
  <si>
    <t>EC-12534107360</t>
  </si>
  <si>
    <t>EC-12532508360</t>
  </si>
  <si>
    <t>EC-P005001110</t>
  </si>
  <si>
    <t>EC-V304000180</t>
  </si>
  <si>
    <t>SH-20140-82210</t>
  </si>
  <si>
    <t>EC-A356000050</t>
  </si>
  <si>
    <t>EC-M230/EMC</t>
  </si>
  <si>
    <t>CR-EC4000</t>
  </si>
  <si>
    <t>EC-P003000240</t>
  </si>
  <si>
    <t>EC-V265000230</t>
  </si>
  <si>
    <t>EC-V509000000</t>
  </si>
  <si>
    <t>EC-A555000130</t>
  </si>
  <si>
    <t>SH-22169-41210</t>
  </si>
  <si>
    <t>EC-V651000540</t>
  </si>
  <si>
    <t>EC-V265000250</t>
  </si>
  <si>
    <t>IMP-271</t>
  </si>
  <si>
    <t>SH-20000-81441</t>
  </si>
  <si>
    <t>MOT-052</t>
  </si>
  <si>
    <t>SH-22035-13290</t>
  </si>
  <si>
    <t>SH-62064-81011</t>
  </si>
  <si>
    <t>SH-20016-12112</t>
  </si>
  <si>
    <t>SH-60023-98031</t>
  </si>
  <si>
    <t>EC-C535000520</t>
  </si>
  <si>
    <t>EC-12314103930</t>
  </si>
  <si>
    <t>CR-PPC3</t>
  </si>
  <si>
    <t>MOT-005</t>
  </si>
  <si>
    <t>RULIT-009</t>
  </si>
  <si>
    <t>EC-P021005420</t>
  </si>
  <si>
    <t>SH-22155-96531</t>
  </si>
  <si>
    <t>EC-A320000760</t>
  </si>
  <si>
    <t>EC-A101000380</t>
  </si>
  <si>
    <t>SH-20011-86120</t>
  </si>
  <si>
    <t>EC-17722040630</t>
  </si>
  <si>
    <t>EC-13031043130</t>
  </si>
  <si>
    <t>CRE-005</t>
  </si>
  <si>
    <t>EC-A226000520</t>
  </si>
  <si>
    <t>SH-62035-81310</t>
  </si>
  <si>
    <t>SH-62035-82330</t>
  </si>
  <si>
    <t>SH-20000-81330</t>
  </si>
  <si>
    <t>OT-B95</t>
  </si>
  <si>
    <t>SH-22152-41231</t>
  </si>
  <si>
    <t>EC-10021305530</t>
  </si>
  <si>
    <t>EC-450095060</t>
  </si>
  <si>
    <t>EC-12438012710</t>
  </si>
  <si>
    <t>JF-003</t>
  </si>
  <si>
    <t>EC-A409000520</t>
  </si>
  <si>
    <t>EC-400442310</t>
  </si>
  <si>
    <t>EC-70602046780</t>
  </si>
  <si>
    <t>EC-70602038720</t>
  </si>
  <si>
    <t>EC-70602040771</t>
  </si>
  <si>
    <t>EC-70602048970</t>
  </si>
  <si>
    <t>EC-P021002791</t>
  </si>
  <si>
    <t>SH-64000-66311</t>
  </si>
  <si>
    <t>SHDW-051</t>
  </si>
  <si>
    <t>EC-A429000120</t>
  </si>
  <si>
    <t>EC-P022007230</t>
  </si>
  <si>
    <t>EC-V043000560</t>
  </si>
  <si>
    <t>SH-02432-35150</t>
  </si>
  <si>
    <t>EC-488-50EMC</t>
  </si>
  <si>
    <t>SH-70064-75190</t>
  </si>
  <si>
    <t>EC-P021005410</t>
  </si>
  <si>
    <t>EC-P003000250</t>
  </si>
  <si>
    <t>CRE-010</t>
  </si>
  <si>
    <t>CR-102</t>
  </si>
  <si>
    <t>EC-P021035440</t>
  </si>
  <si>
    <t>SH-20024-75220</t>
  </si>
  <si>
    <t>EC-V103001010</t>
  </si>
  <si>
    <t>EC-A021002520</t>
  </si>
  <si>
    <t>EC-P021029730</t>
  </si>
  <si>
    <t>EC-C535000630</t>
  </si>
  <si>
    <t>EC-V205000480</t>
  </si>
  <si>
    <t>EC-EB500/EC1</t>
  </si>
  <si>
    <t>EC-15262655430</t>
  </si>
  <si>
    <t>EC-10101055430</t>
  </si>
  <si>
    <t>EC-61031005730</t>
  </si>
  <si>
    <t>EC-61031056931</t>
  </si>
  <si>
    <t>SH-72080-98011</t>
  </si>
  <si>
    <t>SH-20000-81740</t>
  </si>
  <si>
    <t>CR-121</t>
  </si>
  <si>
    <t>SH-3014111</t>
  </si>
  <si>
    <t>SH-22155-51200</t>
  </si>
  <si>
    <t>EC-A356000030</t>
  </si>
  <si>
    <t>EC-A130000601</t>
  </si>
  <si>
    <t>EC-P022007131</t>
  </si>
  <si>
    <t>EC-35121452931</t>
  </si>
  <si>
    <t>SH-22015-13241</t>
  </si>
  <si>
    <t>SH-37019-63170</t>
  </si>
  <si>
    <t>EC-17800147530</t>
  </si>
  <si>
    <t>SH-63019-12102</t>
  </si>
  <si>
    <t>SH-HT230/40</t>
  </si>
  <si>
    <t>SH-22410-13530</t>
  </si>
  <si>
    <t>CR-080</t>
  </si>
  <si>
    <t>EC-X475000050</t>
  </si>
  <si>
    <t>SH-70210-15212</t>
  </si>
  <si>
    <t>SH-20018-81750</t>
  </si>
  <si>
    <t>SH-20010-21211</t>
  </si>
  <si>
    <t>EC-A101000330</t>
  </si>
  <si>
    <t>SH-70200-33112</t>
  </si>
  <si>
    <t>SH-20016-81021</t>
  </si>
  <si>
    <t>SH-72481-98310</t>
  </si>
  <si>
    <t>OR-65789</t>
  </si>
  <si>
    <t>CR-DP1</t>
  </si>
  <si>
    <t>OT-653</t>
  </si>
  <si>
    <t>CR-TMC4</t>
  </si>
  <si>
    <t>OT-701</t>
  </si>
  <si>
    <t>PRO-001</t>
  </si>
  <si>
    <t>VENTA</t>
  </si>
  <si>
    <t>CODIGO</t>
  </si>
  <si>
    <t>DESCRIPCION</t>
  </si>
  <si>
    <t>EMPRESA</t>
  </si>
  <si>
    <t>CR-DPFSR</t>
  </si>
  <si>
    <t>EC-17500030832</t>
  </si>
  <si>
    <t>JF-025</t>
  </si>
  <si>
    <t>EC-A506000120</t>
  </si>
  <si>
    <t>JF-029</t>
  </si>
  <si>
    <t>SH-1123300</t>
  </si>
  <si>
    <t>EC-V430001330</t>
  </si>
  <si>
    <t>EC-A100000680</t>
  </si>
  <si>
    <t>EC-P021031650</t>
  </si>
  <si>
    <t>EC-P021031630</t>
  </si>
  <si>
    <t>SH-P230/EC1</t>
  </si>
  <si>
    <t>EC-V430002930</t>
  </si>
  <si>
    <t>EC-10101147530</t>
  </si>
  <si>
    <t>EC-V225000180</t>
  </si>
  <si>
    <t>EC-P004001340</t>
  </si>
  <si>
    <t>EC-DM-6110-13EUSTD</t>
  </si>
  <si>
    <t>CR-117</t>
  </si>
  <si>
    <t>CR-DPF</t>
  </si>
  <si>
    <t>MOT-004</t>
  </si>
  <si>
    <t>OR-205963</t>
  </si>
  <si>
    <t>PR-002</t>
  </si>
  <si>
    <t>SH-88421</t>
  </si>
  <si>
    <t>SHDW-037</t>
  </si>
  <si>
    <t>Codigo</t>
  </si>
  <si>
    <t>EC-C535000001</t>
  </si>
  <si>
    <t>EC-P022007050</t>
  </si>
  <si>
    <t>EC-17721543130</t>
  </si>
  <si>
    <t>EC-P022007120</t>
  </si>
  <si>
    <t>EC-P021035430</t>
  </si>
  <si>
    <t>EC-A232000840</t>
  </si>
  <si>
    <t>EC-C534000600</t>
  </si>
  <si>
    <t>EC-V420002400</t>
  </si>
  <si>
    <t>JF-016</t>
  </si>
  <si>
    <t>OT-02006-06000</t>
  </si>
  <si>
    <t>SH-20000-85500</t>
  </si>
  <si>
    <t>SH-20010-75190</t>
  </si>
  <si>
    <t>EC-P004000440</t>
  </si>
  <si>
    <t>EC-12311605160</t>
  </si>
  <si>
    <t>SH-20020-81140</t>
  </si>
  <si>
    <t>SH-20021-81920</t>
  </si>
  <si>
    <t>SH-22035-13140</t>
  </si>
  <si>
    <t>SH-22100-81230</t>
  </si>
  <si>
    <t>EC-V508000080</t>
  </si>
  <si>
    <t>SH-22410-13251</t>
  </si>
  <si>
    <t>EC-30100156831</t>
  </si>
  <si>
    <t>SH-60119-98310</t>
  </si>
  <si>
    <t>SH-62035-12111</t>
  </si>
  <si>
    <t>SH-8890802</t>
  </si>
  <si>
    <t>EC-P021021240</t>
  </si>
  <si>
    <t>EC-12533708260</t>
  </si>
  <si>
    <t>EC-A200000640</t>
  </si>
  <si>
    <t>EC-A202000011</t>
  </si>
  <si>
    <t>SH-20010-71631</t>
  </si>
  <si>
    <t>EC-13001743130</t>
  </si>
  <si>
    <t>EC-13192055430</t>
  </si>
  <si>
    <t>EC-A101000010</t>
  </si>
  <si>
    <t>EC-10001142230</t>
  </si>
  <si>
    <t>EC-A101000250</t>
  </si>
  <si>
    <t>EC-C062000340</t>
  </si>
  <si>
    <t>EC-A392000060</t>
  </si>
  <si>
    <t>EC-12A0CD3744</t>
  </si>
  <si>
    <t>JF-027</t>
  </si>
  <si>
    <t>EC-A411000780</t>
  </si>
  <si>
    <t>EC-15660132632</t>
  </si>
  <si>
    <t>EC-12318140630</t>
  </si>
  <si>
    <t>EC-C501000070</t>
  </si>
  <si>
    <t>EC-C535000510</t>
  </si>
  <si>
    <t>EC-17800159230</t>
  </si>
  <si>
    <t>EC-P022025180</t>
  </si>
  <si>
    <t>EC-91VX44CQ</t>
  </si>
  <si>
    <t>EC-A011000840</t>
  </si>
  <si>
    <t>EC-A130001780</t>
  </si>
  <si>
    <t>EC-A130000292</t>
  </si>
  <si>
    <t>CRE-082</t>
  </si>
  <si>
    <t>EC-A057000011</t>
  </si>
  <si>
    <t>EC-13031357030</t>
  </si>
  <si>
    <t>EC-12314116131</t>
  </si>
  <si>
    <t>SH-224127-13710</t>
  </si>
  <si>
    <t>EC-12314016130</t>
  </si>
  <si>
    <t>EC-A369000100</t>
  </si>
  <si>
    <t>SH-20021-41210</t>
  </si>
  <si>
    <t>CR-066</t>
  </si>
  <si>
    <t>EC-C057000070</t>
  </si>
  <si>
    <t>EC-13051030830</t>
  </si>
  <si>
    <t>EC-12312318330</t>
  </si>
  <si>
    <t>EC-P021027090</t>
  </si>
  <si>
    <t>EC-17812743230</t>
  </si>
  <si>
    <t>EC-C535000530</t>
  </si>
  <si>
    <t>EC-A504000060</t>
  </si>
  <si>
    <t>EC-A566000130</t>
  </si>
  <si>
    <t>EC-V505000080</t>
  </si>
  <si>
    <t>EC-10021300310</t>
  </si>
  <si>
    <t>EC-V490000530</t>
  </si>
  <si>
    <t>SH-70051-31210</t>
  </si>
  <si>
    <t>SH-62035-31212</t>
  </si>
  <si>
    <t>EC-A033000070</t>
  </si>
  <si>
    <t>EC-P004000700</t>
  </si>
  <si>
    <t>EC-A514000130</t>
  </si>
  <si>
    <t>EC-17721830830</t>
  </si>
  <si>
    <t>EC-C050001880</t>
  </si>
  <si>
    <t>EC-P021028610</t>
  </si>
  <si>
    <t>EC-80250</t>
  </si>
  <si>
    <t>EC-SRM-4300F</t>
  </si>
  <si>
    <t>CR-DPC4</t>
  </si>
  <si>
    <t>EC-90SG-39X</t>
  </si>
  <si>
    <t>COSTO TOTAL</t>
  </si>
  <si>
    <t>AÑO ACTUAL</t>
  </si>
  <si>
    <t>PRIMER DÍA AÑO ACTUAL</t>
  </si>
  <si>
    <t>HOY</t>
  </si>
  <si>
    <t>DIFERENCIA FECHAS</t>
  </si>
  <si>
    <t>% año</t>
  </si>
  <si>
    <t>Multiplicador</t>
  </si>
  <si>
    <t>EC-CS-3500-40EUSTD</t>
  </si>
  <si>
    <t>OT-B83</t>
  </si>
  <si>
    <t>FECHAINI</t>
  </si>
  <si>
    <t>FECHAFIN</t>
  </si>
  <si>
    <t>TRUPUT</t>
  </si>
  <si>
    <t>INVERSION</t>
  </si>
  <si>
    <t>ROI PRODUCTOS</t>
  </si>
  <si>
    <t>Valores</t>
  </si>
  <si>
    <t xml:space="preserve">VENTA </t>
  </si>
  <si>
    <t xml:space="preserve">TRUPUT </t>
  </si>
  <si>
    <t xml:space="preserve">BUFFER </t>
  </si>
  <si>
    <t>EC-82067A</t>
  </si>
  <si>
    <t>EC-10503</t>
  </si>
  <si>
    <t>EC-12313719830</t>
  </si>
  <si>
    <t>EC-13010</t>
  </si>
  <si>
    <t>EC-14551006211</t>
  </si>
  <si>
    <t>EC-17721840630</t>
  </si>
  <si>
    <t>EC-17722601110</t>
  </si>
  <si>
    <t>EC-21001201112</t>
  </si>
  <si>
    <t>EC-21001304111</t>
  </si>
  <si>
    <t>EC-21001400310</t>
  </si>
  <si>
    <t>EC-21040001110</t>
  </si>
  <si>
    <t>EC-21040701110</t>
  </si>
  <si>
    <t>EC-35791100111</t>
  </si>
  <si>
    <t>EC-43052737332</t>
  </si>
  <si>
    <t>EC-488/EMC</t>
  </si>
  <si>
    <t>EC-61030056930</t>
  </si>
  <si>
    <t>EC-61031452130</t>
  </si>
  <si>
    <t>EC-6450107</t>
  </si>
  <si>
    <t>EC-65001</t>
  </si>
  <si>
    <t>EC-65002</t>
  </si>
  <si>
    <t>EC-65003</t>
  </si>
  <si>
    <t>EC-70602033710</t>
  </si>
  <si>
    <t>EC-70602066011</t>
  </si>
  <si>
    <t>EC-70602067820</t>
  </si>
  <si>
    <t>EC-70617027722</t>
  </si>
  <si>
    <t>EC-73LGX84X</t>
  </si>
  <si>
    <t>EC-80253</t>
  </si>
  <si>
    <t>EC-82002</t>
  </si>
  <si>
    <t>EC-82003</t>
  </si>
  <si>
    <t>EC-8890802</t>
  </si>
  <si>
    <t>EC-91046</t>
  </si>
  <si>
    <t>EC-A021002470</t>
  </si>
  <si>
    <t>EC-A030000570</t>
  </si>
  <si>
    <t>EC-A056000520</t>
  </si>
  <si>
    <t>EC-A200000560</t>
  </si>
  <si>
    <t>EC-A230000000</t>
  </si>
  <si>
    <t>EC-A232000820</t>
  </si>
  <si>
    <t>EC-C044000410</t>
  </si>
  <si>
    <t>EC-C051000480</t>
  </si>
  <si>
    <t>EC-C270EMC</t>
  </si>
  <si>
    <t>EC-C309000030</t>
  </si>
  <si>
    <t>EC-C535000860</t>
  </si>
  <si>
    <t>EC-CS-8002-60EUSTD</t>
  </si>
  <si>
    <t>EC-CS-8002-70EUSTD</t>
  </si>
  <si>
    <t>EC-HC-150STD</t>
  </si>
  <si>
    <t>EC-P021008630</t>
  </si>
  <si>
    <t>EC-P022002090</t>
  </si>
  <si>
    <t>EC-P022006940</t>
  </si>
  <si>
    <t>EC-P022006990</t>
  </si>
  <si>
    <t>EC-P022007270</t>
  </si>
  <si>
    <t>EC-P022007320</t>
  </si>
  <si>
    <t>EC-P050008390</t>
  </si>
  <si>
    <t>EC-SHP-800-2</t>
  </si>
  <si>
    <t>EC-V104001360</t>
  </si>
  <si>
    <t>EC-V203000110</t>
  </si>
  <si>
    <t>EC-V356000490</t>
  </si>
  <si>
    <t>EC-V651000001</t>
  </si>
  <si>
    <t>EC-V651000011</t>
  </si>
  <si>
    <t>EC-V652000180</t>
  </si>
  <si>
    <t>EC-X602000140</t>
  </si>
  <si>
    <t>OT-658</t>
  </si>
  <si>
    <t>OT-A45</t>
  </si>
  <si>
    <t>OT-B75</t>
  </si>
  <si>
    <t>OT-SRAH-ADAP</t>
  </si>
  <si>
    <t>SH-12311215030</t>
  </si>
  <si>
    <t>SH-72005-13010</t>
  </si>
  <si>
    <t>SH-72051-14101</t>
  </si>
  <si>
    <t>SH-78890-11000</t>
  </si>
  <si>
    <t>ZM-003</t>
  </si>
  <si>
    <t>ZM-016</t>
  </si>
  <si>
    <t>ZM-041</t>
  </si>
  <si>
    <t>ZM-067</t>
  </si>
  <si>
    <t>ZM-068</t>
  </si>
  <si>
    <t>ZM-072</t>
  </si>
  <si>
    <t>ZM-074</t>
  </si>
  <si>
    <t>EC-80678</t>
  </si>
  <si>
    <t>EC-80677</t>
  </si>
  <si>
    <t>EC-10010055931</t>
  </si>
  <si>
    <t>EC-A011000860</t>
  </si>
  <si>
    <t>EC-A051001861</t>
  </si>
  <si>
    <t>EC-A056000650</t>
  </si>
  <si>
    <t>EC-A504000110</t>
  </si>
  <si>
    <t>EC-C309000110</t>
  </si>
  <si>
    <t>EC-P021035720</t>
  </si>
  <si>
    <t>EC-V100000570</t>
  </si>
  <si>
    <t>EC-V103001020</t>
  </si>
  <si>
    <t>EC-V255000030</t>
  </si>
  <si>
    <t>EC-V510000030</t>
  </si>
  <si>
    <t>LINEA</t>
  </si>
  <si>
    <t>COSTO</t>
  </si>
  <si>
    <t>EC-P022006870</t>
  </si>
  <si>
    <t>EC-A504000190</t>
  </si>
  <si>
    <t xml:space="preserve">COSTO </t>
  </si>
  <si>
    <t>GRUPO</t>
  </si>
  <si>
    <t>EC-A011000830</t>
  </si>
  <si>
    <t>EC-A575000380</t>
  </si>
  <si>
    <t>EC-C051000610</t>
  </si>
  <si>
    <t>EC-P021022530</t>
  </si>
  <si>
    <t>EC-P021022590</t>
  </si>
  <si>
    <t>EC-P021032390</t>
  </si>
  <si>
    <t>EC-P021032440</t>
  </si>
  <si>
    <t>EC-UN10</t>
  </si>
  <si>
    <t>EC-V043000550</t>
  </si>
  <si>
    <t>EC-V206000250</t>
  </si>
  <si>
    <t>EC-V420002500</t>
  </si>
  <si>
    <t>EC-V420002510</t>
  </si>
  <si>
    <t>EC-V505000140</t>
  </si>
  <si>
    <t>EC-X602000150</t>
  </si>
  <si>
    <t>FUM-002</t>
  </si>
  <si>
    <t>SH-11022-05450</t>
  </si>
  <si>
    <t>EC-4037771</t>
  </si>
  <si>
    <t>EC-73LGX92X</t>
  </si>
  <si>
    <t>EC-88102</t>
  </si>
  <si>
    <t>EC-91VX57X</t>
  </si>
  <si>
    <t>EC-99909-450</t>
  </si>
  <si>
    <t>EC-99944100480</t>
  </si>
  <si>
    <t>EC-A130000980</t>
  </si>
  <si>
    <t>EC-P021034100</t>
  </si>
  <si>
    <t>EC-P022002100</t>
  </si>
  <si>
    <t>EC-P022007110</t>
  </si>
  <si>
    <t>EC-17500539133</t>
  </si>
  <si>
    <t>EC-43021113432</t>
  </si>
  <si>
    <t>EC-43301903933</t>
  </si>
  <si>
    <t>EC-70604062621</t>
  </si>
  <si>
    <t>EC-70617055030</t>
  </si>
  <si>
    <t>EC-88198-S</t>
  </si>
  <si>
    <t>EC-A130000990</t>
  </si>
  <si>
    <t>EC-A226000020</t>
  </si>
  <si>
    <t>EC-A553000060</t>
  </si>
  <si>
    <t>EC-C482000070</t>
  </si>
  <si>
    <t>EC-P021012831</t>
  </si>
  <si>
    <t>EC-P021033200</t>
  </si>
  <si>
    <t>EC-X602000020</t>
  </si>
  <si>
    <t>SH-20055-81004</t>
  </si>
  <si>
    <t>EC-15660130832</t>
  </si>
  <si>
    <t>EC-315105055</t>
  </si>
  <si>
    <t>EC-35131122431</t>
  </si>
  <si>
    <t>EC-A130000870</t>
  </si>
  <si>
    <t>EC-A172001300</t>
  </si>
  <si>
    <t>EC-V216000040</t>
  </si>
  <si>
    <t>EC-80426</t>
  </si>
  <si>
    <t>EC-1001101</t>
  </si>
  <si>
    <t>EC-1001141</t>
  </si>
  <si>
    <t>EC-108636-10</t>
  </si>
  <si>
    <t>EC-4044231</t>
  </si>
  <si>
    <t>EC-4070981</t>
  </si>
  <si>
    <t>EC-4073281</t>
  </si>
  <si>
    <t>EC-43301912330</t>
  </si>
  <si>
    <t>EC-4517530</t>
  </si>
  <si>
    <t>EC-4529110</t>
  </si>
  <si>
    <t>EC-4550460</t>
  </si>
  <si>
    <t>EC-4552760</t>
  </si>
  <si>
    <t>EC-4557850</t>
  </si>
  <si>
    <t>EC-4573060</t>
  </si>
  <si>
    <t>EC-4573110</t>
  </si>
  <si>
    <t>EC-4575060</t>
  </si>
  <si>
    <t>EC-4576340</t>
  </si>
  <si>
    <t>EC-8000142</t>
  </si>
  <si>
    <t>EC-80025</t>
  </si>
  <si>
    <t>EC-80247</t>
  </si>
  <si>
    <t>EC-80255</t>
  </si>
  <si>
    <t>EC-80550</t>
  </si>
  <si>
    <t>EC-80676</t>
  </si>
  <si>
    <t>EC-900302</t>
  </si>
  <si>
    <t>EC-9701201</t>
  </si>
  <si>
    <t>EC-99909-156</t>
  </si>
  <si>
    <t>EC-99909-159</t>
  </si>
  <si>
    <t>EC-99909-451</t>
  </si>
  <si>
    <t>EC-99909-453</t>
  </si>
  <si>
    <t>EC-A556000960</t>
  </si>
  <si>
    <t>JF-039</t>
  </si>
  <si>
    <t>OT-1131</t>
  </si>
  <si>
    <t>EC-4502640</t>
  </si>
  <si>
    <t>EC-4574920</t>
  </si>
  <si>
    <t>EC-90072000125</t>
  </si>
  <si>
    <t>EC-A052000370</t>
  </si>
  <si>
    <t>EC-A200000680</t>
  </si>
  <si>
    <t>EC-A575000410</t>
  </si>
  <si>
    <t>EC-P021033470</t>
  </si>
  <si>
    <t>EC-P021036030</t>
  </si>
  <si>
    <t>EC-V299000390</t>
  </si>
  <si>
    <t>EC-A038000330</t>
  </si>
  <si>
    <t>EC-P021034560</t>
  </si>
  <si>
    <t>EC-A130001371</t>
  </si>
  <si>
    <t>EC-A566000120</t>
  </si>
  <si>
    <t>EC-C535000990</t>
  </si>
  <si>
    <t>EC-C550000430</t>
  </si>
  <si>
    <t>EC-A160001640</t>
  </si>
  <si>
    <t>EC-P021036460</t>
  </si>
  <si>
    <t>EC-12416011120</t>
  </si>
  <si>
    <t>EC-4048451</t>
  </si>
  <si>
    <t>EC-9242428000</t>
  </si>
  <si>
    <t>EC-A021003490</t>
  </si>
  <si>
    <t>EC-A130000111</t>
  </si>
  <si>
    <t>EC-A518000050</t>
  </si>
  <si>
    <t>EC-A575000400</t>
  </si>
  <si>
    <t>EC-A575000420</t>
  </si>
  <si>
    <t>EC-A575000430</t>
  </si>
  <si>
    <t>EC-C044000870</t>
  </si>
  <si>
    <t>EC-C051000560</t>
  </si>
  <si>
    <t>EC-C535000770</t>
  </si>
  <si>
    <t>EC-C551000110</t>
  </si>
  <si>
    <t>EC-E164000100</t>
  </si>
  <si>
    <t>EC-P021031570</t>
  </si>
  <si>
    <t>EC-P021033070</t>
  </si>
  <si>
    <t>EC-P021033230</t>
  </si>
  <si>
    <t>EC-P021033250</t>
  </si>
  <si>
    <t>EC-V204000410</t>
  </si>
  <si>
    <t>EC-V583000181</t>
  </si>
  <si>
    <t>EC-X605000090</t>
  </si>
  <si>
    <t>EC-X605000100</t>
  </si>
  <si>
    <t>EC-12312509560</t>
  </si>
  <si>
    <t>EC-12433149930</t>
  </si>
  <si>
    <t>EC-12435412710</t>
  </si>
  <si>
    <t>EC-12435521330</t>
  </si>
  <si>
    <t>EC-17503314731</t>
  </si>
  <si>
    <t>EC-20019-83410</t>
  </si>
  <si>
    <t>EC-A100000730</t>
  </si>
  <si>
    <t>EC-A101000300</t>
  </si>
  <si>
    <t>EC-A101000550</t>
  </si>
  <si>
    <t>EC-A393000180</t>
  </si>
  <si>
    <t>EC-C063000030</t>
  </si>
  <si>
    <t>EC-C423000790</t>
  </si>
  <si>
    <t>EC-C501000080</t>
  </si>
  <si>
    <t>EC-C504000500</t>
  </si>
  <si>
    <t>EC-C624000070</t>
  </si>
  <si>
    <t>EC-P004001890</t>
  </si>
  <si>
    <t>EC-P004002520</t>
  </si>
  <si>
    <t>EC-P021022060</t>
  </si>
  <si>
    <t>EC-V475005280</t>
  </si>
  <si>
    <t>EC-X602000230</t>
  </si>
  <si>
    <t>EC-P021022520</t>
  </si>
  <si>
    <t>EC-V104001610</t>
  </si>
  <si>
    <t>EC-V582000200</t>
  </si>
  <si>
    <t>EC-C320000370</t>
  </si>
  <si>
    <t>EC-12300055630</t>
  </si>
  <si>
    <t>EC-17721535632</t>
  </si>
  <si>
    <t>EC-17721560930</t>
  </si>
  <si>
    <t>EC-A051002100</t>
  </si>
  <si>
    <t>EC-A226000620</t>
  </si>
  <si>
    <t>EC-A411000650</t>
  </si>
  <si>
    <t>EC-A506000230</t>
  </si>
  <si>
    <t>EC-A552000120</t>
  </si>
  <si>
    <t>EC-A556000700</t>
  </si>
  <si>
    <t>EC-C044000540</t>
  </si>
  <si>
    <t>EC-P004002640</t>
  </si>
  <si>
    <t>OT-481</t>
  </si>
  <si>
    <t>OT-B48</t>
  </si>
  <si>
    <t>EC-17720614330</t>
  </si>
  <si>
    <t>EC-61031056831</t>
  </si>
  <si>
    <t>EC-A130001340</t>
  </si>
  <si>
    <t>EC-C534000590</t>
  </si>
  <si>
    <t>EC-70602035911</t>
  </si>
  <si>
    <t>EC-70602050000</t>
  </si>
  <si>
    <t>EC-70602068010</t>
  </si>
  <si>
    <t>EC-E025000260</t>
  </si>
  <si>
    <t>EC-A506000270</t>
  </si>
  <si>
    <t>EC-V352000140</t>
  </si>
  <si>
    <t>EC-C051000600</t>
  </si>
  <si>
    <t>EC-C400000211</t>
  </si>
  <si>
    <t>EC-T230XREMC</t>
  </si>
  <si>
    <t>EC-17720055631</t>
  </si>
  <si>
    <t>EC-35110247530</t>
  </si>
  <si>
    <t>SH-80728</t>
  </si>
  <si>
    <t>EC-A030000250</t>
  </si>
  <si>
    <t>EC-A416000000</t>
  </si>
  <si>
    <t>EC-A520000170</t>
  </si>
  <si>
    <t>EC-A511000210</t>
  </si>
  <si>
    <t>EC-A575000440</t>
  </si>
  <si>
    <t>SH-20000-81150</t>
  </si>
  <si>
    <t>SH-62035-75310</t>
  </si>
  <si>
    <t>SH-22015-13251</t>
  </si>
  <si>
    <t>EC-17510532431</t>
  </si>
  <si>
    <t>JF-033</t>
  </si>
  <si>
    <t>EC-A369000070</t>
  </si>
  <si>
    <t>SH-22015-96500</t>
  </si>
  <si>
    <t>SH-22015-96600</t>
  </si>
  <si>
    <t>EC-V224000031</t>
  </si>
  <si>
    <t>EC-12411505530</t>
  </si>
  <si>
    <t>SH-20000-72230</t>
  </si>
  <si>
    <t>SH-3013172</t>
  </si>
  <si>
    <t>EC-10001130831</t>
  </si>
  <si>
    <t>EC-17510530831</t>
  </si>
  <si>
    <t>EC-17722002834</t>
  </si>
  <si>
    <t>ZM-036</t>
  </si>
  <si>
    <t>ZM-057</t>
  </si>
  <si>
    <t>EC-10021302830</t>
  </si>
  <si>
    <t>EC-12311212330</t>
  </si>
  <si>
    <t>EC-12312512330</t>
  </si>
  <si>
    <t>EC-12411305910</t>
  </si>
  <si>
    <t>EC-8003009</t>
  </si>
  <si>
    <t>EC-A101000150</t>
  </si>
  <si>
    <t>EC-A393000190</t>
  </si>
  <si>
    <t>EC-V104001500</t>
  </si>
  <si>
    <t>EC-V641000140</t>
  </si>
  <si>
    <t>SH-8003009</t>
  </si>
  <si>
    <t>EC-10010030830</t>
  </si>
  <si>
    <t>EC-10024230830</t>
  </si>
  <si>
    <t>EC-12300038832</t>
  </si>
  <si>
    <t>EC-12300057731</t>
  </si>
  <si>
    <t>EC-13201119831</t>
  </si>
  <si>
    <t>EC-14586130830</t>
  </si>
  <si>
    <t>EC-15262655932</t>
  </si>
  <si>
    <t>EC-33SL0-72X</t>
  </si>
  <si>
    <t>EC-4527270</t>
  </si>
  <si>
    <t>EC-80023</t>
  </si>
  <si>
    <t>EC-83003</t>
  </si>
  <si>
    <t>EC-A200000470</t>
  </si>
  <si>
    <t>EC-DM-6110EUSTD</t>
  </si>
  <si>
    <t>INCO-9661990</t>
  </si>
  <si>
    <t>OT-82067A</t>
  </si>
  <si>
    <t>OT-997</t>
  </si>
  <si>
    <t>EC-14551206211</t>
  </si>
  <si>
    <t>EC-P021012810</t>
  </si>
  <si>
    <t>EC-CS-680S-60EUSTD</t>
  </si>
  <si>
    <t>SH-20024-81931</t>
  </si>
  <si>
    <t>SH-60035-98061</t>
  </si>
  <si>
    <t>SH-70036-98020</t>
  </si>
  <si>
    <t>EC-P021028900</t>
  </si>
  <si>
    <t>EC-A021002190</t>
  </si>
  <si>
    <t>EC-A030000260</t>
  </si>
  <si>
    <t>SH-67000-42010</t>
  </si>
  <si>
    <t>EC-10101006211</t>
  </si>
  <si>
    <t>EC-10101032431</t>
  </si>
  <si>
    <t>EC-35111119830</t>
  </si>
  <si>
    <t>EC-35115535430</t>
  </si>
  <si>
    <t>EC-60405105560</t>
  </si>
  <si>
    <t>EC-90025304014</t>
  </si>
  <si>
    <t>EC-90034540030</t>
  </si>
  <si>
    <t>EC-A440000300</t>
  </si>
  <si>
    <t>EC-C450000212</t>
  </si>
  <si>
    <t>EC-C460000072</t>
  </si>
  <si>
    <t>EC-P021010593</t>
  </si>
  <si>
    <t>EC-P021012620</t>
  </si>
  <si>
    <t>EC-V100000560</t>
  </si>
  <si>
    <t>EC-V162000040</t>
  </si>
  <si>
    <t>EC-V452000260</t>
  </si>
  <si>
    <t>SH-72LG0-84X</t>
  </si>
  <si>
    <t>CR-115</t>
  </si>
  <si>
    <t>EC-17801005960</t>
  </si>
  <si>
    <t>EC-17801205960</t>
  </si>
  <si>
    <t>EC-17801335631</t>
  </si>
  <si>
    <t>EC-13192311120</t>
  </si>
  <si>
    <t>EC-61020656930</t>
  </si>
  <si>
    <t>EC-A021003120</t>
  </si>
  <si>
    <t>CR-018</t>
  </si>
  <si>
    <t>CR-054</t>
  </si>
  <si>
    <t>CR-065</t>
  </si>
  <si>
    <t>CR-092</t>
  </si>
  <si>
    <t>CR-CARCUSTOM</t>
  </si>
  <si>
    <t>CRE-004</t>
  </si>
  <si>
    <t>EC-10000060730</t>
  </si>
  <si>
    <t>EC-10021227930</t>
  </si>
  <si>
    <t>EC-10505</t>
  </si>
  <si>
    <t>EC-12415905530</t>
  </si>
  <si>
    <t>EC-12436112710</t>
  </si>
  <si>
    <t>EC-12436312710</t>
  </si>
  <si>
    <t>EC-12436412710</t>
  </si>
  <si>
    <t>EC-12436755430</t>
  </si>
  <si>
    <t>EC-17500056831</t>
  </si>
  <si>
    <t>EC-17500660730</t>
  </si>
  <si>
    <t>EC-17501849932</t>
  </si>
  <si>
    <t>EC-17720030831</t>
  </si>
  <si>
    <t>EC-17721544430</t>
  </si>
  <si>
    <t>EC-17723412220</t>
  </si>
  <si>
    <t>EC-25021111610</t>
  </si>
  <si>
    <t>EC-43021531733</t>
  </si>
  <si>
    <t>EC-452009480</t>
  </si>
  <si>
    <t>EC-4575700</t>
  </si>
  <si>
    <t>EC-61031507130</t>
  </si>
  <si>
    <t>EC-70602013250</t>
  </si>
  <si>
    <t>EC-70613005230</t>
  </si>
  <si>
    <t>EC-70616002061</t>
  </si>
  <si>
    <t>EC-70617047620</t>
  </si>
  <si>
    <t>EC-757-70INTL</t>
  </si>
  <si>
    <t>EC-8890150</t>
  </si>
  <si>
    <t>EC-90072000012</t>
  </si>
  <si>
    <t>EC-9242426000</t>
  </si>
  <si>
    <t>EC-99909-229</t>
  </si>
  <si>
    <t>EC-A011000720</t>
  </si>
  <si>
    <t>EC-A020000080</t>
  </si>
  <si>
    <t>EC-A021001680</t>
  </si>
  <si>
    <t>EC-A021002140</t>
  </si>
  <si>
    <t>EC-A021002570</t>
  </si>
  <si>
    <t>EC-A021003110</t>
  </si>
  <si>
    <t>EC-A051002180</t>
  </si>
  <si>
    <t>EC-A052000030</t>
  </si>
  <si>
    <t>EC-A056000170</t>
  </si>
  <si>
    <t>EC-A101000370</t>
  </si>
  <si>
    <t>EC-A130001150</t>
  </si>
  <si>
    <t>EC-A130001750</t>
  </si>
  <si>
    <t>EC-A130001820</t>
  </si>
  <si>
    <t>EC-A235000300</t>
  </si>
  <si>
    <t>EC-A409000640</t>
  </si>
  <si>
    <t>EC-A410000030</t>
  </si>
  <si>
    <t>EC-A426000050</t>
  </si>
  <si>
    <t>EC-A427000090</t>
  </si>
  <si>
    <t>EC-A500000840</t>
  </si>
  <si>
    <t>EC-A509000320</t>
  </si>
  <si>
    <t>EC-A556000480</t>
  </si>
  <si>
    <t>EC-A565000070</t>
  </si>
  <si>
    <t>EC-A566000200</t>
  </si>
  <si>
    <t>EC-C044000480</t>
  </si>
  <si>
    <t>EC-C051000680</t>
  </si>
  <si>
    <t>EC-C504000620</t>
  </si>
  <si>
    <t>EC-C531000600</t>
  </si>
  <si>
    <t>EC-C534000680</t>
  </si>
  <si>
    <t>EC-P004000430</t>
  </si>
  <si>
    <t>EC-P004000930</t>
  </si>
  <si>
    <t>EC-P004001940</t>
  </si>
  <si>
    <t>EC-P004002680</t>
  </si>
  <si>
    <t>EC-P021012600</t>
  </si>
  <si>
    <t>EC-P021021910</t>
  </si>
  <si>
    <t>EC-P021027031</t>
  </si>
  <si>
    <t>EC-P021027100</t>
  </si>
  <si>
    <t>EC-P021030550</t>
  </si>
  <si>
    <t>EC-P021032610</t>
  </si>
  <si>
    <t>EC-P021032700</t>
  </si>
  <si>
    <t>EC-P021035221</t>
  </si>
  <si>
    <t>EC-P022024750</t>
  </si>
  <si>
    <t>EC-V043000530</t>
  </si>
  <si>
    <t>EC-V043000540</t>
  </si>
  <si>
    <t>EC-V100000410</t>
  </si>
  <si>
    <t>EC-V299000410</t>
  </si>
  <si>
    <t>EC-V358000130</t>
  </si>
  <si>
    <t>EC-V358000140</t>
  </si>
  <si>
    <t>EC-V360000060</t>
  </si>
  <si>
    <t>EC-V401000390</t>
  </si>
  <si>
    <t>EC-V401000430</t>
  </si>
  <si>
    <t>EC-V420000530</t>
  </si>
  <si>
    <t>EC-V450000150</t>
  </si>
  <si>
    <t>EC-V452000560</t>
  </si>
  <si>
    <t>EC-V452000960</t>
  </si>
  <si>
    <t>EC-V475004810</t>
  </si>
  <si>
    <t>EC-V556000030</t>
  </si>
  <si>
    <t>EC-V651000520</t>
  </si>
  <si>
    <t>EC-V652000090</t>
  </si>
  <si>
    <t>EC-V652000190</t>
  </si>
  <si>
    <t>INCO-9511900</t>
  </si>
  <si>
    <t>JF-266</t>
  </si>
  <si>
    <t>MOT-003</t>
  </si>
  <si>
    <t>MOT-365</t>
  </si>
  <si>
    <t>OR-206045</t>
  </si>
  <si>
    <t>OT-00404</t>
  </si>
  <si>
    <t>OT-11</t>
  </si>
  <si>
    <t>OT-113</t>
  </si>
  <si>
    <t>OT-B87</t>
  </si>
  <si>
    <t>OT-B98</t>
  </si>
  <si>
    <t>RULIT-006</t>
  </si>
  <si>
    <t>RULIT-007</t>
  </si>
  <si>
    <t>SH-02432-32120</t>
  </si>
  <si>
    <t>SH-037</t>
  </si>
  <si>
    <t>SH-20011-31200</t>
  </si>
  <si>
    <t>SH-20016-12222</t>
  </si>
  <si>
    <t>SH-20040-81680</t>
  </si>
  <si>
    <t>SH-22000-92157</t>
  </si>
  <si>
    <t>SH-22020-14200</t>
  </si>
  <si>
    <t>SH-22154-52410</t>
  </si>
  <si>
    <t>SH-22160-71511</t>
  </si>
  <si>
    <t>SH-22410-17202</t>
  </si>
  <si>
    <t>SH-25090206310</t>
  </si>
  <si>
    <t>SH-62035-32310</t>
  </si>
  <si>
    <t>SH-62035-85360</t>
  </si>
  <si>
    <t>SH-62104-32321</t>
  </si>
  <si>
    <t>SH-70012-31111</t>
  </si>
  <si>
    <t>SH-72051-98011</t>
  </si>
  <si>
    <t>SH-72330-33710</t>
  </si>
  <si>
    <t>SH-PBN22301</t>
  </si>
  <si>
    <t>EC-A556000870</t>
  </si>
  <si>
    <t>SH-22155-55110</t>
  </si>
  <si>
    <t>ZM-002</t>
  </si>
  <si>
    <t>EC-35810001111</t>
  </si>
  <si>
    <t>EC-P021015350</t>
  </si>
  <si>
    <t>ZM-024</t>
  </si>
  <si>
    <t>ZM-070</t>
  </si>
  <si>
    <t>ZM-073</t>
  </si>
  <si>
    <t>EC-10510</t>
  </si>
  <si>
    <t>EC-70602056411</t>
  </si>
  <si>
    <t>EC-C022000020</t>
  </si>
  <si>
    <t>EC-E025000470</t>
  </si>
  <si>
    <t>EC-43706319930</t>
  </si>
  <si>
    <t>EC-78890-21001</t>
  </si>
  <si>
    <t>EC-P021018010</t>
  </si>
  <si>
    <t>EC-V420002620</t>
  </si>
  <si>
    <t>EC-70604061461</t>
  </si>
  <si>
    <t>EC-17500544331</t>
  </si>
  <si>
    <t>EC-17531320430</t>
  </si>
  <si>
    <t>EC-A172000320</t>
  </si>
  <si>
    <t>EC-A556000810</t>
  </si>
  <si>
    <t>EC-A575000270</t>
  </si>
  <si>
    <t>EC-V309000040</t>
  </si>
  <si>
    <t>EC-V356000352</t>
  </si>
  <si>
    <t>EC-90080406001</t>
  </si>
  <si>
    <t>EC-A409000100</t>
  </si>
  <si>
    <t>OT-1051</t>
  </si>
  <si>
    <t>ZM-010</t>
  </si>
  <si>
    <t>ZM-018</t>
  </si>
  <si>
    <t>ZM-022</t>
  </si>
  <si>
    <t>ZM-030</t>
  </si>
  <si>
    <t>ZM-069</t>
  </si>
  <si>
    <t>EC-13031051730</t>
  </si>
  <si>
    <t>EC-17501230831</t>
  </si>
  <si>
    <t>EC-70617050720</t>
  </si>
  <si>
    <t>EC-70617051631</t>
  </si>
  <si>
    <t>EC-70617052970</t>
  </si>
  <si>
    <t>EC-A427000150</t>
  </si>
  <si>
    <t>EC-P004002730</t>
  </si>
  <si>
    <t>SH-62035-31110</t>
  </si>
  <si>
    <t>SH-72450-14200</t>
  </si>
  <si>
    <t>EC-25001708012</t>
  </si>
  <si>
    <t>EC-A570000200</t>
  </si>
  <si>
    <t>EC-A520000080</t>
  </si>
  <si>
    <t>EC-CS-680S-70EUSTD</t>
  </si>
  <si>
    <t>EC-13001642231</t>
  </si>
  <si>
    <t>EC-13001756431</t>
  </si>
  <si>
    <t>EC-70617005560</t>
  </si>
  <si>
    <t>EC-X405000001</t>
  </si>
  <si>
    <t>ZM-019</t>
  </si>
  <si>
    <t>ZM-021</t>
  </si>
  <si>
    <t>EC-70604001A61</t>
  </si>
  <si>
    <t>EC-88051</t>
  </si>
  <si>
    <t>EC-88054</t>
  </si>
  <si>
    <t>EC-88056</t>
  </si>
  <si>
    <t>EC-88057</t>
  </si>
  <si>
    <t>CR-001</t>
  </si>
  <si>
    <t>CR-999</t>
  </si>
  <si>
    <t>EC-10001101110</t>
  </si>
  <si>
    <t>EC-17720360930</t>
  </si>
  <si>
    <t>EC-43301119830</t>
  </si>
  <si>
    <t>EC-V205000400</t>
  </si>
  <si>
    <t>EC-A100000670</t>
  </si>
  <si>
    <t>EC-A553000000</t>
  </si>
  <si>
    <t>EC-A556000890</t>
  </si>
  <si>
    <t>A506000260</t>
  </si>
  <si>
    <t>ALEN 5X16</t>
  </si>
  <si>
    <t>ALEN 5X16 CC</t>
  </si>
  <si>
    <t>ALEN 5X25</t>
  </si>
  <si>
    <t>ALEN 5X30</t>
  </si>
  <si>
    <t>ALEN 5X40</t>
  </si>
  <si>
    <t>CR-0100</t>
  </si>
  <si>
    <t>CR-01001</t>
  </si>
  <si>
    <t>CR-011</t>
  </si>
  <si>
    <t>CR-013</t>
  </si>
  <si>
    <t>CR-014</t>
  </si>
  <si>
    <t>CR-015</t>
  </si>
  <si>
    <t>CR-017</t>
  </si>
  <si>
    <t>CR-019</t>
  </si>
  <si>
    <t>CR-020</t>
  </si>
  <si>
    <t>CR-021</t>
  </si>
  <si>
    <t>CR-023</t>
  </si>
  <si>
    <t>CR-025</t>
  </si>
  <si>
    <t>CR-026</t>
  </si>
  <si>
    <t>CR-027</t>
  </si>
  <si>
    <t>CR-049</t>
  </si>
  <si>
    <t>CR-056</t>
  </si>
  <si>
    <t>CR-057</t>
  </si>
  <si>
    <t>CR-058</t>
  </si>
  <si>
    <t>CR-059</t>
  </si>
  <si>
    <t>CR-060</t>
  </si>
  <si>
    <t>CR-061</t>
  </si>
  <si>
    <t>CR-062</t>
  </si>
  <si>
    <t>CR-063</t>
  </si>
  <si>
    <t>CR-064</t>
  </si>
  <si>
    <t>CR-067</t>
  </si>
  <si>
    <t>CR-088</t>
  </si>
  <si>
    <t>CR-089</t>
  </si>
  <si>
    <t>CR-093</t>
  </si>
  <si>
    <t>CR-094</t>
  </si>
  <si>
    <t>CR-095</t>
  </si>
  <si>
    <t>CR-096</t>
  </si>
  <si>
    <t>CR-097</t>
  </si>
  <si>
    <t>CR-098</t>
  </si>
  <si>
    <t>CR-099</t>
  </si>
  <si>
    <t>CR-100</t>
  </si>
  <si>
    <t>CR-1002</t>
  </si>
  <si>
    <t>CR-101</t>
  </si>
  <si>
    <t>CR-119</t>
  </si>
  <si>
    <t>CR-120</t>
  </si>
  <si>
    <t>CR-122</t>
  </si>
  <si>
    <t>CR-123</t>
  </si>
  <si>
    <t>CR-125</t>
  </si>
  <si>
    <t>CR-126</t>
  </si>
  <si>
    <t>CR-140</t>
  </si>
  <si>
    <t>CR-1715538</t>
  </si>
  <si>
    <t>CR-71.064.10</t>
  </si>
  <si>
    <t>CR-85.021.10</t>
  </si>
  <si>
    <t>CR-DP2*</t>
  </si>
  <si>
    <t>CRE-003</t>
  </si>
  <si>
    <t>CRE-006</t>
  </si>
  <si>
    <t>CRE-016</t>
  </si>
  <si>
    <t>CRE-023</t>
  </si>
  <si>
    <t>CRE-032</t>
  </si>
  <si>
    <t>CRE-034</t>
  </si>
  <si>
    <t>CRE-079</t>
  </si>
  <si>
    <t>CRE-125</t>
  </si>
  <si>
    <t>CRE-253</t>
  </si>
  <si>
    <t>CRE-267</t>
  </si>
  <si>
    <t>CRE-856</t>
  </si>
  <si>
    <t>CRE-857</t>
  </si>
  <si>
    <t>CR-ECO2000</t>
  </si>
  <si>
    <t>CR-ECO3000</t>
  </si>
  <si>
    <t>EC-10000039130</t>
  </si>
  <si>
    <t>EC-10000043231</t>
  </si>
  <si>
    <t>EC-10000052130</t>
  </si>
  <si>
    <t>EC-10000060931</t>
  </si>
  <si>
    <t>EC-10001105330</t>
  </si>
  <si>
    <t>EC-10001116431</t>
  </si>
  <si>
    <t>EC-10001121230</t>
  </si>
  <si>
    <t>EC-10001132431</t>
  </si>
  <si>
    <t>EC-10001139731</t>
  </si>
  <si>
    <t>EC-10001146430</t>
  </si>
  <si>
    <t>EC-10010006210</t>
  </si>
  <si>
    <t>EC-10010043130</t>
  </si>
  <si>
    <t>EC-10010055430</t>
  </si>
  <si>
    <t>EC-10010060731</t>
  </si>
  <si>
    <t>EC-10010160931</t>
  </si>
  <si>
    <t>EC-10014212330</t>
  </si>
  <si>
    <t>EC-10020416430</t>
  </si>
  <si>
    <t>EC-10020452132</t>
  </si>
  <si>
    <t>EC-10020455430</t>
  </si>
  <si>
    <t>EC-10020456232</t>
  </si>
  <si>
    <t>EC-10024232430</t>
  </si>
  <si>
    <t>EC-10024242030</t>
  </si>
  <si>
    <t>EC-10024255430</t>
  </si>
  <si>
    <t>EC-10091016430</t>
  </si>
  <si>
    <t>EC-10091030830</t>
  </si>
  <si>
    <t>EC-10091516430</t>
  </si>
  <si>
    <t>EC-10091532530</t>
  </si>
  <si>
    <t>EC-10091716430</t>
  </si>
  <si>
    <t>EC-10091730830</t>
  </si>
  <si>
    <t>EC-10092138330</t>
  </si>
  <si>
    <t>EC-10092230830</t>
  </si>
  <si>
    <t>EC-10101016431</t>
  </si>
  <si>
    <t>EC-10101030830</t>
  </si>
  <si>
    <t>EC-10101044332</t>
  </si>
  <si>
    <t>EC-10101055930</t>
  </si>
  <si>
    <t>EC-10101056030</t>
  </si>
  <si>
    <t>EC-10101108961</t>
  </si>
  <si>
    <t>EC-10101160730</t>
  </si>
  <si>
    <t>EC-10103456532</t>
  </si>
  <si>
    <t>EC-10494022560</t>
  </si>
  <si>
    <t>EC-12200032930</t>
  </si>
  <si>
    <t>EC-12211200230</t>
  </si>
  <si>
    <t>EC-12212300230</t>
  </si>
  <si>
    <t>EC-12212500230</t>
  </si>
  <si>
    <t>EC-12213700230</t>
  </si>
  <si>
    <t>EC-12214000230</t>
  </si>
  <si>
    <t>EC-12214100230</t>
  </si>
  <si>
    <t>EC-12300052133</t>
  </si>
  <si>
    <t>EC-12300060131</t>
  </si>
  <si>
    <t>EC-12300060930</t>
  </si>
  <si>
    <t>EC-12310052130</t>
  </si>
  <si>
    <t>EC-12311824430</t>
  </si>
  <si>
    <t>EC-12312009560</t>
  </si>
  <si>
    <t>EC-12312203660</t>
  </si>
  <si>
    <t>EC-12312232630</t>
  </si>
  <si>
    <t>EC-12312338330</t>
  </si>
  <si>
    <t>EC-12313704260</t>
  </si>
  <si>
    <t>EC-12314016131</t>
  </si>
  <si>
    <t>EC-12318139130</t>
  </si>
  <si>
    <t>EC-12411405530</t>
  </si>
  <si>
    <t>EC-12411411120</t>
  </si>
  <si>
    <t>EC-12411511120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</si>
  <si>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</si>
  <si>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</si>
  <si>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</si>
  <si>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</si>
  <si>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</si>
  <si>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</si>
  <si>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EC-12436721330</t>
  </si>
  <si>
    <t>EC-12438055430</t>
  </si>
  <si>
    <t>EC-12534408560</t>
  </si>
  <si>
    <t>EC-13000039131</t>
  </si>
  <si>
    <t>EC-13000739930</t>
  </si>
  <si>
    <t>EC-13000739932</t>
  </si>
  <si>
    <t>EC-13001005960</t>
  </si>
  <si>
    <t>EC-13001038330</t>
  </si>
  <si>
    <t>EC-13001316431</t>
  </si>
  <si>
    <t>EC-13001742031</t>
  </si>
  <si>
    <t>EC-13001755630</t>
  </si>
  <si>
    <t>EC-13002151530</t>
  </si>
  <si>
    <t>EC-13030013411</t>
  </si>
  <si>
    <t>EC-13030039730</t>
  </si>
  <si>
    <t>EC-13030252131</t>
  </si>
  <si>
    <t>EC-13030330831</t>
  </si>
  <si>
    <t>EC-13030516430</t>
  </si>
  <si>
    <t>EC-13031002910</t>
  </si>
  <si>
    <t>EC-13031006230</t>
  </si>
  <si>
    <t>EC-13031051830</t>
  </si>
  <si>
    <t>EC-13031303710</t>
  </si>
  <si>
    <t>EC-13031306230</t>
  </si>
  <si>
    <t>EC-13040652131</t>
  </si>
  <si>
    <t>EC-13051016431</t>
  </si>
  <si>
    <t>EC-13051039932</t>
  </si>
  <si>
    <t>EC-13051214731</t>
  </si>
  <si>
    <t>EC-13051630830</t>
  </si>
  <si>
    <t>EC-13100546831</t>
  </si>
  <si>
    <t>EC-13101064931</t>
  </si>
  <si>
    <t>EC-13120507320</t>
  </si>
  <si>
    <t>EC-13191043130</t>
  </si>
  <si>
    <t>EC-13192443130</t>
  </si>
  <si>
    <t>EC-13201035430</t>
  </si>
  <si>
    <t>EC-13201043130</t>
  </si>
  <si>
    <t>EC-13211544330</t>
  </si>
  <si>
    <t>EC-13211555930</t>
  </si>
  <si>
    <t>EC-14551030830</t>
  </si>
  <si>
    <t>EC-14551055932</t>
  </si>
  <si>
    <t>EC-15262656032</t>
  </si>
  <si>
    <t>EC-15262660730</t>
  </si>
  <si>
    <t>EC-15662639130</t>
  </si>
  <si>
    <t>EC-15662652730</t>
  </si>
  <si>
    <t>EC-15662660930</t>
  </si>
  <si>
    <t>EC-15680142230</t>
  </si>
  <si>
    <t>EC-15901201620</t>
  </si>
  <si>
    <t>EC-16340032430</t>
  </si>
  <si>
    <t>EC-17500542030</t>
  </si>
  <si>
    <t>EC-17500555930</t>
  </si>
  <si>
    <t>EC-17500905131</t>
  </si>
  <si>
    <t>EC-17500955931</t>
  </si>
  <si>
    <t>EC-17501232430</t>
  </si>
  <si>
    <t>EC-17501805533</t>
  </si>
  <si>
    <t>EC-17504646430</t>
  </si>
  <si>
    <t>EC-17504656030</t>
  </si>
  <si>
    <t>EC-17504805530</t>
  </si>
  <si>
    <t>EC-17504903920</t>
  </si>
  <si>
    <t>EC-17720006210</t>
  </si>
  <si>
    <t>EC-17720016431</t>
  </si>
  <si>
    <t>EC-17720042033</t>
  </si>
  <si>
    <t>EC-17720055931</t>
  </si>
  <si>
    <t>EC-17720206210</t>
  </si>
  <si>
    <t>EC-17720212220</t>
  </si>
  <si>
    <t>EC-17721510632</t>
  </si>
  <si>
    <t>EC-17721532330</t>
  </si>
  <si>
    <t>EC-17721538330</t>
  </si>
  <si>
    <t>EC-17721832631</t>
  </si>
  <si>
    <t>EC-17721844330</t>
  </si>
  <si>
    <t>EC-17722005730</t>
  </si>
  <si>
    <t>EC-17722010631</t>
  </si>
  <si>
    <t>EC-17722035430</t>
  </si>
  <si>
    <t>EC-17722042030</t>
  </si>
  <si>
    <t>EC-17722107060</t>
  </si>
  <si>
    <t>EC-17722135631</t>
  </si>
  <si>
    <t>EC-17722138330</t>
  </si>
  <si>
    <t>EC-17722811120</t>
  </si>
  <si>
    <t>EC-17722827030</t>
  </si>
  <si>
    <t>EC-17723419832</t>
  </si>
  <si>
    <t>EC-17723430830</t>
  </si>
  <si>
    <t>EC-17724214730</t>
  </si>
  <si>
    <t>EC-17724230830</t>
  </si>
  <si>
    <t>EC-17800151030</t>
  </si>
  <si>
    <t>EC-17801022560</t>
  </si>
  <si>
    <t>EC-17809022560</t>
  </si>
  <si>
    <t>EC-17809037930</t>
  </si>
  <si>
    <t>EC-20D8TW3872</t>
  </si>
  <si>
    <t>EC-24D8TW3884</t>
  </si>
  <si>
    <t>EC-25001102011</t>
  </si>
  <si>
    <t>EC-28D8TW3892</t>
  </si>
  <si>
    <t>EC-30511042030</t>
  </si>
  <si>
    <t>EC-30511055630</t>
  </si>
  <si>
    <t>EC-313105055</t>
  </si>
  <si>
    <t>EC-35110022362</t>
  </si>
  <si>
    <t>EC-4042881</t>
  </si>
  <si>
    <t>EC-43113516431</t>
  </si>
  <si>
    <t>EC-43301116430</t>
  </si>
  <si>
    <t>EC-43301330830</t>
  </si>
  <si>
    <t>EC-43301416430</t>
  </si>
  <si>
    <t>EC-43301616430</t>
  </si>
  <si>
    <t>EC-43301910631</t>
  </si>
  <si>
    <t>EC-43302116430</t>
  </si>
  <si>
    <t>EC-4331116430</t>
  </si>
  <si>
    <t>EC-43700037530</t>
  </si>
  <si>
    <t>EC-43700632330</t>
  </si>
  <si>
    <t>EC-43710016430</t>
  </si>
  <si>
    <t>EC-43710019832</t>
  </si>
  <si>
    <t>EC-43710038832</t>
  </si>
  <si>
    <t>EC-43721015130</t>
  </si>
  <si>
    <t>EC-450093990</t>
  </si>
  <si>
    <t>EC-4525920</t>
  </si>
  <si>
    <t>EC-4562530</t>
  </si>
  <si>
    <t>EC-4567930</t>
  </si>
  <si>
    <t>EC-4573040</t>
  </si>
  <si>
    <t>EC-4575740</t>
  </si>
  <si>
    <t>EC-4579070</t>
  </si>
  <si>
    <t>EC-569006</t>
  </si>
  <si>
    <t>EC-569007</t>
  </si>
  <si>
    <t>EC-569020</t>
  </si>
  <si>
    <t>EC-569023</t>
  </si>
  <si>
    <t>EC-569024</t>
  </si>
  <si>
    <t>EC-569028</t>
  </si>
  <si>
    <t>EC-6045105560</t>
  </si>
  <si>
    <t>EC-60876</t>
  </si>
  <si>
    <t>EC-61001122061</t>
  </si>
  <si>
    <t>EC-61001122460</t>
  </si>
  <si>
    <t>EC-61001125530</t>
  </si>
  <si>
    <t>EC-61001222361</t>
  </si>
  <si>
    <t>EC-61010522360</t>
  </si>
  <si>
    <t>EC-61020543131</t>
  </si>
  <si>
    <t>EC-61020623030</t>
  </si>
  <si>
    <t>EC-61021022461</t>
  </si>
  <si>
    <t>EC-61022222360</t>
  </si>
  <si>
    <t>EC-61023904130</t>
  </si>
  <si>
    <t>EC-61028222360</t>
  </si>
  <si>
    <t>EC-61028222460</t>
  </si>
  <si>
    <t>EC-61029822360</t>
  </si>
  <si>
    <t>EC-63019-63170</t>
  </si>
  <si>
    <t>EC-6450009</t>
  </si>
  <si>
    <t>EC-682100</t>
  </si>
  <si>
    <t>EC-70102005510</t>
  </si>
  <si>
    <t>EC-70602004970</t>
  </si>
  <si>
    <t>EC-70602009970</t>
  </si>
  <si>
    <t>EC-70602016970</t>
  </si>
  <si>
    <t>EC-70602028970</t>
  </si>
  <si>
    <t>EC-70602031A13</t>
  </si>
  <si>
    <t>EC-70602032010</t>
  </si>
  <si>
    <t>EC-70602039720</t>
  </si>
  <si>
    <t>EC-70602042040</t>
  </si>
  <si>
    <t>EC-70602049A20</t>
  </si>
  <si>
    <t>EC-70604003770</t>
  </si>
  <si>
    <t>EC-70615001951</t>
  </si>
  <si>
    <t>EC-70615050520</t>
  </si>
  <si>
    <t>EC-70615086060</t>
  </si>
  <si>
    <t>EC-72LPX60CQ</t>
  </si>
  <si>
    <t>EC-73LGX72X</t>
  </si>
  <si>
    <t>EC-80187</t>
  </si>
  <si>
    <t>EC-80221</t>
  </si>
  <si>
    <t>EC-80256</t>
  </si>
  <si>
    <t>EC-80405</t>
  </si>
  <si>
    <t>EC-80425</t>
  </si>
  <si>
    <t>EC-80551</t>
  </si>
  <si>
    <t>EC-81593</t>
  </si>
  <si>
    <t>EC-89757005560</t>
  </si>
  <si>
    <t>EC-90016205014</t>
  </si>
  <si>
    <t>EC-90016205025</t>
  </si>
  <si>
    <t>EC-90016205050</t>
  </si>
  <si>
    <t>EC-90016205057</t>
  </si>
  <si>
    <t>EC-90024205025</t>
  </si>
  <si>
    <t>EC-90024205057</t>
  </si>
  <si>
    <t>EC-90050000005</t>
  </si>
  <si>
    <t>EC-90060300005</t>
  </si>
  <si>
    <t>EC-9006030005</t>
  </si>
  <si>
    <t>EC-90060500004</t>
  </si>
  <si>
    <t>EC-9007200012</t>
  </si>
  <si>
    <t>EC-90080206000</t>
  </si>
  <si>
    <t>EC-90080206002</t>
  </si>
  <si>
    <t>EC-90081036202</t>
  </si>
  <si>
    <t>EC-901018</t>
  </si>
  <si>
    <t>EC-91032</t>
  </si>
  <si>
    <t>EC-9242422000</t>
  </si>
  <si>
    <t>EC-9242432000</t>
  </si>
  <si>
    <t>EC-9242435000</t>
  </si>
  <si>
    <t>EC-9242440000</t>
  </si>
  <si>
    <t>EC-9311503010</t>
  </si>
  <si>
    <t>EC-9701401</t>
  </si>
  <si>
    <t>EC-9711151</t>
  </si>
  <si>
    <t>EC-9720135</t>
  </si>
  <si>
    <t>EC-9922956830</t>
  </si>
  <si>
    <t>EC-99909-160</t>
  </si>
  <si>
    <t>EC-99909-207</t>
  </si>
  <si>
    <t>EC-99909-306</t>
  </si>
  <si>
    <t>EC-99909-307</t>
  </si>
  <si>
    <t>EC-99944100471</t>
  </si>
  <si>
    <t>EC-99944100473</t>
  </si>
  <si>
    <t>EC-99944100475</t>
  </si>
  <si>
    <t>EC-99944100477</t>
  </si>
  <si>
    <t>EC-99944100482</t>
  </si>
  <si>
    <t>EC-99944100483</t>
  </si>
  <si>
    <t>EC-99944100484</t>
  </si>
  <si>
    <t>EC-99944100485</t>
  </si>
  <si>
    <t>EC-99944100486</t>
  </si>
  <si>
    <t>EC-99944200904</t>
  </si>
  <si>
    <t>EC-99944900040</t>
  </si>
  <si>
    <t>EC-99946400023</t>
  </si>
  <si>
    <t>EC-A011000101</t>
  </si>
  <si>
    <t>EC-A011000120</t>
  </si>
  <si>
    <t>EC-A011000250</t>
  </si>
  <si>
    <t>EC-A011000540</t>
  </si>
  <si>
    <t>EC-A011000770</t>
  </si>
  <si>
    <t>EC-A011000810</t>
  </si>
  <si>
    <t>EC-A011001030</t>
  </si>
  <si>
    <t>EC-A011001050</t>
  </si>
  <si>
    <t>EC-A011001060</t>
  </si>
  <si>
    <t>EC-A021000220</t>
  </si>
  <si>
    <t>EC-A021000290</t>
  </si>
  <si>
    <t>EC-A021000740</t>
  </si>
  <si>
    <t>EC-A021001660</t>
  </si>
  <si>
    <t>EC-A021002010</t>
  </si>
  <si>
    <t>EC-A021002120</t>
  </si>
  <si>
    <t>EC-A021002500</t>
  </si>
  <si>
    <t>EC-A021002690</t>
  </si>
  <si>
    <t>EC-A021003440</t>
  </si>
  <si>
    <t>EC-A023000160</t>
  </si>
  <si>
    <t>EC-A023000230</t>
  </si>
  <si>
    <t>EC-A023000240</t>
  </si>
  <si>
    <t>EC-A030000120</t>
  </si>
  <si>
    <t>EC-A030000190</t>
  </si>
  <si>
    <t>EC-A030000240</t>
  </si>
  <si>
    <t>EC-A030000270</t>
  </si>
  <si>
    <t>EC-A030000590</t>
  </si>
  <si>
    <t>EC-A030000610</t>
  </si>
  <si>
    <t>EC-A033000230</t>
  </si>
  <si>
    <t>EC-A033000330</t>
  </si>
  <si>
    <t>EC-A037000000</t>
  </si>
  <si>
    <t>EC-A038000430</t>
  </si>
  <si>
    <t>EC-A039000020</t>
  </si>
  <si>
    <t>EC-A045000340</t>
  </si>
  <si>
    <t>EC-A051001660</t>
  </si>
  <si>
    <t>EC-A051002010</t>
  </si>
  <si>
    <t>EC-A052000011</t>
  </si>
  <si>
    <t>EC-A052000160</t>
  </si>
  <si>
    <t>EC-A055000100</t>
  </si>
  <si>
    <t>EC-A056000010</t>
  </si>
  <si>
    <t>EC-A056000220</t>
  </si>
  <si>
    <t>EC-A056000330</t>
  </si>
  <si>
    <t>EC-A056000620</t>
  </si>
  <si>
    <t>EC-A056000640</t>
  </si>
  <si>
    <t>EC-A100000960</t>
  </si>
  <si>
    <t>EC-A101000090</t>
  </si>
  <si>
    <t>EC-A101000160</t>
  </si>
  <si>
    <t>EC-A101000210</t>
  </si>
  <si>
    <t>EC-A101000350</t>
  </si>
  <si>
    <t>EC-A101000520</t>
  </si>
  <si>
    <t>EC-A101000560</t>
  </si>
  <si>
    <t>EC-A120000730</t>
  </si>
  <si>
    <t>EC-A130000910</t>
  </si>
  <si>
    <t>EC-A130001070</t>
  </si>
  <si>
    <t>EC-A130001330</t>
  </si>
  <si>
    <t>EC-A130001380</t>
  </si>
  <si>
    <t>EC-A130001390</t>
  </si>
  <si>
    <t>EC-A130001660</t>
  </si>
  <si>
    <t>EC-A130001670</t>
  </si>
  <si>
    <t>EC-A160001650</t>
  </si>
  <si>
    <t>EC-A160002110</t>
  </si>
  <si>
    <t>EC-A160002240</t>
  </si>
  <si>
    <t>EC-A1601650</t>
  </si>
  <si>
    <t>EC-A172001270</t>
  </si>
  <si>
    <t>EC-A175000150</t>
  </si>
  <si>
    <t>EC-A175000210</t>
  </si>
  <si>
    <t>EC-A200000500</t>
  </si>
  <si>
    <t>EC-A200000870</t>
  </si>
  <si>
    <t>EC-A201000030</t>
  </si>
  <si>
    <t>EC-A202000060</t>
  </si>
  <si>
    <t>EC-A202000080</t>
  </si>
  <si>
    <t>EC-A202000160</t>
  </si>
  <si>
    <t>EC-A206000010</t>
  </si>
  <si>
    <t>EC-A225000400</t>
  </si>
  <si>
    <t>EC-A225000500</t>
  </si>
  <si>
    <t>EC-A225000530</t>
  </si>
  <si>
    <t>EC-A226000580</t>
  </si>
  <si>
    <t>EC-A226000600</t>
  </si>
  <si>
    <t>EC-A226000670</t>
  </si>
  <si>
    <t>EC-A226000740</t>
  </si>
  <si>
    <t>EC-A226001220</t>
  </si>
  <si>
    <t>EC-A226001260</t>
  </si>
  <si>
    <t>EC-A226001410</t>
  </si>
  <si>
    <t>EC-A230000040</t>
  </si>
  <si>
    <t>EC-A232000710</t>
  </si>
  <si>
    <t>EC-A232000940</t>
  </si>
  <si>
    <t>EC-A232001250</t>
  </si>
  <si>
    <t>EC-A235000220</t>
  </si>
  <si>
    <t>EC-A300000781</t>
  </si>
  <si>
    <t>EC-A313001590</t>
  </si>
  <si>
    <t>EC-A314000020</t>
  </si>
  <si>
    <t>EC-A320000770</t>
  </si>
  <si>
    <t>EC-A320000790</t>
  </si>
  <si>
    <t>EC-A320000890</t>
  </si>
  <si>
    <t>EC-A350000131</t>
  </si>
  <si>
    <t>EC-A362000000</t>
  </si>
  <si>
    <t>EC-A393000050</t>
  </si>
  <si>
    <t>EC-A409000620</t>
  </si>
  <si>
    <t>EC-A409000650</t>
  </si>
  <si>
    <t>EC-A409000730</t>
  </si>
  <si>
    <t>EC-A409000960</t>
  </si>
  <si>
    <t>EC-A410000010</t>
  </si>
  <si>
    <t>EC-A411000031</t>
  </si>
  <si>
    <t>EC-A411000130</t>
  </si>
  <si>
    <t>EC-A411000264</t>
  </si>
  <si>
    <t>EC-A411000450</t>
  </si>
  <si>
    <t>EC-A411000550</t>
  </si>
  <si>
    <t>EC-A411000880</t>
  </si>
  <si>
    <t>EC-A411000910</t>
  </si>
  <si>
    <t>EC-A411001080</t>
  </si>
  <si>
    <t>EC-A427000000</t>
  </si>
  <si>
    <t>EC-A427000060</t>
  </si>
  <si>
    <t>EC-A427000100</t>
  </si>
  <si>
    <t>EC-A429000110</t>
  </si>
  <si>
    <t>EC-A43302116430</t>
  </si>
  <si>
    <t>EC-A439000510</t>
  </si>
  <si>
    <t>EC-A506000080</t>
  </si>
  <si>
    <t>EC-A506000110</t>
  </si>
  <si>
    <t>EC-A506000410</t>
  </si>
  <si>
    <t>EC-A509000190</t>
  </si>
  <si>
    <t>EC-A510000110</t>
  </si>
  <si>
    <t>EC-A511000160</t>
  </si>
  <si>
    <t>EC-A511000250</t>
  </si>
  <si>
    <t>EC-A514000230</t>
  </si>
  <si>
    <t>EC-A555000220</t>
  </si>
  <si>
    <t>EC-A556000021</t>
  </si>
  <si>
    <t>EC-A556000650</t>
  </si>
  <si>
    <t>EC-A556000660</t>
  </si>
  <si>
    <t>EC-A556001170</t>
  </si>
  <si>
    <t>EC-A566000150</t>
  </si>
  <si>
    <t>EC-A566000210</t>
  </si>
  <si>
    <t>EC-AP004001950</t>
  </si>
  <si>
    <t>EC-C020000010</t>
  </si>
  <si>
    <t>EC-C020000070</t>
  </si>
  <si>
    <t>EC-C022000120</t>
  </si>
  <si>
    <t>EC-C022000130</t>
  </si>
  <si>
    <t>EC-C044000830</t>
  </si>
  <si>
    <t>EC-C050001920</t>
  </si>
  <si>
    <t>EC-C051000120</t>
  </si>
  <si>
    <t>EC-C05100600</t>
  </si>
  <si>
    <t>EC-C209000080</t>
  </si>
  <si>
    <t>EC-C300000740</t>
  </si>
  <si>
    <t>EC-C305000040</t>
  </si>
  <si>
    <t>EC-C305000350</t>
  </si>
  <si>
    <t>EC-C305000360</t>
  </si>
  <si>
    <t>EC-C305000370</t>
  </si>
  <si>
    <t>EC-C305000380</t>
  </si>
  <si>
    <t>EC-C316000010</t>
  </si>
  <si>
    <t>EC-C320000350</t>
  </si>
  <si>
    <t>EC-C450000042</t>
  </si>
  <si>
    <t>EC-C450000510</t>
  </si>
  <si>
    <t>EC-C454000181</t>
  </si>
  <si>
    <t>EC-C504000550</t>
  </si>
  <si>
    <t>EC-C504000560</t>
  </si>
  <si>
    <t>EC-C504000700</t>
  </si>
  <si>
    <t>EC-C504000720</t>
  </si>
  <si>
    <t>EC-C504000770</t>
  </si>
  <si>
    <t>EC-C506000160</t>
  </si>
  <si>
    <t>EC-C510000120</t>
  </si>
  <si>
    <t>EC-C531000030</t>
  </si>
  <si>
    <t>EC-C535000480</t>
  </si>
  <si>
    <t>EC-C535000500</t>
  </si>
  <si>
    <t>EC-C535000640</t>
  </si>
  <si>
    <t>EC-C535000650</t>
  </si>
  <si>
    <t>EC-C535000850</t>
  </si>
  <si>
    <t>EC-C535001010</t>
  </si>
  <si>
    <t>EC-C53500850</t>
  </si>
  <si>
    <t>EC-C551000070</t>
  </si>
  <si>
    <t>EC-CS-600-60EUSTD</t>
  </si>
  <si>
    <t>EC-CS-680S-50</t>
  </si>
  <si>
    <t>EC-CS-8002-80EUSTD</t>
  </si>
  <si>
    <t>EC-DM6110EUSTD</t>
  </si>
  <si>
    <t>EC-P004000880</t>
  </si>
  <si>
    <t>EC-P004000890</t>
  </si>
  <si>
    <t>EC-P004001360</t>
  </si>
  <si>
    <t>EC-P004001920</t>
  </si>
  <si>
    <t>EC-P004002820</t>
  </si>
  <si>
    <t>EC-P004002860</t>
  </si>
  <si>
    <t>EC-P004002900</t>
  </si>
  <si>
    <t>EC-P004003010</t>
  </si>
  <si>
    <t>EC-P005000790</t>
  </si>
  <si>
    <t>EC-P005001080</t>
  </si>
  <si>
    <t>EC-P005001150</t>
  </si>
  <si>
    <t>EC-P005001160</t>
  </si>
  <si>
    <t>EC-P021000371</t>
  </si>
  <si>
    <t>EC-P021000803</t>
  </si>
  <si>
    <t>EC-P021002471</t>
  </si>
  <si>
    <t>EC-P021002800</t>
  </si>
  <si>
    <t>EC-P021003540</t>
  </si>
  <si>
    <t>EC-P021004090</t>
  </si>
  <si>
    <t>EC-P021005900</t>
  </si>
  <si>
    <t>EC-P021005911</t>
  </si>
  <si>
    <t>EC-P021006153</t>
  </si>
  <si>
    <t>EC-P021006290</t>
  </si>
  <si>
    <t>EC-P021007772</t>
  </si>
  <si>
    <t>EC-P021010210</t>
  </si>
  <si>
    <t>EC-P021010574</t>
  </si>
  <si>
    <t>EC-P021010581</t>
  </si>
  <si>
    <t>EC-P021010582</t>
  </si>
  <si>
    <t>EC-P021011610</t>
  </si>
  <si>
    <t>EC-P021012590</t>
  </si>
  <si>
    <t>EC-P021012780</t>
  </si>
  <si>
    <t>EC-P021012781</t>
  </si>
  <si>
    <t>EC-P021012790</t>
  </si>
  <si>
    <t>EC-P021012791</t>
  </si>
  <si>
    <t>EC-P021012920</t>
  </si>
  <si>
    <t>EC-P021013620</t>
  </si>
  <si>
    <t>EC-P021015132</t>
  </si>
  <si>
    <t>EC-P021015160</t>
  </si>
  <si>
    <t>EC-P021015190</t>
  </si>
  <si>
    <t>EC-P021016250</t>
  </si>
  <si>
    <t>EC-P021016370</t>
  </si>
  <si>
    <t>EC-P021017910</t>
  </si>
  <si>
    <t>EC-P021017920</t>
  </si>
  <si>
    <t>EC-P021017990</t>
  </si>
  <si>
    <t>EC-P021021540</t>
  </si>
  <si>
    <t>EC-P021022550</t>
  </si>
  <si>
    <t>EC-P021022560</t>
  </si>
  <si>
    <t>EC-P021022570</t>
  </si>
  <si>
    <t>EC-P021022580</t>
  </si>
  <si>
    <t>EC-P021022720</t>
  </si>
  <si>
    <t>EC-P021023230</t>
  </si>
  <si>
    <t>EC-P021027130</t>
  </si>
  <si>
    <t>EC-P021027280</t>
  </si>
  <si>
    <t>EC-P021027760</t>
  </si>
  <si>
    <t>EC-P021027770</t>
  </si>
  <si>
    <t>EC-P021028790</t>
  </si>
  <si>
    <t>EC-P021028810</t>
  </si>
  <si>
    <t>EC-P021030360</t>
  </si>
  <si>
    <t>EC-P021030500</t>
  </si>
  <si>
    <t>EC-P021032910</t>
  </si>
  <si>
    <t>EC-P021035261</t>
  </si>
  <si>
    <t>EC-P021035490</t>
  </si>
  <si>
    <t>EC-P021036090</t>
  </si>
  <si>
    <t>EC-P021036100</t>
  </si>
  <si>
    <t>EC-P022006900</t>
  </si>
  <si>
    <t>EC-P022007060</t>
  </si>
  <si>
    <t>EC-P022007260</t>
  </si>
  <si>
    <t>EC-P022010440</t>
  </si>
  <si>
    <t>EC-V100000270</t>
  </si>
  <si>
    <t>EC-V100000490</t>
  </si>
  <si>
    <t>EC-V102000060</t>
  </si>
  <si>
    <t>EC-V103000490</t>
  </si>
  <si>
    <t>EC-V103000720</t>
  </si>
  <si>
    <t>EC-V103000850</t>
  </si>
  <si>
    <t>EC-V103001030</t>
  </si>
  <si>
    <t>EC-V103001040</t>
  </si>
  <si>
    <t>EC-V103001080</t>
  </si>
  <si>
    <t>EC-V103001200</t>
  </si>
  <si>
    <t>EC-V104000910</t>
  </si>
  <si>
    <t>EC-V104000920</t>
  </si>
  <si>
    <t>EC-V104001620</t>
  </si>
  <si>
    <t>EC-V107000080</t>
  </si>
  <si>
    <t>EC-V138000020</t>
  </si>
  <si>
    <t>EC-V13800020</t>
  </si>
  <si>
    <t>EC-V204000640</t>
  </si>
  <si>
    <t>EC-V225000160</t>
  </si>
  <si>
    <t>EC-V265000240</t>
  </si>
  <si>
    <t>EC-V299000420</t>
  </si>
  <si>
    <t>EC-V302000010</t>
  </si>
  <si>
    <t>EC-V304000010</t>
  </si>
  <si>
    <t>EC-V309000080</t>
  </si>
  <si>
    <t>EC-V322000040</t>
  </si>
  <si>
    <t>EC-V353000430</t>
  </si>
  <si>
    <t>EC-V357000180</t>
  </si>
  <si>
    <t>EC-V420002390</t>
  </si>
  <si>
    <t>EC-V430003240</t>
  </si>
  <si>
    <t>EC-V451000040</t>
  </si>
  <si>
    <t>EC-V451000940</t>
  </si>
  <si>
    <t>EC-V452000950</t>
  </si>
  <si>
    <t>EC-V470001600</t>
  </si>
  <si>
    <t>EC-V490000680</t>
  </si>
  <si>
    <t>EC-V490000720</t>
  </si>
  <si>
    <t>EC-V553000100</t>
  </si>
  <si>
    <t>EC-V555000090</t>
  </si>
  <si>
    <t>EC-V555000140</t>
  </si>
  <si>
    <t>EC-V556000020</t>
  </si>
  <si>
    <t>EC-V558000000</t>
  </si>
  <si>
    <t>EC-V580000100</t>
  </si>
  <si>
    <t>EC-V580000110</t>
  </si>
  <si>
    <t>EC-V582000100</t>
  </si>
  <si>
    <t>EC-V609000050</t>
  </si>
  <si>
    <t>EC-V641000150</t>
  </si>
  <si>
    <t>EC-V652000030</t>
  </si>
  <si>
    <t>EC-V652000170</t>
  </si>
  <si>
    <t>EC-X114000000</t>
  </si>
  <si>
    <t>EC-X405000011</t>
  </si>
  <si>
    <t>EC-X411000940</t>
  </si>
  <si>
    <t>EC-X411000950</t>
  </si>
  <si>
    <t>EC-X411000960</t>
  </si>
  <si>
    <t>EC-X411001150</t>
  </si>
  <si>
    <t>EC-X600000111</t>
  </si>
  <si>
    <t>EC-X602000210</t>
  </si>
  <si>
    <t>EC-X640000150</t>
  </si>
  <si>
    <t>IMP-251</t>
  </si>
  <si>
    <t>IMP-254</t>
  </si>
  <si>
    <t>INCO-9031910</t>
  </si>
  <si>
    <t>INCO-9051910</t>
  </si>
  <si>
    <t>INCO-9061910</t>
  </si>
  <si>
    <t>INCO-9661970</t>
  </si>
  <si>
    <t>JF-008</t>
  </si>
  <si>
    <t>JF-009</t>
  </si>
  <si>
    <t>JF-010</t>
  </si>
  <si>
    <t>JF-011</t>
  </si>
  <si>
    <t>JF-012</t>
  </si>
  <si>
    <t>JF-013</t>
  </si>
  <si>
    <t>JF-014</t>
  </si>
  <si>
    <t>JF-015</t>
  </si>
  <si>
    <t>JF-017</t>
  </si>
  <si>
    <t>JF-018</t>
  </si>
  <si>
    <t>JF-020</t>
  </si>
  <si>
    <t>JF-021</t>
  </si>
  <si>
    <t>JF-022</t>
  </si>
  <si>
    <t>JF-023</t>
  </si>
  <si>
    <t>JF-024</t>
  </si>
  <si>
    <t>JF-026</t>
  </si>
  <si>
    <t>JF-028</t>
  </si>
  <si>
    <t>JF-034</t>
  </si>
  <si>
    <t>JF-041</t>
  </si>
  <si>
    <t>JF-071</t>
  </si>
  <si>
    <t>JF-082</t>
  </si>
  <si>
    <t>JF-083</t>
  </si>
  <si>
    <t>JF-084</t>
  </si>
  <si>
    <t>JF-086</t>
  </si>
  <si>
    <t>JF-265</t>
  </si>
  <si>
    <t>JF-267</t>
  </si>
  <si>
    <t>JF-269</t>
  </si>
  <si>
    <t>JF-270</t>
  </si>
  <si>
    <t>JF-271</t>
  </si>
  <si>
    <t>JF-272</t>
  </si>
  <si>
    <t>JF-273</t>
  </si>
  <si>
    <t>JF-274</t>
  </si>
  <si>
    <t>JF-275</t>
  </si>
  <si>
    <t>JF-276</t>
  </si>
  <si>
    <t>JF-277</t>
  </si>
  <si>
    <t>JF-278</t>
  </si>
  <si>
    <t>JF-279</t>
  </si>
  <si>
    <t>JF-280</t>
  </si>
  <si>
    <t>JF-281</t>
  </si>
  <si>
    <t>JF-282</t>
  </si>
  <si>
    <t>JF-283</t>
  </si>
  <si>
    <t>JF-284</t>
  </si>
  <si>
    <t>JF-285</t>
  </si>
  <si>
    <t>JF-286</t>
  </si>
  <si>
    <t>JF-287</t>
  </si>
  <si>
    <t>JF-288</t>
  </si>
  <si>
    <t>MOT-0023</t>
  </si>
  <si>
    <t>MOT-159</t>
  </si>
  <si>
    <t>MOT-53</t>
  </si>
  <si>
    <t>MOT-640</t>
  </si>
  <si>
    <t>OT-0001</t>
  </si>
  <si>
    <t>OT-00040</t>
  </si>
  <si>
    <t>OT-02030-06202</t>
  </si>
  <si>
    <t>OT-478</t>
  </si>
  <si>
    <t>OT-479</t>
  </si>
  <si>
    <t>OT-480</t>
  </si>
  <si>
    <t>OT-55</t>
  </si>
  <si>
    <t>OT-687</t>
  </si>
  <si>
    <t>OT-A20</t>
  </si>
  <si>
    <t>OT-A30</t>
  </si>
  <si>
    <t>OT-A36</t>
  </si>
  <si>
    <t>OT-A40</t>
  </si>
  <si>
    <t>OT-A54</t>
  </si>
  <si>
    <t>OT-A56</t>
  </si>
  <si>
    <t>OT-A75</t>
  </si>
  <si>
    <t>OT-B66</t>
  </si>
  <si>
    <t>OT-B67</t>
  </si>
  <si>
    <t>OT-B70</t>
  </si>
  <si>
    <t>OT-B71</t>
  </si>
  <si>
    <t>OT-B72</t>
  </si>
  <si>
    <t>OT-B79</t>
  </si>
  <si>
    <t>OT-B80</t>
  </si>
  <si>
    <t>OT-VANG18HP</t>
  </si>
  <si>
    <t>RULIT-00102</t>
  </si>
  <si>
    <t>RULIT-004</t>
  </si>
  <si>
    <t>RULIT-005</t>
  </si>
  <si>
    <t>SH-01014-06100</t>
  </si>
  <si>
    <t>SH-12211200230</t>
  </si>
  <si>
    <t>SH-12534408560</t>
  </si>
  <si>
    <t>SH-12900-62020</t>
  </si>
  <si>
    <t>SH-18500-50100</t>
  </si>
  <si>
    <t>SH-18500-50102</t>
  </si>
  <si>
    <t>SH-18500-90002</t>
  </si>
  <si>
    <t>SH-18500-90003</t>
  </si>
  <si>
    <t>SH-20000-72241</t>
  </si>
  <si>
    <t>SH-20000-75160</t>
  </si>
  <si>
    <t>SH-20000-81340</t>
  </si>
  <si>
    <t>SH-20000-85579</t>
  </si>
  <si>
    <t>SH-20000-96104</t>
  </si>
  <si>
    <t>SH-20010-41330</t>
  </si>
  <si>
    <t>SH-20010-81760</t>
  </si>
  <si>
    <t>SH-20011-12220</t>
  </si>
  <si>
    <t>SH-20011-71611</t>
  </si>
  <si>
    <t>SH-20016-15123</t>
  </si>
  <si>
    <t>SH-20018-31260</t>
  </si>
  <si>
    <t>SH-20021-51120</t>
  </si>
  <si>
    <t>SH-20021-96420</t>
  </si>
  <si>
    <t>SH-20021-96601</t>
  </si>
  <si>
    <t>SH-20024-71610</t>
  </si>
  <si>
    <t>SH-20024-81023</t>
  </si>
  <si>
    <t>SH-20024-83410</t>
  </si>
  <si>
    <t>SH-20035-21100</t>
  </si>
  <si>
    <t>SH-20036-81670</t>
  </si>
  <si>
    <t>SH-20055-81120</t>
  </si>
  <si>
    <t>SH-20060-81781</t>
  </si>
  <si>
    <t>SH-20112-81530</t>
  </si>
  <si>
    <t>SH-20142-12110</t>
  </si>
  <si>
    <t>SH-21001-304111</t>
  </si>
  <si>
    <t>SH-22000-13290</t>
  </si>
  <si>
    <t>SH-22000-13513</t>
  </si>
  <si>
    <t>SH-22000-13530</t>
  </si>
  <si>
    <t>SH-22000-92167</t>
  </si>
  <si>
    <t>SH-22015-13210</t>
  </si>
  <si>
    <t>SH-22015-14301</t>
  </si>
  <si>
    <t>SH-22017-12410</t>
  </si>
  <si>
    <t>SH-22021-12120</t>
  </si>
  <si>
    <t>SH-22021-13390</t>
  </si>
  <si>
    <t>SH-22024-13912</t>
  </si>
  <si>
    <t>SH-22051-11920</t>
  </si>
  <si>
    <t>SH-22100-41230</t>
  </si>
  <si>
    <t>SH-22102-72220</t>
  </si>
  <si>
    <t>SH-22154-55110</t>
  </si>
  <si>
    <t>SH-22157-41210</t>
  </si>
  <si>
    <t>SH-22160-33821</t>
  </si>
  <si>
    <t>SH-22160-41240</t>
  </si>
  <si>
    <t>SH-22160-51200</t>
  </si>
  <si>
    <t>SH-22160-72220</t>
  </si>
  <si>
    <t>SH-22160-75100</t>
  </si>
  <si>
    <t>SH-22169-21503</t>
  </si>
  <si>
    <t>SH-22169-32110</t>
  </si>
  <si>
    <t>SH-22169-51170</t>
  </si>
  <si>
    <t>SH-22169-82310</t>
  </si>
  <si>
    <t>SH-22169-96580</t>
  </si>
  <si>
    <t>SH-22197-33960</t>
  </si>
  <si>
    <t>SH-22197-55201</t>
  </si>
  <si>
    <t>SH-22410-13210</t>
  </si>
  <si>
    <t>SH-22901-31000</t>
  </si>
  <si>
    <t>SH-38500-32010</t>
  </si>
  <si>
    <t>SH-38500-82130</t>
  </si>
  <si>
    <t>SH-40084-20</t>
  </si>
  <si>
    <t>SH-60018-98310</t>
  </si>
  <si>
    <t>SH-62035-31310</t>
  </si>
  <si>
    <t>SH-62035-32112</t>
  </si>
  <si>
    <t>SH-62035-42010</t>
  </si>
  <si>
    <t>SH-62035-75020</t>
  </si>
  <si>
    <t>SH-62035-75130</t>
  </si>
  <si>
    <t>SH-62035-82340</t>
  </si>
  <si>
    <t>SH-62074-12120</t>
  </si>
  <si>
    <t>SH-62113-83010</t>
  </si>
  <si>
    <t>SH-62809-12111</t>
  </si>
  <si>
    <t>SH-63019-63010</t>
  </si>
  <si>
    <t>SH-63019-63170</t>
  </si>
  <si>
    <t>SH-63019-63310</t>
  </si>
  <si>
    <t>SH-64007-64253</t>
  </si>
  <si>
    <t>SH-67000-81010</t>
  </si>
  <si>
    <t>SH-67001-62211</t>
  </si>
  <si>
    <t>SH-68501-12210</t>
  </si>
  <si>
    <t>SH-68501-81490</t>
  </si>
  <si>
    <t>SH-70020-75100</t>
  </si>
  <si>
    <t>SH-70030-71620</t>
  </si>
  <si>
    <t>SH-70030-75120</t>
  </si>
  <si>
    <t>SH-70043-85201</t>
  </si>
  <si>
    <t>SH-70102-81710</t>
  </si>
  <si>
    <t>SH-70140-81710</t>
  </si>
  <si>
    <t>SH-70200-71200</t>
  </si>
  <si>
    <t>SH-70210-15311</t>
  </si>
  <si>
    <t>SH-70210-51100</t>
  </si>
  <si>
    <t>SH-70234-98011</t>
  </si>
  <si>
    <t>SH-70870-98030</t>
  </si>
  <si>
    <t>SH-713545</t>
  </si>
  <si>
    <t>SH-72174-99200</t>
  </si>
  <si>
    <t>SH-72330-98010</t>
  </si>
  <si>
    <t>SH-72435-13920</t>
  </si>
  <si>
    <t>SH-72441-12100</t>
  </si>
  <si>
    <t>SH-72550-14531</t>
  </si>
  <si>
    <t>SH-72920-71711</t>
  </si>
  <si>
    <t>SH-72933-75120</t>
  </si>
  <si>
    <t>SH-72LG0-105X</t>
  </si>
  <si>
    <t>SH-80253</t>
  </si>
  <si>
    <t>SH-80256</t>
  </si>
  <si>
    <t>SH-810502</t>
  </si>
  <si>
    <t>SH-81630</t>
  </si>
  <si>
    <t>SH-90SG-033X</t>
  </si>
  <si>
    <t>SH-9214D-24</t>
  </si>
  <si>
    <t>SH-9216D-32</t>
  </si>
  <si>
    <t>SH-9701201</t>
  </si>
  <si>
    <t>SH-99909-12212</t>
  </si>
  <si>
    <t>SH-9-P230EPA</t>
  </si>
  <si>
    <t>SH-CAB.- BUJIA</t>
  </si>
  <si>
    <t>SHDW-015</t>
  </si>
  <si>
    <t>SHDW-021</t>
  </si>
  <si>
    <t>V103001040</t>
  </si>
  <si>
    <t>ZM-011</t>
  </si>
  <si>
    <t>ZM-012</t>
  </si>
  <si>
    <t>ZM-013</t>
  </si>
  <si>
    <t>ZM-014</t>
  </si>
  <si>
    <t>ZM-015</t>
  </si>
  <si>
    <t>ZM-017</t>
  </si>
  <si>
    <t>ZM-020</t>
  </si>
  <si>
    <t>ZM-023</t>
  </si>
  <si>
    <t>ZM-025</t>
  </si>
  <si>
    <t>ZM-026</t>
  </si>
  <si>
    <t>ZM-027</t>
  </si>
  <si>
    <t>ZM-028</t>
  </si>
  <si>
    <t>ZM-029</t>
  </si>
  <si>
    <t>ZM-031</t>
  </si>
  <si>
    <t>ZM-038</t>
  </si>
  <si>
    <t>ZM-040</t>
  </si>
  <si>
    <t>ZM-042</t>
  </si>
  <si>
    <t>ZM-043</t>
  </si>
  <si>
    <t>ZM-044</t>
  </si>
  <si>
    <t>ZM-045</t>
  </si>
  <si>
    <t>ZM-048</t>
  </si>
  <si>
    <t>ZM-049</t>
  </si>
  <si>
    <t>ZM-055</t>
  </si>
  <si>
    <t>ZM-056</t>
  </si>
  <si>
    <t>ZM-058</t>
  </si>
  <si>
    <t>ZM-060</t>
  </si>
  <si>
    <t>ZM-061</t>
  </si>
  <si>
    <t>ZM-063</t>
  </si>
  <si>
    <t>ZM-064</t>
  </si>
  <si>
    <t>ZM-065</t>
  </si>
  <si>
    <t>ZM-066</t>
  </si>
  <si>
    <t>ZM-071</t>
  </si>
  <si>
    <t>ROI ANUAL</t>
  </si>
  <si>
    <t>ROI</t>
  </si>
  <si>
    <t>F-0015</t>
  </si>
  <si>
    <t>F-005</t>
  </si>
  <si>
    <t>F-011</t>
  </si>
  <si>
    <t>F-018</t>
  </si>
  <si>
    <t>G-0011</t>
  </si>
  <si>
    <t>G-008</t>
  </si>
  <si>
    <t>IN - 126</t>
  </si>
  <si>
    <t>IN - 127</t>
  </si>
  <si>
    <t>IN - 1271</t>
  </si>
  <si>
    <t>IN-0004</t>
  </si>
  <si>
    <t>IN-0007</t>
  </si>
  <si>
    <t>IN-0008</t>
  </si>
  <si>
    <t>IN-0011</t>
  </si>
  <si>
    <t>IN-0012</t>
  </si>
  <si>
    <t>IN-0014</t>
  </si>
  <si>
    <t>IN-00171</t>
  </si>
  <si>
    <t>IN-00172</t>
  </si>
  <si>
    <t>IN-00173</t>
  </si>
  <si>
    <t>IN-00174</t>
  </si>
  <si>
    <t>IN-0028</t>
  </si>
  <si>
    <t>IN-0042</t>
  </si>
  <si>
    <t>IN-0081</t>
  </si>
  <si>
    <t>IN-033</t>
  </si>
  <si>
    <t>IN-035</t>
  </si>
  <si>
    <t>IN-036</t>
  </si>
  <si>
    <t>IN-037</t>
  </si>
  <si>
    <t>IN-040</t>
  </si>
  <si>
    <t>IN-041.</t>
  </si>
  <si>
    <t>IN-043</t>
  </si>
  <si>
    <t>IN-048</t>
  </si>
  <si>
    <t>IN-092</t>
  </si>
  <si>
    <t>IN-0976</t>
  </si>
  <si>
    <t>IN-0977</t>
  </si>
  <si>
    <t>IN-0987</t>
  </si>
  <si>
    <t>IN-102</t>
  </si>
  <si>
    <t>IN-104</t>
  </si>
  <si>
    <t>IN-1130</t>
  </si>
  <si>
    <t>IN-1131</t>
  </si>
  <si>
    <t>IN-1234</t>
  </si>
  <si>
    <t>IN-127</t>
  </si>
  <si>
    <t>IN-130</t>
  </si>
  <si>
    <t>IN-140</t>
  </si>
  <si>
    <t>IN-141</t>
  </si>
  <si>
    <t>IN-1945</t>
  </si>
  <si>
    <t>IN-30</t>
  </si>
  <si>
    <t>IN-32</t>
  </si>
  <si>
    <t>IN-33</t>
  </si>
  <si>
    <t>IN-34</t>
  </si>
  <si>
    <t>IN-35</t>
  </si>
  <si>
    <t>IN-352</t>
  </si>
  <si>
    <t>IN-362</t>
  </si>
  <si>
    <t>IN-5421</t>
  </si>
  <si>
    <t>IN-5422</t>
  </si>
  <si>
    <t>IN-5665</t>
  </si>
  <si>
    <t>IN-62</t>
  </si>
  <si>
    <t>IN-63</t>
  </si>
  <si>
    <t>IN-64</t>
  </si>
  <si>
    <t>IN-65</t>
  </si>
  <si>
    <t>IN-6611</t>
  </si>
  <si>
    <t>IN-6614</t>
  </si>
  <si>
    <t>IN-6617</t>
  </si>
  <si>
    <t>IN-667</t>
  </si>
  <si>
    <t>IN-6671</t>
  </si>
  <si>
    <t>IN-668</t>
  </si>
  <si>
    <t>IN-81</t>
  </si>
  <si>
    <t>IN-9876</t>
  </si>
  <si>
    <t>INS-001</t>
  </si>
  <si>
    <t>INT-010</t>
  </si>
  <si>
    <t>JA-001</t>
  </si>
  <si>
    <t>OTROS</t>
  </si>
  <si>
    <t>MP-064</t>
  </si>
  <si>
    <t>MP-076</t>
  </si>
  <si>
    <t>MP-079</t>
  </si>
  <si>
    <t>MP-097</t>
  </si>
  <si>
    <t>MP-098</t>
  </si>
  <si>
    <t>MP-100</t>
  </si>
  <si>
    <t>MP-101</t>
  </si>
  <si>
    <t>MP-103</t>
  </si>
  <si>
    <t>MP-113</t>
  </si>
  <si>
    <t>MP-1130</t>
  </si>
  <si>
    <t>MP-125</t>
  </si>
  <si>
    <t>MP-140</t>
  </si>
  <si>
    <t>MP-162</t>
  </si>
  <si>
    <t>MP-163</t>
  </si>
  <si>
    <t>MP-190</t>
  </si>
  <si>
    <t>MP-19460</t>
  </si>
  <si>
    <t>MP-216</t>
  </si>
  <si>
    <t>MP-217</t>
  </si>
  <si>
    <t>MP-218</t>
  </si>
  <si>
    <t>MP-261</t>
  </si>
  <si>
    <t>MP-2611</t>
  </si>
  <si>
    <t>MP-265</t>
  </si>
  <si>
    <t>MP-267</t>
  </si>
  <si>
    <t>MP-292</t>
  </si>
  <si>
    <t>MP-313</t>
  </si>
  <si>
    <t>MP-358</t>
  </si>
  <si>
    <t>MP-391</t>
  </si>
  <si>
    <t>MP-402</t>
  </si>
  <si>
    <t>MP-460</t>
  </si>
  <si>
    <t>MP-465</t>
  </si>
  <si>
    <t>MP-803</t>
  </si>
  <si>
    <t>MP-890</t>
  </si>
  <si>
    <t>OT-693</t>
  </si>
  <si>
    <t>PTHER002</t>
  </si>
  <si>
    <t>PTHER008</t>
  </si>
  <si>
    <t>PTHER009</t>
  </si>
  <si>
    <t>PTHER010</t>
  </si>
  <si>
    <t>QU-012</t>
  </si>
  <si>
    <t>QUIM-001</t>
  </si>
  <si>
    <t>QUIM-002</t>
  </si>
  <si>
    <t>QUIM-003</t>
  </si>
  <si>
    <t>QUIM-004</t>
  </si>
  <si>
    <t>QUIM-005</t>
  </si>
  <si>
    <t>QUIM-008</t>
  </si>
  <si>
    <t>QUIM-010</t>
  </si>
  <si>
    <t>QUIM-011</t>
  </si>
  <si>
    <t>QUIM-013</t>
  </si>
  <si>
    <t>QUIM-014</t>
  </si>
  <si>
    <t>QUIM-015</t>
  </si>
  <si>
    <t>QUIM-016</t>
  </si>
  <si>
    <t>QUIM-018</t>
  </si>
  <si>
    <t>QUIM-0181</t>
  </si>
  <si>
    <t>QUIM-019</t>
  </si>
  <si>
    <t>QUIM-020</t>
  </si>
  <si>
    <t>QUIM-021</t>
  </si>
  <si>
    <t>QUIM-022</t>
  </si>
  <si>
    <t>QUIM-023</t>
  </si>
  <si>
    <t>QUIM-024</t>
  </si>
  <si>
    <t>MP-123</t>
  </si>
  <si>
    <t>MP-164</t>
  </si>
  <si>
    <t>MP-19452</t>
  </si>
  <si>
    <t>MP-361</t>
  </si>
  <si>
    <t>MP-390</t>
  </si>
  <si>
    <t>MP-8021</t>
  </si>
  <si>
    <t>TERFUN-050</t>
  </si>
  <si>
    <t>IN-6789</t>
  </si>
  <si>
    <t>MP-897</t>
  </si>
  <si>
    <t>MP-257</t>
  </si>
  <si>
    <t>PTNUT050</t>
  </si>
  <si>
    <t>FU-003</t>
  </si>
  <si>
    <t>TERNUT-001</t>
  </si>
  <si>
    <t>TERNUT-002</t>
  </si>
  <si>
    <t>TERNUT-003</t>
  </si>
  <si>
    <t>TERNUT-004</t>
  </si>
  <si>
    <t>MP-002</t>
  </si>
  <si>
    <t>MP-024</t>
  </si>
  <si>
    <t>MP-029</t>
  </si>
  <si>
    <t>MP-037</t>
  </si>
  <si>
    <t>MP-0381</t>
  </si>
  <si>
    <t>MP-364</t>
  </si>
  <si>
    <t>MP-373</t>
  </si>
  <si>
    <t>MP-375</t>
  </si>
  <si>
    <t>MP-376</t>
  </si>
  <si>
    <t>MPFUN002</t>
  </si>
  <si>
    <t>MPFUN003</t>
  </si>
  <si>
    <t>N-OO1</t>
  </si>
  <si>
    <t>MP-01130</t>
  </si>
  <si>
    <t>MP-083</t>
  </si>
  <si>
    <t>MP-0832</t>
  </si>
  <si>
    <t>MP-084</t>
  </si>
  <si>
    <t>MP-0841</t>
  </si>
  <si>
    <t>MP-107</t>
  </si>
  <si>
    <t>MP-133</t>
  </si>
  <si>
    <t>MP-180</t>
  </si>
  <si>
    <t>MP-186</t>
  </si>
  <si>
    <t>MP-214</t>
  </si>
  <si>
    <t>MP-285</t>
  </si>
  <si>
    <t>MP-350</t>
  </si>
  <si>
    <t>MP-7091</t>
  </si>
  <si>
    <t>MP-789</t>
  </si>
  <si>
    <t>MP-19458</t>
  </si>
  <si>
    <t>MP-19459</t>
  </si>
  <si>
    <t>MP-000100</t>
  </si>
  <si>
    <t>MP-017</t>
  </si>
  <si>
    <t>MP-025</t>
  </si>
  <si>
    <t>MP-047</t>
  </si>
  <si>
    <t>MP-09877</t>
  </si>
  <si>
    <t>MP-1234</t>
  </si>
  <si>
    <t>MP-124</t>
  </si>
  <si>
    <t>MP-1323</t>
  </si>
  <si>
    <t>MP-2022</t>
  </si>
  <si>
    <t>MP-2023</t>
  </si>
  <si>
    <t>MP-206</t>
  </si>
  <si>
    <t>MP-273</t>
  </si>
  <si>
    <t>MP-284</t>
  </si>
  <si>
    <t>MP-6687</t>
  </si>
  <si>
    <t>MP-7092</t>
  </si>
  <si>
    <t>MPETI002</t>
  </si>
  <si>
    <t>MPFUN008</t>
  </si>
  <si>
    <t>MPFUND003</t>
  </si>
  <si>
    <t>MPFUND004</t>
  </si>
  <si>
    <t>MPFUND005</t>
  </si>
  <si>
    <t>MPFUND006</t>
  </si>
  <si>
    <t>MPFUND007</t>
  </si>
  <si>
    <t>DESMALEZADORA</t>
  </si>
  <si>
    <t>AGROFORESTAL</t>
  </si>
  <si>
    <t xml:space="preserve">HERRAMIENTAS VENTA </t>
  </si>
  <si>
    <t>ACEITES</t>
  </si>
  <si>
    <t>EC-09510</t>
  </si>
  <si>
    <t>ROLLO HILO NYLON 0.095 (870 MTS) 09510"</t>
  </si>
  <si>
    <t>ACCESORIOS DESMALEZADORA</t>
  </si>
  <si>
    <t>ANILLO PISTON CS3500</t>
  </si>
  <si>
    <t xml:space="preserve">REPUESTOS MOTOSIERRAS </t>
  </si>
  <si>
    <t>ANILLO PISTON SRM4300</t>
  </si>
  <si>
    <t>REPUESTOS DESMALEZADORA</t>
  </si>
  <si>
    <t>ANILLO PISTON CS8002</t>
  </si>
  <si>
    <t>EC-10021219830</t>
  </si>
  <si>
    <t>SELLO DE ACEITE CS680S CS8002 CS6702</t>
  </si>
  <si>
    <t>EC-10021330830</t>
  </si>
  <si>
    <t>SELLO DE ACEITE CS8002</t>
  </si>
  <si>
    <t>ROLLO NYLON SHINDAIWA 3LB 0.105"</t>
  </si>
  <si>
    <t>ROLLO NYLON SHINDAIWA 5LB 0.105"</t>
  </si>
  <si>
    <t>ROLLO HILO NYLON 0.105"700MTS) 10510"</t>
  </si>
  <si>
    <t>PALANCA BALANCIN SRM3605 SRM4605 C230 (22100-81230)</t>
  </si>
  <si>
    <t>BOMBA DEL CEBADOR 22F-C230-EB500-HT230 SRM3605</t>
  </si>
  <si>
    <t>REPUESTO BOMBA DE FUMIGACION</t>
  </si>
  <si>
    <t>VALVULA PATO B530 B450</t>
  </si>
  <si>
    <t>BOMBA DEL CEBADOR ES726</t>
  </si>
  <si>
    <t>ROLLO HILO NYLON 0.130 (460MTS) 13010"</t>
  </si>
  <si>
    <t>TAMBOR EMBREGUE CS8002</t>
  </si>
  <si>
    <t>TRINQUTE CS8002</t>
  </si>
  <si>
    <t>PODADORA HOME 22C</t>
  </si>
  <si>
    <t>TAMBOR EMBRAGUE ES726</t>
  </si>
  <si>
    <t>ACCESORIOS MOTOSIERRAS</t>
  </si>
  <si>
    <t>BOMBA MANUAL ACEITE CS8002</t>
  </si>
  <si>
    <t>PIÑON KIT SRM3605 SRM4605</t>
  </si>
  <si>
    <t>BOQUILLA COMPLETA SHP800</t>
  </si>
  <si>
    <t xml:space="preserve">CADENA60CM 24", 3/8, 058 (73DP-84X) </t>
  </si>
  <si>
    <t>MOTOSIERRAS</t>
  </si>
  <si>
    <t>ADAPTADOR UN10 C230</t>
  </si>
  <si>
    <t>ADAPTADOR UN10 C270,BP35 (80677)</t>
  </si>
  <si>
    <t>ADAPTADOR UN10,B450,B530,C350 (80678)</t>
  </si>
  <si>
    <t>COMBINACION CASCO/VISOR Y OREJERAS (82002)</t>
  </si>
  <si>
    <t xml:space="preserve">CABEZAL NYLON UN-10 SIN EMPAQUE Y SIN PERNO  82067A </t>
  </si>
  <si>
    <t>ACEITE LIMPIADOR RED ARMOR FD 2T</t>
  </si>
  <si>
    <t>COJINETE B450 B530 (02002-06001)</t>
  </si>
  <si>
    <t>CADENA 16" 40CM 3/8" 0.058" CS3500</t>
  </si>
  <si>
    <t>PISTON KIT B450 (99909-450)</t>
  </si>
  <si>
    <t>EC-99909-55113</t>
  </si>
  <si>
    <t>ACEITE SHINDAIWA PREMIUM 2-TIEMPOS 100ML</t>
  </si>
  <si>
    <t>ARRANCADOR COMPLETO B530</t>
  </si>
  <si>
    <t>ARRANCADOR COMPLETO SRM4605</t>
  </si>
  <si>
    <t>TAMBOR EMBRAGUE B450-B45</t>
  </si>
  <si>
    <t>ANILLO PISTON 22F-22C-F2 (20142-41210)</t>
  </si>
  <si>
    <t>ANILLO PISTON C350-BP35</t>
  </si>
  <si>
    <t>CILINDRO C230-ES726-M230-P230 (20016-12112)</t>
  </si>
  <si>
    <t>BASE B45-B45LA-B450-C350 (70200-33112)</t>
  </si>
  <si>
    <t>MANGA 757-577 (22150-12152)</t>
  </si>
  <si>
    <t>FILTRO AIRE B530 (62035-82121)</t>
  </si>
  <si>
    <t>FILTRO COMBUSTIBLE 22F-C230-HT230-ES726 (20016-85400)</t>
  </si>
  <si>
    <t>BANDA C350-BP35-B450 (20020-86140)</t>
  </si>
  <si>
    <t>BOBINA COMPLETA B530</t>
  </si>
  <si>
    <t>RESORTE ARRANCADOR  22C-C230-T230 (20140-75130)</t>
  </si>
  <si>
    <t>TAMBOR ARANQUE B450-B45 (20020-75120)</t>
  </si>
  <si>
    <t>CUERDA 22F-22C-C230</t>
  </si>
  <si>
    <t>GUIA CUERDA B530</t>
  </si>
  <si>
    <t>ZAPATA EMBRAGUE C350-B450-B5</t>
  </si>
  <si>
    <t>EC-A556001300</t>
  </si>
  <si>
    <t>TAMBOR EMBRAGUE C230-P230 (A556000960)</t>
  </si>
  <si>
    <t>EC-A556001480</t>
  </si>
  <si>
    <t>TAMBOR EMBRAGUE C350 (A055000000)</t>
  </si>
  <si>
    <t>DESMALEZADORA B450</t>
  </si>
  <si>
    <t>DESMALEZADORA B-530</t>
  </si>
  <si>
    <t>ARNES COMPLETO B530  B450  C350 (64007-67011)</t>
  </si>
  <si>
    <t>DESMALEZADORA C-230</t>
  </si>
  <si>
    <t>PIN DEL TENSOR DE CADENA 577-488-757 (22150-52440)</t>
  </si>
  <si>
    <t>DESMALEZADORA C-350</t>
  </si>
  <si>
    <t>CONECTOR ACELERADOR B450-B530-C350 (72550-82120)</t>
  </si>
  <si>
    <t>EJE CENTRAL B530 B450</t>
  </si>
  <si>
    <t>PROTECTOR PERNO 22C-C230 (22035-13290)</t>
  </si>
  <si>
    <t>PROTECTOR PERNO C350,B450,B530 (22015-13270)</t>
  </si>
  <si>
    <t>MOTOSIERRA CS-3000-30 CON BARRA Y CADEN</t>
  </si>
  <si>
    <t>MOTOSIERRA CS-420-45 CON BARRA Y CADENA</t>
  </si>
  <si>
    <t>MOTOSIERRA CS-8002-80 CON BARRA Y CADENA</t>
  </si>
  <si>
    <t>NEBULIZADORA, PULVERIZADORA 23LITROS</t>
  </si>
  <si>
    <t>NEBULIZADORA. PULVERIZADORA Y ESPOLVEADORA</t>
  </si>
  <si>
    <t>SOPLADORA EB500</t>
  </si>
  <si>
    <t>SOPLADORAS</t>
  </si>
  <si>
    <t>BOMBA DE FUMIGAR A MOTOR ES726</t>
  </si>
  <si>
    <t>BOMBA DE FUMIGACION</t>
  </si>
  <si>
    <t>PODADORA HOME GT-22GES</t>
  </si>
  <si>
    <t>MAQUINA MULTI USOS M230</t>
  </si>
  <si>
    <t>MAQ MULTIUSOS</t>
  </si>
  <si>
    <t>ZAPATAS EMBRAGUE KIT SRM4300</t>
  </si>
  <si>
    <t>CUCHILLA 3 PUNTAS  P021014320</t>
  </si>
  <si>
    <t>CABLE ACELERADOR C230</t>
  </si>
  <si>
    <t>KIT MOTOR RECONSTRUCCION B450</t>
  </si>
  <si>
    <t>PISTON KIT B530 (SH-60035-98030)</t>
  </si>
  <si>
    <t>PISTON KIT C350,C35LA,BP35 (72051-98011)</t>
  </si>
  <si>
    <t>PISTON KIT 757 (72330-98010)</t>
  </si>
  <si>
    <t>MANGUERA TANQUE B530 (62035-85031)</t>
  </si>
  <si>
    <t>EC-P021039360</t>
  </si>
  <si>
    <t>EJE DE ENGRANAJE B45-B450-C350 (C534000590)</t>
  </si>
  <si>
    <t>SEGURO DEL TRINQUETE TIPO E B530-C350-B450 (V583000140)</t>
  </si>
  <si>
    <t>CABLE LARGO COMPLETO B450</t>
  </si>
  <si>
    <t xml:space="preserve">PODADORAS DE ALTURA </t>
  </si>
  <si>
    <t>PODADORA DE EXTENSION 2400STD</t>
  </si>
  <si>
    <t>BOMBA DE FUMIGACION SHP-800</t>
  </si>
  <si>
    <t>BOMBA MANUAL 15LT</t>
  </si>
  <si>
    <t xml:space="preserve">CABEZAL DE NYLON ECHO  SRAH-205 </t>
  </si>
  <si>
    <t>PODADORA HOME SRM-22GUES</t>
  </si>
  <si>
    <t>DESMALEZADORA SRM 3605</t>
  </si>
  <si>
    <t>DESMALEZADORA SRM 4300R</t>
  </si>
  <si>
    <t>PODADORA T230</t>
  </si>
  <si>
    <t>UN-10 CABEZAL NYLON</t>
  </si>
  <si>
    <t>CABLE (B) ACELERADOR MANUBRIO B530 B450 C350 (64007-64310)</t>
  </si>
  <si>
    <t>EC-V043000870</t>
  </si>
  <si>
    <t>CABLE ACELERADOR ES726 (68501-98010)</t>
  </si>
  <si>
    <t>EMPAQUE CILINDRO B530 (62035-12120)</t>
  </si>
  <si>
    <t>EMPAQUE CILINDRO B450-C350 (20010-12121)</t>
  </si>
  <si>
    <t>EMPAQUE CILINDRO 22F-C230-ES726 (20016-12120)</t>
  </si>
  <si>
    <t>EMPQUE CARB. B450-B45-C350 (20021-83411)</t>
  </si>
  <si>
    <t>EMPAQUE AISLADOR (A) B530 (62035-12220)</t>
  </si>
  <si>
    <t>EMPAQUE SILENCIADOR C230-ES726</t>
  </si>
  <si>
    <t>TORNILLO TENSOR CS680S CS600</t>
  </si>
  <si>
    <t>PERNO CUCHILLA B450 C350 (SH-22015-13261)</t>
  </si>
  <si>
    <t>PERNO CUCHILLA B530 (63019-63310)</t>
  </si>
  <si>
    <t>PERNO TAPA GRASA B530,B450,C350,C270</t>
  </si>
  <si>
    <t>PERNO CUCHILLA C230 (22035-13271)</t>
  </si>
  <si>
    <t>TUERCA 577 (22150-52411)</t>
  </si>
  <si>
    <t>PERILLA DE FILTRO B530-HT230 (20870-33120)</t>
  </si>
  <si>
    <t>EMPAQUE SEGURO 450-B530-C350 (22015-13420)</t>
  </si>
  <si>
    <t>CABLE B LARGO PLOMO B450-B530-C350</t>
  </si>
  <si>
    <t>CABLE ACELERADOR CORTO B530</t>
  </si>
  <si>
    <t>MANGA C350-B450-B530 (20037-82130)</t>
  </si>
  <si>
    <t>RETEN 22F-22C-C230 (22150-21250)</t>
  </si>
  <si>
    <t>RETEN B450-B530-C350-EB500 (20010-21211)</t>
  </si>
  <si>
    <t>RETEN 22C-C230 (22035-13140)</t>
  </si>
  <si>
    <t>RETEN CAJA DE ENGRANAJE C350-B450-B530-B45 (72447-13121)</t>
  </si>
  <si>
    <t>SUJETADOR CUCHILLA B450-B530-C350 (22015-13290)</t>
  </si>
  <si>
    <t>PIÑON HUECO B45-B450-B530-C350 (22015-13220)</t>
  </si>
  <si>
    <t>PIÑON VASTAGO B45-B450-B530</t>
  </si>
  <si>
    <t>PINON HUECO C230-22C (22035-13220)</t>
  </si>
  <si>
    <t>PINON BASTAGO C230-22C (22035-13391) (17503314731)</t>
  </si>
  <si>
    <t>BOMBA DE AGUA WP-1000</t>
  </si>
  <si>
    <t>BOMBAS DE AGUA</t>
  </si>
  <si>
    <t>EC-X047000520</t>
  </si>
  <si>
    <t xml:space="preserve">CABEZAL METALICO NEGRO  (22000-92812) </t>
  </si>
  <si>
    <t>CUCHILLA METALICA DE 3 ELEMENTOS</t>
  </si>
  <si>
    <t>BOQUILLA SPEED FEED (28820-07340)</t>
  </si>
  <si>
    <t>LLAVE DE BUJIA B530,B450,C350 (X602000140)</t>
  </si>
  <si>
    <t xml:space="preserve">ORDENOS MECANICOS </t>
  </si>
  <si>
    <t>AGROPECUARIA</t>
  </si>
  <si>
    <t>EURO-10050-I</t>
  </si>
  <si>
    <t>EURO-10069</t>
  </si>
  <si>
    <t>ACCESORIOS ORDENOS MECANICOS</t>
  </si>
  <si>
    <t>EURO-10080</t>
  </si>
  <si>
    <t>CEPILLO TIPO MANIVELA PARA LAVADO</t>
  </si>
  <si>
    <t>EURO-10086</t>
  </si>
  <si>
    <t>VASO APLICADOR PRE Y POS DIPPING, NCM 8434.9000</t>
  </si>
  <si>
    <t>EURO-10241</t>
  </si>
  <si>
    <t>EURO-10470-L</t>
  </si>
  <si>
    <t>EURO-10747-A</t>
  </si>
  <si>
    <t>EURO-10766</t>
  </si>
  <si>
    <t>EURO-10772-A</t>
  </si>
  <si>
    <t>EURO-11000</t>
  </si>
  <si>
    <t>ACEITE PARA BOMBAS DE VACIO X 1LT</t>
  </si>
  <si>
    <t>EURO-11012</t>
  </si>
  <si>
    <t>ACEITE PARA BOMBA DE VACIO X 5LT</t>
  </si>
  <si>
    <t>EURO-25111</t>
  </si>
  <si>
    <t>CANTARA PLASTICA DE 45 L</t>
  </si>
  <si>
    <t>MEZCLADORA INCOMAGRI MIN-500P</t>
  </si>
  <si>
    <t>MEZCLADORAS</t>
  </si>
  <si>
    <t>ENSILADORA JF 50 MAXXIUM</t>
  </si>
  <si>
    <t>ENSILADORAS</t>
  </si>
  <si>
    <t>ORGANIZADOR DE PASTOS VALLE</t>
  </si>
  <si>
    <t>OT-584</t>
  </si>
  <si>
    <t>BUJIA 6A</t>
  </si>
  <si>
    <t>OT-74-02-331</t>
  </si>
  <si>
    <t>CUCHILLA CORBATIN RAISMAN</t>
  </si>
  <si>
    <t>CABEZAL NYLON SPEED-FEED</t>
  </si>
  <si>
    <t>CABEZAL SPEED FEED 375 PARA C230, T230</t>
  </si>
  <si>
    <t>DISCO ACERO 10; 3 DIENTES</t>
  </si>
  <si>
    <t>DISCO TORNADO 9 12 DIENTES LP12-9"</t>
  </si>
  <si>
    <t>CUCHILLA CORBATIN</t>
  </si>
  <si>
    <t>HIDROLAVADORAS</t>
  </si>
  <si>
    <t>AGROTA</t>
  </si>
  <si>
    <t>PERNO ALEN 5X16 CC</t>
  </si>
  <si>
    <t>PERNO ALEN 5X30</t>
  </si>
  <si>
    <t>PERNO ALEN 5X40</t>
  </si>
  <si>
    <t>BR-CAT-SC2170</t>
  </si>
  <si>
    <t>CHIPPER/SHREDDERS SC2170</t>
  </si>
  <si>
    <t>CHIPPER/SHEDDERS</t>
  </si>
  <si>
    <t>BR-CAT-SC3305</t>
  </si>
  <si>
    <t xml:space="preserve">CHIPPER/SHREDDERS SC3305		</t>
  </si>
  <si>
    <t>MOTOR 5HP WEG 1800RPM 220/440V</t>
  </si>
  <si>
    <t>MOTOR ELETRICO</t>
  </si>
  <si>
    <t>AGARRADERA MANUBRIO PULVERIZADORA</t>
  </si>
  <si>
    <t>ACCESORIOS BOMBA DE FUMIGACION</t>
  </si>
  <si>
    <t>ANILLO PISTON DM6110</t>
  </si>
  <si>
    <t>REPUESTOS NEBULIZADORA. PULVERIZADORA Y ESPOLVEADORA</t>
  </si>
  <si>
    <t>ANILLO PISTON PPT2400</t>
  </si>
  <si>
    <t xml:space="preserve">REPUESTOS PODADORAS DE ALTURA </t>
  </si>
  <si>
    <t>ANILLO PISTON SRM3605</t>
  </si>
  <si>
    <t>ANILLO PISTON SRM4605</t>
  </si>
  <si>
    <t>ANILLO PISTON CS3000</t>
  </si>
  <si>
    <t>EC-10001212331</t>
  </si>
  <si>
    <t>COJINETE DE AGUJAS DE TAMBOR CS420</t>
  </si>
  <si>
    <t>CIGUENAL CS8002</t>
  </si>
  <si>
    <t>CIGUENAL SRM4605</t>
  </si>
  <si>
    <t>CIGUEÑAL SHP-800</t>
  </si>
  <si>
    <t>EC-10010056032</t>
  </si>
  <si>
    <t>CIGUEÑAL SRM270</t>
  </si>
  <si>
    <t>TANQUE QUIMICO ES726</t>
  </si>
  <si>
    <t>SELLO DE ACEITE, RETEN SRM4605</t>
  </si>
  <si>
    <t>RETENEDOR CIGUEÑAL DM6110 SRM4300</t>
  </si>
  <si>
    <t>SELLO DE ACEITE SRM3605 SRM4300</t>
  </si>
  <si>
    <t>EMPAQUE CARTER  CS8002</t>
  </si>
  <si>
    <t>EMPAQUE CARTER SRM 4605</t>
  </si>
  <si>
    <t>EMPAQUE CARTER SRM3605 (10024255430)</t>
  </si>
  <si>
    <t>EC-10024255930</t>
  </si>
  <si>
    <t>EMPAQUE DE CARTER SRM270</t>
  </si>
  <si>
    <t>AMORTIGUADOR CS8002</t>
  </si>
  <si>
    <t>AMORTIGUADOR POSTERIOR CS8002</t>
  </si>
  <si>
    <t>EMPAQUE CILINDRO DM6110 (10101006211)</t>
  </si>
  <si>
    <t>EMPAQUE DE CILINDRO CS8002 (10101030830)</t>
  </si>
  <si>
    <t>EMPAQUE CILINDRO CS680S (10101032431)</t>
  </si>
  <si>
    <t xml:space="preserve">EMPAQUE CILINDRO SRM4605 (10101042231) </t>
  </si>
  <si>
    <t>EMPAQUE CILINDRO SRM3605 (10101055430)</t>
  </si>
  <si>
    <t>EMPAQUE CILINDRO SHP-800</t>
  </si>
  <si>
    <t>EMPAQUE CILINDRO SRM270 (10101056030)</t>
  </si>
  <si>
    <t>CILINDRO SRM4605 (10101147530)</t>
  </si>
  <si>
    <t>CILINDRO SHP800 (10101161230)</t>
  </si>
  <si>
    <t>EC-10150356032</t>
  </si>
  <si>
    <t>CUBIERTA DE VENTILADOR SRM 270</t>
  </si>
  <si>
    <t>EC-10153530830</t>
  </si>
  <si>
    <t>CUBIERTA DE VENTILADOR CS 8002</t>
  </si>
  <si>
    <t>GAFAS SPORT ECHO</t>
  </si>
  <si>
    <t>ACCESORIOS</t>
  </si>
  <si>
    <t>EC-10530</t>
  </si>
  <si>
    <t>BARRA 10, 0.42G P320</t>
  </si>
  <si>
    <t xml:space="preserve">ACCESORIOS PODADORAS DE ALTURA </t>
  </si>
  <si>
    <t>CARBURADOR CS8002</t>
  </si>
  <si>
    <t>CARBURADOR SRM4605</t>
  </si>
  <si>
    <t>CARBURADOR SRM3605</t>
  </si>
  <si>
    <t>DIAFRAGMA DE CARBURADOR CS680 CS8002 488</t>
  </si>
  <si>
    <t>EC-12311215030</t>
  </si>
  <si>
    <t>DIAFRAGMA BOMBA DE CARBURADOR SRM4605</t>
  </si>
  <si>
    <t>VALVULA SOUPAPE 22F (20016-81180)</t>
  </si>
  <si>
    <t>RESORTE BALANCIN SRM3605</t>
  </si>
  <si>
    <t>RESORTE BALANCIN CS8002</t>
  </si>
  <si>
    <t>PALANCA BALANCIN CS680  488,577,757</t>
  </si>
  <si>
    <t>DIAFRAGMA BOMBA SRM3605 PPT2400</t>
  </si>
  <si>
    <t>EMPAQUE DE DIAFRAGMA DE CARBURADOR CS680, CS8002 488,577,757</t>
  </si>
  <si>
    <t>EC-12314003930</t>
  </si>
  <si>
    <t>EMPAQUE DEL DIAFRAGMA SRM4605</t>
  </si>
  <si>
    <t>EMPAQUE DE DIAFRAGMA DE BALANCIN CS8002</t>
  </si>
  <si>
    <t>DIAFRAGMA DE BALANCIN CS600 CS680</t>
  </si>
  <si>
    <t>BOMBA DE CEBADOR CS420</t>
  </si>
  <si>
    <t>TAPA CARBURADOR B530 (62083-81310)</t>
  </si>
  <si>
    <t>RESORTE ACELERADOR B530 (20020-81140)</t>
  </si>
  <si>
    <t>RETENEDOR C350-B450 (SH-20000-81150)</t>
  </si>
  <si>
    <t>TORNILLO (T) RALENTI B450 C350</t>
  </si>
  <si>
    <t>RESORTE T B450-C350-B530 (72920-81820)</t>
  </si>
  <si>
    <t>CARBURADOR SHP800</t>
  </si>
  <si>
    <t>RESORTE BALANCIN C350-B450 (20040-81430)</t>
  </si>
  <si>
    <t xml:space="preserve">TORNILLO (H) B450 (20070-81350) </t>
  </si>
  <si>
    <t>RESORTE H B450-C350-B530 (20011-81360)</t>
  </si>
  <si>
    <t>EMPAQUE DE CARBURADOR SHP800</t>
  </si>
  <si>
    <t>PLACA CARBURADOR SHP800</t>
  </si>
  <si>
    <t>EMPAQUE DE BOMBA SHP800</t>
  </si>
  <si>
    <t>DIAFRAGMA BOMBA GASOLINA SHP800</t>
  </si>
  <si>
    <t>RESORTE MEMBRANA B530 (62035-81360)</t>
  </si>
  <si>
    <t>BOMBA CEBADOR B450-B530-C350 (12438012710)</t>
  </si>
  <si>
    <t>PALANCA BALANCIN SRM4300</t>
  </si>
  <si>
    <t>EMPAQUE BOMBA CARBURADOR SRM4300 (12532508360)</t>
  </si>
  <si>
    <t>BOMBA DE CEBADO SRM4300</t>
  </si>
  <si>
    <t>BARRA 12" PPT2400</t>
  </si>
  <si>
    <t>EMPAQUE B CARBURADOR SRM4300 SRM4605</t>
  </si>
  <si>
    <t>AISLADOR SRM3605</t>
  </si>
  <si>
    <t>AISLADOR SRM270 SHP800</t>
  </si>
  <si>
    <t>FILTRO DE AIRE COMPLETO SHP800</t>
  </si>
  <si>
    <t>FILTRO AIRE CS3500-CS420-45 (13030039730)</t>
  </si>
  <si>
    <t>TAPA FILTRO SRM3605</t>
  </si>
  <si>
    <t>FILTRO DE AIRE CS8002</t>
  </si>
  <si>
    <t>CA BASE FILTRO AIRE SRM4605 (13030143130)</t>
  </si>
  <si>
    <t>FILTRO AIRE DM6110</t>
  </si>
  <si>
    <t>FILTRO AIRE SHP800</t>
  </si>
  <si>
    <t>FILTRO DE AIRE SRM4605</t>
  </si>
  <si>
    <t>ELEMENTO FILTRO AIRE SRM3605 (13031051730)</t>
  </si>
  <si>
    <t>MANGA ADMISION CS80002</t>
  </si>
  <si>
    <t>EC-13100437632</t>
  </si>
  <si>
    <t>TAPA DE COMBUSTIBLE CS600 CS680 (13100437631)</t>
  </si>
  <si>
    <t>TAPA TANQUE SRM3605 4300 4605</t>
  </si>
  <si>
    <t>FILTRO DE COMBUSTIBLE PPT2400</t>
  </si>
  <si>
    <t>EC-13132840630</t>
  </si>
  <si>
    <t>CUBIERTA DE VALVULA DE VENTILACION CS8002</t>
  </si>
  <si>
    <t>AMORTIGUA TANQ SRM4300-3605-4605</t>
  </si>
  <si>
    <t>MANGUERA DE COMBUSTIBLE SRM4605</t>
  </si>
  <si>
    <t>ADAPTADOR DE MANGUERA CS8002</t>
  </si>
  <si>
    <t>OJAL LINEA DE COMBUSTIBLE SRM4300</t>
  </si>
  <si>
    <t>EMPAQUE DE SILENCIADOR DM6110</t>
  </si>
  <si>
    <t>EC-14551042231</t>
  </si>
  <si>
    <t>EMPAQUE DE ESCAPE SRM4605</t>
  </si>
  <si>
    <t>EMPAQUE DE ESCAPE SHP800 (14551055932)</t>
  </si>
  <si>
    <t>DEFLECTOR DE SILENCIADOR CS8002</t>
  </si>
  <si>
    <t>BOBINA SRM3605</t>
  </si>
  <si>
    <t>BOBINA SHP800</t>
  </si>
  <si>
    <t>BOBINA SRM4605</t>
  </si>
  <si>
    <t>BOBINA DE ENCENDIDO CS8002</t>
  </si>
  <si>
    <t>BOBINA CS680S, CS6702</t>
  </si>
  <si>
    <t>BOBINA PPT2400</t>
  </si>
  <si>
    <t>TAMBOR EMBRAGUE SRM4605</t>
  </si>
  <si>
    <t>TAMBOR EMBRAGUE SRM3605</t>
  </si>
  <si>
    <t>TAMBOR EMBRAGUE SRM270</t>
  </si>
  <si>
    <t>ZAPATA EMBRAGUE UNIDAD SRM4605</t>
  </si>
  <si>
    <t>ZAPATA EMBRAGUE UNIDAD SRM270, SHP800</t>
  </si>
  <si>
    <t>COJINETE AGUJAS EMBRAGUE CS8002</t>
  </si>
  <si>
    <t>COJINETE DE AGUJAS PARA EMBRAGUE CS680</t>
  </si>
  <si>
    <t>RESORTE EMBRAGUE SRM270</t>
  </si>
  <si>
    <t>RESORTE EMBRAGUE SRM4300-4605</t>
  </si>
  <si>
    <t>RESORTE EMBRAGUE SRM3605</t>
  </si>
  <si>
    <t>PERNO EMBRAGUE SRM4300-4605</t>
  </si>
  <si>
    <t>PERNO EMBRAGUE SRM3605</t>
  </si>
  <si>
    <t>TORNILLO EMBRAGUE SHP800</t>
  </si>
  <si>
    <t>ARANDELA B EMBRAGUE SRM4300</t>
  </si>
  <si>
    <t>ARANDELA EMBRAGUE SRM3605</t>
  </si>
  <si>
    <t>ARANDELA A EMBRAGUE SRM4300</t>
  </si>
  <si>
    <t>TAMBOR EMBRAGUE CS680</t>
  </si>
  <si>
    <t>EC-17511412530</t>
  </si>
  <si>
    <t>PIÑON FLOTANTE CS420</t>
  </si>
  <si>
    <t>EMPAQUE GT22</t>
  </si>
  <si>
    <t>ARRANCADOR COMP. DM6110</t>
  </si>
  <si>
    <t>ARRANCADOR COMPLETO SRM3605</t>
  </si>
  <si>
    <t>ARRANCADOR COMPLETO SRM270-SHP-800</t>
  </si>
  <si>
    <t>RESORTE ARRANQUE CS3500</t>
  </si>
  <si>
    <t>TAMBOR DE ARRANCADOR CS8002</t>
  </si>
  <si>
    <t>EC-17721511120</t>
  </si>
  <si>
    <t>TAMBOR ARRANCADOR DM6110</t>
  </si>
  <si>
    <t>TAMBOR ARRANCADOR CS680S</t>
  </si>
  <si>
    <t>TAMBOR ARRANQUE SHP800</t>
  </si>
  <si>
    <t>TAMBOR ARRANQ SRM4605 B45LA-C350-EB500 (A506000150)</t>
  </si>
  <si>
    <t>TAMBOR DE ARRANCADOR HT230,ES726 (70030-75120)</t>
  </si>
  <si>
    <t xml:space="preserve">REPUESTOS CORTASETOS </t>
  </si>
  <si>
    <t>RESORTE ARRANCADOR CS680</t>
  </si>
  <si>
    <t>RESORTE ARRANCADOR B450 GP450  (A504000140)</t>
  </si>
  <si>
    <t>RESORTE ARRANQUE SRM4300 B530 (62035-75130)</t>
  </si>
  <si>
    <t>RESORTE RECULAR ARRANQUE SC600</t>
  </si>
  <si>
    <t>RESORTE ARRANQUE SHP800 SRM270 3605 4605 C270 ES726</t>
  </si>
  <si>
    <t>RESORTE ARRANCADOR HT230</t>
  </si>
  <si>
    <t>BASE RESORTE ARRANCADOR CS680</t>
  </si>
  <si>
    <t>CUERDA SRM3605</t>
  </si>
  <si>
    <t>RESORTE DEL TRINQUETE CS680</t>
  </si>
  <si>
    <t>RESORTE DEL TRINQUETE CS8002</t>
  </si>
  <si>
    <t>RESORTE TRINQUETE SRM3605 SRM4605 B530 C350</t>
  </si>
  <si>
    <t>CABLE ACELERADOR SRM4605</t>
  </si>
  <si>
    <t>CABLE ACELERADOR SRM3605</t>
  </si>
  <si>
    <t>CABLE ACELERADOR SRM270</t>
  </si>
  <si>
    <t>GATILLO DEL ACELERADOR 4605</t>
  </si>
  <si>
    <t>TRABA DE GATILLO 4605</t>
  </si>
  <si>
    <t>RESORTE DE GATILLO 4605</t>
  </si>
  <si>
    <t>PROTECTOR CABLE SRM4605</t>
  </si>
  <si>
    <t>EC-18F8LS3372</t>
  </si>
  <si>
    <t>BARRA 18" CS-420ES</t>
  </si>
  <si>
    <t>EC-20091006210</t>
  </si>
  <si>
    <t>AMORTIGUADOR SUPERIOR DM6110</t>
  </si>
  <si>
    <t>BARRA 50CM 3/8"/0.58" CS600</t>
  </si>
  <si>
    <t>TUBO ACORDEON DM6110</t>
  </si>
  <si>
    <t>EC-21002300210</t>
  </si>
  <si>
    <t>TUBO CURVO DM6110</t>
  </si>
  <si>
    <t>EC-21003204110</t>
  </si>
  <si>
    <t>OBTURADOR TUBO RECTO DM6110</t>
  </si>
  <si>
    <t>EC-21003604110</t>
  </si>
  <si>
    <t>OBTURADOR DE TUBO CORRUGADO DM6110</t>
  </si>
  <si>
    <t>EC-21250001112</t>
  </si>
  <si>
    <t>BOQUILLA COMPLETA DM6110 (P050008390) (21250001111)</t>
  </si>
  <si>
    <t>EC-21BPX72X</t>
  </si>
  <si>
    <t>CADENA 18" 45CM PARA CS420</t>
  </si>
  <si>
    <t>EMPAQUE DIFUSOR ES726 (4050771)</t>
  </si>
  <si>
    <t>EC-25001708013</t>
  </si>
  <si>
    <t>TAPA DRENAJE SHP 800</t>
  </si>
  <si>
    <t>EC-25090206310</t>
  </si>
  <si>
    <t>SUETADOR DE TANQUE DM6110</t>
  </si>
  <si>
    <t>ARNES SRM3605 (30100156831)</t>
  </si>
  <si>
    <t>EC-3014111</t>
  </si>
  <si>
    <t>FILTRO DE TANQUE ES726</t>
  </si>
  <si>
    <t>ROLLO NYLON ECHO 3LB 0.105"</t>
  </si>
  <si>
    <t>ROLLO NYLON  ECHO 5LB.105" REDONDO NYL</t>
  </si>
  <si>
    <t>EC-32D8PS3805</t>
  </si>
  <si>
    <t>BARRA DE 30" 3/8 0.58 (80CM) PARA CS8002</t>
  </si>
  <si>
    <t>MANUBRIO IZQ SRM3605-4605</t>
  </si>
  <si>
    <t>EC-35121005560</t>
  </si>
  <si>
    <t>PALANCA DE MANIJA EDR210</t>
  </si>
  <si>
    <t>REPUESTOS TALADRO MOTORIZADO</t>
  </si>
  <si>
    <t>MANUBRIO DERECHO SRM3605-SRM4605</t>
  </si>
  <si>
    <t>EC-35131128330</t>
  </si>
  <si>
    <t>MANIJA PARA EDR210 (35151522330)</t>
  </si>
  <si>
    <t>LLAVE DE PASO DM6110</t>
  </si>
  <si>
    <t>EC-38301312621</t>
  </si>
  <si>
    <t>FILTRO DE MANGUERA DE SUCCION WP1000</t>
  </si>
  <si>
    <t>ACCESORIOS BOMBA DE AGUA</t>
  </si>
  <si>
    <t>FILTRO MALLA BOQUILLA ES726</t>
  </si>
  <si>
    <t>EC-400806410</t>
  </si>
  <si>
    <t>EMBOLO ES726 (4042881)</t>
  </si>
  <si>
    <t>ASIENTO DE VALVULA ES726</t>
  </si>
  <si>
    <t>SOPORTE DE LANZA ES726</t>
  </si>
  <si>
    <t>BARRA 24"  CS-680, CS-8002</t>
  </si>
  <si>
    <t>CADENA 24" CS680 CS 8002</t>
  </si>
  <si>
    <t>TENSOR DE LA CADENA CS1201</t>
  </si>
  <si>
    <t>TORNILLO TENSOR CS1201</t>
  </si>
  <si>
    <t>TUERCA BARRA CS3500 PPT2400</t>
  </si>
  <si>
    <t>TUERCA BARRA CS680</t>
  </si>
  <si>
    <t>BOMBA ACEITE CS680 CS8002</t>
  </si>
  <si>
    <t>VALVULA DE PASO ES726 (4515030)</t>
  </si>
  <si>
    <t>CUERPO DE LA VALVULA ES726 (4568020)</t>
  </si>
  <si>
    <t>PLACA GOTA FINA ES726 (4555310)</t>
  </si>
  <si>
    <t>JUEGO DE EMPAQUES ES726</t>
  </si>
  <si>
    <t>JUEGO DE VALVULAS ES726</t>
  </si>
  <si>
    <t>VALVULA COMPLETA ES726</t>
  </si>
  <si>
    <t>MANDRIL EDR-210</t>
  </si>
  <si>
    <t>EJE CENTRAL SRM3605 SRM4605 (61001106230)</t>
  </si>
  <si>
    <t>EJE TRANSMISIÓN INFERIOR PPT2400</t>
  </si>
  <si>
    <t>CONECTOR EJE TRANSMISION PPT2400</t>
  </si>
  <si>
    <t>CUBIERTA DE EMBRAGUE SRM4605</t>
  </si>
  <si>
    <t>TUBO EXTERIOR SRM4605 SRM3605</t>
  </si>
  <si>
    <t>EJE PINON SRM4300 (61031005730)</t>
  </si>
  <si>
    <t xml:space="preserve">EJE PIÑON SRM4605 SRM3605  </t>
  </si>
  <si>
    <t>SOPORTE (A) SRM4300</t>
  </si>
  <si>
    <t>SOPORTE (B) SRM270 SRM3605 SRM4605</t>
  </si>
  <si>
    <t>ESPACIADOR DE CAJA DE ENGRANAJES SRM4300</t>
  </si>
  <si>
    <t>TUERCA CUCHILLA SRM4300</t>
  </si>
  <si>
    <t>TUERCA DE CUCHILLA SRM3605 SRM4605</t>
  </si>
  <si>
    <t>PERNO GRASERO SRM3605-4300-4605-270</t>
  </si>
  <si>
    <t>AMORTIGUADOR UNION SRM4605</t>
  </si>
  <si>
    <t>ACC. DESMALEZADORA M-230 65001</t>
  </si>
  <si>
    <t>ACC. PODARRAMAS M-230 65002</t>
  </si>
  <si>
    <t>ACC. CORTASETOS ARTICULADOS M-230 65003</t>
  </si>
  <si>
    <t>ESTABILIZADOR CUCHILLA SRM270-3605</t>
  </si>
  <si>
    <t>CONECTOR VARILLA DM6110</t>
  </si>
  <si>
    <t>TAMBOR EMBRAGUE SHP800</t>
  </si>
  <si>
    <t>RETEN DE CARTER BIELA SHP800</t>
  </si>
  <si>
    <t>BIELA BOMBA SHP-800</t>
  </si>
  <si>
    <t>EC-70602019230</t>
  </si>
  <si>
    <t>CIGUEÑAL DEL MECANISMO BOMBA SHP800</t>
  </si>
  <si>
    <t>RESORTE VALVULA SHP-800</t>
  </si>
  <si>
    <t>VALVULA PRESION SHP-800</t>
  </si>
  <si>
    <t>CABEZA PISTON SHP800 (70602034770)</t>
  </si>
  <si>
    <t>ASIENTO DE VALVULA SHP800</t>
  </si>
  <si>
    <t>EMPAQUE BOMBA SHP 800</t>
  </si>
  <si>
    <t>EMPAQUE DE GRASA SHP800</t>
  </si>
  <si>
    <t>JUEGO DE EMPAQUES BOMBA SHP800</t>
  </si>
  <si>
    <t>EMPAQUE DE CILINDRO PRESION SHP800</t>
  </si>
  <si>
    <t>CILINDRO DE BOMBA SHP 800</t>
  </si>
  <si>
    <t>O RING B SHP800</t>
  </si>
  <si>
    <t>BASE VALVULA PRESION SHP800</t>
  </si>
  <si>
    <t>VALVULA KIT DE EMBOLO SHP800</t>
  </si>
  <si>
    <t>CAMARA DE AIRE SHP800</t>
  </si>
  <si>
    <t>ESFERA DE ACERO BOMBA SHP800</t>
  </si>
  <si>
    <t>RETENEDOR DE RESORTE SHP-800</t>
  </si>
  <si>
    <t>RESORTE VALVULA PRESION SHP800</t>
  </si>
  <si>
    <t>EC-70604047001</t>
  </si>
  <si>
    <t>SWITCH STOP SHP-800 (70604047000)</t>
  </si>
  <si>
    <t>MANGUERA PULV SHP800</t>
  </si>
  <si>
    <t>MANIJA DE LANZA SHP800</t>
  </si>
  <si>
    <t>VALVULA DE PASO SHP800</t>
  </si>
  <si>
    <t>RETENEDOR RESORTE SHP800</t>
  </si>
  <si>
    <t>FILTRO MALLA BOQUILLA SHP800</t>
  </si>
  <si>
    <t>TAPA DE LA BOQUILLA SHP800</t>
  </si>
  <si>
    <t>PLACA DE BOQUILLA SHP800</t>
  </si>
  <si>
    <t>ORING DE BOQUILLA SHP800</t>
  </si>
  <si>
    <t>HERRAMIENTA BOMBA SHP800</t>
  </si>
  <si>
    <t>CADENA 50CM 20" CS600 ( 43101230831)</t>
  </si>
  <si>
    <t>CADENA70CM 28" CS8002 (43101530831)</t>
  </si>
  <si>
    <t>MOTOSIERRA 757-70 CON BARRA Y CADENA</t>
  </si>
  <si>
    <t>O-RING DE LANZA,SELLO ES726</t>
  </si>
  <si>
    <t>TUBO COMPLETO C350</t>
  </si>
  <si>
    <t>TANQUE COMBUSTIBLE C270</t>
  </si>
  <si>
    <t>TUBO COMP CON ETIQUETA  C230</t>
  </si>
  <si>
    <t>KIT VALVULA BOMBA ES726</t>
  </si>
  <si>
    <t>EMPAQUETADURA-DIAF ES726</t>
  </si>
  <si>
    <t>AGUJA KIT KWIK ES726</t>
  </si>
  <si>
    <t>EMPAQUETADURA DIAFR 488-577-757</t>
  </si>
  <si>
    <t>MANGUERA LANZA ES726</t>
  </si>
  <si>
    <t>BOQUILLA HV-2 (88102)</t>
  </si>
  <si>
    <t>TAPA DE BOQUILLA ES726</t>
  </si>
  <si>
    <t>LLAVE MANDRIL EDR-210</t>
  </si>
  <si>
    <t>EC-89770819835</t>
  </si>
  <si>
    <t>HERRAMIENTA EXTRACTOR PIÑON CS680</t>
  </si>
  <si>
    <t>PERNO DE SUJECION (COM) SRM4605,SRM4300,SRM3605</t>
  </si>
  <si>
    <t>PERNO SUJETADOR CARBURADOR SRM3605</t>
  </si>
  <si>
    <t>TORNILLO SRM4605</t>
  </si>
  <si>
    <t>EC-90070600012</t>
  </si>
  <si>
    <t>ANILLO RETENEDOR DE CAJA DE ENGRANAJE SRM4300</t>
  </si>
  <si>
    <t>O RING BOQUILLA Y CAJA ES726 SRM270-3605-4605</t>
  </si>
  <si>
    <t>CADENA GUIA 10" P230 (90SG-039X)</t>
  </si>
  <si>
    <t>PERNO TAPA GRASA C230</t>
  </si>
  <si>
    <t>HERRAMIENTA KIT ENGENER</t>
  </si>
  <si>
    <t>CADENA 12" PPT2400</t>
  </si>
  <si>
    <t>ANILLO DE RETENCION 22F 22C (02432-28120)</t>
  </si>
  <si>
    <t>ANILLO SEGER C350-B450-B530</t>
  </si>
  <si>
    <t>CHAVETA B530</t>
  </si>
  <si>
    <t>AGUJA KIT 757</t>
  </si>
  <si>
    <t>EMPAQUETADURA KIT C230</t>
  </si>
  <si>
    <t>AGUJA KIT C230</t>
  </si>
  <si>
    <t>PISTON KIT 22C-22F</t>
  </si>
  <si>
    <t>EMPAQUETADURA-DIAFRAG B450</t>
  </si>
  <si>
    <t>CIGUENAL SRM4300 (A011000120)</t>
  </si>
  <si>
    <t>CIGUENAL ES726 22C 22F(67000-42002)</t>
  </si>
  <si>
    <t>CIGUEÑAL B45-B45LA</t>
  </si>
  <si>
    <t>CIGUEÑAL B530</t>
  </si>
  <si>
    <t>CIGUENAL COMPLETO C350-BP35 (20010-42002)</t>
  </si>
  <si>
    <t>EC-A011000930</t>
  </si>
  <si>
    <t>CIGUEÑAL C230</t>
  </si>
  <si>
    <t>CIGUENAL 757 (22169-42000)</t>
  </si>
  <si>
    <t>CARBURADOR BP35 (20055-81004)</t>
  </si>
  <si>
    <t>EC-A021000291</t>
  </si>
  <si>
    <t>CARBURADOR CS6702 (A021000290)</t>
  </si>
  <si>
    <t>EC-A021000682</t>
  </si>
  <si>
    <t>CARBURADOR SRM4300 (A021000681)</t>
  </si>
  <si>
    <t>CARBURADOR CS680</t>
  </si>
  <si>
    <t>CARBURADOR 22F-22C</t>
  </si>
  <si>
    <t>CARBURADOR C230 (20016-81021)</t>
  </si>
  <si>
    <t>EC-A021002300</t>
  </si>
  <si>
    <t>CARBURADOR C270 (20024-81023)</t>
  </si>
  <si>
    <t>CARBURADOR C350</t>
  </si>
  <si>
    <t>CARBURADOR B450 B450AUS</t>
  </si>
  <si>
    <t>CARBURADOR B530 (62035-81013)</t>
  </si>
  <si>
    <t>CARBURADOR 757 (22169-81000)</t>
  </si>
  <si>
    <t>CARBURADOR ES726</t>
  </si>
  <si>
    <t>BASE FILTRO DE AIRE B530</t>
  </si>
  <si>
    <t>SILENCIADOR COMP. B450 (70210-15102)</t>
  </si>
  <si>
    <t>SILENCIADOR COMPLETO B530 (62035-15012)</t>
  </si>
  <si>
    <t>SILENCIADOR 757 (22169-15113)</t>
  </si>
  <si>
    <t>TAPA COMBUSTIBLE 757-577-488 (22160-33801)</t>
  </si>
  <si>
    <t>TAPA DE COMBUSTIBLE B530,B450,C350,C230 (70168-85201)</t>
  </si>
  <si>
    <t>FILTRO COMBUSTIBLE B45-B45LA</t>
  </si>
  <si>
    <t>TANQUE COMBUSTIBLE  B530 (62035-85013)</t>
  </si>
  <si>
    <t>VALVULA DE AIRE, RESPIRADERO COMP B450-B45L (20000-85500)</t>
  </si>
  <si>
    <t>ARRANCADOR COMP. B45-B450</t>
  </si>
  <si>
    <t>ARRANCADOR COMPLETO SRM4300</t>
  </si>
  <si>
    <t>ARRANCADOR COMPLETO C270 (70162-75100)</t>
  </si>
  <si>
    <t>ARRANCADOR SIN ETIQUETA C230 (72933-75900)</t>
  </si>
  <si>
    <t>ARRANCADOR COMPLETO ES726 (70036-75100)</t>
  </si>
  <si>
    <t>POLEA ARRANCADOR DE ALUMINIO COMPLETA SRM4300</t>
  </si>
  <si>
    <t>POLEA COMPLETA B45LA C350 SRM4605 SRM3605 (70131-75200)</t>
  </si>
  <si>
    <t>POLEA ARRANCADOR DE ALUMINIO B530</t>
  </si>
  <si>
    <t>POLEA COMPLETA ALUMINIO ES726 (20035-75200)</t>
  </si>
  <si>
    <t>EMBRAGUE CS680S</t>
  </si>
  <si>
    <t>EC-A056000430</t>
  </si>
  <si>
    <t>EMBRAGUE C270</t>
  </si>
  <si>
    <t>EC-A056000451</t>
  </si>
  <si>
    <t>EMBRAGUE B530-B450-C350 (A056000450)</t>
  </si>
  <si>
    <t>EMBRAGUE COMPLETO C230 (A056000260)</t>
  </si>
  <si>
    <t>EMBRAGUE 577-CS8002</t>
  </si>
  <si>
    <t>EMBRAGUE COMPLETO 757</t>
  </si>
  <si>
    <t>CUBIERTA EMBRAGUE COMPLETA SRM4300</t>
  </si>
  <si>
    <t>UNION COMPLETA B530 (62035-33010)</t>
  </si>
  <si>
    <t>ANILLO PISTON SHP-800   EDR-210</t>
  </si>
  <si>
    <t>ANILLO PISTON SRM270</t>
  </si>
  <si>
    <t>ANILLO PISTON CS680</t>
  </si>
  <si>
    <t>ANILLO PISTON CS420</t>
  </si>
  <si>
    <t>ANILLO PISTON CS600</t>
  </si>
  <si>
    <t>ANILLO PISTON EB500</t>
  </si>
  <si>
    <t xml:space="preserve">REPUESTOS SOPLADORAS </t>
  </si>
  <si>
    <t>ANILLO PISTON B45-B45LA</t>
  </si>
  <si>
    <t>ANILLO PISTON B530 (62035-41120)</t>
  </si>
  <si>
    <t>ANILLO PISTON 488 (22157-41210)</t>
  </si>
  <si>
    <t>ANILLO DEL PISTON 577 (22152-41210)</t>
  </si>
  <si>
    <t>ANILLO PISTON 757 (22169-41210)</t>
  </si>
  <si>
    <t>CILINDRO SRM4300</t>
  </si>
  <si>
    <t>CILINDRO SRM3605 (A130000601)</t>
  </si>
  <si>
    <t>CILINDRO CS680</t>
  </si>
  <si>
    <t>CILINDRO EB500</t>
  </si>
  <si>
    <t>CILINDRO 22F-22C-F220 (20142-12110)</t>
  </si>
  <si>
    <t>CILINDRO B450</t>
  </si>
  <si>
    <t>CILINDRO C350-C35LA (70196-12110)</t>
  </si>
  <si>
    <t>CILINDRO B530 (62035-12111)</t>
  </si>
  <si>
    <t>CUBIERTA CILINDRO B450 (70210-32111)</t>
  </si>
  <si>
    <t>CUBIERTA DE VENTILADOR B530 (62035-31110)</t>
  </si>
  <si>
    <t>CUBIERTA DEL VENTILADOR BP35 B450 B45 (70012-31111)</t>
  </si>
  <si>
    <t>PROTECTOR DEL TANQUE B45-B450</t>
  </si>
  <si>
    <t>PROTECTOR DEL TANQUE B530 (62035-85360)</t>
  </si>
  <si>
    <t>AISLADOR SRM4300</t>
  </si>
  <si>
    <t>AISLADOR CONDENSADORES726</t>
  </si>
  <si>
    <t>AISLADOR C270</t>
  </si>
  <si>
    <t>AISLADOR CONDENS B450-C350 (20060-12210)</t>
  </si>
  <si>
    <t>AISLADOR CONDENS B530 (62035-12210)</t>
  </si>
  <si>
    <t>MANGA CS420</t>
  </si>
  <si>
    <t>MANGA CS600</t>
  </si>
  <si>
    <t>MANGA 488 (22160-12150)</t>
  </si>
  <si>
    <t>BRIDA MANGA CS600</t>
  </si>
  <si>
    <t>PORTA FILTRO ES726 (A225000400)</t>
  </si>
  <si>
    <t>BASE FILTRO AIRE B450-C350-C270</t>
  </si>
  <si>
    <t>FILTRO AIRE CS680</t>
  </si>
  <si>
    <t>FILTRO AIRE SRM4300</t>
  </si>
  <si>
    <t>PRE FILTRO B530</t>
  </si>
  <si>
    <t>FILTRO AIRE ES726 (38500-82120)</t>
  </si>
  <si>
    <t>FILTRO DE AIRE 577 (22175-82310)</t>
  </si>
  <si>
    <t>EC-A226001250</t>
  </si>
  <si>
    <t>FILTRO AIRE 757 EB500 (22169-82310)</t>
  </si>
  <si>
    <t>PRE FILTRO 577P-757 (72330-82320)</t>
  </si>
  <si>
    <t>REJILLA FILTRO AIRE SRM4300</t>
  </si>
  <si>
    <t>EC-A232000312</t>
  </si>
  <si>
    <t>CUBIERTA FILTRO DE AIRE SRM4300</t>
  </si>
  <si>
    <t>CUBIERTA FILTRO AIRE ES726 (38500-82130)</t>
  </si>
  <si>
    <t>CUBIERTA, FILTRO DE AIRE C350,B450</t>
  </si>
  <si>
    <t>CUBIERTA FILTRO AIRE B530 (62035-82131)</t>
  </si>
  <si>
    <t>PERILLA DE FILTRO C230 (A235000220)</t>
  </si>
  <si>
    <t>PLACA FILTRO B530</t>
  </si>
  <si>
    <t>SILENCIADOR CS680</t>
  </si>
  <si>
    <t>CUBIERTA SILENCIADOR SRM4300</t>
  </si>
  <si>
    <t>CUBIERTA SILENCIADOR B450</t>
  </si>
  <si>
    <t>CUBIERTA DEL SILENCIADOR SRM4605</t>
  </si>
  <si>
    <t>EC-A356000031</t>
  </si>
  <si>
    <t>RESPIRADERO CS8002 EDR210 CS600 WP1000</t>
  </si>
  <si>
    <t>VALVULA DE VENTILADOR B530 CS600 HC150 WP1000 CS8002 (A356000031)</t>
  </si>
  <si>
    <t>ABRAZADERA S B450 C300 B45-B45LA (20021-86110)</t>
  </si>
  <si>
    <t>ABRAZADERA (M) B450 C350</t>
  </si>
  <si>
    <t>VOLANTE ES726</t>
  </si>
  <si>
    <t>VOLANTE B450 C350 (70200-71200)</t>
  </si>
  <si>
    <t>BOBINA AZUL PEQUEÑA 488 (22160-71511)</t>
  </si>
  <si>
    <t>BOBINA 577-757</t>
  </si>
  <si>
    <t>BOBINA SRM4300</t>
  </si>
  <si>
    <t>BOBINA HC 150  EDR210</t>
  </si>
  <si>
    <t>BOBINA CS420</t>
  </si>
  <si>
    <t>BOBINA CS600</t>
  </si>
  <si>
    <t>BOBINA COMPLETA ES726 (38500-71020)</t>
  </si>
  <si>
    <t>BOBINA B450 C350 C35LA B45LA (70200-71610)</t>
  </si>
  <si>
    <t>BOBINA B45-BP35</t>
  </si>
  <si>
    <t>BOBINA C230-P230 (20016-71601)</t>
  </si>
  <si>
    <t>BOBINA AZUL PAQUEÑA 757</t>
  </si>
  <si>
    <t>RESORTE BUJIA C230-C350-EB500 (20000-72230)</t>
  </si>
  <si>
    <t>CAPUCHON DE BUJIA   C350 (20010-72221)</t>
  </si>
  <si>
    <t>CUBIERTA BUJIA C230-C350-B45 (20000-72241)</t>
  </si>
  <si>
    <t>CUBIERTA BUJIA B530 (62035-32310)</t>
  </si>
  <si>
    <t>SWICH SRM4605 SRM270</t>
  </si>
  <si>
    <t>EC-A440000310</t>
  </si>
  <si>
    <t>SWICH SRM4605</t>
  </si>
  <si>
    <t>RESORTE DE ARRANCADOR Y CAJA 577,757 (22155-75410)</t>
  </si>
  <si>
    <t>TAMBOR ARRANQUE CS420</t>
  </si>
  <si>
    <t>TAMBOR ARRANQUE C230</t>
  </si>
  <si>
    <t>TAMBOR CUERDA C270 (20024-75120)</t>
  </si>
  <si>
    <t>TAMBOR DE ARRANCADOR 757</t>
  </si>
  <si>
    <t>PERILLA ARRANCADOR B530 (22104-75420)</t>
  </si>
  <si>
    <t>EC-A514000120</t>
  </si>
  <si>
    <t>TRINQUETE SRM270,C350,B530 (17721840630)</t>
  </si>
  <si>
    <t>TRINQUETE B450,BP35,B45 (20000-75130)</t>
  </si>
  <si>
    <t>POLEA DE ARRANCADOR C230 (70064-75310)</t>
  </si>
  <si>
    <t>POLEA DE ALUMINIO DE ARRANQUE B450,B45,BP35</t>
  </si>
  <si>
    <t>ZAPATA EMBRAGUE UNIDAD SRM3605</t>
  </si>
  <si>
    <t>ZAPATA DE EMBRAGUE C230</t>
  </si>
  <si>
    <t>TAMBOR EMBRAGUE CS600-CS530</t>
  </si>
  <si>
    <t>TAMBOR EMBRAGUE CS420</t>
  </si>
  <si>
    <t>TAMBOR EMBRAGUE BP35 (70051-31210)</t>
  </si>
  <si>
    <t>TAMBOR DE EMBRAGUE 757 (22169-51110)</t>
  </si>
  <si>
    <t>EC-A556001270</t>
  </si>
  <si>
    <t>PLACA MANGA 757 (22150-12180)</t>
  </si>
  <si>
    <t>RESORTE EMBRAGUE C270 (70102-51220)</t>
  </si>
  <si>
    <t>RESORTE EMBRAGUE B45</t>
  </si>
  <si>
    <t>EC-A566000160</t>
  </si>
  <si>
    <t>RESORTE DE EMBRAGUE BP35</t>
  </si>
  <si>
    <t>RESORTE DEL EMBRAGUE 577-757</t>
  </si>
  <si>
    <t>EC-A566000220</t>
  </si>
  <si>
    <t>RESORTE EMBRAGUE B450-B530-C350 (A566000150)</t>
  </si>
  <si>
    <t>PLACA UNION B530 (62035-31310)</t>
  </si>
  <si>
    <t>EC-A575000390</t>
  </si>
  <si>
    <t>TAPA DE UNION B450</t>
  </si>
  <si>
    <t>UNION MOTOR-EJE B450-C350 (20011-35110)</t>
  </si>
  <si>
    <t>CUBIERTA DE LA UNION B450 (70012-35130)</t>
  </si>
  <si>
    <t>ABRAZADERA (A) TUBO B450-C350 (20011-35141)</t>
  </si>
  <si>
    <t>ABRAZADERA (B) TUBO B450-C350 (20011-35151)</t>
  </si>
  <si>
    <t>DESMALEZADORA BP35</t>
  </si>
  <si>
    <t>BOMBA DE ACEITE CS420</t>
  </si>
  <si>
    <t>BOMBA DE ACEITE 488-577 (22160-55200)</t>
  </si>
  <si>
    <t>EC-C040000610</t>
  </si>
  <si>
    <t>MANGO 757 (22169-32110)</t>
  </si>
  <si>
    <t>REPUESTOS MAQ MULTIUSOS</t>
  </si>
  <si>
    <t>CONTROL DEL ACELERADOR C230</t>
  </si>
  <si>
    <t>ACELERADOR COMP. ES726 (20015-93200)</t>
  </si>
  <si>
    <t>EC-C044000640</t>
  </si>
  <si>
    <t>PALANCA DEL ACELERADOR COMPLETO C270</t>
  </si>
  <si>
    <t>PALANCA DE ACELERADOR B450AUS (72451-14502)</t>
  </si>
  <si>
    <t>EC-C044000881</t>
  </si>
  <si>
    <t>EC-C050001881</t>
  </si>
  <si>
    <t>TUBO EXTERIOR B450 (80025) (C050001880)</t>
  </si>
  <si>
    <t>CARCASA SUPERIOR CAJA ENGRANAJE PPT2400</t>
  </si>
  <si>
    <t>EC-C051000603</t>
  </si>
  <si>
    <t>CAJA DE ENGRANAJES SEMICOMP B450 - B45LA (C051000600)</t>
  </si>
  <si>
    <t>EC-C051000612</t>
  </si>
  <si>
    <t>CAJA DE ENGRANAJE SEMICOMPLETA B530 (63019-63019)(C051000610)</t>
  </si>
  <si>
    <t>CAJA DE ENGRANAJE C230 (63901-63022)</t>
  </si>
  <si>
    <t>EJE FLEXIBLE, KIT COMPLETO BP35</t>
  </si>
  <si>
    <t>ARNES C230 22C</t>
  </si>
  <si>
    <t>COLGADOR C350-B530-SRM3605-SRM4605 (22017-12210)</t>
  </si>
  <si>
    <t>FILTRO ACEITE 488-577-757 22169-57360</t>
  </si>
  <si>
    <t>TAPA DEL EMBRAGUE 757 (22169-53111)</t>
  </si>
  <si>
    <t>GUIA PLACA (A) 757 (22169-52460)</t>
  </si>
  <si>
    <t>PIN TENSOR CADENA CS680S</t>
  </si>
  <si>
    <t>EC-C309000160</t>
  </si>
  <si>
    <t>PIN TENSOR DE LA CADENA CS600 (C309000070)</t>
  </si>
  <si>
    <t>EC-C450000581</t>
  </si>
  <si>
    <t>GATILLO DE ACELERADOR B450 (C450000580)</t>
  </si>
  <si>
    <t>BUSHING C350 (22015-12120)</t>
  </si>
  <si>
    <t>BUSHING B450-B530 (22021-12120)</t>
  </si>
  <si>
    <t>EJE CENTRAL C270</t>
  </si>
  <si>
    <t>EJE CENTRAL C350</t>
  </si>
  <si>
    <t>EJE CENTRAL B45-B45LA (22021-12400)</t>
  </si>
  <si>
    <t>EJE CENTRAL BP 35 (22050-12411)</t>
  </si>
  <si>
    <t>EJE FLEXIBLE BP35 (22051-11922)</t>
  </si>
  <si>
    <t>EC-C531000601</t>
  </si>
  <si>
    <t>CARCASA CAJA DE ENGRANAJES B530-B450-B45LA</t>
  </si>
  <si>
    <t>EJE, ENGRANAJE B530 (63019-63130)</t>
  </si>
  <si>
    <t>EJE DE ENGRANAJE C230</t>
  </si>
  <si>
    <t>SOPORTE (A) SRM3605 SRM4605</t>
  </si>
  <si>
    <t>PROTECTOR DE PERNO (B) C270 (22024-13291)</t>
  </si>
  <si>
    <t>SOPORTE (A) C350-B450-B530-B (72447-13240)</t>
  </si>
  <si>
    <t>EC-C535000780</t>
  </si>
  <si>
    <t>SOPORTE (B) B45-B450-C350 (22015-13251)</t>
  </si>
  <si>
    <t>SOPORTE (B) B530 (63019-63170)</t>
  </si>
  <si>
    <t>PROTECTOR CAJA ENGRANAJE SRM4300</t>
  </si>
  <si>
    <t>EC-C551000060</t>
  </si>
  <si>
    <t>ABRAZADERA SUP PROTECTOR DESP B450</t>
  </si>
  <si>
    <t>PLACA DESPOJOS C350-B450-B530 (72017-16130)</t>
  </si>
  <si>
    <t>MOTOSIERRA CS-3500-40 CON BARRA Y CADENA</t>
  </si>
  <si>
    <t>LANZA CON BOQUILLA AJUSTABLE</t>
  </si>
  <si>
    <t>BOQUILLA AJUSTABLE SHP800</t>
  </si>
  <si>
    <t>TALADRO DE 21.2CC CON FUNCION EDR-210</t>
  </si>
  <si>
    <t>TALADRO MOTORIZADO</t>
  </si>
  <si>
    <t>EMPAQUE DIAFRAG CS510 (P003000240)</t>
  </si>
  <si>
    <t>TAPA CARBURADOR C350-B450</t>
  </si>
  <si>
    <t>TORNILLO (L) B450-B530 (20000-81330)</t>
  </si>
  <si>
    <t>RESORTE L B450-B530 (SH-20000-81340)</t>
  </si>
  <si>
    <t>AGUJA BALANCIN B450-C350 (20000-81441)</t>
  </si>
  <si>
    <t>PALANCA BALANCIN B450-C350 (20011-81451)</t>
  </si>
  <si>
    <t>TAPA CARBURADOR B45-B45LA (20021-81121)</t>
  </si>
  <si>
    <t>VALVULA PISTON B450-C350 (70131-81180)</t>
  </si>
  <si>
    <t>RESORTE MARIPOSA CARBURADOR SRM4300</t>
  </si>
  <si>
    <t>EC-P005001090</t>
  </si>
  <si>
    <t>EJE DE MARIPOSA DE CARBURADOR SRM4300</t>
  </si>
  <si>
    <t>RESORTE BALANCIN SRM4300</t>
  </si>
  <si>
    <t>AGUJA (H)  SRM4300</t>
  </si>
  <si>
    <t>EC-P005001170</t>
  </si>
  <si>
    <t>PISTON KIT SRM270</t>
  </si>
  <si>
    <t>EC-P021001102</t>
  </si>
  <si>
    <t>PISTON KIT EDR-210 (P021001101)</t>
  </si>
  <si>
    <t>PISTON KIT CS6702 (P021002791)</t>
  </si>
  <si>
    <t>EC-P021002801</t>
  </si>
  <si>
    <t>AISLADOR DE ADMISION CS680 (P021002800)</t>
  </si>
  <si>
    <t>CILINDRO CS8002</t>
  </si>
  <si>
    <t>PISTON KIT CS8002</t>
  </si>
  <si>
    <t>PISTON KIT CS420</t>
  </si>
  <si>
    <t>CAJA DE ENGRANAJE SRM4605</t>
  </si>
  <si>
    <t>PROTECTOR DE DESPOJOS SRM3605-4605</t>
  </si>
  <si>
    <t>ABRAZAD CODO SRM4605 3605</t>
  </si>
  <si>
    <t>ABRAZADERA COMPLETA DE LA UNION SRM4605</t>
  </si>
  <si>
    <t>ABRAZADERA MANUBRIO SRM3605 (P021012830)</t>
  </si>
  <si>
    <t>CARCASA EMBRAGUE SRM4605 (P021012920)</t>
  </si>
  <si>
    <t>EC-P021014261</t>
  </si>
  <si>
    <t>PISTON KIT SRM4300 (P021014260)</t>
  </si>
  <si>
    <t>PISTON KIT SHP-800</t>
  </si>
  <si>
    <t>PISTON KIT CS600</t>
  </si>
  <si>
    <t>PISTON KIT CS680S</t>
  </si>
  <si>
    <t>PISTON KIT SRM4605</t>
  </si>
  <si>
    <t>PISTON KIT SRM3605</t>
  </si>
  <si>
    <t>FILTRO DE AIRE CS600</t>
  </si>
  <si>
    <t>EMBRAGUE COMP. B45 (20021-51102)</t>
  </si>
  <si>
    <t>EC-P021018110</t>
  </si>
  <si>
    <t>CARTER M ES726</t>
  </si>
  <si>
    <t>ABRAZADERA DE TUBO CON MARIPOSA (B) B450</t>
  </si>
  <si>
    <t>ABRAZADERA COMPLETA 22C-C230 (22045-14101)</t>
  </si>
  <si>
    <t>CARTER M COMPLETO 757 (22169-21203)</t>
  </si>
  <si>
    <t>CARTER C 757 (22169-21503)</t>
  </si>
  <si>
    <t>KIT MOTOR RECONSTRUCCION C350 (P021027030)</t>
  </si>
  <si>
    <t>KIT MOTOR RECONSTRUCCION C270 (P021027130 )</t>
  </si>
  <si>
    <t>CARTER COMPLETO B530 (62035-21010)</t>
  </si>
  <si>
    <t>CARTER COMP. M B530 (62035-21020)</t>
  </si>
  <si>
    <t>EC-P021027910</t>
  </si>
  <si>
    <t>CARTER S COMPLETO C270</t>
  </si>
  <si>
    <t>EC-P021027920</t>
  </si>
  <si>
    <t>CARTER M C270</t>
  </si>
  <si>
    <t>TUBO EXTERIOR B530 (63019-12102)</t>
  </si>
  <si>
    <t>EC-P021028811</t>
  </si>
  <si>
    <t>CAJA DE ENGRANAJE ACC CORT (P021028810)</t>
  </si>
  <si>
    <t>KIT MOTOR RECONTRUCCION 757</t>
  </si>
  <si>
    <t>PISTON KIT C270 (70244-98040)</t>
  </si>
  <si>
    <t>PISTON KIT P230-C230-ES726-HT230-M230</t>
  </si>
  <si>
    <t>PISTON KIT B45 B45LA (72080-98011)</t>
  </si>
  <si>
    <t>KIT MOTOR RECONSTRUCCION C230 ES726</t>
  </si>
  <si>
    <t>ABRAZADERA COMPLETA B530-B450 (72514-14100)</t>
  </si>
  <si>
    <t>HERRAMIENTAS KIT B450 (72547-91100)</t>
  </si>
  <si>
    <t>TUBO EXTERIOR B450 AUS (72551-12101)</t>
  </si>
  <si>
    <t>PISTON KIT EB500</t>
  </si>
  <si>
    <t>EMBRAGUE BP35</t>
  </si>
  <si>
    <t>EC-P021035340</t>
  </si>
  <si>
    <t>MANUBRIO B450AUS</t>
  </si>
  <si>
    <t>MANGO SEMI COMPLETO C230 (72481-14200)</t>
  </si>
  <si>
    <t>MANUBRIO TUBO B450 B530</t>
  </si>
  <si>
    <t>ARRANCADOR COMP B45LA-C350 (70131-75100)</t>
  </si>
  <si>
    <t>EC-P021038920</t>
  </si>
  <si>
    <t>KIT MOTOR RECONSTRUCCIÓN SRM4605</t>
  </si>
  <si>
    <t>EC-P021038950</t>
  </si>
  <si>
    <t>KIT MOTOR RECONSTRUCCION SHP-800</t>
  </si>
  <si>
    <t>EC-P021038980</t>
  </si>
  <si>
    <t>KIT MOTOR RECONSTRUCCION CS420</t>
  </si>
  <si>
    <t>EC-P021039000</t>
  </si>
  <si>
    <t>KIT MOTOR RECONSTRUCCION CS680S</t>
  </si>
  <si>
    <t>EC-P021039010</t>
  </si>
  <si>
    <t>KIT MOTOR RECONSTRUCCION DM6110</t>
  </si>
  <si>
    <t>EC-P021039020</t>
  </si>
  <si>
    <t>KIT MOTOR RECOSNTRUCCION SRM4300</t>
  </si>
  <si>
    <t>EC-P021039240</t>
  </si>
  <si>
    <t>CAJA DE ENGRANAJE C270 (C051000480)</t>
  </si>
  <si>
    <t>EC-P021039350</t>
  </si>
  <si>
    <t>EJE DE ENGRANAJE C270 (72435-13210) (C534000570)</t>
  </si>
  <si>
    <t>EC-P021039510</t>
  </si>
  <si>
    <t>MANUBRIO TUBO CS600 (C400000550)</t>
  </si>
  <si>
    <t>TAMBOR ARRANCADOR SRM4300 B530 EA-410 (A506000260)</t>
  </si>
  <si>
    <t>RESORTE TRINQUETE SRM4300</t>
  </si>
  <si>
    <t>CUBIERTA EMBRAGUE CARCASA SRM4300</t>
  </si>
  <si>
    <t>SEGURO TAMBOR EMBRRAGUE SRM4300</t>
  </si>
  <si>
    <t>TAMBOR EMBRAGUE SRM4300</t>
  </si>
  <si>
    <t>AMORTIGUADOR CAMPANA SRM4300</t>
  </si>
  <si>
    <t>EC-P022006950</t>
  </si>
  <si>
    <t>ANILLO RETENEDOR ZEGUER SRM4300</t>
  </si>
  <si>
    <t>TUBO COMPLETO SRM4300 (P022024710)</t>
  </si>
  <si>
    <t>EJE CENTRAL SRM4300</t>
  </si>
  <si>
    <t>COLGADOR SRM4300</t>
  </si>
  <si>
    <t>ABRAZADERA MANGO GIRAT. SRM4300 (P022007020)</t>
  </si>
  <si>
    <t>ESPACIADOR (A) SRM4300</t>
  </si>
  <si>
    <t>CAJA DE ENGRANAJES SRM4300</t>
  </si>
  <si>
    <t>PERNO DE SUJECION CAJA ENGRANAJE SRM4300</t>
  </si>
  <si>
    <t>PERNO SEGURO CAJA SRM4300</t>
  </si>
  <si>
    <t>ABRAZADERA (A) SRM4300</t>
  </si>
  <si>
    <t>ESPACIADOR (B) SRM4300</t>
  </si>
  <si>
    <t>MANUBRIO IZQUIERDO SRM4300</t>
  </si>
  <si>
    <t>PROTECTOR DESPOJOS SRM4300</t>
  </si>
  <si>
    <t>EC-P022007210</t>
  </si>
  <si>
    <t>VINCHA SUJETA CABLE SRM4300</t>
  </si>
  <si>
    <t>EC-P022007220</t>
  </si>
  <si>
    <t>PERNO UNION MOTOR SRM4300</t>
  </si>
  <si>
    <t>PALANCA ACELERADOR SRM4300</t>
  </si>
  <si>
    <t>GATILLO ACELERADOR SRM4300</t>
  </si>
  <si>
    <t>RESORTE GATILLO SRM4300</t>
  </si>
  <si>
    <t>CABLE ACELERADOR SRM4300</t>
  </si>
  <si>
    <t>CABLE CONDUCTOR SRM 4300</t>
  </si>
  <si>
    <t>PIÑON KIT SRM4300</t>
  </si>
  <si>
    <t>RESORTE DE ARRANCADRO CS420</t>
  </si>
  <si>
    <t>EC-P022024740</t>
  </si>
  <si>
    <t>MANUBRIO DERECHO SRM4300 (P022007151)</t>
  </si>
  <si>
    <t>ABRAZADERA (C) SRM4300 (P022007100)</t>
  </si>
  <si>
    <t>EC-P022033110</t>
  </si>
  <si>
    <t>CARCAZA DE LA CAJA DE ENGRANAJE SRM4300</t>
  </si>
  <si>
    <t>EC-P050009190</t>
  </si>
  <si>
    <t>EMPAQUETADURA-DIAF C350 (70244-98050)</t>
  </si>
  <si>
    <t>EC-P050009350</t>
  </si>
  <si>
    <t>EMPAQUETADURA Y DIAFRAGMA KIT B530 (60035-98040)</t>
  </si>
  <si>
    <t>EC-S20A8TW3378</t>
  </si>
  <si>
    <t>BARRA 50CM 20" 0.058" 488</t>
  </si>
  <si>
    <t>BOMBA DE FUMIGACION SHP-800-2</t>
  </si>
  <si>
    <t>DESMALEZADORA SRM 4300F</t>
  </si>
  <si>
    <t>DESMALEZADORA SRM 4605</t>
  </si>
  <si>
    <t>EC-V043000420</t>
  </si>
  <si>
    <t>CABLE ACELERADOR C270</t>
  </si>
  <si>
    <t>CABLE ACELERADOR COMPLETO B450AUS (72451-14570)</t>
  </si>
  <si>
    <t>CABLE ACELERADOR BP35</t>
  </si>
  <si>
    <t>EMPAQUE CILINDRO SRM4300</t>
  </si>
  <si>
    <t>EMPAQUE CILINDRO C270 (62074-12120)</t>
  </si>
  <si>
    <t>EMPAQUE CILINDRO 757 (22169-12120)</t>
  </si>
  <si>
    <t>EMPAQUE CARTER SRM4300</t>
  </si>
  <si>
    <t>EMPAQUE AISLADOR A SRM 4300</t>
  </si>
  <si>
    <t>EC-V103000770</t>
  </si>
  <si>
    <t>EMPAQUE ADMISION CARBURADOR CILINDRO ES726 (20019-83410)</t>
  </si>
  <si>
    <t>EMPAQUE (B) CARBURADOR B530 (62035-81310)</t>
  </si>
  <si>
    <t>EMPAQUE (A) CARBURADOR B530. (62035-82330)</t>
  </si>
  <si>
    <t>EMPAQUE AISLADOR C230-ES726</t>
  </si>
  <si>
    <t>EMPAQUE ESCAPE SRM4300</t>
  </si>
  <si>
    <t>EMPAQUE ESCAPE CS 680</t>
  </si>
  <si>
    <t>EMPAQUE SILENCIADOR B45, B450, C350, BP35 (70210-15212)</t>
  </si>
  <si>
    <t>EMPAQUE SILENCIADOR B530 (62035-15210)</t>
  </si>
  <si>
    <t>EMPAQUE ESCAPE 757 (22169-15212)</t>
  </si>
  <si>
    <t>EC-V137000080</t>
  </si>
  <si>
    <t>ANILLO DE GOMA B450</t>
  </si>
  <si>
    <t>OJAL TANQUE COMB B450-C350 (20000-85579)</t>
  </si>
  <si>
    <t>EC-V203000610</t>
  </si>
  <si>
    <t>PERNO PROTECTOR DESPOJOS B530 (V203000610)</t>
  </si>
  <si>
    <t>PERNO CUCHILLA  BP35 C270 (22000-13512)</t>
  </si>
  <si>
    <t>ESPARRAGO BARRA  CS3000,CS3500 (V224000030)</t>
  </si>
  <si>
    <t>ESPARRAGO BARRA 757 (22169-21520)</t>
  </si>
  <si>
    <t>TORNILLO TENSOR 757 (72316-53310)</t>
  </si>
  <si>
    <t>EC-V265000170</t>
  </si>
  <si>
    <t>TUERCA CIGUEÑAL ARRANCADOR B450</t>
  </si>
  <si>
    <t>TUERCA PUNTA CIGUE 757 (22169-51170)</t>
  </si>
  <si>
    <t>TUERCA MOTOSIERRA 757 (22154-52410)</t>
  </si>
  <si>
    <t>PERILLA DORADA B530 (62035-32320)</t>
  </si>
  <si>
    <t>PERILLA C230-ES726-P230 (20018-31251)</t>
  </si>
  <si>
    <t>ANILLO DE GRASERO C230 (22000-13410)</t>
  </si>
  <si>
    <t>ARANDELA 757 (22169-51130)</t>
  </si>
  <si>
    <t>AISLADOR DE BOBINA B530-22F (70030-71620)</t>
  </si>
  <si>
    <t>AISLADOR DE BOBINA B450-C350</t>
  </si>
  <si>
    <t>EC-V356000480</t>
  </si>
  <si>
    <t>COLLAR C230</t>
  </si>
  <si>
    <t>EC-V356000500</t>
  </si>
  <si>
    <t>COLLAR BP35 C270</t>
  </si>
  <si>
    <t>COLLAR B45-B450-B530-C350</t>
  </si>
  <si>
    <t>COLLAR MANGA 757  577  CS-600</t>
  </si>
  <si>
    <t>EC-V401000050</t>
  </si>
  <si>
    <t>AMORTIGUADOR DERECHO CS680</t>
  </si>
  <si>
    <t>AMORTIGUADOR 577-757 (22169-33740)</t>
  </si>
  <si>
    <t>AMORTIGUADOR CS 680</t>
  </si>
  <si>
    <t>AMORTIGUADOR B450-C350 (20010-86130)</t>
  </si>
  <si>
    <t>PROTECTOR CUERO C350-B450-B45 (22019-17110)</t>
  </si>
  <si>
    <t>AMORTIGUADOR TANQUE PEQUEÑO B530 (62035-85341)</t>
  </si>
  <si>
    <t>AMORTIGUADOR TANQUE GRANDE B530 (62035-85351)</t>
  </si>
  <si>
    <t>CABLE (A) CORTO ACELERADOR B450-C350 (70210-83110)</t>
  </si>
  <si>
    <t>RESORTE EMBRAGUE SHP800</t>
  </si>
  <si>
    <t>EC-V452000060</t>
  </si>
  <si>
    <t>RESORTE DE GATILLO SRM3605</t>
  </si>
  <si>
    <t>EC-V452000130</t>
  </si>
  <si>
    <t>RESORTE DE TRABA SRM3605</t>
  </si>
  <si>
    <t>EC-V452000220</t>
  </si>
  <si>
    <t>RESORTE DE TORCION DE ARRANQUE CS420</t>
  </si>
  <si>
    <t>RESORTE DE FRICCION B450-B45</t>
  </si>
  <si>
    <t>RESORTE TRINQUETE B450</t>
  </si>
  <si>
    <t>EC-V452000690</t>
  </si>
  <si>
    <t>RESORTE DE GATILLO B450</t>
  </si>
  <si>
    <t>TUBO SUCCION C350-B450</t>
  </si>
  <si>
    <t>SUJETADOR CUCHILLA C230-22C (22410-13530)</t>
  </si>
  <si>
    <t>EC-V495001171</t>
  </si>
  <si>
    <t>ABRAZADERA DE TUBO DM6110 (V495001170)</t>
  </si>
  <si>
    <t>RETEN 757-577 (22155-21630)</t>
  </si>
  <si>
    <t>RETEN 757-577 (22169-21630)</t>
  </si>
  <si>
    <t>ANILLO DE RETENCION B45-B530-B45LA (22152-41231)</t>
  </si>
  <si>
    <t>SEGURO ZEGER B450</t>
  </si>
  <si>
    <t>ANILLO DE RETENCION, SEGURO C350-B450 (20011-31230)</t>
  </si>
  <si>
    <t>EC-V651000460</t>
  </si>
  <si>
    <t>PIÑON BASTAGO C270</t>
  </si>
  <si>
    <t>ENGRANAJE SINFIN CS420</t>
  </si>
  <si>
    <t>ENGRANAJE SIN FIN 577 (22111055-55)</t>
  </si>
  <si>
    <t>ENGRANAJE SIN FIN 757 (22169-55110)</t>
  </si>
  <si>
    <t>LLAVE DE BUJIA C230</t>
  </si>
  <si>
    <t>HERRAMIENTA LLAVE (3) (22155-96521)</t>
  </si>
  <si>
    <t>EC-X602000220</t>
  </si>
  <si>
    <t>LLAVE T 4mm (22155-96531)</t>
  </si>
  <si>
    <t>HERRAMIENTA LLAVE-T (5) (22155-96540)</t>
  </si>
  <si>
    <t>LLAVE EXAGONAL 3MM B450 HERRAM (09026-03001)</t>
  </si>
  <si>
    <t>LLAVE 4MM B450 HERRAMIENTA (09026-04001)</t>
  </si>
  <si>
    <t>EURO-001</t>
  </si>
  <si>
    <t>UNIDAD DE ORDEÑO(SIN CANTARA)</t>
  </si>
  <si>
    <t>EURO-10070</t>
  </si>
  <si>
    <t>EURO-10081</t>
  </si>
  <si>
    <t>CEPILLO PARA TUBERIA DE LECHE</t>
  </si>
  <si>
    <t>EURO-10450</t>
  </si>
  <si>
    <t>COLECTOR DE LECHE 16MM NCM. 8434.9000</t>
  </si>
  <si>
    <t>EURO-17014</t>
  </si>
  <si>
    <t>BASE PLOMA</t>
  </si>
  <si>
    <t xml:space="preserve">ACCESORIOS ENSILADORAS </t>
  </si>
  <si>
    <t xml:space="preserve">JUEGO COMP. MARTILLOS JF 2   02.070822 </t>
  </si>
  <si>
    <t xml:space="preserve">REPUESTOS MOLINOS PICADORES </t>
  </si>
  <si>
    <t>02.045530 KIT CUCHILLAS COMPLETO JF2/2D/</t>
  </si>
  <si>
    <t>02.046555 KIT CUCHILLA COMP. JF40</t>
  </si>
  <si>
    <t>02.070862 JUEGO COMP. MARTILLOS JF10</t>
  </si>
  <si>
    <t>JF-03.100094</t>
  </si>
  <si>
    <t>POLEA A 1RAN 4" SIN HUECO</t>
  </si>
  <si>
    <t xml:space="preserve">ACCESORIOS MOLINOS PICADORES </t>
  </si>
  <si>
    <t>JF-03.100566</t>
  </si>
  <si>
    <t>POLEA B 2RAN 4" HUECO 38MM CHAV 10MM</t>
  </si>
  <si>
    <t>ENSILADORA JF 40P</t>
  </si>
  <si>
    <t>MOLINO PICADOR JF 2 D</t>
  </si>
  <si>
    <t xml:space="preserve">MOLINOS PICADORES </t>
  </si>
  <si>
    <t>KIT DE ZARANDAS JF10D</t>
  </si>
  <si>
    <t>KIT CUCHILLAS 160 JF40P COMPLETO</t>
  </si>
  <si>
    <t xml:space="preserve">REPUESTOS ENSILADORAS </t>
  </si>
  <si>
    <t>JF-291</t>
  </si>
  <si>
    <t>KIT CUCHILLAS COMPLETO JF30P</t>
  </si>
  <si>
    <t xml:space="preserve">REPUESTOS PICADORA </t>
  </si>
  <si>
    <t>BARRA GUIA 30 STL 303ATLE099 OREGON</t>
  </si>
  <si>
    <t>ANILLO PINON PASO 0.404" 7 DIENTES 22270</t>
  </si>
  <si>
    <t>MOTOR GASO 10 HP INTEK EJE RECTO</t>
  </si>
  <si>
    <t>MOTOR GASOLINA</t>
  </si>
  <si>
    <t xml:space="preserve">MOTOR GASO 6 HP INTEK EJE RECTO  </t>
  </si>
  <si>
    <t>POLEA 4" 1 RANURA HUECO 1"</t>
  </si>
  <si>
    <t>POLEAS</t>
  </si>
  <si>
    <t>OT-848</t>
  </si>
  <si>
    <t>POLEA 4" 1 RANURA HUECO 3/4</t>
  </si>
  <si>
    <t>BANDA A-48</t>
  </si>
  <si>
    <t>BANDAS</t>
  </si>
  <si>
    <t>OT-A90</t>
  </si>
  <si>
    <t>BANDA A90</t>
  </si>
  <si>
    <t>BANDA B-83</t>
  </si>
  <si>
    <t>BANDA-B95</t>
  </si>
  <si>
    <t>MOTOR 18 HP GASOLINA VANGUARD EJE RECTO</t>
  </si>
  <si>
    <t>BANDAS B-75</t>
  </si>
  <si>
    <t>HERRAM EXTRACTOR PISTON B450</t>
  </si>
  <si>
    <t>HERRAM EXTRACTOR COMPLETO</t>
  </si>
  <si>
    <t>JUEGO DE AGUJAS B530</t>
  </si>
  <si>
    <t>EMPAQUETADURA DIAF B45-B45LA</t>
  </si>
  <si>
    <t>AISLADOR CONDENS C230</t>
  </si>
  <si>
    <t>BOMBA ZM 51 MAXXI</t>
  </si>
  <si>
    <t>BOMBAS HIDROMECANICAS</t>
  </si>
  <si>
    <t>JUEGOS O RINGS ZM-44</t>
  </si>
  <si>
    <t>REPUESTOS BOMBAS HIDROMECANICAS</t>
  </si>
  <si>
    <t>JUEGOS O RINGS ZM 51</t>
  </si>
  <si>
    <t>VALVULAS (XEQUE) ZM51 ZM38 ZM63</t>
  </si>
  <si>
    <t>RUEDA PARA ZM 44 1.00X0.15</t>
  </si>
  <si>
    <t>ACCESORIOS BOMBAS HIDROMECANICAS</t>
  </si>
  <si>
    <t>CABALLETE PARA ZM 51</t>
  </si>
  <si>
    <t>JUEGO CILINDROS ZM 95 MAXXI</t>
  </si>
  <si>
    <t>JUEGO DE CUEROS ZM 95 MAXXI</t>
  </si>
  <si>
    <t>JUEGOS O RINGS ZM 76</t>
  </si>
  <si>
    <t>JUEGO DE CUEROS ZM 44 MAXXI</t>
  </si>
  <si>
    <t>JUEGO CILINDROS ZM 51</t>
  </si>
  <si>
    <t>JUEGO DE CUEROS ZM 76</t>
  </si>
  <si>
    <t xml:space="preserve">CONTRA CUCHILLA JF2 / JF3   02.045369 </t>
  </si>
  <si>
    <t>BR-CAT-CH4400</t>
  </si>
  <si>
    <t>CHIPPER TIPO REMOLQUE CH4400</t>
  </si>
  <si>
    <t>EC-10021338330</t>
  </si>
  <si>
    <t>SELLO DE ACEITE CS3500</t>
  </si>
  <si>
    <t>EC-103942180</t>
  </si>
  <si>
    <t>CANILLERAS ECHO</t>
  </si>
  <si>
    <t>EC-10401606410</t>
  </si>
  <si>
    <t>CUBIERTA DE MOTOR DM6110</t>
  </si>
  <si>
    <t>ROLLO NYLON SHINDAIWA 30LB 0.105" 10530</t>
  </si>
  <si>
    <t>CARBURADOR CS3000</t>
  </si>
  <si>
    <t>EC-12312515030</t>
  </si>
  <si>
    <t>EMPAQUE COMBUSTIBLE DE CARBURADOR SRM4605</t>
  </si>
  <si>
    <t>RESORTE ACELERADOR SHP800 B450 (12411450330)</t>
  </si>
  <si>
    <t>INYECTOR PRINCIPAL SHP800</t>
  </si>
  <si>
    <t>AGUJA H SRM4300</t>
  </si>
  <si>
    <t>EC-12901152131</t>
  </si>
  <si>
    <t>PLACA FILTRO SRM3605</t>
  </si>
  <si>
    <t>EC-13001606211</t>
  </si>
  <si>
    <t>EMPAQUE DE ADMISION DM6110</t>
  </si>
  <si>
    <t>AISLADOR SRM4605</t>
  </si>
  <si>
    <t>EC-13030143130</t>
  </si>
  <si>
    <t>BASE DE FILTRO DE AIRE SRM4605 13030747533</t>
  </si>
  <si>
    <t>EC-13030151730</t>
  </si>
  <si>
    <t>BASE DE FILTRO DE AIRE 3605</t>
  </si>
  <si>
    <t>FILTRO AIRE SRM270</t>
  </si>
  <si>
    <t>EC-13031903710</t>
  </si>
  <si>
    <t>REGILLA DE FILTRO DE AIRE DM6110</t>
  </si>
  <si>
    <t>EMPAQUETADURA DEL SILENCIADOR DM6110</t>
  </si>
  <si>
    <t>EC-15510</t>
  </si>
  <si>
    <t>ROLLO HILO NYLON 10LB 0.155" (320 MTS) 15510</t>
  </si>
  <si>
    <t>EC-16A0ED3757</t>
  </si>
  <si>
    <t>BARRA DE 16" 40CM PARA CS3500</t>
  </si>
  <si>
    <t>CA EMBRAGUE CS8002</t>
  </si>
  <si>
    <t>EC-17501830830</t>
  </si>
  <si>
    <t>RESORTE DE EMBRAGUE CS8002</t>
  </si>
  <si>
    <t>EC-17721805960</t>
  </si>
  <si>
    <t>TRINQUETE ES726 (A514000180)</t>
  </si>
  <si>
    <t>RESORTE TRINQUETE ES726 (20035-75230)</t>
  </si>
  <si>
    <t>EC-17809052632</t>
  </si>
  <si>
    <t>TRABA DE GATILLO GT22</t>
  </si>
  <si>
    <t>EC-17851051730</t>
  </si>
  <si>
    <t>VARILLA DE EXTRANGULADOR SRM3605</t>
  </si>
  <si>
    <t>EC-17851505060</t>
  </si>
  <si>
    <t>OBTURADOR, ESTRANCULADOR SRM3605</t>
  </si>
  <si>
    <t>EC-17851600830</t>
  </si>
  <si>
    <t>ARANDELA DE OBTURADOR SRM3605</t>
  </si>
  <si>
    <t>EC-21001401610</t>
  </si>
  <si>
    <t>TUBO RECTO DM6110 (21001400310)</t>
  </si>
  <si>
    <t>EC-21BPX78X</t>
  </si>
  <si>
    <t>CADENA PARA BARRA 20" 488</t>
  </si>
  <si>
    <t>BARRA 60CM 3/8"/0.58"</t>
  </si>
  <si>
    <t>TANQUE QUIMICO 23L DM6110</t>
  </si>
  <si>
    <t>EC-27001006211</t>
  </si>
  <si>
    <t>BASE DE TANQUE DM6110</t>
  </si>
  <si>
    <t>EC-28820-08000</t>
  </si>
  <si>
    <t>EC-30030207410</t>
  </si>
  <si>
    <t>ARNES, TIRANTE DM6110</t>
  </si>
  <si>
    <t>MANGO DERECHO SRM3605-SRM4600</t>
  </si>
  <si>
    <t>MANGO IZQUIERDO SRM3605-4605</t>
  </si>
  <si>
    <t>EC-4036722</t>
  </si>
  <si>
    <t>CUBIERTA DE CUERPO DE BOMBA ES726</t>
  </si>
  <si>
    <t>PLACA GUIA INTERNA CS680  CS8002</t>
  </si>
  <si>
    <t>EC-43301611031</t>
  </si>
  <si>
    <t>TORNILLO TENSOR DE CADENA DE CS8002</t>
  </si>
  <si>
    <t>EC-43334522660</t>
  </si>
  <si>
    <t>BUJE LIBRE PPT2400</t>
  </si>
  <si>
    <t>BOMBA ACEITE COMPLETA CS680</t>
  </si>
  <si>
    <t>MANGUERA COMBUST A SHP-800</t>
  </si>
  <si>
    <t>LANZA MANGO ES726</t>
  </si>
  <si>
    <t>LANZA 5 BOQUILLAS</t>
  </si>
  <si>
    <t>LANZA ES726</t>
  </si>
  <si>
    <t>EJE TRANSMISION SUPERIOR PPT240</t>
  </si>
  <si>
    <t>SOPORTE COJINETE COMPLETO PPT2400</t>
  </si>
  <si>
    <t>TUBO SUPERIOR PPT2400</t>
  </si>
  <si>
    <t>ABRAZADERA INFERIOR PPT2400</t>
  </si>
  <si>
    <t>ABRAZADERA SUPERIOR PPT2400</t>
  </si>
  <si>
    <t>EJE DE ENGRANAJE SRM270</t>
  </si>
  <si>
    <t>SOPORTE B SRM4300 (61031421231)</t>
  </si>
  <si>
    <t>EC-61041056931</t>
  </si>
  <si>
    <t>CARCAZA DE LA CAJA DE ENGRANAJE SRM3605 SRM4605</t>
  </si>
  <si>
    <t>SELLO DE ACEITE SRM4300</t>
  </si>
  <si>
    <t>EC-6450061</t>
  </si>
  <si>
    <t>ACEITE ECHO POWER BLEND 2T x LT (6450107)</t>
  </si>
  <si>
    <t>PIÑON LOCO CS680S CS8002 577 757 CS600</t>
  </si>
  <si>
    <t>TAPA DE GRASERO SHP800</t>
  </si>
  <si>
    <t>TAPA DE TANQUE SHP-800</t>
  </si>
  <si>
    <t>EC-70604041870</t>
  </si>
  <si>
    <t>AMORTIGUADOR SHP800</t>
  </si>
  <si>
    <t>CABLE ACELERADOR SHP800</t>
  </si>
  <si>
    <t>CABEZA DE CILINDRO BOMBA SHP 800</t>
  </si>
  <si>
    <t>MANGUERA COMBUST B SHP-800</t>
  </si>
  <si>
    <t>EC-70617027723</t>
  </si>
  <si>
    <t>VARILLA PULVERIZADORA SHP800 ES726 (70617027722)</t>
  </si>
  <si>
    <t>CADENA 16"</t>
  </si>
  <si>
    <t>EC-73LGX105X</t>
  </si>
  <si>
    <t>CADENA 32" 80CM CS8002</t>
  </si>
  <si>
    <t>COJINETE DE AGUJAS BIELA C230</t>
  </si>
  <si>
    <t>AMORTIGUADOR ES726</t>
  </si>
  <si>
    <t>TORNILLO 5X25</t>
  </si>
  <si>
    <t>CA ORING CAJA SRM4605</t>
  </si>
  <si>
    <t>EC-91116</t>
  </si>
  <si>
    <t>MALETIN HERRAMIENTA ECHO (91046)</t>
  </si>
  <si>
    <t>EC-91VXL45X</t>
  </si>
  <si>
    <t>CADENA 12" PARA CS3000 (91VX45X)</t>
  </si>
  <si>
    <t>CARTER S C350 B450</t>
  </si>
  <si>
    <t>EC-A021000741</t>
  </si>
  <si>
    <t>CARBURADOR HC-150 (A021000740)</t>
  </si>
  <si>
    <t>EC-A021001580</t>
  </si>
  <si>
    <t>CARBURADOR CS420</t>
  </si>
  <si>
    <t>CARBURADOR B45-B45LA</t>
  </si>
  <si>
    <t>SILENCIADOR COMPLETO C230-ES726-P230-M230 (70135-15100)</t>
  </si>
  <si>
    <t>SILENCIADOR COMPLETO B450 (62022-15100)</t>
  </si>
  <si>
    <t>EC-A033000280</t>
  </si>
  <si>
    <t>TAPA DE CARBURADOR BP35</t>
  </si>
  <si>
    <t>TANQUE DE COMBUSTIBLE C230 (20016-85003)</t>
  </si>
  <si>
    <t>EMBRAGUE COMPLETO CS600</t>
  </si>
  <si>
    <t>PISTON P230-C230-ES726-HT230-M230</t>
  </si>
  <si>
    <t>ANILLO PISTON C270 (20024-41210)</t>
  </si>
  <si>
    <t>ANILLO PISTON B450</t>
  </si>
  <si>
    <t>ANILLO PISTON C230-HT230</t>
  </si>
  <si>
    <t>FILTRO AIRE INTERMEDIO SRM4300</t>
  </si>
  <si>
    <t>FILTRO AIRE C350-B450-C270</t>
  </si>
  <si>
    <t>CUBIERTA  DE FILTRO T230 (70140-81760)</t>
  </si>
  <si>
    <t>EC-A300000400</t>
  </si>
  <si>
    <t>SILENCIADOR SRM4300</t>
  </si>
  <si>
    <t>EC-A369000101</t>
  </si>
  <si>
    <t>FILTRO COMBUSTIBLE B450-B530-577-757 (22169-35400) (A369000100)</t>
  </si>
  <si>
    <t>BASE TANQUE SRM4300</t>
  </si>
  <si>
    <t>EC-A411001020</t>
  </si>
  <si>
    <t>BOBINA 488 (22160-71702)</t>
  </si>
  <si>
    <t>TAPA ARRANCADOR B45LA-C350 (70131-75110)</t>
  </si>
  <si>
    <t>CUERDA B450-C350-B530-BP35 (20020-75180)</t>
  </si>
  <si>
    <t>PERILLA ARRANCADOR 757 577 (22150-75520)</t>
  </si>
  <si>
    <t>EC-A556000760</t>
  </si>
  <si>
    <t>TAMBOR EMBRAGUE C270 (A556000810)</t>
  </si>
  <si>
    <t>EC-A556001600</t>
  </si>
  <si>
    <t>TAMBOR EMBRAGUE B530 (A556000870)(A055000140)</t>
  </si>
  <si>
    <t>RESORTE EMBRAGUE C230,HT230,ES726</t>
  </si>
  <si>
    <t>UNION B530 (62035-33110)</t>
  </si>
  <si>
    <t>EC-B45INTL</t>
  </si>
  <si>
    <t>DESMALEZADORA B45</t>
  </si>
  <si>
    <t>BOMBA DE ACEITE 757 P230(22197-55201)</t>
  </si>
  <si>
    <t>PALANCA ACELERADOR B45-C35LA (22015-14301)</t>
  </si>
  <si>
    <t>PALANCA ACELERADOR COMP B450,B530 (C044000880) (C044000882)</t>
  </si>
  <si>
    <t>EC-C051000562</t>
  </si>
  <si>
    <t>CAJA DE ENGRANAJE C350-C35LA (72017-13013)(C051000560)</t>
  </si>
  <si>
    <t>EC-C051000570</t>
  </si>
  <si>
    <t>CAJA DE ENGRANAJE BP35 (72005-13010)</t>
  </si>
  <si>
    <t>PLACA GUIA EXTRENO CS680</t>
  </si>
  <si>
    <t>GUIA DE EJE PPT2400</t>
  </si>
  <si>
    <t>EC-C450000000</t>
  </si>
  <si>
    <t>GATILLO CS3500</t>
  </si>
  <si>
    <t>EJE CENTRAL C230 (22070-12410)</t>
  </si>
  <si>
    <t>EC-C531000710</t>
  </si>
  <si>
    <t>CARCAZA DE LA CAJA DE ENGRANAJE C230</t>
  </si>
  <si>
    <t>EC-C535000511</t>
  </si>
  <si>
    <t>SOPORTE (A) C230 (22035-13242) (C535000510)</t>
  </si>
  <si>
    <t>EC-CS-420ES-45LA</t>
  </si>
  <si>
    <t>EC-DMAD-4610EUSTD</t>
  </si>
  <si>
    <t>ACC. PARA PULVERIZADOR (SOLIDOS) DMAD4610</t>
  </si>
  <si>
    <t>ACCESORIOS NEBULIZADORA. PULVERIZADORA Y ESPOLVEADORA</t>
  </si>
  <si>
    <t>EC-ECHO</t>
  </si>
  <si>
    <t>CAMISETA ECHO</t>
  </si>
  <si>
    <t>LLAVES DE PASO BP-35 (20055-81610)</t>
  </si>
  <si>
    <t>RESORTE CABLE ES726-C35LA (20011-81140)</t>
  </si>
  <si>
    <t>TAPA SUJETADORA CARBURADOR ES726 (38500-81321)</t>
  </si>
  <si>
    <t>BOQUILLA VALVULA RET SRM4300</t>
  </si>
  <si>
    <t>AGUJA (L) SRM4300</t>
  </si>
  <si>
    <t>BASE DE BOMBA PRIMER SRM4300</t>
  </si>
  <si>
    <t>AISLADOR DM6110</t>
  </si>
  <si>
    <t>CAJA FILTRO DE AIRE SRM4300</t>
  </si>
  <si>
    <t>CILINDRO CS420</t>
  </si>
  <si>
    <t>EC-P021016910</t>
  </si>
  <si>
    <t>PISTON KIT DM6110 (P021001820)</t>
  </si>
  <si>
    <t>TANQUE DE COMBUSTIBLE 757 577 (22169-33102)</t>
  </si>
  <si>
    <t>EC-P021028901</t>
  </si>
  <si>
    <t>PROTECTOR DESPOJO COMP B450-C350 (64000-66311) (P021028900)</t>
  </si>
  <si>
    <t>KIT MOTOR RECONSTRUCCION B45</t>
  </si>
  <si>
    <t>EC-P021032441</t>
  </si>
  <si>
    <t>PISTON KIT 577 (72334-98010) (EC-P021032440)</t>
  </si>
  <si>
    <t>KIT MOTOR RECONSTRUC 577 (69011-98310)</t>
  </si>
  <si>
    <t>PISTON KIT 488 (P021032610)</t>
  </si>
  <si>
    <t>ABRAZADERA (B) SRM4300</t>
  </si>
  <si>
    <t>PERNO DE LA ABRAZADERA SRM4300</t>
  </si>
  <si>
    <t>EC-P022007170</t>
  </si>
  <si>
    <t>ARNES SRM4300</t>
  </si>
  <si>
    <t>TRABA ACELERADOR SRM4300</t>
  </si>
  <si>
    <t>RESORTE MANGO TRABA 4300</t>
  </si>
  <si>
    <t>EC-PHP-800LA</t>
  </si>
  <si>
    <t>BOMBA DE FUMIGACION ESTACIONARIA PHP800LA</t>
  </si>
  <si>
    <t>EC-SHINDAIWA</t>
  </si>
  <si>
    <t>CAMISETAS SHINDAIWA</t>
  </si>
  <si>
    <t>PUBLICIDAD</t>
  </si>
  <si>
    <t>CABLE COMPLETO C35LA B45LA (62113-83010)</t>
  </si>
  <si>
    <t>EC-V103000000</t>
  </si>
  <si>
    <t>EMPAQUE (A) DE ADMICION DM6110</t>
  </si>
  <si>
    <t>EMPAQUE AISLADOR B450-C350</t>
  </si>
  <si>
    <t>EMPAQUE CARBURADOR ES726</t>
  </si>
  <si>
    <t>COLLAR DE EMBRAGUE BOMBA CS420</t>
  </si>
  <si>
    <t>EC-V430002650</t>
  </si>
  <si>
    <t>CABLE P230 M230</t>
  </si>
  <si>
    <t>RESORTE DE COMPRESION CS680-CS600</t>
  </si>
  <si>
    <t>EC-V450001020</t>
  </si>
  <si>
    <t>RESORTE DE COMPRESION C350 B450 B530</t>
  </si>
  <si>
    <t>RESORTE DEL TRINQUETE 757-57 (22155-71130)</t>
  </si>
  <si>
    <t>EC-V495001201</t>
  </si>
  <si>
    <t>ABRAZADERA DE TUBO DM6110 (V495001200)</t>
  </si>
  <si>
    <t>RETEN 22F-C230-ES726-C270</t>
  </si>
  <si>
    <t>ANILLO DE RETENCION 757 (22169-51140)</t>
  </si>
  <si>
    <t>ENGRANAJE PIÑON TENSOR CS680S CS600</t>
  </si>
  <si>
    <t>ENGRANAJE ANGULAR TENSOR CS680S CS600</t>
  </si>
  <si>
    <t>EC-V651000450</t>
  </si>
  <si>
    <t>PIÑON HUECO C270</t>
  </si>
  <si>
    <t>PIÑON CONICO CON VASTAGO C350 (22015-13390)</t>
  </si>
  <si>
    <t>CUCHILLA SUPERIOR 40" HT230 (18500-90002)</t>
  </si>
  <si>
    <t>CUCHILLA 40" ACC CORTACETOS</t>
  </si>
  <si>
    <t xml:space="preserve">ACCESORIOS CORTASETOS </t>
  </si>
  <si>
    <t>EC-X411001010</t>
  </si>
  <si>
    <t>CUCHILLA INFERIOR HT230 40" (18500-90003)</t>
  </si>
  <si>
    <t>EC-X411001151</t>
  </si>
  <si>
    <t>CUCHILLA ACC CORTASETOS (X411001150)</t>
  </si>
  <si>
    <t>PEZONERA EUROLATTE IMP</t>
  </si>
  <si>
    <t>MANGUERA DOBLE PULSACION TRANSPARENTE SILICONADA (mts)</t>
  </si>
  <si>
    <t>MANGUERA DE VACIO VERDE SILICONADA (mts)</t>
  </si>
  <si>
    <t>EURO-10133</t>
  </si>
  <si>
    <t>REGULADOR DE VACIO SERVO ASISTIDO 3500LT</t>
  </si>
  <si>
    <t>EURO-10200</t>
  </si>
  <si>
    <t>LUBRICADOR PARA BOMBAS DE VACIO</t>
  </si>
  <si>
    <t>VACUOMETRO DE GLICERINA, 63MM</t>
  </si>
  <si>
    <t>EURO-10271</t>
  </si>
  <si>
    <t>LAVADORA DE VACIO</t>
  </si>
  <si>
    <t>SET DE ORDENO EUROLATTE (vaso tipo F, tubería corta de vacío, pezonera, colector 16 mm).</t>
  </si>
  <si>
    <t>SOPORTE PARA TUBERIA 50MM PLASTICO</t>
  </si>
  <si>
    <t>EURO-10755</t>
  </si>
  <si>
    <t>ABRAZADERA DE 50 X 1 HEMBRA, NCM. 8434.9000</t>
  </si>
  <si>
    <t>TAPON EN GOMA PARA TEST 50MM</t>
  </si>
  <si>
    <t>SOPORTE DE PARED TUBERIA DE 1/2"</t>
  </si>
  <si>
    <t>TUBERIA PVC 50MM PARA VACIO (tramo de 6 metros)</t>
  </si>
  <si>
    <t>INCO-033</t>
  </si>
  <si>
    <t>MARTILLO PARA MOLINO TIN-2</t>
  </si>
  <si>
    <t xml:space="preserve">REPUESTOS TRITURADORES </t>
  </si>
  <si>
    <t>MEZCLADORA INCOMAGRI MIN-1000P</t>
  </si>
  <si>
    <t>02.046303 CONTRA CUCHILLA JF50S/MAXXIUM</t>
  </si>
  <si>
    <t>02.046575 KIT CUCHILLA COMP. JF50</t>
  </si>
  <si>
    <t>MOLINO PICADOR JF 10 D</t>
  </si>
  <si>
    <t>MOLINO PICADOR JF 5 D</t>
  </si>
  <si>
    <t>OT-531</t>
  </si>
  <si>
    <t>MOTOR 3HP MONOFASICO 3600 RPM</t>
  </si>
  <si>
    <t>OT-5633</t>
  </si>
  <si>
    <t>POLEA 4" 2 RANURAS HUECO 1"</t>
  </si>
  <si>
    <t>MOTOR 7.5HP WEG 3600 RPM 220/440</t>
  </si>
  <si>
    <t>DISCO VIDIA 10" 40 DIENTES</t>
  </si>
  <si>
    <t>ZM-8424.30.00</t>
  </si>
  <si>
    <t>HIDROLAVADORA 25L/450 CON SOPORTE MULTIPLE</t>
  </si>
  <si>
    <t>ZM-8424.30.93</t>
  </si>
  <si>
    <t>HIDROLAVADORA 15/600 CON MOTOR DE 1.5HP 110/220V</t>
  </si>
</sst>
</file>

<file path=xl/styles.xml><?xml version="1.0" encoding="utf-8"?>
<styleSheet xmlns="http://schemas.openxmlformats.org/spreadsheetml/2006/main">
  <numFmts count="2">
    <numFmt numFmtId="164" formatCode="&quot;$&quot;\ #,##0.00"/>
    <numFmt numFmtId="165" formatCode="yyyy\-mm\-dd;@"/>
  </numFmts>
  <fonts count="3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1" fillId="0" borderId="0" xfId="1"/>
    <xf numFmtId="164" fontId="0" fillId="0" borderId="0" xfId="0" applyNumberFormat="1"/>
    <xf numFmtId="0" fontId="0" fillId="0" borderId="0" xfId="0" applyNumberFormat="1"/>
    <xf numFmtId="1" fontId="0" fillId="0" borderId="0" xfId="0" applyNumberForma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0" xfId="0" pivotButton="1"/>
    <xf numFmtId="0" fontId="2" fillId="0" borderId="0" xfId="0" applyFont="1"/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Título" xfId="1" builtinId="15"/>
  </cellStyles>
  <dxfs count="14">
    <dxf>
      <numFmt numFmtId="2" formatCode="0.00"/>
    </dxf>
    <dxf>
      <numFmt numFmtId="13" formatCode="0%"/>
    </dxf>
    <dxf>
      <numFmt numFmtId="1" formatCode="0"/>
    </dxf>
    <dxf>
      <numFmt numFmtId="166" formatCode="dd/mm/yyyy"/>
    </dxf>
    <dxf>
      <numFmt numFmtId="0" formatCode="General"/>
    </dxf>
    <dxf>
      <numFmt numFmtId="0" formatCode="General"/>
    </dxf>
    <dxf>
      <numFmt numFmtId="165" formatCode="yyyy\-mm\-dd;@"/>
    </dxf>
    <dxf>
      <numFmt numFmtId="165" formatCode="yyyy\-mm\-dd;@"/>
    </dxf>
    <dxf>
      <numFmt numFmtId="164" formatCode="&quot;$&quot;\ #,##0.00"/>
    </dxf>
    <dxf>
      <numFmt numFmtId="164" formatCode="&quot;$&quot;\ #,##0.00"/>
    </dxf>
    <dxf>
      <alignment horizontal="center" readingOrder="0"/>
    </dxf>
    <dxf>
      <alignment horizontal="center" readingOrder="0"/>
    </dxf>
    <dxf>
      <font>
        <color auto="1"/>
      </font>
    </dxf>
    <dxf>
      <font>
        <color auto="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1431.717326736114" createdVersion="3" refreshedVersion="3" minRefreshableVersion="3" recordCount="1448">
  <cacheSource type="worksheet">
    <worksheetSource name="Tabla_Truput"/>
  </cacheSource>
  <cacheFields count="10">
    <cacheField name="EMPRESA" numFmtId="0">
      <sharedItems containsBlank="1" count="7">
        <s v="AGROINSUMOS"/>
        <s v="AGROTA"/>
        <s v="SUKAMPO"/>
        <m u="1"/>
        <s v="Agroinsumos Cia. Ltda" u="1"/>
        <s v="Sukampo S.A." u="1"/>
        <s v="Agrota Cia. Ltda" u="1"/>
      </sharedItems>
    </cacheField>
    <cacheField name="CODIGO" numFmtId="0">
      <sharedItems containsBlank="1" count="3763">
        <s v="IN-00102"/>
        <s v="IN-32"/>
        <s v="IN-33"/>
        <s v="IN-34"/>
        <s v="IN-35"/>
        <s v="IN-62"/>
        <s v="IN-63"/>
        <s v="IN-64"/>
        <s v="IN-65"/>
        <s v="JA-001"/>
        <s v="MP-208"/>
        <s v="MP-265"/>
        <s v="MPFUCOBEN-25KIL"/>
        <s v="MPFUCOFAL-25KIL"/>
        <s v="MPINCOCTP-25KIL"/>
        <s v="MPINCODTM-200LIT"/>
        <s v="MPINCOIMD-25KIL"/>
        <s v="MPINCOLCY-200LIT"/>
        <s v="MPNUCO161612-LIT"/>
        <s v="MPPRENCOC-100CC"/>
        <s v="MPPRENCOC-LIT"/>
        <s v="MPPRENFUN-100G"/>
        <s v="MPPRENFUN-KIL"/>
        <s v="MPPRENPET-100CC"/>
        <s v="MPPRENPET-250CC"/>
        <s v="MPPRENPET-500CC"/>
        <s v="MPPRENPET-LIT"/>
        <s v="MPPRETABM-LIT"/>
        <s v="MPPRETAGV-500CC"/>
        <s v="MPPRETANI-100CC"/>
        <s v="MPPRETANI-250CC"/>
        <s v="MPPRETANI-LIT"/>
        <s v="MPPRETBOR-250CC"/>
        <s v="MPPRETBOR-500CC"/>
        <s v="MPPRETFEG-LIT"/>
        <s v="MPPRETIMP-250CC"/>
        <s v="MPPRETIMP-LIT"/>
        <s v="MPPRETKPL-500CC"/>
        <s v="MPPRETKPL-LIT"/>
        <s v="MPPRETLET-100CC"/>
        <s v="MPPRETLET-250CC"/>
        <s v="MPPRETLET-500CC"/>
        <s v="MPPRETLET-LIT"/>
        <s v="MPPRETSCO-100CC"/>
        <s v="MPPRETSCO-250CC"/>
        <s v="MPPRETSKE-250CC"/>
        <s v="MPPRETSKE-500CC"/>
        <s v="MPPRETSKE-LIT"/>
        <s v="MPPRETSNX-500CC"/>
        <s v="MPPRETSPD-500GR"/>
        <s v="MPPRETSTY-KIL"/>
        <s v="MPPRFICBI-200G"/>
        <s v="MPPRFIPCHA-250/500G"/>
        <s v="PTACCOABM-100CC"/>
        <s v="PTACCOABM-LIT"/>
        <s v="PTACCOSNX-100CC"/>
        <s v="PTACCOSNX-500CC"/>
        <s v="PTACCOYOG-100CC"/>
        <s v="PTACCOYOG-LIT"/>
        <s v="PTFICOAFX-100CC"/>
        <s v="PTFICOAFX-250CC"/>
        <s v="PTFICOAFX-500CC"/>
        <s v="PTFICOAFX-LIT"/>
        <s v="PTFUCOBUC-LIT"/>
        <s v="PTFUCOFEG-250CC"/>
        <s v="PTFUCOFEG-500CC"/>
        <s v="PTFUCOFEG-LIT"/>
        <s v="PTFUCOLET-100CC"/>
        <s v="PTFUCOLET-250CC"/>
        <s v="PTFUCOLET-500CC"/>
        <s v="PTFUCOLET-50CC"/>
        <s v="PTFUCOLET-LIT"/>
        <s v="PTFUCOPCHA-250G"/>
        <s v="PTFUCOPCHA-500G"/>
        <s v="PTFUCOSCO-100CC"/>
        <s v="PTFUCOSCO-250CC"/>
        <s v="PTFUCOSCO-50CC"/>
        <s v="PTFUCOSCO-LIT"/>
        <s v="PTFUCOSKK-100G"/>
        <s v="PTFUCOSKK-200G"/>
        <s v="PTFUCOSKK-500G"/>
        <s v="PTFUCOSTY-100G"/>
        <s v="PTFUCOSTY-500G"/>
        <s v="PTFUCOSTY-KIL"/>
        <s v="PTFUORBIO-100CC"/>
        <s v="PTFUORBIO-250CC"/>
        <s v="PTFUORBIO-LIT"/>
        <s v="PTHECOGLF-125CC"/>
        <s v="PTHECOGLF-250CC"/>
        <s v="PTHECOGLF-500CC"/>
        <s v="PTHECOGLF-5GLN"/>
        <s v="PTHECOGLF-LIT"/>
        <s v="PTHECOKEM-5GLN"/>
        <s v="PTHECOKEM-GLN"/>
        <s v="PTHECOKEM-LIT"/>
        <s v="PTHECOMSF-15G"/>
        <s v="PTINCOANI-100CC"/>
        <s v="PTINCOANI-250CC"/>
        <s v="PTINCOANI-LIT"/>
        <s v="PTINCODEP-100G"/>
        <s v="PTINCODEP-300G"/>
        <s v="PTINCOFUL-50G"/>
        <s v="PTINCOKAR-120CC"/>
        <s v="PTINCOKAR-300CC"/>
        <s v="PTINCOSKE-100CC"/>
        <s v="PTINCOSKE-250CC"/>
        <s v="PTINCOSKE-500CC"/>
        <s v="PTINCOSKE-LIT"/>
        <s v="PTINCOSPD-100G"/>
        <s v="PTINCOSPD-500G"/>
        <s v="PTINORVRF-250CC"/>
        <s v="PTNUCOAGV-250CC"/>
        <s v="PTNUCOAGV-500CC"/>
        <s v="PTNUCOAGV-LIT"/>
        <s v="PTNUCOBOR-250CC"/>
        <s v="PTNUCOBOR-500CC"/>
        <s v="PTNUCOBOR-LIT"/>
        <s v="PTNUCOCBI-200G"/>
        <s v="PTNUCOCIT-100CC"/>
        <s v="PTNUCOCIT-250CC"/>
        <s v="PTNUCOCIT-LIT"/>
        <s v="PTNUCOFOS-250CC"/>
        <s v="PTNUCOFOS-500CC"/>
        <s v="PTNUCOFOS-LIT"/>
        <s v="PTNUCOIMP-100CC"/>
        <s v="PTNUCOIMP-250CC"/>
        <s v="PTNUCOIMP-LIT"/>
        <s v="PTNUCOKPL-500CC"/>
        <s v="PTNUCOKPL-LIT"/>
        <s v="PTNUCOOPW-250CC"/>
        <s v="PTNUCOOPW-500CC"/>
        <s v="PTNUCOOPW-LIT"/>
        <s v="PTNUCORFT-500CC"/>
        <s v="PTNUCORFT-KIL"/>
        <s v="PTNUCORFT-LIT"/>
        <s v="PTNUCOSVR-KIL"/>
        <s v="PTNUCOTHI-KIL"/>
        <s v="PTNUCOZIN-500CC"/>
        <s v="PTNUCOZIN-LIT"/>
        <s v="ALEN 5X16 CC"/>
        <s v="ALEN 5X30"/>
        <s v="ALEN 5X40"/>
        <s v="BR-CAT-CH4400"/>
        <s v="BR-CAT-SC2170"/>
        <s v="BR-CAT-SC3305"/>
        <s v="CR-049"/>
        <s v="EC-001107"/>
        <s v="EC-09510"/>
        <s v="EC-10001101110"/>
        <s v="EC-10001108360"/>
        <s v="EC-10001110530"/>
        <s v="EC-10001121230"/>
        <s v="EC-10001130831"/>
        <s v="EC-10001142230"/>
        <s v="EC-10001143230"/>
        <s v="EC-10001146430"/>
        <s v="EC-10001212331"/>
        <s v="EC-10010030830"/>
        <s v="EC-10010043130"/>
        <s v="EC-10010055931"/>
        <s v="EC-10010056032"/>
        <s v="EC-1001141"/>
        <s v="EC-10021219830"/>
        <s v="EC-10021227930"/>
        <s v="EC-10021300310"/>
        <s v="EC-10021302830"/>
        <s v="EC-10021305530"/>
        <s v="EC-10021330830"/>
        <s v="EC-10021338330"/>
        <s v="EC-10024230830"/>
        <s v="EC-10024242230"/>
        <s v="EC-10024255430"/>
        <s v="EC-10024255930"/>
        <s v="EC-10091730830"/>
        <s v="EC-10092230830"/>
        <s v="EC-10101006211"/>
        <s v="EC-10101030830"/>
        <s v="EC-10101032431"/>
        <s v="EC-10101042231"/>
        <s v="EC-10101055430"/>
        <s v="EC-10101055930"/>
        <s v="EC-10101056030"/>
        <s v="EC-10101147530"/>
        <s v="EC-10101161230"/>
        <s v="EC-10150356032"/>
        <s v="EC-10153530830"/>
        <s v="EC-102922452"/>
        <s v="EC-103942180"/>
        <s v="EC-10401606410"/>
        <s v="EC-10503"/>
        <s v="EC-10505"/>
        <s v="EC-10510"/>
        <s v="EC-10530"/>
        <s v="EC-108636-10"/>
        <s v="EC-12300038832"/>
        <s v="EC-12300047532"/>
        <s v="EC-12300055630"/>
        <s v="EC-12300060131"/>
        <s v="EC-12311212330"/>
        <s v="EC-12311215030"/>
        <s v="EC-12311605160"/>
        <s v="EC-12312203660"/>
        <s v="EC-12312232630"/>
        <s v="EC-12312318330"/>
        <s v="EC-12312338330"/>
        <s v="EC-12312509560"/>
        <s v="EC-12312512330"/>
        <s v="EC-12312515030"/>
        <s v="EC-12314003930"/>
        <s v="EC-12314016131"/>
        <s v="EC-12314116131"/>
        <s v="EC-12318139130"/>
        <s v="EC-12318140630"/>
        <s v="EC-12411305910"/>
        <s v="EC-12411405530"/>
        <s v="EC-12411411120"/>
        <s v="EC-12411505530"/>
        <s v="EC-12412215310"/>
        <s v="EC-12415905530"/>
        <s v="EC-12416011120"/>
        <s v="EC-12420013220"/>
        <s v="EC-12433149930"/>
        <s v="EC-12435412710"/>
        <s v="EC-12435521330"/>
        <s v="EC-12436112710"/>
        <s v="EC-12436212710"/>
        <s v="EC-12436312710"/>
        <s v="EC-12436412710"/>
        <s v="EC-12436755430"/>
        <s v="EC-12437455430"/>
        <s v="EC-12438012710"/>
        <s v="EC-12438055430"/>
        <s v="EC-12532308260"/>
        <s v="EC-12532508360"/>
        <s v="EC-12533708260"/>
        <s v="EC-12538108660"/>
        <s v="EC-12901152131"/>
        <s v="EC-12A0CD3744"/>
        <s v="EC-13001606211"/>
        <s v="EC-13001606232"/>
        <s v="EC-13001743130"/>
        <s v="EC-13001755630"/>
        <s v="EC-13001756431"/>
        <s v="EC-13010"/>
        <s v="EC-13030013411"/>
        <s v="EC-13030039730"/>
        <s v="EC-13030143130"/>
        <s v="EC-13030151730"/>
        <s v="EC-13030252131"/>
        <s v="EC-13030330831"/>
        <s v="EC-13030747533"/>
        <s v="EC-13031002910"/>
        <s v="EC-13031013410"/>
        <s v="EC-13031043130"/>
        <s v="EC-13031051730"/>
        <s v="EC-13031051830"/>
        <s v="EC-13031903710"/>
        <s v="EC-13051030830"/>
        <s v="EC-13100437632"/>
        <s v="EC-13100455530"/>
        <s v="EC-13120507320"/>
        <s v="EC-13132840630"/>
        <s v="EC-13192055430"/>
        <s v="EC-13201043130"/>
        <s v="EC-13201119831"/>
        <s v="EC-13211555930"/>
        <s v="EC-14551006211"/>
        <s v="EC-14551042231"/>
        <s v="EC-14551055932"/>
        <s v="EC-14551206211"/>
        <s v="EC-14586130830"/>
        <s v="EC-15262655430"/>
        <s v="EC-15262655932"/>
        <s v="EC-15510"/>
        <s v="EC-15660112920"/>
        <s v="EC-15660130832"/>
        <s v="EC-15660132632"/>
        <s v="EC-15662652730"/>
        <s v="EC-16A0ED3757"/>
        <s v="EC-17500030832"/>
        <s v="EC-17500543130"/>
        <s v="EC-17500549930"/>
        <s v="EC-17500555930"/>
        <s v="EC-17500942231"/>
        <s v="EC-17500955931"/>
        <s v="EC-17501230831"/>
        <s v="EC-17501232430"/>
        <s v="EC-17501805533"/>
        <s v="EC-17501830830"/>
        <s v="EC-17501842230"/>
        <s v="EC-17501849932"/>
        <s v="EC-17504606230"/>
        <s v="EC-17504646430"/>
        <s v="EC-17504656030"/>
        <s v="EC-17504803920"/>
        <s v="EC-17504805530"/>
        <s v="EC-17504903920"/>
        <s v="EC-17510530831"/>
        <s v="EC-17510532431"/>
        <s v="EC-17511412530"/>
        <s v="EC-17531320430"/>
        <s v="EC-17720006210"/>
        <s v="EC-17720055631"/>
        <s v="EC-17720055931"/>
        <s v="EC-17720360930"/>
        <s v="EC-17720614330"/>
        <s v="EC-17721511120"/>
        <s v="EC-17721532330"/>
        <s v="EC-17721540630"/>
        <s v="EC-17721543130"/>
        <s v="EC-17721544430"/>
        <s v="EC-17721805960"/>
        <s v="EC-17721830830"/>
        <s v="EC-17722002834"/>
        <s v="EC-17722005730"/>
        <s v="EC-17722006310"/>
        <s v="EC-17722035430"/>
        <s v="EC-17722040630"/>
        <s v="EC-17722042030"/>
        <s v="EC-17722107060"/>
        <s v="EC-17722601110"/>
        <s v="EC-17723412220"/>
        <s v="EC-17723419832"/>
        <s v="EC-17723430830"/>
        <s v="EC-17723440630"/>
        <s v="EC-17800143230"/>
        <s v="EC-17800147530"/>
        <s v="EC-17800159230"/>
        <s v="EC-17801005960"/>
        <s v="EC-17801205960"/>
        <s v="EC-17801335631"/>
        <s v="EC-17809052632"/>
        <s v="EC-17812743230"/>
        <s v="EC-17851051730"/>
        <s v="EC-17851505060"/>
        <s v="EC-17851600830"/>
        <s v="EC-18F8LS3372"/>
        <s v="EC-20091006210"/>
        <s v="EC-20D8TW3872"/>
        <s v="EC-21001304111"/>
        <s v="EC-21001401610"/>
        <s v="EC-21002300210"/>
        <s v="EC-21003204110"/>
        <s v="EC-21003604110"/>
        <s v="EC-21250001112"/>
        <s v="EC-21BPX72X"/>
        <s v="EC-21BPX78X"/>
        <s v="EC-22412713710"/>
        <s v="EC-22CINTL"/>
        <s v="EC-24D8TW3884"/>
        <s v="EC-25001708013"/>
        <s v="EC-25021111610"/>
        <s v="EC-25090206310"/>
        <s v="EC-27001006211"/>
        <s v="EC-28820-08000"/>
        <s v="EC-30030207410"/>
        <s v="EC-30100156831"/>
        <s v="EC-3014111"/>
        <s v="EC-313105055"/>
        <s v="EC-315105055"/>
        <s v="EC-32D8PS3805"/>
        <s v="EC-35101052931"/>
        <s v="EC-35110247530"/>
        <s v="EC-35121005560"/>
        <s v="EC-35121452931"/>
        <s v="EC-35131122431"/>
        <s v="EC-35131128330"/>
        <s v="EC-35810001111"/>
        <s v="EC-38301312621"/>
        <s v="EC-400442310"/>
        <s v="EC-400806410"/>
        <s v="EC-4036722"/>
        <s v="EC-4037771"/>
        <s v="EC-4048451"/>
        <s v="EC-4073281"/>
        <s v="EC-43021330833"/>
        <s v="EC-43101330831"/>
        <s v="EC-43301330830"/>
        <s v="EC-43301416430"/>
        <s v="EC-43301611031"/>
        <s v="EC-43301616430"/>
        <s v="EC-43301903933"/>
        <s v="EC-43301912330"/>
        <s v="EC-43334522660"/>
        <s v="EC-43700037530"/>
        <s v="EC-43700237530"/>
        <s v="EC-43710019832"/>
        <s v="EC-43721015130"/>
        <s v="EC-450095060"/>
        <s v="EC-4502640"/>
        <s v="EC-452009480"/>
        <s v="EC-4529110"/>
        <s v="EC-4555310"/>
        <s v="EC-4557850"/>
        <s v="EC-4573060"/>
        <s v="EC-4573110"/>
        <s v="EC-4574920"/>
        <s v="EC-4575060"/>
        <s v="EC-4579070"/>
        <s v="EC-60405105560"/>
        <s v="EC-61001106230"/>
        <s v="EC-61001122061"/>
        <s v="EC-61001122460"/>
        <s v="EC-61001222361"/>
        <s v="EC-61010522360"/>
        <s v="EC-61020543131"/>
        <s v="EC-61020643130"/>
        <s v="EC-61021022461"/>
        <s v="EC-61028222360"/>
        <s v="EC-61028222460"/>
        <s v="EC-61030056930"/>
        <s v="EC-61031005730"/>
        <s v="EC-61031056831"/>
        <s v="EC-61031056931"/>
        <s v="EC-61031307132"/>
        <s v="EC-61031421231"/>
        <s v="EC-61031452130"/>
        <s v="EC-61031507130"/>
        <s v="EC-61032027430"/>
        <s v="EC-61032052130"/>
        <s v="EC-61041056931"/>
        <s v="EC-61041307130"/>
        <s v="EC-61043450031"/>
        <s v="EC-61091051830"/>
        <s v="EC-6450061"/>
        <s v="EC-65001"/>
        <s v="EC-65002"/>
        <s v="EC-65003"/>
        <s v="EC-682100"/>
        <s v="EC-69922956830"/>
        <s v="EC-70102005510"/>
        <s v="EC-70602013250"/>
        <s v="EC-70602016970"/>
        <s v="EC-70602018220"/>
        <s v="EC-70602019230"/>
        <s v="EC-70602032010"/>
        <s v="EC-70602033710"/>
        <s v="EC-70602034770"/>
        <s v="EC-70602035911"/>
        <s v="EC-70602038720"/>
        <s v="EC-70602039720"/>
        <s v="EC-70602040771"/>
        <s v="EC-70602042040"/>
        <s v="EC-70602046780"/>
        <s v="EC-70602047412"/>
        <s v="EC-70602048970"/>
        <s v="EC-70602049A20"/>
        <s v="EC-70602050000"/>
        <s v="EC-70602056411"/>
        <s v="EC-70602066011"/>
        <s v="EC-70602067820"/>
        <s v="EC-70602068010"/>
        <s v="EC-70604001A61"/>
        <s v="EC-70604041870"/>
        <s v="EC-70604047001"/>
        <s v="EC-70604060762"/>
        <s v="EC-70604061461"/>
        <s v="EC-70604062621"/>
        <s v="EC-70613005230"/>
        <s v="EC-70615050520"/>
        <s v="EC-70615086060"/>
        <s v="EC-70616002061"/>
        <s v="EC-70617027723"/>
        <s v="EC-70617038721"/>
        <s v="EC-70617047620"/>
        <s v="EC-70617050720"/>
        <s v="EC-70617051631"/>
        <s v="EC-70617052970"/>
        <s v="EC-70617055030"/>
        <s v="EC-72LPX60CQ"/>
        <s v="EC-73LGX105X"/>
        <s v="EC-73LGX72X"/>
        <s v="EC-73LGX84X"/>
        <s v="EC-73LGX92X"/>
        <s v="EC-757-70INTL"/>
        <s v="EC-8000142"/>
        <s v="EC-80023"/>
        <s v="EC-80221"/>
        <s v="EC-80247"/>
        <s v="EC-80253"/>
        <s v="EC-80255"/>
        <s v="EC-80256"/>
        <s v="EC-80550"/>
        <s v="EC-80676"/>
        <s v="EC-80677"/>
        <s v="EC-80678"/>
        <s v="EC-81593"/>
        <s v="EC-81630"/>
        <s v="EC-82002"/>
        <s v="EC-82067A"/>
        <s v="EC-83003"/>
        <s v="EC-88102"/>
        <s v="EC-88198-S"/>
        <s v="EC-8890802"/>
        <s v="EC-89757005560"/>
        <s v="EC-89770819835"/>
        <s v="EC-90016205025"/>
        <s v="EC-90016205057"/>
        <s v="EC-90024205025"/>
        <s v="EC-90024205057"/>
        <s v="EC-90070600012"/>
        <s v="EC-90072000012"/>
        <s v="EC-9007200012"/>
        <s v="EC-90080406001"/>
        <s v="EC-90SG-39X"/>
        <s v="EC-9103006010"/>
        <s v="EC-91032"/>
        <s v="EC-91116"/>
        <s v="EC-91VX44CQ"/>
        <s v="EC-91VX57X"/>
        <s v="EC-91VXL45X"/>
        <s v="EC-9242428000"/>
        <s v="EC-9242435000"/>
        <s v="EC-9311503010"/>
        <s v="EC-99909-156"/>
        <s v="EC-99909-159"/>
        <s v="EC-99909-160"/>
        <s v="EC-99909-229"/>
        <s v="EC-99909-306"/>
        <s v="EC-99909-450"/>
        <s v="EC-99909-451"/>
        <s v="EC-99909-55113"/>
        <s v="EC-A011000120"/>
        <s v="EC-A011000720"/>
        <s v="EC-A011000810"/>
        <s v="EC-A011000840"/>
        <s v="EC-A011000860"/>
        <s v="EC-A011000930"/>
        <s v="EC-A011001060"/>
        <s v="EC-A020000080"/>
        <s v="EC-A021000291"/>
        <s v="EC-A021000682"/>
        <s v="EC-A021000741"/>
        <s v="EC-A021001580"/>
        <s v="EC-A021001680"/>
        <s v="EC-A021002120"/>
        <s v="EC-A021002190"/>
        <s v="EC-A021002300"/>
        <s v="EC-A021002470"/>
        <s v="EC-A021002520"/>
        <s v="EC-A021002540"/>
        <s v="EC-A021002570"/>
        <s v="EC-A021003120"/>
        <s v="EC-A021003180"/>
        <s v="EC-A023000160"/>
        <s v="EC-A030000120"/>
        <s v="EC-A030000250"/>
        <s v="EC-A030000260"/>
        <s v="EC-A030000270"/>
        <s v="EC-A030000610"/>
        <s v="EC-A033000230"/>
        <s v="EC-A033000280"/>
        <s v="EC-A033000330"/>
        <s v="EC-A037000000"/>
        <s v="EC-A038000330"/>
        <s v="EC-A038000430"/>
        <s v="EC-A039000020"/>
        <s v="EC-A050000200"/>
        <s v="EC-A050000240"/>
        <s v="EC-A051000070"/>
        <s v="EC-A051000170"/>
        <s v="EC-A051001660"/>
        <s v="EC-A051001861"/>
        <s v="EC-A051002180"/>
        <s v="EC-A052000011"/>
        <s v="EC-A052000370"/>
        <s v="EC-A052000380"/>
        <s v="EC-A052000430"/>
        <s v="EC-A055000020"/>
        <s v="EC-A056000050"/>
        <s v="EC-A056000220"/>
        <s v="EC-A056000430"/>
        <s v="EC-A056000451"/>
        <s v="EC-A056000520"/>
        <s v="EC-A056000640"/>
        <s v="EC-A056000650"/>
        <s v="EC-A057000011"/>
        <s v="EC-A058000010"/>
        <s v="EC-A100000730"/>
        <s v="EC-A101000000"/>
        <s v="EC-A101000010"/>
        <s v="EC-A101000150"/>
        <s v="EC-A101000160"/>
        <s v="EC-A101000210"/>
        <s v="EC-A101000250"/>
        <s v="EC-A101000300"/>
        <s v="EC-A101000330"/>
        <s v="EC-A101000350"/>
        <s v="EC-A101000360"/>
        <s v="EC-A101000370"/>
        <s v="EC-A101000380"/>
        <s v="EC-A101000400"/>
        <s v="EC-A101000520"/>
        <s v="EC-A101000550"/>
        <s v="EC-A101000560"/>
        <s v="EC-A130000292"/>
        <s v="EC-A130000601"/>
        <s v="EC-A130000980"/>
        <s v="EC-A130001070"/>
        <s v="EC-A130001150"/>
        <s v="EC-A130001340"/>
        <s v="EC-A130001371"/>
        <s v="EC-A130001390"/>
        <s v="EC-A130001780"/>
        <s v="EC-A160001640"/>
        <s v="EC-A172001270"/>
        <s v="EC-A172001300"/>
        <s v="EC-A175000180"/>
        <s v="EC-A175000200"/>
        <s v="EC-A175000210"/>
        <s v="EC-A200000140"/>
        <s v="EC-A200000500"/>
        <s v="EC-A200000560"/>
        <s v="EC-A200000640"/>
        <s v="EC-A200000680"/>
        <s v="EC-A202000060"/>
        <s v="EC-A202000080"/>
        <s v="EC-A202000160"/>
        <s v="EC-A202000180"/>
        <s v="EC-A206000010"/>
        <s v="EC-A225000400"/>
        <s v="EC-A225000490"/>
        <s v="EC-A226000070"/>
        <s v="EC-A226000300"/>
        <s v="EC-A226000310"/>
        <s v="EC-A226000520"/>
        <s v="EC-A226000620"/>
        <s v="EC-A226000650"/>
        <s v="EC-A226000660"/>
        <s v="EC-A226001220"/>
        <s v="EC-A226001250"/>
        <s v="EC-A226001260"/>
        <s v="EC-A230000000"/>
        <s v="EC-A232000312"/>
        <s v="EC-A232000710"/>
        <s v="EC-A232000820"/>
        <s v="EC-A232000840"/>
        <s v="EC-A232000940"/>
        <s v="EC-A235000220"/>
        <s v="EC-A244000180"/>
        <s v="EC-A300000400"/>
        <s v="EC-A300000781"/>
        <s v="EC-A320000080"/>
        <s v="EC-A320000760"/>
        <s v="EC-A320000890"/>
        <s v="EC-A356000031"/>
        <s v="EC-A356000050"/>
        <s v="EC-A369000070"/>
        <s v="EC-A369000101"/>
        <s v="EC-A392000060"/>
        <s v="EC-A393000050"/>
        <s v="EC-A393000180"/>
        <s v="EC-A393000190"/>
        <s v="EC-A409000520"/>
        <s v="EC-A409000640"/>
        <s v="EC-A410000010"/>
        <s v="EC-A410000030"/>
        <s v="EC-A411000050"/>
        <s v="EC-A411000130"/>
        <s v="EC-A411000264"/>
        <s v="EC-A411000450"/>
        <s v="EC-A411000650"/>
        <s v="EC-A411000780"/>
        <s v="EC-A411000790"/>
        <s v="EC-A411000820"/>
        <s v="EC-A411000880"/>
        <s v="EC-A411001020"/>
        <s v="EC-A411001080"/>
        <s v="EC-A426000050"/>
        <s v="EC-A427000090"/>
        <s v="EC-A429000110"/>
        <s v="EC-A429000120"/>
        <s v="EC-A440000300"/>
        <s v="EC-A440000310"/>
        <s v="EC-A500000840"/>
        <s v="EC-A504000110"/>
        <s v="EC-A504000190"/>
        <s v="EC-A506000080"/>
        <s v="EC-A506000120"/>
        <s v="EC-A506000230"/>
        <s v="EC-A506000270"/>
        <s v="EC-A506000410"/>
        <s v="EC-A509000190"/>
        <s v="EC-A509000320"/>
        <s v="EC-A510000110"/>
        <s v="EC-A511000210"/>
        <s v="EC-A511000250"/>
        <s v="EC-A514000120"/>
        <s v="EC-A514000130"/>
        <s v="EC-A520000080"/>
        <s v="EC-A520000170"/>
        <s v="EC-A553000000"/>
        <s v="EC-A553000060"/>
        <s v="EC-A555000130"/>
        <s v="EC-A556000021"/>
        <s v="EC-A556000181"/>
        <s v="EC-A556000760"/>
        <s v="EC-A556000890"/>
        <s v="EC-A556001170"/>
        <s v="EC-A556001270"/>
        <s v="EC-A556001300"/>
        <s v="EC-A556001480"/>
        <s v="EC-A556001600"/>
        <s v="EC-A565000070"/>
        <s v="EC-A566000120"/>
        <s v="EC-A566000130"/>
        <s v="EC-A566000160"/>
        <s v="EC-A566000200"/>
        <s v="EC-A566000210"/>
        <s v="EC-A566000220"/>
        <s v="EC-A570000200"/>
        <s v="EC-A575000390"/>
        <s v="EC-A575000400"/>
        <s v="EC-A575000410"/>
        <s v="EC-A575000420"/>
        <s v="EC-A575000430"/>
        <s v="EC-A575000440"/>
        <s v="EC-B450EMC"/>
        <s v="EC-B45INTL"/>
        <s v="EC-B530INTL"/>
        <s v="EC-BP35INTL"/>
        <s v="EC-C022000020"/>
        <s v="EC-C022000120"/>
        <s v="EC-C022000130"/>
        <s v="EC-C040000610"/>
        <s v="EC-C044000410"/>
        <s v="EC-C044000480"/>
        <s v="EC-C044000640"/>
        <s v="EC-C044000830"/>
        <s v="EC-C044000870"/>
        <s v="EC-C044000881"/>
        <s v="EC-C050001881"/>
        <s v="EC-C051000120"/>
        <s v="EC-C051000562"/>
        <s v="EC-C051000570"/>
        <s v="EC-C051000603"/>
        <s v="EC-C051000612"/>
        <s v="EC-C051000680"/>
        <s v="EC-C057000070"/>
        <s v="EC-C062000340"/>
        <s v="EC-C062000430"/>
        <s v="EC-C063000030"/>
        <s v="EC-C209000080"/>
        <s v="EC-C230INTL"/>
        <s v="EC-C300000740"/>
        <s v="EC-C305000040"/>
        <s v="EC-C305000370"/>
        <s v="EC-C309000030"/>
        <s v="EC-C309000110"/>
        <s v="EC-C309000160"/>
        <s v="EC-C316000010"/>
        <s v="EC-C350INTL"/>
        <s v="EC-C450000000"/>
        <s v="EC-C450000581"/>
        <s v="EC-C482000070"/>
        <s v="EC-C501000070"/>
        <s v="EC-C501000080"/>
        <s v="EC-C504000500"/>
        <s v="EC-C504000620"/>
        <s v="EC-C504000690"/>
        <s v="EC-C504000720"/>
        <s v="EC-C504000740"/>
        <s v="EC-C504000770"/>
        <s v="EC-C506000200"/>
        <s v="EC-C531000601"/>
        <s v="EC-C531000710"/>
        <s v="EC-C534000600"/>
        <s v="EC-C534000680"/>
        <s v="EC-C535000001"/>
        <s v="EC-C535000511"/>
        <s v="EC-C535000530"/>
        <s v="EC-C535000630"/>
        <s v="EC-C535000770"/>
        <s v="EC-C535000780"/>
        <s v="EC-C535000790"/>
        <s v="EC-C535000990"/>
        <s v="EC-C536000030"/>
        <s v="EC-C551000060"/>
        <s v="EC-C551000110"/>
        <s v="EC-CS-3000-30EUSTD"/>
        <s v="EC-CS-3500-40EUSTD"/>
        <s v="EC-CS-420ES-45LA"/>
        <s v="EC-CS-8002-80EUSTD"/>
        <s v="EC-DM-6110EUSTD"/>
        <s v="EC-DMAD-4610EUSTD"/>
        <s v="EC-E025000260"/>
        <s v="EC-E025000470"/>
        <s v="EC-EB500/EC1"/>
        <s v="EC-ECHO"/>
        <s v="EC-EDR-210"/>
        <s v="EC-ES726"/>
        <s v="EC-GT-22GES"/>
        <s v="EC-M230/EMC"/>
        <s v="EC-P003000240"/>
        <s v="EC-P004000430"/>
        <s v="EC-P004000440"/>
        <s v="EC-P004000700"/>
        <s v="EC-P004000880"/>
        <s v="EC-P004000890"/>
        <s v="EC-P004000930"/>
        <s v="EC-P004001340"/>
        <s v="EC-P004001890"/>
        <s v="EC-P004002640"/>
        <s v="EC-P004002900"/>
        <s v="EC-P005000790"/>
        <s v="EC-P005001080"/>
        <s v="EC-P005001090"/>
        <s v="EC-P005001130"/>
        <s v="EC-P005001150"/>
        <s v="EC-P005001160"/>
        <s v="EC-P005001170"/>
        <s v="EC-P021000371"/>
        <s v="EC-P021001102"/>
        <s v="EC-P021002791"/>
        <s v="EC-P021002801"/>
        <s v="EC-P021005410"/>
        <s v="EC-P021005420"/>
        <s v="EC-P021006200"/>
        <s v="EC-P021010210"/>
        <s v="EC-P021010232"/>
        <s v="EC-P021010574"/>
        <s v="EC-P021010582"/>
        <s v="EC-P021012591"/>
        <s v="EC-P021012620"/>
        <s v="EC-P021012781"/>
        <s v="EC-P021012810"/>
        <s v="EC-P021012831"/>
        <s v="EC-P021012920"/>
        <s v="EC-P021014261"/>
        <s v="EC-P021014320"/>
        <s v="EC-P021014440"/>
        <s v="EC-P021015190"/>
        <s v="EC-P021015290"/>
        <s v="EC-P021015770"/>
        <s v="EC-P021015780"/>
        <s v="EC-P021016370"/>
        <s v="EC-P021016910"/>
        <s v="EC-P021017990"/>
        <s v="EC-P021018110"/>
        <s v="EC-P021021240"/>
        <s v="EC-P021021540"/>
        <s v="EC-P021022520"/>
        <s v="EC-P021022530"/>
        <s v="EC-P021022550"/>
        <s v="EC-P021023260"/>
        <s v="EC-P021027031"/>
        <s v="EC-P021027040"/>
        <s v="EC-P021027090"/>
        <s v="EC-P021027130"/>
        <s v="EC-P021027760"/>
        <s v="EC-P021027770"/>
        <s v="EC-P021027910"/>
        <s v="EC-P021027920"/>
        <s v="EC-P021028610"/>
        <s v="EC-P021028811"/>
        <s v="EC-P021028901"/>
        <s v="EC-P021029730"/>
        <s v="EC-P021030550"/>
        <s v="EC-P021030570"/>
        <s v="EC-P021031560"/>
        <s v="EC-P021031630"/>
        <s v="EC-P021031650"/>
        <s v="EC-P021032390"/>
        <s v="EC-P021032441"/>
        <s v="EC-P021032910"/>
        <s v="EC-P021033070"/>
        <s v="EC-P021033200"/>
        <s v="EC-P021033230"/>
        <s v="EC-P021033470"/>
        <s v="EC-P021034100"/>
        <s v="EC-P021034560"/>
        <s v="EC-P021035221"/>
        <s v="EC-P021035340"/>
        <s v="EC-P021035430"/>
        <s v="EC-P021035440"/>
        <s v="EC-P021035720"/>
        <s v="EC-P021036090"/>
        <s v="EC-P021038920"/>
        <s v="EC-P021038950"/>
        <s v="EC-P021038980"/>
        <s v="EC-P021039000"/>
        <s v="EC-P021039010"/>
        <s v="EC-P021039020"/>
        <s v="EC-P021039240"/>
        <s v="EC-P021039350"/>
        <s v="EC-P021039360"/>
        <s v="EC-P021039510"/>
        <s v="EC-P022002080"/>
        <s v="EC-P022002090"/>
        <s v="EC-P022002100"/>
        <s v="EC-P022006870"/>
        <s v="EC-P022006900"/>
        <s v="EC-P022006910"/>
        <s v="EC-P022006940"/>
        <s v="EC-P022006950"/>
        <s v="EC-P022006970"/>
        <s v="EC-P022006980"/>
        <s v="EC-P022006990"/>
        <s v="EC-P022007020"/>
        <s v="EC-P022007030"/>
        <s v="EC-P022007041"/>
        <s v="EC-P022007050"/>
        <s v="EC-P022007060"/>
        <s v="EC-P022007081"/>
        <s v="EC-P022007090"/>
        <s v="EC-P022007110"/>
        <s v="EC-P022007120"/>
        <s v="EC-P022007131"/>
        <s v="EC-P022007160"/>
        <s v="EC-P022007170"/>
        <s v="EC-P022007210"/>
        <s v="EC-P022007220"/>
        <s v="EC-P022007230"/>
        <s v="EC-P022007260"/>
        <s v="EC-P022007270"/>
        <s v="EC-P022007310"/>
        <s v="EC-P022007320"/>
        <s v="EC-P022007430"/>
        <s v="EC-P022007440"/>
        <s v="EC-P022007460"/>
        <s v="EC-P022010440"/>
        <s v="EC-P022024740"/>
        <s v="EC-P022024750"/>
        <s v="EC-P022025180"/>
        <s v="EC-P022033110"/>
        <s v="EC-P050009190"/>
        <s v="EC-P050009350"/>
        <s v="EC-PHP-800LA"/>
        <s v="EC-PPT-2400STD"/>
        <s v="EC-S20A8TW3378"/>
        <s v="EC-SHINDAIWA"/>
        <s v="EC-SHP-800-2"/>
        <s v="EC-SHP-800EUSTD"/>
        <s v="EC-SP40BPS"/>
        <s v="EC-SRAH-205"/>
        <s v="EC-SRM-22GUES"/>
        <s v="EC-SRM-3605UEU"/>
        <s v="EC-SRM-4300F"/>
        <s v="EC-SRM-4300R"/>
        <s v="EC-SRM-4605UEU"/>
        <s v="EC-T230XREMC"/>
        <s v="EC-UN10"/>
        <s v="EC-V043000420"/>
        <s v="EC-V043000530"/>
        <s v="EC-V043000540"/>
        <s v="EC-V043000550"/>
        <s v="EC-V043000560"/>
        <s v="EC-V043000870"/>
        <s v="EC-V100000040"/>
        <s v="EC-V100000410"/>
        <s v="EC-V100000450"/>
        <s v="EC-V100000470"/>
        <s v="EC-V100000490"/>
        <s v="EC-V100000570"/>
        <s v="EC-V102000001"/>
        <s v="EC-V103000000"/>
        <s v="EC-V103000070"/>
        <s v="EC-V103000770"/>
        <s v="EC-V103000950"/>
        <s v="EC-V103001010"/>
        <s v="EC-V103001020"/>
        <s v="EC-V103001030"/>
        <s v="EC-V103001040"/>
        <s v="EC-V103001080"/>
        <s v="EC-V103001200"/>
        <s v="EC-V104000210"/>
        <s v="EC-V104000920"/>
        <s v="EC-V104001330"/>
        <s v="EC-V104001360"/>
        <s v="EC-V104001500"/>
        <s v="EC-V104001610"/>
        <s v="EC-V137000080"/>
        <s v="EC-V138000020"/>
        <s v="EC-V203000110"/>
        <s v="EC-V203000610"/>
        <s v="EC-V205000480"/>
        <s v="EC-V206000220"/>
        <s v="EC-V206000230"/>
        <s v="EC-V206000250"/>
        <s v="EC-V216000040"/>
        <s v="EC-V224000031"/>
        <s v="EC-V225000180"/>
        <s v="EC-V255000030"/>
        <s v="EC-V265000170"/>
        <s v="EC-V265000230"/>
        <s v="EC-V265000240"/>
        <s v="EC-V265000250"/>
        <s v="EC-V299000390"/>
        <s v="EC-V299000410"/>
        <s v="EC-V299000420"/>
        <s v="EC-V304000180"/>
        <s v="EC-V307000230"/>
        <s v="EC-V309000080"/>
        <s v="EC-V322000040"/>
        <s v="EC-V352000140"/>
        <s v="EC-V356000352"/>
        <s v="EC-V356000480"/>
        <s v="EC-V356000500"/>
        <s v="EC-V358000130"/>
        <s v="EC-V360000060"/>
        <s v="EC-V401000050"/>
        <s v="EC-V401000390"/>
        <s v="EC-V420000530"/>
        <s v="EC-V420002390"/>
        <s v="EC-V420002400"/>
        <s v="EC-V420002510"/>
        <s v="EC-V420002520"/>
        <s v="EC-V430002650"/>
        <s v="EC-V430002900"/>
        <s v="EC-V430002910"/>
        <s v="EC-V430002930"/>
        <s v="EC-V450000150"/>
        <s v="EC-V450001020"/>
        <s v="EC-V451000040"/>
        <s v="EC-V452000060"/>
        <s v="EC-V452000130"/>
        <s v="EC-V452000220"/>
        <s v="EC-V452000550"/>
        <s v="EC-V452000560"/>
        <s v="EC-V452000690"/>
        <s v="EC-V452000960"/>
        <s v="EC-V471002660"/>
        <s v="EC-V475004810"/>
        <s v="EC-V490000530"/>
        <s v="EC-V495001171"/>
        <s v="EC-V495001201"/>
        <s v="EC-V505000080"/>
        <s v="EC-V505000140"/>
        <s v="EC-V508000050"/>
        <s v="EC-V508000080"/>
        <s v="EC-V509000000"/>
        <s v="EC-V510000030"/>
        <s v="EC-V513000000"/>
        <s v="EC-V580000100"/>
        <s v="EC-V582000100"/>
        <s v="EC-V582000200"/>
        <s v="EC-V583000181"/>
        <s v="EC-V641000140"/>
        <s v="EC-V651000001"/>
        <s v="EC-V651000011"/>
        <s v="EC-V651000450"/>
        <s v="EC-V651000460"/>
        <s v="EC-V651000520"/>
        <s v="EC-V651000540"/>
        <s v="EC-V651000550"/>
        <s v="EC-V651000690"/>
        <s v="EC-V651000700"/>
        <s v="EC-V652000030"/>
        <s v="EC-V652000180"/>
        <s v="EC-V652000190"/>
        <s v="EC-WP-1000"/>
        <s v="EC-X047000520"/>
        <s v="EC-X405000011"/>
        <s v="EC-X411000940"/>
        <s v="EC-X411000960"/>
        <s v="EC-X411001010"/>
        <s v="EC-X411001151"/>
        <s v="EC-X475000050"/>
        <s v="EC-X602000020"/>
        <s v="EC-X602000150"/>
        <s v="EC-X602000210"/>
        <s v="EC-X602000220"/>
        <s v="EC-X602000230"/>
        <s v="EC-X605000090"/>
        <s v="EC-X605000100"/>
        <s v="EURO-001"/>
        <s v="EURO-10050-I"/>
        <s v="EURO-10069"/>
        <s v="EURO-10070"/>
        <s v="EURO-10080"/>
        <s v="EURO-10081"/>
        <s v="EURO-10086"/>
        <s v="EURO-10133"/>
        <s v="EURO-10200"/>
        <s v="EURO-10241"/>
        <s v="EURO-10271"/>
        <s v="EURO-10450"/>
        <s v="EURO-10470-L"/>
        <s v="EURO-10747-A"/>
        <s v="EURO-10755"/>
        <s v="EURO-10766"/>
        <s v="EURO-10772-A"/>
        <s v="EURO-11000"/>
        <s v="EURO-11012"/>
        <s v="EURO-17014"/>
        <s v="EURO-25111"/>
        <s v="IMP-271"/>
        <s v="INCO-033"/>
        <s v="INCO-9051910"/>
        <s v="INCO-9061910"/>
        <s v="JF-002"/>
        <s v="JF-014"/>
        <s v="JF-016"/>
        <s v="JF-017"/>
        <s v="JF-019"/>
        <s v="JF-025"/>
        <s v="JF-026"/>
        <s v="JF-029"/>
        <s v="JF-03.100094"/>
        <s v="JF-03.100566"/>
        <s v="JF-033"/>
        <s v="JF-038"/>
        <s v="JF-039"/>
        <s v="JF-040"/>
        <s v="JF-082"/>
        <s v="JF-086"/>
        <s v="JF-291"/>
        <s v="OR-206045"/>
        <s v="OR-65789"/>
        <s v="OT-113"/>
        <s v="OT-1131"/>
        <s v="OT-2356"/>
        <s v="OT-531"/>
        <s v="OT-5633"/>
        <s v="OT-584"/>
        <s v="OT-653"/>
        <s v="OT-74-02-331"/>
        <s v="OT-848"/>
        <s v="OT-A48"/>
        <s v="OT-A90"/>
        <s v="OT-B83"/>
        <s v="OT-B95"/>
        <s v="OT-VANG18HP"/>
        <s v="PRO-001"/>
        <s v="RULIT-009"/>
        <s v="SH-20021-96601"/>
        <s v="SH-22015-96500"/>
        <s v="SH-22015-96600"/>
        <s v="SH-60035-98061"/>
        <s v="SH-72080-98020"/>
        <s v="SH-78890-11000"/>
        <s v="SH-80771"/>
        <s v="SH-99909-12212"/>
        <s v="SHDW-016"/>
        <s v="SHDW-036"/>
        <s v="SHDW-038"/>
        <s v="ZM-001"/>
        <s v="ZM-010"/>
        <s v="ZM-011"/>
        <s v="ZM-014"/>
        <s v="ZM-044"/>
        <s v="ZM-051"/>
        <s v="ZM-064"/>
        <s v="ZM-065"/>
        <s v="ZM-067"/>
        <s v="ZM-070"/>
        <s v="ZM-072"/>
        <s v="ZM-074"/>
        <s v="ZM-8424.30.00"/>
        <s v="ZM-8424.30.93"/>
        <s v="B175"/>
        <s v="B200"/>
        <s v="B26A"/>
        <s v="B300"/>
        <s v="B555"/>
        <s v="B88T"/>
        <s v="BLK727"/>
        <s v="BLK730"/>
        <s v="BLS915"/>
        <s v="BR4000"/>
        <s v="BSHARP"/>
        <s v="C00765B"/>
        <s v="CT-0001"/>
        <s v="CT-0005"/>
        <s v="CT-0006"/>
        <s v="CY-001"/>
        <s v="EC-09530"/>
        <s v="EC-13-58"/>
        <s v="EC-22400010610"/>
        <s v="EC-43021113432"/>
        <s v="EC-43171730230"/>
        <s v="EC-6450102"/>
        <s v="EC-73DP-98X"/>
        <s v="EC-82003"/>
        <s v="EC-99909-55130"/>
        <s v="EC-99909-55133"/>
        <s v="EC-A226000740"/>
        <s v="EC-B450/AUS"/>
        <s v="EC-C270EMC"/>
        <s v="EC-CS-680S-70EUSTD"/>
        <s v="EC-P004001940"/>
        <s v="EC-P230S/EC1"/>
        <s v="EC-SP45BPE"/>
        <s v="EC-X405000001"/>
        <s v="EURO-10073-A"/>
        <s v="EURO-10093"/>
        <s v="EURO-10105"/>
        <s v="EURO-10106"/>
        <s v="EURO-10193"/>
        <s v="EURO-10200-B"/>
        <s v="EURO-10200-C"/>
        <s v="EURO-10200-F"/>
        <s v="EURO-10217-B"/>
        <s v="EURO-10217-N"/>
        <s v="EURO-10235"/>
        <s v="EURO-10236"/>
        <s v="EURO-10282-A"/>
        <s v="EURO-10284"/>
        <s v="EURO-10291"/>
        <s v="EURO-10364"/>
        <s v="EURO-10383"/>
        <s v="EURO-10443"/>
        <s v="EURO-10444"/>
        <s v="EURO-10445-B"/>
        <s v="EURO-10446"/>
        <s v="EURO-10473"/>
        <s v="EURO-10492"/>
        <s v="EURO-10510"/>
        <s v="EURO-10515"/>
        <s v="EURO-10755-B"/>
        <s v="EURO-17004"/>
        <s v="EURO-17011"/>
        <s v="EURO-17028"/>
        <s v="EURO-20101"/>
        <s v="HF-019"/>
        <s v="HF-019AB"/>
        <s v="HOND-1019759"/>
        <s v="IH-001"/>
        <s v="IN-378"/>
        <s v="JF-003"/>
        <s v="JF-125"/>
        <s v="LTA007"/>
        <s v="MOTSU-003"/>
        <s v="MP-7881"/>
        <s v="OT-72LPX"/>
        <s v="PTFUCOBFT-100CC"/>
        <s v="PTFUCOBFT-250CC"/>
        <s v="PTFUCOBFT-500CC"/>
        <s v="PTFUCOBUC-100CC"/>
        <s v="PTFUCOBUC-250CC"/>
        <s v="PTFUCOBUC-500CC"/>
        <s v="PTFUCOFEG-100CC"/>
        <s v="PTFUCORID-100CC"/>
        <s v="PTFUCORID-200CC"/>
        <s v="PTFUCORID-LIT"/>
        <s v="PTINCOANI-500CC"/>
        <s v="PTINCOGGB-10G"/>
        <s v="PTNUCOCRE-KIL"/>
        <s v="SH-72005-92630"/>
        <s v="SHDW-012"/>
        <s v="SHDW-013"/>
        <s v="SHDW-014"/>
        <s v="SHDW-048"/>
        <s v="Z270"/>
        <s v="Z550"/>
        <s v="Z555"/>
        <s v="Z555P"/>
        <s v="Z555P2"/>
        <s v="Z555PR"/>
        <s v="Z655PFM"/>
        <s v="" u="1"/>
        <m u="1"/>
        <s v="SH-20018-31260" u="1"/>
        <s v="JM-033" u="1"/>
        <s v="EC-X602000140" u="1"/>
        <s v="MP-138" u="1"/>
        <s v="OT-126" u="1"/>
        <s v="OT-CARB002" u="1"/>
        <s v="SU-BOTA-190681" u="1"/>
        <s v="A506000260" u="1"/>
        <s v="MP-072" u="1"/>
        <s v="SH-22035-13140" u="1"/>
        <s v="SH-22104-75420" u="1"/>
        <s v="SH-20000-81340" u="1"/>
        <s v="FIL-40572" u="1"/>
        <s v="SH-62035-83111" u="1"/>
        <s v="EC-1001101" u="1"/>
        <s v="CR-0100" u="1"/>
        <s v="GAL-VER-001" u="1"/>
        <s v="OT-412" u="1"/>
        <s v="EC-SP30BPE" u="1"/>
        <s v="SH-99909-229" u="1"/>
        <s v="JF-285" u="1"/>
        <s v="EC-A100000670" u="1"/>
        <s v="EC-C05100600" u="1"/>
        <s v="EC-13191043130" u="1"/>
        <s v="EC-13040652131" u="1"/>
        <s v="JF-022" u="1"/>
        <s v="EC-17722138330" u="1"/>
        <s v="OT-326" u="1"/>
        <s v="SH-62035-75120" u="1"/>
        <s v="EC-70617005560" u="1"/>
        <s v="SH-62022-15100" u="1"/>
        <s v="SH-22169-72220" u="1"/>
        <s v="SH-70210-41110" u="1"/>
        <s v="MP -234" u="1"/>
        <s v="EC-10092138330" u="1"/>
        <s v="MP - 063" u="1"/>
        <s v="DSTR-009" u="1"/>
        <s v="MP-186" u="1"/>
        <s v="EC-99944100482" u="1"/>
        <s v="IN - 1271" u="1"/>
        <s v="CO-011" u="1"/>
        <s v="JF-036" u="1"/>
        <s v="EC-12212500230" u="1"/>
        <s v="IN-130" u="1"/>
        <s v="EC-10001116431" u="1"/>
        <s v="ZM-0012" u="1"/>
        <s v="EC-13051214731" u="1"/>
        <s v="SH-20020-75180" u="1"/>
        <s v="SH-67000-81010" u="1"/>
        <s v="SH-20016-42002" u="1"/>
        <s v="FUM-001" u="1"/>
        <s v="SH-20140-75100" u="1"/>
        <s v="FUM-002" u="1"/>
        <s v="FUM-004" u="1"/>
        <s v="IN-044" u="1"/>
        <s v="MP-023" u="1"/>
        <s v="SH-99909-156" u="1"/>
        <s v="RULIT-007" u="1"/>
        <s v="SH-22169-54630" u="1"/>
        <s v="FUM-007" u="1"/>
        <s v="EC-P021008630" u="1"/>
        <s v="ZM-015" u="1"/>
        <s v="MP - 064" u="1"/>
        <s v="SH-62035-85351" u="1"/>
        <s v="SU-BOTA-190678" u="1"/>
        <s v="OT-B66" u="1"/>
        <s v="SH-70200-71200" u="1"/>
        <s v="SU-IMVAB-04.030" u="1"/>
        <s v="EC-61020656930" u="1"/>
        <s v="MOT-0023" u="1"/>
        <s v="EC-A100000680" u="1"/>
        <s v="EC-6450107" u="1"/>
        <s v="SU-IMVAB-04.031" u="1"/>
        <s v="SH-72936-81000" u="1"/>
        <s v="IN-144" u="1"/>
        <s v="MP-123" u="1"/>
        <s v="OT-0110" u="1"/>
        <s v="EC-12314016130" u="1"/>
        <s v="EC-P050008390" u="1"/>
        <s v="PROC-006" u="1"/>
        <s v="SH-70210-81022" u="1"/>
        <s v="EC-HT230/40EPA" u="1"/>
        <s v="JERINGADESC-05" u="1"/>
        <s v="CBG1000-2" u="1"/>
        <s v="SU-IMVAB-01.036" u="1"/>
        <s v="SH-70012-31111" u="1"/>
        <s v="MP-037" u="1"/>
        <s v="EC-12200032930" u="1"/>
        <s v="EC-27011906210" u="1"/>
        <s v="MP-223" u="1"/>
        <s v="EC-17809022560" u="1"/>
        <s v="IN-1441" u="1"/>
        <s v="ZM-029" u="1"/>
        <s v="JF-084" u="1"/>
        <s v="MP-1234" u="1"/>
        <s v="JF-270" u="1"/>
        <s v="MP-1235" u="1"/>
        <s v="SU-IMVAB-01.039" u="1"/>
        <s v="EC-P022007000" u="1"/>
        <s v="TB-1901748" u="1"/>
        <s v="SH-70870-98020" u="1"/>
        <s v="EC-P022007100" u="1"/>
        <s v="EC-V495001200" u="1"/>
        <s v="EC-P021012780" u="1"/>
        <s v="MP-137" u="1"/>
        <s v="SH-12534408560" u="1"/>
        <s v="ot-00101" u="1"/>
        <s v="SO-508" u="1"/>
        <s v="IN-092" u="1"/>
        <s v="SH-22021-12400" u="1"/>
        <s v="CHAN-001" u="1"/>
        <s v="ZM-063 " u="1"/>
        <s v="SE-195" u="1"/>
        <s v="F-004" u="1"/>
        <s v="QUIM-010" u="1"/>
        <s v="QUIM-020" u="1"/>
        <s v="EC-A101000090" u="1"/>
        <s v="JF-284" u="1"/>
        <s v="SH-20040-81680" u="1"/>
        <s v="CR-023" u="1"/>
        <s v="SH-63019-63170" u="1"/>
        <s v="SH-68501-81490" u="1"/>
        <s v="F-014" u="1"/>
        <s v="JF-021" u="1"/>
        <s v="IN-358" u="1"/>
        <s v="BR-CAT-CS3342" u="1"/>
        <s v="SH-20016-12112" u="1"/>
        <s v="MP-085" u="1"/>
        <s v="MP-271" u="1"/>
        <s v="SH-22160-71511" u="1"/>
        <s v="OT-000520" u="1"/>
        <s v="CR-123" u="1"/>
        <s v="SH-40084-20" u="1"/>
        <s v="OR-205963" u="1"/>
        <s v="MY-032" u="1"/>
        <s v="QUIM-001" u="1"/>
        <s v="QUIM-011" u="1"/>
        <s v="EC-13031357030" u="1"/>
        <s v="96700800" u="1"/>
        <s v="QUIM-021" u="1"/>
        <s v="MP-371" u="1"/>
        <s v="CO-010" u="1"/>
        <s v="EC-A356000030" u="1"/>
        <s v="SH-70131-75100" u="1"/>
        <s v="EC-P021012790" u="1"/>
        <s v="EC-33SL0-72X" u="1"/>
        <s v="MP-099" u="1"/>
        <s v="EC-88051" u="1"/>
        <s v="EC-12411511120" u="1"/>
        <s v="MP-285" u="1"/>
        <s v="PROC-009" u="1"/>
        <s v="EC-43113516431" u="1"/>
        <s v="EC-90081036202" u="1"/>
        <s v="IN-043" u="1"/>
        <s v="MP-022" u="1"/>
        <s v="QUIM-002" u="1"/>
        <s v="SH-70210-42001" u="1"/>
        <s v="QUIM-022" u="1"/>
        <s v="44040109" u="1"/>
        <s v="SH-20000-85500" u="1"/>
        <s v="SH-63019-63130" u="1"/>
        <s v="SH-20016-71601" u="1"/>
        <s v="MP-122" u="1"/>
        <s v="SH-20142-41210" u="1"/>
        <s v="NEW-010" u="1"/>
        <s v="OT-00040" u="1"/>
        <s v="SH-70162-75100" u="1"/>
        <s v="EC-21001400310" u="1"/>
        <s v="OT-02030-06202" u="1"/>
        <s v="EC-61020623030" u="1"/>
        <s v="MP-222" u="1"/>
        <s v="CRE-856" u="1"/>
        <s v="CRE-857" u="1"/>
        <s v="QUIM-003" u="1"/>
        <s v="SH-22160-51220" u="1"/>
        <s v="SH-22035-13271" u="1"/>
        <s v="ZM-028" u="1"/>
        <s v="JF-083" u="1"/>
        <s v="QUIM-013" u="1"/>
        <s v="SH-67001-62211" u="1"/>
        <s v="QUIM-023" u="1"/>
        <s v="OT-B79" u="1"/>
        <s v="SH-88421" u="1"/>
        <s v="EC-43710016430" u="1"/>
        <s v="SH-62113-83010" u="1"/>
        <s v="EC-8890150" u="1"/>
        <s v="MP-136" u="1"/>
        <s v="EC-4550460" u="1"/>
        <s v="B-CAN-002" u="1"/>
        <s v="SH-70131-75200" u="1"/>
        <s v="EC-P021012603" u="1"/>
        <s v="EC-488/EMC" u="1"/>
        <s v="EC-17500905131" u="1"/>
        <s v="LIQ-0005" u="1"/>
        <s v="SH-20087-31211" u="1"/>
        <s v="CR-099" u="1"/>
        <s v="OT-10001" u="1"/>
        <s v="OT-10011" u="1"/>
        <s v="MP-170" u="1"/>
        <s v="QUIM-004" u="1"/>
        <s v="SH-20000-81740" u="1"/>
        <s v="JF-283" u="1"/>
        <s v="QUIM-014" u="1"/>
        <s v="QUIM-024" u="1"/>
        <s v="SH-20000-21211" u="1"/>
        <s v="SH-20000-41210" u="1"/>
        <s v="SOUTH-017 " u="1"/>
        <s v="SH-20010-21211" u="1"/>
        <s v="SH-20010-41210" u="1"/>
        <s v="SH-99909-159" u="1"/>
        <s v="SO-69.00.653" u="1"/>
        <s v="JF-020" u="1"/>
        <s v="EC-99944100473" u="1"/>
        <s v="SH-4042881" u="1"/>
        <s v="SH-72432-13230" u="1"/>
        <s v="Z130" u="1"/>
        <s v="MP-084" u="1"/>
        <s v="EC-CS-3500-35EUSTD" u="1"/>
        <s v="Z180" u="1"/>
        <s v="MP-270" u="1"/>
        <s v="SH-72051-98310" u="1"/>
        <s v="OT-687" u="1"/>
        <s v="CR-122" u="1"/>
        <s v="EC-88054" u="1"/>
        <s v="SH-70210-12111" u="1"/>
        <s v="EC-V102000060" u="1"/>
        <s v="QU-013" u="1"/>
        <s v="OT-238" u="1"/>
        <s v="SH-62035-33130" u="1"/>
        <s v="OT-3241" u="1"/>
        <s v="EC-V100000560" u="1"/>
        <s v="MP-370" u="1"/>
        <s v="QUIM-005" u="1"/>
        <s v="MOT-365" u="1"/>
        <s v="QUIM-015" u="1"/>
        <s v="QUIM-025" u="1"/>
        <s v="EC-12300052133" u="1"/>
        <s v="SH-20021-41210" u="1"/>
        <s v="SH-108644-30" u="1"/>
        <s v="EC-A226000670" u="1"/>
        <s v="EC-17720206210" u="1"/>
        <s v="JF-034" u="1"/>
        <s v="MP-098" u="1"/>
        <s v="SE-045" u="1"/>
        <s v="ZM-8424.30.90" u="1"/>
        <s v="MP-284" u="1"/>
        <s v="EC-13120519831" u="1"/>
        <s v="BA-028" u="1"/>
        <s v="SOL-701-L" u="1"/>
        <s v="IN-0081" u="1"/>
        <s v="MY-1903-27" u="1"/>
        <s v="MP-021" u="1"/>
        <s v="SH-02432-32120" u="1"/>
        <s v="EC-P021007630" u="1"/>
        <s v="SH-20011-12220" u="1"/>
        <s v="SH-22410-13530" u="1"/>
        <s v="ZM-013" u="1"/>
        <s v="MP-198" u="1"/>
        <s v="EC-A051000982" u="1"/>
        <s v="MAY-004" u="1"/>
        <s v="QUIM-016" u="1"/>
        <s v="0T-012" u="1"/>
        <s v="EC-70602060A22" u="1"/>
        <s v="SH-20016-85400" u="1"/>
        <s v="MP-121" u="1"/>
        <s v="IP010" u="1"/>
        <s v="EC-13201035430" u="1"/>
        <s v="SH-72518-91180" u="1"/>
        <s v="NEW-001" u="1"/>
        <s v="EC-15262656032" u="1"/>
        <s v="EC-4552760" u="1"/>
        <s v="EC-C454000181" u="1"/>
        <s v="EC-88056" u="1"/>
        <s v="MP-221" u="1"/>
        <s v="INCO-1602" u="1"/>
        <s v="EC-V100000270" u="1"/>
        <s v="ZM-027" u="1"/>
        <s v="MP-398" u="1"/>
        <s v="SH-22015-14331" u="1"/>
        <s v="QUIM-007" u="1"/>
        <s v="FRT-1130445" u="1"/>
        <s v="SH-20019-81440" u="1"/>
        <s v="EC-A226000580" u="1"/>
        <s v="MP-135" u="1"/>
        <s v="OT-123" u="1"/>
        <s v="EC-13001642231" u="1"/>
        <s v="TB-1902802001" u="1"/>
        <s v="EC-V224000030" u="1"/>
        <s v="OFIC-010" u="1"/>
        <s v="SH-4562530" u="1"/>
        <s v="MP-01131" u="1"/>
        <s v="FRT-1130449" u="1"/>
        <s v="SH-70157-51101" u="1"/>
        <s v="SH-22157-41112" u="1"/>
        <s v="ZM-061" u="1"/>
        <s v="SOL-3022" u="1"/>
        <s v="EURO-10022-45" u="1"/>
        <s v="CO-01311" u="1"/>
        <s v="CR-098" u="1"/>
        <s v="MP-049" u="1"/>
        <s v="MP-01245" u="1"/>
        <s v="EC-89852017130" u="1"/>
        <s v="SH-72451-14570" u="1"/>
        <s v="EC-88057" u="1"/>
        <s v="HER-22520016" u="1"/>
        <s v="GAL-B-OO1-1" u="1"/>
        <s v="GAL-AB-001" u="1"/>
        <s v="JF-282" u="1"/>
        <s v="SH-P231" u="1"/>
        <s v="EC-21040701110" u="1"/>
        <s v="G-004" u="1"/>
        <s v="QUIM-008" u="1"/>
        <s v="QUIM-018" u="1"/>
        <s v="SH-P230/EC1" u="1"/>
        <s v="MP-149" u="1"/>
        <s v="MP-083" u="1"/>
        <s v="OFIC-001" u="1"/>
        <s v="OFIC-011" u="1"/>
        <s v="CR-999" u="1"/>
        <s v="EC-10101044332" u="1"/>
        <s v="CR-999   " u="1"/>
        <s v="CR-121" u="1"/>
        <s v="EC-P021038930" u="1"/>
        <s v="QU-012" u="1"/>
        <s v="MP-249" u="1"/>
        <s v="OT-237" u="1"/>
        <s v="SH-4573060" u="1"/>
        <s v="EC-P021015132" u="1"/>
        <s v="SH-4575060" u="1"/>
        <s v="MP-183" u="1"/>
        <s v="IN-5421" u="1"/>
        <s v="IN-5422" u="1"/>
        <s v="SU-ECUAQ-22490026" u="1"/>
        <s v="SH-20016-12120" u="1"/>
        <s v="INCO-35" u="1"/>
        <s v="INCO-36" u="1"/>
        <s v="SH-22150-51520" u="1"/>
        <s v="SH-18500-50102" u="1"/>
        <s v="ZONDA" u="1"/>
        <s v="QUIM-019" u="1"/>
        <s v="34012301" u="1"/>
        <s v="EC-V205000400" u="1"/>
        <s v="OT-523" u="1"/>
        <s v="MP-097" u="1"/>
        <s v="OT-085" u="1"/>
        <s v="OFIC-002" u="1"/>
        <s v="OFIC-012" u="1"/>
        <s v="MP-020" u="1"/>
        <s v="SH-22175-82310" u="1"/>
        <s v="EC-90016205050" u="1"/>
        <s v="EC-70615001951" u="1"/>
        <s v="MP-197" u="1"/>
        <s v="EC-4517530" u="1"/>
        <s v="IN-041." u="1"/>
        <s v="IN-141" u="1"/>
        <s v="34013701" u="1"/>
        <s v="P-005" u="1"/>
        <s v="JF-233   " u="1"/>
        <s v="SH-60035-98070" u="1"/>
        <s v="SH-22169-53120" u="1"/>
        <s v="SH-20056-81740" u="1"/>
        <s v="OFIC-003" u="1"/>
        <s v="SH-90SG-033X" u="1"/>
        <s v="OFIC-013" u="1"/>
        <s v="SH-70036-75100" u="1"/>
        <s v="SH-4044231" u="1"/>
        <s v="CR-083" u="1"/>
        <s v="MP-034" u="1"/>
        <s v="EC-13031303710" u="1"/>
        <s v="EC-A411000031" u="1"/>
        <s v="IN-1410" u="1"/>
        <s v="ZM-026" u="1"/>
        <s v="SH-62104-32321" u="1"/>
        <s v="SH-20011-35110" u="1"/>
        <s v="MP-134" u="1"/>
        <s v="SU-BOTA-190680" u="1"/>
        <s v="SOL-2006-L" u="1"/>
        <s v="IN-30" u="1"/>
        <s v="EC-V103000490" u="1"/>
        <s v="EC-V204000410" u="1"/>
        <s v="INCO-9403002" u="1"/>
        <s v="SU-IMVAB-01.0151" u="1"/>
        <s v="SH-20024-42001" u="1"/>
        <s v="ZM-060" u="1"/>
        <s v="sh-63880-62310" u="1"/>
        <s v="OFIC-004" u="1"/>
        <s v="EC-15680032631" u="1"/>
        <s v="OFIC-014" u="1"/>
        <s v="EC-C400000211" u="1"/>
        <s v="CR-097" u="1"/>
        <s v="MP-234" u="1"/>
        <s v="SH-4567930" u="1"/>
        <s v="JF-095" u="1"/>
        <s v="JF-281" u="1"/>
        <s v="EC-12214000230" u="1"/>
        <s v="OT-585" u="1"/>
        <s v="CR-020" u="1"/>
        <s v="SH-64112-66330" u="1"/>
        <s v="SH-20010-12211" u="1"/>
        <s v="HER-22520028" u="1"/>
        <s v="MP-148" u="1"/>
        <s v="EC-35791100111" u="1"/>
        <s v="SH-60035-98030" u="1"/>
        <s v="EC-13001038330" u="1"/>
        <s v="CR-120" u="1"/>
        <s v="EC-V353000430" u="1"/>
        <s v="OFIC-005" u="1"/>
        <s v="SH-09502" u="1"/>
        <s v="GOMA-001" u="1"/>
        <s v="MP-248" u="1"/>
        <s v="SH-72080-13013" u="1"/>
        <s v="GAL-INS-001" u="1"/>
        <s v="SH-20000-96104" u="1"/>
        <s v="EC-A200000470" u="1"/>
        <s v="EC-35111119830" u="1"/>
        <s v="SH-22169-57360" u="1"/>
        <s v="FLETE" u="1"/>
        <s v="EC-A200000870" u="1"/>
        <s v="SH-1001101" u="1"/>
        <s v="JF-032 " u="1"/>
        <s v="EC-17720241030" u="1"/>
        <s v="TB-1762636" u="1"/>
        <s v="SH-22175-71110" u="1"/>
        <s v="AGSO-CL-001" u="1"/>
        <s v="AGSO-CL-002" u="1"/>
        <s v="EC-99944200904" u="1"/>
        <s v="MP-897" u="1"/>
        <s v="CR-01001" u="1"/>
        <s v="MY-1903-26" u="1"/>
        <s v="SH-62083-81310" u="1"/>
        <s v="IN-040" u="1"/>
        <s v="OFIC-006" u="1"/>
        <s v="SH-22169-82310" u="1"/>
        <s v="SH-22175-82510" u="1"/>
        <s v="MP-382" u="1"/>
        <s v="EC-17721535632" u="1"/>
        <s v="SH-02432-26120" u="1"/>
        <s v="B-CAN-005" u="1"/>
        <s v="SH-02432-28120" u="1"/>
        <s v="IN-140" u="1"/>
        <s v="JF-232  " u="1"/>
        <s v="EC-10153430830" u="1"/>
        <s v="JERINGADESC-04" u="1"/>
        <s v="NEW-D8NN-B486-D" u="1"/>
        <s v="EC-13051016431" u="1"/>
        <s v="EC-V358000140" u="1"/>
        <s v="CR-082 " u="1"/>
        <s v="SH-20087-81531" u="1"/>
        <s v="SH-22169-52460" u="1"/>
        <s v="OFIC-007" u="1"/>
        <s v="SH-82067" u="1"/>
        <s v="ZM-025" u="1"/>
        <s v="SH-20010-86130" u="1"/>
        <s v="SH-72447-13121" u="1"/>
        <s v="SE-157" u="1"/>
        <s v="SH-09026-03001" u="1"/>
        <s v="EC-CS-8002-60EUSTD" u="1"/>
        <s v="MP-396" u="1"/>
        <s v="SH-09026-04001" u="1"/>
        <s v="SE-091" u="1"/>
        <s v="ARA-BAL-4X26" u="1"/>
        <s v="IMP-061" u="1"/>
        <s v="OT-999" u="1"/>
        <s v="GAL-OPI-001" u="1"/>
        <s v="IMP-064" u="1"/>
        <s v="MP-133" u="1"/>
        <s v="FIL-501" u="1"/>
        <s v="EC-P021035261" u="1"/>
        <s v="0501011545" u="1"/>
        <s v="EC-V430003240" u="1"/>
        <s v="P022024700 " u="1"/>
        <s v="JM-008" u="1"/>
        <s v="EC-P021005900" u="1"/>
        <s v="SH-62035-81310" u="1"/>
        <s v="CR-096" u="1"/>
        <s v="MP-047" u="1"/>
        <s v="SH-22160-33821" u="1"/>
        <s v="SH-9720135" u="1"/>
        <s v="OFIC-008" u="1"/>
        <s v="SH-70051-31210" u="1"/>
        <s v="JF-280" u="1"/>
        <s v="SH-88102" u="1"/>
        <s v="JF-BASE" u="1"/>
        <s v="90154200" u="1"/>
        <s v="EC-569028" u="1"/>
        <s v="MP-147" u="1"/>
        <s v="MP-0471" u="1"/>
        <s v="JERING-05" u="1"/>
        <s v="TB-1715538" u="1"/>
        <s v="OT-02002-06001" u="1"/>
        <s v="ZM-073" u="1"/>
        <s v="SH-20011-35141" u="1"/>
        <s v="EC-61029822360" u="1"/>
        <s v="F-005" u="1"/>
        <s v="EC-15660106211" u="1"/>
        <s v="SH-70103-86130" u="1"/>
        <s v="IN-000127" u="1"/>
        <s v="EC-13030516430" u="1"/>
        <s v="OT-421" u="1"/>
        <s v="MP-181" u="1"/>
        <s v="OFIC-009" u="1"/>
        <s v="MY-008" u="1"/>
        <s v="EC-CS-8002-70EUSTD" u="1"/>
        <s v="SH-20010-71631" u="1"/>
        <s v="SO-13008-6045" u="1"/>
        <s v="SH-22169-15170" u="1"/>
        <s v="MP-095" u="1"/>
        <s v="SU-BOTA-190700" u="1"/>
        <s v="TB-1909946" u="1"/>
        <s v="FIL-013" u="1"/>
        <s v="BR-CAT-76204-12" u="1"/>
        <s v="SH-22169-53111" u="1"/>
        <s v="EC-4576340" u="1"/>
        <s v="GAL-C001-5" u="1"/>
        <s v="EC-P021036100" u="1"/>
        <s v="OT-7845" u="1"/>
        <s v="OT-7846 " u="1"/>
        <s v="MP-195" u="1"/>
        <s v="EC-10024242030" u="1"/>
        <s v="EC-569020" u="1"/>
        <s v="SH-22000-12413" u="1"/>
        <s v="OT-A75" u="1"/>
        <s v="CR-20.715.07" u="1"/>
        <s v="EC-C320000350" u="1"/>
        <s v="SH-22015-12130" u="1"/>
        <s v="FIMPORT-001" u="1"/>
        <s v="SH-20000-81330" u="1"/>
        <s v="V103001040" u="1"/>
        <s v="OR2021" u="1"/>
        <s v="SH-22015-13270" u="1"/>
        <s v="EC-28D8TW3892" u="1"/>
        <s v="EURO-10082" u="1"/>
        <s v="ZM-024" u="1"/>
        <s v="IN-668" u="1"/>
        <s v="SH-20140-75130" u="1"/>
        <s v="OT-B75" u="1"/>
        <s v="MP-395" u="1"/>
        <s v="SH-33SL0-72X" u="1"/>
        <s v="SH-88051" u="1"/>
        <s v="EC-30511042030" u="1"/>
        <s v="EC-A051002100" u="1"/>
        <s v="OT-998" u="1"/>
        <s v="EC-V420002500" u="1"/>
        <s v="MP-132" u="1"/>
        <s v="EC-10001105330" u="1"/>
        <s v="EC-488-50EMC" u="1"/>
        <s v="SH-040" u="1"/>
        <s v="IN-768" u="1"/>
        <s v="SH-62035-32112" u="1"/>
        <s v="OT-921" u="1"/>
        <s v="OT-483" u="1"/>
        <s v="HI-019" u="1"/>
        <s v="JM-007" u="1"/>
        <s v="EC-14551030830" u="1"/>
        <s v="CR-095" u="1"/>
        <s v="EC-10010060731" u="1"/>
        <s v="SH-25090206310" u="1"/>
        <s v="FIL-299" u="1"/>
        <s v="SH-20024-81931" u="1"/>
        <s v="ZM-038" u="1"/>
        <s v="MP-1323" u="1"/>
        <s v="SH-22155-75410" u="1"/>
        <s v="SH-72017-13013" u="1"/>
        <s v="EC-21250001111" u="1"/>
        <s v="SH-62035-41120" u="1"/>
        <s v="EC-900302" u="1"/>
        <s v="MP-146" u="1"/>
        <s v="51040009" u="1"/>
        <s v="OT-749" u="1"/>
        <s v="EC-99944900040" u="1"/>
        <s v="SH-21001-304111" u="1"/>
        <s v="EC-12212300230" u="1"/>
        <s v="MP-246" u="1"/>
        <s v="SH-22015-13230" u="1"/>
        <s v="SH-20011-81021" u="1"/>
        <s v="EC-90072000125" u="1"/>
        <s v="MP-180" u="1"/>
        <s v="OT-849" u="1"/>
        <s v="SH-4550460" u="1"/>
        <s v="EC-78890-21001" u="1"/>
        <s v="SH-20040-81430" u="1"/>
        <s v="RULIT-005" u="1"/>
        <s v="SH-20112-81530" u="1"/>
        <s v="JF-030" u="1"/>
        <s v="SH-62035-85341" u="1"/>
        <s v="SH-22160-42002" u="1"/>
        <s v="0T-13" u="1"/>
        <s v="SH-62035-31212" u="1"/>
        <s v="IN-104" u="1"/>
        <s v="ROD-20D6 6000" u="1"/>
        <s v="SH-22169-21630" u="1"/>
        <s v="FIL-003" u="1"/>
        <s v="IN-0042" u="1"/>
        <s v="SH-73DP-98X" u="1"/>
        <s v="OT-3600340  " u="1"/>
        <s v="SH-22000-13530" u="1"/>
        <s v="BR-CAT-76206-12" u="1"/>
        <s v="EC-4575740" u="1"/>
        <s v="EC-P021022030" u="1"/>
        <s v="SH-22150-12152" u="1"/>
        <s v="SH-20037-82130" u="1"/>
        <s v="SH-22175-12121" u="1"/>
        <s v="4P4105H" u="1"/>
        <s v="34013401" u="1"/>
        <s v="SH-88054" u="1"/>
        <s v="SH-72933-75900" u="1"/>
        <s v="EC-17500544331" u="1"/>
        <s v="EC-43052737333" u="1"/>
        <s v="SOL-800-L" u="1"/>
        <s v="SH-4573110" u="1"/>
        <s v="HI-004" u="1"/>
        <s v="SOL-801-L" u="1"/>
        <s v="MP-1945" u="1"/>
        <s v="MP-1946" u="1"/>
        <s v="CR-080" u="1"/>
        <s v="MP-031" u="1"/>
        <s v="SH-22051-11922" u="1"/>
        <s v="IN-2042        " u="1"/>
        <s v="SH-20000-75130" u="1"/>
        <s v="IN-2041             " u="1"/>
        <s v="EC-C320000370" u="1"/>
        <s v="ZM-023" u="1"/>
        <s v="IN-2047" u="1"/>
        <s v="IN-667" u="1"/>
        <s v="MP-394" u="1"/>
        <s v="SH-20021-81121" u="1"/>
        <s v="IN-2048             " u="1"/>
        <s v="EC-10020416430" u="1"/>
        <s v="EC-ES-255" u="1"/>
        <s v="OT-997" u="1"/>
        <s v="SH-63020-63111" u="1"/>
        <s v="OT- 2317" u="1"/>
        <s v="MP-131" u="1"/>
        <s v="SU-BOTA-190628" u="1"/>
        <s v="IMP-045" u="1"/>
        <s v="LB-236" u="1"/>
        <s v="IP011" u="1"/>
        <s v="LT200" u="1"/>
        <s v="IN-6671" u="1"/>
        <s v="OT-920" u="1"/>
        <s v="OT-482" u="1"/>
        <s v="EC-V420002620" u="1"/>
        <s v="HI-018" u="1"/>
        <s v="JM-006" u="1"/>
        <s v="SH-62809-12111" u="1"/>
        <s v="SH-72017-16130" u="1"/>
        <s v="SYMAQ-004" u="1"/>
        <s v="CR-094" u="1"/>
        <s v="EC-P021001101" u="1"/>
        <s v="SH-20055-81004" u="1"/>
        <s v="ZM-037" u="1"/>
        <s v="EC-A426000000" u="1"/>
        <s v="SH-62035-75310" u="1"/>
        <s v="EC-10000060931" u="1"/>
        <s v="EC-A427000000" u="1"/>
        <s v="EC-30511055630" u="1"/>
        <s v="SH-72LG0-84X" u="1"/>
        <s v="EC-P021036030" u="1"/>
        <s v="SH-72LG0-84X " u="1"/>
        <s v="SH-20140-12210" u="1"/>
        <s v="SH-20142-12110" u="1"/>
        <s v="SH-4552760" u="1"/>
        <s v="EC-99944100486" u="1"/>
        <s v="IN-352" u="1"/>
        <s v="IMP-188" u="1"/>
        <s v="SH-88056" u="1"/>
        <s v="ZM-071" u="1"/>
        <s v="MP-059" u="1"/>
        <s v="SH-20000-72230" u="1"/>
        <s v="GAL-B001-2" u="1"/>
        <s v="SH-72174-99200" u="1"/>
        <s v="SH-8890802" u="1"/>
        <s v="FUM-JACTO-PJH" u="1"/>
        <s v="IMP-528" u="1"/>
        <s v="IB-009" u="1"/>
        <s v="EC-13001316431" u="1"/>
        <s v="C-007" u="1"/>
        <s v="G-005" u="1"/>
        <s v="SH-22169-54102" u="1"/>
        <s v="SH-22155-91580" u="1"/>
        <s v="SH-22169-75101" u="1"/>
        <s v="EC-A021003110" u="1"/>
        <s v="EC-V356000490" u="1"/>
        <s v="SH-88057" u="1"/>
        <s v="EC-80786" u="1"/>
        <s v="JF-009" u="1"/>
        <s v="EC-8003009" u="1"/>
        <s v="OT-882  " u="1"/>
        <s v="SH-22019-11313" u="1"/>
        <s v="MY-040" u="1"/>
        <s v="JESPIN-005 " u="1"/>
        <s v="MP-259" u="1"/>
        <s v="OT-247" u="1"/>
        <s v="CR-TMC4" u="1"/>
        <s v="B-CAN-003-1" u="1"/>
        <s v="MP-193" u="1"/>
        <s v="SE-140" u="1"/>
        <s v="B-CAN-003-2" u="1"/>
        <s v="B-CAN-003-3" u="1"/>
        <s v="SH-UN32  " u="1"/>
        <s v="TB-1756904" u="1"/>
        <s v="SH-22169-71510" u="1"/>
        <s v="SH-20016-81021" u="1"/>
        <s v="SH-22015-13261" u="1"/>
        <s v="EC-P021006290" u="1"/>
        <s v="EC-A320000790" u="1"/>
        <s v="MP-359" u="1"/>
        <s v="EC-P021021910" u="1"/>
        <s v="EC-21041752730" u="1"/>
        <s v="EC-C305000350" u="1"/>
        <s v="BR-CAT-WT190" u="1"/>
        <s v="MP-459" u="1"/>
        <s v="ZM-022" u="1"/>
        <s v="IN-666" u="1"/>
        <s v="SO-20.11.744" u="1"/>
        <s v="MP-393" u="1"/>
        <s v="CR-059" u="1"/>
        <s v="IN-5665" u="1"/>
        <s v="SH-20024-75130" u="1"/>
        <s v="EC-P021018010" u="1"/>
        <s v="EC-61001125530" u="1"/>
        <s v="IMP-032" u="1"/>
        <s v="MP-130" u="1"/>
        <s v="ALEN 5X16" u="1"/>
        <s v="SH-02432-35150" u="1"/>
        <s v="P-006" u="1"/>
        <s v="MP.0302" u="1"/>
        <s v="EC-577" u="1"/>
        <s v="TB-97075" u="1"/>
        <s v="ZMANO060" u="1"/>
        <s v="SH-22155-96540" u="1"/>
        <s v="OT-481" u="1"/>
        <s v="EC-V452000520" u="1"/>
        <s v="JM-005" u="1"/>
        <s v="SH-70000-75230" u="1"/>
        <s v="SH-4517530" u="1"/>
        <s v="C535000510" u="1"/>
        <s v="CR-093" u="1"/>
        <s v="IN-6669" u="1"/>
        <s v="MP-230" u="1"/>
        <s v="EC-A011000101" u="1"/>
        <s v="ZM-036" u="1"/>
        <s v="EC-A416000000" u="1"/>
        <s v="OT-B87" u="1"/>
        <s v="EC-17721560930" u="1"/>
        <s v="EC-V304000010" u="1"/>
        <s v="SH-22410-13251" u="1"/>
        <s v="EURO-10078" u="1"/>
        <s v="SH-20060-12210" u="1"/>
        <s v="SH-22150-51310" u="1"/>
        <s v="EC-A130000172" u="1"/>
        <s v="SH-13031303710" u="1"/>
        <s v="EC-P021022060" u="1"/>
        <s v="SH-9711151" u="1"/>
        <s v="EC-9701201" u="1"/>
        <s v="JM-019" u="1"/>
        <s v="SH-22154-55110" u="1"/>
        <s v="MP-058" u="1"/>
        <s v="EC-569023" u="1"/>
        <s v="SH-70615086060" u="1"/>
        <s v="EC-10010006210" u="1"/>
        <s v="EC-12411605530" u="1"/>
        <s v="EC-99944100480" u="1"/>
        <s v="SH-72930-14210" u="1"/>
        <s v="INCO-9400447T" u="1"/>
        <s v="MP-859" u="1"/>
        <s v="34013200" u="1"/>
        <s v="EC-21002301060" u="1"/>
        <s v="SH-72316-53310" u="1"/>
        <s v="EC-A556000700" u="1"/>
        <s v="MP-092" u="1"/>
        <s v="EC-V430001330" u="1"/>
        <s v="JF-008" u="1"/>
        <s v="IN-102" u="1"/>
        <s v="SH-67000-42010" u="1"/>
        <s v="SH-22155-55110" u="1"/>
        <s v="05010102436" u="1"/>
        <s v="SH-20036-81670" u="1"/>
        <s v="OT-881" u="1"/>
        <s v="EC-17721510632" u="1"/>
        <s v="SH-99909-55133" u="1"/>
        <s v="SH-22169-96580" u="1"/>
        <s v="SH-72312-21520" u="1"/>
        <s v="IN-0028" u="1"/>
        <s v="IN-0029" u="1"/>
        <s v="MY-019" u="1"/>
        <s v="EC-C450000580" u="1"/>
        <s v="SH-22901-31000" u="1"/>
        <s v="EC-12312116130" u="1"/>
        <s v="SH-PBN22301" u="1"/>
        <s v="LT950DC" u="1"/>
        <s v="MP-358" u="1"/>
        <s v="MP-292" u="1"/>
        <s v="EC-A411000910" u="1"/>
        <s v="HI-002" u="1"/>
        <s v="SU-IMVAB-06.013" u="1"/>
        <s v="EC-9701401" u="1"/>
        <s v="EC-CS-600-50EUSTD" u="1"/>
        <s v="EC-P021036460" u="1"/>
        <s v="EC-CS-600-60EUSTD" u="1"/>
        <s v="SH-22169-81000" u="1"/>
        <s v="EC-43706319930" u="1"/>
        <s v="EC-P021002471" u="1"/>
        <s v="ZM-021" u="1"/>
        <s v="OT-B72" u="1"/>
        <s v="EC-13031305863" u="1"/>
        <s v="IN-81" u="1"/>
        <s v="MP-392" u="1"/>
        <s v="ROD 20-6002" u="1"/>
        <s v="CR-058" u="1"/>
        <s v="EC-10000052130" u="1"/>
        <s v="EC-CS-1201-90EUSTD" u="1"/>
        <s v="EC-10021232430" u="1"/>
        <s v="SH-70196-12110" u="1"/>
        <s v="MP-558" u="1"/>
        <s v="SE-253" u="1"/>
        <s v="SH-69011-98310" u="1"/>
        <s v="INCO-365" u="1"/>
        <s v="OT-480" u="1"/>
        <s v="HI-016" u="1"/>
        <s v="EC-A556000810" u="1"/>
        <s v="CR-158" u="1"/>
        <s v="MP-109" u="1"/>
        <s v="EC-99944100477" u="1"/>
        <s v="SH-22160-75100" u="1"/>
        <s v="CR-092" u="1"/>
        <s v="MP-043" u="1"/>
        <s v="JGOHERR-04 " u="1"/>
        <s v="EC-17500542030" u="1"/>
        <s v="EC-A409000100" u="1"/>
        <s v="SH-20010-72221" u="1"/>
        <s v="IN-7654" u="1"/>
        <s v="SH-4573040" u="1"/>
        <s v="SAL-06" u="1"/>
        <s v="RULIT-00102" u="1"/>
        <s v="SH-62035-32320" u="1"/>
        <s v="SH-1123300" u="1"/>
        <s v="SH-69012-98310" u="1"/>
        <s v="JM-018" u="1"/>
        <s v="AGROSAD-INS-012" u="1"/>
        <s v="EC-90034540030" u="1"/>
        <s v="BR-007" u="1"/>
        <s v="ROD-62052ZF" u="1"/>
        <s v="EC-C050001920" u="1"/>
        <s v="JF-290" u="1"/>
        <s v="MP-858" u="1"/>
        <s v="EC-C580000570" u="1"/>
        <s v="SH-38500-32010" u="1"/>
        <s v="EC-CS-420ES" u="1"/>
        <s v="EC-C300000480" u="1"/>
        <s v="EC-P021022580" u="1"/>
        <s v="IB-007" u="1"/>
        <s v="SH-38490-18" u="1"/>
        <s v="EC-A552000120" u="1"/>
        <s v="INT-010" u="1"/>
        <s v="INT-011" u="1"/>
        <s v="MP-157" u="1"/>
        <s v="EC-15662660930" u="1"/>
        <s v="INT-013" u="1"/>
        <s v="SH-01600-04101" u="1"/>
        <s v="SH-70198-12110" u="1"/>
        <s v="OT-2316" u="1"/>
        <s v="EC-10101108961" u="1"/>
        <s v="OT-2317" u="1"/>
        <s v="OT-694" u="1"/>
        <s v="SH-70203-81020" u="1"/>
        <s v="IN-0011" u="1"/>
        <s v="SH-22169-51110" u="1"/>
        <s v="P-001" u="1"/>
        <s v="OT-880 " u="1"/>
        <s v="IN-0012" u="1"/>
        <s v="OT-059" u="1"/>
        <s v="IN-0014" u="1"/>
        <s v="ESLIVE-004" u="1"/>
        <s v="MP-257" u="1"/>
        <s v="IN-0017" u="1"/>
        <s v="OT-3302475  " u="1"/>
        <s v="IN-0019" u="1"/>
        <s v="EC-99946400023" u="1"/>
        <s v="SH-22169-55110" u="1"/>
        <s v="MP-191" u="1"/>
        <s v="SH-62035-21020" u="1"/>
        <s v="MY-36" u="1"/>
        <s v="EC-12312009560" u="1"/>
        <s v="JF-041" u="1"/>
        <s v="OT-159" u="1"/>
        <s v="EC-13031006230" u="1"/>
        <s v="SYMAQ-007" u="1"/>
        <s v="MP-543" u="1"/>
        <s v="SH-22154-85540" u="1"/>
        <s v="EC-10024232430" u="1"/>
        <s v="SH-70234-98011" u="1"/>
        <s v="HI-001" u="1"/>
        <s v="EC-A427000150" u="1"/>
        <s v="EC-V309000040" u="1"/>
        <s v="SH-22154-52410" u="1"/>
        <s v="SH-22155-96531" u="1"/>
        <s v="SH-22155-72280" u="1"/>
        <s v="ZM-020" u="1"/>
        <s v="OT-B71" u="1"/>
        <s v="MP-391" u="1"/>
        <s v="CR-057" u="1"/>
        <s v="MP-008" u="1"/>
        <s v="EC-10091716430" u="1"/>
        <s v="SH-22169-21203" u="1"/>
        <s v="IMP-010  " u="1"/>
        <s v="IMP-011 " u="1"/>
        <s v="EC-P021022590" u="1"/>
        <s v="EC-A055000000" u="1"/>
        <s v="EC-A055000100" u="1"/>
        <s v="ROD-62072ZJ" u="1"/>
        <s v="EC-13002151530" u="1"/>
        <s v="M-585071" u="1"/>
        <s v="MP-7091" u="1"/>
        <s v="MP-7092" u="1"/>
        <s v="EC-99909-55123" u="1"/>
        <s v="SH-4576340" u="1"/>
        <s v="HI-015" u="1"/>
        <s v="IN-129" u="1"/>
        <s v="MP-108" u="1"/>
        <s v="EC-A566000150" u="1"/>
        <s v="EC-10000060730" u="1"/>
        <s v="EC-V452000260" u="1"/>
        <s v="EC-A575000270" u="1"/>
        <s v="SH-22169-15212" u="1"/>
        <s v="EC-99944100471" u="1"/>
        <s v="SH-22152-41210" u="1"/>
        <s v="ROD-20 D6201" u="1"/>
        <s v="M-585072" u="1"/>
        <s v="SH-22182-41210" u="1"/>
        <s v="EC-C550000430" u="1"/>
        <s v="SH-20011-31200" u="1"/>
        <s v="SH-20021-31200" u="1"/>
        <s v="SH-HT230/40" u="1"/>
        <s v="SH-22000-13512" u="1"/>
        <s v="EC-V583000140" u="1"/>
        <s v="EC-C051000600" u="1"/>
        <s v="JM-017" u="1"/>
        <s v="TB-1771495" u="1"/>
        <s v="B-CAN-006-2" u="1"/>
        <s v="EC-DM6110EUSTD" u="1"/>
        <s v="OT-02006-06000" u="1"/>
        <s v="IN -141" u="1"/>
        <s v="ZM-048" u="1"/>
        <s v="0503010014 AFL" u="1"/>
        <s v="SH-108642-24" u="1"/>
        <s v="MP-857" u="1"/>
        <s v="OT-845" u="1"/>
        <s v="P-0016" u="1"/>
        <s v="EC-13001742031" u="1"/>
        <s v="SH-62035-82340" u="1"/>
        <s v="IB-006" u="1"/>
        <s v="EC-35115535430" u="1"/>
        <s v="MP-791" u="1"/>
        <s v="INS-001" u="1"/>
        <s v="MP-156" u="1"/>
        <s v="INT-002" u="1"/>
        <s v="EC-569006" u="1"/>
        <s v="JF-269" u="1"/>
        <s v="EC-80426" u="1"/>
        <s v="M-585033" u="1"/>
        <s v="CRE-082" u="1"/>
        <s v="SH-70036-98020" u="1"/>
        <s v="EC-A056000010" u="1"/>
        <s v="B-CAN-003" u="1"/>
        <s v="CR-008   " u="1"/>
        <s v="INT-007" u="1"/>
        <s v="CR-20.170.07" u="1"/>
        <s v="EC-P021017220" u="1"/>
        <s v="INT-009" u="1"/>
        <s v="EC-25001102011" u="1"/>
        <s v="OT-693" u="1"/>
        <s v="MP-7911" u="1"/>
        <s v="EC-10010055430" u="1"/>
        <s v="IN-0003" u="1"/>
        <s v="SH-20021-96420" u="1"/>
        <s v="IN-0004" u="1"/>
        <s v="SH-22021-12120" u="1"/>
        <s v="OT-A36" u="1"/>
        <s v="SH-22410-17202" u="1"/>
        <s v="IN-0005" u="1"/>
        <s v="IN-0007" u="1"/>
        <s v="SH-900302" u="1"/>
        <s v="IN-0008" u="1"/>
        <s v="EC-17500056831" u="1"/>
        <s v="IN-0009" u="1"/>
        <s v="MP-190" u="1"/>
        <s v="INCO-010" u="1"/>
        <s v="90156500" u="1"/>
        <s v="INCO-020" u="1"/>
        <s v="SH-63901-63022" u="1"/>
        <s v="SH-60876" u="1"/>
        <s v="INCO-030" u="1"/>
        <s v="EC-A575000380" u="1"/>
        <s v="INCO-040" u="1"/>
        <s v="SH-22169-55310" u="1"/>
        <s v="OT-MOT-WEG" u="1"/>
        <s v="INCO-070" u="1"/>
        <s v="EC-C531000600" u="1"/>
        <s v="SH-62035-85031" u="1"/>
        <s v="QUIM-0181" u="1"/>
        <s v="INCO-080" u="1"/>
        <s v="M-585034" u="1"/>
        <s v="MP-542" u="1"/>
        <s v="0T-14" u="1"/>
        <s v="SH-63880-65371" u="1"/>
        <s v="ROD-20 D6202" u="1"/>
        <s v="EC-P021010593" u="1"/>
        <s v="M-585108" u="1"/>
        <s v="HF-011AB" u="1"/>
        <s v="EC-43052737332" u="1"/>
        <s v="HE-002" u="1"/>
        <s v="CR-03.154.07" u="1"/>
        <s v="HER-020" u="1"/>
        <s v="EC-C051000610" u="1"/>
        <s v="EC-A411000550" u="1"/>
        <s v="EC-A409000730" u="1"/>
        <s v="EC-A130000111" u="1"/>
        <s v="IMB-001" u="1"/>
        <s v="OT-B70" u="1"/>
        <s v="MP-390" u="1"/>
        <s v="EC-80250" u="1"/>
        <s v="CR-056" u="1"/>
        <s v="EC-P021006153" u="1"/>
        <s v="INCO-011" u="1"/>
        <s v="INCO-021" u="1"/>
        <s v="INCO-031" u="1"/>
        <s v="EC-90016205014" u="1"/>
        <s v="INCO-041" u="1"/>
        <s v="INCO-051" u="1"/>
        <s v="INCO-071" u="1"/>
        <s v="SH-20011-86120" u="1"/>
        <s v="INCO-091" u="1"/>
        <s v="CO-009" u="1"/>
        <s v="IMP-009" u="1"/>
        <s v="EC-35110022362" u="1"/>
        <s v="M-585065" u="1"/>
        <s v="HI-014" u="1"/>
        <s v="EC-P021002800" u="1"/>
        <s v="IN-128" u="1"/>
        <s v="MP-107" u="1"/>
        <s v="EC-A021002140" u="1"/>
        <s v="SH-4575740" u="1"/>
        <s v="MP-19460" u="1"/>
        <s v="TERNUT-002" u="1"/>
        <s v="SH-22410-14302" u="1"/>
        <s v="EC-12431749930" u="1"/>
        <s v="TROY-002" u="1"/>
        <s v="SH-38500-82130" u="1"/>
        <s v="EC-17721538330" u="1"/>
        <s v="0" u="1"/>
        <s v="EC-P021003540" u="1"/>
        <s v="EC-43301910631" u="1"/>
        <s v="EC-A556000650" u="1"/>
        <s v="F-001" u="1"/>
        <s v="EC-C532000210" u="1"/>
        <s v="IN-000125" u="1"/>
        <s v="MP-207" u="1"/>
        <s v="INCO-012" u="1"/>
        <s v="EC-V558000000" u="1"/>
        <s v="SH-62035-82131" u="1"/>
        <s v="INCO-022" u="1"/>
        <s v="SAL-04" u="1"/>
        <s v="INCO-042" u="1"/>
        <s v="ARA-1LS-220" u="1"/>
        <s v="MP-141" u="1"/>
        <s v="EC-99944100485" u="1"/>
        <s v="IP012" u="1"/>
        <s v="INCO-072" u="1"/>
        <s v="INCO-092" u="1"/>
        <s v="EC-C535000510" u="1"/>
        <s v="EC-C534000610" u="1"/>
        <s v="OT-744  " u="1"/>
        <s v="LB-244193500" u="1"/>
        <s v="EC-17721832631" u="1"/>
        <s v="M-585036" u="1"/>
        <s v="F-011" u="1"/>
        <s v="JM-016" u="1"/>
        <s v="EC-A160002240" u="1"/>
        <s v="MP-19451" u="1"/>
        <s v="MP-241" u="1"/>
        <s v="EC-15662639130" u="1"/>
        <s v="OT-658" u="1"/>
        <s v="OT-B98" u="1"/>
        <s v="SH-22169-71100" u="1"/>
        <s v="MP-856" u="1"/>
        <s v="P-0015" u="1"/>
        <s v="IN-20481" u="1"/>
        <s v="EC-99909-453" u="1"/>
        <s v="SOUTH-020" u="1"/>
        <s v="OT-PULS" u="1"/>
        <s v="SH-22169-33102" u="1"/>
        <s v="MP-790" u="1"/>
        <s v="SH-22044-14120" u="1"/>
        <s v="EC-A021000681" u="1"/>
        <s v="MP-407" u="1"/>
        <s v="INCO-013" u="1"/>
        <s v="SH-20011-81360" u="1"/>
        <s v="INCO-023" u="1"/>
        <s v="SH-22000-92167" u="1"/>
        <s v="SH-18500-50100" u="1"/>
        <s v="INCO-043" u="1"/>
        <s v="IN-362" u="1"/>
        <s v="SH-22197-55201" u="1"/>
        <s v="SH-62035-42010" u="1"/>
        <s v="INCO-073" u="1"/>
        <s v="EC-80794A" u="1"/>
        <s v="INCO-093" u="1"/>
        <s v="SH-22169-21503" u="1"/>
        <s v="EC-A052000030" u="1"/>
        <s v="JD-006" u="1"/>
        <s v="CRE-079" u="1"/>
        <s v="M-585037" u="1"/>
        <s v="SH-22157-41210" u="1"/>
        <s v="MP-890" u="1"/>
        <s v="EC-12435550130" u="1"/>
        <s v="GAL-B-001" u="1"/>
        <s v="MP-19452" u="1"/>
        <s v="MP-255" u="1"/>
        <s v="C-0010" u="1"/>
        <s v="EC-A056000330" u="1"/>
        <s v="SH-22015-12120" u="1"/>
        <s v="SH-22015-13120" u="1"/>
        <s v="MY-016" u="1"/>
        <s v="CR-041  " u="1"/>
        <s v="SU-IMVAB-04.033.04" u="1"/>
        <s v="C-008" u="1"/>
        <s v="G-006" u="1"/>
        <s v="EC-P021004090" u="1"/>
        <s v="SU-IMVAB-002" u="1"/>
        <s v="EC-17721844330" u="1"/>
        <s v="INCO-014" u="1"/>
        <s v="EC-A556000960" u="1"/>
        <s v="B1100L" u="1"/>
        <s v="INCO-024" u="1"/>
        <s v="OT-343" u="1"/>
        <s v="INCO-034" u="1"/>
        <s v="INCO-044" u="1"/>
        <s v="EC-A16001650" u="1"/>
        <s v="SH-22169-12120" u="1"/>
        <s v="INCO-054" u="1"/>
        <s v="INCO-074" u="1"/>
        <s v="SH-22169-54650" u="1"/>
        <s v="EC-A021003490" u="1"/>
        <s v="EC-17724230830" u="1"/>
        <s v="EC-C535000520" u="1"/>
        <s v="HE-001" u="1"/>
        <s v="HER-010" u="1"/>
        <s v="HER-011" u="1"/>
        <s v="SH-4529110" u="1"/>
        <s v="HER-013" u="1"/>
        <s v="B1010L" u="1"/>
        <s v="MP-269" u="1"/>
        <s v="HER-015" u="1"/>
        <s v="MP-19453" u="1"/>
        <s v="HER-017" u="1"/>
        <s v="HER-019" u="1"/>
        <s v="OT-15   " u="1"/>
        <s v="EC-C044000910" u="1"/>
        <s v="SH-4579070" u="1"/>
        <s v="EC-A409000650" u="1"/>
        <s v="MP-006" u="1"/>
        <s v="CR-241" u="1"/>
        <s v="IN-1130" u="1"/>
        <s v="IN-1131" u="1"/>
        <s v="EC-V592000290" u="1"/>
        <s v="SH-62074-12120" u="1"/>
        <s v="SH-8003009" u="1"/>
        <s v="EC-25001708012" u="1"/>
        <s v="INCO-015" u="1"/>
        <s v="SH-20055-81120" u="1"/>
        <s v="INCO-025" u="1"/>
        <s v="CO-008" u="1"/>
        <s v="INCO-055" u="1"/>
        <s v="OT-25" u="1"/>
        <s v="EC-A021000991" u="1"/>
        <s v="INCO-065" u="1"/>
        <s v="INCO-075" u="1"/>
        <s v="INCO-085" u="1"/>
        <s v="IN-127" u="1"/>
        <s v="INCO-095" u="1"/>
        <s v="JIM-031" u="1"/>
        <s v="FIL-232" u="1"/>
        <s v="JIM-032" u="1"/>
        <s v="MAY-963" u="1"/>
        <s v="MP-040" u="1"/>
        <s v="JIM-035" u="1"/>
        <s v="EC-C400000550" u="1"/>
        <s v="SH-22169-41210" u="1"/>
        <s v="JIM-036" u="1"/>
        <s v="EC-A055000140" u="1"/>
        <s v="FIL-237" u="1"/>
        <s v="JIM-037" u="1"/>
        <s v="EC-10020452132" u="1"/>
        <s v="JIM-038" u="1"/>
        <s v="OT-457" u="1"/>
        <s v="MP-19454" u="1"/>
        <s v="SH-20000-96411" u="1"/>
        <s v="89581000230 " u="1"/>
        <s v="IN-IN001" u="1"/>
        <s v="EC-21040001110" u="1"/>
        <s v="EC-13051630830" u="1"/>
        <s v="MP-206" u="1"/>
        <s v="SH-20000-75160" u="1"/>
        <s v="SH-22015-13220" u="1"/>
        <s v="SH-62035-12120" u="1"/>
        <s v="SAL-03" u="1"/>
        <s v="EC-C531000030" u="1"/>
        <s v="MP-140" u="1"/>
        <s v="SH-70210-81451" u="1"/>
        <s v="EC-10091532530" u="1"/>
        <s v="P-007" u="1"/>
        <s v="EC-A556000870" u="1"/>
        <s v="INCO-006" u="1"/>
        <s v="INCO-016" u="1"/>
        <s v="SH-3014111" u="1"/>
        <s v="INCO-026" u="1"/>
        <s v="INCO-2011384" u="1"/>
        <s v="EC-C423000790" u="1"/>
        <s v="INCO-056" u="1"/>
        <s v="INCO-066" u="1"/>
        <s v="SH-64007-64320" u="1"/>
        <s v="JM-015" u="1"/>
        <s v="SH-64000-66311" u="1"/>
        <s v="INCO-076" u="1"/>
        <s v="JET50AX/F400" u="1"/>
        <s v="INCO-096" u="1"/>
        <s v="SH-80550" u="1"/>
        <s v="OT-A20" u="1"/>
        <s v="SH-72030-13151" u="1"/>
        <s v="MY1903-25" u="1"/>
        <s v="BR-004" u="1"/>
        <s v="MP-669" u="1"/>
        <s v="MP-19455" u="1"/>
        <s v="MP-855" u="1"/>
        <s v="P-0014" u="1"/>
        <s v="EC-13031306230" u="1"/>
        <s v="IN-IN002" u="1"/>
        <s v="EC-15262660730" u="1"/>
        <s v="OT-55" u="1"/>
        <s v="SH-80728" u="1"/>
        <s v="EC-15680142230" u="1"/>
        <s v="JF-267" u="1"/>
        <s v="IMP-278" u="1"/>
        <s v="IMP-279" u="1"/>
        <s v="INCO-007" u="1"/>
        <s v="INCO-017" u="1"/>
        <s v="INCO-027" u="1"/>
        <s v="SH-20021-81560" u="1"/>
        <s v="SH-62035-41210" u="1"/>
        <s v="INCO-047" u="1"/>
        <s v="EC-17720030831" u="1"/>
        <s v="JM-029" u="1"/>
        <s v="INCO-057" u="1"/>
        <s v="OT-65" u="1"/>
        <s v="INCO-067" u="1"/>
        <s v="EC-C050001880" u="1"/>
        <s v="INCO-077" u="1"/>
        <s v="INCO-087" u="1"/>
        <s v="SH-64007-67011" u="1"/>
        <s v="SH-72435-13920" u="1"/>
        <s v="SH-80551" u="1"/>
        <s v="INCO-9401067" u="1"/>
        <s v="MP-254" u="1"/>
        <s v="SH-70131-75120" u="1"/>
        <s v="MP-19456" u="1"/>
        <s v="CRIA-02" u="1"/>
        <s v="EC-12214100230" u="1"/>
        <s v="OT-75" u="1"/>
        <s v="EC-A056000450" u="1"/>
        <s v="EC-70617027722" u="1"/>
        <s v="EC-A130002010" u="1"/>
        <s v="SH-22410-13210" u="1"/>
        <s v="EC-A556000480" u="1"/>
        <s v="EC-10020456232" u="1"/>
        <s v="SH-9701201" u="1"/>
        <s v="SH-20020-75120" u="1"/>
        <s v="SU-IMVAB-04.001" u="1"/>
        <s v="SH-20870-33120" u="1"/>
        <s v="MP-168" u="1"/>
        <s v="SU-IMVAB-01.003" u="1"/>
        <s v="SH-62035-12220" u="1"/>
        <s v="IN-375" u="1"/>
        <s v="EC-V556000030" u="1"/>
        <s v="SH-22024-13291" u="1"/>
        <s v="INCO-008" u="1"/>
        <s v="INCO-018" u="1"/>
        <s v="JF-018" u="1"/>
        <s v="CR-140" u="1"/>
        <s v="SH-63019-63010" u="1"/>
        <s v="SH-20035-21100" u="1"/>
        <s v="SH-22100-81230" u="1"/>
        <s v="INCO-068" u="1"/>
        <s v="OT-508" u="1"/>
        <s v="INCO-078" u="1"/>
        <s v="HER-001  " u="1"/>
        <s v="SE-029" u="1"/>
        <s v="INCO-088" u="1"/>
        <s v="MP-268" u="1"/>
        <s v="BR-CAT-SC3265" u="1"/>
        <s v="EC-C535000640" u="1"/>
        <s v="HER-009" u="1"/>
        <s v="MY-029" u="1"/>
        <s v="CR-054" u="1"/>
        <s v="EC-A518000010" u="1"/>
        <s v="CR-240" u="1"/>
        <s v="SH-80676" u="1"/>
        <s v="SU-ECUAQ-22490005" u="1"/>
        <s v="SOUTH-04  " u="1"/>
        <s v="IN-20417            " u="1"/>
        <s v="OT-B48" u="1"/>
        <s v="F-0015" u="1"/>
        <s v="IN-389" u="1"/>
        <s v="MP-368" u="1"/>
        <s v="MP-2681" u="1"/>
        <s v="CO-007" u="1"/>
        <s v="SH-70140-81760" u="1"/>
        <s v="EC-4527270" u="1"/>
        <s v="IN-6610" u="1"/>
        <s v="IN-6611" u="1"/>
        <s v="SH-72330-33710" u="1"/>
        <s v="IN-6612" u="1"/>
        <s v="EC-13000739932" u="1"/>
        <s v="EC-10000039130" u="1"/>
        <s v="IN-6613" u="1"/>
        <s v="JIM-020" u="1"/>
        <s v="INCO-019" u="1"/>
        <s v="EC-CS 8002EUSTD" u="1"/>
        <s v="IN-6614" u="1"/>
        <s v="JIM-021" u="1"/>
        <s v="INCO-029" u="1"/>
        <s v="IN-6615" u="1"/>
        <s v="SH-20016-21100" u="1"/>
        <s v="JIM-023" u="1"/>
        <s v="EC-P003003140" u="1"/>
        <s v="IN-6617" u="1"/>
        <s v="JIM-024" u="1"/>
        <s v="INCO-059" u="1"/>
        <s v="JIM-025" u="1"/>
        <s v="INCO-069" u="1"/>
        <s v="EC-12436721330" u="1"/>
        <s v="JIM-026" u="1"/>
        <s v="INCO-079" u="1"/>
        <s v="SH-72451-14502" u="1"/>
        <s v="MP-0056" u="1"/>
        <s v="JIM-028" u="1"/>
        <s v="JIM-029" u="1"/>
        <s v="ZM-031" u="1"/>
        <s v="EC-A052000160" u="1"/>
        <s v="SU-BOTA-190635" u="1"/>
        <s v="BOVI-01" u="1"/>
        <s v="MP-019" u="1"/>
        <s v="TB-1902656" u="1"/>
        <s v="SH-22150-21250" u="1"/>
        <s v="SAL-02" u="1"/>
        <s v="SH-80677" u="1"/>
        <s v="SH-20000-75220" u="1"/>
        <s v="SOUTH-05   " u="1"/>
        <s v="EC-10014212330" u="1"/>
        <s v="EC-10010055930" u="1"/>
        <s v="SH-9701401" u="1"/>
        <s v="EC-17721840630" u="1"/>
        <s v="SH-22015-13420" u="1"/>
        <s v="G-001" u="1"/>
        <s v="PT-009" u="1"/>
        <s v="JM-014" u="1"/>
        <s v="EC-A172000320" u="1"/>
        <s v="SH-70244-98050" u="1"/>
        <s v="OT-107" u="1"/>
        <s v="OT-3600265" u="1"/>
        <s v="SH-20010-81760" u="1"/>
        <s v="BELEC-004 " u="1"/>
        <s v="CR-EC4000" u="1"/>
        <s v="SH-20060-81760" u="1"/>
        <s v="RULIT-BAN-A33" u="1"/>
        <s v="ZM-045" u="1"/>
        <s v="SH-70030-75120" u="1"/>
        <s v="MP-668" u="1"/>
        <s v="SU-ECUAQ-22230002" u="1"/>
        <s v="EC-C535000650" u="1"/>
        <s v="P-0013" u="1"/>
        <s v="SHDW-021" u="1"/>
        <s v="INCO-5011" u="1"/>
        <s v="IB-003" u="1"/>
        <s v="EC-C044000540" u="1"/>
        <s v="EC-C535000850" u="1"/>
        <s v="SH-72540-12410" u="1"/>
        <s v="MP-219" u="1"/>
        <s v="EC-CS-680S-50EUSTD" u="1"/>
        <s v="SHDW-051" u="1"/>
        <s v="IMP-261" u="1"/>
        <s v="MP-405" u="1"/>
        <s v="EC-C051000560" u="1"/>
        <s v="MOT-052" u="1"/>
        <s v="SH-80678" u="1"/>
        <s v="JF-266" u="1"/>
        <s v="ROD 20 D6 629" u="1"/>
        <s v="SH-22024-13912" u="1"/>
        <s v="IN-2601" u="1"/>
        <s v="SH-22015-13251" u="1"/>
        <s v="SH-22160-51200" u="1"/>
        <s v="EC-V401000430" u="1"/>
        <s v="SH-22169-31110" u="1"/>
        <s v="MP-6687" u="1"/>
        <s v="SH-22169-12111" u="1"/>
        <s v="SH-22169-32110" u="1"/>
        <s v="SE-014 " u="1"/>
        <s v="SH-20016-21200" u="1"/>
        <s v="SH-22160-55200" u="1"/>
        <s v="EC-757CINTL" u="1"/>
        <s v="AGROSAD-CERCA.E-OO1" u="1"/>
        <s v="MY-014" u="1"/>
        <s v="SH-72933-75120" u="1"/>
        <s v="EC-C510000120" u="1"/>
        <s v="EC-CS 3500" u="1"/>
        <s v="EC-12300057731" u="1"/>
        <s v="P022007010 " u="1"/>
        <s v="EC-P021032700" u="1"/>
        <s v="EC-A056000170" u="1"/>
        <s v="EC-C020000010" u="1"/>
        <s v="MOT-53" u="1"/>
        <s v="MP-353" u="1"/>
        <s v="EC-E164000100" u="1"/>
        <s v="EC-C504000700" u="1"/>
        <s v="CR-019" u="1"/>
        <s v="0503010023" u="1"/>
        <s v="SH-18500-90003" u="1"/>
        <s v="EC-A021002690" u="1"/>
        <s v="F-007" u="1"/>
        <s v="SU-IMVAB-01.146" u="1"/>
        <s v="SH-20011-81451" u="1"/>
        <s v="EC-10024216430" u="1"/>
        <s v="MP-267" u="1"/>
        <s v="EC-10101016431" u="1"/>
        <s v="SH-20010-41330" u="1"/>
        <s v="INCO-9511900" u="1"/>
        <s v="CR-119" u="1"/>
        <s v="4M10136" u="1"/>
        <s v="OT-AG001" u="1"/>
        <s v="MP-004" u="1"/>
        <s v="EC-A160001650" u="1"/>
        <s v="EC-A506000110" u="1"/>
        <s v="SH-72551-12101" u="1"/>
        <s v="N-OO1" u="1"/>
        <s v="OT-990  " u="1"/>
        <s v="EC-X411000950" u="1"/>
        <s v="EC-C535000860" u="1"/>
        <s v="EC-CS-680S-60EUSTD" u="1"/>
        <s v="EC-P021010642" u="1"/>
        <s v="SU-ECUAQ-22530006" u="1"/>
        <s v="F-0014" u="1"/>
        <s v="SH-38500-81321" u="1"/>
        <s v="SU-ECUAQ-22010125" u="1"/>
        <s v="CO-006" u="1"/>
        <s v="SO-21171-2157" u="1"/>
        <s v="SH-62035-31110" u="1"/>
        <s v="MP-26" u="1"/>
        <s v="EC-A021000220" u="1"/>
        <s v="SH-62035-12111" u="1"/>
        <s v="SH-62035-33110" u="1"/>
        <s v="HI-011" u="1"/>
        <s v="JIM-010" u="1"/>
        <s v="MP-104" u="1"/>
        <s v="JIM-012" u="1"/>
        <s v="JIM-013" u="1"/>
        <s v="EC-10103456532" u="1"/>
        <s v="JIM-014" u="1"/>
        <s v="EC-P004002520" u="1"/>
        <s v="JIM-015" u="1"/>
        <s v="JIM-016" u="1"/>
        <s v="EC-70602028970" u="1"/>
        <s v="EC-P021016250" u="1"/>
        <s v="JIM-017" u="1"/>
        <s v="SH-22150-52440" u="1"/>
        <s v="LTF40C-2" u="1"/>
        <s v="EC-P021001820" u="1"/>
        <s v="JIM-018" u="1"/>
        <s v="EC-20091603210" u="1"/>
        <s v="JIM-019" u="1"/>
        <s v="ZM-030" u="1"/>
        <s v="IN-00171" u="1"/>
        <s v="SH-20021-41330" u="1"/>
        <s v="EC-P003003160" u="1"/>
        <s v="CR-067" u="1"/>
        <s v="IN-039" u="1"/>
        <s v="SAL-01" u="1"/>
        <s v="EC-A021001660" u="1"/>
        <s v="EC-P021032610" u="1"/>
        <s v="EC-80025" u="1"/>
        <s v="EC-16340032430" u="1"/>
        <s v="P022007210" u="1"/>
        <s v="SH-99909-450" u="1"/>
        <s v="EC-P021033250" u="1"/>
        <s v="SH-20016-15123" u="1"/>
        <s v="JM-013" u="1"/>
        <s v="SH-20024-75220" u="1"/>
        <s v="IN-139" u="1"/>
        <s v="MP-118" u="1"/>
        <s v="SH-62035-81013" u="1"/>
        <s v="SH-80360" u="1"/>
        <s v="EC-43021531733" u="1"/>
        <s v="JD-352" u="1"/>
        <s v="SH-20021-83411" u="1"/>
        <s v="SH-80424" u="1"/>
        <s v="SH-62035-85013" u="1"/>
        <s v="BR-002" u="1"/>
        <s v="MP-667" u="1"/>
        <s v="INCO-9031910" u="1"/>
        <s v="IN-00172" u="1"/>
        <s v="P-0012" u="1"/>
        <s v="SH-63019-63310" u="1"/>
        <s v="SH-70014-74120" u="1"/>
        <s v="IB-002" u="1"/>
        <s v="EC-12310052130" u="1"/>
        <s v="MP-218" u="1"/>
        <s v="IMP-250" u="1"/>
        <s v="EC-C534000570" u="1"/>
        <s v="EC-17722827030" u="1"/>
        <s v="IMP-251" u="1"/>
        <s v="IMP-252" u="1"/>
        <s v="RA-013" u="1"/>
        <s v="IMP-254" u="1"/>
        <s v="MP-152" u="1"/>
        <s v="SHDW-015" u="1"/>
        <s v="SH-20020-51112" u="1"/>
        <s v="SU-BOTA-190666" u="1"/>
        <s v="JF-265" u="1"/>
        <s v="SHDW-025" u="1"/>
        <s v="IMP-256" u="1"/>
        <s v="SHDW-045" u="1"/>
        <s v="EC-C051000480" u="1"/>
        <s v="IMP-259" u="1"/>
        <s v="MP-767" u="1"/>
        <s v="EC-17720016431" u="1"/>
        <s v="SH-72920-81820" u="1"/>
        <s v="SH-22150-41280" u="1"/>
        <s v="SH-70135-15100" u="1"/>
        <s v="SH-8000142" u="1"/>
        <s v="EC-21001101160" u="1"/>
        <s v="SH-22169-71700" u="1"/>
        <s v="OT-240" u="1"/>
        <s v="SH-80405" u="1"/>
        <s v="ZM-058" u="1"/>
        <s v="SH-80425 " u="1"/>
        <s v="V203000350" u="1"/>
        <s v="SH-20000-85511" u="1"/>
        <s v="CR-104       " u="1"/>
        <s v="EC-P004002730" u="1"/>
        <s v="IN-00173" u="1"/>
        <s v="EC-43301116430" u="1"/>
        <s v="SH-70102005510" u="1"/>
        <s v="SH-22160-12150" u="1"/>
        <s v="CR-DPFSR" u="1"/>
        <s v="OT-154" u="1"/>
        <s v="JF-279" u="1"/>
        <s v="SHDW-006" u="1"/>
        <s v="MP-352" u="1"/>
        <s v="SHDW-026" u="1"/>
        <s v="SH-810502" u="1"/>
        <s v="CR-018" u="1"/>
        <s v="SH-99909-451" u="1"/>
        <s v="SH-72550-82120" u="1"/>
        <s v="SH-22051-11920" u="1"/>
        <s v="SH-22155-51200" u="1"/>
        <s v="EC-43021530833" u="1"/>
        <s v="SH-80426" u="1"/>
        <s v="EC-43710038832" u="1"/>
        <s v="SH-22169-51140" u="1"/>
        <s v="CR-052" u="1"/>
        <s v="MP-003" u="1"/>
        <s v="IN-00174" u="1"/>
        <s v="RULIT-006" u="1"/>
        <s v="EC-SRM-270UEU" u="1"/>
        <s v="EC-13192311120" u="1"/>
        <s v="EC-43302116430" u="1"/>
        <s v="EC-A504000130" u="1"/>
        <s v="F-0013" u="1"/>
        <s v="MP-366" u="1"/>
        <s v="073001105872" u="1"/>
        <s v="CO-005" u="1"/>
        <s v="ELHIERR-0004  " u="1"/>
        <s v="SOL-7010B30-L" u="1"/>
        <s v="SHDW-037" u="1"/>
        <s v="B177Z" u="1"/>
        <s v="SH-22160-41240" u="1"/>
        <s v="HI-010" u="1"/>
        <s v="MP-103" u="1"/>
        <s v="01-00102" u="1"/>
        <s v="EC-A518000050" u="1"/>
        <s v="CR-DPF" u="1"/>
        <s v="SH-62035-31310" u="1"/>
        <s v="JIM-003" u="1"/>
        <s v="JIM-004" u="1"/>
        <s v="SH-62035-32310" u="1"/>
        <s v="JIM-005" u="1"/>
        <s v="G-0015" u="1"/>
        <s v="JIM-007" u="1"/>
        <s v="JIM-008" u="1"/>
        <s v="JIM-009" u="1"/>
        <s v="SH-68501-12210" u="1"/>
        <s v="OT-B80" u="1"/>
        <s v="IN-38" u="1"/>
        <s v="SH-20021-81920" u="1"/>
        <s v="SH-70210-83110" u="1"/>
        <s v="EC-A021000740" u="1"/>
        <s v="CR-066" u="1"/>
        <s v="IN-038" u="1"/>
        <s v="MP-017" u="1"/>
        <s v="EC-27001806210" u="1"/>
        <s v="SH-901018" u="1"/>
        <s v="AGUDESC-02" u="1"/>
        <s v="ZU-005" u="1"/>
        <s v="JF-064" u="1"/>
        <s v="EC-99944100484" u="1"/>
        <s v="0624010005" u="1"/>
        <s v="SE-075" u="1"/>
        <s v="EC-70602041720" u="1"/>
        <s v="SHDW-018" u="1"/>
        <s v="SHDW-028" u="1"/>
        <s v="SH-70871-81100" u="1"/>
        <s v="IN-48" u="1"/>
        <s v="MP-117" u="1"/>
        <s v="EC-17724214730" u="1"/>
        <s v="INCO-9661970" u="1"/>
        <s v="MP-051" u="1"/>
        <s v="SH-713545" u="1"/>
        <s v="MP-0176" u="1"/>
        <s v="EC-X600000111" u="1"/>
        <s v="EC-A130001820" u="1"/>
        <s v="INCO-9661990" u="1"/>
        <s v="SH-22035-13242" u="1"/>
        <s v="BR-001" u="1"/>
        <s v="ZM-043     " u="1"/>
        <s v="SH-22169-51100" u="1"/>
        <s v="P-0011" u="1"/>
        <s v="GAL-PIX-001-1" u="1"/>
        <s v="F-002" u="1"/>
        <s v="IN-00126" u="1"/>
        <s v="IB-001" u="1"/>
        <s v="EC-12314103930" u="1"/>
        <s v="MP-217" u="1"/>
        <s v="OT-1050  " u="1"/>
        <s v="IMP-241" u="1"/>
        <s v="OT-1051" u="1"/>
        <s v="SH-11022-05450" u="1"/>
        <s v="EC-99909-307" u="1"/>
        <s v="RA-012" u="1"/>
        <s v="IN - 126" u="1"/>
        <s v="MP-151" u="1"/>
        <s v="SH-62035-21010" u="1"/>
        <s v="IP013" u="1"/>
        <s v="CRE-032" u="1"/>
        <s v="EC-C534000590" u="1"/>
        <s v="EC-P005001110" u="1"/>
        <s v="CRE-034" u="1"/>
        <s v="CRE-033    " u="1"/>
        <s v="EC-A504000140" u="1"/>
        <s v="SHDW-009" u="1"/>
        <s v="JM-026" u="1"/>
        <s v="HF-011" u="1"/>
        <s v="EC-A511000160" u="1"/>
        <s v="SH-81630" u="1"/>
        <s v="OT-305" u="1"/>
        <s v="SH-3013172" u="1"/>
        <s v="SYMAQ-005" u="1"/>
        <s v="IN-086" u="1"/>
        <s v="SH-20011-31230" u="1"/>
        <s v="EC-C044000880" u="1"/>
        <s v="MP-251" u="1"/>
        <s v="ZM-057" u="1"/>
        <s v="SH-1001141" u="1"/>
        <s v="ZM-057  " u="1"/>
        <s v="OT-854" u="1"/>
        <s v="EC-10010160931" u="1"/>
        <s v="EC-A011000830" u="1"/>
        <s v="EC-12534107360" u="1"/>
        <s v="SH-22155-71130" u="1"/>
        <s v="EC-A033000070" u="1"/>
        <s v="MY-012" u="1"/>
        <s v="SH-22000-13290" u="1"/>
        <s v="SH-22155-96521" u="1"/>
        <s v="LB-073000730723" u="1"/>
        <s v="MP-417" u="1"/>
        <s v="EC-A030000570" u="1"/>
        <s v="SE-112" u="1"/>
        <s v="JF-278" u="1"/>
        <s v="IN - 127" u="1"/>
        <s v="MP-351" u="1"/>
        <s v="CR-017" u="1"/>
        <s v="EC-10091516430" u="1"/>
        <s v="EC-P021032440" u="1"/>
        <s v="EC-17800151030" u="1"/>
        <s v="JF-015" u="1"/>
        <s v="CR-85.021.05" u="1"/>
        <s v="SH-99909-453" u="1"/>
        <s v="MP-079" u="1"/>
        <s v="OT-A45" u="1"/>
        <s v="CR-117" u="1"/>
        <s v="EC-P021007772" u="1"/>
        <s v="MP-002" u="1"/>
        <s v="SH-22169-51200" u="1"/>
        <s v="C-009" u="1"/>
        <s v="SH-20000-81150" u="1"/>
        <s v="TB-001" u="1"/>
        <s v="IN-9876" u="1"/>
        <s v="SH-70030-71620" u="1"/>
        <s v="TR-236" u="1"/>
        <s v="MP-803" u="1"/>
        <s v="SH-22169-55200 " u="1"/>
        <s v="SH-63880-63121" u="1"/>
        <s v="CO-004" u="1"/>
        <s v="EC-17722010631" u="1"/>
        <s v="TB-1771392" u="1"/>
        <s v="EC-13001744330" u="1"/>
        <s v="SH-20140-82210" u="1"/>
        <s v="IN-123" u="1"/>
        <s v="EC-A506000150" u="1"/>
        <s v="SH-70012-35130" u="1"/>
        <s v="EC-P021028900" u="1"/>
        <s v="EC-20019-83410" u="1"/>
        <s v="SH-4568020" u="1"/>
        <s v="EC-C450000212" u="1"/>
        <s v="MOTSU-001" u="1"/>
        <s v="MP-279" u="1"/>
        <s v="IN-0236" u="1"/>
        <s v="G-0014" u="1"/>
        <s v="MP-465" u="1"/>
        <s v="B-CAN-004-1" u="1"/>
        <s v="EC-P021015350" u="1"/>
        <s v="SH-80253" u="1"/>
        <s v="EC-A011000540" u="1"/>
        <s v="OT-16" u="1"/>
        <s v="B-CAN-004-2" u="1"/>
        <s v="SH-20000-85579" u="1"/>
        <s v="IMP-865" u="1"/>
        <s v="SH-22020-11110" u="1"/>
        <s v="B-CAN-004-3" u="1"/>
        <s v="CR-065" u="1"/>
        <s v="IN-037" u="1"/>
        <s v="B-CAN-004-4" u="1"/>
        <s v="SH-60020-98310" u="1"/>
        <s v="SH-80387" u="1"/>
        <s v="IN-1234" u="1"/>
        <s v="PT-269" u="1"/>
        <s v="SOUTH-006 " u="1"/>
        <s v="IN-1235" u="1"/>
        <s v="MP-2791" u="1"/>
        <s v="SH-62035-82330" u="1"/>
        <s v="EC-P004002860" u="1"/>
        <s v="SH-02432-22100" u="1"/>
        <s v="SH-20087-81820" u="1"/>
        <s v="MP-2792        " u="1"/>
        <s v="96707000" u="1"/>
        <s v="JM-011" u="1"/>
        <s v="EC-16340030830" u="1"/>
        <s v="GAL-PIX-001" u="1"/>
        <s v="SU-BOTA-190703" u="1"/>
        <s v="B-CAN-001" u="1"/>
        <s v="EC-35161638130" u="1"/>
        <s v="SO-421" u="1"/>
        <s v="EC-C504000550" u="1"/>
        <s v="ZM-042" u="1"/>
        <s v="P-0010" u="1"/>
        <s v="EURO-10004-E" u="1"/>
        <s v="MP-216" u="1"/>
        <s v="OT-204" u="1"/>
        <s v="OT-1041" u="1"/>
        <s v="MP-402" u="1"/>
        <s v="SH-22155-51500" u="1"/>
        <s v="RA-011" u="1"/>
        <s v="MP-150" u="1"/>
        <s v="P-008" u="1"/>
        <s v="SH-70200-85001" u="1"/>
        <s v="CRE-023" u="1"/>
        <s v="SH-22021-13390" u="1"/>
        <s v="SH-72282-15310" u="1"/>
        <s v="SH-12415905530" u="1"/>
        <s v="JM-025" u="1"/>
        <s v="EC-A504000060" u="1"/>
        <s v="MP-316" u="1"/>
        <s v="EC-P021028810" u="1"/>
        <s v="MP-064" u="1"/>
        <s v="OT-A30" u="1"/>
        <s v="EC-A506000260" u="1"/>
        <s v="EC-A011000250" u="1"/>
        <s v="SO-20.61.469" u="1"/>
        <s v="EC-A514000080" u="1"/>
        <s v="EC-P021015160" u="1"/>
        <s v="ZM-056" u="1"/>
        <s v="CR-102" u="1"/>
        <s v="EC-12300060930" u="1"/>
        <s v="OT-853" u="1"/>
        <s v="SH-80255" u="1"/>
        <s v="SH-80265" u="1"/>
        <s v="MY-011" u="1"/>
        <s v="JF-100" u="1"/>
        <s v="EC-10152130832" u="1"/>
        <s v="MP-416" u="1"/>
        <s v="MP-164" u="1"/>
        <s v="JF-277" u="1"/>
        <s v="MP-350" u="1"/>
        <s v="83907851BR" u="1"/>
        <s v="EC-3581000111" u="1"/>
        <s v="JM-039" u="1"/>
        <s v="JD-015" u="1"/>
        <s v="SH-20021-86110" u="1"/>
        <s v="OT-SRAH-ADAP" u="1"/>
        <s v="OT-504" u="1"/>
        <s v="CR-CARCUSTOM" u="1"/>
        <s v="SE-025" u="1"/>
        <s v="EC-569024" u="1"/>
        <s v="SH-02006-06002" u="1"/>
        <s v="EC-43301119830" u="1"/>
        <s v="EC-A130000910" u="1"/>
        <s v="SH-70140-51220" u="1"/>
        <s v="SH-78890-14000" u="1"/>
        <s v="SH-22169-42000" u="1"/>
        <s v="CR-02.100.07" u="1"/>
        <s v="OT-28MM" u="1"/>
        <s v="SH-20021-51120" u="1"/>
        <s v="MY-025" u="1"/>
        <s v="MP-001" u="1"/>
        <s v="JERING-01" u="1"/>
        <s v="SH-80256" u="1"/>
        <s v="SH-38500-82120" u="1"/>
        <s v="EC-A130001750" u="1"/>
        <s v="EC-10091030830" u="1"/>
        <s v="SH-20018-31270" u="1"/>
        <s v="B999" u="1"/>
        <s v="MP-802" u="1"/>
        <s v="MP-364" u="1"/>
        <s v="CO-003" u="1"/>
        <s v="SH-62035-82121" u="1"/>
        <s v="SH-22015-13290" u="1"/>
        <s v="OT-38MM" u="1"/>
        <s v="IN-0998" u="1"/>
        <s v="OT-MO4HP" u="1"/>
        <s v="SH-22035-13290" u="1"/>
        <s v="JF-028" u="1"/>
        <s v="MP-101" u="1"/>
        <s v="EC-99944100475" u="1"/>
        <s v="EC-GP450INTL" u="1"/>
        <s v="SH-02432-40170" u="1"/>
        <s v="SH-20070-81350" u="1"/>
        <s v="EC-P005001140" u="1"/>
        <s v="OT-704" u="1"/>
        <s v="OT-452" u="1"/>
        <s v="MOT-640" u="1"/>
        <s v="MOT-641" u="1"/>
        <s v="SU-BOTA-190634" u="1"/>
        <s v="CO-0031" u="1"/>
        <s v="SH-70200-33112" u="1"/>
        <s v="CR-064" u="1"/>
        <s v="IN-036" u="1"/>
        <s v="MP-015" u="1"/>
        <s v="SH-80247" u="1"/>
        <s v="MP-201" u="1"/>
        <s v="PT-268" u="1"/>
        <s v="CO-017" u="1"/>
        <s v="ROD-69002RS" u="1"/>
        <s v="SH-72282-15101" u="1"/>
        <s v="EC-P004002680" u="1"/>
        <s v="SH-22000-92157" u="1"/>
        <s v="OT-3302185" u="1"/>
        <s v="EC-17500660730" u="1"/>
        <s v="SH-4037771" u="1"/>
        <s v="SH-70102-51220" u="1"/>
        <s v="SH-90SG-39X" u="1"/>
        <s v="SH-62903-66111" u="1"/>
        <s v="ZM-041" u="1"/>
        <s v="EC-17720212220" u="1"/>
        <s v="SH-22152-41231" u="1"/>
        <s v="EC-P021032670" u="1"/>
        <s v="SH-81593" u="1"/>
        <s v="MP-029" u="1"/>
        <s v="SH-4527270" u="1"/>
        <s v="SH-4574920" u="1"/>
        <s v="75218022" u="1"/>
        <s v="OT-1030" u="1"/>
        <s v="OT-1031" u="1"/>
        <s v="OT-1032" u="1"/>
        <s v="EC-A130001660" u="1"/>
        <s v="OT-1033" u="1"/>
        <s v="RA-010" u="1"/>
        <s v="CRE-010" u="1"/>
        <s v="EC-CS 680S" u="1"/>
        <s v="EC-70604003770" u="1"/>
        <s v="MP-578" u="1"/>
        <s v="CR-001" u="1"/>
        <s v="INCO-2010762" u="1"/>
        <s v="EC-577-60INTL" u="1"/>
        <s v="SH-20000-81310" u="1"/>
        <s v="SH-60035-98310" u="1"/>
        <s v="CRE-016" u="1"/>
        <s v="G-002" u="1"/>
        <s v="SH-20010-75190" u="1"/>
        <s v="BEBE-01" u="1"/>
        <s v="BEBE-02" u="1"/>
        <s v="MP-129" u="1"/>
        <s v="89218022" u="1"/>
        <s v="SH-22015-13390" u="1"/>
        <s v="MP-0291" u="1"/>
        <s v="SH-60119-98310" u="1"/>
        <s v="MP-315" u="1"/>
        <s v="MP-0292" u="1"/>
        <s v="SH-72365-98011" u="1"/>
        <s v="SH-037" u="1"/>
        <s v="SE-010 " u="1"/>
        <s v="FRONT-001" u="1"/>
        <s v="SH-72005-13010" u="1"/>
        <s v="ZM-055 " u="1"/>
        <s v="CR-101" u="1"/>
        <s v="PTHER010" u="1"/>
        <s v="EC-C450000042" u="1"/>
        <s v="JF-CABALLETE" u="1"/>
        <s v="CT-0002" u="1"/>
        <s v="SH-22152-21501" u="1"/>
        <s v="MY-010" u="1"/>
        <s v="CT-0004" u="1"/>
        <s v="MP-229" u="1"/>
        <s v="OT-82067A" u="1"/>
        <s v="MP-415" u="1"/>
        <s v="MP-163" u="1"/>
        <s v="SU-IMVAB-01.133" u="1"/>
        <s v="OT-11" u="1"/>
        <s v="JF-276" u="1"/>
        <s v="EC-12213700230" u="1"/>
        <s v="EC-A021000290" u="1"/>
        <s v="CR-015" u="1"/>
        <s v="SH-18500-90002" u="1"/>
        <s v="SH-37019-63170" u="1"/>
        <s v="SH-4502640" u="1"/>
        <s v="EC-DM-6110-13EUSTD" u="1"/>
        <s v="SO-20.48.354" u="1"/>
        <s v="JM-038" u="1"/>
        <s v="SH-22070-12410" u="1"/>
        <s v="JF-013" u="1"/>
        <s v="LB-005" u="1"/>
        <s v="FRT-1130486" u="1"/>
        <s v="SH-813010" u="1"/>
        <s v="SH-72920-71711" u="1"/>
        <s v="EC-A130000430" u="1"/>
        <s v="OT-503 " u="1"/>
        <s v="EC-10101160730" u="1"/>
        <s v="EC-A021000990" u="1"/>
        <s v="ZM-069" u="1"/>
        <s v="CR-115" u="1"/>
        <s v="SH-72330-82320" u="1"/>
        <s v="EC-4070981" u="1"/>
        <s v="SH-70602068010" u="1"/>
        <s v="MY-024" u="1"/>
        <s v="SH-70870-98030" u="1"/>
        <s v="EC-P021027100" u="1"/>
        <s v="EC-A130001370" u="1"/>
        <s v="MP-177" u="1"/>
        <s v="BLK751" u="1"/>
        <s v="MP-801" u="1"/>
        <s v="MP-363" u="1"/>
        <s v="SH-43301912330" u="1"/>
        <s v="CO-002" u="1"/>
        <s v="SH-22410-14100" u="1"/>
        <s v="IP009" u="1"/>
        <s v="EC-4525920" u="1"/>
        <s v="SH-20000-75150" u="1"/>
        <s v="SH-22000-13241" u="1"/>
        <s v="OT-116772" u="1"/>
        <s v="SH-22015-13210" u="1"/>
        <s v="IN-0987" u="1"/>
        <s v="JF-027" u="1"/>
        <s v="MP-100" u="1"/>
        <s v="EC-12313719830" u="1"/>
        <s v="P-003" u="1"/>
        <s v="OT-079" u="1"/>
        <s v="EC-V162000040" u="1"/>
        <s v="OT-703" u="1"/>
        <s v="SH-80023" u="1"/>
        <s v="G-0012" u="1"/>
        <s v="EC-70602009970" u="1"/>
        <s v="SH-64007-64310" u="1"/>
        <s v="EC-A202000011" u="1"/>
        <s v="IN-670" u="1"/>
        <s v="CO-0021" u="1"/>
        <s v="OT-65765" u="1"/>
        <s v="SH-68501-81360" u="1"/>
        <s v="PTHER002" u="1"/>
        <s v="CR-063" u="1"/>
        <s v="IN-035" u="1"/>
        <s v="EC-P021028840" u="1"/>
        <s v="EC-P004001360" u="1"/>
        <s v="MP-200" u="1"/>
        <s v="F-018" u="1"/>
        <s v="SH-80187" u="1"/>
        <s v="CR-02.053.02" u="1"/>
        <s v="SH-28820-08000" u="1"/>
        <s v="EC-P004001660" u="1"/>
        <s v="CR-DPC4" u="1"/>
        <s v="EC-C460000072" u="1"/>
        <s v="OT-51" u="1"/>
        <s v="CO-016" u="1"/>
        <s v="OT-2653" u="1"/>
        <s v="SH-9242432000" u="1"/>
        <s v="HI-021" u="1"/>
        <s v="SH-60018-98310" u="1"/>
        <s v="MP-114" u="1"/>
        <s v="EC-4575700" u="1"/>
        <s v="EC-DMAD4610" u="1"/>
        <s v="ZM-040" u="1"/>
        <s v="SH-38500-71020" u="1"/>
        <s v="MP-214" u="1"/>
        <s v="OT-1020" u="1"/>
        <s v="EC-A350000131" u="1"/>
        <s v="OT-1021" u="1"/>
        <s v="MP-400" u="1"/>
        <s v="OT-1022" u="1"/>
        <s v="OT-1023" u="1"/>
        <s v="OT-1024" u="1"/>
        <s v="MOT-003" u="1"/>
        <s v="SH-70131-75110" u="1"/>
        <s v="OT-1025" u="1"/>
        <s v="EC-P021012791" u="1"/>
        <s v="MOT-004" u="1"/>
        <s v="MOT-005" u="1"/>
        <s v="CRE-003" u="1"/>
        <s v="CRE-004" u="1"/>
        <s v="CRE-005" u="1"/>
        <s v="SH-22017-12210" u="1"/>
        <s v="JM-023" u="1"/>
        <s v="MP-128" u="1"/>
        <s v="SH-62035-12210" u="1"/>
        <s v="EC-17809037930" u="1"/>
        <s v="EC-P021013620" u="1"/>
        <s v="MP-062" u="1"/>
        <s v="SH-036" u="1"/>
        <s v="SH-60059-98310" u="1"/>
        <s v="SH-62035-15210" u="1"/>
        <s v="OT-479" u="1"/>
        <s v="SH-22019-17110" u="1"/>
        <s v="SH-80025" u="1"/>
        <s v="CR-100" u="1"/>
        <s v="EC-P021014260" u="1"/>
        <s v="MP-228" u="1"/>
        <s v="SH-22000-92812" u="1"/>
        <s v="MP-414" u="1"/>
        <s v="MP-162" u="1"/>
        <s v="JF-275" u="1"/>
        <s v="EC-13001005960" u="1"/>
        <s v="SH-72514-14100" u="1"/>
        <s v="CR-014" u="1"/>
        <s v="SO-26.00.281 " u="1"/>
        <s v="SH-20016-12222" u="1"/>
        <s v="CR-1002" u="1"/>
        <s v="JD-013" u="1"/>
        <s v="JF-012" u="1"/>
        <s v="MP-076" u="1"/>
        <s v="MP-262" u="1"/>
        <s v="SH-22150-51230" u="1"/>
        <s v="SH-22160-51230" u="1"/>
        <s v="ZM-068" u="1"/>
        <s v="EC-91046" u="1"/>
        <s v="OT-3600145" u="1"/>
        <s v="EC-10091016430" u="1"/>
        <s v="SH-72441-12100" u="1"/>
        <s v="MP-176" u="1"/>
        <s v="TB-9621" u="1"/>
        <s v="EC-569007" u="1"/>
        <s v="JF-289 " u="1"/>
        <s v="SH-72051-14101" u="1"/>
        <s v="MP-800" u="1"/>
        <s v="MP-362" u="1"/>
        <s v="MP-2621" u="1"/>
        <s v="CR-028" u="1"/>
        <s v="B-CAN-004" u="1"/>
        <s v="CR-20.171.07" u="1"/>
        <s v="MOTSU-014" u="1"/>
        <s v="IN-0976" u="1"/>
        <s v="IN-0977" u="1"/>
        <s v="SH-72555-14100" u="1"/>
        <s v="EC-V641000150" u="1"/>
        <s v="0503010335" u="1"/>
        <s v="OT-078" u="1"/>
        <s v="SH-22015-13410" u="1"/>
        <s v="OT-A56" u="1"/>
        <s v="OT-702" u="1"/>
        <s v="MP-276" u="1"/>
        <s v="G-0011" u="1"/>
        <s v="EC-V652000170" u="1"/>
        <s v="CO-0010" u="1"/>
        <s v="IN-000106" u="1"/>
        <s v="SH-108636-10" u="1"/>
        <s v="SO-00.71.153" u="1"/>
        <s v="SH-20024-83410" u="1"/>
        <s v="EC-90025304014" u="1"/>
        <s v="CR-062" u="1"/>
        <s v="EC-13101064931" u="1"/>
        <s v="EC-99944100483" u="1"/>
        <s v="SH-72432-13240" u="1"/>
        <s v="SH-72450-14200" u="1"/>
        <s v="TB1-60" u="1"/>
        <s v="EC-6450009" u="1"/>
        <s v="0T-16 " u="1"/>
        <s v="SH-72080-98011" u="1"/>
        <s v="SH-72550-12400" u="1"/>
        <s v="EC-10001132431" u="1"/>
        <s v="EC-13100546831" u="1"/>
        <s v="HI-020" u="1"/>
        <s v="SH-70064-75190" u="1"/>
        <s v="MP-113" u="1"/>
        <s v="OT-0010" u="1"/>
        <s v="EC-X640000150" u="1"/>
        <s v="EC-V000000130" u="1"/>
        <s v="SH-70140-81710" u="1"/>
        <s v="SH-99909-306" u="1"/>
        <s v="SH-22015-13241" u="1"/>
        <s v="SH-22045-14101" u="1"/>
        <s v="SH-20000-81441" u="1"/>
        <s v="EC-P021031570" u="1"/>
        <s v="EC-450093990" u="1"/>
        <s v="DDD " u="1"/>
        <s v="EC-12534408560" u="1"/>
        <s v="INCO-2010602" u="1"/>
        <s v="SER-PRESTADOS" u="1"/>
        <s v="SO-20.48.377" u="1"/>
        <s v="IN-048" u="1"/>
        <s v="OT-015" u="1"/>
        <s v="MI-002" u="1"/>
        <s v="MP-213" u="1"/>
        <s v="MP-1130" u="1"/>
        <s v="OT-1010" u="1"/>
        <s v="OT-1011" u="1"/>
        <s v="SU-IMVAB-01.040" u="1"/>
        <s v="OT-1012" u="1"/>
        <s v="ZM-019" u="1"/>
        <s v="ZU-015" u="1"/>
        <s v="OT-1013" u="1"/>
        <s v="SU-BOTA-190679" u="1"/>
        <s v="OT-1014" u="1"/>
        <s v="OT-1015" u="1"/>
        <s v="LDTP80C" u="1"/>
        <s v="EC-HC-150STD" u="1"/>
        <s v="OT-1017" u="1"/>
        <s v="OT-1018" u="1"/>
        <s v="SH-72051-98011" u="1"/>
        <s v="OT-1019" u="1"/>
        <s v="OT-750" u="1"/>
        <s v="EC-P021012600" u="1"/>
        <s v="EC-10494022560" u="1"/>
        <s v="IMP-2563" u="1"/>
        <s v="SH-72481-14200" u="1"/>
        <s v="OT-FILC001" u="1"/>
        <s v="MP-313" u="1"/>
        <s v="IN-082" u="1"/>
        <s v="EC-63019-63170" u="1"/>
        <s v="EC-C624000070" u="1"/>
        <s v="SH-22017-12410" u="1"/>
        <s v="LB-244192800" u="1"/>
        <s v="OT-478" u="1"/>
        <s v="AJUS.PRE" u="1"/>
        <s v="EC-P003000250" u="1"/>
        <s v="OT-664 " u="1"/>
        <s v="EC-90060300005" u="1"/>
        <s v="F-003" u="1"/>
        <s v="OT-5642" u="1"/>
        <s v="OT-5643" u="1"/>
        <s v="IB-011" u="1"/>
        <s v="MP-227" u="1"/>
        <s v="MP-413" u="1"/>
        <s v="OT-401" u="1"/>
        <s v="JF-274" u="1"/>
        <s v="SH-CAB.- BUJIA" u="1"/>
        <s v="IP014" u="1"/>
        <s v="SU-IMVAB-04.047" u="1"/>
        <s v="SH-11022-06280" u="1"/>
        <s v="CR-013" u="1"/>
        <s v="PTHER008" u="1"/>
        <s v="SH-70200-71610" u="1"/>
        <s v="SO-23.00.713" u="1"/>
        <s v="F-013" u="1"/>
        <s v="SH-88198-S" u="1"/>
        <s v="JM-036" u="1"/>
        <s v="JD-012" u="1"/>
        <s v="JF-011" u="1"/>
        <s v="CR-PPC3" u="1"/>
        <s v="MP-075" u="1"/>
        <s v="MP-66690" u="1"/>
        <s v="MP-261" u="1"/>
        <s v="EC-91VX45X" u="1"/>
        <s v="SH-99909-307" u="1"/>
        <s v="EC-13211544330" u="1"/>
        <s v="SO-20.48.358" u="1"/>
        <s v="OT-601  " u="1"/>
        <s v="COA-002" u="1"/>
        <s v="JF-288" u="1"/>
        <s v="COA-003" u="1"/>
        <s v="MP-361" u="1"/>
        <s v="MP-2611" u="1"/>
        <s v="CR-027" u="1"/>
        <s v="COA-006" u="1"/>
        <s v="SH-22150-12180" u="1"/>
        <s v="EC-A130000870" u="1"/>
        <s v="APLICA-01" u="1"/>
        <s v="PTHER009" u="1"/>
        <s v="COR-001" u="1"/>
        <s v="COR-002" u="1"/>
        <s v="TERFUNO-001" u="1"/>
        <s v="AGSO-010" u="1"/>
        <s v="6P1010F" u="1"/>
        <s v="EC-A226001410" u="1"/>
        <s v="COR-006" u="1"/>
        <s v="MP-089" u="1"/>
        <s v="OT-701" u="1"/>
        <s v="MP-275" u="1"/>
        <s v="G-0010" u="1"/>
        <s v="SH-22150-71120" u="1"/>
        <s v="CR-061" u="1"/>
        <s v="IN-033" u="1"/>
        <s v="EC-V652000090" u="1"/>
        <s v="EC-9242426000" u="1"/>
        <s v="SH-72LG0-105X" u="1"/>
        <s v="G-008" u="1"/>
        <s v="SH-20140-12221" u="1"/>
        <s v="MP-189" u="1"/>
        <s v="SH-20011-85401" u="1"/>
        <s v="SH-72330-98010" u="1"/>
        <s v="SH-22169-51170" u="1"/>
        <s v="SH-9216D-32  " u="1"/>
        <s v="CO-014" u="1"/>
        <s v="SH-99909-160" u="1"/>
        <s v="SH-12411411120" u="1"/>
        <s v="GOMA-MOT002" u="1"/>
        <s v="SH-20000-72241" u="1"/>
        <s v="SU-BOTA-190702" u="1"/>
        <s v="AGSO-041" u="1"/>
        <s v="MP-289" u="1"/>
        <s v="SE-236" u="1"/>
        <s v="EC-12211200230" u="1"/>
        <s v="EC-SP20HPS" u="1"/>
        <s v="SH-70043-85201" u="1"/>
        <s v="EC-P021000803" u="1"/>
        <s v="SH-22015-14301" u="1"/>
        <s v="SH-22411-14500" u="1"/>
        <s v="MP-026" u="1"/>
        <s v="MI-001" u="1"/>
        <s v="MP-212" u="1"/>
        <s v="OT-1000" u="1"/>
        <s v="OT-1001" u="1"/>
        <s v="OT-1002" u="1"/>
        <s v="ZM-018" u="1"/>
        <s v="OT-1003" u="1"/>
        <s v="OT-1004" u="1"/>
        <s v="SH-4073281" u="1"/>
        <s v="OT-1005" u="1"/>
        <s v="SH-20019-83410" u="1"/>
        <s v="SH-20055-81610" u="1"/>
        <s v="MP-389" u="1"/>
        <s v="OT-1006" u="1"/>
        <s v="MP-2891" u="1"/>
        <s v="OT-1007" u="1"/>
        <s v="EC-20087-31211" u="1"/>
        <s v="SE-522" u="1"/>
        <s v="OT-1008" u="1"/>
        <s v="EC-A235000300" u="1"/>
        <s v="OT-1009" u="1"/>
        <s v="MP-6610" u="1"/>
        <s v="SH-20060-81781" u="1"/>
        <s v="MP-6612" u="1"/>
        <s v="MP-6613" u="1"/>
        <s v="JM-021" u="1"/>
        <s v="MP-126" u="1"/>
        <s v="mp-6615" u="1"/>
        <s v="MP-6614        " u="1"/>
        <s v="SH-20021-51102" u="1"/>
        <s v="SH-72447-13240" u="1"/>
        <s v="SH-22175-82320" u="1"/>
        <s v="SH-99909-55130" u="1"/>
        <s v="EC-17722135631" u="1"/>
        <s v="EC-P022007151" u="1"/>
        <s v="AGSO-022" u="1"/>
        <s v="SH-20010-71650" u="1"/>
        <s v="BR-010" u="1"/>
        <s v="EC-4042881" u="1"/>
        <s v="SH-20010-12121" u="1"/>
        <s v="OT-5632" u="1"/>
        <s v="CR-089" u="1"/>
        <s v="OT-5634" u="1"/>
        <s v="IB-010" u="1"/>
        <s v="OT-5635" u="1"/>
        <s v="MP-1262" u="1"/>
        <s v="JF-087  " u="1"/>
        <s v="MP-160" u="1"/>
        <s v="SH-22160-72220" u="1"/>
        <s v="ACC-011" u="1"/>
        <s v="SH-70168-85201" u="1"/>
        <s v="JF-273" u="1"/>
        <s v="SH-22169-51130" u="1"/>
        <s v="P-009" u="1"/>
        <s v="MP-1266" u="1"/>
        <s v="CR-012" u="1"/>
        <s v="CRE-125" u="1"/>
        <s v="RULIT-004" u="1"/>
        <s v="SH-67000-41230" u="1"/>
        <s v="CRE-128" u="1"/>
        <s v="FIL-570" u="1"/>
        <s v="JM-035" u="1"/>
        <s v="JF-010" u="1"/>
        <s v="LB-002" u="1"/>
        <s v="CRE-129" u="1"/>
        <s v="SH-22169-55130" u="1"/>
        <s v="FIL-571" u="1"/>
        <s v="SH-12311215030" u="1"/>
        <s v="EC-P021028790" u="1"/>
        <s v="EC-P021030360" u="1"/>
        <s v="SH-22100-41230" u="1"/>
        <s v="DSTR-010" u="1"/>
        <s v="OT-A40" u="1"/>
        <s v="SH-22175-21200" u="1"/>
        <s v="ZM-066" u="1"/>
        <s v="OT-3600330" u="1"/>
        <s v="SE-999" u="1"/>
        <s v="EC-61022222360" u="1"/>
        <s v="SH-9-P230EPA" u="1"/>
        <s v="JF-287" u="1"/>
        <s v="MP-360" u="1"/>
        <s v="EC-10001139731" u="1"/>
        <s v="MP-2601" u="1"/>
        <s v="CR-026" u="1"/>
        <s v="SH-68501-98010" u="1"/>
        <s v="MP-2602" u="1"/>
        <s v="MP-789" u="1"/>
        <s v="CRE-267" u="1"/>
        <s v="EC-13000739930" u="1"/>
        <s v="JF-024" u="1"/>
        <s v="EC-V13800020" u="1"/>
        <s v="SH-22169-35400" u="1"/>
        <s v="MP-088" u="1"/>
        <s v="OT-A54" u="1"/>
        <s v="SOL-2010" u="1"/>
        <s v="EC-A130000990" u="1"/>
        <s v="MP-274" u="1"/>
        <s v="SH-63880-64460" u="1"/>
        <s v="MP-460" u="1"/>
        <s v="SH-72481-98310" u="1"/>
        <s v="CR-126" u="1"/>
        <s v="SU-BOTA-190633" u="1"/>
        <s v="EC-P021012830" u="1"/>
        <s v="SH-70210-32111" u="1"/>
        <s v="EC-V104001620" u="1"/>
        <s v="SH-63019-12102" u="1"/>
        <s v="EC-17720042033" u="1"/>
        <s v="CR-060" u="1"/>
        <s v="MP-011" u="1"/>
        <s v="SH-72550-14531" u="1"/>
        <s v="MP - 233" u="1"/>
        <s v="SH-22102-72220" u="1"/>
        <s v="ZM-003" u="1"/>
        <s v="MP-188" u="1"/>
        <s v="MP-374" u="1"/>
        <s v="SH-70131-81180" u="1"/>
        <s v="CO-013" u="1"/>
        <s v="MARTÍNEZ-INSEC-1" u="1"/>
        <s v="EC-X114000000" u="1"/>
        <s v="SH-60035-98040" u="1"/>
        <s v="SH-20018-81750" u="1"/>
        <s v="SH-72334-98010" u="1"/>
        <s v="PR-002" u="1"/>
        <s v="INCO-88" u="1"/>
        <s v="SH-70030-31120" u="1"/>
        <s v="SU-ECUAQ-22500001" u="1"/>
        <s v="MP-000100" u="1"/>
        <s v="SH-70064-75310" u="1"/>
        <s v="OT-900" u="1"/>
        <s v="SH-4048451" u="1"/>
        <s v="EC-21001201112" u="1"/>
        <s v="OR-238337" u="1"/>
        <s v="IMP-956 " u="1"/>
        <s v="CR-DP2" u="1"/>
        <s v="AGSO-045" u="1"/>
        <s v="MP-025" u="1"/>
        <s v="MP-211" u="1"/>
        <s v="ZM-017" u="1"/>
        <s v="TRANSAUT-001" u="1"/>
        <s v="MPFUN001" u="1"/>
        <s v="MP-388" u="1"/>
        <s v="OT-9000" u="1"/>
        <s v="EC-17503314731" u="1"/>
        <s v="EC-A225000500" u="1"/>
        <s v="MP-125" u="1"/>
        <s v="EC-17801022560" u="1"/>
        <s v="SH-62035-81360" u="1"/>
        <s v="SH-20021-81180" u="1"/>
        <s v="OT-00404" u="1"/>
        <s v="SH-62035-85360" u="1"/>
        <s v="SH-22175-82520" u="1"/>
        <s v="SU-IMVAB-01.121" u="1"/>
        <s v="CR-088" u="1"/>
        <s v="MP-225" u="1"/>
        <s v="OT-1131 " u="1"/>
        <s v="SH-70210-15212" u="1"/>
        <s v="JF-272" u="1"/>
        <s v="EC-10020455430" u="1"/>
        <s v="CR-011" u="1"/>
        <s v="EC-A369000100" u="1"/>
        <s v="ACC-006" u="1"/>
        <s v="G-003" u="1"/>
        <s v="ACC-008" u="1"/>
        <s v="SH-20010-42002" u="1"/>
        <s v="IN-94" u="1"/>
        <s v="CHEV-LUVDMAX" u="1"/>
        <s v="EC-13000039131" u="1"/>
        <s v="JM-034" u="1"/>
        <s v="JD-010" u="1"/>
        <s v="SH-20020-81140" u="1"/>
        <s v="TB-1908749" u="1"/>
        <s v="EC-12311824430" u="1"/>
        <s v="IN-094" u="1"/>
        <s v="MP-073" u="1"/>
        <s v="SH-20075-41111" u="1"/>
        <s v="SH-4557850" u="1"/>
        <s v="CR-12.001.40" u="1"/>
        <s v="EC-43101530831" u="1"/>
        <s v="FIL-568" u="1"/>
        <s v="SH-99909-207" u="1"/>
        <s v="SH-20020-86140" u="1"/>
        <s v="EC-P021010581" u="1"/>
        <s v="SU-IMVAB-01.129" u="1"/>
        <s v="AGSO-037" u="1"/>
        <s v="SE-998" u="1"/>
        <s v="MP-173" u="1"/>
        <s v="JF-286" u="1"/>
        <s v="IN-380" u="1"/>
        <s v="CRE-253" u="1"/>
        <s v="SH-20024-81023" u="1"/>
        <s v="CR-025" u="1"/>
        <s v="MP-788" u="1"/>
        <s v="EC-V475005280" u="1"/>
        <s v="JF-023" u="1"/>
        <s v="EC-P021011610" u="1"/>
        <s v="SH-62064-81011" u="1"/>
        <s v="MP-087" u="1"/>
        <s v="MP-273" u="1"/>
        <s v="SH-22169-33740" u="1"/>
        <s v="EC-12313704260" u="1"/>
        <s v="CR-125" u="1"/>
        <s v="IN-1945" u="1"/>
        <s v="IN-031" u="1"/>
        <s v="MP-010" u="1"/>
        <s v="SH-72030-13140" u="1"/>
        <s v="EC-CS-3000" u="1"/>
        <s v="SH-20015-93200" u="1"/>
        <s v="SH-20024-71610" u="1"/>
        <s v="EC-P021027280" u="1"/>
        <s v="ZM-002" u="1"/>
        <s v="MOT-7200120" u="1"/>
        <s v="MP-187" u="1"/>
        <s v="SH-91032" u="1"/>
        <s v="EC-4044231" u="1"/>
        <s v="MP-373" u="1"/>
        <s v="LDF50C-2" u="1"/>
        <s v="CR-039" u="1"/>
        <s v="CO-012" u="1"/>
        <s v="SH-62035-32331" u="1"/>
        <s v="SH-9214D-24" u="1"/>
        <s v="SH-20011-35151" u="1"/>
        <s v="MP-110" u="1"/>
        <s v="34012701" u="1"/>
        <s v="SH-4070981" u="1"/>
        <s v="TB-1903417" u="1"/>
        <s v="P-004" u="1"/>
        <s v="EC-13051039932" u="1"/>
        <s v="SH-22150-75520" u="1"/>
        <s v="EC-43021531731" u="1"/>
        <s v="FUM-010" u="1"/>
        <s v="CR-DP1" u="1"/>
        <s v="EC-CS-420ES-45EU" u="1"/>
        <s v="MP-024" u="1"/>
        <s v="SH-4525920" u="1"/>
        <s v="SH-22169-82251" u="1"/>
        <s v="3982-000-1640" u="1"/>
        <s v="CR-03.090.05" u="1"/>
        <s v="ZM-016" u="1"/>
        <s v="SH-22169-21300" u="1"/>
        <s v="JF-071" u="1"/>
        <s v="OT-B67" u="1"/>
        <s v="SH-62035-71020" u="1"/>
        <s v="MP-387" u="1"/>
        <s v="EC-A100000960" u="1"/>
        <s v="EC-A226000020" u="1"/>
        <s v="SH-72935-63210" u="1"/>
        <s v="SH-62035-75020" u="1"/>
        <s v="SH-60023-98031" u="1"/>
        <s v="MP-124" u="1"/>
        <s v="SU-ECUAQ-22070019" u="1"/>
        <s v="SH-22020-14200" u="1"/>
        <s v="MP-0241" u="1"/>
        <s v="MP-310" u="1"/>
        <s v="MP-0242" u="1"/>
        <s v="ALEN 5X25" u="1"/>
        <s v="SH-224127-13710" u="1"/>
        <s v="EC-P021005911" u="1"/>
        <s v="CR-71.064.10" u="1"/>
        <s v="EC-17500539133" u="1"/>
        <s v="EC-10020442230" u="1"/>
        <s v="MP-038" u="1"/>
        <s v="EC-V104000910" u="1"/>
        <s v="SOL-2006" u="1"/>
        <s v="MP-224" u="1"/>
        <s v="SO-22.00.509" u="1"/>
        <s v="EC-17722811120" u="1"/>
        <s v="JF-085" u="1"/>
        <s v="JF-271" u="1"/>
        <s v="P022007220" u="1"/>
        <s v="SH-4575700" u="1"/>
      </sharedItems>
    </cacheField>
    <cacheField name="DESCRIPCION" numFmtId="0">
      <sharedItems containsBlank="1" count="4433">
        <s v="AGROTAFOL SUPER X KG"/>
        <s v="AGROTAFOL 15-30-15 INICIO X KILO"/>
        <s v="AGROTAFOL 25-10-10 CRECIMIENTO X KILO"/>
        <s v="AGROTAFOL 13-6-40 PRODUCCION X KILO"/>
        <s v="AGROTAFOL 15-30-15 FLORACION X KILO"/>
        <s v="AGROTAFOL 13-6-40 PRODUCCION X 500 GRS"/>
        <s v="AGROTAFOL 15-30-15 INICIO X 500 GRS"/>
        <s v="AGROTAFOL 25-10-10 CRECIMIENTO X 500 GRS"/>
        <s v="AGROTAFOL 15-30-15  FLORACION X 500 GRS"/>
        <s v="JARRITA DOSIFICADORA X 250 cc"/>
        <s v="ETIQUETA FULMINANTE  X 50 GRS / DELANTER"/>
        <s v="ENVASE SINOPRID X 100 GMS PREIMPRESA"/>
        <s v="BENALAXYL 8%+MANCOZEB 65% WP x 25KIL "/>
        <s v="FOSETYL ALUMINIO 80% WP x 25KIL"/>
        <s v="CARTAP 50% SP x 25KIL"/>
        <s v="DELTAMETRINA 2.5% EC x 200LIT "/>
        <s v="IMIDACLOPRID 25% WP x 25KIL "/>
        <s v="LAMBDACIHALOTRINA 2.5% EC x 200LIT"/>
        <s v="161612 SC X LIT"/>
        <s v="ENVASE CHINO COEX X 100CC"/>
        <s v="ENVASE CHINO COEX X LIT"/>
        <s v="FUNDA ALUMINIZADA  X 100G"/>
        <s v="FUNDA ALUMINIZADA X  KIL"/>
        <s v="ENVASE PET X 100CC"/>
        <s v="ENVASE PET X 250CC"/>
        <s v="ENVASE PET X 500CC"/>
        <s v="ENVASE PET X LIT"/>
        <s v="ETIQUETA ABAMECTIN X LIT "/>
        <s v="ETIQUETA AGROVERDOL X 500CC "/>
        <s v="ETIQUETA ANIQUILADOR X 100CC "/>
        <s v="ETIQUETA ANIQUILADOR X 250CC"/>
        <s v="ETIQUETA ANIQUILADOR X LIT "/>
        <s v="ETIQUETA AGROTAFOL BORO X 250CC"/>
        <s v="ETIQUETA AGROTAFOL BORO X 500CC"/>
        <s v="ETIQUETA FEGADAZIM X LIT "/>
        <s v="ETIQUETA IMPULMAX X 250CC "/>
        <s v="ETIQUETA IMPULMAX X LIT "/>
        <s v="ETIQUETA AGROTAFOL KPLUS X 500CC"/>
        <s v="ETIQUETA AGROTAFOL KPLUS X LITR "/>
        <s v="ETIQUETA LETAL X 100CC "/>
        <s v="ETIQUETA LETAL X 250CC"/>
        <s v="ETIQUETA LETAL X 500CC"/>
        <s v="ETIQUETA LETAL X LIT "/>
        <s v="ETIQUETA SCOBA X 100CC"/>
        <s v="ETIQUETA SCOBA X 250CC"/>
        <s v="ETIQUETA SKEMATA X 250CC "/>
        <s v="ETIQUETA SKEMATA X 500CC "/>
        <s v="ETIQUETA SKEMATA X LIT "/>
        <s v="ETIQUETA SINOZOX X 500CC "/>
        <s v="ETIQUETA SINOPRID X 500G "/>
        <s v="ETIQUETA SINOTYL X KIL"/>
        <s v="FUNDA IMPRESA  AGROTAFOL COMBI X 200G"/>
        <s v="FUNDA IMPRESA PARALANCHA X 250/500G"/>
        <s v="ABAMECTIN X 100CC "/>
        <s v="ABAMECTIN X LIT "/>
        <s v="SINOZOX X 100CC "/>
        <s v="SINOZOX X 500CC "/>
        <s v="YOGA X 100CC "/>
        <s v="YOGA X LIT "/>
        <s v="AGROTAFIX X 100CC "/>
        <s v="AGROTAFIX X 250CC "/>
        <s v="AGROTAFIX X 500CC "/>
        <s v="AGROTAFIX X LIT "/>
        <s v="BUCANER X LIT "/>
        <s v="FEGADAZIM X 250CC "/>
        <s v="FEGADAZIM X 500CC "/>
        <s v="FEGADAZIM X LIT "/>
        <s v="LETAL X 100CC "/>
        <s v="LETAL X 250CC "/>
        <s v="LETAL X 500CC "/>
        <s v="LETAL X 50CC "/>
        <s v="LETAL X LIT "/>
        <s v="PARALANCHA X 250G "/>
        <s v="PARALANCHA X 500G "/>
        <s v="SCOBA X 100CC"/>
        <s v="SCOBA X 250CC"/>
        <s v="SCOBA X 50CC"/>
        <s v="SCOBA X LIT"/>
        <s v="SKEKURA X 100G "/>
        <s v="SKEKURA X 200G "/>
        <s v="SKEKURA X 500G "/>
        <s v="SINOTYL X 100G "/>
        <s v="SINOTYL X 500G "/>
        <s v="SINOTYL X KIL "/>
        <s v="BIOBAN X 100CC "/>
        <s v="BIOBAN X 250CC "/>
        <s v="BIOBAN X LIT "/>
        <s v="GLIFOLAQ X 125CC"/>
        <s v="GLIFOLAQ X 250CC"/>
        <s v="GLIFOLAQ X 500CC"/>
        <s v="GLIFOLAQ X 5GLN "/>
        <s v="GLIFOLAQ X LIT "/>
        <s v="KEMADOR X 5GLN "/>
        <s v="KEMADOR X GLN "/>
        <s v="KEMADOR X LIT "/>
        <s v="METSULFURON X 15G "/>
        <s v="ANIQUILADOR X 100CC "/>
        <s v="ANIQUILADOR X 250CC"/>
        <s v="ANIQUILADOR X LIT "/>
        <s v="DEPREDADOR X 100G "/>
        <s v="DEPREDADOR X 300G "/>
        <s v="FULMINANTE X 50G "/>
        <s v="KARONTE X 120CC"/>
        <s v="KARONTE X 300CC"/>
        <s v="SKEMATA X 100CC "/>
        <s v="SKEMATA X 250CC "/>
        <s v="SKEMATA X 500CC "/>
        <s v="SKEMATA X LIT "/>
        <s v="SINOPRID X 100G "/>
        <s v="SINOPRID X 500G "/>
        <s v="VIRAFIN X 250CC "/>
        <s v="AGROVERDOL X 250CC"/>
        <s v="AGROVERDOL X 500CC "/>
        <s v="AGROVERDOL X LIT "/>
        <s v="AGROTAFOL BORO X 250CC "/>
        <s v="AGROTAFOL BORO X 500CC "/>
        <s v="AGROTAFOL BORO X LIT "/>
        <s v="AGROTAFOL COMBI X 200G "/>
        <s v="CITOQMAX X 100CC "/>
        <s v="CITOQMAX X 250CC "/>
        <s v="CITOQMAX X LIT"/>
        <s v="AGROTAFOL FOSFITO X 250CC "/>
        <s v="AGROTAFO FOSFITO X 500CC "/>
        <s v="AGROTAFOL FOSFITO X LIT "/>
        <s v="IMPULMAX X 100CC"/>
        <s v="IMPULMAX X 250CC "/>
        <s v="IMPULMAX X LIT "/>
        <s v="AGROTAFOL KPLUS X 500CC "/>
        <s v="AGROTAFOL KPLUS X LITR "/>
        <s v="ORGANIC POWER X 250CC "/>
        <s v="ORGANIC POWER X 500CC "/>
        <s v="ORGANIC POWER X LIT "/>
        <s v="RAIZ FORTE X 500CC"/>
        <s v="RAIZ FORTE G X KIL"/>
        <s v="RAIZ FORTE X LIT"/>
        <s v="SUPER VIVERO X KIL"/>
        <s v="PROFESIONAL THICKER X KIL"/>
        <s v="AGROTAFOL ZINC X 500CC "/>
        <s v="AGROTAFOL ZINC X LIT "/>
        <s v="PERNO ALEN 5X16 CC"/>
        <s v="PERNO ALEN 5X30"/>
        <s v="PERNO ALEN 5X40"/>
        <s v="CHIPPER TIPO REMOLQUE CH4400"/>
        <s v="CHIPPER/SHREDDERS SC2170"/>
        <s v="CHIPPER/SHREDDERS SC3305_x0009__x0009_"/>
        <s v="MOTOR 5HP WEG 1800RPM 220/440V"/>
        <s v="AGARRADERA MANUBRIO PULVERIZADORA"/>
        <s v="ROLLO HILO NYLON 0.095 (870 MTS) 09510&quot;"/>
        <s v="ANILLO PISTON CS3500"/>
        <s v="ANILLO PISTON DM6110"/>
        <s v="ANILLO PISTON SRM4300"/>
        <s v="ANILLO PISTON PPT2400"/>
        <s v="ANILLO PISTON CS8002"/>
        <s v="ANILLO PISTON SRM3605"/>
        <s v="ANILLO PISTON SRM4605"/>
        <s v="ANILLO PISTON CS3000"/>
        <s v="COJINETE DE AGUJAS DE TAMBOR CS420"/>
        <s v="CIGUENAL CS8002"/>
        <s v="CIGUENAL SRM4605"/>
        <s v="CIGUEÑAL SHP-800"/>
        <s v="CIGUEÑAL SRM270"/>
        <s v="TANQUE QUIMICO ES726"/>
        <s v="SELLO DE ACEITE CS680S CS8002 CS6702"/>
        <s v="SELLO DE ACEITE, RETEN SRM4605"/>
        <s v="RETENEDOR CIGUEÑAL DM6110 SRM4300"/>
        <s v="SELLO DE ACEITE SRM3605 SRM4300"/>
        <s v="SELLO DE ACEITE CS8002"/>
        <s v="SELLO DE ACEITE CS3500"/>
        <s v="EMPAQUE CARTER  CS8002"/>
        <s v="EMPAQUE CARTER SRM 4605"/>
        <s v="EMPAQUE CARTER SRM3605 (10024255430)"/>
        <s v="EMPAQUE DE CARTER SRM270"/>
        <s v="AMORTIGUADOR CS8002"/>
        <s v="AMORTIGUADOR POSTERIOR CS8002"/>
        <s v="EMPAQUE CILINDRO DM6110 (10101006211)"/>
        <s v="EMPAQUE DE CILINDRO CS8002 (10101030830)"/>
        <s v="EMPAQUE CILINDRO CS680S (10101032431)"/>
        <s v="EMPAQUE CILINDRO SRM4605 (10101042231) "/>
        <s v="EMPAQUE CILINDRO SRM3605 (10101055430)"/>
        <s v="EMPAQUE CILINDRO SHP-800"/>
        <s v="EMPAQUE CILINDRO SRM270 (10101056030)"/>
        <s v="CILINDRO SRM4605 (10101147530)"/>
        <s v="CILINDRO SHP800 (10101161230)"/>
        <s v="CUBIERTA DE VENTILADOR SRM 270"/>
        <s v="CUBIERTA DE VENTILADOR CS 8002"/>
        <s v="GAFAS SPORT ECHO"/>
        <s v="CANILLERAS ECHO"/>
        <s v="CUBIERTA DE MOTOR DM6110"/>
        <s v="ROLLO NYLON SHINDAIWA 3LB 0.105&quot;"/>
        <s v="ROLLO NYLON SHINDAIWA 5LB 0.105&quot;"/>
        <s v="ROLLO HILO NYLON 0.105&quot;700MTS) 10510&quot;"/>
        <s v="ROLLO NYLON SHINDAIWA 30LB 0.105&quot; 10530"/>
        <s v="BARRA 10, 0.42G P320"/>
        <s v="CARBURADOR CS8002"/>
        <s v="CARBURADOR SRM4605"/>
        <s v="CARBURADOR SRM3605"/>
        <s v="CARBURADOR CS3000"/>
        <s v="DIAFRAGMA DE CARBURADOR CS680 CS8002 488"/>
        <s v="DIAFRAGMA BOMBA DE CARBURADOR SRM4605"/>
        <s v="VALVULA SOUPAPE 22F (20016-81180)"/>
        <s v="RESORTE BALANCIN SRM3605"/>
        <s v="RESORTE BALANCIN CS8002"/>
        <s v="PALANCA BALANCIN CS680  488,577,757"/>
        <s v="PALANCA BALANCIN SRM3605 SRM4605 C230 (22100-81230)"/>
        <s v="DIAFRAGMA BOMBA SRM3605 PPT2400"/>
        <s v="EMPAQUE DE DIAFRAGMA DE CARBURADOR CS680, CS8002 488,577,757"/>
        <s v="EMPAQUE COMBUSTIBLE DE CARBURADOR SRM4605"/>
        <s v="EMPAQUE DEL DIAFRAGMA SRM4605"/>
        <s v="EMPAQUE DE DIAFRAGMA DE BALANCIN CS8002"/>
        <s v="DIAFRAGMA DE BALANCIN CS600 CS680"/>
        <s v="BOMBA DE CEBADOR CS420"/>
        <s v="BOMBA DEL CEBADOR 22F-C230-EB500-HT230 SRM3605"/>
        <s v="TAPA CARBURADOR B530 (62083-81310)"/>
        <s v="RESORTE ACELERADOR SHP800 B450 (12411450330)"/>
        <s v="RESORTE ACELERADOR B530 (20020-81140)"/>
        <s v="RETENEDOR C350-B450 (SH-20000-81150)"/>
        <s v="INYECTOR PRINCIPAL SHP800"/>
        <s v="TORNILLO (T) RALENTI B450 C350"/>
        <s v="RESORTE T B450-C350-B530 (72920-81820)"/>
        <s v="CARBURADOR SHP800"/>
        <s v="RESORTE BALANCIN C350-B450 (20040-81430)"/>
        <s v="TORNILLO (H) B450 (20070-81350) "/>
        <s v="RESORTE H B450-C350-B530 (20011-81360)"/>
        <s v="EMPAQUE DE CARBURADOR SHP800"/>
        <s v="PLACA CARBURADOR SHP800"/>
        <s v="EMPAQUE DE BOMBA SHP800"/>
        <s v="DIAFRAGMA BOMBA GASOLINA SHP800"/>
        <s v="RESORTE MEMBRANA B530 (62035-81360)"/>
        <s v="VALVULA PATO B530 B450"/>
        <s v="BOMBA CEBADOR B450-B530-C350 (12438012710)"/>
        <s v="BOMBA DEL CEBADOR ES726"/>
        <s v="PALANCA BALANCIN SRM4300"/>
        <s v="EMPAQUE BOMBA CARBURADOR SRM4300 (12532508360)"/>
        <s v="AGUJA H SRM4300"/>
        <s v="BOMBA DE CEBADO SRM4300"/>
        <s v="PLACA FILTRO SRM3605"/>
        <s v="BARRA 12&quot; PPT2400"/>
        <s v="EMPAQUE DE ADMISION DM6110"/>
        <s v="EMPAQUE B CARBURADOR SRM4300 SRM4605"/>
        <s v="AISLADOR SRM4605"/>
        <s v="AISLADOR SRM3605"/>
        <s v="AISLADOR SRM270 SHP800"/>
        <s v="ROLLO HILO NYLON 0.130 (460MTS) 13010&quot;"/>
        <s v="FILTRO DE AIRE COMPLETO SHP800"/>
        <s v="FILTRO AIRE CS3500-CS420-45 (13030039730)"/>
        <s v="BASE DE FILTRO DE AIRE SRM4605 13030747533"/>
        <s v="BASE DE FILTRO DE AIRE 3605"/>
        <s v="TAPA FILTRO SRM3605"/>
        <s v="FILTRO DE AIRE CS8002"/>
        <s v="CA BASE FILTRO AIRE SRM4605 (13030143130)"/>
        <s v="FILTRO AIRE DM6110"/>
        <s v="FILTRO AIRE SHP800"/>
        <s v="FILTRO DE AIRE SRM4605"/>
        <s v="ELEMENTO FILTRO AIRE SRM3605 (13031051730)"/>
        <s v="FILTRO AIRE SRM270"/>
        <s v="REGILLA DE FILTRO DE AIRE DM6110"/>
        <s v="MANGA ADMISION CS80002"/>
        <s v="TAPA DE COMBUSTIBLE CS600 CS680 (13100437631)"/>
        <s v="TAPA TANQUE SRM3605 4300 4605"/>
        <s v="FILTRO DE COMBUSTIBLE PPT2400"/>
        <s v="CUBIERTA DE VALVULA DE VENTILACION CS8002"/>
        <s v="AMORTIGUA TANQ SRM4300-3605-4605"/>
        <s v="MANGUERA DE COMBUSTIBLE SRM4605"/>
        <s v="ADAPTADOR DE MANGUERA CS8002"/>
        <s v="OJAL LINEA DE COMBUSTIBLE SRM4300"/>
        <s v="EMPAQUE DE SILENCIADOR DM6110"/>
        <s v="EMPAQUE DE ESCAPE SRM4605"/>
        <s v="EMPAQUE DE ESCAPE SHP800 (14551055932)"/>
        <s v="EMPAQUETADURA DEL SILENCIADOR DM6110"/>
        <s v="DEFLECTOR DE SILENCIADOR CS8002"/>
        <s v="BOBINA SRM3605"/>
        <s v="BOBINA SHP800"/>
        <s v="ROLLO HILO NYLON 10LB 0.155&quot; (320 MTS) 15510"/>
        <s v="BOBINA SRM4605"/>
        <s v="BOBINA DE ENCENDIDO CS8002"/>
        <s v="BOBINA CS680S, CS6702"/>
        <s v="BOBINA PPT2400"/>
        <s v="BARRA DE 16&quot; 40CM PARA CS3500"/>
        <s v="CA EMBRAGUE CS8002"/>
        <s v="TAMBOR EMBRAGUE SRM4605"/>
        <s v="TAMBOR EMBRAGUE SRM3605"/>
        <s v="TAMBOR EMBRAGUE SRM270"/>
        <s v="ZAPATA EMBRAGUE UNIDAD SRM4605"/>
        <s v="ZAPATA EMBRAGUE UNIDAD SRM270, SHP800"/>
        <s v="COJINETE AGUJAS EMBRAGUE CS8002"/>
        <s v="COJINETE DE AGUJAS PARA EMBRAGUE CS680"/>
        <s v="RESORTE EMBRAGUE SRM270"/>
        <s v="RESORTE DE EMBRAGUE CS8002"/>
        <s v="RESORTE EMBRAGUE SRM4300-4605"/>
        <s v="RESORTE EMBRAGUE SRM3605"/>
        <s v="PERNO EMBRAGUE SRM4300-4605"/>
        <s v="PERNO EMBRAGUE SRM3605"/>
        <s v="TORNILLO EMBRAGUE SHP800"/>
        <s v="ARANDELA B EMBRAGUE SRM4300"/>
        <s v="ARANDELA EMBRAGUE SRM3605"/>
        <s v="ARANDELA A EMBRAGUE SRM4300"/>
        <s v="TAMBOR EMBREGUE CS8002"/>
        <s v="TAMBOR EMBRAGUE CS680"/>
        <s v="PIÑON FLOTANTE CS420"/>
        <s v="EMPAQUE GT22"/>
        <s v="ARRANCADOR COMP. DM6110"/>
        <s v="ARRANCADOR COMPLETO SRM3605"/>
        <s v="ARRANCADOR COMPLETO SRM270-SHP-800"/>
        <s v="RESORTE ARRANQUE CS3500"/>
        <s v="TAMBOR DE ARRANCADOR CS8002"/>
        <s v="TAMBOR ARRANCADOR DM6110"/>
        <s v="TAMBOR ARRANCADOR CS680S"/>
        <s v="TAMBOR ARRANQUE SHP800"/>
        <s v="TAMBOR ARRANQ SRM4605 B45LA-C350-EB500 (A506000150)"/>
        <s v="TAMBOR DE ARRANCADOR HT230,ES726 (70030-75120)"/>
        <s v="TRINQUETE ES726 (A514000180)"/>
        <s v="TRINQUTE CS8002"/>
        <s v="RESORTE ARRANCADOR CS680"/>
        <s v="RESORTE ARRANCADOR B450 GP450  (A504000140)"/>
        <s v="RESORTE ARRANQUE SRM4300 B530 (62035-75130)"/>
        <s v="RESORTE RECULAR ARRANQUE SC600"/>
        <s v="RESORTE ARRANQUE SHP800 SRM270 3605 4605 C270 ES726"/>
        <s v="RESORTE ARRANCADOR HT230"/>
        <s v="BASE RESORTE ARRANCADOR CS680"/>
        <s v="CUERDA SRM3605"/>
        <s v="RESORTE TRINQUETE ES726 (20035-75230)"/>
        <s v="RESORTE DEL TRINQUETE CS680"/>
        <s v="RESORTE DEL TRINQUETE CS8002"/>
        <s v="RESORTE TRINQUETE SRM3605 SRM4605 B530 C350"/>
        <s v="CABLE ACELERADOR SRM4605"/>
        <s v="CABLE ACELERADOR SRM3605"/>
        <s v="CABLE ACELERADOR SRM270"/>
        <s v="GATILLO DEL ACELERADOR 4605"/>
        <s v="TRABA DE GATILLO 4605"/>
        <s v="RESORTE DE GATILLO 4605"/>
        <s v="TRABA DE GATILLO GT22"/>
        <s v="PROTECTOR CABLE SRM4605"/>
        <s v="VARILLA DE EXTRANGULADOR SRM3605"/>
        <s v="OBTURADOR, ESTRANCULADOR SRM3605"/>
        <s v="ARANDELA DE OBTURADOR SRM3605"/>
        <s v="BARRA 18&quot; CS-420ES"/>
        <s v="AMORTIGUADOR SUPERIOR DM6110"/>
        <s v="BARRA 50CM 3/8&quot;/0.58&quot; CS600"/>
        <s v="TUBO ACORDEON DM6110"/>
        <s v="TUBO RECTO DM6110 (21001400310)"/>
        <s v="TUBO CURVO DM6110"/>
        <s v="OBTURADOR TUBO RECTO DM6110"/>
        <s v="OBTURADOR DE TUBO CORRUGADO DM6110"/>
        <s v="BOQUILLA COMPLETA DM6110 (P050008390) (21250001111)"/>
        <s v="CADENA 18&quot; 45CM PARA CS420"/>
        <s v="CADENA PARA BARRA 20&quot; 488"/>
        <s v="EMPAQUE DIFUSOR ES726 (4050771)"/>
        <s v="PODADORA HOME 22C"/>
        <s v="BARRA 60CM 3/8&quot;/0.58&quot;"/>
        <s v="TANQUE QUIMICO 23L DM6110"/>
        <s v="TAPA DRENAJE SHP 800"/>
        <s v="SUETADOR DE TANQUE DM6110"/>
        <s v="BASE DE TANQUE DM6110"/>
        <s v="CABEZAL NYLON SPEED-FEED"/>
        <s v="ARNES, TIRANTE DM6110"/>
        <s v="ARNES SRM3605 (30100156831)"/>
        <s v="FILTRO DE TANQUE ES726"/>
        <s v="ROLLO NYLON ECHO 3LB 0.105&quot;"/>
        <s v="ROLLO NYLON  ECHO 5LB.105&quot; REDONDO NYL"/>
        <s v="BARRA DE 30&quot; 3/8 0.58 (80CM) PARA CS8002"/>
        <s v="MANUBRIO IZQ SRM3605-4605"/>
        <s v="MANGO DERECHO SRM3605-SRM4600"/>
        <s v="PALANCA DE MANIJA EDR210"/>
        <s v="MANUBRIO DERECHO SRM3605-SRM4605"/>
        <s v="MANGO IZQUIERDO SRM3605-4605"/>
        <s v="MANIJA PARA EDR210 (35151522330)"/>
        <s v="LLAVE DE PASO DM6110"/>
        <s v="FILTRO DE MANGUERA DE SUCCION WP1000"/>
        <s v="FILTRO MALLA BOQUILLA ES726"/>
        <s v="EMBOLO ES726 (4042881)"/>
        <s v="CUBIERTA DE CUERPO DE BOMBA ES726"/>
        <s v="TAMBOR EMBRAGUE ES726"/>
        <s v="ASIENTO DE VALVULA ES726"/>
        <s v="SOPORTE DE LANZA ES726"/>
        <s v="BARRA 24&quot;  CS-680, CS-8002"/>
        <s v="CADENA 24&quot; CS680 CS 8002"/>
        <s v="PLACA GUIA INTERNA CS680  CS8002"/>
        <s v="TENSOR DE LA CADENA CS1201"/>
        <s v="TORNILLO TENSOR DE CADENA DE CS8002"/>
        <s v="TORNILLO TENSOR CS1201"/>
        <s v="TUERCA BARRA CS3500 PPT2400"/>
        <s v="TUERCA BARRA CS680"/>
        <s v="BUJE LIBRE PPT2400"/>
        <s v="BOMBA ACEITE COMPLETA CS680"/>
        <s v="BOMBA ACEITE CS680 CS8002"/>
        <s v="BOMBA MANUAL ACEITE CS8002"/>
        <s v="MANGUERA COMBUST A SHP-800"/>
        <s v="VALVULA DE PASO ES726 (4515030)"/>
        <s v="LANZA MANGO ES726"/>
        <s v="CUERPO DE LA VALVULA ES726 (4568020)"/>
        <s v="LANZA 5 BOQUILLAS"/>
        <s v="PLACA GOTA FINA ES726 (4555310)"/>
        <s v="LANZA ES726"/>
        <s v="JUEGO DE EMPAQUES ES726"/>
        <s v="JUEGO DE VALVULAS ES726"/>
        <s v="VALVULA COMPLETA ES726"/>
        <s v="MANDRIL EDR-210"/>
        <s v="EJE CENTRAL SRM3605 SRM4605 (61001106230)"/>
        <s v="EJE TRANSMISIÓN INFERIOR PPT2400"/>
        <s v="EJE TRANSMISION SUPERIOR PPT240"/>
        <s v="CONECTOR EJE TRANSMISION PPT2400"/>
        <s v="SOPORTE COJINETE COMPLETO PPT2400"/>
        <s v="CUBIERTA DE EMBRAGUE SRM4605"/>
        <s v="TUBO EXTERIOR SRM4605 SRM3605"/>
        <s v="TUBO SUPERIOR PPT2400"/>
        <s v="ABRAZADERA INFERIOR PPT2400"/>
        <s v="ABRAZADERA SUPERIOR PPT2400"/>
        <s v="PIÑON KIT SRM3605 SRM4605"/>
        <s v="EJE PINON SRM4300 (61031005730)"/>
        <s v="EJE DE ENGRANAJE SRM270"/>
        <s v="EJE PIÑON SRM4605 SRM3605  "/>
        <s v="SOPORTE (A) SRM4300"/>
        <s v="SOPORTE B SRM4300 (61031421231)"/>
        <s v="SOPORTE (B) SRM270 SRM3605 SRM4605"/>
        <s v="ESPACIADOR DE CAJA DE ENGRANAJES SRM4300"/>
        <s v="TUERCA CUCHILLA SRM4300"/>
        <s v="TUERCA DE CUCHILLA SRM3605 SRM4605"/>
        <s v="CARCAZA DE LA CAJA DE ENGRANAJE SRM3605 SRM4605"/>
        <s v="SELLO DE ACEITE SRM4300"/>
        <s v="PERNO GRASERO SRM3605-4300-4605-270"/>
        <s v="AMORTIGUADOR UNION SRM4605"/>
        <s v="ACEITE ECHO POWER BLEND 2T x LT (6450107)"/>
        <s v="ACC. DESMALEZADORA M-230 65001"/>
        <s v="ACC. PODARRAMAS M-230 65002"/>
        <s v="ACC. CORTASETOS ARTICULADOS M-230 65003"/>
        <s v="PIÑON LOCO CS680S CS8002 577 757 CS600"/>
        <s v="ESTABILIZADOR CUCHILLA SRM270-3605"/>
        <s v="CONECTOR VARILLA DM6110"/>
        <s v="TAMBOR EMBRAGUE SHP800"/>
        <s v="RETEN DE CARTER BIELA SHP800"/>
        <s v="BIELA BOMBA SHP-800"/>
        <s v="CIGUEÑAL DEL MECANISMO BOMBA SHP800"/>
        <s v="RESORTE VALVULA SHP-800"/>
        <s v="VALVULA PRESION SHP-800"/>
        <s v="CABEZA PISTON SHP800 (70602034770)"/>
        <s v="ASIENTO DE VALVULA SHP800"/>
        <s v="EMPAQUE BOMBA SHP 800"/>
        <s v="EMPAQUE DE GRASA SHP800"/>
        <s v="JUEGO DE EMPAQUES BOMBA SHP800"/>
        <s v="TAPA DE GRASERO SHP800"/>
        <s v="EMPAQUE DE CILINDRO PRESION SHP800"/>
        <s v="CILINDRO DE BOMBA SHP 800"/>
        <s v="O RING B SHP800"/>
        <s v="BASE VALVULA PRESION SHP800"/>
        <s v="VALVULA KIT DE EMBOLO SHP800"/>
        <s v="CAMARA DE AIRE SHP800"/>
        <s v="ESFERA DE ACERO BOMBA SHP800"/>
        <s v="RETENEDOR DE RESORTE SHP-800"/>
        <s v="RESORTE VALVULA PRESION SHP800"/>
        <s v="TAPA DE TANQUE SHP-800"/>
        <s v="AMORTIGUADOR SHP800"/>
        <s v="SWITCH STOP SHP-800 (70604047000)"/>
        <s v="MANGUERA PULV SHP800"/>
        <s v="MANIJA DE LANZA SHP800"/>
        <s v="VALVULA DE PASO SHP800"/>
        <s v="CABLE ACELERADOR SHP800"/>
        <s v="CABEZA DE CILINDRO BOMBA SHP 800"/>
        <s v="RETENEDOR RESORTE SHP800"/>
        <s v="MANGUERA COMBUST B SHP-800"/>
        <s v="VARILLA PULVERIZADORA SHP800 ES726 (70617027722)"/>
        <s v="BOQUILLA COMPLETA SHP800"/>
        <s v="FILTRO MALLA BOQUILLA SHP800"/>
        <s v="TAPA DE LA BOQUILLA SHP800"/>
        <s v="PLACA DE BOQUILLA SHP800"/>
        <s v="ORING DE BOQUILLA SHP800"/>
        <s v="HERRAMIENTA BOMBA SHP800"/>
        <s v="CADENA 16&quot;"/>
        <s v="CADENA 32&quot; 80CM CS8002"/>
        <s v="CADENA 50CM 20&quot; CS600 ( 43101230831)"/>
        <s v="CADENA60CM 24&quot;, 3/8, 058 (73DP-84X) "/>
        <s v="CADENA70CM 28&quot; CS8002 (43101530831)"/>
        <s v="MOTOSIERRA 757-70 CON BARRA Y CADENA"/>
        <s v="O-RING DE LANZA,SELLO ES726"/>
        <s v="TUBO COMPLETO C350"/>
        <s v="TANQUE COMBUSTIBLE C270"/>
        <s v="TUBO COMP CON ETIQUETA  C230"/>
        <s v="KIT VALVULA BOMBA ES726"/>
        <s v="EMPAQUETADURA-DIAF ES726"/>
        <s v="AGUJA KIT KWIK ES726"/>
        <s v="EMPAQUETADURA DIAFR 488-577-757"/>
        <s v="ADAPTADOR UN10 C230"/>
        <s v="ADAPTADOR UN10 C270,BP35 (80677)"/>
        <s v="ADAPTADOR UN10,B450,B530,C350 (80678)"/>
        <s v="COJINETE DE AGUJAS BIELA C230"/>
        <s v="MANGUERA LANZA ES726"/>
        <s v="COMBINACION CASCO/VISOR Y OREJERAS (82002)"/>
        <s v="CABEZAL NYLON UN-10 SIN EMPAQUE Y SIN PERNO  82067A "/>
        <s v="ACEITE LIMPIADOR RED ARMOR FD 2T"/>
        <s v="BOQUILLA HV-2 (88102)"/>
        <s v="TAPA DE BOQUILLA ES726"/>
        <s v="AMORTIGUADOR ES726"/>
        <s v="LLAVE MANDRIL EDR-210"/>
        <s v="HERRAMIENTA EXTRACTOR PIÑON CS680"/>
        <s v="PERNO DE SUJECION (COM) SRM4605,SRM4300,SRM3605"/>
        <s v="PERNO SUJETADOR CARBURADOR SRM3605"/>
        <s v="TORNILLO 5X25"/>
        <s v="TORNILLO SRM4605"/>
        <s v="ANILLO RETENEDOR DE CAJA DE ENGRANAJE SRM4300"/>
        <s v="O RING BOQUILLA Y CAJA ES726 SRM270-3605-4605"/>
        <s v="CA ORING CAJA SRM4605"/>
        <s v="COJINETE B450 B530 (02002-06001)"/>
        <s v="CADENA GUIA 10&quot; P230 (90SG-039X)"/>
        <s v="PERNO TAPA GRASA C230"/>
        <s v="HERRAMIENTA KIT ENGENER"/>
        <s v="MALETIN HERRAMIENTA ECHO (91046)"/>
        <s v="CADENA 12&quot; PPT2400"/>
        <s v="CADENA 16&quot; 40CM 3/8&quot; 0.058&quot; CS3500"/>
        <s v="CADENA 12&quot; PARA CS3000 (91VX45X)"/>
        <s v="ANILLO DE RETENCION 22F 22C (02432-28120)"/>
        <s v="ANILLO SEGER C350-B450-B530"/>
        <s v="CHAVETA B530"/>
        <s v="AGUJA KIT 757"/>
        <s v="EMPAQUETADURA KIT C230"/>
        <s v="AGUJA KIT C230"/>
        <s v="PISTON KIT 22C-22F"/>
        <s v="CARTER S C350 B450"/>
        <s v="PISTON KIT B450 (99909-450)"/>
        <s v="EMPAQUETADURA-DIAFRAG B450"/>
        <s v="ACEITE SHINDAIWA PREMIUM 2-TIEMPOS 100ML"/>
        <s v="CIGUENAL SRM4300 (A011000120)"/>
        <s v="CIGUENAL ES726 22C 22F(67000-42002)"/>
        <s v="CIGUEÑAL B45-B45LA"/>
        <s v="CIGUEÑAL B530"/>
        <s v="CIGUENAL COMPLETO C350-BP35 (20010-42002)"/>
        <s v="CIGUEÑAL C230"/>
        <s v="CIGUENAL 757 (22169-42000)"/>
        <s v="CARBURADOR BP35 (20055-81004)"/>
        <s v="CARBURADOR CS6702 (A021000290)"/>
        <s v="CARBURADOR SRM4300 (A021000681)"/>
        <s v="CARBURADOR HC-150 (A021000740)"/>
        <s v="CARBURADOR CS420"/>
        <s v="CARBURADOR CS680"/>
        <s v="CARBURADOR 22F-22C"/>
        <s v="CARBURADOR C230 (20016-81021)"/>
        <s v="CARBURADOR C270 (20024-81023)"/>
        <s v="CARBURADOR C350"/>
        <s v="CARBURADOR B45-B45LA"/>
        <s v="CARBURADOR B450 B450AUS"/>
        <s v="CARBURADOR B530 (62035-81013)"/>
        <s v="CARBURADOR 757 (22169-81000)"/>
        <s v="CARBURADOR ES726"/>
        <s v="BASE FILTRO DE AIRE B530"/>
        <s v="SILENCIADOR COMPLETO C230-ES726-P230-M230 (70135-15100)"/>
        <s v="SILENCIADOR COMP. B450 (70210-15102)"/>
        <s v="SILENCIADOR COMPLETO B450 (62022-15100)"/>
        <s v="SILENCIADOR COMPLETO B530 (62035-15012)"/>
        <s v="SILENCIADOR 757 (22169-15113)"/>
        <s v="TAPA COMBUSTIBLE 757-577-488 (22160-33801)"/>
        <s v="TAPA DE CARBURADOR BP35"/>
        <s v="TAPA DE COMBUSTIBLE B530,B450,C350,C230 (70168-85201)"/>
        <s v="FILTRO COMBUSTIBLE B45-B45LA"/>
        <s v="TANQUE COMBUSTIBLE  B530 (62035-85013)"/>
        <s v="TANQUE DE COMBUSTIBLE C230 (20016-85003)"/>
        <s v="VALVULA DE AIRE, RESPIRADERO COMP B450-B45L (20000-85500)"/>
        <s v="ARRANCADOR COMPLETO B530"/>
        <s v="ARRANCADOR COMP. B45-B450"/>
        <s v="ARRANCADOR COMPLETO SRM4300"/>
        <s v="ARRANCADOR COMPLETO SRM4605"/>
        <s v="ARRANCADOR COMPLETO C270 (70162-75100)"/>
        <s v="ARRANCADOR SIN ETIQUETA C230 (72933-75900)"/>
        <s v="ARRANCADOR COMPLETO ES726 (70036-75100)"/>
        <s v="POLEA ARRANCADOR DE ALUMINIO COMPLETA SRM4300"/>
        <s v="POLEA COMPLETA B45LA C350 SRM4605 SRM3605 (70131-75200)"/>
        <s v="POLEA ARRANCADOR DE ALUMINIO B530"/>
        <s v="POLEA COMPLETA ALUMINIO ES726 (20035-75200)"/>
        <s v="TAMBOR EMBRAGUE B450-B45"/>
        <s v="EMBRAGUE CS680S"/>
        <s v="EMBRAGUE COMPLETO CS600"/>
        <s v="EMBRAGUE C270"/>
        <s v="EMBRAGUE B530-B450-C350 (A056000450)"/>
        <s v="EMBRAGUE COMPLETO C230 (A056000260)"/>
        <s v="EMBRAGUE 577-CS8002"/>
        <s v="EMBRAGUE COMPLETO 757"/>
        <s v="CUBIERTA EMBRAGUE COMPLETA SRM4300"/>
        <s v="UNION COMPLETA B530 (62035-33010)"/>
        <s v="PISTON P230-C230-ES726-HT230-M230"/>
        <s v="ANILLO PISTON SHP-800   EDR-210"/>
        <s v="ANILLO PISTON SRM270"/>
        <s v="ANILLO PISTON CS680"/>
        <s v="ANILLO PISTON CS420"/>
        <s v="ANILLO PISTON CS600"/>
        <s v="ANILLO PISTON EB500"/>
        <s v="ANILLO PISTON 22F-22C-F2 (20142-41210)"/>
        <s v="ANILLO PISTON C270 (20024-41210)"/>
        <s v="ANILLO PISTON B45-B45LA"/>
        <s v="ANILLO PISTON B450"/>
        <s v="ANILLO PISTON B530 (62035-41120)"/>
        <s v="ANILLO PISTON C350-BP35"/>
        <s v="ANILLO PISTON C230-HT230"/>
        <s v="ANILLO PISTON 488 (22157-41210)"/>
        <s v="ANILLO DEL PISTON 577 (22152-41210)"/>
        <s v="ANILLO PISTON 757 (22169-41210)"/>
        <s v="CILINDRO SRM4300"/>
        <s v="CILINDRO SRM3605 (A130000601)"/>
        <s v="CILINDRO CS680"/>
        <s v="CILINDRO EB500"/>
        <s v="CILINDRO 22F-22C-F220 (20142-12110)"/>
        <s v="CILINDRO B450"/>
        <s v="CILINDRO C350-C35LA (70196-12110)"/>
        <s v="CILINDRO C230-ES726-M230-P230 (20016-12112)"/>
        <s v="CILINDRO B530 (62035-12111)"/>
        <s v="CUBIERTA CILINDRO B450 (70210-32111)"/>
        <s v="CUBIERTA DE VENTILADOR B530 (62035-31110)"/>
        <s v="CUBIERTA DEL VENTILADOR BP35 B450 B45 (70012-31111)"/>
        <s v="BASE B45-B45LA-B450-C350 (70200-33112)"/>
        <s v="PROTECTOR DEL TANQUE B45-B450"/>
        <s v="PROTECTOR DEL TANQUE B530 (62035-85360)"/>
        <s v="AISLADOR SRM4300"/>
        <s v="AISLADOR CONDENSADORES726"/>
        <s v="AISLADOR C270"/>
        <s v="AISLADOR CONDENS B450-C350 (20060-12210)"/>
        <s v="AISLADOR CONDENS B530 (62035-12210)"/>
        <s v="MANGA CS420"/>
        <s v="MANGA CS600"/>
        <s v="MANGA 488 (22160-12150)"/>
        <s v="MANGA 757-577 (22150-12152)"/>
        <s v="BRIDA MANGA CS600"/>
        <s v="PORTA FILTRO ES726 (A225000400)"/>
        <s v="BASE FILTRO AIRE B450-C350-C270"/>
        <s v="FILTRO AIRE CS680"/>
        <s v="FILTRO AIRE SRM4300"/>
        <s v="FILTRO AIRE INTERMEDIO SRM4300"/>
        <s v="PRE FILTRO B530"/>
        <s v="FILTRO AIRE ES726 (38500-82120)"/>
        <s v="FILTRO AIRE C350-B450-C270"/>
        <s v="FILTRO AIRE B530 (62035-82121)"/>
        <s v="FILTRO DE AIRE 577 (22175-82310)"/>
        <s v="FILTRO AIRE 757 EB500 (22169-82310)"/>
        <s v="PRE FILTRO 577P-757 (72330-82320)"/>
        <s v="REJILLA FILTRO AIRE SRM4300"/>
        <s v="CUBIERTA FILTRO DE AIRE SRM4300"/>
        <s v="CUBIERTA FILTRO AIRE ES726 (38500-82130)"/>
        <s v="CUBIERTA, FILTRO DE AIRE C350,B450"/>
        <s v="CUBIERTA FILTRO AIRE B530 (62035-82131)"/>
        <s v="CUBIERTA  DE FILTRO T230 (70140-81760)"/>
        <s v="PERILLA DE FILTRO C230 (A235000220)"/>
        <s v="PLACA FILTRO B530"/>
        <s v="SILENCIADOR SRM4300"/>
        <s v="SILENCIADOR CS680"/>
        <s v="CUBIERTA SILENCIADOR SRM4300"/>
        <s v="CUBIERTA SILENCIADOR B450"/>
        <s v="CUBIERTA DEL SILENCIADOR SRM4605"/>
        <s v="RESPIRADERO CS8002 EDR210 CS600 WP1000"/>
        <s v="VALVULA DE VENTILADOR B530 CS600 HC150 WP1000 CS8002 (A356000031)"/>
        <s v="FILTRO COMBUSTIBLE 22F-C230-HT230-ES726 (20016-85400)"/>
        <s v="FILTRO COMBUSTIBLE B450-B530-577-757 (22169-35400) (A369000100)"/>
        <s v="BANDA C350-BP35-B450 (20020-86140)"/>
        <s v="BASE TANQUE SRM4300"/>
        <s v="ABRAZADERA S B450 C300 B45-B45LA (20021-86110)"/>
        <s v="ABRAZADERA (M) B450 C350"/>
        <s v="VOLANTE ES726"/>
        <s v="VOLANTE B450 C350 (70200-71200)"/>
        <s v="BOBINA AZUL PEQUEÑA 488 (22160-71511)"/>
        <s v="BOBINA 577-757"/>
        <s v="BOBINA SRM4300"/>
        <s v="BOBINA HC 150  EDR210"/>
        <s v="BOBINA CS420"/>
        <s v="BOBINA CS600"/>
        <s v="BOBINA COMPLETA ES726 (38500-71020)"/>
        <s v="BOBINA B450 C350 C35LA B45LA (70200-71610)"/>
        <s v="BOBINA COMPLETA B530"/>
        <s v="BOBINA B45-BP35"/>
        <s v="BOBINA C230-P230 (20016-71601)"/>
        <s v="BOBINA 488 (22160-71702)"/>
        <s v="BOBINA AZUL PAQUEÑA 757"/>
        <s v="RESORTE BUJIA C230-C350-EB500 (20000-72230)"/>
        <s v="CAPUCHON DE BUJIA   C350 (20010-72221)"/>
        <s v="CUBIERTA BUJIA C230-C350-B45 (20000-72241)"/>
        <s v="CUBIERTA BUJIA B530 (62035-32310)"/>
        <s v="SWICH SRM4605 SRM270"/>
        <s v="SWICH SRM4605"/>
        <s v="TAPA ARRANCADOR B45LA-C350 (70131-75110)"/>
        <s v="RESORTE ARRANCADOR  22C-C230-T230 (20140-75130)"/>
        <s v="RESORTE DE ARRANCADOR Y CAJA 577,757 (22155-75410)"/>
        <s v="TAMBOR ARRANQUE CS420"/>
        <s v="TAMBOR ARRANQUE C230"/>
        <s v="TAMBOR CUERDA C270 (20024-75120)"/>
        <s v="TAMBOR ARANQUE B450-B45 (20020-75120)"/>
        <s v="TAMBOR DE ARRANCADOR 757"/>
        <s v="CUERDA B450-C350-B530-BP35 (20020-75180)"/>
        <s v="CUERDA 22F-22C-C230"/>
        <s v="GUIA CUERDA B530"/>
        <s v="PERILLA ARRANCADOR B530 (22104-75420)"/>
        <s v="PERILLA ARRANCADOR 757 577 (22150-75520)"/>
        <s v="TRINQUETE SRM270,C350,B530 (17721840630)"/>
        <s v="TRINQUETE B450,BP35,B45 (20000-75130)"/>
        <s v="POLEA DE ARRANCADOR C230 (70064-75310)"/>
        <s v="POLEA DE ALUMINIO DE ARRANQUE B450,B45,BP35"/>
        <s v="ZAPATA EMBRAGUE UNIDAD SRM3605"/>
        <s v="ZAPATA DE EMBRAGUE C230"/>
        <s v="ZAPATA EMBRAGUE C350-B450-B5"/>
        <s v="TAMBOR EMBRAGUE CS600-CS530"/>
        <s v="TAMBOR EMBRAGUE C270 (A556000810)"/>
        <s v="TAMBOR EMBRAGUE BP35 (70051-31210)"/>
        <s v="TAMBOR DE EMBRAGUE 757 (22169-51110)"/>
        <s v="TAMBOR EMBRAGUE CS420"/>
        <s v="TAMBOR EMBRAGUE C230-P230 (A556000960)"/>
        <s v="TAMBOR EMBRAGUE C350 (A055000000)"/>
        <s v="TAMBOR EMBRAGUE B530 (A556000870)(A055000140)"/>
        <s v="PLACA MANGA 757 (22150-12180)"/>
        <s v="RESORTE EMBRAGUE C270 (70102-51220)"/>
        <s v="RESORTE EMBRAGUE B45"/>
        <s v="RESORTE DE EMBRAGUE BP35"/>
        <s v="RESORTE EMBRAGUE C230,HT230,ES726"/>
        <s v="RESORTE DEL EMBRAGUE 577-757"/>
        <s v="RESORTE EMBRAGUE B450-B530-C350 (A566000150)"/>
        <s v="PLACA UNION B530 (62035-31310)"/>
        <s v="TAPA DE UNION B450"/>
        <s v="UNION MOTOR-EJE B450-C350 (20011-35110)"/>
        <s v="CUBIERTA DE LA UNION B450 (70012-35130)"/>
        <s v="ABRAZADERA (A) TUBO B450-C350 (20011-35141)"/>
        <s v="ABRAZADERA (B) TUBO B450-C350 (20011-35151)"/>
        <s v="UNION B530 (62035-33110)"/>
        <s v="DESMALEZADORA B450"/>
        <s v="DESMALEZADORA B45"/>
        <s v="DESMALEZADORA B-530"/>
        <s v="DESMALEZADORA BP35"/>
        <s v="BOMBA DE ACEITE CS420"/>
        <s v="BOMBA DE ACEITE 757 P230(22197-55201)"/>
        <s v="BOMBA DE ACEITE 488-577 (22160-55200)"/>
        <s v="MANGO 757 (22169-32110)"/>
        <s v="CONTROL DEL ACELERADOR C230"/>
        <s v="ACELERADOR COMP. ES726 (20015-93200)"/>
        <s v="PALANCA DEL ACELERADOR COMPLETO C270"/>
        <s v="PALANCA ACELERADOR B45-C35LA (22015-14301)"/>
        <s v="PALANCA DE ACELERADOR B450AUS (72451-14502)"/>
        <s v="PALANCA ACELERADOR COMP B450,B530 (C044000880) (C044000882)"/>
        <s v="TUBO EXTERIOR B450 (80025) (C050001880)"/>
        <s v="CARCASA SUPERIOR CAJA ENGRANAJE PPT2400"/>
        <s v="CAJA DE ENGRANAJE C350-C35LA (72017-13013)(C051000560)"/>
        <s v="CAJA DE ENGRANAJE BP35 (72005-13010)"/>
        <s v="CAJA DE ENGRANAJES SEMICOMP B450 - B45LA (C051000600)"/>
        <s v="CAJA DE ENGRANAJE SEMICOMPLETA B530 (63019-63019)(C051000610)"/>
        <s v="CAJA DE ENGRANAJE C230 (63901-63022)"/>
        <s v="EJE FLEXIBLE, KIT COMPLETO BP35"/>
        <s v="ARNES C230 22C"/>
        <s v="ARNES COMPLETO B530  B450  C350 (64007-67011)"/>
        <s v="COLGADOR C350-B530-SRM3605-SRM4605 (22017-12210)"/>
        <s v="FILTRO ACEITE 488-577-757 22169-57360"/>
        <s v="DESMALEZADORA C-230"/>
        <s v="TAPA DEL EMBRAGUE 757 (22169-53111)"/>
        <s v="PLACA GUIA EXTRENO CS680"/>
        <s v="GUIA PLACA (A) 757 (22169-52460)"/>
        <s v="PIN TENSOR CADENA CS680S"/>
        <s v="PIN DEL TENSOR DE CADENA 577-488-757 (22150-52440)"/>
        <s v="PIN TENSOR DE LA CADENA CS600 (C309000070)"/>
        <s v="GUIA DE EJE PPT2400"/>
        <s v="DESMALEZADORA C-350"/>
        <s v="GATILLO CS3500"/>
        <s v="GATILLO DE ACELERADOR B450 (C450000580)"/>
        <s v="CONECTOR ACELERADOR B450-B530-C350 (72550-82120)"/>
        <s v="BUSHING C350 (22015-12120)"/>
        <s v="BUSHING B450-B530 (22021-12120)"/>
        <s v="EJE CENTRAL C230 (22070-12410)"/>
        <s v="EJE CENTRAL C270"/>
        <s v="EJE CENTRAL C350"/>
        <s v="EJE CENTRAL B45-B45LA (22021-12400)"/>
        <s v="EJE CENTRAL B530 B450"/>
        <s v="EJE CENTRAL BP 35 (22050-12411)"/>
        <s v="EJE FLEXIBLE BP35 (22051-11922)"/>
        <s v="CARCASA CAJA DE ENGRANAJES B530-B450-B45LA"/>
        <s v="CARCAZA DE LA CAJA DE ENGRANAJE C230"/>
        <s v="EJE, ENGRANAJE B530 (63019-63130)"/>
        <s v="EJE DE ENGRANAJE C230"/>
        <s v="SOPORTE (A) SRM3605 SRM4605"/>
        <s v="SOPORTE (A) C230 (22035-13242) (C535000510)"/>
        <s v="PROTECTOR PERNO 22C-C230 (22035-13290)"/>
        <s v="PROTECTOR DE PERNO (B) C270 (22024-13291)"/>
        <s v="SOPORTE (A) C350-B450-B530-B (72447-13240)"/>
        <s v="SOPORTE (B) B45-B450-C350 (22015-13251)"/>
        <s v="PROTECTOR PERNO C350,B450,B530 (22015-13270)"/>
        <s v="SOPORTE (B) B530 (63019-63170)"/>
        <s v="PROTECTOR CAJA ENGRANAJE SRM4300"/>
        <s v="ABRAZADERA SUP PROTECTOR DESP B450"/>
        <s v="PLACA DESPOJOS C350-B450-B530 (72017-16130)"/>
        <s v="MOTOSIERRA CS-3000-30 CON BARRA Y CADEN"/>
        <s v="MOTOSIERRA CS-3500-40 CON BARRA Y CADENA"/>
        <s v="MOTOSIERRA CS-420-45 CON BARRA Y CADENA"/>
        <s v="MOTOSIERRA CS-8002-80 CON BARRA Y CADENA"/>
        <s v="NEBULIZADORA, PULVERIZADORA 23LITROS"/>
        <s v="ACC. PARA PULVERIZADOR (SOLIDOS) DMAD4610"/>
        <s v="LANZA CON BOQUILLA AJUSTABLE"/>
        <s v="BOQUILLA AJUSTABLE SHP800"/>
        <s v="SOPLADORA EB500"/>
        <s v="CAMISETA ECHO"/>
        <s v="TALADRO DE 21.2CC CON FUNCION EDR-210"/>
        <s v="BOMBA DE FUMIGAR A MOTOR ES726"/>
        <s v="PODADORA HOME GT-22GES"/>
        <s v="MAQUINA MULTI USOS M230"/>
        <s v="EMPAQUE DIAFRAG CS510 (P003000240)"/>
        <s v="LLAVES DE PASO BP-35 (20055-81610)"/>
        <s v="RESORTE CABLE ES726-C35LA (20011-81140)"/>
        <s v="TAPA CARBURADOR C350-B450"/>
        <s v="TORNILLO (L) B450-B530 (20000-81330)"/>
        <s v="RESORTE L B450-B530 (SH-20000-81340)"/>
        <s v="AGUJA BALANCIN B450-C350 (20000-81441)"/>
        <s v="PALANCA BALANCIN B450-C350 (20011-81451)"/>
        <s v="TAPA CARBURADOR B45-B45LA (20021-81121)"/>
        <s v="TAPA SUJETADORA CARBURADOR ES726 (38500-81321)"/>
        <s v="VALVULA PISTON B450-C350 (70131-81180)"/>
        <s v="RESORTE MARIPOSA CARBURADOR SRM4300"/>
        <s v="BOQUILLA VALVULA RET SRM4300"/>
        <s v="EJE DE MARIPOSA DE CARBURADOR SRM4300"/>
        <s v="RESORTE BALANCIN SRM4300"/>
        <s v="AGUJA (H)  SRM4300"/>
        <s v="AGUJA (L) SRM4300"/>
        <s v="BASE DE BOMBA PRIMER SRM4300"/>
        <s v="PISTON KIT SRM270"/>
        <s v="PISTON KIT EDR-210 (P021001101)"/>
        <s v="PISTON KIT CS6702 (P021002791)"/>
        <s v="AISLADOR DE ADMISION CS680 (P021002800)"/>
        <s v="CILINDRO CS8002"/>
        <s v="PISTON KIT CS8002"/>
        <s v="ZAPATAS EMBRAGUE KIT SRM4300"/>
        <s v="AISLADOR DM6110"/>
        <s v="CAJA FILTRO DE AIRE SRM4300"/>
        <s v="CILINDRO CS420"/>
        <s v="PISTON KIT CS420"/>
        <s v="CAJA DE ENGRANAJE SRM4605"/>
        <s v="PROTECTOR DE DESPOJOS SRM3605-4605"/>
        <s v="ABRAZAD CODO SRM4605 3605"/>
        <s v="ABRAZADERA COMPLETA DE LA UNION SRM4605"/>
        <s v="ABRAZADERA MANUBRIO SRM3605 (P021012830)"/>
        <s v="CARCASA EMBRAGUE SRM4605 (P021012920)"/>
        <s v="PISTON KIT SRM4300 (P021014260)"/>
        <s v="CUCHILLA 3 PUNTAS  P021014320"/>
        <s v="PISTON KIT SHP-800"/>
        <s v="PISTON KIT CS600"/>
        <s v="PISTON KIT CS680S"/>
        <s v="PISTON KIT SRM4605"/>
        <s v="PISTON KIT SRM3605"/>
        <s v="FILTRO DE AIRE CS600"/>
        <s v="PISTON KIT DM6110 (P021001820)"/>
        <s v="EMBRAGUE COMP. B45 (20021-51102)"/>
        <s v="CARTER M ES726"/>
        <s v="ABRAZADERA DE TUBO CON MARIPOSA (B) B450"/>
        <s v="ABRAZADERA COMPLETA 22C-C230 (22045-14101)"/>
        <s v="CARTER M COMPLETO 757 (22169-21203)"/>
        <s v="CARTER C 757 (22169-21503)"/>
        <s v="TANQUE DE COMBUSTIBLE 757 577 (22169-33102)"/>
        <s v="CABLE ACELERADOR C230"/>
        <s v="KIT MOTOR RECONSTRUCCION C350 (P021027030)"/>
        <s v="KIT MOTOR RECONSTRUCCION B450"/>
        <s v="PISTON KIT B530 (SH-60035-98030)"/>
        <s v="KIT MOTOR RECONSTRUCCION C270 (P021027130 )"/>
        <s v="CARTER COMPLETO B530 (62035-21010)"/>
        <s v="CARTER COMP. M B530 (62035-21020)"/>
        <s v="CARTER S COMPLETO C270"/>
        <s v="CARTER M C270"/>
        <s v="TUBO EXTERIOR B530 (63019-12102)"/>
        <s v="CAJA DE ENGRANAJE ACC CORT (P021028810)"/>
        <s v="PROTECTOR DESPOJO COMP B450-C350 (64000-66311) (P021028900)"/>
        <s v="KIT MOTOR RECONTRUCCION 757"/>
        <s v="PISTON KIT C270 (70244-98040)"/>
        <s v="PISTON KIT P230-C230-ES726-HT230-M230"/>
        <s v="PISTON KIT C350,C35LA,BP35 (72051-98011)"/>
        <s v="PISTON KIT B45 B45LA (72080-98011)"/>
        <s v="KIT MOTOR RECONSTRUCCION B45"/>
        <s v="PISTON KIT 757 (72330-98010)"/>
        <s v="PISTON KIT 577 (72334-98010) (EC-P021032440)"/>
        <s v="KIT MOTOR RECONSTRUCCION C230 ES726"/>
        <s v="ABRAZADERA COMPLETA B530-B450 (72514-14100)"/>
        <s v="HERRAMIENTAS KIT B450 (72547-91100)"/>
        <s v="TUBO EXTERIOR B450 AUS (72551-12101)"/>
        <s v="PISTON KIT EB500"/>
        <s v="EMBRAGUE BP35"/>
        <s v="MANGUERA TANQUE B530 (62035-85031)"/>
        <s v="KIT MOTOR RECONSTRUC 577 (69011-98310)"/>
        <s v="MANUBRIO B450AUS"/>
        <s v="MANGO SEMI COMPLETO C230 (72481-14200)"/>
        <s v="MANUBRIO TUBO B450 B530"/>
        <s v="ARRANCADOR COMP B45LA-C350 (70131-75100)"/>
        <s v="PISTON KIT 488 (P021032610)"/>
        <s v="KIT MOTOR RECONSTRUCCIÓN SRM4605"/>
        <s v="KIT MOTOR RECONSTRUCCION SHP-800"/>
        <s v="KIT MOTOR RECONSTRUCCION CS420"/>
        <s v="KIT MOTOR RECONSTRUCCION CS680S"/>
        <s v="KIT MOTOR RECONSTRUCCION DM6110"/>
        <s v="KIT MOTOR RECOSNTRUCCION SRM4300"/>
        <s v="CAJA DE ENGRANAJE C270 (C051000480)"/>
        <s v="EJE DE ENGRANAJE C270 (72435-13210) (C534000570)"/>
        <s v="EJE DE ENGRANAJE B45-B450-C350 (C534000590)"/>
        <s v="MANUBRIO TUBO CS600 (C400000550)"/>
        <s v="TAMBOR ARRANCADOR SRM4300 B530 EA-410 (A506000260)"/>
        <s v="RESORTE TRINQUETE SRM4300"/>
        <s v="SEGURO DEL TRINQUETE TIPO E B530-C350-B450 (V583000140)"/>
        <s v="CUBIERTA EMBRAGUE CARCASA SRM4300"/>
        <s v="SEGURO TAMBOR EMBRRAGUE SRM4300"/>
        <s v="TAMBOR EMBRAGUE SRM4300"/>
        <s v="AMORTIGUADOR CAMPANA SRM4300"/>
        <s v="ANILLO RETENEDOR ZEGUER SRM4300"/>
        <s v="TUBO COMPLETO SRM4300 (P022024710)"/>
        <s v="EJE CENTRAL SRM4300"/>
        <s v="COLGADOR SRM4300"/>
        <s v="ABRAZADERA MANGO GIRAT. SRM4300 (P022007020)"/>
        <s v="ESPACIADOR (A) SRM4300"/>
        <s v="CAJA DE ENGRANAJES SRM4300"/>
        <s v="PERNO DE SUJECION CAJA ENGRANAJE SRM4300"/>
        <s v="PERNO SEGURO CAJA SRM4300"/>
        <s v="ABRAZADERA (A) SRM4300"/>
        <s v="ABRAZADERA (B) SRM4300"/>
        <s v="PERNO DE LA ABRAZADERA SRM4300"/>
        <s v="ESPACIADOR (B) SRM4300"/>
        <s v="MANUBRIO IZQUIERDO SRM4300"/>
        <s v="PROTECTOR DESPOJOS SRM4300"/>
        <s v="ARNES SRM4300"/>
        <s v="VINCHA SUJETA CABLE SRM4300"/>
        <s v="PERNO UNION MOTOR SRM4300"/>
        <s v="PALANCA ACELERADOR SRM4300"/>
        <s v="GATILLO ACELERADOR SRM4300"/>
        <s v="TRABA ACELERADOR SRM4300"/>
        <s v="RESORTE GATILLO SRM4300"/>
        <s v="RESORTE MANGO TRABA 4300"/>
        <s v="CABLE ACELERADOR SRM4300"/>
        <s v="CABLE CONDUCTOR SRM 4300"/>
        <s v="PIÑON KIT SRM4300"/>
        <s v="RESORTE DE ARRANCADRO CS420"/>
        <s v="MANUBRIO DERECHO SRM4300 (P022007151)"/>
        <s v="ABRAZADERA (C) SRM4300 (P022007100)"/>
        <s v="CABLE LARGO COMPLETO B450"/>
        <s v="CARCAZA DE LA CAJA DE ENGRANAJE SRM4300"/>
        <s v="EMPAQUETADURA-DIAF C350 (70244-98050)"/>
        <s v="EMPAQUETADURA Y DIAFRAGMA KIT B530 (60035-98040)"/>
        <s v="BOMBA DE FUMIGACION ESTACIONARIA PHP800LA"/>
        <s v="PODADORA DE EXTENSION 2400STD"/>
        <s v="BARRA 50CM 20&quot; 0.058&quot; 488"/>
        <s v="CAMISETAS SHINDAIWA"/>
        <s v="BOMBA DE FUMIGACION SHP-800-2"/>
        <s v="BOMBA DE FUMIGACION SHP-800"/>
        <s v="BOMBA MANUAL 15LT"/>
        <s v="CABEZAL DE NYLON ECHO  SRAH-205 "/>
        <s v="PODADORA HOME SRM-22GUES"/>
        <s v="DESMALEZADORA SRM 3605"/>
        <s v="DESMALEZADORA SRM 4300F"/>
        <s v="DESMALEZADORA SRM 4300R"/>
        <s v="DESMALEZADORA SRM 4605"/>
        <s v="PODADORA T230"/>
        <s v="UN-10 CABEZAL NYLON"/>
        <s v="CABLE ACELERADOR C270"/>
        <s v="CABLE ACELERADOR COMPLETO B450AUS (72451-14570)"/>
        <s v="CABLE (B) ACELERADOR MANUBRIO B530 B450 C350 (64007-64310)"/>
        <s v="CABLE COMPLETO C35LA B45LA (62113-83010)"/>
        <s v="CABLE ACELERADOR BP35"/>
        <s v="CABLE ACELERADOR ES726 (68501-98010)"/>
        <s v="EMPAQUE CILINDRO SRM4300"/>
        <s v="EMPAQUE CILINDRO C270 (62074-12120)"/>
        <s v="EMPAQUE CILINDRO B530 (62035-12120)"/>
        <s v="EMPAQUE CILINDRO B450-C350 (20010-12121)"/>
        <s v="EMPAQUE CILINDRO 22F-C230-ES726 (20016-12120)"/>
        <s v="EMPAQUE CILINDRO 757 (22169-12120)"/>
        <s v="EMPAQUE CARTER SRM4300"/>
        <s v="EMPAQUE (A) DE ADMICION DM6110"/>
        <s v="EMPAQUE AISLADOR A SRM 4300"/>
        <s v="EMPAQUE ADMISION CARBURADOR CILINDRO ES726 (20019-83410)"/>
        <s v="EMPAQUE AISLADOR B450-C350"/>
        <s v="EMPQUE CARB. B450-B45-C350 (20021-83411)"/>
        <s v="EMPAQUE AISLADOR (A) B530 (62035-12220)"/>
        <s v="EMPAQUE (B) CARBURADOR B530 (62035-81310)"/>
        <s v="EMPAQUE (A) CARBURADOR B530. (62035-82330)"/>
        <s v="EMPAQUE CARBURADOR ES726"/>
        <s v="EMPAQUE AISLADOR C230-ES726"/>
        <s v="EMPAQUE ESCAPE SRM4300"/>
        <s v="EMPAQUE ESCAPE CS 680"/>
        <s v="EMPAQUE SILENCIADOR B45, B450, C350, BP35 (70210-15212)"/>
        <s v="EMPAQUE SILENCIADOR B530 (62035-15210)"/>
        <s v="EMPAQUE SILENCIADOR C230-ES726"/>
        <s v="EMPAQUE ESCAPE 757 (22169-15212)"/>
        <s v="ANILLO DE GOMA B450"/>
        <s v="OJAL TANQUE COMB B450-C350 (20000-85579)"/>
        <s v="TORNILLO TENSOR CS680S CS600"/>
        <s v="PERNO PROTECTOR DESPOJOS B530 (V203000610)"/>
        <s v="PERNO CUCHILLA  BP35 C270 (22000-13512)"/>
        <s v="PERNO CUCHILLA B450 C350 (SH-22015-13261)"/>
        <s v="PERNO CUCHILLA B530 (63019-63310)"/>
        <s v="PERNO TAPA GRASA B530,B450,C350,C270"/>
        <s v="PERNO CUCHILLA C230 (22035-13271)"/>
        <s v="ESPARRAGO BARRA  CS3000,CS3500 (V224000030)"/>
        <s v="ESPARRAGO BARRA 757 (22169-21520)"/>
        <s v="TORNILLO TENSOR 757 (72316-53310)"/>
        <s v="TUERCA CIGUEÑAL ARRANCADOR B450"/>
        <s v="TUERCA 577 (22150-52411)"/>
        <s v="TUERCA PUNTA CIGUE 757 (22169-51170)"/>
        <s v="TUERCA MOTOSIERRA 757 (22154-52410)"/>
        <s v="PERILLA DORADA B530 (62035-32320)"/>
        <s v="PERILLA DE FILTRO B530-HT230 (20870-33120)"/>
        <s v="PERILLA C230-ES726-P230 (20018-31251)"/>
        <s v="ANILLO DE GRASERO C230 (22000-13410)"/>
        <s v="EMPAQUE SEGURO 450-B530-C350 (22015-13420)"/>
        <s v="ARANDELA 757 (22169-51130)"/>
        <s v="AISLADOR DE BOBINA B530-22F (70030-71620)"/>
        <s v="AISLADOR DE BOBINA B450-C350"/>
        <s v="COLLAR DE EMBRAGUE BOMBA CS420"/>
        <s v="COLLAR C230"/>
        <s v="COLLAR BP35 C270"/>
        <s v="COLLAR B45-B450-B530-C350"/>
        <s v="COLLAR MANGA 757  577  CS-600"/>
        <s v="AMORTIGUADOR DERECHO CS680"/>
        <s v="AMORTIGUADOR 577-757 (22169-33740)"/>
        <s v="AMORTIGUADOR CS 680"/>
        <s v="AMORTIGUADOR B450-C350 (20010-86130)"/>
        <s v="PROTECTOR CUERO C350-B450-B45 (22019-17110)"/>
        <s v="AMORTIGUADOR TANQUE PEQUEÑO B530 (62035-85341)"/>
        <s v="AMORTIGUADOR TANQUE GRANDE B530 (62035-85351)"/>
        <s v="CABLE P230 M230"/>
        <s v="CABLE (A) CORTO ACELERADOR B450-C350 (70210-83110)"/>
        <s v="CABLE B LARGO PLOMO B450-B530-C350"/>
        <s v="CABLE ACELERADOR CORTO B530"/>
        <s v="RESORTE DE COMPRESION CS680-CS600"/>
        <s v="RESORTE DE COMPRESION C350 B450 B530"/>
        <s v="RESORTE EMBRAGUE SHP800"/>
        <s v="RESORTE DE GATILLO SRM3605"/>
        <s v="RESORTE DE TRABA SRM3605"/>
        <s v="RESORTE DE TORCION DE ARRANQUE CS420"/>
        <s v="RESORTE DE FRICCION B450-B45"/>
        <s v="RESORTE TRINQUETE B450"/>
        <s v="RESORTE DE GATILLO B450"/>
        <s v="RESORTE DEL TRINQUETE 757-57 (22155-71130)"/>
        <s v="TUBO SUCCION C350-B450"/>
        <s v="MANGA C350-B450-B530 (20037-82130)"/>
        <s v="SUJETADOR CUCHILLA C230-22C (22410-13530)"/>
        <s v="ABRAZADERA DE TUBO DM6110 (V495001170)"/>
        <s v="ABRAZADERA DE TUBO DM6110 (V495001200)"/>
        <s v="RETEN 22F-C230-ES726-C270"/>
        <s v="RETEN 22F-22C-C230 (22150-21250)"/>
        <s v="RETEN B450-B530-C350-EB500 (20010-21211)"/>
        <s v="RETEN 757-577 (22155-21630)"/>
        <s v="RETEN 22C-C230 (22035-13140)"/>
        <s v="RETEN 757-577 (22169-21630)"/>
        <s v="RETEN CAJA DE ENGRANAJE C350-B450-B530-B45 (72447-13121)"/>
        <s v="ANILLO DE RETENCION B45-B530-B45LA (22152-41231)"/>
        <s v="SEGURO ZEGER B450"/>
        <s v="ANILLO DE RETENCION 757 (22169-51140)"/>
        <s v="ANILLO DE RETENCION, SEGURO C350-B450 (20011-31230)"/>
        <s v="SUJETADOR CUCHILLA B450-B530-C350 (22015-13290)"/>
        <s v="ENGRANAJE PIÑON TENSOR CS680S CS600"/>
        <s v="ENGRANAJE ANGULAR TENSOR CS680S CS600"/>
        <s v="PIÑON HUECO C270"/>
        <s v="PIÑON BASTAGO C270"/>
        <s v="PIÑON CONICO CON VASTAGO C350 (22015-13390)"/>
        <s v="PIÑON HUECO B45-B450-B530-C350 (22015-13220)"/>
        <s v="PIÑON VASTAGO B45-B450-B530"/>
        <s v="PINON HUECO C230-22C (22035-13220)"/>
        <s v="PINON BASTAGO C230-22C (22035-13391) (17503314731)"/>
        <s v="ENGRANAJE SINFIN CS420"/>
        <s v="ENGRANAJE SIN FIN 577 (22111055-55)"/>
        <s v="ENGRANAJE SIN FIN 757 (22169-55110)"/>
        <s v="BOMBA DE AGUA WP-1000"/>
        <s v="CABEZAL METALICO NEGRO  (22000-92812) "/>
        <s v="CUCHILLA METALICA DE 3 ELEMENTOS"/>
        <s v="CUCHILLA SUPERIOR 40&quot; HT230 (18500-90002)"/>
        <s v="CUCHILLA 40&quot; ACC CORTACETOS"/>
        <s v="CUCHILLA INFERIOR HT230 40&quot; (18500-90003)"/>
        <s v="CUCHILLA ACC CORTASETOS (X411001150)"/>
        <s v="BOQUILLA SPEED FEED (28820-07340)"/>
        <s v="LLAVE DE BUJIA B530,B450,C350 (X602000140)"/>
        <s v="LLAVE DE BUJIA C230"/>
        <s v="HERRAMIENTA LLAVE (3) (22155-96521)"/>
        <s v="LLAVE T 4mm (22155-96531)"/>
        <s v="HERRAMIENTA LLAVE-T (5) (22155-96540)"/>
        <s v="LLAVE EXAGONAL 3MM B450 HERRAM (09026-03001)"/>
        <s v="LLAVE 4MM B450 HERRAMIENTA (09026-04001)"/>
        <s v="UNIDAD DE ORDEÑO(SIN CANTARA)"/>
        <s v="PEZONERA EUROLATTE IMP"/>
        <s v="MANGUERA DOBLE PULSACION TRANSPARENTE SILICONADA (mts)"/>
        <s v="MANGUERA DE VACIO VERDE SILICONADA (mts)"/>
        <s v="CEPILLO TIPO MANIVELA PARA LAVADO"/>
        <s v="CEPILLO PARA TUBERIA DE LECHE"/>
        <s v="VASO APLICADOR PRE Y POS DIPPING, NCM 8434.9000"/>
        <s v="REGULADOR DE VACIO SERVO ASISTIDO 3500LT"/>
        <s v="LUBRICADOR PARA BOMBAS DE VACIO"/>
        <s v="VACUOMETRO DE GLICERINA, 63MM"/>
        <s v="LAVADORA DE VACIO"/>
        <s v="COLECTOR DE LECHE 16MM NCM. 8434.9000"/>
        <s v="SET DE ORDENO EUROLATTE (vaso tipo F, tubería corta de vacío, pezonera, colector 16 mm)."/>
        <s v="SOPORTE PARA TUBERIA 50MM PLASTICO"/>
        <s v="ABRAZADERA DE 50 X 1 HEMBRA, NCM. 8434.9000"/>
        <s v="TAPON EN GOMA PARA TEST 50MM"/>
        <s v="SOPORTE DE PARED TUBERIA DE 1/2&quot;"/>
        <s v="ACEITE PARA BOMBAS DE VACIO X 1LT"/>
        <s v="ACEITE PARA BOMBA DE VACIO X 5LT"/>
        <s v="TUBERIA PVC 50MM PARA VACIO (tramo de 6 metros)"/>
        <s v="CANTARA PLASTICA DE 45 L"/>
        <s v="BASE PLOMA"/>
        <s v="MARTILLO PARA MOLINO TIN-2"/>
        <s v="MEZCLADORA INCOMAGRI MIN-500P"/>
        <s v="MEZCLADORA INCOMAGRI MIN-1000P"/>
        <s v="ENSILADORA JF 50 MAXXIUM"/>
        <s v="CONTRA CUCHILLA JF2 / JF3   02.045369 "/>
        <s v="JUEGO COMP. MARTILLOS JF 2   02.070822 "/>
        <s v="02.045530 KIT CUCHILLAS COMPLETO JF2/2D/"/>
        <s v="02.046303 CONTRA CUCHILLA JF50S/MAXXIUM"/>
        <s v="02.046555 KIT CUCHILLA COMP. JF40"/>
        <s v="02.070862 JUEGO COMP. MARTILLOS JF10"/>
        <s v="02.046575 KIT CUCHILLA COMP. JF50"/>
        <s v="POLEA A 1RAN 4&quot; SIN HUECO"/>
        <s v="POLEA B 2RAN 4&quot; HUECO 38MM CHAV 10MM"/>
        <s v="ENSILADORA JF 40P"/>
        <s v="MOLINO PICADOR JF 10 D"/>
        <s v="MOLINO PICADOR JF 5 D"/>
        <s v="MOLINO PICADOR JF 2 D"/>
        <s v="KIT DE ZARANDAS JF10D"/>
        <s v="KIT CUCHILLAS 160 JF40P COMPLETO"/>
        <s v="KIT CUCHILLAS COMPLETO JF30P"/>
        <s v="BARRA GUIA 30 STL 303ATLE099 OREGON"/>
        <s v="ANILLO PINON PASO 0.404&quot; 7 DIENTES 22270"/>
        <s v="MOTOR GASO 10 HP INTEK EJE RECTO"/>
        <s v="MOTOR GASO 6 HP INTEK EJE RECTO  "/>
        <s v="ORGANIZADOR DE PASTOS VALLE"/>
        <s v="MOTOR 3HP MONOFASICO 3600 RPM"/>
        <s v="POLEA 4&quot; 2 RANURAS HUECO 1&quot;"/>
        <s v="BUJIA 6A"/>
        <s v="POLEA 4&quot; 1 RANURA HUECO 1&quot;"/>
        <s v="CUCHILLA CORBATIN RAISMAN"/>
        <s v="POLEA 4&quot; 1 RANURA HUECO 3/4"/>
        <s v="BANDA A-48"/>
        <s v="BANDA A90"/>
        <s v="BANDA B-83"/>
        <s v="BANDA-B95"/>
        <s v="MOTOR 18 HP GASOLINA VANGUARD EJE RECTO"/>
        <s v="MOTOR 7.5HP WEG 3600 RPM 220/440"/>
        <s v="BANDAS B-75"/>
        <s v="HERRAM EXTRACTOR PISTON B450"/>
        <s v="HERRAM EXTRACTOR COMPLETO"/>
        <s v="JUEGO DE AGUJAS B530"/>
        <s v="EMPAQUETADURA DIAF B45-B45LA"/>
        <s v="CABEZAL SPEED FEED 375 PARA C230, T230"/>
        <s v="DISCO ACERO 10; 3 DIENTES"/>
        <s v="AISLADOR CONDENS C230"/>
        <s v="DISCO TORNADO 9 12 DIENTES LP12-9&quot;"/>
        <s v="CUCHILLA CORBATIN"/>
        <s v="DISCO VIDIA 10&quot; 40 DIENTES"/>
        <s v="BOMBA ZM 51 MAXXI"/>
        <s v="JUEGOS O RINGS ZM-44"/>
        <s v="JUEGOS O RINGS ZM 51"/>
        <s v="VALVULAS (XEQUE) ZM51 ZM38 ZM63"/>
        <s v="RUEDA PARA ZM 44 1.00X0.15"/>
        <s v="CABALLETE PARA ZM 51"/>
        <s v="JUEGO CILINDROS ZM 95 MAXXI"/>
        <s v="JUEGO DE CUEROS ZM 95 MAXXI"/>
        <s v="JUEGOS O RINGS ZM 76"/>
        <s v="JUEGO DE CUEROS ZM 44 MAXXI"/>
        <s v="JUEGO CILINDROS ZM 51"/>
        <s v="JUEGO DE CUEROS ZM 76"/>
        <s v="HIDROLAVADORA 25L/450 CON SOPORTE MULTIPLE"/>
        <s v="HIDROLAVADORA 15/600 CON MOTOR DE 1.5HP 110/220V"/>
        <s v="TIJERA PODA PROFESIONAL 7.5&quot;"/>
        <s v="TIJERA PODA 8"/>
        <s v="TIJERA PICO LORO DOS MANOS PARA RAMAS 26&quot;"/>
        <s v="TIJERA PODA PROFESIONAL 8&quot;"/>
        <s v="PODADOR DE RAMAS ALTAS"/>
        <s v="TIJERA TELESCOPICA PODA"/>
        <s v="CUCHILLO CURVO TIPO MALAYO 7&quot;"/>
        <s v="CUCHILLO CUEVO DE ACERO AL CARBONO TIPO MALAYO 7&quot;"/>
        <s v="ESTUCHE DE CUERO PARA TIJERAS DE MANO"/>
        <s v="TIJERA PODA RACHE 2 MANOS MANGO TELESCOPICO"/>
        <s v="AFILADOR DE DIAMANTE PARA TIJERA"/>
        <s v="ACEITE SAE 30  1/4"/>
        <s v="CORTADORA CRAFTSMAN  5.5HP CON LLANTAS POS. ALTAS MOD. 917.385143"/>
        <s v="CORTADORA CRAFTSMAN DE 6.75HP. LANTAS POSTERIORES ALTAS Y RECOGEDORA DE CÉSPED. M 247.371240"/>
        <s v="CORTADORA CRAFSMAN DE 6.75 HP DE TRACCIÓN DELANTERA,CON LLANTAS POSTERIORES ALTAS Y PROVISTA DE RECOGEDORA M 917.370430"/>
        <s v="CYTOKIN X 100CC"/>
        <s v="ROLLO HILO NYLON 0.095 (2610 MTS) 09530"/>
        <s v="GRASA SHINDAIWA TUBO 283.5 G  "/>
        <s v="PISTOLA FUMIGACION ES726 SHP800 (1123300)"/>
        <s v="BARRA DE 3/8 40RC50 40CM/16&quot;"/>
        <s v="CA CADENA 17&quot;"/>
        <s v="ACEITE ECHO 100ML"/>
        <s v="CADENA 30&quot; 73DP-98X 3/8&quot;, 058&quot; 757"/>
        <s v="COMBINACION VISOR/OREJERAS (82003)"/>
        <s v="ACEITE SHINDAIWA BARRA Y CADENA PREMIUM x LITRO"/>
        <s v="ACEITE SHINDAIWA PREMIUM 2TIEMPOS 1LT"/>
        <s v="FILTRO AIRE C230-P230 (20018-81750)"/>
        <s v="DESMALEZADORA B450 AUS"/>
        <s v="DESMALEZADORA C-270"/>
        <s v="MOTOSIERRA CS-680-70 CON BARRA Y CADENA"/>
        <s v="PALANCA BALANCIN B45LA B45"/>
        <s v="PODADORA DE ALTURA P230S"/>
        <s v="BOMBA MANUAL 17LT"/>
        <s v="CA CUCHILLA METALICA DE 3 ELEME"/>
        <s v="MANGUERA CORTA DE VACIO ROLLO DE 25 m."/>
        <s v="JUNTA DE LA TAPA DE CANTARA"/>
        <s v="PIPA DEL PULSADOR L02/LT80 (PULSADOR EN LA TAPA)"/>
        <s v="ADAPTADOR DEL PULSADOR L02/LT80"/>
        <s v="FILTRO SUPERIOR DEL SERVO REGULADOR"/>
        <s v="MANGUERA CRISTAL DEL LUBRICADOR"/>
        <s v="VISOR DEL LUBRICADOR"/>
        <s v="BENGALA CAPILAR DE COBRE DEL LUBRICADOR"/>
        <s v="RETENEDOR PARA BOMBA 330/450"/>
        <s v="RODAMIENTO PARA BOMBA 700/450"/>
        <s v="BANDA PARA LA BOMBA 330/450"/>
        <s v="BANDA PARA LA BOMBA 700/900"/>
        <s v="GRIFO DE VACIO ADAPTADO A COLLAR TOMA DE 50 mm."/>
        <s v="GRIFO DE VACIO DE 1 A 2&quot; PLASTICO"/>
        <s v="JUEGO DE PALETAS 700"/>
        <s v="PULSADOR ALTERNADO L02"/>
        <s v="SET DE REPARO DEL PULSADOR L02"/>
        <s v="VALVULA TIP TOP DEL COLECTOR"/>
        <s v="EMPAQUE DEL COLECTOR"/>
        <s v="TAPA COMPLETA DEL COLECTOR"/>
        <s v="VALVULA DE CIERRE DEL COLECTOR"/>
        <s v="TAPA DE CANTARILLA EN ACERO INOXIDABLE, NCM 8434.9000"/>
        <s v="VALVULA DE DRENAJE"/>
        <s v="COPA DEL LUBRICADOR"/>
        <s v="VALVULA DE DRENAJE DEL RESERVATORIO DE VACIO330/450"/>
        <s v="ABRAZADERA DE 50 X 1/2&quot; HEMBRA"/>
        <s v="TAPON EN PVC DE 50MM"/>
        <s v="LLAVE PARA TES PORT"/>
        <s v="CODO EN PVC DE 50MM"/>
        <s v="DISYUNCTOR 25A, BIPOLAR"/>
        <s v="BOMBA DE FUMIGAR 20LTS LANZA METAL "/>
        <s v="BOMBA FUMIGAR 20LT AZUL LANZA METAL "/>
        <s v="BOMBA DE AGUA   4.0HP  2X2  WB20X TDR."/>
        <s v="REACTOR"/>
        <s v="PARALANCHA BLUE X 500 GRS"/>
        <s v="ENSILADORA JF 40 MAXXIUM"/>
        <s v="ENSILADORA JF-30P"/>
        <s v="ROLLO 100M  MANGUERA FUM 200BAR 5/16&quot;"/>
        <s v="MOTOR  SUBARU DE 13.5HP "/>
        <s v="ABAMECTIN X 100 ML (MATERIA PRIMA)"/>
        <s v="DIENTE CADENA 3/8 OREGON"/>
        <s v="BUCANER FORTE X 100CC "/>
        <s v="BUCANER FORTE X 250CC "/>
        <s v="BUCANER FORTE X 500CC "/>
        <s v="BUCANER X 100CC "/>
        <s v="BUCANER X 250CC "/>
        <s v="BUCANER X 500CC "/>
        <s v="FEGADAZIM X 100CC "/>
        <s v="RIDONATE X 100CC"/>
        <s v="RIDONATE X 200CC"/>
        <s v="RIDONATE X LIT"/>
        <s v="ANIQUILADOR X 500CC"/>
        <s v="GREENGIBB X 10G "/>
        <s v="PROFESIONAL CRECIMIENTO X KIL "/>
        <s v="OJAL UN-10-UN-32"/>
        <s v="HILO NYLON 0.095  09510&quot;"/>
        <s v="HILO NYLON 0.105&quot; 10510"/>
        <s v="HILO NYLON 0.130  13010&quot;"/>
        <s v="MASCARILLA LENTES OREJERAS"/>
        <s v="SERRUCHO ABATIBLE 270mm"/>
        <s v="SERRUCHO RANURADO CURVO 17&quot; NEGRO"/>
        <s v="SERRUCHO RANURADO CURVO 17&quot; ROJO"/>
        <s v="TUBO TELESCOPICO 1,88 - 4,60 mts"/>
        <s v="TUBO TELESCOPICO 2,29 - 5,84 mts"/>
        <s v="ADAPTADOR DE OVALO A REDONDO"/>
        <s v="TUBO EXTENSION FIBRA DE VIDRIO"/>
        <m u="1"/>
        <s v="VALVULA DE PIE" u="1"/>
        <s v="RANGER 480 500 ML" u="1"/>
        <s v="SUJETADOR CUCHILLA C230-22C" u="1"/>
        <s v="ETIQUETA AGROTAFOL SUPER X KILO" u="1"/>
        <s v="02.075377 KIT CUCHILLA DEL RECOGEDOR JF9" u="1"/>
        <s v="PERNO HIE.C/E 5/16X2 (36)" u="1"/>
        <s v=" EMPAQUE TIPO ES726" u="1"/>
        <s v="INTERRUPTOR ES726" u="1"/>
        <s v="72330-82320 PRE FILTRO 577P-757" u="1"/>
        <s v="COMBO COGOLLERO" u="1"/>
        <s v="BOBINA DE ENCENDIDO CS510" u="1"/>
        <s v="ESPARRAGO BARRA  CS3000,CS3500" u="1"/>
        <s v="SWICH 4605" u="1"/>
        <s v="569013 BOQUILLAS KIT" u="1"/>
        <s v="PUNTA UÑA SUBS. 16&quot;X3&quot;X1 (1656056)" u="1"/>
        <s v="CUCHILLA 3 PUNTAS, 10&quot; 80771" u="1"/>
        <s v="MACETERO JAZMIN MEDIANO PICA." u="1"/>
        <s v="INSULADOR AISLADOR EDR210" u="1"/>
        <s v="SKEKURA WP X 100 G" u="1"/>
        <s v="PERILLA ARRANCADOR SRM3605 (A511000160)" u="1"/>
        <s v="TUERCA BARRA CS3500" u="1"/>
        <s v="LLAVE MIXTA 13MM 86-858" u="1"/>
        <s v="FILT AICEITE GP 24419340" u="1"/>
        <s v="LAVADORA HIDROMAXXI 22L" u="1"/>
        <s v="20010-75190 PERILLA ARRANCADOR B450-C350" u="1"/>
        <s v="MANGO DERECHO SRM3605-SRM460" u="1"/>
        <s v="VITASAL LECHE X 20 KILOS" u="1"/>
        <s v="CILINDRO DM6110 (A130000111 )" u="1"/>
        <s v="CARTER M C350" u="1"/>
        <s v="BOTA.HID.SAF.PUNTA ACERO  #40    (AMARILLO)" u="1"/>
        <s v="BANDA A-45" u="1"/>
        <s v="CONTROL DEL ACELERADOR" u="1"/>
        <s v="PIÑON LOCO CS680S CS8002 577 757" u="1"/>
        <s v="BANDA B-45" u="1"/>
        <s v="SARGENT X 250 ML" u="1"/>
        <s v="70200-71610 BOBINA B450-C350-C35LA-B45LA" u="1"/>
        <s v="FILTRO LINEA" u="1"/>
        <s v="22155-96521 HERRAMIENTA LLAVE (3)" u="1"/>
        <s v="P022006870 CAJA" u="1"/>
        <s v="ETIQUETA SKEKURA X 250 GRS" u="1"/>
        <s v="90SG-039X CADENA GUIA 10&quot; P230" u="1"/>
        <s v="TICKER X KILO" u="1"/>
        <s v="20020-75180 CUERDA B450-C350-B530-BP35" u="1"/>
        <s v="4050771 EMPAQUE DIFUSOR ES726" u="1"/>
        <s v="BOLA DE ACERO BOMBA SHP800" u="1"/>
        <s v="2011016 ANILLO DE FIJACIÓN REG. 415" u="1"/>
        <s v="AISLADOR CONDENS B530" u="1"/>
        <s v="EXHIBIDOR DESMALEZADORA" u="1"/>
        <s v="RETEN 40X64X8" u="1"/>
        <s v="PALANCA ACELERADOR COMP B450,B530 (64007-64253)" u="1"/>
        <s v="DISCO C6 88057 " u="1"/>
        <s v="ETIQUETA KEMADOR X LITRO" u="1"/>
        <s v="CA CABLE B530 (V043000540)" u="1"/>
        <s v="LINTERNA" u="1"/>
        <s v="62035-81360 RESORTE MEMBRANA B530" u="1"/>
        <s v="VENTILADOR CS8002" u="1"/>
        <s v="PLAYO" u="1"/>
        <s v="EMPAQUES DEL TUBO DE ESCAPE" u="1"/>
        <s v="BELT V 1762636" u="1"/>
        <s v="CILINDRO ALIMENTADOR DENTADO" u="1"/>
        <s v="ETIQUETA AGROTAFOL AMINO X 500 ML" u="1"/>
        <s v="ANILLO RETENEDOR" u="1"/>
        <s v=" 72518-91180 LLAVE DE BUJIA B45-B450-B530-C350" u="1"/>
        <s v="EMPAQUETADURA-DIAF C350" u="1"/>
        <s v="TAMBOR ARANQUE B530" u="1"/>
        <s v="BOMBA FUMIGAR 16LTS LANZA METAL " u="1"/>
        <s v="BASE B45-B45LA-B450-C350" u="1"/>
        <s v="JUEGO ANILLO PISTON C350-BP35" u="1"/>
        <s v="02.045520 KIT CUCHILLAS COMPLETO JF10" u="1"/>
        <s v="DIAFRAGMA SRM4300 (12534107360)" u="1"/>
        <s v="LETAL X 250 ML" u="1"/>
        <s v="ETIQUETA SINOPRID X 500 GMS / DELANTERA" u="1"/>
        <s v="AGUJA JET B530" u="1"/>
        <s v="BUCANER X 250 ML" u="1"/>
        <s v="CARCASA CAJA DE ENGRANAJE B530 B450 C350" u="1"/>
        <s v="RUM DIGESTAR X 150 gr" u="1"/>
        <s v="POLA 4&quot; 1RA 16MM ELEC 3HPEC-MINI,30P" u="1"/>
        <s v="RILEXINE-200 JERINGA" u="1"/>
        <s v="SO-20.48.358 ANILLO DEL PISTON MOD. 639/142" u="1"/>
        <s v="MOTOSIERRA 488 Con espada de 50&quot;" u="1"/>
        <s v="FERTILIZANTE UREA SACO (50KG)" u="1"/>
        <s v="BOMBA DE RIEGO 2&quot; 10HP" u="1"/>
        <s v="KITMOTOR RECONSTRUCCION DM6110" u="1"/>
        <s v="PISTON KIT DM6110" u="1"/>
        <s v="ARNES C230" u="1"/>
        <s v="CARBURADOR COMPLETO ES726" u="1"/>
        <s v="RESORTE DE ARRANCADOR ES726" u="1"/>
        <s v="20000-96104 HERRAM EXTACT VOLANTE" u="1"/>
        <s v="05.003018 BANDA 5/ B 152&quot; " u="1"/>
        <s v="VACUOMETRO" u="1"/>
        <s v="PROTECTOR DESPOJO COMP B450-C350" u="1"/>
        <s v="AGROTAFOL 30-10-10-20 DESARROLLO X KG" u="1"/>
        <s v="POLEA EJE ROTOR 930C" u="1"/>
        <s v="22015-13410 PERNO TAPA GRASA B45-B450-B5" u="1"/>
        <s v="MOTOR 18HP EJE RECTO " u="1"/>
        <s v="PRENSA HIDRAULICA 20T" u="1"/>
        <s v="HEXYTHIAZOX 5 % EC" u="1"/>
        <s v="TUERCA PARA DISCO DE ARADO" u="1"/>
        <s v="20010-12121 EMPAQUE CILINDRO B450-C350" u="1"/>
        <s v="BUCANER FORTE X 250 ML" u="1"/>
        <s v="PROTECTOR PERNO C350,B450,B530" u="1"/>
        <s v="EMPAQUE INFERIOR DE TANQUE DM6110 (27001806210)" u="1"/>
        <s v="62035-75020 POLEA ARRANCADOR  B530" u="1"/>
        <s v="TAMBOR EMBRAGUE COMPLETO 757" u="1"/>
        <s v="ABRAZADERA (A) TUBO B450-C350" u="1"/>
        <s v="DISCO D3 88051" u="1"/>
        <s v="2011026 SELLADO DEL RECOLECTOR DE LECHE" u="1"/>
        <s v="DISCO MAXI BLADE 9" u="1"/>
        <s v="SUPER ( CERDA ) GESTACION PELLET 40 KG." u="1"/>
        <s v="VALVULA DE V.R.P. COMPLETA" u="1"/>
        <s v="CA CAJA DE ENGRANAJE SEMICOMPLETO" u="1"/>
        <s v="MOTOSIERRA CS-680S" u="1"/>
        <s v="RETEN DE CUBIERTA DE EMBRAGUE SHP800" u="1"/>
        <s v="AGUJA ES726" u="1"/>
        <s v="PINZA SACA BOCADOR" u="1"/>
        <s v="BOQUILLA PARA LANZA TELESCÓPICA" u="1"/>
        <s v="11022-06280 PERNO 6X25CC UNION B530" u="1"/>
        <s v="PERNO H S " u="1"/>
        <s v="EMPAQUE AISLADOR B530" u="1"/>
        <s v="CA JUEGO DE PIÑON B45-B450-B530" u="1"/>
        <s v="RESORTE ACELERADOR B530" u="1"/>
        <s v="22169-57360 FILTRO ACEITE 488-577-757" u="1"/>
        <s v="MOTOR 10HP WEG 1800RPM 220/440V" u="1"/>
        <s v="ESPARRAGO DE BARRA" u="1"/>
        <s v="POLEA DE 8&quot;X2&quot;X38MM" u="1"/>
        <s v="TORNILLO DEL CLUTH" u="1"/>
        <s v="ETIQUETA AGROTAFOL COMBI DELANTERA" u="1"/>
        <s v="IMPULMAX X LT" u="1"/>
        <s v="ETIQUETA BOTRYAZOLE X 250 ML" u="1"/>
        <s v="ZARANDA DIAMETRO 0.8MM TIN-2" u="1"/>
        <s v="BASE FILTRO AIRE SRM4605" u="1"/>
        <s v="POLEA 4&quot; 1 RANURA HUECO 16MM" u="1"/>
        <s v="20021-83411 EMPAQUE CARB. B450-B45-C350" u="1"/>
        <s v="QUBIK X LT" u="1"/>
        <s v="TAZA PARA MEDIR ACEITE" u="1"/>
        <s v="BOLAS PARA LOS FRENOS" u="1"/>
        <s v="CREMOSA PELLET 40 KM." u="1"/>
        <s v="BOMBA MANUAL 7,5 LTS" u="1"/>
        <s v="CILINDRO 22F-22C-F220" u="1"/>
        <s v="ENGRANAJE DE TORNILLO" u="1"/>
        <s v="RODAMIENTO 20 D6 6002-2RS" u="1"/>
        <s v="ETIQUETA LORFOS X LITRO" u="1"/>
        <s v="CARTER COMPLETO CS3500" u="1"/>
        <s v="MEZCLADORA MRC 500" u="1"/>
        <s v="EMPAQUE CARTER CS680" u="1"/>
        <s v="70615086060 RETENEDOR DE RESORTE" u="1"/>
        <s v="IMPULMAX  X 100 ML" u="1"/>
        <s v="RUEDA PARA ZM 51 1.80X0.18 " u="1"/>
        <s v="ETIQUETA AGROTAFOL BORO X 250 ML" u="1"/>
        <s v="OJAL DEL TANQUE DE COMBUSTIBL B450" u="1"/>
        <s v="TUBO EXTERIOR C270" u="1"/>
        <s v="PERNO DE CARBURADOR CS510" u="1"/>
        <s v="CA KIT DE REPARACION BOMBA ES726" u="1"/>
        <s v="DESTORNILLADOR PLANO CS680" u="1"/>
        <s v="CA BOMBA DE ACEITE COMP. 757" u="1"/>
        <s v="CUBIERTA DEL VENTILADOR 22GT" u="1"/>
        <s v="PERNO ALEN 5 X 25" u="1"/>
        <s v="8000142 SELLO ES726" u="1"/>
        <s v="CA CARBURADOR COMPLETO C230 (62064-81011)" u="1"/>
        <s v="A130000870 CILINDRO SRM4300" u="1"/>
        <s v="RODAMIENTO 20 D6 6202-2RS" u="1"/>
        <s v="ANILLO RETENCION C350-B450-B" u="1"/>
        <s v="PERNO PRISIONERO CARTER CS600" u="1"/>
        <s v="TAPON EN PVC DE 50MM, NCM 8434.9000" u="1"/>
        <s v="MANDO DEL FRENO MOTOSIERRA 757" u="1"/>
        <s v="CA ABRAZADERA (M) B450-C350" u="1"/>
        <s v="AGROTAFIX PLUS X 100 ML" u="1"/>
        <s v="EMPAQUES DEL CABESOTE" u="1"/>
        <s v="TAPA LATERAL DE BARRA ACC PODAROR ALTURA" u="1"/>
        <s v="70210-12111 CILINDRO B450" u="1"/>
        <s v="70200-33112 BASE B45-B45LA-B450-C350" u="1"/>
        <s v="RODILLO DEL DESCASCARADOR" u="1"/>
        <s v="TROMBA X 500 G" u="1"/>
        <s v="CABLE B530" u="1"/>
        <s v="COMBO FRESA" u="1"/>
        <s v="DIFENOCONAZOLE COEX x LT" u="1"/>
        <s v="20024-75220 TRINQUETE B45LA-B530-C350-SRM270" u="1"/>
        <s v="22150-21250 RETEN 22F-22C" u="1"/>
        <s v="AGROTAFOL 15-40-15-10 INICIAL X KG" u="1"/>
        <s v="TAMBOR EMBRAGUE COMPLETO 577" u="1"/>
        <s v="FOSFONATO POTASICO 70 % X 20LITROS" u="1"/>
        <s v="CIGUEÑAL DM6110" u="1"/>
        <s v="RESORTE ARRANQUE SRM4300" u="1"/>
        <s v="CAJA DE ENGRANAJES SEMCOMP B45LA" u="1"/>
        <s v="63901-63022 CAJA DE ENGRANAJE C230" u="1"/>
        <s v="2011297 TRABA DEL AJUSTADOR" u="1"/>
        <s v="COMBO CACAO MONILIA" u="1"/>
        <s v="TAMBOR EMBRAGUE B530" u="1"/>
        <s v="PROPILAQ X  250 ML" u="1"/>
        <s v="MOSTRADO SHINDAIWA DOBLE LADO" u="1"/>
        <s v="MANGUERA ATOXICA CRISTAL 15.5X26" u="1"/>
        <s v="TIRO AMARILLO PARA CARRETON" u="1"/>
        <s v="ARANDELA PARA DISCO DE ARADO" u="1"/>
        <s v="BOMBA PRES TEM 2&quot; 6HP DIESEL " u="1"/>
        <s v="DEPREDADOR X 100 G" u="1"/>
        <s v="TAMBOR DE ARRANCADOR ES-726" u="1"/>
        <s v="COMBO PAPAYA" u="1"/>
        <s v="MOTOSIERRA CS-680S-50 CON BARRA Y CADENA" u="1"/>
        <s v="PROTECT DESPOJO COMP B450-C350" u="1"/>
        <s v="64000-66311 PROTECT DESPOJO COMP B450  B530" u="1"/>
        <s v="SEPARADOR DE CUEROS ZM-44" u="1"/>
        <s v="TAMBOR EMBRAGUE 22GT" u="1"/>
        <s v="P022006980 EJE CENTRAL SRM4300" u="1"/>
        <s v="PISTON KIT C230-ES726-HT230" u="1"/>
        <s v="NEBULIZADORA, PULVERIZADORA 13LITROS" u="1"/>
        <s v="FLETE DE MERCADERIAS" u="1"/>
        <s v="ESTIRADOR CADENA CILINDRO MOVIL 930 C" u="1"/>
        <s v="BOQUILLA ES726" u="1"/>
        <s v="2011384 TETERA LARGA" u="1"/>
        <s v="20021-81180 VALVULA PISTON B45-B45LA" u="1"/>
        <s v="SENSOR INDUITIVO" u="1"/>
        <s v="2010154 BALON LISA DE GOMA NO. 03/70MM" u="1"/>
        <s v="PARALANCHA BLUE X 250 G" u="1"/>
        <s v="FOSFONATO POTASICO 70 %" u="1"/>
        <s v="9401077 CAJA REGULADOR VACIO CON MUELLE" u="1"/>
        <s v="SOPORTE A C270" u="1"/>
        <s v="EMPQUE CARB. B450-B45-C350" u="1"/>
        <s v="13001744330 INSULADOR AISLADOR EDR210" u="1"/>
        <s v="BOTA GOLIATECUA S/F 40    (NEGRA)" u="1"/>
        <s v="TOLVA DE SALIDA PARA EC 4000/4800  " u="1"/>
        <s v="EJE CENTRAL C35LA" u="1"/>
        <s v="02.116555 BRAZO ACCIONADOR COMPLETO" u="1"/>
        <s v="ENVASE PREIMPRESO PARALANCHA 250/500 BLUE" u="1"/>
        <s v="72451-14502 PALANCA DE ACELERADOR B450AUS" u="1"/>
        <s v="LIMA TRIANGULAR # 10-4083 BELLOTA" u="1"/>
        <s v="CANASTA RECOLECTORA DE FRUTOS CON GUILLOTINA" u="1"/>
        <s v="P021014320 CUCHILLA 3 PUNTAS" u="1"/>
        <s v="22169-15212 EMPAQUE ESCAPE 757" u="1"/>
        <s v="COMBO INSECTICIDA" u="1"/>
        <s v="20140-82210 FILTRO AIRE  22F-22C" u="1"/>
        <s v="22169-51130 ARANDELA 757" u="1"/>
        <s v="ENVASE AGROGALON" u="1"/>
        <s v="BISPIRIBAC SODIUM 40% SC X 100 ML" u="1"/>
        <s v="CILINDRO ALIMENTADOR LISO EC-4000" u="1"/>
        <s v="80550 EMPAQUETADURA DIAFR 488-577-757" u="1"/>
        <s v="DIAFRAGMA CARBURADOR BC 420 190408" u="1"/>
        <s v="CILINDRO 6702 (A130000990)" u="1"/>
        <s v="CIGUENAL C270" u="1"/>
        <s v="A130000601 CILINDRO SRM3605" u="1"/>
        <s v="RETEN 22F-22C (22150-21250)" u="1"/>
        <s v="PALANCA BALANCIN CS1201" u="1"/>
        <s v="DESARMADOR PLANO Y ESTRELLA SHINDAIWA" u="1"/>
        <s v="72030-13151 SOPORTE 22F" u="1"/>
        <s v="RETEN 45X65X8" u="1"/>
        <s v="ENVASE FARMACEUTICO 120 ML" u="1"/>
        <s v="CAJA DE ENGRANAJE" u="1"/>
        <s v="22050-12100 TUBO COMP. BP35" u="1"/>
        <s v="72330-98010 PISTON COMPLETO 757" u="1"/>
        <s v="22169-32110 MANGO 757" u="1"/>
        <s v="22169-21203 CARTER M COMPLETO 757" u="1"/>
        <s v="CA TUERCA 757 (V265000250)" u="1"/>
        <s v="BANDA A-30" u="1"/>
        <s v="COMBO CACAO FLORACION" u="1"/>
        <s v="DIAFRAGMA SRM3605 SRM4605 " u="1"/>
        <s v="CA EJE FLEXIBLE BP35 (C506000200)" u="1"/>
        <s v="ETIQUETA PROPILAQ X  250ML" u="1"/>
        <s v="POLEA B2.5&quot;/1RAN,5/8&quot;,ELECTRI/TRAPICHE" u="1"/>
        <s v="SKEKURA  X 250 ML" u="1"/>
        <s v="SEGURO DE ARRANQUE" u="1"/>
        <s v="61031005730 EJE PINON SRM4300" u="1"/>
        <s v="A226000070 ELEMENT AIR FILTER CS680" u="1"/>
        <s v="JAQUER 400 X 100 ML" u="1"/>
        <s v="AGROTHANE  X KG" u="1"/>
        <s v="SOPORTE" u="1"/>
        <s v="PLACA160; FILTRO POSTERIOR B530" u="1"/>
        <s v="BIOBAN X 250 ML" u="1"/>
        <s v="22169-41210 JUEGO ANILLO DEL PISTON 757" u="1"/>
        <s v="CARTER S C350" u="1"/>
        <s v="TUBO EXTERNO B450" u="1"/>
        <s v="99909-306 CARTER S C350" u="1"/>
        <s v="22160-55200 BOMBA DE ACEITE 488-577" u="1"/>
        <s v="82002 COMBNACION CASCO/VISOR Y OREJERAS" u="1"/>
        <s v="02.045389 CONTRA CUCHILLA JF10" u="1"/>
        <s v="22152-41231 ANILLO DE RETENCION B45-B530" u="1"/>
        <s v="20010-12121 EMPAQUE DE CILINDRO B450-C35" u="1"/>
        <s v="ABRAZADERA MANUBRIO SRM3605" u="1"/>
        <s v="DISCO FRENO SAME 603 CRONO" u="1"/>
        <s v="ENVASE COEX 40g X 250ML    " u="1"/>
        <s v="20010-12211 TUBERIA USE" u="1"/>
        <s v="SOPORTR" u="1"/>
        <s v="MOTOR 4HP WEG 1800RPM 220V  " u="1"/>
        <s v="72LG0-105X CADENA 32&quot; 3/08 0.5" u="1"/>
        <s v="20016-71200 VOLANTE  C230-P230" u="1"/>
        <s v="72933-75120 TAMBOR ARRANQUE  C230" u="1"/>
        <s v="22000-92157 DISCO 8&quot; 30 DIENTES" u="1"/>
        <s v="PLACA FRICCION B450-BP35 (20000-75150)" u="1"/>
        <s v="LANZAS DE FUMIGACION" u="1"/>
        <s v="LETAL X 100 ML" u="1"/>
        <s v="RODAMIENTO 20 D6 6000-2RS" u="1"/>
        <s v="QUITALATEX  X GL" u="1"/>
        <s v="ENVASE CLON X LITRO" u="1"/>
        <s v="COLLAR MANGA CS-600" u="1"/>
        <s v="TAMBOR CUERDA CS600" u="1"/>
        <s v="AISLADOR SC3500" u="1"/>
        <s v="88421 PISTOLA HZ-20GT" u="1"/>
        <s v="CAJA DE ENGRANAJE PODADORA DE ALTURA" u="1"/>
        <s v="AGROTAFOL 25-10-10 CRECIMIENTO X 500 G" u="1"/>
        <s v="ABRAZADERA DE TUBO DM6110" u="1"/>
        <s v="BOQUILLA DE LATON SP40BPS" u="1"/>
        <s v="15-40-15-1+MICROELEMENTOS 500 G" u="1"/>
        <s v="MANGUERA DE LECHE TRANSPARENTE" u="1"/>
        <s v="80187 JUEGO, GUIAS DE RETENEDOR" u="1"/>
        <s v="TALADRO PEDESTAL MEDIANO" u="1"/>
        <s v="RESORTE MEMBRANA B450-C350-C270-SHP800 (20040-81680)" u="1"/>
        <s v="ADAPTADOR PARA CABEZAL SRAH-205" u="1"/>
        <s v="LUBRICADOR PARA BOMBAS DE VACIO,NCM.8434.9000" u="1"/>
        <s v="PARAGUAS X 500 G" u="1"/>
        <s v="ORDEÑADORA BVIN-765 02.400163" u="1"/>
        <s v="BALIENRA DEL CIGUENAL" u="1"/>
        <s v="DESGRANADORA DE MAIZ NUX SDMN 5/10" u="1"/>
        <s v="CARTER SET SRM4300" u="1"/>
        <s v="CA EMPAQUE, SILENCIADOR B45-B450-C350-BP35 (70210-15212 )                 " u="1"/>
        <s v="22155-96540 HERRAMIENTA LLAVE-T (5)" u="1"/>
        <s v="22000-13241 PLACA A B35" u="1"/>
        <s v="80247 TUBO COMP CON ETIQUETA  C230" u="1"/>
        <s v="COMBO ARROZ INICIAL" u="1"/>
        <s v="ABRAZADERA DM9" u="1"/>
        <s v="9401058 TAPA OPERATRIZ" u="1"/>
        <s v="ESTABILIZADOR CUCHILLA BC 320H" u="1"/>
        <s v="MICROELEEMENTOS SOLUBLES + AMINOACIDOS" u="1"/>
        <s v="GATA HIDRAULICA DE RUEDAS 2.5" u="1"/>
        <s v="CA RESORTE ARRANQUE B530" u="1"/>
        <s v="72LG0-84X CADENA 3/8 0.5" u="1"/>
        <s v="SEPARADOR DE CAMISA ZM-44 MAXXI" u="1"/>
        <s v="BANDA B87" u="1"/>
        <s v="ANILLO PISTON SHP-800" u="1"/>
        <s v="AGUJA KIT REPARACION CS510" u="1"/>
        <s v="ANIQUILADOR X 100 ML" u="1"/>
        <s v="REMACHADORA DE CADENA # 24549 A OREGON" u="1"/>
        <s v="BOBINA B450 C350 C35LA B45LA" u="1"/>
        <s v="BANDA B-44" u="1"/>
        <s v="Bomba presion tem 3 hierro 10hp die " u="1"/>
        <s v="TANQUE DE COMBUSTIBLE C350 B450 (70200-85001)" u="1"/>
        <s v="CORONA DE BRONCE EC MINI  71.200.10 " u="1"/>
        <s v="DIAFRAGMA DE CARBURADOR CS680 488" u="1"/>
        <s v="4573110 ASIENTO DE VALVULA ES726" u="1"/>
        <s v="BELT DRIVE 1908749" u="1"/>
        <s v="20087-31210 TAMBOR EMBRAGUE C230-P230" u="1"/>
        <s v="PLACA BASE MANGA CS1201" u="1"/>
        <s v="RABETA 051/076 BRISTOL" u="1"/>
        <s v="FRENO COMPLETO CS420" u="1"/>
        <s v="CILINDRO 757" u="1"/>
        <s v="SEMBRADORA DE HORTALIZAS SPH-110" u="1"/>
        <s v="80360 EXHIBIDOR" u="1"/>
        <s v="METSULFURON METYL 600 GL/LT" u="1"/>
        <s v="38500-82120 FILTRO AIRE ES726" u="1"/>
        <s v="62074-12120 EMPAQUE CILINDRO C270" u="1"/>
        <s v="MOTOSIERRA 488" u="1"/>
        <s v="ANIQUILADOR X 500 ML" u="1"/>
        <s v="22100-81230 PALANCA BALANCIN C230" u="1"/>
        <s v="CABEZAL DE NYLON UN 10 SIN EMPAQUE" u="1"/>
        <s v="TOLVA NEGRA PARA DPF-JR" u="1"/>
        <s v="88057 DISCO C6" u="1"/>
        <s v="ZAPATA DEL EMBRAGUE 488" u="1"/>
        <s v="EMBOLO ES726" u="1"/>
        <s v="BANDA B-61" u="1"/>
        <s v="MOTOSIERRA CS-3000-30" u="1"/>
        <s v="TANQUE DE COMBUSTIBLE PPT2400" u="1"/>
        <s v="CAJA COMBO PAPAYA" u="1"/>
        <s v="MANGO POSTERIOR CS420" u="1"/>
        <s v="60035-98070 FILTRO-PRE B530" u="1"/>
        <s v="PINZA P SEGURO STY EXTER-84271-7X " u="1"/>
        <s v="ETIQUETA SCOBA X 100 ML" u="1"/>
        <s v="ANILLOS PISTON B45-B45L" u="1"/>
        <s v="JUEGO TORQUIMETRO" u="1"/>
        <s v="PIEZAS TRACTOR (TORNILLO TUERCA PASADOR)" u="1"/>
        <s v="2011682 PALETA DE LA BOMBA BVIN-185" u="1"/>
        <s v="ETIQUETA TOKAL 400 X 100 ML" u="1"/>
        <s v="BOQUILLA COMPLETA DM6110 (P050008390)" u="1"/>
        <s v="9400422 VISOR DEL ACEITE II" u="1"/>
        <s v="MICHU POLLO 450GRS" u="1"/>
        <s v="ETIQUETA ABAMECTIN  X 100 ML" u="1"/>
        <s v="EMPAQUE CARTER PPT2400, HC150, WP1000" u="1"/>
        <s v="CA RETENEDOR C350-B450 (12411505530)" u="1"/>
        <s v="AMORTIGUADOR (A) B530" u="1"/>
        <s v="CABLE CORTO ACELERADOR B450-C350" u="1"/>
        <s v="ZARANDA DP1 (0,6MM)" u="1"/>
        <s v="BOMBA DEL CEBADOR 22F-C230-EB500-HT23 (20036-81670)" u="1"/>
        <s v="TORNILLO COM SUJ. RUED SUBS 1K27766" u="1"/>
        <s v="ZARANDA DP2 (0,6MM)" u="1"/>
        <s v="60876 MANUAL SERVICIO TECNICO" u="1"/>
        <s v="GRASA 62EP LITIO 1 LB" u="1"/>
        <s v="ZARANDA DP4 (0,6MM)" u="1"/>
        <s v="12534107360 DIAFRAGMA SRM4300" u="1"/>
        <s v="ENVASE COEX 60g X 500ML     " u="1"/>
        <s v="CA COLLAR B45-B450-B530-C350 (V358000130)" u="1"/>
        <s v="KIT CUCHILLAS JF 50 MAXXIUM COMPLETO" u="1"/>
        <s v="ESTAMPIDA ORG X LITRO" u="1"/>
        <s v="4550460 BOQUILLA ES726" u="1"/>
        <s v="CARBURADOR CS3500-35" u="1"/>
        <s v="TOLVA DE ENTRADA EC 4000" u="1"/>
        <s v="TRIMMERS-DESBROZADORA WT190_x0009__x0009__x0009_" u="1"/>
        <s v="CIGUEÑAL COMPLETO B450 (70210-42001)" u="1"/>
        <s v="2010642 MEMBRANA PRINCIPAL DEL PULSADOR" u="1"/>
        <s v="TOLVA DE ENTRADA EC 4800   " u="1"/>
        <s v="MAYVIT X 20 gr" u="1"/>
        <s v="AMOLADORA" u="1"/>
        <s v="CEPILLO TIPO MANIVELA PARA VACAS, NCM 8434.9000" u="1"/>
        <s v="62809-12111 CILINDRO C230-HT230" u="1"/>
        <s v="ETIQUETA AGROCARBOFURAN X 250 ML" u="1"/>
        <s v="ETIQUETA SCOBA X 250 ML" u="1"/>
        <s v="ENVASE AGROBALA X 100 ML" u="1"/>
        <s v="CA FILTRO AIRE C350-B450 (A226000650)" u="1"/>
        <s v="99909-450 PISTON KIT B450" u="1"/>
        <s v="P021002791 PISTON KIT CS6702" u="1"/>
        <s v="COMBO MARACUYA" u="1"/>
        <s v="ENVASE COEX 20g X 100ML     " u="1"/>
        <s v="ETIQUETA SINOZOX X 500 ML" u="1"/>
        <s v="ETIQUETA AGROTASULF X LITRO" u="1"/>
        <s v="BANDA A-75" u="1"/>
        <s v="BANDA B-75" u="1"/>
        <s v="MANGUERA SUCCION TEMCO 2&quot; " u="1"/>
        <s v="13031051730 ELEMENTO FILTRO AIRE SRM3605" u="1"/>
        <s v="69.00.653 POLYMATIC MD. 140/142/154" u="1"/>
        <s v="4573040 BOMBA COMPLETA ES726" u="1"/>
        <s v="713545 ARNES" u="1"/>
        <s v="CA TAPA FILTRO C350-B450" u="1"/>
        <s v="72481-14200 MANGO SEMI COMPLETO C230" u="1"/>
        <s v="TANQUE COMBUS C270" u="1"/>
        <s v="MOTOCULTOR DF-15L DE 16HP" u="1"/>
        <s v="CA AISLADOR BOBINA ES726" u="1"/>
        <s v="37019-63170 SOPORTE (B) BP35" u="1"/>
        <s v="ETIQUETA SITI X 500 GRS" u="1"/>
        <s v="PROTECTOR DESPOJO B450-C350-B530 (62903-66111)" u="1"/>
        <s v="FILTRO MALLA ES726" u="1"/>
        <s v="2011574 RESORTE MENOR DEL LAVADOR" u="1"/>
        <s v="PROTECTOR DESPOJO COMP B450-C350 (64000-66311)" u="1"/>
        <s v="VALVULA DE CARBURADOR SRM3605" u="1"/>
        <s v="TAPA FILTRO C350-B450" u="1"/>
        <s v="VOLANTE SRM4300" u="1"/>
        <s v="CUBIERTA BUJIA C230-C350-B45" u="1"/>
        <s v="BANDA C350-BP35-B450" u="1"/>
        <s v="CAJA COMBO MONILIA" u="1"/>
        <s v="2011662 NIPLE DEL LUBRIFICADOR MECANICO" u="1"/>
        <s v="CARBURADOR C230" u="1"/>
        <s v="RESPIRADERO CS600  EDR210  HC150  WP1000" u="1"/>
        <s v="YODO CONTROL X lt" u="1"/>
        <s v="80387 CABEZAL METALICO EMPACADO" u="1"/>
        <s v="ZAPATA DEL EMBRAGUE COMPLETA ES726" u="1"/>
        <s v="CUERO PARA ZM 76 MAXXI" u="1"/>
        <s v="KIT SURCADOR" u="1"/>
        <s v="MOTOSIERRA CS-1201-90 CON BARRA Y CADENA" u="1"/>
        <s v="2011024 ANILLO DE VEDACION DEL CONTENEDO" u="1"/>
        <s v="PALETA PARA BOMBA BIN 900 (765)" u="1"/>
        <s v="JERINGA DESCARTABLE DE 10CC U " u="1"/>
        <s v="FILTRO COMBUST SRM4300 SRM4605" u="1"/>
        <s v="ETIQUETA PROPILAQ POR 100ML" u="1"/>
        <s v="CA CAJA DE ENGRANAJES SEMCOMP B45LA" u="1"/>
        <s v="MANGA C350-B450-B530" u="1"/>
        <s v="CA PERNO TAPA GRASA B45-B450-B5" u="1"/>
        <s v="PASADOR CON BINCHA 15CMX22CM" u="1"/>
        <s v="RETENEDOR TIPO E SHP800-B530" u="1"/>
        <s v="SOPORTE (A) C230 (22035-13242)" u="1"/>
        <s v="ENVASE PET 500 ML" u="1"/>
        <s v="20 - 20 - 20 - 1 + MICROELEMENTOS X KG" u="1"/>
        <s v="JUEGO DE LLAVEZ MIXTAS CV8-19MM" u="1"/>
        <s v="ETIQUETA SKEKURA 200 GRS DELANTERA" u="1"/>
        <s v="CA CIGUENAL B530" u="1"/>
        <s v="TRINQUETE B45LA-B530-C350-SRM270" u="1"/>
        <s v="FILTRO LH. TL-85-TL-95 73402522" u="1"/>
        <s v="ANILLO BOQUILLA LANZA ES726" u="1"/>
        <s v="KIT 137 ( BOMBA M )" u="1"/>
        <s v="63019-63019 CAJA DE ENGRANAJE SEMICOMPLETA B530" u="1"/>
        <s v="TENSOACTIVO HUMECTANTE X 100 ML" u="1"/>
        <s v="BEBEDERO PARA MARRANAS 3/8 " u="1"/>
        <s v="21171-2157 BOBINA ELECTRONICA MD 135" u="1"/>
        <s v="CA CARCASA CAJA DE ENGRANAJES B450 B530 C350" u="1"/>
        <s v="40084-20 BARRA 20 DG. 325.050" u="1"/>
        <s v="PIÑONES PARA ROTAVATOR LAVRALE" u="1"/>
        <s v="BOMBA AGUA 6.5HP 3&quot; (SIN MOTOR)" u="1"/>
        <s v="X405000001  CUCHILLA METALICA DE 3 ELEME" u="1"/>
        <s v="CARBENDAZIM 50 % WP 25 KG (Kg)" u="1"/>
        <s v="62035-31212 TAMBOR EMBRAGUE B530" u="1"/>
        <s v="BARRA 10, 0.42G" u="1"/>
        <s v="03.060444 ENGRANAGE INTERMEDIARIA" u="1"/>
        <s v="ETIQUETA AGROTAFOL PH X 100 ML" u="1"/>
        <s v="TORNILO TENSOR 757 (72316-53310)" u="1"/>
        <s v="JUEGO ANILLO DEL PISTON 577" u="1"/>
        <s v="TIJERA CORTASETOS DOS MANOS 11&quot;" u="1"/>
        <s v="TORNILLO 4x14 CS420" u="1"/>
        <s v="MOTOR 10HP WEG 3600RPM 220/440V" u="1"/>
        <s v="TUBO PROTECTOR CABLE B530-757" u="1"/>
        <s v="MOTOSIERRA CS-680S-60 CON BARRA Y CADENA" u="1"/>
        <s v="BUEN CAN ADULTO--- POLLO-MAIZ-ARROZ R.--- 15 KG. (BOLSAS)" u="1"/>
        <s v="KIT DE EMPAQUES MOTOR B&amp;S 9HP" u="1"/>
        <s v="CILINDRO B530" u="1"/>
        <s v="TUBO COMPLETO SRM4300" u="1"/>
        <s v="JUEGO DE ZARANDAS PARA DP1" u="1"/>
        <s v="DESGRANADORA COPAY 6099" u="1"/>
        <s v="JUEGO DE ZARANDAS PARA DP2" u="1"/>
        <s v="TAPA COMBUS 22C-22F-ES726" u="1"/>
        <s v="JUEGO DE ZARANDAS PARA DP4" u="1"/>
        <s v="ARANDELA 12 DE BOMBA CS680_x0009__x0009_" u="1"/>
        <s v="CITOQMAX X 250 ML" u="1"/>
        <s v="LLAVES DE ARADO" u="1"/>
        <s v="CA FILTRO COMBUST B45-B45LA" u="1"/>
        <s v="EMPAQUE CARTER ACEITE CS600" u="1"/>
        <s v="UNIDAD CIERRE SP40BPS_x0009__x0009__x0009_" u="1"/>
        <s v="TAPAS ALUMINIO FUNDIDAS ORDEÑADORA" u="1"/>
        <s v="CA PLACA FILTRO B530" u="1"/>
        <s v="SEGURO DE CUCHILLA BP35,C270" u="1"/>
        <s v="PERNO CUCHILLA B45-B450-C350" u="1"/>
        <s v="DESMALEZADORA SRM 270" u="1"/>
        <s v="CA ENGRANAJE 757 (V652000190)" u="1"/>
        <s v="SULFATO DE COBRE + AMINOACIDOS" u="1"/>
        <s v="CAJA VALVULAS ENTRADAS ZM-51" u="1"/>
        <s v="62903-66111 PROTECTOR DESPOJO B450-C350-B530" u="1"/>
        <s v="KIT 123 ( BOMBA M)" u="1"/>
        <s v="PERNO CUCHILLA B530" u="1"/>
        <s v="MONITOR GENERICO" u="1"/>
        <s v="BIOBAN X 100 ML" u="1"/>
        <s v="80425 DISCO 8&quot; (NO USAR) " u="1"/>
        <s v="MOTOR 1.5 HP KOLBACH 3600 RPM " u="1"/>
        <s v="70157-51101 EMBRAGUE COMPLETO C230" u="1"/>
        <s v="JUEGO DE PERNO" u="1"/>
        <s v="CA TAMBOR DE EMBRAQUE B450-B45" u="1"/>
        <s v="AMORTIGUADOR DE CARCAZA C230" u="1"/>
        <s v="KT MOTOR RECONSTRUC B450" u="1"/>
        <s v="ETIQUETA LETAL X 100 ML" u="1"/>
        <s v="20036-81670 BOMBA DEL CEBADOR 22F-C230-EB500-HT23" u="1"/>
        <s v="2010025 ANILLO ORING" u="1"/>
        <s v="ETIQUETA LETAL X 500 ML" u="1"/>
        <s v="HERRAMIENTA PROBADOR CHISPA" u="1"/>
        <s v="22035-13140 RETEN 22C-C230" u="1"/>
        <s v="SINOMITE X LT" u="1"/>
        <s v="BOTA GOLIAT HIDROC 39 S/F    (AMARILLO)" u="1"/>
        <s v="CAJA COMBO CACAO FLORACION" u="1"/>
        <s v="DIENTE P/MOTOSIERRA 27R 100B 0.404;DIENTE P/MOTOSIERRA 27R 100B 0.404" u="1"/>
        <s v="JUEGO DE PALETA BOMBA BVIN-350 2012789" u="1"/>
        <s v="BUCANER FORTE X LITRO" u="1"/>
        <s v="KIT DE REPARACION, CARBURADOR PPT2400" u="1"/>
        <s v="BOTA GOLIATECUA S/F 42      (NEGRA)" u="1"/>
        <s v="SELEBEN-E X 20 ml" u="1"/>
        <s v="VIRBAMEC PLATINUM X 50 ml" u="1"/>
        <s v="ETIQUETA ABAMECTIN X LITRO" u="1"/>
        <s v="FILTRO ACEITE MOTOR TL60 73403765" u="1"/>
        <s v="CA BOMBA CEBADOR  B450-B530-C35 (12438012710)" u="1"/>
        <s v="CAJA ENGRANAJE SRM4605" u="1"/>
        <s v="SKEKURA WP X KG" u="1"/>
        <s v="KIT CUCHILLAS DE ROTOR PPC-3" u="1"/>
        <s v="CARBURADOR SEMI COMP C350" u="1"/>
        <s v="MANGA ADMISION CS3500" u="1"/>
        <s v="ANILLO PISTON 488" u="1"/>
        <s v="22169-54630 RESORTE ACELERADOR 757" u="1"/>
        <s v="BOBINA DE ENCENDIDO CS1201" u="1"/>
        <s v="CA COJINETE DE BIELA 488" u="1"/>
        <s v="ETIQUETA VIRAFIN X 250 ML" u="1"/>
        <s v="CARBURADOR B450-C350" u="1"/>
        <s v="CA AISLADOR CONDENS B450-C350 (A200000640)" u="1"/>
        <s v="JUEGO DE PIÑONES PPT-2400" u="1"/>
        <s v="ANILLO JUEGO PISTON DM6110" u="1"/>
        <s v="9401010 PESAS REGULADORA DE VACIO" u="1"/>
        <s v="22017-12410 EJE CENTRAL C35LA" u="1"/>
        <s v="CA BANDA C350-BP35-B450 (A392000060)" u="1"/>
        <s v="22410-13251 SOPORTE (B) 22C-C230" u="1"/>
        <s v="ARANDELA P GRAPA P AF (1K01584)" u="1"/>
        <s v="ORGANIC POWER X LT" u="1"/>
        <s v="CARBURADOR DM6110" u="1"/>
        <s v="03.046499 GUA DEL ENGRANAGE DE MANDO" u="1"/>
        <s v="CHAVETA SRM3605" u="1"/>
        <s v="70131-75100 ARRANCADOR COMP B45LA-C350" u="1"/>
        <s v="CAJA DE ENGRANAJE SRM270 (P021012600)" u="1"/>
        <s v="AGROTAFOL BORO X 500 ML" u="1"/>
        <s v="70198-12110 CILINDRO B45-B45LA" u="1"/>
        <s v="20000-75160 RESORTE SEGURO ARRANC  B450" u="1"/>
        <s v="13030039730 FILTRO AIRE CS3500-CS420-45" u="1"/>
        <s v="70102005510 CINECTOR" u="1"/>
        <s v="70012-35130 TAPA DE LA UNION B450" u="1"/>
        <s v="FILTRO COMPLETO AIRE SHP800" u="1"/>
        <s v="ETIQUETA LETAL X 250 ML" u="1"/>
        <s v="A235000220 PERILLA ARRANCADOR C230" u="1"/>
        <s v="JUEGO DE EMPAQUES / MOTOR 16 HP BRIGGS" u="1"/>
        <s v="ORGANIC POWER X 250 ML" u="1"/>
        <s v="05.032192 PIN ELASTICO 5 X 30MM" u="1"/>
        <s v="ESPATULA AC. 2 #28-081&quot;" u="1"/>
        <s v="22154-55110 ENGRANAJE 488" u="1"/>
        <s v="AGROTAFOL ZINC X 500 ML" u="1"/>
        <s v="PERNO (COM) CAJA ENGRANAJE SRM4300" u="1"/>
        <s v="TANQUES METAL 200 LITROS" u="1"/>
        <s v="SALMIN LECHE X 1 KL SACO " u="1"/>
        <s v="FEGADAZIM X LITRO" u="1"/>
        <s v="PROTECTOR DE PERNO C230" u="1"/>
        <s v="SCOBA  X LT" u="1"/>
        <s v="POLEA MIXTA 3.5&quot; Y 4&quot;/DESGRA/GASO" u="1"/>
        <s v="KIT ESPADA Y CADENA 14&quot;" u="1"/>
        <s v="61031421231 ESTABILIZADOR CUCHILLA SRM4300" u="1"/>
        <s v="62035-12210 AISLADOR CONDENS B530" u="1"/>
        <s v="CA PISTON KIT B530 (EC-P021027090)" u="1"/>
        <s v="ACOPLE DE ACEITE" u="1"/>
        <s v="22035-13271 PERNO CUCHILLA C230" u="1"/>
        <s v="BANDA B-43" u="1"/>
        <s v="SALMIN LECHE X 10 KL SACO " u="1"/>
        <s v="PROPAMAC X GL" u="1"/>
        <s v="ETIQUETA VIRAFIN X LT" u="1"/>
        <s v="AMORTIGUADOR CS510" u="1"/>
        <s v="ANILLOS PISTON JUEGO CS680" u="1"/>
        <s v="BARRA C/ 15 CUCHILLAS Y 1 MEDIA CUCHILLA" u="1"/>
        <s v="KIT 125 ( BOMBA M )" u="1"/>
        <s v="KIT 127 ( BOMBA M )" u="1"/>
        <s v="JUEGO PISTON STD" u="1"/>
        <s v="ESCRITORIO MELAMINICO" u="1"/>
        <s v="CUBIERTA FILTRO SRM4300" u="1"/>
        <s v="EJE DE ENGRANAJE BP35" u="1"/>
        <s v="RUEDA PARA ZM 76 1.80X0.35" u="1"/>
        <s v="ETIQUETA FIERA X LITRO" u="1"/>
        <s v="BELT-V NGMM 1909946" u="1"/>
        <s v="TUERCA MOTOSIERRA757" u="1"/>
        <s v="62035-41120 ANILLO PISTON B530" u="1"/>
        <s v="RODAMIENTO 20D6 6201-2RS" u="1"/>
        <s v="SWICH DE ENCENDIDO CS8002" u="1"/>
        <s v="SWITCH DE ARRANQUE" u="1"/>
        <s v="GLIFOLAQ X LITRO" u="1"/>
        <s v="RIDOMIL GOLD MZ  250 GRMS" u="1"/>
        <s v="PISTON KIT B530" u="1"/>
        <s v="AGROTAFOL BORO X 250 ML" u="1"/>
        <s v="CUCHILLAS RECOGEDORAS DERECHAS 930 C" u="1"/>
        <s v="TUBO EXTERNO B530 (63019-12102)" u="1"/>
        <s v="BOTA GOLIATECUA S/F 38      (NEGRA)" u="1"/>
        <s v="ANILLO PISTON CS1201" u="1"/>
        <s v="72312-21520 PERNO BARRA 488" u="1"/>
        <s v="ETIQUETA FULMINANTE POST AGRIPAC" u="1"/>
        <s v="MOTOR BRIGGS STRATTON 6HP" u="1"/>
        <s v="BOMBA MANUAL 11,5 LTS" u="1"/>
        <s v="ANILLO PISTON B45-B45L" u="1"/>
        <s v="ARMAZON ES726" u="1"/>
        <s v="22169-15170 DEFLECTOR 577" u="1"/>
        <s v="JUEGO DE ZARANDAS PARA DPF MINI" u="1"/>
        <s v="ARRANCADOR SEMI 22F " u="1"/>
        <s v="CIGUEÑAL  22F-22C-ES726" u="1"/>
        <s v="05.001159 RESORTE DE LA TAPA (PICADORA)" u="1"/>
        <s v="CUBIERTA DE EMBRAGUE" u="1"/>
        <s v="20035-75230 RESORTE TRINQUETE ES726" u="1"/>
        <s v="CA BOBINA AZUL PEQUEÑA 757" u="1"/>
        <s v="VALVULA REGULADORA" u="1"/>
        <s v="BARRA 36G63 PARA S.A." u="1"/>
        <s v="PISTON KIT B45 B45LA" u="1"/>
        <s v="DISCO B7 88056 " u="1"/>
        <s v="9401013 SISTEMA LAVADOR" u="1"/>
        <s v="HERRAMIENTA PROBADOR DE PRESION D" u="1"/>
        <s v="02.116629 ENGANCHE DE LA BARRA DE CORTE" u="1"/>
        <s v="CILINDRO 450" u="1"/>
        <s v="TELEFONO FAX" u="1"/>
        <s v="22150-52440 PASADOR AJUSTE 577-488-757" u="1"/>
        <s v="EMPAQUE ESCAPE CS600" u="1"/>
        <s v="CUBIERTA BUJIA B530" u="1"/>
        <s v="TECLE HIDRAULICO " u="1"/>
        <s v="ETIQUETA CITOQMAX X 250 ML" u="1"/>
        <s v="20000-75130 TRINQUETE B450-BP35" u="1"/>
        <s v="MOTOR GASOLINA VANGUARD EJE RECTO" u="1"/>
        <s v="PALANCA ACELERADOR COMP B450,B530" u="1"/>
        <s v="73DP-98X CADENA, 30 3/8&quot;, 058&quot;" u="1"/>
        <s v="KIT DE JUNTAS MD. 425/435" u="1"/>
        <s v="20036-81670 BOMBA DEL CEBADOR 22F-C230-E" u="1"/>
        <s v="ACEITE SHINDAIWA PREMIUM 2T" u="1"/>
        <s v="63880-65371 CABLE DEL ACELERADOR M230 P230 P231" u="1"/>
        <s v="POLEA 4&quot; 2 RANURAS HUECO 38MM" u="1"/>
        <s v="ZARANDA DP1 (0,8MM)" u="1"/>
        <s v="CUCHILLA INFERIOR 40&quot; ACC CORTACETOS" u="1"/>
        <s v="JUEGO DE CUCHILLAS DP4 / DPC-4 / EC- MINI" u="1"/>
        <s v="CIGUEÑAL COMPLETO B450" u="1"/>
        <s v="BIOBAN X LITRO" u="1"/>
        <s v="ZARANDA DP4 (0,8MM)" u="1"/>
        <s v="80256 AGUJA KIT KWIK ES726" u="1"/>
        <s v="CIGUENAL ES726 (67000-42010)" u="1"/>
        <s v="22102-72220 BUJIA DE CAPUCHON 22F-C230" u="1"/>
        <s v="ACC. PARA PULVERIZADOR (SOLIDOS) DMAD461" u="1"/>
        <s v="MACETERO JAZMIN GRANDE NUEVO PICA" u="1"/>
        <s v="PARAQUAT 24 % SC 200 LT" u="1"/>
        <s v="CAJA ENGRANAJES ACC CORT" u="1"/>
        <s v="AISLADOR CONDENS B450-C350" u="1"/>
        <s v="VALVULA KIT CARTUCHO SP40BPS" u="1"/>
        <s v="72550-82120 CONECTADOR B450-B530-C350" u="1"/>
        <s v="62035-82330 EMPAQUE A CARBURADOR B530" u="1"/>
        <s v="ETIQUETA IMPULMAX X LITRO" u="1"/>
        <s v="CA UNIDAD ELECTRONICA BP35-B45" u="1"/>
        <s v="PIÑON CONICO CON VASTAGO C350" u="1"/>
        <s v="20010-42002 CIGUENAL COMPLETO C350-BP35" u="1"/>
        <s v="TAMBOR EMBRAGUE C230-P230" u="1"/>
        <s v="EMPAQUE CILINDRO 22F-C230-ES726" u="1"/>
        <s v="ORDEÑO MÓVIL 450L-2PUESTOS CON MOTOR Y CANTARA" u="1"/>
        <s v="CABLE DEL ACELERADOR ES726 (68501-98010)" u="1"/>
        <s v="20000-75150 PLACA FRICCION B450-BP35" u="1"/>
        <s v="CONTRA CUCHILLAS JF 30P" u="1"/>
        <s v="ETIQUETA AGROTAFOL K PLUS X LITRO" u="1"/>
        <s v="13030252131 COMBERTOR FILTRO SRM3605" u="1"/>
        <s v="MACETERO JAZMIN GRANDE (BASE)" u="1"/>
        <s v="BASE DEL RESORTE DE ARRANQUE CS8002" u="1"/>
        <s v="10020455430 CARTER SRM3605" u="1"/>
        <s v="PALANCA BALANCIN B450-C350" u="1"/>
        <s v="ENVASE FARMACEUTICO 60 ML" u="1"/>
        <s v="FILTRO COMBUST SRM4300" u="1"/>
        <s v="ETIQUETA AGROTAFOL BORO X 500 ML" u="1"/>
        <s v="CORTASETOS HC-150 20&quot;" u="1"/>
        <s v="TORNILLO RELANTIN B450 C350" u="1"/>
        <s v="YOGA X 100 ML" u="1"/>
        <s v="ETIQUETA BLINDAX X 100 ML" u="1"/>
        <s v="2,4 D AMINA 72 % SL 200 LT" u="1"/>
        <s v="BENALAXIL 8% + MANCOZEB 65 % WP 500 GR" u="1"/>
        <s v="LAMBDA SOL  X 250 ML        " u="1"/>
        <s v="64000-66311 PROTECTOR DESPOJO COMP B450  B530" u="1"/>
        <s v="FILTRO DE AIRE SRM270" u="1"/>
        <s v="ADAPTADOR DE ALUMINIO PARA ORDEÑO" u="1"/>
        <s v="ENGRANAJE PIÑON TENSOR CS680S" u="1"/>
        <s v="MEZCLADORA INCOMAGRI MIN-300P" u="1"/>
        <s v="ETIQUETA ENDOSULFAN X 250 ML" u="1"/>
        <s v="POLEA ARRACADOR SHP800" u="1"/>
        <s v="CUCHILLA Z A51501" u="1"/>
        <s v="PROTECTOR DEL TANQUE PPT2400" u="1"/>
        <s v="filtro de aire para motor 10 hp /vanguard intek " u="1"/>
        <s v="CA FILTRO COMBUSTIBLE 577-757-B450-B30 (A369000100)" u="1"/>
        <s v="TAMBOR EMBRAGUE B530 (A556000870)(SH-62035-31212)" u="1"/>
        <s v="COLECTOR COMPLETO 350" u="1"/>
        <s v="22169-33740 AMORTIGUADOR 577-757" u="1"/>
        <s v="ANIQUILADOR X LT" u="1"/>
        <s v="FEGADAZIM X 250 ML" u="1"/>
        <s v=" TAMBOR DE ARRANCADOR 757" u="1"/>
        <s v="22175-82520 PERILLA DE CUBIERTA 577" u="1"/>
        <s v="VOLANTE MAGNETO, GT22" u="1"/>
        <s v="2012777 ANILLO ORING 2114 15,54X20,78X2" u="1"/>
        <s v="FUNDA PARA VIVERO DE 4X6 10 MILLARES" u="1"/>
        <s v="22155-55110 ENGRANAJE SIN FIN 577" u="1"/>
        <s v="ESPARRAGO GUIA BARRA  CS3000" u="1"/>
        <s v="CABEZAL SPEED FEED CURVED SHAFT" u="1"/>
        <s v="SALMIN LECHE X 2 KL SACO " u="1"/>
        <s v="22410-13530 SUJETADOR CUCHILLA C230-22C" u="1"/>
        <s v="MALLA SHP800" u="1"/>
        <s v="DISCOS D35" u="1"/>
        <s v="22155-55110 ENGRANAJE-SIN FIN 577" u="1"/>
        <s v="SOPORTE (B) BP35 (37019-63170)" u="1"/>
        <s v="ANILLO JUEGO PISTON CS510" u="1"/>
        <s v="ANEL RODAMIENTO BIELA ZM-51" u="1"/>
        <s v="TAMBOR EMBRAGUE" u="1"/>
        <s v="22169-55310 TUBERIA 757" u="1"/>
        <s v="3013172 ALMOHADILLA ES726" u="1"/>
        <s v="ETIQUETA SINOMITE X LITRO" u="1"/>
        <s v="PERNO 5 TENSOR CS680S" u="1"/>
        <s v="72547-91100 HERRAMIENTAS KIT B450" u="1"/>
        <s v="22104-75420 PERILLA ARRANCADOR B530" u="1"/>
        <s v="JUEGO ANILLOS PISTON B450" u="1"/>
        <s v="FOSCASAL LECHE 5 KLS. (FUNDA)" u="1"/>
        <s v="10101032431 EMPAQUE CILINDRO CS680S" u="1"/>
        <s v="BOMBA AGUA 6 5HP 3&quot; CON MOTOR" u="1"/>
        <s v="AGROTAFOL 10-15-30-5 ENGROSE X KG" u="1"/>
        <s v="KIT REPARA BOMBA ES726" u="1"/>
        <s v="4552760 VALVULA DE GATILLO ES726" u="1"/>
        <s v="UNION MOTOR-EJE B450-C350" u="1"/>
        <s v="CIGUENAL ES726 (20016-42002)" u="1"/>
        <s v="20140-12221 EMPAQUE-AISLADOR 22C-22F" u="1"/>
        <s v="ARO DEL PISTON MOD 140/141" u="1"/>
        <s v="EZCOBA OR X LITRO" u="1"/>
        <s v="PINON BASTAGO C230-22C" u="1"/>
        <s v="BOMBA PRESION 10HP/F400 DIESEL" u="1"/>
        <s v="BENALAXYL + MANCOZEB CREMA X 25 KILOS" u="1"/>
        <s v="UNION B450-B45 (22020-11110)" u="1"/>
        <s v="99909-207 VALVULA DE CONTROL C230" u="1"/>
        <s v="CUBIERTA MANGO CS420" u="1"/>
        <s v="RESORTE ARRANQUE SHP800" u="1"/>
        <s v="RESORTE EMBRAGUE C270" u="1"/>
        <s v="BUEN CAN ADULTO--- POLLO-MAIZ-ARRO. R.---  2KG  (FUNDITAS)" u="1"/>
        <s v="TAMBOR EMBRAGUE 22F" u="1"/>
        <s v="MOTOSIERRA CS-8002-70 (28&quot;) CON BARRA,CA" u="1"/>
        <s v="16-16-12 -1B x 500 ml" u="1"/>
        <s v="ENGRANAJE ANGULAR TENSOR CS680S" u="1"/>
        <s v="70200-71200 VOLANTE B450-C350" u="1"/>
        <s v="POLEA 4&quot; DOS RANURAS 28MM" u="1"/>
        <s v="71.118.10 SINFIN PARA EC MINI" u="1"/>
        <s v="MOTOR TRIFASICO 10HP 1800 RPM WEG" u="1"/>
        <s v="BONGO FORTE-- JER. 2 ML" u="1"/>
        <s v="10101055430 EMPAQUE CILINDRO SRM3605" u="1"/>
        <s v="TUBO CURVO DM-9" u="1"/>
        <s v="22070-12410 EJE CENTRAL C230" u="1"/>
        <s v="ORING CAJA SRM4605" u="1"/>
        <s v="CLOFENTAZINE 50 % SC" u="1"/>
        <s v="AGROVERDOL X GL" u="1"/>
        <s v="EMPAQUE SILENCIADOR C230-ES7" u="1"/>
        <s v="YOGA X LT" u="1"/>
        <s v="COPIADORA" u="1"/>
        <s v="AGUJA (H) SRM3605" u="1"/>
        <s v="PROCAN ARMG POLLO ARROS VEGETALES. 2 KG." u="1"/>
        <s v="EMPAQUE CILINDRO B530" u="1"/>
        <s v="RODAMIENTOS 6900 2RS CMB" u="1"/>
        <s v="ABRAZADERA (M) B450-C350" u="1"/>
        <s v="72330-98010 PISTON KIT 757" u="1"/>
        <s v="BRAZO GUIADOR IZQUIERDO" u="1"/>
        <s v="20055-81610 LLAVES DE PASO BP-35" u="1"/>
        <s v="KEMADOR X 19 LT" u="1"/>
        <s v="70200-85001 TANQUE DE COMBUSTIBLE C350-B45" u="1"/>
        <s v="TAPA DEL EMBRAGUE 757" u="1"/>
        <s v="70131-75110 TAPA ARRANCADOR B45LA-C350" u="1"/>
        <s v="12415905530 TORNILLO" u="1"/>
        <s v="FRONTLINE SOLUCION CUTANEA  100%  (100CC)" u="1"/>
        <s v="PROPANIL X GL" u="1"/>
        <s v="22000-12413 EJE CENTRAL C270" u="1"/>
        <s v="CILINDRO DE GAS" u="1"/>
        <s v="GANCHO GTC1000   " u="1"/>
        <s v="RESORTE L B450-B530" u="1"/>
        <s v="CUBIERTA FILTRO AIRE B530" u="1"/>
        <s v="2011557 RESORTE MAYOR DEL LAVADOR" u="1"/>
        <s v="FILTRO AIRE B530" u="1"/>
        <s v="72441-16003 PROTECTOR DESPOJO C350-B530-B450-C270" u="1"/>
        <s v="ETIQUETA FULMINANTE DEL AGRIPAC" u="1"/>
        <s v="RAIZ FORTE X 500 ML" u="1"/>
        <s v="FILTROS" u="1"/>
        <s v=" SOPORTE (A) CS3605" u="1"/>
        <s v="21001101160 CODO" u="1"/>
        <s v="ANILLOS PISTON JUEGO EB500" u="1"/>
        <s v="JUEGO DE CHAPA DE BIELA YZ-4100" u="1"/>
        <s v="DESMALEZADORA B-450" u="1"/>
        <s v="VALVULAS (XEQUE) ZM 51" u="1"/>
        <s v="MOTOR TRIFASICO 10 HP 3600 RPM" u="1"/>
        <s v="EMBRAGUE COMPLETO C230 (70157-51101)" u="1"/>
        <s v="MOTOR TRIFASICO 15 HP 3600 RPM" u="1"/>
        <s v="ETIQUETA AGROTAFIX X 100 ML" u="1"/>
        <s v="ABRAZADERA B450-C350" u="1"/>
        <s v="CILINDRO ALIMENTADOR LISO EC-4800" u="1"/>
        <s v="TAPA TANQUE ES726" u="1"/>
        <s v="CAJA ENGRANAJE SRM270" u="1"/>
        <s v="CILINDRO CS-680" u="1"/>
        <s v="EMBRAGUE CS1201" u="1"/>
        <s v="88051 DISCO D3" u="1"/>
        <s v="TUBO DE ACE INOX PERFORADO X 3M" u="1"/>
        <s v="EJE DE ENGRANAJE C270 (72435-13210)" u="1"/>
        <s v="ABRASADERA" u="1"/>
        <s v="ANILLOS JUEGO PISTON CS3000" u="1"/>
        <s v="20075-41111 PISTON P230-C230-ES726-HT230" u="1"/>
        <s v="DESMALEZADORA GT-22GES" u="1"/>
        <s v="COJINETE B450-B530 (02030-06202)" u="1"/>
        <s v="AGROTAFOL 15-30-15- INICIO 500 G" u="1"/>
        <s v="PODADORA DE ALTURA SOLO(ACCESORIO)" u="1"/>
        <s v="CAJA DE ENGRANAJES B450-B45LA" u="1"/>
        <s v="SUPER CERDO ENGORDE PELLET ( 176 LIBRAS )" u="1"/>
        <s v="LANZA TELESCOPICA DE FUMIGACION" u="1"/>
        <s v="22169-21503 CARTER C COMPLETO 757" u="1"/>
        <s v="BIELA OVAL ZM-38/51/63" u="1"/>
        <s v="AGROVERDOL X 5 GAL|" u="1"/>
        <s v="05.000581 TUERCA SEXTAVADA C/ TRABA DE N" u="1"/>
        <s v="62035-81360 ROSORTE MEMBRANA B530" u="1"/>
        <s v="RESORTE BUJIA SRM4300" u="1"/>
        <s v="ANEL RODAMIENTO BIELA ZM-44" u="1"/>
        <s v="CA PERILLA ARRANCADOR B450-C350 (17722827030)" u="1"/>
        <s v="LLAVE MIXTA 8.0MM 86-853" u="1"/>
        <s v="FILTRO COMBUSTIBLE 577-757-B450-B530 (22169-35400)" u="1"/>
        <s v="22000-13410 ANILLO DE GRASERO C230" u="1"/>
        <s v="AISLADOR CS420" u="1"/>
        <s v="PORTA MACHUELOS" u="1"/>
        <s v="PERNO CUCHILLA 10MM B530" u="1"/>
        <s v="20011-81140 RESORTE CABLE ES726-C35LA" u="1"/>
        <s v="KEMADOR X GALON" u="1"/>
        <s v="TUBO EXTERNO SRM3605" u="1"/>
        <s v="22015-96600 HERRAM EXTRACTOR COMPLETO" u="1"/>
        <s v="TENSOACTIVO HUMECTANTE  PLUS  X 100 ML" u="1"/>
        <s v="COMBO SINOPRID XL" u="1"/>
        <s v="64000-66311 PROTECT DESPOJO COMP B450-C3" u="1"/>
        <s v="TORNILLO RELANTIN 4300" u="1"/>
        <s v="COMBO ARROZ TOTAL" u="1"/>
        <s v="SKEKURA WP X 500 GRS" u="1"/>
        <s v="JUNTA TORICA" u="1"/>
        <s v="9701401 ORINGS ES726" u="1"/>
        <s v="1903-26 ANILLO DEL PISTON" u="1"/>
        <s v="SUJETADOR C230-ES726" u="1"/>
        <s v="POWER PLEX X 5 LT" u="1"/>
        <s v="MOTOR MONOFASICO 3HP-1800RPM 220V" u="1"/>
        <s v="12438012710 BOMBA CEBADOR B450-B530-C350" u="1"/>
        <s v="V583000140 SUJETADOR CUCHILLA B530-C350-B450" u="1"/>
        <s v="22015-13230 COLLAR B45-B450-B530-C350" u="1"/>
        <s v="TAPA DE LA MANIJA CS680S" u="1"/>
        <s v="BISPIRIBAC SODIO 40%" u="1"/>
        <s v="FILTRO DE ACEITE(PARA JINMA)" u="1"/>
        <s v="BOMBA ESTACIONARIA AR30 ANNOVI REVERBERI CON MANGUERA FUMIGACION,LANZA TURBO,MANGUERAS SUCCION Y FILTROS" u="1"/>
        <s v="72550-14531 CABLE COMPLETO B450" u="1"/>
        <s v="CUBIERTA DE EMBRAGUE CS1201" u="1"/>
        <s v="ADAPTADOR PULSADOR" u="1"/>
        <s v="68501-81360 VALVULA PISTON ES726" u="1"/>
        <s v="72550-82120 CONECTOR ACELERADOR B450-B530-C350" u="1"/>
        <s v="20000-85500 VALVULA DE PRESION B450-B45L" u="1"/>
        <s v="JUEGO DE RINES B&amp;S 9HP" u="1"/>
        <s v="20000-75220 RESORTE TRIQUETE B450" u="1"/>
        <s v="ETIQUETA SKEKURA X 500 GRS POST" u="1"/>
        <s v="MAQUINA EMBASADORA CBG1000-2" u="1"/>
        <s v="DEFLECTOR DE VENTILADOR CS8002" u="1"/>
        <s v="ENVASE AGROTAFOL DESARROLLO X KILO PREIM" u="1"/>
        <s v="SUJETA CUCHILLA B450-B530-C350" u="1"/>
        <s v="DESMALEZADORA HOMEPRO F220" u="1"/>
        <s v="ABRAZADERA B450-B45" u="1"/>
        <s v="TUERCA DE LA LLANTA" u="1"/>
        <s v="CUBIERTA FILTRO AIRE ES726" u="1"/>
        <s v="ETIQUETA TOKAL X 250 ML" u="1"/>
        <s v="CILINDRO 577" u="1"/>
        <s v="LETAL  500 ML" u="1"/>
        <s v="VOLANTE B530 (62035-71110)" u="1"/>
        <s v="22015-13241 SOPORTE (A) B450-C350-B450" u="1"/>
        <s v="20087-81820 BOMBA CEBADOR  B450-B530-C35" u="1"/>
        <s v="22410-13210 EJE DE ENGRANAJE C230" u="1"/>
        <s v="CARBURADOR BP35" u="1"/>
        <s v="CILINDRO C350-C35LA" u="1"/>
        <s v="38500-71020 BOBINA COMPLETA ES726" u="1"/>
        <s v="CA RESORTE ARRANCADOR B450-C350-B45" u="1"/>
        <s v="10 - 15 - 30 - 5 + MICROELEMENTOS X KG" u="1"/>
        <s v="35 -  25 - 20 + MICRO + GA3 + AUXINAS + VITAMINAS" u="1"/>
        <s v="ETIQUETA AGROTAFOL DESARROLLO X 500 GRS" u="1"/>
        <s v="EJE FLEXIBE BP 35 " u="1"/>
        <s v="70210-41110  PISTON B450" u="1"/>
        <s v="ANILLO PLANO AC. GALV. 5/16 (440)" u="1"/>
        <s v="EMPAQUE SILENCIADOR B530" u="1"/>
        <s v="20021-81121 TAPA CARBURADOR B45-B45LA" u="1"/>
        <s v="ETIQUETA AGROTAFIX X 250 ML" u="1"/>
        <s v="88102 BOQUILLA HV-2" u="1"/>
        <s v="BOYA PARA NIVEL DE DIESEL" u="1"/>
        <s v="PALANCA BALANCIN 488,577,757" u="1"/>
        <s v="MANGUERA 12MTS PARA COMPRESOR " u="1"/>
        <s v="70244-98040 PISTON KIT C270" u="1"/>
        <s v="CA AISLADOR  ES726" u="1"/>
        <s v="CUBIERTA DE DE RESPIRPIRADERO CS8002" u="1"/>
        <s v="FILTRO DE AIRE CS1201" u="1"/>
        <s v="70064-75310 POLEA DE ARRANCADOR C230" u="1"/>
        <s v="BANDAS B-62" u="1"/>
        <s v="A225000400 PORTA FILTRO ES726" u="1"/>
        <s v="MOTOSIERRA CS-600-50 CON BARRA Y CADENA" u="1"/>
        <s v="LLAVE PICO DE LORO 12&quot;;LLAVE PICO DE LORO 12&quot;&quot;" u="1"/>
        <s v="20018-31251 PERILLA C230-ES726-P230" u="1"/>
        <s v="22019-11313 ABRAZADERA ALETA B450-B45" u="1"/>
        <s v="AMORTIGUADOR B450-C350" u="1"/>
        <s v="10101042231 EMPAQUE CILINDRO SRM4605" u="1"/>
        <s v="05.001544 TORNILLO M10X1.5X0.5 8.8 ZB RI" u="1"/>
        <s v="BANDAS B-65" u="1"/>
        <s v="JUEGO DE CUEROS ZM 51 MAXXI" u="1"/>
        <s v="02.116560 CUBIERTA DE LA TRANSMISION" u="1"/>
        <s v="TUBO DE ACE, INOX PERFORADO 1.9M" u="1"/>
        <s v="569008 LANZA DE FUMIGACION SP40BPS" u="1"/>
        <s v="72441-16003 PROTECTOR DESPOJO C350" u="1"/>
        <s v="MOTOSIERRA CS-600-60 CON BARRA Y CADENA" u="1"/>
        <s v="BOBINA DE ENCENDIDO PPT2400" u="1"/>
        <s v="JUEGO DE ANILLOS" u="1"/>
        <s v="AGROTAFIX  X 250 ML" u="1"/>
        <s v="SWITCH ENCENDIDO 757" u="1"/>
        <s v="88054 DISCO D6" u="1"/>
        <s v="FILTRO DE COMBUSTIBLE FLEETGUARD FF5039" u="1"/>
        <s v="20142-12110 CILINDRO 22F-22C-F220" u="1"/>
        <s v="CIGUENAL CS600" u="1"/>
        <s v="ENVASE SINOTYL X 100 GMS PREIMPRESO" u="1"/>
        <s v="22169-54650 MANDO DEL FRENO MOTOSIERRA 757" u="1"/>
        <s v="20021-83411 EMPQUE CARB. B450-B45-C350" u="1"/>
        <s v="CARTER COMP. M B530" u="1"/>
        <s v="JUEGO TORNILLOS CUCHILLAS DP4" u="1"/>
        <s v="AGUJA (L) SRM3605" u="1"/>
        <s v="20024-75220 TRINQUETE SRM270,C350,B530" u="1"/>
        <s v="ROLLO NYLON  5LB.105&quot; REDONDO NYL" u="1"/>
        <s v="BANDA A-56" u="1"/>
        <s v="COMBO SCOBA XL" u="1"/>
        <s v="COJINETE 6202 B450 B530 SRM430" u="1"/>
        <s v="VALVULA KIT REPARACION CIERRE SP40BPS_x0009__x0009__x0009_" u="1"/>
        <s v="VACUMETRO DE GLICERINA, 63MM" u="1"/>
        <s v="22169-84102 FRENO COMPLETO NR 757" u="1"/>
        <s v="22035-13242 SOPORTE (A) C230-22C" u="1"/>
        <s v="TAMBOR ARANQ B450-B45" u="1"/>
        <s v="TUBERIA PVC 50MM PARA VACIO" u="1"/>
        <s v="PESONERA EUROLATTE IMP, NCM. 8434.9000" u="1"/>
        <s v="20000-81740 FILTRO AIRE B45-B45LA" u="1"/>
        <s v="70030-75120 TAMBOR DE ARRANCADOR HT230,ES726" u="1"/>
        <s v="ABUNDANCE PLUS X LITRO" u="1"/>
        <s v="63019-63130 EJE, ENGRANAJE B530" u="1"/>
        <s v="MANUBRIO TUBO B450 B530 C350" u="1"/>
        <s v="PEZONERA EUROLATTE IMP, NCM. 8434.9000" u="1"/>
        <s v="ARADO 3 DISCOS MARCA BALDAN " u="1"/>
        <s v="EMPAQUE ESCAPE 757" u="1"/>
        <s v="VARILLA PULVERIZADORA SHP800 ES726" u="1"/>
        <s v="CAJA DE ENGRANAJE BP35" u="1"/>
        <s v="70140-81710 BASE FILTRO P230" u="1"/>
        <s v="SUPER VIVERO X KILO" u="1"/>
        <s v="70234-98011 JUEGO DE PISTON C230-P230" u="1"/>
        <s v="CA PISTON KIT CS420" u="1"/>
        <s v="MOTOR DIESEL 6.7 HP F300" u="1"/>
        <s v="10020442230 CARTER KIT SRM4605" u="1"/>
        <s v="18500-90003 CUCHILLA INFERIOR 40&quot;;18500-90003 CUCHILLA INFERIOR 40&quot;&quot;" u="1"/>
        <s v="SEPARADOR DE CUEROS ZM 51" u="1"/>
        <s v="FRENO COMPLETO CS680S" u="1"/>
        <s v="02.070822 JUEGO COMP. MARTILLOS JF 2" u="1"/>
        <s v="ENGRANAJE TORNILLO SINFIN CS-680" u="1"/>
        <s v="FILTRO AIRE SRM4300 MODELO ANTIGUO" u="1"/>
        <s v="COLLAR B 22F" u="1"/>
        <s v="RIDONATE X 250 ML" u="1"/>
        <s v="72481-98310 KIT MOTOR RECONSTRUC. C230" u="1"/>
        <s v="ETIQUETA RAIZ FORTE G X KILO" u="1"/>
        <s v="ARANDELA VARIOS MODELOS" u="1"/>
        <s v="RETEN 100X130X12" u="1"/>
        <s v="POLEA DE ARRANCADOR C230" u="1"/>
        <s v="CABLE LARGO COMPLETO C350 (72451-14570)" u="1"/>
        <s v="REEMBOLSO DE GASTOS" u="1"/>
        <s v="CA EMPAQUE SEGURO 450-B530-C350 (V307000230)" u="1"/>
        <s v="BANDA B-90" u="1"/>
        <s v="COMBO CACAO INICIO" u="1"/>
        <s v="PERNO CUCHILLA B450 C350" u="1"/>
        <s v="BOMBA DE AGUA 5.5 2 (SIN MOTOR)&quot;" u="1"/>
        <s v="JUEGO DE MACHUELO 1/4 20 3 PIEZAS&quot;" u="1"/>
        <s v="SALMIN LECHE X 5KL SACO " u="1"/>
        <s v="SANTIAGO 3 PATAS 4&quot;;SANTIAGO 3 PATAS 4&quot;&quot;" u="1"/>
        <s v="70012-35130 CUBIERTA DE LA UNION B450" u="1"/>
        <s v="05.035274 TUERCA SEXT 7.94(5/16)&quot;" u="1"/>
        <s v="ENVASE AGROBALA 1/2 LITRO" u="1"/>
        <s v="EMPAQUE SEGURO 450-B530-C350" u="1"/>
        <s v="ETIQUETA ZULLY X 15 GRS DELANTERA" u="1"/>
        <s v="22035-13220 PINON HUECO C230-22C" u="1"/>
        <s v="A566000220 RESORTE EMBRAGUE B450-B530-C" u="1"/>
        <s v="CABLE ACELERADOR DM6110" u="1"/>
        <s v="FILTRO AIRE SRM4605" u="1"/>
        <s v="CLOROTALONIL 72 % SC" u="1"/>
        <s v="CABALLETE JF-40P" u="1"/>
        <s v="CA EMPAQUE AISLADOR B450-C350" u="1"/>
        <s v="CUCHILLA ACC CORTACETOS" u="1"/>
        <s v="TANQUES PLASTICOS 200 LITROS" u="1"/>
        <s v="22169-21520 ESPARRAGO BARRA 757" u="1"/>
        <s v="60119-98310 KIT MOTOR RECONSTR B45LA" u="1"/>
        <s v="62035-85360 PROTECTOR DEL TANQUE B530" u="1"/>
        <s v="ZERAMEC PLATINUM X 50 ml" u="1"/>
        <s v="VARILLA PULVERIZADORA SHP800" u="1"/>
        <s v="20011-31230 ANILLO DE RETENCION C350-B45" u="1"/>
        <s v="CARBURADOR HT230" u="1"/>
        <s v="PERILLAS PARA EC/DP" u="1"/>
        <s v="63019-63310 PERNO DE CUCHILLA B530" u="1"/>
        <s v="ENVASE AGROBALA 1/4 LITRO" u="1"/>
        <s v="20011-81550 VALVULA COMBUST B45-B45LA" u="1"/>
        <s v="ANILLOS PISTON CS420" u="1"/>
        <s v="TROMBA X 250 G" u="1"/>
        <s v="ENSILADORA EC 4000" u="1"/>
        <s v="CONTRA MARTILLO C.J. PARA TIN-2" u="1"/>
        <s v="KIT 87 ( BOX JET )" u="1"/>
        <s v="BOMBA DEL CEBADOR 22F-C230-EB500-HT23" u="1"/>
        <s v="BARRA 30 .058 D009" u="1"/>
        <s v="02006-06000 COJINETE B45-B530" u="1"/>
        <s v="ENSILADORA EC 5000" u="1"/>
        <s v="CODO DM9" u="1"/>
        <s v="20015-93200 ACELERADOR COMP. ES726" u="1"/>
        <s v="LOWER HANDLEBAR 1902802001" u="1"/>
        <s v="ABAMECTIN X LITRO" u="1"/>
        <s v="72930-14210 INTERRUPTOR B45-B45LA" u="1"/>
        <s v="ACEITE HAVOLINE ( GALON )" u="1"/>
        <s v="ANILLOS PISTON C350-BP35" u="1"/>
        <s v="TUBO COMP CON ETIQUETA B450" u="1"/>
        <s v="AGROTAFIX X LT" u="1"/>
        <s v="PALANCA BALANCIN SR4300" u="1"/>
        <s v="TAPA GRASA C230" u="1"/>
        <s v="CILINDROS ZM 76" u="1"/>
        <s v="PITO" u="1"/>
        <s v="GATILLO DEL ACELERADOR PPT2400" u="1"/>
        <s v="CABLE BUJIA" u="1"/>
        <s v="EMPAQUE A CARBURADOR B530." u="1"/>
        <s v="EJE FLEXIBLE BP35" u="1"/>
        <s v="30 - 10 - 10 - 2 + MICROELEMENTOS X KG" u="1"/>
        <s v="TUERCA BRIDA 8" u="1"/>
        <s v="ZARANDA DEL BRUNIDOR" u="1"/>
        <s v="RESORTE EMBRAGUE C230,HT230" u="1"/>
        <s v="DISCOS VIDIA 9&quot;;DISCOS VIDIA 9&quot;&quot;" u="1"/>
        <s v="RESORTE EMBRAGUE C230-HT230" u="1"/>
        <s v="ACEITE CELERITY 2T 24/4" u="1"/>
        <s v="02.045369 CONTRA CUCHILLA JF2 / JF3" u="1"/>
        <s v="FILTRO DE AIRE 20.48.121" u="1"/>
        <s v="CA RESORTE ARRANCADOR B450-B45" u="1"/>
        <s v="BASE DIAFRAGMAS BC 420" u="1"/>
        <s v="TORNILLO (L) B450-B530" u="1"/>
        <s v="COMPLEJO B X 50 ml" u="1"/>
        <s v="MANGO TRASERO CS680" u="1"/>
        <s v="BOMBA MANUAL JACTO AZUL PJH" u="1"/>
        <s v="CA EMPAQUE CILINDRO B530 (V100000450)" u="1"/>
        <s v="ANIQUILADOR X 250 ML" u="1"/>
        <s v="18500-50100 CUCHILLA ACC CORTACETOS" u="1"/>
        <s v="20140-75130 RESORTE ARRANCADOR  22c-c230-9230" u="1"/>
        <s v="ANILLOS DEL PISTON EB500" u="1"/>
        <s v="70602060A22 VALVULA REGULADORA SHP800" u="1"/>
        <s v="108642-24 BARRA 24 LT, 3/8, 0.58" u="1"/>
        <s v="ETIQUETA PROFESIONAL THICKER X KILO" u="1"/>
        <s v="72017-16130 PLACA DESPOJ C350-B450-B530-C230 " u="1"/>
        <s v="KIT MOTOR RECONSTRUC B450" u="1"/>
        <s v="90SG-039X CADENA GUIA 10&quot;;90SG-039X CADENA GUIA 10&quot;" u="1"/>
        <s v="ANILLOS PISTON CS680" u="1"/>
        <s v="MANGUERA SP40BPS" u="1"/>
        <s v="FEGADAZIM X 500 ML" u="1"/>
        <s v="CIROMAZINA 75%WP PREIMPRESA X 50 G" u="1"/>
        <s v="KIT MOTOR RECONSTRUCCION 757" u="1"/>
        <s v="LLAVES DE PASO BP-35" u="1"/>
        <s v="EMPAQUE DE DIAFRAGMA DE MEDICION CS1201" u="1"/>
        <s v="OXISOL X 10 gr" u="1"/>
        <s v="FLETE DE MERCADERIA" u="1"/>
        <s v="20000-72230 RESORTE SPARK C230-C350-EB50" u="1"/>
        <s v="4579070 VALVULA COMPLETA ES726" u="1"/>
        <s v="90024205025 TORNILLO 5X25" u="1"/>
        <s v="COJINETE 22F" u="1"/>
        <s v="1903-25 PISTON" u="1"/>
        <s v="ETIQUETA SKEKURA X 200 GMS" u="1"/>
        <s v="JUEGO CILINDROS ZM 44" u="1"/>
        <s v="ABRAZADERA 2 DM9" u="1"/>
        <s v="20870-33120 PERILLA DE FILTRO B530-HT230" u="1"/>
        <s v="CA PINON HUECO B45-B450-B530-C350 (V651000540)" u="1"/>
        <s v="22197-55201 BOMBA DE ACEITE COMPLETO" u="1"/>
        <s v="BOVIMEC 10ML ANTIPARACITARIO INTERNO Y EXTERNO" u="1"/>
        <s v="BUEN CAN ADULTO---  POLLO-MAIZ-ARROZ --  8 KG. (BOLSAS)" u="1"/>
        <s v="FOSETIL ALUMINIO 80 %   X 25 KG" u="1"/>
        <s v="MOTOR 10HP EBERLE 1800RPM 220/440V   " u="1"/>
        <s v="BANDA B-102" u="1"/>
        <s v="20060-81781 PERILLA DE FILTRO C350-B450" u="1"/>
        <s v="GRIFO DE VACIO" u="1"/>
        <s v="CABEZAL NYLON UN-10 SIN EMPAQUE) 82067 " u="1"/>
        <s v="GLIFOLAQ X 500 ML" u="1"/>
        <s v="CARBURADOR B530" u="1"/>
        <s v="TRITURADOR TIN-2 CON CICLÓN" u="1"/>
        <s v="ETIQUETA FAST X 250 ML" u="1"/>
        <s v="JUEGO DE CUCHILLAS EC 4000" u="1"/>
        <s v="CARTER C" u="1"/>
        <s v="22410-14302 PALANCA DEL ACELERADOR C230" u="1"/>
        <s v="P021027030 KIT MOTOR RECONSTRUCCION C350" u="1"/>
        <s v="CA ANILLO PISTON C230-HT230" u="1"/>
        <s v="ETIQUETA AGROTAFOL K X LITRO" u="1"/>
        <s v="VOLANTE CS8002" u="1"/>
        <s v="REGULADOR DE VOLTAGE" u="1"/>
        <s v="CAJA RESORTE ARRANCADOR CS510" u="1"/>
        <s v="ABRAZADERA DE MANGO KIT SRM4300" u="1"/>
        <s v="PESO DE INOX 350" u="1"/>
        <s v="TAMBOR ARRANQUE CS3000" u="1"/>
        <s v="VOLANTE 577" u="1"/>
        <s v="PLUG DE PRESION DE ACEITE" u="1"/>
        <s v="80023 TUBO COMPLETO C350" u="1"/>
        <s v="DESMALEZADORA 22C" u="1"/>
        <s v="RAIZ FORTE G  X KG" u="1"/>
        <s v="PUESTO COMPLETO DE ORDEÑADORA" u="1"/>
        <s v="PALANCA GATILLO B45-C35LA-B45LA" u="1"/>
        <s v="62035-81310 EMPAQUE B CARBURADOR B530" u="1"/>
        <s v="1903-27 PIN DEL PISTON" u="1"/>
        <s v="NUTRIZAN SOBRE X 70 gr" u="1"/>
        <s v="22050-12411 EJE CENTRAL BP 35" u="1"/>
        <s v="22169-75101 ARRANCADOR COMPLETO 577" u="1"/>
        <s v="LLAVE MIXTA-10 MM 86-855" u="1"/>
        <s v="FUMIGADOR 08 BRISTOL" u="1"/>
        <s v="MANUBRIO DERECHO SRM4300" u="1"/>
        <s v="AISLADOR DE ADMICION" u="1"/>
        <s v="EJE DE TRANSMICION DELANTERO" u="1"/>
        <s v="ETIQUETA TANQUE X LITRO" u="1"/>
        <s v="0-20-50 TIPO K-FOL" u="1"/>
        <s v="62035-12120 EMPAQUE CILINDRO B530" u="1"/>
        <s v="DESMALEZADORA SRM-22GUES" u="1"/>
        <s v="PALANCA SEGURO DEL ACELERADOR" u="1"/>
        <s v="ENVASE PARAGUAS PREIMPRESA" u="1"/>
        <s v="FEGADAZIM X 100 ML" u="1"/>
        <s v="ETIQUETA SKEMATA X 250 ML" u="1"/>
        <s v="ZULLY X 60" u="1"/>
        <s v="ARADO FIJO AF 4 DISCOS TATU" u="1"/>
        <s v="KIT MOTOR RECONSRTUCCION 757" u="1"/>
        <s v="60119-98310 KIT MOTOR RECONSTRUCCION B45LA" u="1"/>
        <s v="569002 TAPA Y FILTRO DE TANQUE QUIMICO SP40BPS" u="1"/>
        <s v="13031303710 CUBIERTA DEL FILTRO DE AIRE" u="1"/>
        <s v="BOMBA CEBADOR B450-B530-C350" u="1"/>
        <s v="TOKAL 400 X 500 ML" u="1"/>
        <s v="ETIQUETA SARGENT X 250 ML" u="1"/>
        <s v="JUEGO DE PALETA BOMBA B-VIN 745 2010761" u="1"/>
        <s v="TANQUE APILABLE 500LTRS" u="1"/>
        <s v="JUEGO DE EMPAQUETADURA B530" u="1"/>
        <s v="22169-35400 FILTRO GASOLINA 577-757-B450-B30" u="1"/>
        <s v="MOTOSIERRA CS-8002EUSTD       " u="1"/>
        <s v="P021004090 CILINDRO Y CARTER CS510" u="1"/>
        <s v="INDICATE-5 1LTS" u="1"/>
        <s v="FILTRO COMBUST 22F-C230-HT230-ES726-P" u="1"/>
        <s v="CAMISETAS" u="1"/>
        <s v="FILTRO AIRE (E) PRIMARIO 3540051M1 ATLAS" u="1"/>
        <s v="61001106230 EJE CENTRAL SRM3605 SRM4605" u="1"/>
        <s v="22169-82310 FILTRO AIRE 577-757" u="1"/>
        <s v="ETIQUETA BUCANER X 250 ML" u="1"/>
        <s v="PISTON KIT EDR-210" u="1"/>
        <s v="9401172 PULSADOR PIN" u="1"/>
        <s v="PERNO CUCHILLA  BP 35" u="1"/>
        <s v="KIT DE CARBURADOR B&amp;S 9HP" u="1"/>
        <s v="VASO CRISTAL COMBUSTIBLE 40572" u="1"/>
        <s v="72447-13240 SOPORTE (A) C350-B450-B530-B" u="1"/>
        <s v="CICLON PARA DP1 SIN ELEVADOR       " u="1"/>
        <s v="A011000250 CIGUEÑAL CS680-S" u="1"/>
        <s v="JUEGO LIMA JOYERO 10 PIEZAS" u="1"/>
        <s v="SELLO ES726" u="1"/>
        <s v="MOTOR SUBARU  DE 6 HP " u="1"/>
        <s v="EXTENSION 122CM-4" u="1"/>
        <s v="ETIQUETA SCOBA X LITRO" u="1"/>
        <s v="70131-75200 POLEA COMPLETA B45LA-C350" u="1"/>
        <s v="COLLAR BP35" u="1"/>
        <s v="CA CUERDA B450-C350-B530-BP35 (A509000190)" u="1"/>
        <s v="BOBINA DM6110" u="1"/>
        <s v="VALVULA PATO B530,B450" u="1"/>
        <s v="15-40-15-1+MICROELEMENTOS 25 KG" u="1"/>
        <s v="20000-81441 AGUJA BALANCIN B450-C350" u="1"/>
        <s v="DESTORNILLADOR PARA CALIBRAR CARBURADOR" u="1"/>
        <s v="EMPAQUETADURA DIAFR B45-B45L" u="1"/>
        <s v="ENGRANAJE 14 DIENTES FLANJE VFC 5000" u="1"/>
        <s v="SO-20.61.469 JUNTA DEL CILINDRO MD 134-40-41" u="1"/>
        <s v="70602068010 RESORTE" u="1"/>
        <s v="CONECTOR B450-B530-C350" u="1"/>
        <s v="4070981 ASIENTO DE VALVULA ES726" u="1"/>
        <s v="EMBRAGUE COMPLETO C230" u="1"/>
        <s v="ETIQUETA SKEMATA X 100 ML" u="1"/>
        <s v="MAQUINA DE SOLDAR" u="1"/>
        <s v="BASE DEL RESORTE ARRANCADOR CS680" u="1"/>
        <s v="AMINOVIT ORAL X 450 ML." u="1"/>
        <s v="BANDAS B-53" u="1"/>
        <s v="2011970 SELLADO DE PULSACIÓN" u="1"/>
        <s v="FILTRO AIRE C350-B450" u="1"/>
        <s v="DISCO DE EMBRAGUE (PTO)" u="1"/>
        <s v="05.000260 TORNILLO SEXT 7.94X 44.45" u="1"/>
        <s v="CA FILTRO COMBUSTIBLE 22F-C230 (A369000070)" u="1"/>
        <s v="PISTON KIT 577 (72334-98010)" u="1"/>
        <s v="63880-62391 TAPA DE ACEITE COMP P230" u="1"/>
        <s v="CILINDRO CS600" u="1"/>
        <s v="ABRAZADERA INFERIOR PPY2400" u="1"/>
        <s v="ALARMA COMPLETA" u="1"/>
        <s v="ETIQUETA SKEKURA X 100 ML" u="1"/>
        <s v="72432-13240 SOPORTE A C230" u="1"/>
        <s v="BUSHING-NYLON 1715538 PARA EC MINI" u="1"/>
        <s v="BANDAS B-58" u="1"/>
        <s v="RESORTE DE ARRANCADOR HT230" u="1"/>
        <s v="ENSILADORA EC MINI" u="1"/>
        <s v="BANDAS B-59" u="1"/>
        <s v="62035-32112 CUBIERTA CILINDRO B530" u="1"/>
        <s v="AGROVERDOL X LT" u="1"/>
        <s v="CA CUERDA 22F-22C-C230" u="1"/>
        <s v="ESTABILIZADOR CUCHILLA SRM4300 (61031421231)" u="1"/>
        <s v="PERNO AMORTIGUADOR CS510" u="1"/>
        <s v="PERNO DE CARBURADOR SRM3605" u="1"/>
        <s v="FILTRO DE ACEITE HIDRAULICO 244193500" u="1"/>
        <s v="ETIQUETA BUCANER X 100 ML" u="1"/>
        <s v="ACEITE BARRA CADENA PREMIUM 99909-551" u="1"/>
        <s v="20019-81440 VALVULA REGULADORA B530" u="1"/>
        <s v="TAMBOR EMBRAGUE CS1201" u="1"/>
        <s v="22160-42002 CIGUENAL 488" u="1"/>
        <s v="CAJA DE ENGRANAJE C350-C35LA" u="1"/>
        <s v="TUBO PRINCIPAL PPT2400" u="1"/>
        <s v="70131-81180 VALVULA PISTON B450-C350" u="1"/>
        <s v="DADO STY 1/2-1/4 86-384" u="1"/>
        <s v="GUIA DE HASTE ZM-44/38/51/63" u="1"/>
        <s v="SKEKURA  X LT" u="1"/>
        <s v="NTN UC206 D1-RODAMIENTOS" u="1"/>
        <s v="ETIQUETA AGROTAFOL AC X LITRO" u="1"/>
        <s v="BOMBA 2&quot; DE CAUDAL WP 2-40 (SIN MOTOR)" u="1"/>
        <s v="CA FILTRO REJA B45-B45LA" u="1"/>
        <s v="22150-51520 PINON FLOTANTE 577-757" u="1"/>
        <s v="20024-75220 TRINQUETE B45LA-B530-C350" u="1"/>
        <s v="ORDEÑO EUROLATTE FIJO 700L-4CONJUNTOS,PULSADOR ALTERNADO,CON MOTOR Y CANTARA, NCM 8434.1000" u="1"/>
        <s v="62035-41110 PISTON B530" u="1"/>
        <s v="LLAVERO PROBADOR CHISPA" u="1"/>
        <s v="EJE CENTRAL B530" u="1"/>
        <s v="MANUBRIO DERECHO SRM3605-SRM" u="1"/>
        <s v="CA COJINETE B450" u="1"/>
        <s v="ANILLO KIT SP40BPS" u="1"/>
        <s v="TIJERA CORTASETOS DOS MANOS DORADA 9&quot;" u="1"/>
        <s v="2010762 ALETA DE LA BOMBA BVIN 765" u="1"/>
        <s v="20040-81680 RESORTE MEMBRANA B450-C350-C" u="1"/>
        <s v="CILINDRO 488" u="1"/>
        <s v="BANDA B-72" u="1"/>
        <s v="62035-82131 CUBIERTA FILTRO AIRE B530" u="1"/>
        <s v="ETIQUETA AGROTAFOL FLORACION X 500 GRS" u="1"/>
        <s v="FOSFONATO POTASICO 70% X 500 ML" u="1"/>
        <s v="ETIQUETA SKEKURA X250 ML" u="1"/>
        <s v="POLEA 4`` DE 2 RANURAS" u="1"/>
        <s v="PERNO MARIPOSA PARA FILTRO PPT2400" u="1"/>
        <s v="22024-13291 PROTECTOR DE PERNO C270" u="1"/>
        <s v="AGROTAFOL COMBI X 200 G" u="1"/>
        <s v="ETIQUETA FEGADAZIM X LITRO" u="1"/>
        <s v="CONTRA CUCHILLA CILINDRO RECOGEDOR P 930" u="1"/>
        <s v="BOTA GOLIAT HIDROC.  42   (AMARILLO)" u="1"/>
        <s v="22152-21501 CARTER C COMPLETO 577" u="1"/>
        <s v="CA PISTON KIT 488" u="1"/>
        <s v="CILINDRO ALIMENTADOR DENTADO EC-4000" u="1"/>
        <s v="FERTILIZANTE FERTIFORRA PRODUCCION SACO (50KG)" u="1"/>
        <s v="AMORTIGUADOR POSTERIOR CS1201" u="1"/>
        <s v="CABEZAL NYLON UN-10 SIN EMPAQUE 82067A" u="1"/>
        <s v="ANILLO DE RETENCION B450-C35" u="1"/>
        <s v="CA AMORTIGUADOR B450-C350 (V420002390)" u="1"/>
        <s v="BIOBAN X GALON" u="1"/>
        <s v="ETIQUETA GLIFOSATO X LITRO" u="1"/>
        <s v="MOTOR HONDA 5.5 HP 3600 RPM" u="1"/>
        <s v="CABEZAL NYLON UN-10 SIN EMPAQUE) 82067A " u="1"/>
        <s v="RESORTE DEL EMBRAGUE 488" u="1"/>
        <s v="TERNO CHAQUETA PANTALON PVC." u="1"/>
        <s v="SOPORTE (B) C230 (22410-13251)" u="1"/>
        <s v="CUCHILLAS EC MINI (UNIDADES)" u="1"/>
        <s v="38490-18 BARRA 18 PROLITE D 0.816" u="1"/>
        <s v="PASADOR C270" u="1"/>
        <s v="22015-14301 PALANCA ACELERADOR B45-C35LA" u="1"/>
        <s v="REGULADOR" u="1"/>
        <s v="80025 TUBO COMP CON ETIQUETA B450" u="1"/>
        <s v="ETIQUETA AGROTAFOL FLORACION X KILO" u="1"/>
        <s v="FILTRO HCDO. S-40/TS110 82005016" u="1"/>
        <s v="22169-41210 ANILLOS PISTON 757" u="1"/>
        <s v="TUERCA 3/4UNC 1K03097SUJE CUER  DSC AFL" u="1"/>
        <s v="BUTACLOR X LT" u="1"/>
        <s v="FILT COMB. GP 243190601" u="1"/>
        <s v="2011080 ANILLO INTERNO DE RECOLECTOR 350" u="1"/>
        <s v="CAJA INVERSORA EC-MINI" u="1"/>
        <s v="ANILLO PRESION AC. 3/8 (176)" u="1"/>
        <s v="TAPA DE GASOLINA" u="1"/>
        <s v="SUPER POLLO ENGORDE PELLET ( 88 LIBRAS )" u="1"/>
        <s v="BOQUILLA POIETIL SP40BPS_x0009__x0009__x0009_" u="1"/>
        <s v="AGUILON DE FUMIGACION  " u="1"/>
        <s v="SACO DE CALFOSAL LECHE  20 KLS." u="1"/>
        <s v="CONTRA CUCHILLA DP1" u="1"/>
        <s v="MANGUITO VITON MD.425-35.EMPAQUE PARA PI" u="1"/>
        <s v="DIAFRAGMA CARBURADOR CS1201" u="1"/>
        <s v="MANGUERA DE AGUA 10  M, 1 1/2&quot; VERDE" u="1"/>
        <s v="PERNO DE LA LLANTA" u="1"/>
        <s v="RUEDA PARA ZM 95 2.00X0.35  " u="1"/>
        <s v="MATABABOSA 5% 1/2 LB  (FUNDA)" u="1"/>
        <s v="SELLLO DE ACEITE SRM4300" u="1"/>
        <s v="CONTRA CUCHILLA DP2" u="1"/>
        <s v="LLAVE MIXTA 14 MM ·#86-859" u="1"/>
        <s v="38920001640 DIENTE DE CADENA D.S.C. 820" u="1"/>
        <s v="CILINDRO ALIMENTADOR DENTADO EC-4800" u="1"/>
        <s v="ESPIRAL MEZCLADORA MRC 500" u="1"/>
        <s v="CAJA DE FUSIBLES" u="1"/>
        <s v="CARBENDAZIM 50 % WP KILO" u="1"/>
        <s v="SOPORTE (B) BP35" u="1"/>
        <s v="TANQUE QUIMICA SHP800" u="1"/>
        <s v="EMBRAGUE PPT2400 GT-22GES" u="1"/>
        <s v="CAJA COMBO RAIZ ROSADA" u="1"/>
        <s v="ETIQUETA YOGA X LITRO" u="1"/>
        <s v="FOSETYL ALUMINIO 80 % WP KILO" u="1"/>
        <s v="PLACA MANGA 757" u="1"/>
        <s v="CORTADORA DE ZUNCHOS SANDUIK" u="1"/>
        <s v="12532508360 EMPAQUE BOMBA CARBURADOR SRM4300" u="1"/>
        <s v="CIGUEÑAL PPT2400" u="1"/>
        <s v="CITOQMAX X 100 ML" u="1"/>
        <s v="CILINDRO 7304-02" u="1"/>
        <s v="61031421231 ESTBILIZAD CUCHILLA SRM4300" u="1"/>
        <s v="CONTRA CUCHILLA DP4" u="1"/>
        <s v="9701201 ANILLO ES726" u="1"/>
        <s v="20011-81021 CARBURADOR C35LA" u="1"/>
        <s v="JERINGA DESCARTABLE DE 20CCU" u="1"/>
        <s v="20016-31212TAMBOR DE EMBRAGUE 22C" u="1"/>
        <s v="JUEGO DE MARTILLOS PARA DPF JR." u="1"/>
        <s v="EJE CENTRAL B45-B45LA" u="1"/>
        <s v="BOMBA DE ACEITE CS8000" u="1"/>
        <s v="KIT 147 ( CLEANMATIC )" u="1"/>
        <s v="BOMBA DE ACEITE CS8002" u="1"/>
        <s v="RESORTE DE ARRANCADOR Y CAJA 577,757" u="1"/>
        <s v="TAPA P  DEPURADOR DE TRAC  LAMBORGHINI" u="1"/>
        <s v="KIT MOTOR RECONSTRUC 577" u="1"/>
        <s v="O RING BOQUILLA ES726 " u="1"/>
        <s v="EMPAQUE DE SILENCIADOR 757" u="1"/>
        <s v="COMEDERO GRANDE PARA MASCOTA." u="1"/>
        <s v="MOTOR SUBARU 14 HP." u="1"/>
        <s v="62035-81013 CARBURADOR B530" u="1"/>
        <s v="HERRAM ESTRACTOR" u="1"/>
        <s v="20020-75120 TAMBOR B450-B45" u="1"/>
        <s v="CA PINON FLOTANTE 577-757-CS8002 (22150-51520)" u="1"/>
        <s v="MANGA CS1201" u="1"/>
        <s v="70602049A20 VALVULA SHP800" u="1"/>
        <s v="MANUBRIO DERECHO SRM270" u="1"/>
        <s v="2011553 MANGUERA DE DESCARGA DE LAVADOR" u="1"/>
        <s v="4502640 LANZA MANGO ES726" u="1"/>
        <s v="MOLADORA GRANDE" u="1"/>
        <s v="GATILLO DE ACELERADOR B450" u="1"/>
        <s v="CA HERRAM EXTACT VOLANTE" u="1"/>
        <s v="PROTECTOR DE PERNO (B) C270" u="1"/>
        <s v="TENSOR DE LA CADENA" u="1"/>
        <s v="16-16-12+ B X 200 LTS" u="1"/>
        <s v="BOBINA MOD. 134/140/141" u="1"/>
        <s v="PROTECTOR DE PISTON ZM-44" u="1"/>
        <s v="62083-81310 TAPA CARBURADOR B530" u="1"/>
        <s v="MOTOR HONDA 6.5 HP" u="1"/>
        <s v="ANILLO DE RETENCION B45-B530-B45LA" u="1"/>
        <s v="CONECTOR DE EJE DE TRANSMISION" u="1"/>
        <s v="CA PERNO TAPA GRASA B45-B450-B5 (V206000250)" u="1"/>
        <s v="ACEITE RACING 5000SAE 40P. PARA MOTOCULTOR" u="1"/>
        <s v="SKEKURA  X 500 ML" u="1"/>
        <s v="RESORTE TRIQUETE B450" u="1"/>
        <s v="22015-13210 EJE DE ENGRANAJE B45-B450-C3" u="1"/>
        <s v="AGROTAFOL FOSFITO X 20 LTS" u="1"/>
        <s v="70210-15212 EMPAQUE, SILENCIADOR B45-B450-C350-BP35                               " u="1"/>
        <s v="TAPA DEL DRENAJE ES726" u="1"/>
        <s v="AN. ANTIES 6.2X9X1.5" u="1"/>
        <s v="ETIQUETA LETAL X LITRO" u="1"/>
        <s v="SUJET CUCHILLA B450-B530-C350" u="1"/>
        <s v="C535000510 SOPORTE (A)" u="1"/>
        <s v="VIRAFIN X LT" u="1"/>
        <s v="CILINDRO 6702" u="1"/>
        <s v="CARTER COMPLETO B530" u="1"/>
        <s v="VALVULA PROSION SHP-800" u="1"/>
        <s v="TUBOS DE ESCAPE DE ORDEÑO" u="1"/>
        <s v="LAMBDA SOL X LITRO" u="1"/>
        <s v="72518-91180 LLAVE DE BUJIA B45-B450-B530-C350" u="1"/>
        <s v="VALVULA SRM3605" u="1"/>
        <s v="MOTOR 10HP TEMCO 1800RPM 220V " u="1"/>
        <s v="BEBEDERO PARA CERDOS 1/2 1 U" u="1"/>
        <s v="22175-82320 FILTRO BASE 577" u="1"/>
        <s v="FILTRO CUERPO AIRE B450-C350" u="1"/>
        <s v="ETIQUETA SINOTOP X 100 ML" u="1"/>
        <s v="22100-41230 ANILLO RETENEDOR B450" u="1"/>
        <s v="TUERCA COLGADOR SRM4300" u="1"/>
        <s v="02.046292 CONTRA CUCHILLA JF40S/MAXXIUM" u="1"/>
        <s v="CA EMPAQUE SILENCIADOR B530" u="1"/>
        <s v="PERILLA DE FILTRO B530-HT230" u="1"/>
        <s v="MOTOR 1HP WEG 1800RPM 110/220V" u="1"/>
        <s v="02002-06001 COJINETE B450 B530" u="1"/>
        <s v="PISTON KIT HC-150" u="1"/>
        <s v="1123300 PISTOLA CROMADA CON MANGO" u="1"/>
        <s v="TAMBOR EMBRAGUE COMPLETO 488" u="1"/>
        <s v="AGROTAFOL BORO X LT" u="1"/>
        <s v="MYCLOBUTANYL 12,5 % EC x 100 ML" u="1"/>
        <s v="SOPORTE B C270" u="1"/>
        <s v="BOTA GOLIAT HIDROC 41 S/F    (AMARILLO)" u="1"/>
        <s v="70210-81451 PLACA CARB B450" u="1"/>
        <s v="2011570 MANGUERA DE CRISTAL DE LUBRICACI" u="1"/>
        <s v="TRINQUETE PPT2400" u="1"/>
        <s v="ACELERADOR COMPLETO BP35" u="1"/>
        <s v="FOCOS PARA TRACTOR JINMA" u="1"/>
        <s v="PODADORA DE ALTURA  P231" u="1"/>
        <s v="BASE TANQUE SRM4605" u="1"/>
        <s v="EMPAQUE (B) ADMICION PPT2400" u="1"/>
        <s v="BOBINA EB500" u="1"/>
        <s v="ARRANCADOR COMPLETO C270" u="1"/>
        <s v="AGROTAFOL ZINC X LT" u="1"/>
        <s v="ETIQUETA AGROVERDOL X LITRO" u="1"/>
        <s v="CAJA COMBO ARROZ INICIAL" u="1"/>
        <s v="ETIQUETA SINOPRID 50 G / TRASERA" u="1"/>
        <s v="CUBIERTA EMBRAGUE SRM4300" u="1"/>
        <s v="43101530831 CADENA70CM 28&quot; CS8002" u="1"/>
        <s v="MANGUERA 5/16, 10 MTS" u="1"/>
        <s v="02002-06001 COJINETE B450-B530" u="1"/>
        <s v="RETEN 65X90X12" u="1"/>
        <s v="MOTOR 1.5 HP WEG 1800 RPM" u="1"/>
        <s v="22410-17202 ARNES C230-22C" u="1"/>
        <s v="CORONA BRONCE EC 4800" u="1"/>
        <s v="62035-31110 CUBIERTA DE VENTILADOR B530" u="1"/>
        <s v="TAPA TANQUE HIDRAULICO TL-90" u="1"/>
        <s v="ETIQUETA AGROTHANE X 500 GRS" u="1"/>
        <s v="CAJA DE ENGRANAJE C270" u="1"/>
        <s v="CARCASA (A) SUPERIOR CAJA ENGRANAJE PPT2400" u="1"/>
        <s v="MEDIDOR DE TEMPERATURA DEL AGUA" u="1"/>
        <s v="LUBRICADOR II" u="1"/>
        <s v="70871-81100 CARBURADOR SEMI COMP HT230" u="1"/>
        <s v="EMPAQUE CILINDRO B450-C350" u="1"/>
        <s v="CA CABLE B450-C350 (V430002900)" u="1"/>
        <s v="ANILLOS PISTON, KIT SHP800" u="1"/>
        <s v="MOTOSIERRA CS-420EU CON BARRA Y CADENA" u="1"/>
        <s v="EXHIBIDOR ECHO-SHINDAIWA RANURADO" u="1"/>
        <s v="P022007100 ABRAZADERA (C) SRM4300" u="1"/>
        <s v="TAMBOR ARRANQUE CS510" u="1"/>
        <s v="62035-32320 PERILLA DORADA B530" u="1"/>
        <s v="BOMBA FRENO S-60/35/TL-TM135" u="1"/>
        <s v="TECLE TIGER 5T-3M-ACCION C.CADE " u="1"/>
        <s v="OJAL TANQUE COMBUSTIBLE SHP-800" u="1"/>
        <s v="RUEDA PARA ZM 76 2.00X0.35" u="1"/>
        <s v="ACIDOS HUMICOS , FULVICOS + AMINOACIDOS" u="1"/>
        <s v="BANDA A-40" u="1"/>
        <s v="CA CUBIERTA BUJIA B530" u="1"/>
        <s v="STICKER COMBO COGOLLERO" u="1"/>
        <s v="AGUJAS DESCARTABLES 16X1 CAJAS X 100 U" u="1"/>
        <s v="CONTRA CUCHILLA EC 4000" u="1"/>
        <s v="BANDA B-40" u="1"/>
        <s v="BALANZA ELECTRICA 30KG " u="1"/>
        <s v="COSECHADORA CUSTOM 930-C" u="1"/>
        <s v="CA CUBIERTA FILTRO DE AIRE SRM4300" u="1"/>
        <s v="80728 DISCO DE ACERO 4 PUNTAS" u="1"/>
        <s v="22155-97610 PLACA GUIA A 577" u="1"/>
        <s v="JUEGO DE PIÑON B45-B450-B530" u="1"/>
        <s v="MANGUERA PRINCIPAL DE LECHE SILICONADO TRANSPARENTE, NCM 8434.9000" u="1"/>
        <s v="TUERCA BARRA CS1201" u="1"/>
        <s v="22160-12150 MANGA 488" u="1"/>
        <s v="FILTRO GASOLIN FP586F" u="1"/>
        <s v="99909-307 CARTER M C350" u="1"/>
        <s v="GORRAS ALGODON" u="1"/>
        <s v="20055-81004 CARBURADOR COMPLETO BP35" u="1"/>
        <s v="ENGRANAJE SIN FIN 757" u="1"/>
        <s v="JUNTA PARA EL CILINDRO DE LA DIRECCION" u="1"/>
        <s v="BANDA 5B-152 COSECHADORA 930C" u="1"/>
        <s v="STICKER PARALANCHA BLUE" u="1"/>
        <s v="70870-98030 KIT DE VALVULAS HT230" u="1"/>
        <s v="ACEITE ESPECIAL PARA BOMBAS DE VACIO 1LT, NCM.8434.9000" u="1"/>
        <s v="AGROTAFOL 15-30-15  FLORACION X 500G" u="1"/>
        <s v="CUBIERTA DE CILINDRO C230-ES726" u="1"/>
        <s v="ANILLOS PISTON B530" u="1"/>
        <s v="CABLE DE ACELERADOR PPT2400" u="1"/>
        <s v="ETIQUETA FULMINANTE X 50 GMS / TRASERA" u="1"/>
        <s v="22169-33102 HANDLE ASSY 577" u="1"/>
        <s v="CARTAP 50 % PS 25KG" u="1"/>
        <s v="AMORTIGUADOR SRM4605" u="1"/>
        <s v="TRINQUETE SRM270,C350,B530" u="1"/>
        <s v="8890802 AMORTIGUADOR ES726" u="1"/>
        <s v="80426 DISCO DE ALTA EXIGENCIA 9&quot;" u="1"/>
        <s v="PISTON KIT 488" u="1"/>
        <s v="BOBINA CS680S" u="1"/>
        <s v="POLEA DE ARRANCADOR B530; SRM4300" u="1"/>
        <s v="02.043906 CONTRA CUCHILLA RECOJEDOR" u="1"/>
        <s v="KIT 132 ( CLEANMATIC )" u="1"/>
        <s v="AGROTAFIX  X 100 ML" u="1"/>
        <s v="KIT 134 ( CLEANMATIC )" u="1"/>
        <s v="BOTA GOLIAT HIDROC 40 S/F    (AMARILLO)" u="1"/>
        <s v="CALCIO 6 % / BORO 3 %" u="1"/>
        <s v="20055-81120 TAPA FILTRO C350-B450" u="1"/>
        <s v="4527270 FILTRO 320" u="1"/>
        <s v="BOMBA DE AGUA DIESEL CWD 50XL" u="1"/>
        <s v="CA BASE B45-B45LA-B450-C350 (A175000180)" u="1"/>
        <s v="SERRUCHO ABATIBLE 130mm" u="1"/>
        <s v="OXIDO DE POTASIO 40 % QUELATADO" u="1"/>
        <s v="ABAMECTINA NEGRA 1.8% X 200L" u="1"/>
        <s v="CABLE DEL ACELERADOR ES726" u="1"/>
        <s v="LATAS PARA REPUESTOS DP4" u="1"/>
        <s v="ETIQUETA BIOBAN LITRO GALON 5 GL" u="1"/>
        <s v="FILTRO AIRE B45-B45LA (20000-81740)" u="1"/>
        <s v="KIT MOTOR RECONSTRUCCION B530" u="1"/>
        <s v="PIÑON CONICO CON VASTAGO P230" u="1"/>
        <s v="ENVASE TROMBA 250 G PREIMPRESA" u="1"/>
        <s v="CONTRA CUCHILLA H20F4 JF60S JF" u="1"/>
        <s v="ETIQUETA CIROMAZINA 50 GRS POST (F.A)" u="1"/>
        <s v=" 43101230831CADENA 50CM 20&quot; CS600" u="1"/>
        <s v="CITOQMAX X LT" u="1"/>
        <s v="CA DIFENOCONAZOLE 25 % EC X 250 ML" u="1"/>
        <s v="JUEGO CUCHILLAS ROTOR COSECHADORA 930 C" u="1"/>
        <s v="20016-12120 EMPAQUE CILINDRO 22F-C230-ES" u="1"/>
        <s v="AGUJA BALANCIN B450-C350" u="1"/>
        <s v="BASE Y PIEDRA AFILADOR JF92Z10" u="1"/>
        <s v="CUCHILLAS REPICADORAS PPC3" u="1"/>
        <s v="62035-33110 UNION B530" u="1"/>
        <s v="BOMBA DE AGUA" u="1"/>
        <s v="18500-90002 CUCHILLA SUPERIOR 40 HT230" u="1"/>
        <s v="RESORTE ARRANCADOR 22C-C230-P230" u="1"/>
        <s v="CA BARRA GUIA 28&quot; CS-8002" u="1"/>
        <s v="DADO M8X13X5 INOX AISI" u="1"/>
        <s v="ARNES COMPLETO B530  B450  C350" u="1"/>
        <s v="CA EMPAQUE CILINDRO B450-C350 (V100000470)" u="1"/>
        <s v="COLLAR" u="1"/>
        <s v="BANDA A-54" u="1"/>
        <s v="72080-98011 PISTON KIT B45-B45LA" u="1"/>
        <s v="CABLE DE ACELERADOR SHP800" u="1"/>
        <s v="CHUMACERA EJE PARA GCMR 16-18-20" u="1"/>
        <s v="22169-96580 HERRAM ESTRACTOR" u="1"/>
        <s v="BASE FILTRO AIRE SRM4300 anterior" u="1"/>
        <s v="GREEN GIBB X 10 GRS" u="1"/>
        <s v="KIT CUCHILLAS JF2/2D/D250 COMPLETO" u="1"/>
        <s v="TORNILLO MD.130-34-40-41" u="1"/>
        <s v="MACETERO JAZMIN TULIPAN CHICO (BASE)" u="1"/>
        <s v="RESORTE DE AGUJA DE REGULACION CS8002" u="1"/>
        <s v="CA PALANCA BALANCIN B450-C350 (P004001340)" u="1"/>
        <s v="SET DE ORDEÑO EUROLATTE(VASO TIPO F, TUBERIA CORTA VACIO, PESONERA,COLECTOR 16MM) NCM. 8434.9000" u="1"/>
        <s v="SOPLADORA ECHO ES-255" u="1"/>
        <s v="CA RESORTE L B450-B530" u="1"/>
        <s v="VALVULA REGULADORA SHP800 (70602060A22)" u="1"/>
        <s v="TAMBOR ARANQ B450-B45 (20020-75120)" u="1"/>
        <s v="9402011T CONJUNTO DE LA VALVULA DE AJUST" u="1"/>
        <s v="9214D-24 BARRA 24 050 D 009" u="1"/>
        <s v="ANILLO DE GRASA SHP-800" u="1"/>
        <s v="ETIQUETA ESTAMPIDA X 100 ML" u="1"/>
        <s v="BANDA B-71" u="1"/>
        <s v="TANQUE COMBUSTIBLE SRM4300" u="1"/>
        <s v="C022000120 BOMBA DE ACEITE P230" u="1"/>
        <s v="70210-32111 CUBIERTA CILINDRO B450" u="1"/>
        <s v="CA VALVULA REGULADORA CARBURADOR B530" u="1"/>
        <s v="TOKAL  400 X 100 ML" u="1"/>
        <s v="O RING CAJA ENGRANAJE SRM4605" u="1"/>
        <s v="22015-13270 PROTECTOR PERNO B45-B450-B53" u="1"/>
        <s v="PERNO SUJETA EJE SRM4300" u="1"/>
        <s v="VIRAFIN X 250 ML" u="1"/>
        <s v="MANUBRIO C270" u="1"/>
        <s v="22020-14200 MANGO COMPLETO B45-B45LA-C350" u="1"/>
        <s v="9401109 CONJUNTO DE TETERAS PARA CABRA &quot;;9401109 CONJUNTO DE TETERAS PARA CABRA &quot;&quot;" u="1"/>
        <s v="CAJA LITRO" u="1"/>
        <s v="P021013620 CIGUENAL CS420" u="1"/>
        <s v="ETIQUETA CITOQMAX X LITRO" u="1"/>
        <s v="TAMBOR DE EMBRAGUE BP35" u="1"/>
        <s v="CARTAP 50% WP  100 G" u="1"/>
        <s v="VALVULAS (XEQUE) ZM-44" u="1"/>
        <s v="CARTER SET CS3500" u="1"/>
        <s v="72933-75900 ARRANCADOR SIN ETIQUETA C230" u="1"/>
        <s v="A011000120 CIGUENAL SRM4300" u="1"/>
        <s v="MANGURTA ATOXICA CRISTAL 15.5X26" u="1"/>
        <s v="MACHETE BELLOTA 18&quot; H/*ANCHA M/PLASTICO ROJO." u="1"/>
        <s v="PROCAN CRP POLLO CEREAL LECHE 15 KG." u="1"/>
        <s v="ETIQUETA FAST X LITRO" u="1"/>
        <s v="62035-12111 CILINDRO B530" u="1"/>
        <s v="CARBURADOR DM6110 (A021000990)" u="1"/>
        <s v="CAUTIN" u="1"/>
        <s v="MOTOR TRIFASICO 5HP 3600RPM WEG" u="1"/>
        <s v="22020-11110 UNION B450-B45" u="1"/>
        <s v="62035-71110 VOLANTE B530" u="1"/>
        <s v="22160-33801 TAPA COMBUS 757-577-488" u="1"/>
        <s v="ETIQUETA SCOBA X 50 ML" u="1"/>
        <s v="RESORTE ARRANQUE B530" u="1"/>
        <s v="CIGUEÑAL CS680-S (A011000250)" u="1"/>
        <s v="PIÑON DE LA CAJA DE ENGRANAJE P230" u="1"/>
        <s v="62035-15210 EMPAQUE DE SILENCIADOR B530" u="1"/>
        <s v="SKEKURA X 100 ML" u="1"/>
        <s v="PERILLA ARRANCADOR SRM3605" u="1"/>
        <s v="PROFESIONAL THICKER X KILO" u="1"/>
        <s v="ETIQUETA AMINO FISH X LITRO" u="1"/>
        <s v="CUBIERTA CILINDRO C230" u="1"/>
        <s v="EMPAQUE VERDE" u="1"/>
        <s v="FILTRO COMBUST 22F-C230-HT230-ES726 (20016-85400)" u="1"/>
        <s v="POLEA A3.5  1RAN,5 8  ELECT" u="1"/>
        <s v="10101147530 CILINDRO SRM4605" u="1"/>
        <s v="KELAGRO MAGNESIO X 20 LITROS" u="1"/>
        <s v="2012619 KIT DE CUCHILLA COMPLETO JF-40P" u="1"/>
        <s v="KIT 83 ( BOX JET )" u="1"/>
        <s v="ETIQUETA SINOPRID X 50 GMS" u="1"/>
        <s v="JUEGO COMPRESOR" u="1"/>
        <s v="BLINDAX X 100 ML" u="1"/>
        <s v="HOMBRERA ES726" u="1"/>
        <s v="21001201112 TUBO FLEXIBLE" u="1"/>
        <s v="MYCLOBUTANYL 12,5 % EC x 250 ML" u="1"/>
        <s v="BUCANER FORTE X 500 ML" u="1"/>
        <s v="22169-12120 EMPAQUE CILINDRO 757" u="1"/>
        <s v="RIDONATE X LITRO" u="1"/>
        <s v="88198-S TAPA DE BOQUILLA ES726" u="1"/>
        <s v="TAMBOR EMBRAGUE CS3000 SH" u="1"/>
        <s v="CA KIT MOTOR RECONSTRUC 757" u="1"/>
        <s v="BONGO FORTE-- JER 5 ML" u="1"/>
        <s v="DIAFRAGMA DE CARBURADOR 488" u="1"/>
        <s v="KIT DE REPARACION BOMBA ES726" u="1"/>
        <s v="ASTUTO X LITRO" u="1"/>
        <s v="AMORTIGUADOR 577-757" u="1"/>
        <s v="PISTON  KIT DM6110" u="1"/>
        <s v="22015-13241 SOPORTE A B450-C350-B450" u="1"/>
        <s v="TAPON BOMBA SHP800" u="1"/>
        <s v="VALVULA DE VENTILADOR B530" u="1"/>
        <s v="CA PISTON JUEGO COMPLETO 488" u="1"/>
        <s v="2010972 TOMA DE VACIO" u="1"/>
        <s v="LAVADORA BOSCH " u="1"/>
        <s v="BOTA GOLIATECUA S/F 41       (NEGRA)" u="1"/>
        <s v="GLIFOSATO 48 % SC X 20 LT" u="1"/>
        <s v="80677 ADAPTADOR UN10 C270,BP35" u="1"/>
        <s v="82003 COMBINACION VISOR/OREJERAS" u="1"/>
        <s v="KIT CUCHILLAS  JF40P COMPLETO" u="1"/>
        <s v="CA JUEGO DE PINON C350 (V651000520)" u="1"/>
        <s v="LAMBDACIHALOTRINA 2,5% EC X 250 ML" u="1"/>
        <s v="PODADORA MURRAY 3.6HP 20P45L00X78A  20&quot; 4N." u="1"/>
        <s v="CHIPPER/SHREDDERS-SC3265_x0009__x0009__x0009_" u="1"/>
        <s v="TAMBOR DE EMBRAGUE CS270" u="1"/>
        <s v="BROCA METAL DORADA" u="1"/>
        <s v="METSULFURON METYL X 15 GR" u="1"/>
        <s v="PISTON CILINDRO KIT SP40BPS" u="1"/>
        <s v="CUCHILLAS JF-40P UNIDADES" u="1"/>
        <s v="22175-81000 CARBURADOR COMP 577-577P" u="1"/>
        <s v="ABRAZADERA (C) SRM4300" u="1"/>
        <s v="BALANZA DE PILON 500LB" u="1"/>
        <s v="72935-63210 TUBERIA PRINCIPAL EB500" u="1"/>
        <s v="MOTOR GASO 3.5 HP EJE RECTO" u="1"/>
        <s v="ETIQUETA ESTAMPIDA X 250 ML" u="1"/>
        <s v="72365-98011 PISTON KIT 488" u="1"/>
        <s v="20010-81711 PORTA FILTRO B45-BP35" u="1"/>
        <s v="CAJA DE ENGRANAJE COMP B530" u="1"/>
        <s v="FILTRO SECUNDARIO AIRE 6405 AL78224" u="1"/>
        <s v="EMPAQUE" u="1"/>
        <s v="09026-04001 LLAVE 4MM B450 HERRAMIENTA" u="1"/>
        <s v="DESENGRASANTE NEUTRO" u="1"/>
        <s v="SALMIN LECHE X 5KL BALDE " u="1"/>
        <s v="RESORTE ARRANC B450-C350-B45 (20024-75130)" u="1"/>
        <s v="CA TRINQUETE B45LA-B530-C350-SRM270" u="1"/>
        <s v="DIFENOCONAZOLE 25 % EC" u="1"/>
        <s v="MOLINO PICADOR DPF-SR" u="1"/>
        <s v="ANILLOS JUEGO PISTON CS6700" u="1"/>
        <s v="22100-81230 PALANCA BALANCIN SRM3605 SRM4605 C230" u="1"/>
        <s v="EJE, ENGRANAJE B530" u="1"/>
        <s v="PASADOR ÉLASTICO 4×30 CS420" u="1"/>
        <s v="EMPAQUE DE DIAFRAGMA DE CARBURADOR 488,577,757" u="1"/>
        <s v="68501-98010 CABLE DEL ACELERADOR ES726" u="1"/>
        <s v="70210-42001 CIGUEÑAL COMPLETO B450" u="1"/>
        <s v="CRIADORA 2 PLACAS COMPLETA" u="1"/>
        <s v="ETIQUETA AGROTAFOL ZINC X 500 ML" u="1"/>
        <s v="COMBO MATER INICIAL" u="1"/>
        <s v="CUERPO DE PURGA" u="1"/>
        <s v="FILTRO HIDRAULICO 1920986-1" u="1"/>
        <s v="4557850 LANZA ES726" u="1"/>
        <s v="AMORTIGUADOR A B530" u="1"/>
        <s v="21001400310 TUBO RECTO" u="1"/>
        <s v="ANILLOS" u="1"/>
        <s v="RASTRILLO TELESCOPICO ABATIBLE" u="1"/>
        <s v="4042881 EMBOLO ES726" u="1"/>
        <s v="62035-82131 TAPA FILTRO B530" u="1"/>
        <s v="FILTRO COMBUSTIBLE TANQUE 577-757-B450-B530" u="1"/>
        <s v="JUEGO ANILLO PISTON B45-B45L" u="1"/>
        <s v="ENVASE AGROBALA VERDE X 500 ML" u="1"/>
        <s v="22015-13241 SOPORTE A B450-C350-B45-B530" u="1"/>
        <s v="20018-81750 FILTRO AIRE C230-P230" u="1"/>
        <s v="ETIQUETA KEMADOR X GALON" u="1"/>
        <s v="DIAFRAGMA CARBURADOR  BC420 190405" u="1"/>
        <s v="MACETERO JAZMIN CHICO" u="1"/>
        <s v="ETIQUETA SPIN X 250 ML" u="1"/>
        <s v="FILTRO DE ACEITE HIDRAULICO 244192800" u="1"/>
        <s v="20016-21200 CARTER M COMP C230-P230" u="1"/>
        <s v="X405000011  CUCHILLA METALICA DE 3 ELEME" u="1"/>
        <s v="VITASAL LECHE X 10 KILOS" u="1"/>
        <s v="P021012830 ABRAZADERA MANUBRIO SRM3605" u="1"/>
        <s v="KIT DE AGUJA C270" u="1"/>
        <s v="22169-81000 CARBURADOR COMPLETO 757" u="1"/>
        <s v="CARDAN PARA CUSTOM 930-C SIN EMBRAGUE" u="1"/>
        <s v="COMBO AGROTA CACAO INICIO " u="1"/>
        <s v="20021-81920 EMPAQUETADURA DIAFR B45-B45L" u="1"/>
        <s v="FILTROS CARTUCHO MOTOR 8HP" u="1"/>
        <s v="CA KIT MOTOR RECONSTRUC .C230" u="1"/>
        <s v="ABAMECTINA NEGRA 1.8% X 100 ML" u="1"/>
        <s v="9400326 CUERPO DEL AJUSTADOR DE VACIO" u="1"/>
        <s v="BOBINA COMPLETA C230-P230" u="1"/>
        <s v="ETIQUETA AGROTAFOL INICIAL X KILO" u="1"/>
        <s v="AGROTAFOL K PLUS X LT" u="1"/>
        <s v="22015-13210 EJE DE ENGRANAJE B45-B450-C350" u="1"/>
        <s v="GATILLO ACELERADOR" u="1"/>
        <s v="JUEGO ANILLO PISTON C230-HT2" u="1"/>
        <s v="ETIQUETA CIROMAZINA 50 GRS POST (AGROTA)" u="1"/>
        <s v="02432-28120 ANILLO DE RETENCION 22F" u="1"/>
        <s v="EMPAQUES DE LA TAPA DE MOTOR" u="1"/>
        <s v="SO-20.48.377 ARO DEL PISTON MOD.432/433 " u="1"/>
        <s v="TAMBOR EMBRAGUE BP35" u="1"/>
        <s v="SINOTYL X 100 G" u="1"/>
        <s v="PERILLA TAPA FILTRO SRM3605" u="1"/>
        <s v="ARRANQUE COMPLETO DE MS 56" u="1"/>
        <s v="MANGO DEL ARRANCADOR HT230" u="1"/>
        <s v="CABLE COMPLETO C350" u="1"/>
        <s v="20016-85003 TANQUE DE COMBUSTIBLE C230" u="1"/>
        <s v="TECLE TIGER 1.1/2T-2.5M" u="1"/>
        <s v="BOMBA ZM 95 MAXXI" u="1"/>
        <s v="SINOTYL X 500 G" u="1"/>
        <s v="VALVULA PRESION SHP800" u="1"/>
        <s v="RESORTE ARRANCADOR B450-C350-B45" u="1"/>
        <s v="SCOBA COEX X LT" u="1"/>
        <s v="CA ANILLO PISTON C350-BP35" u="1"/>
        <s v="20040-81430 RESORTE BALANCIN C350-B450-B" u="1"/>
        <s v="ETIQUETA BUCANER FORTE X 500 ML" u="1"/>
        <s v="CAJA DE ENGRANAJE C230" u="1"/>
        <s v="TUERCA BRIDA" u="1"/>
        <s v="VOLANTE" u="1"/>
        <s v="72334-98010 PISTON KIT 577" u="1"/>
        <s v="SINOZINE X 100 ML" u="1"/>
        <s v="AGUJA KIT B450" u="1"/>
        <s v="20010-21211 RETEN B450-B530-C350-EB500" u="1"/>
        <s v="CARBENDAZIM 50 % WP 100 GR" u="1"/>
        <s v="20035-75200 POLEA COMPLETA ALUMINIO ES726" u="1"/>
        <s v="AMORTIGUADOR FRONTAL CS1201" u="1"/>
        <s v="569012 BOQUILLA TIPO ABANICO SP40BPS" u="1"/>
        <s v="AGUJA CARBURADOR DM6110 CS420 CS600 PPT2400 SRM270 CS3500" u="1"/>
        <s v="CARTER WP-1000 EDR-210" u="1"/>
        <s v="72080-98011 PISTON JUEGO COMP. B45-B45LA" u="1"/>
        <s v="PARAQUAT X GALON" u="1"/>
        <s v="ABRAZADERA ALETA B450-B45 (22019-11313)" u="1"/>
        <s v="MOTOR GASO 16 HP EJE RECTO I/C B&amp;S" u="1"/>
        <s v="FILTRO AIRE (I) TL80/90/100 1930825" u="1"/>
        <s v="TUERCA-BRIDA" u="1"/>
        <s v="RESORTE DE ARRANCADOR CS1201" u="1"/>
        <s v="EMBRAGUE CS3500" u="1"/>
        <s v="CIMOXANIL 8% + MANCOZEB 64 % WP 500 GR" u="1"/>
        <s v="PALANCA ACELERADOR COMP B450,B530 (C044000880)" u="1"/>
        <s v="LLAVE MIXTA 8.00MM 86-833" u="1"/>
        <s v="ANILLO PLANO GRUESO 3/8 (68) " u="1"/>
        <s v="MALETIN HERRAMIENTA ECHO" u="1"/>
        <s v="MOTOR 2HP TEMCO 3600RPM 110/220V " u="1"/>
        <s v="BANDAS A-32" u="1"/>
        <s v="AMORTIGUADOR INFERIOR DM6110" u="1"/>
        <s v="CIROMAZINA X 50 G AGROTA" u="1"/>
        <s v="MOLINO PICADOR DP1" u="1"/>
        <s v="MOLINO PICADOR DP2" u="1"/>
        <s v="ENVASE AGROTAFOL ENGROSE X KILO PREIMPRE" u="1"/>
        <s v="EMPAQUE AISLADOR (B) SRM4605" u="1"/>
        <s v="BOMBA DIESEL 6.7HP JET - F/400" u="1"/>
        <s v="ETIQUETA UREUM LITRO-GALON-20 L" u="1"/>
        <s v="20140-75100 ARRANCADOR SEMI 22F" u="1"/>
        <s v="DISCO D6 88054 " u="1"/>
        <s v="EMPAQUE DIFUSOR ES726" u="1"/>
        <s v="BUCANER FORTE X 100 ML" u="1"/>
        <s v="16-16-12  + B X LITRO" u="1"/>
        <s v="ESPACIADOR SRM4300" u="1"/>
        <s v="ETIQUETA AGROTAFOL CALCIO X 500 ML" u="1"/>
        <s v="CA CAPUCHON DE BUJIA C350 (A427000090)" u="1"/>
        <s v="KIT DE ZARANDAS JF2/3" u="1"/>
        <s v="MAYDOX 10 GR." u="1"/>
        <s v="APLICADOR DE ARETES MAXIS" u="1"/>
        <s v="BIELA CAJA ENGRANAJES HT230" u="1"/>
        <s v="AGROTAFOL AC-105 X LT" u="1"/>
        <s v="VALVULA REGULADORA CARBURADOR B530" u="1"/>
        <s v="MOTOR DIESEL 8 HP CHANFA" u="1"/>
        <s v="DELTAMETRINA 2,5 % EC" u="1"/>
        <s v="KIT DE ZARANDAS H5F3/JF5/JF5D" u="1"/>
        <s v="BEBEDERO POLLO-- 6 LTRS" u="1"/>
        <s v="EMPAQUE AISLADOR (A) B530" u="1"/>
        <s v="EMBRAGUE C230" u="1"/>
        <s v="JUEGO DE ZARANDAS PARA DPF JR." u="1"/>
        <s v="CORTADORA CRAFTSMAN 7HP DE TRACC. DE LLANTERA CON LLAN POST ALTAS MO 917.370680" u="1"/>
        <s v="SET DE ORDEÑO NCM. 8434.9000" u="1"/>
        <s v="20016-81180 VALVULA SOUPAPE 22F" u="1"/>
        <s v="MASCARILLA LETES OREJERAS" u="1"/>
        <s v="CA DIFENOCONAZOLE 25 % EC X 100 ML" u="1"/>
        <s v="25090206310 MONTAJE DE SUETADOR DE TANQU" u="1"/>
        <s v="TAMBOR ARRANQUE C230_x0009__x0009__x0009_" u="1"/>
        <s v="72551-12101 TUBO EXTERIOR B450" u="1"/>
        <s v="TAMBOR EMBRAGUE C350" u="1"/>
        <s v="TUBO EXTERIOR SRM4605" u="1"/>
        <s v="ACEITE SUPER DIESEL 25W40" u="1"/>
        <s v="TAMBOR DE EMBRAGUE SHP800" u="1"/>
        <s v="2011968 TRABA DE VALVULA DE CIERRE AUTOM" u="1"/>
        <s v="BANDA A-36" u="1"/>
        <s v="DIAFRAGMA DE BALANCIN CS600" u="1"/>
        <s v="70210-15102 SILENCIADOR COMP. B450" u="1"/>
        <s v="22169-52460 GUIA PLACA (A) 757" u="1"/>
        <s v="02.093647 KIT DE HERRAMIENTAS P/JF92 " u="1"/>
        <s v="ETIQUETA RIDONATE X 500 ML" u="1"/>
        <s v="POLEA 4`` DE 1 RANURA" u="1"/>
        <s v="20021-86110 ABRAZADERA S B450 C300 B45-B45LA" u="1"/>
        <s v="68501-81490 AGUJA ES726" u="1"/>
        <s v="TRINQUETE C230-P230-M230" u="1"/>
        <s v="LLAVE T 4mm" u="1"/>
        <s v="ORGANIC POWER X 5 GL" u="1"/>
        <s v="MOTOR 5HP WEG 3600 RPM 220/440V" u="1"/>
        <s v="RESORTE MEMBRANA B450-C350-C270-SHP800" u="1"/>
        <s v="38500-32010 CUBIERTA DE CILINDRO C230-ES726" u="1"/>
        <s v="22155-96531 LLAVE T 4mm" u="1"/>
        <s v="TAMBOR EMBRAGUE C270" u="1"/>
        <s v="QUADRANT INNER 1903417" u="1"/>
        <s v="78890-14000 CABEZAL SPEED FEED 375 PARA" u="1"/>
        <s v="LLAVE DE BUJIA" u="1"/>
        <s v="RUEDA PARA ZM 95 2.00X0.50 CON EJE INDEPENDIENTE " u="1"/>
        <s v="62035-85013 TANQUE COMBUSTIBLE  B530" u="1"/>
        <s v="70043-85201 TAPA COMBUS 22C-22F-ES726-C2" u="1"/>
        <s v="MOTOSIERRA 577" u="1"/>
        <s v="RIDONATE X 100 ML" u="1"/>
        <s v="80551 EMPAQUETADURA DIAFR 488-488P" u="1"/>
        <s v="BOBINA DE ENCENDIDO HC 150" u="1"/>
        <s v="BLINDAX X LT" u="1"/>
        <s v="22150-41280 COJINETE DE AGUJAS 577-B530" u="1"/>
        <s v="PIX TOTAL AROMATIZADO-- 500 ML" u="1"/>
        <s v="PISTON KIT SRM4300" u="1"/>
        <s v="CABEZAL SPEED FEED 375 PARA 22F" u="1"/>
        <s v="PROLIFIC PLUS X LT" u="1"/>
        <s v="CODO CORRUGADO DM6110" u="1"/>
        <s v="70043-85201 TAPA COMBUS 22C-22F-ES726-C22" u="1"/>
        <s v="MOTOR 3HP TEMCO 1800RPM 110/220V  " u="1"/>
        <s v="EMPAQUE TAPA ES726" u="1"/>
        <s v="EMPAQUE DE DIAFRAGMA DE CARBURADOR CS680 488,577,757" u="1"/>
        <s v="MOTOR MONOFASICO 3HP 3470RPM" u="1"/>
        <s v="ABRAZADERA" u="1"/>
        <s v="22169-71100 VOLANTE PARA MOTOSIERRA 757" u="1"/>
        <s v="MANGO TRASERO " u="1"/>
        <s v="BOBINA CS3500-35" u="1"/>
        <s v="CARBURADOR CS6702" u="1"/>
        <s v="DOXICICLINA X 100 gr" u="1"/>
        <s v="PALMAROL (END 35%)  1/4 LTS" u="1"/>
        <s v="CARBENDAZIM 50 % WP X 200 GMS" u="1"/>
        <s v="MYCLOBUTANIL 12,5 %  EC SOL X 250 ML                                                                " u="1"/>
        <s v="EMPAQUETADURA BOMBA CARBURADOR CS1201" u="1"/>
        <s v="20024-83410 EMPAQUE CABURA C270" u="1"/>
        <s v="TAPA DEL TANQUE B450" u="1"/>
        <s v="BANDA B-70" u="1"/>
        <s v="ANILLO PISTON JUEGO  SRM270" u="1"/>
        <s v=" 72518-91180 LLAVE B45-B450-B530-C350  HERRAMIENTA" u="1"/>
        <s v="PROFESIONAL RAIZ FORTE G X KG" u="1"/>
        <s v="PINZA PATA CONICA" u="1"/>
        <s v="PIÑON HUECO B45-B450-B530-C350" u="1"/>
        <s v="72451-14570 CABLE COMPLETO C350" u="1"/>
        <s v="MANGUERA DE COMBUSTIBLE CON CEBADOR B45LA B45" u="1"/>
        <s v="SPEED FEED 375 CABEZAL" u="1"/>
        <s v="CIROMAZINA FRONTEAGRO X 50 G" u="1"/>
        <s v="CALIBRADOR DE ACEITE" u="1"/>
        <s v="PARAQUAT 24 % SC 20 LT" u="1"/>
        <s v="9400338 RECEPTOR DE LECHE 350" u="1"/>
        <s v="CARBURADOR B450 C350" u="1"/>
        <s v="ABRAZADER J B45-B45LA" u="1"/>
        <s v="TACOMETRO" u="1"/>
        <s v="CA EMPAQUE CARBURADOR B530" u="1"/>
        <s v="PULIDORA NEUMATICA KMJ-328" u="1"/>
        <s v="KIT DE ZARANDAS JF5" u="1"/>
        <s v="SOPORTE B SRM270 SRM3605" u="1"/>
        <s v="BOMBA ZM 44 MAXXI CON RUEDA DE 1 X 0.25" u="1"/>
        <s v="ETIQUETA RIDONATE X 400 ML" u="1"/>
        <s v="PISTON B530" u="1"/>
        <s v="ABRAZADERA ALETA B450-B45" u="1"/>
        <s v="JUEGO DE CUCHILLAS DP1" u="1"/>
        <s v="JUEGO DE CUCHILLAS DP2" u="1"/>
        <s v="UNIDAD ELECTRONICA BP35-B45" u="1"/>
        <s v="72514-14100 ABRAZADERA COMPLETA B530-B450" u="1"/>
        <s v="SINOTOP X LT" u="1"/>
        <s v="P021012920 CIGUENAL CS420-45" u="1"/>
        <s v="ETIQUETA AGROTAFOL COMBI POSTERIOR" u="1"/>
        <s v="LETAL X 500 ML" u="1"/>
        <s v="09026-04001 HERRAMIENTA LLAVE 4MM B450" u="1"/>
        <s v=" EMPAQUE TAPA ES726" u="1"/>
        <s v="CADENA 12&quot; PARA CS3000" u="1"/>
        <s v="MANGA CS680 CS6702 (A202000010)" u="1"/>
        <s v="TRACTOR CRAFTSMAN LT 1500/17.5HP" u="1"/>
        <s v="JUEGO CILINDROS ZM 76" u="1"/>
        <s v="ZS1100-1120 FILTRO DE AIRE" u="1"/>
        <s v="ETIQUETA BUCANER FORTE X LITRO" u="1"/>
        <s v="EJE PIÑON SRM 4300" u="1"/>
        <s v="ASTA DE ZM 51" u="1"/>
        <s v="05.00133 TORNILLOS M10X1.5X0.35 8.8 ZB B" u="1"/>
        <s v="ETIQUETA VIRUS STOP X 250 ML" u="1"/>
        <s v="61001125530 EJE CENTRAL SRM270" u="1"/>
        <s v="BUSHING C350" u="1"/>
        <s v="CAJA COMBO FRESA" u="1"/>
        <s v="MONTAJE DE POLEA" u="1"/>
        <s v="BANDA B-67" u="1"/>
        <s v="SCOBA X 50 ML" u="1"/>
        <s v="RIDONATE x 200 ML" u="1"/>
        <s v="22155-75410 RESORTE ARRANCADOR 577-757" u="1"/>
        <s v="MACETERO JAZMIN PEQUEÑO (BASE)" u="1"/>
        <s v="ESPARCIDORA FERTILIZANTE SITREX500 Y CAR" u="1"/>
        <s v="BOMBA DE ACEITE CS1201" u="1"/>
        <s v="ACEITERO" u="1"/>
        <s v="CARTER COMPLETO CS600" u="1"/>
        <s v="CUBOS DE RACHET JFO 1/2 25 PCS&quot;" u="1"/>
        <s v="BOQUILLA UN-10-UN-32" u="1"/>
        <s v="CORTADORA DE CADENA # 24548 A OREGON" u="1"/>
        <s v="TUBO COMP. BP35 (22050-12100)" u="1"/>
        <s v="BUJIA 7A" u="1"/>
        <s v="CADENA PARA BARRA DE 16&quot; 40CM 3/8&quot; 0.058&quot;" u="1"/>
        <s v="20021-81560 PALANCA DE BOMBEO B45-B45LA" u="1"/>
        <s v="BOBINA 488" u="1"/>
        <s v="LAMBDACIHALOTRINA 2,5% EC X 100 ML" u="1"/>
        <s v="20016-81021 CARBURADOR SUB. COMP. C230" u="1"/>
        <s v="KIT DE CARBURADOR / MOTOR 16 HP BRIGGS" u="1"/>
        <s v="AISLADOR KIT CS3000" u="1"/>
        <s v="ETIQUETA ORGANIC POWER X 500 ML" u="1"/>
        <s v="ETIQUETA BUCANER FORTE X 250 ML" u="1"/>
        <s v="DADO/BUJIA 1/213/16 # 86-581" u="1"/>
        <s v="TAPA COMBUSTIBLE 22C-22F-ES726" u="1"/>
        <s v="LAMBDA CYHALOTRINA 2,5 % EC 200L " u="1"/>
        <s v="22035-13290 PROTECTOR PERNO 22C-C230" u="1"/>
        <s v="SWITCH DIRECCIONALES" u="1"/>
        <s v="CARBURADOR HC-150" u="1"/>
        <s v="CARBURADOR COMPLETO BP35" u="1"/>
        <s v="UNION C270" u="1"/>
        <s v="BELT FLAT 97075" u="1"/>
        <s v="ANILLO PISTON (SET) B530" u="1"/>
        <s v="PALANCA SEGURO ACELERADOR CS3500" u="1"/>
        <s v="03.056705 ENGRANAGE SUPERIOR" u="1"/>
        <s v="TENSOACTIVO PLUS" u="1"/>
        <s v="80424 DISCO MAXI BLADE 9" u="1"/>
        <s v="20010-71650 ARANDELA B450-B530-C350" u="1"/>
        <s v="BASE-JF-40P" u="1"/>
        <s v="22169-55130 COLLAR 757" u="1"/>
        <s v="JUEGO DE CUCHILLAS DPF MINI" u="1"/>
        <s v="28820-07340 BOQUILLA SPEED FEED" u="1"/>
        <s v="22169-21630 RETEN 757-577" u="1"/>
        <s v="UREUM X 20 LT" u="1"/>
        <s v="22150-12152 MANGA 757-577" u="1"/>
        <s v="20055-81120 TAPA CARBURADOR C350-B450" u="1"/>
        <s v="PISTON MD.425-35-56-57" u="1"/>
        <s v="TAMBOR B45LA-C350-EB500" u="1"/>
        <s v="20020-86140 BANDA C350-BP35-B450" u="1"/>
        <s v="9402047 VALVULA DE CIERRE AUTOMATICO" u="1"/>
        <s v="72051-98011 PISTON COMP C350-C35LA-BP35" u="1"/>
        <s v="CILINDRO DEL MOTOR" u="1"/>
        <s v="20140-12210 AISLADOR CONDENS 22F" u="1"/>
        <s v="20020-81140 RESORTE CABLE B45-B530-B45LA" u="1"/>
        <s v="20016-42002 CIGUENAL C230-P230-ES726" u="1"/>
        <s v="MOLINO PICADOR DPC4" u="1"/>
        <s v="10010055930 CIGUEÑAL SHP-800" u="1"/>
        <s v="CLOFENTAZINE 50 % SC X LITRO" u="1"/>
        <s v="HERRAM LLAVE VOLANTE" u="1"/>
        <s v="BARRA CS-420ES" u="1"/>
        <s v="KARONTE X 300 ML" u="1"/>
        <s v="ENGRANAJE COMPLETO CS680" u="1"/>
        <s v="APOYO DE LOS CUEROS ZM-44" u="1"/>
        <s v="CA RESORTE TRIQUETE B450" u="1"/>
        <s v="EMPAQUE DE SILENCIADOR B530" u="1"/>
        <s v="BRAZO GUIADOR DERECHO" u="1"/>
        <s v="20011-81680 RESORTE MEMBRANA C35LA-B45-B" u="1"/>
        <s v="CABEZAL METALICO SIN EMPAQUE" u="1"/>
        <s v="KIT DE PISTON CS600" u="1"/>
        <s v="RESORTE ARRANCADOR B450-B45" u="1"/>
        <s v="CABEZAL METALICO PLATEADO SIN EMPAQUE " u="1"/>
        <s v="PARALANCHA BLUE X 500 G" u="1"/>
        <s v="BASE DEL RESORTE DE ARRANQUE CS1201" u="1"/>
        <s v="02.066265 CRUCETA P/MANDO MECANICO" u="1"/>
        <s v="BUEN CAN CACHORRO--- POLLO-LECHE-CER.R.--- 2KG  (FUNDITAS)" u="1"/>
        <s v="ABRAZADERA MANUBRIO SRM270" u="1"/>
        <s v="EMPAQUE SILENCIADOR CS8002" u="1"/>
        <s v="CA FILTRO AIRE B530 (A226000660)" u="1"/>
        <s v="BANDA B-98" u="1"/>
        <s v="PERNO GRASERO SRM3605-4300-4605" u="1"/>
        <s v="TUBO EXTERNO B450 (80025)" u="1"/>
        <s v="ALG - VIRABLOCK X LT" u="1"/>
        <s v="EMPAQUE CILINDRO C270" u="1"/>
        <s v="ENVASE COEX 105g X LITRO   " u="1"/>
        <s v="CA PROTECTOR DEL TANQUE B530 (A175000210)" u="1"/>
        <s v="EMBRAGUE B530-B450-C350" u="1"/>
        <s v="CA ANILLOS PISTON B530 (A101000370)" u="1"/>
        <s v="ETIQUETA ZULLY X 15 GRS POSTERIOR" u="1"/>
        <s v="AGROTAFOL FOSFITO X 500 ML" u="1"/>
        <s v="22169-15113 SILENCIADOR 757" u="1"/>
        <s v="PALA P/JARDIN" u="1"/>
        <s v="22035-13391 PINON BASTAGO C230-22C" u="1"/>
        <s v="62035-85341 AMORTIGUADOR TANQUE B530" u="1"/>
        <s v="ZULLY 60 X 15G" u="1"/>
        <s v="ETIQUETA SUPERMATA TODO (RIERA) LT/GL" u="1"/>
        <s v="ANILLOS PISTON JUEGO B530" u="1"/>
        <s v="RESORTE ARRANQUE SHP800 SRM270 3605 4605 " u="1"/>
        <s v="MOTOSIERRA CS-3500-35 CON BARRA Y CADENA" u="1"/>
        <s v="02.046636 TORNILLO DE LA CONTRA CUCHILLA" u="1"/>
        <s v="TAPA DE ACEITE CS420" u="1"/>
        <s v="AISLADOR BOBINA ES726" u="1"/>
        <s v="63019-63170 SOPORTE (B) B530" u="1"/>
        <s v=" CUCHILLA METALICA DE 3 ELEME   X405000001 " u="1"/>
        <s v="30100156831 ARNES SRM3605" u="1"/>
        <s v="EXIBIDOR AGROTA INSUMOS" u="1"/>
        <s v="DIAFRAGMA DEL BALANCIN CS1201" u="1"/>
        <s v="22160-72220 CAPUCHON 488" u="1"/>
        <s v="9216D-32 BARRA 3/8 050 D 009" u="1"/>
        <s v="RETEN 45X70X12" u="1"/>
        <s v="ETIQUETA RIDONATE X 200 ML" u="1"/>
        <s v="CABEZAL DEL EMBRAGUE C230-B450-B530" u="1"/>
        <s v="72432-13230 COLLAR CAJA DE ENGRANAJE C230,T230XR" u="1"/>
        <s v="PROPICONAZOL 25 % EC" u="1"/>
        <s v="02.055600 ENGRANAJE DEL COMANDO" u="1"/>
        <s v="ETIQUETA RIDONATE X 250 ML" u="1"/>
        <s v="901018 ARNES" u="1"/>
        <s v="33SL0-72X CADENA 18.325.050" u="1"/>
        <s v="ZAPAPICO KILOS PULIDO" u="1"/>
        <s v="SILENCIADOR COMPLETO 488" u="1"/>
        <s v="INTERRUPTOR DE ENCENDIDO CS680" u="1"/>
        <s v="RAICES 500" u="1"/>
        <s v="EMPAQUE SILIENCIADOR" u="1"/>
        <s v="RESORTE EMBRAGUE B450-B530-C" u="1"/>
        <s v="02.049503 EJE DOBLE POLEA CARDAN" u="1"/>
        <s v="22015-13290 SUJETADOR CUCHILLA B450-B530" u="1"/>
        <s v=" SOPORTE (A) SRM3605" u="1"/>
        <s v="P022007020 ABRAZADERA MANGO GIRAT. SRM4300" u="1"/>
        <s v="4048451 ASIENTO DE VALVULA ES726" u="1"/>
        <s v="22169-55110 ENGRANAJE 757" u="1"/>
        <s v="MANGA 757-577" u="1"/>
        <s v="EMPAQUE DE TAPA TANQUE DM6110" u="1"/>
        <s v="MOTOR 2 HP PARA DPF SR" u="1"/>
        <s v="2010046 ANILLO DE GOMA DEL ASIENTO PULSA" u="1"/>
        <s v="ANILLOS PISTON C230-HT230" u="1"/>
        <s v="PERCHAS METALICAS" u="1"/>
        <s v="22021-12120 BUSHING B450-B530" u="1"/>
        <s v="PLATE, BAFFLE" u="1"/>
        <s v="CABLE DEL ACELERADOR M230 P230 P231" u="1"/>
        <s v="CARBURADOR COMPLETO C230" u="1"/>
        <s v="CARBURADOR COMP 577-577P (22175-81000)" u="1"/>
        <s v="JUEGO DADOS STANLEY" u="1"/>
        <s v="CA TUBERIA PRINCIPAL EB500" u="1"/>
        <s v="64007-67011 ARNES COMPLETO" u="1"/>
        <s v="CADENA 36&quot; CS1201 0.404" u="1"/>
        <s v="BUEN CAN ADULTO---POLLO-MAIZ-ARROZ.R.---  30 KG." u="1"/>
        <s v="2010902 BALERO DURO DE ESFERA 6204" u="1"/>
        <s v="BARRA GUIA 70CM" u="1"/>
        <s v="RIDONATE X 400 ML" u="1"/>
        <s v="CA TAMBOR B450-B45 (A506000270)" u="1"/>
        <s v="RUEDA PARA ZM 51 1.40X0.25  " u="1"/>
        <s v="P021010574 CILINDRO CS420" u="1"/>
        <s v="ENVASE AGROTHANE KG PREIMPRESA" u="1"/>
        <s v="DISCO PARA ORILLADORA 7 3/4 80419&quot;" u="1"/>
        <s v="LLAVE TUBO 24&quot;;LLAVE TUBO 24&quot;&quot;" u="1"/>
        <s v=" LLAVE B45-B450-B530-C350  HERRAMIENTA" u="1"/>
        <s v="SINOZOX X 100 ML" u="1"/>
        <s v="ARADO 2 DISCOS MOTOCULTOR" u="1"/>
        <s v="22175-82510 TAPA DE FILTRO 577" u="1"/>
        <s v="ETIQUETA AGROTAFIX PLUS X 100 ML" u="1"/>
        <s v="CUBIERTA CILINDRO B450" u="1"/>
        <s v="TANQUE DE COMBUSTIBLE C350-B45" u="1"/>
        <s v="SELLO DE ACEITE CS680S" u="1"/>
        <s v="EJE B COMPLETO P230" u="1"/>
        <s v="SHREDDER BLADE 1756904" u="1"/>
        <s v="TENSOR DE CADENA" u="1"/>
        <s v="13031306230 CUBIERTA FILTRO AIRE SRM4605" u="1"/>
        <s v="PISTOLA VASO ABAJO F85S 750CC" u="1"/>
        <s v="ESPARCIDORA ABONADORA SEMBRA 400P" u="1"/>
        <s v="RESORTE TRINQUETE B530-B45LA" u="1"/>
        <s v="ENGRANAJE SIN FIN 577" u="1"/>
        <s v="SINOZOX X 500 ML" u="1"/>
        <s v="ETIQUETA ORGANIC POWER X LITRO" u="1"/>
        <s v="MOTOR GASO 4 HP EJE RECTO" u="1"/>
        <s v="BIELA OVAL ZM-51" u="1"/>
        <s v="ESPARCIDORA ABONADORA SEMBRA 600P" u="1"/>
        <s v="CA CILINDRO C350-C35LA" u="1"/>
        <s v="MANUBRIO BP 35" u="1"/>
        <s v="MYCLOBUTANIL 12,5 % EC SOL  X 100 ML  " u="1"/>
        <s v="SERVICIO TECNICO" u="1"/>
        <s v="MOTOR 6.5HP GASOLINA " u="1"/>
        <s v="72441-12100 TUBO EXTERIOR C270" u="1"/>
        <s v="BOMBA HIDRONEUMATICA 2 HP" u="1"/>
        <s v="SILENCIADOR DM6110" u="1"/>
        <s v="FILTRO AIRE (I) SECUND 3540052M1ATLAS 90" u="1"/>
        <s v="70135-15100 SILENCIADOR COMPLETO C230-ES726-P230-M230" u="1"/>
        <s v="MOLINO PICADOR DPF JR." u="1"/>
        <s v="CARBURADOR COMPLETO C350" u="1"/>
        <s v="BANDA A-35" u="1"/>
        <s v="ETIQUETA RIDONATE X 100 ML" u="1"/>
        <s v="62035-82330 EMPAQUE (A) CARBURADOR B530." u="1"/>
        <s v="CA POLEA ARAN ALUMINIO B45-B450-BP35" u="1"/>
        <s v="BASES PARA TERCER PUNTO(JINMA)" u="1"/>
        <s v="CAJA COMBO MARACUYA" u="1"/>
        <s v="PISTON" u="1"/>
        <s v="SWITCH" u="1"/>
        <s v="EXHIBIDOR MOTOSIERRA" u="1"/>
        <s v="MEDIDOR DE GASOLINA" u="1"/>
        <s v="LAMBDA SOL X 100 ML" u="1"/>
        <s v="TAPA DE FILTRO 20.74.113" u="1"/>
        <s v="GATILLO DEL ACELERADOR" u="1"/>
        <s v="569014 O-RING KIT SP40BPS" u="1"/>
        <s v="ETIQUETA AGROTAFOL BORO X LITRO" u="1"/>
        <s v="10010043130 CIGUENAL SRM4605" u="1"/>
        <s v="FILTRO DE AIRE M230-M231" u="1"/>
        <s v="ETIQUETA LORFOS X 250 ML" u="1"/>
        <s v="108644-30 BARRA 30 .058 D009" u="1"/>
        <s v="BUJE LIBRE" u="1"/>
        <s v="AGROTAFOL CORRECTOR PH  X 100 ML" u="1"/>
        <s v="EJE PRINCIPAL DE B-530" u="1"/>
        <s v="BUEN CAN ADULTO--- CARNE-CER-VEG. R.--- 2KG  (FUNDITAS)" u="1"/>
        <s v="MANGUERA DE SUCCION 3-6MT(1)&quot;" u="1"/>
        <s v="ETIQUETA ORGANIC POWER X 250 ML" u="1"/>
        <s v="22015-13251 SOPORTE B B45-B450-C350" u="1"/>
        <s v="COMBO MASTER INICIAL" u="1"/>
        <s v="10024255430 EMPAQUE CARTER SRM3605" u="1"/>
        <s v="22150-51310 COJINETE 577-757" u="1"/>
        <s v="CA KIT MOTOR RECONSTRUCCION B530 (P021036030)" u="1"/>
        <s v="CASCO CON VISERA GRANDE TOMATE" u="1"/>
        <s v="16-16-12+1B X GALON" u="1"/>
        <s v="20035-21100 CARTER S 22F-22C" u="1"/>
        <s v="PERNO 6X25CC UNION B530" u="1"/>
        <s v="ORGANIC POWER X 500 ML" u="1"/>
        <s v="PERNO PROTECTOR DESPOJOS B530" u="1"/>
        <s v="KARONTE X 120 ML" u="1"/>
        <s v="ETIQUETA BLINDAX LITRO GALON 20 L" u="1"/>
        <s v="02.045823 VEDACION INFERIOR JFD 250" u="1"/>
        <s v="GATILLO DEL ACELERADOR CS420" u="1"/>
        <s v="RIDONATE X 500 ML" u="1"/>
        <s v="EMPAQUES DE LAS PUNTAS" u="1"/>
        <s v="VALVULAS CHEQUE 2 DE BRONCE&quot;" u="1"/>
        <s v="ADAPTADOR EJE TRANSMISION PPT2400" u="1"/>
        <s v="9711151 ORINGS ES 726" u="1"/>
        <s v="LLAVE TORX 8 PIEZAS" u="1"/>
        <s v="BOMBA DE PRESION 1.5&quot; 6.5HP GASOLINA " u="1"/>
        <s v="CABEZAL DE ALTA CAPACIDAD SPEED FEED" u="1"/>
        <s v="OPIGAL-- 60 GRS" u="1"/>
        <s v="BIELA STD / MOTOR 16 HP BRIGGS" u="1"/>
        <s v="ETIQUETA PARALANCHA X 500 GRS / DELANTER" u="1"/>
        <s v="ORTOFOSFATO 20% + AMINIO ACIDOS X LITRO" u="1"/>
        <s v="BOTA HID.SAF.PUNTA ACERO #37    (AMARILLO)" u="1"/>
        <s v="BOMBA DE FUMIGAR MOTOR 20 LT. 432" u="1"/>
        <s v="MEDIDOR DE ACEITE" u="1"/>
        <s v="22150-71120 TRINQUETE 757-577" u="1"/>
        <s v="22015-13220 PINON HUECO B45-B450-B530-C3" u="1"/>
        <s v="ENGRASADOR DE ACEITE CS680 CS8002" u="1"/>
        <s v="TAMBOR DE EMBRAGUE 757" u="1"/>
        <s v="CA TAPA DEL TANQUE B450" u="1"/>
        <s v="2011554 MANGUERA DE GOMA" u="1"/>
        <s v="CABO P/ZAPAPICO  " u="1"/>
        <s v="VARRILLA ACELERADOR CS680" u="1"/>
        <s v="MANGO POSTERIOR PPT2400" u="1"/>
        <s v="2010643 MEMBRADA DE INVENSION PULSADOR C" u="1"/>
        <s v="POLEA DE ALUMINIO DE ARRANQUE PPT2400" u="1"/>
        <s v="WHEEL 1771495" u="1"/>
        <s v="CORTARAMAS P230EPA" u="1"/>
        <s v="CHIPPER/SHREDDERS CS3342" u="1"/>
        <s v="CAJA DE ENGRANAJES COMP.B45-B45LA-B45" u="1"/>
        <s v="70244-98040 PISTON COMPLETO C270" u="1"/>
        <s v="PIÑON KIT CAJA SRM 3605" u="1"/>
        <s v="CA TAPA DEL TANQUE ES726" u="1"/>
        <s v="80426 DISCO 9" u="1"/>
        <s v="ETIQUETA ANIQUILADOR X 500 ML" u="1"/>
        <s v="TUBO COMPLETO B450" u="1"/>
        <s v="20055-81004 CARBURADOR BP35" u="1"/>
        <s v="MANGUERA DE RADIADOR" u="1"/>
        <s v="TAPON EN GOMA PARA TEST-PORT.NCM 8434.9000" u="1"/>
        <s v="ETIQUETA SITI X 250 GRS" u="1"/>
        <s v="MARTILLO BOLA CABO F/VIDRIO 3LB. JL-809" u="1"/>
        <s v="CAJA COMBO ARROZ DESARROLLO" u="1"/>
        <s v="INDICATE-5 1/4 LTS" u="1"/>
        <s v="ANILLOS  PISTON SRM4300" u="1"/>
        <s v="ROLLO NYLON AZUL (460MT) 0.130&quot;" u="1"/>
        <s v="72017-16130 PLACA DESPOJ C350-B450-B530" u="1"/>
        <s v="COLLAR 757 (22169-55130)" u="1"/>
        <s v="65765 TAPA ACEI. MOTOR FORD 6600-7600-S1" u="1"/>
        <s v="70870-98020 PISTON KIT C230-ES726-HT230" u="1"/>
        <s v="BARRA GUIA 28&quot; CS-8002" u="1"/>
        <s v="ETIQUETA CAPITAN X 500 ML" u="1"/>
        <s v="BANDA B-66" u="1"/>
        <s v="80676 ADAPTADOR UN10 C230" u="1"/>
        <s v="22155-96531 HERRAMIENTA LLAVE (4)" u="1"/>
        <s v="SO-00.71.153 RESORTER MOD. 633" u="1"/>
        <s v="SULFATO DE COBRE 24%" u="1"/>
        <s v="ACOPLE P  BOMBA DE GASOLINA B&amp;S" u="1"/>
        <s v="VIRUS STOP X 250 ML" u="1"/>
        <s v="62035-85031 MANGUERA TANQUE B530" u="1"/>
        <s v="22155-91580 HERRAMIENTA LLAVE" u="1"/>
        <s v="ETIQUETA AGROTAFOL PH X LITRO" u="1"/>
        <s v="AGROTAFOL FOSFITO X LT" u="1"/>
        <s v="10101056030 EMPAQUE CILINDRO SRM270" u="1"/>
        <s v="ACEITE SHINDAIWA PREMIUM 2T X 200ML" u="1"/>
        <s v="MICROMAR BORO X LT" u="1"/>
        <s v="RUEDA PARA ZM 51 1.40X0.18 " u="1"/>
        <s v="PALETA DE LA BOMBA BVIN-185-765" u="1"/>
        <s v="SCOBA X 250 ML" u="1"/>
        <s v="COMBO AGROTA SINOPRID XL" u="1"/>
        <s v="4555310 PLACA GOTA FINA ES726" u="1"/>
        <s v="TUERCA BRIDA CS680" u="1"/>
        <s v="CUBIERTA SILENCIADOR 577" u="1"/>
        <s v="LLAVE EXAG/ALEN 8PZS 69-264" u="1"/>
        <s v="CADENA 18.325.050 (33SL0-72X)" u="1"/>
        <s v="ANILLO DE PISTON HC-150" u="1"/>
        <s v="20024-41210 ANILLO PISTON C270" u="1"/>
        <s v="GLIFOLAQ X 5 GAL" u="1"/>
        <s v="70131-75120 TAMBOR B45LA-C350-EB500" u="1"/>
        <s v="81630 MONTAJE DE LA MANGUERA ES 726" u="1"/>
        <s v="V224000030 ESPARRAGO BARRA  CS3000,CS3500" u="1"/>
        <s v="1001101 ARMAZON ES726" u="1"/>
        <s v="64112-66330 TAPA PROTECT DESPOJO 22F" u="1"/>
        <s v="AGROTAFOL FOSFITO X 250 ML" u="1"/>
        <s v="ARO DEL PISTON MD 135" u="1"/>
        <s v="10014212330 CHAVETA SRM3605" u="1"/>
        <s v="RETEN C350-B450-B530-B45" u="1"/>
        <s v="10101006211 EMPAQUE CILINDRO DM6110" u="1"/>
        <s v="UREFOL X CANECA 20L" u="1"/>
        <s v="CA RETEN 22F-C230-ES726" u="1"/>
        <s v="TORNILLO PARA DISCO DE ARADO" u="1"/>
        <s v="TAMBOR DE EMBREGUE CS8002" u="1"/>
        <s v="AISLADOR PPT2400" u="1"/>
        <s v="MOTOR DIESEL 16HP 2200RPM CHANGFA-1100" u="1"/>
        <s v="SILLA" u="1"/>
        <s v="10020456232 CARTER KIT SRM270" u="1"/>
        <s v="IMPULSOR DM-6110" u="1"/>
        <s v="EMBRAGUE COMPLETO 488" u="1"/>
        <s v="62035-75130 RESORTE ARRANQUE SRM4300 B530" u="1"/>
        <s v="PULVERIZADOR A MOTOR MD.432" u="1"/>
        <s v="EJE CON PIÑON HUECO P230" u="1"/>
        <s v="ETIQUETA RAIZ FORTE X LITRO" u="1"/>
        <s v="4044231 FILTRO MALLA ES726" u="1"/>
        <s v="16-16-12+ 1B X 5 GALO" u="1"/>
        <s v="CABLE DE ACELERADOR C270" u="1"/>
        <s v="3014111 FILTRO DE TANQUE ES726" u="1"/>
        <s v="TRABA DE GATILLO PPT2400" u="1"/>
        <s v="POLEA B2.5 1RAN 3 4  GASOL TRAPICHE" u="1"/>
        <s v="STICKER COMBO SINOPRID XL" u="1"/>
        <s v="P003000240 EMPAQUE DIAFRAG CS510" u="1"/>
        <s v="20142-41210 ANILLO DEL PISTON 22F-22C-F2" u="1"/>
        <s v="CA TAMBOR EMBRAGUE COMPLETO C350" u="1"/>
        <s v="COLGADOR C350-B530 (22017-12210)" u="1"/>
        <s v="BARRA 28&quot; CS 8002" u="1"/>
        <s v="ARADO DE 2 VERTEDERAS" u="1"/>
        <s v="PULSADOR JD-91" u="1"/>
        <s v="MOTOR DIESEL 13.2 HP JIANG DONG" u="1"/>
        <s v="ALTERNADOR" u="1"/>
        <s v="MANGUERA DOBLE DE PULSACIÓN TRANSPARENTE SILICONADO, NCM, 8434.9000" u="1"/>
        <s v="ENSILADORA EC 4800" u="1"/>
        <s v="EMPAQUE B CARBURADOR B530" u="1"/>
        <s v="EMPAQUE SILENCIAD B45, B450, C350, BP35" u="1"/>
        <s v="CABLE DE ACELERADOR SRM4605" u="1"/>
        <s v="SKEMATA X 100 ML" u="1"/>
        <s v="ACEITE ECHO POWER BLEND 2T" u="1"/>
        <s v="CILINDRO PPT-2400" u="1"/>
        <s v="CUBIERTA DE CILINDRO 757" u="1"/>
        <s v="INYECTORES" u="1"/>
        <s v="PISTONE D 18X37.5" u="1"/>
        <s v="MANGO DE FRENO 577" u="1"/>
        <s v="ANILLO ES726" u="1"/>
        <s v="KIT 146" u="1"/>
        <s v="KIT MOTOR RECONSTRUC C270" u="1"/>
        <s v="SKEMATA X 500 ML" u="1"/>
        <s v="KARONTE X LITRO" u="1"/>
        <s v="SUPER POLLO ENGORDE HARINA ( 176 LIBRAS )" u="1"/>
        <s v="ABICXASIN 15%20ML (24 UNIDADES)" u="1"/>
        <s v="FILTRO AIRE 757 (22169-82310)" u="1"/>
        <s v="FILTRO ACEITE MOTOR TL/935/4010/5010/UN" u="1"/>
        <s v="MAQUINA DE COSER ELECTRICA / SACOS DE NYLON" u="1"/>
        <s v="MOTOSIERRA 577-60 CON BARRA Y CADENA" u="1"/>
        <s v="CARBENDAZIM 50 % SC 200L" u="1"/>
        <s v="02.081277 CONJUNTO DEL SIN FIM ZM10" u="1"/>
        <s v="CABLE B B450-B530-C350" u="1"/>
        <s v="PIÑON LOCO CS680S" u="1"/>
        <s v="COMBO ARROZ DESARROLLO" u="1"/>
        <s v="BOMBA ZM 76 MAXXI" u="1"/>
        <s v="BANDA A-20" u="1"/>
        <s v="DISCO SIERRA 48 DIENTES" u="1"/>
        <s v="FILTRO SEC. 5705  AT 171854 JOHN DEERE" u="1"/>
        <s v="ETIQUETA LABOMBA X LITRO" u="1"/>
        <s v="PISTON 488" u="1"/>
        <s v="CA CABLE B B450-B530-C350" u="1"/>
        <s v="20112-81530 EMPAQUE CARBURADOR ES726" u="1"/>
        <s v="DESMALEZADORA 08 BRISTOL" u="1"/>
        <s v="CABLE (A) CORTO ACELERADOR B450-C350" u="1"/>
        <s v="09026-03001 HERRAM LLAVE EXAGONAL 3MM B450" u="1"/>
        <s v="62035-82121 FILTRO AIRE B530" u="1"/>
        <s v="FLETE DE IMPORTACION AGROINSUMOS" u="1"/>
        <s v="CABALLETE PARA ZM 44" u="1"/>
        <s v="CARBURADOR COMPLETO 757 (22169-81000)" u="1"/>
        <s v="KIT MOTOR RECONSTRUCCION C230 (72481-98310)" u="1"/>
        <s v="CYROMAZINA 75 % WP x 50g" u="1"/>
        <s v="CA EMPAQUE DE SILENCIADOR 757" u="1"/>
        <s v="ACC. CULTIVADOR M230 80265" u="1"/>
        <s v="70131-75120 TAMBOR ARRANQ SRM4605 B45LA-C350-EB500" u="1"/>
        <s v="AGROTAFOL AMINO X LT" u="1"/>
        <s v="EMAPAQUE CARBURADOR CS510" u="1"/>
        <s v="DEPREDADOR X 300 G" u="1"/>
        <s v="62022-15100 SILENCIADOR COMPLETO B450" u="1"/>
        <s v="ABRAZADERA COMPLETA 22C-C230" u="1"/>
        <s v="EMPAQUE CILINDRO CS600" u="1"/>
        <s v="TRINQUETE CS680" u="1"/>
        <s v="CARBURADOR SRM4300" u="1"/>
        <s v="ESMERIL DE BANCO 1/3 HP" u="1"/>
        <s v="JGO. DADOS 25PZA. SAE#86736" u="1"/>
        <s v="CAMARA DE PRESION SP40BPS" u="1"/>
        <s v="CAPUCHON DE BUJIA C350" u="1"/>
        <s v="TUBO COMBUSTIBLE SRM4300" u="1"/>
        <s v="ETIQUETA QUBIK X LITRO" u="1"/>
        <s v="MANUBRIO TUBO CS600" u="1"/>
        <s v="22169-72220 CAPUCHON DE BUJIA 757" u="1"/>
        <s v="72540-12410 EJE CENTRAL C350" u="1"/>
        <s v="22015-13420 EMPAQUE SEGURO 450-B530-C350" u="1"/>
        <s v="CARBURADOR C35LA (20011-81021)" u="1"/>
        <s v="22410-14100 MANGO DELANTERO COMP C230" u="1"/>
        <s v="05.001489 GUIA SUPERIOR (0004-00-W)" u="1"/>
        <s v="PROTECTOR DEL TANQUE B530" u="1"/>
        <s v="22169-51140 ANILLO DE RETENCION 757" u="1"/>
        <s v="PERNO 5x14 " u="1"/>
        <s v="EMBRAGUE PPT2400" u="1"/>
        <s v="73LGX92X CADENA70CM 28&quot; CS8002" u="1"/>
        <s v="CABEZAL SPEED FEED CURVED SHAFT GT-22 SRM22" u="1"/>
        <s v="BULON DEL PISTON MD.603-70-80-90" u="1"/>
        <s v="2012776 ANILLO ORING 2005 2,57X6,13X1,7" u="1"/>
        <s v="GRASA SINTETICA AZUL 1LIBRA" u="1"/>
        <s v="ETIQUETA AGROCARBOFURAN X LITRO" u="1"/>
        <s v="SELLO DE ACEITE B530" u="1"/>
        <s v="BOQUILLA AJUSTABLE" u="1"/>
        <s v="MOTOR DIESEL 10 HP F400 " u="1"/>
        <s v="22169-82251 BASE DE FLTRO 757" u="1"/>
        <s v="VERRUGAL FCO-- 20 ML" u="1"/>
        <s v="VALVULA PARA ZM 76 MAXXI" u="1"/>
        <s v="72080-98020 EMPAQUETADURA DIAF B45-B45LA" u="1"/>
        <s v="20020-51112 CABEZAL DEL EMBRAGUE C350-B450-B530" u="1"/>
        <s v="MACETERO JAZMIN GIGANTE" u="1"/>
        <s v="10.236.05 SINFIN PARA EC 4000/EC 4800" u="1"/>
        <s v="ETIQUETA DEPREDADOR X 100 GRS" u="1"/>
        <s v="RELAY DE PITO" u="1"/>
        <s v="2012000 VALVULA DE DRENAJE (GOMA)" u="1"/>
        <s v="20016-12222 EMPAQUE AISLADOR C230-ES726" u="1"/>
        <s v="COMBO ARROZ ENGROSE" u="1"/>
        <s v="GANCHO AGRICOLA HCC 800" u="1"/>
        <s v="ETIQUETA SKEKURA X 500 GRS DEL" u="1"/>
        <s v="FILTRO DE ACETIE 81879134UK" u="1"/>
        <s v="CAJA COMBO MASTER ENGROSE" u="1"/>
        <s v="CAJA COMBO ARROZ ENGROSE" u="1"/>
        <s v="ORDEÑO EUROLATTE MÓVIL 450L-2CONJUNTOS,PULSADOR ALTERNADO CON MOTOR Y CANTARTA,NCM 8434.1000" u="1"/>
        <s v="ETIQUETA AGROVERDOL X 500 ML" u="1"/>
        <s v="BOBINA SRM270" u="1"/>
        <s v="CERCA ELECTRICA 25 KM" u="1"/>
        <s v="ENGRANAJE PODADORA P-230" u="1"/>
        <s v="CUBIERTA, SILENCIADOR B530" u="1"/>
        <s v="TAMBOR DE EMBRAGUE CS1201" u="1"/>
        <s v="10010030830 CIGUENAL CS8002" u="1"/>
        <s v="62035-12220 EMPAQUE AISLADOR (A) B530" u="1"/>
        <s v="IMPULMAX X 250 ML" u="1"/>
        <s v="ARANDELA PRESION C230,P230,C350,B45,B450" u="1"/>
        <s v="20024-75120 TAMBOR CUERDA C270" u="1"/>
        <s v="MOTOR 7.5HP TEMCO 1800RPM 220V " u="1"/>
        <s v="MANGO FILTRO 320 PARA ES726,SHP800" u="1"/>
        <s v="ARRANCADOR CS1201" u="1"/>
        <s v="CUBIERTA DEL VENTILADOR" u="1"/>
        <s v="2011664 NIPLE DE CONECCION 745/765" u="1"/>
        <s v="PERNO ALEN 5 X 16 CA" u="1"/>
        <s v="TAMBOR C230" u="1"/>
        <s v="9720135 ORINGS ES 726" u="1"/>
        <s v="ETIQUETA DEPREDADOR X 300 GRS" u="1"/>
        <s v="DISCO TORNADO 9 6 DIENTES LP6-9&quot;" u="1"/>
        <s v="72312-21520 ESPARRAGO BARRA 488" u="1"/>
        <s v="20011-35110 UNION MOTOR-EJE B450-C350" u="1"/>
        <s v="10 - 15 - 30 - 5 + MICROELEMENTOS  500 G" u="1"/>
        <s v="COJINETE 577-757" u="1"/>
        <s v="VALVULA DE PRESION B450-B45L" u="1"/>
        <s v="ZARANDA DPF JR (0,6MM)" u="1"/>
        <s v="PARALANCHA X 500 GRS" u="1"/>
        <s v="02.045379 CONTRA CUCHILLA JF5/H5-F3" u="1"/>
        <s v="SCOBA X 100 ML" u="1"/>
        <s v="BLINDAX X 20 LT" u="1"/>
        <s v="TAMBOR ARRANQUE B45LA-C350-EB500" u="1"/>
        <s v="22150-12180 PLACA MANGA 757" u="1"/>
        <s v="AGROTAFOL 15-30-15 FLORACION X KG" u="1"/>
        <s v="PROTECTOR DE PISTON ZM-51" u="1"/>
        <s v="SH-78890-11000" u="1"/>
        <s v="RAIZ FORTE X LT" u="1"/>
        <s v="PERNO CUCHILLA C230" u="1"/>
        <s v="EMPAQUE INFERIOR DE TANQUE DM6110" u="1"/>
        <s v="20011-81360 RESORTE H B450-C350-B530" u="1"/>
        <s v="KIT MOTOR RECONSTRUCCION 488" u="1"/>
        <s v="JUEGO DE FOCOS" u="1"/>
        <s v="KIT MOTOR RECONSTRUCCION B45LA (60119-98310)" u="1"/>
        <s v="62035-15210 EMPAQUE SILENCIADOR B530" u="1"/>
        <s v="FAST X 250 ML" u="1"/>
        <s v="ZARANDA DPF JR (0,8MM)" u="1"/>
        <s v="EJE DE ENGRANAJE B45-B450-C350" u="1"/>
        <s v="RESORTE TRINQUETE SRM3605-4605" u="1"/>
        <s v="BUEN CAN ADULTO--- CARNE-MAIZ-ARROZ R.--- 30 KG. (BOLSAS)" u="1"/>
        <s v="SHOTAPEN L.A X 100 ml" u="1"/>
        <s v="ARRANCADOR COMPLETO CS600" u="1"/>
        <s v="FULMINANTE  X 50 G" u="1"/>
        <s v="62035-41210 PERNO DE PISTON B530" u="1"/>
        <s v="X602000140 LLAVE DE BUJIA B530,B450,C350" u="1"/>
        <s v="VALVULAS DE ADMISION" u="1"/>
        <s v="POLEA COMPLETA DM6110" u="1"/>
        <s v="JUEGO DE HERRAM. 10PC HM-1798" u="1"/>
        <s v="TUBO B450" u="1"/>
        <s v="70140-81760 TAPA DE FILTRO T230" u="1"/>
        <s v="02.055529 KIT CUCHILLA COMPL JF90/92Z10" u="1"/>
        <s v="ETIQUETA SKEMATA X 500 ML" u="1"/>
        <s v="RETENEDOR C350-B450" u="1"/>
        <s v="BANDA B-48" u="1"/>
        <s v="12532508360 EMPAQUE SRM4300" u="1"/>
        <s v="TAMBOR ARRANCADOR SRM4300 B530" u="1"/>
        <s v="TAPA FILTRO AIRE DM-6110" u="1"/>
        <s v="AGUJA PIVOTE SHP800" u="1"/>
        <s v="CARBURADOR CS600" u="1"/>
        <s v="BOMBA DE FUMIGAR MANUAL  20 LT. 435" u="1"/>
        <s v="PERNO 4X15 MM" u="1"/>
        <s v="RADIADOR" u="1"/>
        <s v="PERILLA DEL ARRANCADOR HC-150" u="1"/>
        <s v="ETIQUETA SKEKURA X 500 ML" u="1"/>
        <s v="MATABABOSA 5% CEBO 500 GRMS" u="1"/>
        <s v="EMPAQUE DE CILINDRO B450-C35" u="1"/>
        <s v="05.000520 ARANDELA LISA M 10 DIN 125 ZB" u="1"/>
        <s v="CONECTOR GIRATORIO" u="1"/>
        <s v="22015-13220 PINON HUECO B45-B450-B530-C350" u="1"/>
        <s v="22169-53120 GUIA PLACA (B) 757" u="1"/>
        <s v="22155-71130 RESORTE DEL TRINQUETE 757-57" u="1"/>
        <s v="MANOMETRO DE GLICERINA" u="1"/>
        <s v="BENALAXIL 8% + MANCOZEB 65 % WP 250 GR" u="1"/>
        <s v="GUIA DE HASTE ZM-44/51" u="1"/>
        <s v="ETIQUETA SINOZOX X 100 ML" u="1"/>
        <s v="ETIQUETA BUCANER X 500 ML" u="1"/>
        <s v="TUERCA 3/4 UNF RUEDA GUIA 1K03290" u="1"/>
        <s v="COMPRESOR 2HP DONOJONO" u="1"/>
        <s v="ANILLO DE RETENCION B45-488" u="1"/>
        <s v="CABEZAL METALICO  22000-92812  " u="1"/>
        <s v="ENGRASADORA" u="1"/>
        <s v="CA TAMBOR ARRANQUE B45LA-C350-EB500" u="1"/>
        <s v="PRO ALICATE PRESION CURVO 10 95IB84378&quot;" u="1"/>
        <s v="SKEMATA X LT" u="1"/>
        <s v="TUBO EXTERNO SRM4605" u="1"/>
        <s v="FILTRO HDCO 4-5-6-7600 S10 S 30 D8NN-B48" u="1"/>
        <s v="22901-31000 MANGUERA DE SUCCION GP25" u="1"/>
        <s v="CARTER COMPLETO CS1201" u="1"/>
        <s v="ARADO DE 4 DISCOS MARCA BALDAN" u="1"/>
        <s v="ARANDELA EMBRAGUE SHP 800" u="1"/>
        <s v="CA MOTOSIERRA 577-60 CON BARRA Y CADENA" u="1"/>
        <s v="70210-83110 CABLE B450-C350" u="1"/>
        <s v="20000-72241 CUBIERTA BUJIA C230-C350-B45" u="1"/>
        <s v="RILEXINE-500 JERINGA" u="1"/>
        <s v="UREUM X GL" u="1"/>
        <s v="PROTECTOR DE PERNO BP35" u="1"/>
        <s v="EMBRAGUE 577" u="1"/>
        <s v="62104-32321 CUBIERTA, SILENCIADOR B45LA-C35LA    " u="1"/>
        <s v="72933-75120 TAMBOR C230" u="1"/>
        <s v="PINZA SEGURO INTERNO" u="1"/>
        <s v="62035 41120 ANILLO PISTON B530" u="1"/>
        <s v="TORNILLO SUJ. CUERP DISCO AFL 1K06857" u="1"/>
        <s v="MONTAJE DE VENTILACION" u="1"/>
        <s v="CONTRA PERNO DE LA CORONA" u="1"/>
        <s v="PLACA UNION B530" u="1"/>
        <s v="38500-81321 TAPA SUJETADORA CARBURADOR ES726" u="1"/>
        <s v="JUEGO DE CUCHILLAS DPF JR" u="1"/>
        <s v="P021028790 MONTAJE DE CAJA ENGRANAJE" u="1"/>
        <s v="COJINETE B450-B530 (02002-06001)" u="1"/>
        <s v="20040-81430 RESORTE BALANCIN C350-B450" u="1"/>
        <s v="COMPRESOR TEM BAN 1HP 60L 115PSI " u="1"/>
        <s v="EMPUÑADURA CS420" u="1"/>
        <s v="MAYVIT X 100 gr" u="1"/>
        <s v="22154-52410 TUERCA 757" u="1"/>
        <s v="ROSETTA D 9X23X 0.5" u="1"/>
        <s v="70103-86130 PROTECT TANQUE C270" u="1"/>
        <s v="QUITALATEX X 5 GL" u="1"/>
        <s v="ESTIRADOR CADENA CILINDRO DENTADO 930 C" u="1"/>
        <s v="HERRAMIENTAS KIT" u="1"/>
        <s v="CUBIERTA CILINDRO B530" u="1"/>
        <s v="02.081227 CARDAN MANGO MECAN. JFZ10" u="1"/>
        <s v="20140-75130 RESORTE ARRANCADOR 22C-C230-P230" u="1"/>
        <s v="FUNDA DE CALFOSAL LECHE  5 KLS." u="1"/>
        <s v="FOSCASAL LECHE DE 20 KLS." u="1"/>
        <s v="CA ANILLOS PISTON B450" u="1"/>
        <s v="CINNA MIX X LT" u="1"/>
        <s v="BIELA OVAL ZM-44" u="1"/>
        <s v="CILINDRO EDR-210" u="1"/>
        <s v="PISTON KIT CS510" u="1"/>
        <s v="PARALANCHA X 500 G" u="1"/>
        <s v="CILINDRO CS1201" u="1"/>
        <s v="ABRAZADERA (B) TUBO B450-C350" u="1"/>
        <s v="BUEN CAN CACHORRO--- POLLO -LECHAE-CER-R.---  450 GRS  (FUNDITAS)" u="1"/>
        <s v="SUJETADOR DE CAUCHO TUBO DM6110" u="1"/>
        <s v="BUEN CAN ADULTO--- CARNE-MAIZ-ARROZ R.---  2KG  (FUNDITAS)" u="1"/>
        <s v="80255 EMPAQUETADURA-DIAF ES726" u="1"/>
        <s v="22152-41210 JUEGO ANILLO DEL PISTON 577" u="1"/>
        <s v="HILO NYLON 0.105&quot;  10510" u="1"/>
        <s v="PISTON STD / MOTOR 16 HP BRIGSS" u="1"/>
        <s v="TAMBOR DE EMBRAGUE 22C (20016-31212)" u="1"/>
        <s v="BANDA B-79" u="1"/>
        <s v="BENALAXIL + MANCOZEB BLUE X 25 KG" u="1"/>
        <s v="MOTOSIERRA CS-8002-60 CON BARRA Y CADENA" u="1"/>
        <s v="HERRAMIENTA EXTRACTOR DE EMBRAGUE DE MOTOSIERRA" u="1"/>
        <s v="22175-21200 CARTER M COMPLETO 577" u="1"/>
        <s v="CA COJINETE 6202 B450 B530 SRM430" u="1"/>
        <s v="TAMBOR DE EMBRAGUE ES726" u="1"/>
        <s v="ETIQUETA YOGA X 100 ML" u="1"/>
        <s v="ANILLO DE PISTON CS8002" u="1"/>
        <s v="VALVULA COMBUST B45-B45LA (20011-81550)" u="1"/>
        <s v="20011-35141 ABRAZADERA (B) TUBO B450-C350" u="1"/>
        <s v="ETIQUETA AGROTAFIX X LITRO" u="1"/>
        <s v="4073281 SOPORTE DE LANZA ES726" u="1"/>
        <s v="22411-14500 CABLE COMPLETO C230" u="1"/>
        <s v="BOBINA PAQUEÑA 757" u="1"/>
        <s v="AISLADOR CS680" u="1"/>
        <s v="CUBIERTA, SILENCIADOR B530 (62035-32331)" u="1"/>
        <s v="569000 KIT REPARACION, MANGUITO, VALVULAS SP40BPS" u="1"/>
        <s v="ZS1100-CO506A FILTRO DE GASOLINA" u="1"/>
        <s v="LIMPIADORES DE RASTRA" u="1"/>
        <s v="Criba para humedos mod. SC3305, SC3265, SC3342" u="1"/>
        <s v="EMPAQUE DE CILINDRO PPT2400, EDR210" u="1"/>
        <s v="72555-14100 ABRAZADERA MANUBRIO COMP. B450-B530-C350" u="1"/>
        <s v="RESORTE DE BALANCIN CS8002" u="1"/>
        <s v="SOPORTE (B) C230" u="1"/>
        <s v="POLEA 4&quot;/1RAN/1 1/8" u="1"/>
        <s v="ETIQUETA ANIQUILADOR X LITRO" u="1"/>
        <s v="TALADRO DE MANO   " u="1"/>
        <s v="WASA CLUCTH" u="1"/>
        <s v="90SG-033X CADENA 8 3/8&quot;; 0.43&quot;" u="1"/>
        <s v="TAMPER 1771392" u="1"/>
        <s v="20142-41210 ANILLO PISTON 22F-22C-F2" u="1"/>
        <s v="CAJA 500 ML" u="1"/>
        <s v="9400024 ANILLO DE ENCOSTO BVIN 745/765" u="1"/>
        <s v="CA CILINDRO C230-ES726-M230 (A130001390)" u="1"/>
        <s v="SO-22.00.509 PISTON MOD. 140" u="1"/>
        <s v="PIÑON LOCO P230" u="1"/>
        <s v="SOPORTE (B) C270" u="1"/>
        <s v="67001-62211 EJE FLEXIBLE 22F" u="1"/>
        <s v="PISTON KIT CS1201" u="1"/>
        <s v="EMPAQUETADURA DE ADMISION PPT-2400" u="1"/>
        <s v="CUBIERTA FILTRO DE AIRE PPT2400" u="1"/>
        <s v="BACTER STOP X 500 KG" u="1"/>
        <s v="71.200.10 CORONA DE BRONCE EC MINI  " u="1"/>
        <s v="TORSION RESORTE DE TORSIÓN CS420" u="1"/>
        <s v="MACETERO JAZMIN PEQUEÑO PICA" u="1"/>
        <s v="ABRAZADERA COMPLETA B530-B450" u="1"/>
        <s v="03.046449 ENGRANAGE DE MANDO" u="1"/>
        <s v="COPPERCHIO VALVOLE T44" u="1"/>
        <s v="ABRAZADERA SRM4300" u="1"/>
        <s v="70196-12110 CILINDRO C350-C35LA" u="1"/>
        <s v="WHEEL-NEW HUB CHIP/VAC 1901748" u="1"/>
        <s v="02.070842 JUEGO COMP. MARTILLOS JF 5" u="1"/>
        <s v="PISTOLA HZ-20GT 88421 " u="1"/>
        <s v="TENSOACTIVO HUMECTANTE" u="1"/>
        <s v="22150-52411 TUERCA 577" u="1"/>
        <s v="SO-20.11.744 CILINDRO MOD 140/141" u="1"/>
        <s v="AGROTAFOL AC X 250 ML" u="1"/>
        <s v="CIROMAZINA 75% SOL X 50 GRS " u="1"/>
        <s v="TOLVA DE ENTRADA DPF MINI" u="1"/>
        <s v="ENVASE PET 250 ML" u="1"/>
        <s v="CABLE DEL ACELERADOR M230 P230 P231 (63880-65371)" u="1"/>
        <s v="SKEKURA WP X 200 GRS" u="1"/>
        <s v="ANILLOS PISTON SRM4605" u="1"/>
        <s v="108636-10 BARRA 10, 0.42G" u="1"/>
        <s v="DIENTE P/MOTOSIERRA 73D 100B 3/8 OREGON" u="1"/>
        <s v="ASTA DE ZM-44" u="1"/>
        <s v="GRIFO DE VACIO CON ABRAZADERA 50MM, NCM. 8434.9000" u="1"/>
        <s v="EMPAQUE DE CARTER" u="1"/>
        <s v="FILTRO AIRE  22F-22C" u="1"/>
        <s v="CARRETILLA P/ BODEGA 2 POSTURAS ROJA 16.5 KG" u="1"/>
        <s v="EJE CENTRAL A P230" u="1"/>
        <s v="ETIQUETA CIROMAZINA X 50 GMS  DEL (AGROT" u="1"/>
        <s v="AGROTAFOL 20-20-20-1 FLORACION 500G" u="1"/>
        <s v="CA CABLE B530 (V430002930)" u="1"/>
        <s v="EMPAQUE (B) ADMICSION PPT2400" u="1"/>
        <s v="2010177 BUJE DE GOMA ADAPTADOR" u="1"/>
        <s v="62064-81011 CARBURADOR COMPLETO C230" u="1"/>
        <s v="9400388 VISOR DE ACEITE" u="1"/>
        <s v="RODAMIENTO 20 D6 629-ZZ" u="1"/>
        <s v="ROLLO NYLON SHINDAIWA 30LB 0.105&quot;" u="1"/>
        <s v="CA BOQUILLA DE METAL ES 726" u="1"/>
        <s v="AGROTAFOL CALCIO X 500 ML" u="1"/>
        <s v="PLACA  FILTRO POSTERIOR B530" u="1"/>
        <s v="ETIQUETA QUITA LATEX GALON - CANECA" u="1"/>
        <s v="20037-82130 MANGA C350-B450-B530" u="1"/>
        <s v="EMPAQUETADURA Y DIAFRAGMA SRM4605" u="1"/>
        <s v="QUELATO DE ZN + AZUFRE + AC. HUMICOS" u="1"/>
        <s v="ETIQUETA CIROMAZINA  50 GRS AGROMAC (POS" u="1"/>
        <s v="CAJA DE TRANSMICION DAC 600" u="1"/>
        <s v="22175-12121 EMPAQUE CILINDRO 577" u="1"/>
        <s v="63019-63010 CAJA DE ENGRANAJE COMP B530" u="1"/>
        <s v="LLAVE DE BUJIA 19MM" u="1"/>
        <s v="AGROTAZOLE 25% EC  X LT" u="1"/>
        <s v="BARRA 24 LT, 3/8, 0.58" u="1"/>
        <s v="20056-81740 FILTRO AIRE C350-B450" u="1"/>
        <s v="KIT 1 ( BOX JET )" u="1"/>
        <s v="ETIQUETA SKEMATA X LITRO" u="1"/>
        <s v="TAMBOR CUERDA CS-1201" u="1"/>
        <s v="PERNO SUJETADOR DEL COLGADOR SRM4300" u="1"/>
        <s v="22019-17110 PROTECTOR CUERO C350-B450-B4" u="1"/>
        <s v="CUCHILLAS RECOGEDORAS IZQUIERDAS 930 C" u="1"/>
        <s v="SKEMATA X 250 ML" u="1"/>
        <s v="CA TAMBOR ARANQUE B530 (P022002080)" u="1"/>
        <s v="JUEGO DE CUCHILLAS PPC3" u="1"/>
        <s v="ETIQUETA GLIFOSATO 20LT (RIERA)" u="1"/>
        <s v="ETIQUETA SARGENT X LITRO" u="1"/>
        <s v="FILTRO AIRE  INTERMEDIO SRM4300" u="1"/>
        <s v="CA EMPAQUE CILINDRO 22F-C230-ES726 (V100000490)" u="1"/>
        <s v="4517530 ESLABON GIRATORIO" u="1"/>
        <s v="ETIQUETA SKEKURA X LITRO" u="1"/>
        <s v="10101161230 CILINDRO SHP800" u="1"/>
        <s v="BUEN-CAN CACHORRO--- CARNE-LECHE-CER.R ---( 4 KG )" u="1"/>
        <s v="CONTRA CUCHILLA JF 40P" u="1"/>
        <s v="22019-17110 PROTECTOR CUERO C350-B450-B45" u="1"/>
        <s v="CA PERILLA DE FILTRO B530-HT230 (V299000410)" u="1"/>
        <s v="TILACLOR PLUS X 10 gr" u="1"/>
        <s v="BANDA A-33" u="1"/>
        <s v="COPPERCHIO VALVOLE T33" u="1"/>
        <s v="CABALLETE PARA ZM 95 " u="1"/>
        <s v="ESPOLVOREADOR SOLO 421" u="1"/>
        <s v="ETIQUETA BUCANER X LITRO" u="1"/>
        <s v="SOPORTE DE PARED TUBERIA DE 1/2&quot; NCM 8434.9000" u="1"/>
        <s v="CAJA VALVULAS SALIDA ZM-51" u="1"/>
        <s v="ARRANCADOR COMPLETO ES726" u="1"/>
        <s v="PINZA SEGURO INTERNO CUVO" u="1"/>
        <s v="TAMBOR ARRANCADOR SRM4300" u="1"/>
        <s v="ORINGS ES726" u="1"/>
        <s v="TAMBOR ARRANCADOR CS3500" u="1"/>
        <s v="SINOPRID X 100 G" u="1"/>
        <s v="BARRA 28&quot; 70CM 3/8&quot;/0.058&quot; CS680S CS8002" u="1"/>
        <s v="V652000180 ENGRANAJE" u="1"/>
        <s v="LETAL X LITRO" u="1"/>
        <s v="EMPAQUE B CARBURADOR SRM4300" u="1"/>
        <s v="ZARANDA TCM4 (0,8MM)" u="1"/>
        <s v="70602067820 RETENEDOR DE RESORTE" u="1"/>
        <s v="60035-98310 KIT MOTOR RECONSTRUC B530" u="1"/>
        <s v="PISTON KIT C230-ES726-HT230 (70870-98020)" u="1"/>
        <s v="AMPERIMETRO" u="1"/>
        <s v="20070-81350 TORNILLO (H) B450" u="1"/>
        <s v="TIRO DE TRACTOR LANDINI" u="1"/>
        <s v="POLEA CON TRINQUETE ARRANCADOR HC-150" u="1"/>
        <s v="MOTOR DE ARRANQUE" u="1"/>
        <s v="ETIQUETA AGROTAFOL K PLUS X 500 ML" u="1"/>
        <s v="02.045001 PERNO DE SEGURIDAD" u="1"/>
        <s v="JUEGO ANILLO PISTON B45-B45LA" u="1"/>
        <s v="RESORTE DEL EMBRAGUE B45" u="1"/>
        <s v="PERFORADOR SOLO PS10 051/076" u="1"/>
        <s v="TALADRO 1/2 PERCUSION TP-6R" u="1"/>
        <s v="TAPA DE RADIADOR" u="1"/>
        <s v="TUBO EXTERNO SRM270" u="1"/>
        <s v="62035-31310 PLACA UNION B530" u="1"/>
        <s v="BOBINA DE ENCENDIDO CS600" u="1"/>
        <s v="CARBURADOR EB 500" u="1"/>
        <s v="CA EMPAQUE CARB. B450-B45-C350 (V103001010)" u="1"/>
        <s v="VOLANTE B450 C350" u="1"/>
        <s v="RESORTE RECULAR SC600" u="1"/>
        <s v="10010055430 CIGUENAL SRM3605" u="1"/>
        <s v="TAMBOR DEL EMBRAGUE 22GT" u="1"/>
        <s v="FILTRO DE AIRE PPT2400" u="1"/>
        <s v="PLATO ARRANQUE CS3000" u="1"/>
        <s v="ROTAVATOR 1,70 M LAVRALE" u="1"/>
        <s v="ABRAZADERA MANUBRIO COMP. B450-B530-C350" u="1"/>
        <s v="62903-66111 PORTEC DESPOJO B450-C350-B53" u="1"/>
        <s v="AGROTALINA X LT" u="1"/>
        <s v="BOMBA DE FUMIGAR MANUAL 20 LTS JACK" u="1"/>
        <s v="2010065 ANILLO ORING 2006 6.46X2.90X1.7" u="1"/>
        <s v="2010810 KNOB" u="1"/>
        <s v="02030-06202 COJINETE B450-B530" u="1"/>
        <s v="BOBINA CS3000" u="1"/>
        <s v="CORTASETOS HT230/40" u="1"/>
        <s v="JERINGA TPX C/D X 10ML " u="1"/>
        <s v="SINOTYL X KG" u="1"/>
        <s v=" ACELERADOR (A) B450,C350" u="1"/>
        <s v="SUPER POLLITO INICIACION HARINA ( 176 LIBRAS )" u="1"/>
        <s v="SKEKURA WP X 200 G" u="1"/>
        <s v="ETIQUETA CIROMAZINA X 50 GMS DEL  (F. A." u="1"/>
        <s v="ANILLOS JUEGO PISTON SRM4300" u="1"/>
        <s v="ETIQUETA MOSKAFIN 100G (DR. AGRO)POST." u="1"/>
        <s v="VALVULA DE GATILLO ES726" u="1"/>
        <s v="JUEGO DE PESAS DELANTERAS TRACTOR 5705" u="1"/>
        <s v="20016-21100 CARTER COMP. C230-P230" u="1"/>
        <s v="EMPAQUE TAPA SHP-800" u="1"/>
        <s v="63019-12102 TUBO EXTERIOR SEMI COMP B530" u="1"/>
        <s v="SURCADORA DOBLE MOTOCULTOR" u="1"/>
        <s v="70870-98020 PISTON COMP C230-ES726-HT230" u="1"/>
        <s v="2010452 JUNTA DE LA TAPA OPERATRIZ" u="1"/>
        <s v="RESORTE ACELERADOR SHP800" u="1"/>
        <s v="02.055541 JUEGO DE CUCHILLAS" u="1"/>
        <s v="JUEGO DE CUCHILLAS EC 4800" u="1"/>
        <s v="JERINGA TPX C/D X 30ML" u="1"/>
        <s v="ETIQUETA BOTRYAZOLE X LITRO" u="1"/>
        <s v="CABLE COMPLETO B45-C35LA (62113-83010)" u="1"/>
        <s v="CAJA COMBO DESARROLLO" u="1"/>
        <s v="ETIQUETA AGROTAFOL INICIAL X 500 GRS" u="1"/>
        <s v="TAMBOR B530" u="1"/>
        <s v="FULMINANTE AGRIPAC X 50 GRAMOS" u="1"/>
        <s v="2011082 AMORTIGUADOR PARA RECOLECTOR 350" u="1"/>
        <s v="MOTOR 3HP WEG 3600 RPM 110/220V" u="1"/>
        <s v="COJINETE C350-B450" u="1"/>
        <s v="ZAPATA EMBRAGUE HC-150" u="1"/>
        <s v="ZARANDA TCM4 (0,6MM)" u="1"/>
        <s v="PROPILAQ X LITRO" u="1"/>
        <s v="HUMICEL 20 LITROS" u="1"/>
        <s v="POLEA B3.5 1RAN  28MM. MEZCLADORA" u="1"/>
        <s v="UN-32 CABEZAL PRO-MATIC CON PERNOS " u="1"/>
        <s v="STICKER COMBO SCOBA XL" u="1"/>
        <s v="20024-41210 ANILLOS PISTON KIT C270" u="1"/>
        <s v="ATTAKILL (MIREX-S) 500 GRMS" u="1"/>
        <s v="GEAR-WORM" u="1"/>
        <s v="4574920 JUEGO DE VALVULAS ES726" u="1"/>
        <s v="RESORTE PEQUEÑO" u="1"/>
        <s v="CAPUCHON DE BUJIA   C350" u="1"/>
        <s v="BOMBA FUMIGACION  16LT AZUL LANZA  MET" u="1"/>
        <s v="BENALAXYL + MANCOZEB  BLUE X 500 G" u="1"/>
        <s v="SUPER CERDO ENGORDE PELLET 40 KG." u="1"/>
        <s v="ROLLO NYLON AZUL (700MT)0.105&quot;" u="1"/>
        <s v="TRINQUETE SRM270,C350,B530 (20024-75220)" u="1"/>
        <s v="BOQUILLA JACTO 01 " u="1"/>
        <s v="CUBIERTA, FILTRO DE AIRE" u="1"/>
        <s v="22155-21630 RETEN 757-577" u="1"/>
        <s v="DESTORNILLADOR DOBLE PUNTA" u="1"/>
        <s v="ADAPTADOR UN10,B450,B530,C350" u="1"/>
        <s v="CILINDROS ZM 44" u="1"/>
        <s v="TAPÓN MANGO CS420" u="1"/>
        <s v="BOMBA DE AGUA GP 450" u="1"/>
        <s v="22169-21300 TAPA ACIETE 757" u="1"/>
        <s v="APOYO DE LOS CUEROS ZM 51" u="1"/>
        <s v="CONTRA CUCHILLA EC MINI" u="1"/>
        <s v="POLEA A3.5&quot;/1RAN,3/4&quot; GASO" u="1"/>
        <s v="69011-98310 KIT MOTOR RECONSTRUC 577" u="1"/>
        <s v="ENGRANAJE 488 (22154-55110)" u="1"/>
        <s v="ABRAZADERA MANUBRIO COMP. B450-B530-C350 (72555-14100)" u="1"/>
        <s v="FILTRO AIRE C350-B450 (20056-81740)" u="1"/>
        <s v="BOTA.HID.SAF.PUNTA ACERO  #39    (AMARILLO)" u="1"/>
        <s v="20020-81150 RESORTE RODELA B45-B530-B45L" u="1"/>
        <s v="AGROTAFOL 13-6-40 PRODUCCION X 500 G" u="1"/>
        <s v="RESORTE GRANDE" u="1"/>
        <s v="EMPAQUETADURA DIAGRAG C270" u="1"/>
        <s v="ETIQUETA TOKAL 400 X 500ML" u="1"/>
        <s v="CA CARBURADOR 22F-22C" u="1"/>
        <s v="72051-98011 PISTON KIT C350-C35LA-BP35" u="1"/>
        <s v="22150-75520 PERILLA ARRANCADOR 757-577-4" u="1"/>
        <s v="EMPAQUETADURA Y DIAFRAGMA KIT B530" u="1"/>
        <s v="22152-41210 ANILLO DEL PISTON 577" u="1"/>
        <s v="20000-81330 TORNILLO (L) B450-B530" u="1"/>
        <s v="ADAPTADOR DE MANGA CARBURADOR CS1201" u="1"/>
        <s v="AISLADOR SC420" u="1"/>
        <s v="22169-42000 CIGUENAL 757" u="1"/>
        <s v="SER-PRESTADOS" u="1"/>
        <s v="RETEN B450-B530-C350-EB500" u="1"/>
        <s v="10024242230 EMPAQUE CARTER SRM 4605" u="1"/>
        <s v="2010886 RETENEDOR" u="1"/>
        <s v="72017-13013 CAJA DE ENGRANAJE C350-C35LA" u="1"/>
        <s v="ETIQUETA MOSKAFIN X 100 GMS" u="1"/>
        <s v="FILTRO ACEITE PH 4403" u="1"/>
        <s v="62035-85031 MANGUERA B530" u="1"/>
        <s v="10101030830 EMPAQUET DE CILINDRO CS8002" u="1"/>
        <s v="PERILLA ARRANCADOR SRM3605 (20010-75190)" u="1"/>
        <s v="DESARMADORES DE GOLPE 7 PZ" u="1"/>
        <s v="BUEN CAN ADULTO--- CARNE-MAIZ-ARROZ R.---  8 KG. (BOLSAS)" u="1"/>
        <s v="CADENA 17&quot; CS420ES" u="1"/>
        <s v="LLAVE DE BUJIA B530,B450,C350" u="1"/>
        <s v="MOTOR 2HP EBERLE 1800RPM 110/220V" u="1"/>
        <s v="14551055932 EMPAQUE DE ESCAPE SHP800" u="1"/>
        <s v="ENVASE PREIMPRESO PARALANCHA 250/500 G" u="1"/>
        <s v="20010-86130 AMORTIGUADOR B450-C350" u="1"/>
        <s v="22160-33821 EMPAQUE CORCHO 488-577-757" u="1"/>
        <s v="72451-14502 ACELERADOR (A) B450,C350" u="1"/>
        <s v="ETIQUETA FAST X 100 ML" u="1"/>
        <s v="MANGUERA DOBLE PULSACIÓN TRANSPARENTE SILICONADA" u="1"/>
        <s v="KEMADOR X LT" u="1"/>
        <s v="MEDIDA DE COMBUSTIBLE" u="1"/>
        <s v="62113-83010 CABLE COMPLETO B45-C35LA" u="1"/>
        <s v="70602034770 CABEZA PISTON SHP800" u="1"/>
        <s v="64007-64310 CABLE B530" u="1"/>
        <s v="CAJA VALVULAS SALIDA ZM-44" u="1"/>
        <s v="DESGRANADORA 360 (KG/HORA) OSORIO" u="1"/>
        <s v="CAJA COMBO CACAO INICIO" u="1"/>
        <s v="CHANCA 85 LB." u="1"/>
        <s v="AGUJA (H) 757" u="1"/>
        <s v="BOBINA 488 (22160-71511)" u="1"/>
        <s v="22015-13390 PIÑON CONICO CON VASTAGO C350" u="1"/>
        <s v="FILTRO COMBUSTIBLE SRM4300 SRM4605" u="1"/>
        <s v="2010998 VALVULA DE REPERCUSION" u="1"/>
        <s v="EMPAQUE DE DIAFRAGMA DE MEDICION CARB 488,577,757" u="1"/>
        <s v="2010193 MANGUERA GEMELA DE PULSACIÓN" u="1"/>
        <s v="CA TAMBOR EMBRAGUE B530" u="1"/>
        <s v="PROGIBB X 10  GR" u="1"/>
        <s v="JUEGO DE MARTILLOS PARA TMC-4" u="1"/>
        <s v="ETIQUETA CIROMAZINA X 50 GMS  DEL (AGROTA)" u="1"/>
        <s v="VOLANTE PARA MOTOSIERRA 757" u="1"/>
        <s v="ETIQUETA AGROTAFOL FOSFITO X 500 ML" u="1"/>
        <s v="DIAFRAGMA DE LA BOMBA 4605" u="1"/>
        <s v="CARBENDAZIM 50 % WP 25 KILOS (KL)" u="1"/>
        <s v="20040-81680 RESORTE MEMBRANA B450-C350-C270-SHP800" u="1"/>
        <s v="GLIFOLAQ X 125 ML" u="1"/>
        <s v="JUEGO ANILLO  B530" u="1"/>
        <s v="ETIQUETA SINOTOP X LITRO" u="1"/>
        <s v="SEAL-OIL WHEELSHAFT 9621" u="1"/>
        <s v="THICKER X KILO" u="1"/>
        <s v="SOPORTE B SRM 270" u="1"/>
        <s v="CAJON DE HERRAMIENTAS # 3" u="1"/>
        <s v="PISTON KIT C350,C35LA,BP35" u="1"/>
        <s v="ENGRANAJE 13 DIENTES BATIDOR VFC 5000" u="1"/>
        <s v="20000-85579 OJAL TANQUE COMB B450-C350" u="1"/>
        <s v="ANILLO PRESION AC.5/16 (556)" u="1"/>
        <s v="20019-83410 EMPAQUETADURA" u="1"/>
        <s v="SOPORTE (A) C230" u="1"/>
        <s v="99909-159 KIT DE EMPAQUETADURA C230" u="1"/>
        <s v="70102-51220 RESORTE EMBRAGUE C270" u="1"/>
        <s v="JUEGO ANILLO PISTON C230-HT230" u="1"/>
        <s v="22000-13512 PERNO CUCHILLA  BP 35" u="1"/>
        <s v="ABRAZADERA B B450-C350" u="1"/>
        <s v="CARBURADOR PPT-2400" u="1"/>
        <s v="4525920 ESLABON GIRATORIO C/DESCONEXION" u="1"/>
        <s v="TAPA PLASTICA RADIADOR G.PRIX" u="1"/>
        <s v="CHUMACERA DE GRASA 182MM X 1 1/4" u="1"/>
        <s v="ACOPLE TUBO PRINCIPAL PPT2400" u="1"/>
        <s v="AMORTIGUADOR TANQUE PEQUEÑO B530 (62035-85351)" u="1"/>
        <s v="9400337 TAPA DE RECOLECTOR 350" u="1"/>
        <s v="CA CILINDRO SRM4300 (A130000292)" u="1"/>
        <s v="PISTONE D 15X25" u="1"/>
        <s v="02432-26120 ANILLO RETENEDOR C230" u="1"/>
        <s v="SOPORTE (A) C270" u="1"/>
        <s v="CUCHILLO CURVO MULTIPROPOSITO" u="1"/>
        <s v="ROLLO HILO NYLON 0.095&quot; 1/2 LIBRA " u="1"/>
        <s v="RESORTE BUJIA C230-C350-EB500" u="1"/>
        <s v="ETIQUETA SINOTYL X KILO" u="1"/>
        <s v="ARCO DE SIERRA ALUMINIO " u="1"/>
        <s v="9400339 MANIPULO" u="1"/>
        <s v="ESCRITORIO DE MADERA" u="1"/>
        <s v="TUERCA RACORD MD.415-20-22-24-25-26-35" u="1"/>
        <s v="CASCO CON VSERA GRANDE TOMATE" u="1"/>
        <s v="JUEGO DE MACHUELOS 5MM 0.8 3 PIEZAS" u="1"/>
        <s v="CAMIONETA CHEVROLET LUV D-MAX 2.5L DIESEL TM 4X2" u="1"/>
        <s v="CONECTOR ACELERADOR B450-B530-C350" u="1"/>
        <s v="CARTER C 757" u="1"/>
        <s v="HIDROLAVADORA ZM-SEMI 7/1600-110V" u="1"/>
        <s v="BARRA 50CM 3/8&quot;/0.58&quot;" u="1"/>
        <s v="ETIQUETA ANIQUILADOR X 250 ML" u="1"/>
        <s v="ETIQUETA SKEKURA X 200 GRS POSTERIOR" u="1"/>
        <s v="22150-52440 PIN DEL TENSOR DE CADENA 577-488-757" u="1"/>
        <s v="CA PERNO CUCHILLA C230 (V216000040)" u="1"/>
        <s v="22155-72280 TUBO PROTECTOR CABLE B530-757" u="1"/>
        <s v="DESTORNILLADOR P/RELOJERO 6PZS AL K2219X" u="1"/>
        <s v="FLAP SAFETY 1902656" u="1"/>
        <s v=" LLAVE EXAGONAL 3MM B450   09026-03001 HERRAM" u="1"/>
        <s v="20060-12210 AISLADOR CONDENS B450-C350" u="1"/>
        <s v="RETEN 22C-C230" u="1"/>
        <s v="BSK 100 X 200 LT" u="1"/>
        <s v="2013174 MANIPULO DEL COLECTOR" u="1"/>
        <s v="10010160931 CIGUENAL CS3500" u="1"/>
        <s v="4567930 CAJA DE ENGRANAJE ES726" u="1"/>
        <s v="TAMBOR DE ARRANCADOR" u="1"/>
        <s v="MANGUERA FUMIGACION X 100 MTS." u="1"/>
        <s v="CAJA COMBO INSECTICIDA" u="1"/>
        <s v="ANILLOS PISTON  B530" u="1"/>
        <s v="INSECTICIDA DRAGON ATOM.  475 CC." u="1"/>
        <s v="20000-85511 TAPON DE VENTILACION B45" u="1"/>
        <s v="70168-85201TAPA TANQUE B450-C350-B530" u="1"/>
        <s v="VITAVAX 300  250 GRMS" u="1"/>
        <s v="TANQUE ES726" u="1"/>
        <s v="AGROVERDOL X 500 ML" u="1"/>
        <s v="RODAMIENTOS 6207 2Z JAPAN" u="1"/>
        <s v="BUEN CAN ADULTO--- CARNE-MAIZ-ARROZ R.---  4 KG.  (FUNDITAS)" u="1"/>
        <s v="DISCO PLASTICO C35" u="1"/>
        <s v="ARRANCADOR CS420" u="1"/>
        <s v="CARBURADOR SRM270" u="1"/>
        <s v="TAPA DEL TUBO PPT2400" u="1"/>
        <s v="TAPA DE BUJIA SRM4300" u="1"/>
        <s v="2011030 ASIENTO DEL PULSADOR" u="1"/>
        <s v="AGROTAFOL 20-20-1 FLORACION X KG" u="1"/>
        <s v="PARALANCHA X 250 GRMS" u="1"/>
        <s v="ROLLO HILO NYLON 0.105&quot; 12.2M (2.7MM)" u="1"/>
        <s v="FIL. COMBUSTIBLE JOHN DEERE 5705 RE62419" u="1"/>
        <s v="RESORTE DEL ACELERADOR CS680-CS600" u="1"/>
        <s v="ENVASE COEX 125 g X LITRO" u="1"/>
        <s v="22015-96500 HERRAM EXTRACTOR COMPLETO" u="1"/>
        <s v="FILTRO PRIMARIO 6405 JOHN DEERE AL78223" u="1"/>
        <s v="HERRAMIENTA LLAVE B45-B450-B530-C350" u="1"/>
        <s v="POLEA 8 1/2 PULGADAS TRES RANURAS" u="1"/>
        <s v="JUEGO DE MARTILLOS PARA DP1" u="1"/>
        <s v="EMPAQUE AISLADOR C230-ES726 (V103001200)" u="1"/>
        <s v="22015-13390 JUEGO DE PINON C350" u="1"/>
        <s v="CONTRA CUCHILLA PARA PPC-3" u="1"/>
        <s v="PIX TOTAL AROMATIZADO PISTOLA 1/2 LTR" u="1"/>
        <s v="DISCO VIDIA 9&quot; 40 DIENTES" u="1"/>
        <s v="CA CILINDRO CS680" u="1"/>
        <s v="LLAVE 4MM B450   09026-04001 HERRAMIENTA" u="1"/>
        <s v="PISTON JUEGO COMPLETO 488" u="1"/>
        <s v="EMPAQUETADURA DE ADMISION" u="1"/>
        <s v="ETIQUETA FEGADAZIM X 250 ML" u="1"/>
        <s v="ETIQUETA RIDONATE X LITRO" u="1"/>
        <s v="PLACA GUIA INTERNA" u="1"/>
        <s v="AISLADOR B450 C350" u="1"/>
        <s v="AGROTAFOL K PLUS X 500 ML" u="1"/>
        <s v="ENGRANAJE 488" u="1"/>
        <s v="20024-75130 RESORTE ARRANQUE SHP800" u="1"/>
        <s v="AISLADOR DE ADMICION CS680" u="1"/>
        <s v="CA COJINETE AGUJA C350-BP35" u="1"/>
        <s v="EMPAQUE DE CILINDRO CS1201" u="1"/>
        <s v="PROPILAQ X 100 ML" u="1"/>
        <s v="22160-75100 ARRANCADOR COMPLETO 488" u="1"/>
        <s v="MEZCLADORA MRC 1000" u="1"/>
        <s v="BUCANER X 100 ML" u="1"/>
        <s v="VITRINA DE ALUMINIO Y VIDRIO" u="1"/>
        <s v="COMPUTADORA (CPU)" u="1"/>
        <s v="PULSADOR ALTERNADO" u="1"/>
        <s v="ZARANDA DIAMETRO 5MM TIN-2" u="1"/>
        <s v="ZARANDA MEDIANA 76204-12" u="1"/>
        <s v="ACEITE MINERAL" u="1"/>
        <s v="BUCANER X 500 ML" u="1"/>
        <s v="CARBURADOR PARA MOTOR 16HP I/C" u="1"/>
        <s v="JUEGO DE MARTILLOS PARA DP2" u="1"/>
        <s v="COJINETE B450" u="1"/>
        <s v="AGUJA (L) 757" u="1"/>
        <s v="PERNO SUJETADOR DE AMORTIGUADOR CS1201" u="1"/>
        <s v="TUBO EXTERIOR B450 (80025)" u="1"/>
        <s v="CUBIERTA DEL VENTILADOR BP35" u="1"/>
        <s v="TAMBOR DE EMBRAGUE C270" u="1"/>
        <s v="BOMBA FUMIGAR 20LT AZUAL LANZA METAL " u="1"/>
        <s v="SINOPRID X 500 G" u="1"/>
        <s v="ANILLO DEL PISTON CS 600" u="1"/>
        <s v="CAJON DE HERRAMIENTAS # 2" u="1"/>
        <s v="70602047412 CILINDRO DE BOMBA SHP 800" u="1"/>
        <s v="CEPILLO ACERO 6PZS. 880204 DORADO" u="1"/>
        <s v="CABLE (B) ACELERADOR MANUBRIO B530 B450 C350" u="1"/>
        <s v="AGROTAFOL 15-30-15 INICIO X KG" u="1"/>
        <s v="TAMBOR ARRANCE CS420" u="1"/>
        <s v="CABLE DE CEPILLO CILINDRICO" u="1"/>
        <s v="ETIQUETA BIOBAN X 250 ML" u="1"/>
        <s v="SPIN  X 500 ML" u="1"/>
        <s v="09026-03001 LLAVE EXAGONAL 3MM B450 HERRAM" u="1"/>
        <s v="CAJA COMBO PRO" u="1"/>
        <s v="PROFESIONAL CRECIMIENTO X KG" u="1"/>
        <s v="02-046819 RODILLO DENTADO SUPERIOR JF50" u="1"/>
        <s v="TAMBOR DE ARRANCADOR HT230" u="1"/>
        <s v="SOPORTE (A) C350-B450-B530-B" u="1"/>
        <s v="CONTRA CUCHILLA DEL ROTOR 930 C" u="1"/>
        <s v="20016-85400 FILTRO COMBUSTIBLE 22F-C230" u="1"/>
        <s v="22017-12210 COLGADOR C350-B530" u="1"/>
        <s v="COMBO RAIZ ROSADA" u="1"/>
        <s v="28820-08000 CABEZAL NYLON SPEED-FEED" u="1"/>
        <s v="CUCHILLA DE TRES PUNTAS 300 MM" u="1"/>
        <s v="TAPA DE COMBUSTIBLE B530,B450,C350,C230" u="1"/>
        <s v="91032 HERRAMIENTA KIT ENGENER" u="1"/>
        <s v="22169-21520 PERNO BARRA 757" u="1"/>
        <s v="ETIQUETA ANIQUILADOR X 100 ML" u="1"/>
        <s v="ETIQUETA AGROTALINA X LITRO" u="1"/>
        <s v="TRITURADORA TMC4" u="1"/>
        <s v="FRENO COMPLETO NR 757 (22169-54103)" u="1"/>
        <s v="REMACHADORA " u="1"/>
        <s v="CABEZAL METALICO" u="1"/>
        <s v="CORTACETOS HC-150 20&quot;" u="1"/>
        <s v="62035-81013 CARBURADOR COMP. B530" u="1"/>
        <s v="12312509560 DIAFRAGMA SRM3605" u="1"/>
        <s v="ETIQUETA CIROMAZINA  50 GRS AGROMAC ( DEL)" u="1"/>
        <s v="80771 DISCO ACERO 10; 3 DIENTES" u="1"/>
        <s v="CAJA 250 ML" u="1"/>
        <s v="UREUM X LT" u="1"/>
        <s v="20011-81451 PALANCA BALANCIN B450-C350" u="1"/>
        <s v="RANGER 480  1 LTS" u="1"/>
        <s v="CA TRINQUETE B45LA-B530-C350-SRM270 (EC-A514000080)" u="1"/>
        <s v="AMORTIGUADOR,TANQUE B530" u="1"/>
        <s v="ENVASE PREIMPRESO SKEKURA WP X 100 GMS" u="1"/>
        <s v="PONCHO IMPERMEABLE PVC XL AMARILLO PV400" u="1"/>
        <s v="KRESOBY X 500CC (ML)" u="1"/>
        <s v="05.001491 DEIDO DUPLO (0816-00 - VV)" u="1"/>
        <s v="ROSETTA D 8X13X1" u="1"/>
        <s v="CONTRA CUCHILLA DPF MINI" u="1"/>
        <s v=" ABRAZADERA COMP. B450-B530-C350" u="1"/>
        <s v="22044-14120 PLACA MANUBRIO BP35" u="1"/>
        <s v="SERRUCHO ABATIBLE 180mm" u="1"/>
        <s v="CARBURADOR CS510" u="1"/>
        <s v="RETEN 22F-C230-ES726" u="1"/>
        <s v="PERNO TAPA GRASA B530,B450,C350" u="1"/>
        <s v="4515030 VALVULA DE PASO ES726" u="1"/>
        <s v="70030-71620 AISLADOR DE BOBINA B530-22F" u="1"/>
        <s v="20024-75130 RESORTE ARRANC B450-C350-B45" u="1"/>
        <s v="SRAH-205 CABEZAL DE NYLON ECHO" u="1"/>
        <s v="MOTOR 2HP WEG 1800 RPM 110/220V" u="1"/>
        <s v="MOTOR 3HP WEG 1800 RPM 110/220V" u="1"/>
        <s v="CARCASA CAJA DE ENGRANAJES B450 B530 C350" u="1"/>
        <s v="ETIQUETA IMPULMAX X 250 ML" u="1"/>
        <s v="CA BOBINA B450-C350-C35LA-B45LA (A411000780)" u="1"/>
        <s v="JUEGO DE MARTILLOS PARA DP4" u="1"/>
        <s v="BARRA 17&quot; CS420ES 0.375" u="1"/>
        <s v="70200-85320 TUBO SUCCION C350-B450" u="1"/>
        <s v="ENVASE ATRAZINA KG PREIMPRESA" u="1"/>
        <s v="EMBRAGUE CS8002" u="1"/>
        <s v="CARTER COMPLETO SRM4605" u="1"/>
        <s v="MOTOSIERRA 488 SHINDAIWA" u="1"/>
        <s v="72920-81820 RESORTE T B450-C350-B530" u="1"/>
        <s v="02.046460 ENGRANAJE CON LANZADOR DE ACEI" u="1"/>
        <s v="MANGUERA DE VACIO VERDE SILICONADA" u="1"/>
        <s v="BUEN CAN ADULTO--- POLLO-MAIZ-ARROZ R.---  4 KG. (FUNDITAS)" u="1"/>
        <s v="EXIBIDOR DE MADERA" u="1"/>
        <s v="SOPORTE PARA TUBERIA 50MM PLASTICO,NCM 8434.9000" u="1"/>
        <s v="CA POLEA ARRANQUE SRM3605,4605 (A052000370)" u="1"/>
        <s v="22169-51170 TUERCA PUNTA CIGUE 757" u="1"/>
        <s v="ETIQUETA AGROTAFOL ZINC X LITRO" u="1"/>
        <s v="AMORTIGUADOR FRONTAL CS8002" u="1"/>
        <s v="20087-81531 BOMBA COMPLETA C350-B450" u="1"/>
        <s v="DISCO DE ACERO 4 PUNTAS" u="1"/>
        <s v="ETIQUETA SINOTYL X 500 GRS - DELANTERA" u="1"/>
        <s v="CUCHILLA TUPI RC005A" u="1"/>
        <s v="COLLAR CAJA DE ENGRANAJE C230,T230XR" u="1"/>
        <s v="20011-31230 ANILLO DE RETENCION, SEGURO C350-B450" u="1"/>
        <s v="ABRAZADERA S B450 C300 B45-B45LA" u="1"/>
        <s v="FERTILIZANTE 10-30-10 SACO (50KG)" u="1"/>
        <s v="20016-71601 BOBINA C230-P230" u="1"/>
        <s v="TAMBOR EMBRAGUE PPT2400" u="1"/>
        <s v="CA ANILLOS PISTON 757 (A101000560)" u="1"/>
        <s v="38500-82130 CUBIERTA FILTRO AIRE ES726" u="1"/>
        <s v="05.01194 RESORTE DEL TAMBOR DENTADO MOVI" u="1"/>
        <s v="DIFENOCONAZOLE 25 % EC X 200 LITROS" u="1"/>
        <s v="RUEDA PARA ZM 95 2.00X0.50 PARA EJE SUPERIOR" u="1"/>
        <s v="CARBURADOR CS1201" u="1"/>
        <s v="MYCLOBUTANIL 12,5 % EC x 200L" u="1"/>
        <s v="RODAMEINTO 6205 2Z FAG" u="1"/>
        <s v="EJE DE TRANSMISION" u="1"/>
        <s v="FILTRO COMB TANQUE 577-757-B" u="1"/>
        <s v="BARRA 18&quot; CS420ES 0.375" u="1"/>
        <s v="COLLAR C230-22C" u="1"/>
        <s v="MOTOSIERRA 757 SHINDAIWA" u="1"/>
        <s v="GENERADOR 800W 110V 12V" u="1"/>
        <s v="PISTON KIT CS3000" u="1"/>
        <s v="CIGUENAL C230-P230" u="1"/>
        <s v="COMBO  AGROTA CACAO FLORACION " u="1"/>
        <s v="AGROTAFOL AMINO X GL" u="1"/>
        <s v="METSULFURON X 15 GRAMOS" u="1"/>
        <s v="20024-75240 SUJETADOR CUCHILLA B530-C350" u="1"/>
        <s v="MOTOR WEG-1 FASE-3HP 3600 RPM 110/220V" u="1"/>
        <s v="BIOBAN X 20 LT" u="1"/>
        <s v="BOQUILLA COMPLETA DM6110" u="1"/>
        <s v="MONTAJE DE ARNES" u="1"/>
        <s v="CIGUEÑAL CS1201" u="1"/>
        <s v="TRINQUETE B450,BP35,B45" u="1"/>
        <s v="CONTRA CUCHILLA DPF JR" u="1"/>
        <s v="FILTRO HIDRAULICO NEW HOLLAND 1930986 UK" u="1"/>
        <s v="82067A UN-10 CABEZAL NYLON (SIN EMPAQUE)" u="1"/>
        <s v="SET REPUESTOS (2BASES 1LLAVE 2PIÑON)" u="1"/>
        <s v="ETIQUETA CIPERMETRINA X LITRO" u="1"/>
        <s v="TANQUE COMBUST SRM3605" u="1"/>
        <s v="CARBURADOR COMPLETO CS600" u="1"/>
        <s v="CAJON DE HERRAMIENTAS # 1" u="1"/>
        <s v="MOLINO DPF MINI" u="1"/>
        <s v="TANQUE QUIMICO SHP800" u="1"/>
        <s v="CAJA DE ENGRANAJES B450-B45L" u="1"/>
        <s v="ETIQUETA AGROTAFOL FOSFITO X LITRO" u="1"/>
        <s v="CA CILINDRO B530 (A130001780)" u="1"/>
        <s v="QUEMADOR DE GAS-MANGUERA-VALVULA" u="1"/>
        <s v="SARGENT X LT" u="1"/>
        <s v="CARBURADOR 577-577P (22175-81000)" u="1"/>
        <s v="KIT DE PISTON PPT2400" u="1"/>
        <s v="ETIQUETA PROPILAQ X LITRO" u="1"/>
        <s v="CORONA DE BRONCE SINFIN" u="1"/>
        <s v="CORTADORA CRAFTSMAN 5.5HP LLANTA BAJA MOD. 247.385200" u="1"/>
        <s v="569004 PISTON KIT SP40BPS" u="1"/>
        <s v="MEMBRANA CARBURADOR SRM4300" u="1"/>
        <s v="DESMALEZADORA 025 BRISTOL" u="1"/>
        <s v="72447-13121 RETENEDOR B530-B450-C350-B45" u="1"/>
        <s v="ESLABON GIRATORIO ES726,SHP800" u="1"/>
        <s v="VALVULA REGULADORA CS1201" u="1"/>
        <s v="PERNOS MOTOR-EJE B450" u="1"/>
        <s v="72282-15101 SILENCIADOR 577" u="1"/>
        <s v="22157-41112 PISTON 488" u="1"/>
        <s v="2010640 MEMBRANA DEL LAVADOR" u="1"/>
        <s v="22175-82310 FILTRO DE AIRE 577-757C" u="1"/>
        <s v="02.045510 KIT CUCHILLAS COMPLETO JF5" u="1"/>
        <s v="CAJA 100 ML" u="1"/>
        <s v="BROCA ESPIRAL HSS 29PZ 1/16-1/2 ALEMANA&quot;" u="1"/>
        <s v="ARRANQUE MD. 130-134-140-141 " u="1"/>
        <s v="4568020 CUERPO DE LA VALVULA ES726" u="1"/>
        <s v="20010-72221 CAPUCHON DE BUJIA C350" u="1"/>
        <s v="JUEGO TARRAJA - MACHUELO 25 PIEZAS" u="1"/>
        <s v="73DP-84X CADENA60CM 24&quot;, 3/8, 058" u="1"/>
        <s v="VALVULA DESLIZANTE DE CARBURADOR B530" u="1"/>
        <s v="ENGRANAJE SINFIN 757" u="1"/>
        <s v="ETIQUETA AGROTAMINA X LITRO" u="1"/>
        <s v="20016-12112 CILINDRO C230-ES726-M230/1-P" u="1"/>
        <s v="PERILLA DE CUBIERTA 577 (22175-82520)" u="1"/>
        <s v="BOMBA ZM 44 MAXXI" u="1"/>
        <s v="PISTON KIT CS3500-35" u="1"/>
        <s v="POLA 4  2RAN 1  GASODISEL PC3 DP2 DP1" u="1"/>
        <s v="GATILLO ACELERADOR  CS680" u="1"/>
        <s v="EMPAQUE ADMISION CARBURADOR CILINDRO ES726" u="1"/>
        <s v="ANILLOS PISTON B450" u="1"/>
        <s v="BOMBA DE FUMIGAR ANOBI REVERVERI 1 SALIDA" u="1"/>
        <s v="MICHU POLLO ( 2 KG )" u="1"/>
        <s v="82067 UN-10 CABEZAL NYLON (SIN EMPAQUE)" u="1"/>
        <s v="15 - 40 - 15 - 1 + MICROELEMENTOS X KG" u="1"/>
        <s v="KIT MOTOR RECONSTRUC B530" u="1"/>
        <s v="BUCANER X LT" u="1"/>
        <s v="CILINDRO ALIMENTADOR LISO" u="1"/>
        <s v="2011556 MANGUERA DE CORTA DE COLECTOR" u="1"/>
        <s v="72316-53310 TORNILO TENSOR 757" u="1"/>
        <s v="2011939 TAPA DE PULSACION" u="1"/>
        <s v="CABLE COMPLETO B450" u="1"/>
        <s v="CABLE ACELERADOR CS3605" u="1"/>
        <s v="ETIQUETA SINOMITE X 100 ML" u="1"/>
        <s v="SKEKURA WP X 100 GRS" u="1"/>
        <s v="22015-12120 BUSHING C350" u="1"/>
        <s v="HUMITREX X LT" u="1"/>
        <s v="TAMBOR ARRANCADOR B530" u="1"/>
        <s v="ESMERIL DE PEDESTAL " u="1"/>
        <s v="CORONA DE TRACTOR LAMBORGINI" u="1"/>
        <s v="ETIQUETA RAIZ FORTE X 500 ML" u="1"/>
        <s v="CHISPERO" u="1"/>
        <s v="20000-81310 TORNILLO (T) B450-B530-BP35" u="1"/>
        <s v="VISOR ACEITE SHP800" u="1"/>
        <s v="22051-11922 EJE FLEXIBLE BP35" u="1"/>
        <s v="ITALCAN PLUS ( 66 LIBRAS )" u="1"/>
        <s v="20024-81023 CARBURADO C270" u="1"/>
        <s v="ANILLOS PISTON CS3500" u="1"/>
        <s v="JUEGO O RINGS ZM-95 MAXXI" u="1"/>
        <s v="AGROTAFIX X 500 ML" u="1"/>
        <s v="PICADORA PPC3" u="1"/>
        <s v="PERNO HIE.C/E 3/0X2-1/2 (21)  " u="1"/>
        <s v="TUBO DE ACE, INOX PERFORADO 1CC" u="1"/>
        <s v="22150-51520 PINON FLOTANTE 577-757-CS8002" u="1"/>
        <s v="DESMALEZADORA T230" u="1"/>
        <s v="ETIQUETA AGROTAFOL FOSFITO X 250 ML" u="1"/>
        <s v="CA CILINDRO B450 (70210-12111) " u="1"/>
        <s v="CA EMBRAGUE C230" u="1"/>
        <s v="INSECTICIDA TORVI 1/2 C-V" u="1"/>
        <s v="BASE TANQUE SRM 3605" u="1"/>
        <s v="CA CONECTOR ACELERADOR B450-B530-C350 (C482000070)" u="1"/>
        <s v="ALGAENZIMES 20 LT" u="1"/>
        <s v="ESLABON GIRATORIO C/DESCONEXION" u="1"/>
        <s v="ARRANCADOR COMP PPT2400" u="1"/>
        <s v="62035-33010 UNION COMPLETA B530" u="1"/>
        <s v="IMIDACLOPRID 25 % WP 100 G" u="1"/>
        <s v="POLEA ARRANQUE SRM3605,4605" u="1"/>
        <s v="BOTA GOLIAT HIDROC 38 S/F   (AMARILLO)" u="1"/>
        <s v="20021-96420 HERRAMIENTA RETENEDOR X2" u="1"/>
        <s v="PISTON KIT C230" u="1"/>
        <s v="IMIDACLOROPRID 25% WP X 25KL" u="1"/>
        <s v="CUBIERTA VENTILADOR B45-B450" u="1"/>
        <s v="HERRAMIENTA LLAVE (22155-91580)" u="1"/>
        <s v="CABEZAL DE NYLON METALICO" u="1"/>
        <s v="CALIBRADOR" u="1"/>
        <s v="HANDLE SET, REAR" u="1"/>
        <s v="ZAPATA EMBRAGUE COMP. 22F" u="1"/>
        <s v="FLANJE ENTALLADO COSECHADORA 930 C" u="1"/>
        <s v="CA MANGA C350-B450-B530 (V475004810)" u="1"/>
        <s v="ETIQUETA SPIN X 500 ML" u="1"/>
        <s v="DESMALEZADORA SRM-22GES" u="1"/>
        <s v="JUEGO DE RINGS" u="1"/>
        <s v="AISLADOR SRM270" u="1"/>
        <s v="KIT MOTOR RECONSTRUCION CS3605" u="1"/>
        <s v="72051-98310 PISTON SEMI COMPL. C35LA-C350" u="1"/>
        <s v="ESPARRAGO BARRA CS680" u="1"/>
        <s v="CAJA COMBO ARROZ TOTAL" u="1"/>
        <s v="JUEGO DE LIMAS 8 5 PIEZAS&quot;" u="1"/>
        <s v="AMORTIGUADOR TANQUE B530" u="1"/>
        <s v="22154-85540 SUJETADOR 757" u="1"/>
        <s v="IMPRESORA" u="1"/>
        <s v="TUBO EXTERNO B530" u="1"/>
        <s v="99909-453 AGUJA KIT B450" u="1"/>
        <s v="SEGURO DEL ACELERADOR CS420" u="1"/>
        <s v="ANILLO BASE DE LA MANGA CS8002" u="1"/>
        <s v="ENVASE PET LITRO" u="1"/>
        <s v="CAJA DE ENGRANAJES COMP.B450" u="1"/>
        <s v="MOTOSIERRA CS-420ES" u="1"/>
        <s v="AJUSTE DE PRECIOS" u="1"/>
        <s v="EMBRAGUE COMP. B45" u="1"/>
        <s v="CA CARBURADOR B530 (A021002570)" u="1"/>
        <s v="ENVASE PREIMPRESO AGROTAFOL COMBI X 200" u="1"/>
        <s v="KIT MOTOR RECONSTRUC B530 (60035-98310)" u="1"/>
        <s v="ARRANCADOR CS8002" u="1"/>
        <s v="RESORTE DE COMPRESION EJE PPT2400" u="1"/>
        <s v="REDUCTOR  MOTOR A GASOLINA" u="1"/>
        <s v="PERNO SUJETA MOTOR EJE SRM4300" u="1"/>
        <s v="PERNO CARBURADOR SRM4605" u="1"/>
        <s v="BARRA TOBERA 2 SALIDAS" u="1"/>
        <s v="10103456532 CILINDRO SRM270" u="1"/>
        <s v="JUEGO DE MACHUELOS 3/16 24 3 PIEZAS&quot;" u="1"/>
        <s v="EMPAQUETADURA DE DIAFRAGMA SRM4300" u="1"/>
        <s v="ETIQUETA SKEKURA X KILO" u="1"/>
        <s v="PROTECTOR PERNO BP35" u="1"/>
        <s v="A130000111 CILINDRO DM6110" u="1"/>
        <s v="72334-98010 PISTON COMPLETO 577" u="1"/>
        <s v="MOTOR 1.5HP 110/220V PARA DPF MINI  " u="1"/>
        <s v="TEBUCONAZOL 25% EC x 200 LT" u="1"/>
        <s v="JUEGO DE PISTON 22C-22F" u="1"/>
        <s v="ETIQUETA ESTAMPIDA ORGANICO X LITRO" u="1"/>
        <s v="GAFAS SHINDAIWA" u="1"/>
        <s v="02.116594 CUBIERTA DE PROTECCION SUPERIOR  " u="1"/>
        <s v="88056 DISCO B7" u="1"/>
        <s v="FILAMENTO 5LB.105&quot; REDONDO NYL" u="1"/>
        <s v="FILTRO COMBUST 22F-C230-HT230-ES726" u="1"/>
        <s v="4575060 JUEGO DE VALVULAS ES726" u="1"/>
        <s v="GLIFOLAQ X 250 ML" u="1"/>
        <s v="BOBINA C270" u="1"/>
        <s v="BARRA 18 PROLITE D 0.816" u="1"/>
        <s v="62035-85351 AMORTIGUADOR,TANQUE B530" u="1"/>
        <s v="20021-41330 COJINETE B45-EB500-B45LA" u="1"/>
        <s v="RUEDA PARA ZM 51 1.80X0.25" u="1"/>
        <s v="22000-92167 DISCO 9&quot; 30 DIENTES " u="1"/>
        <s v="CAJA COMBO MASTER INICIAL" u="1"/>
        <s v="LACURA X LT" u="1"/>
        <s v="HERRAM LLAVE VOLANTE (20000-96411)" u="1"/>
        <s v="TANQUE 23L DM6110" u="1"/>
        <s v="BROCA EDR210" u="1"/>
        <s v="RESORTE DEL BASCULANTE PARA EC 4800" u="1"/>
        <s v="IVERMEC-JB  10ML." u="1"/>
      </sharedItems>
    </cacheField>
    <cacheField name="GRUPO" numFmtId="0">
      <sharedItems containsBlank="1" count="123">
        <s v="TERMINADO"/>
        <s v="MATERIA PRIMA"/>
        <s v="MATERIA PRIMA "/>
        <s v="TERMINADO "/>
        <s v="REPUESTOS DESMALEZADORA"/>
        <s v="CHIPPER/SHEDDERS"/>
        <s v="MOTOR ELETRICO"/>
        <s v="ACCESORIOS BOMBA DE FUMIGACION"/>
        <s v="ACCESORIOS DESMALEZADORA"/>
        <s v="REPUESTOS MOTOSIERRAS "/>
        <s v="REPUESTOS NEBULIZADORA. PULVERIZADORA Y ESPOLVEADORA"/>
        <s v="REPUESTOS PODADORAS DE ALTURA "/>
        <s v="REPUESTO BOMBA DE FUMIGACION"/>
        <s v="ACCESORIOS"/>
        <s v="ACCESORIOS PODADORAS DE ALTURA "/>
        <s v="ACCESORIOS MOTOSIERRAS"/>
        <s v="REPUESTOS CORTASETOS "/>
        <s v="DESMALEZADORA"/>
        <s v="REPUESTOS TALADRO MOTORIZADO"/>
        <s v="ACCESORIOS BOMBA DE AGUA"/>
        <s v="ACEITES"/>
        <s v="MOTOSIERRAS"/>
        <s v="HERRAMIENTAS VENTA "/>
        <s v="REPUESTOS SOPLADORAS "/>
        <s v="REPUESTOS MAQ MULTIUSOS"/>
        <s v="NEBULIZADORA. PULVERIZADORA Y ESPOLVEADORA"/>
        <s v="ACCESORIOS NEBULIZADORA. PULVERIZADORA Y ESPOLVEADORA"/>
        <s v="SOPLADORAS"/>
        <s v="TALADRO MOTORIZADO"/>
        <s v="BOMBA DE FUMIGACION"/>
        <s v="MAQ MULTIUSOS"/>
        <s v="PODADORAS DE ALTURA "/>
        <s v="PUBLICIDAD"/>
        <s v="BOMBAS DE AGUA"/>
        <s v="ACCESORIOS CORTASETOS "/>
        <s v="ORDENOS MECANICOS "/>
        <s v="ACCESORIOS ORDENOS MECANICOS"/>
        <s v="ACCESORIOS ENSILADORAS "/>
        <s v="REPUESTOS TRITURADORES "/>
        <s v="MEZCLADORAS"/>
        <s v="ENSILADORAS"/>
        <s v="REPUESTOS MOLINOS PICADORES "/>
        <s v="REPUESTOS ENSILADORAS "/>
        <s v="ACCESORIOS MOLINOS PICADORES "/>
        <s v="MOLINOS PICADORES "/>
        <s v="REPUESTOS PICADORA "/>
        <s v="MOTOR GASOLINA"/>
        <s v="POLEAS"/>
        <s v="BANDAS"/>
        <s v="BOMBAS HIDROMECANICAS"/>
        <s v="REPUESTOS BOMBAS HIDROMECANICAS"/>
        <s v="ACCESORIOS BOMBAS HIDROMECANICAS"/>
        <s v="HIDROLAVADORAS"/>
        <s v="CORTASETOS "/>
        <s v="TIJERAS DE PODA"/>
        <s v="GRASAS"/>
        <s v="REPUESTOS ORDENOS MECANICOS "/>
        <s v="REPUESTOS "/>
        <s v="IMPLEMENTOS "/>
        <s v="RIEGO"/>
        <s v="MOTORES "/>
        <s v="TUBO EXTENSION"/>
        <m u="1"/>
        <s v="PICADORA " u="1"/>
        <s v="REPUESTOS BOMBAS DE AGUA " u="1"/>
        <s v="RECONSTRUYENTE" u="1"/>
        <s v="ACCESORIOS CHIPPER/SHEDDERS" u="1"/>
        <s v="HERRAMIENTAS PODA" u="1"/>
        <s v="MOTOR DIESEL" u="1"/>
        <s v="ACCESORIOS ZM" u="1"/>
        <s v="AA (No Aplica)" u="1"/>
        <s v="EXTERNO" u="1"/>
        <s v="IMPRESORAS" u="1"/>
        <s v="CHANCA" u="1"/>
        <s v="MOTOCULTORES " u="1"/>
        <s v="AGROQUIMICOS" u="1"/>
        <s v="COSECHADORAS" u="1"/>
        <s v="CULTIVOS VARIOS" u="1"/>
        <s v="ACCESORIOS PICADORA " u="1"/>
        <s v="ACCESORIOS COSECHADORAS" u="1"/>
        <s v="REPUESTO ZM" u="1"/>
        <s v="DESGRANADORAS" u="1"/>
        <s v="ANTIBIÓTICO" u="1"/>
        <s v="PECUARIO" u="1"/>
        <s v="ACCESORIOS BOMBAS ZM" u="1"/>
        <s v="PAPELERIA" u="1"/>
        <s v="ESPARCIDORAS " u="1"/>
        <s v="BOTAS PLASTICAS" u="1"/>
        <s v="CACHORROS" u="1"/>
        <s v="ACEITES Y GRASA" u="1"/>
        <s v="BOMBAS ZM" u="1"/>
        <s v="MAQUINARIA" u="1"/>
        <s v="REPUESTOS COSECHADORAS" u="1"/>
        <s v="HERRAMIENTA" u="1"/>
        <s v="PC" u="1"/>
        <s v="SERVICIO TECNICO" u="1"/>
        <s v="PULGAS GARRAPATAS PIOJOS" u="1"/>
        <s v="ACCESORIOS BOMBAS DE AGUA " u="1"/>
        <s v="ANIMALES" u="1"/>
        <s v="PROTECTOR  LLUVIAS" u="1"/>
        <s v="TRACTORES " u="1"/>
        <s v="INTERNO" u="1"/>
        <s v="EXTERNOS" u="1"/>
        <s v="ACCESORIOS TALADRO MOTORIZADO" u="1"/>
        <s v="BEBEDERO" u="1"/>
        <s v="TRANSPORTE" u="1"/>
        <s v="SERVICIOS" u="1"/>
        <s v="MACETEROS" u="1"/>
        <s v="MAQUINARIA HUESO" u="1"/>
        <s v="ACCESORIOS MOTOCULTORES " u="1"/>
        <s v="MONITOR" u="1"/>
        <s v="REPUESTOS BOMBAS ZM" u="1"/>
        <s v="POTREROS" u="1"/>
        <s v="REPUESTOS MOTOCULTORES " u="1"/>
        <s v="FIJOS" u="1"/>
        <s v="RASTRILLO" u="1"/>
        <s v="REPUESTOS ZM" u="1"/>
        <s v="REPUESTOS BOMBAS DE AGUA" u="1"/>
        <s v="TRITURADORES " u="1"/>
        <s v="REPUESTOS MEZCLADORAS " u="1"/>
        <s v="BOMBAS DE AGUA " u="1"/>
        <s v="COMEDERO" u="1"/>
        <s v="MOVILES" u="1"/>
      </sharedItems>
    </cacheField>
    <cacheField name="LINEA" numFmtId="0">
      <sharedItems containsBlank="1" count="21">
        <s v="NUTRICIONAL"/>
        <s v="OTROS"/>
        <s v="PRODUCCION"/>
        <s v="FUNGICIDAS"/>
        <s v="INSECTICIDAS"/>
        <s v="FIJADORES"/>
        <s v="HERBICIDAS"/>
        <s v="AGROFORESTAL"/>
        <s v="AGROPECUARIA"/>
        <s v="ORDEÑOS MECANICOS"/>
        <s v="BOMBAS DE AGUA"/>
        <m u="1"/>
        <s v="VETERINARIA" u="1"/>
        <s v="FERTILIZANTES" u="1"/>
        <s v="AGROQUIMICOS" u="1"/>
        <s v="OTROS SUKAMPO" u="1"/>
        <s v="TALLERES" u="1"/>
        <s v="BALANCEADOS" u="1"/>
        <s v="ACTIVO FIJO" u="1"/>
        <s v="ALIMENTOS (PERRO)" u="1"/>
        <s v="AA (No Aplica)" u="1"/>
      </sharedItems>
    </cacheField>
    <cacheField name="VENTA" numFmtId="0">
      <sharedItems containsSemiMixedTypes="0" containsString="0" containsNumber="1" minValue="-67.447999999999993" maxValue="730516.68598472315"/>
    </cacheField>
    <cacheField name="COSTO" numFmtId="0">
      <sharedItems containsSemiMixedTypes="0" containsString="0" containsNumber="1" minValue="-38.993299999999998" maxValue="453831.80470000004"/>
    </cacheField>
    <cacheField name="TRUPUT" numFmtId="0">
      <sharedItems containsSemiMixedTypes="0" containsString="0" containsNumber="1" minValue="-11795.340634788672" maxValue="276684.88128472312"/>
    </cacheField>
    <cacheField name="INVERSION" numFmtId="0">
      <sharedItems containsSemiMixedTypes="0" containsString="0" containsNumber="1" minValue="0.23" maxValue="129100"/>
    </cacheField>
    <cacheField name="ROI ANUAL" numFmtId="0">
      <sharedItems containsSemiMixedTypes="0" containsString="0" containsNumber="1" minValue="-46.930678467831854" maxValue="27.3474848484848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8">
  <r>
    <x v="0"/>
    <x v="0"/>
    <x v="0"/>
    <x v="0"/>
    <x v="0"/>
    <n v="-12.900853927959211"/>
    <n v="-30.069999999999993"/>
    <n v="17.169146072040782"/>
    <n v="100.75"/>
    <n v="0.1704133605165338"/>
  </r>
  <r>
    <x v="0"/>
    <x v="1"/>
    <x v="1"/>
    <x v="0"/>
    <x v="0"/>
    <n v="3576.2648891031863"/>
    <n v="3028.5994999999989"/>
    <n v="547.66538910318741"/>
    <n v="1383.05"/>
    <n v="0.39598379603281691"/>
  </r>
  <r>
    <x v="0"/>
    <x v="2"/>
    <x v="2"/>
    <x v="0"/>
    <x v="0"/>
    <n v="5200.4411509464962"/>
    <n v="3653.9786000000017"/>
    <n v="1546.4625509464945"/>
    <n v="1355.2"/>
    <n v="1.1411323427881452"/>
  </r>
  <r>
    <x v="0"/>
    <x v="3"/>
    <x v="3"/>
    <x v="0"/>
    <x v="0"/>
    <n v="4192.4410247365149"/>
    <n v="3005.9169000000006"/>
    <n v="1186.5241247365143"/>
    <n v="1008.9"/>
    <n v="1.1760572155184006"/>
  </r>
  <r>
    <x v="0"/>
    <x v="4"/>
    <x v="4"/>
    <x v="0"/>
    <x v="0"/>
    <n v="4860.8525138551795"/>
    <n v="4103.6540999999997"/>
    <n v="757.19841385517975"/>
    <n v="1380.2"/>
    <n v="0.54861499337427888"/>
  </r>
  <r>
    <x v="0"/>
    <x v="5"/>
    <x v="5"/>
    <x v="0"/>
    <x v="0"/>
    <n v="576.745"/>
    <n v="357.70299999999997"/>
    <n v="219.04200000000003"/>
    <n v="123"/>
    <n v="1.7808292682926832"/>
  </r>
  <r>
    <x v="0"/>
    <x v="6"/>
    <x v="6"/>
    <x v="0"/>
    <x v="0"/>
    <n v="137.5"/>
    <n v="81.994199999999964"/>
    <n v="55.505800000000036"/>
    <n v="134"/>
    <n v="0.41422238805970174"/>
  </r>
  <r>
    <x v="0"/>
    <x v="7"/>
    <x v="7"/>
    <x v="0"/>
    <x v="0"/>
    <n v="336.875"/>
    <n v="217.50790000000001"/>
    <n v="119.36709999999999"/>
    <n v="126"/>
    <n v="0.94735793650793643"/>
  </r>
  <r>
    <x v="0"/>
    <x v="8"/>
    <x v="8"/>
    <x v="0"/>
    <x v="0"/>
    <n v="171.25121925884889"/>
    <n v="120.82580000000003"/>
    <n v="50.425419258848862"/>
    <n v="135"/>
    <n v="0.3735216241396212"/>
  </r>
  <r>
    <x v="0"/>
    <x v="9"/>
    <x v="9"/>
    <x v="1"/>
    <x v="1"/>
    <n v="351.93076013488121"/>
    <n v="798"/>
    <n v="-446.06923986511879"/>
    <n v="500"/>
    <n v="-0.89213847973023763"/>
  </r>
  <r>
    <x v="0"/>
    <x v="10"/>
    <x v="10"/>
    <x v="1"/>
    <x v="2"/>
    <n v="18.0063"/>
    <n v="17.981999999999999"/>
    <n v="2.430000000000021E-2"/>
    <n v="35"/>
    <n v="6.942857142857203E-4"/>
  </r>
  <r>
    <x v="0"/>
    <x v="11"/>
    <x v="11"/>
    <x v="1"/>
    <x v="2"/>
    <n v="0"/>
    <n v="1194.0225"/>
    <n v="-1194.0225"/>
    <n v="2900"/>
    <n v="-0.41173189655172415"/>
  </r>
  <r>
    <x v="0"/>
    <x v="12"/>
    <x v="12"/>
    <x v="2"/>
    <x v="3"/>
    <n v="4117.6499999999996"/>
    <n v="3352.4160000000002"/>
    <n v="765.23399999999947"/>
    <n v="22520"/>
    <n v="3.3980195381882745E-2"/>
  </r>
  <r>
    <x v="0"/>
    <x v="13"/>
    <x v="13"/>
    <x v="2"/>
    <x v="3"/>
    <n v="220.67"/>
    <n v="150.4787"/>
    <n v="70.191299999999984"/>
    <n v="10420.32"/>
    <n v="6.7360023492560673E-3"/>
  </r>
  <r>
    <x v="0"/>
    <x v="14"/>
    <x v="14"/>
    <x v="2"/>
    <x v="4"/>
    <n v="3730.1400000000003"/>
    <n v="3124.2031000000002"/>
    <n v="605.93690000000015"/>
    <n v="14166.81"/>
    <n v="4.2771583722799995E-2"/>
  </r>
  <r>
    <x v="0"/>
    <x v="15"/>
    <x v="15"/>
    <x v="2"/>
    <x v="4"/>
    <n v="2150"/>
    <n v="1797.82"/>
    <n v="352.18000000000006"/>
    <n v="9235.7999999999993"/>
    <n v="3.8132051365339231E-2"/>
  </r>
  <r>
    <x v="0"/>
    <x v="16"/>
    <x v="16"/>
    <x v="2"/>
    <x v="4"/>
    <n v="790"/>
    <n v="296.51710000000003"/>
    <n v="493.48289999999997"/>
    <n v="11338.95"/>
    <n v="4.3521040307965018E-2"/>
  </r>
  <r>
    <x v="0"/>
    <x v="17"/>
    <x v="17"/>
    <x v="2"/>
    <x v="4"/>
    <n v="8650"/>
    <n v="5685.6891999999989"/>
    <n v="2964.3108000000011"/>
    <n v="50934.1"/>
    <n v="5.8198943340512566E-2"/>
  </r>
  <r>
    <x v="0"/>
    <x v="18"/>
    <x v="18"/>
    <x v="2"/>
    <x v="0"/>
    <n v="0.96"/>
    <n v="0.96"/>
    <n v="0"/>
    <n v="2016"/>
    <n v="0"/>
  </r>
  <r>
    <x v="0"/>
    <x v="19"/>
    <x v="19"/>
    <x v="2"/>
    <x v="2"/>
    <n v="44.760800000000003"/>
    <n v="45.216799999999999"/>
    <n v="-0.45599999999999596"/>
    <n v="1900"/>
    <n v="-2.3999999999999786E-4"/>
  </r>
  <r>
    <x v="0"/>
    <x v="20"/>
    <x v="20"/>
    <x v="2"/>
    <x v="2"/>
    <n v="890.83999999999992"/>
    <n v="835.63479999999993"/>
    <n v="55.205199999999991"/>
    <n v="4200"/>
    <n v="1.3144095238095236E-2"/>
  </r>
  <r>
    <x v="0"/>
    <x v="21"/>
    <x v="21"/>
    <x v="2"/>
    <x v="2"/>
    <n v="16.791900000000002"/>
    <n v="16.791900000000002"/>
    <n v="0"/>
    <n v="80"/>
    <n v="0"/>
  </r>
  <r>
    <x v="0"/>
    <x v="22"/>
    <x v="22"/>
    <x v="2"/>
    <x v="2"/>
    <n v="13.732700000000001"/>
    <n v="13.772399999999999"/>
    <n v="-3.969999999999807E-2"/>
    <n v="600"/>
    <n v="-6.6166666666663446E-5"/>
  </r>
  <r>
    <x v="0"/>
    <x v="23"/>
    <x v="23"/>
    <x v="2"/>
    <x v="2"/>
    <n v="0.64260000000000006"/>
    <n v="0.60209999999999997"/>
    <n v="4.0500000000000091E-2"/>
    <n v="340"/>
    <n v="1.191176470588238E-4"/>
  </r>
  <r>
    <x v="0"/>
    <x v="24"/>
    <x v="24"/>
    <x v="2"/>
    <x v="2"/>
    <n v="1.528"/>
    <n v="1.5407999999999999"/>
    <n v="-1.2799999999999923E-2"/>
    <n v="930"/>
    <n v="-1.3763440860214971E-5"/>
  </r>
  <r>
    <x v="0"/>
    <x v="25"/>
    <x v="25"/>
    <x v="2"/>
    <x v="2"/>
    <n v="2.0499999999999998"/>
    <n v="2.9104999999999999"/>
    <n v="-0.86050000000000004"/>
    <n v="779"/>
    <n v="-1.1046213093709885E-3"/>
  </r>
  <r>
    <x v="0"/>
    <x v="26"/>
    <x v="26"/>
    <x v="2"/>
    <x v="2"/>
    <n v="1.2789000000000001"/>
    <n v="1.2804"/>
    <n v="-1.4999999999998348E-3"/>
    <n v="752"/>
    <n v="-1.9946808510636103E-6"/>
  </r>
  <r>
    <x v="0"/>
    <x v="27"/>
    <x v="27"/>
    <x v="1"/>
    <x v="2"/>
    <n v="0.1807"/>
    <n v="0.18010000000000001"/>
    <n v="5.9999999999998943E-4"/>
    <n v="95"/>
    <n v="6.3157894736840994E-6"/>
  </r>
  <r>
    <x v="0"/>
    <x v="28"/>
    <x v="28"/>
    <x v="1"/>
    <x v="2"/>
    <n v="0.2394"/>
    <n v="0.2394"/>
    <n v="0"/>
    <n v="120"/>
    <n v="0"/>
  </r>
  <r>
    <x v="0"/>
    <x v="29"/>
    <x v="29"/>
    <x v="1"/>
    <x v="2"/>
    <n v="0.23130000000000001"/>
    <n v="0.1845"/>
    <n v="4.6800000000000008E-2"/>
    <n v="104"/>
    <n v="4.500000000000001E-4"/>
  </r>
  <r>
    <x v="0"/>
    <x v="30"/>
    <x v="30"/>
    <x v="1"/>
    <x v="2"/>
    <n v="5.5269000000000004"/>
    <n v="5.5269000000000004"/>
    <n v="0"/>
    <n v="91"/>
    <n v="0"/>
  </r>
  <r>
    <x v="0"/>
    <x v="31"/>
    <x v="31"/>
    <x v="1"/>
    <x v="2"/>
    <n v="21.0547"/>
    <n v="21.143800000000002"/>
    <n v="-8.9100000000001955E-2"/>
    <n v="60"/>
    <n v="-1.4850000000000325E-3"/>
  </r>
  <r>
    <x v="0"/>
    <x v="32"/>
    <x v="32"/>
    <x v="1"/>
    <x v="2"/>
    <n v="0"/>
    <n v="1.407"/>
    <n v="-1.407"/>
    <n v="77"/>
    <n v="-1.8272727272727274E-2"/>
  </r>
  <r>
    <x v="0"/>
    <x v="33"/>
    <x v="33"/>
    <x v="1"/>
    <x v="2"/>
    <n v="8.61"/>
    <n v="8.4420000000000002"/>
    <n v="0.16799999999999926"/>
    <n v="91.8"/>
    <n v="1.8300653594771161E-3"/>
  </r>
  <r>
    <x v="0"/>
    <x v="34"/>
    <x v="34"/>
    <x v="1"/>
    <x v="2"/>
    <n v="3.2679999999999998"/>
    <n v="3.3639999999999999"/>
    <n v="-9.6000000000000085E-2"/>
    <n v="102"/>
    <n v="-9.4117647058823597E-4"/>
  </r>
  <r>
    <x v="0"/>
    <x v="35"/>
    <x v="35"/>
    <x v="1"/>
    <x v="2"/>
    <n v="11.036"/>
    <n v="11.036"/>
    <n v="0"/>
    <n v="120"/>
    <n v="0"/>
  </r>
  <r>
    <x v="0"/>
    <x v="36"/>
    <x v="36"/>
    <x v="1"/>
    <x v="2"/>
    <n v="42.069299999999998"/>
    <n v="85.249499999999998"/>
    <n v="-43.180199999999999"/>
    <n v="120"/>
    <n v="-0.35983500000000002"/>
  </r>
  <r>
    <x v="0"/>
    <x v="37"/>
    <x v="37"/>
    <x v="1"/>
    <x v="2"/>
    <n v="9.093"/>
    <n v="9.093"/>
    <n v="0"/>
    <n v="108"/>
    <n v="0"/>
  </r>
  <r>
    <x v="0"/>
    <x v="38"/>
    <x v="38"/>
    <x v="1"/>
    <x v="2"/>
    <n v="1.704"/>
    <n v="3.2540000000000004"/>
    <n v="-1.5500000000000005"/>
    <n v="78"/>
    <n v="-1.9871794871794878E-2"/>
  </r>
  <r>
    <x v="0"/>
    <x v="39"/>
    <x v="39"/>
    <x v="1"/>
    <x v="2"/>
    <n v="2.1576"/>
    <n v="2.1420999999999997"/>
    <n v="1.5500000000000291E-2"/>
    <n v="120"/>
    <n v="1.2916666666666908E-4"/>
  </r>
  <r>
    <x v="0"/>
    <x v="40"/>
    <x v="40"/>
    <x v="1"/>
    <x v="2"/>
    <n v="5.1804999999999994"/>
    <n v="5.5250000000000004"/>
    <n v="-0.34450000000000092"/>
    <n v="105"/>
    <n v="-3.2809523809523892E-3"/>
  </r>
  <r>
    <x v="0"/>
    <x v="41"/>
    <x v="41"/>
    <x v="1"/>
    <x v="2"/>
    <n v="40.866"/>
    <n v="38.405700000000003"/>
    <n v="2.4602999999999966"/>
    <n v="85"/>
    <n v="2.89447058823529E-2"/>
  </r>
  <r>
    <x v="0"/>
    <x v="42"/>
    <x v="42"/>
    <x v="1"/>
    <x v="2"/>
    <n v="8.4535"/>
    <n v="8.4589999999999996"/>
    <n v="-5.4999999999996163E-3"/>
    <n v="75"/>
    <n v="-7.3333333333328222E-5"/>
  </r>
  <r>
    <x v="0"/>
    <x v="43"/>
    <x v="43"/>
    <x v="1"/>
    <x v="2"/>
    <n v="1.6666000000000001"/>
    <n v="1.6666000000000001"/>
    <n v="0"/>
    <n v="135"/>
    <n v="0"/>
  </r>
  <r>
    <x v="0"/>
    <x v="44"/>
    <x v="44"/>
    <x v="1"/>
    <x v="2"/>
    <n v="0.53699999999999992"/>
    <n v="0.53699999999999992"/>
    <n v="0"/>
    <n v="120"/>
    <n v="0"/>
  </r>
  <r>
    <x v="0"/>
    <x v="45"/>
    <x v="45"/>
    <x v="1"/>
    <x v="2"/>
    <n v="20.851500000000001"/>
    <n v="6.4814999999999996"/>
    <n v="14.370000000000001"/>
    <n v="260"/>
    <n v="5.5269230769230772E-2"/>
  </r>
  <r>
    <x v="0"/>
    <x v="46"/>
    <x v="46"/>
    <x v="1"/>
    <x v="2"/>
    <n v="69.539999999999992"/>
    <n v="69.539999999999992"/>
    <n v="0"/>
    <n v="70"/>
    <n v="0"/>
  </r>
  <r>
    <x v="0"/>
    <x v="47"/>
    <x v="47"/>
    <x v="1"/>
    <x v="2"/>
    <n v="1.4616"/>
    <n v="1.4616"/>
    <n v="0"/>
    <n v="110"/>
    <n v="0"/>
  </r>
  <r>
    <x v="0"/>
    <x v="48"/>
    <x v="48"/>
    <x v="1"/>
    <x v="2"/>
    <n v="5.3550000000000004"/>
    <n v="5.4074999999999998"/>
    <n v="-5.2499999999999325E-2"/>
    <n v="100"/>
    <n v="-5.2499999999999325E-4"/>
  </r>
  <r>
    <x v="0"/>
    <x v="49"/>
    <x v="49"/>
    <x v="1"/>
    <x v="2"/>
    <n v="89.443999999999988"/>
    <n v="92.665499999999994"/>
    <n v="-3.221500000000006"/>
    <n v="100"/>
    <n v="-3.2215000000000063E-2"/>
  </r>
  <r>
    <x v="0"/>
    <x v="50"/>
    <x v="50"/>
    <x v="1"/>
    <x v="2"/>
    <n v="2.88"/>
    <n v="2.8824000000000001"/>
    <n v="-2.4000000000001798E-3"/>
    <n v="80"/>
    <n v="-3.0000000000002247E-5"/>
  </r>
  <r>
    <x v="0"/>
    <x v="51"/>
    <x v="51"/>
    <x v="1"/>
    <x v="2"/>
    <n v="0.31109999999999999"/>
    <n v="0.31259999999999999"/>
    <n v="-1.5000000000000013E-3"/>
    <n v="1596"/>
    <n v="-9.398496240601512E-7"/>
  </r>
  <r>
    <x v="0"/>
    <x v="52"/>
    <x v="52"/>
    <x v="1"/>
    <x v="2"/>
    <n v="697.23539999999991"/>
    <n v="708.18"/>
    <n v="-10.944600000000037"/>
    <n v="1729"/>
    <n v="-6.3300173510700041E-3"/>
  </r>
  <r>
    <x v="0"/>
    <x v="53"/>
    <x v="53"/>
    <x v="0"/>
    <x v="4"/>
    <n v="2454.6201236713873"/>
    <n v="795.98490000000038"/>
    <n v="1658.6352236713869"/>
    <n v="1256"/>
    <n v="1.320569445598238"/>
  </r>
  <r>
    <x v="0"/>
    <x v="54"/>
    <x v="54"/>
    <x v="0"/>
    <x v="4"/>
    <n v="9150.8334359978107"/>
    <n v="3399.1394000000009"/>
    <n v="5751.6940359978098"/>
    <n v="1312.8"/>
    <n v="4.3812416483834626"/>
  </r>
  <r>
    <x v="0"/>
    <x v="55"/>
    <x v="55"/>
    <x v="0"/>
    <x v="4"/>
    <n v="3105.7155973025865"/>
    <n v="1717.2042999999999"/>
    <n v="1388.5112973025866"/>
    <n v="1618.2"/>
    <n v="0.85805913811802415"/>
  </r>
  <r>
    <x v="0"/>
    <x v="56"/>
    <x v="56"/>
    <x v="0"/>
    <x v="4"/>
    <n v="2482.7732937594801"/>
    <n v="1453.4263000000001"/>
    <n v="1029.34699375948"/>
    <n v="2725.8"/>
    <n v="0.3776311518671509"/>
  </r>
  <r>
    <x v="0"/>
    <x v="57"/>
    <x v="57"/>
    <x v="0"/>
    <x v="4"/>
    <n v="7057.8878483719027"/>
    <n v="1934.1682999999998"/>
    <n v="5123.7195483719024"/>
    <n v="514.75"/>
    <n v="9.953801939527736"/>
  </r>
  <r>
    <x v="0"/>
    <x v="58"/>
    <x v="58"/>
    <x v="0"/>
    <x v="4"/>
    <n v="15432.996247053736"/>
    <n v="5586.823699999999"/>
    <n v="9846.1725470537367"/>
    <n v="437.6"/>
    <n v="22.500394303139252"/>
  </r>
  <r>
    <x v="0"/>
    <x v="59"/>
    <x v="59"/>
    <x v="0"/>
    <x v="5"/>
    <n v="433.0780278788036"/>
    <n v="405.54579999999993"/>
    <n v="27.532227878803667"/>
    <n v="392"/>
    <n v="7.0235275201029748E-2"/>
  </r>
  <r>
    <x v="0"/>
    <x v="60"/>
    <x v="60"/>
    <x v="0"/>
    <x v="5"/>
    <n v="224.97917312903726"/>
    <n v="188.96860000000001"/>
    <n v="36.010573129037255"/>
    <n v="406.6"/>
    <n v="8.8565108531818149E-2"/>
  </r>
  <r>
    <x v="0"/>
    <x v="61"/>
    <x v="61"/>
    <x v="0"/>
    <x v="5"/>
    <n v="159.63749999999999"/>
    <n v="131.61340000000001"/>
    <n v="28.024099999999976"/>
    <n v="213"/>
    <n v="0.13156854460093886"/>
  </r>
  <r>
    <x v="0"/>
    <x v="62"/>
    <x v="62"/>
    <x v="0"/>
    <x v="5"/>
    <n v="556.1534908433191"/>
    <n v="420.79170000000005"/>
    <n v="135.36179084331906"/>
    <n v="468"/>
    <n v="0.2892345958190578"/>
  </r>
  <r>
    <x v="0"/>
    <x v="63"/>
    <x v="63"/>
    <x v="0"/>
    <x v="0"/>
    <n v="8429.2184197512361"/>
    <n v="2640.9144999999994"/>
    <n v="5788.3039197512371"/>
    <n v="239"/>
    <n v="24.218844852515637"/>
  </r>
  <r>
    <x v="0"/>
    <x v="64"/>
    <x v="64"/>
    <x v="3"/>
    <x v="3"/>
    <n v="1928.0258581342637"/>
    <n v="1386.1612999999998"/>
    <n v="541.86455813426392"/>
    <n v="668.16"/>
    <n v="0.81098024146052439"/>
  </r>
  <r>
    <x v="0"/>
    <x v="65"/>
    <x v="65"/>
    <x v="3"/>
    <x v="3"/>
    <n v="585.55838525111255"/>
    <n v="417.29469999999998"/>
    <n v="168.26368525111258"/>
    <n v="321"/>
    <n v="0.52418593536172142"/>
  </r>
  <r>
    <x v="0"/>
    <x v="66"/>
    <x v="66"/>
    <x v="3"/>
    <x v="3"/>
    <n v="5007.7155425258115"/>
    <n v="3918.1690999999987"/>
    <n v="1089.5464425258128"/>
    <n v="1833.6"/>
    <n v="0.5942116287771666"/>
  </r>
  <r>
    <x v="0"/>
    <x v="67"/>
    <x v="67"/>
    <x v="3"/>
    <x v="3"/>
    <n v="4920.4695893977605"/>
    <n v="3314.5250000000001"/>
    <n v="1605.9445893977604"/>
    <n v="2425.4"/>
    <n v="0.66213597319937345"/>
  </r>
  <r>
    <x v="0"/>
    <x v="68"/>
    <x v="68"/>
    <x v="3"/>
    <x v="3"/>
    <n v="16274.978591666713"/>
    <n v="11259.4588"/>
    <n v="5015.519791666713"/>
    <n v="2676.32"/>
    <n v="1.8740359118740333"/>
  </r>
  <r>
    <x v="0"/>
    <x v="69"/>
    <x v="69"/>
    <x v="3"/>
    <x v="3"/>
    <n v="2492.3325"/>
    <n v="1932.1144000000002"/>
    <n v="560.21809999999982"/>
    <n v="1560.3"/>
    <n v="0.35904511952829576"/>
  </r>
  <r>
    <x v="0"/>
    <x v="70"/>
    <x v="70"/>
    <x v="3"/>
    <x v="3"/>
    <n v="0"/>
    <n v="1.4210854715202004E-14"/>
    <n v="-1.4210854715202004E-14"/>
    <n v="275"/>
    <n v="-5.1675835328007286E-17"/>
  </r>
  <r>
    <x v="0"/>
    <x v="71"/>
    <x v="71"/>
    <x v="3"/>
    <x v="3"/>
    <n v="8958.3297069866567"/>
    <n v="6269.2358999999997"/>
    <n v="2689.093806986657"/>
    <n v="2341.35"/>
    <n v="1.1485227783059591"/>
  </r>
  <r>
    <x v="0"/>
    <x v="72"/>
    <x v="72"/>
    <x v="3"/>
    <x v="3"/>
    <n v="3710.9916428914971"/>
    <n v="2695.5156999999995"/>
    <n v="1015.4759428914977"/>
    <n v="2690"/>
    <n v="0.37750035051728537"/>
  </r>
  <r>
    <x v="0"/>
    <x v="73"/>
    <x v="73"/>
    <x v="3"/>
    <x v="3"/>
    <n v="8729.1724959552394"/>
    <n v="6472.5039999999999"/>
    <n v="2256.6684959552395"/>
    <n v="7160.72"/>
    <n v="0.31514547363327144"/>
  </r>
  <r>
    <x v="0"/>
    <x v="74"/>
    <x v="74"/>
    <x v="3"/>
    <x v="3"/>
    <n v="6614.2798062199436"/>
    <n v="4313.1433000000006"/>
    <n v="2301.1365062199429"/>
    <n v="2172.6"/>
    <n v="1.0591625270274985"/>
  </r>
  <r>
    <x v="0"/>
    <x v="75"/>
    <x v="75"/>
    <x v="3"/>
    <x v="3"/>
    <n v="14104.256453930853"/>
    <n v="7654.6854999999996"/>
    <n v="6449.5709539308536"/>
    <n v="5669.5"/>
    <n v="1.1375907847130882"/>
  </r>
  <r>
    <x v="0"/>
    <x v="76"/>
    <x v="76"/>
    <x v="3"/>
    <x v="3"/>
    <n v="1212.1845013796089"/>
    <n v="590.00680000000011"/>
    <n v="622.17770137960883"/>
    <n v="664.44"/>
    <n v="0.93639410839144077"/>
  </r>
  <r>
    <x v="0"/>
    <x v="77"/>
    <x v="77"/>
    <x v="3"/>
    <x v="3"/>
    <n v="97943.488771161952"/>
    <n v="82509.765999999945"/>
    <n v="15433.722771162007"/>
    <n v="43168"/>
    <n v="0.35752693595167734"/>
  </r>
  <r>
    <x v="0"/>
    <x v="78"/>
    <x v="78"/>
    <x v="3"/>
    <x v="3"/>
    <n v="1244.0474458717019"/>
    <n v="632.57370000000014"/>
    <n v="611.47374587170179"/>
    <n v="1286.25"/>
    <n v="0.47539261097897129"/>
  </r>
  <r>
    <x v="0"/>
    <x v="79"/>
    <x v="79"/>
    <x v="3"/>
    <x v="3"/>
    <n v="11794.115833348842"/>
    <n v="6828.6873000000051"/>
    <n v="4965.4285333488369"/>
    <n v="9536.1"/>
    <n v="0.5206980351872188"/>
  </r>
  <r>
    <x v="0"/>
    <x v="80"/>
    <x v="80"/>
    <x v="3"/>
    <x v="3"/>
    <n v="22543.342122493508"/>
    <n v="13694.339500000007"/>
    <n v="8849.0026224935009"/>
    <n v="4085.4"/>
    <n v="2.1660064185865524"/>
  </r>
  <r>
    <x v="0"/>
    <x v="81"/>
    <x v="81"/>
    <x v="3"/>
    <x v="3"/>
    <n v="1445.5370392668519"/>
    <n v="755.47239999999999"/>
    <n v="690.06463926685194"/>
    <n v="735"/>
    <n v="0.93886345478483257"/>
  </r>
  <r>
    <x v="0"/>
    <x v="82"/>
    <x v="82"/>
    <x v="3"/>
    <x v="3"/>
    <n v="3375.2145218801734"/>
    <n v="2105.0245"/>
    <n v="1270.1900218801734"/>
    <n v="1696.5"/>
    <n v="0.74871206712653904"/>
  </r>
  <r>
    <x v="0"/>
    <x v="83"/>
    <x v="83"/>
    <x v="3"/>
    <x v="3"/>
    <n v="5075.335280993957"/>
    <n v="3124.9621000000002"/>
    <n v="1950.3731809939568"/>
    <n v="3785.5"/>
    <n v="0.51522207924817243"/>
  </r>
  <r>
    <x v="0"/>
    <x v="84"/>
    <x v="84"/>
    <x v="3"/>
    <x v="3"/>
    <n v="752.63212879086245"/>
    <n v="500.37039999999996"/>
    <n v="252.26172879086249"/>
    <n v="289"/>
    <n v="0.87287795429364179"/>
  </r>
  <r>
    <x v="0"/>
    <x v="85"/>
    <x v="85"/>
    <x v="3"/>
    <x v="3"/>
    <n v="2533.5414438593098"/>
    <n v="1650.3951999999997"/>
    <n v="883.14624385931006"/>
    <n v="509.76"/>
    <n v="1.7324745838420239"/>
  </r>
  <r>
    <x v="0"/>
    <x v="86"/>
    <x v="86"/>
    <x v="3"/>
    <x v="3"/>
    <n v="68.483723332511957"/>
    <n v="58.330799999999996"/>
    <n v="10.152923332511961"/>
    <n v="715.77"/>
    <n v="1.4184617031325649E-2"/>
  </r>
  <r>
    <x v="0"/>
    <x v="87"/>
    <x v="87"/>
    <x v="3"/>
    <x v="6"/>
    <n v="897.125"/>
    <n v="584.58410000000015"/>
    <n v="312.54089999999985"/>
    <n v="228"/>
    <n v="1.3707934210526309"/>
  </r>
  <r>
    <x v="0"/>
    <x v="88"/>
    <x v="88"/>
    <x v="3"/>
    <x v="6"/>
    <n v="665.01060810810816"/>
    <n v="451.15230000000003"/>
    <n v="213.85830810810813"/>
    <n v="391.68"/>
    <n v="0.54600262486751461"/>
  </r>
  <r>
    <x v="0"/>
    <x v="89"/>
    <x v="89"/>
    <x v="3"/>
    <x v="6"/>
    <n v="1177.2749999999999"/>
    <n v="1120.8523"/>
    <n v="56.42269999999985"/>
    <n v="348"/>
    <n v="0.16213419540229843"/>
  </r>
  <r>
    <x v="0"/>
    <x v="90"/>
    <x v="90"/>
    <x v="3"/>
    <x v="6"/>
    <n v="185.36586458451663"/>
    <n v="691.7328"/>
    <n v="-506.36693541548334"/>
    <n v="295.68"/>
    <n v="-1.7125505120924085"/>
  </r>
  <r>
    <x v="0"/>
    <x v="91"/>
    <x v="91"/>
    <x v="3"/>
    <x v="6"/>
    <n v="2486.875"/>
    <n v="2159.6223"/>
    <n v="327.2527"/>
    <n v="808"/>
    <n v="0.4050157178217822"/>
  </r>
  <r>
    <x v="0"/>
    <x v="92"/>
    <x v="92"/>
    <x v="3"/>
    <x v="6"/>
    <n v="286.15339999999998"/>
    <n v="247.2088"/>
    <n v="38.94459999999998"/>
    <n v="237.72"/>
    <n v="0.16382550900218737"/>
  </r>
  <r>
    <x v="0"/>
    <x v="93"/>
    <x v="93"/>
    <x v="3"/>
    <x v="6"/>
    <n v="1934.2617300560617"/>
    <n v="1555.3877999999997"/>
    <n v="378.87393005606191"/>
    <n v="318.92"/>
    <n v="1.1879904993605352"/>
  </r>
  <r>
    <x v="0"/>
    <x v="94"/>
    <x v="94"/>
    <x v="3"/>
    <x v="6"/>
    <n v="2032.3237625263293"/>
    <n v="1768.1019999999996"/>
    <n v="264.22176252632971"/>
    <n v="1121.25"/>
    <n v="0.23564928653407333"/>
  </r>
  <r>
    <x v="0"/>
    <x v="95"/>
    <x v="95"/>
    <x v="3"/>
    <x v="6"/>
    <n v="2568.7301811696066"/>
    <n v="860.11379999999986"/>
    <n v="1708.6163811696067"/>
    <n v="1522.2"/>
    <n v="1.1224651039085578"/>
  </r>
  <r>
    <x v="0"/>
    <x v="96"/>
    <x v="96"/>
    <x v="0"/>
    <x v="4"/>
    <n v="3601.808467181952"/>
    <n v="1884.0865999999996"/>
    <n v="1717.7218671819523"/>
    <n v="1250"/>
    <n v="1.374177493745562"/>
  </r>
  <r>
    <x v="0"/>
    <x v="97"/>
    <x v="97"/>
    <x v="0"/>
    <x v="4"/>
    <n v="1859.0445467074312"/>
    <n v="1295.6441000000002"/>
    <n v="563.400446707431"/>
    <n v="861.9"/>
    <n v="0.65367263801767139"/>
  </r>
  <r>
    <x v="0"/>
    <x v="98"/>
    <x v="98"/>
    <x v="0"/>
    <x v="4"/>
    <n v="6453.258608744949"/>
    <n v="5116.1148000000003"/>
    <n v="1337.1438087449487"/>
    <n v="1609.3"/>
    <n v="0.83088535931457685"/>
  </r>
  <r>
    <x v="0"/>
    <x v="99"/>
    <x v="99"/>
    <x v="0"/>
    <x v="4"/>
    <n v="6653.8688557476225"/>
    <n v="4126.3898000000008"/>
    <n v="2527.4790557476217"/>
    <n v="3264"/>
    <n v="0.77435020090307027"/>
  </r>
  <r>
    <x v="0"/>
    <x v="100"/>
    <x v="100"/>
    <x v="0"/>
    <x v="4"/>
    <n v="4418.7101209044513"/>
    <n v="2987.2169000000013"/>
    <n v="1431.49322090445"/>
    <n v="2823.15"/>
    <n v="0.50705531796201053"/>
  </r>
  <r>
    <x v="0"/>
    <x v="101"/>
    <x v="101"/>
    <x v="0"/>
    <x v="4"/>
    <n v="14135.908887786725"/>
    <n v="10354.2857"/>
    <n v="3781.6231877867249"/>
    <n v="1579.9"/>
    <n v="2.3935838899846349"/>
  </r>
  <r>
    <x v="0"/>
    <x v="102"/>
    <x v="102"/>
    <x v="0"/>
    <x v="4"/>
    <n v="2273.7683274409651"/>
    <n v="1659.6771000000001"/>
    <n v="614.09122744096499"/>
    <n v="1107.5"/>
    <n v="0.55448417827626639"/>
  </r>
  <r>
    <x v="0"/>
    <x v="103"/>
    <x v="103"/>
    <x v="0"/>
    <x v="4"/>
    <n v="9446.7672463456674"/>
    <n v="7478.1299999999983"/>
    <n v="1968.6372463456692"/>
    <n v="3988"/>
    <n v="0.49364023228326703"/>
  </r>
  <r>
    <x v="0"/>
    <x v="104"/>
    <x v="104"/>
    <x v="0"/>
    <x v="4"/>
    <n v="3738.9518563099723"/>
    <n v="2082.5421999999994"/>
    <n v="1656.4096563099729"/>
    <n v="365.5"/>
    <n v="4.53190056445957"/>
  </r>
  <r>
    <x v="0"/>
    <x v="105"/>
    <x v="105"/>
    <x v="0"/>
    <x v="4"/>
    <n v="8512.8364930551725"/>
    <n v="4789.6085000000003"/>
    <n v="3723.2279930551722"/>
    <n v="1745.73"/>
    <n v="2.1327627943927023"/>
  </r>
  <r>
    <x v="0"/>
    <x v="106"/>
    <x v="106"/>
    <x v="0"/>
    <x v="4"/>
    <n v="3488.5736658218639"/>
    <n v="1956.9980999999991"/>
    <n v="1531.5755658218648"/>
    <n v="919.48"/>
    <n v="1.6656975310195596"/>
  </r>
  <r>
    <x v="0"/>
    <x v="107"/>
    <x v="107"/>
    <x v="0"/>
    <x v="4"/>
    <n v="20771.457033875518"/>
    <n v="11399.069099999995"/>
    <n v="9372.3879338755232"/>
    <n v="3447.06"/>
    <n v="2.718951203018086"/>
  </r>
  <r>
    <x v="0"/>
    <x v="108"/>
    <x v="108"/>
    <x v="0"/>
    <x v="4"/>
    <n v="18131.371498585842"/>
    <n v="4695.2966000000033"/>
    <n v="13436.074898585839"/>
    <n v="2204.9499999999998"/>
    <n v="6.0935961806779462"/>
  </r>
  <r>
    <x v="0"/>
    <x v="109"/>
    <x v="109"/>
    <x v="0"/>
    <x v="4"/>
    <n v="375.22150232258042"/>
    <n v="93.352499999999992"/>
    <n v="281.8690023225804"/>
    <n v="336"/>
    <n v="0.83889584024577502"/>
  </r>
  <r>
    <x v="0"/>
    <x v="110"/>
    <x v="110"/>
    <x v="3"/>
    <x v="4"/>
    <n v="1534.5568999779607"/>
    <n v="1478.2051999999999"/>
    <n v="56.351699977960834"/>
    <n v="1793.52"/>
    <n v="3.1419610585865135E-2"/>
  </r>
  <r>
    <x v="0"/>
    <x v="111"/>
    <x v="111"/>
    <x v="0"/>
    <x v="0"/>
    <n v="1167.1400000000003"/>
    <n v="662.59680000000003"/>
    <n v="504.5432000000003"/>
    <n v="594.72"/>
    <n v="0.84837099811676142"/>
  </r>
  <r>
    <x v="0"/>
    <x v="112"/>
    <x v="112"/>
    <x v="0"/>
    <x v="0"/>
    <n v="4650.7606878400084"/>
    <n v="2541.4024000000009"/>
    <n v="2109.3582878400075"/>
    <n v="1932"/>
    <n v="1.0918003560248486"/>
  </r>
  <r>
    <x v="0"/>
    <x v="113"/>
    <x v="113"/>
    <x v="0"/>
    <x v="0"/>
    <n v="7472.8389244767077"/>
    <n v="4115.8796000000002"/>
    <n v="3356.9593244767075"/>
    <n v="2542"/>
    <n v="1.3205976886218365"/>
  </r>
  <r>
    <x v="0"/>
    <x v="114"/>
    <x v="114"/>
    <x v="0"/>
    <x v="0"/>
    <n v="1108.0762394425774"/>
    <n v="624.5385"/>
    <n v="483.53773944257739"/>
    <n v="318.24"/>
    <n v="1.5194122028738608"/>
  </r>
  <r>
    <x v="0"/>
    <x v="115"/>
    <x v="115"/>
    <x v="0"/>
    <x v="0"/>
    <n v="1127.8571967607579"/>
    <n v="780.03070000000002"/>
    <n v="347.82649676075789"/>
    <n v="472.5"/>
    <n v="0.73614073388520185"/>
  </r>
  <r>
    <x v="0"/>
    <x v="116"/>
    <x v="116"/>
    <x v="0"/>
    <x v="0"/>
    <n v="2374.7647429163267"/>
    <n v="1519.8446000000001"/>
    <n v="854.92014291632654"/>
    <n v="614.76"/>
    <n v="1.3906567488391024"/>
  </r>
  <r>
    <x v="0"/>
    <x v="117"/>
    <x v="117"/>
    <x v="0"/>
    <x v="0"/>
    <n v="3568.484620232176"/>
    <n v="895.64799999999991"/>
    <n v="2672.8366202321758"/>
    <n v="1053"/>
    <n v="2.5383063819868719"/>
  </r>
  <r>
    <x v="0"/>
    <x v="118"/>
    <x v="118"/>
    <x v="0"/>
    <x v="0"/>
    <n v="914.56999999999994"/>
    <n v="326.54489999999998"/>
    <n v="588.02509999999995"/>
    <n v="187.5"/>
    <n v="3.1361338666666665"/>
  </r>
  <r>
    <x v="0"/>
    <x v="119"/>
    <x v="119"/>
    <x v="0"/>
    <x v="0"/>
    <n v="2506.3239528716995"/>
    <n v="1276.2559000000001"/>
    <n v="1230.0680528716994"/>
    <n v="380.16"/>
    <n v="3.235658809111162"/>
  </r>
  <r>
    <x v="0"/>
    <x v="120"/>
    <x v="120"/>
    <x v="0"/>
    <x v="0"/>
    <n v="2335.6463110063974"/>
    <n v="1896.8873000000001"/>
    <n v="438.75901100639726"/>
    <n v="237.6"/>
    <n v="1.8466288342020087"/>
  </r>
  <r>
    <x v="0"/>
    <x v="121"/>
    <x v="121"/>
    <x v="0"/>
    <x v="0"/>
    <n v="1199.9442099233886"/>
    <n v="804.01339999999993"/>
    <n v="395.93080992338867"/>
    <n v="912.34"/>
    <n v="0.43397287187165828"/>
  </r>
  <r>
    <x v="0"/>
    <x v="122"/>
    <x v="122"/>
    <x v="0"/>
    <x v="0"/>
    <n v="2259.6194277566096"/>
    <n v="1280.5406"/>
    <n v="979.0788277566096"/>
    <n v="1344.6"/>
    <n v="0.72815620091968591"/>
  </r>
  <r>
    <x v="0"/>
    <x v="123"/>
    <x v="123"/>
    <x v="0"/>
    <x v="0"/>
    <n v="458.08889450031097"/>
    <n v="330.79390000000001"/>
    <n v="127.29499450031096"/>
    <n v="924.5"/>
    <n v="0.13769063764230499"/>
  </r>
  <r>
    <x v="0"/>
    <x v="124"/>
    <x v="124"/>
    <x v="0"/>
    <x v="0"/>
    <n v="201.99999999999997"/>
    <n v="42.259199999999993"/>
    <n v="159.74079999999998"/>
    <n v="200"/>
    <n v="0.79870399999999986"/>
  </r>
  <r>
    <x v="0"/>
    <x v="125"/>
    <x v="125"/>
    <x v="0"/>
    <x v="0"/>
    <n v="6440.230111523274"/>
    <n v="1933.1406999999995"/>
    <n v="4507.089411523275"/>
    <n v="1053.7"/>
    <n v="4.2773933866596527"/>
  </r>
  <r>
    <x v="0"/>
    <x v="126"/>
    <x v="126"/>
    <x v="0"/>
    <x v="0"/>
    <n v="1887.4985658383696"/>
    <n v="546.27919999999995"/>
    <n v="1341.2193658383696"/>
    <n v="605.70000000000005"/>
    <n v="2.2143294796737156"/>
  </r>
  <r>
    <x v="0"/>
    <x v="127"/>
    <x v="127"/>
    <x v="0"/>
    <x v="0"/>
    <n v="738.67802971842389"/>
    <n v="596.66240000000016"/>
    <n v="142.01562971842372"/>
    <n v="204"/>
    <n v="0.696155047639332"/>
  </r>
  <r>
    <x v="0"/>
    <x v="128"/>
    <x v="128"/>
    <x v="0"/>
    <x v="0"/>
    <n v="2330.4162100105541"/>
    <n v="1766.7387999999996"/>
    <n v="563.67741001055447"/>
    <n v="1097.5999999999999"/>
    <n v="0.51355449162769184"/>
  </r>
  <r>
    <x v="0"/>
    <x v="129"/>
    <x v="129"/>
    <x v="0"/>
    <x v="0"/>
    <n v="63.880325157799817"/>
    <n v="41.120199999999997"/>
    <n v="22.76012515779982"/>
    <n v="257.04000000000002"/>
    <n v="8.8547016642545218E-2"/>
  </r>
  <r>
    <x v="0"/>
    <x v="130"/>
    <x v="130"/>
    <x v="0"/>
    <x v="0"/>
    <n v="873.31115173629348"/>
    <n v="474.23700000000002"/>
    <n v="399.07415173629346"/>
    <n v="436"/>
    <n v="0.91530768746856284"/>
  </r>
  <r>
    <x v="0"/>
    <x v="131"/>
    <x v="131"/>
    <x v="0"/>
    <x v="0"/>
    <n v="756.09023029258492"/>
    <n v="352.34960000000001"/>
    <n v="403.74063029258491"/>
    <n v="424.2"/>
    <n v="0.95176951978450008"/>
  </r>
  <r>
    <x v="0"/>
    <x v="132"/>
    <x v="132"/>
    <x v="0"/>
    <x v="0"/>
    <n v="825.19338098261107"/>
    <n v="516.37069999999994"/>
    <n v="308.82268098261113"/>
    <n v="528"/>
    <n v="0.5848914412549453"/>
  </r>
  <r>
    <x v="0"/>
    <x v="133"/>
    <x v="133"/>
    <x v="0"/>
    <x v="0"/>
    <n v="8665.1374996800569"/>
    <n v="5353.8181000000013"/>
    <n v="3311.3193996800555"/>
    <n v="3320"/>
    <n v="0.99738536134941436"/>
  </r>
  <r>
    <x v="0"/>
    <x v="134"/>
    <x v="134"/>
    <x v="0"/>
    <x v="0"/>
    <n v="3855.9229038140875"/>
    <n v="2648.9160999999995"/>
    <n v="1207.006803814088"/>
    <n v="1503.35"/>
    <n v="0.80287810810129911"/>
  </r>
  <r>
    <x v="0"/>
    <x v="135"/>
    <x v="135"/>
    <x v="0"/>
    <x v="0"/>
    <n v="831.78665896944415"/>
    <n v="467.54460000000006"/>
    <n v="364.24205896944409"/>
    <n v="496.5"/>
    <n v="0.73361945411771212"/>
  </r>
  <r>
    <x v="0"/>
    <x v="136"/>
    <x v="136"/>
    <x v="0"/>
    <x v="0"/>
    <n v="1880.9589409632576"/>
    <n v="1305.8484000000003"/>
    <n v="575.11054096325734"/>
    <n v="1430"/>
    <n v="0.40217520347080932"/>
  </r>
  <r>
    <x v="0"/>
    <x v="137"/>
    <x v="137"/>
    <x v="0"/>
    <x v="0"/>
    <n v="139.065"/>
    <n v="164.01989999999998"/>
    <n v="-24.954899999999981"/>
    <n v="180"/>
    <n v="-0.13863833333333322"/>
  </r>
  <r>
    <x v="0"/>
    <x v="138"/>
    <x v="138"/>
    <x v="0"/>
    <x v="0"/>
    <n v="2230.753516498643"/>
    <n v="2146.1852000000003"/>
    <n v="84.568316498642616"/>
    <n v="565.20000000000005"/>
    <n v="0.14962547151210653"/>
  </r>
  <r>
    <x v="1"/>
    <x v="139"/>
    <x v="139"/>
    <x v="4"/>
    <x v="7"/>
    <n v="6.1428000000000003"/>
    <n v="0.55200000000000005"/>
    <n v="5.5907999999999998"/>
    <n v="0.48"/>
    <n v="11.647499999999999"/>
  </r>
  <r>
    <x v="1"/>
    <x v="140"/>
    <x v="140"/>
    <x v="4"/>
    <x v="7"/>
    <n v="0.75"/>
    <n v="0.128"/>
    <n v="0.622"/>
    <n v="3"/>
    <n v="0.20733333333333334"/>
  </r>
  <r>
    <x v="1"/>
    <x v="141"/>
    <x v="141"/>
    <x v="4"/>
    <x v="7"/>
    <n v="1.05"/>
    <n v="0.25600000000000001"/>
    <n v="0.79400000000000004"/>
    <n v="3"/>
    <n v="0.26466666666666666"/>
  </r>
  <r>
    <x v="1"/>
    <x v="142"/>
    <x v="142"/>
    <x v="5"/>
    <x v="7"/>
    <n v="1078.7200000000005"/>
    <n v="833.24000000000024"/>
    <n v="245.48000000000025"/>
    <n v="2985.73"/>
    <n v="8.2217749093186673E-2"/>
  </r>
  <r>
    <x v="1"/>
    <x v="143"/>
    <x v="143"/>
    <x v="5"/>
    <x v="7"/>
    <n v="902.28"/>
    <n v="566.45000000000005"/>
    <n v="335.82999999999993"/>
    <n v="566.45000000000005"/>
    <n v="0.59286786124106261"/>
  </r>
  <r>
    <x v="1"/>
    <x v="144"/>
    <x v="144"/>
    <x v="5"/>
    <x v="7"/>
    <n v="8802.5231250072502"/>
    <n v="5601.2552000000005"/>
    <n v="3201.2679250072497"/>
    <n v="4711.68"/>
    <n v="0.67943237338003626"/>
  </r>
  <r>
    <x v="1"/>
    <x v="145"/>
    <x v="145"/>
    <x v="6"/>
    <x v="8"/>
    <n v="1503.9659999999999"/>
    <n v="1234.6505"/>
    <n v="269.31549999999993"/>
    <n v="384.03"/>
    <n v="0.70128765981824326"/>
  </r>
  <r>
    <x v="1"/>
    <x v="146"/>
    <x v="146"/>
    <x v="7"/>
    <x v="7"/>
    <n v="14.420500000000001"/>
    <n v="52.283499999999997"/>
    <n v="-37.863"/>
    <n v="160"/>
    <n v="-0.23664374999999999"/>
  </r>
  <r>
    <x v="1"/>
    <x v="147"/>
    <x v="147"/>
    <x v="8"/>
    <x v="7"/>
    <n v="1953.5735539107834"/>
    <n v="1346.2243999999998"/>
    <n v="607.34915391078357"/>
    <n v="981.75"/>
    <n v="0.61863932152868195"/>
  </r>
  <r>
    <x v="1"/>
    <x v="148"/>
    <x v="148"/>
    <x v="9"/>
    <x v="7"/>
    <n v="4.2927999999999997"/>
    <n v="4.1619999999999999"/>
    <n v="0.13079999999999981"/>
    <n v="27.04"/>
    <n v="4.837278106508869E-3"/>
  </r>
  <r>
    <x v="1"/>
    <x v="149"/>
    <x v="149"/>
    <x v="10"/>
    <x v="7"/>
    <n v="59.723708267797306"/>
    <n v="38.654400000000003"/>
    <n v="21.069308267797304"/>
    <n v="51.52"/>
    <n v="0.4089539648252582"/>
  </r>
  <r>
    <x v="1"/>
    <x v="150"/>
    <x v="150"/>
    <x v="4"/>
    <x v="7"/>
    <n v="1139.8352959646486"/>
    <n v="371.77680000000004"/>
    <n v="768.0584959646485"/>
    <n v="370.62"/>
    <n v="2.0723611676775362"/>
  </r>
  <r>
    <x v="1"/>
    <x v="151"/>
    <x v="151"/>
    <x v="11"/>
    <x v="7"/>
    <n v="-16.687999999999999"/>
    <n v="-10.1752"/>
    <n v="-6.5127999999999986"/>
    <n v="37.5"/>
    <n v="-0.17367466666666662"/>
  </r>
  <r>
    <x v="1"/>
    <x v="152"/>
    <x v="152"/>
    <x v="9"/>
    <x v="7"/>
    <n v="59.936399999999999"/>
    <n v="29.935200000000002"/>
    <n v="30.001199999999997"/>
    <n v="29.88"/>
    <n v="1.0040562248995981"/>
  </r>
  <r>
    <x v="1"/>
    <x v="153"/>
    <x v="153"/>
    <x v="4"/>
    <x v="7"/>
    <n v="65.877296805254673"/>
    <n v="31.010800000000003"/>
    <n v="34.86649680525467"/>
    <n v="26.67"/>
    <n v="1.30733021392031"/>
  </r>
  <r>
    <x v="1"/>
    <x v="154"/>
    <x v="154"/>
    <x v="4"/>
    <x v="7"/>
    <n v="504.18815007730569"/>
    <n v="116.12099999999998"/>
    <n v="388.06715007730571"/>
    <n v="76.8"/>
    <n v="5.0529576832982519"/>
  </r>
  <r>
    <x v="1"/>
    <x v="155"/>
    <x v="155"/>
    <x v="9"/>
    <x v="7"/>
    <n v="37.367105425764677"/>
    <n v="25.092000000000006"/>
    <n v="12.275105425764671"/>
    <n v="41.8"/>
    <n v="0.29366280922881993"/>
  </r>
  <r>
    <x v="1"/>
    <x v="156"/>
    <x v="156"/>
    <x v="9"/>
    <x v="7"/>
    <n v="16.071455745721273"/>
    <n v="17.32"/>
    <n v="-1.2485442542787268"/>
    <n v="19.739999999999998"/>
    <n v="-6.3249455637220203E-2"/>
  </r>
  <r>
    <x v="1"/>
    <x v="157"/>
    <x v="157"/>
    <x v="9"/>
    <x v="7"/>
    <n v="416.70730648759593"/>
    <n v="332.83499999999998"/>
    <n v="83.872306487595949"/>
    <n v="442.88"/>
    <n v="0.18937930474981021"/>
  </r>
  <r>
    <x v="1"/>
    <x v="158"/>
    <x v="158"/>
    <x v="4"/>
    <x v="7"/>
    <n v="260.56799999999998"/>
    <n v="188.20999999999998"/>
    <n v="72.358000000000004"/>
    <n v="119.78"/>
    <n v="0.60409083319418933"/>
  </r>
  <r>
    <x v="1"/>
    <x v="159"/>
    <x v="159"/>
    <x v="12"/>
    <x v="7"/>
    <n v="252"/>
    <n v="122.5"/>
    <n v="129.5"/>
    <n v="123.58"/>
    <n v="1.0479041916167664"/>
  </r>
  <r>
    <x v="1"/>
    <x v="160"/>
    <x v="160"/>
    <x v="4"/>
    <x v="7"/>
    <n v="62.320999999999998"/>
    <n v="43.73"/>
    <n v="18.591000000000001"/>
    <n v="46.52"/>
    <n v="0.39963456577815992"/>
  </r>
  <r>
    <x v="1"/>
    <x v="161"/>
    <x v="161"/>
    <x v="12"/>
    <x v="7"/>
    <n v="175.89"/>
    <n v="132.78139999999999"/>
    <n v="43.108599999999996"/>
    <n v="132.78"/>
    <n v="0.32466184666365411"/>
  </r>
  <r>
    <x v="1"/>
    <x v="162"/>
    <x v="162"/>
    <x v="9"/>
    <x v="7"/>
    <n v="63.924236144190104"/>
    <n v="42"/>
    <n v="21.924236144190104"/>
    <n v="21"/>
    <n v="1.0440112449614336"/>
  </r>
  <r>
    <x v="1"/>
    <x v="163"/>
    <x v="163"/>
    <x v="4"/>
    <x v="7"/>
    <n v="14.783999999999999"/>
    <n v="7.2552000000000003"/>
    <n v="7.5287999999999986"/>
    <n v="7.2"/>
    <n v="1.0456666666666665"/>
  </r>
  <r>
    <x v="1"/>
    <x v="164"/>
    <x v="164"/>
    <x v="4"/>
    <x v="7"/>
    <n v="179.51075052998704"/>
    <n v="54.029899999999998"/>
    <n v="125.48085052998704"/>
    <n v="42.12"/>
    <n v="2.9791275054602813"/>
  </r>
  <r>
    <x v="1"/>
    <x v="165"/>
    <x v="163"/>
    <x v="4"/>
    <x v="7"/>
    <n v="11.395000000000001"/>
    <n v="5.4705000000000004"/>
    <n v="5.924500000000001"/>
    <n v="9.36"/>
    <n v="0.6329594017094019"/>
  </r>
  <r>
    <x v="1"/>
    <x v="166"/>
    <x v="165"/>
    <x v="4"/>
    <x v="7"/>
    <n v="97.799999999999983"/>
    <n v="42.560899999999997"/>
    <n v="55.239099999999986"/>
    <n v="28.8"/>
    <n v="1.918024305555555"/>
  </r>
  <r>
    <x v="1"/>
    <x v="167"/>
    <x v="166"/>
    <x v="9"/>
    <x v="7"/>
    <n v="66.148499999999999"/>
    <n v="28.215399999999999"/>
    <n v="37.933099999999996"/>
    <n v="17.010000000000002"/>
    <n v="2.2300470311581422"/>
  </r>
  <r>
    <x v="1"/>
    <x v="168"/>
    <x v="167"/>
    <x v="9"/>
    <x v="7"/>
    <n v="5.6280000000000001"/>
    <n v="2.4"/>
    <n v="3.2280000000000002"/>
    <n v="8.34"/>
    <n v="0.38705035971223023"/>
  </r>
  <r>
    <x v="1"/>
    <x v="169"/>
    <x v="168"/>
    <x v="9"/>
    <x v="7"/>
    <n v="4.6500000000000004"/>
    <n v="4.59"/>
    <n v="6.0000000000000497E-2"/>
    <n v="6.12"/>
    <n v="9.8039215686275324E-3"/>
  </r>
  <r>
    <x v="1"/>
    <x v="170"/>
    <x v="169"/>
    <x v="4"/>
    <x v="7"/>
    <n v="11.07"/>
    <n v="3.8532000000000002"/>
    <n v="7.2168000000000001"/>
    <n v="2.94"/>
    <n v="2.4546938775510205"/>
  </r>
  <r>
    <x v="1"/>
    <x v="171"/>
    <x v="170"/>
    <x v="4"/>
    <x v="7"/>
    <n v="16.524899999999999"/>
    <n v="9.5679999999999996"/>
    <n v="6.9568999999999992"/>
    <n v="8.9600000000000009"/>
    <n v="0.776439732142857"/>
  </r>
  <r>
    <x v="1"/>
    <x v="172"/>
    <x v="171"/>
    <x v="4"/>
    <x v="7"/>
    <n v="7.6999531675749324"/>
    <n v="3.64"/>
    <n v="4.0599531675749319"/>
    <n v="3.64"/>
    <n v="1.1153717493337725"/>
  </r>
  <r>
    <x v="1"/>
    <x v="173"/>
    <x v="172"/>
    <x v="9"/>
    <x v="7"/>
    <n v="21.438800000000001"/>
    <n v="11.885000000000002"/>
    <n v="9.553799999999999"/>
    <n v="17.7"/>
    <n v="0.53976271186440661"/>
  </r>
  <r>
    <x v="1"/>
    <x v="174"/>
    <x v="173"/>
    <x v="9"/>
    <x v="7"/>
    <n v="18.741599999999998"/>
    <n v="8.0399999999999991"/>
    <n v="10.701599999999999"/>
    <n v="8.01"/>
    <n v="1.3360299625468164"/>
  </r>
  <r>
    <x v="1"/>
    <x v="175"/>
    <x v="174"/>
    <x v="10"/>
    <x v="7"/>
    <n v="16.815116317153571"/>
    <n v="9.2476000000000003"/>
    <n v="7.5675163171535704"/>
    <n v="4.68"/>
    <n v="1.6169906660584554"/>
  </r>
  <r>
    <x v="1"/>
    <x v="176"/>
    <x v="175"/>
    <x v="9"/>
    <x v="7"/>
    <n v="4.2680000000000007"/>
    <n v="2.0556000000000001"/>
    <n v="2.2124000000000006"/>
    <n v="5.44"/>
    <n v="0.40669117647058833"/>
  </r>
  <r>
    <x v="1"/>
    <x v="177"/>
    <x v="176"/>
    <x v="9"/>
    <x v="7"/>
    <n v="15.052499999999998"/>
    <n v="5.8922999999999996"/>
    <n v="9.1601999999999997"/>
    <n v="5.67"/>
    <n v="1.6155555555555554"/>
  </r>
  <r>
    <x v="1"/>
    <x v="178"/>
    <x v="177"/>
    <x v="4"/>
    <x v="7"/>
    <n v="37.82268897490134"/>
    <n v="20.143599999999999"/>
    <n v="17.67908897490134"/>
    <n v="11.96"/>
    <n v="1.4781846968981052"/>
  </r>
  <r>
    <x v="1"/>
    <x v="179"/>
    <x v="178"/>
    <x v="4"/>
    <x v="7"/>
    <n v="22.070400000000003"/>
    <n v="13.8833"/>
    <n v="8.1871000000000027"/>
    <n v="6.72"/>
    <n v="1.2183184523809529"/>
  </r>
  <r>
    <x v="1"/>
    <x v="180"/>
    <x v="179"/>
    <x v="4"/>
    <x v="7"/>
    <n v="54.175560413861852"/>
    <n v="31.1416"/>
    <n v="23.033960413861852"/>
    <n v="17.16"/>
    <n v="1.3423053854231848"/>
  </r>
  <r>
    <x v="1"/>
    <x v="181"/>
    <x v="180"/>
    <x v="4"/>
    <x v="7"/>
    <n v="26.303600000000003"/>
    <n v="19.632000000000001"/>
    <n v="6.6716000000000015"/>
    <n v="19.52"/>
    <n v="0.34178278688524599"/>
  </r>
  <r>
    <x v="1"/>
    <x v="182"/>
    <x v="181"/>
    <x v="4"/>
    <x v="7"/>
    <n v="-14.33934563400447"/>
    <n v="-"/>
    <n v="-14.33934563400447"/>
    <n v="59.6"/>
    <n v="-0.24059304755041055"/>
  </r>
  <r>
    <x v="1"/>
    <x v="183"/>
    <x v="182"/>
    <x v="12"/>
    <x v="7"/>
    <n v="62.295000000000002"/>
    <n v="44.814"/>
    <n v="17.481000000000002"/>
    <n v="179.24"/>
    <n v="9.7528453470207541E-2"/>
  </r>
  <r>
    <x v="1"/>
    <x v="184"/>
    <x v="183"/>
    <x v="4"/>
    <x v="7"/>
    <n v="64.372"/>
    <n v="28.99"/>
    <n v="35.382000000000005"/>
    <n v="33.08"/>
    <n v="1.0695888754534464"/>
  </r>
  <r>
    <x v="1"/>
    <x v="185"/>
    <x v="184"/>
    <x v="9"/>
    <x v="7"/>
    <n v="5.8170000000000002"/>
    <n v="2.77"/>
    <n v="3.0470000000000002"/>
    <n v="3.18"/>
    <n v="0.95817610062893077"/>
  </r>
  <r>
    <x v="1"/>
    <x v="186"/>
    <x v="185"/>
    <x v="13"/>
    <x v="7"/>
    <n v="77.998999999999995"/>
    <n v="73.053200000000004"/>
    <n v="4.9457999999999913"/>
    <n v="182.58"/>
    <n v="2.7088399605652267E-2"/>
  </r>
  <r>
    <x v="1"/>
    <x v="187"/>
    <x v="186"/>
    <x v="8"/>
    <x v="7"/>
    <n v="420.31681109803844"/>
    <n v="265.20060000000001"/>
    <n v="155.11621109803843"/>
    <n v="124.96"/>
    <n v="1.2413269133965945"/>
  </r>
  <r>
    <x v="1"/>
    <x v="188"/>
    <x v="187"/>
    <x v="10"/>
    <x v="7"/>
    <n v="30.01"/>
    <n v="5.3007999999999997"/>
    <n v="24.709200000000003"/>
    <n v="28.66"/>
    <n v="0.86214933705512919"/>
  </r>
  <r>
    <x v="1"/>
    <x v="189"/>
    <x v="188"/>
    <x v="8"/>
    <x v="7"/>
    <n v="463.78738047375765"/>
    <n v="379.5442000000001"/>
    <n v="84.243180473757548"/>
    <n v="182"/>
    <n v="0.46287461798767882"/>
  </r>
  <r>
    <x v="1"/>
    <x v="190"/>
    <x v="189"/>
    <x v="8"/>
    <x v="7"/>
    <n v="252.12399999999997"/>
    <n v="196.23599999999999"/>
    <n v="55.887999999999977"/>
    <n v="218"/>
    <n v="0.25636697247706414"/>
  </r>
  <r>
    <x v="1"/>
    <x v="191"/>
    <x v="190"/>
    <x v="8"/>
    <x v="7"/>
    <n v="11853.113360474119"/>
    <n v="9077.6713999999993"/>
    <n v="2775.4419604741197"/>
    <n v="5511.35"/>
    <n v="0.50358659139305617"/>
  </r>
  <r>
    <x v="1"/>
    <x v="192"/>
    <x v="191"/>
    <x v="8"/>
    <x v="7"/>
    <n v="584.96019999999999"/>
    <n v="540.79999999999995"/>
    <n v="44.160200000000032"/>
    <n v="432.64"/>
    <n v="0.10207146819526634"/>
  </r>
  <r>
    <x v="1"/>
    <x v="193"/>
    <x v="192"/>
    <x v="14"/>
    <x v="7"/>
    <n v="33.369"/>
    <n v="45.56"/>
    <n v="-12.191000000000003"/>
    <n v="47.04"/>
    <n v="-0.25916241496598647"/>
  </r>
  <r>
    <x v="1"/>
    <x v="194"/>
    <x v="193"/>
    <x v="9"/>
    <x v="7"/>
    <n v="67.873153525073079"/>
    <n v="51.534199999999998"/>
    <n v="16.33895352507308"/>
    <n v="154.59"/>
    <n v="0.1056921762408505"/>
  </r>
  <r>
    <x v="1"/>
    <x v="195"/>
    <x v="194"/>
    <x v="4"/>
    <x v="7"/>
    <n v="1536.8716486786327"/>
    <n v="1003.4175"/>
    <n v="533.45414867863269"/>
    <n v="1047.5999999999999"/>
    <n v="0.50921549129308197"/>
  </r>
  <r>
    <x v="1"/>
    <x v="196"/>
    <x v="195"/>
    <x v="4"/>
    <x v="7"/>
    <n v="357.1139"/>
    <n v="229.03989999999999"/>
    <n v="128.07400000000001"/>
    <n v="194.32"/>
    <n v="0.65908810209962942"/>
  </r>
  <r>
    <x v="1"/>
    <x v="197"/>
    <x v="196"/>
    <x v="9"/>
    <x v="7"/>
    <n v="37.162999999999997"/>
    <n v="32.01"/>
    <n v="5.1529999999999987"/>
    <n v="32.01"/>
    <n v="0.16098094345517022"/>
  </r>
  <r>
    <x v="1"/>
    <x v="198"/>
    <x v="197"/>
    <x v="9"/>
    <x v="7"/>
    <n v="12.75207536046773"/>
    <n v="6.8322000000000003"/>
    <n v="5.9198753604677297"/>
    <n v="27.24"/>
    <n v="0.21732288401129696"/>
  </r>
  <r>
    <x v="1"/>
    <x v="199"/>
    <x v="198"/>
    <x v="4"/>
    <x v="7"/>
    <n v="58.595999999999997"/>
    <n v="33.976200000000006"/>
    <n v="24.619799999999991"/>
    <n v="14.91"/>
    <n v="1.6512273641851101"/>
  </r>
  <r>
    <x v="1"/>
    <x v="200"/>
    <x v="199"/>
    <x v="11"/>
    <x v="7"/>
    <n v="47.048118086439928"/>
    <n v="14.352500000000001"/>
    <n v="32.695618086439929"/>
    <n v="5.72"/>
    <n v="5.7160171479790085"/>
  </r>
  <r>
    <x v="1"/>
    <x v="201"/>
    <x v="200"/>
    <x v="4"/>
    <x v="7"/>
    <n v="1.0425"/>
    <n v="0.49299999999999999"/>
    <n v="0.54949999999999999"/>
    <n v="7.84"/>
    <n v="7.0089285714285715E-2"/>
  </r>
  <r>
    <x v="1"/>
    <x v="202"/>
    <x v="201"/>
    <x v="9"/>
    <x v="7"/>
    <n v="2.82"/>
    <n v="0.93600000000000005"/>
    <n v="1.8839999999999999"/>
    <n v="5.58"/>
    <n v="0.33763440860215049"/>
  </r>
  <r>
    <x v="1"/>
    <x v="203"/>
    <x v="202"/>
    <x v="9"/>
    <x v="7"/>
    <n v="30.419798503260626"/>
    <n v="15.704000000000001"/>
    <n v="14.715798503260626"/>
    <n v="15.7"/>
    <n v="0.93731200657710989"/>
  </r>
  <r>
    <x v="1"/>
    <x v="204"/>
    <x v="203"/>
    <x v="4"/>
    <x v="7"/>
    <n v="31.949999999999996"/>
    <n v="15.014100000000001"/>
    <n v="16.935899999999997"/>
    <n v="30.4"/>
    <n v="0.55710197368421044"/>
  </r>
  <r>
    <x v="1"/>
    <x v="205"/>
    <x v="204"/>
    <x v="4"/>
    <x v="7"/>
    <n v="2.3199999999999998"/>
    <n v="1.1448"/>
    <n v="1.1751999999999998"/>
    <n v="18.239999999999998"/>
    <n v="6.4429824561403504E-2"/>
  </r>
  <r>
    <x v="1"/>
    <x v="206"/>
    <x v="205"/>
    <x v="9"/>
    <x v="7"/>
    <n v="7.863314158457583"/>
    <n v="3.95"/>
    <n v="3.9133141584575828"/>
    <n v="11.76"/>
    <n v="0.33276480939265163"/>
  </r>
  <r>
    <x v="1"/>
    <x v="207"/>
    <x v="206"/>
    <x v="4"/>
    <x v="7"/>
    <n v="18.810000000000002"/>
    <n v="11.242000000000001"/>
    <n v="7.5680000000000014"/>
    <n v="5.6"/>
    <n v="1.3514285714285716"/>
  </r>
  <r>
    <x v="1"/>
    <x v="208"/>
    <x v="207"/>
    <x v="4"/>
    <x v="7"/>
    <n v="28.05"/>
    <n v="17.865799999999997"/>
    <n v="10.184200000000004"/>
    <n v="5.58"/>
    <n v="1.8251254480286745"/>
  </r>
  <r>
    <x v="1"/>
    <x v="209"/>
    <x v="208"/>
    <x v="9"/>
    <x v="7"/>
    <n v="1.1970000000000001"/>
    <n v="0.62"/>
    <n v="0.57700000000000007"/>
    <n v="3.72"/>
    <n v="0.15510752688172047"/>
  </r>
  <r>
    <x v="1"/>
    <x v="210"/>
    <x v="209"/>
    <x v="9"/>
    <x v="7"/>
    <n v="9.1"/>
    <n v="5.1517999999999997"/>
    <n v="3.9481999999999999"/>
    <n v="61.8"/>
    <n v="6.3886731391585752E-2"/>
  </r>
  <r>
    <x v="1"/>
    <x v="211"/>
    <x v="210"/>
    <x v="9"/>
    <x v="7"/>
    <n v="41.868725041931533"/>
    <n v="12.68"/>
    <n v="29.188725041931534"/>
    <n v="12.65"/>
    <n v="2.307409094223837"/>
  </r>
  <r>
    <x v="1"/>
    <x v="212"/>
    <x v="211"/>
    <x v="12"/>
    <x v="7"/>
    <n v="12.005693506810792"/>
    <n v="7.5440000000000005"/>
    <n v="4.461693506810791"/>
    <n v="27.68"/>
    <n v="0.16118834923449391"/>
  </r>
  <r>
    <x v="1"/>
    <x v="213"/>
    <x v="212"/>
    <x v="12"/>
    <x v="7"/>
    <n v="-2.6962652074314306"/>
    <n v="-"/>
    <n v="-2.6962652074314306"/>
    <n v="56.84"/>
    <n v="-4.7436052206745793E-2"/>
  </r>
  <r>
    <x v="1"/>
    <x v="214"/>
    <x v="213"/>
    <x v="12"/>
    <x v="7"/>
    <n v="5.49"/>
    <n v="2.8679999999999999"/>
    <n v="2.6220000000000003"/>
    <n v="5.17"/>
    <n v="0.50715667311411994"/>
  </r>
  <r>
    <x v="1"/>
    <x v="215"/>
    <x v="214"/>
    <x v="4"/>
    <x v="7"/>
    <n v="-6.068546996758846E-2"/>
    <n v="-"/>
    <n v="-6.068546996758846E-2"/>
    <n v="8.5500000000000007"/>
    <n v="-7.0977157856828618E-3"/>
  </r>
  <r>
    <x v="1"/>
    <x v="216"/>
    <x v="215"/>
    <x v="12"/>
    <x v="7"/>
    <n v="12.775799999999998"/>
    <n v="6.7039999999999997"/>
    <n v="6.0717999999999988"/>
    <n v="8.1999999999999993"/>
    <n v="0.74046341463414622"/>
  </r>
  <r>
    <x v="1"/>
    <x v="217"/>
    <x v="216"/>
    <x v="12"/>
    <x v="7"/>
    <n v="12.914999999999999"/>
    <n v="7.1159999999999997"/>
    <n v="5.7989999999999995"/>
    <n v="9.48"/>
    <n v="0.6117088607594936"/>
  </r>
  <r>
    <x v="1"/>
    <x v="218"/>
    <x v="217"/>
    <x v="4"/>
    <x v="7"/>
    <n v="21.059503730797363"/>
    <n v="13.326000000000001"/>
    <n v="7.7335037307973629"/>
    <n v="16.059999999999999"/>
    <n v="0.48153821486907616"/>
  </r>
  <r>
    <x v="1"/>
    <x v="219"/>
    <x v="218"/>
    <x v="4"/>
    <x v="7"/>
    <n v="6.2250000000000005"/>
    <n v="6.3"/>
    <n v="-7.4999999999999289E-2"/>
    <n v="6.3"/>
    <n v="-1.1904761904761793E-2"/>
  </r>
  <r>
    <x v="1"/>
    <x v="220"/>
    <x v="219"/>
    <x v="12"/>
    <x v="7"/>
    <n v="505.01499999999999"/>
    <n v="382.56080000000003"/>
    <n v="122.45419999999996"/>
    <n v="204.9"/>
    <n v="0.59762908735968756"/>
  </r>
  <r>
    <x v="1"/>
    <x v="221"/>
    <x v="220"/>
    <x v="4"/>
    <x v="7"/>
    <n v="12.825511624476645"/>
    <n v="3.927"/>
    <n v="8.8985116244766456"/>
    <n v="9.6"/>
    <n v="0.92692829421631728"/>
  </r>
  <r>
    <x v="1"/>
    <x v="222"/>
    <x v="221"/>
    <x v="4"/>
    <x v="7"/>
    <n v="120.33880438917336"/>
    <n v="60.14670000000001"/>
    <n v="60.192104389173352"/>
    <n v="45.98"/>
    <n v="1.3090931794078591"/>
  </r>
  <r>
    <x v="1"/>
    <x v="223"/>
    <x v="222"/>
    <x v="4"/>
    <x v="7"/>
    <n v="6.5789999999999997"/>
    <n v="3.1020000000000003"/>
    <n v="3.4769999999999994"/>
    <n v="6.63"/>
    <n v="0.52443438914027141"/>
  </r>
  <r>
    <x v="1"/>
    <x v="224"/>
    <x v="223"/>
    <x v="12"/>
    <x v="7"/>
    <n v="3.6680000000000001"/>
    <n v="2"/>
    <n v="1.6680000000000001"/>
    <n v="9"/>
    <n v="0.18533333333333335"/>
  </r>
  <r>
    <x v="1"/>
    <x v="225"/>
    <x v="224"/>
    <x v="12"/>
    <x v="7"/>
    <n v="17.681999999999999"/>
    <n v="10.07"/>
    <n v="7.6119999999999983"/>
    <n v="40.24"/>
    <n v="0.18916500994035781"/>
  </r>
  <r>
    <x v="1"/>
    <x v="226"/>
    <x v="225"/>
    <x v="12"/>
    <x v="7"/>
    <n v="6.5519999999999996"/>
    <n v="3.7039999999999997"/>
    <n v="2.8479999999999999"/>
    <n v="22.2"/>
    <n v="0.12828828828828825"/>
  </r>
  <r>
    <x v="1"/>
    <x v="227"/>
    <x v="226"/>
    <x v="12"/>
    <x v="7"/>
    <n v="13.538"/>
    <n v="8.4600000000000009"/>
    <n v="5.0779999999999994"/>
    <n v="38.07"/>
    <n v="0.13338586813764114"/>
  </r>
  <r>
    <x v="1"/>
    <x v="228"/>
    <x v="227"/>
    <x v="4"/>
    <x v="7"/>
    <n v="14.111999999999998"/>
    <n v="6.6920000000000002"/>
    <n v="7.4199999999999982"/>
    <n v="1.32"/>
    <n v="5.6212121212121193"/>
  </r>
  <r>
    <x v="1"/>
    <x v="229"/>
    <x v="228"/>
    <x v="4"/>
    <x v="7"/>
    <n v="101.46344304589708"/>
    <n v="36.185999999999993"/>
    <n v="65.277443045897087"/>
    <n v="68.59"/>
    <n v="0.95170495765996621"/>
  </r>
  <r>
    <x v="1"/>
    <x v="230"/>
    <x v="229"/>
    <x v="4"/>
    <x v="7"/>
    <n v="1010.1786030706141"/>
    <n v="270.71189999999996"/>
    <n v="739.46670307061413"/>
    <n v="155.61000000000001"/>
    <n v="4.7520513017840385"/>
  </r>
  <r>
    <x v="1"/>
    <x v="231"/>
    <x v="230"/>
    <x v="12"/>
    <x v="7"/>
    <n v="105.37673388246695"/>
    <n v="60.766000000000005"/>
    <n v="44.610733882466945"/>
    <n v="39.6"/>
    <n v="1.1265336839006803"/>
  </r>
  <r>
    <x v="1"/>
    <x v="232"/>
    <x v="231"/>
    <x v="4"/>
    <x v="7"/>
    <n v="51.29"/>
    <n v="25.863999999999997"/>
    <n v="25.426000000000002"/>
    <n v="20.93"/>
    <n v="1.2148112756808409"/>
  </r>
  <r>
    <x v="1"/>
    <x v="233"/>
    <x v="232"/>
    <x v="4"/>
    <x v="7"/>
    <n v="137.89525660656284"/>
    <n v="67.599500000000006"/>
    <n v="70.295756606562833"/>
    <n v="29.76"/>
    <n v="2.3620885956506328"/>
  </r>
  <r>
    <x v="1"/>
    <x v="234"/>
    <x v="233"/>
    <x v="4"/>
    <x v="7"/>
    <n v="8.4749999999999996"/>
    <n v="4.2965"/>
    <n v="4.1784999999999997"/>
    <n v="51.48"/>
    <n v="8.1167443667443648E-2"/>
  </r>
  <r>
    <x v="1"/>
    <x v="235"/>
    <x v="234"/>
    <x v="4"/>
    <x v="7"/>
    <n v="1024.0303539591446"/>
    <n v="500.02470000000005"/>
    <n v="524.00565395914452"/>
    <n v="248.52"/>
    <n v="2.1085049652307442"/>
  </r>
  <r>
    <x v="1"/>
    <x v="236"/>
    <x v="235"/>
    <x v="4"/>
    <x v="7"/>
    <n v="5.25"/>
    <n v="1.39"/>
    <n v="3.8600000000000003"/>
    <n v="7.1"/>
    <n v="0.54366197183098597"/>
  </r>
  <r>
    <x v="1"/>
    <x v="237"/>
    <x v="236"/>
    <x v="14"/>
    <x v="7"/>
    <n v="225.21980000000002"/>
    <n v="159.55389999999994"/>
    <n v="65.665900000000079"/>
    <n v="145"/>
    <n v="0.45286827586206951"/>
  </r>
  <r>
    <x v="1"/>
    <x v="238"/>
    <x v="237"/>
    <x v="10"/>
    <x v="7"/>
    <n v="2.4740247306911876"/>
    <n v="1.32"/>
    <n v="1.1540247306911875"/>
    <n v="0.88"/>
    <n v="1.311391739421804"/>
  </r>
  <r>
    <x v="1"/>
    <x v="239"/>
    <x v="238"/>
    <x v="4"/>
    <x v="7"/>
    <n v="142.30096411455605"/>
    <n v="35.586200000000005"/>
    <n v="106.71476411455605"/>
    <n v="17.920000000000002"/>
    <n v="5.9550649617497786"/>
  </r>
  <r>
    <x v="1"/>
    <x v="240"/>
    <x v="239"/>
    <x v="4"/>
    <x v="7"/>
    <n v="65.866250000000008"/>
    <n v="34.201000000000008"/>
    <n v="31.66525"/>
    <n v="25.02"/>
    <n v="1.265597521982414"/>
  </r>
  <r>
    <x v="1"/>
    <x v="241"/>
    <x v="240"/>
    <x v="4"/>
    <x v="7"/>
    <n v="64.68549999999999"/>
    <n v="34.519499999999994"/>
    <n v="30.165999999999997"/>
    <n v="38.6"/>
    <n v="0.78150259067357497"/>
  </r>
  <r>
    <x v="1"/>
    <x v="242"/>
    <x v="241"/>
    <x v="4"/>
    <x v="7"/>
    <n v="25.144200000000001"/>
    <n v="15.988"/>
    <n v="9.1562000000000019"/>
    <n v="11.97"/>
    <n v="0.76492898913951557"/>
  </r>
  <r>
    <x v="1"/>
    <x v="243"/>
    <x v="242"/>
    <x v="8"/>
    <x v="7"/>
    <n v="19156.709720791059"/>
    <n v="12007.724799999998"/>
    <n v="7148.9849207910611"/>
    <n v="3494.48"/>
    <n v="2.0457936290352388"/>
  </r>
  <r>
    <x v="1"/>
    <x v="244"/>
    <x v="243"/>
    <x v="12"/>
    <x v="7"/>
    <n v="75.852000000000004"/>
    <n v="39.92"/>
    <n v="35.932000000000002"/>
    <n v="31.92"/>
    <n v="1.1256892230576441"/>
  </r>
  <r>
    <x v="1"/>
    <x v="245"/>
    <x v="244"/>
    <x v="9"/>
    <x v="7"/>
    <n v="35.927694400202959"/>
    <n v="21.683999999999997"/>
    <n v="14.243694400202962"/>
    <n v="57.76"/>
    <n v="0.24660135734423411"/>
  </r>
  <r>
    <x v="1"/>
    <x v="246"/>
    <x v="245"/>
    <x v="4"/>
    <x v="7"/>
    <n v="3.46"/>
    <n v="2.4540000000000002"/>
    <n v="1.0059999999999998"/>
    <n v="4.9000000000000004"/>
    <n v="0.20530612244897953"/>
  </r>
  <r>
    <x v="1"/>
    <x v="247"/>
    <x v="246"/>
    <x v="10"/>
    <x v="7"/>
    <n v="21.3"/>
    <n v="5.6"/>
    <n v="15.700000000000001"/>
    <n v="17.25"/>
    <n v="0.910144927536232"/>
  </r>
  <r>
    <x v="1"/>
    <x v="248"/>
    <x v="247"/>
    <x v="4"/>
    <x v="7"/>
    <n v="23.872499999999999"/>
    <n v="13.509"/>
    <n v="10.363499999999998"/>
    <n v="8.3000000000000007"/>
    <n v="1.248614457831325"/>
  </r>
  <r>
    <x v="1"/>
    <x v="249"/>
    <x v="248"/>
    <x v="9"/>
    <x v="7"/>
    <n v="51.110799999999998"/>
    <n v="26.373399999999997"/>
    <n v="24.737400000000001"/>
    <n v="17.34"/>
    <n v="1.4266089965397926"/>
  </r>
  <r>
    <x v="1"/>
    <x v="250"/>
    <x v="249"/>
    <x v="4"/>
    <x v="7"/>
    <n v="13.146000000000001"/>
    <n v="8.2468000000000004"/>
    <n v="4.8992000000000004"/>
    <n v="16.48"/>
    <n v="0.29728155339805828"/>
  </r>
  <r>
    <x v="1"/>
    <x v="251"/>
    <x v="250"/>
    <x v="10"/>
    <x v="7"/>
    <n v="31.91587973386569"/>
    <n v="19.682000000000002"/>
    <n v="12.233879733865688"/>
    <n v="18.12"/>
    <n v="0.67515892571002689"/>
  </r>
  <r>
    <x v="1"/>
    <x v="252"/>
    <x v="251"/>
    <x v="12"/>
    <x v="7"/>
    <n v="62.046000000000006"/>
    <n v="32.811500000000002"/>
    <n v="29.234500000000004"/>
    <n v="39.299999999999997"/>
    <n v="0.74388040712468195"/>
  </r>
  <r>
    <x v="1"/>
    <x v="253"/>
    <x v="252"/>
    <x v="4"/>
    <x v="7"/>
    <n v="80.790700300845927"/>
    <n v="36.874999999999993"/>
    <n v="43.915700300845934"/>
    <n v="19.04"/>
    <n v="2.3064968645402275"/>
  </r>
  <r>
    <x v="1"/>
    <x v="254"/>
    <x v="253"/>
    <x v="4"/>
    <x v="7"/>
    <n v="56.763217315725292"/>
    <n v="28.099599999999999"/>
    <n v="28.663617315725293"/>
    <n v="21"/>
    <n v="1.3649341578916807"/>
  </r>
  <r>
    <x v="1"/>
    <x v="255"/>
    <x v="254"/>
    <x v="4"/>
    <x v="7"/>
    <n v="18.798000000000002"/>
    <n v="9.0050000000000008"/>
    <n v="9.793000000000001"/>
    <n v="7.2"/>
    <n v="1.360138888888889"/>
  </r>
  <r>
    <x v="1"/>
    <x v="256"/>
    <x v="255"/>
    <x v="10"/>
    <x v="7"/>
    <n v="6.67"/>
    <n v="3.09"/>
    <n v="3.58"/>
    <n v="3.1"/>
    <n v="1.1548387096774193"/>
  </r>
  <r>
    <x v="1"/>
    <x v="257"/>
    <x v="256"/>
    <x v="12"/>
    <x v="7"/>
    <n v="38.373199999999997"/>
    <n v="23.263300000000001"/>
    <n v="15.109899999999996"/>
    <n v="11.52"/>
    <n v="1.3116232638888885"/>
  </r>
  <r>
    <x v="1"/>
    <x v="258"/>
    <x v="257"/>
    <x v="9"/>
    <x v="7"/>
    <n v="5.7759999999999998"/>
    <n v="2.88"/>
    <n v="2.8959999999999999"/>
    <n v="14.68"/>
    <n v="0.19727520435967302"/>
  </r>
  <r>
    <x v="1"/>
    <x v="259"/>
    <x v="258"/>
    <x v="4"/>
    <x v="7"/>
    <n v="72.393761138580487"/>
    <n v="27.313000000000002"/>
    <n v="45.080761138580485"/>
    <n v="19.68"/>
    <n v="2.2906890822449433"/>
  </r>
  <r>
    <x v="1"/>
    <x v="260"/>
    <x v="259"/>
    <x v="11"/>
    <x v="7"/>
    <n v="16.724399999999999"/>
    <n v="8.4428999999999998"/>
    <n v="8.2814999999999994"/>
    <n v="12.21"/>
    <n v="0.67825552825552815"/>
  </r>
  <r>
    <x v="1"/>
    <x v="261"/>
    <x v="260"/>
    <x v="9"/>
    <x v="7"/>
    <n v="9.8685999999999989"/>
    <n v="6.4399999999999995"/>
    <n v="3.4285999999999994"/>
    <n v="4.74"/>
    <n v="0.72333333333333316"/>
  </r>
  <r>
    <x v="1"/>
    <x v="262"/>
    <x v="261"/>
    <x v="4"/>
    <x v="7"/>
    <n v="6.6899999999999995"/>
    <n v="3.3439999999999999"/>
    <n v="3.3459999999999996"/>
    <n v="26.56"/>
    <n v="0.1259789156626506"/>
  </r>
  <r>
    <x v="1"/>
    <x v="263"/>
    <x v="262"/>
    <x v="4"/>
    <x v="7"/>
    <n v="12.48"/>
    <n v="8.06"/>
    <n v="4.42"/>
    <n v="8.1"/>
    <n v="0.54567901234567895"/>
  </r>
  <r>
    <x v="1"/>
    <x v="264"/>
    <x v="263"/>
    <x v="9"/>
    <x v="7"/>
    <n v="2.2280608972787448"/>
    <n v="2.109"/>
    <n v="0.1190608972787448"/>
    <n v="1.05"/>
    <n v="0.11339133074166172"/>
  </r>
  <r>
    <x v="1"/>
    <x v="265"/>
    <x v="264"/>
    <x v="4"/>
    <x v="7"/>
    <n v="17.951372535937303"/>
    <n v="9.2195"/>
    <n v="8.7318725359373026"/>
    <n v="9.6"/>
    <n v="0.90957005582680239"/>
  </r>
  <r>
    <x v="1"/>
    <x v="266"/>
    <x v="265"/>
    <x v="12"/>
    <x v="7"/>
    <n v="8.0555639930810035"/>
    <n v="5.88"/>
    <n v="2.1755639930810036"/>
    <n v="6.72"/>
    <n v="0.32374464182753032"/>
  </r>
  <r>
    <x v="1"/>
    <x v="267"/>
    <x v="266"/>
    <x v="4"/>
    <x v="7"/>
    <n v="7.1750000000000007"/>
    <n v="4.4000000000000004"/>
    <n v="2.7750000000000004"/>
    <n v="6.3"/>
    <n v="0.44047619047619052"/>
  </r>
  <r>
    <x v="1"/>
    <x v="268"/>
    <x v="267"/>
    <x v="12"/>
    <x v="7"/>
    <n v="33.15"/>
    <n v="18.335000000000001"/>
    <n v="14.814999999999998"/>
    <n v="10.98"/>
    <n v="1.3492714025500909"/>
  </r>
  <r>
    <x v="1"/>
    <x v="269"/>
    <x v="268"/>
    <x v="12"/>
    <x v="7"/>
    <n v="8.5188460163666644"/>
    <n v="7.58"/>
    <n v="0.93884601636666432"/>
    <n v="18.8"/>
    <n v="4.9938617891843853E-2"/>
  </r>
  <r>
    <x v="1"/>
    <x v="270"/>
    <x v="269"/>
    <x v="9"/>
    <x v="7"/>
    <n v="-2.7384261852930836"/>
    <n v="-"/>
    <n v="-2.7384261852930836"/>
    <n v="1.44"/>
    <n v="-1.9016848508979747"/>
  </r>
  <r>
    <x v="1"/>
    <x v="271"/>
    <x v="270"/>
    <x v="4"/>
    <x v="7"/>
    <n v="273.26362780055808"/>
    <n v="191.19880000000001"/>
    <n v="82.064827800558078"/>
    <n v="134.84"/>
    <n v="0.60860892762205632"/>
  </r>
  <r>
    <x v="1"/>
    <x v="272"/>
    <x v="271"/>
    <x v="12"/>
    <x v="7"/>
    <n v="469.2957820093352"/>
    <n v="301.69380000000001"/>
    <n v="167.60198200933519"/>
    <n v="251.2"/>
    <n v="0.66720534239385021"/>
  </r>
  <r>
    <x v="1"/>
    <x v="273"/>
    <x v="272"/>
    <x v="8"/>
    <x v="7"/>
    <n v="841.93749999999989"/>
    <n v="506.92339999999996"/>
    <n v="335.01409999999993"/>
    <n v="315.27999999999997"/>
    <n v="1.0625922989089063"/>
  </r>
  <r>
    <x v="1"/>
    <x v="274"/>
    <x v="273"/>
    <x v="4"/>
    <x v="7"/>
    <n v="624.31287142508734"/>
    <n v="405.3082"/>
    <n v="219.00467142508734"/>
    <n v="215.55"/>
    <n v="1.016027239272036"/>
  </r>
  <r>
    <x v="1"/>
    <x v="275"/>
    <x v="274"/>
    <x v="9"/>
    <x v="7"/>
    <n v="433.08015801529126"/>
    <n v="292.7577"/>
    <n v="140.32245801529126"/>
    <n v="146.08000000000001"/>
    <n v="0.96058637743216901"/>
  </r>
  <r>
    <x v="1"/>
    <x v="276"/>
    <x v="275"/>
    <x v="9"/>
    <x v="7"/>
    <n v="147.15130834176463"/>
    <n v="87.577200000000005"/>
    <n v="59.574108341764628"/>
    <n v="208.32"/>
    <n v="0.28597402237790237"/>
  </r>
  <r>
    <x v="1"/>
    <x v="277"/>
    <x v="276"/>
    <x v="11"/>
    <x v="7"/>
    <n v="45.337499999999991"/>
    <n v="28.21"/>
    <n v="17.127499999999991"/>
    <n v="56.42"/>
    <n v="0.30357142857142838"/>
  </r>
  <r>
    <x v="1"/>
    <x v="278"/>
    <x v="277"/>
    <x v="15"/>
    <x v="7"/>
    <n v="497.28006974904207"/>
    <n v="500.11559999999997"/>
    <n v="-2.8355302509579019"/>
    <n v="580.58000000000004"/>
    <n v="-4.8839612989732724E-3"/>
  </r>
  <r>
    <x v="1"/>
    <x v="279"/>
    <x v="278"/>
    <x v="9"/>
    <x v="7"/>
    <n v="699.09372467908781"/>
    <n v="492.96569999999991"/>
    <n v="206.1280246790879"/>
    <n v="231.14"/>
    <n v="0.89178863320536428"/>
  </r>
  <r>
    <x v="1"/>
    <x v="280"/>
    <x v="279"/>
    <x v="4"/>
    <x v="7"/>
    <n v="1497.4313431530693"/>
    <n v="728.10309999999981"/>
    <n v="769.32824315306948"/>
    <n v="470"/>
    <n v="1.6368686024533394"/>
  </r>
  <r>
    <x v="1"/>
    <x v="281"/>
    <x v="280"/>
    <x v="4"/>
    <x v="7"/>
    <n v="474.98810296443469"/>
    <n v="315.85930000000008"/>
    <n v="159.12880296443461"/>
    <n v="224.48"/>
    <n v="0.7088774187653003"/>
  </r>
  <r>
    <x v="1"/>
    <x v="282"/>
    <x v="281"/>
    <x v="4"/>
    <x v="7"/>
    <n v="-24.22"/>
    <n v="-15.795999999999999"/>
    <n v="-8.4239999999999995"/>
    <n v="189.48"/>
    <n v="-4.4458518049398356E-2"/>
  </r>
  <r>
    <x v="1"/>
    <x v="283"/>
    <x v="282"/>
    <x v="4"/>
    <x v="7"/>
    <n v="174.76668164064805"/>
    <n v="94.524900000000002"/>
    <n v="80.241781640648043"/>
    <n v="78.66"/>
    <n v="1.0201090978978902"/>
  </r>
  <r>
    <x v="1"/>
    <x v="284"/>
    <x v="283"/>
    <x v="4"/>
    <x v="7"/>
    <n v="152.31978201634874"/>
    <n v="89.954599999999999"/>
    <n v="62.36518201634874"/>
    <n v="78.239999999999995"/>
    <n v="0.79710099714147165"/>
  </r>
  <r>
    <x v="1"/>
    <x v="285"/>
    <x v="284"/>
    <x v="4"/>
    <x v="7"/>
    <n v="57.684899999999999"/>
    <n v="42.154199999999996"/>
    <n v="15.530700000000003"/>
    <n v="23.4"/>
    <n v="0.66370512820512839"/>
  </r>
  <r>
    <x v="1"/>
    <x v="286"/>
    <x v="285"/>
    <x v="4"/>
    <x v="7"/>
    <n v="19.360608065110362"/>
    <n v="9.2312000000000012"/>
    <n v="10.129408065110361"/>
    <n v="18.440000000000001"/>
    <n v="0.54931714019036659"/>
  </r>
  <r>
    <x v="1"/>
    <x v="287"/>
    <x v="286"/>
    <x v="4"/>
    <x v="7"/>
    <n v="1.2450000000000001"/>
    <n v="0.59399999999999997"/>
    <n v="0.65100000000000013"/>
    <n v="4.72"/>
    <n v="0.13792372881355935"/>
  </r>
  <r>
    <x v="1"/>
    <x v="288"/>
    <x v="287"/>
    <x v="9"/>
    <x v="7"/>
    <n v="36.597098729088906"/>
    <n v="16.825800000000001"/>
    <n v="19.771298729088905"/>
    <n v="9.1999999999999993"/>
    <n v="2.1490542096835763"/>
  </r>
  <r>
    <x v="1"/>
    <x v="289"/>
    <x v="288"/>
    <x v="4"/>
    <x v="7"/>
    <n v="167.90000728294785"/>
    <n v="72.060200000000009"/>
    <n v="95.839807282947845"/>
    <n v="33.5"/>
    <n v="2.860889769640234"/>
  </r>
  <r>
    <x v="1"/>
    <x v="290"/>
    <x v="289"/>
    <x v="4"/>
    <x v="7"/>
    <n v="44.6"/>
    <n v="22.168700000000001"/>
    <n v="22.4313"/>
    <n v="11.36"/>
    <n v="1.9745862676056338"/>
  </r>
  <r>
    <x v="1"/>
    <x v="291"/>
    <x v="290"/>
    <x v="4"/>
    <x v="7"/>
    <n v="242.5248"/>
    <n v="123.8134"/>
    <n v="118.7114"/>
    <n v="80.64"/>
    <n v="1.4721155753968254"/>
  </r>
  <r>
    <x v="1"/>
    <x v="292"/>
    <x v="291"/>
    <x v="4"/>
    <x v="7"/>
    <n v="6.87"/>
    <n v="3.6480000000000001"/>
    <n v="3.222"/>
    <n v="4.55"/>
    <n v="0.70813186813186813"/>
  </r>
  <r>
    <x v="1"/>
    <x v="293"/>
    <x v="292"/>
    <x v="12"/>
    <x v="7"/>
    <n v="8.4671679323356415"/>
    <n v="4.2930000000000001"/>
    <n v="4.1741679323356413"/>
    <n v="5.72"/>
    <n v="0.72974963852021701"/>
  </r>
  <r>
    <x v="1"/>
    <x v="294"/>
    <x v="293"/>
    <x v="4"/>
    <x v="7"/>
    <n v="4.4400000000000004"/>
    <n v="1.6972"/>
    <n v="2.7428000000000003"/>
    <n v="3.36"/>
    <n v="0.81630952380952393"/>
  </r>
  <r>
    <x v="1"/>
    <x v="295"/>
    <x v="294"/>
    <x v="4"/>
    <x v="7"/>
    <n v="4.6500000000000004"/>
    <n v="2.032"/>
    <n v="2.6180000000000003"/>
    <n v="4"/>
    <n v="0.65450000000000008"/>
  </r>
  <r>
    <x v="1"/>
    <x v="296"/>
    <x v="295"/>
    <x v="4"/>
    <x v="7"/>
    <n v="4.26"/>
    <n v="1.86"/>
    <n v="2.3999999999999995"/>
    <n v="5.52"/>
    <n v="0.43478260869565205"/>
  </r>
  <r>
    <x v="1"/>
    <x v="297"/>
    <x v="296"/>
    <x v="9"/>
    <x v="7"/>
    <n v="196.79070000000002"/>
    <n v="135.97989999999999"/>
    <n v="60.810800000000029"/>
    <n v="72.900000000000006"/>
    <n v="0.83416735253772323"/>
  </r>
  <r>
    <x v="1"/>
    <x v="298"/>
    <x v="297"/>
    <x v="9"/>
    <x v="7"/>
    <n v="158.8837180759557"/>
    <n v="118.1853"/>
    <n v="40.698418075955701"/>
    <n v="62.46"/>
    <n v="0.65159170790835252"/>
  </r>
  <r>
    <x v="1"/>
    <x v="299"/>
    <x v="298"/>
    <x v="9"/>
    <x v="7"/>
    <n v="109.08968703483357"/>
    <n v="58.896599999999999"/>
    <n v="50.193087034833574"/>
    <n v="24.75"/>
    <n v="2.0280035165589325"/>
  </r>
  <r>
    <x v="1"/>
    <x v="300"/>
    <x v="299"/>
    <x v="4"/>
    <x v="7"/>
    <n v="-4.7498602598676145"/>
    <n v="-"/>
    <n v="-4.7498602598676145"/>
    <n v="1.65"/>
    <n v="-2.8787031877985538"/>
  </r>
  <r>
    <x v="1"/>
    <x v="301"/>
    <x v="300"/>
    <x v="10"/>
    <x v="7"/>
    <n v="231.88500433047483"/>
    <n v="143.3331"/>
    <n v="88.551904330474827"/>
    <n v="83.04"/>
    <n v="1.0663764972359684"/>
  </r>
  <r>
    <x v="1"/>
    <x v="302"/>
    <x v="301"/>
    <x v="4"/>
    <x v="7"/>
    <n v="37.35"/>
    <n v="29.588999999999999"/>
    <n v="7.7610000000000028"/>
    <n v="147.9"/>
    <n v="5.2474645030425988E-2"/>
  </r>
  <r>
    <x v="1"/>
    <x v="303"/>
    <x v="302"/>
    <x v="4"/>
    <x v="7"/>
    <n v="18.510000000000002"/>
    <n v="12.37"/>
    <n v="6.1400000000000023"/>
    <n v="61.85"/>
    <n v="9.9272433306386465E-2"/>
  </r>
  <r>
    <x v="1"/>
    <x v="304"/>
    <x v="303"/>
    <x v="9"/>
    <x v="7"/>
    <n v="19.497800000000002"/>
    <n v="10.757999999999999"/>
    <n v="8.7398000000000025"/>
    <n v="21.48"/>
    <n v="0.406880819366853"/>
  </r>
  <r>
    <x v="1"/>
    <x v="305"/>
    <x v="304"/>
    <x v="9"/>
    <x v="7"/>
    <n v="357.84677588262315"/>
    <n v="246.0667"/>
    <n v="111.78007588262315"/>
    <n v="124.16"/>
    <n v="0.90029055962164273"/>
  </r>
  <r>
    <x v="1"/>
    <x v="306"/>
    <x v="305"/>
    <x v="10"/>
    <x v="7"/>
    <n v="119.16466165635521"/>
    <n v="70.599999999999994"/>
    <n v="48.564661656355213"/>
    <n v="70.599999999999994"/>
    <n v="0.68788472601069717"/>
  </r>
  <r>
    <x v="1"/>
    <x v="307"/>
    <x v="306"/>
    <x v="9"/>
    <x v="7"/>
    <n v="27.499043497078556"/>
    <n v="12.84"/>
    <n v="14.659043497078557"/>
    <n v="16.05"/>
    <n v="0.91333604343168573"/>
  </r>
  <r>
    <x v="1"/>
    <x v="308"/>
    <x v="307"/>
    <x v="12"/>
    <x v="7"/>
    <n v="197.11799999999999"/>
    <n v="89.518799999999999"/>
    <n v="107.5992"/>
    <n v="45.28"/>
    <n v="2.3763074204946997"/>
  </r>
  <r>
    <x v="1"/>
    <x v="309"/>
    <x v="308"/>
    <x v="4"/>
    <x v="7"/>
    <n v="2170.0523503193776"/>
    <n v="756.57859999999982"/>
    <n v="1413.4737503193778"/>
    <n v="416.64"/>
    <n v="3.3925541242304575"/>
  </r>
  <r>
    <x v="1"/>
    <x v="310"/>
    <x v="309"/>
    <x v="16"/>
    <x v="7"/>
    <n v="123.81739141732868"/>
    <n v="60.185700000000011"/>
    <n v="63.631691417328668"/>
    <n v="67.599999999999994"/>
    <n v="0.94129721031551294"/>
  </r>
  <r>
    <x v="1"/>
    <x v="311"/>
    <x v="310"/>
    <x v="12"/>
    <x v="7"/>
    <n v="49.209999999999994"/>
    <n v="17.8904"/>
    <n v="31.319599999999994"/>
    <n v="17.5"/>
    <n v="1.7896914285714283"/>
  </r>
  <r>
    <x v="1"/>
    <x v="312"/>
    <x v="311"/>
    <x v="9"/>
    <x v="7"/>
    <n v="20.024999999999999"/>
    <n v="7.7959999999999994"/>
    <n v="12.228999999999999"/>
    <n v="10.16"/>
    <n v="1.2036417322834645"/>
  </r>
  <r>
    <x v="1"/>
    <x v="313"/>
    <x v="312"/>
    <x v="9"/>
    <x v="7"/>
    <n v="62.8569764697396"/>
    <n v="43.108099999999993"/>
    <n v="19.748876469739606"/>
    <n v="43.05"/>
    <n v="0.45874277513913136"/>
  </r>
  <r>
    <x v="1"/>
    <x v="314"/>
    <x v="313"/>
    <x v="4"/>
    <x v="7"/>
    <n v="1565.3261246881575"/>
    <n v="609.60329999999976"/>
    <n v="955.72282468815774"/>
    <n v="347.75"/>
    <n v="2.7483043125468232"/>
  </r>
  <r>
    <x v="1"/>
    <x v="315"/>
    <x v="314"/>
    <x v="4"/>
    <x v="7"/>
    <n v="1992.5667833119658"/>
    <n v="797.35649999999987"/>
    <n v="1195.2102833119659"/>
    <n v="275.39999999999998"/>
    <n v="4.3399066205953734"/>
  </r>
  <r>
    <x v="1"/>
    <x v="316"/>
    <x v="315"/>
    <x v="9"/>
    <x v="7"/>
    <n v="6.6090999999999998"/>
    <n v="4.6399999999999997"/>
    <n v="1.9691000000000001"/>
    <n v="3.93"/>
    <n v="0.50104325699745544"/>
  </r>
  <r>
    <x v="1"/>
    <x v="317"/>
    <x v="316"/>
    <x v="12"/>
    <x v="7"/>
    <n v="789.3690572320005"/>
    <n v="320.8442"/>
    <n v="468.5248572320005"/>
    <n v="113.09"/>
    <n v="4.1429379894950973"/>
  </r>
  <r>
    <x v="1"/>
    <x v="318"/>
    <x v="317"/>
    <x v="16"/>
    <x v="7"/>
    <n v="48.103886688193953"/>
    <n v="22.543000000000003"/>
    <n v="25.56088668819395"/>
    <n v="16.739999999999998"/>
    <n v="1.526934688661526"/>
  </r>
  <r>
    <x v="1"/>
    <x v="319"/>
    <x v="318"/>
    <x v="9"/>
    <x v="7"/>
    <n v="11.7"/>
    <n v="5.68"/>
    <n v="6.02"/>
    <n v="8.2200000000000006"/>
    <n v="0.73236009732360086"/>
  </r>
  <r>
    <x v="1"/>
    <x v="320"/>
    <x v="319"/>
    <x v="9"/>
    <x v="7"/>
    <n v="-0.51753435427633887"/>
    <n v="-"/>
    <n v="-0.51753435427633887"/>
    <n v="24.96"/>
    <n v="-2.0734549450173834E-2"/>
  </r>
  <r>
    <x v="1"/>
    <x v="321"/>
    <x v="320"/>
    <x v="12"/>
    <x v="7"/>
    <n v="16.8"/>
    <n v="8.32"/>
    <n v="8.48"/>
    <n v="5.39"/>
    <n v="1.5732838589981446"/>
  </r>
  <r>
    <x v="1"/>
    <x v="322"/>
    <x v="321"/>
    <x v="9"/>
    <x v="7"/>
    <n v="9.9539394584468663"/>
    <n v="4.92"/>
    <n v="5.0339394584468664"/>
    <n v="4"/>
    <n v="1.2584848646117166"/>
  </r>
  <r>
    <x v="1"/>
    <x v="323"/>
    <x v="322"/>
    <x v="9"/>
    <x v="7"/>
    <n v="6.6899999999999995"/>
    <n v="2.08"/>
    <n v="4.6099999999999994"/>
    <n v="1.96"/>
    <n v="2.3520408163265305"/>
  </r>
  <r>
    <x v="1"/>
    <x v="324"/>
    <x v="323"/>
    <x v="4"/>
    <x v="7"/>
    <n v="42.406600000000005"/>
    <n v="12.457500000000001"/>
    <n v="29.949100000000001"/>
    <n v="23.85"/>
    <n v="1.255727463312369"/>
  </r>
  <r>
    <x v="1"/>
    <x v="325"/>
    <x v="324"/>
    <x v="4"/>
    <x v="7"/>
    <n v="495.55503407828121"/>
    <n v="195.43629999999993"/>
    <n v="300.11873407828125"/>
    <n v="193.2"/>
    <n v="1.5534095966784744"/>
  </r>
  <r>
    <x v="1"/>
    <x v="326"/>
    <x v="325"/>
    <x v="9"/>
    <x v="7"/>
    <n v="143.97562628077171"/>
    <n v="47.27470000000001"/>
    <n v="96.700926280771696"/>
    <n v="35.4"/>
    <n v="2.7316645842025906"/>
  </r>
  <r>
    <x v="1"/>
    <x v="327"/>
    <x v="326"/>
    <x v="4"/>
    <x v="7"/>
    <n v="21.167999999999999"/>
    <n v="12.384"/>
    <n v="8.7839999999999989"/>
    <n v="15.45"/>
    <n v="0.56854368932038835"/>
  </r>
  <r>
    <x v="1"/>
    <x v="328"/>
    <x v="327"/>
    <x v="4"/>
    <x v="7"/>
    <n v="25.254831280414152"/>
    <n v="15.4"/>
    <n v="9.8548312804141514"/>
    <n v="9.8000000000000007"/>
    <n v="1.005595028613689"/>
  </r>
  <r>
    <x v="1"/>
    <x v="329"/>
    <x v="328"/>
    <x v="4"/>
    <x v="7"/>
    <n v="26.224780562553924"/>
    <n v="16.059999999999999"/>
    <n v="10.164780562553926"/>
    <n v="14.6"/>
    <n v="0.69621784675026888"/>
  </r>
  <r>
    <x v="1"/>
    <x v="330"/>
    <x v="329"/>
    <x v="4"/>
    <x v="7"/>
    <n v="25.517506633775582"/>
    <n v="15.66"/>
    <n v="9.8575066337755821"/>
    <n v="7.54"/>
    <n v="1.3073616225166556"/>
  </r>
  <r>
    <x v="1"/>
    <x v="331"/>
    <x v="330"/>
    <x v="4"/>
    <x v="7"/>
    <n v="0.65"/>
    <n v="0.6"/>
    <n v="5.0000000000000044E-2"/>
    <n v="1.1599999999999999"/>
    <n v="4.3103448275862113E-2"/>
  </r>
  <r>
    <x v="1"/>
    <x v="332"/>
    <x v="331"/>
    <x v="4"/>
    <x v="7"/>
    <n v="16.8795"/>
    <n v="8.2751999999999999"/>
    <n v="8.6043000000000003"/>
    <n v="6.85"/>
    <n v="1.2561021897810218"/>
  </r>
  <r>
    <x v="1"/>
    <x v="333"/>
    <x v="332"/>
    <x v="4"/>
    <x v="7"/>
    <n v="4.8600000000000003"/>
    <n v="1.23"/>
    <n v="3.6300000000000003"/>
    <n v="3.78"/>
    <n v="0.96031746031746035"/>
  </r>
  <r>
    <x v="1"/>
    <x v="334"/>
    <x v="333"/>
    <x v="4"/>
    <x v="7"/>
    <n v="3.165"/>
    <n v="0.66"/>
    <n v="2.5049999999999999"/>
    <n v="2.04"/>
    <n v="1.2279411764705881"/>
  </r>
  <r>
    <x v="1"/>
    <x v="335"/>
    <x v="334"/>
    <x v="4"/>
    <x v="7"/>
    <n v="2.15"/>
    <n v="1.2"/>
    <n v="0.95"/>
    <n v="0.75"/>
    <n v="1.2666666666666666"/>
  </r>
  <r>
    <x v="1"/>
    <x v="336"/>
    <x v="335"/>
    <x v="15"/>
    <x v="7"/>
    <n v="299.73132975401853"/>
    <n v="218.58199999999999"/>
    <n v="81.149329754018538"/>
    <n v="123.35"/>
    <n v="0.65787863602771413"/>
  </r>
  <r>
    <x v="1"/>
    <x v="337"/>
    <x v="336"/>
    <x v="10"/>
    <x v="7"/>
    <n v="68.207999999999998"/>
    <n v="31.839999999999996"/>
    <n v="36.368000000000002"/>
    <n v="24.12"/>
    <n v="1.507794361525705"/>
  </r>
  <r>
    <x v="1"/>
    <x v="338"/>
    <x v="337"/>
    <x v="15"/>
    <x v="7"/>
    <n v="81.5364"/>
    <n v="68.647999999999996"/>
    <n v="12.888400000000004"/>
    <n v="216.24"/>
    <n v="5.9602293747687773E-2"/>
  </r>
  <r>
    <x v="1"/>
    <x v="339"/>
    <x v="338"/>
    <x v="10"/>
    <x v="7"/>
    <n v="441.04677950100461"/>
    <n v="268.5958"/>
    <n v="172.45097950100461"/>
    <n v="199.87"/>
    <n v="0.86281572772804627"/>
  </r>
  <r>
    <x v="1"/>
    <x v="340"/>
    <x v="339"/>
    <x v="10"/>
    <x v="7"/>
    <n v="19.724"/>
    <n v="13.1022"/>
    <n v="6.6218000000000004"/>
    <n v="9.84"/>
    <n v="0.67294715447154474"/>
  </r>
  <r>
    <x v="1"/>
    <x v="341"/>
    <x v="340"/>
    <x v="10"/>
    <x v="7"/>
    <n v="20.943999999999999"/>
    <n v="7.14"/>
    <n v="13.803999999999998"/>
    <n v="4.76"/>
    <n v="2.9"/>
  </r>
  <r>
    <x v="1"/>
    <x v="342"/>
    <x v="341"/>
    <x v="10"/>
    <x v="7"/>
    <n v="6.1950000000000003"/>
    <n v="2.16"/>
    <n v="4.0350000000000001"/>
    <n v="8.64"/>
    <n v="0.4670138888888889"/>
  </r>
  <r>
    <x v="1"/>
    <x v="343"/>
    <x v="342"/>
    <x v="10"/>
    <x v="7"/>
    <n v="4.3120000000000003"/>
    <n v="0"/>
    <n v="4.3120000000000003"/>
    <n v="2.83"/>
    <n v="1.5236749116607775"/>
  </r>
  <r>
    <x v="1"/>
    <x v="344"/>
    <x v="343"/>
    <x v="10"/>
    <x v="7"/>
    <n v="407.61199999999991"/>
    <n v="249.87050000000002"/>
    <n v="157.74149999999989"/>
    <n v="117.15"/>
    <n v="1.3464916773367468"/>
  </r>
  <r>
    <x v="1"/>
    <x v="345"/>
    <x v="344"/>
    <x v="15"/>
    <x v="7"/>
    <n v="636.38293238241442"/>
    <n v="515.28000000000009"/>
    <n v="121.10293238241434"/>
    <n v="274.75"/>
    <n v="0.44077500412161724"/>
  </r>
  <r>
    <x v="1"/>
    <x v="346"/>
    <x v="345"/>
    <x v="15"/>
    <x v="7"/>
    <n v="208.69600000000003"/>
    <n v="128.78910000000002"/>
    <n v="79.906900000000007"/>
    <n v="85.05"/>
    <n v="0.93952851263962389"/>
  </r>
  <r>
    <x v="1"/>
    <x v="347"/>
    <x v="346"/>
    <x v="12"/>
    <x v="7"/>
    <n v="46.500072302189366"/>
    <n v="34.4846"/>
    <n v="12.015472302189366"/>
    <n v="17.010000000000002"/>
    <n v="0.7063769724979051"/>
  </r>
  <r>
    <x v="1"/>
    <x v="348"/>
    <x v="347"/>
    <x v="17"/>
    <x v="7"/>
    <n v="7658.1425020334837"/>
    <n v="6119.9050999999999"/>
    <n v="1538.2374020334837"/>
    <n v="2799.2"/>
    <n v="0.54952750858584021"/>
  </r>
  <r>
    <x v="1"/>
    <x v="349"/>
    <x v="348"/>
    <x v="15"/>
    <x v="7"/>
    <n v="274.49989999999997"/>
    <n v="223.55999999999997"/>
    <n v="50.939899999999994"/>
    <n v="37.26"/>
    <n v="1.3671470746108427"/>
  </r>
  <r>
    <x v="1"/>
    <x v="350"/>
    <x v="349"/>
    <x v="10"/>
    <x v="7"/>
    <n v="170.147756775483"/>
    <n v="151.05000000000001"/>
    <n v="19.097756775482992"/>
    <n v="151.05000000000001"/>
    <n v="0.1264333450876067"/>
  </r>
  <r>
    <x v="1"/>
    <x v="351"/>
    <x v="350"/>
    <x v="12"/>
    <x v="7"/>
    <n v="3.5914499228284624"/>
    <n v="1.8340000000000001"/>
    <n v="1.7574499228284624"/>
    <n v="3.64"/>
    <n v="0.48281591286496217"/>
  </r>
  <r>
    <x v="1"/>
    <x v="352"/>
    <x v="351"/>
    <x v="10"/>
    <x v="7"/>
    <n v="679"/>
    <n v="414.85950000000003"/>
    <n v="264.14049999999997"/>
    <n v="261.76"/>
    <n v="1.0090942084352077"/>
  </r>
  <r>
    <x v="1"/>
    <x v="353"/>
    <x v="352"/>
    <x v="12"/>
    <x v="7"/>
    <n v="144.76"/>
    <n v="85.37"/>
    <n v="59.389999999999986"/>
    <n v="48.06"/>
    <n v="1.2357469829379939"/>
  </r>
  <r>
    <x v="1"/>
    <x v="354"/>
    <x v="353"/>
    <x v="8"/>
    <x v="7"/>
    <n v="1774.7355265977844"/>
    <n v="1449.1154000000001"/>
    <n v="325.62012659778429"/>
    <n v="585.9"/>
    <n v="0.55576058473764178"/>
  </r>
  <r>
    <x v="1"/>
    <x v="355"/>
    <x v="354"/>
    <x v="10"/>
    <x v="7"/>
    <n v="128"/>
    <n v="34"/>
    <n v="94"/>
    <n v="122.88"/>
    <n v="0.76497395833333337"/>
  </r>
  <r>
    <x v="1"/>
    <x v="356"/>
    <x v="355"/>
    <x v="4"/>
    <x v="7"/>
    <n v="85.97432702363669"/>
    <n v="91.275999999999996"/>
    <n v="-5.3016729763633066"/>
    <n v="91.26"/>
    <n v="-5.8094159285155669E-2"/>
  </r>
  <r>
    <x v="1"/>
    <x v="357"/>
    <x v="356"/>
    <x v="12"/>
    <x v="7"/>
    <n v="11.856"/>
    <n v="3.83"/>
    <n v="8.0259999999999998"/>
    <n v="12.34"/>
    <n v="0.65040518638573741"/>
  </r>
  <r>
    <x v="1"/>
    <x v="358"/>
    <x v="357"/>
    <x v="8"/>
    <x v="7"/>
    <n v="197.15979999999999"/>
    <n v="154.88"/>
    <n v="42.279799999999994"/>
    <n v="112.64"/>
    <n v="0.37535333806818177"/>
  </r>
  <r>
    <x v="1"/>
    <x v="359"/>
    <x v="358"/>
    <x v="8"/>
    <x v="7"/>
    <n v="155.33249999999998"/>
    <n v="142.15619999999998"/>
    <n v="13.176299999999998"/>
    <n v="118.45"/>
    <n v="0.11123934149430137"/>
  </r>
  <r>
    <x v="1"/>
    <x v="360"/>
    <x v="359"/>
    <x v="15"/>
    <x v="7"/>
    <n v="356.39429999999999"/>
    <n v="246.58999999999997"/>
    <n v="109.80430000000001"/>
    <n v="197.24"/>
    <n v="0.55670401541269521"/>
  </r>
  <r>
    <x v="1"/>
    <x v="361"/>
    <x v="360"/>
    <x v="4"/>
    <x v="7"/>
    <n v="407.08511608738331"/>
    <n v="266.28120000000001"/>
    <n v="140.8039160873833"/>
    <n v="179.88"/>
    <n v="0.78276582214467039"/>
  </r>
  <r>
    <x v="1"/>
    <x v="362"/>
    <x v="361"/>
    <x v="4"/>
    <x v="7"/>
    <n v="213.79313625698737"/>
    <n v="133.62299999999999"/>
    <n v="80.170136256987377"/>
    <n v="66.78"/>
    <n v="1.2005111748575528"/>
  </r>
  <r>
    <x v="1"/>
    <x v="363"/>
    <x v="362"/>
    <x v="18"/>
    <x v="7"/>
    <n v="8.3919999999999995"/>
    <n v="4.7699999999999996"/>
    <n v="3.6219999999999999"/>
    <n v="10.88"/>
    <n v="0.33290441176470587"/>
  </r>
  <r>
    <x v="1"/>
    <x v="364"/>
    <x v="363"/>
    <x v="4"/>
    <x v="7"/>
    <n v="73.625926126036674"/>
    <n v="46.342600000000004"/>
    <n v="27.28332612603667"/>
    <n v="57.8"/>
    <n v="0.47202986377226069"/>
  </r>
  <r>
    <x v="1"/>
    <x v="365"/>
    <x v="364"/>
    <x v="4"/>
    <x v="7"/>
    <n v="5.2008674936596213"/>
    <n v="2.9430000000000001"/>
    <n v="2.2578674936596212"/>
    <n v="5.64"/>
    <n v="0.40033111589709597"/>
  </r>
  <r>
    <x v="1"/>
    <x v="366"/>
    <x v="365"/>
    <x v="18"/>
    <x v="7"/>
    <n v="5.6639999999999997"/>
    <n v="3.22"/>
    <n v="2.4439999999999995"/>
    <n v="3.42"/>
    <n v="0.71461988304093549"/>
  </r>
  <r>
    <x v="1"/>
    <x v="367"/>
    <x v="366"/>
    <x v="10"/>
    <x v="7"/>
    <n v="30.438000000000002"/>
    <n v="16.254999999999999"/>
    <n v="14.183000000000003"/>
    <n v="16.55"/>
    <n v="0.85697885196374635"/>
  </r>
  <r>
    <x v="1"/>
    <x v="368"/>
    <x v="367"/>
    <x v="19"/>
    <x v="7"/>
    <n v="0"/>
    <n v="0"/>
    <n v="0"/>
    <n v="7.58"/>
    <n v="0"/>
  </r>
  <r>
    <x v="1"/>
    <x v="369"/>
    <x v="368"/>
    <x v="12"/>
    <x v="7"/>
    <n v="126.16903577683888"/>
    <n v="45.161500000000004"/>
    <n v="81.007535776838878"/>
    <n v="18.36"/>
    <n v="4.4121751512439475"/>
  </r>
  <r>
    <x v="1"/>
    <x v="370"/>
    <x v="369"/>
    <x v="12"/>
    <x v="7"/>
    <n v="100.29399985665501"/>
    <n v="59.2"/>
    <n v="41.093999856655003"/>
    <n v="45"/>
    <n v="0.91319999681455566"/>
  </r>
  <r>
    <x v="1"/>
    <x v="371"/>
    <x v="370"/>
    <x v="12"/>
    <x v="7"/>
    <n v="3.9178999999999999"/>
    <n v="1.9300000000000002"/>
    <n v="1.9878999999999998"/>
    <n v="3.86"/>
    <n v="0.51500000000000001"/>
  </r>
  <r>
    <x v="1"/>
    <x v="372"/>
    <x v="371"/>
    <x v="12"/>
    <x v="7"/>
    <n v="130.09997770846218"/>
    <n v="104.68639999999999"/>
    <n v="25.413577708462185"/>
    <n v="179.6"/>
    <n v="0.14150098946805223"/>
  </r>
  <r>
    <x v="1"/>
    <x v="373"/>
    <x v="372"/>
    <x v="4"/>
    <x v="7"/>
    <n v="-22.01333358440279"/>
    <n v="-15.763999999999999"/>
    <n v="-6.2493335844027911"/>
    <n v="39.4"/>
    <n v="-0.15861252752291349"/>
  </r>
  <r>
    <x v="1"/>
    <x v="374"/>
    <x v="373"/>
    <x v="12"/>
    <x v="7"/>
    <n v="25.767000000000003"/>
    <n v="11.343999999999999"/>
    <n v="14.423000000000004"/>
    <n v="9.1199999999999992"/>
    <n v="1.5814692982456142"/>
  </r>
  <r>
    <x v="1"/>
    <x v="375"/>
    <x v="374"/>
    <x v="15"/>
    <x v="7"/>
    <n v="783.57579663320871"/>
    <n v="596.58479999999997"/>
    <n v="186.99099663320874"/>
    <n v="255.66"/>
    <n v="0.7314049778346583"/>
  </r>
  <r>
    <x v="1"/>
    <x v="376"/>
    <x v="375"/>
    <x v="15"/>
    <x v="7"/>
    <n v="174.33600000000001"/>
    <n v="133.63679999999999"/>
    <n v="40.699200000000019"/>
    <n v="111.35"/>
    <n v="0.36550696003592298"/>
  </r>
  <r>
    <x v="1"/>
    <x v="377"/>
    <x v="376"/>
    <x v="9"/>
    <x v="7"/>
    <n v="5.7279999999999998"/>
    <n v="2.38"/>
    <n v="3.3479999999999999"/>
    <n v="7.14"/>
    <n v="0.46890756302521008"/>
  </r>
  <r>
    <x v="1"/>
    <x v="378"/>
    <x v="377"/>
    <x v="9"/>
    <x v="7"/>
    <n v="6.12"/>
    <n v="2.5099999999999998"/>
    <n v="3.6100000000000003"/>
    <n v="7.53"/>
    <n v="0.47941567065073049"/>
  </r>
  <r>
    <x v="1"/>
    <x v="379"/>
    <x v="378"/>
    <x v="9"/>
    <x v="7"/>
    <n v="1.2"/>
    <n v="1.0900000000000001"/>
    <n v="0.10999999999999988"/>
    <n v="7.63"/>
    <n v="1.4416775884665774E-2"/>
  </r>
  <r>
    <x v="1"/>
    <x v="380"/>
    <x v="379"/>
    <x v="9"/>
    <x v="7"/>
    <n v="4.6239999999999997"/>
    <n v="1.92"/>
    <n v="2.7039999999999997"/>
    <n v="5.76"/>
    <n v="0.46944444444444444"/>
  </r>
  <r>
    <x v="1"/>
    <x v="381"/>
    <x v="380"/>
    <x v="9"/>
    <x v="7"/>
    <n v="5.6999999999999993"/>
    <n v="2.9"/>
    <n v="2.7999999999999994"/>
    <n v="2.1"/>
    <n v="1.333333333333333"/>
  </r>
  <r>
    <x v="1"/>
    <x v="382"/>
    <x v="381"/>
    <x v="9"/>
    <x v="7"/>
    <n v="7.1999999999999993"/>
    <n v="3.464"/>
    <n v="3.7359999999999993"/>
    <n v="8.16"/>
    <n v="0.45784313725490189"/>
  </r>
  <r>
    <x v="1"/>
    <x v="383"/>
    <x v="382"/>
    <x v="11"/>
    <x v="7"/>
    <n v="3.992"/>
    <n v="1.6400000000000001"/>
    <n v="2.3519999999999999"/>
    <n v="8.1999999999999993"/>
    <n v="0.28682926829268296"/>
  </r>
  <r>
    <x v="1"/>
    <x v="384"/>
    <x v="383"/>
    <x v="9"/>
    <x v="7"/>
    <n v="25.614550189235352"/>
    <n v="19.68"/>
    <n v="5.9345501892353525"/>
    <n v="39.36"/>
    <n v="0.15077617350699574"/>
  </r>
  <r>
    <x v="1"/>
    <x v="385"/>
    <x v="384"/>
    <x v="9"/>
    <x v="7"/>
    <n v="64.56450000000001"/>
    <n v="41.61"/>
    <n v="22.95450000000001"/>
    <n v="41.61"/>
    <n v="0.5516582552271091"/>
  </r>
  <r>
    <x v="1"/>
    <x v="386"/>
    <x v="385"/>
    <x v="9"/>
    <x v="7"/>
    <n v="18.788"/>
    <n v="12.115"/>
    <n v="6.673"/>
    <n v="11.8"/>
    <n v="0.56550847457627118"/>
  </r>
  <r>
    <x v="1"/>
    <x v="387"/>
    <x v="386"/>
    <x v="12"/>
    <x v="7"/>
    <n v="9.3625000000000007"/>
    <n v="4.9000000000000004"/>
    <n v="4.4625000000000004"/>
    <n v="7"/>
    <n v="0.63750000000000007"/>
  </r>
  <r>
    <x v="1"/>
    <x v="388"/>
    <x v="387"/>
    <x v="12"/>
    <x v="7"/>
    <n v="28.766137608943019"/>
    <n v="24.014800000000001"/>
    <n v="4.7513376089430182"/>
    <n v="101.4"/>
    <n v="4.685737286926054E-2"/>
  </r>
  <r>
    <x v="1"/>
    <x v="389"/>
    <x v="388"/>
    <x v="12"/>
    <x v="7"/>
    <n v="22.807072693095414"/>
    <n v="17.057200000000002"/>
    <n v="5.749872693095412"/>
    <n v="17.04"/>
    <n v="0.33743384349151478"/>
  </r>
  <r>
    <x v="1"/>
    <x v="390"/>
    <x v="389"/>
    <x v="12"/>
    <x v="7"/>
    <n v="-67.447999999999993"/>
    <n v="-38.993299999999998"/>
    <n v="-28.454699999999995"/>
    <n v="99.44"/>
    <n v="-0.28614943684633948"/>
  </r>
  <r>
    <x v="1"/>
    <x v="391"/>
    <x v="390"/>
    <x v="7"/>
    <x v="7"/>
    <n v="148.465"/>
    <n v="81.009"/>
    <n v="67.456000000000003"/>
    <n v="71.7"/>
    <n v="0.94080892608089262"/>
  </r>
  <r>
    <x v="1"/>
    <x v="392"/>
    <x v="391"/>
    <x v="12"/>
    <x v="7"/>
    <n v="361.9597552501441"/>
    <n v="241.6095"/>
    <n v="120.3502552501441"/>
    <n v="119.91"/>
    <n v="1.0036715474117597"/>
  </r>
  <r>
    <x v="1"/>
    <x v="393"/>
    <x v="392"/>
    <x v="12"/>
    <x v="7"/>
    <n v="34.673500000000004"/>
    <n v="18.335799999999999"/>
    <n v="16.337700000000005"/>
    <n v="58.14"/>
    <n v="0.2810061919504645"/>
  </r>
  <r>
    <x v="1"/>
    <x v="394"/>
    <x v="393"/>
    <x v="12"/>
    <x v="7"/>
    <n v="207.12809999999996"/>
    <n v="122.184"/>
    <n v="84.944099999999963"/>
    <n v="122.16"/>
    <n v="0.69535117878192509"/>
  </r>
  <r>
    <x v="1"/>
    <x v="395"/>
    <x v="372"/>
    <x v="12"/>
    <x v="7"/>
    <n v="201.41158649130091"/>
    <n v="133.8409"/>
    <n v="67.570686491300904"/>
    <n v="93.3"/>
    <n v="0.72423029465488642"/>
  </r>
  <r>
    <x v="1"/>
    <x v="396"/>
    <x v="394"/>
    <x v="12"/>
    <x v="7"/>
    <n v="273.85036181912596"/>
    <n v="184.20319999999998"/>
    <n v="89.647161819125984"/>
    <n v="109.41"/>
    <n v="0.81936899569624333"/>
  </r>
  <r>
    <x v="1"/>
    <x v="397"/>
    <x v="394"/>
    <x v="12"/>
    <x v="7"/>
    <n v="17.440000000000001"/>
    <n v="17.09"/>
    <n v="0.35000000000000142"/>
    <n v="42.7"/>
    <n v="8.1967213114754432E-3"/>
  </r>
  <r>
    <x v="1"/>
    <x v="398"/>
    <x v="395"/>
    <x v="12"/>
    <x v="7"/>
    <n v="54.285031847133759"/>
    <n v="50.094999999999999"/>
    <n v="4.1900318471337599"/>
    <n v="50.09"/>
    <n v="8.3650066822394883E-2"/>
  </r>
  <r>
    <x v="1"/>
    <x v="399"/>
    <x v="396"/>
    <x v="18"/>
    <x v="7"/>
    <n v="63.344000000000001"/>
    <n v="37.06"/>
    <n v="26.283999999999999"/>
    <n v="37.06"/>
    <n v="0.70922827846735015"/>
  </r>
  <r>
    <x v="1"/>
    <x v="400"/>
    <x v="397"/>
    <x v="4"/>
    <x v="7"/>
    <n v="2425.0785160726041"/>
    <n v="760.70139999999981"/>
    <n v="1664.3771160726042"/>
    <n v="318"/>
    <n v="5.2338903021151078"/>
  </r>
  <r>
    <x v="1"/>
    <x v="401"/>
    <x v="398"/>
    <x v="11"/>
    <x v="7"/>
    <n v="40.454999999999998"/>
    <n v="24.406700000000001"/>
    <n v="16.048299999999998"/>
    <n v="36.42"/>
    <n v="0.4406452498627127"/>
  </r>
  <r>
    <x v="1"/>
    <x v="402"/>
    <x v="399"/>
    <x v="11"/>
    <x v="7"/>
    <n v="43.48"/>
    <n v="26.04"/>
    <n v="17.439999999999998"/>
    <n v="52.08"/>
    <n v="0.33486943164362515"/>
  </r>
  <r>
    <x v="1"/>
    <x v="403"/>
    <x v="400"/>
    <x v="11"/>
    <x v="7"/>
    <n v="14.602499999999999"/>
    <n v="8.18"/>
    <n v="6.4224999999999994"/>
    <n v="16.38"/>
    <n v="0.39209401709401709"/>
  </r>
  <r>
    <x v="1"/>
    <x v="404"/>
    <x v="401"/>
    <x v="11"/>
    <x v="7"/>
    <n v="30.914999999999999"/>
    <n v="19.059999999999999"/>
    <n v="11.855"/>
    <n v="28.59"/>
    <n v="0.4146554739419378"/>
  </r>
  <r>
    <x v="1"/>
    <x v="405"/>
    <x v="402"/>
    <x v="4"/>
    <x v="7"/>
    <n v="62.864999999999995"/>
    <n v="34.410000000000004"/>
    <n v="28.454999999999991"/>
    <n v="45.88"/>
    <n v="0.62020488230165627"/>
  </r>
  <r>
    <x v="1"/>
    <x v="406"/>
    <x v="403"/>
    <x v="4"/>
    <x v="7"/>
    <n v="452.94304053360725"/>
    <n v="307.69969999999995"/>
    <n v="145.2433405336073"/>
    <n v="252.27"/>
    <n v="0.57574559215763776"/>
  </r>
  <r>
    <x v="1"/>
    <x v="407"/>
    <x v="404"/>
    <x v="11"/>
    <x v="7"/>
    <n v="38.095999999999997"/>
    <n v="22.95"/>
    <n v="15.145999999999997"/>
    <n v="68.849999999999994"/>
    <n v="0.21998547567175017"/>
  </r>
  <r>
    <x v="1"/>
    <x v="408"/>
    <x v="405"/>
    <x v="11"/>
    <x v="7"/>
    <n v="5.1520000000000001"/>
    <n v="2.82"/>
    <n v="2.3320000000000003"/>
    <n v="5.64"/>
    <n v="0.41347517730496464"/>
  </r>
  <r>
    <x v="1"/>
    <x v="409"/>
    <x v="406"/>
    <x v="11"/>
    <x v="7"/>
    <n v="8.2560000000000002"/>
    <n v="4.5"/>
    <n v="3.7560000000000002"/>
    <n v="9"/>
    <n v="0.41733333333333333"/>
  </r>
  <r>
    <x v="1"/>
    <x v="410"/>
    <x v="407"/>
    <x v="4"/>
    <x v="7"/>
    <n v="346.26584434157274"/>
    <n v="218.7441"/>
    <n v="127.52174434157274"/>
    <n v="187.44"/>
    <n v="0.68033367659823274"/>
  </r>
  <r>
    <x v="1"/>
    <x v="411"/>
    <x v="408"/>
    <x v="4"/>
    <x v="7"/>
    <n v="543.23100638770825"/>
    <n v="272.58729999999991"/>
    <n v="270.64370638770833"/>
    <n v="124.95"/>
    <n v="2.1660160575246765"/>
  </r>
  <r>
    <x v="1"/>
    <x v="412"/>
    <x v="409"/>
    <x v="4"/>
    <x v="7"/>
    <n v="54.579000000000008"/>
    <n v="37.950000000000003"/>
    <n v="16.629000000000005"/>
    <n v="37.950000000000003"/>
    <n v="0.43818181818181828"/>
  </r>
  <r>
    <x v="1"/>
    <x v="413"/>
    <x v="410"/>
    <x v="4"/>
    <x v="7"/>
    <n v="208.52"/>
    <n v="131.07780000000002"/>
    <n v="77.442199999999985"/>
    <n v="103.36"/>
    <n v="0.74924729102167165"/>
  </r>
  <r>
    <x v="1"/>
    <x v="414"/>
    <x v="411"/>
    <x v="4"/>
    <x v="7"/>
    <n v="116.46809999999998"/>
    <n v="71.441099999999992"/>
    <n v="45.026999999999987"/>
    <n v="38.43"/>
    <n v="1.1716627634660419"/>
  </r>
  <r>
    <x v="1"/>
    <x v="415"/>
    <x v="412"/>
    <x v="4"/>
    <x v="7"/>
    <n v="312.61587093105106"/>
    <n v="162.18430000000001"/>
    <n v="150.43157093105106"/>
    <n v="49.08"/>
    <n v="3.0650279325805023"/>
  </r>
  <r>
    <x v="1"/>
    <x v="416"/>
    <x v="413"/>
    <x v="4"/>
    <x v="7"/>
    <n v="104.01102925826085"/>
    <n v="78.20559999999999"/>
    <n v="25.805429258260858"/>
    <n v="52.03"/>
    <n v="0.49597211720662804"/>
  </r>
  <r>
    <x v="1"/>
    <x v="417"/>
    <x v="414"/>
    <x v="4"/>
    <x v="7"/>
    <n v="131.98818088381424"/>
    <n v="65.494199999999992"/>
    <n v="66.493980883814245"/>
    <n v="37.200000000000003"/>
    <n v="1.7874726044036087"/>
  </r>
  <r>
    <x v="1"/>
    <x v="418"/>
    <x v="415"/>
    <x v="4"/>
    <x v="7"/>
    <n v="783.55307716701498"/>
    <n v="353.04659999999996"/>
    <n v="430.50647716701502"/>
    <n v="174.25"/>
    <n v="2.4706254069843041"/>
  </r>
  <r>
    <x v="1"/>
    <x v="419"/>
    <x v="416"/>
    <x v="4"/>
    <x v="7"/>
    <n v="177.84617428305216"/>
    <n v="45.571599999999997"/>
    <n v="132.27457428305217"/>
    <n v="20.3"/>
    <n v="6.515988880938532"/>
  </r>
  <r>
    <x v="1"/>
    <x v="420"/>
    <x v="417"/>
    <x v="4"/>
    <x v="7"/>
    <n v="250.46334880518191"/>
    <n v="144.22000000000003"/>
    <n v="106.24334880518188"/>
    <n v="143.9"/>
    <n v="0.73831375125213261"/>
  </r>
  <r>
    <x v="1"/>
    <x v="421"/>
    <x v="418"/>
    <x v="4"/>
    <x v="7"/>
    <n v="205.04579609809321"/>
    <n v="110.628"/>
    <n v="94.417796098093206"/>
    <n v="43.8"/>
    <n v="2.1556574451619457"/>
  </r>
  <r>
    <x v="1"/>
    <x v="422"/>
    <x v="419"/>
    <x v="4"/>
    <x v="7"/>
    <n v="154.20853880841378"/>
    <n v="74.749600000000001"/>
    <n v="79.458938808413777"/>
    <n v="55.68"/>
    <n v="1.4270642745763971"/>
  </r>
  <r>
    <x v="1"/>
    <x v="423"/>
    <x v="420"/>
    <x v="4"/>
    <x v="7"/>
    <n v="244.76785401336801"/>
    <n v="122.45939999999999"/>
    <n v="122.30845401336802"/>
    <n v="53.34"/>
    <n v="2.292996888139633"/>
  </r>
  <r>
    <x v="1"/>
    <x v="424"/>
    <x v="421"/>
    <x v="20"/>
    <x v="7"/>
    <n v="19894.652580372727"/>
    <n v="24641.199300000011"/>
    <n v="-4746.5467196272839"/>
    <n v="10775"/>
    <n v="-0.44051477676355311"/>
  </r>
  <r>
    <x v="1"/>
    <x v="425"/>
    <x v="422"/>
    <x v="8"/>
    <x v="7"/>
    <n v="-26.605002639520471"/>
    <n v="61.944100000000006"/>
    <n v="-88.54910263952047"/>
    <n v="180.3"/>
    <n v="-0.49112092423472248"/>
  </r>
  <r>
    <x v="1"/>
    <x v="426"/>
    <x v="423"/>
    <x v="8"/>
    <x v="7"/>
    <n v="475.87674844977266"/>
    <n v="435.83330000000001"/>
    <n v="40.043448449772654"/>
    <n v="437.01"/>
    <n v="9.1630508340250008E-2"/>
  </r>
  <r>
    <x v="1"/>
    <x v="427"/>
    <x v="424"/>
    <x v="8"/>
    <x v="7"/>
    <n v="1263.82888"/>
    <n v="1152.2554"/>
    <n v="111.57348000000002"/>
    <n v="384.76"/>
    <n v="0.28998201476244939"/>
  </r>
  <r>
    <x v="1"/>
    <x v="428"/>
    <x v="425"/>
    <x v="9"/>
    <x v="7"/>
    <n v="106.85344046622232"/>
    <n v="54.920299999999997"/>
    <n v="51.933140466222326"/>
    <n v="15.48"/>
    <n v="3.3548540352856797"/>
  </r>
  <r>
    <x v="1"/>
    <x v="429"/>
    <x v="426"/>
    <x v="4"/>
    <x v="7"/>
    <n v="640.67383016916642"/>
    <n v="348.94950000000006"/>
    <n v="291.72433016916636"/>
    <n v="247.23"/>
    <n v="1.1799714038311142"/>
  </r>
  <r>
    <x v="1"/>
    <x v="430"/>
    <x v="427"/>
    <x v="10"/>
    <x v="7"/>
    <n v="12.112499999999999"/>
    <n v="5.2200000000000006"/>
    <n v="6.8924999999999983"/>
    <n v="4.08"/>
    <n v="1.6893382352941173"/>
  </r>
  <r>
    <x v="1"/>
    <x v="431"/>
    <x v="428"/>
    <x v="12"/>
    <x v="7"/>
    <n v="94.3215"/>
    <n v="55.679999999999993"/>
    <n v="38.641500000000008"/>
    <n v="55.68"/>
    <n v="0.69399245689655198"/>
  </r>
  <r>
    <x v="1"/>
    <x v="432"/>
    <x v="429"/>
    <x v="12"/>
    <x v="7"/>
    <n v="22.758600000000001"/>
    <n v="15.008399999999998"/>
    <n v="7.7502000000000031"/>
    <n v="10"/>
    <n v="0.77502000000000026"/>
  </r>
  <r>
    <x v="1"/>
    <x v="433"/>
    <x v="430"/>
    <x v="12"/>
    <x v="7"/>
    <n v="108.27286260494438"/>
    <n v="73.747199999999992"/>
    <n v="34.525662604944387"/>
    <n v="36.72"/>
    <n v="0.94024135634380146"/>
  </r>
  <r>
    <x v="1"/>
    <x v="434"/>
    <x v="431"/>
    <x v="12"/>
    <x v="7"/>
    <n v="87.75"/>
    <n v="53"/>
    <n v="34.75"/>
    <n v="60.63"/>
    <n v="0.57314860630051123"/>
  </r>
  <r>
    <x v="1"/>
    <x v="435"/>
    <x v="432"/>
    <x v="12"/>
    <x v="7"/>
    <n v="23.707999999999998"/>
    <n v="13.0932"/>
    <n v="10.614799999999999"/>
    <n v="5.94"/>
    <n v="1.7870033670033669"/>
  </r>
  <r>
    <x v="1"/>
    <x v="436"/>
    <x v="433"/>
    <x v="12"/>
    <x v="7"/>
    <n v="43.345500000000001"/>
    <n v="23.698500000000003"/>
    <n v="19.646999999999998"/>
    <n v="12.4"/>
    <n v="1.5844354838709676"/>
  </r>
  <r>
    <x v="1"/>
    <x v="437"/>
    <x v="434"/>
    <x v="12"/>
    <x v="7"/>
    <n v="321.37314418751129"/>
    <n v="176.93040000000002"/>
    <n v="144.44274418751127"/>
    <n v="172.72"/>
    <n v="0.83628267825099156"/>
  </r>
  <r>
    <x v="1"/>
    <x v="438"/>
    <x v="435"/>
    <x v="12"/>
    <x v="7"/>
    <n v="210.79529937253028"/>
    <n v="125.4926"/>
    <n v="85.302699372530284"/>
    <n v="100.08"/>
    <n v="0.85234511763119791"/>
  </r>
  <r>
    <x v="1"/>
    <x v="439"/>
    <x v="436"/>
    <x v="12"/>
    <x v="7"/>
    <n v="18.220600000000001"/>
    <n v="9.2544000000000004"/>
    <n v="8.9662000000000006"/>
    <n v="9.1999999999999993"/>
    <n v="0.9745869565217391"/>
  </r>
  <r>
    <x v="1"/>
    <x v="440"/>
    <x v="437"/>
    <x v="12"/>
    <x v="7"/>
    <n v="11.151"/>
    <n v="6.88"/>
    <n v="4.2709999999999999"/>
    <n v="8.6"/>
    <n v="0.49662790697674419"/>
  </r>
  <r>
    <x v="1"/>
    <x v="441"/>
    <x v="438"/>
    <x v="12"/>
    <x v="7"/>
    <n v="180.08099999999996"/>
    <n v="108.62209999999997"/>
    <n v="71.458899999999986"/>
    <n v="150.25"/>
    <n v="0.47559999999999991"/>
  </r>
  <r>
    <x v="1"/>
    <x v="442"/>
    <x v="439"/>
    <x v="12"/>
    <x v="7"/>
    <n v="23.490000000000002"/>
    <n v="11.068"/>
    <n v="12.422000000000002"/>
    <n v="11.04"/>
    <n v="1.1251811594202901"/>
  </r>
  <r>
    <x v="1"/>
    <x v="443"/>
    <x v="440"/>
    <x v="12"/>
    <x v="7"/>
    <n v="16.843"/>
    <n v="9.5410000000000004"/>
    <n v="7.3019999999999996"/>
    <n v="6.8"/>
    <n v="1.0738235294117646"/>
  </r>
  <r>
    <x v="1"/>
    <x v="444"/>
    <x v="441"/>
    <x v="12"/>
    <x v="7"/>
    <n v="347.38825494910787"/>
    <n v="225.60720000000001"/>
    <n v="121.78105494910787"/>
    <n v="164.08"/>
    <n v="0.74220535683269051"/>
  </r>
  <r>
    <x v="1"/>
    <x v="445"/>
    <x v="442"/>
    <x v="12"/>
    <x v="7"/>
    <n v="4.0500000000000007"/>
    <n v="2.1239999999999997"/>
    <n v="1.926000000000001"/>
    <n v="2.1"/>
    <n v="0.91714285714285781"/>
  </r>
  <r>
    <x v="1"/>
    <x v="446"/>
    <x v="443"/>
    <x v="12"/>
    <x v="7"/>
    <n v="42.948999999999998"/>
    <n v="26.854599999999998"/>
    <n v="16.0944"/>
    <n v="13.44"/>
    <n v="1.1975"/>
  </r>
  <r>
    <x v="1"/>
    <x v="447"/>
    <x v="444"/>
    <x v="12"/>
    <x v="7"/>
    <n v="92.98"/>
    <n v="44.356599999999993"/>
    <n v="48.623400000000011"/>
    <n v="48.73"/>
    <n v="0.99781243587112689"/>
  </r>
  <r>
    <x v="1"/>
    <x v="448"/>
    <x v="445"/>
    <x v="12"/>
    <x v="7"/>
    <n v="97.35"/>
    <n v="74.411999999999992"/>
    <n v="22.938000000000002"/>
    <n v="74.400000000000006"/>
    <n v="0.30830645161290321"/>
  </r>
  <r>
    <x v="1"/>
    <x v="449"/>
    <x v="446"/>
    <x v="12"/>
    <x v="7"/>
    <n v="63.378256278171293"/>
    <n v="39.763599999999997"/>
    <n v="23.614656278171296"/>
    <n v="31.76"/>
    <n v="0.74353451757466293"/>
  </r>
  <r>
    <x v="1"/>
    <x v="450"/>
    <x v="447"/>
    <x v="4"/>
    <x v="7"/>
    <n v="49.648852221506758"/>
    <n v="26.392800000000001"/>
    <n v="23.256052221506756"/>
    <n v="26"/>
    <n v="0.89446354698102915"/>
  </r>
  <r>
    <x v="1"/>
    <x v="451"/>
    <x v="448"/>
    <x v="12"/>
    <x v="7"/>
    <n v="17.745000000000001"/>
    <n v="9.84"/>
    <n v="7.9050000000000011"/>
    <n v="6.95"/>
    <n v="1.1374100719424463"/>
  </r>
  <r>
    <x v="1"/>
    <x v="452"/>
    <x v="449"/>
    <x v="12"/>
    <x v="7"/>
    <n v="40.762462839828295"/>
    <n v="25.875"/>
    <n v="14.887462839828295"/>
    <n v="31.02"/>
    <n v="0.47993110379846216"/>
  </r>
  <r>
    <x v="1"/>
    <x v="453"/>
    <x v="450"/>
    <x v="12"/>
    <x v="7"/>
    <n v="51.120000000000005"/>
    <n v="30.599999999999998"/>
    <n v="20.520000000000007"/>
    <n v="31.2"/>
    <n v="0.6576923076923078"/>
  </r>
  <r>
    <x v="1"/>
    <x v="454"/>
    <x v="451"/>
    <x v="12"/>
    <x v="7"/>
    <n v="49.6"/>
    <n v="16.48"/>
    <n v="33.120000000000005"/>
    <n v="14"/>
    <n v="2.3657142857142861"/>
  </r>
  <r>
    <x v="1"/>
    <x v="455"/>
    <x v="452"/>
    <x v="12"/>
    <x v="7"/>
    <n v="848.89430114957406"/>
    <n v="617.56360000000006"/>
    <n v="231.330701149574"/>
    <n v="360.64"/>
    <n v="0.64144493442095718"/>
  </r>
  <r>
    <x v="1"/>
    <x v="456"/>
    <x v="453"/>
    <x v="12"/>
    <x v="7"/>
    <n v="54.340800000000002"/>
    <n v="36.270099999999992"/>
    <n v="18.070700000000009"/>
    <n v="16.16"/>
    <n v="1.1182363861386144"/>
  </r>
  <r>
    <x v="1"/>
    <x v="457"/>
    <x v="454"/>
    <x v="12"/>
    <x v="7"/>
    <n v="146.27819908272497"/>
    <n v="94.712299999999999"/>
    <n v="51.565899082724968"/>
    <n v="71.25"/>
    <n v="0.72373191695052586"/>
  </r>
  <r>
    <x v="1"/>
    <x v="458"/>
    <x v="455"/>
    <x v="12"/>
    <x v="7"/>
    <n v="96.8"/>
    <n v="48.697099999999999"/>
    <n v="48.102899999999998"/>
    <n v="30.6"/>
    <n v="1.5719901960784313"/>
  </r>
  <r>
    <x v="1"/>
    <x v="459"/>
    <x v="456"/>
    <x v="12"/>
    <x v="7"/>
    <n v="15.18"/>
    <n v="15.083"/>
    <n v="9.6999999999999531E-2"/>
    <n v="30.16"/>
    <n v="3.2161803713527696E-3"/>
  </r>
  <r>
    <x v="1"/>
    <x v="460"/>
    <x v="457"/>
    <x v="12"/>
    <x v="7"/>
    <n v="9.8290000000000006"/>
    <n v="6.08"/>
    <n v="3.7490000000000006"/>
    <n v="10.64"/>
    <n v="0.35234962406015041"/>
  </r>
  <r>
    <x v="1"/>
    <x v="461"/>
    <x v="458"/>
    <x v="12"/>
    <x v="7"/>
    <n v="61.524999999999999"/>
    <n v="32.500999999999998"/>
    <n v="29.024000000000001"/>
    <n v="18.559999999999999"/>
    <n v="1.5637931034482759"/>
  </r>
  <r>
    <x v="1"/>
    <x v="462"/>
    <x v="459"/>
    <x v="12"/>
    <x v="7"/>
    <n v="539.36254696030574"/>
    <n v="332.76139999999998"/>
    <n v="206.60114696030575"/>
    <n v="61.68"/>
    <n v="3.34956463943427"/>
  </r>
  <r>
    <x v="1"/>
    <x v="463"/>
    <x v="460"/>
    <x v="12"/>
    <x v="7"/>
    <n v="76.78549312336699"/>
    <n v="445.82010000000031"/>
    <n v="-369.03460687663335"/>
    <n v="425.04"/>
    <n v="-0.86823500582682411"/>
  </r>
  <r>
    <x v="1"/>
    <x v="464"/>
    <x v="461"/>
    <x v="12"/>
    <x v="7"/>
    <n v="34.572269743101806"/>
    <n v="16.3506"/>
    <n v="18.221669743101806"/>
    <n v="8.26"/>
    <n v="2.206013286089807"/>
  </r>
  <r>
    <x v="1"/>
    <x v="465"/>
    <x v="462"/>
    <x v="12"/>
    <x v="7"/>
    <n v="46.435043005281337"/>
    <n v="28.497"/>
    <n v="17.938043005281337"/>
    <n v="65.7"/>
    <n v="0.27302957390078136"/>
  </r>
  <r>
    <x v="1"/>
    <x v="466"/>
    <x v="463"/>
    <x v="12"/>
    <x v="7"/>
    <n v="90.813168997696934"/>
    <n v="65.532000000000011"/>
    <n v="25.281168997696923"/>
    <n v="34.880000000000003"/>
    <n v="0.72480415704406309"/>
  </r>
  <r>
    <x v="1"/>
    <x v="467"/>
    <x v="464"/>
    <x v="12"/>
    <x v="7"/>
    <n v="20.028268429035144"/>
    <n v="11.065100000000001"/>
    <n v="8.963168429035143"/>
    <n v="4.4000000000000004"/>
    <n v="2.0370837338716234"/>
  </r>
  <r>
    <x v="1"/>
    <x v="468"/>
    <x v="465"/>
    <x v="12"/>
    <x v="7"/>
    <n v="14.215999999999999"/>
    <n v="8.1423000000000005"/>
    <n v="6.0736999999999988"/>
    <n v="8.14"/>
    <n v="0.746154791154791"/>
  </r>
  <r>
    <x v="1"/>
    <x v="469"/>
    <x v="466"/>
    <x v="15"/>
    <x v="7"/>
    <n v="19"/>
    <n v="18.64"/>
    <n v="0.35999999999999943"/>
    <n v="102.52"/>
    <n v="3.5115099492781837E-3"/>
  </r>
  <r>
    <x v="1"/>
    <x v="470"/>
    <x v="467"/>
    <x v="15"/>
    <x v="7"/>
    <n v="37.12080000000001"/>
    <n v="14.85"/>
    <n v="22.270800000000008"/>
    <n v="44.55"/>
    <n v="0.49990572390572413"/>
  </r>
  <r>
    <x v="1"/>
    <x v="471"/>
    <x v="468"/>
    <x v="15"/>
    <x v="7"/>
    <n v="129.6746"/>
    <n v="103.98839999999998"/>
    <n v="25.686200000000014"/>
    <n v="173.3"/>
    <n v="0.14821811886901337"/>
  </r>
  <r>
    <x v="1"/>
    <x v="472"/>
    <x v="469"/>
    <x v="15"/>
    <x v="7"/>
    <n v="294.47732692262684"/>
    <n v="219.62809999999996"/>
    <n v="74.849226922626883"/>
    <n v="154.91999999999999"/>
    <n v="0.48314760471615592"/>
  </r>
  <r>
    <x v="1"/>
    <x v="473"/>
    <x v="470"/>
    <x v="15"/>
    <x v="7"/>
    <n v="314.08070548086869"/>
    <n v="240.9451"/>
    <n v="73.135605480868691"/>
    <n v="328.5"/>
    <n v="0.22263502429488186"/>
  </r>
  <r>
    <x v="1"/>
    <x v="474"/>
    <x v="471"/>
    <x v="21"/>
    <x v="7"/>
    <n v="3867.1346763957476"/>
    <n v="2843.61"/>
    <n v="1023.5246763957475"/>
    <n v="2843.61"/>
    <n v="0.35993848537448786"/>
  </r>
  <r>
    <x v="1"/>
    <x v="475"/>
    <x v="472"/>
    <x v="12"/>
    <x v="7"/>
    <n v="37.31"/>
    <n v="16.708600000000001"/>
    <n v="20.601400000000002"/>
    <n v="11.34"/>
    <n v="1.8167019400352735"/>
  </r>
  <r>
    <x v="1"/>
    <x v="476"/>
    <x v="473"/>
    <x v="4"/>
    <x v="7"/>
    <n v="695.97078262023297"/>
    <n v="523.61040000000003"/>
    <n v="172.36038262023294"/>
    <n v="203.88"/>
    <n v="0.84540113115672422"/>
  </r>
  <r>
    <x v="1"/>
    <x v="477"/>
    <x v="474"/>
    <x v="4"/>
    <x v="7"/>
    <n v="30.470402190240613"/>
    <n v="21.626000000000001"/>
    <n v="8.8444021902406114"/>
    <n v="43.24"/>
    <n v="0.20454214130991238"/>
  </r>
  <r>
    <x v="1"/>
    <x v="478"/>
    <x v="475"/>
    <x v="4"/>
    <x v="7"/>
    <n v="609.03770619883244"/>
    <n v="362.65699999999998"/>
    <n v="246.38070619883246"/>
    <n v="160.58000000000001"/>
    <n v="1.5343175127589515"/>
  </r>
  <r>
    <x v="1"/>
    <x v="479"/>
    <x v="476"/>
    <x v="12"/>
    <x v="7"/>
    <n v="151.2216"/>
    <n v="107.75129999999999"/>
    <n v="43.470300000000009"/>
    <n v="143.63999999999999"/>
    <n v="0.30263366750208864"/>
  </r>
  <r>
    <x v="1"/>
    <x v="480"/>
    <x v="477"/>
    <x v="12"/>
    <x v="7"/>
    <n v="225.87661535560119"/>
    <n v="141.2208"/>
    <n v="84.655815355601192"/>
    <n v="124.16"/>
    <n v="0.68182840975838588"/>
  </r>
  <r>
    <x v="1"/>
    <x v="481"/>
    <x v="478"/>
    <x v="12"/>
    <x v="7"/>
    <n v="33.384"/>
    <n v="18.317999999999998"/>
    <n v="15.066000000000003"/>
    <n v="30.5"/>
    <n v="0.49396721311475417"/>
  </r>
  <r>
    <x v="1"/>
    <x v="482"/>
    <x v="479"/>
    <x v="9"/>
    <x v="7"/>
    <n v="237.5883986850219"/>
    <n v="150.20020000000002"/>
    <n v="87.388198685021877"/>
    <n v="74.16"/>
    <n v="1.1783737686761311"/>
  </r>
  <r>
    <x v="1"/>
    <x v="483"/>
    <x v="480"/>
    <x v="4"/>
    <x v="7"/>
    <n v="6.1707999999999998"/>
    <n v="108.98939999999996"/>
    <n v="-102.81859999999996"/>
    <n v="44.16"/>
    <n v="-2.3283197463768111"/>
  </r>
  <r>
    <x v="1"/>
    <x v="484"/>
    <x v="481"/>
    <x v="8"/>
    <x v="7"/>
    <n v="18.642794581861011"/>
    <n v="81.86680000000004"/>
    <n v="-63.224005418139029"/>
    <n v="35.5"/>
    <n v="-1.7809578991025079"/>
  </r>
  <r>
    <x v="1"/>
    <x v="485"/>
    <x v="482"/>
    <x v="8"/>
    <x v="7"/>
    <n v="95.079214805621277"/>
    <n v="1072.4210000000005"/>
    <n v="-977.34178519437921"/>
    <n v="383.04"/>
    <n v="-2.5515397483144824"/>
  </r>
  <r>
    <x v="1"/>
    <x v="486"/>
    <x v="483"/>
    <x v="4"/>
    <x v="7"/>
    <n v="17.015999999999998"/>
    <n v="7.7010000000000005"/>
    <n v="9.3149999999999977"/>
    <n v="12.8"/>
    <n v="0.72773437499999982"/>
  </r>
  <r>
    <x v="1"/>
    <x v="487"/>
    <x v="484"/>
    <x v="12"/>
    <x v="7"/>
    <n v="-36.045199999999966"/>
    <n v="32.706099999999992"/>
    <n v="-68.751299999999958"/>
    <n v="276.5"/>
    <n v="-0.24864846292947543"/>
  </r>
  <r>
    <x v="1"/>
    <x v="488"/>
    <x v="485"/>
    <x v="8"/>
    <x v="7"/>
    <n v="3355.5875890196421"/>
    <n v="2942.7782000000002"/>
    <n v="412.80938901964191"/>
    <n v="1446.4"/>
    <n v="0.28540472139079226"/>
  </r>
  <r>
    <x v="1"/>
    <x v="489"/>
    <x v="486"/>
    <x v="8"/>
    <x v="7"/>
    <n v="1756.004737827951"/>
    <n v="12494.606899999997"/>
    <n v="-10738.602162172047"/>
    <n v="3485"/>
    <n v="-3.081377951842768"/>
  </r>
  <r>
    <x v="1"/>
    <x v="490"/>
    <x v="487"/>
    <x v="20"/>
    <x v="7"/>
    <n v="1622.8773906563968"/>
    <n v="1407.0048999999999"/>
    <n v="215.87249065639685"/>
    <n v="1491.84"/>
    <n v="0.14470217359528958"/>
  </r>
  <r>
    <x v="1"/>
    <x v="491"/>
    <x v="488"/>
    <x v="7"/>
    <x v="7"/>
    <n v="85.84190000000001"/>
    <n v="61.83"/>
    <n v="24.011900000000011"/>
    <n v="51.5"/>
    <n v="0.4662504854368934"/>
  </r>
  <r>
    <x v="1"/>
    <x v="492"/>
    <x v="489"/>
    <x v="12"/>
    <x v="7"/>
    <n v="557.88972068849625"/>
    <n v="205.20109999999997"/>
    <n v="352.68862068849626"/>
    <n v="131.6"/>
    <n v="2.680004716477935"/>
  </r>
  <r>
    <x v="1"/>
    <x v="493"/>
    <x v="490"/>
    <x v="12"/>
    <x v="7"/>
    <n v="700.53291146556967"/>
    <n v="396.71220000000005"/>
    <n v="303.82071146556962"/>
    <n v="161.4"/>
    <n v="1.8824083733926247"/>
  </r>
  <r>
    <x v="1"/>
    <x v="494"/>
    <x v="491"/>
    <x v="18"/>
    <x v="7"/>
    <n v="22.68"/>
    <n v="12.484999999999999"/>
    <n v="10.195"/>
    <n v="6.16"/>
    <n v="1.6550324675324675"/>
  </r>
  <r>
    <x v="1"/>
    <x v="495"/>
    <x v="492"/>
    <x v="22"/>
    <x v="7"/>
    <n v="106.49"/>
    <n v="79.168000000000006"/>
    <n v="27.321999999999989"/>
    <n v="59.88"/>
    <n v="0.45627922511690028"/>
  </r>
  <r>
    <x v="1"/>
    <x v="496"/>
    <x v="493"/>
    <x v="4"/>
    <x v="7"/>
    <n v="10.68"/>
    <n v="1.1200000000000001"/>
    <n v="9.5599999999999987"/>
    <n v="2.94"/>
    <n v="3.251700680272108"/>
  </r>
  <r>
    <x v="1"/>
    <x v="497"/>
    <x v="494"/>
    <x v="4"/>
    <x v="7"/>
    <n v="4.92"/>
    <n v="2"/>
    <n v="2.92"/>
    <n v="1.5"/>
    <n v="1.9466666666666665"/>
  </r>
  <r>
    <x v="1"/>
    <x v="498"/>
    <x v="495"/>
    <x v="4"/>
    <x v="7"/>
    <n v="1.44"/>
    <n v="0.56000000000000005"/>
    <n v="0.87999999999999989"/>
    <n v="2.8"/>
    <n v="0.31428571428571422"/>
  </r>
  <r>
    <x v="1"/>
    <x v="499"/>
    <x v="496"/>
    <x v="4"/>
    <x v="7"/>
    <n v="6.0339999999999998"/>
    <n v="2.64"/>
    <n v="3.3939999999999997"/>
    <n v="2.64"/>
    <n v="1.2856060606060604"/>
  </r>
  <r>
    <x v="1"/>
    <x v="500"/>
    <x v="497"/>
    <x v="4"/>
    <x v="7"/>
    <n v="1.5"/>
    <n v="0.6"/>
    <n v="0.9"/>
    <n v="1.5"/>
    <n v="0.6"/>
  </r>
  <r>
    <x v="1"/>
    <x v="501"/>
    <x v="498"/>
    <x v="4"/>
    <x v="7"/>
    <n v="86.037828864509294"/>
    <n v="34.769000000000013"/>
    <n v="51.268828864509281"/>
    <n v="22.68"/>
    <n v="2.2605303732146949"/>
  </r>
  <r>
    <x v="1"/>
    <x v="502"/>
    <x v="499"/>
    <x v="4"/>
    <x v="7"/>
    <n v="3.58"/>
    <n v="1.89"/>
    <n v="1.6900000000000002"/>
    <n v="0.74"/>
    <n v="2.2837837837837842"/>
  </r>
  <r>
    <x v="1"/>
    <x v="503"/>
    <x v="500"/>
    <x v="4"/>
    <x v="7"/>
    <n v="104.0856"/>
    <n v="70.14"/>
    <n v="33.945599999999999"/>
    <n v="52.22"/>
    <n v="0.65004978935273838"/>
  </r>
  <r>
    <x v="1"/>
    <x v="504"/>
    <x v="501"/>
    <x v="14"/>
    <x v="7"/>
    <n v="40.322200000000002"/>
    <n v="38.005200000000002"/>
    <n v="2.3170000000000002"/>
    <n v="6.33"/>
    <n v="0.36603475513428124"/>
  </r>
  <r>
    <x v="1"/>
    <x v="505"/>
    <x v="502"/>
    <x v="4"/>
    <x v="7"/>
    <n v="19.69377638282181"/>
    <n v="6.7695999999999987"/>
    <n v="12.924176382821811"/>
    <n v="5.29"/>
    <n v="2.4431335317243499"/>
  </r>
  <r>
    <x v="1"/>
    <x v="506"/>
    <x v="503"/>
    <x v="22"/>
    <x v="7"/>
    <n v="110.6354"/>
    <n v="98.022599999999997"/>
    <n v="12.612800000000007"/>
    <n v="99.1"/>
    <n v="0.12727346115035326"/>
  </r>
  <r>
    <x v="1"/>
    <x v="507"/>
    <x v="504"/>
    <x v="22"/>
    <x v="7"/>
    <n v="3534.6655829154624"/>
    <n v="3337.2749000000003"/>
    <n v="197.39068291546209"/>
    <n v="1016.79"/>
    <n v="0.1941312197360931"/>
  </r>
  <r>
    <x v="1"/>
    <x v="508"/>
    <x v="505"/>
    <x v="14"/>
    <x v="7"/>
    <n v="543.69350780781292"/>
    <n v="467.31160000000006"/>
    <n v="76.381907807812865"/>
    <n v="70.48"/>
    <n v="1.0837387600427477"/>
  </r>
  <r>
    <x v="1"/>
    <x v="509"/>
    <x v="506"/>
    <x v="15"/>
    <x v="7"/>
    <n v="231.09146225447427"/>
    <n v="229.4308"/>
    <n v="1.6606622544742606"/>
    <n v="155.69999999999999"/>
    <n v="1.0665781981209124E-2"/>
  </r>
  <r>
    <x v="1"/>
    <x v="510"/>
    <x v="507"/>
    <x v="15"/>
    <x v="7"/>
    <n v="66.991338674788182"/>
    <n v="42.910000000000004"/>
    <n v="24.081338674788178"/>
    <n v="36.78"/>
    <n v="0.65474004009755782"/>
  </r>
  <r>
    <x v="1"/>
    <x v="511"/>
    <x v="508"/>
    <x v="4"/>
    <x v="7"/>
    <n v="5.3599999999999994"/>
    <n v="1.4379999999999999"/>
    <n v="3.9219999999999997"/>
    <n v="2.0699999999999998"/>
    <n v="1.8946859903381639"/>
  </r>
  <r>
    <x v="1"/>
    <x v="512"/>
    <x v="509"/>
    <x v="4"/>
    <x v="7"/>
    <n v="12.71"/>
    <n v="4.4000000000000004"/>
    <n v="8.31"/>
    <n v="2.64"/>
    <n v="3.1477272727272729"/>
  </r>
  <r>
    <x v="1"/>
    <x v="513"/>
    <x v="510"/>
    <x v="4"/>
    <x v="7"/>
    <n v="9.3000000000000007"/>
    <n v="2.2799999999999998"/>
    <n v="7.0200000000000014"/>
    <n v="2.8"/>
    <n v="2.5071428571428576"/>
  </r>
  <r>
    <x v="1"/>
    <x v="514"/>
    <x v="511"/>
    <x v="9"/>
    <x v="7"/>
    <n v="39.498081501575776"/>
    <n v="19.255999999999997"/>
    <n v="20.242081501575779"/>
    <n v="8.0399999999999991"/>
    <n v="2.5176718285542012"/>
  </r>
  <r>
    <x v="1"/>
    <x v="515"/>
    <x v="512"/>
    <x v="4"/>
    <x v="7"/>
    <n v="142.22800000000004"/>
    <n v="78.733100000000007"/>
    <n v="63.49490000000003"/>
    <n v="55.22"/>
    <n v="1.1498533140166611"/>
  </r>
  <r>
    <x v="1"/>
    <x v="516"/>
    <x v="513"/>
    <x v="4"/>
    <x v="7"/>
    <n v="-1.1767528215449912"/>
    <n v="-"/>
    <n v="-1.1767528215449912"/>
    <n v="5.6"/>
    <n v="-0.21013443241874843"/>
  </r>
  <r>
    <x v="1"/>
    <x v="517"/>
    <x v="514"/>
    <x v="4"/>
    <x v="7"/>
    <n v="106.1848"/>
    <n v="70.0762"/>
    <n v="36.108599999999996"/>
    <n v="111.84"/>
    <n v="0.32285944206008577"/>
  </r>
  <r>
    <x v="1"/>
    <x v="518"/>
    <x v="515"/>
    <x v="4"/>
    <x v="7"/>
    <n v="18.375"/>
    <n v="10.016"/>
    <n v="8.359"/>
    <n v="20.02"/>
    <n v="0.41753246753246753"/>
  </r>
  <r>
    <x v="1"/>
    <x v="519"/>
    <x v="516"/>
    <x v="4"/>
    <x v="7"/>
    <n v="6806.1571999369489"/>
    <n v="3656.7134000000005"/>
    <n v="3149.4437999369484"/>
    <n v="1932.3"/>
    <n v="1.6298938052771041"/>
  </r>
  <r>
    <x v="1"/>
    <x v="520"/>
    <x v="517"/>
    <x v="4"/>
    <x v="7"/>
    <n v="1909.6787397006246"/>
    <n v="1310.3359000000005"/>
    <n v="599.34283970062415"/>
    <n v="902.88"/>
    <n v="0.66381228923071089"/>
  </r>
  <r>
    <x v="1"/>
    <x v="521"/>
    <x v="518"/>
    <x v="20"/>
    <x v="7"/>
    <n v="899.62720708076142"/>
    <n v="663.55120000000022"/>
    <n v="236.0760070807612"/>
    <n v="493.92"/>
    <n v="0.47796405709580747"/>
  </r>
  <r>
    <x v="1"/>
    <x v="522"/>
    <x v="519"/>
    <x v="4"/>
    <x v="7"/>
    <n v="325.15649999999999"/>
    <n v="260.2867"/>
    <n v="64.869799999999998"/>
    <n v="179.49"/>
    <n v="0.36141177781492001"/>
  </r>
  <r>
    <x v="1"/>
    <x v="523"/>
    <x v="520"/>
    <x v="4"/>
    <x v="7"/>
    <n v="188.74280794039603"/>
    <n v="113.57329999999999"/>
    <n v="75.169507940396045"/>
    <n v="68.7"/>
    <n v="1.0941704212575845"/>
  </r>
  <r>
    <x v="1"/>
    <x v="524"/>
    <x v="521"/>
    <x v="4"/>
    <x v="7"/>
    <n v="152.21799999999999"/>
    <n v="77.301000000000002"/>
    <n v="74.916999999999987"/>
    <n v="57.02"/>
    <n v="1.3138723254998244"/>
  </r>
  <r>
    <x v="1"/>
    <x v="525"/>
    <x v="522"/>
    <x v="4"/>
    <x v="7"/>
    <n v="1063.5575500000002"/>
    <n v="479.75970000000007"/>
    <n v="583.79785000000015"/>
    <n v="255.92"/>
    <n v="2.2811732181931861"/>
  </r>
  <r>
    <x v="1"/>
    <x v="526"/>
    <x v="523"/>
    <x v="4"/>
    <x v="7"/>
    <n v="496.91811939221986"/>
    <n v="298.02710000000002"/>
    <n v="198.89101939221985"/>
    <n v="153.05000000000001"/>
    <n v="1.299516624581639"/>
  </r>
  <r>
    <x v="1"/>
    <x v="527"/>
    <x v="524"/>
    <x v="4"/>
    <x v="7"/>
    <n v="42.322499999999998"/>
    <n v="20.350000000000001"/>
    <n v="21.972499999999997"/>
    <n v="60.66"/>
    <n v="0.36222387075502799"/>
  </r>
  <r>
    <x v="1"/>
    <x v="528"/>
    <x v="525"/>
    <x v="9"/>
    <x v="7"/>
    <n v="183.36056880709387"/>
    <n v="110.611"/>
    <n v="72.749568807093866"/>
    <n v="110.3"/>
    <n v="0.65956091393557448"/>
  </r>
  <r>
    <x v="1"/>
    <x v="529"/>
    <x v="526"/>
    <x v="4"/>
    <x v="7"/>
    <n v="97.971175859546449"/>
    <n v="59.863999999999997"/>
    <n v="38.107175859546452"/>
    <n v="89.79"/>
    <n v="0.42440333956505688"/>
  </r>
  <r>
    <x v="1"/>
    <x v="530"/>
    <x v="527"/>
    <x v="9"/>
    <x v="7"/>
    <n v="184.68"/>
    <n v="115.02199999999999"/>
    <n v="69.658000000000015"/>
    <n v="78.36"/>
    <n v="0.88894844308320597"/>
  </r>
  <r>
    <x v="1"/>
    <x v="531"/>
    <x v="528"/>
    <x v="4"/>
    <x v="7"/>
    <n v="4864.9061883240174"/>
    <n v="3119.2813999999998"/>
    <n v="1745.6247883240176"/>
    <n v="1374"/>
    <n v="1.270469278256199"/>
  </r>
  <r>
    <x v="1"/>
    <x v="532"/>
    <x v="529"/>
    <x v="16"/>
    <x v="7"/>
    <n v="31.94"/>
    <n v="29.934999999999999"/>
    <n v="2.0050000000000026"/>
    <n v="59.86"/>
    <n v="3.3494821249582404E-2"/>
  </r>
  <r>
    <x v="1"/>
    <x v="533"/>
    <x v="530"/>
    <x v="9"/>
    <x v="7"/>
    <n v="71.165400000000005"/>
    <n v="69.77"/>
    <n v="1.3954000000000093"/>
    <n v="139.54"/>
    <n v="1.0000000000000068E-2"/>
  </r>
  <r>
    <x v="1"/>
    <x v="534"/>
    <x v="531"/>
    <x v="9"/>
    <x v="7"/>
    <n v="91.537499999999994"/>
    <n v="62.018599999999999"/>
    <n v="29.518899999999995"/>
    <n v="186.03"/>
    <n v="0.15867817018760413"/>
  </r>
  <r>
    <x v="1"/>
    <x v="535"/>
    <x v="532"/>
    <x v="4"/>
    <x v="7"/>
    <n v="55.8874"/>
    <n v="39.94"/>
    <n v="15.947400000000002"/>
    <n v="57.27"/>
    <n v="0.27845992666317448"/>
  </r>
  <r>
    <x v="1"/>
    <x v="536"/>
    <x v="533"/>
    <x v="4"/>
    <x v="7"/>
    <n v="544.30690615195158"/>
    <n v="327.06940000000003"/>
    <n v="217.23750615195155"/>
    <n v="263.76"/>
    <n v="0.82361808519848179"/>
  </r>
  <r>
    <x v="1"/>
    <x v="537"/>
    <x v="534"/>
    <x v="4"/>
    <x v="7"/>
    <n v="93.697499999999991"/>
    <n v="58.224999999999994"/>
    <n v="35.472499999999997"/>
    <n v="88.47"/>
    <n v="0.40095512603142303"/>
  </r>
  <r>
    <x v="1"/>
    <x v="538"/>
    <x v="535"/>
    <x v="4"/>
    <x v="7"/>
    <n v="1246.6429169797227"/>
    <n v="853.81419999999991"/>
    <n v="392.8287169797228"/>
    <n v="319.32"/>
    <n v="1.2302039238999212"/>
  </r>
  <r>
    <x v="1"/>
    <x v="539"/>
    <x v="536"/>
    <x v="4"/>
    <x v="7"/>
    <n v="2420.0659000000001"/>
    <n v="1895.3226999999999"/>
    <n v="524.74320000000012"/>
    <n v="240.73"/>
    <n v="2.1797997756822998"/>
  </r>
  <r>
    <x v="1"/>
    <x v="540"/>
    <x v="537"/>
    <x v="4"/>
    <x v="7"/>
    <n v="6768.2017016570253"/>
    <n v="3463.5077999999994"/>
    <n v="3304.6939016570259"/>
    <n v="2249.6"/>
    <n v="1.4690140032259185"/>
  </r>
  <r>
    <x v="1"/>
    <x v="541"/>
    <x v="538"/>
    <x v="4"/>
    <x v="7"/>
    <n v="2294.9970586488453"/>
    <n v="1260.0018999999998"/>
    <n v="1034.9951586488455"/>
    <n v="829.98"/>
    <n v="1.247012167339991"/>
  </r>
  <r>
    <x v="1"/>
    <x v="542"/>
    <x v="539"/>
    <x v="9"/>
    <x v="7"/>
    <n v="191.25382881710837"/>
    <n v="124.7724"/>
    <n v="66.481428817108366"/>
    <n v="65.180000000000007"/>
    <n v="1.0199666894309352"/>
  </r>
  <r>
    <x v="1"/>
    <x v="543"/>
    <x v="540"/>
    <x v="12"/>
    <x v="7"/>
    <n v="871.25809484631668"/>
    <n v="575.36300000000006"/>
    <n v="295.89509484631662"/>
    <n v="240.1"/>
    <n v="1.2323827357197696"/>
  </r>
  <r>
    <x v="1"/>
    <x v="544"/>
    <x v="541"/>
    <x v="4"/>
    <x v="7"/>
    <n v="45.036999999999999"/>
    <n v="15.219999999999999"/>
    <n v="29.817"/>
    <n v="19.84"/>
    <n v="1.5028729838709678"/>
  </r>
  <r>
    <x v="1"/>
    <x v="545"/>
    <x v="542"/>
    <x v="4"/>
    <x v="7"/>
    <n v="17.79"/>
    <n v="10.574999999999999"/>
    <n v="7.2149999999999999"/>
    <n v="21.14"/>
    <n v="0.34129612109744556"/>
  </r>
  <r>
    <x v="1"/>
    <x v="546"/>
    <x v="543"/>
    <x v="4"/>
    <x v="7"/>
    <n v="102.44880000000002"/>
    <n v="47.155600000000007"/>
    <n v="55.293200000000013"/>
    <n v="81.75"/>
    <n v="0.67636941896024483"/>
  </r>
  <r>
    <x v="1"/>
    <x v="547"/>
    <x v="544"/>
    <x v="4"/>
    <x v="7"/>
    <n v="116.32"/>
    <n v="60.552599999999998"/>
    <n v="55.767399999999995"/>
    <n v="42.62"/>
    <n v="1.3084795870483341"/>
  </r>
  <r>
    <x v="1"/>
    <x v="548"/>
    <x v="545"/>
    <x v="4"/>
    <x v="7"/>
    <n v="64.114798820048435"/>
    <n v="28.152999999999999"/>
    <n v="35.961798820048436"/>
    <n v="42.54"/>
    <n v="0.84536433521505494"/>
  </r>
  <r>
    <x v="1"/>
    <x v="549"/>
    <x v="546"/>
    <x v="9"/>
    <x v="7"/>
    <n v="70.369"/>
    <n v="46.945999999999998"/>
    <n v="23.423000000000002"/>
    <n v="20.3"/>
    <n v="1.1538423645320197"/>
  </r>
  <r>
    <x v="1"/>
    <x v="550"/>
    <x v="547"/>
    <x v="9"/>
    <x v="7"/>
    <n v="21.020999999999997"/>
    <n v="8.9952000000000005"/>
    <n v="12.025799999999997"/>
    <n v="5.9"/>
    <n v="2.0382711864406775"/>
  </r>
  <r>
    <x v="1"/>
    <x v="551"/>
    <x v="548"/>
    <x v="4"/>
    <x v="7"/>
    <n v="5.0839999999999996"/>
    <n v="1.4742"/>
    <n v="3.6097999999999999"/>
    <n v="2.2200000000000002"/>
    <n v="1.6260360360360362"/>
  </r>
  <r>
    <x v="1"/>
    <x v="552"/>
    <x v="549"/>
    <x v="4"/>
    <x v="7"/>
    <n v="125.19320426376586"/>
    <n v="55.863799999999991"/>
    <n v="69.329404263765866"/>
    <n v="39.68"/>
    <n v="1.7472128090666801"/>
  </r>
  <r>
    <x v="1"/>
    <x v="553"/>
    <x v="550"/>
    <x v="4"/>
    <x v="7"/>
    <n v="91.727720631758245"/>
    <n v="12.229700000000001"/>
    <n v="79.498020631758237"/>
    <n v="17.399999999999999"/>
    <n v="4.5688517604458765"/>
  </r>
  <r>
    <x v="1"/>
    <x v="554"/>
    <x v="551"/>
    <x v="4"/>
    <x v="7"/>
    <n v="0"/>
    <n v="0"/>
    <n v="0"/>
    <n v="47.34"/>
    <n v="0"/>
  </r>
  <r>
    <x v="1"/>
    <x v="555"/>
    <x v="552"/>
    <x v="4"/>
    <x v="7"/>
    <n v="26.61"/>
    <n v="14.36"/>
    <n v="12.25"/>
    <n v="28.72"/>
    <n v="0.42653203342618384"/>
  </r>
  <r>
    <x v="1"/>
    <x v="556"/>
    <x v="553"/>
    <x v="4"/>
    <x v="7"/>
    <n v="64.844999999999999"/>
    <n v="25.696600000000004"/>
    <n v="39.148399999999995"/>
    <n v="11.65"/>
    <n v="3.360377682403433"/>
  </r>
  <r>
    <x v="1"/>
    <x v="557"/>
    <x v="554"/>
    <x v="4"/>
    <x v="7"/>
    <n v="1148.8288015250437"/>
    <n v="490.22829999999993"/>
    <n v="658.60050152504368"/>
    <n v="257.25"/>
    <n v="2.5601574403305878"/>
  </r>
  <r>
    <x v="1"/>
    <x v="558"/>
    <x v="555"/>
    <x v="4"/>
    <x v="7"/>
    <n v="1348.2506654845372"/>
    <n v="708.71129999999982"/>
    <n v="639.53936548453737"/>
    <n v="388.44"/>
    <n v="1.6464302478749291"/>
  </r>
  <r>
    <x v="1"/>
    <x v="559"/>
    <x v="556"/>
    <x v="4"/>
    <x v="7"/>
    <n v="458.56642955550427"/>
    <n v="222.29470000000001"/>
    <n v="236.27172955550427"/>
    <n v="126.4"/>
    <n v="1.8692383667365844"/>
  </r>
  <r>
    <x v="1"/>
    <x v="560"/>
    <x v="557"/>
    <x v="4"/>
    <x v="7"/>
    <n v="210.32673650782581"/>
    <n v="132.51049999999998"/>
    <n v="77.816236507825835"/>
    <n v="99.36"/>
    <n v="0.783174683049777"/>
  </r>
  <r>
    <x v="1"/>
    <x v="561"/>
    <x v="558"/>
    <x v="4"/>
    <x v="7"/>
    <n v="54.075000000000003"/>
    <n v="25.886699999999998"/>
    <n v="28.188300000000005"/>
    <n v="29.19"/>
    <n v="0.96568345323741023"/>
  </r>
  <r>
    <x v="1"/>
    <x v="562"/>
    <x v="559"/>
    <x v="4"/>
    <x v="7"/>
    <n v="394.66369380731436"/>
    <n v="194.53940000000011"/>
    <n v="200.12429380731425"/>
    <n v="79.56"/>
    <n v="2.5153883082870063"/>
  </r>
  <r>
    <x v="1"/>
    <x v="563"/>
    <x v="560"/>
    <x v="12"/>
    <x v="7"/>
    <n v="607.83938454892586"/>
    <n v="380.71540000000005"/>
    <n v="227.12398454892582"/>
    <n v="226.6"/>
    <n v="1.002312376650158"/>
  </r>
  <r>
    <x v="1"/>
    <x v="564"/>
    <x v="561"/>
    <x v="4"/>
    <x v="7"/>
    <n v="51.356999999999999"/>
    <n v="24.849999999999998"/>
    <n v="26.507000000000001"/>
    <n v="17.75"/>
    <n v="1.4933521126760565"/>
  </r>
  <r>
    <x v="1"/>
    <x v="565"/>
    <x v="562"/>
    <x v="4"/>
    <x v="7"/>
    <n v="90.902110835029589"/>
    <n v="70.063500000000005"/>
    <n v="20.838610835029584"/>
    <n v="100.97"/>
    <n v="0.2063841817869623"/>
  </r>
  <r>
    <x v="1"/>
    <x v="566"/>
    <x v="563"/>
    <x v="4"/>
    <x v="7"/>
    <n v="41.772351003273428"/>
    <n v="22.096"/>
    <n v="19.676351003273428"/>
    <n v="49.68"/>
    <n v="0.39606181568585813"/>
  </r>
  <r>
    <x v="1"/>
    <x v="567"/>
    <x v="564"/>
    <x v="12"/>
    <x v="7"/>
    <n v="37.825186683255744"/>
    <n v="18.466799999999999"/>
    <n v="19.358386683255745"/>
    <n v="32.06"/>
    <n v="0.60381742617765888"/>
  </r>
  <r>
    <x v="1"/>
    <x v="568"/>
    <x v="565"/>
    <x v="4"/>
    <x v="7"/>
    <n v="10930.705126868748"/>
    <n v="3993.8365999999992"/>
    <n v="6936.8685268687495"/>
    <n v="1800.96"/>
    <n v="3.8517615754201922"/>
  </r>
  <r>
    <x v="1"/>
    <x v="569"/>
    <x v="566"/>
    <x v="9"/>
    <x v="7"/>
    <n v="141.42183323843653"/>
    <n v="90.940399999999997"/>
    <n v="50.481433238436537"/>
    <n v="90.92"/>
    <n v="0.55522913812622676"/>
  </r>
  <r>
    <x v="1"/>
    <x v="570"/>
    <x v="567"/>
    <x v="9"/>
    <x v="7"/>
    <n v="24.862746508356498"/>
    <n v="17.579999999999998"/>
    <n v="7.2827465083564995"/>
    <n v="35.159999999999997"/>
    <n v="0.20713158442424631"/>
  </r>
  <r>
    <x v="1"/>
    <x v="571"/>
    <x v="568"/>
    <x v="4"/>
    <x v="7"/>
    <n v="187.42490428915934"/>
    <n v="83.7864"/>
    <n v="103.63850428915934"/>
    <n v="94.6"/>
    <n v="1.095544442802953"/>
  </r>
  <r>
    <x v="1"/>
    <x v="572"/>
    <x v="569"/>
    <x v="4"/>
    <x v="7"/>
    <n v="12133.751127326121"/>
    <n v="5625.0936999999994"/>
    <n v="6508.6574273261213"/>
    <n v="2049"/>
    <n v="3.176504356918556"/>
  </r>
  <r>
    <x v="1"/>
    <x v="573"/>
    <x v="570"/>
    <x v="4"/>
    <x v="7"/>
    <n v="537.18684301501958"/>
    <n v="354.10660000000001"/>
    <n v="183.08024301501956"/>
    <n v="158.58000000000001"/>
    <n v="1.154497685805395"/>
  </r>
  <r>
    <x v="1"/>
    <x v="574"/>
    <x v="571"/>
    <x v="9"/>
    <x v="7"/>
    <n v="52.094000000000001"/>
    <n v="26.38"/>
    <n v="25.714000000000002"/>
    <n v="77.44"/>
    <n v="0.33205061983471079"/>
  </r>
  <r>
    <x v="1"/>
    <x v="575"/>
    <x v="572"/>
    <x v="9"/>
    <x v="7"/>
    <n v="260.5496647382476"/>
    <n v="163.55400000000003"/>
    <n v="96.995664738247569"/>
    <n v="96.24"/>
    <n v="1.0078518779950911"/>
  </r>
  <r>
    <x v="1"/>
    <x v="576"/>
    <x v="573"/>
    <x v="4"/>
    <x v="7"/>
    <n v="708.42955574040082"/>
    <n v="530.54570000000001"/>
    <n v="177.8838557404008"/>
    <n v="334.56"/>
    <n v="0.53169492987924682"/>
  </r>
  <r>
    <x v="1"/>
    <x v="577"/>
    <x v="574"/>
    <x v="4"/>
    <x v="7"/>
    <n v="57.078000000000003"/>
    <n v="32.713000000000001"/>
    <n v="24.365000000000002"/>
    <n v="20.16"/>
    <n v="1.2085813492063493"/>
  </r>
  <r>
    <x v="1"/>
    <x v="578"/>
    <x v="575"/>
    <x v="4"/>
    <x v="7"/>
    <n v="49.951999999999998"/>
    <n v="17.632000000000001"/>
    <n v="32.319999999999993"/>
    <n v="61.67"/>
    <n v="0.52407977947137985"/>
  </r>
  <r>
    <x v="1"/>
    <x v="579"/>
    <x v="576"/>
    <x v="12"/>
    <x v="7"/>
    <n v="135.11338981607631"/>
    <n v="53.913600000000002"/>
    <n v="81.199789816076304"/>
    <n v="15.92"/>
    <n v="5.1004893100550444"/>
  </r>
  <r>
    <x v="1"/>
    <x v="580"/>
    <x v="577"/>
    <x v="4"/>
    <x v="7"/>
    <n v="15.217600000000001"/>
    <n v="9.936399999999999"/>
    <n v="5.2812000000000019"/>
    <n v="27.28"/>
    <n v="0.19359237536656898"/>
  </r>
  <r>
    <x v="1"/>
    <x v="581"/>
    <x v="578"/>
    <x v="9"/>
    <x v="7"/>
    <n v="102.91211089834584"/>
    <n v="64.174000000000007"/>
    <n v="38.738110898345838"/>
    <n v="61.6"/>
    <n v="0.62886543666145833"/>
  </r>
  <r>
    <x v="1"/>
    <x v="582"/>
    <x v="579"/>
    <x v="9"/>
    <x v="7"/>
    <n v="35.6706"/>
    <n v="21.462"/>
    <n v="14.208600000000001"/>
    <n v="39.270000000000003"/>
    <n v="0.36181818181818187"/>
  </r>
  <r>
    <x v="1"/>
    <x v="583"/>
    <x v="580"/>
    <x v="9"/>
    <x v="7"/>
    <n v="33.598799999999997"/>
    <n v="20.14"/>
    <n v="13.458799999999997"/>
    <n v="14.94"/>
    <n v="0.90085676037483242"/>
  </r>
  <r>
    <x v="1"/>
    <x v="584"/>
    <x v="581"/>
    <x v="23"/>
    <x v="7"/>
    <n v="1.4102000000000001"/>
    <n v="1.3825000000000001"/>
    <n v="2.7700000000000058E-2"/>
    <n v="16.559999999999999"/>
    <n v="1.6727053140096655E-3"/>
  </r>
  <r>
    <x v="1"/>
    <x v="585"/>
    <x v="582"/>
    <x v="4"/>
    <x v="7"/>
    <n v="113.72800000000001"/>
    <n v="61.956400000000002"/>
    <n v="51.771600000000007"/>
    <n v="19.84"/>
    <n v="2.6094556451612907"/>
  </r>
  <r>
    <x v="1"/>
    <x v="586"/>
    <x v="583"/>
    <x v="4"/>
    <x v="7"/>
    <n v="140.24006737538431"/>
    <n v="61.186199999999999"/>
    <n v="79.053867375384314"/>
    <n v="39.380000000000003"/>
    <n v="2.0074623508223541"/>
  </r>
  <r>
    <x v="1"/>
    <x v="587"/>
    <x v="584"/>
    <x v="4"/>
    <x v="7"/>
    <n v="392.8184"/>
    <n v="203.80819999999997"/>
    <n v="189.01020000000003"/>
    <n v="123.2"/>
    <n v="1.5341737012987016"/>
  </r>
  <r>
    <x v="1"/>
    <x v="588"/>
    <x v="585"/>
    <x v="4"/>
    <x v="7"/>
    <n v="3780.3420595912212"/>
    <n v="1426.5793999999999"/>
    <n v="2353.7626595912216"/>
    <n v="416"/>
    <n v="5.6580833163250519"/>
  </r>
  <r>
    <x v="1"/>
    <x v="589"/>
    <x v="586"/>
    <x v="4"/>
    <x v="7"/>
    <n v="1849.1030724746986"/>
    <n v="773.95220000000006"/>
    <n v="1075.1508724746986"/>
    <n v="457.6"/>
    <n v="2.3495429905478553"/>
  </r>
  <r>
    <x v="1"/>
    <x v="590"/>
    <x v="587"/>
    <x v="4"/>
    <x v="7"/>
    <n v="1133.619936916399"/>
    <n v="473.29660000000013"/>
    <n v="660.32333691639883"/>
    <n v="251.34"/>
    <n v="2.6272114940574478"/>
  </r>
  <r>
    <x v="1"/>
    <x v="591"/>
    <x v="588"/>
    <x v="4"/>
    <x v="7"/>
    <n v="473.45690183964336"/>
    <n v="194.70629999999997"/>
    <n v="278.75060183964342"/>
    <n v="82.41"/>
    <n v="3.3824851576221748"/>
  </r>
  <r>
    <x v="1"/>
    <x v="592"/>
    <x v="589"/>
    <x v="9"/>
    <x v="7"/>
    <n v="70.514363106873574"/>
    <n v="48.854799999999997"/>
    <n v="21.659563106873577"/>
    <n v="26.48"/>
    <n v="0.81795933183057312"/>
  </r>
  <r>
    <x v="1"/>
    <x v="593"/>
    <x v="590"/>
    <x v="9"/>
    <x v="7"/>
    <n v="101.70750733633862"/>
    <n v="45.030300000000004"/>
    <n v="56.677207336338618"/>
    <n v="13.08"/>
    <n v="4.3331198269372031"/>
  </r>
  <r>
    <x v="1"/>
    <x v="594"/>
    <x v="591"/>
    <x v="9"/>
    <x v="7"/>
    <n v="181.05359999999999"/>
    <n v="0.56020000000000003"/>
    <n v="180.49339999999998"/>
    <n v="6.6"/>
    <n v="27.347484848484843"/>
  </r>
  <r>
    <x v="1"/>
    <x v="595"/>
    <x v="592"/>
    <x v="4"/>
    <x v="7"/>
    <n v="225.15670072629263"/>
    <n v="122.5288"/>
    <n v="102.62790072629262"/>
    <n v="214.41"/>
    <n v="0.4786525848901293"/>
  </r>
  <r>
    <x v="1"/>
    <x v="596"/>
    <x v="593"/>
    <x v="4"/>
    <x v="7"/>
    <n v="281.05"/>
    <n v="189.39"/>
    <n v="91.660000000000025"/>
    <n v="55.62"/>
    <n v="1.6479683567062213"/>
  </r>
  <r>
    <x v="1"/>
    <x v="597"/>
    <x v="594"/>
    <x v="9"/>
    <x v="7"/>
    <n v="76.155000000000001"/>
    <n v="30.006499999999999"/>
    <n v="46.148499999999999"/>
    <n v="120"/>
    <n v="0.38457083333333331"/>
  </r>
  <r>
    <x v="1"/>
    <x v="598"/>
    <x v="595"/>
    <x v="23"/>
    <x v="7"/>
    <n v="62.4375"/>
    <n v="30.503299999999999"/>
    <n v="31.934200000000001"/>
    <n v="30.5"/>
    <n v="1.0470229508196722"/>
  </r>
  <r>
    <x v="1"/>
    <x v="599"/>
    <x v="596"/>
    <x v="4"/>
    <x v="7"/>
    <n v="227.78640000000001"/>
    <n v="134.13720000000001"/>
    <n v="93.649200000000008"/>
    <n v="111.65"/>
    <n v="0.83877474249888051"/>
  </r>
  <r>
    <x v="1"/>
    <x v="600"/>
    <x v="597"/>
    <x v="4"/>
    <x v="7"/>
    <n v="205.13536157920078"/>
    <n v="125.61949999999999"/>
    <n v="79.515861579200788"/>
    <n v="125.6"/>
    <n v="0.63308806989809541"/>
  </r>
  <r>
    <x v="1"/>
    <x v="601"/>
    <x v="598"/>
    <x v="4"/>
    <x v="7"/>
    <n v="117.536874020384"/>
    <n v="52.229799999999997"/>
    <n v="65.307074020384007"/>
    <n v="73.53"/>
    <n v="0.88816910132441185"/>
  </r>
  <r>
    <x v="1"/>
    <x v="602"/>
    <x v="599"/>
    <x v="4"/>
    <x v="7"/>
    <n v="211.048"/>
    <n v="18.7029"/>
    <n v="192.3451"/>
    <n v="24.92"/>
    <n v="7.718503210272873"/>
  </r>
  <r>
    <x v="1"/>
    <x v="603"/>
    <x v="600"/>
    <x v="4"/>
    <x v="7"/>
    <n v="160.38074999999998"/>
    <n v="116.23990000000001"/>
    <n v="44.140849999999972"/>
    <n v="174.57"/>
    <n v="0.25285472876210102"/>
  </r>
  <r>
    <x v="1"/>
    <x v="604"/>
    <x v="601"/>
    <x v="4"/>
    <x v="7"/>
    <n v="157.12469999999999"/>
    <n v="84.747799999999998"/>
    <n v="72.376899999999992"/>
    <n v="107.04"/>
    <n v="0.67616685351270545"/>
  </r>
  <r>
    <x v="1"/>
    <x v="605"/>
    <x v="602"/>
    <x v="4"/>
    <x v="7"/>
    <n v="0"/>
    <n v="0"/>
    <n v="0"/>
    <n v="39.4"/>
    <n v="0"/>
  </r>
  <r>
    <x v="1"/>
    <x v="606"/>
    <x v="603"/>
    <x v="4"/>
    <x v="7"/>
    <n v="59.337135154835138"/>
    <n v="41.93"/>
    <n v="17.407135154835139"/>
    <n v="42.69"/>
    <n v="0.40775673822523167"/>
  </r>
  <r>
    <x v="1"/>
    <x v="607"/>
    <x v="604"/>
    <x v="4"/>
    <x v="7"/>
    <n v="924.69365083083028"/>
    <n v="431.04090000000002"/>
    <n v="493.65275083083026"/>
    <n v="167.5"/>
    <n v="2.9471806019751061"/>
  </r>
  <r>
    <x v="1"/>
    <x v="608"/>
    <x v="605"/>
    <x v="4"/>
    <x v="7"/>
    <n v="41.846999999999994"/>
    <n v="24.009999999999998"/>
    <n v="17.836999999999996"/>
    <n v="28.8"/>
    <n v="0.61934027777777767"/>
  </r>
  <r>
    <x v="1"/>
    <x v="609"/>
    <x v="606"/>
    <x v="4"/>
    <x v="7"/>
    <n v="32.902500000000003"/>
    <n v="15.22"/>
    <n v="17.682500000000005"/>
    <n v="60.88"/>
    <n v="0.29044842312746394"/>
  </r>
  <r>
    <x v="1"/>
    <x v="610"/>
    <x v="607"/>
    <x v="4"/>
    <x v="7"/>
    <n v="139.83169999999998"/>
    <n v="69.610100000000003"/>
    <n v="70.221599999999981"/>
    <n v="77.2"/>
    <n v="0.90960621761658"/>
  </r>
  <r>
    <x v="1"/>
    <x v="611"/>
    <x v="608"/>
    <x v="12"/>
    <x v="7"/>
    <n v="34.965000000000003"/>
    <n v="13.324999999999999"/>
    <n v="21.640000000000004"/>
    <n v="10.64"/>
    <n v="2.0338345864661656"/>
  </r>
  <r>
    <x v="1"/>
    <x v="612"/>
    <x v="609"/>
    <x v="4"/>
    <x v="7"/>
    <n v="20.205000000000002"/>
    <n v="12.7248"/>
    <n v="7.4802000000000017"/>
    <n v="21.55"/>
    <n v="0.34710904872389803"/>
  </r>
  <r>
    <x v="1"/>
    <x v="613"/>
    <x v="610"/>
    <x v="4"/>
    <x v="7"/>
    <n v="505.00156646603421"/>
    <n v="203.02999999999992"/>
    <n v="301.97156646603429"/>
    <n v="130.4"/>
    <n v="2.3157328716720427"/>
  </r>
  <r>
    <x v="1"/>
    <x v="614"/>
    <x v="611"/>
    <x v="4"/>
    <x v="7"/>
    <n v="207.09322876774743"/>
    <n v="90.038499999999999"/>
    <n v="117.05472876774743"/>
    <n v="42.13"/>
    <n v="2.7784174879598251"/>
  </r>
  <r>
    <x v="1"/>
    <x v="615"/>
    <x v="612"/>
    <x v="9"/>
    <x v="7"/>
    <n v="33.649000000000001"/>
    <n v="24.24"/>
    <n v="9.4090000000000025"/>
    <n v="12.92"/>
    <n v="0.72825077399380822"/>
  </r>
  <r>
    <x v="1"/>
    <x v="616"/>
    <x v="613"/>
    <x v="9"/>
    <x v="7"/>
    <n v="60.614999999999995"/>
    <n v="42.605000000000004"/>
    <n v="18.009999999999991"/>
    <n v="21.6"/>
    <n v="0.83379629629629581"/>
  </r>
  <r>
    <x v="1"/>
    <x v="617"/>
    <x v="614"/>
    <x v="9"/>
    <x v="7"/>
    <n v="21.609123149958112"/>
    <n v="12.099"/>
    <n v="9.5101231499581118"/>
    <n v="6.72"/>
    <n v="1.4151968973151952"/>
  </r>
  <r>
    <x v="1"/>
    <x v="618"/>
    <x v="615"/>
    <x v="9"/>
    <x v="7"/>
    <n v="474.677249625005"/>
    <n v="173.82810000000003"/>
    <n v="300.849149625005"/>
    <n v="92.82"/>
    <n v="3.2412104031997955"/>
  </r>
  <r>
    <x v="1"/>
    <x v="619"/>
    <x v="616"/>
    <x v="9"/>
    <x v="7"/>
    <n v="12.22935"/>
    <n v="6.6813000000000002"/>
    <n v="5.5480499999999999"/>
    <n v="6.66"/>
    <n v="0.83304054054054055"/>
  </r>
  <r>
    <x v="1"/>
    <x v="620"/>
    <x v="617"/>
    <x v="12"/>
    <x v="7"/>
    <n v="18.819400000000002"/>
    <n v="10.274000000000001"/>
    <n v="8.5454000000000008"/>
    <n v="10.26"/>
    <n v="0.83288499025341145"/>
  </r>
  <r>
    <x v="1"/>
    <x v="621"/>
    <x v="618"/>
    <x v="4"/>
    <x v="7"/>
    <n v="114.81291703220749"/>
    <n v="43.242800000000003"/>
    <n v="71.570117032207492"/>
    <n v="36.64"/>
    <n v="1.9533328884336105"/>
  </r>
  <r>
    <x v="1"/>
    <x v="622"/>
    <x v="619"/>
    <x v="9"/>
    <x v="7"/>
    <n v="139.60829241050683"/>
    <n v="82.443099999999987"/>
    <n v="57.165192410506847"/>
    <n v="51.66"/>
    <n v="1.1065658616048557"/>
  </r>
  <r>
    <x v="1"/>
    <x v="623"/>
    <x v="620"/>
    <x v="4"/>
    <x v="7"/>
    <n v="809.31662235134934"/>
    <n v="325.02050000000003"/>
    <n v="484.29612235134931"/>
    <n v="164.8"/>
    <n v="2.9386900628115855"/>
  </r>
  <r>
    <x v="1"/>
    <x v="624"/>
    <x v="621"/>
    <x v="4"/>
    <x v="7"/>
    <n v="404.61726809546849"/>
    <n v="145.4914"/>
    <n v="259.12586809546849"/>
    <n v="39.380000000000003"/>
    <n v="6.5801388546335318"/>
  </r>
  <r>
    <x v="1"/>
    <x v="625"/>
    <x v="622"/>
    <x v="4"/>
    <x v="7"/>
    <n v="27.06764692730097"/>
    <n v="13.5318"/>
    <n v="13.53584692730097"/>
    <n v="6.72"/>
    <n v="2.0142629356102635"/>
  </r>
  <r>
    <x v="1"/>
    <x v="626"/>
    <x v="623"/>
    <x v="12"/>
    <x v="7"/>
    <n v="51.604950000000002"/>
    <n v="22.4221"/>
    <n v="29.182850000000002"/>
    <n v="16.8"/>
    <n v="1.7370744047619049"/>
  </r>
  <r>
    <x v="1"/>
    <x v="627"/>
    <x v="624"/>
    <x v="4"/>
    <x v="7"/>
    <n v="624.24619357354368"/>
    <n v="213.19840000000005"/>
    <n v="411.04779357354363"/>
    <n v="84.6"/>
    <n v="4.8587209642262845"/>
  </r>
  <r>
    <x v="1"/>
    <x v="628"/>
    <x v="625"/>
    <x v="4"/>
    <x v="7"/>
    <n v="7548.4284132668627"/>
    <n v="3378.0225000000019"/>
    <n v="4170.4059132668608"/>
    <n v="1297.92"/>
    <n v="3.2131455815973715"/>
  </r>
  <r>
    <x v="1"/>
    <x v="629"/>
    <x v="626"/>
    <x v="9"/>
    <x v="7"/>
    <n v="38.46779999999999"/>
    <n v="24.98"/>
    <n v="13.487799999999989"/>
    <n v="49.96"/>
    <n v="0.26997197758206543"/>
  </r>
  <r>
    <x v="1"/>
    <x v="630"/>
    <x v="627"/>
    <x v="9"/>
    <x v="7"/>
    <n v="140.9529"/>
    <n v="75.484899999999996"/>
    <n v="65.468000000000004"/>
    <n v="69.84"/>
    <n v="0.93739977090492554"/>
  </r>
  <r>
    <x v="1"/>
    <x v="631"/>
    <x v="628"/>
    <x v="9"/>
    <x v="7"/>
    <n v="8.4109999999999978"/>
    <n v="2.9819999999999998"/>
    <n v="5.4289999999999985"/>
    <n v="6.93"/>
    <n v="0.78340548340548322"/>
  </r>
  <r>
    <x v="1"/>
    <x v="632"/>
    <x v="629"/>
    <x v="4"/>
    <x v="7"/>
    <n v="164.55389999999997"/>
    <n v="80.793900000000008"/>
    <n v="83.759999999999962"/>
    <n v="44.22"/>
    <n v="1.8941655359565797"/>
  </r>
  <r>
    <x v="1"/>
    <x v="633"/>
    <x v="630"/>
    <x v="4"/>
    <x v="7"/>
    <n v="574.19752738280124"/>
    <n v="294.86890000000005"/>
    <n v="279.32862738280119"/>
    <n v="180"/>
    <n v="1.5518257076822288"/>
  </r>
  <r>
    <x v="1"/>
    <x v="634"/>
    <x v="631"/>
    <x v="12"/>
    <x v="7"/>
    <n v="11.417200000000001"/>
    <n v="3.6840000000000002"/>
    <n v="7.733200000000001"/>
    <n v="5.46"/>
    <n v="1.4163369963369965"/>
  </r>
  <r>
    <x v="1"/>
    <x v="635"/>
    <x v="632"/>
    <x v="4"/>
    <x v="7"/>
    <n v="402.10986215779729"/>
    <n v="230.03089999999995"/>
    <n v="172.07896215779735"/>
    <n v="154.16"/>
    <n v="1.1162361323157586"/>
  </r>
  <r>
    <x v="1"/>
    <x v="636"/>
    <x v="633"/>
    <x v="4"/>
    <x v="7"/>
    <n v="58.8339"/>
    <n v="27.432300000000001"/>
    <n v="31.401599999999998"/>
    <n v="14.72"/>
    <n v="2.1332608695652171"/>
  </r>
  <r>
    <x v="1"/>
    <x v="637"/>
    <x v="634"/>
    <x v="11"/>
    <x v="7"/>
    <n v="3.24"/>
    <n v="1.5009999999999999"/>
    <n v="1.7390000000000003"/>
    <n v="4.5"/>
    <n v="0.38644444444444453"/>
  </r>
  <r>
    <x v="1"/>
    <x v="638"/>
    <x v="635"/>
    <x v="4"/>
    <x v="7"/>
    <n v="25.568000000000001"/>
    <n v="11.898"/>
    <n v="13.670000000000002"/>
    <n v="10.56"/>
    <n v="1.2945075757575759"/>
  </r>
  <r>
    <x v="1"/>
    <x v="639"/>
    <x v="636"/>
    <x v="4"/>
    <x v="7"/>
    <n v="42.954604166565076"/>
    <n v="27.749300000000002"/>
    <n v="15.205304166565075"/>
    <n v="30.1"/>
    <n v="0.50515960686262706"/>
  </r>
  <r>
    <x v="1"/>
    <x v="640"/>
    <x v="637"/>
    <x v="4"/>
    <x v="7"/>
    <n v="18.917099547965847"/>
    <n v="5.3"/>
    <n v="13.617099547965847"/>
    <n v="45.08"/>
    <n v="0.30206520736392739"/>
  </r>
  <r>
    <x v="1"/>
    <x v="641"/>
    <x v="638"/>
    <x v="9"/>
    <x v="7"/>
    <n v="30.623249999999999"/>
    <n v="21.67"/>
    <n v="8.953249999999997"/>
    <n v="47.85"/>
    <n v="0.18711076280041794"/>
  </r>
  <r>
    <x v="1"/>
    <x v="642"/>
    <x v="639"/>
    <x v="4"/>
    <x v="7"/>
    <n v="256.33826556373157"/>
    <n v="85.354500000000002"/>
    <n v="170.98376556373157"/>
    <n v="52.08"/>
    <n v="3.2830984171223414"/>
  </r>
  <r>
    <x v="1"/>
    <x v="643"/>
    <x v="640"/>
    <x v="4"/>
    <x v="7"/>
    <n v="358.63304226011803"/>
    <n v="166.49770000000001"/>
    <n v="192.13534226011802"/>
    <n v="82.95"/>
    <n v="2.3162789904776133"/>
  </r>
  <r>
    <x v="1"/>
    <x v="644"/>
    <x v="641"/>
    <x v="4"/>
    <x v="7"/>
    <n v="183.00349999999997"/>
    <n v="71.69"/>
    <n v="111.31349999999998"/>
    <n v="23.88"/>
    <n v="4.6613693467336672"/>
  </r>
  <r>
    <x v="1"/>
    <x v="645"/>
    <x v="642"/>
    <x v="9"/>
    <x v="7"/>
    <n v="77.518799999999999"/>
    <n v="22.9603"/>
    <n v="54.558499999999995"/>
    <n v="12.46"/>
    <n v="4.3786918138041724"/>
  </r>
  <r>
    <x v="1"/>
    <x v="646"/>
    <x v="643"/>
    <x v="4"/>
    <x v="7"/>
    <n v="195.29515303580962"/>
    <n v="82.239200000000011"/>
    <n v="113.05595303580961"/>
    <n v="34.200000000000003"/>
    <n v="3.305729620930105"/>
  </r>
  <r>
    <x v="1"/>
    <x v="647"/>
    <x v="644"/>
    <x v="4"/>
    <x v="7"/>
    <n v="90.014799999999994"/>
    <n v="39.664200000000001"/>
    <n v="50.350599999999993"/>
    <n v="31.36"/>
    <n v="1.6055676020408161"/>
  </r>
  <r>
    <x v="1"/>
    <x v="648"/>
    <x v="645"/>
    <x v="9"/>
    <x v="7"/>
    <n v="818.94624765162712"/>
    <n v="392.43069999999994"/>
    <n v="426.51554765162717"/>
    <n v="314"/>
    <n v="1.3583297695911694"/>
  </r>
  <r>
    <x v="1"/>
    <x v="649"/>
    <x v="646"/>
    <x v="4"/>
    <x v="7"/>
    <n v="582.16180663081491"/>
    <n v="249.64339999999996"/>
    <n v="332.51840663081498"/>
    <n v="112.8"/>
    <n v="2.9478582148121895"/>
  </r>
  <r>
    <x v="1"/>
    <x v="650"/>
    <x v="647"/>
    <x v="4"/>
    <x v="7"/>
    <n v="22.86"/>
    <n v="14.763999999999999"/>
    <n v="8.0960000000000001"/>
    <n v="14.76"/>
    <n v="0.54850948509485098"/>
  </r>
  <r>
    <x v="1"/>
    <x v="651"/>
    <x v="648"/>
    <x v="4"/>
    <x v="7"/>
    <n v="45.068205951483598"/>
    <n v="28.357399999999998"/>
    <n v="16.7108059514836"/>
    <n v="23.94"/>
    <n v="0.69802865294417715"/>
  </r>
  <r>
    <x v="1"/>
    <x v="652"/>
    <x v="649"/>
    <x v="4"/>
    <x v="7"/>
    <n v="75.397004231746067"/>
    <n v="17.070899999999998"/>
    <n v="58.326104231746072"/>
    <n v="11.16"/>
    <n v="5.2263534257836985"/>
  </r>
  <r>
    <x v="1"/>
    <x v="653"/>
    <x v="650"/>
    <x v="12"/>
    <x v="7"/>
    <n v="34.655999999999999"/>
    <n v="21.135999999999999"/>
    <n v="13.52"/>
    <n v="10.56"/>
    <n v="1.2803030303030303"/>
  </r>
  <r>
    <x v="1"/>
    <x v="654"/>
    <x v="651"/>
    <x v="4"/>
    <x v="7"/>
    <n v="0"/>
    <n v="0"/>
    <n v="0"/>
    <n v="21.36"/>
    <n v="0"/>
  </r>
  <r>
    <x v="1"/>
    <x v="655"/>
    <x v="652"/>
    <x v="9"/>
    <x v="7"/>
    <n v="50.673000000000002"/>
    <n v="34.207999999999998"/>
    <n v="16.465000000000003"/>
    <n v="68.400000000000006"/>
    <n v="0.24071637426900588"/>
  </r>
  <r>
    <x v="1"/>
    <x v="656"/>
    <x v="653"/>
    <x v="4"/>
    <x v="7"/>
    <n v="598.05656809280288"/>
    <n v="423.07270000000005"/>
    <n v="174.98386809280282"/>
    <n v="154.25"/>
    <n v="1.1344172971980735"/>
  </r>
  <r>
    <x v="1"/>
    <x v="657"/>
    <x v="654"/>
    <x v="4"/>
    <x v="7"/>
    <n v="471.11571847628409"/>
    <n v="227.37280000000001"/>
    <n v="243.74291847628407"/>
    <n v="206.8"/>
    <n v="1.1786408050110448"/>
  </r>
  <r>
    <x v="1"/>
    <x v="658"/>
    <x v="655"/>
    <x v="16"/>
    <x v="7"/>
    <n v="46.893000000000001"/>
    <n v="27.533299999999997"/>
    <n v="19.359700000000004"/>
    <n v="28.6"/>
    <n v="0.67691258741258753"/>
  </r>
  <r>
    <x v="1"/>
    <x v="659"/>
    <x v="656"/>
    <x v="9"/>
    <x v="7"/>
    <n v="32.101999999999997"/>
    <n v="28.893999999999998"/>
    <n v="3.2079999999999984"/>
    <n v="86.67"/>
    <n v="3.7013961001499923E-2"/>
  </r>
  <r>
    <x v="1"/>
    <x v="660"/>
    <x v="657"/>
    <x v="9"/>
    <x v="7"/>
    <n v="90.44"/>
    <n v="62.22"/>
    <n v="28.22"/>
    <n v="54.32"/>
    <n v="0.51951399116347563"/>
  </r>
  <r>
    <x v="1"/>
    <x v="661"/>
    <x v="658"/>
    <x v="12"/>
    <x v="7"/>
    <n v="181.36938565783723"/>
    <n v="100.5663"/>
    <n v="80.803085657837229"/>
    <n v="78.75"/>
    <n v="1.0260709289884093"/>
  </r>
  <r>
    <x v="1"/>
    <x v="662"/>
    <x v="659"/>
    <x v="4"/>
    <x v="7"/>
    <n v="1579.7146258495657"/>
    <n v="753.52050000000008"/>
    <n v="826.19412584956558"/>
    <n v="400.75"/>
    <n v="2.0616197775410243"/>
  </r>
  <r>
    <x v="1"/>
    <x v="663"/>
    <x v="660"/>
    <x v="4"/>
    <x v="7"/>
    <n v="712.81746944669987"/>
    <n v="345.41370000000001"/>
    <n v="367.40376944669987"/>
    <n v="297.18"/>
    <n v="1.2363004557732682"/>
  </r>
  <r>
    <x v="1"/>
    <x v="664"/>
    <x v="661"/>
    <x v="4"/>
    <x v="7"/>
    <n v="431.8534340661908"/>
    <n v="247.54149999999998"/>
    <n v="184.31193406619082"/>
    <n v="149.84"/>
    <n v="1.2300582892831742"/>
  </r>
  <r>
    <x v="1"/>
    <x v="665"/>
    <x v="662"/>
    <x v="4"/>
    <x v="7"/>
    <n v="137.96129273349601"/>
    <n v="68.746200000000002"/>
    <n v="69.215092733496007"/>
    <n v="56.24"/>
    <n v="1.2307093302541965"/>
  </r>
  <r>
    <x v="1"/>
    <x v="666"/>
    <x v="663"/>
    <x v="9"/>
    <x v="7"/>
    <n v="13.013"/>
    <n v="7.15"/>
    <n v="5.8629999999999995"/>
    <n v="15.14"/>
    <n v="0.38725231175693525"/>
  </r>
  <r>
    <x v="1"/>
    <x v="667"/>
    <x v="664"/>
    <x v="9"/>
    <x v="7"/>
    <n v="183.45637531415807"/>
    <n v="72.658999999999992"/>
    <n v="110.79737531415807"/>
    <n v="66.08"/>
    <n v="1.6767157281198257"/>
  </r>
  <r>
    <x v="1"/>
    <x v="668"/>
    <x v="665"/>
    <x v="4"/>
    <x v="7"/>
    <n v="24.106000000000005"/>
    <n v="13.095499999999999"/>
    <n v="11.010500000000006"/>
    <n v="8.4"/>
    <n v="1.3107738095238102"/>
  </r>
  <r>
    <x v="1"/>
    <x v="669"/>
    <x v="666"/>
    <x v="4"/>
    <x v="7"/>
    <n v="39.612000000000002"/>
    <n v="15.584"/>
    <n v="24.028000000000002"/>
    <n v="17.05"/>
    <n v="1.4092668621700881"/>
  </r>
  <r>
    <x v="1"/>
    <x v="670"/>
    <x v="667"/>
    <x v="4"/>
    <x v="7"/>
    <n v="-0.13101303724681004"/>
    <n v="-"/>
    <n v="-0.13101303724681004"/>
    <n v="7.04"/>
    <n v="-1.8609806427103699E-2"/>
  </r>
  <r>
    <x v="1"/>
    <x v="671"/>
    <x v="668"/>
    <x v="4"/>
    <x v="7"/>
    <n v="23.981100000000001"/>
    <n v="9.0664999999999996"/>
    <n v="14.914600000000002"/>
    <n v="14.48"/>
    <n v="1.0300138121546962"/>
  </r>
  <r>
    <x v="1"/>
    <x v="672"/>
    <x v="669"/>
    <x v="4"/>
    <x v="7"/>
    <n v="18.2745"/>
    <n v="11.184999999999999"/>
    <n v="7.089500000000001"/>
    <n v="11.2"/>
    <n v="0.63299107142857158"/>
  </r>
  <r>
    <x v="1"/>
    <x v="673"/>
    <x v="670"/>
    <x v="4"/>
    <x v="7"/>
    <n v="4.8544596893874026"/>
    <n v="2.7880000000000003"/>
    <n v="2.0664596893874023"/>
    <n v="13.9"/>
    <n v="0.14866616470412969"/>
  </r>
  <r>
    <x v="1"/>
    <x v="674"/>
    <x v="671"/>
    <x v="4"/>
    <x v="7"/>
    <n v="84.859225267288181"/>
    <n v="40.025000000000006"/>
    <n v="44.834225267288176"/>
    <n v="40"/>
    <n v="1.1208556316822045"/>
  </r>
  <r>
    <x v="1"/>
    <x v="675"/>
    <x v="672"/>
    <x v="4"/>
    <x v="7"/>
    <n v="275.18121692024897"/>
    <n v="113.23070000000001"/>
    <n v="161.95051692024896"/>
    <n v="47.08"/>
    <n v="3.4399005293170974"/>
  </r>
  <r>
    <x v="1"/>
    <x v="676"/>
    <x v="673"/>
    <x v="9"/>
    <x v="7"/>
    <n v="309.52348022292313"/>
    <n v="175.53219999999999"/>
    <n v="133.99128022292314"/>
    <n v="115.83"/>
    <n v="1.1567925427171124"/>
  </r>
  <r>
    <x v="1"/>
    <x v="677"/>
    <x v="674"/>
    <x v="9"/>
    <x v="7"/>
    <n v="11.981171827650847"/>
    <n v="8.44"/>
    <n v="3.5411718276508477"/>
    <n v="16.88"/>
    <n v="0.20978506087978957"/>
  </r>
  <r>
    <x v="1"/>
    <x v="678"/>
    <x v="675"/>
    <x v="4"/>
    <x v="7"/>
    <n v="26.942294553151264"/>
    <n v="7.5257000000000005"/>
    <n v="19.416594553151263"/>
    <n v="9.24"/>
    <n v="2.1013630468778421"/>
  </r>
  <r>
    <x v="1"/>
    <x v="679"/>
    <x v="676"/>
    <x v="4"/>
    <x v="7"/>
    <n v="59.804999999999993"/>
    <n v="23.49"/>
    <n v="36.314999999999998"/>
    <n v="18.48"/>
    <n v="1.9650974025974024"/>
  </r>
  <r>
    <x v="1"/>
    <x v="680"/>
    <x v="677"/>
    <x v="4"/>
    <x v="7"/>
    <n v="1475.8341534976933"/>
    <n v="610.79469999999992"/>
    <n v="865.03945349769333"/>
    <n v="288.08999999999997"/>
    <n v="3.0026708788840057"/>
  </r>
  <r>
    <x v="1"/>
    <x v="681"/>
    <x v="678"/>
    <x v="9"/>
    <x v="7"/>
    <n v="74.930740596028457"/>
    <n v="46.9148"/>
    <n v="28.015940596028457"/>
    <n v="33.25"/>
    <n v="0.84258467957980321"/>
  </r>
  <r>
    <x v="1"/>
    <x v="682"/>
    <x v="679"/>
    <x v="4"/>
    <x v="7"/>
    <n v="90.040607089285544"/>
    <n v="6.6728000000000005"/>
    <n v="83.367807089285549"/>
    <n v="48.16"/>
    <n v="1.731059117302441"/>
  </r>
  <r>
    <x v="1"/>
    <x v="683"/>
    <x v="680"/>
    <x v="4"/>
    <x v="7"/>
    <n v="37.326599999999999"/>
    <n v="14.153499999999999"/>
    <n v="23.173099999999998"/>
    <n v="7.65"/>
    <n v="3.0291633986928104"/>
  </r>
  <r>
    <x v="1"/>
    <x v="684"/>
    <x v="681"/>
    <x v="4"/>
    <x v="7"/>
    <n v="4.9279500000000001"/>
    <n v="2.4539999999999997"/>
    <n v="2.4739500000000003"/>
    <n v="12.96"/>
    <n v="0.19089120370370372"/>
  </r>
  <r>
    <x v="1"/>
    <x v="685"/>
    <x v="682"/>
    <x v="4"/>
    <x v="7"/>
    <n v="2.1225999999999998"/>
    <n v="2.081"/>
    <n v="4.1599999999999859E-2"/>
    <n v="10.4"/>
    <n v="3.9999999999999862E-3"/>
  </r>
  <r>
    <x v="1"/>
    <x v="686"/>
    <x v="683"/>
    <x v="9"/>
    <x v="7"/>
    <n v="-0.2348335152838423"/>
    <n v="-"/>
    <n v="-0.2348335152838423"/>
    <n v="6.75"/>
    <n v="-3.4790150412421082E-2"/>
  </r>
  <r>
    <x v="1"/>
    <x v="687"/>
    <x v="684"/>
    <x v="4"/>
    <x v="7"/>
    <n v="65.290509020714424"/>
    <n v="30.063500000000001"/>
    <n v="35.227009020714419"/>
    <n v="12.04"/>
    <n v="2.9258313140128256"/>
  </r>
  <r>
    <x v="1"/>
    <x v="688"/>
    <x v="685"/>
    <x v="4"/>
    <x v="7"/>
    <n v="274.88819211314603"/>
    <n v="52.364999999999995"/>
    <n v="222.52319211314602"/>
    <n v="25.83"/>
    <n v="8.6149125866490923"/>
  </r>
  <r>
    <x v="1"/>
    <x v="689"/>
    <x v="686"/>
    <x v="4"/>
    <x v="7"/>
    <n v="29.317814506241533"/>
    <n v="8.8912000000000013"/>
    <n v="20.426614506241531"/>
    <n v="9"/>
    <n v="2.2696238340268367"/>
  </r>
  <r>
    <x v="1"/>
    <x v="690"/>
    <x v="687"/>
    <x v="4"/>
    <x v="7"/>
    <n v="382.57577420516327"/>
    <n v="158.2474"/>
    <n v="224.32837420516327"/>
    <n v="67.599999999999994"/>
    <n v="3.318467074040877"/>
  </r>
  <r>
    <x v="1"/>
    <x v="691"/>
    <x v="688"/>
    <x v="4"/>
    <x v="7"/>
    <n v="203.05557289780245"/>
    <n v="104.97999999999999"/>
    <n v="98.075572897802459"/>
    <n v="63.36"/>
    <n v="1.5479099257860236"/>
  </r>
  <r>
    <x v="1"/>
    <x v="692"/>
    <x v="689"/>
    <x v="4"/>
    <x v="7"/>
    <n v="46.998000000000005"/>
    <n v="22.690199999999997"/>
    <n v="24.307800000000007"/>
    <n v="54.6"/>
    <n v="0.44519780219780231"/>
  </r>
  <r>
    <x v="1"/>
    <x v="693"/>
    <x v="690"/>
    <x v="4"/>
    <x v="7"/>
    <n v="1046.8321934650614"/>
    <n v="414.7629"/>
    <n v="632.06929346506149"/>
    <n v="286.5"/>
    <n v="2.2061755443806685"/>
  </r>
  <r>
    <x v="1"/>
    <x v="694"/>
    <x v="691"/>
    <x v="9"/>
    <x v="7"/>
    <n v="23.806999999999999"/>
    <n v="22.376000000000001"/>
    <n v="1.4309999999999974"/>
    <n v="33.54"/>
    <n v="4.2665474060822821E-2"/>
  </r>
  <r>
    <x v="1"/>
    <x v="695"/>
    <x v="279"/>
    <x v="4"/>
    <x v="7"/>
    <n v="472.08171356645084"/>
    <n v="267.07600000000002"/>
    <n v="205.00571356645082"/>
    <n v="118.88"/>
    <n v="1.7244760562453805"/>
  </r>
  <r>
    <x v="1"/>
    <x v="696"/>
    <x v="692"/>
    <x v="4"/>
    <x v="7"/>
    <n v="186.97679514329772"/>
    <n v="98.745000000000005"/>
    <n v="88.231795143297717"/>
    <n v="201.15"/>
    <n v="0.43863681403578281"/>
  </r>
  <r>
    <x v="1"/>
    <x v="697"/>
    <x v="693"/>
    <x v="4"/>
    <x v="7"/>
    <n v="47.884513919518454"/>
    <n v="22.603999999999999"/>
    <n v="25.280513919518455"/>
    <n v="44.92"/>
    <n v="0.56278971325731197"/>
  </r>
  <r>
    <x v="1"/>
    <x v="698"/>
    <x v="694"/>
    <x v="9"/>
    <x v="7"/>
    <n v="163.44315"/>
    <n v="87.674899999999994"/>
    <n v="75.768250000000009"/>
    <n v="57.52"/>
    <n v="1.317250521557719"/>
  </r>
  <r>
    <x v="1"/>
    <x v="699"/>
    <x v="695"/>
    <x v="9"/>
    <x v="7"/>
    <n v="242.43990232420472"/>
    <n v="169.89500000000001"/>
    <n v="72.544902324204713"/>
    <n v="188.98"/>
    <n v="0.38387608384064303"/>
  </r>
  <r>
    <x v="1"/>
    <x v="700"/>
    <x v="696"/>
    <x v="4"/>
    <x v="7"/>
    <n v="872.78793026792539"/>
    <n v="529.5003999999999"/>
    <n v="343.28753026792549"/>
    <n v="272.8"/>
    <n v="1.2583853748824247"/>
  </r>
  <r>
    <x v="1"/>
    <x v="701"/>
    <x v="697"/>
    <x v="4"/>
    <x v="7"/>
    <n v="5329.8636436049237"/>
    <n v="2801.0105999999992"/>
    <n v="2528.8530436049246"/>
    <n v="1177.98"/>
    <n v="2.1467707801532492"/>
  </r>
  <r>
    <x v="1"/>
    <x v="702"/>
    <x v="698"/>
    <x v="4"/>
    <x v="7"/>
    <n v="10223.678510523094"/>
    <n v="5219.1949999999997"/>
    <n v="5004.4835105230941"/>
    <n v="2091"/>
    <n v="2.3933445770076966"/>
  </r>
  <r>
    <x v="1"/>
    <x v="703"/>
    <x v="699"/>
    <x v="9"/>
    <x v="7"/>
    <n v="27.796499999999998"/>
    <n v="12.112"/>
    <n v="15.684499999999998"/>
    <n v="5.35"/>
    <n v="2.9316822429906537"/>
  </r>
  <r>
    <x v="1"/>
    <x v="704"/>
    <x v="700"/>
    <x v="4"/>
    <x v="7"/>
    <n v="85.732472806861153"/>
    <n v="33.1111"/>
    <n v="52.621372806861153"/>
    <n v="19.46"/>
    <n v="2.7040787670535025"/>
  </r>
  <r>
    <x v="1"/>
    <x v="705"/>
    <x v="701"/>
    <x v="4"/>
    <x v="7"/>
    <n v="53.080800000000004"/>
    <n v="27.544999999999998"/>
    <n v="25.535800000000005"/>
    <n v="26.24"/>
    <n v="0.97316310975609788"/>
  </r>
  <r>
    <x v="1"/>
    <x v="706"/>
    <x v="702"/>
    <x v="4"/>
    <x v="7"/>
    <n v="35.178000000000004"/>
    <n v="9.36"/>
    <n v="25.818000000000005"/>
    <n v="6.12"/>
    <n v="4.2186274509803932"/>
  </r>
  <r>
    <x v="1"/>
    <x v="707"/>
    <x v="703"/>
    <x v="4"/>
    <x v="7"/>
    <n v="189.51572866187786"/>
    <n v="90.815899999999999"/>
    <n v="98.699828661877859"/>
    <n v="38.43"/>
    <n v="2.5683015524818593"/>
  </r>
  <r>
    <x v="1"/>
    <x v="708"/>
    <x v="704"/>
    <x v="9"/>
    <x v="7"/>
    <n v="16.348050000000001"/>
    <n v="7.42"/>
    <n v="8.9280500000000007"/>
    <n v="3.52"/>
    <n v="2.5363778409090911"/>
  </r>
  <r>
    <x v="1"/>
    <x v="709"/>
    <x v="705"/>
    <x v="4"/>
    <x v="7"/>
    <n v="183.39087388328736"/>
    <n v="93.811900000000009"/>
    <n v="89.578973883287347"/>
    <n v="41.76"/>
    <n v="2.1450903707683753"/>
  </r>
  <r>
    <x v="1"/>
    <x v="710"/>
    <x v="706"/>
    <x v="4"/>
    <x v="7"/>
    <n v="12.32"/>
    <n v="5.173"/>
    <n v="7.1470000000000002"/>
    <n v="25.85"/>
    <n v="0.27647969052224369"/>
  </r>
  <r>
    <x v="1"/>
    <x v="711"/>
    <x v="707"/>
    <x v="4"/>
    <x v="7"/>
    <n v="24.832500000000003"/>
    <n v="15.53"/>
    <n v="9.3025000000000038"/>
    <n v="10.220000000000001"/>
    <n v="0.91022504892367939"/>
  </r>
  <r>
    <x v="1"/>
    <x v="712"/>
    <x v="708"/>
    <x v="4"/>
    <x v="7"/>
    <n v="0.81422400512331583"/>
    <n v="-2.1408000000000014"/>
    <n v="2.9550240051233172"/>
    <n v="25.72"/>
    <n v="0.1148920686284338"/>
  </r>
  <r>
    <x v="1"/>
    <x v="713"/>
    <x v="709"/>
    <x v="4"/>
    <x v="7"/>
    <n v="22.349250000000005"/>
    <n v="11.556000000000003"/>
    <n v="10.793250000000002"/>
    <n v="46.16"/>
    <n v="0.23382257365684581"/>
  </r>
  <r>
    <x v="1"/>
    <x v="714"/>
    <x v="710"/>
    <x v="4"/>
    <x v="7"/>
    <n v="16.593703731438694"/>
    <n v="6.9515000000000002"/>
    <n v="9.6422037314386948"/>
    <n v="10.88"/>
    <n v="0.88623196061017406"/>
  </r>
  <r>
    <x v="1"/>
    <x v="715"/>
    <x v="711"/>
    <x v="4"/>
    <x v="7"/>
    <n v="23.068703238297015"/>
    <n v="9.041599999999999"/>
    <n v="14.027103238297016"/>
    <n v="18.079999999999998"/>
    <n v="0.77583535610049881"/>
  </r>
  <r>
    <x v="1"/>
    <x v="716"/>
    <x v="712"/>
    <x v="4"/>
    <x v="7"/>
    <n v="18.312000000000001"/>
    <n v="10.023999999999999"/>
    <n v="8.288000000000002"/>
    <n v="10.02"/>
    <n v="0.82714570858283454"/>
  </r>
  <r>
    <x v="1"/>
    <x v="717"/>
    <x v="713"/>
    <x v="17"/>
    <x v="7"/>
    <n v="730516.68598472315"/>
    <n v="453831.80470000004"/>
    <n v="276684.88128472312"/>
    <n v="129100"/>
    <n v="2.1431826590605971"/>
  </r>
  <r>
    <x v="1"/>
    <x v="718"/>
    <x v="714"/>
    <x v="17"/>
    <x v="7"/>
    <n v="2703"/>
    <n v="1696.2394000000002"/>
    <n v="1006.7605999999998"/>
    <n v="13539.6"/>
    <n v="7.4356746137256624E-2"/>
  </r>
  <r>
    <x v="1"/>
    <x v="719"/>
    <x v="715"/>
    <x v="17"/>
    <x v="7"/>
    <n v="130549.61297446326"/>
    <n v="82268.613999999987"/>
    <n v="48280.998974463277"/>
    <n v="48573.94"/>
    <n v="0.99396917306817756"/>
  </r>
  <r>
    <x v="1"/>
    <x v="720"/>
    <x v="716"/>
    <x v="17"/>
    <x v="7"/>
    <n v="8489.8761855777811"/>
    <n v="6595.1418000000012"/>
    <n v="1894.7343855777799"/>
    <n v="2715.68"/>
    <n v="0.69770163847647004"/>
  </r>
  <r>
    <x v="1"/>
    <x v="721"/>
    <x v="717"/>
    <x v="9"/>
    <x v="7"/>
    <n v="88.79249999999999"/>
    <n v="30.201599999999999"/>
    <n v="58.590899999999991"/>
    <n v="30.2"/>
    <n v="1.940096026490066"/>
  </r>
  <r>
    <x v="1"/>
    <x v="722"/>
    <x v="718"/>
    <x v="11"/>
    <x v="7"/>
    <n v="126.67200447873491"/>
    <n v="83.88"/>
    <n v="42.79200447873491"/>
    <n v="83.88"/>
    <n v="0.51015742106264794"/>
  </r>
  <r>
    <x v="1"/>
    <x v="723"/>
    <x v="719"/>
    <x v="9"/>
    <x v="7"/>
    <n v="61.178481988271436"/>
    <n v="41.536000000000001"/>
    <n v="19.642481988271435"/>
    <n v="20.76"/>
    <n v="0.94616965261423092"/>
  </r>
  <r>
    <x v="1"/>
    <x v="724"/>
    <x v="720"/>
    <x v="24"/>
    <x v="7"/>
    <n v="92.085499999999996"/>
    <n v="69"/>
    <n v="23.085499999999996"/>
    <n v="35.58"/>
    <n v="0.64883361439010667"/>
  </r>
  <r>
    <x v="1"/>
    <x v="725"/>
    <x v="721"/>
    <x v="4"/>
    <x v="7"/>
    <n v="59.252812040190733"/>
    <n v="30.049999999999997"/>
    <n v="29.202812040190736"/>
    <n v="30.24"/>
    <n v="0.96570145635551385"/>
  </r>
  <r>
    <x v="1"/>
    <x v="726"/>
    <x v="722"/>
    <x v="12"/>
    <x v="7"/>
    <n v="33.388605495850904"/>
    <n v="15.478799999999998"/>
    <n v="17.909805495850904"/>
    <n v="15.84"/>
    <n v="1.1306695388794763"/>
  </r>
  <r>
    <x v="1"/>
    <x v="727"/>
    <x v="723"/>
    <x v="4"/>
    <x v="7"/>
    <n v="14.6965"/>
    <n v="10.92"/>
    <n v="3.7765000000000004"/>
    <n v="21.84"/>
    <n v="0.17291666666666669"/>
  </r>
  <r>
    <x v="1"/>
    <x v="728"/>
    <x v="724"/>
    <x v="4"/>
    <x v="7"/>
    <n v="12.662000000000001"/>
    <n v="0"/>
    <n v="12.662000000000001"/>
    <n v="20.76"/>
    <n v="0.60992292870905596"/>
  </r>
  <r>
    <x v="1"/>
    <x v="729"/>
    <x v="725"/>
    <x v="4"/>
    <x v="7"/>
    <n v="1047.7637200568531"/>
    <n v="509.84129999999999"/>
    <n v="537.92242005685307"/>
    <n v="443.84"/>
    <n v="1.2119737293999033"/>
  </r>
  <r>
    <x v="1"/>
    <x v="730"/>
    <x v="726"/>
    <x v="4"/>
    <x v="7"/>
    <n v="4812.3795825433472"/>
    <n v="3250.5503999999987"/>
    <n v="1561.8291825433485"/>
    <n v="1626.48"/>
    <n v="0.96025108365510081"/>
  </r>
  <r>
    <x v="1"/>
    <x v="731"/>
    <x v="727"/>
    <x v="4"/>
    <x v="7"/>
    <n v="1155.333374406863"/>
    <n v="679.31619999999987"/>
    <n v="476.01717440686309"/>
    <n v="422.52"/>
    <n v="1.126614537552928"/>
  </r>
  <r>
    <x v="1"/>
    <x v="732"/>
    <x v="728"/>
    <x v="11"/>
    <x v="7"/>
    <n v="30.42"/>
    <n v="20.440000000000001"/>
    <n v="9.98"/>
    <n v="20.440000000000001"/>
    <n v="0.48825831702544031"/>
  </r>
  <r>
    <x v="1"/>
    <x v="733"/>
    <x v="729"/>
    <x v="4"/>
    <x v="7"/>
    <n v="1824.7874545400789"/>
    <n v="1312.9445000000001"/>
    <n v="511.84295454007884"/>
    <n v="695.24"/>
    <n v="0.73621045184408096"/>
  </r>
  <r>
    <x v="1"/>
    <x v="734"/>
    <x v="730"/>
    <x v="4"/>
    <x v="7"/>
    <n v="393.42399999999998"/>
    <n v="239.39570000000001"/>
    <n v="154.02829999999997"/>
    <n v="157.36000000000001"/>
    <n v="0.97882752923233329"/>
  </r>
  <r>
    <x v="1"/>
    <x v="735"/>
    <x v="731"/>
    <x v="4"/>
    <x v="7"/>
    <n v="5971.6929704026816"/>
    <n v="4460.8513000000003"/>
    <n v="1510.8416704026813"/>
    <n v="2341.1999999999998"/>
    <n v="0.64532789612279229"/>
  </r>
  <r>
    <x v="1"/>
    <x v="736"/>
    <x v="732"/>
    <x v="4"/>
    <x v="7"/>
    <n v="3525.3862373958709"/>
    <n v="2808.4683"/>
    <n v="716.91793739587092"/>
    <n v="1541.98"/>
    <n v="0.46493335672049629"/>
  </r>
  <r>
    <x v="1"/>
    <x v="737"/>
    <x v="733"/>
    <x v="4"/>
    <x v="7"/>
    <n v="1915.7847867443375"/>
    <n v="781.27469999999994"/>
    <n v="1134.5100867443375"/>
    <n v="652.5"/>
    <n v="1.7387127766196744"/>
  </r>
  <r>
    <x v="1"/>
    <x v="738"/>
    <x v="734"/>
    <x v="4"/>
    <x v="7"/>
    <n v="513.23068230881745"/>
    <n v="317.90600000000001"/>
    <n v="195.32468230881744"/>
    <n v="161.55000000000001"/>
    <n v="1.2090664333569634"/>
  </r>
  <r>
    <x v="1"/>
    <x v="739"/>
    <x v="735"/>
    <x v="8"/>
    <x v="7"/>
    <n v="84.252562179172656"/>
    <n v="63.08"/>
    <n v="21.172562179172658"/>
    <n v="76.59"/>
    <n v="0.27644029480575344"/>
  </r>
  <r>
    <x v="1"/>
    <x v="740"/>
    <x v="736"/>
    <x v="4"/>
    <x v="7"/>
    <n v="2414.3762622547738"/>
    <n v="1593.1405999999999"/>
    <n v="821.23566225477384"/>
    <n v="941.2"/>
    <n v="0.87254107761875666"/>
  </r>
  <r>
    <x v="1"/>
    <x v="741"/>
    <x v="737"/>
    <x v="4"/>
    <x v="7"/>
    <n v="287.13399582082269"/>
    <n v="126.1794"/>
    <n v="160.9545958208227"/>
    <n v="72.900000000000006"/>
    <n v="2.2078819728507915"/>
  </r>
  <r>
    <x v="1"/>
    <x v="742"/>
    <x v="738"/>
    <x v="9"/>
    <x v="7"/>
    <n v="16.699295168947224"/>
    <n v="8.1329999999999991"/>
    <n v="8.5662951689472244"/>
    <n v="8.1300000000000008"/>
    <n v="1.053664842428933"/>
  </r>
  <r>
    <x v="1"/>
    <x v="743"/>
    <x v="739"/>
    <x v="17"/>
    <x v="7"/>
    <n v="50130.914628077131"/>
    <n v="33556.3914"/>
    <n v="16574.523228077131"/>
    <n v="11649.6"/>
    <n v="1.4227547064343093"/>
  </r>
  <r>
    <x v="1"/>
    <x v="744"/>
    <x v="740"/>
    <x v="9"/>
    <x v="7"/>
    <n v="50.999199999999988"/>
    <n v="38.942999999999998"/>
    <n v="12.05619999999999"/>
    <n v="22.16"/>
    <n v="0.54405234657039669"/>
  </r>
  <r>
    <x v="1"/>
    <x v="745"/>
    <x v="741"/>
    <x v="9"/>
    <x v="7"/>
    <n v="5.0960000000000001"/>
    <n v="2.34"/>
    <n v="2.7560000000000002"/>
    <n v="7.02"/>
    <n v="0.39259259259259266"/>
  </r>
  <r>
    <x v="1"/>
    <x v="746"/>
    <x v="742"/>
    <x v="9"/>
    <x v="7"/>
    <n v="10.336"/>
    <n v="4.9879999999999995"/>
    <n v="5.3480000000000008"/>
    <n v="4.9800000000000004"/>
    <n v="1.0738955823293173"/>
  </r>
  <r>
    <x v="1"/>
    <x v="747"/>
    <x v="743"/>
    <x v="9"/>
    <x v="7"/>
    <n v="23.514868799110118"/>
    <n v="11.6829"/>
    <n v="11.831968799110118"/>
    <n v="9.2799999999999994"/>
    <n v="1.2749966378351421"/>
  </r>
  <r>
    <x v="1"/>
    <x v="748"/>
    <x v="744"/>
    <x v="9"/>
    <x v="7"/>
    <n v="10.927"/>
    <n v="4.7826000000000004"/>
    <n v="6.1443999999999992"/>
    <n v="8.69"/>
    <n v="0.70706559263521274"/>
  </r>
  <r>
    <x v="1"/>
    <x v="749"/>
    <x v="745"/>
    <x v="9"/>
    <x v="7"/>
    <n v="2.6025999999999998"/>
    <n v="1.43"/>
    <n v="1.1725999999999999"/>
    <n v="4.92"/>
    <n v="0.23833333333333331"/>
  </r>
  <r>
    <x v="1"/>
    <x v="750"/>
    <x v="746"/>
    <x v="11"/>
    <x v="7"/>
    <n v="5.048"/>
    <n v="2.76"/>
    <n v="2.2880000000000003"/>
    <n v="5.52"/>
    <n v="0.41449275362318849"/>
  </r>
  <r>
    <x v="1"/>
    <x v="751"/>
    <x v="747"/>
    <x v="17"/>
    <x v="7"/>
    <n v="180881.17304352226"/>
    <n v="114141.25689999996"/>
    <n v="66739.916143522292"/>
    <n v="37834.239999999998"/>
    <n v="1.7640083729320926"/>
  </r>
  <r>
    <x v="1"/>
    <x v="752"/>
    <x v="748"/>
    <x v="9"/>
    <x v="7"/>
    <n v="3.7199999999999998"/>
    <n v="0"/>
    <n v="3.7199999999999998"/>
    <n v="5.43"/>
    <n v="0.68508287292817682"/>
  </r>
  <r>
    <x v="1"/>
    <x v="753"/>
    <x v="749"/>
    <x v="8"/>
    <x v="7"/>
    <n v="23.895"/>
    <n v="13.25"/>
    <n v="10.645"/>
    <n v="8.4"/>
    <n v="1.2672619047619047"/>
  </r>
  <r>
    <x v="1"/>
    <x v="754"/>
    <x v="750"/>
    <x v="4"/>
    <x v="7"/>
    <n v="856.90086589778298"/>
    <n v="429.05059999999997"/>
    <n v="427.850265897783"/>
    <n v="208"/>
    <n v="2.05697243220088"/>
  </r>
  <r>
    <x v="1"/>
    <x v="755"/>
    <x v="751"/>
    <x v="4"/>
    <x v="7"/>
    <n v="180.99450000000002"/>
    <n v="105.70099999999999"/>
    <n v="75.293500000000023"/>
    <n v="75.599999999999994"/>
    <n v="0.99594576719576755"/>
  </r>
  <r>
    <x v="1"/>
    <x v="756"/>
    <x v="752"/>
    <x v="4"/>
    <x v="7"/>
    <n v="220.93423185382656"/>
    <n v="129.90209999999996"/>
    <n v="91.032131853826598"/>
    <n v="80.599999999999994"/>
    <n v="1.129430916300578"/>
  </r>
  <r>
    <x v="1"/>
    <x v="757"/>
    <x v="753"/>
    <x v="4"/>
    <x v="7"/>
    <n v="356.492966295229"/>
    <n v="91.658199999999994"/>
    <n v="264.83476629522897"/>
    <n v="45.43"/>
    <n v="5.8295127954045558"/>
  </r>
  <r>
    <x v="1"/>
    <x v="758"/>
    <x v="754"/>
    <x v="4"/>
    <x v="7"/>
    <n v="99.567961865798395"/>
    <n v="51.877800000000001"/>
    <n v="47.690161865798395"/>
    <n v="52.68"/>
    <n v="0.90528021764993172"/>
  </r>
  <r>
    <x v="1"/>
    <x v="759"/>
    <x v="755"/>
    <x v="4"/>
    <x v="7"/>
    <n v="2312.6394030272418"/>
    <n v="690.07920000000013"/>
    <n v="1622.5602030272416"/>
    <n v="447.12"/>
    <n v="3.6289143921704281"/>
  </r>
  <r>
    <x v="1"/>
    <x v="760"/>
    <x v="756"/>
    <x v="4"/>
    <x v="7"/>
    <n v="235.58407464298205"/>
    <n v="157.14000000000001"/>
    <n v="78.444074642982031"/>
    <n v="32.46"/>
    <n v="2.4166381590567476"/>
  </r>
  <r>
    <x v="1"/>
    <x v="761"/>
    <x v="757"/>
    <x v="4"/>
    <x v="7"/>
    <n v="2435.5238681448386"/>
    <n v="1131.0939999999996"/>
    <n v="1304.429868144839"/>
    <n v="514.55999999999995"/>
    <n v="2.5350393892740191"/>
  </r>
  <r>
    <x v="1"/>
    <x v="762"/>
    <x v="758"/>
    <x v="4"/>
    <x v="7"/>
    <n v="56.104010345455912"/>
    <n v="35.278399999999998"/>
    <n v="20.825610345455914"/>
    <n v="35.26"/>
    <n v="0.5906299020265432"/>
  </r>
  <r>
    <x v="1"/>
    <x v="763"/>
    <x v="759"/>
    <x v="4"/>
    <x v="7"/>
    <n v="952.82670793077102"/>
    <n v="522.97170000000006"/>
    <n v="429.85500793077097"/>
    <n v="305.89999999999998"/>
    <n v="1.4052141481882017"/>
  </r>
  <r>
    <x v="1"/>
    <x v="764"/>
    <x v="760"/>
    <x v="4"/>
    <x v="7"/>
    <n v="1874.8168335426585"/>
    <n v="1095.6223"/>
    <n v="779.19453354265852"/>
    <n v="426.8"/>
    <n v="1.8256666671571193"/>
  </r>
  <r>
    <x v="1"/>
    <x v="765"/>
    <x v="761"/>
    <x v="4"/>
    <x v="7"/>
    <n v="14.528"/>
    <n v="4.9800000000000004"/>
    <n v="9.548"/>
    <n v="49.8"/>
    <n v="0.19172690763052208"/>
  </r>
  <r>
    <x v="1"/>
    <x v="766"/>
    <x v="762"/>
    <x v="4"/>
    <x v="7"/>
    <n v="199.01921931653857"/>
    <n v="83.466799999999992"/>
    <n v="115.55241931653858"/>
    <n v="60.28"/>
    <n v="1.9169279913161674"/>
  </r>
  <r>
    <x v="1"/>
    <x v="767"/>
    <x v="763"/>
    <x v="4"/>
    <x v="7"/>
    <n v="172.68186788689701"/>
    <n v="76.47"/>
    <n v="96.211867886897011"/>
    <n v="49.98"/>
    <n v="1.9250073606822131"/>
  </r>
  <r>
    <x v="1"/>
    <x v="768"/>
    <x v="764"/>
    <x v="9"/>
    <x v="7"/>
    <n v="597.1284528953363"/>
    <n v="396.10989999999998"/>
    <n v="201.01855289533631"/>
    <n v="289.8"/>
    <n v="0.69364580019094668"/>
  </r>
  <r>
    <x v="1"/>
    <x v="769"/>
    <x v="765"/>
    <x v="4"/>
    <x v="7"/>
    <n v="453.51539156514156"/>
    <n v="259.58120000000002"/>
    <n v="193.93419156514153"/>
    <n v="148.56"/>
    <n v="1.3054267068197465"/>
  </r>
  <r>
    <x v="1"/>
    <x v="770"/>
    <x v="766"/>
    <x v="4"/>
    <x v="7"/>
    <n v="85.097210182327558"/>
    <n v="53.868400000000008"/>
    <n v="31.22881018232755"/>
    <n v="36.299999999999997"/>
    <n v="0.86029780116604815"/>
  </r>
  <r>
    <x v="1"/>
    <x v="771"/>
    <x v="767"/>
    <x v="4"/>
    <x v="7"/>
    <n v="96.596410010564398"/>
    <n v="49.63750000000001"/>
    <n v="46.958910010564388"/>
    <n v="44.55"/>
    <n v="1.0540720541091895"/>
  </r>
  <r>
    <x v="1"/>
    <x v="772"/>
    <x v="768"/>
    <x v="4"/>
    <x v="7"/>
    <n v="1130.2545617252836"/>
    <n v="651.48139999999978"/>
    <n v="478.77316172528379"/>
    <n v="183.52"/>
    <n v="2.6088337060008921"/>
  </r>
  <r>
    <x v="1"/>
    <x v="773"/>
    <x v="769"/>
    <x v="4"/>
    <x v="7"/>
    <n v="1072.9304034372501"/>
    <n v="470.12079999999992"/>
    <n v="602.80960343725019"/>
    <n v="310.45"/>
    <n v="1.9417284697608317"/>
  </r>
  <r>
    <x v="1"/>
    <x v="774"/>
    <x v="770"/>
    <x v="4"/>
    <x v="7"/>
    <n v="1842.9499037910018"/>
    <n v="798.20620000000008"/>
    <n v="1044.7437037910017"/>
    <n v="266"/>
    <n v="3.9276079089887284"/>
  </r>
  <r>
    <x v="1"/>
    <x v="775"/>
    <x v="771"/>
    <x v="4"/>
    <x v="7"/>
    <n v="424.17886146761498"/>
    <n v="250.95919999999998"/>
    <n v="173.219661467615"/>
    <n v="74.64"/>
    <n v="2.3207350143035237"/>
  </r>
  <r>
    <x v="1"/>
    <x v="776"/>
    <x v="772"/>
    <x v="4"/>
    <x v="7"/>
    <n v="110.32040042879147"/>
    <n v="47.338999999999999"/>
    <n v="62.981400428791474"/>
    <n v="48.6"/>
    <n v="1.2959135890697835"/>
  </r>
  <r>
    <x v="1"/>
    <x v="777"/>
    <x v="773"/>
    <x v="4"/>
    <x v="7"/>
    <n v="0.4254"/>
    <n v="0.86329999999999996"/>
    <n v="-0.43789999999999996"/>
    <n v="4.0999999999999996"/>
    <n v="-0.10680487804878049"/>
  </r>
  <r>
    <x v="1"/>
    <x v="778"/>
    <x v="774"/>
    <x v="4"/>
    <x v="7"/>
    <n v="24.905725572164297"/>
    <n v="15.396000000000001"/>
    <n v="9.5097255721642959"/>
    <n v="15.3"/>
    <n v="0.62155069099113047"/>
  </r>
  <r>
    <x v="1"/>
    <x v="779"/>
    <x v="775"/>
    <x v="21"/>
    <x v="7"/>
    <n v="2768.8259930704667"/>
    <n v="2124.1785999999997"/>
    <n v="644.64739307046693"/>
    <n v="1578.5"/>
    <n v="0.40839239345610828"/>
  </r>
  <r>
    <x v="1"/>
    <x v="780"/>
    <x v="776"/>
    <x v="21"/>
    <x v="7"/>
    <n v="4434.6104826707215"/>
    <n v="3627.0084000000006"/>
    <n v="807.60208267072085"/>
    <n v="1563.76"/>
    <n v="0.51644886854166938"/>
  </r>
  <r>
    <x v="1"/>
    <x v="781"/>
    <x v="777"/>
    <x v="21"/>
    <x v="7"/>
    <n v="20098.147655853347"/>
    <n v="16908.017099999994"/>
    <n v="3190.1305558533531"/>
    <n v="6178.76"/>
    <n v="0.51630595068482243"/>
  </r>
  <r>
    <x v="1"/>
    <x v="782"/>
    <x v="778"/>
    <x v="21"/>
    <x v="7"/>
    <n v="21532.037200000006"/>
    <n v="17086.720100000002"/>
    <n v="4445.3171000000038"/>
    <n v="3920.63"/>
    <n v="1.1338272420503857"/>
  </r>
  <r>
    <x v="1"/>
    <x v="783"/>
    <x v="779"/>
    <x v="25"/>
    <x v="7"/>
    <n v="65976.541183899753"/>
    <n v="60082.444800000012"/>
    <n v="5894.0963838997413"/>
    <n v="29344"/>
    <n v="0.2008620632463107"/>
  </r>
  <r>
    <x v="1"/>
    <x v="784"/>
    <x v="780"/>
    <x v="26"/>
    <x v="7"/>
    <n v="158.95449434031798"/>
    <n v="117.3366"/>
    <n v="41.617894340317974"/>
    <n v="156.44"/>
    <n v="0.26603103004549972"/>
  </r>
  <r>
    <x v="1"/>
    <x v="785"/>
    <x v="781"/>
    <x v="7"/>
    <x v="7"/>
    <n v="1131.1927779081268"/>
    <n v="868.58170000000007"/>
    <n v="262.61107790812673"/>
    <n v="401.85"/>
    <n v="0.65350523306738029"/>
  </r>
  <r>
    <x v="1"/>
    <x v="786"/>
    <x v="782"/>
    <x v="7"/>
    <x v="7"/>
    <n v="136.63496842648323"/>
    <n v="81.692999999999998"/>
    <n v="54.941968426483228"/>
    <n v="21.76"/>
    <n v="2.5249066372464717"/>
  </r>
  <r>
    <x v="1"/>
    <x v="787"/>
    <x v="783"/>
    <x v="27"/>
    <x v="7"/>
    <n v="1317.1024914958934"/>
    <n v="1043.0213000000003"/>
    <n v="274.08119149589311"/>
    <n v="773.46"/>
    <n v="0.35435729255021992"/>
  </r>
  <r>
    <x v="1"/>
    <x v="788"/>
    <x v="784"/>
    <x v="13"/>
    <x v="7"/>
    <n v="330.73289999999997"/>
    <n v="1368.8702999999998"/>
    <n v="-1038.1373999999998"/>
    <n v="1207.5"/>
    <n v="-0.85974111801242226"/>
  </r>
  <r>
    <x v="1"/>
    <x v="789"/>
    <x v="785"/>
    <x v="28"/>
    <x v="7"/>
    <n v="3461.5600706738433"/>
    <n v="2748.0266000000001"/>
    <n v="713.53347067384311"/>
    <n v="1532.45"/>
    <n v="0.46561615104821891"/>
  </r>
  <r>
    <x v="1"/>
    <x v="790"/>
    <x v="786"/>
    <x v="29"/>
    <x v="7"/>
    <n v="150025.98574706446"/>
    <n v="110332.4028"/>
    <n v="39693.582947064468"/>
    <n v="46071.9"/>
    <n v="0.86155732555124631"/>
  </r>
  <r>
    <x v="1"/>
    <x v="791"/>
    <x v="787"/>
    <x v="17"/>
    <x v="7"/>
    <n v="4474.4118997545456"/>
    <n v="3815.7857999999997"/>
    <n v="658.62609975454598"/>
    <n v="2269.92"/>
    <n v="0.29015388196700587"/>
  </r>
  <r>
    <x v="1"/>
    <x v="792"/>
    <x v="788"/>
    <x v="30"/>
    <x v="7"/>
    <n v="1280.0623063972714"/>
    <n v="919.51980000000015"/>
    <n v="360.54250639727127"/>
    <n v="726.24"/>
    <n v="0.4964509065835967"/>
  </r>
  <r>
    <x v="1"/>
    <x v="793"/>
    <x v="789"/>
    <x v="9"/>
    <x v="7"/>
    <n v="-0.46487140297031743"/>
    <n v="-"/>
    <n v="-0.46487140297031743"/>
    <n v="11.65"/>
    <n v="-3.9903124718482182E-2"/>
  </r>
  <r>
    <x v="1"/>
    <x v="794"/>
    <x v="790"/>
    <x v="4"/>
    <x v="7"/>
    <n v="27.105"/>
    <n v="12.6"/>
    <n v="14.505000000000001"/>
    <n v="18.899999999999999"/>
    <n v="0.76746031746031751"/>
  </r>
  <r>
    <x v="1"/>
    <x v="795"/>
    <x v="791"/>
    <x v="12"/>
    <x v="7"/>
    <n v="6.8849999999999998"/>
    <n v="2.9939999999999998"/>
    <n v="3.891"/>
    <n v="3.15"/>
    <n v="1.2352380952380952"/>
  </r>
  <r>
    <x v="1"/>
    <x v="796"/>
    <x v="792"/>
    <x v="4"/>
    <x v="7"/>
    <n v="1085.4893069079346"/>
    <n v="441.55219999999986"/>
    <n v="643.93710690793478"/>
    <n v="293.58"/>
    <n v="2.1933956908097785"/>
  </r>
  <r>
    <x v="1"/>
    <x v="797"/>
    <x v="793"/>
    <x v="4"/>
    <x v="7"/>
    <n v="28.705377468910019"/>
    <n v="11.7819"/>
    <n v="16.923477468910018"/>
    <n v="13"/>
    <n v="1.3018059591469244"/>
  </r>
  <r>
    <x v="1"/>
    <x v="798"/>
    <x v="794"/>
    <x v="4"/>
    <x v="7"/>
    <n v="1.2450000000000001"/>
    <n v="0.47799999999999998"/>
    <n v="0.76700000000000013"/>
    <n v="2.76"/>
    <n v="0.27789855072463771"/>
  </r>
  <r>
    <x v="1"/>
    <x v="799"/>
    <x v="795"/>
    <x v="4"/>
    <x v="7"/>
    <n v="117.12802440159332"/>
    <n v="48.872199999999999"/>
    <n v="68.255824401593316"/>
    <n v="33.6"/>
    <n v="2.0314233452855155"/>
  </r>
  <r>
    <x v="1"/>
    <x v="800"/>
    <x v="796"/>
    <x v="4"/>
    <x v="7"/>
    <n v="57.160594325535094"/>
    <n v="16.599"/>
    <n v="40.561594325535097"/>
    <n v="30"/>
    <n v="1.3520531441845032"/>
  </r>
  <r>
    <x v="1"/>
    <x v="801"/>
    <x v="797"/>
    <x v="4"/>
    <x v="7"/>
    <n v="29.840499999999999"/>
    <n v="16.902999999999999"/>
    <n v="12.9375"/>
    <n v="13.88"/>
    <n v="0.9320965417867435"/>
  </r>
  <r>
    <x v="1"/>
    <x v="802"/>
    <x v="798"/>
    <x v="12"/>
    <x v="7"/>
    <n v="70.101900000000001"/>
    <n v="59.840000000000011"/>
    <n v="10.26189999999999"/>
    <n v="44.88"/>
    <n v="0.22865196078431349"/>
  </r>
  <r>
    <x v="1"/>
    <x v="803"/>
    <x v="799"/>
    <x v="4"/>
    <x v="7"/>
    <n v="236.513864058845"/>
    <n v="85.3"/>
    <n v="151.21386405884499"/>
    <n v="65.17"/>
    <n v="2.3202986659328677"/>
  </r>
  <r>
    <x v="1"/>
    <x v="804"/>
    <x v="800"/>
    <x v="4"/>
    <x v="7"/>
    <n v="40.862249999999996"/>
    <n v="23.799999999999997"/>
    <n v="17.062249999999999"/>
    <n v="47.4"/>
    <n v="0.35996308016877632"/>
  </r>
  <r>
    <x v="1"/>
    <x v="805"/>
    <x v="801"/>
    <x v="4"/>
    <x v="7"/>
    <n v="115.018"/>
    <n v="62.707500000000003"/>
    <n v="52.310499999999998"/>
    <n v="38.950000000000003"/>
    <n v="1.3430166880616174"/>
  </r>
  <r>
    <x v="1"/>
    <x v="806"/>
    <x v="802"/>
    <x v="4"/>
    <x v="7"/>
    <n v="53.591999999999999"/>
    <n v="25.335000000000001"/>
    <n v="28.256999999999998"/>
    <n v="12.72"/>
    <n v="2.2214622641509432"/>
  </r>
  <r>
    <x v="1"/>
    <x v="807"/>
    <x v="803"/>
    <x v="4"/>
    <x v="7"/>
    <n v="24.832500000000003"/>
    <n v="11.48"/>
    <n v="13.352500000000003"/>
    <n v="5.04"/>
    <n v="2.6493055555555558"/>
  </r>
  <r>
    <x v="1"/>
    <x v="808"/>
    <x v="804"/>
    <x v="4"/>
    <x v="7"/>
    <n v="-1.0060000000000002"/>
    <n v="-1.629"/>
    <n v="0.62299999999999978"/>
    <n v="6.48"/>
    <n v="9.6141975308641936E-2"/>
  </r>
  <r>
    <x v="1"/>
    <x v="809"/>
    <x v="805"/>
    <x v="4"/>
    <x v="7"/>
    <n v="9.5760000000000005"/>
    <n v="4.8870000000000005"/>
    <n v="4.6890000000000001"/>
    <n v="9.7200000000000006"/>
    <n v="0.4824074074074074"/>
  </r>
  <r>
    <x v="1"/>
    <x v="810"/>
    <x v="806"/>
    <x v="4"/>
    <x v="7"/>
    <n v="49.45"/>
    <n v="28.77"/>
    <n v="20.680000000000003"/>
    <n v="29.28"/>
    <n v="0.70628415300546454"/>
  </r>
  <r>
    <x v="1"/>
    <x v="811"/>
    <x v="807"/>
    <x v="4"/>
    <x v="7"/>
    <n v="126.99680000000001"/>
    <n v="94.399999999999991"/>
    <n v="32.596800000000016"/>
    <n v="37.76"/>
    <n v="0.86326271186440728"/>
  </r>
  <r>
    <x v="1"/>
    <x v="812"/>
    <x v="808"/>
    <x v="18"/>
    <x v="7"/>
    <n v="41.967636438165563"/>
    <n v="38.451799999999999"/>
    <n v="3.5158364381655645"/>
    <n v="102.4"/>
    <n v="3.433434021646059E-2"/>
  </r>
  <r>
    <x v="1"/>
    <x v="813"/>
    <x v="809"/>
    <x v="9"/>
    <x v="7"/>
    <n v="154.97488626364859"/>
    <n v="78.253199999999993"/>
    <n v="76.721686263648593"/>
    <n v="39.96"/>
    <n v="1.9199621187099247"/>
  </r>
  <r>
    <x v="1"/>
    <x v="814"/>
    <x v="810"/>
    <x v="9"/>
    <x v="7"/>
    <n v="23.640749999999997"/>
    <n v="12.347999999999999"/>
    <n v="11.292749999999998"/>
    <n v="7.94"/>
    <n v="1.4222607052896723"/>
  </r>
  <r>
    <x v="1"/>
    <x v="815"/>
    <x v="811"/>
    <x v="9"/>
    <x v="7"/>
    <n v="424.53"/>
    <n v="287.10410000000002"/>
    <n v="137.42589999999996"/>
    <n v="223.68"/>
    <n v="0.61438617668097262"/>
  </r>
  <r>
    <x v="1"/>
    <x v="816"/>
    <x v="812"/>
    <x v="9"/>
    <x v="7"/>
    <n v="1034.4775"/>
    <n v="548.8590999999999"/>
    <n v="485.61840000000007"/>
    <n v="520.78"/>
    <n v="0.93248281424017831"/>
  </r>
  <r>
    <x v="1"/>
    <x v="817"/>
    <x v="813"/>
    <x v="4"/>
    <x v="7"/>
    <n v="1379.4290266166784"/>
    <n v="791.84589999999992"/>
    <n v="587.58312661667844"/>
    <n v="476.28"/>
    <n v="1.2336926316802688"/>
  </r>
  <r>
    <x v="1"/>
    <x v="818"/>
    <x v="814"/>
    <x v="10"/>
    <x v="7"/>
    <n v="11.571034344573636"/>
    <n v="7.9039999999999999"/>
    <n v="3.6670343445736364"/>
    <n v="11.85"/>
    <n v="0.30945437506950513"/>
  </r>
  <r>
    <x v="1"/>
    <x v="819"/>
    <x v="815"/>
    <x v="4"/>
    <x v="7"/>
    <n v="227.29672488164124"/>
    <n v="122.72200000000001"/>
    <n v="104.57472488164123"/>
    <n v="92.04"/>
    <n v="1.1361877974971886"/>
  </r>
  <r>
    <x v="1"/>
    <x v="820"/>
    <x v="816"/>
    <x v="9"/>
    <x v="7"/>
    <n v="55.390147446409749"/>
    <n v="43.29"/>
    <n v="12.10014744640975"/>
    <n v="43.29"/>
    <n v="0.27951368552575073"/>
  </r>
  <r>
    <x v="1"/>
    <x v="821"/>
    <x v="817"/>
    <x v="9"/>
    <x v="7"/>
    <n v="84.985048083834869"/>
    <n v="45.164400000000001"/>
    <n v="39.820648083834868"/>
    <n v="75.25"/>
    <n v="0.52917804762571252"/>
  </r>
  <r>
    <x v="1"/>
    <x v="822"/>
    <x v="818"/>
    <x v="4"/>
    <x v="7"/>
    <n v="1418.1965384665298"/>
    <n v="860.46739999999988"/>
    <n v="557.72913846652989"/>
    <n v="540.70000000000005"/>
    <n v="1.0314946152515809"/>
  </r>
  <r>
    <x v="1"/>
    <x v="823"/>
    <x v="819"/>
    <x v="4"/>
    <x v="7"/>
    <n v="0"/>
    <n v="0"/>
    <n v="0"/>
    <n v="112.4"/>
    <n v="0"/>
  </r>
  <r>
    <x v="1"/>
    <x v="824"/>
    <x v="820"/>
    <x v="4"/>
    <x v="7"/>
    <n v="133.45400000000001"/>
    <n v="66.724000000000004"/>
    <n v="66.73"/>
    <n v="19.059999999999999"/>
    <n v="3.5010493179433371"/>
  </r>
  <r>
    <x v="1"/>
    <x v="825"/>
    <x v="821"/>
    <x v="4"/>
    <x v="7"/>
    <n v="103.32180000000001"/>
    <n v="63.640000000000008"/>
    <n v="39.681800000000003"/>
    <n v="34.44"/>
    <n v="1.1522009291521489"/>
  </r>
  <r>
    <x v="1"/>
    <x v="826"/>
    <x v="822"/>
    <x v="4"/>
    <x v="7"/>
    <n v="151.816"/>
    <n v="102.0752"/>
    <n v="49.740800000000007"/>
    <n v="76.53"/>
    <n v="0.64995165294655699"/>
  </r>
  <r>
    <x v="1"/>
    <x v="827"/>
    <x v="823"/>
    <x v="9"/>
    <x v="7"/>
    <n v="36.076250000000002"/>
    <n v="28.93"/>
    <n v="7.146250000000002"/>
    <n v="25.35"/>
    <n v="0.28190335305719927"/>
  </r>
  <r>
    <x v="1"/>
    <x v="828"/>
    <x v="824"/>
    <x v="4"/>
    <x v="7"/>
    <n v="2526.0197701536445"/>
    <n v="1624.7632999999994"/>
    <n v="901.25647015364507"/>
    <n v="1296.45"/>
    <n v="0.69517256365740676"/>
  </r>
  <r>
    <x v="1"/>
    <x v="829"/>
    <x v="825"/>
    <x v="8"/>
    <x v="7"/>
    <n v="312.9755275062335"/>
    <n v="257.16600000000005"/>
    <n v="55.809527506233451"/>
    <n v="293.76"/>
    <n v="0.18998341335182956"/>
  </r>
  <r>
    <x v="1"/>
    <x v="830"/>
    <x v="826"/>
    <x v="12"/>
    <x v="7"/>
    <n v="308.85097111716618"/>
    <n v="202.10030000000006"/>
    <n v="106.75067111716612"/>
    <n v="126.4"/>
    <n v="0.84454644871175721"/>
  </r>
  <r>
    <x v="1"/>
    <x v="831"/>
    <x v="827"/>
    <x v="9"/>
    <x v="7"/>
    <n v="74.909399999999991"/>
    <n v="64.970100000000002"/>
    <n v="9.9392999999999887"/>
    <n v="86.6"/>
    <n v="0.11477251732101604"/>
  </r>
  <r>
    <x v="1"/>
    <x v="832"/>
    <x v="828"/>
    <x v="9"/>
    <x v="7"/>
    <n v="172.32977867637064"/>
    <n v="114.20219999999999"/>
    <n v="58.127578676370646"/>
    <n v="133.21"/>
    <n v="0.43636047351077728"/>
  </r>
  <r>
    <x v="1"/>
    <x v="833"/>
    <x v="829"/>
    <x v="4"/>
    <x v="7"/>
    <n v="806.89296472083959"/>
    <n v="336.14829999999995"/>
    <n v="470.74466472083964"/>
    <n v="305.5"/>
    <n v="1.5408990661893278"/>
  </r>
  <r>
    <x v="1"/>
    <x v="834"/>
    <x v="830"/>
    <x v="4"/>
    <x v="7"/>
    <n v="448.97760469998525"/>
    <n v="217.19649999999999"/>
    <n v="231.78110469998526"/>
    <n v="297.35000000000002"/>
    <n v="0.77948917000163187"/>
  </r>
  <r>
    <x v="1"/>
    <x v="835"/>
    <x v="831"/>
    <x v="9"/>
    <x v="7"/>
    <n v="9.9960000000000004"/>
    <n v="9.7925000000000004"/>
    <n v="0.20350000000000001"/>
    <n v="19.579999999999998"/>
    <n v="1.0393258426966295E-2"/>
  </r>
  <r>
    <x v="1"/>
    <x v="836"/>
    <x v="832"/>
    <x v="10"/>
    <x v="7"/>
    <n v="279.62945515181337"/>
    <n v="176.09379999999999"/>
    <n v="103.53565515181339"/>
    <n v="146.69999999999999"/>
    <n v="0.70576452046225902"/>
  </r>
  <r>
    <x v="1"/>
    <x v="837"/>
    <x v="833"/>
    <x v="4"/>
    <x v="7"/>
    <n v="161.99720432614379"/>
    <n v="82.935000000000002"/>
    <n v="79.062204326143785"/>
    <n v="132.63999999999999"/>
    <n v="0.5960660760414942"/>
  </r>
  <r>
    <x v="1"/>
    <x v="838"/>
    <x v="834"/>
    <x v="12"/>
    <x v="7"/>
    <n v="20.986000000000001"/>
    <n v="8.26"/>
    <n v="12.726000000000001"/>
    <n v="16.52"/>
    <n v="0.77033898305084758"/>
  </r>
  <r>
    <x v="1"/>
    <x v="839"/>
    <x v="835"/>
    <x v="4"/>
    <x v="7"/>
    <n v="97.465108541027348"/>
    <n v="37.560299999999991"/>
    <n v="59.904808541027357"/>
    <n v="23.84"/>
    <n v="2.5127855931638994"/>
  </r>
  <r>
    <x v="1"/>
    <x v="840"/>
    <x v="836"/>
    <x v="4"/>
    <x v="7"/>
    <n v="17.256"/>
    <n v="8.8239999999999998"/>
    <n v="8.4320000000000004"/>
    <n v="26.46"/>
    <n v="0.31866969009826152"/>
  </r>
  <r>
    <x v="1"/>
    <x v="841"/>
    <x v="837"/>
    <x v="9"/>
    <x v="7"/>
    <n v="171.798"/>
    <n v="117.86190000000001"/>
    <n v="53.936099999999996"/>
    <n v="124.95"/>
    <n v="0.43166146458583432"/>
  </r>
  <r>
    <x v="1"/>
    <x v="842"/>
    <x v="838"/>
    <x v="9"/>
    <x v="7"/>
    <n v="461.2654"/>
    <n v="163.09"/>
    <n v="298.17539999999997"/>
    <n v="66.44"/>
    <n v="4.4878898254063815"/>
  </r>
  <r>
    <x v="1"/>
    <x v="843"/>
    <x v="839"/>
    <x v="9"/>
    <x v="7"/>
    <n v="-5.0994275008041186"/>
    <n v="-"/>
    <n v="-5.0994275008041186"/>
    <n v="65.39"/>
    <n v="-7.7984821850498834E-2"/>
  </r>
  <r>
    <x v="1"/>
    <x v="844"/>
    <x v="840"/>
    <x v="4"/>
    <x v="7"/>
    <n v="712.57394560119849"/>
    <n v="242.66230000000002"/>
    <n v="469.91164560119847"/>
    <n v="105.4"/>
    <n v="4.4583647590246533"/>
  </r>
  <r>
    <x v="1"/>
    <x v="845"/>
    <x v="841"/>
    <x v="4"/>
    <x v="7"/>
    <n v="1113.0482045432966"/>
    <n v="477.13599999999997"/>
    <n v="635.91220454329664"/>
    <n v="240.48"/>
    <n v="2.6443454946078537"/>
  </r>
  <r>
    <x v="1"/>
    <x v="846"/>
    <x v="842"/>
    <x v="4"/>
    <x v="7"/>
    <n v="4732.3871633364934"/>
    <n v="2153.6277999999998"/>
    <n v="2578.7593633364936"/>
    <n v="1221.32"/>
    <n v="2.1114526605119819"/>
  </r>
  <r>
    <x v="1"/>
    <x v="847"/>
    <x v="843"/>
    <x v="4"/>
    <x v="7"/>
    <n v="3026.4754929953028"/>
    <n v="1866.1989999999992"/>
    <n v="1160.2764929953037"/>
    <n v="726.24"/>
    <n v="1.5976488392202353"/>
  </r>
  <r>
    <x v="1"/>
    <x v="848"/>
    <x v="844"/>
    <x v="4"/>
    <x v="7"/>
    <n v="71.069999999999993"/>
    <n v="39.218600000000002"/>
    <n v="31.851399999999991"/>
    <n v="156.84"/>
    <n v="0.20308212190767655"/>
  </r>
  <r>
    <x v="1"/>
    <x v="849"/>
    <x v="845"/>
    <x v="4"/>
    <x v="7"/>
    <n v="63.520215572984171"/>
    <n v="36.496000000000002"/>
    <n v="27.024215572984168"/>
    <n v="36.479999999999997"/>
    <n v="0.74079538303136439"/>
  </r>
  <r>
    <x v="1"/>
    <x v="850"/>
    <x v="846"/>
    <x v="4"/>
    <x v="7"/>
    <n v="68.968171011557217"/>
    <n v="43.033999999999999"/>
    <n v="25.934171011557218"/>
    <n v="43.02"/>
    <n v="0.60283986544763402"/>
  </r>
  <r>
    <x v="1"/>
    <x v="851"/>
    <x v="847"/>
    <x v="4"/>
    <x v="7"/>
    <n v="0"/>
    <n v="0"/>
    <n v="0"/>
    <n v="21.56"/>
    <n v="0"/>
  </r>
  <r>
    <x v="1"/>
    <x v="852"/>
    <x v="848"/>
    <x v="4"/>
    <x v="7"/>
    <n v="0"/>
    <n v="0"/>
    <n v="0"/>
    <n v="23.08"/>
    <n v="0"/>
  </r>
  <r>
    <x v="1"/>
    <x v="853"/>
    <x v="849"/>
    <x v="4"/>
    <x v="7"/>
    <n v="271.3818"/>
    <n v="181.79889999999997"/>
    <n v="89.582900000000024"/>
    <n v="243.36"/>
    <n v="0.36810856344510196"/>
  </r>
  <r>
    <x v="1"/>
    <x v="854"/>
    <x v="850"/>
    <x v="24"/>
    <x v="7"/>
    <n v="28.814559612807148"/>
    <n v="25.3033"/>
    <n v="3.511259612807148"/>
    <n v="50.6"/>
    <n v="6.939248246654442E-2"/>
  </r>
  <r>
    <x v="1"/>
    <x v="855"/>
    <x v="851"/>
    <x v="4"/>
    <x v="7"/>
    <n v="857.32838250897203"/>
    <n v="472.73270000000008"/>
    <n v="384.59568250897195"/>
    <n v="479.1"/>
    <n v="0.80274615426627416"/>
  </r>
  <r>
    <x v="1"/>
    <x v="856"/>
    <x v="852"/>
    <x v="9"/>
    <x v="7"/>
    <n v="466.33102244397986"/>
    <n v="383.83600000000001"/>
    <n v="82.495022443979849"/>
    <n v="373.76"/>
    <n v="0.2207165626176687"/>
  </r>
  <r>
    <x v="1"/>
    <x v="857"/>
    <x v="853"/>
    <x v="11"/>
    <x v="7"/>
    <n v="196.47395561540836"/>
    <n v="98.989800000000002"/>
    <n v="97.484155615408355"/>
    <n v="131.91999999999999"/>
    <n v="0.73896418750309556"/>
  </r>
  <r>
    <x v="1"/>
    <x v="858"/>
    <x v="854"/>
    <x v="4"/>
    <x v="7"/>
    <n v="945.24675315553156"/>
    <n v="441.1533"/>
    <n v="504.09345315553156"/>
    <n v="385.56"/>
    <n v="1.3074319253956104"/>
  </r>
  <r>
    <x v="1"/>
    <x v="859"/>
    <x v="855"/>
    <x v="4"/>
    <x v="7"/>
    <n v="2550.4354590857233"/>
    <n v="1521.6313999999998"/>
    <n v="1028.8040590857236"/>
    <n v="1008"/>
    <n v="1.0206389475056781"/>
  </r>
  <r>
    <x v="1"/>
    <x v="860"/>
    <x v="856"/>
    <x v="4"/>
    <x v="7"/>
    <n v="409.55930000000001"/>
    <n v="265.16299999999995"/>
    <n v="144.39630000000005"/>
    <n v="261.8"/>
    <n v="0.55155194805194818"/>
  </r>
  <r>
    <x v="1"/>
    <x v="861"/>
    <x v="857"/>
    <x v="4"/>
    <x v="7"/>
    <n v="2075.6518999999998"/>
    <n v="1282.8698999999999"/>
    <n v="792.78199999999993"/>
    <n v="186.42"/>
    <n v="4.2526660229589091"/>
  </r>
  <r>
    <x v="1"/>
    <x v="862"/>
    <x v="858"/>
    <x v="9"/>
    <x v="7"/>
    <n v="1667.6775481491638"/>
    <n v="1011.6296000000001"/>
    <n v="656.04794814916374"/>
    <n v="441.92"/>
    <n v="1.4845400709385492"/>
  </r>
  <r>
    <x v="1"/>
    <x v="863"/>
    <x v="859"/>
    <x v="9"/>
    <x v="7"/>
    <n v="754.90271388329961"/>
    <n v="458.98570000000001"/>
    <n v="295.9170138832996"/>
    <n v="130.5"/>
    <n v="2.2675633247762423"/>
  </r>
  <r>
    <x v="1"/>
    <x v="864"/>
    <x v="860"/>
    <x v="4"/>
    <x v="7"/>
    <n v="638.49671537721611"/>
    <n v="181.27039999999997"/>
    <n v="457.22631537721611"/>
    <n v="139.04"/>
    <n v="3.2884516353367097"/>
  </r>
  <r>
    <x v="1"/>
    <x v="865"/>
    <x v="861"/>
    <x v="4"/>
    <x v="7"/>
    <n v="1074.0471451297217"/>
    <n v="547.27419999999995"/>
    <n v="526.77294512972173"/>
    <n v="226.05"/>
    <n v="2.3303381779682448"/>
  </r>
  <r>
    <x v="1"/>
    <x v="866"/>
    <x v="862"/>
    <x v="4"/>
    <x v="7"/>
    <n v="274.520147258485"/>
    <n v="154.00540000000001"/>
    <n v="120.51474725848499"/>
    <n v="64"/>
    <n v="1.8830429259138279"/>
  </r>
  <r>
    <x v="1"/>
    <x v="867"/>
    <x v="863"/>
    <x v="4"/>
    <x v="7"/>
    <n v="202.14803582865284"/>
    <n v="126.47499999999999"/>
    <n v="75.673035828652843"/>
    <n v="93.03"/>
    <n v="0.81342616176129034"/>
  </r>
  <r>
    <x v="1"/>
    <x v="868"/>
    <x v="864"/>
    <x v="23"/>
    <x v="7"/>
    <n v="101.6952"/>
    <n v="58.72"/>
    <n v="42.975200000000001"/>
    <n v="79.040000000000006"/>
    <n v="0.54371457489878539"/>
  </r>
  <r>
    <x v="1"/>
    <x v="869"/>
    <x v="865"/>
    <x v="4"/>
    <x v="7"/>
    <n v="92.238"/>
    <n v="50.434600000000003"/>
    <n v="41.803399999999996"/>
    <n v="176.47"/>
    <n v="0.23688672295574317"/>
  </r>
  <r>
    <x v="1"/>
    <x v="870"/>
    <x v="866"/>
    <x v="4"/>
    <x v="7"/>
    <n v="3.8946368933100128"/>
    <n v="4.4729999999999999"/>
    <n v="-0.57836310668998703"/>
    <n v="17.84"/>
    <n v="-3.2419456653026181E-2"/>
  </r>
  <r>
    <x v="1"/>
    <x v="871"/>
    <x v="867"/>
    <x v="9"/>
    <x v="7"/>
    <n v="375.08370000000002"/>
    <n v="297.76099999999997"/>
    <n v="77.322700000000054"/>
    <n v="73.48"/>
    <n v="1.0522958628198156"/>
  </r>
  <r>
    <x v="1"/>
    <x v="872"/>
    <x v="868"/>
    <x v="4"/>
    <x v="7"/>
    <n v="35.545200000000001"/>
    <n v="19.37"/>
    <n v="16.1752"/>
    <n v="77.48"/>
    <n v="0.20876613319566339"/>
  </r>
  <r>
    <x v="1"/>
    <x v="873"/>
    <x v="869"/>
    <x v="4"/>
    <x v="7"/>
    <n v="47.977499999999999"/>
    <n v="35.833199999999998"/>
    <n v="12.144300000000001"/>
    <n v="72.16"/>
    <n v="0.16829684035476722"/>
  </r>
  <r>
    <x v="1"/>
    <x v="874"/>
    <x v="870"/>
    <x v="4"/>
    <x v="7"/>
    <n v="1052.3652373124426"/>
    <n v="643.93880000000001"/>
    <n v="408.42643731244254"/>
    <n v="429.66"/>
    <n v="0.95058054580934348"/>
  </r>
  <r>
    <x v="1"/>
    <x v="875"/>
    <x v="871"/>
    <x v="4"/>
    <x v="7"/>
    <n v="506.27829899201191"/>
    <n v="312.14750000000004"/>
    <n v="194.13079899201188"/>
    <n v="182.4"/>
    <n v="1.0643135909649775"/>
  </r>
  <r>
    <x v="1"/>
    <x v="876"/>
    <x v="872"/>
    <x v="9"/>
    <x v="7"/>
    <n v="217.76101610882833"/>
    <n v="156.065"/>
    <n v="61.696016108828331"/>
    <n v="55.92"/>
    <n v="1.1032907029475738"/>
  </r>
  <r>
    <x v="1"/>
    <x v="877"/>
    <x v="873"/>
    <x v="4"/>
    <x v="7"/>
    <n v="1978.5843192697284"/>
    <n v="1242.9947"/>
    <n v="735.58961926972847"/>
    <n v="780.52"/>
    <n v="0.9424353242322151"/>
  </r>
  <r>
    <x v="1"/>
    <x v="878"/>
    <x v="874"/>
    <x v="12"/>
    <x v="7"/>
    <n v="317.495"/>
    <n v="197.75319999999999"/>
    <n v="119.74180000000001"/>
    <n v="238.08"/>
    <n v="0.50294774865591407"/>
  </r>
  <r>
    <x v="1"/>
    <x v="879"/>
    <x v="875"/>
    <x v="9"/>
    <x v="7"/>
    <n v="221.13"/>
    <n v="125.10999999999999"/>
    <n v="96.02000000000001"/>
    <n v="84.74"/>
    <n v="1.133113051687515"/>
  </r>
  <r>
    <x v="1"/>
    <x v="880"/>
    <x v="876"/>
    <x v="9"/>
    <x v="7"/>
    <n v="588.46043121500918"/>
    <n v="404.45000000000005"/>
    <n v="184.01043121500913"/>
    <n v="474.56"/>
    <n v="0.38774956004511363"/>
  </r>
  <r>
    <x v="1"/>
    <x v="881"/>
    <x v="877"/>
    <x v="10"/>
    <x v="7"/>
    <n v="399.02885854219772"/>
    <n v="228.26990000000001"/>
    <n v="170.75895854219772"/>
    <n v="140.13"/>
    <n v="1.2185753125112233"/>
  </r>
  <r>
    <x v="1"/>
    <x v="882"/>
    <x v="878"/>
    <x v="4"/>
    <x v="7"/>
    <n v="964.94454049339322"/>
    <n v="600.56859999999995"/>
    <n v="364.37594049339327"/>
    <n v="303.60000000000002"/>
    <n v="1.2001842572246155"/>
  </r>
  <r>
    <x v="1"/>
    <x v="883"/>
    <x v="879"/>
    <x v="4"/>
    <x v="7"/>
    <n v="442.60300000000001"/>
    <n v="301.14870000000002"/>
    <n v="141.45429999999999"/>
    <n v="315.18"/>
    <n v="0.44880480994986988"/>
  </r>
  <r>
    <x v="1"/>
    <x v="884"/>
    <x v="880"/>
    <x v="4"/>
    <x v="7"/>
    <n v="91.394999999999996"/>
    <n v="60.764499999999998"/>
    <n v="30.630499999999998"/>
    <n v="53.97"/>
    <n v="0.56754678525106539"/>
  </r>
  <r>
    <x v="1"/>
    <x v="885"/>
    <x v="881"/>
    <x v="4"/>
    <x v="7"/>
    <n v="393.91131957772456"/>
    <n v="193.6936"/>
    <n v="200.21771957772455"/>
    <n v="91.8"/>
    <n v="2.1810209104327294"/>
  </r>
  <r>
    <x v="1"/>
    <x v="886"/>
    <x v="882"/>
    <x v="9"/>
    <x v="7"/>
    <n v="24.373999999999999"/>
    <n v="13.17"/>
    <n v="11.203999999999999"/>
    <n v="24.35"/>
    <n v="0.46012320328542089"/>
  </r>
  <r>
    <x v="1"/>
    <x v="887"/>
    <x v="883"/>
    <x v="4"/>
    <x v="7"/>
    <n v="1204.5804491884803"/>
    <n v="651.71260000000018"/>
    <n v="552.86784918848014"/>
    <n v="308.94"/>
    <n v="1.7895638285378395"/>
  </r>
  <r>
    <x v="1"/>
    <x v="888"/>
    <x v="884"/>
    <x v="4"/>
    <x v="7"/>
    <n v="54.51"/>
    <n v="25.849999999999998"/>
    <n v="28.66"/>
    <n v="41.5"/>
    <n v="0.69060240963855424"/>
  </r>
  <r>
    <x v="1"/>
    <x v="889"/>
    <x v="885"/>
    <x v="4"/>
    <x v="7"/>
    <n v="27.957009058270234"/>
    <n v="6.16"/>
    <n v="21.797009058270234"/>
    <n v="2.2000000000000002"/>
    <n v="9.9077313901228337"/>
  </r>
  <r>
    <x v="1"/>
    <x v="890"/>
    <x v="886"/>
    <x v="4"/>
    <x v="7"/>
    <n v="829.86850066690704"/>
    <n v="382.03460000000007"/>
    <n v="447.83390066690697"/>
    <n v="177.46"/>
    <n v="2.5235765843959594"/>
  </r>
  <r>
    <x v="1"/>
    <x v="891"/>
    <x v="887"/>
    <x v="4"/>
    <x v="7"/>
    <n v="4.5649612750844772"/>
    <n v="2.335"/>
    <n v="2.2299612750844773"/>
    <n v="5.98"/>
    <n v="0.37290322325827374"/>
  </r>
  <r>
    <x v="1"/>
    <x v="892"/>
    <x v="888"/>
    <x v="4"/>
    <x v="7"/>
    <n v="5616.5773184284626"/>
    <n v="2745.5959000000003"/>
    <n v="2870.9814184284623"/>
    <n v="1841.84"/>
    <n v="1.5587572310452928"/>
  </r>
  <r>
    <x v="1"/>
    <x v="893"/>
    <x v="889"/>
    <x v="4"/>
    <x v="7"/>
    <n v="31.336903401318096"/>
    <n v="17.337599999999998"/>
    <n v="13.999303401318098"/>
    <n v="8.48"/>
    <n v="1.6508612501554361"/>
  </r>
  <r>
    <x v="1"/>
    <x v="894"/>
    <x v="890"/>
    <x v="4"/>
    <x v="7"/>
    <n v="4.0192500000000004"/>
    <n v="2.1"/>
    <n v="1.9192500000000003"/>
    <n v="2.94"/>
    <n v="0.65280612244897973"/>
  </r>
  <r>
    <x v="1"/>
    <x v="895"/>
    <x v="891"/>
    <x v="4"/>
    <x v="7"/>
    <n v="2564.0286736464823"/>
    <n v="1283.0342000000001"/>
    <n v="1280.9944736464822"/>
    <n v="573.39"/>
    <n v="2.2340718771629819"/>
  </r>
  <r>
    <x v="1"/>
    <x v="896"/>
    <x v="892"/>
    <x v="4"/>
    <x v="7"/>
    <n v="5570.4655666039234"/>
    <n v="1451.4517000000001"/>
    <n v="4119.0138666039238"/>
    <n v="724.08"/>
    <n v="5.688617095630212"/>
  </r>
  <r>
    <x v="1"/>
    <x v="897"/>
    <x v="893"/>
    <x v="4"/>
    <x v="7"/>
    <n v="179.5625"/>
    <n v="110.2482"/>
    <n v="69.314300000000003"/>
    <n v="74.2"/>
    <n v="0.93415498652291107"/>
  </r>
  <r>
    <x v="1"/>
    <x v="898"/>
    <x v="894"/>
    <x v="4"/>
    <x v="7"/>
    <n v="869.35282208777915"/>
    <n v="405.61299999999994"/>
    <n v="463.7398220877792"/>
    <n v="254.4"/>
    <n v="1.8228766591500756"/>
  </r>
  <r>
    <x v="1"/>
    <x v="899"/>
    <x v="895"/>
    <x v="4"/>
    <x v="7"/>
    <n v="122.99519999999998"/>
    <n v="60.830799999999996"/>
    <n v="62.164399999999986"/>
    <n v="39.96"/>
    <n v="1.5556656656656653"/>
  </r>
  <r>
    <x v="1"/>
    <x v="900"/>
    <x v="896"/>
    <x v="4"/>
    <x v="7"/>
    <n v="4530.5165952225643"/>
    <n v="2097.8687999999993"/>
    <n v="2432.647795222565"/>
    <n v="1097.3599999999999"/>
    <n v="2.2168183597202056"/>
  </r>
  <r>
    <x v="1"/>
    <x v="901"/>
    <x v="897"/>
    <x v="4"/>
    <x v="7"/>
    <n v="7.8120000000000003"/>
    <n v="3.84"/>
    <n v="3.9720000000000004"/>
    <n v="5.28"/>
    <n v="0.75227272727272743"/>
  </r>
  <r>
    <x v="1"/>
    <x v="902"/>
    <x v="898"/>
    <x v="4"/>
    <x v="7"/>
    <n v="2.5124999999999997"/>
    <n v="1.1000000000000001"/>
    <n v="1.4124999999999996"/>
    <n v="4.62"/>
    <n v="0.30573593073593064"/>
  </r>
  <r>
    <x v="1"/>
    <x v="903"/>
    <x v="899"/>
    <x v="4"/>
    <x v="7"/>
    <n v="295.4775078319509"/>
    <n v="149.65120000000002"/>
    <n v="145.82630783195088"/>
    <n v="118.08"/>
    <n v="1.2349788942407764"/>
  </r>
  <r>
    <x v="1"/>
    <x v="904"/>
    <x v="900"/>
    <x v="4"/>
    <x v="7"/>
    <n v="544.65478764798786"/>
    <n v="278.77330000000001"/>
    <n v="265.88148764798785"/>
    <n v="115.2"/>
    <n v="2.3079990247221169"/>
  </r>
  <r>
    <x v="1"/>
    <x v="905"/>
    <x v="901"/>
    <x v="4"/>
    <x v="7"/>
    <n v="93.52789858657242"/>
    <n v="40.421000000000006"/>
    <n v="53.106898586572413"/>
    <n v="17.600000000000001"/>
    <n v="3.0174374196916141"/>
  </r>
  <r>
    <x v="1"/>
    <x v="906"/>
    <x v="902"/>
    <x v="4"/>
    <x v="7"/>
    <n v="29.4"/>
    <n v="13.998899999999999"/>
    <n v="15.4011"/>
    <n v="11.34"/>
    <n v="1.3581216931216931"/>
  </r>
  <r>
    <x v="1"/>
    <x v="907"/>
    <x v="903"/>
    <x v="4"/>
    <x v="7"/>
    <n v="300.49617139338659"/>
    <n v="161.07589999999999"/>
    <n v="139.4202713933866"/>
    <n v="121.86"/>
    <n v="1.1441020137320419"/>
  </r>
  <r>
    <x v="1"/>
    <x v="908"/>
    <x v="904"/>
    <x v="4"/>
    <x v="7"/>
    <n v="51.975999999999999"/>
    <n v="30.5"/>
    <n v="21.475999999999999"/>
    <n v="73.2"/>
    <n v="0.29338797814207651"/>
  </r>
  <r>
    <x v="1"/>
    <x v="909"/>
    <x v="905"/>
    <x v="4"/>
    <x v="7"/>
    <n v="928.78649999999982"/>
    <n v="583.221"/>
    <n v="345.56549999999982"/>
    <n v="398.88"/>
    <n v="0.8663395006016843"/>
  </r>
  <r>
    <x v="1"/>
    <x v="910"/>
    <x v="906"/>
    <x v="4"/>
    <x v="7"/>
    <n v="29.82"/>
    <n v="18.216999999999999"/>
    <n v="11.603000000000002"/>
    <n v="18.2"/>
    <n v="0.63752747252747266"/>
  </r>
  <r>
    <x v="1"/>
    <x v="911"/>
    <x v="907"/>
    <x v="4"/>
    <x v="7"/>
    <n v="12.7385"/>
    <n v="6.5474999999999994"/>
    <n v="6.1910000000000007"/>
    <n v="5.88"/>
    <n v="1.0528911564625849"/>
  </r>
  <r>
    <x v="1"/>
    <x v="912"/>
    <x v="908"/>
    <x v="4"/>
    <x v="7"/>
    <n v="548.49098018474103"/>
    <n v="341.62050000000005"/>
    <n v="206.87048018474098"/>
    <n v="234.85"/>
    <n v="0.88086216812748974"/>
  </r>
  <r>
    <x v="1"/>
    <x v="913"/>
    <x v="909"/>
    <x v="4"/>
    <x v="7"/>
    <n v="-1.8989487841057207"/>
    <n v="-"/>
    <n v="-1.8989487841057207"/>
    <n v="20.440000000000001"/>
    <n v="-9.2903560866229001E-2"/>
  </r>
  <r>
    <x v="1"/>
    <x v="914"/>
    <x v="910"/>
    <x v="4"/>
    <x v="7"/>
    <n v="9.1"/>
    <n v="5.0519999999999996"/>
    <n v="4.048"/>
    <n v="5.04"/>
    <n v="0.80317460317460321"/>
  </r>
  <r>
    <x v="1"/>
    <x v="915"/>
    <x v="911"/>
    <x v="4"/>
    <x v="7"/>
    <n v="262.41524217401667"/>
    <n v="127.107"/>
    <n v="135.30824217401667"/>
    <n v="64"/>
    <n v="2.1141912839690105"/>
  </r>
  <r>
    <x v="1"/>
    <x v="916"/>
    <x v="912"/>
    <x v="4"/>
    <x v="7"/>
    <n v="66.435000000000016"/>
    <n v="36"/>
    <n v="30.435000000000016"/>
    <n v="27"/>
    <n v="1.1272222222222228"/>
  </r>
  <r>
    <x v="1"/>
    <x v="917"/>
    <x v="913"/>
    <x v="4"/>
    <x v="7"/>
    <n v="2246.2511110783535"/>
    <n v="1201.9018000000003"/>
    <n v="1044.3493110783531"/>
    <n v="527.1"/>
    <n v="1.9813115368589516"/>
  </r>
  <r>
    <x v="1"/>
    <x v="918"/>
    <x v="914"/>
    <x v="4"/>
    <x v="7"/>
    <n v="567.46434413656129"/>
    <n v="291.90690000000001"/>
    <n v="275.55744413656129"/>
    <n v="144.91"/>
    <n v="1.9015764552933634"/>
  </r>
  <r>
    <x v="1"/>
    <x v="919"/>
    <x v="915"/>
    <x v="4"/>
    <x v="7"/>
    <n v="1973.2056991045799"/>
    <n v="660.43330000000003"/>
    <n v="1312.77239910458"/>
    <n v="241.95"/>
    <n v="5.4258003682768345"/>
  </r>
  <r>
    <x v="1"/>
    <x v="920"/>
    <x v="916"/>
    <x v="9"/>
    <x v="7"/>
    <n v="36.892270233548039"/>
    <n v="25.381999999999998"/>
    <n v="11.510270233548042"/>
    <n v="12.28"/>
    <n v="0.937318422927365"/>
  </r>
  <r>
    <x v="1"/>
    <x v="921"/>
    <x v="917"/>
    <x v="4"/>
    <x v="7"/>
    <n v="288.62527134422874"/>
    <n v="207.0401"/>
    <n v="81.585171344228741"/>
    <n v="107.78"/>
    <n v="0.75696020916894358"/>
  </r>
  <r>
    <x v="1"/>
    <x v="922"/>
    <x v="918"/>
    <x v="4"/>
    <x v="7"/>
    <n v="399.46350783195101"/>
    <n v="297.73180000000002"/>
    <n v="101.73170783195098"/>
    <n v="199.26"/>
    <n v="0.51054756515081301"/>
  </r>
  <r>
    <x v="1"/>
    <x v="923"/>
    <x v="919"/>
    <x v="4"/>
    <x v="7"/>
    <n v="1177.2593210390869"/>
    <n v="521.62419999999997"/>
    <n v="655.63512103908693"/>
    <n v="233.86"/>
    <n v="2.8035368213421998"/>
  </r>
  <r>
    <x v="1"/>
    <x v="924"/>
    <x v="920"/>
    <x v="4"/>
    <x v="7"/>
    <n v="1280.868659244074"/>
    <n v="730.1114"/>
    <n v="550.75725924407402"/>
    <n v="394.47"/>
    <n v="1.3961955516112101"/>
  </r>
  <r>
    <x v="1"/>
    <x v="925"/>
    <x v="921"/>
    <x v="4"/>
    <x v="7"/>
    <n v="351.3438590449997"/>
    <n v="253.99770000000001"/>
    <n v="97.346159044999695"/>
    <n v="240.12"/>
    <n v="0.40540629287439484"/>
  </r>
  <r>
    <x v="1"/>
    <x v="926"/>
    <x v="922"/>
    <x v="4"/>
    <x v="7"/>
    <n v="1166.7456151154211"/>
    <n v="869.16839999999979"/>
    <n v="297.57721511542127"/>
    <n v="426.36"/>
    <n v="0.69794824823018409"/>
  </r>
  <r>
    <x v="1"/>
    <x v="927"/>
    <x v="923"/>
    <x v="29"/>
    <x v="7"/>
    <n v="3878.1829938558167"/>
    <n v="2281.5619999999999"/>
    <n v="1596.6209938558168"/>
    <n v="4559.7"/>
    <n v="0.35015921965388436"/>
  </r>
  <r>
    <x v="1"/>
    <x v="928"/>
    <x v="924"/>
    <x v="31"/>
    <x v="7"/>
    <n v="17677.624445418805"/>
    <n v="11748.026699999999"/>
    <n v="5929.5977454188069"/>
    <n v="5867.01"/>
    <n v="1.0106677413910674"/>
  </r>
  <r>
    <x v="1"/>
    <x v="929"/>
    <x v="925"/>
    <x v="15"/>
    <x v="7"/>
    <n v="267.67199999999997"/>
    <n v="176.68510000000001"/>
    <n v="90.986899999999963"/>
    <n v="106.44"/>
    <n v="0.85481867718902638"/>
  </r>
  <r>
    <x v="1"/>
    <x v="930"/>
    <x v="926"/>
    <x v="32"/>
    <x v="1"/>
    <n v="406.42109999999997"/>
    <n v="3451.1604000000016"/>
    <n v="-3044.7393000000015"/>
    <n v="2242.5"/>
    <n v="-1.357743277591974"/>
  </r>
  <r>
    <x v="1"/>
    <x v="931"/>
    <x v="927"/>
    <x v="29"/>
    <x v="7"/>
    <n v="4628.3427832771658"/>
    <n v="3418.1225999999997"/>
    <n v="1210.2201832771661"/>
    <n v="2075.64"/>
    <n v="0.58305880753751427"/>
  </r>
  <r>
    <x v="1"/>
    <x v="932"/>
    <x v="928"/>
    <x v="29"/>
    <x v="7"/>
    <n v="104234.27802287329"/>
    <n v="78051.918900000019"/>
    <n v="26182.359122873269"/>
    <n v="40683.370000000003"/>
    <n v="0.64356416695257224"/>
  </r>
  <r>
    <x v="1"/>
    <x v="933"/>
    <x v="929"/>
    <x v="29"/>
    <x v="7"/>
    <n v="332.42138869229319"/>
    <n v="347.04109999999997"/>
    <n v="-14.61971130770678"/>
    <n v="1189.2"/>
    <n v="-1.2293736383877213E-2"/>
  </r>
  <r>
    <x v="1"/>
    <x v="934"/>
    <x v="930"/>
    <x v="8"/>
    <x v="7"/>
    <n v="1274.9193652113336"/>
    <n v="13070.260000000006"/>
    <n v="-11795.340634788672"/>
    <n v="4402.5"/>
    <n v="-2.6792369414625035"/>
  </r>
  <r>
    <x v="1"/>
    <x v="935"/>
    <x v="931"/>
    <x v="17"/>
    <x v="7"/>
    <n v="3658.5837116948105"/>
    <n v="3063.4355999999998"/>
    <n v="595.14811169481072"/>
    <n v="1480.77"/>
    <n v="0.40191799651182203"/>
  </r>
  <r>
    <x v="1"/>
    <x v="936"/>
    <x v="932"/>
    <x v="17"/>
    <x v="7"/>
    <n v="8151.4313566031642"/>
    <n v="5425.1277999999993"/>
    <n v="2726.3035566031649"/>
    <n v="4654.62"/>
    <n v="0.5857198990687027"/>
  </r>
  <r>
    <x v="1"/>
    <x v="937"/>
    <x v="933"/>
    <x v="17"/>
    <x v="7"/>
    <n v="30654.699050832933"/>
    <n v="20029.372400000004"/>
    <n v="10625.326650832929"/>
    <n v="11448.96"/>
    <n v="0.92806042215475715"/>
  </r>
  <r>
    <x v="1"/>
    <x v="938"/>
    <x v="934"/>
    <x v="17"/>
    <x v="7"/>
    <n v="207758.15968732079"/>
    <n v="118736.52980000003"/>
    <n v="89021.629887320756"/>
    <n v="40265.279999999999"/>
    <n v="2.2108782029411129"/>
  </r>
  <r>
    <x v="1"/>
    <x v="939"/>
    <x v="935"/>
    <x v="17"/>
    <x v="7"/>
    <n v="35674.675755286728"/>
    <n v="22299.390099999997"/>
    <n v="13375.285655286731"/>
    <n v="10901.67"/>
    <n v="1.226902452127677"/>
  </r>
  <r>
    <x v="1"/>
    <x v="940"/>
    <x v="936"/>
    <x v="17"/>
    <x v="7"/>
    <n v="668.25780000000009"/>
    <n v="815.77980000000002"/>
    <n v="-147.52199999999993"/>
    <n v="1152.06"/>
    <n v="-0.12805062236341852"/>
  </r>
  <r>
    <x v="1"/>
    <x v="941"/>
    <x v="937"/>
    <x v="8"/>
    <x v="7"/>
    <n v="2533.9299992172987"/>
    <n v="2878.5308999999997"/>
    <n v="-344.60090078270105"/>
    <n v="1554.8"/>
    <n v="-0.22163680266445912"/>
  </r>
  <r>
    <x v="1"/>
    <x v="942"/>
    <x v="938"/>
    <x v="4"/>
    <x v="7"/>
    <n v="99.238664921675294"/>
    <n v="62.3917"/>
    <n v="36.846964921675294"/>
    <n v="43.01"/>
    <n v="0.85670692680016947"/>
  </r>
  <r>
    <x v="1"/>
    <x v="943"/>
    <x v="939"/>
    <x v="4"/>
    <x v="7"/>
    <n v="433.10464263726811"/>
    <n v="220.24"/>
    <n v="212.8646426372681"/>
    <n v="330.24"/>
    <n v="0.64457558938126236"/>
  </r>
  <r>
    <x v="1"/>
    <x v="944"/>
    <x v="940"/>
    <x v="4"/>
    <x v="7"/>
    <n v="1148.367118360412"/>
    <n v="502.4969999999999"/>
    <n v="645.87011836041211"/>
    <n v="295.11"/>
    <n v="2.1885741532323948"/>
  </r>
  <r>
    <x v="1"/>
    <x v="945"/>
    <x v="941"/>
    <x v="4"/>
    <x v="7"/>
    <n v="242.00850780952956"/>
    <n v="93.081299999999999"/>
    <n v="148.92720780952956"/>
    <n v="48.64"/>
    <n v="3.0618258184524993"/>
  </r>
  <r>
    <x v="1"/>
    <x v="946"/>
    <x v="942"/>
    <x v="4"/>
    <x v="7"/>
    <n v="159.39367935378198"/>
    <n v="113.92149999999999"/>
    <n v="45.472179353781982"/>
    <n v="95.85"/>
    <n v="0.47440980024811663"/>
  </r>
  <r>
    <x v="1"/>
    <x v="947"/>
    <x v="943"/>
    <x v="12"/>
    <x v="7"/>
    <n v="201.83514643005097"/>
    <n v="99.911300000000026"/>
    <n v="101.92384643005094"/>
    <n v="51.57"/>
    <n v="1.9764174215639121"/>
  </r>
  <r>
    <x v="1"/>
    <x v="948"/>
    <x v="944"/>
    <x v="4"/>
    <x v="7"/>
    <n v="451.44189018180322"/>
    <n v="150.70089999999996"/>
    <n v="300.74099018180323"/>
    <n v="64"/>
    <n v="4.6990779715906754"/>
  </r>
  <r>
    <x v="1"/>
    <x v="949"/>
    <x v="945"/>
    <x v="4"/>
    <x v="7"/>
    <n v="14.68264440565347"/>
    <n v="5.76"/>
    <n v="8.9226444056534699"/>
    <n v="5.76"/>
    <n v="1.5490702093148385"/>
  </r>
  <r>
    <x v="1"/>
    <x v="950"/>
    <x v="946"/>
    <x v="4"/>
    <x v="7"/>
    <n v="246.79806476823143"/>
    <n v="105.66019999999999"/>
    <n v="141.13786476823145"/>
    <n v="49.68"/>
    <n v="2.8409393069289743"/>
  </r>
  <r>
    <x v="1"/>
    <x v="951"/>
    <x v="947"/>
    <x v="4"/>
    <x v="7"/>
    <n v="769.03307448943053"/>
    <n v="312.20749999999998"/>
    <n v="456.82557448943055"/>
    <n v="110.4"/>
    <n v="4.1379128124042621"/>
  </r>
  <r>
    <x v="1"/>
    <x v="952"/>
    <x v="948"/>
    <x v="4"/>
    <x v="7"/>
    <n v="147.98731317667736"/>
    <n v="34.861800000000002"/>
    <n v="113.12551317667736"/>
    <n v="17.5"/>
    <n v="6.4643150386672774"/>
  </r>
  <r>
    <x v="1"/>
    <x v="953"/>
    <x v="949"/>
    <x v="9"/>
    <x v="7"/>
    <n v="13.002000000000001"/>
    <n v="5.2716000000000003"/>
    <n v="7.7304000000000004"/>
    <n v="4.0599999999999996"/>
    <n v="1.9040394088669954"/>
  </r>
  <r>
    <x v="1"/>
    <x v="954"/>
    <x v="950"/>
    <x v="4"/>
    <x v="7"/>
    <n v="42.804418463707044"/>
    <n v="20.951200000000004"/>
    <n v="21.853218463707041"/>
    <n v="11.96"/>
    <n v="1.827192179239719"/>
  </r>
  <r>
    <x v="1"/>
    <x v="955"/>
    <x v="951"/>
    <x v="10"/>
    <x v="7"/>
    <n v="3.3120008491511053"/>
    <n v="1.8599999999999999"/>
    <n v="1.4520008491511054"/>
    <n v="1.24"/>
    <n v="1.1709684267347624"/>
  </r>
  <r>
    <x v="1"/>
    <x v="956"/>
    <x v="952"/>
    <x v="4"/>
    <x v="7"/>
    <n v="61.253283010886193"/>
    <n v="33.271699999999996"/>
    <n v="27.981583010886197"/>
    <n v="16.5"/>
    <n v="1.6958535158112846"/>
  </r>
  <r>
    <x v="1"/>
    <x v="957"/>
    <x v="953"/>
    <x v="4"/>
    <x v="7"/>
    <n v="5.3514999999999997"/>
    <n v="2.4668000000000001"/>
    <n v="2.8846999999999996"/>
    <n v="2.2999999999999998"/>
    <n v="1.2542173913043475"/>
  </r>
  <r>
    <x v="1"/>
    <x v="958"/>
    <x v="954"/>
    <x v="4"/>
    <x v="7"/>
    <n v="199.82227901129733"/>
    <n v="59.255600000000015"/>
    <n v="140.56667901129731"/>
    <n v="19"/>
    <n v="7.3982462637524904"/>
  </r>
  <r>
    <x v="1"/>
    <x v="959"/>
    <x v="955"/>
    <x v="4"/>
    <x v="7"/>
    <n v="1003.5053800342105"/>
    <n v="663.98910000000012"/>
    <n v="339.51628003421035"/>
    <n v="306.94"/>
    <n v="1.1061324038385689"/>
  </r>
  <r>
    <x v="1"/>
    <x v="960"/>
    <x v="956"/>
    <x v="4"/>
    <x v="7"/>
    <n v="23.145094070243339"/>
    <n v="7.391499999999998"/>
    <n v="15.753594070243341"/>
    <n v="5.32"/>
    <n v="2.9612018929028836"/>
  </r>
  <r>
    <x v="1"/>
    <x v="961"/>
    <x v="957"/>
    <x v="4"/>
    <x v="7"/>
    <n v="17.342803931090078"/>
    <n v="6.2875000000000005"/>
    <n v="11.055303931090076"/>
    <n v="3.2"/>
    <n v="3.4547824784656487"/>
  </r>
  <r>
    <x v="1"/>
    <x v="962"/>
    <x v="958"/>
    <x v="4"/>
    <x v="7"/>
    <n v="6.2250000000000005"/>
    <n v="1.778"/>
    <n v="4.447000000000001"/>
    <n v="3.4"/>
    <n v="1.3079411764705884"/>
  </r>
  <r>
    <x v="1"/>
    <x v="963"/>
    <x v="959"/>
    <x v="12"/>
    <x v="7"/>
    <n v="36.664499999999997"/>
    <n v="16.18"/>
    <n v="20.484499999999997"/>
    <n v="13.44"/>
    <n v="1.5241443452380952"/>
  </r>
  <r>
    <x v="1"/>
    <x v="964"/>
    <x v="960"/>
    <x v="4"/>
    <x v="7"/>
    <n v="12.474958558435342"/>
    <n v="1.6360000000000001"/>
    <n v="10.838958558435341"/>
    <n v="2"/>
    <n v="5.4194792792176703"/>
  </r>
  <r>
    <x v="1"/>
    <x v="965"/>
    <x v="961"/>
    <x v="4"/>
    <x v="7"/>
    <n v="111.17290000000001"/>
    <n v="34.922200000000011"/>
    <n v="76.250699999999995"/>
    <n v="24.78"/>
    <n v="3.0771065375302662"/>
  </r>
  <r>
    <x v="1"/>
    <x v="966"/>
    <x v="962"/>
    <x v="9"/>
    <x v="7"/>
    <n v="8.6625000000000014"/>
    <n v="4.2299999999999995"/>
    <n v="4.4325000000000019"/>
    <n v="4.1100000000000003"/>
    <n v="1.0784671532846719"/>
  </r>
  <r>
    <x v="1"/>
    <x v="967"/>
    <x v="963"/>
    <x v="4"/>
    <x v="7"/>
    <n v="730.97899268268316"/>
    <n v="277.1173"/>
    <n v="453.86169268268316"/>
    <n v="113.92"/>
    <n v="3.9840387349252384"/>
  </r>
  <r>
    <x v="1"/>
    <x v="968"/>
    <x v="964"/>
    <x v="4"/>
    <x v="7"/>
    <n v="134.28491875168942"/>
    <n v="67.891599999999997"/>
    <n v="66.393318751689421"/>
    <n v="36.32"/>
    <n v="1.8280098775244884"/>
  </r>
  <r>
    <x v="1"/>
    <x v="969"/>
    <x v="965"/>
    <x v="4"/>
    <x v="7"/>
    <n v="106.577125"/>
    <n v="43.198499999999996"/>
    <n v="63.378625"/>
    <n v="12.48"/>
    <n v="5.07841546474359"/>
  </r>
  <r>
    <x v="1"/>
    <x v="970"/>
    <x v="966"/>
    <x v="9"/>
    <x v="7"/>
    <n v="14.457000000000001"/>
    <n v="5.0944000000000003"/>
    <n v="9.3626000000000005"/>
    <n v="5.04"/>
    <n v="1.8576587301587302"/>
  </r>
  <r>
    <x v="1"/>
    <x v="971"/>
    <x v="967"/>
    <x v="4"/>
    <x v="7"/>
    <n v="11.25"/>
    <n v="5.4"/>
    <n v="5.85"/>
    <n v="3.24"/>
    <n v="1.8055555555555554"/>
  </r>
  <r>
    <x v="1"/>
    <x v="972"/>
    <x v="968"/>
    <x v="4"/>
    <x v="7"/>
    <n v="24.578475802774403"/>
    <n v="6.93"/>
    <n v="17.648475802774403"/>
    <n v="3.08"/>
    <n v="5.7300246112903901"/>
  </r>
  <r>
    <x v="1"/>
    <x v="973"/>
    <x v="969"/>
    <x v="9"/>
    <x v="7"/>
    <n v="46.196877288542822"/>
    <n v="22.052299999999995"/>
    <n v="24.144577288542827"/>
    <n v="14.5"/>
    <n v="1.6651432612788157"/>
  </r>
  <r>
    <x v="1"/>
    <x v="974"/>
    <x v="970"/>
    <x v="4"/>
    <x v="7"/>
    <n v="90.933000000000007"/>
    <n v="31.74"/>
    <n v="59.193000000000012"/>
    <n v="41"/>
    <n v="1.4437317073170735"/>
  </r>
  <r>
    <x v="1"/>
    <x v="975"/>
    <x v="971"/>
    <x v="4"/>
    <x v="7"/>
    <n v="158.55398089804899"/>
    <n v="72.350699999999989"/>
    <n v="86.203280898049002"/>
    <n v="47.2"/>
    <n v="1.8263406969925637"/>
  </r>
  <r>
    <x v="1"/>
    <x v="976"/>
    <x v="972"/>
    <x v="4"/>
    <x v="7"/>
    <n v="1340.7063078513859"/>
    <n v="502.46870000000018"/>
    <n v="838.23760785138575"/>
    <n v="272.8"/>
    <n v="3.0727185038540532"/>
  </r>
  <r>
    <x v="1"/>
    <x v="977"/>
    <x v="973"/>
    <x v="4"/>
    <x v="7"/>
    <n v="457.57332972912957"/>
    <n v="155.76480000000001"/>
    <n v="301.80852972912953"/>
    <n v="56"/>
    <n v="5.3894380308773133"/>
  </r>
  <r>
    <x v="1"/>
    <x v="978"/>
    <x v="974"/>
    <x v="4"/>
    <x v="7"/>
    <n v="504.52855249204379"/>
    <n v="222.69439999999992"/>
    <n v="281.83415249204387"/>
    <n v="77.5"/>
    <n v="3.6365697095747596"/>
  </r>
  <r>
    <x v="1"/>
    <x v="979"/>
    <x v="975"/>
    <x v="4"/>
    <x v="7"/>
    <n v="551.02290114385937"/>
    <n v="233.51530000000008"/>
    <n v="317.50760114385929"/>
    <n v="91.18"/>
    <n v="3.4822066368047744"/>
  </r>
  <r>
    <x v="1"/>
    <x v="980"/>
    <x v="976"/>
    <x v="9"/>
    <x v="7"/>
    <n v="3.8879999999999999"/>
    <n v="1.6888000000000001"/>
    <n v="2.1991999999999998"/>
    <n v="3.36"/>
    <n v="0.65452380952380951"/>
  </r>
  <r>
    <x v="1"/>
    <x v="981"/>
    <x v="977"/>
    <x v="9"/>
    <x v="7"/>
    <n v="56.459232461719665"/>
    <n v="30.611000000000001"/>
    <n v="25.848232461719665"/>
    <n v="25.02"/>
    <n v="1.033102816215814"/>
  </r>
  <r>
    <x v="1"/>
    <x v="982"/>
    <x v="978"/>
    <x v="9"/>
    <x v="7"/>
    <n v="18.523400282742418"/>
    <n v="10.8108"/>
    <n v="7.712600282742418"/>
    <n v="6"/>
    <n v="1.2854333804570697"/>
  </r>
  <r>
    <x v="1"/>
    <x v="983"/>
    <x v="979"/>
    <x v="4"/>
    <x v="7"/>
    <n v="2.2800000000000002"/>
    <n v="1.1200000000000001"/>
    <n v="1.1600000000000001"/>
    <n v="0.23"/>
    <n v="5.0434782608695654"/>
  </r>
  <r>
    <x v="1"/>
    <x v="984"/>
    <x v="980"/>
    <x v="9"/>
    <x v="7"/>
    <n v="-0.28802966197705321"/>
    <n v="-"/>
    <n v="-0.28802966197705321"/>
    <n v="15.9"/>
    <n v="-1.811507308031781E-2"/>
  </r>
  <r>
    <x v="1"/>
    <x v="985"/>
    <x v="981"/>
    <x v="9"/>
    <x v="7"/>
    <n v="24.860800844531269"/>
    <n v="12.4512"/>
    <n v="12.409600844531269"/>
    <n v="6.2"/>
    <n v="2.0015485233114951"/>
  </r>
  <r>
    <x v="1"/>
    <x v="986"/>
    <x v="982"/>
    <x v="9"/>
    <x v="7"/>
    <n v="22.525378328229881"/>
    <n v="13.513199999999999"/>
    <n v="9.0121783282298811"/>
    <n v="8"/>
    <n v="1.1265222910287351"/>
  </r>
  <r>
    <x v="1"/>
    <x v="987"/>
    <x v="983"/>
    <x v="9"/>
    <x v="7"/>
    <n v="14.332699999999999"/>
    <n v="6.4019999999999992"/>
    <n v="7.9306999999999999"/>
    <n v="17.04"/>
    <n v="0.4654166666666667"/>
  </r>
  <r>
    <x v="1"/>
    <x v="988"/>
    <x v="984"/>
    <x v="4"/>
    <x v="7"/>
    <n v="75.46960690893107"/>
    <n v="40.663599999999995"/>
    <n v="34.806006908931074"/>
    <n v="26.4"/>
    <n v="1.3184093526110257"/>
  </r>
  <r>
    <x v="1"/>
    <x v="989"/>
    <x v="985"/>
    <x v="4"/>
    <x v="7"/>
    <n v="47.2119127402038"/>
    <n v="23.92"/>
    <n v="23.291912740203799"/>
    <n v="5.46"/>
    <n v="4.26591808428641"/>
  </r>
  <r>
    <x v="1"/>
    <x v="990"/>
    <x v="986"/>
    <x v="4"/>
    <x v="7"/>
    <n v="18.781556210389546"/>
    <n v="7.1809999999999992"/>
    <n v="11.600556210389547"/>
    <n v="2.76"/>
    <n v="4.2031000762280959"/>
  </r>
  <r>
    <x v="1"/>
    <x v="991"/>
    <x v="987"/>
    <x v="4"/>
    <x v="7"/>
    <n v="231.68111095329454"/>
    <n v="89.691700000000026"/>
    <n v="141.98941095329451"/>
    <n v="56.35"/>
    <n v="2.5197765918951998"/>
  </r>
  <r>
    <x v="1"/>
    <x v="992"/>
    <x v="988"/>
    <x v="9"/>
    <x v="7"/>
    <n v="11.6616"/>
    <n v="5.6219999999999999"/>
    <n v="6.0396000000000001"/>
    <n v="1.7"/>
    <n v="3.5527058823529414"/>
  </r>
  <r>
    <x v="1"/>
    <x v="993"/>
    <x v="989"/>
    <x v="4"/>
    <x v="7"/>
    <n v="4.5881393007378808"/>
    <n v="1.7999999999999998"/>
    <n v="2.788139300737881"/>
    <n v="1.8"/>
    <n v="1.5489662781877118"/>
  </r>
  <r>
    <x v="1"/>
    <x v="994"/>
    <x v="990"/>
    <x v="4"/>
    <x v="7"/>
    <n v="-4.3827954541592318"/>
    <n v="-2.1450000000000005"/>
    <n v="-2.2377954541592313"/>
    <n v="11.2"/>
    <n v="-0.19980316554993136"/>
  </r>
  <r>
    <x v="1"/>
    <x v="995"/>
    <x v="991"/>
    <x v="4"/>
    <x v="7"/>
    <n v="1.8959999999999999"/>
    <n v="0.71"/>
    <n v="1.1859999999999999"/>
    <n v="1.42"/>
    <n v="0.8352112676056338"/>
  </r>
  <r>
    <x v="1"/>
    <x v="996"/>
    <x v="992"/>
    <x v="4"/>
    <x v="7"/>
    <n v="39.446300308678246"/>
    <n v="18.789300000000001"/>
    <n v="20.657000308678246"/>
    <n v="10.35"/>
    <n v="1.9958454404520045"/>
  </r>
  <r>
    <x v="1"/>
    <x v="997"/>
    <x v="993"/>
    <x v="4"/>
    <x v="7"/>
    <n v="11.321074865414175"/>
    <n v="5.0286"/>
    <n v="6.2924748654141753"/>
    <n v="5.05"/>
    <n v="1.2460346268146882"/>
  </r>
  <r>
    <x v="1"/>
    <x v="998"/>
    <x v="994"/>
    <x v="4"/>
    <x v="7"/>
    <n v="174.05318884029003"/>
    <n v="89.562300000000008"/>
    <n v="84.490888840290026"/>
    <n v="66"/>
    <n v="1.2801649824286367"/>
  </r>
  <r>
    <x v="1"/>
    <x v="999"/>
    <x v="995"/>
    <x v="9"/>
    <x v="7"/>
    <n v="22.504879249999998"/>
    <n v="11.180859999999999"/>
    <n v="11.324019249999999"/>
    <n v="6.09"/>
    <n v="1.8594448686371099"/>
  </r>
  <r>
    <x v="1"/>
    <x v="1000"/>
    <x v="996"/>
    <x v="9"/>
    <x v="7"/>
    <n v="70.271000000000001"/>
    <n v="39.96"/>
    <n v="30.311"/>
    <n v="23.8"/>
    <n v="1.2735714285714286"/>
  </r>
  <r>
    <x v="1"/>
    <x v="1001"/>
    <x v="997"/>
    <x v="9"/>
    <x v="7"/>
    <n v="37.728000000000002"/>
    <n v="16.0824"/>
    <n v="21.645600000000002"/>
    <n v="13.4"/>
    <n v="1.6153432835820896"/>
  </r>
  <r>
    <x v="1"/>
    <x v="1002"/>
    <x v="998"/>
    <x v="9"/>
    <x v="7"/>
    <n v="60.946650000000005"/>
    <n v="26.361600000000003"/>
    <n v="34.585050000000003"/>
    <n v="10.5"/>
    <n v="3.2938142857142858"/>
  </r>
  <r>
    <x v="1"/>
    <x v="1003"/>
    <x v="999"/>
    <x v="4"/>
    <x v="7"/>
    <n v="157.88923594505343"/>
    <n v="60.810299999999991"/>
    <n v="97.078935945053445"/>
    <n v="34.72"/>
    <n v="2.7960523025649033"/>
  </r>
  <r>
    <x v="1"/>
    <x v="1004"/>
    <x v="1000"/>
    <x v="4"/>
    <x v="7"/>
    <n v="566.65507335270615"/>
    <n v="249.11440000000002"/>
    <n v="317.54067335270611"/>
    <n v="130.75"/>
    <n v="2.4286093564260507"/>
  </r>
  <r>
    <x v="1"/>
    <x v="1005"/>
    <x v="1001"/>
    <x v="4"/>
    <x v="7"/>
    <n v="69.863212612810244"/>
    <n v="32.91020000000001"/>
    <n v="36.953012612810234"/>
    <n v="18.920000000000002"/>
    <n v="1.9531190598736907"/>
  </r>
  <r>
    <x v="1"/>
    <x v="1006"/>
    <x v="1002"/>
    <x v="4"/>
    <x v="7"/>
    <n v="42.332283814638458"/>
    <n v="18.8506"/>
    <n v="23.481683814638458"/>
    <n v="12.32"/>
    <n v="1.9059808291102645"/>
  </r>
  <r>
    <x v="1"/>
    <x v="1007"/>
    <x v="1003"/>
    <x v="4"/>
    <x v="7"/>
    <n v="3.444"/>
    <n v="1.92"/>
    <n v="1.524"/>
    <n v="5.76"/>
    <n v="0.26458333333333334"/>
  </r>
  <r>
    <x v="1"/>
    <x v="1008"/>
    <x v="1004"/>
    <x v="4"/>
    <x v="7"/>
    <n v="540.14934944472509"/>
    <n v="194.3484"/>
    <n v="345.80094944472512"/>
    <n v="69.75"/>
    <n v="4.9577197053007183"/>
  </r>
  <r>
    <x v="1"/>
    <x v="1009"/>
    <x v="1005"/>
    <x v="4"/>
    <x v="7"/>
    <n v="1570.387463651032"/>
    <n v="1004.7520000000004"/>
    <n v="565.63546365103161"/>
    <n v="500.46"/>
    <n v="1.1302311146765609"/>
  </r>
  <r>
    <x v="1"/>
    <x v="1010"/>
    <x v="1006"/>
    <x v="4"/>
    <x v="7"/>
    <n v="209.94469884528951"/>
    <n v="99.62639999999999"/>
    <n v="110.31829884528952"/>
    <n v="69.44"/>
    <n v="1.5886851792236394"/>
  </r>
  <r>
    <x v="1"/>
    <x v="1011"/>
    <x v="1007"/>
    <x v="9"/>
    <x v="7"/>
    <n v="17.724"/>
    <n v="9.57"/>
    <n v="8.1539999999999999"/>
    <n v="9.56"/>
    <n v="0.852928870292887"/>
  </r>
  <r>
    <x v="1"/>
    <x v="1012"/>
    <x v="1008"/>
    <x v="4"/>
    <x v="7"/>
    <n v="4.3499999999999996"/>
    <n v="0.96"/>
    <n v="3.3899999999999997"/>
    <n v="4.8"/>
    <n v="0.70624999999999993"/>
  </r>
  <r>
    <x v="1"/>
    <x v="1013"/>
    <x v="1009"/>
    <x v="12"/>
    <x v="7"/>
    <n v="98.12345387858791"/>
    <n v="47.181300000000007"/>
    <n v="50.942153878587902"/>
    <n v="28.8"/>
    <n v="1.768824787450969"/>
  </r>
  <r>
    <x v="1"/>
    <x v="1014"/>
    <x v="1010"/>
    <x v="4"/>
    <x v="7"/>
    <n v="9.4874999999999989"/>
    <n v="4.1400000000000006"/>
    <n v="5.3474999999999984"/>
    <n v="13.8"/>
    <n v="0.38749999999999984"/>
  </r>
  <r>
    <x v="1"/>
    <x v="1015"/>
    <x v="1011"/>
    <x v="4"/>
    <x v="7"/>
    <n v="12.65"/>
    <n v="6.2367999999999997"/>
    <n v="6.4132000000000007"/>
    <n v="4.83"/>
    <n v="1.3277846790890271"/>
  </r>
  <r>
    <x v="1"/>
    <x v="1016"/>
    <x v="1012"/>
    <x v="9"/>
    <x v="7"/>
    <n v="17.798747353732963"/>
    <n v="7.42"/>
    <n v="10.378747353732964"/>
    <n v="10.8"/>
    <n v="0.96099512534564469"/>
  </r>
  <r>
    <x v="1"/>
    <x v="1017"/>
    <x v="1013"/>
    <x v="4"/>
    <x v="7"/>
    <n v="35.077159523025578"/>
    <n v="12.6274"/>
    <n v="22.449759523025577"/>
    <n v="16.5"/>
    <n v="1.3605914862439743"/>
  </r>
  <r>
    <x v="1"/>
    <x v="1018"/>
    <x v="1014"/>
    <x v="4"/>
    <x v="7"/>
    <n v="85.337055009410363"/>
    <n v="39.843199999999996"/>
    <n v="45.493855009410368"/>
    <n v="29.44"/>
    <n v="1.5453075750479064"/>
  </r>
  <r>
    <x v="1"/>
    <x v="1019"/>
    <x v="1015"/>
    <x v="4"/>
    <x v="7"/>
    <n v="42.75"/>
    <n v="5.6135999999999999"/>
    <n v="37.136400000000002"/>
    <n v="3.1"/>
    <n v="11.979483870967742"/>
  </r>
  <r>
    <x v="1"/>
    <x v="1020"/>
    <x v="1016"/>
    <x v="9"/>
    <x v="7"/>
    <n v="2.5232000000000001"/>
    <n v="0.97199999999999998"/>
    <n v="1.5512000000000001"/>
    <n v="0.81"/>
    <n v="1.9150617283950617"/>
  </r>
  <r>
    <x v="1"/>
    <x v="1021"/>
    <x v="1017"/>
    <x v="4"/>
    <x v="7"/>
    <n v="8.0324999999999989"/>
    <n v="3.0790999999999999"/>
    <n v="4.9533999999999985"/>
    <n v="5.16"/>
    <n v="0.95996124031007724"/>
  </r>
  <r>
    <x v="1"/>
    <x v="1022"/>
    <x v="1018"/>
    <x v="4"/>
    <x v="7"/>
    <n v="167.5368552904435"/>
    <n v="65.063299999999998"/>
    <n v="102.4735552904435"/>
    <n v="31"/>
    <n v="3.3055985577562419"/>
  </r>
  <r>
    <x v="1"/>
    <x v="1023"/>
    <x v="1019"/>
    <x v="4"/>
    <x v="7"/>
    <n v="44.19143841885672"/>
    <n v="22.974699999999995"/>
    <n v="21.216738418856725"/>
    <n v="11.6"/>
    <n v="1.8290291740393729"/>
  </r>
  <r>
    <x v="1"/>
    <x v="1024"/>
    <x v="1020"/>
    <x v="4"/>
    <x v="7"/>
    <n v="2.5760000000000001"/>
    <n v="1.85"/>
    <n v="0.72599999999999998"/>
    <n v="7.2"/>
    <n v="0.10083333333333334"/>
  </r>
  <r>
    <x v="1"/>
    <x v="1025"/>
    <x v="1021"/>
    <x v="10"/>
    <x v="7"/>
    <n v="4.4400000000000004"/>
    <n v="0"/>
    <n v="4.4400000000000004"/>
    <n v="10.24"/>
    <n v="0.43359375000000006"/>
  </r>
  <r>
    <x v="1"/>
    <x v="1026"/>
    <x v="1022"/>
    <x v="4"/>
    <x v="7"/>
    <n v="84.902198948344221"/>
    <n v="39.509"/>
    <n v="45.393198948344221"/>
    <n v="24.32"/>
    <n v="1.8664966672838907"/>
  </r>
  <r>
    <x v="1"/>
    <x v="1027"/>
    <x v="1023"/>
    <x v="4"/>
    <x v="7"/>
    <n v="58.06450530767345"/>
    <n v="31.537499999999994"/>
    <n v="26.527005307673456"/>
    <n v="41.2"/>
    <n v="0.6438593521279965"/>
  </r>
  <r>
    <x v="1"/>
    <x v="1028"/>
    <x v="1024"/>
    <x v="4"/>
    <x v="7"/>
    <n v="1368.8323995674687"/>
    <n v="472.46650000000011"/>
    <n v="896.36589956746855"/>
    <n v="172.9"/>
    <n v="5.1843024844850696"/>
  </r>
  <r>
    <x v="1"/>
    <x v="1029"/>
    <x v="1025"/>
    <x v="9"/>
    <x v="7"/>
    <n v="46.849590376443032"/>
    <n v="19.5762"/>
    <n v="27.273390376443032"/>
    <n v="54.72"/>
    <n v="0.4984172217917221"/>
  </r>
  <r>
    <x v="1"/>
    <x v="1030"/>
    <x v="1026"/>
    <x v="4"/>
    <x v="7"/>
    <n v="69.631736008596008"/>
    <n v="35.534800000000004"/>
    <n v="34.096936008596003"/>
    <n v="12.48"/>
    <n v="2.7321262827400643"/>
  </r>
  <r>
    <x v="1"/>
    <x v="1031"/>
    <x v="1027"/>
    <x v="9"/>
    <x v="7"/>
    <n v="49.581847207629252"/>
    <n v="24.691200000000002"/>
    <n v="24.89064720762925"/>
    <n v="82.2"/>
    <n v="0.3028059271001125"/>
  </r>
  <r>
    <x v="1"/>
    <x v="1032"/>
    <x v="1028"/>
    <x v="4"/>
    <x v="7"/>
    <n v="502.41292268593344"/>
    <n v="242.43590000000006"/>
    <n v="259.97702268593338"/>
    <n v="143.52000000000001"/>
    <n v="1.8114341045563922"/>
  </r>
  <r>
    <x v="1"/>
    <x v="1033"/>
    <x v="1029"/>
    <x v="4"/>
    <x v="7"/>
    <n v="0"/>
    <n v="0"/>
    <n v="0"/>
    <n v="6.6"/>
    <n v="0"/>
  </r>
  <r>
    <x v="1"/>
    <x v="1034"/>
    <x v="1030"/>
    <x v="4"/>
    <x v="7"/>
    <n v="0.71"/>
    <n v="0.28000000000000003"/>
    <n v="0.42999999999999994"/>
    <n v="1.68"/>
    <n v="0.25595238095238088"/>
  </r>
  <r>
    <x v="1"/>
    <x v="1035"/>
    <x v="1031"/>
    <x v="9"/>
    <x v="7"/>
    <n v="7.353800076691571"/>
    <n v="3.3498000000000001"/>
    <n v="4.0040000766915709"/>
    <n v="1.44"/>
    <n v="2.7805556088135912"/>
  </r>
  <r>
    <x v="1"/>
    <x v="1036"/>
    <x v="1032"/>
    <x v="4"/>
    <x v="7"/>
    <n v="1.3600891749615875"/>
    <n v="0.48"/>
    <n v="0.88008917496158756"/>
    <n v="1.2"/>
    <n v="0.733407645801323"/>
  </r>
  <r>
    <x v="1"/>
    <x v="1037"/>
    <x v="1033"/>
    <x v="4"/>
    <x v="7"/>
    <n v="416.28288669482981"/>
    <n v="157.02549999999997"/>
    <n v="259.25738669482985"/>
    <n v="104"/>
    <n v="2.492859487450287"/>
  </r>
  <r>
    <x v="1"/>
    <x v="1038"/>
    <x v="1034"/>
    <x v="9"/>
    <x v="7"/>
    <n v="26.276"/>
    <n v="15.3"/>
    <n v="10.975999999999999"/>
    <n v="11.82"/>
    <n v="0.9285956006768189"/>
  </r>
  <r>
    <x v="1"/>
    <x v="1039"/>
    <x v="1035"/>
    <x v="9"/>
    <x v="7"/>
    <n v="26.276"/>
    <n v="15.3"/>
    <n v="10.975999999999999"/>
    <n v="11.82"/>
    <n v="0.9285956006768189"/>
  </r>
  <r>
    <x v="1"/>
    <x v="1040"/>
    <x v="1036"/>
    <x v="4"/>
    <x v="7"/>
    <n v="22.509599999999999"/>
    <n v="14.940000000000001"/>
    <n v="7.5695999999999977"/>
    <n v="19.920000000000002"/>
    <n v="0.37999999999999984"/>
  </r>
  <r>
    <x v="1"/>
    <x v="1041"/>
    <x v="1037"/>
    <x v="4"/>
    <x v="7"/>
    <n v="39.942700000000002"/>
    <n v="23.017099999999999"/>
    <n v="16.925600000000003"/>
    <n v="22.96"/>
    <n v="0.73717770034843211"/>
  </r>
  <r>
    <x v="1"/>
    <x v="1042"/>
    <x v="1038"/>
    <x v="4"/>
    <x v="7"/>
    <n v="272.25114981552497"/>
    <n v="127.529"/>
    <n v="144.72214981552497"/>
    <n v="87.75"/>
    <n v="1.6492552685529911"/>
  </r>
  <r>
    <x v="1"/>
    <x v="1043"/>
    <x v="1039"/>
    <x v="4"/>
    <x v="7"/>
    <n v="861.89052333445215"/>
    <n v="366.50020000000006"/>
    <n v="495.39032333445209"/>
    <n v="170.19"/>
    <n v="2.9108074700890305"/>
  </r>
  <r>
    <x v="1"/>
    <x v="1044"/>
    <x v="1040"/>
    <x v="4"/>
    <x v="7"/>
    <n v="758.15983018416694"/>
    <n v="337.59940000000006"/>
    <n v="420.56043018416688"/>
    <n v="212.76"/>
    <n v="1.976689369167921"/>
  </r>
  <r>
    <x v="1"/>
    <x v="1045"/>
    <x v="1041"/>
    <x v="4"/>
    <x v="7"/>
    <n v="116.48171902336813"/>
    <n v="55.3123"/>
    <n v="61.169419023368128"/>
    <n v="38.28"/>
    <n v="1.5979472054171402"/>
  </r>
  <r>
    <x v="1"/>
    <x v="1046"/>
    <x v="1042"/>
    <x v="4"/>
    <x v="7"/>
    <n v="164.42481113972983"/>
    <n v="58.786899999999989"/>
    <n v="105.63791113972984"/>
    <n v="63.3"/>
    <n v="1.6688453576576594"/>
  </r>
  <r>
    <x v="1"/>
    <x v="1047"/>
    <x v="1043"/>
    <x v="4"/>
    <x v="7"/>
    <n v="19.511099999999999"/>
    <n v="8.64"/>
    <n v="10.871099999999998"/>
    <n v="10.52"/>
    <n v="1.0333745247148287"/>
  </r>
  <r>
    <x v="1"/>
    <x v="1048"/>
    <x v="1044"/>
    <x v="9"/>
    <x v="7"/>
    <n v="9.0780142019388048"/>
    <n v="3.7486000000000006"/>
    <n v="5.3294142019388042"/>
    <n v="1.38"/>
    <n v="3.8618943492310174"/>
  </r>
  <r>
    <x v="1"/>
    <x v="1049"/>
    <x v="1045"/>
    <x v="9"/>
    <x v="7"/>
    <n v="244.26116161968466"/>
    <n v="108.19329999999998"/>
    <n v="136.06786161968466"/>
    <n v="34.32"/>
    <n v="3.9646812826248445"/>
  </r>
  <r>
    <x v="1"/>
    <x v="1050"/>
    <x v="1046"/>
    <x v="33"/>
    <x v="7"/>
    <n v="4828.0261482378819"/>
    <n v="3999.3024999999998"/>
    <n v="828.72364823788212"/>
    <n v="1540.8"/>
    <n v="0.53785283504535442"/>
  </r>
  <r>
    <x v="1"/>
    <x v="1051"/>
    <x v="1047"/>
    <x v="8"/>
    <x v="7"/>
    <n v="3595.680941812228"/>
    <n v="4447.670000000001"/>
    <n v="-851.98905818777303"/>
    <n v="2744.45"/>
    <n v="-0.31044072881188323"/>
  </r>
  <r>
    <x v="1"/>
    <x v="1052"/>
    <x v="1048"/>
    <x v="8"/>
    <x v="7"/>
    <n v="122.01894759598504"/>
    <n v="106.29299999999999"/>
    <n v="15.725947595985048"/>
    <n v="289.8"/>
    <n v="5.4264829523757926E-2"/>
  </r>
  <r>
    <x v="1"/>
    <x v="1053"/>
    <x v="1049"/>
    <x v="16"/>
    <x v="7"/>
    <n v="60.792000000000002"/>
    <n v="40.409700000000001"/>
    <n v="20.382300000000001"/>
    <n v="40.4"/>
    <n v="0.50451237623762379"/>
  </r>
  <r>
    <x v="1"/>
    <x v="1054"/>
    <x v="1050"/>
    <x v="34"/>
    <x v="7"/>
    <n v="37.04"/>
    <n v="18.190000000000001"/>
    <n v="18.849999999999998"/>
    <n v="54.57"/>
    <n v="0.34542789078248115"/>
  </r>
  <r>
    <x v="1"/>
    <x v="1055"/>
    <x v="1051"/>
    <x v="16"/>
    <x v="7"/>
    <n v="81.040000000000006"/>
    <n v="40.033000000000001"/>
    <n v="41.007000000000005"/>
    <n v="40.03"/>
    <n v="1.024406694978766"/>
  </r>
  <r>
    <x v="1"/>
    <x v="1056"/>
    <x v="1052"/>
    <x v="16"/>
    <x v="7"/>
    <n v="42.187199999999997"/>
    <n v="21.38"/>
    <n v="20.807199999999998"/>
    <n v="21.45"/>
    <n v="0.97003263403263396"/>
  </r>
  <r>
    <x v="1"/>
    <x v="1057"/>
    <x v="1053"/>
    <x v="4"/>
    <x v="7"/>
    <n v="41.569514096751099"/>
    <n v="21.574000000000005"/>
    <n v="19.995514096751094"/>
    <n v="14.16"/>
    <n v="1.4121125774541734"/>
  </r>
  <r>
    <x v="1"/>
    <x v="1058"/>
    <x v="1054"/>
    <x v="4"/>
    <x v="7"/>
    <n v="1536.8834778805672"/>
    <n v="952.68080000000009"/>
    <n v="584.20267788056708"/>
    <n v="532"/>
    <n v="1.0981253343619681"/>
  </r>
  <r>
    <x v="1"/>
    <x v="1059"/>
    <x v="1055"/>
    <x v="4"/>
    <x v="7"/>
    <n v="-35.378121602994575"/>
    <n v="86.782499999999999"/>
    <n v="-122.16062160299458"/>
    <n v="60.8"/>
    <n v="-2.0092207500492529"/>
  </r>
  <r>
    <x v="1"/>
    <x v="1060"/>
    <x v="1056"/>
    <x v="9"/>
    <x v="7"/>
    <n v="43.851500000000001"/>
    <n v="22.968000000000004"/>
    <n v="20.883499999999998"/>
    <n v="18.36"/>
    <n v="1.1374455337690632"/>
  </r>
  <r>
    <x v="1"/>
    <x v="1061"/>
    <x v="1057"/>
    <x v="4"/>
    <x v="7"/>
    <n v="9.2820000000000018"/>
    <n v="5.5711000000000004"/>
    <n v="3.7109000000000014"/>
    <n v="13.62"/>
    <n v="0.272459618208517"/>
  </r>
  <r>
    <x v="1"/>
    <x v="1062"/>
    <x v="1058"/>
    <x v="9"/>
    <x v="7"/>
    <n v="49.327000000000005"/>
    <n v="25.577999999999999"/>
    <n v="23.749000000000006"/>
    <n v="13.6"/>
    <n v="1.7462500000000003"/>
  </r>
  <r>
    <x v="1"/>
    <x v="1063"/>
    <x v="1059"/>
    <x v="22"/>
    <x v="7"/>
    <n v="4.5553999999999997"/>
    <n v="2.5326"/>
    <n v="2.0227999999999997"/>
    <n v="8.9600000000000009"/>
    <n v="0.22575892857142851"/>
  </r>
  <r>
    <x v="1"/>
    <x v="1064"/>
    <x v="1060"/>
    <x v="4"/>
    <x v="7"/>
    <n v="35.456600000000002"/>
    <n v="18.908000000000001"/>
    <n v="16.5486"/>
    <n v="2.56"/>
    <n v="6.4642968749999996"/>
  </r>
  <r>
    <x v="1"/>
    <x v="1065"/>
    <x v="1061"/>
    <x v="35"/>
    <x v="8"/>
    <n v="4578.9169999999995"/>
    <n v="3319.7000000000003"/>
    <n v="1259.2169999999992"/>
    <n v="6639.4"/>
    <n v="0.18965825225170935"/>
  </r>
  <r>
    <x v="1"/>
    <x v="1066"/>
    <x v="1062"/>
    <x v="35"/>
    <x v="8"/>
    <n v="322.39876541085766"/>
    <n v="219.39999999999998"/>
    <n v="102.99876541085769"/>
    <n v="181.8"/>
    <n v="0.56654986474619184"/>
  </r>
  <r>
    <x v="1"/>
    <x v="1067"/>
    <x v="1063"/>
    <x v="36"/>
    <x v="8"/>
    <n v="101.325"/>
    <n v="74.5"/>
    <n v="26.825000000000003"/>
    <n v="298"/>
    <n v="9.0016778523489938E-2"/>
  </r>
  <r>
    <x v="1"/>
    <x v="1068"/>
    <x v="1064"/>
    <x v="35"/>
    <x v="8"/>
    <n v="160.82499999999999"/>
    <n v="118.25000000000001"/>
    <n v="42.574999999999974"/>
    <n v="237"/>
    <n v="0.17964135021097036"/>
  </r>
  <r>
    <x v="1"/>
    <x v="1069"/>
    <x v="1065"/>
    <x v="36"/>
    <x v="8"/>
    <n v="39.913499999999999"/>
    <n v="29.84"/>
    <n v="10.073499999999999"/>
    <n v="14.92"/>
    <n v="0.67516756032171577"/>
  </r>
  <r>
    <x v="1"/>
    <x v="1070"/>
    <x v="1066"/>
    <x v="36"/>
    <x v="8"/>
    <n v="28.644500000000001"/>
    <n v="21.4"/>
    <n v="7.2445000000000022"/>
    <n v="10.7"/>
    <n v="0.67705607476635543"/>
  </r>
  <r>
    <x v="1"/>
    <x v="1071"/>
    <x v="1067"/>
    <x v="36"/>
    <x v="8"/>
    <n v="46.65"/>
    <n v="34.300000000000004"/>
    <n v="12.349999999999994"/>
    <n v="14.04"/>
    <n v="0.87962962962962932"/>
  </r>
  <r>
    <x v="1"/>
    <x v="1072"/>
    <x v="1068"/>
    <x v="35"/>
    <x v="8"/>
    <n v="97.64"/>
    <n v="70.9482"/>
    <n v="26.691800000000001"/>
    <n v="426.36"/>
    <n v="6.2603902805141193E-2"/>
  </r>
  <r>
    <x v="1"/>
    <x v="1073"/>
    <x v="1069"/>
    <x v="36"/>
    <x v="8"/>
    <n v="80.745000000000005"/>
    <n v="63.778500000000008"/>
    <n v="16.966499999999996"/>
    <n v="76.5"/>
    <n v="0.22178431372549015"/>
  </r>
  <r>
    <x v="1"/>
    <x v="1074"/>
    <x v="1070"/>
    <x v="35"/>
    <x v="8"/>
    <n v="37.026000000000003"/>
    <n v="73.351100000000002"/>
    <n v="-36.325099999999999"/>
    <n v="72.58"/>
    <n v="-0.50048360429870486"/>
  </r>
  <r>
    <x v="1"/>
    <x v="1075"/>
    <x v="1071"/>
    <x v="36"/>
    <x v="8"/>
    <n v="134.69"/>
    <n v="79.16"/>
    <n v="55.53"/>
    <n v="81.02"/>
    <n v="0.68538632436435454"/>
  </r>
  <r>
    <x v="1"/>
    <x v="1076"/>
    <x v="1072"/>
    <x v="35"/>
    <x v="8"/>
    <n v="442.35399999999998"/>
    <n v="315.59019999999998"/>
    <n v="126.7638"/>
    <n v="105.18"/>
    <n v="1.2052082144894467"/>
  </r>
  <r>
    <x v="1"/>
    <x v="1077"/>
    <x v="1073"/>
    <x v="35"/>
    <x v="8"/>
    <n v="1546.9639999999999"/>
    <n v="1737.7199999999998"/>
    <n v="-190.75599999999986"/>
    <n v="288.12"/>
    <n v="-0.66207135915590676"/>
  </r>
  <r>
    <x v="1"/>
    <x v="1078"/>
    <x v="1074"/>
    <x v="35"/>
    <x v="8"/>
    <n v="27.585000000000001"/>
    <n v="20.2668"/>
    <n v="7.3182000000000009"/>
    <n v="67.400000000000006"/>
    <n v="0.10857863501483681"/>
  </r>
  <r>
    <x v="1"/>
    <x v="1079"/>
    <x v="1075"/>
    <x v="35"/>
    <x v="8"/>
    <n v="6.8879999999999999"/>
    <n v="5.08"/>
    <n v="1.8079999999999998"/>
    <n v="50.8"/>
    <n v="3.559055118110236E-2"/>
  </r>
  <r>
    <x v="1"/>
    <x v="1080"/>
    <x v="1076"/>
    <x v="35"/>
    <x v="8"/>
    <n v="0"/>
    <n v="0"/>
    <n v="0"/>
    <n v="69.400000000000006"/>
    <n v="0"/>
  </r>
  <r>
    <x v="1"/>
    <x v="1081"/>
    <x v="1077"/>
    <x v="35"/>
    <x v="8"/>
    <n v="55.08"/>
    <n v="54.5672"/>
    <n v="0.51279999999999859"/>
    <n v="136.4"/>
    <n v="3.7595307917888459E-3"/>
  </r>
  <r>
    <x v="1"/>
    <x v="1082"/>
    <x v="1078"/>
    <x v="36"/>
    <x v="8"/>
    <n v="153.72260165170331"/>
    <n v="119.51"/>
    <n v="34.212601651703309"/>
    <n v="56.3"/>
    <n v="0.60768386592723467"/>
  </r>
  <r>
    <x v="1"/>
    <x v="1083"/>
    <x v="1079"/>
    <x v="36"/>
    <x v="8"/>
    <n v="518.88170000000002"/>
    <n v="450.56000000000006"/>
    <n v="68.321699999999964"/>
    <n v="140.80000000000001"/>
    <n v="0.48523934659090878"/>
  </r>
  <r>
    <x v="1"/>
    <x v="1084"/>
    <x v="1080"/>
    <x v="35"/>
    <x v="8"/>
    <n v="329.60599999999999"/>
    <n v="314.16519999999991"/>
    <n v="15.440800000000081"/>
    <n v="203.04"/>
    <n v="7.6048069345942076E-2"/>
  </r>
  <r>
    <x v="1"/>
    <x v="1085"/>
    <x v="1081"/>
    <x v="35"/>
    <x v="8"/>
    <n v="1914.0549999999998"/>
    <n v="1774.6336000000001"/>
    <n v="139.42139999999972"/>
    <n v="1178"/>
    <n v="0.11835432937181641"/>
  </r>
  <r>
    <x v="1"/>
    <x v="1086"/>
    <x v="1082"/>
    <x v="37"/>
    <x v="8"/>
    <n v="1432.2413999999999"/>
    <n v="5674.6347000000023"/>
    <n v="-4242.3933000000025"/>
    <n v="2419.25"/>
    <n v="-1.7535985532706428"/>
  </r>
  <r>
    <x v="1"/>
    <x v="1087"/>
    <x v="1083"/>
    <x v="38"/>
    <x v="8"/>
    <n v="31.5"/>
    <n v="17.22"/>
    <n v="14.280000000000001"/>
    <n v="102.6"/>
    <n v="0.13918128654970763"/>
  </r>
  <r>
    <x v="1"/>
    <x v="1088"/>
    <x v="1084"/>
    <x v="39"/>
    <x v="8"/>
    <n v="3006.9701999999997"/>
    <n v="2321.02"/>
    <n v="685.95019999999977"/>
    <n v="2321.02"/>
    <n v="0.29553825473283291"/>
  </r>
  <r>
    <x v="1"/>
    <x v="1089"/>
    <x v="1085"/>
    <x v="39"/>
    <x v="8"/>
    <n v="9911.33"/>
    <n v="7311.78"/>
    <n v="2599.5500000000002"/>
    <n v="4015.77"/>
    <n v="0.64733538026331205"/>
  </r>
  <r>
    <x v="1"/>
    <x v="1090"/>
    <x v="1086"/>
    <x v="40"/>
    <x v="8"/>
    <n v="64595.597940933636"/>
    <n v="41407.728000000003"/>
    <n v="23187.869940933633"/>
    <n v="32977"/>
    <n v="0.70315280167794625"/>
  </r>
  <r>
    <x v="1"/>
    <x v="1091"/>
    <x v="1087"/>
    <x v="41"/>
    <x v="8"/>
    <n v="9.7759999999999998"/>
    <n v="5.556"/>
    <n v="4.22"/>
    <n v="11.1"/>
    <n v="0.38018018018018018"/>
  </r>
  <r>
    <x v="1"/>
    <x v="1092"/>
    <x v="1088"/>
    <x v="41"/>
    <x v="8"/>
    <n v="16.126200000000001"/>
    <n v="15.803800000000001"/>
    <n v="0.32240000000000002"/>
    <n v="47.4"/>
    <n v="6.8016877637130796E-3"/>
  </r>
  <r>
    <x v="1"/>
    <x v="1093"/>
    <x v="1089"/>
    <x v="41"/>
    <x v="8"/>
    <n v="96.131"/>
    <n v="71.057199999999995"/>
    <n v="25.073800000000006"/>
    <n v="71.040000000000006"/>
    <n v="0.3529532657657658"/>
  </r>
  <r>
    <x v="1"/>
    <x v="1094"/>
    <x v="1090"/>
    <x v="42"/>
    <x v="8"/>
    <n v="30.712"/>
    <n v="9.52"/>
    <n v="21.192"/>
    <n v="19.04"/>
    <n v="1.1130252100840337"/>
  </r>
  <r>
    <x v="1"/>
    <x v="1095"/>
    <x v="1091"/>
    <x v="41"/>
    <x v="8"/>
    <n v="202.05"/>
    <n v="158.80860000000001"/>
    <n v="43.241399999999999"/>
    <n v="317.60000000000002"/>
    <n v="0.13615050377833751"/>
  </r>
  <r>
    <x v="1"/>
    <x v="1096"/>
    <x v="1092"/>
    <x v="41"/>
    <x v="8"/>
    <n v="85.66"/>
    <n v="82.77"/>
    <n v="2.8900000000000006"/>
    <n v="248.31"/>
    <n v="1.1638677459627081E-2"/>
  </r>
  <r>
    <x v="1"/>
    <x v="1097"/>
    <x v="1093"/>
    <x v="42"/>
    <x v="8"/>
    <n v="2258.8981005489868"/>
    <n v="1412.9367999999997"/>
    <n v="845.96130054898708"/>
    <n v="595.77"/>
    <n v="1.4199461210685116"/>
  </r>
  <r>
    <x v="1"/>
    <x v="1098"/>
    <x v="1094"/>
    <x v="43"/>
    <x v="8"/>
    <n v="410.96999999999997"/>
    <n v="712.22420000000011"/>
    <n v="-301.25420000000014"/>
    <n v="252.4"/>
    <n v="-1.1935586370839943"/>
  </r>
  <r>
    <x v="1"/>
    <x v="1099"/>
    <x v="1095"/>
    <x v="43"/>
    <x v="8"/>
    <n v="139.06280000000001"/>
    <n v="216.09019999999998"/>
    <n v="-77.027399999999972"/>
    <n v="249.6"/>
    <n v="-0.30860336538461525"/>
  </r>
  <r>
    <x v="1"/>
    <x v="1100"/>
    <x v="1096"/>
    <x v="40"/>
    <x v="8"/>
    <n v="18869.587231693575"/>
    <n v="11706.6093"/>
    <n v="7162.9779316935746"/>
    <n v="6835.9"/>
    <n v="1.047847091340361"/>
  </r>
  <r>
    <x v="1"/>
    <x v="1101"/>
    <x v="1097"/>
    <x v="44"/>
    <x v="8"/>
    <n v="8163.2547387741924"/>
    <n v="6007.02"/>
    <n v="2156.234738774192"/>
    <n v="6841.8"/>
    <n v="0.31515606109126137"/>
  </r>
  <r>
    <x v="1"/>
    <x v="1102"/>
    <x v="1098"/>
    <x v="44"/>
    <x v="8"/>
    <n v="4139.5300312905238"/>
    <n v="3715.5501999999997"/>
    <n v="423.97983129052409"/>
    <n v="5466.3"/>
    <n v="7.756248857371971E-2"/>
  </r>
  <r>
    <x v="1"/>
    <x v="1103"/>
    <x v="1099"/>
    <x v="44"/>
    <x v="8"/>
    <n v="120639.23886438961"/>
    <n v="69336.631599999964"/>
    <n v="51302.607264389648"/>
    <n v="15374"/>
    <n v="3.3369719828534956"/>
  </r>
  <r>
    <x v="1"/>
    <x v="1104"/>
    <x v="1100"/>
    <x v="41"/>
    <x v="8"/>
    <n v="71.131799999999998"/>
    <n v="69.474000000000004"/>
    <n v="1.6577999999999946"/>
    <n v="69.459999999999994"/>
    <n v="2.3866973797869201E-2"/>
  </r>
  <r>
    <x v="1"/>
    <x v="1105"/>
    <x v="1101"/>
    <x v="42"/>
    <x v="8"/>
    <n v="327.35500000000002"/>
    <n v="189.95400000000001"/>
    <n v="137.40100000000001"/>
    <n v="253.24"/>
    <n v="0.54257226346548726"/>
  </r>
  <r>
    <x v="1"/>
    <x v="1106"/>
    <x v="1102"/>
    <x v="45"/>
    <x v="8"/>
    <n v="232.23199999999997"/>
    <n v="132.41269999999997"/>
    <n v="99.819299999999998"/>
    <n v="132.72"/>
    <n v="0.75210443037974684"/>
  </r>
  <r>
    <x v="1"/>
    <x v="1107"/>
    <x v="1103"/>
    <x v="4"/>
    <x v="7"/>
    <n v="168.48"/>
    <n v="118.212"/>
    <n v="50.267999999999986"/>
    <n v="472.8"/>
    <n v="0.10631979695431469"/>
  </r>
  <r>
    <x v="1"/>
    <x v="1108"/>
    <x v="1104"/>
    <x v="9"/>
    <x v="7"/>
    <n v="30.827999999999996"/>
    <n v="24.623999999999999"/>
    <n v="6.2039999999999971"/>
    <n v="24.6"/>
    <n v="0.2521951219512194"/>
  </r>
  <r>
    <x v="1"/>
    <x v="1109"/>
    <x v="1105"/>
    <x v="46"/>
    <x v="8"/>
    <n v="2329.9572072879637"/>
    <n v="1633.2612000000001"/>
    <n v="696.69600728796354"/>
    <n v="1197.72"/>
    <n v="0.58168520796844303"/>
  </r>
  <r>
    <x v="1"/>
    <x v="1110"/>
    <x v="1106"/>
    <x v="46"/>
    <x v="8"/>
    <n v="18738.427763214371"/>
    <n v="16838.906099999997"/>
    <n v="1899.5216632143747"/>
    <n v="3036.72"/>
    <n v="0.62551755289074218"/>
  </r>
  <r>
    <x v="1"/>
    <x v="1111"/>
    <x v="1107"/>
    <x v="8"/>
    <x v="7"/>
    <n v="537.01992121553758"/>
    <n v="490.82410000000004"/>
    <n v="46.195821215537535"/>
    <n v="151.32"/>
    <n v="0.30528562791129749"/>
  </r>
  <r>
    <x v="1"/>
    <x v="1112"/>
    <x v="1108"/>
    <x v="6"/>
    <x v="8"/>
    <n v="4806.4513932386999"/>
    <n v="3732.8535000000002"/>
    <n v="1073.5978932386997"/>
    <n v="2053.3200000000002"/>
    <n v="0.52285951202866554"/>
  </r>
  <r>
    <x v="1"/>
    <x v="1113"/>
    <x v="1109"/>
    <x v="47"/>
    <x v="8"/>
    <n v="146.62233794808407"/>
    <n v="825.27279999999996"/>
    <n v="-678.65046205191584"/>
    <n v="224.3"/>
    <n v="-3.0256373698257502"/>
  </r>
  <r>
    <x v="1"/>
    <x v="1114"/>
    <x v="1110"/>
    <x v="4"/>
    <x v="7"/>
    <n v="526.7829508211679"/>
    <n v="379.33240000000006"/>
    <n v="147.45055082116784"/>
    <n v="264"/>
    <n v="0.55852481371654483"/>
  </r>
  <r>
    <x v="1"/>
    <x v="1115"/>
    <x v="1111"/>
    <x v="47"/>
    <x v="8"/>
    <n v="0"/>
    <n v="22.222200000000001"/>
    <n v="-22.222200000000001"/>
    <n v="88.88"/>
    <n v="-0.25002475247524752"/>
  </r>
  <r>
    <x v="1"/>
    <x v="1116"/>
    <x v="1112"/>
    <x v="8"/>
    <x v="7"/>
    <n v="442.0821539247562"/>
    <n v="2520"/>
    <n v="-2077.9178460752437"/>
    <n v="1500"/>
    <n v="-1.3852785640501624"/>
  </r>
  <r>
    <x v="1"/>
    <x v="1117"/>
    <x v="1113"/>
    <x v="47"/>
    <x v="8"/>
    <n v="265.0274"/>
    <n v="2451.4313999999995"/>
    <n v="-2186.4039999999995"/>
    <n v="371.4"/>
    <n v="-5.8869251480883138"/>
  </r>
  <r>
    <x v="1"/>
    <x v="1118"/>
    <x v="1114"/>
    <x v="48"/>
    <x v="8"/>
    <n v="25.055399999999999"/>
    <n v="265.15429999999992"/>
    <n v="-240.09889999999993"/>
    <n v="70"/>
    <n v="-3.4299842857142848"/>
  </r>
  <r>
    <x v="1"/>
    <x v="1119"/>
    <x v="1115"/>
    <x v="42"/>
    <x v="8"/>
    <n v="6.0679999999999996"/>
    <n v="23.796800000000001"/>
    <n v="-17.7288"/>
    <n v="59.4"/>
    <n v="-0.29846464646464643"/>
  </r>
  <r>
    <x v="1"/>
    <x v="1120"/>
    <x v="1116"/>
    <x v="48"/>
    <x v="8"/>
    <n v="36.207599999999999"/>
    <n v="76.242499999999993"/>
    <n v="-40.034899999999993"/>
    <n v="41.6"/>
    <n v="-0.96237740384615367"/>
  </r>
  <r>
    <x v="1"/>
    <x v="1121"/>
    <x v="1117"/>
    <x v="48"/>
    <x v="8"/>
    <n v="98.058799999999991"/>
    <n v="191.04750000000001"/>
    <n v="-92.988700000000023"/>
    <n v="22.92"/>
    <n v="-4.0570986038394432"/>
  </r>
  <r>
    <x v="1"/>
    <x v="1122"/>
    <x v="1118"/>
    <x v="46"/>
    <x v="8"/>
    <n v="11553.6414"/>
    <n v="9740.3900000000012"/>
    <n v="1813.2513999999992"/>
    <n v="1625.42"/>
    <n v="1.1155586863702915"/>
  </r>
  <r>
    <x v="1"/>
    <x v="1123"/>
    <x v="1119"/>
    <x v="6"/>
    <x v="8"/>
    <n v="2375.8127731157751"/>
    <n v="2386.9836"/>
    <n v="-11.17082688422488"/>
    <n v="966.36"/>
    <n v="-1.155969502486121E-2"/>
  </r>
  <r>
    <x v="1"/>
    <x v="1124"/>
    <x v="1120"/>
    <x v="48"/>
    <x v="8"/>
    <n v="30.995999999999995"/>
    <n v="30.773999999999994"/>
    <n v="0.22200000000000131"/>
    <n v="128"/>
    <n v="1.7343750000000102E-3"/>
  </r>
  <r>
    <x v="1"/>
    <x v="1125"/>
    <x v="1121"/>
    <x v="4"/>
    <x v="7"/>
    <n v="61.2"/>
    <n v="37.408999999999999"/>
    <n v="23.791000000000004"/>
    <n v="299.2"/>
    <n v="7.9515374331550814E-2"/>
  </r>
  <r>
    <x v="1"/>
    <x v="1126"/>
    <x v="1122"/>
    <x v="4"/>
    <x v="7"/>
    <n v="15.8"/>
    <n v="9.1"/>
    <n v="6.7000000000000011"/>
    <n v="18.2"/>
    <n v="0.36813186813186821"/>
  </r>
  <r>
    <x v="1"/>
    <x v="1127"/>
    <x v="1122"/>
    <x v="4"/>
    <x v="7"/>
    <n v="29.3415"/>
    <n v="14.48"/>
    <n v="14.861499999999999"/>
    <n v="7.24"/>
    <n v="2.0526933701657457"/>
  </r>
  <r>
    <x v="1"/>
    <x v="1128"/>
    <x v="1123"/>
    <x v="4"/>
    <x v="7"/>
    <n v="57.463068086296836"/>
    <n v="35.130000000000003"/>
    <n v="22.333068086296834"/>
    <n v="81.97"/>
    <n v="0.27245416721113619"/>
  </r>
  <r>
    <x v="1"/>
    <x v="1129"/>
    <x v="1124"/>
    <x v="4"/>
    <x v="7"/>
    <n v="18.817799999999998"/>
    <n v="25.831399999999999"/>
    <n v="-7.0136000000000003"/>
    <n v="25.82"/>
    <n v="-0.27163439194422928"/>
  </r>
  <r>
    <x v="1"/>
    <x v="1130"/>
    <x v="1125"/>
    <x v="8"/>
    <x v="7"/>
    <n v="217.84"/>
    <n v="253.53630000000001"/>
    <n v="-35.696300000000008"/>
    <n v="148.80000000000001"/>
    <n v="-0.23989448924731185"/>
  </r>
  <r>
    <x v="1"/>
    <x v="1131"/>
    <x v="1126"/>
    <x v="8"/>
    <x v="7"/>
    <n v="714.73819725680266"/>
    <n v="524.90800000000002"/>
    <n v="189.83019725680265"/>
    <n v="1640"/>
    <n v="0.1157501202785382"/>
  </r>
  <r>
    <x v="1"/>
    <x v="1132"/>
    <x v="1127"/>
    <x v="4"/>
    <x v="7"/>
    <n v="51.518199999999993"/>
    <n v="23.685000000000002"/>
    <n v="27.833199999999991"/>
    <n v="17.3"/>
    <n v="1.6088554913294792"/>
  </r>
  <r>
    <x v="1"/>
    <x v="1133"/>
    <x v="1128"/>
    <x v="8"/>
    <x v="7"/>
    <n v="1691.4874602711511"/>
    <n v="1497.4859999999999"/>
    <n v="194.00146027115125"/>
    <n v="3847.9"/>
    <n v="5.0417490129980307E-2"/>
  </r>
  <r>
    <x v="1"/>
    <x v="1134"/>
    <x v="1129"/>
    <x v="8"/>
    <x v="7"/>
    <n v="1647.5182637783689"/>
    <n v="7889.2985000000053"/>
    <n v="-6241.7802362216362"/>
    <n v="133"/>
    <n v="-46.930678467831854"/>
  </r>
  <r>
    <x v="1"/>
    <x v="1135"/>
    <x v="1130"/>
    <x v="8"/>
    <x v="7"/>
    <n v="503.36434806629831"/>
    <n v="427.10120000000006"/>
    <n v="76.263148066298243"/>
    <n v="357.35"/>
    <n v="0.21341303502532039"/>
  </r>
  <r>
    <x v="1"/>
    <x v="1136"/>
    <x v="1131"/>
    <x v="49"/>
    <x v="8"/>
    <n v="1318.7449999999999"/>
    <n v="886.18880000000001"/>
    <n v="432.55619999999988"/>
    <n v="3544.72"/>
    <n v="0.12202831253244259"/>
  </r>
  <r>
    <x v="1"/>
    <x v="1137"/>
    <x v="1132"/>
    <x v="50"/>
    <x v="8"/>
    <n v="3.7816999999999998"/>
    <n v="3.7816999999999998"/>
    <n v="0"/>
    <n v="37.799999999999997"/>
    <n v="0"/>
  </r>
  <r>
    <x v="1"/>
    <x v="1138"/>
    <x v="1133"/>
    <x v="50"/>
    <x v="8"/>
    <n v="16.64"/>
    <n v="10.635"/>
    <n v="6.0050000000000008"/>
    <n v="84.96"/>
    <n v="7.0680320150659143E-2"/>
  </r>
  <r>
    <x v="1"/>
    <x v="1139"/>
    <x v="1134"/>
    <x v="50"/>
    <x v="8"/>
    <n v="26.224"/>
    <n v="24.218599999999999"/>
    <n v="2.0054000000000016"/>
    <n v="121"/>
    <n v="1.6573553719008278E-2"/>
  </r>
  <r>
    <x v="1"/>
    <x v="1140"/>
    <x v="1135"/>
    <x v="51"/>
    <x v="8"/>
    <n v="199.875"/>
    <n v="199.196"/>
    <n v="0.67900000000000205"/>
    <n v="199.19"/>
    <n v="3.4088056629348966E-3"/>
  </r>
  <r>
    <x v="1"/>
    <x v="1141"/>
    <x v="1136"/>
    <x v="51"/>
    <x v="8"/>
    <n v="3.9999999999977831E-3"/>
    <n v="0"/>
    <n v="3.9999999999977831E-3"/>
    <n v="39.11"/>
    <n v="1.0227563283042145E-4"/>
  </r>
  <r>
    <x v="1"/>
    <x v="1142"/>
    <x v="1137"/>
    <x v="50"/>
    <x v="8"/>
    <n v="235.01"/>
    <n v="235.01"/>
    <n v="0"/>
    <n v="235.01"/>
    <n v="0"/>
  </r>
  <r>
    <x v="1"/>
    <x v="1143"/>
    <x v="1138"/>
    <x v="50"/>
    <x v="8"/>
    <n v="122.9967"/>
    <n v="104.79340000000001"/>
    <n v="18.203299999999999"/>
    <n v="209.56"/>
    <n v="8.6864382515747268E-2"/>
  </r>
  <r>
    <x v="1"/>
    <x v="1144"/>
    <x v="1139"/>
    <x v="50"/>
    <x v="8"/>
    <n v="7.5811871370116162"/>
    <n v="12.42"/>
    <n v="-4.8388128629883838"/>
    <n v="99.36"/>
    <n v="-4.8699807397226083E-2"/>
  </r>
  <r>
    <x v="1"/>
    <x v="1145"/>
    <x v="1140"/>
    <x v="50"/>
    <x v="8"/>
    <n v="26.143999999999998"/>
    <n v="17.978899999999999"/>
    <n v="8.1650999999999989"/>
    <n v="215.64"/>
    <n v="3.7864496382860317E-2"/>
  </r>
  <r>
    <x v="1"/>
    <x v="1146"/>
    <x v="1141"/>
    <x v="50"/>
    <x v="8"/>
    <n v="315.8507422634836"/>
    <n v="134.13999999999996"/>
    <n v="181.71074226348364"/>
    <n v="152.6"/>
    <n v="1.1907650213858691"/>
  </r>
  <r>
    <x v="1"/>
    <x v="1147"/>
    <x v="1142"/>
    <x v="50"/>
    <x v="8"/>
    <n v="44.669952983104537"/>
    <n v="76.453599999999994"/>
    <n v="-31.783647016895458"/>
    <n v="382.2"/>
    <n v="-8.315972531893108E-2"/>
  </r>
  <r>
    <x v="1"/>
    <x v="1148"/>
    <x v="1143"/>
    <x v="52"/>
    <x v="8"/>
    <n v="2028.9519"/>
    <n v="1668.7049999999999"/>
    <n v="360.2469000000001"/>
    <n v="556.23"/>
    <n v="0.64765816299013013"/>
  </r>
  <r>
    <x v="1"/>
    <x v="1149"/>
    <x v="1144"/>
    <x v="49"/>
    <x v="8"/>
    <n v="0"/>
    <n v="0"/>
    <n v="0"/>
    <n v="7381"/>
    <n v="0"/>
  </r>
  <r>
    <x v="2"/>
    <x v="1150"/>
    <x v="1145"/>
    <x v="53"/>
    <x v="7"/>
    <n v="220.50930000000002"/>
    <n v="174.15250000000003"/>
    <n v="46.356799999999993"/>
    <n v="55.2"/>
    <n v="0.83979710144927533"/>
  </r>
  <r>
    <x v="2"/>
    <x v="1151"/>
    <x v="1146"/>
    <x v="53"/>
    <x v="7"/>
    <n v="215.25800000000007"/>
    <n v="152.142"/>
    <n v="63.116000000000071"/>
    <n v="7.75"/>
    <n v="8.144000000000009"/>
  </r>
  <r>
    <x v="2"/>
    <x v="1152"/>
    <x v="1147"/>
    <x v="17"/>
    <x v="7"/>
    <n v="102.47999999999999"/>
    <n v="77.5"/>
    <n v="24.97999999999999"/>
    <n v="77.5"/>
    <n v="0.32232258064516117"/>
  </r>
  <r>
    <x v="2"/>
    <x v="1153"/>
    <x v="1148"/>
    <x v="53"/>
    <x v="7"/>
    <n v="420.96000000000004"/>
    <n v="307.70280000000008"/>
    <n v="113.25719999999995"/>
    <n v="23.83"/>
    <n v="4.7527150650440602"/>
  </r>
  <r>
    <x v="2"/>
    <x v="1154"/>
    <x v="1149"/>
    <x v="53"/>
    <x v="7"/>
    <n v="238.691"/>
    <n v="176.92"/>
    <n v="61.771000000000015"/>
    <n v="88.46"/>
    <n v="0.6982930137915444"/>
  </r>
  <r>
    <x v="2"/>
    <x v="1155"/>
    <x v="1150"/>
    <x v="53"/>
    <x v="7"/>
    <n v="82.14"/>
    <n v="51.5548"/>
    <n v="30.5852"/>
    <n v="103.1"/>
    <n v="0.29665567410281285"/>
  </r>
  <r>
    <x v="2"/>
    <x v="1156"/>
    <x v="1151"/>
    <x v="53"/>
    <x v="7"/>
    <n v="5.36"/>
    <n v="4.6500000000000004"/>
    <n v="0.71"/>
    <n v="9.3000000000000007"/>
    <n v="7.6344086021505372E-2"/>
  </r>
  <r>
    <x v="2"/>
    <x v="1157"/>
    <x v="1152"/>
    <x v="53"/>
    <x v="7"/>
    <n v="5.91"/>
    <n v="4.1550000000000002"/>
    <n v="1.7549999999999999"/>
    <n v="8.3000000000000007"/>
    <n v="0.2114457831325301"/>
  </r>
  <r>
    <x v="2"/>
    <x v="1158"/>
    <x v="1153"/>
    <x v="22"/>
    <x v="7"/>
    <n v="19.149999999999999"/>
    <n v="13.445"/>
    <n v="5.7049999999999983"/>
    <n v="26.88"/>
    <n v="0.21223958333333329"/>
  </r>
  <r>
    <x v="2"/>
    <x v="1159"/>
    <x v="1154"/>
    <x v="53"/>
    <x v="7"/>
    <n v="59.25"/>
    <n v="34.17"/>
    <n v="25.08"/>
    <n v="68.34"/>
    <n v="0.36698858647936783"/>
  </r>
  <r>
    <x v="2"/>
    <x v="1160"/>
    <x v="1155"/>
    <x v="54"/>
    <x v="7"/>
    <n v="12.05"/>
    <n v="9.3949999999999996"/>
    <n v="2.6550000000000011"/>
    <n v="9.39"/>
    <n v="0.28274760383386593"/>
  </r>
  <r>
    <x v="2"/>
    <x v="1161"/>
    <x v="1156"/>
    <x v="20"/>
    <x v="7"/>
    <n v="57.268999999999998"/>
    <n v="44.55"/>
    <n v="12.719000000000001"/>
    <n v="61.8"/>
    <n v="0.20580906148867315"/>
  </r>
  <r>
    <x v="2"/>
    <x v="1162"/>
    <x v="1157"/>
    <x v="17"/>
    <x v="7"/>
    <n v="835"/>
    <n v="754.97680000000003"/>
    <n v="80.023199999999974"/>
    <n v="752.06"/>
    <n v="0.10640533999946811"/>
  </r>
  <r>
    <x v="2"/>
    <x v="1163"/>
    <x v="1158"/>
    <x v="17"/>
    <x v="7"/>
    <n v="637.20000000000005"/>
    <n v="492.65"/>
    <n v="144.55000000000007"/>
    <n v="492.65"/>
    <n v="0.29341317365269476"/>
  </r>
  <r>
    <x v="2"/>
    <x v="1164"/>
    <x v="1159"/>
    <x v="17"/>
    <x v="7"/>
    <n v="1510"/>
    <n v="1202.4000000000001"/>
    <n v="307.59999999999991"/>
    <n v="601.20000000000005"/>
    <n v="0.51164337990685282"/>
  </r>
  <r>
    <x v="2"/>
    <x v="1165"/>
    <x v="1160"/>
    <x v="3"/>
    <x v="3"/>
    <n v="22.8"/>
    <n v="20.04"/>
    <n v="2.7600000000000016"/>
    <n v="20.04"/>
    <n v="0.13772455089820368"/>
  </r>
  <r>
    <x v="2"/>
    <x v="147"/>
    <x v="147"/>
    <x v="8"/>
    <x v="7"/>
    <n v="614.61"/>
    <n v="458.65100000000001"/>
    <n v="155.959"/>
    <n v="138.93"/>
    <n v="1.1225725185345137"/>
  </r>
  <r>
    <x v="2"/>
    <x v="1166"/>
    <x v="1161"/>
    <x v="8"/>
    <x v="7"/>
    <n v="20005.600000000002"/>
    <n v="15295.528999999999"/>
    <n v="4710.0710000000036"/>
    <n v="359.88"/>
    <n v="13.087893186617771"/>
  </r>
  <r>
    <x v="2"/>
    <x v="150"/>
    <x v="150"/>
    <x v="4"/>
    <x v="7"/>
    <n v="10.99"/>
    <n v="8.6067"/>
    <n v="2.3833000000000002"/>
    <n v="34.4"/>
    <n v="6.9281976744186055E-2"/>
  </r>
  <r>
    <x v="2"/>
    <x v="167"/>
    <x v="166"/>
    <x v="9"/>
    <x v="7"/>
    <n v="20.63"/>
    <n v="3.1833"/>
    <n v="17.4467"/>
    <n v="5.54"/>
    <n v="3.1492238267148016"/>
  </r>
  <r>
    <x v="2"/>
    <x v="175"/>
    <x v="174"/>
    <x v="10"/>
    <x v="7"/>
    <n v="1.48"/>
    <n v="0.55000000000000004"/>
    <n v="0.92999999999999994"/>
    <n v="1.1000000000000001"/>
    <n v="0.84545454545454535"/>
  </r>
  <r>
    <x v="2"/>
    <x v="186"/>
    <x v="185"/>
    <x v="13"/>
    <x v="7"/>
    <n v="6.9062880475466741"/>
    <n v="4.7225999999999999"/>
    <n v="2.1836880475466742"/>
    <n v="12.36"/>
    <n v="0.17667379025458529"/>
  </r>
  <r>
    <x v="2"/>
    <x v="189"/>
    <x v="188"/>
    <x v="8"/>
    <x v="7"/>
    <n v="455.887"/>
    <n v="346.39080000000001"/>
    <n v="109.49619999999999"/>
    <n v="53.6"/>
    <n v="2.0428395522388056"/>
  </r>
  <r>
    <x v="2"/>
    <x v="190"/>
    <x v="189"/>
    <x v="8"/>
    <x v="7"/>
    <n v="283.63713277227049"/>
    <n v="207.79259999999999"/>
    <n v="75.844532772270497"/>
    <n v="104.48"/>
    <n v="0.72592393541606526"/>
  </r>
  <r>
    <x v="2"/>
    <x v="191"/>
    <x v="190"/>
    <x v="8"/>
    <x v="7"/>
    <n v="9382.1492999999973"/>
    <n v="7278.3101999999981"/>
    <n v="2103.8390999999992"/>
    <n v="203.8"/>
    <n v="10.323057409224727"/>
  </r>
  <r>
    <x v="2"/>
    <x v="212"/>
    <x v="211"/>
    <x v="12"/>
    <x v="7"/>
    <n v="4.7"/>
    <n v="1.9300000000000002"/>
    <n v="2.77"/>
    <n v="1.93"/>
    <n v="1.4352331606217616"/>
  </r>
  <r>
    <x v="2"/>
    <x v="230"/>
    <x v="229"/>
    <x v="4"/>
    <x v="7"/>
    <n v="5.5"/>
    <n v="1.18"/>
    <n v="4.32"/>
    <n v="2.38"/>
    <n v="1.8151260504201683"/>
  </r>
  <r>
    <x v="2"/>
    <x v="1167"/>
    <x v="1162"/>
    <x v="55"/>
    <x v="7"/>
    <n v="719.91399999999885"/>
    <n v="491.66910000000018"/>
    <n v="228.24489999999867"/>
    <n v="80.849999999999994"/>
    <n v="2.8230661719232986"/>
  </r>
  <r>
    <x v="2"/>
    <x v="243"/>
    <x v="242"/>
    <x v="8"/>
    <x v="7"/>
    <n v="844.596"/>
    <n v="533.63920000000007"/>
    <n v="310.95679999999993"/>
    <n v="123.09"/>
    <n v="2.5262555853440567"/>
  </r>
  <r>
    <x v="2"/>
    <x v="314"/>
    <x v="313"/>
    <x v="4"/>
    <x v="7"/>
    <n v="11.39"/>
    <n v="3.51"/>
    <n v="7.8800000000000008"/>
    <n v="10.17"/>
    <n v="0.77482792527040323"/>
  </r>
  <r>
    <x v="2"/>
    <x v="315"/>
    <x v="314"/>
    <x v="4"/>
    <x v="7"/>
    <n v="80.853099999999998"/>
    <n v="37.31"/>
    <n v="43.543099999999995"/>
    <n v="3.79"/>
    <n v="11.488944591029023"/>
  </r>
  <r>
    <x v="2"/>
    <x v="345"/>
    <x v="344"/>
    <x v="15"/>
    <x v="7"/>
    <n v="114.75"/>
    <n v="76.575999999999993"/>
    <n v="38.174000000000007"/>
    <n v="11.78"/>
    <n v="3.2405772495755527"/>
  </r>
  <r>
    <x v="2"/>
    <x v="1168"/>
    <x v="1163"/>
    <x v="7"/>
    <x v="7"/>
    <n v="91.07"/>
    <n v="40.231699999999996"/>
    <n v="50.838299999999997"/>
    <n v="41.11"/>
    <n v="1.23664072001946"/>
  </r>
  <r>
    <x v="2"/>
    <x v="348"/>
    <x v="347"/>
    <x v="17"/>
    <x v="7"/>
    <n v="1682.77"/>
    <n v="1087.681"/>
    <n v="595.08899999999994"/>
    <n v="1026.3499999999999"/>
    <n v="0.57981098065961889"/>
  </r>
  <r>
    <x v="2"/>
    <x v="354"/>
    <x v="353"/>
    <x v="8"/>
    <x v="7"/>
    <n v="296.428"/>
    <n v="240.69460000000001"/>
    <n v="55.733399999999989"/>
    <n v="147.52000000000001"/>
    <n v="0.37780233188720164"/>
  </r>
  <r>
    <x v="2"/>
    <x v="358"/>
    <x v="357"/>
    <x v="8"/>
    <x v="7"/>
    <n v="26.79"/>
    <n v="14.36"/>
    <n v="12.43"/>
    <n v="57.44"/>
    <n v="0.21639972144846797"/>
  </r>
  <r>
    <x v="2"/>
    <x v="359"/>
    <x v="358"/>
    <x v="8"/>
    <x v="7"/>
    <n v="46.43"/>
    <n v="31.84"/>
    <n v="14.59"/>
    <n v="48.32"/>
    <n v="0.30194536423841062"/>
  </r>
  <r>
    <x v="2"/>
    <x v="1169"/>
    <x v="1164"/>
    <x v="15"/>
    <x v="7"/>
    <n v="37.799999999999997"/>
    <n v="25.2"/>
    <n v="12.599999999999998"/>
    <n v="25.2"/>
    <n v="0.49999999999999994"/>
  </r>
  <r>
    <x v="2"/>
    <x v="1170"/>
    <x v="1165"/>
    <x v="15"/>
    <x v="7"/>
    <n v="30"/>
    <n v="19.493500000000001"/>
    <n v="10.506499999999999"/>
    <n v="19.41"/>
    <n v="0.54129314786192684"/>
  </r>
  <r>
    <x v="2"/>
    <x v="386"/>
    <x v="385"/>
    <x v="9"/>
    <x v="7"/>
    <n v="13.42"/>
    <n v="9.4"/>
    <n v="4.0199999999999996"/>
    <n v="9.4"/>
    <n v="0.42765957446808506"/>
  </r>
  <r>
    <x v="2"/>
    <x v="396"/>
    <x v="394"/>
    <x v="12"/>
    <x v="7"/>
    <n v="55.106000000000002"/>
    <n v="42.749999999999993"/>
    <n v="12.356000000000009"/>
    <n v="10.6"/>
    <n v="1.1656603773584915"/>
  </r>
  <r>
    <x v="2"/>
    <x v="424"/>
    <x v="421"/>
    <x v="20"/>
    <x v="7"/>
    <n v="1033.2302533970017"/>
    <n v="807.7081000000012"/>
    <n v="225.52215339700047"/>
    <n v="52.68"/>
    <n v="4.2809824107251426"/>
  </r>
  <r>
    <x v="2"/>
    <x v="1171"/>
    <x v="1166"/>
    <x v="20"/>
    <x v="7"/>
    <n v="95.512989805593961"/>
    <n v="85.257700000000042"/>
    <n v="10.255289805593918"/>
    <n v="17.04"/>
    <n v="0.60183625619682624"/>
  </r>
  <r>
    <x v="2"/>
    <x v="425"/>
    <x v="422"/>
    <x v="8"/>
    <x v="7"/>
    <n v="90"/>
    <n v="61.31"/>
    <n v="28.689999999999998"/>
    <n v="122.62"/>
    <n v="0.23397488174849124"/>
  </r>
  <r>
    <x v="2"/>
    <x v="427"/>
    <x v="424"/>
    <x v="8"/>
    <x v="7"/>
    <n v="574.75900000000001"/>
    <n v="383.86"/>
    <n v="190.899"/>
    <n v="388.16"/>
    <n v="0.4918049258037922"/>
  </r>
  <r>
    <x v="2"/>
    <x v="433"/>
    <x v="430"/>
    <x v="12"/>
    <x v="7"/>
    <n v="12.78"/>
    <n v="6.26"/>
    <n v="6.52"/>
    <n v="6.26"/>
    <n v="1.0415335463258786"/>
  </r>
  <r>
    <x v="2"/>
    <x v="1172"/>
    <x v="1167"/>
    <x v="15"/>
    <x v="7"/>
    <n v="64.56"/>
    <n v="41.967600000000004"/>
    <n v="22.592399999999998"/>
    <n v="20.98"/>
    <n v="1.0768541468064823"/>
  </r>
  <r>
    <x v="2"/>
    <x v="471"/>
    <x v="468"/>
    <x v="15"/>
    <x v="7"/>
    <n v="36"/>
    <n v="22.7"/>
    <n v="13.3"/>
    <n v="18.12"/>
    <n v="0.73399558498896245"/>
  </r>
  <r>
    <x v="2"/>
    <x v="472"/>
    <x v="469"/>
    <x v="15"/>
    <x v="7"/>
    <n v="95.83"/>
    <n v="58.000700000000002"/>
    <n v="37.829299999999996"/>
    <n v="27.18"/>
    <n v="1.3918064753495216"/>
  </r>
  <r>
    <x v="2"/>
    <x v="483"/>
    <x v="480"/>
    <x v="4"/>
    <x v="7"/>
    <n v="4.5600000000000005"/>
    <n v="10.033600000000002"/>
    <n v="-5.4736000000000011"/>
    <n v="10.8"/>
    <n v="-0.50681481481481494"/>
  </r>
  <r>
    <x v="2"/>
    <x v="484"/>
    <x v="481"/>
    <x v="8"/>
    <x v="7"/>
    <n v="11.75"/>
    <n v="18.874199999999998"/>
    <n v="-7.1241999999999983"/>
    <n v="20.23"/>
    <n v="-0.35216015818091939"/>
  </r>
  <r>
    <x v="2"/>
    <x v="485"/>
    <x v="482"/>
    <x v="8"/>
    <x v="7"/>
    <n v="15.646000000000001"/>
    <n v="25.638900000000003"/>
    <n v="-9.9929000000000023"/>
    <n v="13.6"/>
    <n v="-0.73477205882352947"/>
  </r>
  <r>
    <x v="2"/>
    <x v="488"/>
    <x v="485"/>
    <x v="8"/>
    <x v="7"/>
    <n v="311.88"/>
    <n v="328.6946999999999"/>
    <n v="-16.814699999999903"/>
    <n v="132.18"/>
    <n v="-0.1272106218792548"/>
  </r>
  <r>
    <x v="2"/>
    <x v="1173"/>
    <x v="1168"/>
    <x v="8"/>
    <x v="7"/>
    <n v="180.80400565569497"/>
    <n v="303.13376599999998"/>
    <n v="-122.32976034430501"/>
    <n v="144.99"/>
    <n v="-0.84371170663014694"/>
  </r>
  <r>
    <x v="2"/>
    <x v="489"/>
    <x v="486"/>
    <x v="8"/>
    <x v="7"/>
    <n v="977.8132676995665"/>
    <n v="888.38360000000011"/>
    <n v="89.42966769956638"/>
    <n v="176.4"/>
    <n v="0.50697090532634004"/>
  </r>
  <r>
    <x v="2"/>
    <x v="490"/>
    <x v="487"/>
    <x v="20"/>
    <x v="7"/>
    <n v="449.98041523943482"/>
    <n v="319.82750000000016"/>
    <n v="130.15291523943466"/>
    <n v="77.760000000000005"/>
    <n v="1.6737772021532233"/>
  </r>
  <r>
    <x v="2"/>
    <x v="517"/>
    <x v="514"/>
    <x v="4"/>
    <x v="7"/>
    <n v="134.89999999999998"/>
    <n v="91.8733"/>
    <n v="43.026699999999977"/>
    <n v="17.739999999999998"/>
    <n v="2.4254058624577217"/>
  </r>
  <r>
    <x v="2"/>
    <x v="521"/>
    <x v="518"/>
    <x v="20"/>
    <x v="7"/>
    <n v="229.73999999999978"/>
    <n v="130.02292000000006"/>
    <n v="99.717079999999726"/>
    <n v="16.79"/>
    <n v="5.939075640262045"/>
  </r>
  <r>
    <x v="2"/>
    <x v="1174"/>
    <x v="1169"/>
    <x v="20"/>
    <x v="7"/>
    <n v="109.42000000000002"/>
    <n v="68.160000000000011"/>
    <n v="41.260000000000005"/>
    <n v="55.38"/>
    <n v="0.74503430841459028"/>
  </r>
  <r>
    <x v="2"/>
    <x v="1175"/>
    <x v="1170"/>
    <x v="20"/>
    <x v="7"/>
    <n v="2403.8183203820086"/>
    <n v="1780.111600000002"/>
    <n v="623.70672038200655"/>
    <n v="50.76"/>
    <n v="12.287366437785785"/>
  </r>
  <r>
    <x v="2"/>
    <x v="552"/>
    <x v="549"/>
    <x v="4"/>
    <x v="7"/>
    <n v="21.84"/>
    <n v="14.426600000000001"/>
    <n v="7.4133999999999993"/>
    <n v="3.51"/>
    <n v="2.1120797720797722"/>
  </r>
  <r>
    <x v="2"/>
    <x v="553"/>
    <x v="550"/>
    <x v="4"/>
    <x v="7"/>
    <n v="43.14"/>
    <n v="5.3557000000000006"/>
    <n v="37.784300000000002"/>
    <n v="1.77"/>
    <n v="21.347062146892657"/>
  </r>
  <r>
    <x v="2"/>
    <x v="557"/>
    <x v="554"/>
    <x v="4"/>
    <x v="7"/>
    <n v="296.32899999999995"/>
    <n v="157.15100000000001"/>
    <n v="139.17799999999994"/>
    <n v="64.53"/>
    <n v="2.1567952890128614"/>
  </r>
  <r>
    <x v="2"/>
    <x v="580"/>
    <x v="577"/>
    <x v="4"/>
    <x v="7"/>
    <n v="29"/>
    <n v="15.21"/>
    <n v="13.79"/>
    <n v="5.0599999999999996"/>
    <n v="2.7252964426877471"/>
  </r>
  <r>
    <x v="2"/>
    <x v="587"/>
    <x v="584"/>
    <x v="4"/>
    <x v="7"/>
    <n v="21.28"/>
    <n v="7.6213999999999995"/>
    <n v="13.658600000000002"/>
    <n v="3.8"/>
    <n v="3.5943684210526321"/>
  </r>
  <r>
    <x v="2"/>
    <x v="591"/>
    <x v="588"/>
    <x v="4"/>
    <x v="7"/>
    <n v="40.819999999999993"/>
    <n v="27.349599999999999"/>
    <n v="13.470399999999994"/>
    <n v="6.44"/>
    <n v="2.0916770186335394"/>
  </r>
  <r>
    <x v="2"/>
    <x v="593"/>
    <x v="590"/>
    <x v="9"/>
    <x v="7"/>
    <n v="51.36"/>
    <n v="27.212"/>
    <n v="24.148"/>
    <n v="13.6"/>
    <n v="1.7755882352941177"/>
  </r>
  <r>
    <x v="2"/>
    <x v="599"/>
    <x v="596"/>
    <x v="4"/>
    <x v="7"/>
    <n v="346.65000000000003"/>
    <n v="224.11730000000003"/>
    <n v="122.53270000000001"/>
    <n v="20.329999999999998"/>
    <n v="6.0271864240039354"/>
  </r>
  <r>
    <x v="2"/>
    <x v="602"/>
    <x v="599"/>
    <x v="4"/>
    <x v="7"/>
    <n v="57.04"/>
    <n v="39.929000000000002"/>
    <n v="17.110999999999997"/>
    <n v="46.26"/>
    <n v="0.36988759187202763"/>
  </r>
  <r>
    <x v="2"/>
    <x v="625"/>
    <x v="622"/>
    <x v="4"/>
    <x v="7"/>
    <n v="2.42"/>
    <n v="0.85599999999999998"/>
    <n v="1.5640000000000001"/>
    <n v="1.7"/>
    <n v="0.92"/>
  </r>
  <r>
    <x v="2"/>
    <x v="626"/>
    <x v="623"/>
    <x v="12"/>
    <x v="7"/>
    <n v="1.75"/>
    <n v="0.57999999999999996"/>
    <n v="1.17"/>
    <n v="0.57999999999999996"/>
    <n v="2.0172413793103448"/>
  </r>
  <r>
    <x v="2"/>
    <x v="627"/>
    <x v="624"/>
    <x v="4"/>
    <x v="7"/>
    <n v="5.82"/>
    <n v="3.6526000000000001"/>
    <n v="2.1674000000000002"/>
    <n v="2.64"/>
    <n v="0.82098484848484854"/>
  </r>
  <r>
    <x v="2"/>
    <x v="1176"/>
    <x v="1171"/>
    <x v="4"/>
    <x v="7"/>
    <n v="1.94"/>
    <n v="0.94"/>
    <n v="1"/>
    <n v="0.94"/>
    <n v="1.0638297872340425"/>
  </r>
  <r>
    <x v="2"/>
    <x v="648"/>
    <x v="645"/>
    <x v="9"/>
    <x v="7"/>
    <n v="228.99999999999994"/>
    <n v="165.31380000000001"/>
    <n v="63.686199999999928"/>
    <n v="13.64"/>
    <n v="4.6690762463343054"/>
  </r>
  <r>
    <x v="2"/>
    <x v="649"/>
    <x v="646"/>
    <x v="4"/>
    <x v="7"/>
    <n v="3.3"/>
    <n v="2.3967999999999998"/>
    <n v="0.9032"/>
    <n v="7.68"/>
    <n v="0.11760416666666668"/>
  </r>
  <r>
    <x v="2"/>
    <x v="662"/>
    <x v="659"/>
    <x v="4"/>
    <x v="7"/>
    <n v="47.4"/>
    <n v="25.076699999999999"/>
    <n v="22.3233"/>
    <n v="75.209999999999994"/>
    <n v="0.29681292381332264"/>
  </r>
  <r>
    <x v="2"/>
    <x v="676"/>
    <x v="673"/>
    <x v="9"/>
    <x v="7"/>
    <n v="36.265000000000001"/>
    <n v="19.667999999999999"/>
    <n v="16.597000000000001"/>
    <n v="6.04"/>
    <n v="2.7478476821192057"/>
  </r>
  <r>
    <x v="2"/>
    <x v="682"/>
    <x v="679"/>
    <x v="4"/>
    <x v="7"/>
    <n v="16.670000000000002"/>
    <n v="11.122199999999999"/>
    <n v="5.5478000000000023"/>
    <n v="16.940000000000001"/>
    <n v="0.32749704840613947"/>
  </r>
  <r>
    <x v="2"/>
    <x v="693"/>
    <x v="690"/>
    <x v="4"/>
    <x v="7"/>
    <n v="149.52000000000001"/>
    <n v="99.753199999999993"/>
    <n v="49.766800000000018"/>
    <n v="6.16"/>
    <n v="8.079025974025976"/>
  </r>
  <r>
    <x v="2"/>
    <x v="707"/>
    <x v="703"/>
    <x v="4"/>
    <x v="7"/>
    <n v="2"/>
    <n v="0.89500000000000002"/>
    <n v="1.105"/>
    <n v="0.89"/>
    <n v="1.2415730337078652"/>
  </r>
  <r>
    <x v="2"/>
    <x v="1177"/>
    <x v="1172"/>
    <x v="17"/>
    <x v="7"/>
    <n v="2892.1"/>
    <n v="1622.1893"/>
    <n v="1269.9106999999999"/>
    <n v="660.52"/>
    <n v="1.9225923514806516"/>
  </r>
  <r>
    <x v="2"/>
    <x v="717"/>
    <x v="713"/>
    <x v="17"/>
    <x v="7"/>
    <n v="10564.300999999998"/>
    <n v="6006.7137000000002"/>
    <n v="4557.5872999999974"/>
    <n v="993.87"/>
    <n v="4.5856976264501359"/>
  </r>
  <r>
    <x v="2"/>
    <x v="719"/>
    <x v="715"/>
    <x v="17"/>
    <x v="7"/>
    <n v="12410.719000000001"/>
    <n v="6705.2680999999993"/>
    <n v="5705.4509000000016"/>
    <n v="1079.6400000000001"/>
    <n v="5.2845864362194828"/>
  </r>
  <r>
    <x v="2"/>
    <x v="735"/>
    <x v="731"/>
    <x v="4"/>
    <x v="7"/>
    <n v="105.01"/>
    <n v="69.34"/>
    <n v="35.67"/>
    <n v="128.30000000000001"/>
    <n v="0.27802026500389709"/>
  </r>
  <r>
    <x v="2"/>
    <x v="736"/>
    <x v="732"/>
    <x v="4"/>
    <x v="7"/>
    <n v="211.12"/>
    <n v="164.06369999999998"/>
    <n v="47.056300000000022"/>
    <n v="60.09"/>
    <n v="0.78309702113496449"/>
  </r>
  <r>
    <x v="2"/>
    <x v="739"/>
    <x v="735"/>
    <x v="8"/>
    <x v="7"/>
    <n v="28.971"/>
    <n v="33.634500000000003"/>
    <n v="-4.6635000000000026"/>
    <n v="8"/>
    <n v="-0.58293750000000033"/>
  </r>
  <r>
    <x v="2"/>
    <x v="740"/>
    <x v="736"/>
    <x v="4"/>
    <x v="7"/>
    <n v="50.49"/>
    <n v="34.549999999999997"/>
    <n v="15.940000000000005"/>
    <n v="52.72"/>
    <n v="0.30235204855842196"/>
  </r>
  <r>
    <x v="2"/>
    <x v="743"/>
    <x v="739"/>
    <x v="17"/>
    <x v="7"/>
    <n v="6483.1500000000015"/>
    <n v="3848.1938999999993"/>
    <n v="2634.9561000000022"/>
    <n v="855.24"/>
    <n v="3.0809551704784646"/>
  </r>
  <r>
    <x v="2"/>
    <x v="1178"/>
    <x v="1173"/>
    <x v="17"/>
    <x v="7"/>
    <n v="5654.38"/>
    <n v="3166.2453000000005"/>
    <n v="2488.1346999999996"/>
    <n v="989"/>
    <n v="2.5158085945399389"/>
  </r>
  <r>
    <x v="2"/>
    <x v="751"/>
    <x v="747"/>
    <x v="17"/>
    <x v="7"/>
    <n v="5418.99"/>
    <n v="3112.5297"/>
    <n v="2306.4602999999997"/>
    <n v="1297.48"/>
    <n v="1.7776461294201065"/>
  </r>
  <r>
    <x v="2"/>
    <x v="754"/>
    <x v="750"/>
    <x v="4"/>
    <x v="7"/>
    <n v="36.160000000000004"/>
    <n v="20.259999999999998"/>
    <n v="15.900000000000006"/>
    <n v="4.18"/>
    <n v="3.8038277511961738"/>
  </r>
  <r>
    <x v="2"/>
    <x v="761"/>
    <x v="757"/>
    <x v="4"/>
    <x v="7"/>
    <n v="94.610000000000014"/>
    <n v="34.22"/>
    <n v="60.390000000000015"/>
    <n v="10.81"/>
    <n v="5.58649398704903"/>
  </r>
  <r>
    <x v="2"/>
    <x v="764"/>
    <x v="760"/>
    <x v="4"/>
    <x v="7"/>
    <n v="77.19"/>
    <n v="43.5"/>
    <n v="33.69"/>
    <n v="10.84"/>
    <n v="3.1079335793357932"/>
  </r>
  <r>
    <x v="2"/>
    <x v="771"/>
    <x v="767"/>
    <x v="4"/>
    <x v="7"/>
    <n v="4.45"/>
    <n v="1.6800000000000002"/>
    <n v="2.77"/>
    <n v="3.36"/>
    <n v="0.82440476190476197"/>
  </r>
  <r>
    <x v="2"/>
    <x v="774"/>
    <x v="770"/>
    <x v="4"/>
    <x v="7"/>
    <n v="62.574000000000005"/>
    <n v="32.335700000000003"/>
    <n v="30.238300000000002"/>
    <n v="5.01"/>
    <n v="6.0355888223552903"/>
  </r>
  <r>
    <x v="2"/>
    <x v="778"/>
    <x v="774"/>
    <x v="4"/>
    <x v="7"/>
    <n v="9.57"/>
    <n v="3.16"/>
    <n v="6.41"/>
    <n v="1.05"/>
    <n v="6.1047619047619044"/>
  </r>
  <r>
    <x v="2"/>
    <x v="779"/>
    <x v="775"/>
    <x v="21"/>
    <x v="7"/>
    <n v="454.89"/>
    <n v="370.1524"/>
    <n v="84.737599999999986"/>
    <n v="369.86"/>
    <n v="0.22910722976261283"/>
  </r>
  <r>
    <x v="2"/>
    <x v="780"/>
    <x v="776"/>
    <x v="21"/>
    <x v="7"/>
    <n v="2026.231"/>
    <n v="1571.2757000000001"/>
    <n v="454.95529999999985"/>
    <n v="413.12"/>
    <n v="1.1012667021688609"/>
  </r>
  <r>
    <x v="2"/>
    <x v="781"/>
    <x v="777"/>
    <x v="21"/>
    <x v="7"/>
    <n v="10414.4547"/>
    <n v="7380.1435999999976"/>
    <n v="3034.3111000000026"/>
    <n v="898.96"/>
    <n v="3.3753571905312834"/>
  </r>
  <r>
    <x v="2"/>
    <x v="1179"/>
    <x v="1174"/>
    <x v="21"/>
    <x v="7"/>
    <n v="3970.0209999999997"/>
    <n v="3157.1559999999999"/>
    <n v="812.86499999999978"/>
    <n v="837.44"/>
    <n v="0.97065461406190257"/>
  </r>
  <r>
    <x v="2"/>
    <x v="782"/>
    <x v="778"/>
    <x v="21"/>
    <x v="7"/>
    <n v="3160.71"/>
    <n v="2321.2399999999998"/>
    <n v="839.47000000000025"/>
    <n v="1151.5999999999999"/>
    <n v="0.72895970823202527"/>
  </r>
  <r>
    <x v="2"/>
    <x v="783"/>
    <x v="779"/>
    <x v="25"/>
    <x v="7"/>
    <n v="3564"/>
    <n v="2289.4865999999997"/>
    <n v="1274.5134000000003"/>
    <n v="750.92"/>
    <n v="1.6972692164278489"/>
  </r>
  <r>
    <x v="2"/>
    <x v="785"/>
    <x v="781"/>
    <x v="7"/>
    <x v="7"/>
    <n v="44.64"/>
    <n v="24.204999999999998"/>
    <n v="20.435000000000002"/>
    <n v="51.52"/>
    <n v="0.39664208074534163"/>
  </r>
  <r>
    <x v="2"/>
    <x v="787"/>
    <x v="783"/>
    <x v="27"/>
    <x v="7"/>
    <n v="995.53399999999999"/>
    <n v="722.8"/>
    <n v="272.73400000000004"/>
    <n v="525.86"/>
    <n v="0.51864374548358882"/>
  </r>
  <r>
    <x v="2"/>
    <x v="789"/>
    <x v="785"/>
    <x v="28"/>
    <x v="7"/>
    <n v="631"/>
    <n v="302.51"/>
    <n v="328.49"/>
    <n v="625.24"/>
    <n v="0.5253822532147655"/>
  </r>
  <r>
    <x v="2"/>
    <x v="790"/>
    <x v="786"/>
    <x v="29"/>
    <x v="7"/>
    <n v="2176"/>
    <n v="1234.1133"/>
    <n v="941.88670000000002"/>
    <n v="783.5"/>
    <n v="1.2021527760051054"/>
  </r>
  <r>
    <x v="2"/>
    <x v="791"/>
    <x v="787"/>
    <x v="17"/>
    <x v="7"/>
    <n v="4190.0970000000007"/>
    <n v="2754.7105999999994"/>
    <n v="1435.3864000000012"/>
    <n v="731.1"/>
    <n v="1.9633243058405163"/>
  </r>
  <r>
    <x v="2"/>
    <x v="792"/>
    <x v="788"/>
    <x v="30"/>
    <x v="7"/>
    <n v="380"/>
    <n v="246.66560000000001"/>
    <n v="133.33439999999999"/>
    <n v="455.78"/>
    <n v="0.29254113826846284"/>
  </r>
  <r>
    <x v="2"/>
    <x v="796"/>
    <x v="792"/>
    <x v="4"/>
    <x v="7"/>
    <n v="6.25"/>
    <n v="5.46"/>
    <n v="0.79"/>
    <n v="5.46"/>
    <n v="0.1446886446886447"/>
  </r>
  <r>
    <x v="2"/>
    <x v="799"/>
    <x v="795"/>
    <x v="4"/>
    <x v="7"/>
    <n v="26.628830422286097"/>
    <n v="19.740000000000002"/>
    <n v="6.8888304222860945"/>
    <n v="9.44"/>
    <n v="0.72974898541166255"/>
  </r>
  <r>
    <x v="2"/>
    <x v="1180"/>
    <x v="1175"/>
    <x v="4"/>
    <x v="7"/>
    <n v="2.83"/>
    <n v="2.56"/>
    <n v="0.27"/>
    <n v="1.46"/>
    <n v="0.18493150684931509"/>
  </r>
  <r>
    <x v="2"/>
    <x v="815"/>
    <x v="811"/>
    <x v="9"/>
    <x v="7"/>
    <n v="138.85"/>
    <n v="99.06"/>
    <n v="39.789999999999992"/>
    <n v="99.06"/>
    <n v="0.40167575206945277"/>
  </r>
  <r>
    <x v="2"/>
    <x v="817"/>
    <x v="813"/>
    <x v="4"/>
    <x v="7"/>
    <n v="21.36"/>
    <n v="14.95"/>
    <n v="6.41"/>
    <n v="14.95"/>
    <n v="0.42876254180602008"/>
  </r>
  <r>
    <x v="2"/>
    <x v="829"/>
    <x v="825"/>
    <x v="8"/>
    <x v="7"/>
    <n v="140.34"/>
    <n v="100.40360000000001"/>
    <n v="39.936399999999992"/>
    <n v="49.92"/>
    <n v="0.80000801282051259"/>
  </r>
  <r>
    <x v="2"/>
    <x v="836"/>
    <x v="832"/>
    <x v="10"/>
    <x v="7"/>
    <n v="56"/>
    <n v="25.95"/>
    <n v="30.05"/>
    <n v="25.95"/>
    <n v="1.1579961464354529"/>
  </r>
  <r>
    <x v="2"/>
    <x v="844"/>
    <x v="840"/>
    <x v="4"/>
    <x v="7"/>
    <n v="27.64"/>
    <n v="17.22"/>
    <n v="10.420000000000002"/>
    <n v="8.61"/>
    <n v="1.2102206736353081"/>
  </r>
  <r>
    <x v="2"/>
    <x v="847"/>
    <x v="843"/>
    <x v="4"/>
    <x v="7"/>
    <n v="614.90059999999994"/>
    <n v="401.98289999999997"/>
    <n v="212.91769999999997"/>
    <n v="68.28"/>
    <n v="3.1183025776215576"/>
  </r>
  <r>
    <x v="2"/>
    <x v="859"/>
    <x v="855"/>
    <x v="4"/>
    <x v="7"/>
    <n v="97.42"/>
    <n v="52.354100000000003"/>
    <n v="45.065899999999999"/>
    <n v="42.56"/>
    <n v="1.0588792293233082"/>
  </r>
  <r>
    <x v="2"/>
    <x v="860"/>
    <x v="856"/>
    <x v="4"/>
    <x v="7"/>
    <n v="88.78"/>
    <n v="38.9"/>
    <n v="49.88"/>
    <n v="19.45"/>
    <n v="2.5645244215938305"/>
  </r>
  <r>
    <x v="2"/>
    <x v="862"/>
    <x v="858"/>
    <x v="9"/>
    <x v="7"/>
    <n v="255.32"/>
    <n v="167.86760000000001"/>
    <n v="87.452399999999983"/>
    <n v="41.96"/>
    <n v="2.0841849380362247"/>
  </r>
  <r>
    <x v="2"/>
    <x v="887"/>
    <x v="883"/>
    <x v="4"/>
    <x v="7"/>
    <n v="7.93"/>
    <n v="4.84"/>
    <n v="3.09"/>
    <n v="9.68"/>
    <n v="0.31921487603305787"/>
  </r>
  <r>
    <x v="2"/>
    <x v="926"/>
    <x v="922"/>
    <x v="4"/>
    <x v="7"/>
    <n v="87.603999999999999"/>
    <n v="49.1892"/>
    <n v="38.4148"/>
    <n v="14.8"/>
    <n v="2.5955945945945946"/>
  </r>
  <r>
    <x v="2"/>
    <x v="1181"/>
    <x v="1176"/>
    <x v="31"/>
    <x v="7"/>
    <n v="531.14"/>
    <n v="205.19"/>
    <n v="325.95"/>
    <n v="410.38"/>
    <n v="0.79426385301427938"/>
  </r>
  <r>
    <x v="2"/>
    <x v="927"/>
    <x v="923"/>
    <x v="29"/>
    <x v="7"/>
    <n v="880"/>
    <n v="347"/>
    <n v="533"/>
    <n v="694"/>
    <n v="0.76801152737752165"/>
  </r>
  <r>
    <x v="2"/>
    <x v="928"/>
    <x v="924"/>
    <x v="31"/>
    <x v="7"/>
    <n v="6362.4870000000001"/>
    <n v="3853.9869000000008"/>
    <n v="2508.5000999999993"/>
    <n v="722.5"/>
    <n v="3.471972456747404"/>
  </r>
  <r>
    <x v="2"/>
    <x v="932"/>
    <x v="928"/>
    <x v="29"/>
    <x v="7"/>
    <n v="5689.85"/>
    <n v="3512.9537"/>
    <n v="2176.8963000000003"/>
    <n v="1254.1600000000001"/>
    <n v="1.7357404956305418"/>
  </r>
  <r>
    <x v="2"/>
    <x v="933"/>
    <x v="929"/>
    <x v="29"/>
    <x v="7"/>
    <n v="419"/>
    <n v="276.86939999999998"/>
    <n v="142.13060000000002"/>
    <n v="158.52000000000001"/>
    <n v="0.89660989149634118"/>
  </r>
  <r>
    <x v="2"/>
    <x v="1182"/>
    <x v="1177"/>
    <x v="29"/>
    <x v="7"/>
    <n v="351.28999999999996"/>
    <n v="244.14120000000003"/>
    <n v="107.14879999999994"/>
    <n v="199.16"/>
    <n v="0.53800361518377149"/>
  </r>
  <r>
    <x v="2"/>
    <x v="934"/>
    <x v="930"/>
    <x v="8"/>
    <x v="7"/>
    <n v="240.93990000000002"/>
    <n v="330.21700000000004"/>
    <n v="-89.277100000000019"/>
    <n v="156.80000000000001"/>
    <n v="-0.56936926020408174"/>
  </r>
  <r>
    <x v="2"/>
    <x v="935"/>
    <x v="931"/>
    <x v="17"/>
    <x v="7"/>
    <n v="3560.3540000000003"/>
    <n v="2279.1784000000002"/>
    <n v="1281.1756"/>
    <n v="707.2"/>
    <n v="1.8116170814479637"/>
  </r>
  <r>
    <x v="2"/>
    <x v="936"/>
    <x v="932"/>
    <x v="17"/>
    <x v="7"/>
    <n v="544.64"/>
    <n v="392.12479999999999"/>
    <n v="152.51519999999999"/>
    <n v="894.33"/>
    <n v="0.17053570829559556"/>
  </r>
  <r>
    <x v="2"/>
    <x v="938"/>
    <x v="934"/>
    <x v="17"/>
    <x v="7"/>
    <n v="2570.16"/>
    <n v="1434.2051999999999"/>
    <n v="1135.9548"/>
    <n v="661.34"/>
    <n v="1.7176562736262737"/>
  </r>
  <r>
    <x v="2"/>
    <x v="939"/>
    <x v="935"/>
    <x v="17"/>
    <x v="7"/>
    <n v="668.8"/>
    <n v="360.38060000000002"/>
    <n v="308.41939999999994"/>
    <n v="645.5"/>
    <n v="0.47779922540666142"/>
  </r>
  <r>
    <x v="2"/>
    <x v="940"/>
    <x v="936"/>
    <x v="17"/>
    <x v="7"/>
    <n v="803.56999999999994"/>
    <n v="430.71940000000001"/>
    <n v="372.85059999999993"/>
    <n v="629.91"/>
    <n v="0.5919109079074788"/>
  </r>
  <r>
    <x v="2"/>
    <x v="941"/>
    <x v="937"/>
    <x v="8"/>
    <x v="7"/>
    <n v="103.28"/>
    <n v="37.647400000000005"/>
    <n v="65.632599999999996"/>
    <n v="42.35"/>
    <n v="1.5497662337662337"/>
  </r>
  <r>
    <x v="2"/>
    <x v="947"/>
    <x v="943"/>
    <x v="12"/>
    <x v="7"/>
    <n v="11.620000000000001"/>
    <n v="7.22"/>
    <n v="4.4000000000000012"/>
    <n v="3.61"/>
    <n v="1.2188365650969533"/>
  </r>
  <r>
    <x v="2"/>
    <x v="960"/>
    <x v="956"/>
    <x v="4"/>
    <x v="7"/>
    <n v="0.90053792100799623"/>
    <n v="0.47499999999999998"/>
    <n v="0.42553792100799626"/>
    <n v="1.36"/>
    <n v="0.31289553015293842"/>
  </r>
  <r>
    <x v="2"/>
    <x v="978"/>
    <x v="974"/>
    <x v="4"/>
    <x v="7"/>
    <n v="21.659000000000002"/>
    <n v="8.7160999999999991"/>
    <n v="12.942900000000003"/>
    <n v="1.6"/>
    <n v="8.0893125000000019"/>
  </r>
  <r>
    <x v="2"/>
    <x v="981"/>
    <x v="977"/>
    <x v="9"/>
    <x v="7"/>
    <n v="5.86"/>
    <n v="3.12"/>
    <n v="2.74"/>
    <n v="2.86"/>
    <n v="0.95804195804195813"/>
  </r>
  <r>
    <x v="2"/>
    <x v="986"/>
    <x v="982"/>
    <x v="9"/>
    <x v="7"/>
    <n v="4.45"/>
    <n v="2.5798999999999999"/>
    <n v="1.8701000000000003"/>
    <n v="0.57999999999999996"/>
    <n v="3.2243103448275869"/>
  </r>
  <r>
    <x v="2"/>
    <x v="988"/>
    <x v="984"/>
    <x v="4"/>
    <x v="7"/>
    <n v="15.624000000000001"/>
    <n v="12.4275"/>
    <n v="3.1965000000000003"/>
    <n v="6.56"/>
    <n v="0.48727134146341472"/>
  </r>
  <r>
    <x v="2"/>
    <x v="991"/>
    <x v="987"/>
    <x v="4"/>
    <x v="7"/>
    <n v="13.28"/>
    <n v="9.4436"/>
    <n v="3.8363999999999994"/>
    <n v="1.44"/>
    <n v="2.6641666666666661"/>
  </r>
  <r>
    <x v="2"/>
    <x v="1008"/>
    <x v="1004"/>
    <x v="4"/>
    <x v="7"/>
    <n v="6.52"/>
    <n v="1.8199999999999998"/>
    <n v="4.6999999999999993"/>
    <n v="1.7"/>
    <n v="2.7647058823529407"/>
  </r>
  <r>
    <x v="2"/>
    <x v="1026"/>
    <x v="1022"/>
    <x v="4"/>
    <x v="7"/>
    <n v="7.02"/>
    <n v="3.9921000000000002"/>
    <n v="3.0278999999999994"/>
    <n v="1.54"/>
    <n v="1.9661688311688308"/>
  </r>
  <r>
    <x v="2"/>
    <x v="1030"/>
    <x v="1026"/>
    <x v="4"/>
    <x v="7"/>
    <n v="8.34"/>
    <n v="3.0300000000000002"/>
    <n v="5.31"/>
    <n v="2.14"/>
    <n v="2.481308411214953"/>
  </r>
  <r>
    <x v="2"/>
    <x v="1043"/>
    <x v="1039"/>
    <x v="4"/>
    <x v="7"/>
    <n v="59.53"/>
    <n v="48.900000000000006"/>
    <n v="10.629999999999995"/>
    <n v="5.61"/>
    <n v="1.894830659536541"/>
  </r>
  <r>
    <x v="2"/>
    <x v="1044"/>
    <x v="1040"/>
    <x v="4"/>
    <x v="7"/>
    <n v="72.56"/>
    <n v="58.92"/>
    <n v="13.64"/>
    <n v="6.04"/>
    <n v="2.2582781456953644"/>
  </r>
  <r>
    <x v="2"/>
    <x v="1050"/>
    <x v="1046"/>
    <x v="33"/>
    <x v="7"/>
    <n v="400"/>
    <n v="312.95139999999998"/>
    <n v="87.048600000000022"/>
    <n v="632.88"/>
    <n v="0.13754361016306413"/>
  </r>
  <r>
    <x v="2"/>
    <x v="1051"/>
    <x v="1047"/>
    <x v="8"/>
    <x v="7"/>
    <n v="346.91"/>
    <n v="163.09110000000004"/>
    <n v="183.81889999999999"/>
    <n v="51.04"/>
    <n v="3.6014674764890287"/>
  </r>
  <r>
    <x v="2"/>
    <x v="1183"/>
    <x v="1178"/>
    <x v="8"/>
    <x v="7"/>
    <n v="21.385000000000002"/>
    <n v="45.806899999999999"/>
    <n v="-24.421899999999997"/>
    <n v="22.48"/>
    <n v="-1.0863834519572952"/>
  </r>
  <r>
    <x v="2"/>
    <x v="1052"/>
    <x v="1048"/>
    <x v="8"/>
    <x v="7"/>
    <n v="37.08"/>
    <n v="21.1037"/>
    <n v="15.976299999999998"/>
    <n v="43.48"/>
    <n v="0.36744020239190434"/>
  </r>
  <r>
    <x v="2"/>
    <x v="1057"/>
    <x v="1053"/>
    <x v="4"/>
    <x v="7"/>
    <n v="23.04"/>
    <n v="10.7516"/>
    <n v="12.288399999999999"/>
    <n v="1.86"/>
    <n v="6.6066666666666665"/>
  </r>
  <r>
    <x v="2"/>
    <x v="1058"/>
    <x v="1054"/>
    <x v="4"/>
    <x v="7"/>
    <n v="60.95"/>
    <n v="34.842399999999998"/>
    <n v="26.107600000000005"/>
    <n v="10.25"/>
    <n v="2.547082926829269"/>
  </r>
  <r>
    <x v="2"/>
    <x v="1059"/>
    <x v="1055"/>
    <x v="4"/>
    <x v="7"/>
    <n v="20.07"/>
    <n v="14.908999999999999"/>
    <n v="5.1610000000000014"/>
    <n v="8.16"/>
    <n v="0.63247549019607863"/>
  </r>
  <r>
    <x v="2"/>
    <x v="1066"/>
    <x v="1062"/>
    <x v="35"/>
    <x v="8"/>
    <n v="786.5"/>
    <n v="575.04999999999995"/>
    <n v="211.45000000000005"/>
    <n v="92.75"/>
    <n v="2.2797843665768198"/>
  </r>
  <r>
    <x v="2"/>
    <x v="1067"/>
    <x v="1063"/>
    <x v="36"/>
    <x v="8"/>
    <n v="223.32"/>
    <n v="170.79999999999998"/>
    <n v="52.52000000000001"/>
    <n v="15.25"/>
    <n v="3.4439344262295091"/>
  </r>
  <r>
    <x v="2"/>
    <x v="1068"/>
    <x v="1064"/>
    <x v="35"/>
    <x v="8"/>
    <n v="121"/>
    <n v="121"/>
    <n v="0"/>
    <n v="24.2"/>
    <n v="0"/>
  </r>
  <r>
    <x v="2"/>
    <x v="1184"/>
    <x v="1179"/>
    <x v="35"/>
    <x v="8"/>
    <n v="39.249999999999993"/>
    <n v="39.249999999999993"/>
    <n v="0"/>
    <n v="7.85"/>
    <n v="0"/>
  </r>
  <r>
    <x v="2"/>
    <x v="1071"/>
    <x v="1067"/>
    <x v="36"/>
    <x v="8"/>
    <n v="14.37"/>
    <n v="14.04"/>
    <n v="0.33000000000000007"/>
    <n v="7.02"/>
    <n v="4.7008547008547022E-2"/>
  </r>
  <r>
    <x v="2"/>
    <x v="1185"/>
    <x v="1180"/>
    <x v="35"/>
    <x v="8"/>
    <n v="27.75"/>
    <n v="27.75"/>
    <n v="0"/>
    <n v="22.2"/>
    <n v="0"/>
  </r>
  <r>
    <x v="2"/>
    <x v="1186"/>
    <x v="1181"/>
    <x v="35"/>
    <x v="8"/>
    <n v="13.18"/>
    <n v="13.18"/>
    <n v="0"/>
    <n v="6.59"/>
    <n v="0"/>
  </r>
  <r>
    <x v="2"/>
    <x v="1187"/>
    <x v="1182"/>
    <x v="35"/>
    <x v="8"/>
    <n v="7.04"/>
    <n v="7.04"/>
    <n v="0"/>
    <n v="3.52"/>
    <n v="0"/>
  </r>
  <r>
    <x v="2"/>
    <x v="1072"/>
    <x v="1068"/>
    <x v="35"/>
    <x v="8"/>
    <n v="73.41"/>
    <n v="73.41"/>
    <n v="0"/>
    <n v="73.41"/>
    <n v="0"/>
  </r>
  <r>
    <x v="2"/>
    <x v="1188"/>
    <x v="1183"/>
    <x v="56"/>
    <x v="8"/>
    <n v="28.28"/>
    <n v="28.28"/>
    <n v="0"/>
    <n v="14.14"/>
    <n v="0"/>
  </r>
  <r>
    <x v="2"/>
    <x v="1189"/>
    <x v="1184"/>
    <x v="35"/>
    <x v="8"/>
    <n v="1.1599999999999999"/>
    <n v="1.1599999999999999"/>
    <n v="0"/>
    <n v="0.57999999999999996"/>
    <n v="0"/>
  </r>
  <r>
    <x v="2"/>
    <x v="1190"/>
    <x v="1185"/>
    <x v="56"/>
    <x v="8"/>
    <n v="2.98"/>
    <n v="1.96"/>
    <n v="1.02"/>
    <n v="0.98"/>
    <n v="1.0408163265306123"/>
  </r>
  <r>
    <x v="2"/>
    <x v="1191"/>
    <x v="1186"/>
    <x v="56"/>
    <x v="8"/>
    <n v="8.44"/>
    <n v="8.44"/>
    <n v="0"/>
    <n v="6.33"/>
    <n v="0"/>
  </r>
  <r>
    <x v="2"/>
    <x v="1192"/>
    <x v="1187"/>
    <x v="56"/>
    <x v="8"/>
    <n v="9.44"/>
    <n v="9.44"/>
    <n v="0"/>
    <n v="4.72"/>
    <n v="0"/>
  </r>
  <r>
    <x v="2"/>
    <x v="1193"/>
    <x v="1188"/>
    <x v="56"/>
    <x v="8"/>
    <n v="11.5"/>
    <n v="11.5"/>
    <n v="0"/>
    <n v="5.75"/>
    <n v="0"/>
  </r>
  <r>
    <x v="2"/>
    <x v="1194"/>
    <x v="1189"/>
    <x v="56"/>
    <x v="8"/>
    <n v="11.56"/>
    <n v="8.34"/>
    <n v="3.2200000000000006"/>
    <n v="2.78"/>
    <n v="1.1582733812949644"/>
  </r>
  <r>
    <x v="2"/>
    <x v="1195"/>
    <x v="1190"/>
    <x v="56"/>
    <x v="8"/>
    <n v="6.16"/>
    <n v="6.16"/>
    <n v="0"/>
    <n v="3.08"/>
    <n v="0"/>
  </r>
  <r>
    <x v="2"/>
    <x v="1074"/>
    <x v="1070"/>
    <x v="35"/>
    <x v="8"/>
    <n v="151.34"/>
    <n v="111.34"/>
    <n v="40"/>
    <n v="37.020000000000003"/>
    <n v="1.0804970286331712"/>
  </r>
  <r>
    <x v="2"/>
    <x v="1075"/>
    <x v="1071"/>
    <x v="36"/>
    <x v="8"/>
    <n v="81.02"/>
    <n v="81.02"/>
    <n v="0"/>
    <n v="81.02"/>
    <n v="0"/>
  </r>
  <r>
    <x v="2"/>
    <x v="1196"/>
    <x v="1191"/>
    <x v="35"/>
    <x v="8"/>
    <n v="82.271999999999991"/>
    <n v="74.55"/>
    <n v="7.7219999999999942"/>
    <n v="24.85"/>
    <n v="0.31074446680080464"/>
  </r>
  <r>
    <x v="2"/>
    <x v="1197"/>
    <x v="1192"/>
    <x v="35"/>
    <x v="8"/>
    <n v="95.5"/>
    <n v="95.5"/>
    <n v="0"/>
    <n v="19.100000000000001"/>
    <n v="0"/>
  </r>
  <r>
    <x v="2"/>
    <x v="1198"/>
    <x v="1193"/>
    <x v="56"/>
    <x v="8"/>
    <n v="62.29"/>
    <n v="62.29"/>
    <n v="0"/>
    <n v="62.29"/>
    <n v="0"/>
  </r>
  <r>
    <x v="2"/>
    <x v="1199"/>
    <x v="1194"/>
    <x v="35"/>
    <x v="8"/>
    <n v="2049.38"/>
    <n v="1911.0299999999997"/>
    <n v="138.35000000000036"/>
    <n v="347.46"/>
    <n v="0.39817532953433593"/>
  </r>
  <r>
    <x v="2"/>
    <x v="1200"/>
    <x v="1195"/>
    <x v="56"/>
    <x v="8"/>
    <n v="65.42"/>
    <n v="65.42"/>
    <n v="0"/>
    <n v="32.71"/>
    <n v="0"/>
  </r>
  <r>
    <x v="2"/>
    <x v="1201"/>
    <x v="1196"/>
    <x v="56"/>
    <x v="8"/>
    <n v="8.01"/>
    <n v="8.01"/>
    <n v="0"/>
    <n v="5.34"/>
    <n v="0"/>
  </r>
  <r>
    <x v="2"/>
    <x v="1202"/>
    <x v="1197"/>
    <x v="56"/>
    <x v="8"/>
    <n v="79.2"/>
    <n v="79.2"/>
    <n v="0"/>
    <n v="13.2"/>
    <n v="0"/>
  </r>
  <r>
    <x v="2"/>
    <x v="1203"/>
    <x v="1198"/>
    <x v="56"/>
    <x v="8"/>
    <n v="323.74"/>
    <n v="263.2"/>
    <n v="60.54000000000002"/>
    <n v="94"/>
    <n v="0.64404255319148962"/>
  </r>
  <r>
    <x v="2"/>
    <x v="1204"/>
    <x v="1199"/>
    <x v="56"/>
    <x v="8"/>
    <n v="5.0999999999999996"/>
    <n v="5.0999999999999996"/>
    <n v="0"/>
    <n v="4.08"/>
    <n v="0"/>
  </r>
  <r>
    <x v="2"/>
    <x v="1077"/>
    <x v="1073"/>
    <x v="35"/>
    <x v="8"/>
    <n v="2641.68"/>
    <n v="1915.1230000000003"/>
    <n v="726.55699999999956"/>
    <n v="293.88"/>
    <n v="2.4722914114604584"/>
  </r>
  <r>
    <x v="2"/>
    <x v="1205"/>
    <x v="1200"/>
    <x v="57"/>
    <x v="9"/>
    <n v="63.5"/>
    <n v="63.5"/>
    <n v="0"/>
    <n v="31.75"/>
    <n v="0"/>
  </r>
  <r>
    <x v="2"/>
    <x v="1206"/>
    <x v="1201"/>
    <x v="35"/>
    <x v="8"/>
    <n v="2.7800000000000002"/>
    <n v="2.7800000000000002"/>
    <n v="0"/>
    <n v="1.39"/>
    <n v="0"/>
  </r>
  <r>
    <x v="2"/>
    <x v="1207"/>
    <x v="1202"/>
    <x v="56"/>
    <x v="8"/>
    <n v="1.96"/>
    <n v="1.96"/>
    <n v="0"/>
    <n v="0.98"/>
    <n v="0"/>
  </r>
  <r>
    <x v="2"/>
    <x v="1208"/>
    <x v="1203"/>
    <x v="56"/>
    <x v="8"/>
    <n v="2.7800000000000002"/>
    <n v="2.7800000000000002"/>
    <n v="0"/>
    <n v="1.39"/>
    <n v="0"/>
  </r>
  <r>
    <x v="2"/>
    <x v="1078"/>
    <x v="1074"/>
    <x v="35"/>
    <x v="8"/>
    <n v="36.863999999999997"/>
    <n v="34.6"/>
    <n v="2.2639999999999958"/>
    <n v="17.3"/>
    <n v="0.13086705202312113"/>
  </r>
  <r>
    <x v="2"/>
    <x v="1079"/>
    <x v="1075"/>
    <x v="35"/>
    <x v="8"/>
    <n v="7.77"/>
    <n v="7.77"/>
    <n v="0"/>
    <n v="5.18"/>
    <n v="0"/>
  </r>
  <r>
    <x v="2"/>
    <x v="1209"/>
    <x v="1204"/>
    <x v="35"/>
    <x v="8"/>
    <n v="7.77"/>
    <n v="7.77"/>
    <n v="0"/>
    <n v="5.18"/>
    <n v="0"/>
  </r>
  <r>
    <x v="2"/>
    <x v="1080"/>
    <x v="1076"/>
    <x v="35"/>
    <x v="8"/>
    <n v="6.9399999999999995"/>
    <n v="10.41"/>
    <n v="-3.4700000000000006"/>
    <n v="6.94"/>
    <n v="-0.50000000000000011"/>
  </r>
  <r>
    <x v="2"/>
    <x v="1081"/>
    <x v="1077"/>
    <x v="35"/>
    <x v="8"/>
    <n v="182.29400000000001"/>
    <n v="173.25"/>
    <n v="9.0440000000000111"/>
    <n v="20.79"/>
    <n v="0.43501683501683558"/>
  </r>
  <r>
    <x v="2"/>
    <x v="1082"/>
    <x v="1078"/>
    <x v="36"/>
    <x v="8"/>
    <n v="148.48000000000002"/>
    <n v="109.44"/>
    <n v="39.04000000000002"/>
    <n v="28.8"/>
    <n v="1.3555555555555563"/>
  </r>
  <r>
    <x v="2"/>
    <x v="1083"/>
    <x v="1079"/>
    <x v="36"/>
    <x v="8"/>
    <n v="85.706000000000003"/>
    <n v="51.6905"/>
    <n v="34.015500000000003"/>
    <n v="172.32"/>
    <n v="0.19739728412256269"/>
  </r>
  <r>
    <x v="2"/>
    <x v="1210"/>
    <x v="1205"/>
    <x v="36"/>
    <x v="8"/>
    <n v="9.74"/>
    <n v="14.22"/>
    <n v="-4.4800000000000004"/>
    <n v="9.48"/>
    <n v="-0.47257383966244726"/>
  </r>
  <r>
    <x v="2"/>
    <x v="1211"/>
    <x v="1206"/>
    <x v="56"/>
    <x v="8"/>
    <n v="97.36"/>
    <n v="97.36"/>
    <n v="0"/>
    <n v="73.02"/>
    <n v="0"/>
  </r>
  <r>
    <x v="2"/>
    <x v="1212"/>
    <x v="1207"/>
    <x v="35"/>
    <x v="8"/>
    <n v="82.8"/>
    <n v="82.8"/>
    <n v="0"/>
    <n v="41.4"/>
    <n v="0"/>
  </r>
  <r>
    <x v="2"/>
    <x v="1213"/>
    <x v="1208"/>
    <x v="36"/>
    <x v="8"/>
    <n v="47.25"/>
    <n v="47.25"/>
    <n v="0"/>
    <n v="31.5"/>
    <n v="0"/>
  </r>
  <r>
    <x v="2"/>
    <x v="1085"/>
    <x v="1081"/>
    <x v="35"/>
    <x v="8"/>
    <n v="1325.3600000000001"/>
    <n v="1319.12"/>
    <n v="6.2400000000002365"/>
    <n v="239.84"/>
    <n v="2.6017344896598717E-2"/>
  </r>
  <r>
    <x v="2"/>
    <x v="1214"/>
    <x v="1209"/>
    <x v="58"/>
    <x v="1"/>
    <n v="316"/>
    <n v="215.08009999999999"/>
    <n v="100.91990000000001"/>
    <n v="65.52"/>
    <n v="1.5402915140415143"/>
  </r>
  <r>
    <x v="2"/>
    <x v="1215"/>
    <x v="1210"/>
    <x v="58"/>
    <x v="1"/>
    <n v="289.70000000000005"/>
    <n v="215.81530000000004"/>
    <n v="73.884700000000009"/>
    <n v="66.48"/>
    <n v="1.1113823706377859"/>
  </r>
  <r>
    <x v="2"/>
    <x v="1216"/>
    <x v="1211"/>
    <x v="59"/>
    <x v="10"/>
    <n v="425"/>
    <n v="334.61"/>
    <n v="90.389999999999986"/>
    <n v="334.61"/>
    <n v="0.27013538148889749"/>
  </r>
  <r>
    <x v="2"/>
    <x v="1217"/>
    <x v="1212"/>
    <x v="0"/>
    <x v="0"/>
    <n v="0"/>
    <n v="4.1897000000000002"/>
    <n v="-4.1897000000000002"/>
    <n v="41.8"/>
    <n v="-0.10023205741626795"/>
  </r>
  <r>
    <x v="2"/>
    <x v="0"/>
    <x v="0"/>
    <x v="0"/>
    <x v="0"/>
    <n v="38.29999999999999"/>
    <n v="34.340199999999996"/>
    <n v="3.9597999999999942"/>
    <n v="20.51"/>
    <n v="0.19306679668454382"/>
  </r>
  <r>
    <x v="2"/>
    <x v="1"/>
    <x v="1"/>
    <x v="0"/>
    <x v="0"/>
    <n v="21.400000000000002"/>
    <n v="18.909999999999997"/>
    <n v="2.4900000000000055"/>
    <n v="22.05"/>
    <n v="0.11292517006802746"/>
  </r>
  <r>
    <x v="2"/>
    <x v="2"/>
    <x v="2"/>
    <x v="0"/>
    <x v="0"/>
    <n v="21.1"/>
    <n v="13.511799999999999"/>
    <n v="7.5882000000000023"/>
    <n v="22.5"/>
    <n v="0.33725333333333346"/>
  </r>
  <r>
    <x v="2"/>
    <x v="3"/>
    <x v="3"/>
    <x v="0"/>
    <x v="0"/>
    <n v="33.200000000000003"/>
    <n v="23.691399999999998"/>
    <n v="9.5086000000000048"/>
    <n v="21.04"/>
    <n v="0.45192965779467703"/>
  </r>
  <r>
    <x v="2"/>
    <x v="4"/>
    <x v="4"/>
    <x v="0"/>
    <x v="0"/>
    <n v="70.399999999999977"/>
    <n v="52.389700000000019"/>
    <n v="18.010299999999958"/>
    <n v="19.920000000000002"/>
    <n v="0.90413152610441549"/>
  </r>
  <r>
    <x v="2"/>
    <x v="1218"/>
    <x v="1213"/>
    <x v="3"/>
    <x v="3"/>
    <n v="9.99"/>
    <n v="6.0698999999999996"/>
    <n v="3.9201000000000006"/>
    <n v="18.18"/>
    <n v="0.21562706270627066"/>
  </r>
  <r>
    <x v="2"/>
    <x v="1088"/>
    <x v="1084"/>
    <x v="39"/>
    <x v="8"/>
    <n v="1930"/>
    <n v="1183.72"/>
    <n v="746.28"/>
    <n v="1183.72"/>
    <n v="0.63045314770384886"/>
  </r>
  <r>
    <x v="2"/>
    <x v="9"/>
    <x v="9"/>
    <x v="1"/>
    <x v="1"/>
    <n v="44.708381675475827"/>
    <n v="66.82650000000001"/>
    <n v="-22.118118324524183"/>
    <n v="15"/>
    <n v="-1.4745412216349456"/>
  </r>
  <r>
    <x v="2"/>
    <x v="1090"/>
    <x v="1086"/>
    <x v="40"/>
    <x v="8"/>
    <n v="14604.5"/>
    <n v="7675.0493999999999"/>
    <n v="6929.4506000000001"/>
    <n v="1345.47"/>
    <n v="5.150208180041175"/>
  </r>
  <r>
    <x v="2"/>
    <x v="1219"/>
    <x v="1214"/>
    <x v="40"/>
    <x v="8"/>
    <n v="5475"/>
    <n v="3767.44"/>
    <n v="1707.56"/>
    <n v="1719.94"/>
    <n v="0.99280207449097058"/>
  </r>
  <r>
    <x v="2"/>
    <x v="1100"/>
    <x v="1096"/>
    <x v="40"/>
    <x v="8"/>
    <n v="3329.1"/>
    <n v="1394.8418000000001"/>
    <n v="1934.2581999999998"/>
    <n v="2091.81"/>
    <n v="0.92468159154034058"/>
  </r>
  <r>
    <x v="2"/>
    <x v="1102"/>
    <x v="1098"/>
    <x v="44"/>
    <x v="8"/>
    <n v="9371.119999999999"/>
    <n v="4212.969900000001"/>
    <n v="5158.150099999998"/>
    <n v="1269.1600000000001"/>
    <n v="4.0642236597434502"/>
  </r>
  <r>
    <x v="2"/>
    <x v="1103"/>
    <x v="1099"/>
    <x v="44"/>
    <x v="8"/>
    <n v="7761.9799000000003"/>
    <n v="3861.6368999999995"/>
    <n v="3900.3430000000008"/>
    <n v="1669.08"/>
    <n v="2.3368220816258063"/>
  </r>
  <r>
    <x v="2"/>
    <x v="1220"/>
    <x v="1215"/>
    <x v="40"/>
    <x v="8"/>
    <n v="8212.2999999999993"/>
    <n v="4697.148000000001"/>
    <n v="3515.1519999999982"/>
    <n v="1022.7"/>
    <n v="3.4371291678889198"/>
  </r>
  <r>
    <x v="2"/>
    <x v="1221"/>
    <x v="1216"/>
    <x v="58"/>
    <x v="1"/>
    <n v="613.36"/>
    <n v="479.17889999999994"/>
    <n v="134.18110000000007"/>
    <n v="67.33"/>
    <n v="1.9928872716471124"/>
  </r>
  <r>
    <x v="2"/>
    <x v="1222"/>
    <x v="1217"/>
    <x v="60"/>
    <x v="8"/>
    <n v="1600"/>
    <n v="1378.8804"/>
    <n v="221.11959999999999"/>
    <n v="2068.3200000000002"/>
    <n v="0.10690782857584899"/>
  </r>
  <r>
    <x v="2"/>
    <x v="1223"/>
    <x v="1218"/>
    <x v="0"/>
    <x v="4"/>
    <n v="59.03"/>
    <n v="48.54"/>
    <n v="10.490000000000002"/>
    <n v="8.16"/>
    <n v="1.2855392156862748"/>
  </r>
  <r>
    <x v="2"/>
    <x v="1111"/>
    <x v="1107"/>
    <x v="8"/>
    <x v="7"/>
    <n v="221.10000000000002"/>
    <n v="222.72070000000002"/>
    <n v="-1.6206999999999994"/>
    <n v="131.1"/>
    <n v="-1.2362318840579705E-2"/>
  </r>
  <r>
    <x v="2"/>
    <x v="1112"/>
    <x v="1108"/>
    <x v="6"/>
    <x v="8"/>
    <n v="438.5"/>
    <n v="338.1866"/>
    <n v="100.3134"/>
    <n v="676.36"/>
    <n v="0.14831361996569875"/>
  </r>
  <r>
    <x v="2"/>
    <x v="1114"/>
    <x v="1110"/>
    <x v="4"/>
    <x v="7"/>
    <n v="218.87999999999988"/>
    <n v="125.34020000000002"/>
    <n v="93.539799999999858"/>
    <n v="12.24"/>
    <n v="7.6421405228758053"/>
  </r>
  <r>
    <x v="2"/>
    <x v="1224"/>
    <x v="1219"/>
    <x v="9"/>
    <x v="7"/>
    <n v="471.86729999999989"/>
    <n v="667.71339999999998"/>
    <n v="-195.84610000000009"/>
    <n v="95.2"/>
    <n v="-2.0572069327731102"/>
  </r>
  <r>
    <x v="2"/>
    <x v="1120"/>
    <x v="1116"/>
    <x v="48"/>
    <x v="8"/>
    <n v="14.22"/>
    <n v="28.25"/>
    <n v="-14.03"/>
    <n v="9.0399999999999991"/>
    <n v="-1.5519911504424779"/>
  </r>
  <r>
    <x v="2"/>
    <x v="1123"/>
    <x v="1119"/>
    <x v="6"/>
    <x v="8"/>
    <n v="4853.7300000000005"/>
    <n v="3366.8706999999999"/>
    <n v="1486.8593000000005"/>
    <n v="492.85"/>
    <n v="3.0168596936187488"/>
  </r>
  <r>
    <x v="2"/>
    <x v="54"/>
    <x v="54"/>
    <x v="0"/>
    <x v="4"/>
    <n v="73.099999999999994"/>
    <n v="42.122"/>
    <n v="30.977999999999994"/>
    <n v="67.25"/>
    <n v="0.46063940520446089"/>
  </r>
  <r>
    <x v="2"/>
    <x v="55"/>
    <x v="55"/>
    <x v="0"/>
    <x v="4"/>
    <n v="40.75"/>
    <n v="23.136400000000002"/>
    <n v="17.613599999999998"/>
    <n v="30.8"/>
    <n v="0.57187012987012975"/>
  </r>
  <r>
    <x v="2"/>
    <x v="59"/>
    <x v="59"/>
    <x v="0"/>
    <x v="5"/>
    <n v="16.129999999999995"/>
    <n v="10.0548"/>
    <n v="6.0751999999999953"/>
    <n v="5.9"/>
    <n v="1.0296949152542365"/>
  </r>
  <r>
    <x v="2"/>
    <x v="61"/>
    <x v="61"/>
    <x v="0"/>
    <x v="5"/>
    <n v="12.940000000000001"/>
    <n v="7.74"/>
    <n v="5.2000000000000011"/>
    <n v="11.36"/>
    <n v="0.45774647887323955"/>
  </r>
  <r>
    <x v="2"/>
    <x v="62"/>
    <x v="62"/>
    <x v="0"/>
    <x v="5"/>
    <n v="3.8"/>
    <n v="2.2800000000000002"/>
    <n v="1.5199999999999996"/>
    <n v="18.88"/>
    <n v="8.0508474576271166E-2"/>
  </r>
  <r>
    <x v="2"/>
    <x v="1225"/>
    <x v="1220"/>
    <x v="0"/>
    <x v="0"/>
    <n v="11.7"/>
    <n v="5.9565000000000001"/>
    <n v="5.7434999999999992"/>
    <n v="5.94"/>
    <n v="0.96691919191919184"/>
  </r>
  <r>
    <x v="2"/>
    <x v="1226"/>
    <x v="1221"/>
    <x v="0"/>
    <x v="0"/>
    <n v="70.929999999999993"/>
    <n v="37.158999999999999"/>
    <n v="33.770999999999994"/>
    <n v="37.1"/>
    <n v="0.91026954177897557"/>
  </r>
  <r>
    <x v="2"/>
    <x v="1227"/>
    <x v="1222"/>
    <x v="0"/>
    <x v="0"/>
    <n v="25.56"/>
    <n v="13.536"/>
    <n v="12.023999999999999"/>
    <n v="67.599999999999994"/>
    <n v="0.17786982248520711"/>
  </r>
  <r>
    <x v="2"/>
    <x v="1228"/>
    <x v="1223"/>
    <x v="0"/>
    <x v="0"/>
    <n v="2.44"/>
    <n v="1.1754"/>
    <n v="1.2645999999999999"/>
    <n v="3.51"/>
    <n v="0.36028490028490029"/>
  </r>
  <r>
    <x v="2"/>
    <x v="1229"/>
    <x v="1224"/>
    <x v="0"/>
    <x v="0"/>
    <n v="50.029999999999994"/>
    <n v="25.415999999999997"/>
    <n v="24.613999999999997"/>
    <n v="32.1"/>
    <n v="0.76679127725856688"/>
  </r>
  <r>
    <x v="2"/>
    <x v="1230"/>
    <x v="1225"/>
    <x v="0"/>
    <x v="0"/>
    <n v="66.099999999999994"/>
    <n v="34.693100000000001"/>
    <n v="31.406899999999993"/>
    <n v="46.24"/>
    <n v="0.6792149653979237"/>
  </r>
  <r>
    <x v="2"/>
    <x v="1231"/>
    <x v="1226"/>
    <x v="3"/>
    <x v="3"/>
    <n v="6.3000000000000007"/>
    <n v="3.81"/>
    <n v="2.4900000000000007"/>
    <n v="3.81"/>
    <n v="0.65354330708661434"/>
  </r>
  <r>
    <x v="2"/>
    <x v="67"/>
    <x v="67"/>
    <x v="3"/>
    <x v="3"/>
    <n v="23.1"/>
    <n v="14.125200000000001"/>
    <n v="8.9748000000000001"/>
    <n v="7.05"/>
    <n v="1.2730212765957445"/>
  </r>
  <r>
    <x v="2"/>
    <x v="68"/>
    <x v="68"/>
    <x v="3"/>
    <x v="3"/>
    <n v="84.02"/>
    <n v="52.593700000000005"/>
    <n v="31.426299999999991"/>
    <n v="31.5"/>
    <n v="0.99766031746031714"/>
  </r>
  <r>
    <x v="2"/>
    <x v="73"/>
    <x v="73"/>
    <x v="3"/>
    <x v="3"/>
    <n v="38.340000000000003"/>
    <n v="23.5379"/>
    <n v="14.802100000000003"/>
    <n v="35.28"/>
    <n v="0.41956065759637196"/>
  </r>
  <r>
    <x v="2"/>
    <x v="1232"/>
    <x v="1227"/>
    <x v="3"/>
    <x v="3"/>
    <n v="1.8"/>
    <n v="1.1812"/>
    <n v="0.61880000000000002"/>
    <n v="3.54"/>
    <n v="0.17480225988700565"/>
  </r>
  <r>
    <x v="2"/>
    <x v="1233"/>
    <x v="1228"/>
    <x v="3"/>
    <x v="3"/>
    <n v="13.2"/>
    <n v="8.0399999999999991"/>
    <n v="5.16"/>
    <n v="10.050000000000001"/>
    <n v="0.51343283582089561"/>
  </r>
  <r>
    <x v="2"/>
    <x v="1234"/>
    <x v="1229"/>
    <x v="3"/>
    <x v="3"/>
    <n v="34"/>
    <n v="23.047800000000002"/>
    <n v="10.952199999999998"/>
    <n v="15.36"/>
    <n v="0.71303385416666654"/>
  </r>
  <r>
    <x v="2"/>
    <x v="74"/>
    <x v="74"/>
    <x v="3"/>
    <x v="3"/>
    <n v="22.2"/>
    <n v="13.097200000000001"/>
    <n v="9.1027999999999984"/>
    <n v="13.08"/>
    <n v="0.69593272171253806"/>
  </r>
  <r>
    <x v="2"/>
    <x v="75"/>
    <x v="75"/>
    <x v="3"/>
    <x v="3"/>
    <n v="144.50000000000003"/>
    <n v="89.439499999999995"/>
    <n v="55.060500000000033"/>
    <n v="81.3"/>
    <n v="0.67725092250922536"/>
  </r>
  <r>
    <x v="2"/>
    <x v="76"/>
    <x v="76"/>
    <x v="3"/>
    <x v="3"/>
    <n v="10.350000000000001"/>
    <n v="6.120099999999999"/>
    <n v="4.2299000000000024"/>
    <n v="6.06"/>
    <n v="0.69800330033003333"/>
  </r>
  <r>
    <x v="2"/>
    <x v="78"/>
    <x v="78"/>
    <x v="3"/>
    <x v="3"/>
    <n v="12.840000000000002"/>
    <n v="7.5520000000000005"/>
    <n v="5.2880000000000011"/>
    <n v="4.28"/>
    <n v="1.2355140186915889"/>
  </r>
  <r>
    <x v="2"/>
    <x v="79"/>
    <x v="79"/>
    <x v="3"/>
    <x v="3"/>
    <n v="81.600000000000009"/>
    <n v="50.283999999999999"/>
    <n v="31.31600000000001"/>
    <n v="19.3"/>
    <n v="1.6225906735751299"/>
  </r>
  <r>
    <x v="2"/>
    <x v="82"/>
    <x v="82"/>
    <x v="3"/>
    <x v="3"/>
    <n v="26.490000000000002"/>
    <n v="14.238799999999999"/>
    <n v="12.251200000000003"/>
    <n v="37.92"/>
    <n v="0.32308016877637136"/>
  </r>
  <r>
    <x v="2"/>
    <x v="83"/>
    <x v="83"/>
    <x v="3"/>
    <x v="3"/>
    <n v="15.66"/>
    <n v="8.641"/>
    <n v="7.0190000000000001"/>
    <n v="17.28"/>
    <n v="0.40619212962962958"/>
  </r>
  <r>
    <x v="2"/>
    <x v="87"/>
    <x v="87"/>
    <x v="3"/>
    <x v="6"/>
    <n v="12.52"/>
    <n v="7.617"/>
    <n v="4.9029999999999996"/>
    <n v="6.08"/>
    <n v="0.80641447368421049"/>
  </r>
  <r>
    <x v="2"/>
    <x v="88"/>
    <x v="88"/>
    <x v="3"/>
    <x v="6"/>
    <n v="31.479999999999993"/>
    <n v="18.72"/>
    <n v="12.759999999999994"/>
    <n v="5.85"/>
    <n v="2.1811965811965806"/>
  </r>
  <r>
    <x v="2"/>
    <x v="90"/>
    <x v="90"/>
    <x v="3"/>
    <x v="6"/>
    <n v="185.8"/>
    <n v="23.1"/>
    <n v="162.70000000000002"/>
    <n v="57.75"/>
    <n v="2.8173160173160174"/>
  </r>
  <r>
    <x v="2"/>
    <x v="91"/>
    <x v="91"/>
    <x v="3"/>
    <x v="6"/>
    <n v="188.49500000000003"/>
    <n v="109.67020000000004"/>
    <n v="78.824799999999996"/>
    <n v="48.3"/>
    <n v="1.631983436853002"/>
  </r>
  <r>
    <x v="2"/>
    <x v="1235"/>
    <x v="1230"/>
    <x v="0"/>
    <x v="4"/>
    <n v="25.43"/>
    <n v="9.3029000000000011"/>
    <n v="16.127099999999999"/>
    <n v="9.26"/>
    <n v="1.7415874730021597"/>
  </r>
  <r>
    <x v="2"/>
    <x v="98"/>
    <x v="98"/>
    <x v="0"/>
    <x v="4"/>
    <n v="1432.6"/>
    <n v="871.6825"/>
    <n v="560.9174999999999"/>
    <n v="40.229999999999997"/>
    <n v="13.942766592095447"/>
  </r>
  <r>
    <x v="2"/>
    <x v="99"/>
    <x v="99"/>
    <x v="0"/>
    <x v="4"/>
    <n v="8.8500000000000014"/>
    <n v="4.8414000000000001"/>
    <n v="4.0086000000000013"/>
    <n v="12.88"/>
    <n v="0.31122670807453423"/>
  </r>
  <r>
    <x v="2"/>
    <x v="100"/>
    <x v="100"/>
    <x v="0"/>
    <x v="4"/>
    <n v="14.5"/>
    <n v="7.9694000000000003"/>
    <n v="6.5305999999999997"/>
    <n v="15.92"/>
    <n v="0.41021356783919599"/>
  </r>
  <r>
    <x v="2"/>
    <x v="101"/>
    <x v="101"/>
    <x v="0"/>
    <x v="4"/>
    <n v="35.64"/>
    <n v="19.752800000000001"/>
    <n v="15.8872"/>
    <n v="39.44"/>
    <n v="0.40281947261663287"/>
  </r>
  <r>
    <x v="2"/>
    <x v="1236"/>
    <x v="1231"/>
    <x v="0"/>
    <x v="0"/>
    <n v="23.400000000000002"/>
    <n v="24.023999999999997"/>
    <n v="-0.62399999999999523"/>
    <n v="7.36"/>
    <n v="-8.4782608695651518E-2"/>
  </r>
  <r>
    <x v="2"/>
    <x v="105"/>
    <x v="105"/>
    <x v="0"/>
    <x v="4"/>
    <n v="23.8"/>
    <n v="14.093100000000003"/>
    <n v="9.7068999999999974"/>
    <n v="20.100000000000001"/>
    <n v="0.4829303482587064"/>
  </r>
  <r>
    <x v="2"/>
    <x v="106"/>
    <x v="106"/>
    <x v="0"/>
    <x v="4"/>
    <n v="73.3"/>
    <n v="48.6892"/>
    <n v="24.610799999999998"/>
    <n v="16.760000000000002"/>
    <n v="1.4684248210023862"/>
  </r>
  <r>
    <x v="2"/>
    <x v="107"/>
    <x v="107"/>
    <x v="0"/>
    <x v="4"/>
    <n v="69.5"/>
    <n v="48.3"/>
    <n v="21.200000000000003"/>
    <n v="40.25"/>
    <n v="0.52670807453416157"/>
  </r>
  <r>
    <x v="2"/>
    <x v="108"/>
    <x v="108"/>
    <x v="0"/>
    <x v="4"/>
    <n v="167.27999999999997"/>
    <n v="62.159199999999998"/>
    <n v="105.12079999999997"/>
    <n v="15.96"/>
    <n v="6.5865162907268147"/>
  </r>
  <r>
    <x v="2"/>
    <x v="109"/>
    <x v="109"/>
    <x v="0"/>
    <x v="4"/>
    <n v="129.5"/>
    <n v="98"/>
    <n v="31.5"/>
    <n v="122.5"/>
    <n v="0.25714285714285712"/>
  </r>
  <r>
    <x v="2"/>
    <x v="113"/>
    <x v="113"/>
    <x v="0"/>
    <x v="0"/>
    <n v="48.05"/>
    <n v="28.126199999999997"/>
    <n v="19.9238"/>
    <n v="46.8"/>
    <n v="0.42572222222222222"/>
  </r>
  <r>
    <x v="2"/>
    <x v="114"/>
    <x v="114"/>
    <x v="0"/>
    <x v="0"/>
    <n v="29.37"/>
    <n v="15.8421"/>
    <n v="13.527900000000001"/>
    <n v="7.92"/>
    <n v="1.708068181818182"/>
  </r>
  <r>
    <x v="2"/>
    <x v="117"/>
    <x v="117"/>
    <x v="0"/>
    <x v="0"/>
    <n v="83.16"/>
    <n v="47.708499999999994"/>
    <n v="35.451500000000003"/>
    <n v="15.3"/>
    <n v="2.317091503267974"/>
  </r>
  <r>
    <x v="2"/>
    <x v="1237"/>
    <x v="1232"/>
    <x v="0"/>
    <x v="0"/>
    <n v="13.5"/>
    <n v="9.4499999999999993"/>
    <n v="4.0500000000000007"/>
    <n v="15.75"/>
    <n v="0.25714285714285717"/>
  </r>
  <r>
    <x v="2"/>
    <x v="122"/>
    <x v="122"/>
    <x v="0"/>
    <x v="0"/>
    <n v="18.899999999999999"/>
    <n v="10.222799999999999"/>
    <n v="8.6771999999999991"/>
    <n v="27.2"/>
    <n v="0.31901470588235292"/>
  </r>
  <r>
    <x v="2"/>
    <x v="125"/>
    <x v="125"/>
    <x v="0"/>
    <x v="0"/>
    <n v="26.849999999999998"/>
    <n v="14.011199999999999"/>
    <n v="12.838799999999999"/>
    <n v="56.04"/>
    <n v="0.22910064239828692"/>
  </r>
  <r>
    <x v="2"/>
    <x v="127"/>
    <x v="127"/>
    <x v="0"/>
    <x v="0"/>
    <n v="3.83"/>
    <n v="2.2782999999999998"/>
    <n v="1.5517000000000003"/>
    <n v="22.7"/>
    <n v="6.8356828193832611E-2"/>
  </r>
  <r>
    <x v="2"/>
    <x v="129"/>
    <x v="129"/>
    <x v="0"/>
    <x v="0"/>
    <n v="5.09"/>
    <n v="1.6156999999999999"/>
    <n v="3.4742999999999999"/>
    <n v="6.44"/>
    <n v="0.53948757763975153"/>
  </r>
  <r>
    <x v="2"/>
    <x v="130"/>
    <x v="130"/>
    <x v="0"/>
    <x v="0"/>
    <n v="5.09"/>
    <n v="2.8382000000000001"/>
    <n v="2.2517999999999998"/>
    <n v="28.3"/>
    <n v="7.9568904593639564E-2"/>
  </r>
  <r>
    <x v="2"/>
    <x v="132"/>
    <x v="132"/>
    <x v="0"/>
    <x v="0"/>
    <n v="17.189999999999998"/>
    <n v="10.593"/>
    <n v="6.5969999999999978"/>
    <n v="21.1"/>
    <n v="0.31265402843601886"/>
  </r>
  <r>
    <x v="2"/>
    <x v="133"/>
    <x v="133"/>
    <x v="0"/>
    <x v="0"/>
    <n v="157.46"/>
    <n v="100.74000000000001"/>
    <n v="56.72"/>
    <n v="35.04"/>
    <n v="1.6187214611872147"/>
  </r>
  <r>
    <x v="2"/>
    <x v="1238"/>
    <x v="1233"/>
    <x v="4"/>
    <x v="7"/>
    <n v="120.36039611641674"/>
    <n v="74.144500000000008"/>
    <n v="46.215896116416729"/>
    <n v="6.89"/>
    <n v="6.7076772302491623"/>
  </r>
  <r>
    <x v="2"/>
    <x v="1129"/>
    <x v="1124"/>
    <x v="4"/>
    <x v="7"/>
    <n v="80.64"/>
    <n v="46.2333"/>
    <n v="34.406700000000001"/>
    <n v="14.85"/>
    <n v="2.3169494949494949"/>
  </r>
  <r>
    <x v="2"/>
    <x v="1130"/>
    <x v="1125"/>
    <x v="8"/>
    <x v="7"/>
    <n v="295.52800000000002"/>
    <n v="98.694999999999993"/>
    <n v="196.83300000000003"/>
    <n v="22.76"/>
    <n v="8.6481985940246044"/>
  </r>
  <r>
    <x v="2"/>
    <x v="1131"/>
    <x v="1126"/>
    <x v="8"/>
    <x v="7"/>
    <n v="247.34"/>
    <n v="177.72809999999998"/>
    <n v="69.61190000000002"/>
    <n v="59.56"/>
    <n v="1.1687693082605779"/>
  </r>
  <r>
    <x v="2"/>
    <x v="1239"/>
    <x v="1234"/>
    <x v="8"/>
    <x v="7"/>
    <n v="288.4409999999998"/>
    <n v="109.71401999999993"/>
    <n v="178.72697999999986"/>
    <n v="52.2"/>
    <n v="3.423888505747124"/>
  </r>
  <r>
    <x v="2"/>
    <x v="1240"/>
    <x v="1235"/>
    <x v="8"/>
    <x v="7"/>
    <n v="881.77300000000002"/>
    <n v="306.44320000000005"/>
    <n v="575.32979999999998"/>
    <n v="28"/>
    <n v="20.547492857142856"/>
  </r>
  <r>
    <x v="2"/>
    <x v="1241"/>
    <x v="1236"/>
    <x v="8"/>
    <x v="7"/>
    <n v="776.95074078443031"/>
    <n v="304.75589999999983"/>
    <n v="472.19484078443048"/>
    <n v="48.96"/>
    <n v="9.6445024670022566"/>
  </r>
  <r>
    <x v="2"/>
    <x v="1133"/>
    <x v="1128"/>
    <x v="8"/>
    <x v="7"/>
    <n v="345.96199999999999"/>
    <n v="356.02329999999989"/>
    <n v="-10.061299999999903"/>
    <n v="132"/>
    <n v="-7.6221969696968969E-2"/>
  </r>
  <r>
    <x v="2"/>
    <x v="1134"/>
    <x v="1129"/>
    <x v="8"/>
    <x v="7"/>
    <n v="425.3543316471202"/>
    <n v="351.63270000000023"/>
    <n v="73.721631647119978"/>
    <n v="107.6"/>
    <n v="0.6851452755308548"/>
  </r>
  <r>
    <x v="2"/>
    <x v="1135"/>
    <x v="1130"/>
    <x v="8"/>
    <x v="7"/>
    <n v="214.38399999999999"/>
    <n v="166.37299999999996"/>
    <n v="48.011000000000024"/>
    <n v="49.85"/>
    <n v="0.96310932798395221"/>
  </r>
  <r>
    <x v="2"/>
    <x v="1242"/>
    <x v="1237"/>
    <x v="8"/>
    <x v="7"/>
    <n v="12.140890592745505"/>
    <n v="40.767299999999992"/>
    <n v="-28.626409407254485"/>
    <n v="14.58"/>
    <n v="-1.9634025656553142"/>
  </r>
  <r>
    <x v="2"/>
    <x v="1243"/>
    <x v="1238"/>
    <x v="53"/>
    <x v="7"/>
    <n v="26.34"/>
    <n v="23.164999999999999"/>
    <n v="3.1750000000000007"/>
    <n v="46.32"/>
    <n v="6.8544905008635595E-2"/>
  </r>
  <r>
    <x v="2"/>
    <x v="1244"/>
    <x v="1239"/>
    <x v="53"/>
    <x v="7"/>
    <n v="40.85"/>
    <n v="37.54"/>
    <n v="3.3100000000000023"/>
    <n v="75.08"/>
    <n v="4.4086307938199287E-2"/>
  </r>
  <r>
    <x v="2"/>
    <x v="1245"/>
    <x v="1240"/>
    <x v="53"/>
    <x v="7"/>
    <n v="96.3"/>
    <n v="67.739999999999995"/>
    <n v="28.560000000000002"/>
    <n v="67.739999999999995"/>
    <n v="0.42161204605845887"/>
  </r>
  <r>
    <x v="2"/>
    <x v="1246"/>
    <x v="1241"/>
    <x v="53"/>
    <x v="7"/>
    <n v="102.71"/>
    <n v="82.16"/>
    <n v="20.549999999999997"/>
    <n v="164.32"/>
    <n v="0.12506085686465432"/>
  </r>
  <r>
    <x v="2"/>
    <x v="1247"/>
    <x v="1242"/>
    <x v="53"/>
    <x v="7"/>
    <n v="304"/>
    <n v="235.04"/>
    <n v="68.960000000000008"/>
    <n v="235.04"/>
    <n v="0.2933968686181076"/>
  </r>
  <r>
    <x v="2"/>
    <x v="1248"/>
    <x v="1243"/>
    <x v="61"/>
    <x v="7"/>
    <n v="26.509999999999998"/>
    <n v="19.579999999999998"/>
    <n v="6.93"/>
    <n v="39.159999999999997"/>
    <n v="0.17696629213483148"/>
  </r>
  <r>
    <x v="2"/>
    <x v="1249"/>
    <x v="1244"/>
    <x v="31"/>
    <x v="7"/>
    <n v="46.44"/>
    <n v="33.17"/>
    <n v="13.269999999999996"/>
    <n v="66.34"/>
    <n v="0.20003014772384678"/>
  </r>
  <r>
    <x v="2"/>
    <x v="1138"/>
    <x v="1133"/>
    <x v="50"/>
    <x v="8"/>
    <n v="10.4"/>
    <n v="8.32"/>
    <n v="2.08"/>
    <n v="8.32"/>
    <n v="0.25"/>
  </r>
  <r>
    <x v="2"/>
    <x v="1139"/>
    <x v="1134"/>
    <x v="50"/>
    <x v="8"/>
    <n v="40.1"/>
    <n v="26.22"/>
    <n v="13.880000000000003"/>
    <n v="26.22"/>
    <n v="0.52936689549961868"/>
  </r>
  <r>
    <x v="2"/>
    <x v="1148"/>
    <x v="1143"/>
    <x v="52"/>
    <x v="8"/>
    <n v="1971.6020000000001"/>
    <n v="1141.2184"/>
    <n v="830.38360000000011"/>
    <n v="573.85"/>
    <n v="1.44703947024483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ROI_PRODUCTOS" cacheId="5" applyNumberFormats="0" applyBorderFormats="0" applyFontFormats="0" applyPatternFormats="0" applyAlignmentFormats="0" applyWidthHeightFormats="1" dataCaption="Valores" updatedVersion="3" minRefreshableVersion="3" showCalcMbrs="0" showDrill="0" useAutoFormatting="1" rowGrandTotals="0" colGrandTotals="0" itemPrintTitles="1" createdVersion="3" indent="0" compact="0" compactData="0" multipleFieldFilters="0">
  <location ref="A5:H1017" firstHeaderRow="1" firstDataRow="2" firstDataCol="4" rowPageCount="1" colPageCount="1"/>
  <pivotFields count="10">
    <pivotField axis="axisPage" compact="0" outline="0" showAll="0" defaultSubtotal="0">
      <items count="7">
        <item x="0"/>
        <item x="1"/>
        <item m="1" x="3"/>
        <item x="2"/>
        <item m="1" x="4"/>
        <item m="1" x="5"/>
        <item m="1" x="6"/>
      </items>
    </pivotField>
    <pivotField axis="axisRow" compact="0" outline="0" showAll="0" defaultSubtotal="0">
      <items count="3763">
        <item m="1" x="2302"/>
        <item m="1" x="2839"/>
        <item m="1" x="2028"/>
        <item m="1" x="1720"/>
        <item m="1" x="2196"/>
        <item m="1" x="2677"/>
        <item m="1" x="3330"/>
        <item m="1" x="2866"/>
        <item m="1" x="2830"/>
        <item m="1" x="1513"/>
        <item m="1" x="1838"/>
        <item m="1" x="2256"/>
        <item m="1" x="3351"/>
        <item m="1" x="1592"/>
        <item m="1" x="3715"/>
        <item m="1" x="2018"/>
        <item m="1" x="1855"/>
        <item m="1" x="1607"/>
        <item m="1" x="3728"/>
        <item m="1" x="1410"/>
        <item m="1" x="1819"/>
        <item m="1" x="3129"/>
        <item m="1" x="3053"/>
        <item m="1" x="3151"/>
        <item m="1" x="1735"/>
        <item m="1" x="2240"/>
        <item m="1" x="1390"/>
        <item m="1" x="3004"/>
        <item m="1" x="1259"/>
        <item m="1" x="1975"/>
        <item x="139"/>
        <item m="1" x="3747"/>
        <item x="140"/>
        <item x="141"/>
        <item m="1" x="1499"/>
        <item m="1" x="2623"/>
        <item m="1" x="2883"/>
        <item m="1" x="2757"/>
        <item m="1" x="2483"/>
        <item m="1" x="2093"/>
        <item m="1" x="3530"/>
        <item m="1" x="2371"/>
        <item m="1" x="1928"/>
        <item m="1" x="2378"/>
        <item m="1" x="2953"/>
        <item m="1" x="3658"/>
        <item m="1" x="3211"/>
        <item m="1" x="3233"/>
        <item m="1" x="3083"/>
        <item m="1" x="3102"/>
        <item m="1" x="2962"/>
        <item m="1" x="2831"/>
        <item m="1" x="2705"/>
        <item m="1" x="2567"/>
        <item m="1" x="2424"/>
        <item m="1" x="2285"/>
        <item m="1" x="1393"/>
        <item m="1" x="1292"/>
        <item m="1" x="3710"/>
        <item m="1" x="3609"/>
        <item m="1" x="1549"/>
        <item m="1" x="3477"/>
        <item m="1" x="3453"/>
        <item m="1" x="3454"/>
        <item m="1" x="3459"/>
        <item m="1" x="3140"/>
        <item m="1" x="2217"/>
        <item m="1" x="1267"/>
        <item m="1" x="1679"/>
        <item m="1" x="3651"/>
        <item m="1" x="3548"/>
        <item m="1" x="3424"/>
        <item m="1" x="3299"/>
        <item m="1" x="3180"/>
        <item m="1" x="2940"/>
        <item m="1" x="2811"/>
        <item m="1" x="2676"/>
        <item m="1" x="3244"/>
        <item m="1" x="3069"/>
        <item m="1" x="1648"/>
        <item m="1" x="1371"/>
        <item m="1" x="3683"/>
        <item m="1" x="3576"/>
        <item m="1" x="3447"/>
        <item m="1" x="3322"/>
        <item m="1" x="3729"/>
        <item m="1" x="2264"/>
        <item m="1" x="3709"/>
        <item m="1" x="2376"/>
        <item x="145"/>
        <item m="1" x="2820"/>
        <item m="1" x="2555"/>
        <item m="1" x="2274"/>
        <item m="1" x="2153"/>
        <item m="1" x="2061"/>
        <item m="1" x="1968"/>
        <item m="1" x="3600"/>
        <item m="1" x="3465"/>
        <item m="1" x="3344"/>
        <item m="1" x="3237"/>
        <item m="1" x="3104"/>
        <item m="1" x="2989"/>
        <item m="1" x="2857"/>
        <item m="1" x="2735"/>
        <item m="1" x="1866"/>
        <item m="1" x="1698"/>
        <item m="1" x="1618"/>
        <item m="1" x="3645"/>
        <item m="1" x="3534"/>
        <item m="1" x="2077"/>
        <item m="1" x="1989"/>
        <item m="1" x="1899"/>
        <item m="1" x="1806"/>
        <item m="1" x="1726"/>
        <item m="1" x="1641"/>
        <item m="1" x="1550"/>
        <item m="1" x="1447"/>
        <item m="1" x="3290"/>
        <item m="1" x="3302"/>
        <item m="1" x="3163"/>
        <item m="1" x="3041"/>
        <item m="1" x="2798"/>
        <item m="1" x="3198"/>
        <item m="1" x="2949"/>
        <item m="1" x="2688"/>
        <item m="1" x="3669"/>
        <item m="1" x="1656"/>
        <item m="1" x="1573"/>
        <item m="1" x="1474"/>
        <item m="1" x="1383"/>
        <item m="1" x="3693"/>
        <item m="1" x="3593"/>
        <item m="1" x="2540"/>
        <item m="1" x="2073"/>
        <item m="1" x="2219"/>
        <item m="1" x="3324"/>
        <item m="1" x="1774"/>
        <item m="1" x="2557"/>
        <item m="1" x="2414"/>
        <item m="1" x="3750"/>
        <item m="1" x="2945"/>
        <item m="1" x="1572"/>
        <item m="1" x="3060"/>
        <item m="1" x="3723"/>
        <item m="1" x="3626"/>
        <item m="1" x="3247"/>
        <item m="1" x="2841"/>
        <item m="1" x="2804"/>
        <item m="1" x="3274"/>
        <item m="1" x="3275"/>
        <item m="1" x="3276"/>
        <item m="1" x="3136"/>
        <item m="1" x="3145"/>
        <item m="1" x="3025"/>
        <item m="1" x="2903"/>
        <item m="1" x="2907"/>
        <item m="1" x="2906"/>
        <item m="1" x="2363"/>
        <item m="1" x="2213"/>
        <item m="1" x="3549"/>
        <item m="1" x="3552"/>
        <item m="1" x="3557"/>
        <item m="1" x="3681"/>
        <item m="1" x="3580"/>
        <item m="1" x="1423"/>
        <item m="1" x="1424"/>
        <item m="1" x="2624"/>
        <item m="1" x="3433"/>
        <item m="1" x="1945"/>
        <item m="1" x="3369"/>
        <item x="146"/>
        <item m="1" x="2575"/>
        <item m="1" x="2062"/>
        <item m="1" x="2173"/>
        <item m="1" x="1905"/>
        <item x="148"/>
        <item m="1" x="1796"/>
        <item x="149"/>
        <item x="150"/>
        <item m="1" x="1296"/>
        <item x="151"/>
        <item x="152"/>
        <item m="1" x="3354"/>
        <item m="1" x="3574"/>
        <item x="153"/>
        <item x="154"/>
        <item x="155"/>
        <item m="1" x="2012"/>
        <item x="157"/>
        <item x="158"/>
        <item m="1" x="2225"/>
        <item m="1" x="2611"/>
        <item x="159"/>
        <item m="1" x="1807"/>
        <item m="1" x="2925"/>
        <item m="1" x="2610"/>
        <item m="1" x="1879"/>
        <item m="1" x="3752"/>
        <item m="1" x="2445"/>
        <item m="1" x="3650"/>
        <item m="1" x="2526"/>
        <item x="163"/>
        <item x="164"/>
        <item x="165"/>
        <item x="166"/>
        <item m="1" x="2683"/>
        <item x="169"/>
        <item m="1" x="2142"/>
        <item m="1" x="1770"/>
        <item x="170"/>
        <item x="171"/>
        <item m="1" x="3312"/>
        <item m="1" x="3078"/>
        <item m="1" x="2941"/>
        <item m="1" x="2462"/>
        <item m="1" x="2155"/>
        <item x="173"/>
        <item m="1" x="1286"/>
        <item x="174"/>
        <item x="175"/>
        <item m="1" x="2685"/>
        <item x="176"/>
        <item x="177"/>
        <item x="178"/>
        <item m="1" x="1571"/>
        <item x="179"/>
        <item x="181"/>
        <item m="1" x="2114"/>
        <item x="182"/>
        <item m="1" x="3195"/>
        <item x="183"/>
        <item m="1" x="2717"/>
        <item x="186"/>
        <item m="1" x="3397"/>
        <item x="189"/>
        <item x="190"/>
        <item m="1" x="1339"/>
        <item m="1" x="3486"/>
        <item m="1" x="1823"/>
        <item m="1" x="1294"/>
        <item m="1" x="3178"/>
        <item m="1" x="1646"/>
        <item m="1" x="2519"/>
        <item x="194"/>
        <item x="195"/>
        <item m="1" x="1488"/>
        <item x="196"/>
        <item m="1" x="2667"/>
        <item x="197"/>
        <item m="1" x="3042"/>
        <item m="1" x="2765"/>
        <item x="198"/>
        <item x="200"/>
        <item m="1" x="3664"/>
        <item m="1" x="2135"/>
        <item x="201"/>
        <item x="202"/>
        <item x="203"/>
        <item x="204"/>
        <item x="205"/>
        <item x="206"/>
        <item m="1" x="3692"/>
        <item m="1" x="3222"/>
        <item m="1" x="1329"/>
        <item x="209"/>
        <item m="1" x="2891"/>
        <item x="210"/>
        <item x="211"/>
        <item x="212"/>
        <item x="214"/>
        <item x="216"/>
        <item m="1" x="1400"/>
        <item m="1" x="2013"/>
        <item x="217"/>
        <item x="220"/>
        <item m="1" x="2298"/>
        <item m="1" x="2367"/>
        <item x="225"/>
        <item x="226"/>
        <item m="1" x="2592"/>
        <item x="229"/>
        <item x="230"/>
        <item x="231"/>
        <item x="232"/>
        <item x="233"/>
        <item x="234"/>
        <item m="1" x="2927"/>
        <item m="1" x="3370"/>
        <item x="235"/>
        <item x="237"/>
        <item m="1" x="3659"/>
        <item m="1" x="3581"/>
        <item m="1" x="2574"/>
        <item m="1" x="3297"/>
        <item m="1" x="1655"/>
        <item m="1" x="1927"/>
        <item x="239"/>
        <item m="1" x="2201"/>
        <item x="240"/>
        <item x="241"/>
        <item x="242"/>
        <item m="1" x="2163"/>
        <item x="243"/>
        <item x="244"/>
        <item x="245"/>
        <item x="248"/>
        <item x="249"/>
        <item m="1" x="1749"/>
        <item x="250"/>
        <item x="251"/>
        <item m="1" x="2138"/>
        <item x="252"/>
        <item x="253"/>
        <item x="254"/>
        <item x="255"/>
        <item m="1" x="2488"/>
        <item m="1" x="1389"/>
        <item m="1" x="1276"/>
        <item m="1" x="1696"/>
        <item x="257"/>
        <item m="1" x="3719"/>
        <item m="1" x="1298"/>
        <item m="1" x="2453"/>
        <item x="259"/>
        <item m="1" x="3355"/>
        <item m="1" x="3345"/>
        <item x="260"/>
        <item m="1" x="1498"/>
        <item m="1" x="1275"/>
        <item x="262"/>
        <item m="1" x="1518"/>
        <item m="1" x="3439"/>
        <item x="265"/>
        <item x="1167"/>
        <item x="266"/>
        <item m="1" x="1805"/>
        <item x="268"/>
        <item x="271"/>
        <item x="272"/>
        <item m="1" x="1521"/>
        <item m="1" x="2490"/>
        <item m="1" x="1746"/>
        <item x="274"/>
        <item x="275"/>
        <item x="276"/>
        <item m="1" x="2333"/>
        <item x="277"/>
        <item m="1" x="2109"/>
        <item m="1" x="2493"/>
        <item m="1" x="2741"/>
        <item x="279"/>
        <item m="1" x="2236"/>
        <item m="1" x="3751"/>
        <item m="1" x="2080"/>
        <item x="280"/>
        <item x="281"/>
        <item x="282"/>
        <item m="1" x="3116"/>
        <item m="1" x="1444"/>
        <item x="283"/>
        <item x="284"/>
        <item x="287"/>
        <item x="289"/>
        <item x="290"/>
        <item x="291"/>
        <item x="292"/>
        <item x="293"/>
        <item x="294"/>
        <item x="295"/>
        <item x="296"/>
        <item x="297"/>
        <item x="298"/>
        <item x="301"/>
        <item m="1" x="2785"/>
        <item m="1" x="2503"/>
        <item m="1" x="3599"/>
        <item x="302"/>
        <item x="303"/>
        <item m="1" x="1492"/>
        <item m="1" x="3122"/>
        <item m="1" x="1672"/>
        <item x="304"/>
        <item x="305"/>
        <item m="1" x="2031"/>
        <item x="307"/>
        <item m="1" x="1687"/>
        <item m="1" x="2301"/>
        <item x="308"/>
        <item x="309"/>
        <item x="310"/>
        <item m="1" x="1996"/>
        <item x="312"/>
        <item m="1" x="2326"/>
        <item m="1" x="2613"/>
        <item m="1" x="2382"/>
        <item x="313"/>
        <item x="315"/>
        <item m="1" x="2963"/>
        <item x="316"/>
        <item x="317"/>
        <item x="318"/>
        <item x="319"/>
        <item m="1" x="3526"/>
        <item m="1" x="1278"/>
        <item x="320"/>
        <item m="1" x="3758"/>
        <item m="1" x="2769"/>
        <item x="321"/>
        <item x="322"/>
        <item x="323"/>
        <item x="324"/>
        <item m="1" x="2874"/>
        <item m="1" x="2396"/>
        <item x="325"/>
        <item x="326"/>
        <item m="1" x="2943"/>
        <item x="327"/>
        <item m="1" x="3638"/>
        <item m="1" x="1342"/>
        <item m="1" x="3281"/>
        <item x="332"/>
        <item m="1" x="3509"/>
        <item m="1" x="2790"/>
        <item m="1" x="3623"/>
        <item x="339"/>
        <item m="1" x="1419"/>
        <item m="1" x="2019"/>
        <item m="1" x="2452"/>
        <item m="1" x="1561"/>
        <item x="347"/>
        <item x="348"/>
        <item m="1" x="2222"/>
        <item m="1" x="2420"/>
        <item x="351"/>
        <item x="356"/>
        <item m="1" x="1791"/>
        <item m="1" x="1907"/>
        <item x="358"/>
        <item x="359"/>
        <item x="361"/>
        <item m="1" x="2287"/>
        <item x="362"/>
        <item x="364"/>
        <item x="365"/>
        <item m="1" x="1653"/>
        <item m="1" x="3054"/>
        <item x="369"/>
        <item x="1169"/>
        <item x="375"/>
        <item m="1" x="2816"/>
        <item m="1" x="3721"/>
        <item m="1" x="2752"/>
        <item m="1" x="2262"/>
        <item m="1" x="1859"/>
        <item x="376"/>
        <item m="1" x="3670"/>
        <item m="1" x="1403"/>
        <item x="1170"/>
        <item m="1" x="2801"/>
        <item m="1" x="3064"/>
        <item x="377"/>
        <item x="378"/>
        <item x="380"/>
        <item x="381"/>
        <item m="1" x="2304"/>
        <item m="1" x="2826"/>
        <item x="383"/>
        <item x="385"/>
        <item m="1" x="1435"/>
        <item x="386"/>
        <item m="1" x="2818"/>
        <item x="387"/>
        <item m="1" x="3368"/>
        <item x="388"/>
        <item x="392"/>
        <item m="1" x="1849"/>
        <item m="1" x="1443"/>
        <item m="1" x="1797"/>
        <item m="1" x="2209"/>
        <item m="1" x="3316"/>
        <item m="1" x="1771"/>
        <item m="1" x="2010"/>
        <item m="1" x="3062"/>
        <item m="1" x="1736"/>
        <item m="1" x="1979"/>
        <item m="1" x="3142"/>
        <item x="399"/>
        <item x="400"/>
        <item x="401"/>
        <item x="402"/>
        <item m="1" x="1972"/>
        <item x="403"/>
        <item x="404"/>
        <item m="1" x="1421"/>
        <item x="406"/>
        <item m="1" x="1320"/>
        <item x="407"/>
        <item m="1" x="3570"/>
        <item x="408"/>
        <item x="409"/>
        <item m="1" x="1744"/>
        <item x="410"/>
        <item x="411"/>
        <item x="413"/>
        <item x="414"/>
        <item x="415"/>
        <item x="416"/>
        <item x="417"/>
        <item x="418"/>
        <item x="419"/>
        <item x="421"/>
        <item x="422"/>
        <item x="423"/>
        <item m="1" x="3403"/>
        <item m="1" x="3350"/>
        <item m="1" x="1323"/>
        <item x="425"/>
        <item x="426"/>
        <item x="427"/>
        <item x="428"/>
        <item x="429"/>
        <item m="1" x="3229"/>
        <item x="433"/>
        <item x="435"/>
        <item x="436"/>
        <item x="437"/>
        <item x="438"/>
        <item x="439"/>
        <item x="441"/>
        <item x="442"/>
        <item x="443"/>
        <item x="444"/>
        <item x="445"/>
        <item x="446"/>
        <item m="1" x="1514"/>
        <item x="449"/>
        <item x="450"/>
        <item x="452"/>
        <item m="1" x="3138"/>
        <item x="455"/>
        <item x="458"/>
        <item m="1" x="1602"/>
        <item x="459"/>
        <item x="461"/>
        <item m="1" x="1281"/>
        <item m="1" x="2522"/>
        <item x="463"/>
        <item x="468"/>
        <item x="469"/>
        <item x="471"/>
        <item x="472"/>
        <item m="1" x="1938"/>
        <item x="477"/>
        <item m="1" x="2273"/>
        <item x="479"/>
        <item x="481"/>
        <item x="484"/>
        <item x="485"/>
        <item m="1" x="1936"/>
        <item m="1" x="2358"/>
        <item x="487"/>
        <item x="488"/>
        <item x="1173"/>
        <item x="489"/>
        <item x="490"/>
        <item m="1" x="1437"/>
        <item x="493"/>
        <item x="494"/>
        <item m="1" x="1553"/>
        <item m="1" x="2279"/>
        <item m="1" x="1601"/>
        <item x="497"/>
        <item x="498"/>
        <item m="1" x="3411"/>
        <item x="502"/>
        <item m="1" x="1827"/>
        <item x="504"/>
        <item x="505"/>
        <item m="1" x="3310"/>
        <item x="508"/>
        <item m="1" x="2177"/>
        <item m="1" x="1464"/>
        <item m="1" x="3092"/>
        <item m="1" x="2075"/>
        <item m="1" x="2014"/>
        <item m="1" x="1290"/>
        <item m="1" x="3346"/>
        <item m="1" x="2865"/>
        <item m="1" x="2318"/>
        <item m="1" x="1914"/>
        <item m="1" x="1677"/>
        <item m="1" x="1821"/>
        <item m="1" x="2130"/>
        <item m="1" x="1992"/>
        <item x="522"/>
        <item m="1" x="3036"/>
        <item m="1" x="2982"/>
        <item x="524"/>
        <item m="1" x="2926"/>
        <item x="525"/>
        <item x="526"/>
        <item x="529"/>
        <item m="1" x="2709"/>
        <item m="1" x="3179"/>
        <item m="1" x="2346"/>
        <item m="1" x="2856"/>
        <item m="1" x="3196"/>
        <item m="1" x="2738"/>
        <item x="534"/>
        <item x="535"/>
        <item m="1" x="2293"/>
        <item x="536"/>
        <item x="538"/>
        <item x="539"/>
        <item x="540"/>
        <item m="1" x="2679"/>
        <item m="1" x="1933"/>
        <item x="543"/>
        <item x="546"/>
        <item m="1" x="2935"/>
        <item x="549"/>
        <item m="1" x="2929"/>
        <item x="550"/>
        <item x="552"/>
        <item x="555"/>
        <item x="556"/>
        <item x="557"/>
        <item x="558"/>
        <item x="559"/>
        <item x="560"/>
        <item x="562"/>
        <item x="564"/>
        <item m="1" x="2361"/>
        <item m="1" x="2600"/>
        <item x="566"/>
        <item x="567"/>
        <item m="1" x="2160"/>
        <item x="568"/>
        <item m="1" x="2161"/>
        <item m="1" x="2442"/>
        <item m="1" x="2215"/>
        <item x="569"/>
        <item m="1" x="2670"/>
        <item x="570"/>
        <item m="1" x="2372"/>
        <item m="1" x="2521"/>
        <item x="573"/>
        <item x="575"/>
        <item x="576"/>
        <item x="577"/>
        <item m="1" x="1322"/>
        <item x="579"/>
        <item x="580"/>
        <item m="1" x="1368"/>
        <item x="581"/>
        <item x="582"/>
        <item x="583"/>
        <item x="584"/>
        <item x="586"/>
        <item x="587"/>
        <item x="588"/>
        <item x="589"/>
        <item x="590"/>
        <item x="591"/>
        <item m="1" x="2269"/>
        <item m="1" x="2002"/>
        <item x="595"/>
        <item x="596"/>
        <item m="1" x="3450"/>
        <item m="1" x="3065"/>
        <item x="597"/>
        <item x="598"/>
        <item x="599"/>
        <item x="600"/>
        <item m="1" x="3205"/>
        <item m="1" x="3133"/>
        <item m="1" x="3077"/>
        <item x="603"/>
        <item m="1" x="2880"/>
        <item m="1" x="2692"/>
        <item m="1" x="2330"/>
        <item m="1" x="2390"/>
        <item x="606"/>
        <item x="607"/>
        <item x="608"/>
        <item x="609"/>
        <item x="610"/>
        <item x="611"/>
        <item x="612"/>
        <item x="613"/>
        <item m="1" x="1669"/>
        <item m="1" x="3231"/>
        <item x="615"/>
        <item x="616"/>
        <item x="618"/>
        <item x="619"/>
        <item x="620"/>
        <item x="621"/>
        <item m="1" x="3636"/>
        <item m="1" x="3737"/>
        <item x="622"/>
        <item x="623"/>
        <item x="624"/>
        <item x="625"/>
        <item x="627"/>
        <item x="628"/>
        <item m="1" x="3458"/>
        <item x="632"/>
        <item x="633"/>
        <item x="634"/>
        <item x="635"/>
        <item x="636"/>
        <item x="638"/>
        <item x="639"/>
        <item x="641"/>
        <item x="642"/>
        <item x="643"/>
        <item m="1" x="3262"/>
        <item m="1" x="1394"/>
        <item x="646"/>
        <item x="647"/>
        <item m="1" x="3652"/>
        <item x="649"/>
        <item x="650"/>
        <item x="652"/>
        <item x="653"/>
        <item x="654"/>
        <item m="1" x="2412"/>
        <item m="1" x="2268"/>
        <item x="656"/>
        <item m="1" x="1621"/>
        <item x="657"/>
        <item x="658"/>
        <item x="659"/>
        <item x="660"/>
        <item m="1" x="2267"/>
        <item x="662"/>
        <item x="663"/>
        <item x="664"/>
        <item m="1" x="2045"/>
        <item m="1" x="1994"/>
        <item m="1" x="1903"/>
        <item x="668"/>
        <item m="1" x="1906"/>
        <item x="669"/>
        <item x="670"/>
        <item x="671"/>
        <item m="1" x="3030"/>
        <item x="675"/>
        <item m="1" x="2827"/>
        <item m="1" x="2908"/>
        <item x="676"/>
        <item x="677"/>
        <item m="1" x="2693"/>
        <item x="678"/>
        <item m="1" x="2968"/>
        <item x="679"/>
        <item m="1" x="3035"/>
        <item x="680"/>
        <item x="683"/>
        <item x="684"/>
        <item m="1" x="2912"/>
        <item m="1" x="3038"/>
        <item x="688"/>
        <item m="1" x="2556"/>
        <item x="689"/>
        <item x="690"/>
        <item x="691"/>
        <item x="693"/>
        <item x="694"/>
        <item x="695"/>
        <item m="1" x="2525"/>
        <item m="1" x="2305"/>
        <item m="1" x="2464"/>
        <item x="697"/>
        <item m="1" x="2384"/>
        <item x="705"/>
        <item m="1" x="2172"/>
        <item x="707"/>
        <item x="710"/>
        <item m="1" x="2245"/>
        <item x="1177"/>
        <item x="717"/>
        <item x="719"/>
        <item x="720"/>
        <item m="1" x="2671"/>
        <item x="722"/>
        <item x="725"/>
        <item m="1" x="2919"/>
        <item m="1" x="2508"/>
        <item m="1" x="2095"/>
        <item x="732"/>
        <item m="1" x="2782"/>
        <item m="1" x="2266"/>
        <item m="1" x="1274"/>
        <item x="738"/>
        <item x="739"/>
        <item x="740"/>
        <item x="743"/>
        <item x="1178"/>
        <item x="745"/>
        <item m="1" x="1961"/>
        <item x="747"/>
        <item x="748"/>
        <item x="750"/>
        <item m="1" x="1775"/>
        <item x="751"/>
        <item m="1" x="1640"/>
        <item m="1" x="3165"/>
        <item m="1" x="1523"/>
        <item x="754"/>
        <item x="755"/>
        <item m="1" x="3012"/>
        <item x="758"/>
        <item x="759"/>
        <item m="1" x="2675"/>
        <item x="761"/>
        <item x="762"/>
        <item x="763"/>
        <item m="1" x="2665"/>
        <item m="1" x="2459"/>
        <item m="1" x="2250"/>
        <item m="1" x="2904"/>
        <item x="766"/>
        <item x="768"/>
        <item m="1" x="2322"/>
        <item m="1" x="2397"/>
        <item x="770"/>
        <item x="771"/>
        <item m="1" x="2552"/>
        <item m="1" x="2631"/>
        <item x="774"/>
        <item m="1" x="2637"/>
        <item m="1" x="2698"/>
        <item x="776"/>
        <item m="1" x="2666"/>
        <item m="1" x="3137"/>
        <item m="1" x="2579"/>
        <item m="1" x="2063"/>
        <item m="1" x="3698"/>
        <item x="779"/>
        <item m="1" x="1469"/>
        <item x="780"/>
        <item m="1" x="2100"/>
        <item m="1" x="3724"/>
        <item m="1" x="2049"/>
        <item m="1" x="2640"/>
        <item m="1" x="1708"/>
        <item m="1" x="1754"/>
        <item m="1" x="3184"/>
        <item m="1" x="2192"/>
        <item m="1" x="3257"/>
        <item x="785"/>
        <item x="787"/>
        <item x="789"/>
        <item m="1" x="1880"/>
        <item x="790"/>
        <item m="1" x="3093"/>
        <item x="791"/>
        <item m="1" x="3390"/>
        <item x="792"/>
        <item x="793"/>
        <item m="1" x="3409"/>
        <item x="795"/>
        <item x="796"/>
        <item x="797"/>
        <item x="798"/>
        <item x="799"/>
        <item x="800"/>
        <item m="1" x="3240"/>
        <item m="1" x="3246"/>
        <item x="1180"/>
        <item m="1" x="3000"/>
        <item x="804"/>
        <item x="805"/>
        <item m="1" x="2905"/>
        <item x="807"/>
        <item x="808"/>
        <item x="809"/>
        <item x="811"/>
        <item m="1" x="3489"/>
        <item m="1" x="2727"/>
        <item m="1" x="2054"/>
        <item x="813"/>
        <item m="1" x="2290"/>
        <item m="1" x="2303"/>
        <item m="1" x="2380"/>
        <item x="815"/>
        <item x="816"/>
        <item m="1" x="1724"/>
        <item m="1" x="3749"/>
        <item m="1" x="2275"/>
        <item x="817"/>
        <item m="1" x="1956"/>
        <item m="1" x="2950"/>
        <item m="1" x="1312"/>
        <item x="818"/>
        <item x="819"/>
        <item x="820"/>
        <item m="1" x="3674"/>
        <item x="821"/>
        <item m="1" x="3687"/>
        <item x="822"/>
        <item m="1" x="3396"/>
        <item x="823"/>
        <item m="1" x="1355"/>
        <item x="824"/>
        <item m="1" x="1396"/>
        <item m="1" x="3271"/>
        <item m="1" x="3595"/>
        <item x="827"/>
        <item m="1" x="3282"/>
        <item m="1" x="3291"/>
        <item x="829"/>
        <item x="830"/>
        <item m="1" x="1579"/>
        <item m="1" x="3039"/>
        <item x="831"/>
        <item x="832"/>
        <item x="833"/>
        <item x="834"/>
        <item m="1" x="2723"/>
        <item x="835"/>
        <item x="837"/>
        <item x="839"/>
        <item x="842"/>
        <item m="1" x="2159"/>
        <item x="844"/>
        <item x="846"/>
        <item x="847"/>
        <item m="1" x="3204"/>
        <item x="853"/>
        <item m="1" x="3561"/>
        <item m="1" x="3032"/>
        <item m="1" x="2970"/>
        <item x="856"/>
        <item m="1" x="3562"/>
        <item x="857"/>
        <item x="858"/>
        <item x="859"/>
        <item x="860"/>
        <item x="861"/>
        <item x="862"/>
        <item m="1" x="2942"/>
        <item m="1" x="2739"/>
        <item m="1" x="3124"/>
        <item m="1" x="2669"/>
        <item x="868"/>
        <item x="873"/>
        <item x="874"/>
        <item x="875"/>
        <item m="1" x="1766"/>
        <item x="887"/>
        <item x="888"/>
        <item x="890"/>
        <item x="891"/>
        <item x="892"/>
        <item x="893"/>
        <item x="895"/>
        <item x="896"/>
        <item x="897"/>
        <item x="898"/>
        <item x="899"/>
        <item x="900"/>
        <item x="903"/>
        <item x="904"/>
        <item m="1" x="1353"/>
        <item x="907"/>
        <item m="1" x="3527"/>
        <item x="908"/>
        <item x="912"/>
        <item x="913"/>
        <item x="914"/>
        <item x="915"/>
        <item x="916"/>
        <item x="917"/>
        <item x="918"/>
        <item x="919"/>
        <item x="920"/>
        <item x="923"/>
        <item m="1" x="1330"/>
        <item x="928"/>
        <item x="931"/>
        <item x="932"/>
        <item m="1" x="3487"/>
        <item m="1" x="1270"/>
        <item x="933"/>
        <item x="1182"/>
        <item x="934"/>
        <item x="935"/>
        <item m="1" x="2824"/>
        <item x="936"/>
        <item x="937"/>
        <item x="938"/>
        <item x="939"/>
        <item x="940"/>
        <item x="941"/>
        <item x="943"/>
        <item x="945"/>
        <item x="946"/>
        <item x="948"/>
        <item m="1" x="1527"/>
        <item x="949"/>
        <item x="950"/>
        <item x="951"/>
        <item x="952"/>
        <item x="953"/>
        <item x="954"/>
        <item m="1" x="1477"/>
        <item x="956"/>
        <item m="1" x="1630"/>
        <item x="958"/>
        <item x="959"/>
        <item x="960"/>
        <item x="961"/>
        <item x="962"/>
        <item x="965"/>
        <item m="1" x="3754"/>
        <item x="966"/>
        <item x="967"/>
        <item x="968"/>
        <item x="969"/>
        <item m="1" x="3597"/>
        <item m="1" x="3583"/>
        <item x="973"/>
        <item m="1" x="1593"/>
        <item x="975"/>
        <item x="976"/>
        <item x="977"/>
        <item x="978"/>
        <item x="979"/>
        <item m="1" x="1539"/>
        <item x="981"/>
        <item x="982"/>
        <item x="984"/>
        <item x="986"/>
        <item x="988"/>
        <item m="1" x="1997"/>
        <item x="990"/>
        <item x="991"/>
        <item x="994"/>
        <item m="1" x="1657"/>
        <item m="1" x="1934"/>
        <item x="998"/>
        <item x="999"/>
        <item m="1" x="2653"/>
        <item x="1002"/>
        <item x="1004"/>
        <item m="1" x="1794"/>
        <item x="1005"/>
        <item x="1006"/>
        <item m="1" x="2023"/>
        <item x="1008"/>
        <item x="1009"/>
        <item x="1010"/>
        <item x="1011"/>
        <item x="1013"/>
        <item m="1" x="1984"/>
        <item x="1017"/>
        <item x="1018"/>
        <item x="1021"/>
        <item x="1022"/>
        <item x="1023"/>
        <item x="1026"/>
        <item x="1027"/>
        <item x="1028"/>
        <item x="1029"/>
        <item x="1030"/>
        <item x="1031"/>
        <item x="1032"/>
        <item x="1033"/>
        <item m="1" x="2187"/>
        <item m="1" x="2417"/>
        <item x="1037"/>
        <item m="1" x="3329"/>
        <item x="1038"/>
        <item x="1039"/>
        <item x="1042"/>
        <item x="1043"/>
        <item x="1044"/>
        <item x="1045"/>
        <item x="1046"/>
        <item m="1" x="3337"/>
        <item x="1048"/>
        <item x="1049"/>
        <item x="1050"/>
        <item m="1" x="3611"/>
        <item x="1183"/>
        <item x="1052"/>
        <item m="1" x="2697"/>
        <item x="1057"/>
        <item m="1" x="1254"/>
        <item x="1059"/>
        <item x="1061"/>
        <item m="1" x="2832"/>
        <item m="1" x="2125"/>
        <item m="1" x="2306"/>
        <item m="1" x="2828"/>
        <item m="1" x="2702"/>
        <item m="1" x="2563"/>
        <item m="1" x="2888"/>
        <item m="1" x="3412"/>
        <item m="1" x="1365"/>
        <item m="1" x="1745"/>
        <item m="1" x="2680"/>
        <item m="1" x="2328"/>
        <item m="1" x="3428"/>
        <item m="1" x="1374"/>
        <item m="1" x="3242"/>
        <item m="1" x="1843"/>
        <item m="1" x="1761"/>
        <item m="1" x="2434"/>
        <item m="1" x="2443"/>
        <item m="1" x="1809"/>
        <item m="1" x="1264"/>
        <item m="1" x="1718"/>
        <item m="1" x="3671"/>
        <item m="1" x="3553"/>
        <item m="1" x="3559"/>
        <item m="1" x="1777"/>
        <item m="1" x="1668"/>
        <item m="1" x="1302"/>
        <item m="1" x="1304"/>
        <item m="1" x="1305"/>
        <item m="1" x="1311"/>
        <item m="1" x="3722"/>
        <item m="1" x="2615"/>
        <item m="1" x="3463"/>
        <item m="1" x="3336"/>
        <item m="1" x="3228"/>
        <item m="1" x="2977"/>
        <item m="1" x="2847"/>
        <item m="1" x="3146"/>
        <item m="1" x="3654"/>
        <item m="1" x="1562"/>
        <item m="1" x="1929"/>
        <item m="1" x="2379"/>
        <item m="1" x="3470"/>
        <item m="1" x="2547"/>
        <item m="1" x="2553"/>
        <item m="1" x="2399"/>
        <item m="1" x="2400"/>
        <item m="1" x="2402"/>
        <item m="1" x="2405"/>
        <item m="1" x="2407"/>
        <item m="1" x="2408"/>
        <item m="1" x="2265"/>
        <item m="1" x="2144"/>
        <item m="1" x="2046"/>
        <item m="1" x="1862"/>
        <item m="1" x="2837"/>
        <item m="1" x="2712"/>
        <item m="1" x="2289"/>
        <item m="1" x="2169"/>
        <item m="1" x="2071"/>
        <item m="1" x="1894"/>
        <item m="1" x="1803"/>
        <item m="1" x="3356"/>
        <item m="1" x="3253"/>
        <item m="1" x="2890"/>
        <item m="1" x="2764"/>
        <item m="1" x="2635"/>
        <item m="1" x="2203"/>
        <item m="1" x="2103"/>
        <item m="1" x="1926"/>
        <item m="1" x="3536"/>
        <item m="1" x="3415"/>
        <item m="1" x="2270"/>
        <item m="1" x="2286"/>
        <item m="1" x="2157"/>
        <item m="1" x="2158"/>
        <item m="1" x="1973"/>
        <item m="1" x="1886"/>
        <item m="1" x="1713"/>
        <item m="1" x="1716"/>
        <item m="1" x="1916"/>
        <item m="1" x="2894"/>
        <item m="1" x="2767"/>
        <item m="1" x="2770"/>
        <item m="1" x="2771"/>
        <item m="1" x="2773"/>
        <item m="1" x="2780"/>
        <item m="1" x="3398"/>
        <item m="1" x="2783"/>
        <item m="1" x="2642"/>
        <item x="1086"/>
        <item m="1" x="2495"/>
        <item m="1" x="2496"/>
        <item m="1" x="1925"/>
        <item m="1" x="2986"/>
        <item m="1" x="3625"/>
        <item m="1" x="2899"/>
        <item m="1" x="2938"/>
        <item m="1" x="1291"/>
        <item m="1" x="2194"/>
        <item m="1" x="3339"/>
        <item m="1" x="2308"/>
        <item m="1" x="1748"/>
        <item m="1" x="2226"/>
        <item m="1" x="2228"/>
        <item m="1" x="2232"/>
        <item m="1" x="2233"/>
        <item m="1" x="2235"/>
        <item m="1" x="2237"/>
        <item x="0"/>
        <item m="1" x="2118"/>
        <item m="1" x="2122"/>
        <item m="1" x="2889"/>
        <item m="1" x="2124"/>
        <item m="1" x="2127"/>
        <item m="1" x="2732"/>
        <item m="1" x="2760"/>
        <item m="1" x="2129"/>
        <item m="1" x="2035"/>
        <item m="1" x="1844"/>
        <item m="1" x="1501"/>
        <item m="1" x="2976"/>
        <item m="1" x="3695"/>
        <item m="1" x="3466"/>
        <item m="1" x="3238"/>
        <item m="1" x="3105"/>
        <item m="1" x="2990"/>
        <item m="1" x="2858"/>
        <item m="1" x="2736"/>
        <item m="1" x="1682"/>
        <item m="1" x="1605"/>
        <item m="1" x="1405"/>
        <item m="1" x="1306"/>
        <item m="1" x="3374"/>
        <item m="1" x="3402"/>
        <item m="1" x="2917"/>
        <item m="1" x="1360"/>
        <item m="1" x="3665"/>
        <item m="1" x="2025"/>
        <item m="1" x="1840"/>
        <item m="1" x="2967"/>
        <item m="1" x="2994"/>
        <item m="1" x="2997"/>
        <item m="1" x="2431"/>
        <item m="1" x="2291"/>
        <item m="1" x="2170"/>
        <item m="1" x="1295"/>
        <item m="1" x="2748"/>
        <item m="1" x="1691"/>
        <item m="1" x="1606"/>
        <item m="1" x="1622"/>
        <item m="1" x="1326"/>
        <item m="1" x="1343"/>
        <item m="1" x="1871"/>
        <item m="1" x="2561"/>
        <item m="1" x="1869"/>
        <item m="1" x="1874"/>
        <item m="1" x="1878"/>
        <item m="1" x="2650"/>
        <item m="1" x="1629"/>
        <item x="1"/>
        <item x="2"/>
        <item x="3"/>
        <item x="4"/>
        <item m="1" x="1915"/>
        <item m="1" x="1376"/>
        <item m="1" x="2354"/>
        <item m="1" x="2534"/>
        <item x="1218"/>
        <item m="1" x="2853"/>
        <item m="1" x="3680"/>
        <item m="1" x="2872"/>
        <item m="1" x="1582"/>
        <item m="1" x="1583"/>
        <item x="8"/>
        <item m="1" x="2570"/>
        <item m="1" x="2571"/>
        <item m="1" x="2573"/>
        <item m="1" x="2576"/>
        <item m="1" x="2580"/>
        <item m="1" x="2583"/>
        <item m="1" x="2587"/>
        <item m="1" x="1965"/>
        <item m="1" x="1990"/>
        <item m="1" x="1875"/>
        <item m="1" x="1785"/>
        <item m="1" x="3232"/>
        <item m="1" x="1799"/>
        <item m="1" x="2058"/>
        <item m="1" x="3657"/>
        <item m="1" x="2465"/>
        <item m="1" x="2497"/>
        <item m="1" x="2537"/>
        <item m="1" x="2239"/>
        <item m="1" x="2276"/>
        <item m="1" x="2310"/>
        <item m="1" x="2348"/>
        <item m="1" x="2383"/>
        <item m="1" x="2421"/>
        <item m="1" x="2466"/>
        <item m="1" x="2498"/>
        <item m="1" x="2538"/>
        <item m="1" x="2578"/>
        <item m="1" x="2241"/>
        <item m="1" x="2277"/>
        <item m="1" x="2313"/>
        <item m="1" x="2350"/>
        <item m="1" x="2386"/>
        <item m="1" x="2423"/>
        <item m="1" x="2468"/>
        <item m="1" x="2499"/>
        <item m="1" x="2582"/>
        <item m="1" x="2244"/>
        <item m="1" x="2278"/>
        <item x="1087"/>
        <item m="1" x="2388"/>
        <item m="1" x="2246"/>
        <item m="1" x="2280"/>
        <item m="1" x="2315"/>
        <item m="1" x="2353"/>
        <item m="1" x="2389"/>
        <item m="1" x="2502"/>
        <item m="1" x="2281"/>
        <item m="1" x="2392"/>
        <item m="1" x="2425"/>
        <item m="1" x="2471"/>
        <item m="1" x="2505"/>
        <item m="1" x="2589"/>
        <item m="1" x="2428"/>
        <item m="1" x="2472"/>
        <item m="1" x="2507"/>
        <item m="1" x="2544"/>
        <item m="1" x="2591"/>
        <item m="1" x="2249"/>
        <item m="1" x="2282"/>
        <item m="1" x="2320"/>
        <item m="1" x="2357"/>
        <item m="1" x="2393"/>
        <item m="1" x="2429"/>
        <item m="1" x="2476"/>
        <item m="1" x="2509"/>
        <item m="1" x="2546"/>
        <item m="1" x="2594"/>
        <item m="1" x="2253"/>
        <item m="1" x="2430"/>
        <item m="1" x="2510"/>
        <item m="1" x="2549"/>
        <item m="1" x="2284"/>
        <item m="1" x="2321"/>
        <item m="1" x="2359"/>
        <item m="1" x="2432"/>
        <item m="1" x="2478"/>
        <item m="1" x="1526"/>
        <item m="1" x="3371"/>
        <item m="1" x="3141"/>
        <item m="1" x="2469"/>
        <item m="1" x="1586"/>
        <item m="1" x="1587"/>
        <item m="1" x="2069"/>
        <item m="1" x="2634"/>
        <item m="1" x="3616"/>
        <item m="1" x="2759"/>
        <item x="1088"/>
        <item x="1089"/>
        <item m="1" x="2016"/>
        <item m="1" x="1632"/>
        <item m="1" x="2687"/>
        <item m="1" x="2875"/>
        <item m="1" x="2881"/>
        <item m="1" x="2208"/>
        <item m="1" x="2218"/>
        <item m="1" x="2221"/>
        <item m="1" x="2106"/>
        <item m="1" x="2107"/>
        <item m="1" x="2110"/>
        <item m="1" x="3213"/>
        <item m="1" x="1517"/>
        <item m="1" x="1888"/>
        <item m="1" x="2319"/>
        <item m="1" x="2902"/>
        <item m="1" x="3421"/>
        <item m="1" x="2362"/>
        <item m="1" x="3661"/>
        <item m="1" x="3431"/>
        <item m="1" x="3303"/>
        <item m="1" x="3056"/>
        <item m="1" x="2753"/>
        <item m="1" x="1942"/>
        <item m="1" x="2477"/>
        <item x="1090"/>
        <item x="1219"/>
        <item m="1" x="2024"/>
        <item m="1" x="1937"/>
        <item m="1" x="3555"/>
        <item m="1" x="3432"/>
        <item m="1" x="3304"/>
        <item m="1" x="3188"/>
        <item x="1091"/>
        <item m="1" x="2944"/>
        <item x="1092"/>
        <item x="1093"/>
        <item m="1" x="2539"/>
        <item x="1094"/>
        <item m="1" x="1463"/>
        <item m="1" x="1375"/>
        <item m="1" x="1277"/>
        <item m="1" x="3686"/>
        <item m="1" x="3582"/>
        <item x="1095"/>
        <item x="1096"/>
        <item m="1" x="3220"/>
        <item m="1" x="3090"/>
        <item x="1097"/>
        <item m="1" x="1835"/>
        <item m="1" x="1671"/>
        <item x="1100"/>
        <item m="1" x="1493"/>
        <item m="1" x="1293"/>
        <item x="1101"/>
        <item x="1102"/>
        <item x="1103"/>
        <item m="1" x="2136"/>
        <item m="1" x="2864"/>
        <item m="1" x="3732"/>
        <item x="1104"/>
        <item m="1" x="1429"/>
        <item m="1" x="1345"/>
        <item m="1" x="3759"/>
        <item x="1105"/>
        <item m="1" x="3539"/>
        <item m="1" x="1644"/>
        <item x="1220"/>
        <item m="1" x="1692"/>
        <item m="1" x="1609"/>
        <item m="1" x="2778"/>
        <item m="1" x="2647"/>
        <item m="1" x="2494"/>
        <item m="1" x="2210"/>
        <item m="1" x="1347"/>
        <item m="1" x="3760"/>
        <item m="1" x="3649"/>
        <item m="1" x="3544"/>
        <item m="1" x="3419"/>
        <item m="1" x="3296"/>
        <item m="1" x="3177"/>
        <item m="1" x="3051"/>
        <item m="1" x="2937"/>
        <item m="1" x="2806"/>
        <item m="1" x="1732"/>
        <item m="1" x="1645"/>
        <item m="1" x="1559"/>
        <item m="1" x="1453"/>
        <item m="1" x="1369"/>
        <item m="1" x="1272"/>
        <item m="1" x="3679"/>
        <item m="1" x="3572"/>
        <item m="1" x="3443"/>
        <item m="1" x="3317"/>
        <item m="1" x="2096"/>
        <item x="1106"/>
        <item m="1" x="2079"/>
        <item m="1" x="2843"/>
        <item m="1" x="2844"/>
        <item m="1" x="2846"/>
        <item m="1" x="2848"/>
        <item m="1" x="2849"/>
        <item m="1" x="2850"/>
        <item m="1" x="2713"/>
        <item m="1" x="2715"/>
        <item m="1" x="2716"/>
        <item m="1" x="2718"/>
        <item m="1" x="2720"/>
        <item m="1" x="2721"/>
        <item m="1" x="2724"/>
        <item m="1" x="2728"/>
        <item m="1" x="2730"/>
        <item m="1" x="2577"/>
        <item m="1" x="2581"/>
        <item m="1" x="2585"/>
        <item m="1" x="2588"/>
        <item m="1" x="2590"/>
        <item m="1" x="2593"/>
        <item m="1" x="2597"/>
        <item m="1" x="2598"/>
        <item m="1" x="2433"/>
        <item m="1" x="2435"/>
        <item m="1" x="2438"/>
        <item m="1" x="2441"/>
        <item m="1" x="2444"/>
        <item m="1" x="2446"/>
        <item m="1" x="1985"/>
        <item m="1" x="1895"/>
        <item m="1" x="1804"/>
        <item m="1" x="1723"/>
        <item m="1" x="3005"/>
        <item m="1" x="2746"/>
        <item m="1" x="2617"/>
        <item m="1" x="2474"/>
        <item m="1" x="2329"/>
        <item m="1" x="2189"/>
        <item m="1" x="2090"/>
        <item m="1" x="2007"/>
        <item m="1" x="3518"/>
        <item m="1" x="3278"/>
        <item m="1" x="3029"/>
        <item m="1" x="2910"/>
        <item m="1" x="2504"/>
        <item m="1" x="1253"/>
        <item m="1" x="3660"/>
        <item m="1" x="3554"/>
        <item m="1" x="3430"/>
        <item m="1" x="3186"/>
        <item m="1" x="3055"/>
        <item m="1" x="3556"/>
        <item m="1" x="3189"/>
        <item m="1" x="1887"/>
        <item m="1" x="1445"/>
        <item m="1" x="1511"/>
        <item m="1" x="2436"/>
        <item m="1" x="1321"/>
        <item m="1" x="3268"/>
        <item m="1" x="3272"/>
        <item m="1" x="3273"/>
        <item m="1" x="2645"/>
        <item m="1" x="1485"/>
        <item m="1" x="2672"/>
        <item m="1" x="3099"/>
        <item m="1" x="1287"/>
        <item m="1" x="1314"/>
        <item m="1" x="3603"/>
        <item m="1" x="1285"/>
        <item m="1" x="1978"/>
        <item m="1" x="3619"/>
        <item m="1" x="3073"/>
        <item m="1" x="2951"/>
        <item m="1" x="2821"/>
        <item m="1" x="2691"/>
        <item m="1" x="2596"/>
        <item m="1" x="2413"/>
        <item m="1" x="2154"/>
        <item m="1" x="3696"/>
        <item m="1" x="3601"/>
        <item m="1" x="1552"/>
        <item m="1" x="3106"/>
        <item m="1" x="2859"/>
        <item m="1" x="2878"/>
        <item m="1" x="2603"/>
        <item m="1" x="1599"/>
        <item m="1" x="1503"/>
        <item m="1" x="1406"/>
        <item m="1" x="1307"/>
        <item m="1" x="3725"/>
        <item m="1" x="3628"/>
        <item m="1" x="3492"/>
        <item m="1" x="3126"/>
        <item m="1" x="1867"/>
        <item m="1" x="1619"/>
        <item m="1" x="1338"/>
        <item m="1" x="3753"/>
        <item m="1" x="2437"/>
        <item m="1" x="2078"/>
        <item m="1" x="1727"/>
        <item m="1" x="1738"/>
        <item m="1" x="2876"/>
        <item m="1" x="2009"/>
        <item m="1" x="1919"/>
        <item m="1" x="3283"/>
        <item m="1" x="3033"/>
        <item m="1" x="1260"/>
        <item m="1" x="3666"/>
        <item m="1" x="3434"/>
        <item m="1" x="3305"/>
        <item m="1" x="2947"/>
        <item m="1" x="1567"/>
        <item m="1" x="1468"/>
        <item m="1" x="1379"/>
        <item m="1" x="3689"/>
        <item m="1" x="3585"/>
        <item m="1" x="3460"/>
        <item m="1" x="2022"/>
        <item m="1" x="1758"/>
        <item m="1" x="1595"/>
        <item m="1" x="1494"/>
        <item m="1" x="1398"/>
        <item m="1" x="3221"/>
        <item m="1" x="3091"/>
        <item m="1" x="2838"/>
        <item m="1" x="2714"/>
        <item m="1" x="2292"/>
        <item m="1" x="2171"/>
        <item m="1" x="2074"/>
        <item m="1" x="3714"/>
        <item m="1" x="3358"/>
        <item m="1" x="3255"/>
        <item m="1" x="2873"/>
        <item m="1" x="2749"/>
        <item m="1" x="1516"/>
        <item m="1" x="1414"/>
        <item m="1" x="1327"/>
        <item m="1" x="1346"/>
        <item m="1" x="1348"/>
        <item m="1" x="3741"/>
        <item m="1" x="3637"/>
        <item m="1" x="3519"/>
        <item m="1" x="3538"/>
        <item m="1" x="3547"/>
        <item m="1" x="3279"/>
        <item m="1" x="3150"/>
        <item m="1" x="1974"/>
        <item m="1" x="1884"/>
        <item m="1" x="1795"/>
        <item m="1" x="1812"/>
        <item m="1" x="1717"/>
        <item m="1" x="1626"/>
        <item m="1" x="1535"/>
        <item m="1" x="1438"/>
        <item m="1" x="1356"/>
        <item m="1" x="1255"/>
        <item m="1" x="2460"/>
        <item m="1" x="2317"/>
        <item m="1" x="1818"/>
        <item m="1" x="1737"/>
        <item m="1" x="1652"/>
        <item m="1" x="1566"/>
        <item m="1" x="3022"/>
        <item m="1" x="2900"/>
        <item m="1" x="2774"/>
        <item m="1" x="2207"/>
        <item m="1" x="2108"/>
        <item m="1" x="3540"/>
        <item m="1" x="3295"/>
        <item m="1" x="3174"/>
        <item m="1" x="3050"/>
        <item m="1" x="2531"/>
        <item m="1" x="1450"/>
        <item m="1" x="3678"/>
        <item m="1" x="3314"/>
        <item m="1" x="3206"/>
        <item m="1" x="1828"/>
        <item m="1" x="1751"/>
        <item m="1" x="1581"/>
        <item m="1" x="1289"/>
        <item m="1" x="3704"/>
        <item m="1" x="3606"/>
        <item m="1" x="3472"/>
        <item m="1" x="2238"/>
        <item m="1" x="2132"/>
        <item m="1" x="1947"/>
        <item m="1" x="1864"/>
        <item m="1" x="2331"/>
        <item m="1" x="2369"/>
        <item m="1" x="2406"/>
        <item m="1" x="2448"/>
        <item m="1" x="2485"/>
        <item m="1" x="2517"/>
        <item m="1" x="1865"/>
        <item m="1" x="1769"/>
        <item m="1" x="1603"/>
        <item m="1" x="1509"/>
        <item m="1" x="3241"/>
        <item m="1" x="3108"/>
        <item m="1" x="2454"/>
        <item m="1" x="2309"/>
        <item x="10"/>
        <item m="1" x="3629"/>
        <item m="1" x="3494"/>
        <item m="1" x="3377"/>
        <item m="1" x="3260"/>
        <item m="1" x="3016"/>
        <item m="1" x="2892"/>
        <item m="1" x="2766"/>
        <item m="1" x="2639"/>
        <item m="1" x="1525"/>
        <item m="1" x="1422"/>
        <item m="1" x="1341"/>
        <item m="1" x="3756"/>
        <item m="1" x="3646"/>
        <item m="1" x="3416"/>
        <item m="1" x="3292"/>
        <item m="1" x="3171"/>
        <item m="1" x="1991"/>
        <item m="1" x="1642"/>
        <item m="1" x="2332"/>
        <item m="1" x="1824"/>
        <item m="1" x="1661"/>
        <item m="1" x="1576"/>
        <item m="1" x="2920"/>
        <item m="1" x="2515"/>
        <item m="1" x="2370"/>
        <item m="1" x="1943"/>
        <item m="1" x="2708"/>
        <item m="1" x="3575"/>
        <item m="1" x="3578"/>
        <item m="1" x="3436"/>
        <item m="1" x="3446"/>
        <item m="1" x="3306"/>
        <item m="1" x="3321"/>
        <item x="11"/>
        <item m="1" x="2684"/>
        <item m="1" x="2550"/>
        <item m="1" x="2566"/>
        <item m="1" x="2404"/>
        <item m="1" x="1471"/>
        <item m="1" x="1380"/>
        <item m="1" x="3690"/>
        <item m="1" x="3589"/>
        <item m="1" x="3462"/>
        <item m="1" x="3335"/>
        <item m="1" x="2975"/>
        <item m="1" x="2998"/>
        <item m="1" x="3003"/>
        <item m="1" x="1497"/>
        <item m="1" x="1401"/>
        <item m="1" x="3484"/>
        <item m="1" x="3507"/>
        <item m="1" x="2044"/>
        <item m="1" x="3745"/>
        <item m="1" x="3401"/>
        <item m="1" x="3155"/>
        <item m="1" x="3031"/>
        <item m="1" x="3052"/>
        <item m="1" x="2939"/>
        <item m="1" x="2808"/>
        <item m="1" x="2673"/>
        <item m="1" x="2043"/>
        <item m="1" x="1958"/>
        <item m="1" x="3573"/>
        <item m="1" x="3445"/>
        <item m="1" x="3320"/>
        <item m="1" x="3209"/>
        <item m="1" x="3082"/>
        <item m="1" x="2829"/>
        <item m="1" x="2565"/>
        <item m="1" x="1483"/>
        <item m="1" x="1392"/>
        <item m="1" x="3707"/>
        <item m="1" x="3607"/>
        <item m="1" x="1686"/>
        <item m="1" x="3735"/>
        <item m="1" x="3633"/>
        <item m="1" x="3505"/>
        <item m="1" x="2272"/>
        <item m="1" x="2152"/>
        <item m="1" x="2059"/>
        <item m="1" x="1967"/>
        <item m="1" x="1876"/>
        <item m="1" x="1788"/>
        <item m="1" x="1709"/>
        <item m="1" x="1529"/>
        <item m="1" x="3264"/>
        <item m="1" x="3019"/>
        <item m="1" x="2643"/>
        <item m="1" x="2347"/>
        <item m="1" x="3417"/>
        <item m="1" x="3294"/>
        <item m="1" x="3173"/>
        <item m="1" x="3049"/>
        <item m="1" x="2934"/>
        <item m="1" x="1963"/>
        <item m="1" x="3591"/>
        <item m="1" x="2978"/>
        <item m="1" x="2255"/>
        <item m="1" x="2140"/>
        <item m="1" x="2066"/>
        <item m="1" x="3139"/>
        <item m="1" x="3514"/>
        <item m="1" x="3516"/>
        <item m="1" x="3517"/>
        <item m="1" x="3521"/>
        <item m="1" x="3520"/>
        <item m="1" x="3435"/>
        <item m="1" x="2758"/>
        <item m="1" x="2629"/>
        <item m="1" x="2655"/>
        <item m="1" x="2484"/>
        <item m="1" x="2165"/>
        <item m="1" x="2166"/>
        <item m="1" x="2784"/>
        <item m="1" x="3684"/>
        <item m="1" x="3579"/>
        <item m="1" x="2344"/>
        <item m="1" x="2205"/>
        <item m="1" x="2224"/>
        <item m="1" x="3319"/>
        <item m="1" x="3208"/>
        <item m="1" x="3081"/>
        <item m="1" x="2959"/>
        <item m="1" x="2486"/>
        <item m="1" x="2337"/>
        <item m="1" x="2198"/>
        <item m="1" x="2097"/>
        <item m="1" x="2017"/>
        <item m="1" x="2366"/>
        <item m="1" x="1678"/>
        <item m="1" x="1753"/>
        <item m="1" x="3169"/>
        <item m="1" x="3046"/>
        <item m="1" x="2930"/>
        <item m="1" x="2663"/>
        <item m="1" x="2375"/>
        <item m="1" x="2037"/>
        <item m="1" x="3202"/>
        <item m="1" x="3072"/>
        <item m="1" x="2554"/>
        <item m="1" x="1386"/>
        <item m="1" x="1941"/>
        <item m="1" x="2482"/>
        <item m="1" x="1680"/>
        <item m="1" x="1502"/>
        <item m="1" x="2134"/>
        <item m="1" x="1520"/>
        <item m="1" x="1416"/>
        <item m="1" x="1695"/>
        <item m="1" x="2695"/>
        <item m="1" x="1780"/>
        <item m="1" x="1385"/>
        <item x="1107"/>
        <item m="1" x="3624"/>
        <item x="1108"/>
        <item m="1" x="1883"/>
        <item m="1" x="1417"/>
        <item m="1" x="1382"/>
        <item m="1" x="3359"/>
        <item m="1" x="1358"/>
        <item m="1" x="3641"/>
        <item m="1" x="1328"/>
        <item m="1" x="3375"/>
        <item m="1" x="1741"/>
        <item m="1" x="2193"/>
        <item m="1" x="1420"/>
        <item m="1" x="2123"/>
        <item m="1" x="3331"/>
        <item m="1" x="3224"/>
        <item m="1" x="1596"/>
        <item m="1" x="3495"/>
        <item m="1" x="1448"/>
        <item m="1" x="3496"/>
        <item m="1" x="1449"/>
        <item m="1" x="3497"/>
        <item m="1" x="3499"/>
        <item m="1" x="3500"/>
        <item m="1" x="3502"/>
        <item m="1" x="3506"/>
        <item m="1" x="3508"/>
        <item m="1" x="3511"/>
        <item m="1" x="3513"/>
        <item m="1" x="3379"/>
        <item m="1" x="3380"/>
        <item m="1" x="3382"/>
        <item m="1" x="3385"/>
        <item m="1" x="3387"/>
        <item m="1" x="3388"/>
        <item m="1" x="3391"/>
        <item m="1" x="3392"/>
        <item m="1" x="3394"/>
        <item m="1" x="3261"/>
        <item m="1" x="3263"/>
        <item m="1" x="3265"/>
        <item m="1" x="3266"/>
        <item m="1" x="3267"/>
        <item m="1" x="3270"/>
        <item m="1" x="3130"/>
        <item m="1" x="3131"/>
        <item m="1" x="3132"/>
        <item m="1" x="3134"/>
        <item m="1" x="3018"/>
        <item m="1" x="2893"/>
        <item m="1" x="2895"/>
        <item m="1" x="2620"/>
        <item m="1" x="3176"/>
        <item x="1109"/>
        <item m="1" x="3647"/>
        <item m="1" x="1536"/>
        <item m="1" x="1256"/>
        <item m="1" x="2409"/>
        <item m="1" x="2805"/>
        <item m="1" x="2137"/>
        <item m="1" x="2983"/>
        <item m="1" x="2113"/>
        <item m="1" x="2115"/>
        <item x="1111"/>
        <item m="1" x="1577"/>
        <item m="1" x="1479"/>
        <item m="1" x="2792"/>
        <item m="1" x="1944"/>
        <item m="1" x="2426"/>
        <item m="1" x="3251"/>
        <item m="1" x="2914"/>
        <item m="1" x="1481"/>
        <item m="1" x="1279"/>
        <item m="1" x="3115"/>
        <item m="1" x="2128"/>
        <item m="1" x="2387"/>
        <item m="1" x="3311"/>
        <item m="1" x="2621"/>
        <item m="1" x="3568"/>
        <item m="1" x="1846"/>
        <item m="1" x="3418"/>
        <item m="1" x="1269"/>
        <item m="1" x="1750"/>
        <item m="1" x="3098"/>
        <item m="1" x="2447"/>
        <item m="1" x="3407"/>
        <item m="1" x="3287"/>
        <item m="1" x="2070"/>
        <item m="1" x="1983"/>
        <item m="1" x="1892"/>
        <item m="1" x="1802"/>
        <item m="1" x="3194"/>
        <item m="1" x="3059"/>
        <item m="1" x="2545"/>
        <item m="1" x="3249"/>
        <item m="1" x="1594"/>
        <item x="1112"/>
        <item m="1" x="2491"/>
        <item m="1" x="3533"/>
        <item x="1113"/>
        <item m="1" x="3535"/>
        <item m="1" x="3537"/>
        <item m="1" x="3413"/>
        <item m="1" x="3414"/>
        <item x="1114"/>
        <item m="1" x="1647"/>
        <item m="1" x="3441"/>
        <item m="1" x="2506"/>
        <item x="1115"/>
        <item m="1" x="3234"/>
        <item m="1" x="2334"/>
        <item m="1" x="3410"/>
        <item m="1" x="1473"/>
        <item m="1" x="2223"/>
        <item m="1" x="2116"/>
        <item m="1" x="3461"/>
        <item m="1" x="3334"/>
        <item m="1" x="3226"/>
        <item m="1" x="3097"/>
        <item x="1224"/>
        <item m="1" x="2324"/>
        <item m="1" x="1820"/>
        <item m="1" x="2520"/>
        <item m="1" x="3395"/>
        <item m="1" x="1767"/>
        <item m="1" x="1768"/>
        <item m="1" x="2199"/>
        <item x="1117"/>
        <item m="1" x="1829"/>
        <item m="1" x="3043"/>
        <item m="1" x="2924"/>
        <item m="1" x="2121"/>
        <item m="1" x="2030"/>
        <item m="1" x="1939"/>
        <item m="1" x="3621"/>
        <item m="1" x="1891"/>
        <item m="1" x="2696"/>
        <item m="1" x="1881"/>
        <item m="1" x="1793"/>
        <item m="1" x="1714"/>
        <item m="1" x="2480"/>
        <item m="1" x="3034"/>
        <item m="1" x="2230"/>
        <item m="1" x="3565"/>
        <item m="1" x="2948"/>
        <item x="1118"/>
        <item m="1" x="3586"/>
        <item m="1" x="3333"/>
        <item m="1" x="1773"/>
        <item m="1" x="2690"/>
        <item m="1" x="2562"/>
        <item m="1" x="1317"/>
        <item m="1" x="3733"/>
        <item m="1" x="2271"/>
        <item m="1" x="2151"/>
        <item m="1" x="2056"/>
        <item m="1" x="1787"/>
        <item m="1" x="1433"/>
        <item m="1" x="2852"/>
        <item x="1120"/>
        <item x="1121"/>
        <item m="1" x="2335"/>
        <item m="1" x="1257"/>
        <item m="1" x="3400"/>
        <item m="1" x="2342"/>
        <item m="1" x="3058"/>
        <item x="1122"/>
        <item m="1" x="2120"/>
        <item m="1" x="3014"/>
        <item m="1" x="2886"/>
        <item m="1" x="2761"/>
        <item m="1" x="2632"/>
        <item m="1" x="2487"/>
        <item m="1" x="3223"/>
        <item m="1" x="3718"/>
        <item m="1" x="1608"/>
        <item m="1" x="1977"/>
        <item m="1" x="2463"/>
        <item m="1" x="3546"/>
        <item m="1" x="3615"/>
        <item x="1123"/>
        <item m="1" x="2616"/>
        <item m="1" x="3109"/>
        <item m="1" x="2995"/>
        <item m="1" x="1575"/>
        <item m="1" x="1478"/>
        <item m="1" x="1387"/>
        <item m="1" x="1407"/>
        <item m="1" x="1425"/>
        <item m="1" x="1451"/>
        <item m="1" x="1484"/>
        <item m="1" x="1531"/>
        <item m="1" x="1563"/>
        <item m="1" x="1366"/>
        <item m="1" x="1388"/>
        <item m="1" x="1430"/>
        <item m="1" x="1454"/>
        <item m="1" x="1486"/>
        <item m="1" x="1512"/>
        <item m="1" x="1564"/>
        <item m="1" x="2252"/>
        <item m="1" x="1591"/>
        <item m="1" x="1367"/>
        <item m="1" x="1391"/>
        <item m="1" x="1409"/>
        <item m="1" x="1432"/>
        <item m="1" x="1455"/>
        <item m="1" x="1487"/>
        <item m="1" x="3135"/>
        <item m="1" x="3021"/>
        <item m="1" x="2898"/>
        <item m="1" x="2772"/>
        <item m="1" x="2648"/>
        <item m="1" x="2060"/>
        <item m="1" x="2179"/>
        <item m="1" x="2258"/>
        <item m="1" x="1841"/>
        <item m="1" x="2162"/>
        <item m="1" x="3111"/>
        <item m="1" x="2086"/>
        <item m="1" x="3550"/>
        <item m="1" x="1833"/>
        <item m="1" x="2823"/>
        <item m="1" x="1309"/>
        <item x="1124"/>
        <item m="1" x="2626"/>
        <item m="1" x="3159"/>
        <item m="1" x="2658"/>
        <item m="1" x="3061"/>
        <item m="1" x="2548"/>
        <item m="1" x="1495"/>
        <item m="1" x="2867"/>
        <item m="1" x="1711"/>
        <item m="1" x="2936"/>
        <item m="1" x="1948"/>
        <item m="1" x="1706"/>
        <item m="1" x="1364"/>
        <item m="1" x="3485"/>
        <item m="1" x="2067"/>
        <item m="1" x="3510"/>
        <item m="1" x="3677"/>
        <item m="1" x="3569"/>
        <item m="1" x="2111"/>
        <item m="1" x="3063"/>
        <item m="1" x="3001"/>
        <item m="1" x="1688"/>
        <item m="1" x="1690"/>
        <item m="1" x="1504"/>
        <item m="1" x="1976"/>
        <item m="1" x="3094"/>
        <item m="1" x="3284"/>
        <item m="1" x="3158"/>
        <item m="1" x="1798"/>
        <item m="1" x="1707"/>
        <item m="1" x="1710"/>
        <item m="1" x="1659"/>
        <item m="1" x="1670"/>
        <item m="1" x="2922"/>
        <item m="1" x="3340"/>
        <item m="1" x="2197"/>
        <item m="1" x="1490"/>
        <item m="1" x="2896"/>
        <item m="1" x="3423"/>
        <item m="1" x="2088"/>
        <item m="1" x="3560"/>
        <item m="1" x="3479"/>
        <item m="1" x="3028"/>
        <item m="1" x="1357"/>
        <item m="1" x="2003"/>
        <item m="1" x="2352"/>
        <item m="1" x="1589"/>
        <item m="1" x="3181"/>
        <item m="1" x="2678"/>
        <item m="1" x="1456"/>
        <item m="1" x="1457"/>
        <item m="1" x="1920"/>
        <item m="1" x="3481"/>
        <item m="1" x="1870"/>
        <item m="1" x="3215"/>
        <item m="1" x="2455"/>
        <item m="1" x="2608"/>
        <item m="1" x="2954"/>
        <item m="1" x="3143"/>
        <item m="1" x="1778"/>
        <item m="1" x="1263"/>
        <item m="1" x="3366"/>
        <item m="1" x="1452"/>
        <item m="1" x="1411"/>
        <item m="1" x="2797"/>
        <item m="1" x="2985"/>
        <item m="1" x="1664"/>
        <item m="1" x="2449"/>
        <item m="1" x="3532"/>
        <item m="1" x="1650"/>
        <item m="1" x="1459"/>
        <item m="1" x="1460"/>
        <item m="1" x="2686"/>
        <item m="1" x="3656"/>
        <item m="1" x="1755"/>
        <item m="1" x="3529"/>
        <item m="1" x="2082"/>
        <item m="1" x="3147"/>
        <item m="1" x="2622"/>
        <item m="1" x="1704"/>
        <item m="1" x="1506"/>
        <item m="1" x="2183"/>
        <item m="1" x="2918"/>
        <item m="1" x="1625"/>
        <item m="1" x="1743"/>
        <item m="1" x="3713"/>
        <item m="1" x="1826"/>
        <item m="1" x="2349"/>
        <item m="1" x="2682"/>
        <item m="1" x="3473"/>
        <item m="1" x="2283"/>
        <item m="1" x="3699"/>
        <item m="1" x="1378"/>
        <item m="1" x="1585"/>
        <item m="1" x="3301"/>
        <item m="1" x="2745"/>
        <item m="1" x="2584"/>
        <item m="1" x="2659"/>
        <item m="1" x="1301"/>
        <item m="1" x="1413"/>
        <item m="1" x="1954"/>
        <item m="1" x="1515"/>
        <item m="1" x="1252"/>
        <item m="1" x="3079"/>
        <item m="1" x="3613"/>
        <item m="1" x="1533"/>
        <item m="1" x="3503"/>
        <item m="1" x="2776"/>
        <item m="1" x="2528"/>
        <item m="1" x="1299"/>
        <item m="1" x="3662"/>
        <item m="1" x="3673"/>
        <item m="1" x="2184"/>
        <item m="1" x="1489"/>
        <item m="1" x="2733"/>
        <item m="1" x="3522"/>
        <item m="1" x="3071"/>
        <item m="1" x="1877"/>
        <item m="1" x="3640"/>
        <item m="1" x="2500"/>
        <item m="1" x="2854"/>
        <item m="1" x="2754"/>
        <item m="1" x="3057"/>
        <item m="1" x="2227"/>
        <item x="1125"/>
        <item m="1" x="1634"/>
        <item m="1" x="3700"/>
        <item m="1" x="1970"/>
        <item m="1" x="2747"/>
        <item m="1" x="3682"/>
        <item m="1" x="1810"/>
        <item m="1" x="3342"/>
        <item m="1" x="2542"/>
        <item m="1" x="2029"/>
        <item m="1" x="1852"/>
        <item m="1" x="1832"/>
        <item m="1" x="1370"/>
        <item m="1" x="1901"/>
        <item m="1" x="2422"/>
        <item m="1" x="3504"/>
        <item m="1" x="1612"/>
        <item m="1" x="2000"/>
        <item m="1" x="2625"/>
        <item m="1" x="3515"/>
        <item m="1" x="3095"/>
        <item m="1" x="3667"/>
        <item m="1" x="1699"/>
        <item m="1" x="3002"/>
        <item m="1" x="1834"/>
        <item m="1" x="1911"/>
        <item m="1" x="3471"/>
        <item m="1" x="1303"/>
        <item m="1" x="1786"/>
        <item m="1" x="2966"/>
        <item m="1" x="1912"/>
        <item m="1" x="1415"/>
        <item m="1" x="2530"/>
        <item m="1" x="1822"/>
        <item m="1" x="1772"/>
        <item m="1" x="3216"/>
        <item m="1" x="2931"/>
        <item m="1" x="2186"/>
        <item m="1" x="1847"/>
        <item m="1" x="3114"/>
        <item m="1" x="2351"/>
        <item m="1" x="3293"/>
        <item m="1" x="2373"/>
        <item m="1" x="1776"/>
        <item m="1" x="2374"/>
        <item m="1" x="3218"/>
        <item m="1" x="2456"/>
        <item m="1" x="1825"/>
        <item m="1" x="3364"/>
        <item m="1" x="1955"/>
        <item m="1" x="1781"/>
        <item m="1" x="3085"/>
        <item m="1" x="3152"/>
        <item m="1" x="3332"/>
        <item m="1" x="2614"/>
        <item m="1" x="3490"/>
        <item m="1" x="1530"/>
        <item x="1126"/>
        <item x="1127"/>
        <item m="1" x="3277"/>
        <item m="1" x="3405"/>
        <item m="1" x="1940"/>
        <item m="1" x="3288"/>
        <item m="1" x="2987"/>
        <item m="1" x="3743"/>
        <item m="1" x="2229"/>
        <item m="1" x="1361"/>
        <item m="1" x="3026"/>
        <item m="1" x="2536"/>
        <item m="1" x="2649"/>
        <item m="1" x="1261"/>
        <item m="1" x="2882"/>
        <item m="1" x="1427"/>
        <item m="1" x="3089"/>
        <item m="1" x="2345"/>
        <item m="1" x="3365"/>
        <item m="1" x="2814"/>
        <item m="1" x="1868"/>
        <item m="1" x="3187"/>
        <item m="1" x="3563"/>
        <item m="1" x="2543"/>
        <item m="1" x="3604"/>
        <item m="1" x="1262"/>
        <item m="1" x="1851"/>
        <item m="1" x="3449"/>
        <item m="1" x="2605"/>
        <item m="1" x="2787"/>
        <item m="1" x="3307"/>
        <item m="1" x="2001"/>
        <item m="1" x="1588"/>
        <item m="1" x="2725"/>
        <item m="1" x="3464"/>
        <item m="1" x="3720"/>
        <item m="1" x="3168"/>
        <item m="1" x="2178"/>
        <item m="1" x="3123"/>
        <item m="1" x="2147"/>
        <item m="1" x="2008"/>
        <item m="1" x="2141"/>
        <item m="1" x="2815"/>
        <item m="1" x="3020"/>
        <item m="1" x="2027"/>
        <item m="1" x="2928"/>
        <item m="1" x="2149"/>
        <item m="1" x="1813"/>
        <item m="1" x="1931"/>
        <item m="1" x="2932"/>
        <item m="1" x="2148"/>
        <item m="1" x="1982"/>
        <item m="1" x="1545"/>
        <item m="1" x="2365"/>
        <item m="1" x="2803"/>
        <item m="1" x="1728"/>
        <item m="1" x="2836"/>
        <item m="1" x="1837"/>
        <item m="1" x="2652"/>
        <item m="1" x="1426"/>
        <item m="1" x="3308"/>
        <item m="1" x="2660"/>
        <item m="1" x="1381"/>
        <item m="1" x="3541"/>
        <item m="1" x="2076"/>
        <item m="1" x="2656"/>
        <item m="1" x="2391"/>
        <item m="1" x="1757"/>
        <item m="1" x="2176"/>
        <item m="1" x="2156"/>
        <item m="1" x="3731"/>
        <item m="1" x="2360"/>
        <item m="1" x="1842"/>
        <item m="1" x="2654"/>
        <item m="1" x="2657"/>
        <item m="1" x="2343"/>
        <item m="1" x="3691"/>
        <item m="1" x="3584"/>
        <item m="1" x="2440"/>
        <item m="1" x="3068"/>
        <item m="1" x="2885"/>
        <item m="1" x="2119"/>
        <item m="1" x="3545"/>
        <item m="1" x="2819"/>
        <item m="1" x="3475"/>
        <item m="1" x="2952"/>
        <item m="1" x="1700"/>
        <item m="1" x="1763"/>
        <item m="1" x="1611"/>
        <item m="1" x="1930"/>
        <item m="1" x="1310"/>
        <item m="1" x="2394"/>
        <item m="1" x="2131"/>
        <item m="1" x="3558"/>
        <item m="1" x="2960"/>
        <item m="1" x="2247"/>
        <item m="1" x="1667"/>
        <item m="1" x="2336"/>
        <item m="1" x="1953"/>
        <item m="1" x="2791"/>
        <item m="1" x="1283"/>
        <item m="1" x="1932"/>
        <item m="1" x="2052"/>
        <item m="1" x="3727"/>
        <item m="1" x="1684"/>
        <item m="1" x="2033"/>
        <item m="1" x="1853"/>
        <item m="1" x="3566"/>
        <item m="1" x="1674"/>
        <item m="1" x="1600"/>
        <item m="1" x="3524"/>
        <item m="1" x="1685"/>
        <item m="1" x="3643"/>
        <item m="1" x="2181"/>
        <item m="1" x="2355"/>
        <item m="1" x="2524"/>
        <item m="1" x="1998"/>
        <item m="1" x="1507"/>
        <item m="1" x="3212"/>
        <item m="1" x="2297"/>
        <item m="1" x="2231"/>
        <item m="1" x="3491"/>
        <item m="1" x="3748"/>
        <item m="1" x="2039"/>
        <item m="1" x="1808"/>
        <item m="1" x="3245"/>
        <item m="1" x="2915"/>
        <item m="1" x="2467"/>
        <item m="1" x="1789"/>
        <item m="1" x="3182"/>
        <item m="1" x="2104"/>
        <item m="1" x="2099"/>
        <item m="1" x="3259"/>
        <item m="1" x="2703"/>
        <item m="1" x="3076"/>
        <item m="1" x="2300"/>
        <item m="1" x="1384"/>
        <item m="1" x="3117"/>
        <item m="1" x="1465"/>
        <item m="1" x="1617"/>
        <item m="1" x="3622"/>
        <item m="1" x="3716"/>
        <item m="1" x="3501"/>
        <item m="1" x="3210"/>
        <item m="1" x="3183"/>
        <item m="1" x="1987"/>
        <item m="1" x="3726"/>
        <item m="1" x="3127"/>
        <item m="1" x="2401"/>
        <item m="1" x="1830"/>
        <item m="1" x="1913"/>
        <item m="1" x="3668"/>
        <item m="1" x="1541"/>
        <item m="1" x="1643"/>
        <item m="1" x="2972"/>
        <item m="1" x="2084"/>
        <item m="1" x="1578"/>
        <item m="1" x="1861"/>
        <item m="1" x="3128"/>
        <item m="1" x="1580"/>
        <item m="1" x="3762"/>
        <item m="1" x="2168"/>
        <item m="1" x="2411"/>
        <item m="1" x="3254"/>
        <item m="1" x="2992"/>
        <item m="1" x="3740"/>
        <item m="1" x="1654"/>
        <item m="1" x="3612"/>
        <item x="1128"/>
        <item m="1" x="1610"/>
        <item m="1" x="3144"/>
        <item m="1" x="3285"/>
        <item m="1" x="3154"/>
        <item m="1" x="2243"/>
        <item m="1" x="1282"/>
        <item m="1" x="2710"/>
        <item m="1" x="2457"/>
        <item m="1" x="3280"/>
        <item m="1" x="2533"/>
        <item m="1" x="3286"/>
        <item m="1" x="2901"/>
        <item m="1" x="2133"/>
        <item m="1" x="2707"/>
        <item m="1" x="1839"/>
        <item m="1" x="2842"/>
        <item m="1" x="1800"/>
        <item m="1" x="2845"/>
        <item m="1" x="2087"/>
        <item m="1" x="3711"/>
        <item m="1" x="2711"/>
        <item m="1" x="1480"/>
        <item m="1" x="1816"/>
        <item m="1" x="2501"/>
        <item m="1" x="2356"/>
        <item m="1" x="3734"/>
        <item m="1" x="3739"/>
        <item m="1" x="1280"/>
        <item m="1" x="1904"/>
        <item m="1" x="2750"/>
        <item m="1" x="1725"/>
        <item m="1" x="3639"/>
        <item m="1" x="3084"/>
        <item m="1" x="2312"/>
        <item m="1" x="2999"/>
        <item m="1" x="2202"/>
        <item m="1" x="1265"/>
        <item m="1" x="2756"/>
        <item m="1" x="2251"/>
        <item m="1" x="1836"/>
        <item m="1" x="1315"/>
        <item m="1" x="3642"/>
        <item m="1" x="3688"/>
        <item m="1" x="2418"/>
        <item m="1" x="1681"/>
        <item m="1" x="1624"/>
        <item m="1" x="1436"/>
        <item m="1" x="1896"/>
        <item m="1" x="3120"/>
        <item m="1" x="3598"/>
        <item m="1" x="2541"/>
        <item m="1" x="1412"/>
        <item m="1" x="1372"/>
        <item m="1" x="2762"/>
        <item m="1" x="1882"/>
        <item m="1" x="1636"/>
        <item m="1" x="3590"/>
        <item m="1" x="2257"/>
        <item m="1" x="2242"/>
        <item m="1" x="2475"/>
        <item m="1" x="3230"/>
        <item m="1" x="2473"/>
        <item m="1" x="2511"/>
        <item m="1" x="1649"/>
        <item m="1" x="3551"/>
        <item m="1" x="2026"/>
        <item m="1" x="1300"/>
        <item m="1" x="1431"/>
        <item m="1" x="2851"/>
        <item m="1" x="3235"/>
        <item m="1" x="1373"/>
        <item m="1" x="3577"/>
        <item m="1" x="2068"/>
        <item m="1" x="2089"/>
        <item m="1" x="1986"/>
        <item m="1" x="1337"/>
        <item m="1" x="2969"/>
        <item m="1" x="2763"/>
        <item m="1" x="3617"/>
        <item m="1" x="2957"/>
        <item m="1" x="2628"/>
        <item m="1" x="1616"/>
        <item m="1" x="2214"/>
        <item m="1" x="3488"/>
        <item m="1" x="1731"/>
        <item m="1" x="3357"/>
        <item m="1" x="3620"/>
        <item m="1" x="2802"/>
        <item m="1" x="3118"/>
        <item m="1" x="1747"/>
        <item m="1" x="1395"/>
        <item m="1" x="3269"/>
        <item m="1" x="2516"/>
        <item m="1" x="1441"/>
        <item m="1" x="3608"/>
        <item m="1" x="2788"/>
        <item m="1" x="3066"/>
        <item m="1" x="3362"/>
        <item m="1" x="2568"/>
        <item m="1" x="1544"/>
        <item m="1" x="1418"/>
        <item m="1" x="3543"/>
        <item m="1" x="2065"/>
        <item m="1" x="2112"/>
        <item m="1" x="3103"/>
        <item m="1" x="1318"/>
        <item m="1" x="3426"/>
        <item m="1" x="3024"/>
        <item m="1" x="2117"/>
        <item m="1" x="1476"/>
        <item m="1" x="3648"/>
        <item m="1" x="3596"/>
        <item m="1" x="1284"/>
        <item m="1" x="1408"/>
        <item m="1" x="1332"/>
        <item m="1" x="2461"/>
        <item m="1" x="2855"/>
        <item m="1" x="2143"/>
        <item m="1" x="2619"/>
        <item m="1" x="3201"/>
        <item m="1" x="2011"/>
        <item m="1" x="1352"/>
        <item m="1" x="3203"/>
        <item m="1" x="2871"/>
        <item m="1" x="2877"/>
        <item m="1" x="3161"/>
        <item x="1238"/>
        <item m="1" x="1814"/>
        <item m="1" x="1897"/>
        <item m="1" x="3697"/>
        <item m="1" x="2481"/>
        <item m="1" x="3318"/>
        <item m="1" x="3393"/>
        <item m="1" x="1472"/>
        <item m="1" x="1662"/>
        <item m="1" x="3352"/>
        <item x="1129"/>
        <item m="1" x="1922"/>
        <item m="1" x="3112"/>
        <item m="1" x="3027"/>
        <item m="1" x="2034"/>
        <item m="1" x="2020"/>
        <item m="1" x="2572"/>
        <item m="1" x="3199"/>
        <item m="1" x="3474"/>
        <item m="1" x="3614"/>
        <item m="1" x="3157"/>
        <item m="1" x="1466"/>
        <item m="1" x="3347"/>
        <item m="1" x="2512"/>
        <item m="1" x="3313"/>
        <item m="1" x="1705"/>
        <item m="1" x="3523"/>
        <item m="1" x="3348"/>
        <item m="1" x="2595"/>
        <item m="1" x="1554"/>
        <item m="1" x="3399"/>
        <item m="1" x="3592"/>
        <item m="1" x="3298"/>
        <item m="1" x="1519"/>
        <item m="1" x="2638"/>
        <item m="1" x="3353"/>
        <item m="1" x="3602"/>
        <item m="1" x="2813"/>
        <item m="1" x="2694"/>
        <item m="1" x="3328"/>
        <item m="1" x="3192"/>
        <item m="1" x="2786"/>
        <item m="1" x="2015"/>
        <item m="1" x="2664"/>
        <item m="1" x="1857"/>
        <item m="1" x="3738"/>
        <item m="1" x="1325"/>
        <item m="1" x="3469"/>
        <item m="1" x="1910"/>
        <item m="1" x="1845"/>
        <item x="1130"/>
        <item m="1" x="3067"/>
        <item m="1" x="2789"/>
        <item m="1" x="3227"/>
        <item m="1" x="3289"/>
        <item m="1" x="2419"/>
        <item m="1" x="3243"/>
        <item m="1" x="3107"/>
        <item m="1" x="2981"/>
        <item m="1" x="3044"/>
        <item m="1" x="3075"/>
        <item m="1" x="3045"/>
        <item m="1" x="2751"/>
        <item m="1" x="2993"/>
        <item m="1" x="2793"/>
        <item m="1" x="2755"/>
        <item m="1" x="2795"/>
        <item m="1" x="2817"/>
        <item m="1" x="2479"/>
        <item m="1" x="2513"/>
        <item m="1" x="2558"/>
        <item m="1" x="2607"/>
        <item m="1" x="2646"/>
        <item m="1" x="2492"/>
        <item x="1131"/>
        <item m="1" x="2810"/>
        <item m="1" x="3191"/>
        <item m="1" x="3125"/>
        <item m="1" x="2913"/>
        <item m="1" x="1702"/>
        <item m="1" x="1790"/>
        <item m="1" x="1856"/>
        <item m="1" x="1917"/>
        <item m="1" x="1935"/>
        <item m="1" x="1733"/>
        <item m="1" x="3429"/>
        <item m="1" x="1434"/>
        <item m="1" x="1923"/>
        <item m="1" x="2234"/>
        <item m="1" x="2861"/>
        <item m="1" x="1614"/>
        <item m="1" x="3119"/>
        <item m="1" x="3705"/>
        <item m="1" x="3712"/>
        <item m="1" x="3476"/>
        <item m="1" x="3252"/>
        <item m="1" x="2527"/>
        <item m="1" x="2612"/>
        <item m="1" x="2005"/>
        <item m="1" x="1729"/>
        <item x="1132"/>
        <item m="1" x="1308"/>
        <item m="1" x="1461"/>
        <item m="1" x="3478"/>
        <item m="1" x="3672"/>
        <item m="1" x="1271"/>
        <item m="1" x="3363"/>
        <item m="1" x="3438"/>
        <item m="1" x="2743"/>
        <item m="1" x="2812"/>
        <item m="1" x="2946"/>
        <item m="1" x="3525"/>
        <item m="1" x="2032"/>
        <item m="1" x="3571"/>
        <item m="1" x="3420"/>
        <item m="1" x="2807"/>
        <item m="1" x="2909"/>
        <item x="1239"/>
        <item x="1240"/>
        <item m="1" x="2775"/>
        <item x="1133"/>
        <item m="1" x="2869"/>
        <item m="1" x="2633"/>
        <item m="1" x="2779"/>
        <item m="1" x="2809"/>
        <item m="1" x="2870"/>
        <item x="1134"/>
        <item m="1" x="2834"/>
        <item x="1135"/>
        <item m="1" x="2781"/>
        <item x="1242"/>
        <item m="1" x="2641"/>
        <item m="1" x="2185"/>
        <item m="1" x="1565"/>
        <item m="1" x="1560"/>
        <item m="1" x="2041"/>
        <item m="1" x="1951"/>
        <item m="1" x="1756"/>
        <item m="1" x="3185"/>
        <item m="1" x="2706"/>
        <item m="1" x="3427"/>
        <item m="1" x="3300"/>
        <item m="1" x="1359"/>
        <item m="1" x="1462"/>
        <item m="1" x="2996"/>
        <item m="1" x="1458"/>
        <item m="1" x="2341"/>
        <item m="1" x="2560"/>
        <item m="1" x="2609"/>
        <item m="1" x="1898"/>
        <item m="1" x="2916"/>
        <item m="1" x="2139"/>
        <item m="1" x="2955"/>
        <item m="1" x="1740"/>
        <item m="1" x="1952"/>
        <item m="1" x="1673"/>
        <item m="1" x="2964"/>
        <item m="1" x="2190"/>
        <item m="1" x="1351"/>
        <item m="1" x="2604"/>
        <item m="1" x="1538"/>
        <item m="1" x="3717"/>
        <item m="1" x="3663"/>
        <item m="1" x="1760"/>
        <item m="1" x="3315"/>
        <item m="1" x="1980"/>
        <item m="1" x="2958"/>
        <item m="1" x="3631"/>
        <item m="1" x="2299"/>
        <item m="1" x="1779"/>
        <item x="1136"/>
        <item m="1" x="3702"/>
        <item m="1" x="3605"/>
        <item x="1137"/>
        <item m="1" x="1508"/>
        <item x="1139"/>
        <item m="1" x="1313"/>
        <item m="1" x="3730"/>
        <item m="1" x="3630"/>
        <item m="1" x="3498"/>
        <item m="1" x="3383"/>
        <item m="1" x="2150"/>
        <item m="1" x="2055"/>
        <item m="1" x="1964"/>
        <item m="1" x="1873"/>
        <item m="1" x="1784"/>
        <item m="1" x="1703"/>
        <item m="1" x="1623"/>
        <item m="1" x="1528"/>
        <item m="1" x="1428"/>
        <item m="1" x="1344"/>
        <item m="1" x="2731"/>
        <item m="1" x="2599"/>
        <item m="1" x="1993"/>
        <item m="1" x="1902"/>
        <item m="1" x="1811"/>
        <item m="1" x="3258"/>
        <item m="1" x="3121"/>
        <item m="1" x="3013"/>
        <item m="1" x="2884"/>
        <item x="1140"/>
        <item m="1" x="2627"/>
        <item m="1" x="2195"/>
        <item x="1141"/>
        <item m="1" x="3162"/>
        <item m="1" x="3040"/>
        <item m="1" x="2921"/>
        <item m="1" x="2923"/>
        <item m="1" x="2794"/>
        <item m="1" x="1635"/>
        <item m="1" x="1546"/>
        <item m="1" x="1363"/>
        <item x="1142"/>
        <item x="1143"/>
        <item m="1" x="3567"/>
        <item x="1144"/>
        <item m="1" x="3309"/>
        <item m="1" x="3197"/>
        <item x="1145"/>
        <item m="1" x="1918"/>
        <item x="1146"/>
        <item m="1" x="1742"/>
        <item x="1147"/>
        <item m="1" x="1981"/>
        <item m="1" x="1590"/>
        <item m="1" x="2863"/>
        <item m="1" x="3384"/>
        <item m="1" x="1251"/>
        <item m="1" x="3250"/>
        <item m="1" x="2965"/>
        <item x="372"/>
        <item x="473"/>
        <item x="491"/>
        <item x="509"/>
        <item x="519"/>
        <item x="869"/>
        <item x="889"/>
        <item x="901"/>
        <item x="906"/>
        <item x="905"/>
        <item m="1" x="2339"/>
        <item x="457"/>
        <item x="492"/>
        <item m="1" x="3588"/>
        <item x="692"/>
        <item x="826"/>
        <item x="866"/>
        <item x="1058"/>
        <item m="1" x="3110"/>
        <item m="1" x="2338"/>
        <item m="1" x="2211"/>
        <item m="1" x="1266"/>
        <item x="161"/>
        <item x="193"/>
        <item m="1" x="3706"/>
        <item m="1" x="3200"/>
        <item x="374"/>
        <item x="382"/>
        <item m="1" x="1604"/>
        <item x="391"/>
        <item m="1" x="1439"/>
        <item m="1" x="1522"/>
        <item x="393"/>
        <item x="394"/>
        <item x="395"/>
        <item x="397"/>
        <item m="1" x="1764"/>
        <item x="475"/>
        <item m="1" x="2740"/>
        <item x="478"/>
        <item x="480"/>
        <item x="482"/>
        <item x="483"/>
        <item m="1" x="1817"/>
        <item m="1" x="2006"/>
        <item x="514"/>
        <item x="515"/>
        <item x="520"/>
        <item m="1" x="2340"/>
        <item x="1110"/>
        <item x="389"/>
        <item x="396"/>
        <item x="565"/>
        <item x="614"/>
        <item x="713"/>
        <item m="1" x="1909"/>
        <item x="987"/>
        <item m="1" x="2248"/>
        <item m="1" x="1446"/>
        <item x="554"/>
        <item x="870"/>
        <item x="219"/>
        <item x="373"/>
        <item x="511"/>
        <item m="1" x="2395"/>
        <item x="601"/>
        <item x="604"/>
        <item m="1" x="2840"/>
        <item x="704"/>
        <item x="712"/>
        <item x="714"/>
        <item x="715"/>
        <item x="729"/>
        <item m="1" x="2644"/>
        <item x="772"/>
        <item x="775"/>
        <item m="1" x="2182"/>
        <item x="778"/>
        <item m="1" x="2674"/>
        <item m="1" x="3367"/>
        <item x="865"/>
        <item x="867"/>
        <item m="1" x="2744"/>
        <item m="1" x="2050"/>
        <item x="947"/>
        <item m="1" x="1631"/>
        <item x="1036"/>
        <item x="1063"/>
        <item x="1064"/>
        <item x="221"/>
        <item x="222"/>
        <item x="223"/>
        <item m="1" x="3635"/>
        <item m="1" x="2971"/>
        <item x="578"/>
        <item x="585"/>
        <item x="593"/>
        <item x="651"/>
        <item x="741"/>
        <item m="1" x="2470"/>
        <item x="756"/>
        <item x="757"/>
        <item m="1" x="3404"/>
        <item x="801"/>
        <item m="1" x="2719"/>
        <item m="1" x="2004"/>
        <item m="1" x="3685"/>
        <item x="1062"/>
        <item x="841"/>
        <item x="970"/>
        <item x="1035"/>
        <item m="1" x="1250"/>
        <item m="1" x="1872"/>
        <item m="1" x="1792"/>
        <item x="626"/>
        <item x="661"/>
        <item m="1" x="2105"/>
        <item m="1" x="2021"/>
        <item m="1" x="2636"/>
        <item x="802"/>
        <item x="412"/>
        <item x="1241"/>
        <item x="447"/>
        <item x="451"/>
        <item m="1" x="2188"/>
        <item m="1" x="2822"/>
        <item m="1" x="1924"/>
        <item m="1" x="1660"/>
        <item m="1" x="3480"/>
        <item m="1" x="3100"/>
        <item m="1" x="1568"/>
        <item m="1" x="1613"/>
        <item m="1" x="1637"/>
        <item m="1" x="1752"/>
        <item m="1" x="1639"/>
        <item m="1" x="3217"/>
        <item m="1" x="2551"/>
        <item m="1" x="1962"/>
        <item x="685"/>
        <item x="716"/>
        <item m="1" x="2651"/>
        <item x="980"/>
        <item m="1" x="1801"/>
        <item m="1" x="3634"/>
        <item m="1" x="1988"/>
        <item x="213"/>
        <item m="1" x="2564"/>
        <item m="1" x="3338"/>
        <item x="264"/>
        <item x="270"/>
        <item m="1" x="1397"/>
        <item m="1" x="2569"/>
        <item x="476"/>
        <item m="1" x="1665"/>
        <item x="783"/>
        <item m="1" x="3172"/>
        <item m="1" x="3011"/>
        <item m="1" x="3017"/>
        <item x="269"/>
        <item x="825"/>
        <item m="1" x="2699"/>
        <item m="1" x="2514"/>
        <item m="1" x="1597"/>
        <item m="1" x="1658"/>
        <item m="1" x="1683"/>
        <item m="1" x="1701"/>
        <item m="1" x="1730"/>
        <item m="1" x="1540"/>
        <item m="1" x="1569"/>
        <item m="1" x="1598"/>
        <item m="1" x="1615"/>
        <item m="1" x="3408"/>
        <item m="1" x="1712"/>
        <item x="547"/>
        <item m="1" x="1666"/>
        <item m="1" x="2204"/>
        <item m="1" x="3343"/>
        <item m="1" x="2092"/>
        <item x="672"/>
        <item m="1" x="2973"/>
        <item m="1" x="3248"/>
        <item m="1" x="2259"/>
        <item m="1" x="1482"/>
        <item m="1" x="3225"/>
        <item m="1" x="2174"/>
        <item m="1" x="1908"/>
        <item x="328"/>
        <item x="329"/>
        <item x="330"/>
        <item m="1" x="2825"/>
        <item m="1" x="3088"/>
        <item x="542"/>
        <item x="845"/>
        <item m="1" x="3512"/>
        <item x="726"/>
        <item x="767"/>
        <item x="563"/>
        <item x="218"/>
        <item x="674"/>
        <item x="367"/>
        <item x="794"/>
        <item m="1" x="2980"/>
        <item m="1" x="3372"/>
        <item x="517"/>
        <item m="1" x="2535"/>
        <item x="390"/>
        <item m="1" x="1734"/>
        <item m="1" x="3166"/>
        <item x="191"/>
        <item x="384"/>
        <item x="448"/>
        <item x="721"/>
        <item x="501"/>
        <item x="703"/>
        <item x="786"/>
        <item m="1" x="2053"/>
        <item x="944"/>
        <item m="1" x="2800"/>
        <item m="1" x="1889"/>
        <item m="1" x="3694"/>
        <item m="1" x="3256"/>
        <item m="1" x="1831"/>
        <item m="1" x="1971"/>
        <item x="909"/>
        <item x="922"/>
        <item m="1" x="1893"/>
        <item m="1" x="1858"/>
        <item x="300"/>
        <item m="1" x="2618"/>
        <item m="1" x="2072"/>
        <item m="1" x="2175"/>
        <item x="784"/>
        <item m="1" x="2146"/>
        <item x="995"/>
        <item m="1" x="3703"/>
        <item x="503"/>
        <item m="1" x="3468"/>
        <item m="1" x="3113"/>
        <item x="1001"/>
        <item x="1215"/>
        <item m="1" x="2726"/>
        <item x="474"/>
        <item m="1" x="1959"/>
        <item x="871"/>
        <item x="1020"/>
        <item x="523"/>
        <item x="737"/>
        <item m="1" x="2098"/>
        <item x="872"/>
        <item m="1" x="2040"/>
        <item x="541"/>
        <item x="456"/>
        <item x="464"/>
        <item m="1" x="2042"/>
        <item m="1" x="2200"/>
        <item m="1" x="2316"/>
        <item x="228"/>
        <item x="431"/>
        <item x="162"/>
        <item m="1" x="2064"/>
        <item x="167"/>
        <item x="224"/>
        <item x="227"/>
        <item m="1" x="2081"/>
        <item x="1214"/>
        <item m="1" x="3070"/>
        <item m="1" x="1995"/>
        <item x="727"/>
        <item x="9"/>
        <item m="1" x="2933"/>
        <item m="1" x="3406"/>
        <item m="1" x="2325"/>
        <item m="1" x="2294"/>
        <item x="156"/>
        <item x="709"/>
        <item m="1" x="2220"/>
        <item m="1" x="3239"/>
        <item m="1" x="3361"/>
        <item m="1" x="2961"/>
        <item m="1" x="3023"/>
        <item m="1" x="3467"/>
        <item m="1" x="3389"/>
        <item m="1" x="1697"/>
        <item m="1" x="2415"/>
        <item m="1" x="2416"/>
        <item m="1" x="3193"/>
        <item m="1" x="1900"/>
        <item x="285"/>
        <item m="1" x="2911"/>
        <item x="465"/>
        <item x="466"/>
        <item x="467"/>
        <item m="1" x="2145"/>
        <item m="1" x="2799"/>
        <item m="1" x="3744"/>
        <item m="1" x="3746"/>
        <item m="1" x="3153"/>
        <item m="1" x="3156"/>
        <item m="1" x="2126"/>
        <item x="521"/>
        <item m="1" x="3373"/>
        <item m="1" x="3341"/>
        <item m="1" x="1966"/>
        <item m="1" x="3440"/>
        <item m="1" x="3037"/>
        <item m="1" x="3757"/>
        <item x="1179"/>
        <item m="1" x="1537"/>
        <item m="1" x="3378"/>
        <item m="1" x="1335"/>
        <item m="1" x="1399"/>
        <item m="1" x="1475"/>
        <item m="1" x="1524"/>
        <item m="1" x="1555"/>
        <item m="1" x="2094"/>
        <item m="1" x="1542"/>
        <item m="1" x="3653"/>
        <item m="1" x="3655"/>
        <item m="1" x="1570"/>
        <item m="1" x="3010"/>
        <item m="1" x="2700"/>
        <item m="1" x="3349"/>
        <item m="1" x="1273"/>
        <item m="1" x="2661"/>
        <item m="1" x="2450"/>
        <item x="398"/>
        <item x="518"/>
        <item m="1" x="2897"/>
        <item x="528"/>
        <item m="1" x="3736"/>
        <item x="631"/>
        <item x="681"/>
        <item x="723"/>
        <item m="1" x="1719"/>
        <item x="876"/>
        <item x="989"/>
        <item m="1" x="1721"/>
        <item m="1" x="2311"/>
        <item m="1" x="3047"/>
        <item m="1" x="2668"/>
        <item m="1" x="2742"/>
        <item m="1" x="3761"/>
        <item m="1" x="1722"/>
        <item m="1" x="2796"/>
        <item x="1138"/>
        <item m="1" x="3542"/>
        <item m="1" x="2261"/>
        <item m="1" x="3708"/>
        <item m="1" x="3086"/>
        <item x="1003"/>
        <item x="215"/>
        <item m="1" x="1620"/>
        <item x="338"/>
        <item x="349"/>
        <item m="1" x="1782"/>
        <item m="1" x="3531"/>
        <item x="405"/>
        <item x="430"/>
        <item x="460"/>
        <item x="496"/>
        <item x="506"/>
        <item x="513"/>
        <item m="1" x="2048"/>
        <item x="516"/>
        <item x="545"/>
        <item x="548"/>
        <item m="1" x="1957"/>
        <item x="698"/>
        <item x="760"/>
        <item x="848"/>
        <item x="902"/>
        <item m="1" x="2879"/>
        <item x="1060"/>
        <item m="1" x="3360"/>
        <item m="1" x="2398"/>
        <item m="1" x="2263"/>
        <item m="1" x="2036"/>
        <item m="1" x="3326"/>
        <item m="1" x="3327"/>
        <item m="1" x="3219"/>
        <item m="1" x="1969"/>
        <item x="5"/>
        <item x="6"/>
        <item x="7"/>
        <item m="1" x="1890"/>
        <item m="1" x="2083"/>
        <item m="1" x="2956"/>
        <item m="1" x="2451"/>
        <item m="1" x="2489"/>
        <item m="1" x="2206"/>
        <item m="1" x="1551"/>
        <item m="1" x="2295"/>
        <item x="1223"/>
        <item m="1" x="3236"/>
        <item m="1" x="3425"/>
        <item m="1" x="3452"/>
        <item m="1" x="3164"/>
        <item m="1" x="3455"/>
        <item m="1" x="3632"/>
        <item m="1" x="1762"/>
        <item m="1" x="1848"/>
        <item x="142"/>
        <item m="1" x="1377"/>
        <item x="143"/>
        <item x="144"/>
        <item x="147"/>
        <item x="180"/>
        <item m="1" x="3048"/>
        <item m="1" x="1693"/>
        <item x="199"/>
        <item x="208"/>
        <item m="1" x="2057"/>
        <item x="263"/>
        <item m="1" x="1638"/>
        <item x="278"/>
        <item x="288"/>
        <item x="314"/>
        <item x="336"/>
        <item m="1" x="1960"/>
        <item m="1" x="1815"/>
        <item x="345"/>
        <item x="1168"/>
        <item x="350"/>
        <item x="352"/>
        <item m="1" x="2860"/>
        <item x="370"/>
        <item x="424"/>
        <item x="1171"/>
        <item x="432"/>
        <item m="1" x="2868"/>
        <item x="495"/>
        <item x="500"/>
        <item m="1" x="3437"/>
        <item m="1" x="2167"/>
        <item x="1175"/>
        <item m="1" x="2427"/>
        <item m="1" x="1510"/>
        <item x="572"/>
        <item x="574"/>
        <item m="1" x="2523"/>
        <item x="605"/>
        <item x="630"/>
        <item x="645"/>
        <item x="655"/>
        <item x="667"/>
        <item x="699"/>
        <item x="700"/>
        <item m="1" x="2410"/>
        <item x="733"/>
        <item x="735"/>
        <item x="736"/>
        <item x="749"/>
        <item m="1" x="2439"/>
        <item m="1" x="2038"/>
        <item x="764"/>
        <item m="1" x="2307"/>
        <item m="1" x="2768"/>
        <item m="1" x="2323"/>
        <item x="773"/>
        <item m="1" x="2051"/>
        <item x="782"/>
        <item m="1" x="1333"/>
        <item m="1" x="2586"/>
        <item m="1" x="2734"/>
        <item x="803"/>
        <item x="806"/>
        <item m="1" x="3096"/>
        <item x="812"/>
        <item m="1" x="1505"/>
        <item x="838"/>
        <item m="1" x="1850"/>
        <item m="1" x="2102"/>
        <item m="1" x="3701"/>
        <item x="851"/>
        <item x="852"/>
        <item x="854"/>
        <item x="864"/>
        <item x="877"/>
        <item x="878"/>
        <item x="881"/>
        <item x="882"/>
        <item x="885"/>
        <item x="894"/>
        <item m="1" x="1350"/>
        <item x="910"/>
        <item x="911"/>
        <item x="921"/>
        <item x="924"/>
        <item x="926"/>
        <item x="942"/>
        <item x="971"/>
        <item x="972"/>
        <item x="993"/>
        <item x="996"/>
        <item x="997"/>
        <item x="1000"/>
        <item x="1019"/>
        <item x="1041"/>
        <item x="1051"/>
        <item m="1" x="1297"/>
        <item m="1" x="1496"/>
        <item m="1" x="2689"/>
        <item m="1" x="1854"/>
        <item m="1" x="3457"/>
        <item m="1" x="2662"/>
        <item m="1" x="2091"/>
        <item m="1" x="3456"/>
        <item m="1" x="3528"/>
        <item m="1" x="3676"/>
        <item m="1" x="3483"/>
        <item m="1" x="3627"/>
        <item m="1" x="1675"/>
        <item m="1" x="1676"/>
        <item m="1" x="2862"/>
        <item m="1" x="3451"/>
        <item m="1" x="2403"/>
        <item m="1" x="2385"/>
        <item x="1150"/>
        <item m="1" x="2835"/>
        <item x="1151"/>
        <item x="1152"/>
        <item x="1153"/>
        <item x="1155"/>
        <item m="1" x="3080"/>
        <item m="1" x="3009"/>
        <item m="1" x="1440"/>
        <item m="1" x="2216"/>
        <item m="1" x="1946"/>
        <item m="1" x="1949"/>
        <item m="1" x="1950"/>
        <item m="1" x="3323"/>
        <item m="1" x="2979"/>
        <item m="1" x="2984"/>
        <item m="1" x="2988"/>
        <item m="1" x="2991"/>
        <item m="1" x="1689"/>
        <item m="1" x="2191"/>
        <item m="1" x="3148"/>
        <item m="1" x="3149"/>
        <item m="1" x="3207"/>
        <item m="1" x="2602"/>
        <item x="1159"/>
        <item x="1160"/>
        <item m="1" x="1362"/>
        <item m="1" x="3442"/>
        <item m="1" x="3444"/>
        <item m="1" x="3448"/>
        <item m="1" x="2518"/>
        <item x="1162"/>
        <item m="1" x="3167"/>
        <item m="1" x="3170"/>
        <item x="1165"/>
        <item m="1" x="1288"/>
        <item m="1" x="3564"/>
        <item m="1" x="3006"/>
        <item m="1" x="1404"/>
        <item x="602"/>
        <item m="1" x="3015"/>
        <item m="1" x="1548"/>
        <item x="1066"/>
        <item x="1067"/>
        <item m="1" x="1999"/>
        <item x="1069"/>
        <item x="1073"/>
        <item x="1077"/>
        <item x="1082"/>
        <item m="1" x="3160"/>
        <item m="1" x="1532"/>
        <item m="1" x="1543"/>
        <item m="1" x="3190"/>
        <item m="1" x="1558"/>
        <item m="1" x="2368"/>
        <item m="1" x="1921"/>
        <item m="1" x="1557"/>
        <item m="1" x="1765"/>
        <item m="1" x="1663"/>
        <item m="1" x="1715"/>
        <item m="1" x="3007"/>
        <item m="1" x="2887"/>
        <item m="1" x="1268"/>
        <item m="1" x="1556"/>
        <item m="1" x="1651"/>
        <item x="1217"/>
        <item m="1" x="3087"/>
        <item m="1" x="3074"/>
        <item m="1" x="1739"/>
        <item m="1" x="1694"/>
        <item m="1" x="1334"/>
        <item m="1" x="2212"/>
        <item m="1" x="2254"/>
        <item m="1" x="2327"/>
        <item m="1" x="2364"/>
        <item m="1" x="2288"/>
        <item m="1" x="2164"/>
        <item m="1" x="2180"/>
        <item m="1" x="2260"/>
        <item m="1" x="3610"/>
        <item m="1" x="3493"/>
        <item m="1" x="3376"/>
        <item m="1" x="1331"/>
        <item m="1" x="1402"/>
        <item m="1" x="2737"/>
        <item m="1" x="2606"/>
        <item m="1" x="2458"/>
        <item m="1" x="2314"/>
        <item m="1" x="2085"/>
        <item m="1" x="3755"/>
        <item m="1" x="1628"/>
        <item m="1" x="3587"/>
        <item m="1" x="1547"/>
        <item m="1" x="2833"/>
        <item m="1" x="1500"/>
        <item m="1" x="1860"/>
        <item m="1" x="1863"/>
        <item m="1" x="1885"/>
        <item m="1" x="3594"/>
        <item m="1" x="3101"/>
        <item m="1" x="2601"/>
        <item m="1" x="2777"/>
        <item m="1" x="1316"/>
        <item m="1" x="3386"/>
        <item m="1" x="1627"/>
        <item m="1" x="1258"/>
        <item m="1" x="1759"/>
        <item m="1" x="3482"/>
        <item m="1" x="3008"/>
        <item m="1" x="2704"/>
        <item m="1" x="3742"/>
        <item m="1" x="2630"/>
        <item m="1" x="2559"/>
        <item m="1" x="1584"/>
        <item m="1" x="3618"/>
        <item m="1" x="2701"/>
        <item m="1" x="2381"/>
        <item m="1" x="2532"/>
        <item m="1" x="1633"/>
        <item m="1" x="1336"/>
        <item m="1" x="1349"/>
        <item m="1" x="3381"/>
        <item m="1" x="3644"/>
        <item m="1" x="3675"/>
        <item m="1" x="3175"/>
        <item m="1" x="2681"/>
        <item m="1" x="2529"/>
        <item m="1" x="1319"/>
        <item m="1" x="1324"/>
        <item m="1" x="2377"/>
        <item m="1" x="3422"/>
        <item m="1" x="2047"/>
        <item m="1" x="1467"/>
        <item m="1" x="1470"/>
        <item x="1243"/>
        <item x="1246"/>
        <item x="1248"/>
        <item x="160"/>
        <item x="172"/>
        <item x="184"/>
        <item x="185"/>
        <item x="192"/>
        <item x="258"/>
        <item x="261"/>
        <item x="267"/>
        <item x="286"/>
        <item x="299"/>
        <item x="306"/>
        <item x="337"/>
        <item m="1" x="2729"/>
        <item x="341"/>
        <item x="342"/>
        <item x="343"/>
        <item x="344"/>
        <item m="1" x="1340"/>
        <item x="357"/>
        <item x="360"/>
        <item x="363"/>
        <item x="366"/>
        <item x="368"/>
        <item m="1" x="3214"/>
        <item x="434"/>
        <item m="1" x="2722"/>
        <item x="440"/>
        <item x="454"/>
        <item x="499"/>
        <item x="512"/>
        <item x="527"/>
        <item x="530"/>
        <item x="531"/>
        <item x="537"/>
        <item x="544"/>
        <item x="553"/>
        <item x="561"/>
        <item x="571"/>
        <item x="592"/>
        <item x="594"/>
        <item x="617"/>
        <item m="1" x="1534"/>
        <item m="1" x="1491"/>
        <item x="629"/>
        <item x="644"/>
        <item x="665"/>
        <item x="673"/>
        <item x="687"/>
        <item x="701"/>
        <item x="706"/>
        <item x="708"/>
        <item x="711"/>
        <item x="724"/>
        <item x="730"/>
        <item x="731"/>
        <item x="742"/>
        <item m="1" x="2101"/>
        <item x="744"/>
        <item x="746"/>
        <item x="753"/>
        <item x="777"/>
        <item x="810"/>
        <item x="814"/>
        <item m="1" x="1442"/>
        <item x="828"/>
        <item x="840"/>
        <item x="849"/>
        <item x="850"/>
        <item m="1" x="1574"/>
        <item x="879"/>
        <item x="880"/>
        <item x="883"/>
        <item x="884"/>
        <item x="886"/>
        <item x="925"/>
        <item x="929"/>
        <item x="957"/>
        <item x="964"/>
        <item x="974"/>
        <item x="983"/>
        <item x="985"/>
        <item x="992"/>
        <item x="1014"/>
        <item x="1015"/>
        <item x="1016"/>
        <item x="1024"/>
        <item m="1" x="1354"/>
        <item x="1034"/>
        <item x="1047"/>
        <item x="1065"/>
        <item x="1068"/>
        <item x="1070"/>
        <item m="1" x="1783"/>
        <item x="1074"/>
        <item x="1076"/>
        <item x="1083"/>
        <item x="1084"/>
        <item x="1085"/>
        <item x="1098"/>
        <item x="1099"/>
        <item x="1116"/>
        <item x="1119"/>
        <item x="1154"/>
        <item x="1156"/>
        <item x="1157"/>
        <item x="1158"/>
        <item x="1161"/>
        <item x="1164"/>
        <item x="1166"/>
        <item x="1172"/>
        <item x="1181"/>
        <item x="1071"/>
        <item x="1196"/>
        <item x="1199"/>
        <item x="1078"/>
        <item x="1080"/>
        <item x="1081"/>
        <item x="1210"/>
        <item x="1216"/>
        <item x="1221"/>
        <item m="1" x="2974"/>
        <item x="1222"/>
        <item m="1" x="3325"/>
        <item m="1" x="2296"/>
        <item x="1244"/>
        <item x="1245"/>
        <item x="1247"/>
        <item x="1249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68"/>
        <item x="187"/>
        <item x="188"/>
        <item x="207"/>
        <item x="236"/>
        <item x="238"/>
        <item x="246"/>
        <item x="247"/>
        <item x="256"/>
        <item x="273"/>
        <item x="311"/>
        <item x="331"/>
        <item x="333"/>
        <item x="334"/>
        <item x="335"/>
        <item x="340"/>
        <item x="346"/>
        <item x="353"/>
        <item x="354"/>
        <item x="355"/>
        <item x="371"/>
        <item x="379"/>
        <item x="420"/>
        <item x="453"/>
        <item x="462"/>
        <item x="470"/>
        <item x="486"/>
        <item x="507"/>
        <item x="510"/>
        <item x="532"/>
        <item x="533"/>
        <item x="551"/>
        <item x="637"/>
        <item x="640"/>
        <item x="648"/>
        <item x="666"/>
        <item x="682"/>
        <item x="686"/>
        <item x="696"/>
        <item x="702"/>
        <item x="718"/>
        <item x="728"/>
        <item x="734"/>
        <item x="752"/>
        <item x="765"/>
        <item x="769"/>
        <item x="781"/>
        <item x="788"/>
        <item x="836"/>
        <item x="843"/>
        <item x="855"/>
        <item x="863"/>
        <item x="927"/>
        <item x="930"/>
        <item x="955"/>
        <item x="963"/>
        <item x="1007"/>
        <item x="1012"/>
        <item x="1025"/>
        <item x="1040"/>
        <item x="1053"/>
        <item x="1054"/>
        <item x="1055"/>
        <item x="1056"/>
        <item x="1072"/>
        <item x="1075"/>
        <item x="1079"/>
        <item x="1148"/>
        <item x="1149"/>
        <item x="1163"/>
        <item x="1174"/>
        <item x="1176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7"/>
        <item x="1198"/>
        <item x="1200"/>
        <item x="1201"/>
        <item x="1202"/>
        <item x="1203"/>
        <item x="1204"/>
        <item x="1205"/>
        <item x="1206"/>
        <item x="1207"/>
        <item x="1208"/>
        <item x="1209"/>
        <item x="1211"/>
        <item x="1212"/>
        <item x="1213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</items>
    </pivotField>
    <pivotField axis="axisRow" compact="0" outline="0" showAll="0" defaultSubtotal="0">
      <items count="4433">
        <item m="1" x="2751"/>
        <item m="1" x="4196"/>
        <item m="1" x="3898"/>
        <item m="1" x="1252"/>
        <item m="1" x="2049"/>
        <item m="1" x="2729"/>
        <item m="1" x="3869"/>
        <item m="1" x="2300"/>
        <item m="1" x="3604"/>
        <item m="1" x="1518"/>
        <item m="1" x="4295"/>
        <item m="1" x="1314"/>
        <item x="1089"/>
        <item m="1" x="3357"/>
        <item m="1" x="2635"/>
        <item x="1090"/>
        <item m="1" x="4219"/>
        <item x="1091"/>
        <item x="1093"/>
        <item m="1" x="3230"/>
        <item m="1" x="3255"/>
        <item m="1" x="3635"/>
        <item m="1" x="3913"/>
        <item m="1" x="3245"/>
        <item m="1" x="3205"/>
        <item m="1" x="2222"/>
        <item m="1" x="3777"/>
        <item x="1092"/>
        <item m="1" x="1250"/>
        <item m="1" x="3705"/>
        <item m="1" x="3500"/>
        <item m="1" x="3037"/>
        <item m="1" x="1467"/>
        <item m="1" x="2172"/>
        <item m="1" x="4414"/>
        <item m="1" x="1885"/>
        <item m="1" x="2664"/>
        <item m="1" x="2274"/>
        <item m="1" x="2944"/>
        <item m="1" x="3772"/>
        <item m="1" x="1804"/>
        <item m="1" x="3166"/>
        <item m="1" x="1720"/>
        <item m="1" x="2446"/>
        <item m="1" x="3651"/>
        <item m="1" x="2081"/>
        <item m="1" x="1875"/>
        <item m="1" x="3126"/>
        <item m="1" x="3544"/>
        <item m="1" x="4193"/>
        <item m="1" x="2169"/>
        <item m="1" x="1334"/>
        <item m="1" x="4240"/>
        <item m="1" x="1819"/>
        <item m="1" x="2243"/>
        <item m="1" x="3514"/>
        <item m="1" x="3116"/>
        <item m="1" x="3599"/>
        <item m="1" x="2143"/>
        <item m="1" x="3564"/>
        <item m="1" x="3582"/>
        <item m="1" x="3334"/>
        <item m="1" x="3882"/>
        <item m="1" x="4077"/>
        <item m="1" x="3439"/>
        <item m="1" x="3443"/>
        <item m="1" x="2218"/>
        <item m="1" x="1933"/>
        <item m="1" x="3453"/>
        <item m="1" x="3976"/>
        <item m="1" x="3346"/>
        <item m="1" x="3445"/>
        <item m="1" x="3982"/>
        <item m="1" x="1986"/>
        <item m="1" x="2168"/>
        <item m="1" x="2014"/>
        <item m="1" x="3421"/>
        <item m="1" x="2835"/>
        <item m="1" x="3836"/>
        <item m="1" x="4402"/>
        <item m="1" x="3789"/>
        <item m="1" x="2314"/>
        <item m="1" x="3337"/>
        <item m="1" x="2641"/>
        <item m="1" x="4181"/>
        <item m="1" x="2035"/>
        <item m="1" x="3639"/>
        <item m="1" x="1629"/>
        <item m="1" x="1811"/>
        <item m="1" x="1930"/>
        <item m="1" x="1658"/>
        <item m="1" x="2393"/>
        <item m="1" x="3297"/>
        <item m="1" x="3989"/>
        <item m="1" x="4317"/>
        <item m="1" x="2428"/>
        <item m="1" x="1545"/>
        <item m="1" x="3003"/>
        <item m="1" x="2007"/>
        <item m="1" x="3461"/>
        <item m="1" x="2601"/>
        <item m="1" x="3350"/>
        <item m="1" x="2310"/>
        <item m="1" x="2761"/>
        <item m="1" x="2219"/>
        <item m="1" x="2332"/>
        <item m="1" x="2104"/>
        <item m="1" x="2371"/>
        <item m="1" x="1942"/>
        <item m="1" x="1700"/>
        <item m="1" x="2328"/>
        <item m="1" x="3677"/>
        <item m="1" x="1893"/>
        <item m="1" x="1927"/>
        <item m="1" x="1810"/>
        <item m="1" x="2122"/>
        <item m="1" x="4335"/>
        <item m="1" x="3970"/>
        <item m="1" x="2429"/>
        <item m="1" x="2203"/>
        <item m="1" x="2120"/>
        <item m="1" x="4084"/>
        <item m="1" x="4030"/>
        <item m="1" x="1333"/>
        <item m="1" x="1520"/>
        <item m="1" x="1524"/>
        <item m="1" x="2969"/>
        <item m="1" x="1922"/>
        <item m="1" x="3169"/>
        <item m="1" x="4300"/>
        <item m="1" x="1270"/>
        <item m="1" x="2884"/>
        <item m="1" x="3991"/>
        <item m="1" x="2261"/>
        <item m="1" x="2572"/>
        <item m="1" x="3615"/>
        <item m="1" x="4186"/>
        <item m="1" x="2277"/>
        <item m="1" x="4306"/>
        <item m="1" x="2755"/>
        <item m="1" x="3568"/>
        <item m="1" x="3906"/>
        <item m="1" x="2924"/>
        <item m="1" x="3150"/>
        <item m="1" x="4165"/>
        <item m="1" x="2918"/>
        <item m="1" x="2469"/>
        <item m="1" x="4032"/>
        <item m="1" x="2589"/>
        <item m="1" x="1288"/>
        <item m="1" x="3185"/>
        <item m="1" x="3180"/>
        <item m="1" x="4423"/>
        <item m="1" x="2150"/>
        <item m="1" x="1455"/>
        <item m="1" x="3147"/>
        <item m="1" x="2932"/>
        <item m="1" x="2187"/>
        <item m="1" x="4361"/>
        <item m="1" x="3932"/>
        <item m="1" x="4204"/>
        <item m="1" x="2483"/>
        <item m="1" x="4257"/>
        <item m="1" x="4339"/>
        <item m="1" x="3082"/>
        <item m="1" x="3351"/>
        <item m="1" x="2971"/>
        <item m="1" x="1898"/>
        <item m="1" x="3810"/>
        <item m="1" x="2961"/>
        <item m="1" x="2493"/>
        <item m="1" x="2708"/>
        <item m="1" x="2735"/>
        <item m="1" x="3820"/>
        <item m="1" x="4073"/>
        <item m="1" x="2344"/>
        <item m="1" x="3864"/>
        <item m="1" x="2070"/>
        <item m="1" x="4228"/>
        <item m="1" x="2137"/>
        <item m="1" x="1766"/>
        <item m="1" x="3264"/>
        <item m="1" x="3891"/>
        <item m="1" x="1457"/>
        <item m="1" x="3801"/>
        <item m="1" x="4011"/>
        <item m="1" x="3911"/>
        <item m="1" x="4293"/>
        <item m="1" x="1639"/>
        <item m="1" x="3383"/>
        <item m="1" x="2492"/>
        <item m="1" x="3892"/>
        <item m="1" x="3977"/>
        <item m="1" x="3277"/>
        <item m="1" x="2861"/>
        <item m="1" x="4009"/>
        <item m="1" x="1291"/>
        <item m="1" x="1688"/>
        <item m="1" x="1352"/>
        <item m="1" x="4096"/>
        <item m="1" x="2534"/>
        <item m="1" x="3922"/>
        <item m="1" x="3511"/>
        <item m="1" x="1431"/>
        <item m="1" x="2594"/>
        <item m="1" x="3379"/>
        <item m="1" x="4321"/>
        <item m="1" x="2043"/>
        <item m="1" x="2648"/>
        <item m="1" x="1671"/>
        <item m="1" x="1679"/>
        <item m="1" x="3591"/>
        <item m="1" x="1612"/>
        <item m="1" x="4323"/>
        <item m="1" x="3032"/>
        <item m="1" x="2443"/>
        <item m="1" x="3567"/>
        <item m="1" x="2837"/>
        <item m="1" x="3552"/>
        <item m="1" x="1964"/>
        <item m="1" x="4076"/>
        <item m="1" x="3184"/>
        <item m="1" x="1993"/>
        <item m="1" x="2999"/>
        <item m="1" x="1475"/>
        <item m="1" x="2183"/>
        <item m="1" x="3468"/>
        <item m="1" x="2336"/>
        <item m="1" x="2050"/>
        <item m="1" x="2843"/>
        <item m="1" x="2909"/>
        <item m="1" x="1711"/>
        <item m="1" x="2038"/>
        <item m="1" x="1559"/>
        <item m="1" x="2088"/>
        <item m="1" x="4037"/>
        <item m="1" x="1530"/>
        <item m="1" x="4425"/>
        <item m="1" x="4328"/>
        <item m="1" x="2612"/>
        <item m="1" x="3375"/>
        <item m="1" x="2110"/>
        <item m="1" x="2917"/>
        <item m="1" x="3344"/>
        <item m="1" x="2796"/>
        <item m="1" x="3256"/>
        <item m="1" x="4109"/>
        <item m="1" x="1339"/>
        <item m="1" x="3541"/>
        <item m="1" x="2525"/>
        <item m="1" x="4103"/>
        <item m="1" x="2095"/>
        <item m="1" x="4166"/>
        <item m="1" x="1798"/>
        <item m="1" x="3825"/>
        <item m="1" x="2819"/>
        <item m="1" x="2800"/>
        <item m="1" x="3267"/>
        <item m="1" x="2502"/>
        <item m="1" x="1769"/>
        <item m="1" x="2247"/>
        <item m="1" x="2199"/>
        <item m="1" x="1835"/>
        <item m="1" x="3158"/>
        <item m="1" x="4197"/>
        <item m="1" x="4337"/>
        <item m="1" x="2016"/>
        <item m="1" x="2633"/>
        <item m="1" x="1595"/>
        <item m="1" x="1910"/>
        <item m="1" x="1983"/>
        <item m="1" x="3176"/>
        <item m="1" x="1423"/>
        <item m="1" x="3061"/>
        <item m="1" x="2482"/>
        <item m="1" x="3780"/>
        <item m="1" x="1888"/>
        <item m="1" x="3374"/>
        <item m="1" x="3967"/>
        <item m="1" x="2507"/>
        <item m="1" x="1519"/>
        <item m="1" x="3698"/>
        <item m="1" x="1821"/>
        <item m="1" x="4382"/>
        <item m="1" x="3945"/>
        <item m="1" x="1973"/>
        <item m="1" x="3655"/>
        <item m="1" x="3135"/>
        <item m="1" x="3418"/>
        <item m="1" x="1283"/>
        <item m="1" x="3412"/>
        <item m="1" x="1558"/>
        <item m="1" x="2704"/>
        <item m="1" x="3992"/>
        <item m="1" x="2471"/>
        <item m="1" x="1516"/>
        <item m="1" x="3238"/>
        <item m="1" x="4128"/>
        <item m="1" x="2846"/>
        <item m="1" x="1871"/>
        <item m="1" x="1495"/>
        <item m="1" x="3951"/>
        <item m="1" x="2078"/>
        <item m="1" x="4172"/>
        <item m="1" x="3174"/>
        <item m="1" x="1494"/>
        <item m="1" x="2720"/>
        <item m="1" x="2400"/>
        <item m="1" x="1512"/>
        <item m="1" x="3973"/>
        <item m="1" x="1476"/>
        <item m="1" x="3546"/>
        <item m="1" x="3036"/>
        <item m="1" x="3654"/>
        <item m="1" x="1789"/>
        <item m="1" x="3260"/>
        <item m="1" x="3171"/>
        <item m="1" x="1978"/>
        <item m="1" x="1367"/>
        <item m="1" x="3539"/>
        <item m="1" x="2374"/>
        <item m="1" x="2929"/>
        <item m="1" x="3558"/>
        <item m="1" x="2408"/>
        <item m="1" x="2198"/>
        <item m="1" x="2772"/>
        <item m="1" x="3815"/>
        <item m="1" x="3729"/>
        <item m="1" x="4294"/>
        <item m="1" x="2630"/>
        <item m="1" x="3289"/>
        <item m="1" x="1962"/>
        <item m="1" x="2338"/>
        <item m="1" x="2138"/>
        <item m="1" x="1800"/>
        <item m="1" x="1970"/>
        <item m="1" x="3543"/>
        <item m="1" x="2353"/>
        <item m="1" x="2667"/>
        <item m="1" x="3738"/>
        <item m="1" x="3671"/>
        <item m="1" x="3025"/>
        <item m="1" x="3173"/>
        <item m="1" x="4168"/>
        <item m="1" x="2293"/>
        <item m="1" x="3235"/>
        <item m="1" x="1979"/>
        <item m="1" x="3463"/>
        <item m="1" x="3248"/>
        <item m="1" x="2144"/>
        <item m="1" x="1667"/>
        <item m="1" x="2523"/>
        <item m="1" x="3047"/>
        <item m="1" x="2141"/>
        <item m="1" x="3690"/>
        <item m="1" x="1591"/>
        <item m="1" x="4239"/>
        <item m="1" x="2552"/>
        <item m="1" x="1713"/>
        <item m="1" x="2912"/>
        <item m="1" x="3460"/>
        <item m="1" x="3259"/>
        <item m="1" x="1289"/>
        <item m="1" x="2436"/>
        <item m="1" x="3737"/>
        <item m="1" x="2595"/>
        <item m="1" x="4202"/>
        <item m="1" x="3834"/>
        <item m="1" x="4040"/>
        <item m="1" x="2736"/>
        <item m="1" x="1634"/>
        <item m="1" x="1990"/>
        <item m="1" x="3428"/>
        <item m="1" x="2907"/>
        <item m="1" x="4078"/>
        <item m="1" x="4299"/>
        <item m="1" x="1660"/>
        <item m="1" x="1581"/>
        <item m="1" x="3935"/>
        <item m="1" x="4418"/>
        <item m="1" x="2329"/>
        <item m="1" x="3742"/>
        <item m="1" x="2392"/>
        <item m="1" x="4284"/>
        <item m="1" x="2174"/>
        <item m="1" x="2973"/>
        <item m="1" x="1259"/>
        <item m="1" x="3332"/>
        <item m="1" x="1606"/>
        <item m="1" x="2257"/>
        <item m="1" x="1626"/>
        <item m="1" x="2407"/>
        <item m="1" x="3128"/>
        <item m="1" x="1505"/>
        <item m="1" x="2569"/>
        <item m="1" x="3527"/>
        <item m="1" x="2815"/>
        <item m="1" x="2382"/>
        <item m="1" x="2669"/>
        <item m="1" x="3876"/>
        <item m="1" x="2460"/>
        <item m="1" x="2684"/>
        <item m="1" x="4357"/>
        <item m="1" x="2759"/>
        <item m="1" x="3628"/>
        <item m="1" x="1348"/>
        <item m="1" x="4180"/>
        <item m="1" x="2370"/>
        <item m="1" x="2082"/>
        <item m="1" x="3515"/>
        <item m="1" x="2913"/>
        <item m="1" x="1918"/>
        <item m="1" x="3054"/>
        <item m="1" x="3981"/>
        <item m="1" x="4422"/>
        <item m="1" x="2258"/>
        <item m="1" x="3802"/>
        <item m="1" x="1592"/>
        <item m="1" x="2604"/>
        <item m="1" x="3682"/>
        <item m="1" x="3998"/>
        <item m="1" x="1644"/>
        <item m="1" x="3888"/>
        <item m="1" x="3908"/>
        <item m="1" x="3233"/>
        <item m="1" x="1430"/>
        <item m="1" x="2098"/>
        <item m="1" x="4000"/>
        <item m="1" x="3274"/>
        <item m="1" x="3440"/>
        <item m="1" x="3406"/>
        <item m="1" x="3763"/>
        <item m="1" x="2118"/>
        <item m="1" x="3041"/>
        <item m="1" x="1659"/>
        <item m="1" x="1813"/>
        <item m="1" x="4203"/>
        <item m="1" x="3055"/>
        <item m="1" x="1812"/>
        <item m="1" x="3700"/>
        <item m="1" x="1806"/>
        <item m="1" x="2034"/>
        <item m="1" x="3436"/>
        <item m="1" x="2423"/>
        <item m="1" x="2474"/>
        <item m="1" x="3316"/>
        <item m="1" x="2213"/>
        <item m="1" x="3634"/>
        <item m="1" x="4085"/>
        <item m="1" x="3775"/>
        <item m="1" x="1809"/>
        <item m="1" x="1416"/>
        <item m="1" x="2009"/>
        <item m="1" x="1281"/>
        <item m="1" x="4213"/>
        <item m="1" x="1415"/>
        <item m="1" x="3035"/>
        <item m="1" x="2614"/>
        <item m="1" x="2147"/>
        <item m="1" x="2647"/>
        <item m="1" x="3676"/>
        <item m="1" x="2215"/>
        <item m="1" x="3999"/>
        <item m="1" x="4150"/>
        <item m="1" x="2592"/>
        <item m="1" x="2313"/>
        <item m="1" x="3860"/>
        <item m="1" x="2434"/>
        <item m="1" x="1391"/>
        <item m="1" x="3910"/>
        <item m="1" x="2713"/>
        <item m="1" x="2676"/>
        <item m="1" x="2011"/>
        <item m="1" x="3768"/>
        <item m="1" x="1661"/>
        <item m="1" x="2316"/>
        <item m="1" x="1488"/>
        <item m="1" x="3182"/>
        <item m="1" x="4377"/>
        <item m="1" x="2976"/>
        <item m="1" x="4291"/>
        <item m="1" x="1865"/>
        <item m="1" x="4322"/>
        <item m="1" x="1254"/>
        <item m="1" x="1493"/>
        <item m="1" x="4408"/>
        <item m="1" x="2454"/>
        <item m="1" x="3312"/>
        <item m="1" x="4287"/>
        <item m="1" x="3090"/>
        <item m="1" x="1663"/>
        <item m="1" x="2227"/>
        <item m="1" x="3540"/>
        <item m="1" x="2115"/>
        <item m="1" x="1917"/>
        <item m="1" x="3027"/>
        <item m="1" x="4218"/>
        <item m="1" x="2280"/>
        <item m="1" x="3683"/>
        <item m="1" x="2809"/>
        <item m="1" x="1527"/>
        <item m="1" x="1568"/>
        <item m="1" x="4302"/>
        <item m="1" x="1896"/>
        <item m="1" x="3549"/>
        <item m="1" x="3051"/>
        <item m="1" x="1403"/>
        <item m="1" x="2365"/>
        <item m="1" x="2527"/>
        <item m="1" x="1547"/>
        <item m="1" x="1560"/>
        <item m="1" x="3720"/>
        <item m="1" x="1908"/>
        <item m="1" x="1589"/>
        <item m="1" x="1683"/>
        <item m="1" x="3168"/>
        <item m="1" x="1757"/>
        <item m="1" x="3392"/>
        <item m="1" x="1480"/>
        <item m="1" x="3058"/>
        <item m="1" x="3411"/>
        <item m="1" x="2865"/>
        <item m="1" x="2699"/>
        <item m="1" x="4183"/>
        <item m="1" x="3437"/>
        <item m="1" x="1517"/>
        <item m="1" x="2866"/>
        <item m="1" x="4316"/>
        <item m="1" x="4266"/>
        <item m="1" x="2065"/>
        <item m="1" x="2181"/>
        <item m="1" x="4415"/>
        <item m="1" x="1598"/>
        <item m="1" x="2152"/>
        <item m="1" x="2848"/>
        <item m="1" x="1540"/>
        <item m="1" x="2724"/>
        <item m="1" x="2330"/>
        <item m="1" x="3247"/>
        <item m="1" x="3754"/>
        <item m="1" x="2318"/>
        <item m="1" x="4171"/>
        <item m="1" x="2786"/>
        <item m="1" x="3239"/>
        <item m="1" x="3758"/>
        <item m="1" x="2936"/>
        <item m="1" x="4045"/>
        <item m="1" x="3096"/>
        <item m="1" x="4055"/>
        <item m="1" x="3803"/>
        <item m="1" x="1615"/>
        <item m="1" x="1797"/>
        <item m="1" x="1883"/>
        <item m="1" x="1563"/>
        <item m="1" x="1460"/>
        <item m="1" x="2801"/>
        <item m="1" x="2411"/>
        <item m="1" x="2785"/>
        <item m="1" x="3181"/>
        <item m="1" x="2571"/>
        <item m="1" x="2103"/>
        <item m="1" x="3363"/>
        <item m="1" x="3594"/>
        <item m="1" x="4034"/>
        <item m="1" x="2000"/>
        <item m="1" x="1515"/>
        <item m="1" x="2706"/>
        <item m="1" x="1649"/>
        <item m="1" x="4385"/>
        <item m="1" x="2810"/>
        <item m="1" x="2417"/>
        <item m="1" x="4407"/>
        <item m="1" x="1484"/>
        <item m="1" x="1405"/>
        <item m="1" x="2162"/>
        <item m="1" x="1506"/>
        <item m="1" x="1816"/>
        <item m="1" x="2741"/>
        <item m="1" x="2068"/>
        <item x="820"/>
        <item m="1" x="3098"/>
        <item m="1" x="3072"/>
        <item x="899"/>
        <item x="900"/>
        <item x="649"/>
        <item m="1" x="2027"/>
        <item m="1" x="4038"/>
        <item m="1" x="2129"/>
        <item m="1" x="2059"/>
        <item m="1" x="3528"/>
        <item m="1" x="3771"/>
        <item m="1" x="2360"/>
        <item x="835"/>
        <item m="1" x="2451"/>
        <item m="1" x="3207"/>
        <item m="1" x="1521"/>
        <item m="1" x="3774"/>
        <item x="406"/>
        <item m="1" x="2205"/>
        <item x="424"/>
        <item m="1" x="3522"/>
        <item x="422"/>
        <item m="1" x="1911"/>
        <item x="423"/>
        <item m="1" x="2468"/>
        <item m="1" x="2299"/>
        <item m="1" x="3482"/>
        <item m="1" x="2281"/>
        <item x="487"/>
        <item m="1" x="4136"/>
        <item m="1" x="2609"/>
        <item m="1" x="1899"/>
        <item m="1" x="3030"/>
        <item m="1" x="3139"/>
        <item m="1" x="2689"/>
        <item m="1" x="1834"/>
        <item m="1" x="3415"/>
        <item m="1" x="4043"/>
        <item m="1" x="3971"/>
        <item m="1" x="3362"/>
        <item m="1" x="1550"/>
        <item m="1" x="2117"/>
        <item m="1" x="3947"/>
        <item x="146"/>
        <item m="1" x="2731"/>
        <item m="1" x="2179"/>
        <item m="1" x="1412"/>
        <item m="1" x="2284"/>
        <item m="1" x="1988"/>
        <item m="1" x="1424"/>
        <item m="1" x="4097"/>
        <item m="1" x="1337"/>
        <item m="1" x="3011"/>
        <item m="1" x="3524"/>
        <item m="1" x="1860"/>
        <item m="1" x="1808"/>
        <item m="1" x="2643"/>
        <item m="1" x="2503"/>
        <item m="1" x="3339"/>
        <item m="1" x="2613"/>
        <item m="1" x="3441"/>
        <item m="1" x="3220"/>
        <item m="1" x="3420"/>
        <item m="1" x="4121"/>
        <item m="1" x="2939"/>
        <item x="0"/>
        <item m="1" x="1822"/>
        <item m="1" x="2657"/>
        <item m="1" x="3818"/>
        <item m="1" x="1508"/>
        <item m="1" x="4088"/>
        <item m="1" x="2019"/>
        <item m="1" x="2461"/>
        <item m="1" x="2540"/>
        <item x="804"/>
        <item m="1" x="2023"/>
        <item m="1" x="2190"/>
        <item x="805"/>
        <item m="1" x="2756"/>
        <item x="233"/>
        <item x="511"/>
        <item x="513"/>
        <item x="478"/>
        <item m="1" x="1572"/>
        <item m="1" x="3642"/>
        <item m="1" x="4120"/>
        <item m="1" x="3232"/>
        <item x="609"/>
        <item m="1" x="1292"/>
        <item x="1127"/>
        <item m="1" x="2089"/>
        <item m="1" x="3740"/>
        <item m="1" x="2378"/>
        <item x="990"/>
        <item x="814"/>
        <item m="1" x="3152"/>
        <item m="1" x="3450"/>
        <item m="1" x="1539"/>
        <item m="1" x="3972"/>
        <item m="1" x="4375"/>
        <item x="240"/>
        <item x="607"/>
        <item x="239"/>
        <item m="1" x="3213"/>
        <item m="1" x="3475"/>
        <item m="1" x="1642"/>
        <item x="261"/>
        <item m="1" x="2855"/>
        <item m="1" x="2908"/>
        <item x="889"/>
        <item x="998"/>
        <item m="1" x="1840"/>
        <item x="172"/>
        <item x="490"/>
        <item m="1" x="2972"/>
        <item m="1" x="4227"/>
        <item m="1" x="2511"/>
        <item x="173"/>
        <item m="1" x="4381"/>
        <item x="420"/>
        <item m="1" x="4189"/>
        <item m="1" x="3863"/>
        <item m="1" x="2616"/>
        <item m="1" x="2084"/>
        <item m="1" x="1976"/>
        <item m="1" x="4387"/>
        <item m="1" x="3733"/>
        <item m="1" x="3433"/>
        <item m="1" x="2513"/>
        <item m="1" x="3663"/>
        <item m="1" x="2606"/>
        <item m="1" x="4148"/>
        <item m="1" x="1975"/>
        <item m="1" x="1796"/>
        <item m="1" x="2490"/>
        <item x="1104"/>
        <item m="1" x="3164"/>
        <item m="1" x="1788"/>
        <item m="1" x="1864"/>
        <item m="1" x="3085"/>
        <item x="151"/>
        <item m="1" x="1571"/>
        <item x="153"/>
        <item m="1" x="1407"/>
        <item m="1" x="1307"/>
        <item m="1" x="2910"/>
        <item m="1" x="2312"/>
        <item m="1" x="2069"/>
        <item m="1" x="2895"/>
        <item m="1" x="3902"/>
        <item m="1" x="4340"/>
        <item m="1" x="2267"/>
        <item m="1" x="1841"/>
        <item m="1" x="3788"/>
        <item m="1" x="2679"/>
        <item m="1" x="1573"/>
        <item m="1" x="2309"/>
        <item m="1" x="1594"/>
        <item m="1" x="1959"/>
        <item m="1" x="3952"/>
        <item m="1" x="3194"/>
        <item m="1" x="2389"/>
        <item x="295"/>
        <item x="293"/>
        <item m="1" x="3674"/>
        <item x="294"/>
        <item m="1" x="1801"/>
        <item m="1" x="3585"/>
        <item m="1" x="2229"/>
        <item m="1" x="4054"/>
        <item x="735"/>
        <item m="1" x="3442"/>
        <item m="1" x="1994"/>
        <item m="1" x="4356"/>
        <item x="555"/>
        <item x="300"/>
        <item x="554"/>
        <item m="1" x="2656"/>
        <item m="1" x="3626"/>
        <item m="1" x="3849"/>
        <item x="302"/>
        <item x="301"/>
        <item x="556"/>
        <item x="557"/>
        <item m="1" x="3589"/>
        <item m="1" x="4396"/>
        <item m="1" x="2950"/>
        <item x="435"/>
        <item m="1" x="3125"/>
        <item m="1" x="3791"/>
        <item m="1" x="2854"/>
        <item m="1" x="2879"/>
        <item m="1" x="1554"/>
        <item m="1" x="2711"/>
        <item m="1" x="3505"/>
        <item m="1" x="1497"/>
        <item m="1" x="3842"/>
        <item m="1" x="3319"/>
        <item m="1" x="3033"/>
        <item m="1" x="2690"/>
        <item m="1" x="1276"/>
        <item x="1114"/>
        <item m="1" x="2768"/>
        <item m="1" x="2193"/>
        <item m="1" x="1655"/>
        <item m="1" x="2343"/>
        <item m="1" x="2695"/>
        <item m="1" x="1836"/>
        <item m="1" x="1576"/>
        <item m="1" x="1279"/>
        <item m="1" x="3638"/>
        <item m="1" x="1601"/>
        <item m="1" x="3410"/>
        <item m="1" x="3132"/>
        <item m="1" x="3084"/>
        <item m="1" x="2789"/>
        <item m="1" x="2495"/>
        <item m="1" x="1656"/>
        <item m="1" x="3725"/>
        <item x="1116"/>
        <item m="1" x="2235"/>
        <item m="1" x="3210"/>
        <item m="1" x="1677"/>
        <item x="1117"/>
        <item m="1" x="2990"/>
        <item m="1" x="2442"/>
        <item m="1" x="2456"/>
        <item m="1" x="2459"/>
        <item m="1" x="2161"/>
        <item m="1" x="2170"/>
        <item x="1120"/>
        <item x="236"/>
        <item m="1" x="4212"/>
        <item x="374"/>
        <item m="1" x="3471"/>
        <item m="1" x="1880"/>
        <item m="1" x="1842"/>
        <item m="1" x="3191"/>
        <item x="1164"/>
        <item m="1" x="3408"/>
        <item x="1103"/>
        <item m="1" x="3278"/>
        <item m="1" x="4401"/>
        <item m="1" x="1312"/>
        <item m="1" x="2440"/>
        <item m="1" x="3204"/>
        <item m="1" x="1932"/>
        <item m="1" x="2303"/>
        <item m="1" x="2773"/>
        <item m="1" x="1376"/>
        <item x="1082"/>
        <item m="1" x="4352"/>
        <item x="647"/>
        <item m="1" x="2653"/>
        <item m="1" x="2757"/>
        <item m="1" x="3323"/>
        <item m="1" x="1582"/>
        <item m="1" x="3163"/>
        <item m="1" x="1304"/>
        <item m="1" x="1851"/>
        <item m="1" x="3726"/>
        <item m="1" x="3657"/>
        <item m="1" x="1943"/>
        <item m="1" x="3939"/>
        <item m="1" x="1998"/>
        <item x="430"/>
        <item m="1" x="3711"/>
        <item m="1" x="3305"/>
        <item m="1" x="3368"/>
        <item m="1" x="1511"/>
        <item m="1" x="2112"/>
        <item m="1" x="1478"/>
        <item m="1" x="2841"/>
        <item m="1" x="3606"/>
        <item m="1" x="3060"/>
        <item m="1" x="3148"/>
        <item x="653"/>
        <item m="1" x="1575"/>
        <item x="661"/>
        <item m="1" x="4420"/>
        <item x="660"/>
        <item m="1" x="2937"/>
        <item m="1" x="3894"/>
        <item m="1" x="3075"/>
        <item x="656"/>
        <item m="1" x="2727"/>
        <item m="1" x="1790"/>
        <item m="1" x="1256"/>
        <item m="1" x="3877"/>
        <item x="274"/>
        <item m="1" x="3059"/>
        <item m="1" x="2177"/>
        <item m="1" x="2426"/>
        <item m="1" x="2655"/>
        <item m="1" x="2602"/>
        <item x="271"/>
        <item m="1" x="3577"/>
        <item x="270"/>
        <item x="654"/>
        <item x="273"/>
        <item m="1" x="1290"/>
        <item m="1" x="1381"/>
        <item m="1" x="2480"/>
        <item m="1" x="1987"/>
        <item m="1" x="1715"/>
        <item m="1" x="2394"/>
        <item m="1" x="3138"/>
        <item m="1" x="2577"/>
        <item m="1" x="2579"/>
        <item m="1" x="2760"/>
        <item m="1" x="2238"/>
        <item m="1" x="2737"/>
        <item m="1" x="3950"/>
        <item x="1046"/>
        <item x="234"/>
        <item x="210"/>
        <item x="928"/>
        <item x="927"/>
        <item x="786"/>
        <item m="1" x="4314"/>
        <item m="1" x="3890"/>
        <item m="1" x="3372"/>
        <item m="1" x="1327"/>
        <item m="1" x="2272"/>
        <item x="230"/>
        <item m="1" x="2997"/>
        <item m="1" x="2685"/>
        <item m="1" x="3313"/>
        <item m="1" x="1868"/>
        <item x="929"/>
        <item x="1177"/>
        <item m="1" x="1383"/>
        <item m="1" x="1997"/>
        <item m="1" x="4308"/>
        <item x="1131"/>
        <item m="1" x="3504"/>
        <item m="1" x="2955"/>
        <item m="1" x="3556"/>
        <item m="1" x="4260"/>
        <item x="460"/>
        <item m="1" x="1544"/>
        <item m="1" x="2539"/>
        <item m="1" x="3142"/>
        <item x="801"/>
        <item m="1" x="2153"/>
        <item m="1" x="3197"/>
        <item m="1" x="2029"/>
        <item x="616"/>
        <item m="1" x="4430"/>
        <item m="1" x="4297"/>
        <item m="1" x="2873"/>
        <item m="1" x="4075"/>
        <item m="1" x="4130"/>
        <item m="1" x="1319"/>
        <item m="1" x="4137"/>
        <item m="1" x="4319"/>
        <item m="1" x="3338"/>
        <item x="1110"/>
        <item m="1" x="3145"/>
        <item m="1" x="3551"/>
        <item m="1" x="3129"/>
        <item m="1" x="2455"/>
        <item m="1" x="2791"/>
        <item m="1" x="2157"/>
        <item m="1" x="1666"/>
        <item m="1" x="1878"/>
        <item m="1" x="1400"/>
        <item m="1" x="3806"/>
        <item m="1" x="3510"/>
        <item m="1" x="3965"/>
        <item m="1" x="1703"/>
        <item m="1" x="4125"/>
        <item m="1" x="1791"/>
        <item m="1" x="2462"/>
        <item m="1" x="2253"/>
        <item m="1" x="3100"/>
        <item m="1" x="1741"/>
        <item m="1" x="2481"/>
        <item m="1" x="1365"/>
        <item m="1" x="2934"/>
        <item m="1" x="2850"/>
        <item m="1" x="2860"/>
        <item m="1" x="1745"/>
        <item m="1" x="3322"/>
        <item m="1" x="2782"/>
        <item m="1" x="1761"/>
        <item m="1" x="3469"/>
        <item m="1" x="3273"/>
        <item m="1" x="1920"/>
        <item m="1" x="3517"/>
        <item x="1136"/>
        <item m="1" x="3844"/>
        <item x="456"/>
        <item m="1" x="4366"/>
        <item m="1" x="3242"/>
        <item m="1" x="4178"/>
        <item m="1" x="3199"/>
        <item m="1" x="1968"/>
        <item x="942"/>
        <item x="840"/>
        <item x="1006"/>
        <item m="1" x="4325"/>
        <item m="1" x="2249"/>
        <item x="326"/>
        <item x="913"/>
        <item x="324"/>
        <item m="1" x="3501"/>
        <item m="1" x="1419"/>
        <item m="1" x="2290"/>
        <item x="914"/>
        <item m="1" x="1621"/>
        <item m="1" x="2718"/>
        <item m="1" x="2770"/>
        <item m="1" x="2742"/>
        <item m="1" x="3269"/>
        <item m="1" x="3380"/>
        <item x="505"/>
        <item x="466"/>
        <item m="1" x="3986"/>
        <item x="375"/>
        <item m="1" x="3275"/>
        <item m="1" x="4296"/>
        <item m="1" x="4184"/>
        <item m="1" x="3757"/>
        <item m="1" x="3574"/>
        <item m="1" x="2659"/>
        <item m="1" x="4379"/>
        <item m="1" x="1772"/>
        <item m="1" x="3918"/>
        <item m="1" x="3130"/>
        <item m="1" x="4081"/>
        <item m="1" x="3324"/>
        <item m="1" x="3573"/>
        <item m="1" x="4426"/>
        <item m="1" x="1678"/>
        <item m="1" x="1604"/>
        <item m="1" x="4159"/>
        <item m="1" x="1491"/>
        <item m="1" x="2212"/>
        <item m="1" x="2672"/>
        <item m="1" x="2472"/>
        <item m="1" x="2885"/>
        <item m="1" x="4274"/>
        <item m="1" x="2075"/>
        <item m="1" x="4389"/>
        <item x="896"/>
        <item m="1" x="2555"/>
        <item m="1" x="3814"/>
        <item m="1" x="2062"/>
        <item m="1" x="1783"/>
        <item x="815"/>
        <item m="1" x="2535"/>
        <item m="1" x="2802"/>
        <item m="1" x="2359"/>
        <item m="1" x="1751"/>
        <item m="1" x="4001"/>
        <item m="1" x="3848"/>
        <item m="1" x="4271"/>
        <item m="1" x="4149"/>
        <item m="1" x="4027"/>
        <item m="1" x="2734"/>
        <item m="1" x="4367"/>
        <item m="1" x="3094"/>
        <item m="1" x="3534"/>
        <item m="1" x="4060"/>
        <item m="1" x="2405"/>
        <item m="1" x="3535"/>
        <item m="1" x="3499"/>
        <item m="1" x="2970"/>
        <item m="1" x="4019"/>
        <item m="1" x="2556"/>
        <item m="1" x="3079"/>
        <item x="532"/>
        <item m="1" x="3097"/>
        <item m="1" x="1793"/>
        <item x="536"/>
        <item m="1" x="1680"/>
        <item m="1" x="3270"/>
        <item m="1" x="3318"/>
        <item m="1" x="4270"/>
        <item m="1" x="1331"/>
        <item m="1" x="4243"/>
        <item x="196"/>
        <item m="1" x="1635"/>
        <item m="1" x="4199"/>
        <item m="1" x="3076"/>
        <item x="531"/>
        <item x="193"/>
        <item m="1" x="1803"/>
        <item m="1" x="3878"/>
        <item m="1" x="3160"/>
        <item m="1" x="4138"/>
        <item m="1" x="4039"/>
        <item m="1" x="1786"/>
        <item x="219"/>
        <item m="1" x="4093"/>
        <item x="195"/>
        <item m="1" x="3531"/>
        <item x="194"/>
        <item x="728"/>
        <item m="1" x="2930"/>
        <item m="1" x="3795"/>
        <item m="1" x="2721"/>
        <item m="1" x="2806"/>
        <item m="1" x="2188"/>
        <item m="1" x="2622"/>
        <item m="1" x="3672"/>
        <item m="1" x="3140"/>
        <item m="1" x="2808"/>
        <item m="1" x="1556"/>
        <item m="1" x="2975"/>
        <item m="1" x="4058"/>
        <item m="1" x="2817"/>
        <item m="1" x="4151"/>
        <item m="1" x="4334"/>
        <item m="1" x="4042"/>
        <item m="1" x="2771"/>
        <item m="1" x="2416"/>
        <item m="1" x="4253"/>
        <item m="1" x="1483"/>
        <item m="1" x="2184"/>
        <item m="1" x="1874"/>
        <item x="521"/>
        <item x="522"/>
        <item m="1" x="1905"/>
        <item m="1" x="4262"/>
        <item m="1" x="1427"/>
        <item m="1" x="2566"/>
        <item x="159"/>
        <item m="1" x="1384"/>
        <item m="1" x="1886"/>
        <item m="1" x="2133"/>
        <item m="1" x="2568"/>
        <item m="1" x="1587"/>
        <item m="1" x="1305"/>
        <item m="1" x="2509"/>
        <item m="1" x="2553"/>
        <item m="1" x="4320"/>
        <item m="1" x="1479"/>
        <item m="1" x="2060"/>
        <item m="1" x="1731"/>
        <item m="1" x="2140"/>
        <item m="1" x="3715"/>
        <item m="1" x="2450"/>
        <item x="594"/>
        <item m="1" x="2063"/>
        <item x="811"/>
        <item m="1" x="2039"/>
        <item m="1" x="3183"/>
        <item x="595"/>
        <item m="1" x="3483"/>
        <item x="592"/>
        <item m="1" x="3948"/>
        <item m="1" x="2287"/>
        <item m="1" x="2984"/>
        <item m="1" x="3710"/>
        <item m="1" x="3783"/>
        <item m="1" x="2322"/>
        <item m="1" x="3093"/>
        <item m="1" x="2992"/>
        <item m="1" x="1739"/>
        <item m="1" x="2018"/>
        <item m="1" x="2251"/>
        <item m="1" x="3066"/>
        <item m="1" x="2331"/>
        <item m="1" x="3600"/>
        <item m="1" x="4140"/>
        <item m="1" x="3924"/>
        <item x="483"/>
        <item x="893"/>
        <item m="1" x="2767"/>
        <item m="1" x="2225"/>
        <item x="994"/>
        <item m="1" x="4249"/>
        <item m="1" x="4232"/>
        <item m="1" x="1537"/>
        <item m="1" x="3503"/>
        <item m="1" x="3569"/>
        <item m="1" x="1561"/>
        <item m="1" x="2100"/>
        <item m="1" x="1498"/>
        <item m="1" x="1432"/>
        <item m="1" x="1255"/>
        <item m="1" x="1474"/>
        <item m="1" x="1651"/>
        <item m="1" x="1442"/>
        <item m="1" x="2194"/>
        <item m="1" x="2097"/>
        <item m="1" x="3662"/>
        <item m="1" x="2435"/>
        <item m="1" x="2607"/>
        <item m="1" x="3652"/>
        <item m="1" x="2505"/>
        <item m="1" x="4164"/>
        <item m="1" x="2542"/>
        <item m="1" x="2550"/>
        <item m="1" x="2570"/>
        <item m="1" x="4264"/>
        <item m="1" x="4195"/>
        <item m="1" x="2694"/>
        <item m="1" x="3953"/>
        <item m="1" x="2749"/>
        <item m="1" x="3838"/>
        <item m="1" x="4110"/>
        <item m="1" x="1928"/>
        <item m="1" x="2270"/>
        <item m="1" x="3688"/>
        <item m="1" x="1277"/>
        <item m="1" x="3843"/>
        <item m="1" x="3773"/>
        <item m="1" x="2668"/>
        <item m="1" x="4282"/>
        <item m="1" x="4332"/>
        <item m="1" x="4179"/>
        <item m="1" x="3143"/>
        <item m="1" x="2564"/>
        <item m="1" x="3386"/>
        <item m="1" x="3895"/>
        <item m="1" x="2697"/>
        <item m="1" x="1890"/>
        <item m="1" x="1676"/>
        <item m="1" x="3291"/>
        <item m="1" x="3704"/>
        <item m="1" x="2831"/>
        <item m="1" x="3484"/>
        <item m="1" x="1876"/>
        <item m="1" x="3590"/>
        <item m="1" x="2661"/>
        <item x="630"/>
        <item m="1" x="1847"/>
        <item m="1" x="3430"/>
        <item x="640"/>
        <item x="639"/>
        <item m="1" x="4364"/>
        <item m="1" x="3944"/>
        <item m="1" x="3580"/>
        <item m="1" x="3141"/>
        <item m="1" x="2254"/>
        <item x="1129"/>
        <item m="1" x="4169"/>
        <item m="1" x="1903"/>
        <item m="1" x="4231"/>
        <item m="1" x="1952"/>
        <item m="1" x="2522"/>
        <item m="1" x="2876"/>
        <item m="1" x="1861"/>
        <item m="1" x="3826"/>
        <item m="1" x="2758"/>
        <item x="680"/>
        <item x="319"/>
        <item m="1" x="1685"/>
        <item m="1" x="3520"/>
        <item m="1" x="2764"/>
        <item m="1" x="2475"/>
        <item m="1" x="3155"/>
        <item m="1" x="3014"/>
        <item m="1" x="1440"/>
        <item m="1" x="3526"/>
        <item m="1" x="1487"/>
        <item m="1" x="3984"/>
        <item m="1" x="2889"/>
        <item m="1" x="4002"/>
        <item m="1" x="1734"/>
        <item m="1" x="1555"/>
        <item m="1" x="4286"/>
        <item m="1" x="3512"/>
        <item m="1" x="2366"/>
        <item m="1" x="2053"/>
        <item x="1172"/>
        <item x="715"/>
        <item x="716"/>
        <item x="739"/>
        <item x="1173"/>
        <item x="747"/>
        <item m="1" x="2071"/>
        <item m="1" x="2128"/>
        <item m="1" x="1748"/>
        <item x="932"/>
        <item x="933"/>
        <item x="934"/>
        <item x="935"/>
        <item m="1" x="4373"/>
        <item m="1" x="4347"/>
        <item m="1" x="3946"/>
        <item m="1" x="4070"/>
        <item m="1" x="2430"/>
        <item m="1" x="2920"/>
        <item m="1" x="1481"/>
        <item m="1" x="2544"/>
        <item m="1" x="3034"/>
        <item m="1" x="2852"/>
        <item m="1" x="4018"/>
        <item m="1" x="3237"/>
        <item m="1" x="1499"/>
        <item x="1219"/>
        <item m="1" x="1773"/>
        <item m="1" x="3790"/>
        <item m="1" x="2893"/>
        <item m="1" x="1421"/>
        <item m="1" x="2445"/>
        <item m="1" x="1522"/>
        <item m="1" x="3284"/>
        <item m="1" x="4091"/>
        <item m="1" x="3506"/>
        <item x="1128"/>
        <item m="1" x="3596"/>
        <item m="1" x="1972"/>
        <item m="1" x="2297"/>
        <item m="1" x="3294"/>
        <item m="1" x="3796"/>
        <item m="1" x="2576"/>
        <item m="1" x="2487"/>
        <item x="754"/>
        <item x="755"/>
        <item m="1" x="1466"/>
        <item m="1" x="2379"/>
        <item m="1" x="4246"/>
        <item m="1" x="2292"/>
        <item x="734"/>
        <item m="1" x="3124"/>
        <item m="1" x="3340"/>
        <item x="398"/>
        <item m="1" x="2897"/>
        <item m="1" x="3525"/>
        <item m="1" x="3681"/>
        <item m="1" x="3217"/>
        <item m="1" x="3018"/>
        <item m="1" x="4392"/>
        <item m="1" x="3455"/>
        <item x="572"/>
        <item m="1" x="2437"/>
        <item x="567"/>
        <item m="1" x="2064"/>
        <item m="1" x="2983"/>
        <item x="566"/>
        <item m="1" x="4215"/>
        <item m="1" x="3548"/>
        <item m="1" x="2887"/>
        <item m="1" x="2654"/>
        <item m="1" x="2291"/>
        <item x="952"/>
        <item x="954"/>
        <item m="1" x="1364"/>
        <item m="1" x="3478"/>
        <item x="436"/>
        <item x="168"/>
        <item m="1" x="1742"/>
        <item m="1" x="1390"/>
        <item m="1" x="1618"/>
        <item x="950"/>
        <item m="1" x="1924"/>
        <item m="1" x="2025"/>
        <item m="1" x="3529"/>
        <item x="944"/>
        <item x="225"/>
        <item m="1" x="3793"/>
        <item m="1" x="3650"/>
        <item m="1" x="4126"/>
        <item m="1" x="3746"/>
        <item x="440"/>
        <item x="208"/>
        <item m="1" x="2899"/>
        <item m="1" x="4010"/>
        <item m="1" x="2325"/>
        <item m="1" x="3196"/>
        <item x="265"/>
        <item m="1" x="3262"/>
        <item m="1" x="3001"/>
        <item m="1" x="2210"/>
        <item x="962"/>
        <item m="1" x="1889"/>
        <item x="961"/>
        <item m="1" x="2245"/>
        <item m="1" x="3479"/>
        <item m="1" x="2149"/>
        <item m="1" x="2020"/>
        <item x="965"/>
        <item m="1" x="3208"/>
        <item m="1" x="3253"/>
        <item m="1" x="3907"/>
        <item m="1" x="2832"/>
        <item m="1" x="2945"/>
        <item m="1" x="3360"/>
        <item m="1" x="1413"/>
        <item m="1" x="1303"/>
        <item m="1" x="3081"/>
        <item m="1" x="4116"/>
        <item m="1" x="3765"/>
        <item x="1124"/>
        <item m="1" x="3963"/>
        <item m="1" x="1309"/>
        <item x="517"/>
        <item m="1" x="1462"/>
        <item m="1" x="4029"/>
        <item m="1" x="2432"/>
        <item m="1" x="2008"/>
        <item m="1" x="1948"/>
        <item m="1" x="3579"/>
        <item m="1" x="4304"/>
        <item m="1" x="3376"/>
        <item m="1" x="3665"/>
        <item m="1" x="2269"/>
        <item m="1" x="3477"/>
        <item m="1" x="2275"/>
        <item m="1" x="2458"/>
        <item x="1214"/>
        <item x="1096"/>
        <item x="1086"/>
        <item x="1215"/>
        <item m="1" x="2244"/>
        <item m="1" x="2265"/>
        <item m="1" x="1647"/>
        <item m="1" x="1477"/>
        <item m="1" x="2126"/>
        <item m="1" x="2995"/>
        <item m="1" x="3283"/>
        <item m="1" x="4214"/>
        <item m="1" x="1536"/>
        <item m="1" x="3215"/>
        <item m="1" x="4102"/>
        <item m="1" x="1652"/>
        <item m="1" x="1523"/>
        <item m="1" x="1630"/>
        <item m="1" x="1490"/>
        <item m="1" x="1935"/>
        <item m="1" x="2385"/>
        <item m="1" x="3785"/>
        <item m="1" x="1699"/>
        <item m="1" x="4388"/>
        <item m="1" x="4394"/>
        <item m="1" x="3990"/>
        <item m="1" x="4190"/>
        <item x="11"/>
        <item m="1" x="2185"/>
        <item m="1" x="2748"/>
        <item m="1" x="3532"/>
        <item m="1" x="4331"/>
        <item m="1" x="3004"/>
        <item m="1" x="3137"/>
        <item m="1" x="4378"/>
        <item m="1" x="1369"/>
        <item m="1" x="1967"/>
        <item m="1" x="1820"/>
        <item m="1" x="2554"/>
        <item m="1" x="1564"/>
        <item x="426"/>
        <item m="1" x="1633"/>
        <item m="1" x="3702"/>
        <item m="1" x="1452"/>
        <item m="1" x="1617"/>
        <item m="1" x="1780"/>
        <item m="1" x="1645"/>
        <item m="1" x="3554"/>
        <item m="1" x="3290"/>
        <item m="1" x="2058"/>
        <item m="1" x="2151"/>
        <item m="1" x="3736"/>
        <item m="1" x="2479"/>
        <item m="1" x="1306"/>
        <item m="1" x="1394"/>
        <item m="1" x="1937"/>
        <item m="1" x="3333"/>
        <item m="1" x="3005"/>
        <item m="1" x="1372"/>
        <item m="1" x="3114"/>
        <item m="1" x="2145"/>
        <item m="1" x="2497"/>
        <item m="1" x="2528"/>
        <item m="1" x="4348"/>
        <item m="1" x="4017"/>
        <item m="1" x="4275"/>
        <item m="1" x="3919"/>
        <item m="1" x="2938"/>
        <item m="1" x="3868"/>
        <item m="1" x="1929"/>
        <item m="1" x="2356"/>
        <item m="1" x="1721"/>
        <item m="1" x="3419"/>
        <item m="1" x="1249"/>
        <item m="1" x="2903"/>
        <item m="1" x="4226"/>
        <item m="1" x="4174"/>
        <item m="1" x="4305"/>
        <item m="1" x="1654"/>
        <item m="1" x="2671"/>
        <item m="1" x="3576"/>
        <item m="1" x="2658"/>
        <item m="1" x="2830"/>
        <item m="1" x="4173"/>
        <item m="1" x="4065"/>
        <item m="1" x="3393"/>
        <item m="1" x="3751"/>
        <item m="1" x="2744"/>
        <item m="1" x="4156"/>
        <item m="1" x="3356"/>
        <item m="1" x="1941"/>
        <item m="1" x="1374"/>
        <item m="1" x="3916"/>
        <item m="1" x="3154"/>
        <item m="1" x="2962"/>
        <item m="1" x="2467"/>
        <item m="1" x="2409"/>
        <item m="1" x="3660"/>
        <item m="1" x="3846"/>
        <item m="1" x="3409"/>
        <item m="1" x="4268"/>
        <item m="1" x="4182"/>
        <item m="1" x="3813"/>
        <item m="1" x="2943"/>
        <item m="1" x="2750"/>
        <item m="1" x="3797"/>
        <item m="1" x="3901"/>
        <item m="1" x="1892"/>
        <item m="1" x="2804"/>
        <item m="1" x="3565"/>
        <item m="1" x="3595"/>
        <item m="1" x="1950"/>
        <item m="1" x="4412"/>
        <item m="1" x="2788"/>
        <item m="1" x="2882"/>
        <item m="1" x="3994"/>
        <item m="1" x="2350"/>
        <item m="1" x="2814"/>
        <item m="1" x="4117"/>
        <item m="1" x="2504"/>
        <item m="1" x="1850"/>
        <item x="10"/>
        <item m="1" x="2046"/>
        <item m="1" x="1866"/>
        <item m="1" x="2719"/>
        <item m="1" x="3830"/>
        <item m="1" x="2516"/>
        <item m="1" x="4209"/>
        <item m="1" x="1919"/>
        <item m="1" x="2919"/>
        <item m="1" x="1297"/>
        <item m="1" x="3508"/>
        <item m="1" x="1764"/>
        <item m="1" x="1815"/>
        <item m="1" x="1767"/>
        <item m="1" x="2617"/>
        <item m="1" x="3336"/>
        <item m="1" x="1387"/>
        <item m="1" x="3903"/>
        <item m="1" x="3979"/>
        <item m="1" x="3343"/>
        <item m="1" x="3153"/>
        <item m="1" x="3303"/>
        <item m="1" x="3369"/>
        <item m="1" x="1692"/>
        <item m="1" x="1501"/>
        <item m="1" x="4281"/>
        <item m="1" x="3537"/>
        <item m="1" x="3809"/>
        <item m="1" x="2228"/>
        <item m="1" x="3459"/>
        <item m="1" x="3320"/>
        <item m="1" x="3241"/>
        <item m="1" x="3246"/>
        <item m="1" x="3105"/>
        <item m="1" x="3038"/>
        <item m="1" x="4118"/>
        <item m="1" x="2396"/>
        <item m="1" x="3831"/>
        <item m="1" x="1608"/>
        <item m="1" x="1646"/>
        <item m="1" x="2822"/>
        <item m="1" x="2422"/>
        <item m="1" x="4326"/>
        <item m="1" x="1980"/>
        <item m="1" x="2660"/>
        <item m="1" x="2839"/>
        <item m="1" x="1317"/>
        <item m="1" x="2632"/>
        <item m="1" x="4023"/>
        <item m="1" x="4230"/>
        <item m="1" x="4053"/>
        <item m="1" x="3659"/>
        <item m="1" x="1653"/>
        <item m="1" x="3398"/>
        <item m="1" x="1668"/>
        <item m="1" x="1702"/>
        <item m="1" x="2453"/>
        <item m="1" x="2333"/>
        <item m="1" x="4066"/>
        <item m="1" x="1285"/>
        <item m="1" x="3571"/>
        <item m="1" x="2123"/>
        <item m="1" x="3648"/>
        <item m="1" x="4405"/>
        <item m="1" x="3835"/>
        <item m="1" x="2499"/>
        <item m="1" x="2438"/>
        <item m="1" x="2387"/>
        <item m="1" x="3636"/>
        <item m="1" x="3822"/>
        <item m="1" x="2922"/>
        <item m="1" x="4372"/>
        <item m="1" x="3226"/>
        <item m="1" x="2380"/>
        <item m="1" x="1613"/>
        <item m="1" x="3964"/>
        <item m="1" x="2132"/>
        <item m="1" x="2998"/>
        <item m="1" x="1792"/>
        <item m="1" x="1839"/>
        <item m="1" x="3127"/>
        <item m="1" x="3732"/>
        <item m="1" x="2561"/>
        <item m="1" x="2246"/>
        <item m="1" x="3219"/>
        <item m="1" x="1293"/>
        <item m="1" x="3327"/>
        <item m="1" x="2421"/>
        <item m="1" x="1995"/>
        <item m="1" x="3620"/>
        <item m="1" x="4100"/>
        <item m="1" x="4416"/>
        <item m="1" x="1268"/>
        <item m="1" x="2533"/>
        <item m="1" x="3496"/>
        <item m="1" x="1781"/>
        <item m="1" x="3980"/>
        <item m="1" x="2406"/>
        <item m="1" x="3315"/>
        <item m="1" x="2980"/>
        <item m="1" x="2044"/>
        <item m="1" x="2444"/>
        <item x="250"/>
        <item x="251"/>
        <item x="254"/>
        <item x="620"/>
        <item m="1" x="2250"/>
        <item m="1" x="3832"/>
        <item m="1" x="4247"/>
        <item m="1" x="1936"/>
        <item m="1" x="1814"/>
        <item m="1" x="2631"/>
        <item m="1" x="2113"/>
        <item m="1" x="3572"/>
        <item m="1" x="2301"/>
        <item m="1" x="2159"/>
        <item x="831"/>
        <item x="248"/>
        <item m="1" x="3335"/>
        <item m="1" x="1954"/>
        <item m="1" x="1946"/>
        <item x="252"/>
        <item m="1" x="2182"/>
        <item x="259"/>
        <item m="1" x="2705"/>
        <item m="1" x="2529"/>
        <item m="1" x="3670"/>
        <item m="1" x="2906"/>
        <item m="1" x="4265"/>
        <item m="1" x="1705"/>
        <item m="1" x="1282"/>
        <item m="1" x="1670"/>
        <item m="1" x="4104"/>
        <item m="1" x="3507"/>
        <item m="1" x="2886"/>
        <item m="1" x="2048"/>
        <item m="1" x="2933"/>
        <item m="1" x="4370"/>
        <item m="1" x="4071"/>
        <item m="1" x="3516"/>
        <item m="1" x="2327"/>
        <item m="1" x="1451"/>
        <item m="1" x="2651"/>
        <item m="1" x="2341"/>
        <item m="1" x="2562"/>
        <item m="1" x="1459"/>
        <item m="1" x="1426"/>
        <item m="1" x="2498"/>
        <item m="1" x="3627"/>
        <item m="1" x="3921"/>
        <item m="1" x="2376"/>
        <item m="1" x="1965"/>
        <item m="1" x="4413"/>
        <item x="185"/>
        <item m="1" x="2040"/>
        <item m="1" x="1566"/>
        <item x="909"/>
        <item m="1" x="3331"/>
        <item m="1" x="2289"/>
        <item m="1" x="3934"/>
        <item m="1" x="1627"/>
        <item x="1162"/>
        <item m="1" x="3553"/>
        <item m="1" x="2345"/>
        <item x="681"/>
        <item x="746"/>
        <item m="1" x="3658"/>
        <item m="1" x="4368"/>
        <item x="1121"/>
        <item m="1" x="3190"/>
        <item x="465"/>
        <item m="1" x="4105"/>
        <item m="1" x="1768"/>
        <item m="1" x="1884"/>
        <item m="1" x="1342"/>
        <item x="1234"/>
        <item m="1" x="3722"/>
        <item x="1236"/>
        <item m="1" x="2842"/>
        <item m="1" x="3928"/>
        <item m="1" x="4358"/>
        <item m="1" x="4363"/>
        <item m="1" x="3584"/>
        <item m="1" x="1373"/>
        <item m="1" x="3454"/>
        <item m="1" x="3251"/>
        <item m="1" x="1253"/>
        <item x="216"/>
        <item m="1" x="3485"/>
        <item m="1" x="3533"/>
        <item m="1" x="4022"/>
        <item m="1" x="1723"/>
        <item m="1" x="2915"/>
        <item m="1" x="3870"/>
        <item m="1" x="2942"/>
        <item m="1" x="4036"/>
        <item m="1" x="1313"/>
        <item m="1" x="1984"/>
        <item m="1" x="2334"/>
        <item x="1141"/>
        <item m="1" x="3121"/>
        <item x="1137"/>
        <item m="1" x="2840"/>
        <item m="1" x="2754"/>
        <item m="1" x="3272"/>
        <item x="1123"/>
        <item m="1" x="2178"/>
        <item m="1" x="2052"/>
        <item m="1" x="3108"/>
        <item m="1" x="3109"/>
        <item m="1" x="1904"/>
        <item m="1" x="3691"/>
        <item m="1" x="3172"/>
        <item m="1" x="2351"/>
        <item m="1" x="3914"/>
        <item m="1" x="3829"/>
        <item x="1140"/>
        <item m="1" x="2171"/>
        <item x="1142"/>
        <item x="1138"/>
        <item m="1" x="1817"/>
        <item x="438"/>
        <item x="393"/>
        <item m="1" x="2399"/>
        <item m="1" x="3617"/>
        <item m="1" x="3632"/>
        <item m="1" x="4380"/>
        <item m="1" x="1701"/>
        <item m="1" x="2239"/>
        <item m="1" x="4403"/>
        <item m="1" x="4059"/>
        <item m="1" x="4107"/>
        <item m="1" x="4139"/>
        <item m="1" x="4211"/>
        <item m="1" x="2575"/>
        <item m="1" x="4014"/>
        <item m="1" x="2397"/>
        <item m="1" x="1774"/>
        <item m="1" x="1760"/>
        <item m="1" x="3905"/>
        <item m="1" x="2701"/>
        <item m="1" x="1795"/>
        <item m="1" x="4411"/>
        <item m="1" x="2121"/>
        <item m="1" x="4374"/>
        <item m="1" x="1733"/>
        <item m="1" x="1735"/>
        <item m="1" x="1737"/>
        <item m="1" x="3019"/>
        <item m="1" x="1872"/>
        <item m="1" x="2418"/>
        <item m="1" x="4341"/>
        <item m="1" x="1845"/>
        <item m="1" x="4301"/>
        <item m="1" x="2189"/>
        <item m="1" x="1610"/>
        <item x="1139"/>
        <item x="1132"/>
        <item m="1" x="2710"/>
        <item m="1" x="2102"/>
        <item m="1" x="2836"/>
        <item m="1" x="2031"/>
        <item m="1" x="2093"/>
        <item m="1" x="3996"/>
        <item m="1" x="3821"/>
        <item m="1" x="1753"/>
        <item m="1" x="1843"/>
        <item m="1" x="1844"/>
        <item m="1" x="2730"/>
        <item m="1" x="2732"/>
        <item m="1" x="1707"/>
        <item m="1" x="3489"/>
        <item m="1" x="2578"/>
        <item m="1" x="2271"/>
        <item x="1102"/>
        <item m="1" x="1785"/>
        <item m="1" x="1632"/>
        <item m="1" x="2775"/>
        <item m="1" x="2867"/>
        <item m="1" x="2928"/>
        <item m="1" x="3151"/>
        <item m="1" x="2413"/>
        <item m="1" x="1730"/>
        <item m="1" x="1897"/>
        <item m="1" x="3200"/>
        <item m="1" x="4280"/>
        <item m="1" x="2853"/>
        <item m="1" x="1776"/>
        <item m="1" x="3015"/>
        <item m="1" x="3007"/>
        <item m="1" x="3102"/>
        <item m="1" x="1830"/>
        <item m="1" x="2390"/>
        <item m="1" x="2582"/>
        <item m="1" x="2317"/>
        <item m="1" x="4318"/>
        <item m="1" x="3490"/>
        <item m="1" x="3616"/>
        <item x="857"/>
        <item m="1" x="1989"/>
        <item m="1" x="1686"/>
        <item m="1" x="4192"/>
        <item m="1" x="1763"/>
        <item m="1" x="4427"/>
        <item m="1" x="3157"/>
        <item m="1" x="1944"/>
        <item m="1" x="3329"/>
        <item m="1" x="3149"/>
        <item m="1" x="2869"/>
        <item x="390"/>
        <item m="1" x="1532"/>
        <item m="1" x="2743"/>
        <item m="1" x="2862"/>
        <item m="1" x="1269"/>
        <item m="1" x="2134"/>
        <item m="1" x="1533"/>
        <item m="1" x="1316"/>
        <item m="1" x="3857"/>
        <item m="1" x="1470"/>
        <item m="1" x="3744"/>
        <item m="1" x="1299"/>
        <item m="1" x="3052"/>
        <item m="1" x="3817"/>
        <item x="366"/>
        <item m="1" x="3431"/>
        <item x="491"/>
        <item m="1" x="1267"/>
        <item m="1" x="2551"/>
        <item m="1" x="2986"/>
        <item m="1" x="2086"/>
        <item m="1" x="2375"/>
        <item m="1" x="2164"/>
        <item m="1" x="3043"/>
        <item m="1" x="3364"/>
        <item m="1" x="3285"/>
        <item m="1" x="1740"/>
        <item m="1" x="2324"/>
        <item m="1" x="2278"/>
        <item m="1" x="2675"/>
        <item m="1" x="2988"/>
        <item m="1" x="1410"/>
        <item x="396"/>
        <item m="1" x="3261"/>
        <item m="1" x="1787"/>
        <item x="256"/>
        <item m="1" x="2591"/>
        <item x="613"/>
        <item m="1" x="2951"/>
        <item m="1" x="1271"/>
        <item x="364"/>
        <item m="1" x="3074"/>
        <item m="1" x="2663"/>
        <item x="386"/>
        <item x="458"/>
        <item m="1" x="2545"/>
        <item m="1" x="3396"/>
        <item m="1" x="3342"/>
        <item m="1" x="4080"/>
        <item x="484"/>
        <item x="452"/>
        <item m="1" x="2320"/>
        <item m="1" x="2543"/>
        <item m="1" x="3656"/>
        <item m="1" x="3308"/>
        <item m="1" x="2799"/>
        <item m="1" x="2593"/>
        <item m="1" x="2488"/>
        <item m="1" x="2377"/>
        <item x="360"/>
        <item x="903"/>
        <item m="1" x="2207"/>
        <item m="1" x="3497"/>
        <item m="1" x="2439"/>
        <item x="788"/>
        <item m="1" x="3399"/>
        <item x="1083"/>
        <item m="1" x="3023"/>
        <item m="1" x="3997"/>
        <item m="1" x="3373"/>
        <item m="1" x="3328"/>
        <item m="1" x="2674"/>
        <item m="1" x="4285"/>
        <item m="1" x="1590"/>
        <item m="1" x="4129"/>
        <item m="1" x="1389"/>
        <item m="1" x="1565"/>
        <item m="1" x="2596"/>
        <item m="1" x="4272"/>
        <item m="1" x="2993"/>
        <item m="1" x="2994"/>
        <item m="1" x="3187"/>
        <item m="1" x="3317"/>
        <item m="1" x="2894"/>
        <item x="1097"/>
        <item x="1099"/>
        <item x="1098"/>
        <item m="1" x="4261"/>
        <item m="1" x="3131"/>
        <item m="1" x="3687"/>
        <item m="1" x="1665"/>
        <item m="1" x="1758"/>
        <item m="1" x="2666"/>
        <item m="1" x="2342"/>
        <item m="1" x="2628"/>
        <item m="1" x="1368"/>
        <item m="1" x="1726"/>
        <item m="1" x="1340"/>
        <item m="1" x="2638"/>
        <item m="1" x="3263"/>
        <item m="1" x="3988"/>
        <item m="1" x="2989"/>
        <item m="1" x="4206"/>
        <item x="1108"/>
        <item m="1" x="3068"/>
        <item m="1" x="4207"/>
        <item m="1" x="3923"/>
        <item x="145"/>
        <item m="1" x="3045"/>
        <item m="1" x="3587"/>
        <item x="1119"/>
        <item m="1" x="3867"/>
        <item m="1" x="3557"/>
        <item m="1" x="3474"/>
        <item m="1" x="3451"/>
        <item m="1" x="2217"/>
        <item m="1" x="3013"/>
        <item x="1105"/>
        <item m="1" x="2979"/>
        <item m="1" x="2881"/>
        <item m="1" x="3304"/>
        <item x="1106"/>
        <item m="1" x="1894"/>
        <item m="1" x="2517"/>
        <item m="1" x="2605"/>
        <item m="1" x="2107"/>
        <item m="1" x="1593"/>
        <item m="1" x="4217"/>
        <item m="1" x="3498"/>
        <item m="1" x="4250"/>
        <item m="1" x="1687"/>
        <item m="1" x="1602"/>
        <item x="775"/>
        <item m="1" x="3229"/>
        <item x="776"/>
        <item m="1" x="4390"/>
        <item m="1" x="2680"/>
        <item m="1" x="2163"/>
        <item m="1" x="1357"/>
        <item m="1" x="1443"/>
        <item m="1" x="3727"/>
        <item m="1" x="2006"/>
        <item m="1" x="2401"/>
        <item m="1" x="3080"/>
        <item m="1" x="3309"/>
        <item m="1" x="4244"/>
        <item m="1" x="1450"/>
        <item x="779"/>
        <item x="442"/>
        <item m="1" x="1395"/>
        <item x="264"/>
        <item m="1" x="2687"/>
        <item m="1" x="1553"/>
        <item m="1" x="1818"/>
        <item m="1" x="3353"/>
        <item m="1" x="1802"/>
        <item x="1107"/>
        <item m="1" x="2017"/>
        <item m="1" x="3370"/>
        <item m="1" x="2740"/>
        <item m="1" x="3467"/>
        <item m="1" x="1650"/>
        <item m="1" x="2402"/>
        <item m="1" x="3282"/>
        <item m="1" x="3113"/>
        <item m="1" x="2803"/>
        <item m="1" x="1472"/>
        <item m="1" x="3692"/>
        <item m="1" x="1284"/>
        <item m="1" x="1448"/>
        <item m="1" x="3258"/>
        <item m="1" x="3222"/>
        <item m="1" x="1895"/>
        <item x="908"/>
        <item m="1" x="2154"/>
        <item m="1" x="1934"/>
        <item x="1175"/>
        <item m="1" x="1486"/>
        <item m="1" x="2285"/>
        <item m="1" x="2369"/>
        <item m="1" x="2384"/>
        <item m="1" x="1552"/>
        <item m="1" x="1458"/>
        <item m="1" x="3203"/>
        <item m="1" x="4098"/>
        <item m="1" x="3714"/>
        <item m="1" x="3095"/>
        <item m="1" x="1913"/>
        <item m="1" x="2977"/>
        <item m="1" x="2524"/>
        <item m="1" x="1696"/>
        <item m="1" x="3872"/>
        <item m="1" x="2828"/>
        <item m="1" x="2637"/>
        <item m="1" x="3647"/>
        <item m="1" x="2949"/>
        <item m="1" x="2263"/>
        <item m="1" x="3645"/>
        <item m="1" x="1981"/>
        <item m="1" x="3352"/>
        <item m="1" x="3592"/>
        <item m="1" x="1402"/>
        <item x="139"/>
        <item x="140"/>
        <item x="141"/>
        <item m="1" x="2464"/>
        <item m="1" x="4400"/>
        <item m="1" x="2412"/>
        <item m="1" x="2091"/>
        <item m="1" x="2237"/>
        <item m="1" x="1747"/>
        <item m="1" x="3613"/>
        <item m="1" x="1397"/>
        <item m="1" x="2465"/>
        <item m="1" x="2546"/>
        <item x="291"/>
        <item x="290"/>
        <item m="1" x="3211"/>
        <item m="1" x="1363"/>
        <item m="1" x="1408"/>
        <item m="1" x="4142"/>
        <item m="1" x="4201"/>
        <item m="1" x="4343"/>
        <item m="1" x="1611"/>
        <item x="743"/>
        <item m="1" x="1996"/>
        <item m="1" x="1607"/>
        <item m="1" x="3088"/>
        <item m="1" x="1360"/>
        <item m="1" x="3684"/>
        <item m="1" x="3850"/>
        <item m="1" x="1921"/>
        <item m="1" x="3089"/>
        <item m="1" x="3390"/>
        <item x="915"/>
        <item m="1" x="3502"/>
        <item m="1" x="1714"/>
        <item m="1" x="3325"/>
        <item m="1" x="2856"/>
        <item m="1" x="3509"/>
        <item m="1" x="3106"/>
        <item m="1" x="2875"/>
        <item m="1" x="4115"/>
        <item m="1" x="1881"/>
        <item m="1" x="1859"/>
        <item m="1" x="4362"/>
        <item m="1" x="4028"/>
        <item m="1" x="3764"/>
        <item m="1" x="4252"/>
        <item m="1" x="4309"/>
        <item x="817"/>
        <item m="1" x="3713"/>
        <item x="828"/>
        <item x="812"/>
        <item x="864"/>
        <item m="1" x="2640"/>
        <item x="826"/>
        <item x="807"/>
        <item x="830"/>
        <item m="1" x="3063"/>
        <item x="829"/>
        <item m="1" x="3178"/>
        <item m="1" x="3723"/>
        <item m="1" x="4047"/>
        <item m="1" x="3486"/>
        <item m="1" x="2288"/>
        <item m="1" x="1584"/>
        <item x="224"/>
        <item x="741"/>
        <item m="1" x="4119"/>
        <item m="1" x="2563"/>
        <item m="1" x="3689"/>
        <item m="1" x="3808"/>
        <item m="1" x="3268"/>
        <item m="1" x="3885"/>
        <item m="1" x="1302"/>
        <item m="1" x="2364"/>
        <item x="1176"/>
        <item m="1" x="2074"/>
        <item m="1" x="2652"/>
        <item x="924"/>
        <item m="1" x="4310"/>
        <item m="1" x="1322"/>
        <item x="1111"/>
        <item m="1" x="1377"/>
        <item x="1113"/>
        <item x="1109"/>
        <item m="1" x="1901"/>
        <item m="1" x="3750"/>
        <item m="1" x="3039"/>
        <item m="1" x="2500"/>
        <item m="1" x="2834"/>
        <item m="1" x="3954"/>
        <item m="1" x="1951"/>
        <item m="1" x="4359"/>
        <item m="1" x="3465"/>
        <item m="1" x="1502"/>
        <item m="1" x="3929"/>
        <item m="1" x="3631"/>
        <item m="1" x="3866"/>
        <item x="687"/>
        <item m="1" x="3384"/>
        <item m="1" x="2728"/>
        <item m="1" x="2231"/>
        <item m="1" x="1338"/>
        <item m="1" x="1829"/>
        <item m="1" x="2090"/>
        <item m="1" x="2106"/>
        <item x="622"/>
        <item m="1" x="1341"/>
        <item m="1" x="3667"/>
        <item m="1" x="4013"/>
        <item m="1" x="3065"/>
        <item m="1" x="3244"/>
        <item m="1" x="1434"/>
        <item m="1" x="4127"/>
        <item m="1" x="3927"/>
        <item m="1" x="1444"/>
        <item x="331"/>
        <item x="772"/>
        <item x="819"/>
        <item m="1" x="2599"/>
        <item m="1" x="3680"/>
        <item m="1" x="1827"/>
        <item m="1" x="2603"/>
        <item m="1" x="3610"/>
        <item x="605"/>
        <item m="1" x="3545"/>
        <item x="904"/>
        <item m="1" x="4406"/>
        <item m="1" x="1346"/>
        <item m="1" x="2368"/>
        <item m="1" x="3101"/>
        <item m="1" x="3473"/>
        <item m="1" x="3457"/>
        <item m="1" x="1260"/>
        <item m="1" x="3050"/>
        <item m="1" x="1379"/>
        <item m="1" x="3812"/>
        <item m="1" x="4277"/>
        <item m="1" x="3701"/>
        <item m="1" x="1585"/>
        <item m="1" x="3646"/>
        <item m="1" x="3252"/>
        <item m="1" x="2367"/>
        <item m="1" x="3612"/>
        <item m="1" x="4398"/>
        <item m="1" x="2233"/>
        <item m="1" x="2526"/>
        <item x="629"/>
        <item m="1" x="3566"/>
        <item m="1" x="4177"/>
        <item m="1" x="1574"/>
        <item m="1" x="1366"/>
        <item m="1" x="3912"/>
        <item m="1" x="2762"/>
        <item m="1" x="3201"/>
        <item m="1" x="2958"/>
        <item x="312"/>
        <item m="1" x="2823"/>
        <item x="303"/>
        <item m="1" x="2002"/>
        <item m="1" x="1428"/>
        <item x="200"/>
        <item x="803"/>
        <item m="1" x="4052"/>
        <item m="1" x="2083"/>
        <item m="1" x="2982"/>
        <item m="1" x="1332"/>
        <item m="1" x="2457"/>
        <item m="1" x="2580"/>
        <item x="916"/>
        <item m="1" x="3748"/>
        <item m="1" x="4397"/>
        <item x="1013"/>
        <item m="1" x="4101"/>
        <item m="1" x="4431"/>
        <item m="1" x="2519"/>
        <item x="704"/>
        <item m="1" x="3871"/>
        <item x="321"/>
        <item x="322"/>
        <item x="701"/>
        <item m="1" x="3254"/>
        <item m="1" x="2296"/>
        <item m="1" x="2298"/>
        <item m="1" x="2003"/>
        <item x="1009"/>
        <item x="286"/>
        <item x="289"/>
        <item x="288"/>
        <item x="911"/>
        <item m="1" x="3962"/>
        <item m="1" x="2041"/>
        <item x="912"/>
        <item x="800"/>
        <item m="1" x="3046"/>
        <item m="1" x="3936"/>
        <item m="1" x="3881"/>
        <item m="1" x="3300"/>
        <item m="1" x="3623"/>
        <item x="884"/>
        <item m="1" x="2611"/>
        <item x="432"/>
        <item m="1" x="2230"/>
        <item m="1" x="4074"/>
        <item m="1" x="4200"/>
        <item m="1" x="1294"/>
        <item m="1" x="1489"/>
        <item m="1" x="3240"/>
        <item m="1" x="2665"/>
        <item m="1" x="3975"/>
        <item m="1" x="3444"/>
        <item m="1" x="3637"/>
        <item x="164"/>
        <item m="1" x="1697"/>
        <item m="1" x="3057"/>
        <item m="1" x="3134"/>
        <item m="1" x="2226"/>
        <item m="1" x="3279"/>
        <item m="1" x="3359"/>
        <item m="1" x="2847"/>
        <item m="1" x="1534"/>
        <item m="1" x="1386"/>
        <item m="1" x="1406"/>
        <item m="1" x="3804"/>
        <item m="1" x="1854"/>
        <item m="1" x="4089"/>
        <item m="1" x="2026"/>
        <item m="1" x="1417"/>
        <item x="147"/>
        <item m="1" x="4051"/>
        <item m="1" x="4099"/>
        <item x="190"/>
        <item x="242"/>
        <item m="1" x="3403"/>
        <item m="1" x="3941"/>
        <item x="357"/>
        <item x="188"/>
        <item x="189"/>
        <item m="1" x="4194"/>
        <item m="1" x="3699"/>
        <item m="1" x="3886"/>
        <item x="1135"/>
        <item m="1" x="3424"/>
        <item m="1" x="1393"/>
        <item m="1" x="4424"/>
        <item m="1" x="1849"/>
        <item m="1" x="2688"/>
        <item m="1" x="2547"/>
        <item m="1" x="3053"/>
        <item m="1" x="4242"/>
        <item m="1" x="2241"/>
        <item m="1" x="1280"/>
        <item m="1" x="4278"/>
        <item m="1" x="1828"/>
        <item m="1" x="2959"/>
        <item m="1" x="3605"/>
        <item m="1" x="3426"/>
        <item m="1" x="3133"/>
        <item m="1" x="4024"/>
        <item m="1" x="1504"/>
        <item m="1" x="1746"/>
        <item x="887"/>
        <item x="1030"/>
        <item m="1" x="2549"/>
        <item m="1" x="3555"/>
        <item x="163"/>
        <item m="1" x="1588"/>
        <item m="1" x="1456"/>
        <item m="1" x="1569"/>
        <item m="1" x="2220"/>
        <item m="1" x="1446"/>
        <item m="1" x="3310"/>
        <item m="1" x="4267"/>
        <item m="1" x="3295"/>
        <item m="1" x="3250"/>
        <item x="638"/>
        <item m="1" x="3314"/>
        <item m="1" x="3854"/>
        <item m="1" x="4147"/>
        <item m="1" x="3112"/>
        <item m="1" x="2948"/>
        <item m="1" x="2956"/>
        <item m="1" x="3897"/>
        <item m="1" x="2967"/>
        <item m="1" x="3287"/>
        <item m="1" x="3302"/>
        <item m="1" x="1503"/>
        <item m="1" x="2610"/>
        <item m="1" x="2477"/>
        <item m="1" x="1264"/>
        <item m="1" x="3900"/>
        <item m="1" x="2101"/>
        <item m="1" x="1784"/>
        <item m="1" x="2827"/>
        <item m="1" x="3481"/>
        <item m="1" x="3827"/>
        <item m="1" x="3491"/>
        <item m="1" x="3668"/>
        <item x="783"/>
        <item m="1" x="2781"/>
        <item m="1" x="1509"/>
        <item m="1" x="4033"/>
        <item m="1" x="4049"/>
        <item m="1" x="4163"/>
        <item x="411"/>
        <item m="1" x="2557"/>
        <item m="1" x="3749"/>
        <item m="1" x="3762"/>
        <item m="1" x="1461"/>
        <item m="1" x="2645"/>
        <item m="1" x="4026"/>
        <item x="401"/>
        <item m="1" x="1525"/>
        <item m="1" x="3092"/>
        <item m="1" x="4157"/>
        <item m="1" x="4205"/>
        <item m="1" x="2692"/>
        <item m="1" x="3931"/>
        <item m="1" x="3466"/>
        <item m="1" x="2712"/>
        <item m="1" x="2618"/>
        <item m="1" x="2105"/>
        <item m="1" x="1248"/>
        <item m="1" x="3718"/>
        <item m="1" x="1750"/>
        <item m="1" x="3414"/>
        <item m="1" x="3326"/>
        <item m="1" x="1856"/>
        <item m="1" x="3159"/>
        <item m="1" x="3099"/>
        <item m="1" x="3873"/>
        <item x="785"/>
        <item m="1" x="3752"/>
        <item m="1" x="1548"/>
        <item m="1" x="2200"/>
        <item m="1" x="1310"/>
        <item m="1" x="4330"/>
        <item m="1" x="3853"/>
        <item x="306"/>
        <item m="1" x="3640"/>
        <item m="1" x="4154"/>
        <item m="1" x="2362"/>
        <item m="1" x="2683"/>
        <item x="307"/>
        <item m="1" x="3179"/>
        <item m="1" x="3920"/>
        <item m="1" x="3593"/>
        <item m="1" x="3823"/>
        <item m="1" x="1538"/>
        <item m="1" x="4079"/>
        <item m="1" x="1441"/>
        <item m="1" x="4162"/>
        <item m="1" x="3377"/>
        <item m="1" x="2805"/>
        <item m="1" x="3581"/>
        <item m="1" x="3731"/>
        <item m="1" x="3449"/>
        <item m="1" x="1977"/>
        <item m="1" x="2005"/>
        <item x="565"/>
        <item m="1" x="1433"/>
        <item m="1" x="1923"/>
        <item m="1" x="3028"/>
        <item m="1" x="1425"/>
        <item m="1" x="1349"/>
        <item m="1" x="2849"/>
        <item x="695"/>
        <item x="297"/>
        <item m="1" x="4237"/>
        <item x="281"/>
        <item x="280"/>
        <item x="888"/>
        <item x="279"/>
        <item m="1" x="3755"/>
        <item m="1" x="4429"/>
        <item m="1" x="2398"/>
        <item m="1" x="1664"/>
        <item m="1" x="4269"/>
        <item m="1" x="2790"/>
        <item m="1" x="3292"/>
        <item m="1" x="1603"/>
        <item m="1" x="4087"/>
        <item m="1" x="2558"/>
        <item m="1" x="1736"/>
        <item m="1" x="4095"/>
        <item m="1" x="3330"/>
        <item m="1" x="2537"/>
        <item x="439"/>
        <item m="1" x="3874"/>
        <item x="449"/>
        <item m="1" x="2615"/>
        <item m="1" x="2033"/>
        <item m="1" x="4094"/>
        <item x="350"/>
        <item m="1" x="1674"/>
        <item m="1" x="2286"/>
        <item m="1" x="2581"/>
        <item m="1" x="2061"/>
        <item m="1" x="2670"/>
        <item x="258"/>
        <item m="1" x="1744"/>
        <item m="1" x="2858"/>
        <item m="1" x="1380"/>
        <item m="1" x="4410"/>
        <item m="1" x="1891"/>
        <item m="1" x="2954"/>
        <item m="1" x="2686"/>
        <item m="1" x="3779"/>
        <item m="1" x="2096"/>
        <item m="1" x="1709"/>
        <item m="1" x="3167"/>
        <item m="1" x="3296"/>
        <item m="1" x="2600"/>
        <item m="1" x="1437"/>
        <item m="1" x="3865"/>
        <item m="1" x="2794"/>
        <item m="1" x="3784"/>
        <item m="1" x="1636"/>
        <item m="1" x="1640"/>
        <item m="1" x="1465"/>
        <item m="1" x="1597"/>
        <item m="1" x="2304"/>
        <item m="1" x="1624"/>
        <item m="1" x="1371"/>
        <item x="292"/>
        <item m="1" x="2776"/>
        <item m="1" x="2099"/>
        <item m="1" x="3686"/>
        <item x="910"/>
        <item m="1" x="3464"/>
        <item m="1" x="4263"/>
        <item m="1" x="1704"/>
        <item m="1" x="3042"/>
        <item m="1" x="3530"/>
        <item m="1" x="2649"/>
        <item m="1" x="2723"/>
        <item x="311"/>
        <item m="1" x="4175"/>
        <item m="1" x="2268"/>
        <item m="1" x="1418"/>
        <item x="338"/>
        <item m="1" x="3633"/>
        <item m="1" x="3536"/>
        <item m="1" x="1732"/>
        <item m="1" x="2015"/>
        <item m="1" x="2066"/>
        <item m="1" x="2173"/>
        <item m="1" x="4345"/>
        <item m="1" x="1396"/>
        <item m="1" x="4384"/>
        <item m="1" x="3875"/>
        <item m="1" x="2094"/>
        <item m="1" x="3669"/>
        <item m="1" x="2473"/>
        <item m="1" x="1727"/>
        <item x="404"/>
        <item m="1" x="2624"/>
        <item m="1" x="3661"/>
        <item m="1" x="2531"/>
        <item m="1" x="1266"/>
        <item m="1" x="2964"/>
        <item m="1" x="2294"/>
        <item x="415"/>
        <item x="416"/>
        <item m="1" x="2130"/>
        <item m="1" x="1852"/>
        <item m="1" x="4057"/>
        <item m="1" x="2981"/>
        <item x="937"/>
        <item m="1" x="3930"/>
        <item m="1" x="1743"/>
        <item m="1" x="3110"/>
        <item m="1" x="1991"/>
        <item m="1" x="3446"/>
        <item m="1" x="4185"/>
        <item m="1" x="3856"/>
        <item m="1" x="1335"/>
        <item m="1" x="1673"/>
        <item m="1" x="1246"/>
        <item m="1" x="3601"/>
        <item m="1" x="1355"/>
        <item m="1" x="2859"/>
        <item m="1" x="1916"/>
        <item m="1" x="2196"/>
        <item m="1" x="3560"/>
        <item m="1" x="2427"/>
        <item m="1" x="2623"/>
        <item m="1" x="1879"/>
        <item m="1" x="3012"/>
        <item m="1" x="4289"/>
        <item m="1" x="2627"/>
        <item m="1" x="2054"/>
        <item m="1" x="2807"/>
        <item m="1" x="3361"/>
        <item m="1" x="3630"/>
        <item m="1" x="2260"/>
        <item m="1" x="3381"/>
        <item m="1" x="2414"/>
        <item m="1" x="2798"/>
        <item m="1" x="2620"/>
        <item m="1" x="2965"/>
        <item m="1" x="2363"/>
        <item m="1" x="3880"/>
        <item x="650"/>
        <item m="1" x="4016"/>
        <item m="1" x="1675"/>
        <item m="1" x="3753"/>
        <item m="1" x="3385"/>
        <item m="1" x="3776"/>
        <item m="1" x="1716"/>
        <item m="1" x="2925"/>
        <item m="1" x="1940"/>
        <item m="1" x="2021"/>
        <item m="1" x="3249"/>
        <item m="1" x="1599"/>
        <item m="1" x="1684"/>
        <item x="690"/>
        <item m="1" x="3925"/>
        <item x="283"/>
        <item x="688"/>
        <item x="282"/>
        <item x="813"/>
        <item m="1" x="2295"/>
        <item m="1" x="1375"/>
        <item m="1" x="4134"/>
        <item m="1" x="1622"/>
        <item m="1" x="1902"/>
        <item m="1" x="1625"/>
        <item m="1" x="1628"/>
        <item m="1" x="1907"/>
        <item m="1" x="3602"/>
        <item m="1" x="3621"/>
        <item m="1" x="3926"/>
        <item m="1" x="3859"/>
        <item m="1" x="3122"/>
        <item m="1" x="3743"/>
        <item m="1" x="2388"/>
        <item m="1" x="1245"/>
        <item m="1" x="2845"/>
        <item m="1" x="3188"/>
        <item m="1" x="1805"/>
        <item x="169"/>
        <item m="1" x="3800"/>
        <item m="1" x="3165"/>
        <item m="1" x="1953"/>
        <item m="1" x="3382"/>
        <item x="376"/>
        <item x="377"/>
        <item x="379"/>
        <item m="1" x="2703"/>
        <item m="1" x="2116"/>
        <item x="399"/>
        <item x="400"/>
        <item m="1" x="3069"/>
        <item m="1" x="3547"/>
        <item m="1" x="3851"/>
        <item m="1" x="3706"/>
        <item m="1" x="2160"/>
        <item m="1" x="4067"/>
        <item x="757"/>
        <item m="1" x="4124"/>
        <item m="1" x="2306"/>
        <item m="1" x="3017"/>
        <item m="1" x="2256"/>
        <item m="1" x="3987"/>
        <item m="1" x="2209"/>
        <item m="1" x="3597"/>
        <item m="1" x="3117"/>
        <item m="1" x="3807"/>
        <item m="1" x="1345"/>
        <item m="1" x="2255"/>
        <item m="1" x="1824"/>
        <item m="1" x="2838"/>
        <item m="1" x="2696"/>
        <item m="1" x="4409"/>
        <item m="1" x="2681"/>
        <item m="1" x="3022"/>
        <item m="1" x="2974"/>
        <item m="1" x="3960"/>
        <item m="1" x="3198"/>
        <item x="304"/>
        <item m="1" x="3056"/>
        <item x="414"/>
        <item m="1" x="4336"/>
        <item m="1" x="3161"/>
        <item m="1" x="2262"/>
        <item m="1" x="2877"/>
        <item m="1" x="3221"/>
        <item m="1" x="2821"/>
        <item m="1" x="4170"/>
        <item m="1" x="2953"/>
        <item m="1" x="2642"/>
        <item m="1" x="4369"/>
        <item m="1" x="2494"/>
        <item m="1" x="2716"/>
        <item x="608"/>
        <item m="1" x="2131"/>
        <item m="1" x="2404"/>
        <item m="1" x="2820"/>
        <item m="1" x="1528"/>
        <item m="1" x="3607"/>
        <item m="1" x="3586"/>
        <item m="1" x="2574"/>
        <item m="1" x="2449"/>
        <item m="1" x="1492"/>
        <item m="1" x="2700"/>
        <item m="1" x="3487"/>
        <item m="1" x="2373"/>
        <item m="1" x="3622"/>
        <item m="1" x="2092"/>
        <item m="1" x="2266"/>
        <item m="1" x="1359"/>
        <item m="1" x="2352"/>
        <item m="1" x="1914"/>
        <item m="1" x="3389"/>
        <item m="1" x="2175"/>
        <item m="1" x="4324"/>
        <item m="1" x="2952"/>
        <item m="1" x="3214"/>
        <item m="1" x="2677"/>
        <item m="1" x="2584"/>
        <item m="1" x="1694"/>
        <item m="1" x="4122"/>
        <item x="1055"/>
        <item m="1" x="2077"/>
        <item m="1" x="1361"/>
        <item m="1" x="3448"/>
        <item m="1" x="1343"/>
        <item m="1" x="1438"/>
        <item m="1" x="3570"/>
        <item m="1" x="3943"/>
        <item m="1" x="3893"/>
        <item m="1" x="2055"/>
        <item m="1" x="4344"/>
        <item m="1" x="1251"/>
        <item m="1" x="2148"/>
        <item m="1" x="2987"/>
        <item m="1" x="2536"/>
        <item m="1" x="4031"/>
        <item m="1" x="3236"/>
        <item m="1" x="2707"/>
        <item m="1" x="3644"/>
        <item m="1" x="1435"/>
        <item m="1" x="1344"/>
        <item m="1" x="2146"/>
        <item m="1" x="4225"/>
        <item m="1" x="2264"/>
        <item m="1" x="1261"/>
        <item m="1" x="4298"/>
        <item m="1" x="3281"/>
        <item m="1" x="1717"/>
        <item m="1" x="3416"/>
        <item m="1" x="2752"/>
        <item m="1" x="3767"/>
        <item m="1" x="3175"/>
        <item m="1" x="3679"/>
        <item m="1" x="4354"/>
        <item m="1" x="2515"/>
        <item m="1" x="4259"/>
        <item m="1" x="1906"/>
        <item m="1" x="2395"/>
        <item m="1" x="3889"/>
        <item m="1" x="3798"/>
        <item m="1" x="3782"/>
        <item m="1" x="2080"/>
        <item m="1" x="1770"/>
        <item m="1" x="3423"/>
        <item m="1" x="4329"/>
        <item m="1" x="2532"/>
        <item m="1" x="2037"/>
        <item m="1" x="1838"/>
        <item m="1" x="4255"/>
        <item m="1" x="1535"/>
        <item x="713"/>
        <item m="1" x="4333"/>
        <item m="1" x="1580"/>
        <item x="202"/>
        <item m="1" x="3070"/>
        <item x="209"/>
        <item m="1" x="3858"/>
        <item x="792"/>
        <item m="1" x="1949"/>
        <item x="1084"/>
        <item x="1085"/>
        <item m="1" x="2349"/>
        <item m="1" x="3299"/>
        <item m="1" x="3306"/>
        <item m="1" x="3177"/>
        <item m="1" x="1579"/>
        <item m="1" x="2811"/>
        <item m="1" x="1689"/>
        <item m="1" x="1454"/>
        <item m="1" x="1947"/>
        <item m="1" x="2361"/>
        <item x="351"/>
        <item x="384"/>
        <item m="1" x="2904"/>
        <item x="149"/>
        <item m="1" x="3402"/>
        <item m="1" x="4216"/>
        <item m="1" x="3523"/>
        <item m="1" x="2276"/>
        <item m="1" x="2901"/>
        <item x="576"/>
        <item x="619"/>
        <item x="632"/>
        <item m="1" x="2042"/>
        <item m="1" x="1681"/>
        <item m="1" x="2914"/>
        <item m="1" x="3816"/>
        <item m="1" x="2765"/>
        <item m="1" x="2206"/>
        <item m="1" x="4062"/>
        <item x="895"/>
        <item m="1" x="2878"/>
        <item m="1" x="3839"/>
        <item m="1" x="1620"/>
        <item m="1" x="3224"/>
        <item m="1" x="3301"/>
        <item m="1" x="2047"/>
        <item m="1" x="4015"/>
        <item m="1" x="3288"/>
        <item m="1" x="3354"/>
        <item m="1" x="3716"/>
        <item m="1" x="1350"/>
        <item m="1" x="4236"/>
        <item m="1" x="1378"/>
        <item m="1" x="4234"/>
        <item m="1" x="3756"/>
        <item m="1" x="2940"/>
        <item m="1" x="3107"/>
        <item m="1" x="3429"/>
        <item m="1" x="2587"/>
        <item m="1" x="2119"/>
        <item m="1" x="3887"/>
        <item m="1" x="3120"/>
        <item x="231"/>
        <item m="1" x="4313"/>
        <item m="1" x="2282"/>
        <item m="1" x="3265"/>
        <item m="1" x="1754"/>
        <item m="1" x="1609"/>
        <item m="1" x="2530"/>
        <item m="1" x="4082"/>
        <item m="1" x="3417"/>
        <item m="1" x="3407"/>
        <item m="1" x="1420"/>
        <item x="418"/>
        <item x="228"/>
        <item m="1" x="1263"/>
        <item m="1" x="3480"/>
        <item m="1" x="2662"/>
        <item m="1" x="3146"/>
        <item x="581"/>
        <item x="675"/>
        <item x="763"/>
        <item x="865"/>
        <item m="1" x="2109"/>
        <item m="1" x="1823"/>
        <item x="902"/>
        <item m="1" x="3223"/>
        <item m="1" x="4241"/>
        <item m="1" x="1422"/>
        <item x="381"/>
        <item m="1" x="4012"/>
        <item m="1" x="3067"/>
        <item m="1" x="1529"/>
        <item x="1235"/>
        <item x="1237"/>
        <item x="901"/>
        <item m="1" x="2625"/>
        <item x="454"/>
        <item x="489"/>
        <item m="1" x="2051"/>
        <item m="1" x="2621"/>
        <item m="1" x="2224"/>
        <item m="1" x="4061"/>
        <item m="1" x="2927"/>
        <item m="1" x="3703"/>
        <item m="1" x="1257"/>
        <item m="1" x="3629"/>
        <item m="1" x="3395"/>
        <item m="1" x="3227"/>
        <item m="1" x="4167"/>
        <item m="1" x="2192"/>
        <item m="1" x="4144"/>
        <item x="825"/>
        <item x="930"/>
        <item m="1" x="2874"/>
        <item m="1" x="2560"/>
        <item m="1" x="4072"/>
        <item m="1" x="4114"/>
        <item m="1" x="3664"/>
        <item m="1" x="3286"/>
        <item m="1" x="2725"/>
        <item m="1" x="1870"/>
        <item m="1" x="1719"/>
        <item x="372"/>
        <item x="373"/>
        <item m="1" x="4288"/>
        <item m="1" x="1453"/>
        <item m="1" x="3904"/>
        <item x="392"/>
        <item x="394"/>
        <item m="1" x="2419"/>
        <item m="1" x="2283"/>
        <item x="475"/>
        <item x="477"/>
        <item x="479"/>
        <item x="480"/>
        <item m="1" x="2518"/>
        <item m="1" x="3488"/>
        <item x="512"/>
        <item m="1" x="2968"/>
        <item m="1" x="2496"/>
        <item m="1" x="3583"/>
        <item m="1" x="3064"/>
        <item m="1" x="2346"/>
        <item m="1" x="3778"/>
        <item m="1" x="3349"/>
        <item x="388"/>
        <item m="1" x="1718"/>
        <item m="1" x="1759"/>
        <item m="1" x="1832"/>
        <item m="1" x="2242"/>
        <item m="1" x="3861"/>
        <item m="1" x="2818"/>
        <item m="1" x="3456"/>
        <item m="1" x="2792"/>
        <item m="1" x="4035"/>
        <item m="1" x="3598"/>
        <item m="1" x="3735"/>
        <item m="1" x="3993"/>
        <item m="1" x="3978"/>
        <item m="1" x="2415"/>
        <item m="1" x="2880"/>
        <item m="1" x="3111"/>
        <item m="1" x="1982"/>
        <item m="1" x="3747"/>
        <item m="1" x="2032"/>
        <item m="1" x="2900"/>
        <item m="1" x="1362"/>
        <item m="1" x="3086"/>
        <item m="1" x="4158"/>
        <item m="1" x="2888"/>
        <item m="1" x="1765"/>
        <item m="1" x="2108"/>
        <item m="1" x="2191"/>
        <item m="1" x="4123"/>
        <item m="1" x="3721"/>
        <item m="1" x="3040"/>
        <item m="1" x="2166"/>
        <item m="1" x="4069"/>
        <item m="1" x="3048"/>
        <item m="1" x="1473"/>
        <item m="1" x="2186"/>
        <item m="1" x="3611"/>
        <item m="1" x="3562"/>
        <item m="1" x="1583"/>
        <item x="409"/>
        <item x="597"/>
        <item m="1" x="1938"/>
        <item x="444"/>
        <item x="448"/>
        <item m="1" x="3388"/>
        <item m="1" x="1775"/>
        <item m="1" x="2307"/>
        <item m="1" x="2114"/>
        <item m="1" x="1867"/>
        <item m="1" x="2012"/>
        <item m="1" x="1445"/>
        <item m="1" x="1846"/>
        <item m="1" x="4132"/>
        <item m="1" x="4383"/>
        <item m="1" x="3266"/>
        <item m="1" x="4222"/>
        <item m="1" x="2478"/>
        <item m="1" x="2871"/>
        <item m="1" x="1637"/>
        <item m="1" x="3394"/>
        <item m="1" x="4312"/>
        <item m="1" x="1562"/>
        <item x="441"/>
        <item x="447"/>
        <item m="1" x="4417"/>
        <item m="1" x="1691"/>
        <item x="275"/>
        <item m="1" x="4113"/>
        <item m="1" x="3307"/>
        <item m="1" x="1567"/>
        <item m="1" x="2826"/>
        <item m="1" x="3438"/>
        <item m="1" x="3243"/>
        <item m="1" x="1966"/>
        <item m="1" x="1308"/>
        <item m="1" x="3909"/>
        <item m="1" x="2636"/>
        <item x="152"/>
        <item m="1" x="4106"/>
        <item m="1" x="2619"/>
        <item m="1" x="2485"/>
        <item m="1" x="2319"/>
        <item m="1" x="2698"/>
        <item m="1" x="1514"/>
        <item m="1" x="3073"/>
        <item m="1" x="2383"/>
        <item m="1" x="2127"/>
        <item m="1" x="3044"/>
        <item m="1" x="1695"/>
        <item m="1" x="3968"/>
        <item m="1" x="2236"/>
        <item x="263"/>
        <item x="269"/>
        <item x="325"/>
        <item m="1" x="3588"/>
        <item x="473"/>
        <item m="1" x="2512"/>
        <item m="1" x="3845"/>
        <item m="1" x="2057"/>
        <item m="1" x="3345"/>
        <item x="268"/>
        <item x="821"/>
        <item m="1" x="1510"/>
        <item m="1" x="1728"/>
        <item m="1" x="1436"/>
        <item m="1" x="1957"/>
        <item m="1" x="4056"/>
        <item m="1" x="1755"/>
        <item m="1" x="3452"/>
        <item m="1" x="4131"/>
        <item m="1" x="1887"/>
        <item m="1" x="2452"/>
        <item m="1" x="2358"/>
        <item m="1" x="2022"/>
        <item m="1" x="3400"/>
        <item m="1" x="3026"/>
        <item m="1" x="4391"/>
        <item m="1" x="3673"/>
        <item m="1" x="1752"/>
        <item m="1" x="1336"/>
        <item m="1" x="1945"/>
        <item m="1" x="3115"/>
        <item m="1" x="3696"/>
        <item m="1" x="2001"/>
        <item m="1" x="1725"/>
        <item m="1" x="2898"/>
        <item m="1" x="1258"/>
        <item m="1" x="3358"/>
        <item m="1" x="4386"/>
        <item m="1" x="1605"/>
        <item m="1" x="3949"/>
        <item m="1" x="3769"/>
        <item x="327"/>
        <item x="328"/>
        <item x="329"/>
        <item m="1" x="2722"/>
        <item m="1" x="1526"/>
        <item m="1" x="2354"/>
        <item m="1" x="3513"/>
        <item m="1" x="2857"/>
        <item m="1" x="1330"/>
        <item m="1" x="3083"/>
        <item m="1" x="1596"/>
        <item m="1" x="1939"/>
        <item x="433"/>
        <item m="1" x="3666"/>
        <item m="1" x="2030"/>
        <item m="1" x="1463"/>
        <item m="1" x="3974"/>
        <item x="165"/>
        <item x="1125"/>
        <item m="1" x="1831"/>
        <item m="1" x="3170"/>
        <item m="1" x="2252"/>
        <item m="1" x="3193"/>
        <item x="445"/>
        <item m="1" x="2139"/>
        <item x="717"/>
        <item m="1" x="2795"/>
        <item m="1" x="3608"/>
        <item x="782"/>
        <item m="1" x="1385"/>
        <item m="1" x="4152"/>
        <item m="1" x="3234"/>
        <item m="1" x="3002"/>
        <item m="1" x="3311"/>
        <item m="1" x="2774"/>
        <item m="1" x="1320"/>
        <item m="1" x="2709"/>
        <item m="1" x="4007"/>
        <item m="1" x="3103"/>
        <item m="1" x="3257"/>
        <item m="1" x="2223"/>
        <item m="1" x="3366"/>
        <item m="1" x="1706"/>
        <item x="514"/>
        <item m="1" x="3091"/>
        <item x="842"/>
        <item m="1" x="2746"/>
        <item x="852"/>
        <item x="905"/>
        <item m="1" x="2682"/>
        <item m="1" x="1762"/>
        <item m="1" x="2391"/>
        <item m="1" x="2323"/>
        <item m="1" x="3883"/>
        <item x="299"/>
        <item m="1" x="1401"/>
        <item m="1" x="2872"/>
        <item m="1" x="3162"/>
        <item x="780"/>
        <item m="1" x="1738"/>
        <item x="991"/>
        <item m="1" x="3071"/>
        <item m="1" x="2639"/>
        <item x="472"/>
        <item m="1" x="4048"/>
        <item m="1" x="4303"/>
        <item m="1" x="2726"/>
        <item x="897"/>
        <item m="1" x="1958"/>
        <item m="1" x="4233"/>
        <item m="1" x="4146"/>
        <item m="1" x="3365"/>
        <item x="471"/>
        <item m="1" x="4346"/>
        <item m="1" x="1708"/>
        <item m="1" x="3955"/>
        <item m="1" x="2335"/>
        <item m="1" x="3186"/>
        <item m="1" x="1915"/>
        <item m="1" x="2963"/>
        <item x="192"/>
        <item m="1" x="3694"/>
        <item x="363"/>
        <item x="410"/>
        <item x="419"/>
        <item m="1" x="1286"/>
        <item x="577"/>
        <item x="636"/>
        <item m="1" x="4145"/>
        <item m="1" x="3404"/>
        <item m="1" x="3761"/>
        <item m="1" x="1449"/>
        <item m="1" x="2028"/>
        <item m="1" x="2966"/>
        <item m="1" x="2045"/>
        <item x="868"/>
        <item m="1" x="3653"/>
        <item m="1" x="2136"/>
        <item m="1" x="3321"/>
        <item m="1" x="3966"/>
        <item m="1" x="2769"/>
        <item x="587"/>
        <item x="154"/>
        <item x="578"/>
        <item m="1" x="3434"/>
        <item m="1" x="2778"/>
        <item m="1" x="2348"/>
        <item m="1" x="3685"/>
        <item m="1" x="2156"/>
        <item m="1" x="2486"/>
        <item x="781"/>
        <item x="886"/>
        <item x="453"/>
        <item m="1" x="1971"/>
        <item m="1" x="2204"/>
        <item m="1" x="1877"/>
        <item x="760"/>
        <item m="1" x="4251"/>
        <item m="1" x="4003"/>
        <item m="1" x="3472"/>
        <item m="1" x="1300"/>
        <item m="1" x="3031"/>
        <item x="502"/>
        <item m="1" x="4020"/>
        <item m="1" x="3293"/>
        <item x="166"/>
        <item x="223"/>
        <item x="226"/>
        <item x="870"/>
        <item m="1" x="2559"/>
        <item m="1" x="1963"/>
        <item x="1209"/>
        <item m="1" x="2010"/>
        <item m="1" x="1570"/>
        <item x="723"/>
        <item m="1" x="1469"/>
        <item x="9"/>
        <item m="1" x="4041"/>
        <item m="1" x="2923"/>
        <item m="1" x="2466"/>
        <item m="1" x="3391"/>
        <item m="1" x="4350"/>
        <item m="1" x="3378"/>
        <item x="156"/>
        <item m="1" x="3561"/>
        <item m="1" x="1586"/>
        <item m="1" x="1541"/>
        <item m="1" x="2747"/>
        <item m="1" x="3458"/>
        <item x="1170"/>
        <item m="1" x="2248"/>
        <item m="1" x="2916"/>
        <item m="1" x="2825"/>
        <item m="1" x="1577"/>
        <item m="1" x="2214"/>
        <item m="1" x="1287"/>
        <item m="1" x="3712"/>
        <item m="1" x="2410"/>
        <item x="284"/>
        <item m="1" x="1311"/>
        <item x="462"/>
        <item x="463"/>
        <item x="464"/>
        <item m="1" x="1318"/>
        <item m="1" x="2644"/>
        <item m="1" x="2844"/>
        <item m="1" x="3024"/>
        <item m="1" x="2753"/>
        <item m="1" x="2935"/>
        <item x="518"/>
        <item m="1" x="2946"/>
        <item m="1" x="2565"/>
        <item m="1" x="3969"/>
        <item m="1" x="3619"/>
        <item m="1" x="2626"/>
        <item m="1" x="3225"/>
        <item m="1" x="2717"/>
        <item m="1" x="4208"/>
        <item m="1" x="1429"/>
        <item m="1" x="3413"/>
        <item m="1" x="3781"/>
        <item m="1" x="1324"/>
        <item m="1" x="2433"/>
        <item m="1" x="3760"/>
        <item x="1174"/>
        <item m="1" x="2996"/>
        <item m="1" x="2381"/>
        <item m="1" x="2124"/>
        <item m="1" x="1351"/>
        <item m="1" x="3000"/>
        <item m="1" x="1882"/>
        <item m="1" x="1296"/>
        <item m="1" x="4245"/>
        <item m="1" x="2315"/>
        <item m="1" x="2155"/>
        <item m="1" x="3298"/>
        <item m="1" x="2111"/>
        <item m="1" x="2221"/>
        <item m="1" x="3695"/>
        <item m="1" x="4025"/>
        <item m="1" x="1399"/>
        <item m="1" x="2896"/>
        <item x="395"/>
        <item m="1" x="1513"/>
        <item m="1" x="1274"/>
        <item m="1" x="4292"/>
        <item m="1" x="1853"/>
        <item m="1" x="3937"/>
        <item m="1" x="2311"/>
        <item m="1" x="1961"/>
        <item m="1" x="2673"/>
        <item m="1" x="2883"/>
        <item m="1" x="2165"/>
        <item m="1" x="1900"/>
        <item m="1" x="3347"/>
        <item m="1" x="3425"/>
        <item m="1" x="4161"/>
        <item m="1" x="2634"/>
        <item x="906"/>
        <item m="1" x="4399"/>
        <item m="1" x="2797"/>
        <item m="1" x="4290"/>
        <item x="1133"/>
        <item m="1" x="1657"/>
        <item m="1" x="3938"/>
        <item m="1" x="1439"/>
        <item m="1" x="1370"/>
        <item m="1" x="2167"/>
        <item m="1" x="4258"/>
        <item x="157"/>
        <item x="174"/>
        <item x="175"/>
        <item x="176"/>
        <item x="177"/>
        <item x="178"/>
        <item x="180"/>
        <item x="181"/>
        <item x="182"/>
        <item x="199"/>
        <item x="203"/>
        <item x="204"/>
        <item m="1" x="1623"/>
        <item x="212"/>
        <item x="214"/>
        <item x="215"/>
        <item x="218"/>
        <item x="220"/>
        <item x="221"/>
        <item x="222"/>
        <item m="1" x="1549"/>
        <item x="227"/>
        <item x="229"/>
        <item x="232"/>
        <item m="1" x="1315"/>
        <item x="244"/>
        <item x="253"/>
        <item m="1" x="3641"/>
        <item m="1" x="1447"/>
        <item m="1" x="2470"/>
        <item m="1" x="2590"/>
        <item x="296"/>
        <item m="1" x="4224"/>
        <item x="308"/>
        <item x="309"/>
        <item x="314"/>
        <item m="1" x="3228"/>
        <item x="317"/>
        <item m="1" x="3983"/>
        <item x="320"/>
        <item m="1" x="4064"/>
        <item x="346"/>
        <item x="347"/>
        <item x="348"/>
        <item m="1" x="3855"/>
        <item x="355"/>
        <item x="358"/>
        <item m="1" x="3432"/>
        <item x="371"/>
        <item m="1" x="1600"/>
        <item m="1" x="2763"/>
        <item x="1165"/>
        <item x="387"/>
        <item x="391"/>
        <item m="1" x="1325"/>
        <item x="397"/>
        <item x="402"/>
        <item x="408"/>
        <item m="1" x="2463"/>
        <item x="427"/>
        <item x="434"/>
        <item m="1" x="2957"/>
        <item m="1" x="2783"/>
        <item x="457"/>
        <item x="468"/>
        <item x="469"/>
        <item x="470"/>
        <item x="481"/>
        <item x="482"/>
        <item m="1" x="3202"/>
        <item x="485"/>
        <item x="1168"/>
        <item x="486"/>
        <item x="488"/>
        <item x="493"/>
        <item m="1" x="2583"/>
        <item x="501"/>
        <item x="503"/>
        <item x="506"/>
        <item x="510"/>
        <item m="1" x="3852"/>
        <item x="516"/>
        <item m="1" x="3550"/>
        <item x="519"/>
        <item m="1" x="2824"/>
        <item m="1" x="1992"/>
        <item m="1" x="1638"/>
        <item x="523"/>
        <item x="525"/>
        <item x="526"/>
        <item m="1" x="1404"/>
        <item x="533"/>
        <item x="537"/>
        <item m="1" x="3271"/>
        <item m="1" x="3518"/>
        <item m="1" x="3542"/>
        <item x="542"/>
        <item x="543"/>
        <item x="544"/>
        <item x="545"/>
        <item x="549"/>
        <item x="551"/>
        <item x="553"/>
        <item x="559"/>
        <item x="560"/>
        <item x="562"/>
        <item x="563"/>
        <item x="564"/>
        <item m="1" x="2056"/>
        <item x="580"/>
        <item x="582"/>
        <item x="583"/>
        <item x="586"/>
        <item x="590"/>
        <item m="1" x="1273"/>
        <item m="1" x="4046"/>
        <item x="596"/>
        <item x="598"/>
        <item x="600"/>
        <item x="601"/>
        <item x="604"/>
        <item x="610"/>
        <item x="611"/>
        <item m="1" x="3119"/>
        <item x="615"/>
        <item x="618"/>
        <item x="623"/>
        <item m="1" x="3958"/>
        <item x="625"/>
        <item x="628"/>
        <item m="1" x="3884"/>
        <item x="633"/>
        <item x="635"/>
        <item m="1" x="4307"/>
        <item m="1" x="3741"/>
        <item m="1" x="2833"/>
        <item m="1" x="2087"/>
        <item x="646"/>
        <item x="648"/>
        <item x="651"/>
        <item m="1" x="2135"/>
        <item x="658"/>
        <item x="659"/>
        <item x="666"/>
        <item m="1" x="2142"/>
        <item x="672"/>
        <item m="1" x="2302"/>
        <item x="673"/>
        <item x="676"/>
        <item m="1" x="3828"/>
        <item m="1" x="2784"/>
        <item x="682"/>
        <item x="685"/>
        <item m="1" x="1531"/>
        <item x="686"/>
        <item x="689"/>
        <item m="1" x="3724"/>
        <item m="1" x="2947"/>
        <item x="694"/>
        <item x="700"/>
        <item x="706"/>
        <item x="708"/>
        <item x="709"/>
        <item x="710"/>
        <item x="711"/>
        <item x="719"/>
        <item x="722"/>
        <item m="1" x="1295"/>
        <item m="1" x="3212"/>
        <item m="1" x="3144"/>
        <item m="1" x="1356"/>
        <item x="736"/>
        <item m="1" x="3470"/>
        <item x="744"/>
        <item m="1" x="2941"/>
        <item x="750"/>
        <item x="751"/>
        <item x="752"/>
        <item x="753"/>
        <item x="756"/>
        <item x="758"/>
        <item x="759"/>
        <item x="762"/>
        <item m="1" x="1698"/>
        <item m="1" x="2521"/>
        <item x="766"/>
        <item x="767"/>
        <item x="768"/>
        <item x="770"/>
        <item m="1" x="1974"/>
        <item x="771"/>
        <item m="1" x="1669"/>
        <item x="774"/>
        <item m="1" x="2978"/>
        <item x="777"/>
        <item x="787"/>
        <item x="791"/>
        <item x="795"/>
        <item x="796"/>
        <item m="1" x="3734"/>
        <item x="797"/>
        <item m="1" x="1388"/>
        <item m="1" x="1329"/>
        <item x="809"/>
        <item m="1" x="2216"/>
        <item x="822"/>
        <item x="837"/>
        <item x="838"/>
        <item x="841"/>
        <item x="843"/>
        <item m="1" x="3348"/>
        <item x="844"/>
        <item m="1" x="1862"/>
        <item m="1" x="1672"/>
        <item x="853"/>
        <item m="1" x="3862"/>
        <item x="855"/>
        <item x="856"/>
        <item x="858"/>
        <item m="1" x="2448"/>
        <item m="1" x="2508"/>
        <item x="861"/>
        <item x="862"/>
        <item x="863"/>
        <item m="1" x="3957"/>
        <item x="866"/>
        <item x="867"/>
        <item m="1" x="1873"/>
        <item x="869"/>
        <item x="871"/>
        <item m="1" x="4395"/>
        <item m="1" x="1578"/>
        <item x="883"/>
        <item x="885"/>
        <item x="892"/>
        <item x="894"/>
        <item x="898"/>
        <item x="918"/>
        <item x="919"/>
        <item x="931"/>
        <item x="936"/>
        <item m="1" x="2232"/>
        <item m="1" x="3917"/>
        <item x="945"/>
        <item x="946"/>
        <item x="947"/>
        <item x="948"/>
        <item x="949"/>
        <item x="955"/>
        <item x="956"/>
        <item x="958"/>
        <item x="964"/>
        <item x="966"/>
        <item x="971"/>
        <item x="972"/>
        <item x="973"/>
        <item x="975"/>
        <item x="976"/>
        <item x="977"/>
        <item m="1" x="1722"/>
        <item x="982"/>
        <item x="983"/>
        <item x="984"/>
        <item x="985"/>
        <item x="986"/>
        <item x="987"/>
        <item m="1" x="3405"/>
        <item x="997"/>
        <item x="1000"/>
        <item x="1001"/>
        <item m="1" x="4044"/>
        <item x="1004"/>
        <item m="1" x="3786"/>
        <item x="1016"/>
        <item x="1017"/>
        <item x="1018"/>
        <item x="1019"/>
        <item m="1" x="1485"/>
        <item x="1024"/>
        <item x="1025"/>
        <item x="1026"/>
        <item x="1027"/>
        <item x="1028"/>
        <item x="1029"/>
        <item x="1032"/>
        <item x="1033"/>
        <item x="1038"/>
        <item x="1039"/>
        <item x="1040"/>
        <item x="1041"/>
        <item x="1042"/>
        <item x="1045"/>
        <item x="1048"/>
        <item x="1053"/>
        <item m="1" x="4428"/>
        <item x="1054"/>
        <item x="1056"/>
        <item x="1058"/>
        <item x="1059"/>
        <item x="1060"/>
        <item m="1" x="4365"/>
        <item m="1" x="3693"/>
        <item x="1118"/>
        <item m="1" x="3819"/>
        <item m="1" x="2273"/>
        <item m="1" x="2598"/>
        <item m="1" x="2766"/>
        <item m="1" x="2960"/>
        <item m="1" x="3006"/>
        <item m="1" x="2514"/>
        <item m="1" x="2779"/>
        <item m="1" x="1411"/>
        <item m="1" x="2425"/>
        <item m="1" x="1799"/>
        <item m="1" x="2431"/>
        <item m="1" x="3879"/>
        <item m="1" x="4188"/>
        <item m="1" x="4371"/>
        <item m="1" x="1794"/>
        <item m="1" x="1662"/>
        <item m="1" x="2337"/>
        <item m="1" x="1631"/>
        <item m="1" x="2868"/>
        <item m="1" x="2234"/>
        <item x="1122"/>
        <item m="1" x="4068"/>
        <item m="1" x="1500"/>
        <item m="1" x="1955"/>
        <item m="1" x="4238"/>
        <item m="1" x="1749"/>
        <item m="1" x="2588"/>
        <item m="1" x="3709"/>
        <item m="1" x="4421"/>
        <item m="1" x="1833"/>
        <item m="1" x="4276"/>
        <item m="1" x="2308"/>
        <item m="1" x="3218"/>
        <item m="1" x="4393"/>
        <item m="1" x="3799"/>
        <item m="1" x="1298"/>
        <item m="1" x="4210"/>
        <item m="1" x="4349"/>
        <item m="1" x="2678"/>
        <item x="1233"/>
        <item m="1" x="1693"/>
        <item m="1" x="4353"/>
        <item m="1" x="1398"/>
        <item m="1" x="1353"/>
        <item x="1126"/>
        <item m="1" x="4112"/>
        <item m="1" x="1857"/>
        <item m="1" x="3435"/>
        <item m="1" x="4342"/>
        <item m="1" x="1960"/>
        <item m="1" x="2321"/>
        <item m="1" x="1826"/>
        <item m="1" x="4153"/>
        <item x="2"/>
        <item x="3"/>
        <item m="1" x="3609"/>
        <item m="1" x="2279"/>
        <item m="1" x="3961"/>
        <item m="1" x="2073"/>
        <item m="1" x="1542"/>
        <item m="1" x="2715"/>
        <item m="1" x="2567"/>
        <item m="1" x="1507"/>
        <item m="1" x="1392"/>
        <item m="1" x="3492"/>
        <item m="1" x="3192"/>
        <item m="1" x="3355"/>
        <item m="1" x="2864"/>
        <item m="1" x="3189"/>
        <item m="1" x="3123"/>
        <item x="1218"/>
        <item m="1" x="4256"/>
        <item m="1" x="2347"/>
        <item m="1" x="4419"/>
        <item m="1" x="4021"/>
        <item m="1" x="1756"/>
        <item m="1" x="1468"/>
        <item m="1" x="4135"/>
        <item m="1" x="3745"/>
        <item x="142"/>
        <item m="1" x="3387"/>
        <item x="143"/>
        <item x="144"/>
        <item x="148"/>
        <item x="150"/>
        <item x="158"/>
        <item x="161"/>
        <item x="162"/>
        <item x="170"/>
        <item x="179"/>
        <item m="1" x="1301"/>
        <item m="1" x="2125"/>
        <item x="198"/>
        <item m="1" x="3811"/>
        <item x="217"/>
        <item m="1" x="3766"/>
        <item m="1" x="4008"/>
        <item x="262"/>
        <item m="1" x="2357"/>
        <item x="277"/>
        <item x="287"/>
        <item m="1" x="3942"/>
        <item x="313"/>
        <item x="335"/>
        <item m="1" x="2501"/>
        <item m="1" x="1614"/>
        <item x="344"/>
        <item x="1163"/>
        <item m="1" x="3614"/>
        <item x="368"/>
        <item x="369"/>
        <item m="1" x="4248"/>
        <item x="385"/>
        <item x="389"/>
        <item m="1" x="3029"/>
        <item x="407"/>
        <item x="413"/>
        <item x="421"/>
        <item x="1166"/>
        <item m="1" x="1278"/>
        <item x="428"/>
        <item x="429"/>
        <item m="1" x="2787"/>
        <item x="446"/>
        <item m="1" x="4273"/>
        <item m="1" x="2211"/>
        <item x="461"/>
        <item m="1" x="3728"/>
        <item x="497"/>
        <item m="1" x="3118"/>
        <item m="1" x="3422"/>
        <item m="1" x="1909"/>
        <item m="1" x="2816"/>
        <item m="1" x="3643"/>
        <item x="535"/>
        <item x="538"/>
        <item m="1" x="4279"/>
        <item x="539"/>
        <item x="540"/>
        <item m="1" x="3156"/>
        <item m="1" x="4092"/>
        <item x="561"/>
        <item m="1" x="1956"/>
        <item x="569"/>
        <item x="571"/>
        <item x="573"/>
        <item x="585"/>
        <item x="588"/>
        <item m="1" x="1482"/>
        <item x="602"/>
        <item x="617"/>
        <item m="1" x="3495"/>
        <item x="631"/>
        <item m="1" x="2158"/>
        <item x="644"/>
        <item m="1" x="4006"/>
        <item m="1" x="3739"/>
        <item x="665"/>
        <item x="667"/>
        <item x="668"/>
        <item x="669"/>
        <item x="677"/>
        <item m="1" x="3049"/>
        <item x="693"/>
        <item x="696"/>
        <item x="705"/>
        <item m="1" x="1999"/>
        <item x="725"/>
        <item m="1" x="2650"/>
        <item m="1" x="4143"/>
        <item x="729"/>
        <item x="731"/>
        <item x="732"/>
        <item x="733"/>
        <item x="745"/>
        <item m="1" x="3538"/>
        <item m="1" x="4311"/>
        <item m="1" x="2597"/>
        <item m="1" x="3010"/>
        <item m="1" x="2067"/>
        <item m="1" x="1848"/>
        <item x="764"/>
        <item x="769"/>
        <item m="1" x="2176"/>
        <item x="778"/>
        <item m="1" x="4141"/>
        <item m="1" x="4005"/>
        <item x="790"/>
        <item x="793"/>
        <item m="1" x="2793"/>
        <item x="799"/>
        <item x="802"/>
        <item m="1" x="4404"/>
        <item x="808"/>
        <item m="1" x="3231"/>
        <item x="818"/>
        <item x="834"/>
        <item m="1" x="2180"/>
        <item m="1" x="4176"/>
        <item m="1" x="3618"/>
        <item x="847"/>
        <item x="848"/>
        <item x="849"/>
        <item x="850"/>
        <item m="1" x="3519"/>
        <item x="873"/>
        <item x="874"/>
        <item m="1" x="1328"/>
        <item x="878"/>
        <item x="881"/>
        <item x="890"/>
        <item x="891"/>
        <item m="1" x="3824"/>
        <item x="907"/>
        <item x="917"/>
        <item x="920"/>
        <item x="922"/>
        <item m="1" x="3462"/>
        <item x="940"/>
        <item m="1" x="1926"/>
        <item x="963"/>
        <item m="1" x="3521"/>
        <item x="967"/>
        <item x="968"/>
        <item x="969"/>
        <item x="978"/>
        <item x="989"/>
        <item x="992"/>
        <item m="1" x="2424"/>
        <item x="995"/>
        <item x="996"/>
        <item x="999"/>
        <item x="1002"/>
        <item x="1005"/>
        <item x="1015"/>
        <item x="1034"/>
        <item x="1035"/>
        <item x="1037"/>
        <item x="1044"/>
        <item x="1047"/>
        <item m="1" x="2072"/>
        <item x="353"/>
        <item m="1" x="3104"/>
        <item m="1" x="4063"/>
        <item m="1" x="2812"/>
        <item m="1" x="4191"/>
        <item m="1" x="2870"/>
        <item m="1" x="3578"/>
        <item m="1" x="2548"/>
        <item m="1" x="4432"/>
        <item m="1" x="2441"/>
        <item m="1" x="2520"/>
        <item m="1" x="1985"/>
        <item m="1" x="3708"/>
        <item m="1" x="2541"/>
        <item m="1" x="3707"/>
        <item m="1" x="2693"/>
        <item m="1" x="3009"/>
        <item m="1" x="2491"/>
        <item m="1" x="1724"/>
        <item x="1145"/>
        <item m="1" x="1471"/>
        <item x="1146"/>
        <item x="1147"/>
        <item x="1148"/>
        <item x="1150"/>
        <item m="1" x="2911"/>
        <item m="1" x="3717"/>
        <item m="1" x="3206"/>
        <item m="1" x="3719"/>
        <item m="1" x="4090"/>
        <item m="1" x="3985"/>
        <item m="1" x="3624"/>
        <item m="1" x="2004"/>
        <item m="1" x="4221"/>
        <item m="1" x="2340"/>
        <item m="1" x="1729"/>
        <item m="1" x="3276"/>
        <item m="1" x="3341"/>
        <item m="1" x="3837"/>
        <item m="1" x="2629"/>
        <item m="1" x="1710"/>
        <item m="1" x="4050"/>
        <item m="1" x="2339"/>
        <item x="1154"/>
        <item x="1155"/>
        <item m="1" x="4004"/>
        <item m="1" x="4254"/>
        <item m="1" x="2931"/>
        <item m="1" x="3427"/>
        <item m="1" x="2902"/>
        <item x="1157"/>
        <item m="1" x="4283"/>
        <item m="1" x="3020"/>
        <item x="1160"/>
        <item m="1" x="1272"/>
        <item m="1" x="2926"/>
        <item m="1" x="1855"/>
        <item m="1" x="3675"/>
        <item x="500"/>
        <item m="1" x="2195"/>
        <item x="599"/>
        <item m="1" x="2892"/>
        <item x="980"/>
        <item m="1" x="2489"/>
        <item m="1" x="2484"/>
        <item m="1" x="3575"/>
        <item m="1" x="2202"/>
        <item m="1" x="3476"/>
        <item m="1" x="2702"/>
        <item m="1" x="1643"/>
        <item m="1" x="1551"/>
        <item m="1" x="2780"/>
        <item m="1" x="2714"/>
        <item m="1" x="2036"/>
        <item m="1" x="1326"/>
        <item m="1" x="4235"/>
        <item m="1" x="2510"/>
        <item m="1" x="3494"/>
        <item m="1" x="2013"/>
        <item m="1" x="3016"/>
        <item m="1" x="2851"/>
        <item m="1" x="2585"/>
        <item m="1" x="4351"/>
        <item m="1" x="3367"/>
        <item m="1" x="3062"/>
        <item m="1" x="4111"/>
        <item m="1" x="3559"/>
        <item m="1" x="4187"/>
        <item m="1" x="1247"/>
        <item x="1212"/>
        <item m="1" x="2386"/>
        <item m="1" x="3896"/>
        <item m="1" x="3915"/>
        <item m="1" x="1690"/>
        <item m="1" x="2573"/>
        <item m="1" x="3563"/>
        <item m="1" x="1262"/>
        <item m="1" x="2921"/>
        <item m="1" x="3770"/>
        <item m="1" x="1912"/>
        <item m="1" x="3136"/>
        <item m="1" x="1931"/>
        <item m="1" x="2777"/>
        <item m="1" x="4083"/>
        <item m="1" x="4315"/>
        <item m="1" x="1616"/>
        <item m="1" x="2813"/>
        <item m="1" x="2024"/>
        <item m="1" x="1825"/>
        <item m="1" x="1969"/>
        <item m="1" x="2240"/>
        <item m="1" x="1837"/>
        <item m="1" x="2890"/>
        <item m="1" x="3447"/>
        <item m="1" x="3195"/>
        <item m="1" x="1619"/>
        <item m="1" x="2085"/>
        <item m="1" x="3759"/>
        <item m="1" x="3833"/>
        <item m="1" x="4108"/>
        <item m="1" x="2447"/>
        <item m="1" x="3280"/>
        <item m="1" x="1869"/>
        <item m="1" x="2891"/>
        <item m="1" x="1648"/>
        <item m="1" x="1782"/>
        <item m="1" x="3840"/>
        <item m="1" x="2608"/>
        <item m="1" x="1496"/>
        <item m="1" x="2691"/>
        <item m="1" x="3209"/>
        <item m="1" x="3216"/>
        <item m="1" x="1712"/>
        <item m="1" x="2738"/>
        <item m="1" x="1557"/>
        <item m="1" x="3940"/>
        <item m="1" x="2076"/>
        <item m="1" x="1354"/>
        <item m="1" x="1382"/>
        <item m="1" x="4338"/>
        <item m="1" x="3899"/>
        <item m="1" x="2538"/>
        <item m="1" x="3493"/>
        <item m="1" x="1863"/>
        <item m="1" x="1464"/>
        <item m="1" x="2863"/>
        <item m="1" x="1777"/>
        <item m="1" x="2506"/>
        <item m="1" x="4360"/>
        <item m="1" x="1771"/>
        <item m="1" x="2733"/>
        <item m="1" x="2646"/>
        <item m="1" x="3371"/>
        <item m="1" x="3959"/>
        <item m="1" x="1275"/>
        <item m="1" x="1858"/>
        <item m="1" x="4086"/>
        <item m="1" x="3649"/>
        <item m="1" x="2403"/>
        <item m="1" x="3401"/>
        <item m="1" x="3933"/>
        <item m="1" x="3078"/>
        <item m="1" x="3008"/>
        <item m="1" x="3077"/>
        <item m="1" x="3841"/>
        <item m="1" x="1682"/>
        <item m="1" x="3697"/>
        <item m="1" x="1641"/>
        <item m="1" x="2326"/>
        <item m="1" x="2305"/>
        <item m="1" x="1778"/>
        <item m="1" x="1321"/>
        <item m="1" x="3625"/>
        <item m="1" x="3678"/>
        <item m="1" x="1323"/>
        <item m="1" x="2259"/>
        <item m="1" x="1779"/>
        <item m="1" x="2372"/>
        <item m="1" x="2739"/>
        <item m="1" x="4198"/>
        <item x="1238"/>
        <item x="1241"/>
        <item x="1243"/>
        <item x="155"/>
        <item x="160"/>
        <item x="171"/>
        <item x="183"/>
        <item x="184"/>
        <item m="1" x="3805"/>
        <item x="197"/>
        <item x="201"/>
        <item x="205"/>
        <item x="207"/>
        <item x="211"/>
        <item x="238"/>
        <item x="241"/>
        <item x="243"/>
        <item x="247"/>
        <item x="249"/>
        <item x="257"/>
        <item x="260"/>
        <item x="266"/>
        <item x="267"/>
        <item x="276"/>
        <item x="285"/>
        <item x="298"/>
        <item x="305"/>
        <item x="315"/>
        <item x="316"/>
        <item x="318"/>
        <item m="1" x="1265"/>
        <item x="323"/>
        <item x="336"/>
        <item m="1" x="2991"/>
        <item x="337"/>
        <item x="340"/>
        <item x="341"/>
        <item x="342"/>
        <item x="343"/>
        <item m="1" x="1347"/>
        <item x="356"/>
        <item x="359"/>
        <item x="362"/>
        <item x="365"/>
        <item x="367"/>
        <item x="380"/>
        <item m="1" x="4355"/>
        <item x="403"/>
        <item x="431"/>
        <item m="1" x="1358"/>
        <item x="437"/>
        <item x="443"/>
        <item x="451"/>
        <item x="474"/>
        <item x="476"/>
        <item x="492"/>
        <item x="494"/>
        <item x="496"/>
        <item x="498"/>
        <item x="508"/>
        <item x="509"/>
        <item x="520"/>
        <item x="524"/>
        <item x="527"/>
        <item x="528"/>
        <item x="534"/>
        <item x="541"/>
        <item x="546"/>
        <item x="547"/>
        <item x="550"/>
        <item x="558"/>
        <item x="568"/>
        <item x="570"/>
        <item x="574"/>
        <item x="579"/>
        <item x="584"/>
        <item x="589"/>
        <item x="591"/>
        <item x="593"/>
        <item x="603"/>
        <item x="606"/>
        <item x="612"/>
        <item x="614"/>
        <item m="1" x="3794"/>
        <item m="1" x="2745"/>
        <item x="626"/>
        <item x="627"/>
        <item x="641"/>
        <item x="642"/>
        <item x="643"/>
        <item x="652"/>
        <item x="655"/>
        <item x="657"/>
        <item x="662"/>
        <item x="664"/>
        <item x="670"/>
        <item x="674"/>
        <item x="678"/>
        <item x="684"/>
        <item x="691"/>
        <item x="697"/>
        <item x="699"/>
        <item x="702"/>
        <item x="707"/>
        <item x="720"/>
        <item x="721"/>
        <item m="1" x="2985"/>
        <item x="727"/>
        <item x="737"/>
        <item x="738"/>
        <item m="1" x="1414"/>
        <item x="740"/>
        <item x="742"/>
        <item x="749"/>
        <item x="773"/>
        <item x="789"/>
        <item x="794"/>
        <item m="1" x="2905"/>
        <item x="810"/>
        <item m="1" x="1807"/>
        <item x="823"/>
        <item x="824"/>
        <item x="827"/>
        <item x="833"/>
        <item x="836"/>
        <item x="845"/>
        <item x="846"/>
        <item x="854"/>
        <item x="860"/>
        <item m="1" x="4376"/>
        <item x="875"/>
        <item x="876"/>
        <item x="877"/>
        <item x="879"/>
        <item x="880"/>
        <item x="882"/>
        <item x="921"/>
        <item x="925"/>
        <item x="938"/>
        <item x="939"/>
        <item x="943"/>
        <item x="953"/>
        <item x="957"/>
        <item x="960"/>
        <item x="970"/>
        <item x="974"/>
        <item x="979"/>
        <item x="981"/>
        <item x="988"/>
        <item x="993"/>
        <item x="1010"/>
        <item x="1011"/>
        <item x="1012"/>
        <item x="1014"/>
        <item x="1020"/>
        <item m="1" x="1543"/>
        <item x="1023"/>
        <item x="1043"/>
        <item m="1" x="3956"/>
        <item x="1057"/>
        <item x="1061"/>
        <item m="1" x="2208"/>
        <item m="1" x="3995"/>
        <item m="1" x="4220"/>
        <item m="1" x="1546"/>
        <item x="1065"/>
        <item x="1066"/>
        <item m="1" x="4155"/>
        <item m="1" x="2197"/>
        <item x="1072"/>
        <item m="1" x="3021"/>
        <item x="1078"/>
        <item x="1079"/>
        <item m="1" x="2201"/>
        <item x="1081"/>
        <item x="1088"/>
        <item x="1094"/>
        <item x="1095"/>
        <item x="1100"/>
        <item x="1101"/>
        <item x="1112"/>
        <item x="1115"/>
        <item x="1134"/>
        <item m="1" x="2476"/>
        <item m="1" x="2079"/>
        <item x="1149"/>
        <item x="1151"/>
        <item x="1152"/>
        <item x="1153"/>
        <item x="1156"/>
        <item x="1159"/>
        <item x="1161"/>
        <item x="1167"/>
        <item m="1" x="3730"/>
        <item x="1178"/>
        <item m="1" x="1925"/>
        <item x="1067"/>
        <item m="1" x="3792"/>
        <item m="1" x="4133"/>
        <item m="1" x="4223"/>
        <item m="1" x="3397"/>
        <item m="1" x="3847"/>
        <item m="1" x="1409"/>
        <item m="1" x="3087"/>
        <item x="1210"/>
        <item x="1211"/>
        <item m="1" x="4327"/>
        <item m="1" x="2829"/>
        <item x="1"/>
        <item x="4"/>
        <item m="1" x="3787"/>
        <item x="1213"/>
        <item x="1216"/>
        <item m="1" x="2420"/>
        <item x="1217"/>
        <item m="1" x="2586"/>
        <item m="1" x="3603"/>
        <item m="1" x="2355"/>
        <item m="1" x="4229"/>
        <item m="1" x="4160"/>
        <item x="1239"/>
        <item x="1240"/>
        <item x="1242"/>
        <item x="1244"/>
        <item x="5"/>
        <item x="6"/>
        <item x="7"/>
        <item x="8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67"/>
        <item x="186"/>
        <item x="187"/>
        <item x="191"/>
        <item x="206"/>
        <item x="213"/>
        <item x="235"/>
        <item x="237"/>
        <item x="245"/>
        <item x="246"/>
        <item x="255"/>
        <item x="272"/>
        <item x="278"/>
        <item x="310"/>
        <item x="330"/>
        <item x="332"/>
        <item x="333"/>
        <item x="334"/>
        <item x="339"/>
        <item x="345"/>
        <item x="349"/>
        <item x="352"/>
        <item x="354"/>
        <item x="361"/>
        <item x="370"/>
        <item x="378"/>
        <item x="382"/>
        <item x="383"/>
        <item x="405"/>
        <item x="412"/>
        <item x="417"/>
        <item x="425"/>
        <item x="450"/>
        <item x="455"/>
        <item x="459"/>
        <item x="467"/>
        <item x="495"/>
        <item x="499"/>
        <item x="504"/>
        <item x="507"/>
        <item x="515"/>
        <item x="529"/>
        <item x="530"/>
        <item x="548"/>
        <item x="552"/>
        <item x="575"/>
        <item x="621"/>
        <item x="624"/>
        <item x="634"/>
        <item x="637"/>
        <item x="645"/>
        <item x="663"/>
        <item x="671"/>
        <item x="679"/>
        <item x="683"/>
        <item x="692"/>
        <item x="698"/>
        <item x="703"/>
        <item x="712"/>
        <item x="714"/>
        <item x="718"/>
        <item x="724"/>
        <item x="726"/>
        <item x="730"/>
        <item x="748"/>
        <item x="761"/>
        <item x="765"/>
        <item x="784"/>
        <item x="798"/>
        <item x="806"/>
        <item x="816"/>
        <item x="832"/>
        <item x="839"/>
        <item x="851"/>
        <item x="859"/>
        <item x="872"/>
        <item x="923"/>
        <item x="926"/>
        <item x="941"/>
        <item x="951"/>
        <item x="959"/>
        <item x="1003"/>
        <item x="1007"/>
        <item x="1008"/>
        <item x="1021"/>
        <item x="1022"/>
        <item x="1031"/>
        <item x="1036"/>
        <item x="1049"/>
        <item x="1050"/>
        <item x="1051"/>
        <item x="1052"/>
        <item x="1062"/>
        <item x="1063"/>
        <item x="1064"/>
        <item x="1068"/>
        <item x="1069"/>
        <item x="1070"/>
        <item x="1071"/>
        <item x="1073"/>
        <item x="1074"/>
        <item x="1075"/>
        <item x="1076"/>
        <item x="1077"/>
        <item x="1080"/>
        <item x="1087"/>
        <item x="1130"/>
        <item x="1143"/>
        <item x="1144"/>
        <item x="1158"/>
        <item x="1169"/>
        <item x="1171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</items>
    </pivotField>
    <pivotField axis="axisRow" compact="0" outline="0" showAll="0" defaultSubtotal="0">
      <items count="123">
        <item m="1" x="70"/>
        <item x="7"/>
        <item m="1" x="97"/>
        <item m="1" x="79"/>
        <item x="8"/>
        <item x="37"/>
        <item x="15"/>
        <item x="36"/>
        <item x="14"/>
        <item m="1" x="69"/>
        <item m="1" x="89"/>
        <item x="29"/>
        <item m="1" x="120"/>
        <item x="53"/>
        <item m="1" x="81"/>
        <item x="17"/>
        <item x="40"/>
        <item m="1" x="93"/>
        <item x="58"/>
        <item x="30"/>
        <item x="1"/>
        <item x="2"/>
        <item x="39"/>
        <item x="44"/>
        <item m="1" x="68"/>
        <item x="6"/>
        <item x="46"/>
        <item x="60"/>
        <item x="21"/>
        <item x="25"/>
        <item m="1" x="63"/>
        <item x="31"/>
        <item x="12"/>
        <item m="1" x="80"/>
        <item m="1" x="64"/>
        <item x="16"/>
        <item x="4"/>
        <item x="42"/>
        <item x="24"/>
        <item m="1" x="119"/>
        <item x="41"/>
        <item x="9"/>
        <item x="10"/>
        <item x="56"/>
        <item x="11"/>
        <item m="1" x="116"/>
        <item x="27"/>
        <item x="28"/>
        <item x="0"/>
        <item x="3"/>
        <item m="1" x="100"/>
        <item m="1" x="118"/>
        <item m="1" x="62"/>
        <item x="18"/>
        <item x="23"/>
        <item x="13"/>
        <item x="20"/>
        <item x="33"/>
        <item x="19"/>
        <item m="1" x="117"/>
        <item m="1" x="85"/>
        <item x="22"/>
        <item m="1" x="92"/>
        <item x="55"/>
        <item x="35"/>
        <item m="1" x="111"/>
        <item x="45"/>
        <item m="1" x="84"/>
        <item m="1" x="90"/>
        <item x="43"/>
        <item m="1" x="86"/>
        <item x="47"/>
        <item m="1" x="74"/>
        <item m="1" x="113"/>
        <item x="48"/>
        <item m="1" x="94"/>
        <item m="1" x="95"/>
        <item m="1" x="109"/>
        <item m="1" x="105"/>
        <item x="32"/>
        <item m="1" x="72"/>
        <item m="1" x="106"/>
        <item x="26"/>
        <item m="1" x="78"/>
        <item m="1" x="110"/>
        <item x="38"/>
        <item m="1" x="76"/>
        <item m="1" x="108"/>
        <item m="1" x="91"/>
        <item x="49"/>
        <item x="50"/>
        <item x="51"/>
        <item m="1" x="66"/>
        <item x="5"/>
        <item m="1" x="103"/>
        <item x="52"/>
        <item m="1" x="67"/>
        <item m="1" x="99"/>
        <item m="1" x="75"/>
        <item m="1" x="82"/>
        <item m="1" x="65"/>
        <item m="1" x="87"/>
        <item m="1" x="83"/>
        <item m="1" x="101"/>
        <item m="1" x="98"/>
        <item m="1" x="73"/>
        <item m="1" x="114"/>
        <item m="1" x="122"/>
        <item x="57"/>
        <item m="1" x="96"/>
        <item m="1" x="77"/>
        <item m="1" x="112"/>
        <item m="1" x="104"/>
        <item m="1" x="71"/>
        <item m="1" x="121"/>
        <item m="1" x="107"/>
        <item m="1" x="102"/>
        <item m="1" x="88"/>
        <item m="1" x="115"/>
        <item x="54"/>
        <item x="59"/>
        <item x="61"/>
        <item x="34"/>
      </items>
    </pivotField>
    <pivotField axis="axisRow" compact="0" outline="0" showAll="0" defaultSubtotal="0">
      <items count="21">
        <item m="1" x="20"/>
        <item x="7"/>
        <item x="8"/>
        <item x="5"/>
        <item x="3"/>
        <item x="6"/>
        <item x="4"/>
        <item x="0"/>
        <item x="1"/>
        <item x="2"/>
        <item m="1" x="11"/>
        <item m="1" x="18"/>
        <item m="1" x="16"/>
        <item m="1" x="15"/>
        <item m="1" x="14"/>
        <item m="1" x="12"/>
        <item m="1" x="19"/>
        <item x="9"/>
        <item m="1" x="13"/>
        <item m="1" x="17"/>
        <item x="10"/>
      </items>
    </pivotField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  <pivotField compact="0" outline="0" showAll="0" defaultSubtotal="0"/>
  </pivotFields>
  <rowFields count="4">
    <field x="1"/>
    <field x="2"/>
    <field x="3"/>
    <field x="4"/>
  </rowFields>
  <rowItems count="1011">
    <i>
      <x v="30"/>
      <x v="2017"/>
      <x v="36"/>
      <x v="1"/>
    </i>
    <i>
      <x v="32"/>
      <x v="2018"/>
      <x v="36"/>
      <x v="1"/>
    </i>
    <i>
      <x v="33"/>
      <x v="2019"/>
      <x v="36"/>
      <x v="1"/>
    </i>
    <i>
      <x v="89"/>
      <x v="1922"/>
      <x v="25"/>
      <x v="2"/>
    </i>
    <i>
      <x v="170"/>
      <x v="623"/>
      <x v="1"/>
      <x v="1"/>
    </i>
    <i>
      <x v="175"/>
      <x v="3585"/>
      <x v="41"/>
      <x v="1"/>
    </i>
    <i>
      <x v="177"/>
      <x v="2714"/>
      <x v="42"/>
      <x v="1"/>
    </i>
    <i>
      <x v="178"/>
      <x v="3586"/>
      <x v="36"/>
      <x v="1"/>
    </i>
    <i>
      <x v="180"/>
      <x v="720"/>
      <x v="44"/>
      <x v="1"/>
    </i>
    <i>
      <x v="181"/>
      <x v="2914"/>
      <x v="41"/>
      <x v="1"/>
    </i>
    <i>
      <x v="184"/>
      <x v="722"/>
      <x v="36"/>
      <x v="1"/>
    </i>
    <i>
      <x v="185"/>
      <x v="3071"/>
      <x v="36"/>
      <x v="1"/>
    </i>
    <i>
      <x v="186"/>
      <x v="3926"/>
      <x v="41"/>
      <x v="1"/>
    </i>
    <i>
      <x v="188"/>
      <x v="3198"/>
      <x v="41"/>
      <x v="1"/>
    </i>
    <i>
      <x v="189"/>
      <x v="3587"/>
      <x v="36"/>
      <x v="1"/>
    </i>
    <i>
      <x v="192"/>
      <x v="1108"/>
      <x v="32"/>
      <x v="1"/>
    </i>
    <i>
      <x v="201"/>
      <x v="2282"/>
      <x v="36"/>
      <x v="1"/>
    </i>
    <i>
      <x v="202"/>
      <x v="2229"/>
      <x v="36"/>
      <x v="1"/>
    </i>
    <i>
      <x v="203"/>
      <x v="2282"/>
      <x v="36"/>
      <x v="1"/>
    </i>
    <i>
      <x v="204"/>
      <x v="2986"/>
      <x v="36"/>
      <x v="1"/>
    </i>
    <i>
      <x v="206"/>
      <x v="1325"/>
      <x v="41"/>
      <x v="1"/>
    </i>
    <i>
      <x v="209"/>
      <x v="2558"/>
      <x v="36"/>
      <x v="1"/>
    </i>
    <i>
      <x v="210"/>
      <x v="3590"/>
      <x v="36"/>
      <x v="1"/>
    </i>
    <i>
      <x v="216"/>
      <x v="692"/>
      <x v="41"/>
      <x v="1"/>
    </i>
    <i>
      <x v="218"/>
      <x v="697"/>
      <x v="41"/>
      <x v="1"/>
    </i>
    <i>
      <x v="219"/>
      <x v="3199"/>
      <x v="42"/>
      <x v="1"/>
    </i>
    <i>
      <x v="221"/>
      <x v="3200"/>
      <x v="41"/>
      <x v="1"/>
    </i>
    <i>
      <x v="222"/>
      <x v="3201"/>
      <x v="41"/>
      <x v="1"/>
    </i>
    <i>
      <x v="223"/>
      <x v="3202"/>
      <x v="36"/>
      <x v="1"/>
    </i>
    <i>
      <x v="225"/>
      <x v="3203"/>
      <x v="36"/>
      <x v="1"/>
    </i>
    <i>
      <x v="226"/>
      <x v="3204"/>
      <x v="36"/>
      <x v="1"/>
    </i>
    <i>
      <x v="228"/>
      <x v="3205"/>
      <x v="36"/>
      <x v="1"/>
    </i>
    <i>
      <x v="230"/>
      <x v="3206"/>
      <x v="32"/>
      <x v="1"/>
    </i>
    <i>
      <x v="232"/>
      <x v="1659"/>
      <x v="55"/>
      <x v="1"/>
    </i>
    <i>
      <x v="234"/>
      <x v="2253"/>
      <x v="4"/>
      <x v="1"/>
    </i>
    <i>
      <x v="235"/>
      <x v="2254"/>
      <x v="4"/>
      <x v="1"/>
    </i>
    <i>
      <x v="243"/>
      <x v="1067"/>
      <x v="41"/>
      <x v="1"/>
    </i>
    <i>
      <x v="244"/>
      <x v="1078"/>
      <x v="36"/>
      <x v="1"/>
    </i>
    <i>
      <x v="246"/>
      <x v="1076"/>
      <x v="36"/>
      <x v="1"/>
    </i>
    <i>
      <x v="248"/>
      <x v="1062"/>
      <x v="41"/>
      <x v="1"/>
    </i>
    <i>
      <x v="251"/>
      <x v="3932"/>
      <x v="41"/>
      <x v="1"/>
    </i>
    <i>
      <x v="252"/>
      <x v="3207"/>
      <x v="44"/>
      <x v="1"/>
    </i>
    <i>
      <x v="255"/>
      <x v="2178"/>
      <x v="36"/>
      <x v="1"/>
    </i>
    <i>
      <x v="256"/>
      <x v="3933"/>
      <x v="41"/>
      <x v="1"/>
    </i>
    <i>
      <x v="257"/>
      <x v="2693"/>
      <x v="41"/>
      <x v="1"/>
    </i>
    <i>
      <x v="258"/>
      <x v="3208"/>
      <x v="36"/>
      <x v="1"/>
    </i>
    <i>
      <x v="259"/>
      <x v="3209"/>
      <x v="36"/>
      <x v="1"/>
    </i>
    <i>
      <x v="260"/>
      <x v="3934"/>
      <x v="41"/>
      <x v="1"/>
    </i>
    <i>
      <x v="264"/>
      <x v="1340"/>
      <x v="41"/>
      <x v="1"/>
    </i>
    <i>
      <x v="266"/>
      <x v="2695"/>
      <x v="41"/>
      <x v="1"/>
    </i>
    <i>
      <x v="267"/>
      <x v="895"/>
      <x v="41"/>
      <x v="1"/>
    </i>
    <i>
      <x v="268"/>
      <x v="3936"/>
      <x v="32"/>
      <x v="1"/>
    </i>
    <i>
      <x v="269"/>
      <x v="4283"/>
      <x v="32"/>
      <x v="1"/>
    </i>
    <i>
      <x v="270"/>
      <x v="3213"/>
      <x v="32"/>
      <x v="1"/>
    </i>
    <i>
      <x v="273"/>
      <x v="1693"/>
      <x v="32"/>
      <x v="1"/>
    </i>
    <i>
      <x v="274"/>
      <x v="1074"/>
      <x v="32"/>
      <x v="1"/>
    </i>
    <i>
      <x v="277"/>
      <x v="2082"/>
      <x v="32"/>
      <x v="1"/>
    </i>
    <i>
      <x v="278"/>
      <x v="1334"/>
      <x v="32"/>
      <x v="1"/>
    </i>
    <i>
      <x v="280"/>
      <x v="2765"/>
      <x v="36"/>
      <x v="1"/>
    </i>
    <i>
      <x v="281"/>
      <x v="3220"/>
      <x v="36"/>
      <x v="1"/>
    </i>
    <i>
      <x v="282"/>
      <x v="904"/>
      <x v="32"/>
      <x v="1"/>
    </i>
    <i>
      <x v="283"/>
      <x v="2753"/>
      <x v="36"/>
      <x v="1"/>
    </i>
    <i>
      <x v="284"/>
      <x v="3221"/>
      <x v="36"/>
      <x v="1"/>
    </i>
    <i>
      <x v="285"/>
      <x v="659"/>
      <x v="36"/>
      <x v="1"/>
    </i>
    <i>
      <x v="288"/>
      <x v="894"/>
      <x v="36"/>
      <x v="1"/>
    </i>
    <i>
      <x v="289"/>
      <x v="811"/>
      <x v="8"/>
      <x v="1"/>
    </i>
    <i>
      <x v="296"/>
      <x v="3937"/>
      <x v="36"/>
      <x v="1"/>
    </i>
    <i>
      <x v="298"/>
      <x v="682"/>
      <x v="36"/>
      <x v="1"/>
    </i>
    <i>
      <x v="299"/>
      <x v="680"/>
      <x v="36"/>
      <x v="1"/>
    </i>
    <i>
      <x v="300"/>
      <x v="3938"/>
      <x v="36"/>
      <x v="1"/>
    </i>
    <i>
      <x v="302"/>
      <x v="2249"/>
      <x v="4"/>
      <x v="1"/>
    </i>
    <i>
      <x v="303"/>
      <x v="3939"/>
      <x v="32"/>
      <x v="1"/>
    </i>
    <i>
      <x v="304"/>
      <x v="3223"/>
      <x v="41"/>
      <x v="1"/>
    </i>
    <i>
      <x v="305"/>
      <x v="3940"/>
      <x v="36"/>
      <x v="1"/>
    </i>
    <i>
      <x v="306"/>
      <x v="1623"/>
      <x v="41"/>
      <x v="1"/>
    </i>
    <i>
      <x v="308"/>
      <x v="3941"/>
      <x v="36"/>
      <x v="1"/>
    </i>
    <i>
      <x v="309"/>
      <x v="1608"/>
      <x v="42"/>
      <x v="1"/>
    </i>
    <i>
      <x v="311"/>
      <x v="1609"/>
      <x v="32"/>
      <x v="1"/>
    </i>
    <i>
      <x v="312"/>
      <x v="1627"/>
      <x v="36"/>
      <x v="1"/>
    </i>
    <i>
      <x v="313"/>
      <x v="3224"/>
      <x v="36"/>
      <x v="1"/>
    </i>
    <i>
      <x v="314"/>
      <x v="1610"/>
      <x v="36"/>
      <x v="1"/>
    </i>
    <i>
      <x v="319"/>
      <x v="1850"/>
      <x v="32"/>
      <x v="1"/>
    </i>
    <i>
      <x v="323"/>
      <x v="2416"/>
      <x v="36"/>
      <x v="1"/>
    </i>
    <i>
      <x v="326"/>
      <x v="1629"/>
      <x v="44"/>
      <x v="1"/>
    </i>
    <i>
      <x v="329"/>
      <x v="686"/>
      <x v="36"/>
      <x v="1"/>
    </i>
    <i>
      <x v="332"/>
      <x v="1965"/>
      <x v="36"/>
      <x v="1"/>
    </i>
    <i>
      <x v="334"/>
      <x v="1345"/>
      <x v="32"/>
      <x v="1"/>
    </i>
    <i>
      <x v="336"/>
      <x v="3945"/>
      <x v="32"/>
      <x v="1"/>
    </i>
    <i>
      <x v="337"/>
      <x v="877"/>
      <x v="36"/>
      <x v="1"/>
    </i>
    <i>
      <x v="338"/>
      <x v="875"/>
      <x v="32"/>
      <x v="1"/>
    </i>
    <i>
      <x v="342"/>
      <x v="879"/>
      <x v="36"/>
      <x v="1"/>
    </i>
    <i>
      <x v="343"/>
      <x v="869"/>
      <x v="41"/>
      <x v="1"/>
    </i>
    <i>
      <x v="344"/>
      <x v="2903"/>
      <x v="41"/>
      <x v="1"/>
    </i>
    <i>
      <x v="346"/>
      <x v="3946"/>
      <x v="44"/>
      <x v="1"/>
    </i>
    <i>
      <x v="350"/>
      <x v="4290"/>
      <x v="41"/>
      <x v="1"/>
    </i>
    <i>
      <x v="354"/>
      <x v="2389"/>
      <x v="36"/>
      <x v="1"/>
    </i>
    <i>
      <x v="355"/>
      <x v="2387"/>
      <x v="36"/>
      <x v="1"/>
    </i>
    <i>
      <x v="356"/>
      <x v="2386"/>
      <x v="36"/>
      <x v="1"/>
    </i>
    <i>
      <x v="359"/>
      <x v="2537"/>
      <x v="36"/>
      <x v="1"/>
    </i>
    <i>
      <x v="360"/>
      <x v="2535"/>
      <x v="36"/>
      <x v="1"/>
    </i>
    <i>
      <x v="361"/>
      <x v="2203"/>
      <x v="36"/>
      <x v="1"/>
    </i>
    <i>
      <x v="362"/>
      <x v="2205"/>
      <x v="36"/>
      <x v="1"/>
    </i>
    <i>
      <x v="363"/>
      <x v="2204"/>
      <x v="36"/>
      <x v="1"/>
    </i>
    <i>
      <x v="364"/>
      <x v="2031"/>
      <x v="36"/>
      <x v="1"/>
    </i>
    <i>
      <x v="365"/>
      <x v="2030"/>
      <x v="36"/>
      <x v="1"/>
    </i>
    <i>
      <x v="366"/>
      <x v="2441"/>
      <x v="32"/>
      <x v="1"/>
    </i>
    <i>
      <x v="367"/>
      <x v="743"/>
      <x v="36"/>
      <x v="1"/>
    </i>
    <i>
      <x v="368"/>
      <x v="745"/>
      <x v="36"/>
      <x v="1"/>
    </i>
    <i>
      <x v="369"/>
      <x v="742"/>
      <x v="36"/>
      <x v="1"/>
    </i>
    <i>
      <x v="370"/>
      <x v="3229"/>
      <x v="41"/>
      <x v="1"/>
    </i>
    <i>
      <x v="371"/>
      <x v="2384"/>
      <x v="41"/>
      <x v="1"/>
    </i>
    <i>
      <x v="372"/>
      <x v="755"/>
      <x v="42"/>
      <x v="1"/>
    </i>
    <i>
      <x v="376"/>
      <x v="761"/>
      <x v="36"/>
      <x v="1"/>
    </i>
    <i>
      <x v="377"/>
      <x v="760"/>
      <x v="36"/>
      <x v="1"/>
    </i>
    <i>
      <x v="381"/>
      <x v="2175"/>
      <x v="41"/>
      <x v="1"/>
    </i>
    <i>
      <x v="382"/>
      <x v="2597"/>
      <x v="41"/>
      <x v="1"/>
    </i>
    <i>
      <x v="384"/>
      <x v="2355"/>
      <x v="41"/>
      <x v="1"/>
    </i>
    <i>
      <x v="387"/>
      <x v="2360"/>
      <x v="32"/>
      <x v="1"/>
    </i>
    <i>
      <x v="388"/>
      <x v="3231"/>
      <x v="36"/>
      <x v="1"/>
    </i>
    <i>
      <x v="389"/>
      <x v="3232"/>
      <x v="35"/>
      <x v="1"/>
    </i>
    <i>
      <x v="391"/>
      <x v="2453"/>
      <x v="41"/>
      <x v="1"/>
    </i>
    <i>
      <x v="395"/>
      <x v="2173"/>
      <x v="41"/>
      <x v="1"/>
    </i>
    <i>
      <x v="396"/>
      <x v="3233"/>
      <x v="36"/>
      <x v="1"/>
    </i>
    <i>
      <x v="398"/>
      <x v="3950"/>
      <x v="41"/>
      <x v="1"/>
    </i>
    <i>
      <x v="399"/>
      <x v="3951"/>
      <x v="32"/>
      <x v="1"/>
    </i>
    <i>
      <x v="400"/>
      <x v="3235"/>
      <x v="35"/>
      <x v="1"/>
    </i>
    <i>
      <x v="401"/>
      <x v="3952"/>
      <x v="41"/>
      <x v="1"/>
    </i>
    <i>
      <x v="404"/>
      <x v="1229"/>
      <x v="41"/>
      <x v="1"/>
    </i>
    <i>
      <x v="407"/>
      <x v="3237"/>
      <x v="32"/>
      <x v="1"/>
    </i>
    <i>
      <x v="408"/>
      <x v="2195"/>
      <x v="41"/>
      <x v="1"/>
    </i>
    <i>
      <x v="409"/>
      <x v="2196"/>
      <x v="41"/>
      <x v="1"/>
    </i>
    <i>
      <x v="410"/>
      <x v="3954"/>
      <x v="36"/>
      <x v="1"/>
    </i>
    <i>
      <x v="413"/>
      <x v="985"/>
      <x v="36"/>
      <x v="1"/>
    </i>
    <i>
      <x v="414"/>
      <x v="2930"/>
      <x v="41"/>
      <x v="1"/>
    </i>
    <i>
      <x v="416"/>
      <x v="983"/>
      <x v="36"/>
      <x v="1"/>
    </i>
    <i>
      <x v="420"/>
      <x v="2133"/>
      <x v="36"/>
      <x v="1"/>
    </i>
    <i>
      <x v="424"/>
      <x v="2457"/>
      <x v="42"/>
      <x v="1"/>
    </i>
    <i>
      <x v="429"/>
      <x v="3239"/>
      <x v="32"/>
      <x v="1"/>
    </i>
    <i>
      <x v="430"/>
      <x v="3240"/>
      <x v="15"/>
      <x v="1"/>
    </i>
    <i>
      <x v="433"/>
      <x v="2410"/>
      <x v="32"/>
      <x v="1"/>
    </i>
    <i>
      <x v="434"/>
      <x v="3243"/>
      <x v="36"/>
      <x v="1"/>
    </i>
    <i>
      <x v="437"/>
      <x v="2252"/>
      <x v="4"/>
      <x v="1"/>
    </i>
    <i>
      <x v="438"/>
      <x v="3244"/>
      <x v="4"/>
      <x v="1"/>
    </i>
    <i>
      <x v="439"/>
      <x v="1874"/>
      <x v="36"/>
      <x v="1"/>
    </i>
    <i>
      <x v="441"/>
      <x v="4301"/>
      <x v="36"/>
      <x v="1"/>
    </i>
    <i>
      <x v="442"/>
      <x v="3051"/>
      <x v="36"/>
      <x v="1"/>
    </i>
    <i>
      <x v="443"/>
      <x v="1855"/>
      <x v="36"/>
      <x v="1"/>
    </i>
    <i>
      <x v="446"/>
      <x v="3611"/>
      <x v="32"/>
      <x v="1"/>
    </i>
    <i>
      <x v="448"/>
      <x v="813"/>
      <x v="6"/>
      <x v="1"/>
    </i>
    <i>
      <x v="454"/>
      <x v="999"/>
      <x v="6"/>
      <x v="1"/>
    </i>
    <i>
      <x v="460"/>
      <x v="2563"/>
      <x v="41"/>
      <x v="1"/>
    </i>
    <i>
      <x v="461"/>
      <x v="2564"/>
      <x v="41"/>
      <x v="1"/>
    </i>
    <i>
      <x v="462"/>
      <x v="2565"/>
      <x v="41"/>
      <x v="1"/>
    </i>
    <i>
      <x v="463"/>
      <x v="3968"/>
      <x v="41"/>
      <x v="1"/>
    </i>
    <i>
      <x v="466"/>
      <x v="4304"/>
      <x v="44"/>
      <x v="1"/>
    </i>
    <i>
      <x v="467"/>
      <x v="2712"/>
      <x v="41"/>
      <x v="1"/>
    </i>
    <i>
      <x v="469"/>
      <x v="3614"/>
      <x v="41"/>
      <x v="1"/>
    </i>
    <i>
      <x v="471"/>
      <x v="1858"/>
      <x v="32"/>
      <x v="1"/>
    </i>
    <i>
      <x v="473"/>
      <x v="3250"/>
      <x v="32"/>
      <x v="1"/>
    </i>
    <i>
      <x v="474"/>
      <x v="3251"/>
      <x v="32"/>
      <x v="1"/>
    </i>
    <i>
      <x v="486"/>
      <x v="1847"/>
      <x v="53"/>
      <x v="1"/>
    </i>
    <i>
      <x v="487"/>
      <x v="3253"/>
      <x v="36"/>
      <x v="1"/>
    </i>
    <i>
      <x v="488"/>
      <x v="1301"/>
      <x v="44"/>
      <x v="1"/>
    </i>
    <i>
      <x v="489"/>
      <x v="2568"/>
      <x v="44"/>
      <x v="1"/>
    </i>
    <i>
      <x v="491"/>
      <x v="2569"/>
      <x v="44"/>
      <x v="1"/>
    </i>
    <i>
      <x v="492"/>
      <x v="2328"/>
      <x v="44"/>
      <x v="1"/>
    </i>
    <i>
      <x v="494"/>
      <x v="3970"/>
      <x v="36"/>
      <x v="1"/>
    </i>
    <i>
      <x v="496"/>
      <x v="2472"/>
      <x v="44"/>
      <x v="1"/>
    </i>
    <i>
      <x v="498"/>
      <x v="4306"/>
      <x v="44"/>
      <x v="1"/>
    </i>
    <i>
      <x v="499"/>
      <x v="597"/>
      <x v="44"/>
      <x v="1"/>
    </i>
    <i>
      <x v="501"/>
      <x v="3617"/>
      <x v="36"/>
      <x v="1"/>
    </i>
    <i>
      <x v="502"/>
      <x v="3255"/>
      <x v="36"/>
      <x v="1"/>
    </i>
    <i>
      <x v="503"/>
      <x v="3052"/>
      <x v="36"/>
      <x v="1"/>
    </i>
    <i>
      <x v="504"/>
      <x v="2321"/>
      <x v="36"/>
      <x v="1"/>
    </i>
    <i>
      <x v="505"/>
      <x v="4307"/>
      <x v="36"/>
      <x v="1"/>
    </i>
    <i>
      <x v="506"/>
      <x v="3618"/>
      <x v="36"/>
      <x v="1"/>
    </i>
    <i>
      <x v="507"/>
      <x v="2599"/>
      <x v="36"/>
      <x v="1"/>
    </i>
    <i>
      <x v="508"/>
      <x v="2479"/>
      <x v="36"/>
      <x v="1"/>
    </i>
    <i>
      <x v="509"/>
      <x v="2480"/>
      <x v="36"/>
      <x v="1"/>
    </i>
    <i>
      <x v="510"/>
      <x v="2764"/>
      <x v="36"/>
      <x v="1"/>
    </i>
    <i>
      <x v="511"/>
      <x v="3053"/>
      <x v="36"/>
      <x v="1"/>
    </i>
    <i>
      <x v="512"/>
      <x v="699"/>
      <x v="36"/>
      <x v="1"/>
    </i>
    <i>
      <x v="516"/>
      <x v="601"/>
      <x v="4"/>
      <x v="1"/>
    </i>
    <i>
      <x v="517"/>
      <x v="603"/>
      <x v="4"/>
      <x v="1"/>
    </i>
    <i>
      <x v="518"/>
      <x v="599"/>
      <x v="4"/>
      <x v="1"/>
    </i>
    <i>
      <x v="519"/>
      <x v="4309"/>
      <x v="41"/>
      <x v="1"/>
    </i>
    <i>
      <x v="520"/>
      <x v="1425"/>
      <x v="36"/>
      <x v="1"/>
    </i>
    <i>
      <x v="522"/>
      <x v="845"/>
      <x v="32"/>
      <x v="1"/>
    </i>
    <i>
      <x v="523"/>
      <x v="2218"/>
      <x v="32"/>
      <x v="1"/>
    </i>
    <i>
      <x v="524"/>
      <x v="2981"/>
      <x v="32"/>
      <x v="1"/>
    </i>
    <i>
      <x v="525"/>
      <x v="3258"/>
      <x v="32"/>
      <x v="1"/>
    </i>
    <i>
      <x v="526"/>
      <x v="767"/>
      <x v="32"/>
      <x v="1"/>
    </i>
    <i>
      <x v="527"/>
      <x v="1324"/>
      <x v="32"/>
      <x v="1"/>
    </i>
    <i>
      <x v="528"/>
      <x v="1727"/>
      <x v="32"/>
      <x v="1"/>
    </i>
    <i>
      <x v="529"/>
      <x v="2404"/>
      <x v="32"/>
      <x v="1"/>
    </i>
    <i>
      <x v="530"/>
      <x v="1339"/>
      <x v="32"/>
      <x v="1"/>
    </i>
    <i>
      <x v="531"/>
      <x v="2899"/>
      <x v="32"/>
      <x v="1"/>
    </i>
    <i>
      <x v="532"/>
      <x v="1963"/>
      <x v="32"/>
      <x v="1"/>
    </i>
    <i>
      <x v="533"/>
      <x v="3974"/>
      <x v="32"/>
      <x v="1"/>
    </i>
    <i>
      <x v="535"/>
      <x v="3625"/>
      <x v="32"/>
      <x v="1"/>
    </i>
    <i>
      <x v="536"/>
      <x v="2900"/>
      <x v="36"/>
      <x v="1"/>
    </i>
    <i>
      <x v="537"/>
      <x v="2406"/>
      <x v="32"/>
      <x v="1"/>
    </i>
    <i>
      <x v="539"/>
      <x v="1865"/>
      <x v="32"/>
      <x v="1"/>
    </i>
    <i>
      <x v="540"/>
      <x v="4311"/>
      <x v="32"/>
      <x v="1"/>
    </i>
    <i>
      <x v="542"/>
      <x v="972"/>
      <x v="32"/>
      <x v="1"/>
    </i>
    <i>
      <x v="543"/>
      <x v="1859"/>
      <x v="32"/>
      <x v="1"/>
    </i>
    <i>
      <x v="546"/>
      <x v="919"/>
      <x v="32"/>
      <x v="1"/>
    </i>
    <i>
      <x v="547"/>
      <x v="1676"/>
      <x v="32"/>
      <x v="1"/>
    </i>
    <i>
      <x v="548"/>
      <x v="997"/>
      <x v="6"/>
      <x v="1"/>
    </i>
    <i>
      <x v="549"/>
      <x v="3262"/>
      <x v="6"/>
      <x v="1"/>
    </i>
    <i>
      <x v="550"/>
      <x v="3263"/>
      <x v="6"/>
      <x v="1"/>
    </i>
    <i>
      <x v="552"/>
      <x v="3976"/>
      <x v="36"/>
      <x v="1"/>
    </i>
    <i>
      <x v="554"/>
      <x v="3977"/>
      <x v="32"/>
      <x v="1"/>
    </i>
    <i>
      <x v="555"/>
      <x v="662"/>
      <x v="32"/>
      <x v="1"/>
    </i>
    <i>
      <x v="556"/>
      <x v="3265"/>
      <x v="4"/>
      <x v="1"/>
    </i>
    <i>
      <x v="557"/>
      <x v="3266"/>
      <x v="4"/>
      <x v="1"/>
    </i>
    <i>
      <x v="560"/>
      <x v="1864"/>
      <x v="32"/>
      <x v="1"/>
    </i>
    <i>
      <x v="561"/>
      <x v="3268"/>
      <x v="4"/>
      <x v="1"/>
    </i>
    <i>
      <x v="563"/>
      <x v="3270"/>
      <x v="4"/>
      <x v="1"/>
    </i>
    <i>
      <x v="564"/>
      <x v="608"/>
      <x v="56"/>
      <x v="1"/>
    </i>
    <i>
      <x v="566"/>
      <x v="693"/>
      <x v="32"/>
      <x v="1"/>
    </i>
    <i>
      <x v="567"/>
      <x v="1831"/>
      <x v="53"/>
      <x v="1"/>
    </i>
    <i>
      <x v="571"/>
      <x v="3979"/>
      <x v="36"/>
      <x v="1"/>
    </i>
    <i>
      <x v="572"/>
      <x v="4314"/>
      <x v="36"/>
      <x v="1"/>
    </i>
    <i>
      <x v="574"/>
      <x v="4315"/>
      <x v="36"/>
      <x v="1"/>
    </i>
    <i>
      <x v="576"/>
      <x v="3274"/>
      <x v="8"/>
      <x v="1"/>
    </i>
    <i>
      <x v="577"/>
      <x v="3091"/>
      <x v="36"/>
      <x v="1"/>
    </i>
    <i>
      <x v="579"/>
      <x v="996"/>
      <x v="8"/>
      <x v="1"/>
    </i>
    <i>
      <x v="594"/>
      <x v="3281"/>
      <x v="36"/>
      <x v="1"/>
    </i>
    <i>
      <x v="597"/>
      <x v="1102"/>
      <x v="36"/>
      <x v="1"/>
    </i>
    <i>
      <x v="599"/>
      <x v="1103"/>
      <x v="36"/>
      <x v="1"/>
    </i>
    <i>
      <x v="600"/>
      <x v="3285"/>
      <x v="36"/>
      <x v="1"/>
    </i>
    <i>
      <x v="601"/>
      <x v="3287"/>
      <x v="36"/>
      <x v="1"/>
    </i>
    <i>
      <x v="608"/>
      <x v="1066"/>
      <x v="41"/>
      <x v="1"/>
    </i>
    <i>
      <x v="609"/>
      <x v="1052"/>
      <x v="36"/>
      <x v="1"/>
    </i>
    <i>
      <x v="611"/>
      <x v="3289"/>
      <x v="36"/>
      <x v="1"/>
    </i>
    <i>
      <x v="612"/>
      <x v="3636"/>
      <x v="36"/>
      <x v="1"/>
    </i>
    <i>
      <x v="613"/>
      <x v="1055"/>
      <x v="36"/>
      <x v="1"/>
    </i>
    <i>
      <x v="614"/>
      <x v="3290"/>
      <x v="36"/>
      <x v="1"/>
    </i>
    <i>
      <x v="617"/>
      <x v="3640"/>
      <x v="32"/>
      <x v="1"/>
    </i>
    <i>
      <x v="618"/>
      <x v="3295"/>
      <x v="36"/>
      <x v="1"/>
    </i>
    <i>
      <x v="620"/>
      <x v="3990"/>
      <x v="41"/>
      <x v="1"/>
    </i>
    <i>
      <x v="622"/>
      <x v="3991"/>
      <x v="41"/>
      <x v="1"/>
    </i>
    <i>
      <x v="623"/>
      <x v="3298"/>
      <x v="36"/>
      <x v="1"/>
    </i>
    <i>
      <x v="624"/>
      <x v="4322"/>
      <x v="36"/>
      <x v="1"/>
    </i>
    <i>
      <x v="625"/>
      <x v="3300"/>
      <x v="36"/>
      <x v="1"/>
    </i>
    <i>
      <x v="626"/>
      <x v="756"/>
      <x v="36"/>
      <x v="1"/>
    </i>
    <i>
      <x v="627"/>
      <x v="754"/>
      <x v="36"/>
      <x v="1"/>
    </i>
    <i>
      <x v="628"/>
      <x v="762"/>
      <x v="36"/>
      <x v="1"/>
    </i>
    <i>
      <x v="629"/>
      <x v="763"/>
      <x v="36"/>
      <x v="1"/>
    </i>
    <i>
      <x v="630"/>
      <x v="3301"/>
      <x v="36"/>
      <x v="1"/>
    </i>
    <i>
      <x v="631"/>
      <x v="3643"/>
      <x v="36"/>
      <x v="1"/>
    </i>
    <i>
      <x v="634"/>
      <x v="3304"/>
      <x v="36"/>
      <x v="1"/>
    </i>
    <i>
      <x v="635"/>
      <x v="3305"/>
      <x v="32"/>
      <x v="1"/>
    </i>
    <i>
      <x v="637"/>
      <x v="2376"/>
      <x v="36"/>
      <x v="1"/>
    </i>
    <i>
      <x v="641"/>
      <x v="1314"/>
      <x v="41"/>
      <x v="1"/>
    </i>
    <i>
      <x v="643"/>
      <x v="1311"/>
      <x v="41"/>
      <x v="1"/>
    </i>
    <i>
      <x v="646"/>
      <x v="3995"/>
      <x v="36"/>
      <x v="1"/>
    </i>
    <i>
      <x v="647"/>
      <x v="1309"/>
      <x v="41"/>
      <x v="1"/>
    </i>
    <i>
      <x v="648"/>
      <x v="3647"/>
      <x v="36"/>
      <x v="1"/>
    </i>
    <i>
      <x v="649"/>
      <x v="3996"/>
      <x v="36"/>
      <x v="1"/>
    </i>
    <i>
      <x v="651"/>
      <x v="2720"/>
      <x v="32"/>
      <x v="1"/>
    </i>
    <i>
      <x v="652"/>
      <x v="3055"/>
      <x v="36"/>
      <x v="1"/>
    </i>
    <i>
      <x v="654"/>
      <x v="3072"/>
      <x v="41"/>
      <x v="1"/>
    </i>
    <i>
      <x v="655"/>
      <x v="3997"/>
      <x v="41"/>
      <x v="1"/>
    </i>
    <i>
      <x v="656"/>
      <x v="3307"/>
      <x v="41"/>
      <x v="1"/>
    </i>
    <i>
      <x v="657"/>
      <x v="2770"/>
      <x v="54"/>
      <x v="1"/>
    </i>
    <i>
      <x v="658"/>
      <x v="3309"/>
      <x v="36"/>
      <x v="1"/>
    </i>
    <i>
      <x v="659"/>
      <x v="3998"/>
      <x v="36"/>
      <x v="1"/>
    </i>
    <i>
      <x v="660"/>
      <x v="3648"/>
      <x v="36"/>
      <x v="1"/>
    </i>
    <i>
      <x v="661"/>
      <x v="3310"/>
      <x v="36"/>
      <x v="1"/>
    </i>
    <i>
      <x v="662"/>
      <x v="3070"/>
      <x v="36"/>
      <x v="1"/>
    </i>
    <i>
      <x v="663"/>
      <x v="3649"/>
      <x v="36"/>
      <x v="1"/>
    </i>
    <i>
      <x v="666"/>
      <x v="1131"/>
      <x v="36"/>
      <x v="1"/>
    </i>
    <i>
      <x v="667"/>
      <x v="4001"/>
      <x v="36"/>
      <x v="1"/>
    </i>
    <i>
      <x v="670"/>
      <x v="1124"/>
      <x v="41"/>
      <x v="1"/>
    </i>
    <i>
      <x v="671"/>
      <x v="1129"/>
      <x v="54"/>
      <x v="1"/>
    </i>
    <i>
      <x v="672"/>
      <x v="3314"/>
      <x v="36"/>
      <x v="1"/>
    </i>
    <i>
      <x v="673"/>
      <x v="2877"/>
      <x v="36"/>
      <x v="1"/>
    </i>
    <i>
      <x v="677"/>
      <x v="3316"/>
      <x v="36"/>
      <x v="1"/>
    </i>
    <i>
      <x v="682"/>
      <x v="4002"/>
      <x v="36"/>
      <x v="1"/>
    </i>
    <i>
      <x v="683"/>
      <x v="3318"/>
      <x v="36"/>
      <x v="1"/>
    </i>
    <i>
      <x v="684"/>
      <x v="2141"/>
      <x v="36"/>
      <x v="1"/>
    </i>
    <i>
      <x v="685"/>
      <x v="4003"/>
      <x v="36"/>
      <x v="1"/>
    </i>
    <i>
      <x v="686"/>
      <x v="681"/>
      <x v="36"/>
      <x v="1"/>
    </i>
    <i>
      <x v="687"/>
      <x v="2612"/>
      <x v="32"/>
      <x v="1"/>
    </i>
    <i>
      <x v="688"/>
      <x v="667"/>
      <x v="36"/>
      <x v="1"/>
    </i>
    <i>
      <x v="689"/>
      <x v="3319"/>
      <x v="36"/>
      <x v="1"/>
    </i>
    <i>
      <x v="692"/>
      <x v="4004"/>
      <x v="41"/>
      <x v="1"/>
    </i>
    <i>
      <x v="693"/>
      <x v="1852"/>
      <x v="41"/>
      <x v="1"/>
    </i>
    <i>
      <x v="694"/>
      <x v="3322"/>
      <x v="41"/>
      <x v="1"/>
    </i>
    <i>
      <x v="695"/>
      <x v="927"/>
      <x v="41"/>
      <x v="1"/>
    </i>
    <i>
      <x v="696"/>
      <x v="3652"/>
      <x v="32"/>
      <x v="1"/>
    </i>
    <i>
      <x v="697"/>
      <x v="3323"/>
      <x v="36"/>
      <x v="1"/>
    </i>
    <i>
      <x v="700"/>
      <x v="2721"/>
      <x v="41"/>
      <x v="1"/>
    </i>
    <i>
      <x v="701"/>
      <x v="1611"/>
      <x v="36"/>
      <x v="1"/>
    </i>
    <i>
      <x v="702"/>
      <x v="4324"/>
      <x v="36"/>
      <x v="1"/>
    </i>
    <i>
      <x v="703"/>
      <x v="2123"/>
      <x v="36"/>
      <x v="1"/>
    </i>
    <i>
      <x v="704"/>
      <x v="4325"/>
      <x v="36"/>
      <x v="1"/>
    </i>
    <i>
      <x v="705"/>
      <x v="3326"/>
      <x v="36"/>
      <x v="1"/>
    </i>
    <i>
      <x v="707"/>
      <x v="2164"/>
      <x v="36"/>
      <x v="1"/>
    </i>
    <i>
      <x v="708"/>
      <x v="1208"/>
      <x v="36"/>
      <x v="1"/>
    </i>
    <i>
      <x v="709"/>
      <x v="3654"/>
      <x v="32"/>
      <x v="1"/>
    </i>
    <i>
      <x v="710"/>
      <x v="2722"/>
      <x v="36"/>
      <x v="1"/>
    </i>
    <i>
      <x v="711"/>
      <x v="3329"/>
      <x v="36"/>
      <x v="1"/>
    </i>
    <i>
      <x v="712"/>
      <x v="3330"/>
      <x v="36"/>
      <x v="1"/>
    </i>
    <i>
      <x v="713"/>
      <x v="3056"/>
      <x v="36"/>
      <x v="1"/>
    </i>
    <i>
      <x v="714"/>
      <x v="2292"/>
      <x v="41"/>
      <x v="1"/>
    </i>
    <i>
      <x v="715"/>
      <x v="1212"/>
      <x v="36"/>
      <x v="1"/>
    </i>
    <i>
      <x v="716"/>
      <x v="1211"/>
      <x v="36"/>
      <x v="1"/>
    </i>
    <i>
      <x v="719"/>
      <x v="4012"/>
      <x v="36"/>
      <x v="1"/>
    </i>
    <i>
      <x v="720"/>
      <x v="3656"/>
      <x v="36"/>
      <x v="1"/>
    </i>
    <i>
      <x v="722"/>
      <x v="3335"/>
      <x v="36"/>
      <x v="1"/>
    </i>
    <i>
      <x v="723"/>
      <x v="832"/>
      <x v="36"/>
      <x v="1"/>
    </i>
    <i>
      <x v="724"/>
      <x v="584"/>
      <x v="36"/>
      <x v="1"/>
    </i>
    <i>
      <x v="725"/>
      <x v="2520"/>
      <x v="32"/>
      <x v="1"/>
    </i>
    <i>
      <x v="726"/>
      <x v="3337"/>
      <x v="36"/>
      <x v="1"/>
    </i>
    <i>
      <x v="729"/>
      <x v="856"/>
      <x v="36"/>
      <x v="1"/>
    </i>
    <i>
      <x v="731"/>
      <x v="878"/>
      <x v="36"/>
      <x v="1"/>
    </i>
    <i>
      <x v="732"/>
      <x v="4014"/>
      <x v="35"/>
      <x v="1"/>
    </i>
    <i>
      <x v="733"/>
      <x v="864"/>
      <x v="41"/>
      <x v="1"/>
    </i>
    <i>
      <x v="734"/>
      <x v="4015"/>
      <x v="41"/>
      <x v="1"/>
    </i>
    <i>
      <x v="736"/>
      <x v="3340"/>
      <x v="36"/>
      <x v="1"/>
    </i>
    <i>
      <x v="737"/>
      <x v="860"/>
      <x v="36"/>
      <x v="1"/>
    </i>
    <i>
      <x v="738"/>
      <x v="858"/>
      <x v="36"/>
      <x v="1"/>
    </i>
    <i>
      <x v="742"/>
      <x v="3659"/>
      <x v="36"/>
      <x v="1"/>
    </i>
    <i>
      <x v="744"/>
      <x v="3341"/>
      <x v="36"/>
      <x v="1"/>
    </i>
    <i>
      <x v="745"/>
      <x v="3660"/>
      <x v="36"/>
      <x v="1"/>
    </i>
    <i>
      <x v="746"/>
      <x v="3661"/>
      <x v="36"/>
      <x v="1"/>
    </i>
    <i>
      <x v="748"/>
      <x v="3343"/>
      <x v="36"/>
      <x v="1"/>
    </i>
    <i>
      <x v="751"/>
      <x v="3345"/>
      <x v="41"/>
      <x v="1"/>
    </i>
    <i>
      <x v="752"/>
      <x v="4019"/>
      <x v="41"/>
      <x v="1"/>
    </i>
    <i>
      <x v="754"/>
      <x v="2771"/>
      <x v="36"/>
      <x v="1"/>
    </i>
    <i>
      <x v="756"/>
      <x v="3346"/>
      <x v="36"/>
      <x v="1"/>
    </i>
    <i>
      <x v="758"/>
      <x v="3663"/>
      <x v="36"/>
      <x v="1"/>
    </i>
    <i>
      <x v="759"/>
      <x v="1228"/>
      <x v="36"/>
      <x v="1"/>
    </i>
    <i>
      <x v="760"/>
      <x v="1670"/>
      <x v="36"/>
      <x v="1"/>
    </i>
    <i>
      <x v="763"/>
      <x v="3350"/>
      <x v="36"/>
      <x v="1"/>
    </i>
    <i>
      <x v="765"/>
      <x v="3352"/>
      <x v="36"/>
      <x v="1"/>
    </i>
    <i>
      <x v="766"/>
      <x v="2115"/>
      <x v="36"/>
      <x v="1"/>
    </i>
    <i>
      <x v="767"/>
      <x v="2536"/>
      <x v="36"/>
      <x v="1"/>
    </i>
    <i>
      <x v="768"/>
      <x v="2533"/>
      <x v="36"/>
      <x v="1"/>
    </i>
    <i>
      <x v="769"/>
      <x v="4022"/>
      <x v="41"/>
      <x v="1"/>
    </i>
    <i>
      <x v="770"/>
      <x v="2389"/>
      <x v="36"/>
      <x v="1"/>
    </i>
    <i>
      <x v="774"/>
      <x v="3665"/>
      <x v="36"/>
      <x v="1"/>
    </i>
    <i>
      <x v="776"/>
      <x v="2197"/>
      <x v="36"/>
      <x v="1"/>
    </i>
    <i>
      <x v="778"/>
      <x v="4335"/>
      <x v="36"/>
      <x v="1"/>
    </i>
    <i>
      <x v="779"/>
      <x v="3358"/>
      <x v="36"/>
      <x v="1"/>
    </i>
    <i>
      <x v="782"/>
      <x v="2690"/>
      <x v="15"/>
      <x v="1"/>
    </i>
    <i>
      <x v="783"/>
      <x v="1249"/>
      <x v="15"/>
      <x v="1"/>
    </i>
    <i>
      <x v="784"/>
      <x v="1250"/>
      <x v="15"/>
      <x v="1"/>
    </i>
    <i>
      <x v="786"/>
      <x v="4338"/>
      <x v="44"/>
      <x v="1"/>
    </i>
    <i>
      <x v="787"/>
      <x v="4028"/>
      <x v="36"/>
      <x v="1"/>
    </i>
    <i>
      <x v="791"/>
      <x v="1079"/>
      <x v="44"/>
      <x v="1"/>
    </i>
    <i>
      <x v="795"/>
      <x v="1298"/>
      <x v="36"/>
      <x v="1"/>
    </i>
    <i>
      <x v="796"/>
      <x v="750"/>
      <x v="4"/>
      <x v="1"/>
    </i>
    <i>
      <x v="797"/>
      <x v="3369"/>
      <x v="36"/>
      <x v="1"/>
    </i>
    <i>
      <x v="798"/>
      <x v="1251"/>
      <x v="15"/>
      <x v="1"/>
    </i>
    <i>
      <x v="800"/>
      <x v="2083"/>
      <x v="41"/>
      <x v="1"/>
    </i>
    <i>
      <x v="802"/>
      <x v="2039"/>
      <x v="41"/>
      <x v="1"/>
    </i>
    <i>
      <x v="803"/>
      <x v="3371"/>
      <x v="41"/>
      <x v="1"/>
    </i>
    <i>
      <x v="804"/>
      <x v="1671"/>
      <x v="44"/>
      <x v="1"/>
    </i>
    <i>
      <x v="806"/>
      <x v="1253"/>
      <x v="15"/>
      <x v="1"/>
    </i>
    <i>
      <x v="810"/>
      <x v="3373"/>
      <x v="36"/>
      <x v="1"/>
    </i>
    <i>
      <x v="811"/>
      <x v="3374"/>
      <x v="36"/>
      <x v="1"/>
    </i>
    <i>
      <x v="813"/>
      <x v="1292"/>
      <x v="36"/>
      <x v="1"/>
    </i>
    <i>
      <x v="814"/>
      <x v="1293"/>
      <x v="36"/>
      <x v="1"/>
    </i>
    <i>
      <x v="816"/>
      <x v="2576"/>
      <x v="36"/>
      <x v="1"/>
    </i>
    <i>
      <x v="817"/>
      <x v="3378"/>
      <x v="36"/>
      <x v="1"/>
    </i>
    <i>
      <x v="818"/>
      <x v="3379"/>
      <x v="36"/>
      <x v="1"/>
    </i>
    <i>
      <x v="823"/>
      <x v="3380"/>
      <x v="36"/>
      <x v="1"/>
    </i>
    <i>
      <x v="824"/>
      <x v="3683"/>
      <x v="41"/>
      <x v="1"/>
    </i>
    <i>
      <x v="827"/>
      <x v="3383"/>
      <x v="36"/>
      <x v="1"/>
    </i>
    <i>
      <x v="828"/>
      <x v="3384"/>
      <x v="36"/>
      <x v="1"/>
    </i>
    <i>
      <x v="831"/>
      <x v="3386"/>
      <x v="36"/>
      <x v="1"/>
    </i>
    <i>
      <x v="834"/>
      <x v="2134"/>
      <x v="36"/>
      <x v="1"/>
    </i>
    <i>
      <x v="840"/>
      <x v="1947"/>
      <x v="28"/>
      <x v="1"/>
    </i>
    <i>
      <x v="842"/>
      <x v="1949"/>
      <x v="28"/>
      <x v="1"/>
    </i>
    <i>
      <x v="852"/>
      <x v="3079"/>
      <x v="1"/>
      <x v="1"/>
    </i>
    <i>
      <x v="853"/>
      <x v="2315"/>
      <x v="46"/>
      <x v="1"/>
    </i>
    <i>
      <x v="854"/>
      <x v="2348"/>
      <x v="47"/>
      <x v="1"/>
    </i>
    <i>
      <x v="856"/>
      <x v="898"/>
      <x v="11"/>
      <x v="1"/>
    </i>
    <i>
      <x v="858"/>
      <x v="3393"/>
      <x v="15"/>
      <x v="1"/>
    </i>
    <i>
      <x v="860"/>
      <x v="1879"/>
      <x v="19"/>
      <x v="1"/>
    </i>
    <i>
      <x v="861"/>
      <x v="4038"/>
      <x v="41"/>
      <x v="1"/>
    </i>
    <i>
      <x v="863"/>
      <x v="3394"/>
      <x v="32"/>
      <x v="1"/>
    </i>
    <i>
      <x v="864"/>
      <x v="2697"/>
      <x v="36"/>
      <x v="1"/>
    </i>
    <i>
      <x v="865"/>
      <x v="3690"/>
      <x v="36"/>
      <x v="1"/>
    </i>
    <i>
      <x v="866"/>
      <x v="4039"/>
      <x v="36"/>
      <x v="1"/>
    </i>
    <i>
      <x v="867"/>
      <x v="3395"/>
      <x v="36"/>
      <x v="1"/>
    </i>
    <i>
      <x v="868"/>
      <x v="3396"/>
      <x v="36"/>
      <x v="1"/>
    </i>
    <i>
      <x v="873"/>
      <x v="2210"/>
      <x v="36"/>
      <x v="1"/>
    </i>
    <i>
      <x v="874"/>
      <x v="923"/>
      <x v="36"/>
      <x v="1"/>
    </i>
    <i>
      <x v="876"/>
      <x v="2179"/>
      <x v="36"/>
      <x v="1"/>
    </i>
    <i>
      <x v="877"/>
      <x v="654"/>
      <x v="36"/>
      <x v="1"/>
    </i>
    <i>
      <x v="878"/>
      <x v="657"/>
      <x v="36"/>
      <x v="1"/>
    </i>
    <i>
      <x v="879"/>
      <x v="2072"/>
      <x v="36"/>
      <x v="1"/>
    </i>
    <i>
      <x v="883"/>
      <x v="3401"/>
      <x v="41"/>
      <x v="1"/>
    </i>
    <i>
      <x v="887"/>
      <x v="1126"/>
      <x v="41"/>
      <x v="1"/>
    </i>
    <i>
      <x v="888"/>
      <x v="2068"/>
      <x v="41"/>
      <x v="1"/>
    </i>
    <i>
      <x v="892"/>
      <x v="2538"/>
      <x v="36"/>
      <x v="1"/>
    </i>
    <i>
      <x v="896"/>
      <x v="674"/>
      <x v="42"/>
      <x v="1"/>
    </i>
    <i>
      <x v="897"/>
      <x v="1030"/>
      <x v="36"/>
      <x v="1"/>
    </i>
    <i>
      <x v="898"/>
      <x v="4348"/>
      <x v="41"/>
      <x v="1"/>
    </i>
    <i>
      <x v="900"/>
      <x v="2065"/>
      <x v="41"/>
      <x v="1"/>
    </i>
    <i>
      <x v="902"/>
      <x v="3697"/>
      <x v="36"/>
      <x v="1"/>
    </i>
    <i>
      <x v="904"/>
      <x v="2135"/>
      <x v="36"/>
      <x v="1"/>
    </i>
    <i>
      <x v="906"/>
      <x v="579"/>
      <x v="36"/>
      <x v="1"/>
    </i>
    <i>
      <x v="910"/>
      <x v="4043"/>
      <x v="41"/>
      <x v="1"/>
    </i>
    <i>
      <x v="913"/>
      <x v="2803"/>
      <x v="4"/>
      <x v="1"/>
    </i>
    <i>
      <x v="914"/>
      <x v="2071"/>
      <x v="32"/>
      <x v="1"/>
    </i>
    <i>
      <x v="917"/>
      <x v="4045"/>
      <x v="41"/>
      <x v="1"/>
    </i>
    <i>
      <x v="918"/>
      <x v="2067"/>
      <x v="41"/>
      <x v="1"/>
    </i>
    <i>
      <x v="919"/>
      <x v="2075"/>
      <x v="36"/>
      <x v="1"/>
    </i>
    <i>
      <x v="920"/>
      <x v="2073"/>
      <x v="36"/>
      <x v="1"/>
    </i>
    <i>
      <x v="922"/>
      <x v="1622"/>
      <x v="41"/>
      <x v="1"/>
    </i>
    <i>
      <x v="923"/>
      <x v="4046"/>
      <x v="36"/>
      <x v="1"/>
    </i>
    <i>
      <x v="924"/>
      <x v="592"/>
      <x v="36"/>
      <x v="1"/>
    </i>
    <i>
      <x v="925"/>
      <x v="3405"/>
      <x v="41"/>
      <x v="1"/>
    </i>
    <i>
      <x v="927"/>
      <x v="979"/>
      <x v="36"/>
      <x v="1"/>
    </i>
    <i>
      <x v="928"/>
      <x v="3014"/>
      <x v="36"/>
      <x v="1"/>
    </i>
    <i>
      <x v="929"/>
      <x v="3407"/>
      <x v="36"/>
      <x v="1"/>
    </i>
    <i>
      <x v="931"/>
      <x v="3704"/>
      <x v="36"/>
      <x v="1"/>
    </i>
    <i>
      <x v="935"/>
      <x v="3016"/>
      <x v="41"/>
      <x v="1"/>
    </i>
    <i>
      <x v="937"/>
      <x v="3412"/>
      <x v="44"/>
      <x v="1"/>
    </i>
    <i>
      <x v="938"/>
      <x v="4050"/>
      <x v="36"/>
      <x v="1"/>
    </i>
    <i>
      <x v="939"/>
      <x v="3414"/>
      <x v="36"/>
      <x v="1"/>
    </i>
    <i>
      <x v="940"/>
      <x v="3415"/>
      <x v="36"/>
      <x v="1"/>
    </i>
    <i>
      <x v="941"/>
      <x v="1804"/>
      <x v="36"/>
      <x v="1"/>
    </i>
    <i>
      <x v="942"/>
      <x v="3416"/>
      <x v="41"/>
      <x v="1"/>
    </i>
    <i>
      <x v="947"/>
      <x v="2069"/>
      <x v="54"/>
      <x v="1"/>
    </i>
    <i>
      <x v="948"/>
      <x v="3426"/>
      <x v="36"/>
      <x v="1"/>
    </i>
    <i>
      <x v="949"/>
      <x v="3097"/>
      <x v="36"/>
      <x v="1"/>
    </i>
    <i>
      <x v="950"/>
      <x v="3427"/>
      <x v="36"/>
      <x v="1"/>
    </i>
    <i>
      <x v="952"/>
      <x v="3430"/>
      <x v="36"/>
      <x v="1"/>
    </i>
    <i>
      <x v="953"/>
      <x v="2216"/>
      <x v="36"/>
      <x v="1"/>
    </i>
    <i>
      <x v="954"/>
      <x v="3080"/>
      <x v="36"/>
      <x v="1"/>
    </i>
    <i>
      <x v="955"/>
      <x v="2278"/>
      <x v="36"/>
      <x v="1"/>
    </i>
    <i>
      <x v="956"/>
      <x v="2388"/>
      <x v="36"/>
      <x v="1"/>
    </i>
    <i>
      <x v="957"/>
      <x v="689"/>
      <x v="36"/>
      <x v="1"/>
    </i>
    <i>
      <x v="958"/>
      <x v="3713"/>
      <x v="36"/>
      <x v="1"/>
    </i>
    <i>
      <x v="959"/>
      <x v="3432"/>
      <x v="36"/>
      <x v="1"/>
    </i>
    <i>
      <x v="960"/>
      <x v="1149"/>
      <x v="36"/>
      <x v="1"/>
    </i>
    <i>
      <x v="961"/>
      <x v="3433"/>
      <x v="36"/>
      <x v="1"/>
    </i>
    <i>
      <x v="962"/>
      <x v="2730"/>
      <x v="36"/>
      <x v="1"/>
    </i>
    <i>
      <x v="963"/>
      <x v="1025"/>
      <x v="36"/>
      <x v="1"/>
    </i>
    <i>
      <x v="964"/>
      <x v="582"/>
      <x v="36"/>
      <x v="1"/>
    </i>
    <i>
      <x v="965"/>
      <x v="583"/>
      <x v="36"/>
      <x v="1"/>
    </i>
    <i>
      <x v="967"/>
      <x v="1875"/>
      <x v="36"/>
      <x v="1"/>
    </i>
    <i>
      <x v="969"/>
      <x v="2143"/>
      <x v="36"/>
      <x v="1"/>
    </i>
    <i>
      <x v="970"/>
      <x v="1988"/>
      <x v="36"/>
      <x v="1"/>
    </i>
    <i>
      <x v="971"/>
      <x v="1662"/>
      <x v="36"/>
      <x v="1"/>
    </i>
    <i>
      <x v="972"/>
      <x v="2445"/>
      <x v="36"/>
      <x v="1"/>
    </i>
    <i>
      <x v="973"/>
      <x v="2206"/>
      <x v="36"/>
      <x v="1"/>
    </i>
    <i>
      <x v="974"/>
      <x v="2209"/>
      <x v="36"/>
      <x v="1"/>
    </i>
    <i>
      <x v="975"/>
      <x v="984"/>
      <x v="36"/>
      <x v="1"/>
    </i>
    <i>
      <x v="976"/>
      <x v="989"/>
      <x v="36"/>
      <x v="1"/>
    </i>
    <i>
      <x v="977"/>
      <x v="2049"/>
      <x v="36"/>
      <x v="1"/>
    </i>
    <i>
      <x v="978"/>
      <x v="2186"/>
      <x v="41"/>
      <x v="1"/>
    </i>
    <i>
      <x v="979"/>
      <x v="3436"/>
      <x v="36"/>
      <x v="1"/>
    </i>
    <i>
      <x v="981"/>
      <x v="2095"/>
      <x v="31"/>
      <x v="1"/>
    </i>
    <i>
      <x v="982"/>
      <x v="897"/>
      <x v="11"/>
      <x v="1"/>
    </i>
    <i>
      <x v="983"/>
      <x v="896"/>
      <x v="11"/>
      <x v="1"/>
    </i>
    <i>
      <x v="986"/>
      <x v="909"/>
      <x v="11"/>
      <x v="1"/>
    </i>
    <i>
      <x v="988"/>
      <x v="2804"/>
      <x v="4"/>
      <x v="1"/>
    </i>
    <i>
      <x v="989"/>
      <x v="3437"/>
      <x v="15"/>
      <x v="1"/>
    </i>
    <i>
      <x v="991"/>
      <x v="1257"/>
      <x v="15"/>
      <x v="1"/>
    </i>
    <i>
      <x v="992"/>
      <x v="1258"/>
      <x v="15"/>
      <x v="1"/>
    </i>
    <i>
      <x v="993"/>
      <x v="1259"/>
      <x v="15"/>
      <x v="1"/>
    </i>
    <i>
      <x v="994"/>
      <x v="1260"/>
      <x v="15"/>
      <x v="1"/>
    </i>
    <i>
      <x v="995"/>
      <x v="3438"/>
      <x v="15"/>
      <x v="1"/>
    </i>
    <i>
      <x v="996"/>
      <x v="2485"/>
      <x v="4"/>
      <x v="1"/>
    </i>
    <i>
      <x v="997"/>
      <x v="4062"/>
      <x v="36"/>
      <x v="1"/>
    </i>
    <i>
      <x v="998"/>
      <x v="4356"/>
      <x v="36"/>
      <x v="1"/>
    </i>
    <i>
      <x v="999"/>
      <x v="978"/>
      <x v="36"/>
      <x v="1"/>
    </i>
    <i>
      <x v="1000"/>
      <x v="1333"/>
      <x v="36"/>
      <x v="1"/>
    </i>
    <i>
      <x v="1002"/>
      <x v="3441"/>
      <x v="36"/>
      <x v="1"/>
    </i>
    <i>
      <x v="1003"/>
      <x v="3442"/>
      <x v="36"/>
      <x v="1"/>
    </i>
    <i>
      <x v="1004"/>
      <x v="3443"/>
      <x v="36"/>
      <x v="1"/>
    </i>
    <i>
      <x v="1005"/>
      <x v="3444"/>
      <x v="36"/>
      <x v="1"/>
    </i>
    <i>
      <x v="1006"/>
      <x v="3445"/>
      <x v="41"/>
      <x v="1"/>
    </i>
    <i>
      <x v="1007"/>
      <x v="1329"/>
      <x v="36"/>
      <x v="1"/>
    </i>
    <i>
      <x v="1009"/>
      <x v="1320"/>
      <x v="36"/>
      <x v="1"/>
    </i>
    <i>
      <x v="1011"/>
      <x v="1321"/>
      <x v="36"/>
      <x v="1"/>
    </i>
    <i>
      <x v="1012"/>
      <x v="3446"/>
      <x v="36"/>
      <x v="1"/>
    </i>
    <i>
      <x v="1013"/>
      <x v="3447"/>
      <x v="36"/>
      <x v="1"/>
    </i>
    <i>
      <x v="1014"/>
      <x v="4065"/>
      <x v="36"/>
      <x v="1"/>
    </i>
    <i>
      <x v="1015"/>
      <x v="3448"/>
      <x v="36"/>
      <x v="1"/>
    </i>
    <i>
      <x v="1016"/>
      <x v="1351"/>
      <x v="36"/>
      <x v="1"/>
    </i>
    <i>
      <x v="1018"/>
      <x v="1349"/>
      <x v="41"/>
      <x v="1"/>
    </i>
    <i>
      <x v="1019"/>
      <x v="3722"/>
      <x v="36"/>
      <x v="1"/>
    </i>
    <i>
      <x v="1020"/>
      <x v="3449"/>
      <x v="36"/>
      <x v="1"/>
    </i>
    <i>
      <x v="1021"/>
      <x v="1356"/>
      <x v="36"/>
      <x v="1"/>
    </i>
    <i>
      <x v="1024"/>
      <x v="3726"/>
      <x v="41"/>
      <x v="1"/>
    </i>
    <i>
      <x v="1026"/>
      <x v="3451"/>
      <x v="36"/>
      <x v="1"/>
    </i>
    <i>
      <x v="1027"/>
      <x v="3452"/>
      <x v="36"/>
      <x v="1"/>
    </i>
    <i>
      <x v="1028"/>
      <x v="3453"/>
      <x v="36"/>
      <x v="1"/>
    </i>
    <i>
      <x v="1029"/>
      <x v="4068"/>
      <x v="36"/>
      <x v="1"/>
    </i>
    <i>
      <x v="1030"/>
      <x v="3454"/>
      <x v="36"/>
      <x v="1"/>
    </i>
    <i>
      <x v="1032"/>
      <x v="3456"/>
      <x v="41"/>
      <x v="1"/>
    </i>
    <i>
      <x v="1033"/>
      <x v="3727"/>
      <x v="41"/>
      <x v="1"/>
    </i>
    <i>
      <x v="1034"/>
      <x v="3805"/>
      <x v="41"/>
      <x v="1"/>
    </i>
    <i>
      <x v="1035"/>
      <x v="3458"/>
      <x v="41"/>
      <x v="1"/>
    </i>
    <i>
      <x v="1036"/>
      <x v="3460"/>
      <x v="36"/>
      <x v="1"/>
    </i>
    <i>
      <x v="1038"/>
      <x v="3462"/>
      <x v="36"/>
      <x v="1"/>
    </i>
    <i>
      <x v="1039"/>
      <x v="3463"/>
      <x v="36"/>
      <x v="1"/>
    </i>
    <i>
      <x v="1040"/>
      <x v="673"/>
      <x v="36"/>
      <x v="1"/>
    </i>
    <i>
      <x v="1043"/>
      <x v="1152"/>
      <x v="36"/>
      <x v="1"/>
    </i>
    <i>
      <x v="1044"/>
      <x v="3731"/>
      <x v="41"/>
      <x v="1"/>
    </i>
    <i>
      <x v="1046"/>
      <x v="690"/>
      <x v="41"/>
      <x v="1"/>
    </i>
    <i>
      <x v="1047"/>
      <x v="3466"/>
      <x v="36"/>
      <x v="1"/>
    </i>
    <i>
      <x v="1049"/>
      <x v="3467"/>
      <x v="36"/>
      <x v="1"/>
    </i>
    <i>
      <x v="1050"/>
      <x v="3734"/>
      <x v="36"/>
      <x v="1"/>
    </i>
    <i>
      <x v="1052"/>
      <x v="3469"/>
      <x v="36"/>
      <x v="1"/>
    </i>
    <i>
      <x v="1053"/>
      <x v="3735"/>
      <x v="36"/>
      <x v="1"/>
    </i>
    <i>
      <x v="1054"/>
      <x v="980"/>
      <x v="36"/>
      <x v="1"/>
    </i>
    <i>
      <x v="1055"/>
      <x v="4360"/>
      <x v="41"/>
      <x v="1"/>
    </i>
    <i>
      <x v="1056"/>
      <x v="2202"/>
      <x v="32"/>
      <x v="1"/>
    </i>
    <i>
      <x v="1058"/>
      <x v="2189"/>
      <x v="36"/>
      <x v="1"/>
    </i>
    <i>
      <x v="1059"/>
      <x v="4076"/>
      <x v="36"/>
      <x v="1"/>
    </i>
    <i>
      <x v="1060"/>
      <x v="3472"/>
      <x v="36"/>
      <x v="1"/>
    </i>
    <i>
      <x v="1061"/>
      <x v="3473"/>
      <x v="36"/>
      <x v="1"/>
    </i>
    <i>
      <x v="1062"/>
      <x v="3474"/>
      <x v="36"/>
      <x v="1"/>
    </i>
    <i>
      <x v="1063"/>
      <x v="4363"/>
      <x v="36"/>
      <x v="1"/>
    </i>
    <i>
      <x v="1064"/>
      <x v="4079"/>
      <x v="36"/>
      <x v="1"/>
    </i>
    <i>
      <x v="1065"/>
      <x v="3476"/>
      <x v="36"/>
      <x v="1"/>
    </i>
    <i>
      <x v="1066"/>
      <x v="3477"/>
      <x v="41"/>
      <x v="1"/>
    </i>
    <i>
      <x v="1067"/>
      <x v="3478"/>
      <x v="36"/>
      <x v="1"/>
    </i>
    <i>
      <x v="1068"/>
      <x v="3479"/>
      <x v="41"/>
      <x v="1"/>
    </i>
    <i>
      <x v="1069"/>
      <x v="3480"/>
      <x v="36"/>
      <x v="1"/>
    </i>
    <i>
      <x v="1070"/>
      <x v="3481"/>
      <x v="36"/>
      <x v="1"/>
    </i>
    <i>
      <x v="1073"/>
      <x v="3483"/>
      <x v="36"/>
      <x v="1"/>
    </i>
    <i>
      <x v="1075"/>
      <x v="3737"/>
      <x v="41"/>
      <x v="1"/>
    </i>
    <i>
      <x v="1076"/>
      <x v="3738"/>
      <x v="41"/>
      <x v="1"/>
    </i>
    <i>
      <x v="1077"/>
      <x v="3484"/>
      <x v="36"/>
      <x v="1"/>
    </i>
    <i>
      <x v="1078"/>
      <x v="3485"/>
      <x v="36"/>
      <x v="1"/>
    </i>
    <i>
      <x v="1079"/>
      <x v="3486"/>
      <x v="36"/>
      <x v="1"/>
    </i>
    <i>
      <x v="1080"/>
      <x v="3487"/>
      <x v="36"/>
      <x v="1"/>
    </i>
    <i>
      <x v="1081"/>
      <x v="3488"/>
      <x v="36"/>
      <x v="1"/>
    </i>
    <i>
      <x v="1083"/>
      <x v="3740"/>
      <x v="41"/>
      <x v="1"/>
    </i>
    <i>
      <x v="1084"/>
      <x v="3489"/>
      <x v="41"/>
      <x v="1"/>
    </i>
    <i>
      <x v="1085"/>
      <x v="893"/>
      <x v="57"/>
      <x v="1"/>
    </i>
    <i>
      <x v="1088"/>
      <x v="3490"/>
      <x v="4"/>
      <x v="1"/>
    </i>
    <i>
      <x v="1090"/>
      <x v="3491"/>
      <x v="36"/>
      <x v="1"/>
    </i>
    <i>
      <x v="1092"/>
      <x v="2640"/>
      <x v="36"/>
      <x v="1"/>
    </i>
    <i>
      <x v="1093"/>
      <x v="4082"/>
      <x v="36"/>
      <x v="1"/>
    </i>
    <i>
      <x v="1185"/>
      <x v="830"/>
      <x v="5"/>
      <x v="2"/>
    </i>
    <i>
      <x v="1309"/>
      <x v="1881"/>
      <x v="85"/>
      <x v="2"/>
    </i>
    <i>
      <x v="1357"/>
      <x v="2699"/>
      <x v="22"/>
      <x v="2"/>
    </i>
    <i>
      <x v="1358"/>
      <x v="2700"/>
      <x v="22"/>
      <x v="2"/>
    </i>
    <i>
      <x v="1384"/>
      <x v="1387"/>
      <x v="16"/>
      <x v="2"/>
    </i>
    <i>
      <x v="1392"/>
      <x v="4383"/>
      <x v="40"/>
      <x v="2"/>
    </i>
    <i>
      <x v="1394"/>
      <x v="4098"/>
      <x v="40"/>
      <x v="2"/>
    </i>
    <i>
      <x v="1395"/>
      <x v="12"/>
      <x v="40"/>
      <x v="2"/>
    </i>
    <i>
      <x v="1397"/>
      <x v="15"/>
      <x v="37"/>
      <x v="2"/>
    </i>
    <i>
      <x v="1403"/>
      <x v="17"/>
      <x v="40"/>
      <x v="2"/>
    </i>
    <i>
      <x v="1404"/>
      <x v="27"/>
      <x v="40"/>
      <x v="2"/>
    </i>
    <i>
      <x v="1407"/>
      <x v="18"/>
      <x v="37"/>
      <x v="2"/>
    </i>
    <i>
      <x v="1410"/>
      <x v="1386"/>
      <x v="16"/>
      <x v="2"/>
    </i>
    <i>
      <x v="1413"/>
      <x v="1899"/>
      <x v="23"/>
      <x v="2"/>
    </i>
    <i>
      <x v="1414"/>
      <x v="1901"/>
      <x v="23"/>
      <x v="2"/>
    </i>
    <i>
      <x v="1415"/>
      <x v="1900"/>
      <x v="23"/>
      <x v="2"/>
    </i>
    <i>
      <x v="1419"/>
      <x v="4101"/>
      <x v="40"/>
      <x v="2"/>
    </i>
    <i>
      <x v="1423"/>
      <x v="4102"/>
      <x v="37"/>
      <x v="2"/>
    </i>
    <i>
      <x v="1454"/>
      <x v="1780"/>
      <x v="66"/>
      <x v="2"/>
    </i>
    <i>
      <x v="1811"/>
      <x v="820"/>
      <x v="36"/>
      <x v="1"/>
    </i>
    <i>
      <x v="1813"/>
      <x v="715"/>
      <x v="41"/>
      <x v="1"/>
    </i>
    <i>
      <x v="1865"/>
      <x v="1932"/>
      <x v="26"/>
      <x v="2"/>
    </i>
    <i>
      <x v="1875"/>
      <x v="1971"/>
      <x v="4"/>
      <x v="1"/>
    </i>
    <i>
      <x v="1908"/>
      <x v="1918"/>
      <x v="25"/>
      <x v="2"/>
    </i>
    <i>
      <x v="1911"/>
      <x v="2101"/>
      <x v="71"/>
      <x v="2"/>
    </i>
    <i>
      <x v="1916"/>
      <x v="937"/>
      <x v="36"/>
      <x v="1"/>
    </i>
    <i>
      <x v="1920"/>
      <x v="2098"/>
      <x v="71"/>
      <x v="2"/>
    </i>
    <i>
      <x v="1939"/>
      <x v="2100"/>
      <x v="71"/>
      <x v="2"/>
    </i>
    <i>
      <x v="1957"/>
      <x v="781"/>
      <x v="74"/>
      <x v="2"/>
    </i>
    <i>
      <x v="1971"/>
      <x v="799"/>
      <x v="74"/>
      <x v="2"/>
    </i>
    <i>
      <x v="1972"/>
      <x v="803"/>
      <x v="74"/>
      <x v="2"/>
    </i>
    <i>
      <x v="1978"/>
      <x v="3500"/>
      <x v="26"/>
      <x v="2"/>
    </i>
    <i>
      <x v="1992"/>
      <x v="1925"/>
      <x v="25"/>
      <x v="2"/>
    </i>
    <i>
      <x v="2036"/>
      <x v="810"/>
      <x v="74"/>
      <x v="2"/>
    </i>
    <i>
      <x v="2160"/>
      <x v="1674"/>
      <x v="36"/>
      <x v="1"/>
    </i>
    <i>
      <x v="2217"/>
      <x v="3522"/>
      <x v="36"/>
      <x v="1"/>
    </i>
    <i>
      <x v="2218"/>
      <x v="3522"/>
      <x v="36"/>
      <x v="1"/>
    </i>
    <i>
      <x v="2385"/>
      <x v="1711"/>
      <x v="36"/>
      <x v="1"/>
    </i>
    <i>
      <x v="2522"/>
      <x v="1368"/>
      <x v="36"/>
      <x v="1"/>
    </i>
    <i>
      <x v="2562"/>
      <x v="2987"/>
      <x v="4"/>
      <x v="1"/>
    </i>
    <i>
      <x v="2586"/>
      <x v="3546"/>
      <x v="4"/>
      <x v="1"/>
    </i>
    <i>
      <x v="2612"/>
      <x v="669"/>
      <x v="36"/>
      <x v="1"/>
    </i>
    <i>
      <x v="2632"/>
      <x v="1284"/>
      <x v="4"/>
      <x v="1"/>
    </i>
    <i>
      <x v="2638"/>
      <x v="1218"/>
      <x v="4"/>
      <x v="1"/>
    </i>
    <i>
      <x v="2640"/>
      <x v="4384"/>
      <x v="4"/>
      <x v="1"/>
    </i>
    <i>
      <x v="2682"/>
      <x v="914"/>
      <x v="89"/>
      <x v="2"/>
    </i>
    <i>
      <x v="2685"/>
      <x v="1763"/>
      <x v="90"/>
      <x v="2"/>
    </i>
    <i>
      <x v="2687"/>
      <x v="4105"/>
      <x v="90"/>
      <x v="2"/>
    </i>
    <i>
      <x v="2712"/>
      <x v="2258"/>
      <x v="91"/>
      <x v="2"/>
    </i>
    <i>
      <x v="2715"/>
      <x v="970"/>
      <x v="91"/>
      <x v="2"/>
    </i>
    <i>
      <x v="2724"/>
      <x v="1707"/>
      <x v="90"/>
      <x v="2"/>
    </i>
    <i>
      <x v="2725"/>
      <x v="1725"/>
      <x v="90"/>
      <x v="2"/>
    </i>
    <i>
      <x v="2727"/>
      <x v="1762"/>
      <x v="90"/>
      <x v="2"/>
    </i>
    <i>
      <x v="2730"/>
      <x v="1722"/>
      <x v="90"/>
      <x v="2"/>
    </i>
    <i>
      <x v="2732"/>
      <x v="1705"/>
      <x v="90"/>
      <x v="2"/>
    </i>
    <i>
      <x v="2734"/>
      <x v="1724"/>
      <x v="90"/>
      <x v="2"/>
    </i>
    <i>
      <x v="2742"/>
      <x v="3246"/>
      <x v="32"/>
      <x v="1"/>
    </i>
    <i>
      <x v="2743"/>
      <x v="3264"/>
      <x v="6"/>
      <x v="1"/>
    </i>
    <i>
      <x v="2744"/>
      <x v="3271"/>
      <x v="1"/>
      <x v="1"/>
    </i>
    <i>
      <x v="2745"/>
      <x v="3276"/>
      <x v="6"/>
      <x v="1"/>
    </i>
    <i>
      <x v="2746"/>
      <x v="3279"/>
      <x v="36"/>
      <x v="1"/>
    </i>
    <i>
      <x v="2747"/>
      <x v="2773"/>
      <x v="36"/>
      <x v="1"/>
    </i>
    <i>
      <x v="2748"/>
      <x v="3431"/>
      <x v="36"/>
      <x v="1"/>
    </i>
    <i>
      <x v="2749"/>
      <x v="3036"/>
      <x v="36"/>
      <x v="1"/>
    </i>
    <i>
      <x v="2750"/>
      <x v="2776"/>
      <x v="36"/>
      <x v="1"/>
    </i>
    <i>
      <x v="2751"/>
      <x v="2786"/>
      <x v="36"/>
      <x v="1"/>
    </i>
    <i>
      <x v="2753"/>
      <x v="2788"/>
      <x v="32"/>
      <x v="1"/>
    </i>
    <i>
      <x v="2754"/>
      <x v="2789"/>
      <x v="32"/>
      <x v="1"/>
    </i>
    <i>
      <x v="2756"/>
      <x v="3353"/>
      <x v="36"/>
      <x v="1"/>
    </i>
    <i>
      <x v="2757"/>
      <x v="3403"/>
      <x v="36"/>
      <x v="1"/>
    </i>
    <i>
      <x v="2758"/>
      <x v="3420"/>
      <x v="36"/>
      <x v="1"/>
    </i>
    <i>
      <x v="2759"/>
      <x v="3493"/>
      <x v="36"/>
      <x v="1"/>
    </i>
    <i>
      <x v="2764"/>
      <x v="3588"/>
      <x v="32"/>
      <x v="1"/>
    </i>
    <i>
      <x v="2765"/>
      <x v="3049"/>
      <x v="8"/>
      <x v="1"/>
    </i>
    <i>
      <x v="2768"/>
      <x v="2815"/>
      <x v="32"/>
      <x v="1"/>
    </i>
    <i>
      <x v="2769"/>
      <x v="2780"/>
      <x v="41"/>
      <x v="1"/>
    </i>
    <i>
      <x v="2771"/>
      <x v="1815"/>
      <x v="1"/>
      <x v="1"/>
    </i>
    <i>
      <x v="2774"/>
      <x v="2819"/>
      <x v="32"/>
      <x v="1"/>
    </i>
    <i>
      <x v="2775"/>
      <x v="1728"/>
      <x v="32"/>
      <x v="1"/>
    </i>
    <i>
      <x v="2776"/>
      <x v="2814"/>
      <x v="32"/>
      <x v="1"/>
    </i>
    <i>
      <x v="2777"/>
      <x v="2820"/>
      <x v="32"/>
      <x v="1"/>
    </i>
    <i>
      <x v="2779"/>
      <x v="3032"/>
      <x v="32"/>
      <x v="1"/>
    </i>
    <i>
      <x v="2781"/>
      <x v="2823"/>
      <x v="36"/>
      <x v="1"/>
    </i>
    <i>
      <x v="2782"/>
      <x v="2824"/>
      <x v="32"/>
      <x v="1"/>
    </i>
    <i>
      <x v="2783"/>
      <x v="2825"/>
      <x v="41"/>
      <x v="1"/>
    </i>
    <i>
      <x v="2784"/>
      <x v="2826"/>
      <x v="36"/>
      <x v="1"/>
    </i>
    <i>
      <x v="2787"/>
      <x v="660"/>
      <x v="41"/>
      <x v="1"/>
    </i>
    <i>
      <x v="2788"/>
      <x v="2829"/>
      <x v="36"/>
      <x v="1"/>
    </i>
    <i>
      <x v="2789"/>
      <x v="1371"/>
      <x v="36"/>
      <x v="1"/>
    </i>
    <i>
      <x v="2791"/>
      <x v="1936"/>
      <x v="26"/>
      <x v="2"/>
    </i>
    <i>
      <x v="2792"/>
      <x v="2837"/>
      <x v="32"/>
      <x v="1"/>
    </i>
    <i>
      <x v="2793"/>
      <x v="2820"/>
      <x v="32"/>
      <x v="1"/>
    </i>
    <i>
      <x v="2794"/>
      <x v="3303"/>
      <x v="36"/>
      <x v="1"/>
    </i>
    <i>
      <x v="2795"/>
      <x v="3320"/>
      <x v="36"/>
      <x v="1"/>
    </i>
    <i>
      <x v="2796"/>
      <x v="3360"/>
      <x v="36"/>
      <x v="1"/>
    </i>
    <i>
      <x v="2798"/>
      <x v="3459"/>
      <x v="41"/>
      <x v="1"/>
    </i>
    <i>
      <x v="2801"/>
      <x v="3299"/>
      <x v="36"/>
      <x v="1"/>
    </i>
    <i>
      <x v="2802"/>
      <x v="3423"/>
      <x v="36"/>
      <x v="1"/>
    </i>
    <i>
      <x v="2803"/>
      <x v="3214"/>
      <x v="36"/>
      <x v="1"/>
    </i>
    <i>
      <x v="2804"/>
      <x v="2814"/>
      <x v="36"/>
      <x v="1"/>
    </i>
    <i>
      <x v="2805"/>
      <x v="3982"/>
      <x v="36"/>
      <x v="1"/>
    </i>
    <i>
      <x v="2807"/>
      <x v="3315"/>
      <x v="36"/>
      <x v="1"/>
    </i>
    <i>
      <x v="2808"/>
      <x v="3317"/>
      <x v="36"/>
      <x v="1"/>
    </i>
    <i>
      <x v="2810"/>
      <x v="3357"/>
      <x v="36"/>
      <x v="1"/>
    </i>
    <i>
      <x v="2811"/>
      <x v="3359"/>
      <x v="36"/>
      <x v="1"/>
    </i>
    <i>
      <x v="2812"/>
      <x v="3361"/>
      <x v="36"/>
      <x v="1"/>
    </i>
    <i>
      <x v="2813"/>
      <x v="3362"/>
      <x v="36"/>
      <x v="1"/>
    </i>
    <i>
      <x v="2814"/>
      <x v="3669"/>
      <x v="36"/>
      <x v="1"/>
    </i>
    <i>
      <x v="2816"/>
      <x v="3385"/>
      <x v="36"/>
      <x v="1"/>
    </i>
    <i>
      <x v="2817"/>
      <x v="3388"/>
      <x v="36"/>
      <x v="1"/>
    </i>
    <i>
      <x v="2819"/>
      <x v="3390"/>
      <x v="36"/>
      <x v="1"/>
    </i>
    <i>
      <x v="2822"/>
      <x v="3419"/>
      <x v="36"/>
      <x v="1"/>
    </i>
    <i>
      <x v="2823"/>
      <x v="3421"/>
      <x v="36"/>
      <x v="1"/>
    </i>
    <i>
      <x v="2826"/>
      <x v="4063"/>
      <x v="32"/>
      <x v="1"/>
    </i>
    <i>
      <x v="2828"/>
      <x v="3482"/>
      <x v="36"/>
      <x v="1"/>
    </i>
    <i>
      <x v="2829"/>
      <x v="3496"/>
      <x v="61"/>
      <x v="1"/>
    </i>
    <i>
      <x v="2830"/>
      <x v="3497"/>
      <x v="36"/>
      <x v="1"/>
    </i>
    <i>
      <x v="2831"/>
      <x v="3215"/>
      <x v="36"/>
      <x v="1"/>
    </i>
    <i>
      <x v="2832"/>
      <x v="3216"/>
      <x v="36"/>
      <x v="1"/>
    </i>
    <i>
      <x v="2833"/>
      <x v="3217"/>
      <x v="36"/>
      <x v="1"/>
    </i>
    <i>
      <x v="2836"/>
      <x v="4323"/>
      <x v="36"/>
      <x v="1"/>
    </i>
    <i>
      <x v="2837"/>
      <x v="3308"/>
      <x v="36"/>
      <x v="1"/>
    </i>
    <i>
      <x v="2838"/>
      <x v="3311"/>
      <x v="41"/>
      <x v="1"/>
    </i>
    <i>
      <x v="2839"/>
      <x v="3336"/>
      <x v="36"/>
      <x v="1"/>
    </i>
    <i>
      <x v="2840"/>
      <x v="4031"/>
      <x v="36"/>
      <x v="1"/>
    </i>
    <i>
      <x v="2842"/>
      <x v="3375"/>
      <x v="36"/>
      <x v="1"/>
    </i>
    <i>
      <x v="2843"/>
      <x v="3376"/>
      <x v="36"/>
      <x v="1"/>
    </i>
    <i>
      <x v="2845"/>
      <x v="3398"/>
      <x v="36"/>
      <x v="1"/>
    </i>
    <i>
      <x v="2849"/>
      <x v="3495"/>
      <x v="41"/>
      <x v="1"/>
    </i>
    <i>
      <x v="2850"/>
      <x v="3404"/>
      <x v="41"/>
      <x v="1"/>
    </i>
    <i>
      <x v="2851"/>
      <x v="3450"/>
      <x v="41"/>
      <x v="1"/>
    </i>
    <i>
      <x v="2852"/>
      <x v="4364"/>
      <x v="41"/>
      <x v="1"/>
    </i>
    <i>
      <x v="2856"/>
      <x v="3324"/>
      <x v="32"/>
      <x v="1"/>
    </i>
    <i>
      <x v="2857"/>
      <x v="3339"/>
      <x v="32"/>
      <x v="1"/>
    </i>
    <i>
      <x v="2861"/>
      <x v="4346"/>
      <x v="32"/>
      <x v="1"/>
    </i>
    <i>
      <x v="2862"/>
      <x v="2876"/>
      <x v="36"/>
      <x v="1"/>
    </i>
    <i>
      <x v="2864"/>
      <x v="2879"/>
      <x v="32"/>
      <x v="1"/>
    </i>
    <i>
      <x v="2865"/>
      <x v="2880"/>
      <x v="32"/>
      <x v="1"/>
    </i>
    <i>
      <x v="2880"/>
      <x v="3349"/>
      <x v="36"/>
      <x v="1"/>
    </i>
    <i>
      <x v="2881"/>
      <x v="4336"/>
      <x v="36"/>
      <x v="1"/>
    </i>
    <i>
      <x v="2883"/>
      <x v="3455"/>
      <x v="41"/>
      <x v="1"/>
    </i>
    <i>
      <x v="2887"/>
      <x v="3211"/>
      <x v="32"/>
      <x v="1"/>
    </i>
    <i>
      <x v="2890"/>
      <x v="2928"/>
      <x v="41"/>
      <x v="1"/>
    </i>
    <i>
      <x v="2891"/>
      <x v="2929"/>
      <x v="41"/>
      <x v="1"/>
    </i>
    <i>
      <x v="2894"/>
      <x v="2932"/>
      <x v="36"/>
      <x v="1"/>
    </i>
    <i>
      <x v="2896"/>
      <x v="1962"/>
      <x v="29"/>
      <x v="1"/>
    </i>
    <i>
      <x v="2900"/>
      <x v="2937"/>
      <x v="32"/>
      <x v="1"/>
    </i>
    <i>
      <x v="2901"/>
      <x v="2938"/>
      <x v="36"/>
      <x v="1"/>
    </i>
    <i>
      <x v="2915"/>
      <x v="3296"/>
      <x v="36"/>
      <x v="1"/>
    </i>
    <i>
      <x v="2920"/>
      <x v="3662"/>
      <x v="36"/>
      <x v="1"/>
    </i>
    <i>
      <x v="2928"/>
      <x v="2969"/>
      <x v="36"/>
      <x v="1"/>
    </i>
    <i>
      <x v="2929"/>
      <x v="2970"/>
      <x v="36"/>
      <x v="1"/>
    </i>
    <i>
      <x v="2930"/>
      <x v="2971"/>
      <x v="36"/>
      <x v="1"/>
    </i>
    <i>
      <x v="2933"/>
      <x v="3639"/>
      <x v="41"/>
      <x v="1"/>
    </i>
    <i>
      <x v="2934"/>
      <x v="3406"/>
      <x v="36"/>
      <x v="1"/>
    </i>
    <i>
      <x v="2936"/>
      <x v="3364"/>
      <x v="32"/>
      <x v="1"/>
    </i>
    <i>
      <x v="2937"/>
      <x v="2772"/>
      <x v="36"/>
      <x v="1"/>
    </i>
    <i>
      <x v="2938"/>
      <x v="3302"/>
      <x v="32"/>
      <x v="1"/>
    </i>
    <i>
      <x v="2939"/>
      <x v="3596"/>
      <x v="36"/>
      <x v="1"/>
    </i>
    <i>
      <x v="2940"/>
      <x v="4330"/>
      <x v="36"/>
      <x v="1"/>
    </i>
    <i>
      <x v="2941"/>
      <x v="1829"/>
      <x v="42"/>
      <x v="1"/>
    </i>
    <i>
      <x v="2942"/>
      <x v="3689"/>
      <x v="36"/>
      <x v="1"/>
    </i>
    <i>
      <x v="2945"/>
      <x v="3012"/>
      <x v="36"/>
      <x v="1"/>
    </i>
    <i>
      <x v="2947"/>
      <x v="3615"/>
      <x v="32"/>
      <x v="1"/>
    </i>
    <i>
      <x v="2950"/>
      <x v="2248"/>
      <x v="4"/>
      <x v="1"/>
    </i>
    <i>
      <x v="2951"/>
      <x v="4305"/>
      <x v="41"/>
      <x v="1"/>
    </i>
    <i>
      <x v="2952"/>
      <x v="2992"/>
      <x v="32"/>
      <x v="1"/>
    </i>
    <i>
      <x v="2953"/>
      <x v="2994"/>
      <x v="41"/>
      <x v="1"/>
    </i>
    <i>
      <x v="2954"/>
      <x v="3981"/>
      <x v="36"/>
      <x v="1"/>
    </i>
    <i>
      <x v="2955"/>
      <x v="4024"/>
      <x v="41"/>
      <x v="1"/>
    </i>
    <i>
      <x v="2956"/>
      <x v="2997"/>
      <x v="1"/>
      <x v="1"/>
    </i>
    <i>
      <x v="2958"/>
      <x v="3720"/>
      <x v="36"/>
      <x v="1"/>
    </i>
    <i>
      <x v="2965"/>
      <x v="3017"/>
      <x v="36"/>
      <x v="1"/>
    </i>
    <i>
      <x v="2966"/>
      <x v="3435"/>
      <x v="36"/>
      <x v="1"/>
    </i>
    <i>
      <x v="2969"/>
      <x v="3023"/>
      <x v="36"/>
      <x v="1"/>
    </i>
    <i>
      <x v="2973"/>
      <x v="3027"/>
      <x v="82"/>
      <x v="1"/>
    </i>
    <i>
      <x v="2975"/>
      <x v="3029"/>
      <x v="36"/>
      <x v="1"/>
    </i>
    <i>
      <x v="2977"/>
      <x v="3801"/>
      <x v="36"/>
      <x v="1"/>
    </i>
    <i>
      <x v="2980"/>
      <x v="3465"/>
      <x v="41"/>
      <x v="1"/>
    </i>
    <i>
      <x v="2983"/>
      <x v="3041"/>
      <x v="28"/>
      <x v="1"/>
    </i>
    <i>
      <x v="2985"/>
      <x v="3424"/>
      <x v="41"/>
      <x v="1"/>
    </i>
    <i>
      <x v="2986"/>
      <x v="3471"/>
      <x v="41"/>
      <x v="1"/>
    </i>
    <i>
      <x v="2987"/>
      <x v="3984"/>
      <x v="36"/>
      <x v="1"/>
    </i>
    <i>
      <x v="2988"/>
      <x v="3675"/>
      <x v="36"/>
      <x v="1"/>
    </i>
    <i>
      <x v="2990"/>
      <x v="3064"/>
      <x v="36"/>
      <x v="1"/>
    </i>
    <i>
      <x v="2992"/>
      <x v="3637"/>
      <x v="36"/>
      <x v="1"/>
    </i>
    <i>
      <x v="2993"/>
      <x v="3081"/>
      <x v="32"/>
      <x v="1"/>
    </i>
    <i>
      <x v="2994"/>
      <x v="3628"/>
      <x v="32"/>
      <x v="1"/>
    </i>
    <i>
      <x v="2998"/>
      <x v="3219"/>
      <x v="36"/>
      <x v="1"/>
    </i>
    <i>
      <x v="2999"/>
      <x v="3622"/>
      <x v="32"/>
      <x v="1"/>
    </i>
    <i>
      <x v="3000"/>
      <x v="3589"/>
      <x v="41"/>
      <x v="1"/>
    </i>
    <i>
      <x v="3002"/>
      <x v="3094"/>
      <x v="41"/>
      <x v="1"/>
    </i>
    <i>
      <x v="3003"/>
      <x v="3095"/>
      <x v="32"/>
      <x v="1"/>
    </i>
    <i>
      <x v="3004"/>
      <x v="3096"/>
      <x v="32"/>
      <x v="1"/>
    </i>
    <i>
      <x v="3009"/>
      <x v="3103"/>
      <x v="36"/>
      <x v="1"/>
    </i>
    <i>
      <x v="3015"/>
      <x v="3112"/>
      <x v="41"/>
      <x v="1"/>
    </i>
    <i>
      <x v="3016"/>
      <x v="3667"/>
      <x v="36"/>
      <x v="1"/>
    </i>
    <i>
      <x v="3029"/>
      <x v="3127"/>
      <x v="36"/>
      <x v="1"/>
    </i>
    <i>
      <x v="3031"/>
      <x v="3129"/>
      <x v="32"/>
      <x v="1"/>
    </i>
    <i>
      <x v="3032"/>
      <x v="3130"/>
      <x v="32"/>
      <x v="1"/>
    </i>
    <i>
      <x v="3033"/>
      <x v="3131"/>
      <x v="32"/>
      <x v="1"/>
    </i>
    <i>
      <x v="3041"/>
      <x v="3138"/>
      <x v="56"/>
      <x v="1"/>
    </i>
    <i>
      <x v="3067"/>
      <x v="3171"/>
      <x v="32"/>
      <x v="1"/>
    </i>
    <i>
      <x v="3068"/>
      <x v="4318"/>
      <x v="36"/>
      <x v="1"/>
    </i>
    <i>
      <x v="3070"/>
      <x v="3286"/>
      <x v="41"/>
      <x v="1"/>
    </i>
    <i>
      <x v="3072"/>
      <x v="3327"/>
      <x v="41"/>
      <x v="1"/>
    </i>
    <i>
      <x v="3073"/>
      <x v="4020"/>
      <x v="41"/>
      <x v="1"/>
    </i>
    <i>
      <x v="3074"/>
      <x v="3363"/>
      <x v="41"/>
      <x v="1"/>
    </i>
    <i>
      <x v="3076"/>
      <x v="4353"/>
      <x v="41"/>
      <x v="1"/>
    </i>
    <i>
      <x v="3077"/>
      <x v="3461"/>
      <x v="36"/>
      <x v="1"/>
    </i>
    <i>
      <x v="3086"/>
      <x v="3191"/>
      <x v="90"/>
      <x v="2"/>
    </i>
    <i>
      <x v="3091"/>
      <x v="3733"/>
      <x v="36"/>
      <x v="1"/>
    </i>
    <i>
      <x v="3092"/>
      <x v="3212"/>
      <x v="36"/>
      <x v="1"/>
    </i>
    <i>
      <x v="3094"/>
      <x v="3957"/>
      <x v="6"/>
      <x v="1"/>
    </i>
    <i>
      <x v="3095"/>
      <x v="3241"/>
      <x v="6"/>
      <x v="1"/>
    </i>
    <i>
      <x v="3098"/>
      <x v="3254"/>
      <x v="36"/>
      <x v="1"/>
    </i>
    <i>
      <x v="3099"/>
      <x v="3257"/>
      <x v="42"/>
      <x v="1"/>
    </i>
    <i>
      <x v="3100"/>
      <x v="3261"/>
      <x v="32"/>
      <x v="1"/>
    </i>
    <i>
      <x v="3101"/>
      <x v="3272"/>
      <x v="36"/>
      <x v="1"/>
    </i>
    <i>
      <x v="3102"/>
      <x v="3275"/>
      <x v="61"/>
      <x v="1"/>
    </i>
    <i>
      <x v="3103"/>
      <x v="3277"/>
      <x v="36"/>
      <x v="1"/>
    </i>
    <i>
      <x v="3105"/>
      <x v="661"/>
      <x v="36"/>
      <x v="1"/>
    </i>
    <i>
      <x v="3106"/>
      <x v="3294"/>
      <x v="36"/>
      <x v="1"/>
    </i>
    <i>
      <x v="3107"/>
      <x v="3297"/>
      <x v="36"/>
      <x v="1"/>
    </i>
    <i>
      <x v="3109"/>
      <x v="3356"/>
      <x v="41"/>
      <x v="1"/>
    </i>
    <i>
      <x v="3110"/>
      <x v="3377"/>
      <x v="36"/>
      <x v="1"/>
    </i>
    <i>
      <x v="3111"/>
      <x v="3409"/>
      <x v="36"/>
      <x v="1"/>
    </i>
    <i>
      <x v="3112"/>
      <x v="3434"/>
      <x v="36"/>
      <x v="1"/>
    </i>
    <i>
      <x v="3114"/>
      <x v="3494"/>
      <x v="41"/>
      <x v="1"/>
    </i>
    <i>
      <x v="3143"/>
      <x v="3581"/>
      <x v="93"/>
      <x v="1"/>
    </i>
    <i>
      <x v="3145"/>
      <x v="3583"/>
      <x v="93"/>
      <x v="1"/>
    </i>
    <i>
      <x v="3146"/>
      <x v="3584"/>
      <x v="93"/>
      <x v="1"/>
    </i>
    <i>
      <x v="3147"/>
      <x v="2245"/>
      <x v="4"/>
      <x v="1"/>
    </i>
    <i>
      <x v="3148"/>
      <x v="3591"/>
      <x v="36"/>
      <x v="1"/>
    </i>
    <i>
      <x v="3151"/>
      <x v="3594"/>
      <x v="36"/>
      <x v="1"/>
    </i>
    <i>
      <x v="3152"/>
      <x v="3935"/>
      <x v="36"/>
      <x v="1"/>
    </i>
    <i>
      <x v="3154"/>
      <x v="3599"/>
      <x v="36"/>
      <x v="1"/>
    </i>
    <i>
      <x v="3156"/>
      <x v="3601"/>
      <x v="6"/>
      <x v="1"/>
    </i>
    <i>
      <x v="3157"/>
      <x v="3602"/>
      <x v="41"/>
      <x v="1"/>
    </i>
    <i>
      <x v="3158"/>
      <x v="3604"/>
      <x v="36"/>
      <x v="1"/>
    </i>
    <i>
      <x v="3159"/>
      <x v="3605"/>
      <x v="6"/>
      <x v="1"/>
    </i>
    <i>
      <x v="3162"/>
      <x v="3608"/>
      <x v="6"/>
      <x v="1"/>
    </i>
    <i>
      <x v="3164"/>
      <x v="4298"/>
      <x v="42"/>
      <x v="1"/>
    </i>
    <i>
      <x v="3165"/>
      <x v="2711"/>
      <x v="42"/>
      <x v="1"/>
    </i>
    <i>
      <x v="3167"/>
      <x v="3612"/>
      <x v="32"/>
      <x v="1"/>
    </i>
    <i>
      <x v="3168"/>
      <x v="3619"/>
      <x v="56"/>
      <x v="1"/>
    </i>
    <i>
      <x v="3170"/>
      <x v="3623"/>
      <x v="32"/>
      <x v="1"/>
    </i>
    <i>
      <x v="3172"/>
      <x v="3978"/>
      <x v="61"/>
      <x v="1"/>
    </i>
    <i>
      <x v="3173"/>
      <x v="3630"/>
      <x v="36"/>
      <x v="1"/>
    </i>
    <i>
      <x v="3179"/>
      <x v="3645"/>
      <x v="36"/>
      <x v="1"/>
    </i>
    <i>
      <x v="3180"/>
      <x v="3646"/>
      <x v="41"/>
      <x v="1"/>
    </i>
    <i>
      <x v="3182"/>
      <x v="3651"/>
      <x v="36"/>
      <x v="1"/>
    </i>
    <i>
      <x v="3183"/>
      <x v="4009"/>
      <x v="41"/>
      <x v="1"/>
    </i>
    <i>
      <x v="3184"/>
      <x v="4011"/>
      <x v="41"/>
      <x v="1"/>
    </i>
    <i>
      <x v="3185"/>
      <x v="4013"/>
      <x v="41"/>
      <x v="1"/>
    </i>
    <i>
      <x v="3186"/>
      <x v="4017"/>
      <x v="41"/>
      <x v="1"/>
    </i>
    <i>
      <x v="3187"/>
      <x v="2383"/>
      <x v="41"/>
      <x v="1"/>
    </i>
    <i>
      <x v="3188"/>
      <x v="3666"/>
      <x v="36"/>
      <x v="1"/>
    </i>
    <i>
      <x v="3190"/>
      <x v="3672"/>
      <x v="36"/>
      <x v="1"/>
    </i>
    <i>
      <x v="3191"/>
      <x v="3673"/>
      <x v="36"/>
      <x v="1"/>
    </i>
    <i>
      <x v="3192"/>
      <x v="3674"/>
      <x v="36"/>
      <x v="1"/>
    </i>
    <i>
      <x v="3193"/>
      <x v="3676"/>
      <x v="41"/>
      <x v="1"/>
    </i>
    <i>
      <x v="3196"/>
      <x v="3085"/>
      <x v="36"/>
      <x v="1"/>
    </i>
    <i>
      <x v="3200"/>
      <x v="3684"/>
      <x v="36"/>
      <x v="1"/>
    </i>
    <i>
      <x v="3202"/>
      <x v="3686"/>
      <x v="28"/>
      <x v="1"/>
    </i>
    <i>
      <x v="3206"/>
      <x v="3692"/>
      <x v="36"/>
      <x v="1"/>
    </i>
    <i>
      <x v="3207"/>
      <x v="3693"/>
      <x v="36"/>
      <x v="1"/>
    </i>
    <i>
      <x v="3209"/>
      <x v="3695"/>
      <x v="53"/>
      <x v="1"/>
    </i>
    <i>
      <x v="3211"/>
      <x v="3698"/>
      <x v="32"/>
      <x v="1"/>
    </i>
    <i>
      <x v="3215"/>
      <x v="3702"/>
      <x v="36"/>
      <x v="1"/>
    </i>
    <i>
      <x v="3216"/>
      <x v="3703"/>
      <x v="36"/>
      <x v="1"/>
    </i>
    <i>
      <x v="3217"/>
      <x v="3705"/>
      <x v="38"/>
      <x v="1"/>
    </i>
    <i>
      <x v="3218"/>
      <x v="4051"/>
      <x v="36"/>
      <x v="1"/>
    </i>
    <i>
      <x v="3219"/>
      <x v="3707"/>
      <x v="36"/>
      <x v="1"/>
    </i>
    <i>
      <x v="3220"/>
      <x v="3708"/>
      <x v="32"/>
      <x v="1"/>
    </i>
    <i>
      <x v="3221"/>
      <x v="4055"/>
      <x v="42"/>
      <x v="1"/>
    </i>
    <i>
      <x v="3222"/>
      <x v="3710"/>
      <x v="36"/>
      <x v="1"/>
    </i>
    <i>
      <x v="3223"/>
      <x v="3711"/>
      <x v="36"/>
      <x v="1"/>
    </i>
    <i>
      <x v="3224"/>
      <x v="3712"/>
      <x v="36"/>
      <x v="1"/>
    </i>
    <i>
      <x v="3226"/>
      <x v="3187"/>
      <x v="36"/>
      <x v="1"/>
    </i>
    <i>
      <x v="3227"/>
      <x v="3715"/>
      <x v="36"/>
      <x v="1"/>
    </i>
    <i>
      <x v="3228"/>
      <x v="3716"/>
      <x v="36"/>
      <x v="1"/>
    </i>
    <i>
      <x v="3229"/>
      <x v="3717"/>
      <x v="36"/>
      <x v="1"/>
    </i>
    <i>
      <x v="3230"/>
      <x v="3718"/>
      <x v="36"/>
      <x v="1"/>
    </i>
    <i>
      <x v="3231"/>
      <x v="4061"/>
      <x v="36"/>
      <x v="1"/>
    </i>
    <i>
      <x v="3232"/>
      <x v="3724"/>
      <x v="36"/>
      <x v="1"/>
    </i>
    <i>
      <x v="3233"/>
      <x v="3725"/>
      <x v="36"/>
      <x v="1"/>
    </i>
    <i>
      <x v="3234"/>
      <x v="3728"/>
      <x v="36"/>
      <x v="1"/>
    </i>
    <i>
      <x v="3235"/>
      <x v="3729"/>
      <x v="36"/>
      <x v="1"/>
    </i>
    <i>
      <x v="3236"/>
      <x v="4072"/>
      <x v="36"/>
      <x v="1"/>
    </i>
    <i>
      <x v="3237"/>
      <x v="3732"/>
      <x v="41"/>
      <x v="1"/>
    </i>
    <i>
      <x v="3238"/>
      <x v="3736"/>
      <x v="36"/>
      <x v="1"/>
    </i>
    <i>
      <x v="3239"/>
      <x v="3739"/>
      <x v="36"/>
      <x v="1"/>
    </i>
    <i>
      <x v="3240"/>
      <x v="3741"/>
      <x v="4"/>
      <x v="1"/>
    </i>
    <i>
      <x v="3298"/>
      <x v="3803"/>
      <x v="36"/>
      <x v="1"/>
    </i>
    <i>
      <x v="3301"/>
      <x v="4370"/>
      <x v="64"/>
      <x v="2"/>
    </i>
    <i>
      <x v="3302"/>
      <x v="4371"/>
      <x v="7"/>
      <x v="2"/>
    </i>
    <i>
      <x v="3304"/>
      <x v="4088"/>
      <x v="7"/>
      <x v="2"/>
    </i>
    <i>
      <x v="3305"/>
      <x v="4374"/>
      <x v="7"/>
      <x v="2"/>
    </i>
    <i>
      <x v="3306"/>
      <x v="4377"/>
      <x v="64"/>
      <x v="2"/>
    </i>
    <i>
      <x v="3307"/>
      <x v="4094"/>
      <x v="7"/>
      <x v="2"/>
    </i>
    <i>
      <x v="3396"/>
      <x v="3927"/>
      <x v="36"/>
      <x v="1"/>
    </i>
    <i>
      <x v="3397"/>
      <x v="3928"/>
      <x v="36"/>
      <x v="1"/>
    </i>
    <i>
      <x v="3398"/>
      <x v="3929"/>
      <x v="36"/>
      <x v="1"/>
    </i>
    <i>
      <x v="3399"/>
      <x v="3930"/>
      <x v="41"/>
      <x v="1"/>
    </i>
    <i>
      <x v="3400"/>
      <x v="4281"/>
      <x v="4"/>
      <x v="1"/>
    </i>
    <i>
      <x v="3401"/>
      <x v="3942"/>
      <x v="41"/>
      <x v="1"/>
    </i>
    <i>
      <x v="3402"/>
      <x v="3943"/>
      <x v="41"/>
      <x v="1"/>
    </i>
    <i>
      <x v="3403"/>
      <x v="3944"/>
      <x v="36"/>
      <x v="1"/>
    </i>
    <i>
      <x v="3404"/>
      <x v="3947"/>
      <x v="36"/>
      <x v="1"/>
    </i>
    <i>
      <x v="3405"/>
      <x v="3948"/>
      <x v="41"/>
      <x v="1"/>
    </i>
    <i>
      <x v="3406"/>
      <x v="3949"/>
      <x v="42"/>
      <x v="1"/>
    </i>
    <i>
      <x v="3407"/>
      <x v="3955"/>
      <x v="42"/>
      <x v="1"/>
    </i>
    <i>
      <x v="3409"/>
      <x v="3958"/>
      <x v="42"/>
      <x v="1"/>
    </i>
    <i>
      <x v="3410"/>
      <x v="3959"/>
      <x v="42"/>
      <x v="1"/>
    </i>
    <i>
      <x v="3411"/>
      <x v="3960"/>
      <x v="42"/>
      <x v="1"/>
    </i>
    <i>
      <x v="3412"/>
      <x v="3961"/>
      <x v="42"/>
      <x v="1"/>
    </i>
    <i>
      <x v="3414"/>
      <x v="3963"/>
      <x v="32"/>
      <x v="1"/>
    </i>
    <i>
      <x v="3415"/>
      <x v="3964"/>
      <x v="6"/>
      <x v="1"/>
    </i>
    <i>
      <x v="3416"/>
      <x v="3965"/>
      <x v="53"/>
      <x v="1"/>
    </i>
    <i>
      <x v="3417"/>
      <x v="3966"/>
      <x v="53"/>
      <x v="1"/>
    </i>
    <i>
      <x v="3418"/>
      <x v="3967"/>
      <x v="58"/>
      <x v="1"/>
    </i>
    <i>
      <x v="3420"/>
      <x v="3971"/>
      <x v="32"/>
      <x v="1"/>
    </i>
    <i>
      <x v="3422"/>
      <x v="3973"/>
      <x v="32"/>
      <x v="1"/>
    </i>
    <i>
      <x v="3423"/>
      <x v="3975"/>
      <x v="32"/>
      <x v="1"/>
    </i>
    <i>
      <x v="3424"/>
      <x v="3980"/>
      <x v="36"/>
      <x v="1"/>
    </i>
    <i>
      <x v="3425"/>
      <x v="3983"/>
      <x v="36"/>
      <x v="1"/>
    </i>
    <i>
      <x v="3426"/>
      <x v="3985"/>
      <x v="36"/>
      <x v="1"/>
    </i>
    <i>
      <x v="3427"/>
      <x v="3986"/>
      <x v="41"/>
      <x v="1"/>
    </i>
    <i>
      <x v="3428"/>
      <x v="3987"/>
      <x v="36"/>
      <x v="1"/>
    </i>
    <i>
      <x v="3429"/>
      <x v="3988"/>
      <x v="36"/>
      <x v="1"/>
    </i>
    <i>
      <x v="3430"/>
      <x v="3989"/>
      <x v="36"/>
      <x v="1"/>
    </i>
    <i>
      <x v="3431"/>
      <x v="3992"/>
      <x v="36"/>
      <x v="1"/>
    </i>
    <i>
      <x v="3432"/>
      <x v="3993"/>
      <x v="36"/>
      <x v="1"/>
    </i>
    <i>
      <x v="3433"/>
      <x v="3994"/>
      <x v="36"/>
      <x v="1"/>
    </i>
    <i>
      <x v="3434"/>
      <x v="3999"/>
      <x v="41"/>
      <x v="1"/>
    </i>
    <i>
      <x v="3435"/>
      <x v="4000"/>
      <x v="41"/>
      <x v="1"/>
    </i>
    <i>
      <x v="3436"/>
      <x v="4005"/>
      <x v="41"/>
      <x v="1"/>
    </i>
    <i>
      <x v="3439"/>
      <x v="4008"/>
      <x v="41"/>
      <x v="1"/>
    </i>
    <i>
      <x v="3440"/>
      <x v="4010"/>
      <x v="36"/>
      <x v="1"/>
    </i>
    <i>
      <x v="3441"/>
      <x v="4016"/>
      <x v="36"/>
      <x v="1"/>
    </i>
    <i>
      <x v="3442"/>
      <x v="4018"/>
      <x v="36"/>
      <x v="1"/>
    </i>
    <i>
      <x v="3443"/>
      <x v="4021"/>
      <x v="36"/>
      <x v="1"/>
    </i>
    <i>
      <x v="3444"/>
      <x v="4023"/>
      <x v="36"/>
      <x v="1"/>
    </i>
    <i>
      <x v="3445"/>
      <x v="4025"/>
      <x v="36"/>
      <x v="1"/>
    </i>
    <i>
      <x v="3446"/>
      <x v="2193"/>
      <x v="41"/>
      <x v="1"/>
    </i>
    <i>
      <x v="3447"/>
      <x v="4026"/>
      <x v="36"/>
      <x v="1"/>
    </i>
    <i>
      <x v="3448"/>
      <x v="4027"/>
      <x v="38"/>
      <x v="1"/>
    </i>
    <i>
      <x v="3449"/>
      <x v="4340"/>
      <x v="36"/>
      <x v="1"/>
    </i>
    <i>
      <x v="3450"/>
      <x v="4030"/>
      <x v="36"/>
      <x v="1"/>
    </i>
    <i>
      <x v="3451"/>
      <x v="4032"/>
      <x v="41"/>
      <x v="1"/>
    </i>
    <i>
      <x v="3453"/>
      <x v="4034"/>
      <x v="41"/>
      <x v="1"/>
    </i>
    <i>
      <x v="3454"/>
      <x v="4035"/>
      <x v="41"/>
      <x v="1"/>
    </i>
    <i>
      <x v="3455"/>
      <x v="4036"/>
      <x v="4"/>
      <x v="1"/>
    </i>
    <i>
      <x v="3456"/>
      <x v="4037"/>
      <x v="36"/>
      <x v="1"/>
    </i>
    <i>
      <x v="3457"/>
      <x v="4347"/>
      <x v="36"/>
      <x v="1"/>
    </i>
    <i>
      <x v="3458"/>
      <x v="4041"/>
      <x v="41"/>
      <x v="1"/>
    </i>
    <i>
      <x v="3460"/>
      <x v="4044"/>
      <x v="36"/>
      <x v="1"/>
    </i>
    <i>
      <x v="3461"/>
      <x v="4047"/>
      <x v="36"/>
      <x v="1"/>
    </i>
    <i>
      <x v="3462"/>
      <x v="4048"/>
      <x v="36"/>
      <x v="1"/>
    </i>
    <i>
      <x v="3463"/>
      <x v="4049"/>
      <x v="36"/>
      <x v="1"/>
    </i>
    <i>
      <x v="3465"/>
      <x v="4053"/>
      <x v="41"/>
      <x v="1"/>
    </i>
    <i>
      <x v="3466"/>
      <x v="4054"/>
      <x v="41"/>
      <x v="1"/>
    </i>
    <i>
      <x v="3467"/>
      <x v="4056"/>
      <x v="36"/>
      <x v="1"/>
    </i>
    <i>
      <x v="3468"/>
      <x v="4057"/>
      <x v="36"/>
      <x v="1"/>
    </i>
    <i>
      <x v="3469"/>
      <x v="4058"/>
      <x v="41"/>
      <x v="1"/>
    </i>
    <i>
      <x v="3470"/>
      <x v="4059"/>
      <x v="36"/>
      <x v="1"/>
    </i>
    <i>
      <x v="3471"/>
      <x v="4060"/>
      <x v="6"/>
      <x v="1"/>
    </i>
    <i>
      <x v="3472"/>
      <x v="4064"/>
      <x v="36"/>
      <x v="1"/>
    </i>
    <i>
      <x v="3473"/>
      <x v="4066"/>
      <x v="36"/>
      <x v="1"/>
    </i>
    <i>
      <x v="3474"/>
      <x v="4067"/>
      <x v="36"/>
      <x v="1"/>
    </i>
    <i>
      <x v="3475"/>
      <x v="4069"/>
      <x v="36"/>
      <x v="1"/>
    </i>
    <i>
      <x v="3476"/>
      <x v="4070"/>
      <x v="41"/>
      <x v="1"/>
    </i>
    <i>
      <x v="3477"/>
      <x v="4071"/>
      <x v="41"/>
      <x v="1"/>
    </i>
    <i>
      <x v="3478"/>
      <x v="4073"/>
      <x v="36"/>
      <x v="1"/>
    </i>
    <i>
      <x v="3479"/>
      <x v="4074"/>
      <x v="36"/>
      <x v="1"/>
    </i>
    <i>
      <x v="3480"/>
      <x v="4075"/>
      <x v="41"/>
      <x v="1"/>
    </i>
    <i>
      <x v="3481"/>
      <x v="4077"/>
      <x v="36"/>
      <x v="1"/>
    </i>
    <i>
      <x v="3483"/>
      <x v="2279"/>
      <x v="36"/>
      <x v="1"/>
    </i>
    <i>
      <x v="3484"/>
      <x v="4080"/>
      <x v="36"/>
      <x v="1"/>
    </i>
    <i>
      <x v="3485"/>
      <x v="4083"/>
      <x v="64"/>
      <x v="2"/>
    </i>
    <i>
      <x v="3486"/>
      <x v="4372"/>
      <x v="64"/>
      <x v="2"/>
    </i>
    <i>
      <x v="3487"/>
      <x v="4089"/>
      <x v="7"/>
      <x v="2"/>
    </i>
    <i>
      <x v="3489"/>
      <x v="4375"/>
      <x v="64"/>
      <x v="2"/>
    </i>
    <i>
      <x v="3490"/>
      <x v="4092"/>
      <x v="64"/>
      <x v="2"/>
    </i>
    <i>
      <x v="3491"/>
      <x v="4095"/>
      <x v="7"/>
      <x v="2"/>
    </i>
    <i>
      <x v="3492"/>
      <x v="4382"/>
      <x v="64"/>
      <x v="2"/>
    </i>
    <i>
      <x v="3493"/>
      <x v="4097"/>
      <x v="64"/>
      <x v="2"/>
    </i>
    <i>
      <x v="3494"/>
      <x v="4099"/>
      <x v="69"/>
      <x v="2"/>
    </i>
    <i>
      <x v="3495"/>
      <x v="4100"/>
      <x v="69"/>
      <x v="2"/>
    </i>
    <i>
      <x v="3496"/>
      <x v="4103"/>
      <x v="4"/>
      <x v="1"/>
    </i>
    <i>
      <x v="3497"/>
      <x v="4104"/>
      <x v="37"/>
      <x v="2"/>
    </i>
    <i>
      <x v="3507"/>
      <x v="4119"/>
      <x v="7"/>
      <x v="2"/>
    </i>
    <i>
      <x v="3510"/>
      <x v="4378"/>
      <x v="64"/>
      <x v="2"/>
    </i>
    <i>
      <x v="3511"/>
      <x v="4380"/>
      <x v="64"/>
      <x v="2"/>
    </i>
    <i>
      <x v="3512"/>
      <x v="4381"/>
      <x v="64"/>
      <x v="2"/>
    </i>
    <i>
      <x v="3651"/>
      <x v="4278"/>
      <x v="41"/>
      <x v="1"/>
    </i>
    <i>
      <x v="3652"/>
      <x v="4279"/>
      <x v="4"/>
      <x v="1"/>
    </i>
    <i>
      <x v="3653"/>
      <x v="4280"/>
      <x v="42"/>
      <x v="1"/>
    </i>
    <i>
      <x v="3654"/>
      <x v="4282"/>
      <x v="36"/>
      <x v="1"/>
    </i>
    <i>
      <x v="3655"/>
      <x v="4284"/>
      <x v="36"/>
      <x v="1"/>
    </i>
    <i>
      <x v="3656"/>
      <x v="4285"/>
      <x v="42"/>
      <x v="1"/>
    </i>
    <i>
      <x v="3657"/>
      <x v="4286"/>
      <x v="36"/>
      <x v="1"/>
    </i>
    <i>
      <x v="3658"/>
      <x v="4287"/>
      <x v="42"/>
      <x v="1"/>
    </i>
    <i>
      <x v="3659"/>
      <x v="4288"/>
      <x v="42"/>
      <x v="1"/>
    </i>
    <i>
      <x v="3660"/>
      <x v="4289"/>
      <x v="4"/>
      <x v="1"/>
    </i>
    <i>
      <x v="3661"/>
      <x v="4291"/>
      <x v="32"/>
      <x v="1"/>
    </i>
    <i>
      <x v="3662"/>
      <x v="4292"/>
      <x v="36"/>
      <x v="1"/>
    </i>
    <i>
      <x v="3663"/>
      <x v="4293"/>
      <x v="36"/>
      <x v="1"/>
    </i>
    <i>
      <x v="3664"/>
      <x v="4294"/>
      <x v="36"/>
      <x v="1"/>
    </i>
    <i>
      <x v="3665"/>
      <x v="4295"/>
      <x v="36"/>
      <x v="1"/>
    </i>
    <i>
      <x v="3666"/>
      <x v="4296"/>
      <x v="42"/>
      <x v="1"/>
    </i>
    <i>
      <x v="3667"/>
      <x v="4297"/>
      <x v="6"/>
      <x v="1"/>
    </i>
    <i>
      <x v="3668"/>
      <x v="4299"/>
      <x v="32"/>
      <x v="1"/>
    </i>
    <i>
      <x v="3669"/>
      <x v="3743"/>
      <x v="4"/>
      <x v="1"/>
    </i>
    <i>
      <x v="3670"/>
      <x v="4300"/>
      <x v="42"/>
      <x v="1"/>
    </i>
    <i>
      <x v="3671"/>
      <x v="4302"/>
      <x v="32"/>
      <x v="1"/>
    </i>
    <i>
      <x v="3672"/>
      <x v="4303"/>
      <x v="41"/>
      <x v="1"/>
    </i>
    <i>
      <x v="3673"/>
      <x v="4308"/>
      <x v="36"/>
      <x v="1"/>
    </i>
    <i>
      <x v="3674"/>
      <x v="4310"/>
      <x v="32"/>
      <x v="1"/>
    </i>
    <i>
      <x v="3675"/>
      <x v="4312"/>
      <x v="32"/>
      <x v="1"/>
    </i>
    <i>
      <x v="3676"/>
      <x v="4313"/>
      <x v="6"/>
      <x v="1"/>
    </i>
    <i>
      <x v="3677"/>
      <x v="1148"/>
      <x v="36"/>
      <x v="1"/>
    </i>
    <i>
      <x v="3678"/>
      <x v="4316"/>
      <x v="61"/>
      <x v="1"/>
    </i>
    <i>
      <x v="3679"/>
      <x v="4317"/>
      <x v="6"/>
      <x v="1"/>
    </i>
    <i>
      <x v="3680"/>
      <x v="4319"/>
      <x v="35"/>
      <x v="1"/>
    </i>
    <i>
      <x v="3681"/>
      <x v="4320"/>
      <x v="41"/>
      <x v="1"/>
    </i>
    <i>
      <x v="3682"/>
      <x v="4321"/>
      <x v="36"/>
      <x v="1"/>
    </i>
    <i>
      <x v="3683"/>
      <x v="4326"/>
      <x v="44"/>
      <x v="1"/>
    </i>
    <i>
      <x v="3684"/>
      <x v="4327"/>
      <x v="36"/>
      <x v="1"/>
    </i>
    <i>
      <x v="3685"/>
      <x v="4328"/>
      <x v="41"/>
      <x v="1"/>
    </i>
    <i>
      <x v="3686"/>
      <x v="4329"/>
      <x v="41"/>
      <x v="1"/>
    </i>
    <i>
      <x v="3687"/>
      <x v="4331"/>
      <x v="36"/>
      <x v="1"/>
    </i>
    <i>
      <x v="3688"/>
      <x v="4332"/>
      <x v="41"/>
      <x v="1"/>
    </i>
    <i>
      <x v="3689"/>
      <x v="4333"/>
      <x v="36"/>
      <x v="1"/>
    </i>
    <i>
      <x v="3690"/>
      <x v="4334"/>
      <x v="36"/>
      <x v="1"/>
    </i>
    <i>
      <x v="3691"/>
      <x v="4337"/>
      <x v="15"/>
      <x v="1"/>
    </i>
    <i>
      <x v="3692"/>
      <x v="4339"/>
      <x v="36"/>
      <x v="1"/>
    </i>
    <i>
      <x v="3693"/>
      <x v="4341"/>
      <x v="36"/>
      <x v="1"/>
    </i>
    <i>
      <x v="3694"/>
      <x v="4342"/>
      <x v="41"/>
      <x v="1"/>
    </i>
    <i>
      <x v="3695"/>
      <x v="4343"/>
      <x v="36"/>
      <x v="1"/>
    </i>
    <i>
      <x v="3696"/>
      <x v="4344"/>
      <x v="36"/>
      <x v="1"/>
    </i>
    <i>
      <x v="3697"/>
      <x v="3392"/>
      <x v="28"/>
      <x v="1"/>
    </i>
    <i>
      <x v="3698"/>
      <x v="4345"/>
      <x v="55"/>
      <x v="1"/>
    </i>
    <i>
      <x v="3699"/>
      <x v="4349"/>
      <x v="42"/>
      <x v="1"/>
    </i>
    <i>
      <x v="3700"/>
      <x v="4350"/>
      <x v="41"/>
      <x v="1"/>
    </i>
    <i>
      <x v="3701"/>
      <x v="4351"/>
      <x v="36"/>
      <x v="1"/>
    </i>
    <i>
      <x v="3702"/>
      <x v="4352"/>
      <x v="41"/>
      <x v="1"/>
    </i>
    <i>
      <x v="3703"/>
      <x v="4354"/>
      <x v="11"/>
      <x v="1"/>
    </i>
    <i>
      <x v="3704"/>
      <x v="4355"/>
      <x v="79"/>
      <x v="8"/>
    </i>
    <i>
      <x v="3705"/>
      <x v="4357"/>
      <x v="42"/>
      <x v="1"/>
    </i>
    <i>
      <x v="3706"/>
      <x v="4358"/>
      <x v="32"/>
      <x v="1"/>
    </i>
    <i>
      <x v="3707"/>
      <x v="4359"/>
      <x v="36"/>
      <x v="1"/>
    </i>
    <i>
      <x v="3708"/>
      <x v="4361"/>
      <x v="36"/>
      <x v="1"/>
    </i>
    <i>
      <x v="3709"/>
      <x v="4362"/>
      <x v="42"/>
      <x v="1"/>
    </i>
    <i>
      <x v="3710"/>
      <x v="4365"/>
      <x v="36"/>
      <x v="1"/>
    </i>
    <i>
      <x v="3711"/>
      <x v="4366"/>
      <x v="35"/>
      <x v="1"/>
    </i>
    <i>
      <x v="3712"/>
      <x v="4367"/>
      <x v="122"/>
      <x v="1"/>
    </i>
    <i>
      <x v="3713"/>
      <x v="4368"/>
      <x v="35"/>
      <x v="1"/>
    </i>
    <i>
      <x v="3714"/>
      <x v="4369"/>
      <x v="35"/>
      <x v="1"/>
    </i>
    <i>
      <x v="3715"/>
      <x v="4373"/>
      <x v="64"/>
      <x v="2"/>
    </i>
    <i>
      <x v="3716"/>
      <x v="4376"/>
      <x v="7"/>
      <x v="2"/>
    </i>
    <i>
      <x v="3717"/>
      <x v="4379"/>
      <x v="64"/>
      <x v="2"/>
    </i>
    <i>
      <x v="3718"/>
      <x v="4385"/>
      <x v="95"/>
      <x v="2"/>
    </i>
    <i>
      <x v="3719"/>
      <x v="4386"/>
      <x v="89"/>
      <x v="2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item="1" hier="-1"/>
  </pageFields>
  <dataFields count="4">
    <dataField name="VENTA " fld="5" baseField="0" baseItem="0" numFmtId="164"/>
    <dataField name="COSTO " fld="6" baseField="0" baseItem="0" numFmtId="164"/>
    <dataField name="TRUPUT " fld="7" baseField="0" baseItem="0" numFmtId="164"/>
    <dataField name="BUFFER " fld="8" baseField="0" baseItem="0" numFmtId="164"/>
  </dataFields>
  <formats count="5">
    <format dxfId="13">
      <pivotArea dataOnly="0" labelOnly="1" outline="0" fieldPosition="0">
        <references count="1">
          <reference field="1" count="0"/>
        </references>
      </pivotArea>
    </format>
    <format dxfId="12">
      <pivotArea dataOnly="0" labelOnly="1" outline="0" fieldPosition="0">
        <references count="1">
          <reference field="2" count="0"/>
        </references>
      </pivotArea>
    </format>
    <format dxfId="11">
      <pivotArea field="4" type="button" dataOnly="0" labelOnly="1" outline="0" axis="axisRow" fieldPosition="3"/>
    </format>
    <format dxfId="1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" showRowHeaders="1" showColHeaders="1" showRowStripes="1" showColStripes="0" showLastColumn="1"/>
</pivotTableDefinition>
</file>

<file path=xl/queryTables/queryTable1.xml><?xml version="1.0" encoding="utf-8"?>
<queryTable xmlns="http://schemas.openxmlformats.org/spreadsheetml/2006/main" name="Consulta desde reportes en Access_2" backgroundRefresh="0" connectionId="6" autoFormatId="16" applyNumberFormats="0" applyBorderFormats="0" applyFontFormats="0" applyPatternFormats="0" applyAlignmentFormats="0" applyWidthHeightFormats="0">
  <queryTableRefresh nextId="11">
    <queryTableFields count="10">
      <queryTableField id="1" name="EMPRESA" tableColumnId="1"/>
      <queryTableField id="2" name="CODIGO" tableColumnId="2"/>
      <queryTableField id="3" name="DESCRIPCION" tableColumnId="3"/>
      <queryTableField id="4" name="GRUPO" tableColumnId="4"/>
      <queryTableField id="5" name="LINEA" tableColumnId="5"/>
      <queryTableField id="6" name="VENTA" tableColumnId="6"/>
      <queryTableField id="7" name="COSTO" tableColumnId="7"/>
      <queryTableField id="8" name="TRUPUT" tableColumnId="8"/>
      <queryTableField id="9" name="INVERSION" tableColumnId="9"/>
      <queryTableField id="10" name="ROI ANUAL" tableColumnId="10"/>
    </queryTableFields>
  </queryTableRefresh>
</queryTable>
</file>

<file path=xl/queryTables/queryTable2.xml><?xml version="1.0" encoding="utf-8"?>
<queryTable xmlns="http://schemas.openxmlformats.org/spreadsheetml/2006/main" name="Consulta desde DatosConsolidados_2" backgroundRefres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COSTO TOTAL" tableColumnId="2"/>
    </queryTableFields>
  </queryTableRefresh>
</queryTable>
</file>

<file path=xl/queryTables/queryTable3.xml><?xml version="1.0" encoding="utf-8"?>
<queryTable xmlns="http://schemas.openxmlformats.org/spreadsheetml/2006/main" name="Consulta desde reportes en Access" backgroundRefresh="0" connectionId="4" autoFormatId="16" applyNumberFormats="0" applyBorderFormats="0" applyFontFormats="0" applyPatternFormats="0" applyAlignmentFormats="0" applyWidthHeightFormats="0">
  <queryTableRefresh nextId="6">
    <queryTableFields count="2">
      <queryTableField id="1" name="CODIGO" tableColumnId="1"/>
      <queryTableField id="2" name="ROI" tableColumnId="2"/>
    </queryTableFields>
  </queryTableRefresh>
</queryTable>
</file>

<file path=xl/queryTables/queryTable4.xml><?xml version="1.0" encoding="utf-8"?>
<queryTable xmlns="http://schemas.openxmlformats.org/spreadsheetml/2006/main" name="Consulta desde reportes en Access_1" backgroundRefresh="0" connectionId="5" autoFormatId="16" applyNumberFormats="0" applyBorderFormats="0" applyFontFormats="0" applyPatternFormats="0" applyAlignmentFormats="0" applyWidthHeightFormats="0">
  <queryTableRefresh nextId="5">
    <queryTableFields count="2">
      <queryTableField id="1" name="CODIGO" tableColumnId="1"/>
      <queryTableField id="4" name="ROI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7" name="Tabla_Truput" displayName="Tabla_Truput" ref="A1:J2" tableType="queryTable" insertRow="1" totalsRowShown="0">
  <autoFilter ref="A1:J2"/>
  <tableColumns count="10">
    <tableColumn id="1" uniqueName="1" name="EMPRESA" queryTableFieldId="1"/>
    <tableColumn id="2" uniqueName="2" name="CODIGO" queryTableFieldId="2"/>
    <tableColumn id="3" uniqueName="3" name="DESCRIPCION" queryTableFieldId="3"/>
    <tableColumn id="4" uniqueName="4" name="GRUPO" queryTableFieldId="4"/>
    <tableColumn id="5" uniqueName="5" name="LINEA" queryTableFieldId="5"/>
    <tableColumn id="6" uniqueName="6" name="VENTA" queryTableFieldId="6"/>
    <tableColumn id="7" uniqueName="7" name="COSTO" queryTableFieldId="7"/>
    <tableColumn id="8" uniqueName="8" name="TRUPUT" queryTableFieldId="8"/>
    <tableColumn id="9" uniqueName="9" name="INVERSION" queryTableFieldId="9"/>
    <tableColumn id="10" uniqueName="10" name="ROI ANUAL" queryTableFieldId="10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5" name="Tabla_Costo_Buffers" displayName="Tabla_Costo_Buffers" ref="A1:B1928" tableType="queryTable" totalsRowShown="0">
  <autoFilter ref="A1:B1928"/>
  <tableColumns count="2">
    <tableColumn id="1" uniqueName="1" name="Codigo" queryTableFieldId="1"/>
    <tableColumn id="2" uniqueName="2" name="COSTO TOTAL" queryTableFieldId="2" dataDxfId="8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id="6" name="Tabla_Parametros" displayName="Tabla_Parametros" ref="A1:B2" totalsRowShown="0">
  <autoFilter ref="A1:B2">
    <filterColumn colId="0"/>
    <filterColumn colId="1"/>
  </autoFilter>
  <tableColumns count="2">
    <tableColumn id="4" name="FECHAFIN" dataDxfId="7">
      <calculatedColumnFormula>TODAY()</calculatedColumnFormula>
    </tableColumn>
    <tableColumn id="5" name="FECHAINI" dataDxfId="6">
      <calculatedColumnFormula>[FECHAFIN]-365</calculatedColumnFormula>
    </tableColumn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id="2" name="Tabla_Parametros_Anterior" displayName="Tabla_Parametros_Anterior" ref="D1:I2" totalsRowShown="0">
  <autoFilter ref="D1:I2"/>
  <tableColumns count="6">
    <tableColumn id="1" name="AÑO ACTUAL" dataDxfId="5">
      <calculatedColumnFormula>YEAR(TODAY())</calculatedColumnFormula>
    </tableColumn>
    <tableColumn id="3" name="PRIMER DÍA AÑO ACTUAL" dataDxfId="4">
      <calculatedColumnFormula>DATE(YEAR(TODAY()),MONTH(TODAY())-MONTH(TODAY())+1,DAY(TODAY())-DAY(TODAY())+1)</calculatedColumnFormula>
    </tableColumn>
    <tableColumn id="4" name="HOY" dataDxfId="3">
      <calculatedColumnFormula>TODAY()</calculatedColumnFormula>
    </tableColumn>
    <tableColumn id="5" name="DIFERENCIA FECHAS" dataDxfId="2">
      <calculatedColumnFormula>[HOY]-[PRIMER DÍA AÑO ACTUAL]</calculatedColumnFormula>
    </tableColumn>
    <tableColumn id="2" name="% año" dataDxfId="1">
      <calculatedColumnFormula>[DIFERENCIA FECHAS]/365</calculatedColumnFormula>
    </tableColumn>
    <tableColumn id="6" name="Multiplicador" dataDxfId="0">
      <calculatedColumnFormula>100%/[% año]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Tabla_ROIAgroinsumosPT" displayName="Tabla_ROIAgroinsumosPT" ref="A1:B102" tableType="queryTable" totalsRowShown="0">
  <autoFilter ref="A1:B10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abla_ROIAgroinsumosMP" displayName="Tabla_ROIAgroinsumosMP" ref="A1:B93" tableType="queryTable" totalsRowShown="0">
  <autoFilter ref="A1:B93"/>
  <tableColumns count="2">
    <tableColumn id="1" uniqueName="1" name="CODIGO" queryTableFieldId="1"/>
    <tableColumn id="4" uniqueName="4" name="ROI" queryTableFieldId="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H1017"/>
  <sheetViews>
    <sheetView showGridLines="0" zoomScale="85" zoomScaleNormal="85" workbookViewId="0">
      <selection activeCell="A2" sqref="A2"/>
    </sheetView>
  </sheetViews>
  <sheetFormatPr baseColWidth="10" defaultRowHeight="15"/>
  <cols>
    <col min="1" max="1" width="20" customWidth="1"/>
    <col min="2" max="2" width="55.85546875" customWidth="1"/>
    <col min="3" max="4" width="15" customWidth="1"/>
    <col min="5" max="8" width="11.7109375" customWidth="1"/>
    <col min="9" max="9" width="11.28515625" customWidth="1"/>
  </cols>
  <sheetData>
    <row r="1" spans="1:8" ht="22.5">
      <c r="A1" s="2" t="s">
        <v>552</v>
      </c>
    </row>
    <row r="2" spans="1:8" ht="12.75" customHeight="1">
      <c r="A2" s="2"/>
    </row>
    <row r="3" spans="1:8">
      <c r="A3" s="9" t="s">
        <v>433</v>
      </c>
      <c r="B3" t="s">
        <v>2330</v>
      </c>
    </row>
    <row r="5" spans="1:8">
      <c r="E5" s="9" t="s">
        <v>553</v>
      </c>
    </row>
    <row r="6" spans="1:8">
      <c r="A6" s="9" t="s">
        <v>431</v>
      </c>
      <c r="B6" s="9" t="s">
        <v>432</v>
      </c>
      <c r="C6" s="9" t="s">
        <v>650</v>
      </c>
      <c r="D6" s="11" t="s">
        <v>645</v>
      </c>
      <c r="E6" s="12" t="s">
        <v>554</v>
      </c>
      <c r="F6" s="12" t="s">
        <v>649</v>
      </c>
      <c r="G6" s="12" t="s">
        <v>555</v>
      </c>
      <c r="H6" s="12" t="s">
        <v>556</v>
      </c>
    </row>
    <row r="7" spans="1:8">
      <c r="A7" s="10" t="s">
        <v>1092</v>
      </c>
      <c r="B7" s="10" t="s">
        <v>2331</v>
      </c>
      <c r="C7" t="s">
        <v>2158</v>
      </c>
      <c r="D7" t="s">
        <v>2149</v>
      </c>
      <c r="E7" s="3">
        <v>6.1428000000000003</v>
      </c>
      <c r="F7" s="3">
        <v>0.55200000000000005</v>
      </c>
      <c r="G7" s="3">
        <v>5.5907999999999998</v>
      </c>
      <c r="H7" s="3">
        <v>0.48</v>
      </c>
    </row>
    <row r="8" spans="1:8">
      <c r="A8" s="10" t="s">
        <v>1094</v>
      </c>
      <c r="B8" s="10" t="s">
        <v>2332</v>
      </c>
      <c r="C8" t="s">
        <v>2158</v>
      </c>
      <c r="D8" t="s">
        <v>2149</v>
      </c>
      <c r="E8" s="3">
        <v>0.75</v>
      </c>
      <c r="F8" s="3">
        <v>0.128</v>
      </c>
      <c r="G8" s="3">
        <v>0.622</v>
      </c>
      <c r="H8" s="3">
        <v>3</v>
      </c>
    </row>
    <row r="9" spans="1:8">
      <c r="A9" s="10" t="s">
        <v>1095</v>
      </c>
      <c r="B9" s="10" t="s">
        <v>2333</v>
      </c>
      <c r="C9" t="s">
        <v>2158</v>
      </c>
      <c r="D9" t="s">
        <v>2149</v>
      </c>
      <c r="E9" s="3">
        <v>1.05</v>
      </c>
      <c r="F9" s="3">
        <v>0.25600000000000001</v>
      </c>
      <c r="G9" s="3">
        <v>0.79400000000000004</v>
      </c>
      <c r="H9" s="3">
        <v>3</v>
      </c>
    </row>
    <row r="10" spans="1:8">
      <c r="A10" s="10" t="s">
        <v>1110</v>
      </c>
      <c r="B10" s="10" t="s">
        <v>2339</v>
      </c>
      <c r="C10" t="s">
        <v>2340</v>
      </c>
      <c r="D10" t="s">
        <v>2296</v>
      </c>
      <c r="E10" s="3">
        <v>1503.9659999999999</v>
      </c>
      <c r="F10" s="3">
        <v>1234.6505</v>
      </c>
      <c r="G10" s="3">
        <v>269.31549999999993</v>
      </c>
      <c r="H10" s="3">
        <v>384.03</v>
      </c>
    </row>
    <row r="11" spans="1:8">
      <c r="A11" s="10" t="s">
        <v>86</v>
      </c>
      <c r="B11" s="10" t="s">
        <v>2341</v>
      </c>
      <c r="C11" t="s">
        <v>2342</v>
      </c>
      <c r="D11" t="s">
        <v>2149</v>
      </c>
      <c r="E11" s="3">
        <v>14.420500000000001</v>
      </c>
      <c r="F11" s="3">
        <v>52.283499999999997</v>
      </c>
      <c r="G11" s="3">
        <v>-37.863</v>
      </c>
      <c r="H11" s="3">
        <v>160</v>
      </c>
    </row>
    <row r="12" spans="1:8">
      <c r="A12" s="10" t="s">
        <v>1083</v>
      </c>
      <c r="B12" s="10" t="s">
        <v>2155</v>
      </c>
      <c r="C12" t="s">
        <v>2156</v>
      </c>
      <c r="D12" t="s">
        <v>2149</v>
      </c>
      <c r="E12" s="3">
        <v>4.2927999999999997</v>
      </c>
      <c r="F12" s="3">
        <v>4.1619999999999999</v>
      </c>
      <c r="G12" s="3">
        <v>0.13079999999999981</v>
      </c>
      <c r="H12" s="3">
        <v>27.04</v>
      </c>
    </row>
    <row r="13" spans="1:8">
      <c r="A13" s="10" t="s">
        <v>271</v>
      </c>
      <c r="B13" s="10" t="s">
        <v>2343</v>
      </c>
      <c r="C13" t="s">
        <v>2344</v>
      </c>
      <c r="D13" t="s">
        <v>2149</v>
      </c>
      <c r="E13" s="3">
        <v>59.723708267797306</v>
      </c>
      <c r="F13" s="3">
        <v>38.654400000000003</v>
      </c>
      <c r="G13" s="3">
        <v>21.069308267797304</v>
      </c>
      <c r="H13" s="3">
        <v>51.52</v>
      </c>
    </row>
    <row r="14" spans="1:8">
      <c r="A14" s="10" t="s">
        <v>143</v>
      </c>
      <c r="B14" s="10" t="s">
        <v>2157</v>
      </c>
      <c r="C14" t="s">
        <v>2158</v>
      </c>
      <c r="D14" t="s">
        <v>2149</v>
      </c>
      <c r="E14" s="3">
        <v>1139.8352959646486</v>
      </c>
      <c r="F14" s="3">
        <v>371.77680000000004</v>
      </c>
      <c r="G14" s="3">
        <v>768.0584959646485</v>
      </c>
      <c r="H14" s="3">
        <v>370.62</v>
      </c>
    </row>
    <row r="15" spans="1:8">
      <c r="A15" s="10" t="s">
        <v>1164</v>
      </c>
      <c r="B15" s="10" t="s">
        <v>2345</v>
      </c>
      <c r="C15" t="s">
        <v>2346</v>
      </c>
      <c r="D15" t="s">
        <v>2149</v>
      </c>
      <c r="E15" s="3">
        <v>-16.687999999999999</v>
      </c>
      <c r="F15" s="3">
        <v>-10.1752</v>
      </c>
      <c r="G15" s="3">
        <v>-6.5127999999999986</v>
      </c>
      <c r="H15" s="3">
        <v>37.5</v>
      </c>
    </row>
    <row r="16" spans="1:8">
      <c r="A16" s="10" t="s">
        <v>838</v>
      </c>
      <c r="B16" s="10" t="s">
        <v>2159</v>
      </c>
      <c r="C16" t="s">
        <v>2156</v>
      </c>
      <c r="D16" t="s">
        <v>2149</v>
      </c>
      <c r="E16" s="3">
        <v>59.936399999999999</v>
      </c>
      <c r="F16" s="3">
        <v>29.935200000000002</v>
      </c>
      <c r="G16" s="3">
        <v>30.001199999999997</v>
      </c>
      <c r="H16" s="3">
        <v>29.88</v>
      </c>
    </row>
    <row r="17" spans="1:8">
      <c r="A17" s="10" t="s">
        <v>490</v>
      </c>
      <c r="B17" s="10" t="s">
        <v>2347</v>
      </c>
      <c r="C17" t="s">
        <v>2158</v>
      </c>
      <c r="D17" t="s">
        <v>2149</v>
      </c>
      <c r="E17" s="3">
        <v>65.877296805254673</v>
      </c>
      <c r="F17" s="3">
        <v>31.010800000000003</v>
      </c>
      <c r="G17" s="3">
        <v>34.86649680525467</v>
      </c>
      <c r="H17" s="3">
        <v>26.67</v>
      </c>
    </row>
    <row r="18" spans="1:8">
      <c r="A18" s="10" t="s">
        <v>121</v>
      </c>
      <c r="B18" s="10" t="s">
        <v>2348</v>
      </c>
      <c r="C18" t="s">
        <v>2158</v>
      </c>
      <c r="D18" t="s">
        <v>2149</v>
      </c>
      <c r="E18" s="3">
        <v>504.18815007730569</v>
      </c>
      <c r="F18" s="3">
        <v>116.12099999999998</v>
      </c>
      <c r="G18" s="3">
        <v>388.06715007730571</v>
      </c>
      <c r="H18" s="3">
        <v>76.8</v>
      </c>
    </row>
    <row r="19" spans="1:8">
      <c r="A19" s="10" t="s">
        <v>1167</v>
      </c>
      <c r="B19" s="10" t="s">
        <v>2349</v>
      </c>
      <c r="C19" t="s">
        <v>2156</v>
      </c>
      <c r="D19" t="s">
        <v>2149</v>
      </c>
      <c r="E19" s="3">
        <v>37.367105425764677</v>
      </c>
      <c r="F19" s="3">
        <v>25.092000000000006</v>
      </c>
      <c r="G19" s="3">
        <v>12.275105425764671</v>
      </c>
      <c r="H19" s="3">
        <v>41.8</v>
      </c>
    </row>
    <row r="20" spans="1:8">
      <c r="A20" s="10" t="s">
        <v>853</v>
      </c>
      <c r="B20" s="10" t="s">
        <v>2352</v>
      </c>
      <c r="C20" t="s">
        <v>2156</v>
      </c>
      <c r="D20" t="s">
        <v>2149</v>
      </c>
      <c r="E20" s="3">
        <v>416.70730648759593</v>
      </c>
      <c r="F20" s="3">
        <v>332.83499999999998</v>
      </c>
      <c r="G20" s="3">
        <v>83.872306487595949</v>
      </c>
      <c r="H20" s="3">
        <v>442.88</v>
      </c>
    </row>
    <row r="21" spans="1:8">
      <c r="A21" s="10" t="s">
        <v>1169</v>
      </c>
      <c r="B21" s="10" t="s">
        <v>2353</v>
      </c>
      <c r="C21" t="s">
        <v>2158</v>
      </c>
      <c r="D21" t="s">
        <v>2149</v>
      </c>
      <c r="E21" s="3">
        <v>260.56799999999998</v>
      </c>
      <c r="F21" s="3">
        <v>188.20999999999998</v>
      </c>
      <c r="G21" s="3">
        <v>72.358000000000004</v>
      </c>
      <c r="H21" s="3">
        <v>119.78</v>
      </c>
    </row>
    <row r="22" spans="1:8">
      <c r="A22" s="10" t="s">
        <v>634</v>
      </c>
      <c r="B22" s="10" t="s">
        <v>2354</v>
      </c>
      <c r="C22" t="s">
        <v>2169</v>
      </c>
      <c r="D22" t="s">
        <v>2149</v>
      </c>
      <c r="E22" s="3">
        <v>252</v>
      </c>
      <c r="F22" s="3">
        <v>122.5</v>
      </c>
      <c r="G22" s="3">
        <v>129.5</v>
      </c>
      <c r="H22" s="3">
        <v>123.58</v>
      </c>
    </row>
    <row r="23" spans="1:8">
      <c r="A23" s="10" t="s">
        <v>909</v>
      </c>
      <c r="B23" s="10" t="s">
        <v>2358</v>
      </c>
      <c r="C23" t="s">
        <v>2158</v>
      </c>
      <c r="D23" t="s">
        <v>2149</v>
      </c>
      <c r="E23" s="3">
        <v>14.783999999999999</v>
      </c>
      <c r="F23" s="3">
        <v>7.2552000000000003</v>
      </c>
      <c r="G23" s="3">
        <v>7.5287999999999986</v>
      </c>
      <c r="H23" s="3">
        <v>7.2</v>
      </c>
    </row>
    <row r="24" spans="1:8">
      <c r="A24" s="10" t="s">
        <v>525</v>
      </c>
      <c r="B24" s="10" t="s">
        <v>2359</v>
      </c>
      <c r="C24" t="s">
        <v>2158</v>
      </c>
      <c r="D24" t="s">
        <v>2149</v>
      </c>
      <c r="E24" s="3">
        <v>179.51075052998704</v>
      </c>
      <c r="F24" s="3">
        <v>54.029899999999998</v>
      </c>
      <c r="G24" s="3">
        <v>125.48085052998704</v>
      </c>
      <c r="H24" s="3">
        <v>42.12</v>
      </c>
    </row>
    <row r="25" spans="1:8">
      <c r="A25" s="10" t="s">
        <v>843</v>
      </c>
      <c r="B25" s="10" t="s">
        <v>2358</v>
      </c>
      <c r="C25" t="s">
        <v>2158</v>
      </c>
      <c r="D25" t="s">
        <v>2149</v>
      </c>
      <c r="E25" s="3">
        <v>11.395000000000001</v>
      </c>
      <c r="F25" s="3">
        <v>5.4705000000000004</v>
      </c>
      <c r="G25" s="3">
        <v>5.924500000000001</v>
      </c>
      <c r="H25" s="3">
        <v>9.36</v>
      </c>
    </row>
    <row r="26" spans="1:8">
      <c r="A26" s="10" t="s">
        <v>365</v>
      </c>
      <c r="B26" s="10" t="s">
        <v>2360</v>
      </c>
      <c r="C26" t="s">
        <v>2158</v>
      </c>
      <c r="D26" t="s">
        <v>2149</v>
      </c>
      <c r="E26" s="3">
        <v>97.799999999999983</v>
      </c>
      <c r="F26" s="3">
        <v>42.560899999999997</v>
      </c>
      <c r="G26" s="3">
        <v>55.239099999999986</v>
      </c>
      <c r="H26" s="3">
        <v>28.8</v>
      </c>
    </row>
    <row r="27" spans="1:8">
      <c r="A27" s="10" t="s">
        <v>854</v>
      </c>
      <c r="B27" s="10" t="s">
        <v>2361</v>
      </c>
      <c r="C27" t="s">
        <v>2156</v>
      </c>
      <c r="D27" t="s">
        <v>2149</v>
      </c>
      <c r="E27" s="3">
        <v>4.6500000000000004</v>
      </c>
      <c r="F27" s="3">
        <v>4.59</v>
      </c>
      <c r="G27" s="3">
        <v>6.0000000000000497E-2</v>
      </c>
      <c r="H27" s="3">
        <v>6.12</v>
      </c>
    </row>
    <row r="28" spans="1:8">
      <c r="A28" s="10" t="s">
        <v>169</v>
      </c>
      <c r="B28" s="10" t="s">
        <v>2362</v>
      </c>
      <c r="C28" t="s">
        <v>2158</v>
      </c>
      <c r="D28" t="s">
        <v>2149</v>
      </c>
      <c r="E28" s="3">
        <v>11.07</v>
      </c>
      <c r="F28" s="3">
        <v>3.8532000000000002</v>
      </c>
      <c r="G28" s="3">
        <v>7.2168000000000001</v>
      </c>
      <c r="H28" s="3">
        <v>2.94</v>
      </c>
    </row>
    <row r="29" spans="1:8">
      <c r="A29" s="10" t="s">
        <v>1180</v>
      </c>
      <c r="B29" s="10" t="s">
        <v>2363</v>
      </c>
      <c r="C29" t="s">
        <v>2158</v>
      </c>
      <c r="D29" t="s">
        <v>2149</v>
      </c>
      <c r="E29" s="3">
        <v>16.524899999999999</v>
      </c>
      <c r="F29" s="3">
        <v>9.5679999999999996</v>
      </c>
      <c r="G29" s="3">
        <v>6.9568999999999992</v>
      </c>
      <c r="H29" s="3">
        <v>8.9600000000000009</v>
      </c>
    </row>
    <row r="30" spans="1:8">
      <c r="A30" s="10" t="s">
        <v>1186</v>
      </c>
      <c r="B30" s="10" t="s">
        <v>2366</v>
      </c>
      <c r="C30" t="s">
        <v>2156</v>
      </c>
      <c r="D30" t="s">
        <v>2149</v>
      </c>
      <c r="E30" s="3">
        <v>21.438800000000001</v>
      </c>
      <c r="F30" s="3">
        <v>11.885000000000002</v>
      </c>
      <c r="G30" s="3">
        <v>9.553799999999999</v>
      </c>
      <c r="H30" s="3">
        <v>17.7</v>
      </c>
    </row>
    <row r="31" spans="1:8">
      <c r="A31" s="10" t="s">
        <v>1188</v>
      </c>
      <c r="B31" s="10" t="s">
        <v>2367</v>
      </c>
      <c r="C31" t="s">
        <v>2156</v>
      </c>
      <c r="D31" t="s">
        <v>2149</v>
      </c>
      <c r="E31" s="3">
        <v>18.741599999999998</v>
      </c>
      <c r="F31" s="3">
        <v>8.0399999999999991</v>
      </c>
      <c r="G31" s="3">
        <v>10.701599999999999</v>
      </c>
      <c r="H31" s="3">
        <v>8.01</v>
      </c>
    </row>
    <row r="32" spans="1:8">
      <c r="A32" s="10" t="s">
        <v>879</v>
      </c>
      <c r="B32" s="10" t="s">
        <v>2368</v>
      </c>
      <c r="C32" t="s">
        <v>2344</v>
      </c>
      <c r="D32" t="s">
        <v>2149</v>
      </c>
      <c r="E32" s="3">
        <v>16.815116317153571</v>
      </c>
      <c r="F32" s="3">
        <v>9.2476000000000003</v>
      </c>
      <c r="G32" s="3">
        <v>7.5675163171535704</v>
      </c>
      <c r="H32" s="3">
        <v>4.68</v>
      </c>
    </row>
    <row r="33" spans="1:8">
      <c r="A33" s="10" t="s">
        <v>1190</v>
      </c>
      <c r="B33" s="10" t="s">
        <v>2369</v>
      </c>
      <c r="C33" t="s">
        <v>2156</v>
      </c>
      <c r="D33" t="s">
        <v>2149</v>
      </c>
      <c r="E33" s="3">
        <v>4.2680000000000007</v>
      </c>
      <c r="F33" s="3">
        <v>2.0556000000000001</v>
      </c>
      <c r="G33" s="3">
        <v>2.2124000000000006</v>
      </c>
      <c r="H33" s="3">
        <v>5.44</v>
      </c>
    </row>
    <row r="34" spans="1:8">
      <c r="A34" s="10" t="s">
        <v>880</v>
      </c>
      <c r="B34" s="10" t="s">
        <v>2370</v>
      </c>
      <c r="C34" t="s">
        <v>2156</v>
      </c>
      <c r="D34" t="s">
        <v>2149</v>
      </c>
      <c r="E34" s="3">
        <v>15.052499999999998</v>
      </c>
      <c r="F34" s="3">
        <v>5.8922999999999996</v>
      </c>
      <c r="G34" s="3">
        <v>9.1601999999999997</v>
      </c>
      <c r="H34" s="3">
        <v>5.67</v>
      </c>
    </row>
    <row r="35" spans="1:8">
      <c r="A35" s="10" t="s">
        <v>170</v>
      </c>
      <c r="B35" s="10" t="s">
        <v>2371</v>
      </c>
      <c r="C35" t="s">
        <v>2158</v>
      </c>
      <c r="D35" t="s">
        <v>2149</v>
      </c>
      <c r="E35" s="3">
        <v>37.82268897490134</v>
      </c>
      <c r="F35" s="3">
        <v>20.143599999999999</v>
      </c>
      <c r="G35" s="3">
        <v>17.67908897490134</v>
      </c>
      <c r="H35" s="3">
        <v>11.96</v>
      </c>
    </row>
    <row r="36" spans="1:8">
      <c r="A36" s="10" t="s">
        <v>397</v>
      </c>
      <c r="B36" s="10" t="s">
        <v>2372</v>
      </c>
      <c r="C36" t="s">
        <v>2158</v>
      </c>
      <c r="D36" t="s">
        <v>2149</v>
      </c>
      <c r="E36" s="3">
        <v>22.070400000000003</v>
      </c>
      <c r="F36" s="3">
        <v>13.8833</v>
      </c>
      <c r="G36" s="3">
        <v>8.1871000000000027</v>
      </c>
      <c r="H36" s="3">
        <v>6.72</v>
      </c>
    </row>
    <row r="37" spans="1:8">
      <c r="A37" s="10" t="s">
        <v>1193</v>
      </c>
      <c r="B37" s="10" t="s">
        <v>2374</v>
      </c>
      <c r="C37" t="s">
        <v>2158</v>
      </c>
      <c r="D37" t="s">
        <v>2149</v>
      </c>
      <c r="E37" s="3">
        <v>26.303600000000003</v>
      </c>
      <c r="F37" s="3">
        <v>19.632000000000001</v>
      </c>
      <c r="G37" s="3">
        <v>6.6716000000000015</v>
      </c>
      <c r="H37" s="3">
        <v>19.52</v>
      </c>
    </row>
    <row r="38" spans="1:8">
      <c r="A38" s="10" t="s">
        <v>446</v>
      </c>
      <c r="B38" s="10" t="s">
        <v>2375</v>
      </c>
      <c r="C38" t="s">
        <v>2158</v>
      </c>
      <c r="D38" t="s">
        <v>2149</v>
      </c>
      <c r="E38" s="3">
        <v>-14.33934563400447</v>
      </c>
      <c r="F38" s="3">
        <v>0</v>
      </c>
      <c r="G38" s="3">
        <v>-14.33934563400447</v>
      </c>
      <c r="H38" s="3">
        <v>59.6</v>
      </c>
    </row>
    <row r="39" spans="1:8">
      <c r="A39" s="10" t="s">
        <v>280</v>
      </c>
      <c r="B39" s="10" t="s">
        <v>2376</v>
      </c>
      <c r="C39" t="s">
        <v>2169</v>
      </c>
      <c r="D39" t="s">
        <v>2149</v>
      </c>
      <c r="E39" s="3">
        <v>62.295000000000002</v>
      </c>
      <c r="F39" s="3">
        <v>44.814</v>
      </c>
      <c r="G39" s="3">
        <v>17.481000000000002</v>
      </c>
      <c r="H39" s="3">
        <v>179.24</v>
      </c>
    </row>
    <row r="40" spans="1:8">
      <c r="A40" s="10" t="s">
        <v>70</v>
      </c>
      <c r="B40" s="10" t="s">
        <v>2381</v>
      </c>
      <c r="C40" t="s">
        <v>2382</v>
      </c>
      <c r="D40" t="s">
        <v>2149</v>
      </c>
      <c r="E40" s="3">
        <v>77.998999999999995</v>
      </c>
      <c r="F40" s="3">
        <v>73.053200000000004</v>
      </c>
      <c r="G40" s="3">
        <v>4.9457999999999913</v>
      </c>
      <c r="H40" s="3">
        <v>182.58</v>
      </c>
    </row>
    <row r="41" spans="1:8">
      <c r="A41" s="10" t="s">
        <v>558</v>
      </c>
      <c r="B41" s="10" t="s">
        <v>2164</v>
      </c>
      <c r="C41" t="s">
        <v>2154</v>
      </c>
      <c r="D41" t="s">
        <v>2149</v>
      </c>
      <c r="E41" s="3">
        <v>463.78738047375765</v>
      </c>
      <c r="F41" s="3">
        <v>379.5442000000001</v>
      </c>
      <c r="G41" s="3">
        <v>84.243180473757548</v>
      </c>
      <c r="H41" s="3">
        <v>182</v>
      </c>
    </row>
    <row r="42" spans="1:8">
      <c r="A42" s="10" t="s">
        <v>910</v>
      </c>
      <c r="B42" s="10" t="s">
        <v>2165</v>
      </c>
      <c r="C42" t="s">
        <v>2154</v>
      </c>
      <c r="D42" t="s">
        <v>2149</v>
      </c>
      <c r="E42" s="3">
        <v>252.12399999999997</v>
      </c>
      <c r="F42" s="3">
        <v>196.23599999999999</v>
      </c>
      <c r="G42" s="3">
        <v>55.887999999999977</v>
      </c>
      <c r="H42" s="3">
        <v>218</v>
      </c>
    </row>
    <row r="43" spans="1:8">
      <c r="A43" s="10" t="s">
        <v>855</v>
      </c>
      <c r="B43" s="10" t="s">
        <v>2386</v>
      </c>
      <c r="C43" t="s">
        <v>2156</v>
      </c>
      <c r="D43" t="s">
        <v>2149</v>
      </c>
      <c r="E43" s="3">
        <v>67.873153525073079</v>
      </c>
      <c r="F43" s="3">
        <v>51.534199999999998</v>
      </c>
      <c r="G43" s="3">
        <v>16.33895352507308</v>
      </c>
      <c r="H43" s="3">
        <v>154.59</v>
      </c>
    </row>
    <row r="44" spans="1:8">
      <c r="A44" s="10" t="s">
        <v>323</v>
      </c>
      <c r="B44" s="10" t="s">
        <v>2387</v>
      </c>
      <c r="C44" t="s">
        <v>2158</v>
      </c>
      <c r="D44" t="s">
        <v>2149</v>
      </c>
      <c r="E44" s="3">
        <v>1536.8716486786327</v>
      </c>
      <c r="F44" s="3">
        <v>1003.4175</v>
      </c>
      <c r="G44" s="3">
        <v>533.45414867863269</v>
      </c>
      <c r="H44" s="3">
        <v>1047.5999999999999</v>
      </c>
    </row>
    <row r="45" spans="1:8">
      <c r="A45" s="10" t="s">
        <v>792</v>
      </c>
      <c r="B45" s="10" t="s">
        <v>2388</v>
      </c>
      <c r="C45" t="s">
        <v>2158</v>
      </c>
      <c r="D45" t="s">
        <v>2149</v>
      </c>
      <c r="E45" s="3">
        <v>357.1139</v>
      </c>
      <c r="F45" s="3">
        <v>229.03989999999999</v>
      </c>
      <c r="G45" s="3">
        <v>128.07400000000001</v>
      </c>
      <c r="H45" s="3">
        <v>194.32</v>
      </c>
    </row>
    <row r="46" spans="1:8">
      <c r="A46" s="10" t="s">
        <v>1206</v>
      </c>
      <c r="B46" s="10" t="s">
        <v>3166</v>
      </c>
      <c r="C46" t="s">
        <v>2156</v>
      </c>
      <c r="D46" t="s">
        <v>2149</v>
      </c>
      <c r="E46" s="3">
        <v>37.162999999999997</v>
      </c>
      <c r="F46" s="3">
        <v>32.01</v>
      </c>
      <c r="G46" s="3">
        <v>5.1529999999999987</v>
      </c>
      <c r="H46" s="3">
        <v>32.01</v>
      </c>
    </row>
    <row r="47" spans="1:8">
      <c r="A47" s="10" t="s">
        <v>844</v>
      </c>
      <c r="B47" s="10" t="s">
        <v>2389</v>
      </c>
      <c r="C47" t="s">
        <v>2156</v>
      </c>
      <c r="D47" t="s">
        <v>2149</v>
      </c>
      <c r="E47" s="3">
        <v>12.75207536046773</v>
      </c>
      <c r="F47" s="3">
        <v>6.8322000000000003</v>
      </c>
      <c r="G47" s="3">
        <v>5.9198753604677297</v>
      </c>
      <c r="H47" s="3">
        <v>27.24</v>
      </c>
    </row>
    <row r="48" spans="1:8">
      <c r="A48" s="10" t="s">
        <v>471</v>
      </c>
      <c r="B48" s="10" t="s">
        <v>2392</v>
      </c>
      <c r="C48" t="s">
        <v>2346</v>
      </c>
      <c r="D48" t="s">
        <v>2149</v>
      </c>
      <c r="E48" s="3">
        <v>47.048118086439928</v>
      </c>
      <c r="F48" s="3">
        <v>14.352500000000001</v>
      </c>
      <c r="G48" s="3">
        <v>32.695618086439929</v>
      </c>
      <c r="H48" s="3">
        <v>5.72</v>
      </c>
    </row>
    <row r="49" spans="1:8">
      <c r="A49" s="10" t="s">
        <v>1211</v>
      </c>
      <c r="B49" s="10" t="s">
        <v>2393</v>
      </c>
      <c r="C49" t="s">
        <v>2158</v>
      </c>
      <c r="D49" t="s">
        <v>2149</v>
      </c>
      <c r="E49" s="3">
        <v>1.0425</v>
      </c>
      <c r="F49" s="3">
        <v>0.49299999999999999</v>
      </c>
      <c r="G49" s="3">
        <v>0.54949999999999999</v>
      </c>
      <c r="H49" s="3">
        <v>7.84</v>
      </c>
    </row>
    <row r="50" spans="1:8">
      <c r="A50" s="10" t="s">
        <v>1212</v>
      </c>
      <c r="B50" s="10" t="s">
        <v>2394</v>
      </c>
      <c r="C50" t="s">
        <v>2156</v>
      </c>
      <c r="D50" t="s">
        <v>2149</v>
      </c>
      <c r="E50" s="3">
        <v>2.82</v>
      </c>
      <c r="F50" s="3">
        <v>0.93600000000000005</v>
      </c>
      <c r="G50" s="3">
        <v>1.8839999999999999</v>
      </c>
      <c r="H50" s="3">
        <v>5.58</v>
      </c>
    </row>
    <row r="51" spans="1:8">
      <c r="A51" s="10" t="s">
        <v>518</v>
      </c>
      <c r="B51" s="10" t="s">
        <v>2395</v>
      </c>
      <c r="C51" t="s">
        <v>2156</v>
      </c>
      <c r="D51" t="s">
        <v>2149</v>
      </c>
      <c r="E51" s="3">
        <v>30.419798503260626</v>
      </c>
      <c r="F51" s="3">
        <v>15.704000000000001</v>
      </c>
      <c r="G51" s="3">
        <v>14.715798503260626</v>
      </c>
      <c r="H51" s="3">
        <v>15.7</v>
      </c>
    </row>
    <row r="52" spans="1:8">
      <c r="A52" s="10" t="s">
        <v>1213</v>
      </c>
      <c r="B52" s="10" t="s">
        <v>2167</v>
      </c>
      <c r="C52" t="s">
        <v>2158</v>
      </c>
      <c r="D52" t="s">
        <v>2149</v>
      </c>
      <c r="E52" s="3">
        <v>31.949999999999996</v>
      </c>
      <c r="F52" s="3">
        <v>15.014100000000001</v>
      </c>
      <c r="G52" s="3">
        <v>16.935899999999997</v>
      </c>
      <c r="H52" s="3">
        <v>30.4</v>
      </c>
    </row>
    <row r="53" spans="1:8">
      <c r="A53" s="10" t="s">
        <v>768</v>
      </c>
      <c r="B53" s="10" t="s">
        <v>2396</v>
      </c>
      <c r="C53" t="s">
        <v>2158</v>
      </c>
      <c r="D53" t="s">
        <v>2149</v>
      </c>
      <c r="E53" s="3">
        <v>2.3199999999999998</v>
      </c>
      <c r="F53" s="3">
        <v>1.1448</v>
      </c>
      <c r="G53" s="3">
        <v>1.1751999999999998</v>
      </c>
      <c r="H53" s="3">
        <v>18.239999999999998</v>
      </c>
    </row>
    <row r="54" spans="1:8">
      <c r="A54" s="10" t="s">
        <v>845</v>
      </c>
      <c r="B54" s="10" t="s">
        <v>2397</v>
      </c>
      <c r="C54" t="s">
        <v>2156</v>
      </c>
      <c r="D54" t="s">
        <v>2149</v>
      </c>
      <c r="E54" s="3">
        <v>7.863314158457583</v>
      </c>
      <c r="F54" s="3">
        <v>3.95</v>
      </c>
      <c r="G54" s="3">
        <v>3.9133141584575828</v>
      </c>
      <c r="H54" s="3">
        <v>11.76</v>
      </c>
    </row>
    <row r="55" spans="1:8">
      <c r="A55" s="10" t="s">
        <v>1215</v>
      </c>
      <c r="B55" s="10" t="s">
        <v>2400</v>
      </c>
      <c r="C55" t="s">
        <v>2156</v>
      </c>
      <c r="D55" t="s">
        <v>2149</v>
      </c>
      <c r="E55" s="3">
        <v>1.1970000000000001</v>
      </c>
      <c r="F55" s="3">
        <v>0.62</v>
      </c>
      <c r="G55" s="3">
        <v>0.57700000000000007</v>
      </c>
      <c r="H55" s="3">
        <v>3.72</v>
      </c>
    </row>
    <row r="56" spans="1:8">
      <c r="A56" s="10" t="s">
        <v>510</v>
      </c>
      <c r="B56" s="10" t="s">
        <v>2401</v>
      </c>
      <c r="C56" t="s">
        <v>2156</v>
      </c>
      <c r="D56" t="s">
        <v>2149</v>
      </c>
      <c r="E56" s="3">
        <v>9.1</v>
      </c>
      <c r="F56" s="3">
        <v>5.1517999999999997</v>
      </c>
      <c r="G56" s="3">
        <v>3.9481999999999999</v>
      </c>
      <c r="H56" s="3">
        <v>61.8</v>
      </c>
    </row>
    <row r="57" spans="1:8">
      <c r="A57" s="10" t="s">
        <v>1216</v>
      </c>
      <c r="B57" s="10" t="s">
        <v>2402</v>
      </c>
      <c r="C57" t="s">
        <v>2156</v>
      </c>
      <c r="D57" t="s">
        <v>2149</v>
      </c>
      <c r="E57" s="3">
        <v>41.868725041931533</v>
      </c>
      <c r="F57" s="3">
        <v>12.68</v>
      </c>
      <c r="G57" s="3">
        <v>29.188725041931534</v>
      </c>
      <c r="H57" s="3">
        <v>12.65</v>
      </c>
    </row>
    <row r="58" spans="1:8">
      <c r="A58" s="10" t="s">
        <v>498</v>
      </c>
      <c r="B58" s="10" t="s">
        <v>2168</v>
      </c>
      <c r="C58" t="s">
        <v>2169</v>
      </c>
      <c r="D58" t="s">
        <v>2149</v>
      </c>
      <c r="E58" s="3">
        <v>12.005693506810792</v>
      </c>
      <c r="F58" s="3">
        <v>7.5440000000000005</v>
      </c>
      <c r="G58" s="3">
        <v>4.461693506810791</v>
      </c>
      <c r="H58" s="3">
        <v>27.68</v>
      </c>
    </row>
    <row r="59" spans="1:8">
      <c r="A59" s="10" t="s">
        <v>1217</v>
      </c>
      <c r="B59" s="10" t="s">
        <v>3169</v>
      </c>
      <c r="C59" t="s">
        <v>2169</v>
      </c>
      <c r="D59" t="s">
        <v>2149</v>
      </c>
      <c r="E59" s="3">
        <v>5.49</v>
      </c>
      <c r="F59" s="3">
        <v>2.8679999999999999</v>
      </c>
      <c r="G59" s="3">
        <v>2.6220000000000003</v>
      </c>
      <c r="H59" s="3">
        <v>5.17</v>
      </c>
    </row>
    <row r="60" spans="1:8">
      <c r="A60" s="10" t="s">
        <v>835</v>
      </c>
      <c r="B60" s="10" t="s">
        <v>2405</v>
      </c>
      <c r="C60" t="s">
        <v>2169</v>
      </c>
      <c r="D60" t="s">
        <v>2149</v>
      </c>
      <c r="E60" s="3">
        <v>12.775799999999998</v>
      </c>
      <c r="F60" s="3">
        <v>6.7039999999999997</v>
      </c>
      <c r="G60" s="3">
        <v>6.0717999999999988</v>
      </c>
      <c r="H60" s="3">
        <v>8.1999999999999993</v>
      </c>
    </row>
    <row r="61" spans="1:8">
      <c r="A61" s="10" t="s">
        <v>1221</v>
      </c>
      <c r="B61" s="10" t="s">
        <v>3170</v>
      </c>
      <c r="C61" t="s">
        <v>2169</v>
      </c>
      <c r="D61" t="s">
        <v>2149</v>
      </c>
      <c r="E61" s="3">
        <v>12.914999999999999</v>
      </c>
      <c r="F61" s="3">
        <v>7.1159999999999997</v>
      </c>
      <c r="G61" s="3">
        <v>5.7989999999999995</v>
      </c>
      <c r="H61" s="3">
        <v>9.48</v>
      </c>
    </row>
    <row r="62" spans="1:8">
      <c r="A62" s="10" t="s">
        <v>1222</v>
      </c>
      <c r="B62" s="10" t="s">
        <v>2408</v>
      </c>
      <c r="C62" t="s">
        <v>2169</v>
      </c>
      <c r="D62" t="s">
        <v>2149</v>
      </c>
      <c r="E62" s="3">
        <v>505.01499999999999</v>
      </c>
      <c r="F62" s="3">
        <v>382.56080000000003</v>
      </c>
      <c r="G62" s="3">
        <v>122.45419999999996</v>
      </c>
      <c r="H62" s="3">
        <v>204.9</v>
      </c>
    </row>
    <row r="63" spans="1:8">
      <c r="A63" s="10" t="s">
        <v>1225</v>
      </c>
      <c r="B63" s="10" t="s">
        <v>2413</v>
      </c>
      <c r="C63" t="s">
        <v>2169</v>
      </c>
      <c r="D63" t="s">
        <v>2149</v>
      </c>
      <c r="E63" s="3">
        <v>17.681999999999999</v>
      </c>
      <c r="F63" s="3">
        <v>10.07</v>
      </c>
      <c r="G63" s="3">
        <v>7.6119999999999983</v>
      </c>
      <c r="H63" s="3">
        <v>40.24</v>
      </c>
    </row>
    <row r="64" spans="1:8">
      <c r="A64" s="10" t="s">
        <v>913</v>
      </c>
      <c r="B64" s="10" t="s">
        <v>2414</v>
      </c>
      <c r="C64" t="s">
        <v>2169</v>
      </c>
      <c r="D64" t="s">
        <v>2149</v>
      </c>
      <c r="E64" s="3">
        <v>6.5519999999999996</v>
      </c>
      <c r="F64" s="3">
        <v>3.7039999999999997</v>
      </c>
      <c r="G64" s="3">
        <v>2.8479999999999999</v>
      </c>
      <c r="H64" s="3">
        <v>22.2</v>
      </c>
    </row>
    <row r="65" spans="1:8">
      <c r="A65" s="10" t="s">
        <v>301</v>
      </c>
      <c r="B65" s="10" t="s">
        <v>2170</v>
      </c>
      <c r="C65" t="s">
        <v>2158</v>
      </c>
      <c r="D65" t="s">
        <v>2149</v>
      </c>
      <c r="E65" s="3">
        <v>101.46344304589708</v>
      </c>
      <c r="F65" s="3">
        <v>36.185999999999993</v>
      </c>
      <c r="G65" s="3">
        <v>65.277443045897087</v>
      </c>
      <c r="H65" s="3">
        <v>68.59</v>
      </c>
    </row>
    <row r="66" spans="1:8">
      <c r="A66" s="10" t="s">
        <v>367</v>
      </c>
      <c r="B66" s="10" t="s">
        <v>2417</v>
      </c>
      <c r="C66" t="s">
        <v>2158</v>
      </c>
      <c r="D66" t="s">
        <v>2149</v>
      </c>
      <c r="E66" s="3">
        <v>1010.1786030706141</v>
      </c>
      <c r="F66" s="3">
        <v>270.71189999999996</v>
      </c>
      <c r="G66" s="3">
        <v>739.46670307061413</v>
      </c>
      <c r="H66" s="3">
        <v>155.61000000000001</v>
      </c>
    </row>
    <row r="67" spans="1:8">
      <c r="A67" s="10" t="s">
        <v>1227</v>
      </c>
      <c r="B67" s="10" t="s">
        <v>2171</v>
      </c>
      <c r="C67" t="s">
        <v>2169</v>
      </c>
      <c r="D67" t="s">
        <v>2149</v>
      </c>
      <c r="E67" s="3">
        <v>105.37673388246695</v>
      </c>
      <c r="F67" s="3">
        <v>60.766000000000005</v>
      </c>
      <c r="G67" s="3">
        <v>44.610733882466945</v>
      </c>
      <c r="H67" s="3">
        <v>39.6</v>
      </c>
    </row>
    <row r="68" spans="1:8">
      <c r="A68" s="10" t="s">
        <v>244</v>
      </c>
      <c r="B68" s="10" t="s">
        <v>2418</v>
      </c>
      <c r="C68" t="s">
        <v>2158</v>
      </c>
      <c r="D68" t="s">
        <v>2149</v>
      </c>
      <c r="E68" s="3">
        <v>51.29</v>
      </c>
      <c r="F68" s="3">
        <v>25.863999999999997</v>
      </c>
      <c r="G68" s="3">
        <v>25.426000000000002</v>
      </c>
      <c r="H68" s="3">
        <v>20.93</v>
      </c>
    </row>
    <row r="69" spans="1:8">
      <c r="A69" s="10" t="s">
        <v>325</v>
      </c>
      <c r="B69" s="10" t="s">
        <v>2419</v>
      </c>
      <c r="C69" t="s">
        <v>2158</v>
      </c>
      <c r="D69" t="s">
        <v>2149</v>
      </c>
      <c r="E69" s="3">
        <v>137.89525660656284</v>
      </c>
      <c r="F69" s="3">
        <v>67.599500000000006</v>
      </c>
      <c r="G69" s="3">
        <v>70.295756606562833</v>
      </c>
      <c r="H69" s="3">
        <v>29.76</v>
      </c>
    </row>
    <row r="70" spans="1:8">
      <c r="A70" s="10" t="s">
        <v>483</v>
      </c>
      <c r="B70" s="10" t="s">
        <v>3171</v>
      </c>
      <c r="C70" t="s">
        <v>2158</v>
      </c>
      <c r="D70" t="s">
        <v>2149</v>
      </c>
      <c r="E70" s="3">
        <v>8.4749999999999996</v>
      </c>
      <c r="F70" s="3">
        <v>4.2965</v>
      </c>
      <c r="G70" s="3">
        <v>4.1784999999999997</v>
      </c>
      <c r="H70" s="3">
        <v>51.48</v>
      </c>
    </row>
    <row r="71" spans="1:8">
      <c r="A71" s="10" t="s">
        <v>129</v>
      </c>
      <c r="B71" s="10" t="s">
        <v>2420</v>
      </c>
      <c r="C71" t="s">
        <v>2158</v>
      </c>
      <c r="D71" t="s">
        <v>2149</v>
      </c>
      <c r="E71" s="3">
        <v>1024.0303539591446</v>
      </c>
      <c r="F71" s="3">
        <v>500.02470000000005</v>
      </c>
      <c r="G71" s="3">
        <v>524.00565395914452</v>
      </c>
      <c r="H71" s="3">
        <v>248.52</v>
      </c>
    </row>
    <row r="72" spans="1:8">
      <c r="A72" s="10" t="s">
        <v>494</v>
      </c>
      <c r="B72" s="10" t="s">
        <v>2421</v>
      </c>
      <c r="C72" t="s">
        <v>2385</v>
      </c>
      <c r="D72" t="s">
        <v>2149</v>
      </c>
      <c r="E72" s="3">
        <v>225.21980000000002</v>
      </c>
      <c r="F72" s="3">
        <v>159.55389999999994</v>
      </c>
      <c r="G72" s="3">
        <v>65.665900000000079</v>
      </c>
      <c r="H72" s="3">
        <v>145</v>
      </c>
    </row>
    <row r="73" spans="1:8">
      <c r="A73" s="10" t="s">
        <v>124</v>
      </c>
      <c r="B73" s="10" t="s">
        <v>2422</v>
      </c>
      <c r="C73" t="s">
        <v>2158</v>
      </c>
      <c r="D73" t="s">
        <v>2149</v>
      </c>
      <c r="E73" s="3">
        <v>142.30096411455605</v>
      </c>
      <c r="F73" s="3">
        <v>35.586200000000005</v>
      </c>
      <c r="G73" s="3">
        <v>106.71476411455605</v>
      </c>
      <c r="H73" s="3">
        <v>17.920000000000002</v>
      </c>
    </row>
    <row r="74" spans="1:8">
      <c r="A74" s="10" t="s">
        <v>487</v>
      </c>
      <c r="B74" s="10" t="s">
        <v>3176</v>
      </c>
      <c r="C74" t="s">
        <v>2158</v>
      </c>
      <c r="D74" t="s">
        <v>2149</v>
      </c>
      <c r="E74" s="3">
        <v>65.866250000000008</v>
      </c>
      <c r="F74" s="3">
        <v>34.201000000000008</v>
      </c>
      <c r="G74" s="3">
        <v>31.66525</v>
      </c>
      <c r="H74" s="3">
        <v>25.02</v>
      </c>
    </row>
    <row r="75" spans="1:8">
      <c r="A75" s="10" t="s">
        <v>1236</v>
      </c>
      <c r="B75" s="10" t="s">
        <v>2423</v>
      </c>
      <c r="C75" t="s">
        <v>2158</v>
      </c>
      <c r="D75" t="s">
        <v>2149</v>
      </c>
      <c r="E75" s="3">
        <v>64.68549999999999</v>
      </c>
      <c r="F75" s="3">
        <v>34.519499999999994</v>
      </c>
      <c r="G75" s="3">
        <v>30.165999999999997</v>
      </c>
      <c r="H75" s="3">
        <v>38.6</v>
      </c>
    </row>
    <row r="76" spans="1:8">
      <c r="A76" s="10" t="s">
        <v>1071</v>
      </c>
      <c r="B76" s="10" t="s">
        <v>2424</v>
      </c>
      <c r="C76" t="s">
        <v>2158</v>
      </c>
      <c r="D76" t="s">
        <v>2149</v>
      </c>
      <c r="E76" s="3">
        <v>25.144200000000001</v>
      </c>
      <c r="F76" s="3">
        <v>15.988</v>
      </c>
      <c r="G76" s="3">
        <v>9.1562000000000019</v>
      </c>
      <c r="H76" s="3">
        <v>11.97</v>
      </c>
    </row>
    <row r="77" spans="1:8">
      <c r="A77" s="10" t="s">
        <v>560</v>
      </c>
      <c r="B77" s="10" t="s">
        <v>2172</v>
      </c>
      <c r="C77" t="s">
        <v>2154</v>
      </c>
      <c r="D77" t="s">
        <v>2149</v>
      </c>
      <c r="E77" s="3">
        <v>19156.709720791059</v>
      </c>
      <c r="F77" s="3">
        <v>12007.724799999998</v>
      </c>
      <c r="G77" s="3">
        <v>7148.9849207910611</v>
      </c>
      <c r="H77" s="3">
        <v>3494.48</v>
      </c>
    </row>
    <row r="78" spans="1:8">
      <c r="A78" s="10" t="s">
        <v>1238</v>
      </c>
      <c r="B78" s="10" t="s">
        <v>2425</v>
      </c>
      <c r="C78" t="s">
        <v>2169</v>
      </c>
      <c r="D78" t="s">
        <v>2149</v>
      </c>
      <c r="E78" s="3">
        <v>75.852000000000004</v>
      </c>
      <c r="F78" s="3">
        <v>39.92</v>
      </c>
      <c r="G78" s="3">
        <v>35.932000000000002</v>
      </c>
      <c r="H78" s="3">
        <v>31.92</v>
      </c>
    </row>
    <row r="79" spans="1:8">
      <c r="A79" s="10" t="s">
        <v>1239</v>
      </c>
      <c r="B79" s="10" t="s">
        <v>2426</v>
      </c>
      <c r="C79" t="s">
        <v>2156</v>
      </c>
      <c r="D79" t="s">
        <v>2149</v>
      </c>
      <c r="E79" s="3">
        <v>35.927694400202959</v>
      </c>
      <c r="F79" s="3">
        <v>21.683999999999997</v>
      </c>
      <c r="G79" s="3">
        <v>14.243694400202962</v>
      </c>
      <c r="H79" s="3">
        <v>57.76</v>
      </c>
    </row>
    <row r="80" spans="1:8">
      <c r="A80" s="10" t="s">
        <v>1240</v>
      </c>
      <c r="B80" s="10" t="s">
        <v>2427</v>
      </c>
      <c r="C80" t="s">
        <v>2158</v>
      </c>
      <c r="D80" t="s">
        <v>2149</v>
      </c>
      <c r="E80" s="3">
        <v>23.872499999999999</v>
      </c>
      <c r="F80" s="3">
        <v>13.509</v>
      </c>
      <c r="G80" s="3">
        <v>10.363499999999998</v>
      </c>
      <c r="H80" s="3">
        <v>8.3000000000000007</v>
      </c>
    </row>
    <row r="81" spans="1:8">
      <c r="A81" s="10" t="s">
        <v>1241</v>
      </c>
      <c r="B81" s="10" t="s">
        <v>2428</v>
      </c>
      <c r="C81" t="s">
        <v>2156</v>
      </c>
      <c r="D81" t="s">
        <v>2149</v>
      </c>
      <c r="E81" s="3">
        <v>51.110799999999998</v>
      </c>
      <c r="F81" s="3">
        <v>26.373399999999997</v>
      </c>
      <c r="G81" s="3">
        <v>24.737400000000001</v>
      </c>
      <c r="H81" s="3">
        <v>17.34</v>
      </c>
    </row>
    <row r="82" spans="1:8">
      <c r="A82" s="10" t="s">
        <v>74</v>
      </c>
      <c r="B82" s="10" t="s">
        <v>2429</v>
      </c>
      <c r="C82" t="s">
        <v>2158</v>
      </c>
      <c r="D82" t="s">
        <v>2149</v>
      </c>
      <c r="E82" s="3">
        <v>13.146000000000001</v>
      </c>
      <c r="F82" s="3">
        <v>8.2468000000000004</v>
      </c>
      <c r="G82" s="3">
        <v>4.8992000000000004</v>
      </c>
      <c r="H82" s="3">
        <v>16.48</v>
      </c>
    </row>
    <row r="83" spans="1:8">
      <c r="A83" s="10" t="s">
        <v>1243</v>
      </c>
      <c r="B83" s="10" t="s">
        <v>2430</v>
      </c>
      <c r="C83" t="s">
        <v>2344</v>
      </c>
      <c r="D83" t="s">
        <v>2149</v>
      </c>
      <c r="E83" s="3">
        <v>31.91587973386569</v>
      </c>
      <c r="F83" s="3">
        <v>19.682000000000002</v>
      </c>
      <c r="G83" s="3">
        <v>12.233879733865688</v>
      </c>
      <c r="H83" s="3">
        <v>18.12</v>
      </c>
    </row>
    <row r="84" spans="1:8">
      <c r="A84" s="10" t="s">
        <v>309</v>
      </c>
      <c r="B84" s="10" t="s">
        <v>2431</v>
      </c>
      <c r="C84" t="s">
        <v>2169</v>
      </c>
      <c r="D84" t="s">
        <v>2149</v>
      </c>
      <c r="E84" s="3">
        <v>62.046000000000006</v>
      </c>
      <c r="F84" s="3">
        <v>32.811500000000002</v>
      </c>
      <c r="G84" s="3">
        <v>29.234500000000004</v>
      </c>
      <c r="H84" s="3">
        <v>39.299999999999997</v>
      </c>
    </row>
    <row r="85" spans="1:8">
      <c r="A85" s="10" t="s">
        <v>357</v>
      </c>
      <c r="B85" s="10" t="s">
        <v>2432</v>
      </c>
      <c r="C85" t="s">
        <v>2158</v>
      </c>
      <c r="D85" t="s">
        <v>2149</v>
      </c>
      <c r="E85" s="3">
        <v>80.790700300845927</v>
      </c>
      <c r="F85" s="3">
        <v>36.874999999999993</v>
      </c>
      <c r="G85" s="3">
        <v>43.915700300845934</v>
      </c>
      <c r="H85" s="3">
        <v>19.04</v>
      </c>
    </row>
    <row r="86" spans="1:8">
      <c r="A86" s="10" t="s">
        <v>1057</v>
      </c>
      <c r="B86" s="10" t="s">
        <v>2433</v>
      </c>
      <c r="C86" t="s">
        <v>2158</v>
      </c>
      <c r="D86" t="s">
        <v>2149</v>
      </c>
      <c r="E86" s="3">
        <v>56.763217315725292</v>
      </c>
      <c r="F86" s="3">
        <v>28.099599999999999</v>
      </c>
      <c r="G86" s="3">
        <v>28.663617315725293</v>
      </c>
      <c r="H86" s="3">
        <v>21</v>
      </c>
    </row>
    <row r="87" spans="1:8">
      <c r="A87" s="10" t="s">
        <v>1245</v>
      </c>
      <c r="B87" s="10" t="s">
        <v>3181</v>
      </c>
      <c r="C87" t="s">
        <v>2158</v>
      </c>
      <c r="D87" t="s">
        <v>2149</v>
      </c>
      <c r="E87" s="3">
        <v>18.798000000000002</v>
      </c>
      <c r="F87" s="3">
        <v>9.0050000000000008</v>
      </c>
      <c r="G87" s="3">
        <v>9.793000000000001</v>
      </c>
      <c r="H87" s="3">
        <v>7.2</v>
      </c>
    </row>
    <row r="88" spans="1:8">
      <c r="A88" s="10" t="s">
        <v>517</v>
      </c>
      <c r="B88" s="10" t="s">
        <v>2434</v>
      </c>
      <c r="C88" t="s">
        <v>2169</v>
      </c>
      <c r="D88" t="s">
        <v>2149</v>
      </c>
      <c r="E88" s="3">
        <v>38.373199999999997</v>
      </c>
      <c r="F88" s="3">
        <v>23.263300000000001</v>
      </c>
      <c r="G88" s="3">
        <v>15.109899999999996</v>
      </c>
      <c r="H88" s="3">
        <v>11.52</v>
      </c>
    </row>
    <row r="89" spans="1:8">
      <c r="A89" s="10" t="s">
        <v>139</v>
      </c>
      <c r="B89" s="10" t="s">
        <v>2437</v>
      </c>
      <c r="C89" t="s">
        <v>2158</v>
      </c>
      <c r="D89" t="s">
        <v>2149</v>
      </c>
      <c r="E89" s="3">
        <v>72.393761138580487</v>
      </c>
      <c r="F89" s="3">
        <v>27.313000000000002</v>
      </c>
      <c r="G89" s="3">
        <v>45.080761138580485</v>
      </c>
      <c r="H89" s="3">
        <v>19.68</v>
      </c>
    </row>
    <row r="90" spans="1:8">
      <c r="A90" s="10" t="s">
        <v>1255</v>
      </c>
      <c r="B90" s="10" t="s">
        <v>2438</v>
      </c>
      <c r="C90" t="s">
        <v>2346</v>
      </c>
      <c r="D90" t="s">
        <v>2149</v>
      </c>
      <c r="E90" s="3">
        <v>16.724399999999999</v>
      </c>
      <c r="F90" s="3">
        <v>8.4428999999999998</v>
      </c>
      <c r="G90" s="3">
        <v>8.2814999999999994</v>
      </c>
      <c r="H90" s="3">
        <v>12.21</v>
      </c>
    </row>
    <row r="91" spans="1:8">
      <c r="A91" s="10" t="s">
        <v>488</v>
      </c>
      <c r="B91" s="10" t="s">
        <v>2441</v>
      </c>
      <c r="C91" t="s">
        <v>2158</v>
      </c>
      <c r="D91" t="s">
        <v>2149</v>
      </c>
      <c r="E91" s="3">
        <v>6.6899999999999995</v>
      </c>
      <c r="F91" s="3">
        <v>3.3439999999999999</v>
      </c>
      <c r="G91" s="3">
        <v>3.3459999999999996</v>
      </c>
      <c r="H91" s="3">
        <v>26.56</v>
      </c>
    </row>
    <row r="92" spans="1:8">
      <c r="A92" s="10" t="s">
        <v>1261</v>
      </c>
      <c r="B92" s="10" t="s">
        <v>2444</v>
      </c>
      <c r="C92" t="s">
        <v>2158</v>
      </c>
      <c r="D92" t="s">
        <v>2149</v>
      </c>
      <c r="E92" s="3">
        <v>17.951372535937303</v>
      </c>
      <c r="F92" s="3">
        <v>9.2195</v>
      </c>
      <c r="G92" s="3">
        <v>8.7318725359373026</v>
      </c>
      <c r="H92" s="3">
        <v>9.6</v>
      </c>
    </row>
    <row r="93" spans="1:8">
      <c r="A93" s="10" t="s">
        <v>561</v>
      </c>
      <c r="B93" s="10" t="s">
        <v>2445</v>
      </c>
      <c r="C93" t="s">
        <v>2169</v>
      </c>
      <c r="D93" t="s">
        <v>2149</v>
      </c>
      <c r="E93" s="3">
        <v>8.0555639930810035</v>
      </c>
      <c r="F93" s="3">
        <v>5.88</v>
      </c>
      <c r="G93" s="3">
        <v>2.1755639930810036</v>
      </c>
      <c r="H93" s="3">
        <v>6.72</v>
      </c>
    </row>
    <row r="94" spans="1:8">
      <c r="A94" s="10" t="s">
        <v>1263</v>
      </c>
      <c r="B94" s="10" t="s">
        <v>2448</v>
      </c>
      <c r="C94" t="s">
        <v>2169</v>
      </c>
      <c r="D94" t="s">
        <v>2149</v>
      </c>
      <c r="E94" s="3">
        <v>33.15</v>
      </c>
      <c r="F94" s="3">
        <v>18.335000000000001</v>
      </c>
      <c r="G94" s="3">
        <v>14.814999999999998</v>
      </c>
      <c r="H94" s="3">
        <v>10.98</v>
      </c>
    </row>
    <row r="95" spans="1:8">
      <c r="A95" s="10" t="s">
        <v>396</v>
      </c>
      <c r="B95" s="10" t="s">
        <v>2450</v>
      </c>
      <c r="C95" t="s">
        <v>2158</v>
      </c>
      <c r="D95" t="s">
        <v>2149</v>
      </c>
      <c r="E95" s="3">
        <v>273.26362780055808</v>
      </c>
      <c r="F95" s="3">
        <v>191.19880000000001</v>
      </c>
      <c r="G95" s="3">
        <v>82.064827800558078</v>
      </c>
      <c r="H95" s="3">
        <v>134.84</v>
      </c>
    </row>
    <row r="96" spans="1:8">
      <c r="A96" s="10" t="s">
        <v>859</v>
      </c>
      <c r="B96" s="10" t="s">
        <v>2451</v>
      </c>
      <c r="C96" t="s">
        <v>2169</v>
      </c>
      <c r="D96" t="s">
        <v>2149</v>
      </c>
      <c r="E96" s="3">
        <v>469.2957820093352</v>
      </c>
      <c r="F96" s="3">
        <v>301.69380000000001</v>
      </c>
      <c r="G96" s="3">
        <v>167.60198200933519</v>
      </c>
      <c r="H96" s="3">
        <v>251.2</v>
      </c>
    </row>
    <row r="97" spans="1:8">
      <c r="A97" s="10" t="s">
        <v>256</v>
      </c>
      <c r="B97" s="10" t="s">
        <v>2452</v>
      </c>
      <c r="C97" t="s">
        <v>2158</v>
      </c>
      <c r="D97" t="s">
        <v>2149</v>
      </c>
      <c r="E97" s="3">
        <v>624.31287142508734</v>
      </c>
      <c r="F97" s="3">
        <v>405.3082</v>
      </c>
      <c r="G97" s="3">
        <v>219.00467142508734</v>
      </c>
      <c r="H97" s="3">
        <v>215.55</v>
      </c>
    </row>
    <row r="98" spans="1:8">
      <c r="A98" s="10" t="s">
        <v>691</v>
      </c>
      <c r="B98" s="10" t="s">
        <v>2453</v>
      </c>
      <c r="C98" t="s">
        <v>2156</v>
      </c>
      <c r="D98" t="s">
        <v>2149</v>
      </c>
      <c r="E98" s="3">
        <v>433.08015801529126</v>
      </c>
      <c r="F98" s="3">
        <v>292.7577</v>
      </c>
      <c r="G98" s="3">
        <v>140.32245801529126</v>
      </c>
      <c r="H98" s="3">
        <v>146.08000000000001</v>
      </c>
    </row>
    <row r="99" spans="1:8">
      <c r="A99" s="10" t="s">
        <v>497</v>
      </c>
      <c r="B99" s="10" t="s">
        <v>2454</v>
      </c>
      <c r="C99" t="s">
        <v>2156</v>
      </c>
      <c r="D99" t="s">
        <v>2149</v>
      </c>
      <c r="E99" s="3">
        <v>147.15130834176463</v>
      </c>
      <c r="F99" s="3">
        <v>87.577200000000005</v>
      </c>
      <c r="G99" s="3">
        <v>59.574108341764628</v>
      </c>
      <c r="H99" s="3">
        <v>208.32</v>
      </c>
    </row>
    <row r="100" spans="1:8">
      <c r="A100" s="10" t="s">
        <v>1267</v>
      </c>
      <c r="B100" s="10" t="s">
        <v>2455</v>
      </c>
      <c r="C100" t="s">
        <v>2346</v>
      </c>
      <c r="D100" t="s">
        <v>2149</v>
      </c>
      <c r="E100" s="3">
        <v>45.337499999999991</v>
      </c>
      <c r="F100" s="3">
        <v>28.21</v>
      </c>
      <c r="G100" s="3">
        <v>17.127499999999991</v>
      </c>
      <c r="H100" s="3">
        <v>56.42</v>
      </c>
    </row>
    <row r="101" spans="1:8">
      <c r="A101" s="10" t="s">
        <v>435</v>
      </c>
      <c r="B101" s="10" t="s">
        <v>3189</v>
      </c>
      <c r="C101" t="s">
        <v>2156</v>
      </c>
      <c r="D101" t="s">
        <v>2149</v>
      </c>
      <c r="E101" s="3">
        <v>699.09372467908781</v>
      </c>
      <c r="F101" s="3">
        <v>492.96569999999991</v>
      </c>
      <c r="G101" s="3">
        <v>206.1280246790879</v>
      </c>
      <c r="H101" s="3">
        <v>231.14</v>
      </c>
    </row>
    <row r="102" spans="1:8">
      <c r="A102" s="10" t="s">
        <v>48</v>
      </c>
      <c r="B102" s="10" t="s">
        <v>2456</v>
      </c>
      <c r="C102" t="s">
        <v>2158</v>
      </c>
      <c r="D102" t="s">
        <v>2149</v>
      </c>
      <c r="E102" s="3">
        <v>1497.4313431530693</v>
      </c>
      <c r="F102" s="3">
        <v>728.10309999999981</v>
      </c>
      <c r="G102" s="3">
        <v>769.32824315306948</v>
      </c>
      <c r="H102" s="3">
        <v>470</v>
      </c>
    </row>
    <row r="103" spans="1:8">
      <c r="A103" s="10" t="s">
        <v>199</v>
      </c>
      <c r="B103" s="10" t="s">
        <v>2457</v>
      </c>
      <c r="C103" t="s">
        <v>2158</v>
      </c>
      <c r="D103" t="s">
        <v>2149</v>
      </c>
      <c r="E103" s="3">
        <v>474.98810296443469</v>
      </c>
      <c r="F103" s="3">
        <v>315.85930000000008</v>
      </c>
      <c r="G103" s="3">
        <v>159.12880296443461</v>
      </c>
      <c r="H103" s="3">
        <v>224.48</v>
      </c>
    </row>
    <row r="104" spans="1:8">
      <c r="A104" s="10" t="s">
        <v>1273</v>
      </c>
      <c r="B104" s="10" t="s">
        <v>2458</v>
      </c>
      <c r="C104" t="s">
        <v>2158</v>
      </c>
      <c r="D104" t="s">
        <v>2149</v>
      </c>
      <c r="E104" s="3">
        <v>-24.22</v>
      </c>
      <c r="F104" s="3">
        <v>-15.795999999999999</v>
      </c>
      <c r="G104" s="3">
        <v>-8.4239999999999995</v>
      </c>
      <c r="H104" s="3">
        <v>189.48</v>
      </c>
    </row>
    <row r="105" spans="1:8">
      <c r="A105" s="10" t="s">
        <v>311</v>
      </c>
      <c r="B105" s="10" t="s">
        <v>2459</v>
      </c>
      <c r="C105" t="s">
        <v>2158</v>
      </c>
      <c r="D105" t="s">
        <v>2149</v>
      </c>
      <c r="E105" s="3">
        <v>174.76668164064805</v>
      </c>
      <c r="F105" s="3">
        <v>94.524900000000002</v>
      </c>
      <c r="G105" s="3">
        <v>80.241781640648043</v>
      </c>
      <c r="H105" s="3">
        <v>78.66</v>
      </c>
    </row>
    <row r="106" spans="1:8">
      <c r="A106" s="10" t="s">
        <v>1275</v>
      </c>
      <c r="B106" s="10" t="s">
        <v>2460</v>
      </c>
      <c r="C106" t="s">
        <v>2158</v>
      </c>
      <c r="D106" t="s">
        <v>2149</v>
      </c>
      <c r="E106" s="3">
        <v>152.31978201634874</v>
      </c>
      <c r="F106" s="3">
        <v>89.954599999999999</v>
      </c>
      <c r="G106" s="3">
        <v>62.36518201634874</v>
      </c>
      <c r="H106" s="3">
        <v>78.239999999999995</v>
      </c>
    </row>
    <row r="107" spans="1:8">
      <c r="A107" s="10" t="s">
        <v>1277</v>
      </c>
      <c r="B107" s="10" t="s">
        <v>2463</v>
      </c>
      <c r="C107" t="s">
        <v>2158</v>
      </c>
      <c r="D107" t="s">
        <v>2149</v>
      </c>
      <c r="E107" s="3">
        <v>1.2450000000000001</v>
      </c>
      <c r="F107" s="3">
        <v>0.59399999999999997</v>
      </c>
      <c r="G107" s="3">
        <v>0.65100000000000013</v>
      </c>
      <c r="H107" s="3">
        <v>4.72</v>
      </c>
    </row>
    <row r="108" spans="1:8">
      <c r="A108" s="10" t="s">
        <v>131</v>
      </c>
      <c r="B108" s="10" t="s">
        <v>2464</v>
      </c>
      <c r="C108" t="s">
        <v>2158</v>
      </c>
      <c r="D108" t="s">
        <v>2149</v>
      </c>
      <c r="E108" s="3">
        <v>167.90000728294785</v>
      </c>
      <c r="F108" s="3">
        <v>72.060200000000009</v>
      </c>
      <c r="G108" s="3">
        <v>95.839807282947845</v>
      </c>
      <c r="H108" s="3">
        <v>33.5</v>
      </c>
    </row>
    <row r="109" spans="1:8">
      <c r="A109" s="10" t="s">
        <v>918</v>
      </c>
      <c r="B109" s="10" t="s">
        <v>2465</v>
      </c>
      <c r="C109" t="s">
        <v>2158</v>
      </c>
      <c r="D109" t="s">
        <v>2149</v>
      </c>
      <c r="E109" s="3">
        <v>44.6</v>
      </c>
      <c r="F109" s="3">
        <v>22.168700000000001</v>
      </c>
      <c r="G109" s="3">
        <v>22.4313</v>
      </c>
      <c r="H109" s="3">
        <v>11.36</v>
      </c>
    </row>
    <row r="110" spans="1:8">
      <c r="A110" s="10" t="s">
        <v>179</v>
      </c>
      <c r="B110" s="10" t="s">
        <v>2466</v>
      </c>
      <c r="C110" t="s">
        <v>2158</v>
      </c>
      <c r="D110" t="s">
        <v>2149</v>
      </c>
      <c r="E110" s="3">
        <v>242.5248</v>
      </c>
      <c r="F110" s="3">
        <v>123.8134</v>
      </c>
      <c r="G110" s="3">
        <v>118.7114</v>
      </c>
      <c r="H110" s="3">
        <v>80.64</v>
      </c>
    </row>
    <row r="111" spans="1:8">
      <c r="A111" s="10" t="s">
        <v>1278</v>
      </c>
      <c r="B111" s="10" t="s">
        <v>2467</v>
      </c>
      <c r="C111" t="s">
        <v>2158</v>
      </c>
      <c r="D111" t="s">
        <v>2149</v>
      </c>
      <c r="E111" s="3">
        <v>6.87</v>
      </c>
      <c r="F111" s="3">
        <v>3.6480000000000001</v>
      </c>
      <c r="G111" s="3">
        <v>3.222</v>
      </c>
      <c r="H111" s="3">
        <v>4.55</v>
      </c>
    </row>
    <row r="112" spans="1:8">
      <c r="A112" s="10" t="s">
        <v>1279</v>
      </c>
      <c r="B112" s="10" t="s">
        <v>2468</v>
      </c>
      <c r="C112" t="s">
        <v>2169</v>
      </c>
      <c r="D112" t="s">
        <v>2149</v>
      </c>
      <c r="E112" s="3">
        <v>8.4671679323356415</v>
      </c>
      <c r="F112" s="3">
        <v>4.2930000000000001</v>
      </c>
      <c r="G112" s="3">
        <v>4.1741679323356413</v>
      </c>
      <c r="H112" s="3">
        <v>5.72</v>
      </c>
    </row>
    <row r="113" spans="1:8">
      <c r="A113" s="10" t="s">
        <v>310</v>
      </c>
      <c r="B113" s="10" t="s">
        <v>2469</v>
      </c>
      <c r="C113" t="s">
        <v>2158</v>
      </c>
      <c r="D113" t="s">
        <v>2149</v>
      </c>
      <c r="E113" s="3">
        <v>4.4400000000000004</v>
      </c>
      <c r="F113" s="3">
        <v>1.6972</v>
      </c>
      <c r="G113" s="3">
        <v>2.7428000000000003</v>
      </c>
      <c r="H113" s="3">
        <v>3.36</v>
      </c>
    </row>
    <row r="114" spans="1:8">
      <c r="A114" s="10" t="s">
        <v>1280</v>
      </c>
      <c r="B114" s="10" t="s">
        <v>2470</v>
      </c>
      <c r="C114" t="s">
        <v>2158</v>
      </c>
      <c r="D114" t="s">
        <v>2149</v>
      </c>
      <c r="E114" s="3">
        <v>4.6500000000000004</v>
      </c>
      <c r="F114" s="3">
        <v>2.032</v>
      </c>
      <c r="G114" s="3">
        <v>2.6180000000000003</v>
      </c>
      <c r="H114" s="3">
        <v>4</v>
      </c>
    </row>
    <row r="115" spans="1:8">
      <c r="A115" s="10" t="s">
        <v>1281</v>
      </c>
      <c r="B115" s="10" t="s">
        <v>2471</v>
      </c>
      <c r="C115" t="s">
        <v>2158</v>
      </c>
      <c r="D115" t="s">
        <v>2149</v>
      </c>
      <c r="E115" s="3">
        <v>4.26</v>
      </c>
      <c r="F115" s="3">
        <v>1.86</v>
      </c>
      <c r="G115" s="3">
        <v>2.3999999999999995</v>
      </c>
      <c r="H115" s="3">
        <v>5.52</v>
      </c>
    </row>
    <row r="116" spans="1:8">
      <c r="A116" s="10" t="s">
        <v>839</v>
      </c>
      <c r="B116" s="10" t="s">
        <v>2173</v>
      </c>
      <c r="C116" t="s">
        <v>2156</v>
      </c>
      <c r="D116" t="s">
        <v>2149</v>
      </c>
      <c r="E116" s="3">
        <v>196.79070000000002</v>
      </c>
      <c r="F116" s="3">
        <v>135.97989999999999</v>
      </c>
      <c r="G116" s="3">
        <v>60.810800000000029</v>
      </c>
      <c r="H116" s="3">
        <v>72.900000000000006</v>
      </c>
    </row>
    <row r="117" spans="1:8">
      <c r="A117" s="10" t="s">
        <v>829</v>
      </c>
      <c r="B117" s="10" t="s">
        <v>2472</v>
      </c>
      <c r="C117" t="s">
        <v>2156</v>
      </c>
      <c r="D117" t="s">
        <v>2149</v>
      </c>
      <c r="E117" s="3">
        <v>158.8837180759557</v>
      </c>
      <c r="F117" s="3">
        <v>118.1853</v>
      </c>
      <c r="G117" s="3">
        <v>40.698418075955701</v>
      </c>
      <c r="H117" s="3">
        <v>62.46</v>
      </c>
    </row>
    <row r="118" spans="1:8">
      <c r="A118" s="10" t="s">
        <v>1282</v>
      </c>
      <c r="B118" s="10" t="s">
        <v>2476</v>
      </c>
      <c r="C118" t="s">
        <v>2344</v>
      </c>
      <c r="D118" t="s">
        <v>2149</v>
      </c>
      <c r="E118" s="3">
        <v>231.88500433047483</v>
      </c>
      <c r="F118" s="3">
        <v>143.3331</v>
      </c>
      <c r="G118" s="3">
        <v>88.551904330474827</v>
      </c>
      <c r="H118" s="3">
        <v>83.04</v>
      </c>
    </row>
    <row r="119" spans="1:8">
      <c r="A119" s="10" t="s">
        <v>818</v>
      </c>
      <c r="B119" s="10" t="s">
        <v>2477</v>
      </c>
      <c r="C119" t="s">
        <v>2158</v>
      </c>
      <c r="D119" t="s">
        <v>2149</v>
      </c>
      <c r="E119" s="3">
        <v>37.35</v>
      </c>
      <c r="F119" s="3">
        <v>29.588999999999999</v>
      </c>
      <c r="G119" s="3">
        <v>7.7610000000000028</v>
      </c>
      <c r="H119" s="3">
        <v>147.9</v>
      </c>
    </row>
    <row r="120" spans="1:8">
      <c r="A120" s="10" t="s">
        <v>1285</v>
      </c>
      <c r="B120" s="10" t="s">
        <v>2478</v>
      </c>
      <c r="C120" t="s">
        <v>2158</v>
      </c>
      <c r="D120" t="s">
        <v>2149</v>
      </c>
      <c r="E120" s="3">
        <v>18.510000000000002</v>
      </c>
      <c r="F120" s="3">
        <v>12.37</v>
      </c>
      <c r="G120" s="3">
        <v>6.1400000000000023</v>
      </c>
      <c r="H120" s="3">
        <v>61.85</v>
      </c>
    </row>
    <row r="121" spans="1:8">
      <c r="A121" s="10" t="s">
        <v>1084</v>
      </c>
      <c r="B121" s="10" t="s">
        <v>2479</v>
      </c>
      <c r="C121" t="s">
        <v>2156</v>
      </c>
      <c r="D121" t="s">
        <v>2149</v>
      </c>
      <c r="E121" s="3">
        <v>19.497800000000002</v>
      </c>
      <c r="F121" s="3">
        <v>10.757999999999999</v>
      </c>
      <c r="G121" s="3">
        <v>8.7398000000000025</v>
      </c>
      <c r="H121" s="3">
        <v>21.48</v>
      </c>
    </row>
    <row r="122" spans="1:8">
      <c r="A122" s="10" t="s">
        <v>805</v>
      </c>
      <c r="B122" s="10" t="s">
        <v>2480</v>
      </c>
      <c r="C122" t="s">
        <v>2156</v>
      </c>
      <c r="D122" t="s">
        <v>2149</v>
      </c>
      <c r="E122" s="3">
        <v>357.84677588262315</v>
      </c>
      <c r="F122" s="3">
        <v>246.0667</v>
      </c>
      <c r="G122" s="3">
        <v>111.78007588262315</v>
      </c>
      <c r="H122" s="3">
        <v>124.16</v>
      </c>
    </row>
    <row r="123" spans="1:8">
      <c r="A123" s="10" t="s">
        <v>1289</v>
      </c>
      <c r="B123" s="10" t="s">
        <v>2483</v>
      </c>
      <c r="C123" t="s">
        <v>2156</v>
      </c>
      <c r="D123" t="s">
        <v>2149</v>
      </c>
      <c r="E123" s="3">
        <v>27.499043497078556</v>
      </c>
      <c r="F123" s="3">
        <v>12.84</v>
      </c>
      <c r="G123" s="3">
        <v>14.659043497078557</v>
      </c>
      <c r="H123" s="3">
        <v>16.05</v>
      </c>
    </row>
    <row r="124" spans="1:8">
      <c r="A124" s="10" t="s">
        <v>174</v>
      </c>
      <c r="B124" s="10" t="s">
        <v>2484</v>
      </c>
      <c r="C124" t="s">
        <v>2169</v>
      </c>
      <c r="D124" t="s">
        <v>2149</v>
      </c>
      <c r="E124" s="3">
        <v>197.11799999999999</v>
      </c>
      <c r="F124" s="3">
        <v>89.518799999999999</v>
      </c>
      <c r="G124" s="3">
        <v>107.5992</v>
      </c>
      <c r="H124" s="3">
        <v>45.28</v>
      </c>
    </row>
    <row r="125" spans="1:8">
      <c r="A125" s="10" t="s">
        <v>460</v>
      </c>
      <c r="B125" s="10" t="s">
        <v>2485</v>
      </c>
      <c r="C125" t="s">
        <v>2158</v>
      </c>
      <c r="D125" t="s">
        <v>2149</v>
      </c>
      <c r="E125" s="3">
        <v>2170.0523503193776</v>
      </c>
      <c r="F125" s="3">
        <v>756.57859999999982</v>
      </c>
      <c r="G125" s="3">
        <v>1413.4737503193778</v>
      </c>
      <c r="H125" s="3">
        <v>416.64</v>
      </c>
    </row>
    <row r="126" spans="1:8">
      <c r="A126" s="10" t="s">
        <v>920</v>
      </c>
      <c r="B126" s="10" t="s">
        <v>2486</v>
      </c>
      <c r="C126" t="s">
        <v>2487</v>
      </c>
      <c r="D126" t="s">
        <v>2149</v>
      </c>
      <c r="E126" s="3">
        <v>123.81739141732868</v>
      </c>
      <c r="F126" s="3">
        <v>60.185700000000011</v>
      </c>
      <c r="G126" s="3">
        <v>63.631691417328668</v>
      </c>
      <c r="H126" s="3">
        <v>67.599999999999994</v>
      </c>
    </row>
    <row r="127" spans="1:8">
      <c r="A127" s="10" t="s">
        <v>532</v>
      </c>
      <c r="B127" s="10" t="s">
        <v>2174</v>
      </c>
      <c r="C127" t="s">
        <v>2156</v>
      </c>
      <c r="D127" t="s">
        <v>2149</v>
      </c>
      <c r="E127" s="3">
        <v>20.024999999999999</v>
      </c>
      <c r="F127" s="3">
        <v>7.7959999999999994</v>
      </c>
      <c r="G127" s="3">
        <v>12.228999999999999</v>
      </c>
      <c r="H127" s="3">
        <v>10.16</v>
      </c>
    </row>
    <row r="128" spans="1:8">
      <c r="A128" s="10" t="s">
        <v>840</v>
      </c>
      <c r="B128" s="10" t="s">
        <v>2488</v>
      </c>
      <c r="C128" t="s">
        <v>2156</v>
      </c>
      <c r="D128" t="s">
        <v>2149</v>
      </c>
      <c r="E128" s="3">
        <v>62.8569764697396</v>
      </c>
      <c r="F128" s="3">
        <v>43.108099999999993</v>
      </c>
      <c r="G128" s="3">
        <v>19.748876469739606</v>
      </c>
      <c r="H128" s="3">
        <v>43.05</v>
      </c>
    </row>
    <row r="129" spans="1:8">
      <c r="A129" s="10" t="s">
        <v>141</v>
      </c>
      <c r="B129" s="10" t="s">
        <v>2490</v>
      </c>
      <c r="C129" t="s">
        <v>2158</v>
      </c>
      <c r="D129" t="s">
        <v>2149</v>
      </c>
      <c r="E129" s="3">
        <v>1992.5667833119658</v>
      </c>
      <c r="F129" s="3">
        <v>797.35649999999987</v>
      </c>
      <c r="G129" s="3">
        <v>1195.2102833119659</v>
      </c>
      <c r="H129" s="3">
        <v>275.39999999999998</v>
      </c>
    </row>
    <row r="130" spans="1:8">
      <c r="A130" s="10" t="s">
        <v>1295</v>
      </c>
      <c r="B130" s="10" t="s">
        <v>2491</v>
      </c>
      <c r="C130" t="s">
        <v>2156</v>
      </c>
      <c r="D130" t="s">
        <v>2149</v>
      </c>
      <c r="E130" s="3">
        <v>6.6090999999999998</v>
      </c>
      <c r="F130" s="3">
        <v>4.6399999999999997</v>
      </c>
      <c r="G130" s="3">
        <v>1.9691000000000001</v>
      </c>
      <c r="H130" s="3">
        <v>3.93</v>
      </c>
    </row>
    <row r="131" spans="1:8">
      <c r="A131" s="10" t="s">
        <v>356</v>
      </c>
      <c r="B131" s="10" t="s">
        <v>2492</v>
      </c>
      <c r="C131" t="s">
        <v>2169</v>
      </c>
      <c r="D131" t="s">
        <v>2149</v>
      </c>
      <c r="E131" s="3">
        <v>789.3690572320005</v>
      </c>
      <c r="F131" s="3">
        <v>320.8442</v>
      </c>
      <c r="G131" s="3">
        <v>468.5248572320005</v>
      </c>
      <c r="H131" s="3">
        <v>113.09</v>
      </c>
    </row>
    <row r="132" spans="1:8">
      <c r="A132" s="10" t="s">
        <v>1296</v>
      </c>
      <c r="B132" s="10" t="s">
        <v>2493</v>
      </c>
      <c r="C132" t="s">
        <v>2487</v>
      </c>
      <c r="D132" t="s">
        <v>2149</v>
      </c>
      <c r="E132" s="3">
        <v>48.103886688193953</v>
      </c>
      <c r="F132" s="3">
        <v>22.543000000000003</v>
      </c>
      <c r="G132" s="3">
        <v>25.56088668819395</v>
      </c>
      <c r="H132" s="3">
        <v>16.739999999999998</v>
      </c>
    </row>
    <row r="133" spans="1:8">
      <c r="A133" s="10" t="s">
        <v>1297</v>
      </c>
      <c r="B133" s="10" t="s">
        <v>2494</v>
      </c>
      <c r="C133" t="s">
        <v>2156</v>
      </c>
      <c r="D133" t="s">
        <v>2149</v>
      </c>
      <c r="E133" s="3">
        <v>11.7</v>
      </c>
      <c r="F133" s="3">
        <v>5.68</v>
      </c>
      <c r="G133" s="3">
        <v>6.02</v>
      </c>
      <c r="H133" s="3">
        <v>8.2200000000000006</v>
      </c>
    </row>
    <row r="134" spans="1:8">
      <c r="A134" s="10" t="s">
        <v>563</v>
      </c>
      <c r="B134" s="10" t="s">
        <v>2495</v>
      </c>
      <c r="C134" t="s">
        <v>2156</v>
      </c>
      <c r="D134" t="s">
        <v>2149</v>
      </c>
      <c r="E134" s="3">
        <v>-0.51753435427633887</v>
      </c>
      <c r="F134" s="3">
        <v>0</v>
      </c>
      <c r="G134" s="3">
        <v>-0.51753435427633887</v>
      </c>
      <c r="H134" s="3">
        <v>24.96</v>
      </c>
    </row>
    <row r="135" spans="1:8">
      <c r="A135" s="10" t="s">
        <v>921</v>
      </c>
      <c r="B135" s="10" t="s">
        <v>3194</v>
      </c>
      <c r="C135" t="s">
        <v>2169</v>
      </c>
      <c r="D135" t="s">
        <v>2149</v>
      </c>
      <c r="E135" s="3">
        <v>16.8</v>
      </c>
      <c r="F135" s="3">
        <v>8.32</v>
      </c>
      <c r="G135" s="3">
        <v>8.48</v>
      </c>
      <c r="H135" s="3">
        <v>5.39</v>
      </c>
    </row>
    <row r="136" spans="1:8">
      <c r="A136" s="10" t="s">
        <v>1302</v>
      </c>
      <c r="B136" s="10" t="s">
        <v>2496</v>
      </c>
      <c r="C136" t="s">
        <v>2156</v>
      </c>
      <c r="D136" t="s">
        <v>2149</v>
      </c>
      <c r="E136" s="3">
        <v>9.9539394584468663</v>
      </c>
      <c r="F136" s="3">
        <v>4.92</v>
      </c>
      <c r="G136" s="3">
        <v>5.0339394584468664</v>
      </c>
      <c r="H136" s="3">
        <v>4</v>
      </c>
    </row>
    <row r="137" spans="1:8">
      <c r="A137" s="10" t="s">
        <v>1303</v>
      </c>
      <c r="B137" s="10" t="s">
        <v>2497</v>
      </c>
      <c r="C137" t="s">
        <v>2156</v>
      </c>
      <c r="D137" t="s">
        <v>2149</v>
      </c>
      <c r="E137" s="3">
        <v>6.6899999999999995</v>
      </c>
      <c r="F137" s="3">
        <v>2.08</v>
      </c>
      <c r="G137" s="3">
        <v>4.6099999999999994</v>
      </c>
      <c r="H137" s="3">
        <v>1.96</v>
      </c>
    </row>
    <row r="138" spans="1:8">
      <c r="A138" s="10" t="s">
        <v>176</v>
      </c>
      <c r="B138" s="10" t="s">
        <v>2498</v>
      </c>
      <c r="C138" t="s">
        <v>2158</v>
      </c>
      <c r="D138" t="s">
        <v>2149</v>
      </c>
      <c r="E138" s="3">
        <v>42.406600000000005</v>
      </c>
      <c r="F138" s="3">
        <v>12.457500000000001</v>
      </c>
      <c r="G138" s="3">
        <v>29.949100000000001</v>
      </c>
      <c r="H138" s="3">
        <v>23.85</v>
      </c>
    </row>
    <row r="139" spans="1:8">
      <c r="A139" s="10" t="s">
        <v>171</v>
      </c>
      <c r="B139" s="10" t="s">
        <v>2499</v>
      </c>
      <c r="C139" t="s">
        <v>2158</v>
      </c>
      <c r="D139" t="s">
        <v>2149</v>
      </c>
      <c r="E139" s="3">
        <v>495.55503407828121</v>
      </c>
      <c r="F139" s="3">
        <v>195.43629999999993</v>
      </c>
      <c r="G139" s="3">
        <v>300.11873407828125</v>
      </c>
      <c r="H139" s="3">
        <v>193.2</v>
      </c>
    </row>
    <row r="140" spans="1:8">
      <c r="A140" s="10" t="s">
        <v>411</v>
      </c>
      <c r="B140" s="10" t="s">
        <v>2500</v>
      </c>
      <c r="C140" t="s">
        <v>2156</v>
      </c>
      <c r="D140" t="s">
        <v>2149</v>
      </c>
      <c r="E140" s="3">
        <v>143.97562628077171</v>
      </c>
      <c r="F140" s="3">
        <v>47.27470000000001</v>
      </c>
      <c r="G140" s="3">
        <v>96.700926280771696</v>
      </c>
      <c r="H140" s="3">
        <v>35.4</v>
      </c>
    </row>
    <row r="141" spans="1:8">
      <c r="A141" s="10" t="s">
        <v>501</v>
      </c>
      <c r="B141" s="10" t="s">
        <v>2501</v>
      </c>
      <c r="C141" t="s">
        <v>2158</v>
      </c>
      <c r="D141" t="s">
        <v>2149</v>
      </c>
      <c r="E141" s="3">
        <v>21.167999999999999</v>
      </c>
      <c r="F141" s="3">
        <v>12.384</v>
      </c>
      <c r="G141" s="3">
        <v>8.7839999999999989</v>
      </c>
      <c r="H141" s="3">
        <v>15.45</v>
      </c>
    </row>
    <row r="142" spans="1:8">
      <c r="A142" s="10" t="s">
        <v>520</v>
      </c>
      <c r="B142" s="10" t="s">
        <v>2505</v>
      </c>
      <c r="C142" t="s">
        <v>2158</v>
      </c>
      <c r="D142" t="s">
        <v>2149</v>
      </c>
      <c r="E142" s="3">
        <v>16.8795</v>
      </c>
      <c r="F142" s="3">
        <v>8.2751999999999999</v>
      </c>
      <c r="G142" s="3">
        <v>8.6043000000000003</v>
      </c>
      <c r="H142" s="3">
        <v>6.85</v>
      </c>
    </row>
    <row r="143" spans="1:8">
      <c r="A143" s="10" t="s">
        <v>565</v>
      </c>
      <c r="B143" s="10" t="s">
        <v>2511</v>
      </c>
      <c r="C143" t="s">
        <v>2344</v>
      </c>
      <c r="D143" t="s">
        <v>2149</v>
      </c>
      <c r="E143" s="3">
        <v>441.04677950100461</v>
      </c>
      <c r="F143" s="3">
        <v>268.5958</v>
      </c>
      <c r="G143" s="3">
        <v>172.45097950100461</v>
      </c>
      <c r="H143" s="3">
        <v>199.87</v>
      </c>
    </row>
    <row r="144" spans="1:8">
      <c r="A144" s="10" t="s">
        <v>45</v>
      </c>
      <c r="B144" s="10" t="s">
        <v>2522</v>
      </c>
      <c r="C144" t="s">
        <v>2169</v>
      </c>
      <c r="D144" t="s">
        <v>2149</v>
      </c>
      <c r="E144" s="3">
        <v>46.500072302189366</v>
      </c>
      <c r="F144" s="3">
        <v>34.4846</v>
      </c>
      <c r="G144" s="3">
        <v>12.015472302189366</v>
      </c>
      <c r="H144" s="3">
        <v>17.010000000000002</v>
      </c>
    </row>
    <row r="145" spans="1:8">
      <c r="A145" s="10" t="s">
        <v>22</v>
      </c>
      <c r="B145" s="10" t="s">
        <v>2175</v>
      </c>
      <c r="C145" t="s">
        <v>2148</v>
      </c>
      <c r="D145" t="s">
        <v>2149</v>
      </c>
      <c r="E145" s="3">
        <v>7658.1425020334837</v>
      </c>
      <c r="F145" s="3">
        <v>6119.9050999999999</v>
      </c>
      <c r="G145" s="3">
        <v>1538.2374020334837</v>
      </c>
      <c r="H145" s="3">
        <v>2799.2</v>
      </c>
    </row>
    <row r="146" spans="1:8">
      <c r="A146" s="10" t="s">
        <v>922</v>
      </c>
      <c r="B146" s="10" t="s">
        <v>2524</v>
      </c>
      <c r="C146" t="s">
        <v>2169</v>
      </c>
      <c r="D146" t="s">
        <v>2149</v>
      </c>
      <c r="E146" s="3">
        <v>3.5914499228284624</v>
      </c>
      <c r="F146" s="3">
        <v>1.8340000000000001</v>
      </c>
      <c r="G146" s="3">
        <v>1.7574499228284624</v>
      </c>
      <c r="H146" s="3">
        <v>3.64</v>
      </c>
    </row>
    <row r="147" spans="1:8">
      <c r="A147" s="10" t="s">
        <v>478</v>
      </c>
      <c r="B147" s="10" t="s">
        <v>2527</v>
      </c>
      <c r="C147" t="s">
        <v>2158</v>
      </c>
      <c r="D147" t="s">
        <v>2149</v>
      </c>
      <c r="E147" s="3">
        <v>85.97432702363669</v>
      </c>
      <c r="F147" s="3">
        <v>91.275999999999996</v>
      </c>
      <c r="G147" s="3">
        <v>-5.3016729763633066</v>
      </c>
      <c r="H147" s="3">
        <v>91.26</v>
      </c>
    </row>
    <row r="148" spans="1:8">
      <c r="A148" s="10" t="s">
        <v>1316</v>
      </c>
      <c r="B148" s="10" t="s">
        <v>2530</v>
      </c>
      <c r="C148" t="s">
        <v>2154</v>
      </c>
      <c r="D148" t="s">
        <v>2149</v>
      </c>
      <c r="E148" s="3">
        <v>197.15979999999999</v>
      </c>
      <c r="F148" s="3">
        <v>154.88</v>
      </c>
      <c r="G148" s="3">
        <v>42.279799999999994</v>
      </c>
      <c r="H148" s="3">
        <v>112.64</v>
      </c>
    </row>
    <row r="149" spans="1:8">
      <c r="A149" s="10" t="s">
        <v>692</v>
      </c>
      <c r="B149" s="10" t="s">
        <v>2531</v>
      </c>
      <c r="C149" t="s">
        <v>2154</v>
      </c>
      <c r="D149" t="s">
        <v>2149</v>
      </c>
      <c r="E149" s="3">
        <v>155.33249999999998</v>
      </c>
      <c r="F149" s="3">
        <v>142.15619999999998</v>
      </c>
      <c r="G149" s="3">
        <v>13.176299999999998</v>
      </c>
      <c r="H149" s="3">
        <v>118.45</v>
      </c>
    </row>
    <row r="150" spans="1:8">
      <c r="A150" s="10" t="s">
        <v>49</v>
      </c>
      <c r="B150" s="10" t="s">
        <v>2534</v>
      </c>
      <c r="C150" t="s">
        <v>2158</v>
      </c>
      <c r="D150" t="s">
        <v>2149</v>
      </c>
      <c r="E150" s="3">
        <v>407.08511608738331</v>
      </c>
      <c r="F150" s="3">
        <v>266.28120000000001</v>
      </c>
      <c r="G150" s="3">
        <v>140.8039160873833</v>
      </c>
      <c r="H150" s="3">
        <v>179.88</v>
      </c>
    </row>
    <row r="151" spans="1:8">
      <c r="A151" s="10" t="s">
        <v>819</v>
      </c>
      <c r="B151" s="10" t="s">
        <v>3214</v>
      </c>
      <c r="C151" t="s">
        <v>2158</v>
      </c>
      <c r="D151" t="s">
        <v>2149</v>
      </c>
      <c r="E151" s="3">
        <v>213.79313625698737</v>
      </c>
      <c r="F151" s="3">
        <v>133.62299999999999</v>
      </c>
      <c r="G151" s="3">
        <v>80.170136256987377</v>
      </c>
      <c r="H151" s="3">
        <v>66.78</v>
      </c>
    </row>
    <row r="152" spans="1:8">
      <c r="A152" s="10" t="s">
        <v>408</v>
      </c>
      <c r="B152" s="10" t="s">
        <v>2538</v>
      </c>
      <c r="C152" t="s">
        <v>2158</v>
      </c>
      <c r="D152" t="s">
        <v>2149</v>
      </c>
      <c r="E152" s="3">
        <v>73.625926126036674</v>
      </c>
      <c r="F152" s="3">
        <v>46.342600000000004</v>
      </c>
      <c r="G152" s="3">
        <v>27.28332612603667</v>
      </c>
      <c r="H152" s="3">
        <v>57.8</v>
      </c>
    </row>
    <row r="153" spans="1:8">
      <c r="A153" s="10" t="s">
        <v>693</v>
      </c>
      <c r="B153" s="10" t="s">
        <v>3215</v>
      </c>
      <c r="C153" t="s">
        <v>2158</v>
      </c>
      <c r="D153" t="s">
        <v>2149</v>
      </c>
      <c r="E153" s="3">
        <v>5.2008674936596213</v>
      </c>
      <c r="F153" s="3">
        <v>2.9430000000000001</v>
      </c>
      <c r="G153" s="3">
        <v>2.2578674936596212</v>
      </c>
      <c r="H153" s="3">
        <v>5.64</v>
      </c>
    </row>
    <row r="154" spans="1:8">
      <c r="A154" s="10" t="s">
        <v>370</v>
      </c>
      <c r="B154" s="10" t="s">
        <v>2545</v>
      </c>
      <c r="C154" t="s">
        <v>2169</v>
      </c>
      <c r="D154" t="s">
        <v>2149</v>
      </c>
      <c r="E154" s="3">
        <v>126.16903577683888</v>
      </c>
      <c r="F154" s="3">
        <v>45.161500000000004</v>
      </c>
      <c r="G154" s="3">
        <v>81.007535776838878</v>
      </c>
      <c r="H154" s="3">
        <v>18.36</v>
      </c>
    </row>
    <row r="155" spans="1:8">
      <c r="A155" s="10" t="s">
        <v>288</v>
      </c>
      <c r="B155" s="10" t="s">
        <v>2550</v>
      </c>
      <c r="C155" t="s">
        <v>2177</v>
      </c>
      <c r="D155" t="s">
        <v>2149</v>
      </c>
      <c r="E155" s="3">
        <v>783.57579663320871</v>
      </c>
      <c r="F155" s="3">
        <v>596.58479999999997</v>
      </c>
      <c r="G155" s="3">
        <v>186.99099663320874</v>
      </c>
      <c r="H155" s="3">
        <v>255.66</v>
      </c>
    </row>
    <row r="156" spans="1:8">
      <c r="A156" s="10" t="s">
        <v>289</v>
      </c>
      <c r="B156" s="10" t="s">
        <v>2551</v>
      </c>
      <c r="C156" t="s">
        <v>2177</v>
      </c>
      <c r="D156" t="s">
        <v>2149</v>
      </c>
      <c r="E156" s="3">
        <v>174.33600000000001</v>
      </c>
      <c r="F156" s="3">
        <v>133.63679999999999</v>
      </c>
      <c r="G156" s="3">
        <v>40.699200000000019</v>
      </c>
      <c r="H156" s="3">
        <v>111.35</v>
      </c>
    </row>
    <row r="157" spans="1:8">
      <c r="A157" s="10" t="s">
        <v>1321</v>
      </c>
      <c r="B157" s="10" t="s">
        <v>3218</v>
      </c>
      <c r="C157" t="s">
        <v>2156</v>
      </c>
      <c r="D157" t="s">
        <v>2149</v>
      </c>
      <c r="E157" s="3">
        <v>5.7279999999999998</v>
      </c>
      <c r="F157" s="3">
        <v>2.38</v>
      </c>
      <c r="G157" s="3">
        <v>3.3479999999999999</v>
      </c>
      <c r="H157" s="3">
        <v>7.14</v>
      </c>
    </row>
    <row r="158" spans="1:8">
      <c r="A158" s="10" t="s">
        <v>1322</v>
      </c>
      <c r="B158" s="10" t="s">
        <v>2552</v>
      </c>
      <c r="C158" t="s">
        <v>2156</v>
      </c>
      <c r="D158" t="s">
        <v>2149</v>
      </c>
      <c r="E158" s="3">
        <v>6.12</v>
      </c>
      <c r="F158" s="3">
        <v>2.5099999999999998</v>
      </c>
      <c r="G158" s="3">
        <v>3.6100000000000003</v>
      </c>
      <c r="H158" s="3">
        <v>7.53</v>
      </c>
    </row>
    <row r="159" spans="1:8">
      <c r="A159" s="10" t="s">
        <v>1323</v>
      </c>
      <c r="B159" s="10" t="s">
        <v>2553</v>
      </c>
      <c r="C159" t="s">
        <v>2156</v>
      </c>
      <c r="D159" t="s">
        <v>2149</v>
      </c>
      <c r="E159" s="3">
        <v>4.6239999999999997</v>
      </c>
      <c r="F159" s="3">
        <v>1.92</v>
      </c>
      <c r="G159" s="3">
        <v>2.7039999999999997</v>
      </c>
      <c r="H159" s="3">
        <v>5.76</v>
      </c>
    </row>
    <row r="160" spans="1:8">
      <c r="A160" s="10" t="s">
        <v>679</v>
      </c>
      <c r="B160" s="10" t="s">
        <v>2554</v>
      </c>
      <c r="C160" t="s">
        <v>2156</v>
      </c>
      <c r="D160" t="s">
        <v>2149</v>
      </c>
      <c r="E160" s="3">
        <v>5.6999999999999993</v>
      </c>
      <c r="F160" s="3">
        <v>2.9</v>
      </c>
      <c r="G160" s="3">
        <v>2.7999999999999994</v>
      </c>
      <c r="H160" s="3">
        <v>2.1</v>
      </c>
    </row>
    <row r="161" spans="1:8">
      <c r="A161" s="10" t="s">
        <v>3221</v>
      </c>
      <c r="B161" s="10" t="s">
        <v>3222</v>
      </c>
      <c r="C161" t="s">
        <v>2346</v>
      </c>
      <c r="D161" t="s">
        <v>2149</v>
      </c>
      <c r="E161" s="3">
        <v>3.992</v>
      </c>
      <c r="F161" s="3">
        <v>1.6400000000000001</v>
      </c>
      <c r="G161" s="3">
        <v>2.3519999999999999</v>
      </c>
      <c r="H161" s="3">
        <v>8.1999999999999993</v>
      </c>
    </row>
    <row r="162" spans="1:8">
      <c r="A162" s="10" t="s">
        <v>76</v>
      </c>
      <c r="B162" s="10" t="s">
        <v>2556</v>
      </c>
      <c r="C162" t="s">
        <v>2156</v>
      </c>
      <c r="D162" t="s">
        <v>2149</v>
      </c>
      <c r="E162" s="3">
        <v>64.56450000000001</v>
      </c>
      <c r="F162" s="3">
        <v>41.61</v>
      </c>
      <c r="G162" s="3">
        <v>22.95450000000001</v>
      </c>
      <c r="H162" s="3">
        <v>41.61</v>
      </c>
    </row>
    <row r="163" spans="1:8">
      <c r="A163" s="10" t="s">
        <v>1330</v>
      </c>
      <c r="B163" s="10" t="s">
        <v>2178</v>
      </c>
      <c r="C163" t="s">
        <v>2156</v>
      </c>
      <c r="D163" t="s">
        <v>2149</v>
      </c>
      <c r="E163" s="3">
        <v>18.788</v>
      </c>
      <c r="F163" s="3">
        <v>12.115</v>
      </c>
      <c r="G163" s="3">
        <v>6.673</v>
      </c>
      <c r="H163" s="3">
        <v>11.8</v>
      </c>
    </row>
    <row r="164" spans="1:8">
      <c r="A164" s="10" t="s">
        <v>1332</v>
      </c>
      <c r="B164" s="10" t="s">
        <v>3224</v>
      </c>
      <c r="C164" t="s">
        <v>2169</v>
      </c>
      <c r="D164" t="s">
        <v>2149</v>
      </c>
      <c r="E164" s="3">
        <v>9.3625000000000007</v>
      </c>
      <c r="F164" s="3">
        <v>4.9000000000000004</v>
      </c>
      <c r="G164" s="3">
        <v>4.4625000000000004</v>
      </c>
      <c r="H164" s="3">
        <v>7</v>
      </c>
    </row>
    <row r="165" spans="1:8">
      <c r="A165" s="10" t="s">
        <v>366</v>
      </c>
      <c r="B165" s="10" t="s">
        <v>2557</v>
      </c>
      <c r="C165" t="s">
        <v>2169</v>
      </c>
      <c r="D165" t="s">
        <v>2149</v>
      </c>
      <c r="E165" s="3">
        <v>28.766137608943019</v>
      </c>
      <c r="F165" s="3">
        <v>24.014800000000001</v>
      </c>
      <c r="G165" s="3">
        <v>4.7513376089430182</v>
      </c>
      <c r="H165" s="3">
        <v>101.4</v>
      </c>
    </row>
    <row r="166" spans="1:8">
      <c r="A166" s="10" t="s">
        <v>46</v>
      </c>
      <c r="B166" s="10" t="s">
        <v>2559</v>
      </c>
      <c r="C166" t="s">
        <v>2169</v>
      </c>
      <c r="D166" t="s">
        <v>2149</v>
      </c>
      <c r="E166" s="3">
        <v>361.9597552501441</v>
      </c>
      <c r="F166" s="3">
        <v>241.6095</v>
      </c>
      <c r="G166" s="3">
        <v>120.3502552501441</v>
      </c>
      <c r="H166" s="3">
        <v>119.91</v>
      </c>
    </row>
    <row r="167" spans="1:8">
      <c r="A167" s="10" t="s">
        <v>883</v>
      </c>
      <c r="B167" s="10" t="s">
        <v>2563</v>
      </c>
      <c r="C167" t="s">
        <v>2537</v>
      </c>
      <c r="D167" t="s">
        <v>2149</v>
      </c>
      <c r="E167" s="3">
        <v>63.344000000000001</v>
      </c>
      <c r="F167" s="3">
        <v>37.06</v>
      </c>
      <c r="G167" s="3">
        <v>26.283999999999999</v>
      </c>
      <c r="H167" s="3">
        <v>37.06</v>
      </c>
    </row>
    <row r="168" spans="1:8">
      <c r="A168" s="10" t="s">
        <v>53</v>
      </c>
      <c r="B168" s="10" t="s">
        <v>2564</v>
      </c>
      <c r="C168" t="s">
        <v>2158</v>
      </c>
      <c r="D168" t="s">
        <v>2149</v>
      </c>
      <c r="E168" s="3">
        <v>2425.0785160726041</v>
      </c>
      <c r="F168" s="3">
        <v>760.70139999999981</v>
      </c>
      <c r="G168" s="3">
        <v>1664.3771160726042</v>
      </c>
      <c r="H168" s="3">
        <v>318</v>
      </c>
    </row>
    <row r="169" spans="1:8">
      <c r="A169" s="10" t="s">
        <v>1348</v>
      </c>
      <c r="B169" s="10" t="s">
        <v>2565</v>
      </c>
      <c r="C169" t="s">
        <v>2346</v>
      </c>
      <c r="D169" t="s">
        <v>2149</v>
      </c>
      <c r="E169" s="3">
        <v>40.454999999999998</v>
      </c>
      <c r="F169" s="3">
        <v>24.406700000000001</v>
      </c>
      <c r="G169" s="3">
        <v>16.048299999999998</v>
      </c>
      <c r="H169" s="3">
        <v>36.42</v>
      </c>
    </row>
    <row r="170" spans="1:8">
      <c r="A170" s="10" t="s">
        <v>1349</v>
      </c>
      <c r="B170" s="10" t="s">
        <v>3228</v>
      </c>
      <c r="C170" t="s">
        <v>2346</v>
      </c>
      <c r="D170" t="s">
        <v>2149</v>
      </c>
      <c r="E170" s="3">
        <v>43.48</v>
      </c>
      <c r="F170" s="3">
        <v>26.04</v>
      </c>
      <c r="G170" s="3">
        <v>17.439999999999998</v>
      </c>
      <c r="H170" s="3">
        <v>52.08</v>
      </c>
    </row>
    <row r="171" spans="1:8">
      <c r="A171" s="10" t="s">
        <v>1351</v>
      </c>
      <c r="B171" s="10" t="s">
        <v>2566</v>
      </c>
      <c r="C171" t="s">
        <v>2346</v>
      </c>
      <c r="D171" t="s">
        <v>2149</v>
      </c>
      <c r="E171" s="3">
        <v>14.602499999999999</v>
      </c>
      <c r="F171" s="3">
        <v>8.18</v>
      </c>
      <c r="G171" s="3">
        <v>6.4224999999999994</v>
      </c>
      <c r="H171" s="3">
        <v>16.38</v>
      </c>
    </row>
    <row r="172" spans="1:8">
      <c r="A172" s="10" t="s">
        <v>1352</v>
      </c>
      <c r="B172" s="10" t="s">
        <v>3229</v>
      </c>
      <c r="C172" t="s">
        <v>2346</v>
      </c>
      <c r="D172" t="s">
        <v>2149</v>
      </c>
      <c r="E172" s="3">
        <v>30.914999999999999</v>
      </c>
      <c r="F172" s="3">
        <v>19.059999999999999</v>
      </c>
      <c r="G172" s="3">
        <v>11.855</v>
      </c>
      <c r="H172" s="3">
        <v>28.59</v>
      </c>
    </row>
    <row r="173" spans="1:8">
      <c r="A173" s="10" t="s">
        <v>197</v>
      </c>
      <c r="B173" s="10" t="s">
        <v>2568</v>
      </c>
      <c r="C173" t="s">
        <v>2158</v>
      </c>
      <c r="D173" t="s">
        <v>2149</v>
      </c>
      <c r="E173" s="3">
        <v>452.94304053360725</v>
      </c>
      <c r="F173" s="3">
        <v>307.69969999999995</v>
      </c>
      <c r="G173" s="3">
        <v>145.2433405336073</v>
      </c>
      <c r="H173" s="3">
        <v>252.27</v>
      </c>
    </row>
    <row r="174" spans="1:8">
      <c r="A174" s="10" t="s">
        <v>1355</v>
      </c>
      <c r="B174" s="10" t="s">
        <v>3230</v>
      </c>
      <c r="C174" t="s">
        <v>2346</v>
      </c>
      <c r="D174" t="s">
        <v>2149</v>
      </c>
      <c r="E174" s="3">
        <v>38.095999999999997</v>
      </c>
      <c r="F174" s="3">
        <v>22.95</v>
      </c>
      <c r="G174" s="3">
        <v>15.145999999999997</v>
      </c>
      <c r="H174" s="3">
        <v>68.849999999999994</v>
      </c>
    </row>
    <row r="175" spans="1:8">
      <c r="A175" s="10" t="s">
        <v>1358</v>
      </c>
      <c r="B175" s="10" t="s">
        <v>3231</v>
      </c>
      <c r="C175" t="s">
        <v>2346</v>
      </c>
      <c r="D175" t="s">
        <v>2149</v>
      </c>
      <c r="E175" s="3">
        <v>5.1520000000000001</v>
      </c>
      <c r="F175" s="3">
        <v>2.82</v>
      </c>
      <c r="G175" s="3">
        <v>2.3320000000000003</v>
      </c>
      <c r="H175" s="3">
        <v>5.64</v>
      </c>
    </row>
    <row r="176" spans="1:8">
      <c r="A176" s="10" t="s">
        <v>1359</v>
      </c>
      <c r="B176" s="10" t="s">
        <v>3232</v>
      </c>
      <c r="C176" t="s">
        <v>2346</v>
      </c>
      <c r="D176" t="s">
        <v>2149</v>
      </c>
      <c r="E176" s="3">
        <v>8.2560000000000002</v>
      </c>
      <c r="F176" s="3">
        <v>4.5</v>
      </c>
      <c r="G176" s="3">
        <v>3.7560000000000002</v>
      </c>
      <c r="H176" s="3">
        <v>9</v>
      </c>
    </row>
    <row r="177" spans="1:8">
      <c r="A177" s="10" t="s">
        <v>572</v>
      </c>
      <c r="B177" s="10" t="s">
        <v>2179</v>
      </c>
      <c r="C177" t="s">
        <v>2158</v>
      </c>
      <c r="D177" t="s">
        <v>2149</v>
      </c>
      <c r="E177" s="3">
        <v>346.26584434157274</v>
      </c>
      <c r="F177" s="3">
        <v>218.7441</v>
      </c>
      <c r="G177" s="3">
        <v>127.52174434157274</v>
      </c>
      <c r="H177" s="3">
        <v>187.44</v>
      </c>
    </row>
    <row r="178" spans="1:8">
      <c r="A178" s="10" t="s">
        <v>398</v>
      </c>
      <c r="B178" s="10" t="s">
        <v>2569</v>
      </c>
      <c r="C178" t="s">
        <v>2158</v>
      </c>
      <c r="D178" t="s">
        <v>2149</v>
      </c>
      <c r="E178" s="3">
        <v>543.23100638770825</v>
      </c>
      <c r="F178" s="3">
        <v>272.58729999999991</v>
      </c>
      <c r="G178" s="3">
        <v>270.64370638770833</v>
      </c>
      <c r="H178" s="3">
        <v>124.95</v>
      </c>
    </row>
    <row r="179" spans="1:8">
      <c r="A179" s="10" t="s">
        <v>399</v>
      </c>
      <c r="B179" s="10" t="s">
        <v>2570</v>
      </c>
      <c r="C179" t="s">
        <v>2158</v>
      </c>
      <c r="D179" t="s">
        <v>2149</v>
      </c>
      <c r="E179" s="3">
        <v>208.52</v>
      </c>
      <c r="F179" s="3">
        <v>131.07780000000002</v>
      </c>
      <c r="G179" s="3">
        <v>77.442199999999985</v>
      </c>
      <c r="H179" s="3">
        <v>103.36</v>
      </c>
    </row>
    <row r="180" spans="1:8">
      <c r="A180" s="10" t="s">
        <v>122</v>
      </c>
      <c r="B180" s="10" t="s">
        <v>2571</v>
      </c>
      <c r="C180" t="s">
        <v>2158</v>
      </c>
      <c r="D180" t="s">
        <v>2149</v>
      </c>
      <c r="E180" s="3">
        <v>116.46809999999998</v>
      </c>
      <c r="F180" s="3">
        <v>71.441099999999992</v>
      </c>
      <c r="G180" s="3">
        <v>45.026999999999987</v>
      </c>
      <c r="H180" s="3">
        <v>38.43</v>
      </c>
    </row>
    <row r="181" spans="1:8">
      <c r="A181" s="10" t="s">
        <v>113</v>
      </c>
      <c r="B181" s="10" t="s">
        <v>3234</v>
      </c>
      <c r="C181" t="s">
        <v>2158</v>
      </c>
      <c r="D181" t="s">
        <v>2149</v>
      </c>
      <c r="E181" s="3">
        <v>312.61587093105106</v>
      </c>
      <c r="F181" s="3">
        <v>162.18430000000001</v>
      </c>
      <c r="G181" s="3">
        <v>150.43157093105106</v>
      </c>
      <c r="H181" s="3">
        <v>49.08</v>
      </c>
    </row>
    <row r="182" spans="1:8">
      <c r="A182" s="10" t="s">
        <v>573</v>
      </c>
      <c r="B182" s="10" t="s">
        <v>2572</v>
      </c>
      <c r="C182" t="s">
        <v>2158</v>
      </c>
      <c r="D182" t="s">
        <v>2149</v>
      </c>
      <c r="E182" s="3">
        <v>104.01102925826085</v>
      </c>
      <c r="F182" s="3">
        <v>78.20559999999999</v>
      </c>
      <c r="G182" s="3">
        <v>25.805429258260858</v>
      </c>
      <c r="H182" s="3">
        <v>52.03</v>
      </c>
    </row>
    <row r="183" spans="1:8">
      <c r="A183" s="10" t="s">
        <v>926</v>
      </c>
      <c r="B183" s="10" t="s">
        <v>2573</v>
      </c>
      <c r="C183" t="s">
        <v>2158</v>
      </c>
      <c r="D183" t="s">
        <v>2149</v>
      </c>
      <c r="E183" s="3">
        <v>131.98818088381424</v>
      </c>
      <c r="F183" s="3">
        <v>65.494199999999992</v>
      </c>
      <c r="G183" s="3">
        <v>66.493980883814245</v>
      </c>
      <c r="H183" s="3">
        <v>37.200000000000003</v>
      </c>
    </row>
    <row r="184" spans="1:8">
      <c r="A184" s="10" t="s">
        <v>116</v>
      </c>
      <c r="B184" s="10" t="s">
        <v>2574</v>
      </c>
      <c r="C184" t="s">
        <v>2158</v>
      </c>
      <c r="D184" t="s">
        <v>2149</v>
      </c>
      <c r="E184" s="3">
        <v>783.55307716701498</v>
      </c>
      <c r="F184" s="3">
        <v>353.04659999999996</v>
      </c>
      <c r="G184" s="3">
        <v>430.50647716701502</v>
      </c>
      <c r="H184" s="3">
        <v>174.25</v>
      </c>
    </row>
    <row r="185" spans="1:8">
      <c r="A185" s="10" t="s">
        <v>142</v>
      </c>
      <c r="B185" s="10" t="s">
        <v>2575</v>
      </c>
      <c r="C185" t="s">
        <v>2158</v>
      </c>
      <c r="D185" t="s">
        <v>2149</v>
      </c>
      <c r="E185" s="3">
        <v>177.84617428305216</v>
      </c>
      <c r="F185" s="3">
        <v>45.571599999999997</v>
      </c>
      <c r="G185" s="3">
        <v>132.27457428305217</v>
      </c>
      <c r="H185" s="3">
        <v>20.3</v>
      </c>
    </row>
    <row r="186" spans="1:8">
      <c r="A186" s="10" t="s">
        <v>177</v>
      </c>
      <c r="B186" s="10" t="s">
        <v>3237</v>
      </c>
      <c r="C186" t="s">
        <v>2158</v>
      </c>
      <c r="D186" t="s">
        <v>2149</v>
      </c>
      <c r="E186" s="3">
        <v>205.04579609809321</v>
      </c>
      <c r="F186" s="3">
        <v>110.628</v>
      </c>
      <c r="G186" s="3">
        <v>94.417796098093206</v>
      </c>
      <c r="H186" s="3">
        <v>43.8</v>
      </c>
    </row>
    <row r="187" spans="1:8">
      <c r="A187" s="10" t="s">
        <v>52</v>
      </c>
      <c r="B187" s="10" t="s">
        <v>2576</v>
      </c>
      <c r="C187" t="s">
        <v>2158</v>
      </c>
      <c r="D187" t="s">
        <v>2149</v>
      </c>
      <c r="E187" s="3">
        <v>154.20853880841378</v>
      </c>
      <c r="F187" s="3">
        <v>74.749600000000001</v>
      </c>
      <c r="G187" s="3">
        <v>79.458938808413777</v>
      </c>
      <c r="H187" s="3">
        <v>55.68</v>
      </c>
    </row>
    <row r="188" spans="1:8">
      <c r="A188" s="10" t="s">
        <v>117</v>
      </c>
      <c r="B188" s="10" t="s">
        <v>2577</v>
      </c>
      <c r="C188" t="s">
        <v>2158</v>
      </c>
      <c r="D188" t="s">
        <v>2149</v>
      </c>
      <c r="E188" s="3">
        <v>244.76785401336801</v>
      </c>
      <c r="F188" s="3">
        <v>122.45939999999999</v>
      </c>
      <c r="G188" s="3">
        <v>122.30845401336802</v>
      </c>
      <c r="H188" s="3">
        <v>53.34</v>
      </c>
    </row>
    <row r="189" spans="1:8">
      <c r="A189" s="10" t="s">
        <v>575</v>
      </c>
      <c r="B189" s="10" t="s">
        <v>2578</v>
      </c>
      <c r="C189" t="s">
        <v>2154</v>
      </c>
      <c r="D189" t="s">
        <v>2149</v>
      </c>
      <c r="E189" s="3">
        <v>-26.605002639520471</v>
      </c>
      <c r="F189" s="3">
        <v>61.944100000000006</v>
      </c>
      <c r="G189" s="3">
        <v>-88.54910263952047</v>
      </c>
      <c r="H189" s="3">
        <v>180.3</v>
      </c>
    </row>
    <row r="190" spans="1:8">
      <c r="A190" s="10" t="s">
        <v>576</v>
      </c>
      <c r="B190" s="10" t="s">
        <v>2579</v>
      </c>
      <c r="C190" t="s">
        <v>2154</v>
      </c>
      <c r="D190" t="s">
        <v>2149</v>
      </c>
      <c r="E190" s="3">
        <v>475.87674844977266</v>
      </c>
      <c r="F190" s="3">
        <v>435.83330000000001</v>
      </c>
      <c r="G190" s="3">
        <v>40.043448449772654</v>
      </c>
      <c r="H190" s="3">
        <v>437.01</v>
      </c>
    </row>
    <row r="191" spans="1:8">
      <c r="A191" s="10" t="s">
        <v>577</v>
      </c>
      <c r="B191" s="10" t="s">
        <v>2580</v>
      </c>
      <c r="C191" t="s">
        <v>2154</v>
      </c>
      <c r="D191" t="s">
        <v>2149</v>
      </c>
      <c r="E191" s="3">
        <v>1263.82888</v>
      </c>
      <c r="F191" s="3">
        <v>1152.2554</v>
      </c>
      <c r="G191" s="3">
        <v>111.57348000000002</v>
      </c>
      <c r="H191" s="3">
        <v>384.76</v>
      </c>
    </row>
    <row r="192" spans="1:8">
      <c r="A192" s="10" t="s">
        <v>1363</v>
      </c>
      <c r="B192" s="10" t="s">
        <v>3240</v>
      </c>
      <c r="C192" t="s">
        <v>2156</v>
      </c>
      <c r="D192" t="s">
        <v>2149</v>
      </c>
      <c r="E192" s="3">
        <v>106.85344046622232</v>
      </c>
      <c r="F192" s="3">
        <v>54.920299999999997</v>
      </c>
      <c r="G192" s="3">
        <v>51.933140466222326</v>
      </c>
      <c r="H192" s="3">
        <v>15.48</v>
      </c>
    </row>
    <row r="193" spans="1:8">
      <c r="A193" s="10" t="s">
        <v>191</v>
      </c>
      <c r="B193" s="10" t="s">
        <v>2581</v>
      </c>
      <c r="C193" t="s">
        <v>2158</v>
      </c>
      <c r="D193" t="s">
        <v>2149</v>
      </c>
      <c r="E193" s="3">
        <v>640.67383016916642</v>
      </c>
      <c r="F193" s="3">
        <v>348.94950000000006</v>
      </c>
      <c r="G193" s="3">
        <v>291.72433016916636</v>
      </c>
      <c r="H193" s="3">
        <v>247.23</v>
      </c>
    </row>
    <row r="194" spans="1:8">
      <c r="A194" s="10" t="s">
        <v>155</v>
      </c>
      <c r="B194" s="10" t="s">
        <v>2585</v>
      </c>
      <c r="C194" t="s">
        <v>2169</v>
      </c>
      <c r="D194" t="s">
        <v>2149</v>
      </c>
      <c r="E194" s="3">
        <v>108.27286260494438</v>
      </c>
      <c r="F194" s="3">
        <v>73.747199999999992</v>
      </c>
      <c r="G194" s="3">
        <v>34.525662604944387</v>
      </c>
      <c r="H194" s="3">
        <v>36.72</v>
      </c>
    </row>
    <row r="195" spans="1:8">
      <c r="A195" s="10" t="s">
        <v>1370</v>
      </c>
      <c r="B195" s="10" t="s">
        <v>2588</v>
      </c>
      <c r="C195" t="s">
        <v>2169</v>
      </c>
      <c r="D195" t="s">
        <v>2149</v>
      </c>
      <c r="E195" s="3">
        <v>23.707999999999998</v>
      </c>
      <c r="F195" s="3">
        <v>13.0932</v>
      </c>
      <c r="G195" s="3">
        <v>10.614799999999999</v>
      </c>
      <c r="H195" s="3">
        <v>5.94</v>
      </c>
    </row>
    <row r="196" spans="1:8">
      <c r="A196" s="10" t="s">
        <v>578</v>
      </c>
      <c r="B196" s="10" t="s">
        <v>2589</v>
      </c>
      <c r="C196" t="s">
        <v>2169</v>
      </c>
      <c r="D196" t="s">
        <v>2149</v>
      </c>
      <c r="E196" s="3">
        <v>43.345500000000001</v>
      </c>
      <c r="F196" s="3">
        <v>23.698500000000003</v>
      </c>
      <c r="G196" s="3">
        <v>19.646999999999998</v>
      </c>
      <c r="H196" s="3">
        <v>12.4</v>
      </c>
    </row>
    <row r="197" spans="1:8">
      <c r="A197" s="10" t="s">
        <v>80</v>
      </c>
      <c r="B197" s="10" t="s">
        <v>2590</v>
      </c>
      <c r="C197" t="s">
        <v>2169</v>
      </c>
      <c r="D197" t="s">
        <v>2149</v>
      </c>
      <c r="E197" s="3">
        <v>321.37314418751129</v>
      </c>
      <c r="F197" s="3">
        <v>176.93040000000002</v>
      </c>
      <c r="G197" s="3">
        <v>144.44274418751127</v>
      </c>
      <c r="H197" s="3">
        <v>172.72</v>
      </c>
    </row>
    <row r="198" spans="1:8">
      <c r="A198" s="10" t="s">
        <v>809</v>
      </c>
      <c r="B198" s="10" t="s">
        <v>2591</v>
      </c>
      <c r="C198" t="s">
        <v>2169</v>
      </c>
      <c r="D198" t="s">
        <v>2149</v>
      </c>
      <c r="E198" s="3">
        <v>210.79529937253028</v>
      </c>
      <c r="F198" s="3">
        <v>125.4926</v>
      </c>
      <c r="G198" s="3">
        <v>85.302699372530284</v>
      </c>
      <c r="H198" s="3">
        <v>100.08</v>
      </c>
    </row>
    <row r="199" spans="1:8">
      <c r="A199" s="10" t="s">
        <v>372</v>
      </c>
      <c r="B199" s="10" t="s">
        <v>2592</v>
      </c>
      <c r="C199" t="s">
        <v>2169</v>
      </c>
      <c r="D199" t="s">
        <v>2149</v>
      </c>
      <c r="E199" s="3">
        <v>18.220600000000001</v>
      </c>
      <c r="F199" s="3">
        <v>9.2544000000000004</v>
      </c>
      <c r="G199" s="3">
        <v>8.9662000000000006</v>
      </c>
      <c r="H199" s="3">
        <v>9.1999999999999993</v>
      </c>
    </row>
    <row r="200" spans="1:8">
      <c r="A200" s="10" t="s">
        <v>373</v>
      </c>
      <c r="B200" s="10" t="s">
        <v>2594</v>
      </c>
      <c r="C200" t="s">
        <v>2169</v>
      </c>
      <c r="D200" t="s">
        <v>2149</v>
      </c>
      <c r="E200" s="3">
        <v>180.08099999999996</v>
      </c>
      <c r="F200" s="3">
        <v>108.62209999999997</v>
      </c>
      <c r="G200" s="3">
        <v>71.458899999999986</v>
      </c>
      <c r="H200" s="3">
        <v>150.25</v>
      </c>
    </row>
    <row r="201" spans="1:8">
      <c r="A201" s="10" t="s">
        <v>1372</v>
      </c>
      <c r="B201" s="10" t="s">
        <v>3241</v>
      </c>
      <c r="C201" t="s">
        <v>2169</v>
      </c>
      <c r="D201" t="s">
        <v>2149</v>
      </c>
      <c r="E201" s="3">
        <v>23.490000000000002</v>
      </c>
      <c r="F201" s="3">
        <v>11.068</v>
      </c>
      <c r="G201" s="3">
        <v>12.422000000000002</v>
      </c>
      <c r="H201" s="3">
        <v>11.04</v>
      </c>
    </row>
    <row r="202" spans="1:8">
      <c r="A202" s="10" t="s">
        <v>371</v>
      </c>
      <c r="B202" s="10" t="s">
        <v>2595</v>
      </c>
      <c r="C202" t="s">
        <v>2169</v>
      </c>
      <c r="D202" t="s">
        <v>2149</v>
      </c>
      <c r="E202" s="3">
        <v>16.843</v>
      </c>
      <c r="F202" s="3">
        <v>9.5410000000000004</v>
      </c>
      <c r="G202" s="3">
        <v>7.3019999999999996</v>
      </c>
      <c r="H202" s="3">
        <v>6.8</v>
      </c>
    </row>
    <row r="203" spans="1:8">
      <c r="A203" s="10" t="s">
        <v>81</v>
      </c>
      <c r="B203" s="10" t="s">
        <v>2596</v>
      </c>
      <c r="C203" t="s">
        <v>2169</v>
      </c>
      <c r="D203" t="s">
        <v>2149</v>
      </c>
      <c r="E203" s="3">
        <v>347.38825494910787</v>
      </c>
      <c r="F203" s="3">
        <v>225.60720000000001</v>
      </c>
      <c r="G203" s="3">
        <v>121.78105494910787</v>
      </c>
      <c r="H203" s="3">
        <v>164.08</v>
      </c>
    </row>
    <row r="204" spans="1:8">
      <c r="A204" s="10" t="s">
        <v>374</v>
      </c>
      <c r="B204" s="10" t="s">
        <v>2597</v>
      </c>
      <c r="C204" t="s">
        <v>2169</v>
      </c>
      <c r="D204" t="s">
        <v>2149</v>
      </c>
      <c r="E204" s="3">
        <v>4.0500000000000007</v>
      </c>
      <c r="F204" s="3">
        <v>2.1239999999999997</v>
      </c>
      <c r="G204" s="3">
        <v>1.926000000000001</v>
      </c>
      <c r="H204" s="3">
        <v>2.1</v>
      </c>
    </row>
    <row r="205" spans="1:8">
      <c r="A205" s="10" t="s">
        <v>1373</v>
      </c>
      <c r="B205" s="10" t="s">
        <v>2598</v>
      </c>
      <c r="C205" t="s">
        <v>2169</v>
      </c>
      <c r="D205" t="s">
        <v>2149</v>
      </c>
      <c r="E205" s="3">
        <v>42.948999999999998</v>
      </c>
      <c r="F205" s="3">
        <v>26.854599999999998</v>
      </c>
      <c r="G205" s="3">
        <v>16.0944</v>
      </c>
      <c r="H205" s="3">
        <v>13.44</v>
      </c>
    </row>
    <row r="206" spans="1:8">
      <c r="A206" s="10" t="s">
        <v>579</v>
      </c>
      <c r="B206" s="10" t="s">
        <v>2601</v>
      </c>
      <c r="C206" t="s">
        <v>2169</v>
      </c>
      <c r="D206" t="s">
        <v>2149</v>
      </c>
      <c r="E206" s="3">
        <v>63.378256278171293</v>
      </c>
      <c r="F206" s="3">
        <v>39.763599999999997</v>
      </c>
      <c r="G206" s="3">
        <v>23.614656278171296</v>
      </c>
      <c r="H206" s="3">
        <v>31.76</v>
      </c>
    </row>
    <row r="207" spans="1:8">
      <c r="A207" s="10" t="s">
        <v>580</v>
      </c>
      <c r="B207" s="10" t="s">
        <v>2602</v>
      </c>
      <c r="C207" t="s">
        <v>2158</v>
      </c>
      <c r="D207" t="s">
        <v>2149</v>
      </c>
      <c r="E207" s="3">
        <v>49.648852221506758</v>
      </c>
      <c r="F207" s="3">
        <v>26.392800000000001</v>
      </c>
      <c r="G207" s="3">
        <v>23.256052221506756</v>
      </c>
      <c r="H207" s="3">
        <v>26</v>
      </c>
    </row>
    <row r="208" spans="1:8">
      <c r="A208" s="10" t="s">
        <v>1076</v>
      </c>
      <c r="B208" s="10" t="s">
        <v>3242</v>
      </c>
      <c r="C208" t="s">
        <v>2169</v>
      </c>
      <c r="D208" t="s">
        <v>2149</v>
      </c>
      <c r="E208" s="3">
        <v>40.762462839828295</v>
      </c>
      <c r="F208" s="3">
        <v>25.875</v>
      </c>
      <c r="G208" s="3">
        <v>14.887462839828295</v>
      </c>
      <c r="H208" s="3">
        <v>31.02</v>
      </c>
    </row>
    <row r="209" spans="1:8">
      <c r="A209" s="10" t="s">
        <v>105</v>
      </c>
      <c r="B209" s="10" t="s">
        <v>2606</v>
      </c>
      <c r="C209" t="s">
        <v>2169</v>
      </c>
      <c r="D209" t="s">
        <v>2149</v>
      </c>
      <c r="E209" s="3">
        <v>848.89430114957406</v>
      </c>
      <c r="F209" s="3">
        <v>617.56360000000006</v>
      </c>
      <c r="G209" s="3">
        <v>231.330701149574</v>
      </c>
      <c r="H209" s="3">
        <v>360.64</v>
      </c>
    </row>
    <row r="210" spans="1:8">
      <c r="A210" s="10" t="s">
        <v>928</v>
      </c>
      <c r="B210" s="10" t="s">
        <v>3245</v>
      </c>
      <c r="C210" t="s">
        <v>2169</v>
      </c>
      <c r="D210" t="s">
        <v>2149</v>
      </c>
      <c r="E210" s="3">
        <v>96.8</v>
      </c>
      <c r="F210" s="3">
        <v>48.697099999999999</v>
      </c>
      <c r="G210" s="3">
        <v>48.102899999999998</v>
      </c>
      <c r="H210" s="3">
        <v>30.6</v>
      </c>
    </row>
    <row r="211" spans="1:8">
      <c r="A211" s="10" t="s">
        <v>1376</v>
      </c>
      <c r="B211" s="10" t="s">
        <v>3246</v>
      </c>
      <c r="C211" t="s">
        <v>2169</v>
      </c>
      <c r="D211" t="s">
        <v>2149</v>
      </c>
      <c r="E211" s="3">
        <v>15.18</v>
      </c>
      <c r="F211" s="3">
        <v>15.083</v>
      </c>
      <c r="G211" s="3">
        <v>9.6999999999999531E-2</v>
      </c>
      <c r="H211" s="3">
        <v>30.16</v>
      </c>
    </row>
    <row r="212" spans="1:8">
      <c r="A212" s="10" t="s">
        <v>929</v>
      </c>
      <c r="B212" s="10" t="s">
        <v>3247</v>
      </c>
      <c r="C212" t="s">
        <v>2169</v>
      </c>
      <c r="D212" t="s">
        <v>2149</v>
      </c>
      <c r="E212" s="3">
        <v>61.524999999999999</v>
      </c>
      <c r="F212" s="3">
        <v>32.500999999999998</v>
      </c>
      <c r="G212" s="3">
        <v>29.024000000000001</v>
      </c>
      <c r="H212" s="3">
        <v>18.559999999999999</v>
      </c>
    </row>
    <row r="213" spans="1:8">
      <c r="A213" s="10" t="s">
        <v>219</v>
      </c>
      <c r="B213" s="10" t="s">
        <v>2180</v>
      </c>
      <c r="C213" t="s">
        <v>2169</v>
      </c>
      <c r="D213" t="s">
        <v>2149</v>
      </c>
      <c r="E213" s="3">
        <v>76.78549312336699</v>
      </c>
      <c r="F213" s="3">
        <v>445.82010000000031</v>
      </c>
      <c r="G213" s="3">
        <v>-369.03460687663335</v>
      </c>
      <c r="H213" s="3">
        <v>425.04</v>
      </c>
    </row>
    <row r="214" spans="1:8">
      <c r="A214" s="10" t="s">
        <v>681</v>
      </c>
      <c r="B214" s="10" t="s">
        <v>2614</v>
      </c>
      <c r="C214" t="s">
        <v>2169</v>
      </c>
      <c r="D214" t="s">
        <v>2149</v>
      </c>
      <c r="E214" s="3">
        <v>14.215999999999999</v>
      </c>
      <c r="F214" s="3">
        <v>8.1423000000000005</v>
      </c>
      <c r="G214" s="3">
        <v>6.0736999999999988</v>
      </c>
      <c r="H214" s="3">
        <v>8.14</v>
      </c>
    </row>
    <row r="215" spans="1:8">
      <c r="A215" s="10" t="s">
        <v>1378</v>
      </c>
      <c r="B215" s="10" t="s">
        <v>3250</v>
      </c>
      <c r="C215" t="s">
        <v>2177</v>
      </c>
      <c r="D215" t="s">
        <v>2149</v>
      </c>
      <c r="E215" s="3">
        <v>19</v>
      </c>
      <c r="F215" s="3">
        <v>18.64</v>
      </c>
      <c r="G215" s="3">
        <v>0.35999999999999943</v>
      </c>
      <c r="H215" s="3">
        <v>102.52</v>
      </c>
    </row>
    <row r="216" spans="1:8">
      <c r="A216" s="10" t="s">
        <v>1379</v>
      </c>
      <c r="B216" s="10" t="s">
        <v>2615</v>
      </c>
      <c r="C216" t="s">
        <v>2177</v>
      </c>
      <c r="D216" t="s">
        <v>2149</v>
      </c>
      <c r="E216" s="3">
        <v>129.6746</v>
      </c>
      <c r="F216" s="3">
        <v>103.98839999999998</v>
      </c>
      <c r="G216" s="3">
        <v>25.686200000000014</v>
      </c>
      <c r="H216" s="3">
        <v>173.3</v>
      </c>
    </row>
    <row r="217" spans="1:8">
      <c r="A217" s="10" t="s">
        <v>582</v>
      </c>
      <c r="B217" s="10" t="s">
        <v>2181</v>
      </c>
      <c r="C217" t="s">
        <v>2177</v>
      </c>
      <c r="D217" t="s">
        <v>2149</v>
      </c>
      <c r="E217" s="3">
        <v>294.47732692262684</v>
      </c>
      <c r="F217" s="3">
        <v>219.62809999999996</v>
      </c>
      <c r="G217" s="3">
        <v>74.849226922626883</v>
      </c>
      <c r="H217" s="3">
        <v>154.91999999999999</v>
      </c>
    </row>
    <row r="218" spans="1:8">
      <c r="A218" s="10" t="s">
        <v>1381</v>
      </c>
      <c r="B218" s="10" t="s">
        <v>2620</v>
      </c>
      <c r="C218" t="s">
        <v>2158</v>
      </c>
      <c r="D218" t="s">
        <v>2149</v>
      </c>
      <c r="E218" s="3">
        <v>30.470402190240613</v>
      </c>
      <c r="F218" s="3">
        <v>21.626000000000001</v>
      </c>
      <c r="G218" s="3">
        <v>8.8444021902406114</v>
      </c>
      <c r="H218" s="3">
        <v>43.24</v>
      </c>
    </row>
    <row r="219" spans="1:8">
      <c r="A219" s="10" t="s">
        <v>583</v>
      </c>
      <c r="B219" s="10" t="s">
        <v>2622</v>
      </c>
      <c r="C219" t="s">
        <v>2169</v>
      </c>
      <c r="D219" t="s">
        <v>2149</v>
      </c>
      <c r="E219" s="3">
        <v>151.2216</v>
      </c>
      <c r="F219" s="3">
        <v>107.75129999999999</v>
      </c>
      <c r="G219" s="3">
        <v>43.470300000000009</v>
      </c>
      <c r="H219" s="3">
        <v>143.63999999999999</v>
      </c>
    </row>
    <row r="220" spans="1:8">
      <c r="A220" s="10" t="s">
        <v>1382</v>
      </c>
      <c r="B220" s="10" t="s">
        <v>2624</v>
      </c>
      <c r="C220" t="s">
        <v>2169</v>
      </c>
      <c r="D220" t="s">
        <v>2149</v>
      </c>
      <c r="E220" s="3">
        <v>33.384</v>
      </c>
      <c r="F220" s="3">
        <v>18.317999999999998</v>
      </c>
      <c r="G220" s="3">
        <v>15.066000000000003</v>
      </c>
      <c r="H220" s="3">
        <v>30.5</v>
      </c>
    </row>
    <row r="221" spans="1:8">
      <c r="A221" s="10" t="s">
        <v>633</v>
      </c>
      <c r="B221" s="10" t="s">
        <v>2184</v>
      </c>
      <c r="C221" t="s">
        <v>2154</v>
      </c>
      <c r="D221" t="s">
        <v>2149</v>
      </c>
      <c r="E221" s="3">
        <v>18.642794581861011</v>
      </c>
      <c r="F221" s="3">
        <v>81.86680000000004</v>
      </c>
      <c r="G221" s="3">
        <v>-63.224005418139029</v>
      </c>
      <c r="H221" s="3">
        <v>35.5</v>
      </c>
    </row>
    <row r="222" spans="1:8">
      <c r="A222" s="10" t="s">
        <v>632</v>
      </c>
      <c r="B222" s="10" t="s">
        <v>2185</v>
      </c>
      <c r="C222" t="s">
        <v>2154</v>
      </c>
      <c r="D222" t="s">
        <v>2149</v>
      </c>
      <c r="E222" s="3">
        <v>95.079214805621277</v>
      </c>
      <c r="F222" s="3">
        <v>1072.4210000000005</v>
      </c>
      <c r="G222" s="3">
        <v>-977.34178519437921</v>
      </c>
      <c r="H222" s="3">
        <v>383.04</v>
      </c>
    </row>
    <row r="223" spans="1:8">
      <c r="A223" s="10" t="s">
        <v>304</v>
      </c>
      <c r="B223" s="10" t="s">
        <v>2626</v>
      </c>
      <c r="C223" t="s">
        <v>2169</v>
      </c>
      <c r="D223" t="s">
        <v>2149</v>
      </c>
      <c r="E223" s="3">
        <v>-36.045199999999966</v>
      </c>
      <c r="F223" s="3">
        <v>32.706099999999992</v>
      </c>
      <c r="G223" s="3">
        <v>-68.751299999999958</v>
      </c>
      <c r="H223" s="3">
        <v>276.5</v>
      </c>
    </row>
    <row r="224" spans="1:8">
      <c r="A224" s="10" t="s">
        <v>584</v>
      </c>
      <c r="B224" s="10" t="s">
        <v>2186</v>
      </c>
      <c r="C224" t="s">
        <v>2154</v>
      </c>
      <c r="D224" t="s">
        <v>2149</v>
      </c>
      <c r="E224" s="3">
        <v>3355.5875890196421</v>
      </c>
      <c r="F224" s="3">
        <v>2942.7782000000002</v>
      </c>
      <c r="G224" s="3">
        <v>412.80938901964191</v>
      </c>
      <c r="H224" s="3">
        <v>1446.4</v>
      </c>
    </row>
    <row r="225" spans="1:8">
      <c r="A225" s="10" t="s">
        <v>557</v>
      </c>
      <c r="B225" s="10" t="s">
        <v>2187</v>
      </c>
      <c r="C225" t="s">
        <v>2154</v>
      </c>
      <c r="D225" t="s">
        <v>2149</v>
      </c>
      <c r="E225" s="3">
        <v>1756.004737827951</v>
      </c>
      <c r="F225" s="3">
        <v>12494.606899999997</v>
      </c>
      <c r="G225" s="3">
        <v>-10738.602162172047</v>
      </c>
      <c r="H225" s="3">
        <v>3485</v>
      </c>
    </row>
    <row r="226" spans="1:8">
      <c r="A226" s="10" t="s">
        <v>863</v>
      </c>
      <c r="B226" s="10" t="s">
        <v>2188</v>
      </c>
      <c r="C226" t="s">
        <v>2151</v>
      </c>
      <c r="D226" t="s">
        <v>2149</v>
      </c>
      <c r="E226" s="3">
        <v>1622.8773906563968</v>
      </c>
      <c r="F226" s="3">
        <v>1407.0048999999999</v>
      </c>
      <c r="G226" s="3">
        <v>215.87249065639685</v>
      </c>
      <c r="H226" s="3">
        <v>1491.84</v>
      </c>
    </row>
    <row r="227" spans="1:8">
      <c r="A227" s="10" t="s">
        <v>586</v>
      </c>
      <c r="B227" s="10" t="s">
        <v>3254</v>
      </c>
      <c r="C227" t="s">
        <v>2169</v>
      </c>
      <c r="D227" t="s">
        <v>2149</v>
      </c>
      <c r="E227" s="3">
        <v>700.53291146556967</v>
      </c>
      <c r="F227" s="3">
        <v>396.71220000000005</v>
      </c>
      <c r="G227" s="3">
        <v>303.82071146556962</v>
      </c>
      <c r="H227" s="3">
        <v>161.4</v>
      </c>
    </row>
    <row r="228" spans="1:8">
      <c r="A228" s="10" t="s">
        <v>1387</v>
      </c>
      <c r="B228" s="10" t="s">
        <v>2629</v>
      </c>
      <c r="C228" t="s">
        <v>2537</v>
      </c>
      <c r="D228" t="s">
        <v>2149</v>
      </c>
      <c r="E228" s="3">
        <v>22.68</v>
      </c>
      <c r="F228" s="3">
        <v>12.484999999999999</v>
      </c>
      <c r="G228" s="3">
        <v>10.195</v>
      </c>
      <c r="H228" s="3">
        <v>6.16</v>
      </c>
    </row>
    <row r="229" spans="1:8">
      <c r="A229" s="10" t="s">
        <v>1391</v>
      </c>
      <c r="B229" s="10" t="s">
        <v>2633</v>
      </c>
      <c r="C229" t="s">
        <v>2158</v>
      </c>
      <c r="D229" t="s">
        <v>2149</v>
      </c>
      <c r="E229" s="3">
        <v>4.92</v>
      </c>
      <c r="F229" s="3">
        <v>2</v>
      </c>
      <c r="G229" s="3">
        <v>2.92</v>
      </c>
      <c r="H229" s="3">
        <v>1.5</v>
      </c>
    </row>
    <row r="230" spans="1:8">
      <c r="A230" s="10" t="s">
        <v>1392</v>
      </c>
      <c r="B230" s="10" t="s">
        <v>3255</v>
      </c>
      <c r="C230" t="s">
        <v>2158</v>
      </c>
      <c r="D230" t="s">
        <v>2149</v>
      </c>
      <c r="E230" s="3">
        <v>1.44</v>
      </c>
      <c r="F230" s="3">
        <v>0.56000000000000005</v>
      </c>
      <c r="G230" s="3">
        <v>0.87999999999999989</v>
      </c>
      <c r="H230" s="3">
        <v>2.8</v>
      </c>
    </row>
    <row r="231" spans="1:8">
      <c r="A231" s="10" t="s">
        <v>1398</v>
      </c>
      <c r="B231" s="10" t="s">
        <v>3256</v>
      </c>
      <c r="C231" t="s">
        <v>2158</v>
      </c>
      <c r="D231" t="s">
        <v>2149</v>
      </c>
      <c r="E231" s="3">
        <v>3.58</v>
      </c>
      <c r="F231" s="3">
        <v>1.89</v>
      </c>
      <c r="G231" s="3">
        <v>1.6900000000000002</v>
      </c>
      <c r="H231" s="3">
        <v>0.74</v>
      </c>
    </row>
    <row r="232" spans="1:8">
      <c r="A232" s="10" t="s">
        <v>538</v>
      </c>
      <c r="B232" s="10" t="s">
        <v>2638</v>
      </c>
      <c r="C232" t="s">
        <v>2385</v>
      </c>
      <c r="D232" t="s">
        <v>2149</v>
      </c>
      <c r="E232" s="3">
        <v>40.322200000000002</v>
      </c>
      <c r="F232" s="3">
        <v>38.005200000000002</v>
      </c>
      <c r="G232" s="3">
        <v>2.3170000000000002</v>
      </c>
      <c r="H232" s="3">
        <v>6.33</v>
      </c>
    </row>
    <row r="233" spans="1:8">
      <c r="A233" s="10" t="s">
        <v>299</v>
      </c>
      <c r="B233" s="10" t="s">
        <v>2639</v>
      </c>
      <c r="C233" t="s">
        <v>2158</v>
      </c>
      <c r="D233" t="s">
        <v>2149</v>
      </c>
      <c r="E233" s="3">
        <v>19.69377638282181</v>
      </c>
      <c r="F233" s="3">
        <v>6.7695999999999987</v>
      </c>
      <c r="G233" s="3">
        <v>12.924176382821811</v>
      </c>
      <c r="H233" s="3">
        <v>5.29</v>
      </c>
    </row>
    <row r="234" spans="1:8">
      <c r="A234" s="10" t="s">
        <v>503</v>
      </c>
      <c r="B234" s="10" t="s">
        <v>2641</v>
      </c>
      <c r="C234" t="s">
        <v>2385</v>
      </c>
      <c r="D234" t="s">
        <v>2149</v>
      </c>
      <c r="E234" s="3">
        <v>543.69350780781292</v>
      </c>
      <c r="F234" s="3">
        <v>467.31160000000006</v>
      </c>
      <c r="G234" s="3">
        <v>76.381907807812865</v>
      </c>
      <c r="H234" s="3">
        <v>70.48</v>
      </c>
    </row>
    <row r="235" spans="1:8">
      <c r="A235" s="10" t="s">
        <v>1430</v>
      </c>
      <c r="B235" s="10" t="s">
        <v>2650</v>
      </c>
      <c r="C235" t="s">
        <v>2158</v>
      </c>
      <c r="D235" t="s">
        <v>2149</v>
      </c>
      <c r="E235" s="3">
        <v>325.15649999999999</v>
      </c>
      <c r="F235" s="3">
        <v>260.2867</v>
      </c>
      <c r="G235" s="3">
        <v>64.869799999999998</v>
      </c>
      <c r="H235" s="3">
        <v>179.49</v>
      </c>
    </row>
    <row r="236" spans="1:8">
      <c r="A236" s="10" t="s">
        <v>1434</v>
      </c>
      <c r="B236" s="10" t="s">
        <v>2652</v>
      </c>
      <c r="C236" t="s">
        <v>2158</v>
      </c>
      <c r="D236" t="s">
        <v>2149</v>
      </c>
      <c r="E236" s="3">
        <v>152.21799999999999</v>
      </c>
      <c r="F236" s="3">
        <v>77.301000000000002</v>
      </c>
      <c r="G236" s="3">
        <v>74.916999999999987</v>
      </c>
      <c r="H236" s="3">
        <v>57.02</v>
      </c>
    </row>
    <row r="237" spans="1:8">
      <c r="A237" s="10" t="s">
        <v>504</v>
      </c>
      <c r="B237" s="10" t="s">
        <v>2653</v>
      </c>
      <c r="C237" t="s">
        <v>2158</v>
      </c>
      <c r="D237" t="s">
        <v>2149</v>
      </c>
      <c r="E237" s="3">
        <v>1063.5575500000002</v>
      </c>
      <c r="F237" s="3">
        <v>479.75970000000007</v>
      </c>
      <c r="G237" s="3">
        <v>583.79785000000015</v>
      </c>
      <c r="H237" s="3">
        <v>255.92</v>
      </c>
    </row>
    <row r="238" spans="1:8">
      <c r="A238" s="10" t="s">
        <v>635</v>
      </c>
      <c r="B238" s="10" t="s">
        <v>2654</v>
      </c>
      <c r="C238" t="s">
        <v>2158</v>
      </c>
      <c r="D238" t="s">
        <v>2149</v>
      </c>
      <c r="E238" s="3">
        <v>496.91811939221986</v>
      </c>
      <c r="F238" s="3">
        <v>298.02710000000002</v>
      </c>
      <c r="G238" s="3">
        <v>198.89101939221985</v>
      </c>
      <c r="H238" s="3">
        <v>153.05000000000001</v>
      </c>
    </row>
    <row r="239" spans="1:8">
      <c r="A239" s="10" t="s">
        <v>937</v>
      </c>
      <c r="B239" s="10" t="s">
        <v>2658</v>
      </c>
      <c r="C239" t="s">
        <v>2158</v>
      </c>
      <c r="D239" t="s">
        <v>2149</v>
      </c>
      <c r="E239" s="3">
        <v>97.971175859546449</v>
      </c>
      <c r="F239" s="3">
        <v>59.863999999999997</v>
      </c>
      <c r="G239" s="3">
        <v>38.107175859546452</v>
      </c>
      <c r="H239" s="3">
        <v>89.79</v>
      </c>
    </row>
    <row r="240" spans="1:8">
      <c r="A240" s="10" t="s">
        <v>938</v>
      </c>
      <c r="B240" s="10" t="s">
        <v>2663</v>
      </c>
      <c r="C240" t="s">
        <v>2156</v>
      </c>
      <c r="D240" t="s">
        <v>2149</v>
      </c>
      <c r="E240" s="3">
        <v>91.537499999999994</v>
      </c>
      <c r="F240" s="3">
        <v>62.018599999999999</v>
      </c>
      <c r="G240" s="3">
        <v>29.518899999999995</v>
      </c>
      <c r="H240" s="3">
        <v>186.03</v>
      </c>
    </row>
    <row r="241" spans="1:8">
      <c r="A241" s="10" t="s">
        <v>1443</v>
      </c>
      <c r="B241" s="10" t="s">
        <v>2664</v>
      </c>
      <c r="C241" t="s">
        <v>2158</v>
      </c>
      <c r="D241" t="s">
        <v>2149</v>
      </c>
      <c r="E241" s="3">
        <v>55.8874</v>
      </c>
      <c r="F241" s="3">
        <v>39.94</v>
      </c>
      <c r="G241" s="3">
        <v>15.947400000000002</v>
      </c>
      <c r="H241" s="3">
        <v>57.27</v>
      </c>
    </row>
    <row r="242" spans="1:8">
      <c r="A242" s="10" t="s">
        <v>876</v>
      </c>
      <c r="B242" s="10" t="s">
        <v>2665</v>
      </c>
      <c r="C242" t="s">
        <v>2158</v>
      </c>
      <c r="D242" t="s">
        <v>2149</v>
      </c>
      <c r="E242" s="3">
        <v>544.30690615195158</v>
      </c>
      <c r="F242" s="3">
        <v>327.06940000000003</v>
      </c>
      <c r="G242" s="3">
        <v>217.23750615195155</v>
      </c>
      <c r="H242" s="3">
        <v>263.76</v>
      </c>
    </row>
    <row r="243" spans="1:8">
      <c r="A243" s="10" t="s">
        <v>588</v>
      </c>
      <c r="B243" s="10" t="s">
        <v>2668</v>
      </c>
      <c r="C243" t="s">
        <v>2158</v>
      </c>
      <c r="D243" t="s">
        <v>2149</v>
      </c>
      <c r="E243" s="3">
        <v>1246.6429169797227</v>
      </c>
      <c r="F243" s="3">
        <v>853.81419999999991</v>
      </c>
      <c r="G243" s="3">
        <v>392.8287169797228</v>
      </c>
      <c r="H243" s="3">
        <v>319.32</v>
      </c>
    </row>
    <row r="244" spans="1:8">
      <c r="A244" s="10" t="s">
        <v>391</v>
      </c>
      <c r="B244" s="10" t="s">
        <v>3266</v>
      </c>
      <c r="C244" t="s">
        <v>2158</v>
      </c>
      <c r="D244" t="s">
        <v>2149</v>
      </c>
      <c r="E244" s="3">
        <v>2420.0659000000001</v>
      </c>
      <c r="F244" s="3">
        <v>1895.3226999999999</v>
      </c>
      <c r="G244" s="3">
        <v>524.74320000000012</v>
      </c>
      <c r="H244" s="3">
        <v>240.73</v>
      </c>
    </row>
    <row r="245" spans="1:8">
      <c r="A245" s="10" t="s">
        <v>218</v>
      </c>
      <c r="B245" s="10" t="s">
        <v>2669</v>
      </c>
      <c r="C245" t="s">
        <v>2158</v>
      </c>
      <c r="D245" t="s">
        <v>2149</v>
      </c>
      <c r="E245" s="3">
        <v>6768.2017016570253</v>
      </c>
      <c r="F245" s="3">
        <v>3463.5077999999994</v>
      </c>
      <c r="G245" s="3">
        <v>3304.6939016570259</v>
      </c>
      <c r="H245" s="3">
        <v>2249.6</v>
      </c>
    </row>
    <row r="246" spans="1:8">
      <c r="A246" s="10" t="s">
        <v>238</v>
      </c>
      <c r="B246" s="10" t="s">
        <v>2672</v>
      </c>
      <c r="C246" t="s">
        <v>2169</v>
      </c>
      <c r="D246" t="s">
        <v>2149</v>
      </c>
      <c r="E246" s="3">
        <v>871.25809484631668</v>
      </c>
      <c r="F246" s="3">
        <v>575.36300000000006</v>
      </c>
      <c r="G246" s="3">
        <v>295.89509484631662</v>
      </c>
      <c r="H246" s="3">
        <v>240.1</v>
      </c>
    </row>
    <row r="247" spans="1:8">
      <c r="A247" s="10" t="s">
        <v>821</v>
      </c>
      <c r="B247" s="10" t="s">
        <v>2674</v>
      </c>
      <c r="C247" t="s">
        <v>2158</v>
      </c>
      <c r="D247" t="s">
        <v>2149</v>
      </c>
      <c r="E247" s="3">
        <v>102.44880000000002</v>
      </c>
      <c r="F247" s="3">
        <v>47.155600000000007</v>
      </c>
      <c r="G247" s="3">
        <v>55.293200000000013</v>
      </c>
      <c r="H247" s="3">
        <v>81.75</v>
      </c>
    </row>
    <row r="248" spans="1:8">
      <c r="A248" s="10" t="s">
        <v>1455</v>
      </c>
      <c r="B248" s="10" t="s">
        <v>2676</v>
      </c>
      <c r="C248" t="s">
        <v>2156</v>
      </c>
      <c r="D248" t="s">
        <v>2149</v>
      </c>
      <c r="E248" s="3">
        <v>70.369</v>
      </c>
      <c r="F248" s="3">
        <v>46.945999999999998</v>
      </c>
      <c r="G248" s="3">
        <v>23.423000000000002</v>
      </c>
      <c r="H248" s="3">
        <v>20.3</v>
      </c>
    </row>
    <row r="249" spans="1:8">
      <c r="A249" s="10" t="s">
        <v>1456</v>
      </c>
      <c r="B249" s="10" t="s">
        <v>2677</v>
      </c>
      <c r="C249" t="s">
        <v>2156</v>
      </c>
      <c r="D249" t="s">
        <v>2149</v>
      </c>
      <c r="E249" s="3">
        <v>21.020999999999997</v>
      </c>
      <c r="F249" s="3">
        <v>8.9952000000000005</v>
      </c>
      <c r="G249" s="3">
        <v>12.025799999999997</v>
      </c>
      <c r="H249" s="3">
        <v>5.9</v>
      </c>
    </row>
    <row r="250" spans="1:8">
      <c r="A250" s="10" t="s">
        <v>1457</v>
      </c>
      <c r="B250" s="10" t="s">
        <v>2678</v>
      </c>
      <c r="C250" t="s">
        <v>2158</v>
      </c>
      <c r="D250" t="s">
        <v>2149</v>
      </c>
      <c r="E250" s="3">
        <v>125.19320426376586</v>
      </c>
      <c r="F250" s="3">
        <v>55.863799999999991</v>
      </c>
      <c r="G250" s="3">
        <v>69.329404263765866</v>
      </c>
      <c r="H250" s="3">
        <v>39.68</v>
      </c>
    </row>
    <row r="251" spans="1:8">
      <c r="A251" s="10" t="s">
        <v>1459</v>
      </c>
      <c r="B251" s="10" t="s">
        <v>3271</v>
      </c>
      <c r="C251" t="s">
        <v>2158</v>
      </c>
      <c r="D251" t="s">
        <v>2149</v>
      </c>
      <c r="E251" s="3">
        <v>26.61</v>
      </c>
      <c r="F251" s="3">
        <v>14.36</v>
      </c>
      <c r="G251" s="3">
        <v>12.25</v>
      </c>
      <c r="H251" s="3">
        <v>28.72</v>
      </c>
    </row>
    <row r="252" spans="1:8">
      <c r="A252" s="10" t="s">
        <v>1460</v>
      </c>
      <c r="B252" s="10" t="s">
        <v>2681</v>
      </c>
      <c r="C252" t="s">
        <v>2158</v>
      </c>
      <c r="D252" t="s">
        <v>2149</v>
      </c>
      <c r="E252" s="3">
        <v>64.844999999999999</v>
      </c>
      <c r="F252" s="3">
        <v>25.696600000000004</v>
      </c>
      <c r="G252" s="3">
        <v>39.148399999999995</v>
      </c>
      <c r="H252" s="3">
        <v>11.65</v>
      </c>
    </row>
    <row r="253" spans="1:8">
      <c r="A253" s="10" t="s">
        <v>190</v>
      </c>
      <c r="B253" s="10" t="s">
        <v>2194</v>
      </c>
      <c r="C253" t="s">
        <v>2158</v>
      </c>
      <c r="D253" t="s">
        <v>2149</v>
      </c>
      <c r="E253" s="3">
        <v>1148.8288015250437</v>
      </c>
      <c r="F253" s="3">
        <v>490.22829999999993</v>
      </c>
      <c r="G253" s="3">
        <v>658.60050152504368</v>
      </c>
      <c r="H253" s="3">
        <v>257.25</v>
      </c>
    </row>
    <row r="254" spans="1:8">
      <c r="A254" s="10" t="s">
        <v>240</v>
      </c>
      <c r="B254" s="10" t="s">
        <v>2682</v>
      </c>
      <c r="C254" t="s">
        <v>2158</v>
      </c>
      <c r="D254" t="s">
        <v>2149</v>
      </c>
      <c r="E254" s="3">
        <v>1348.2506654845372</v>
      </c>
      <c r="F254" s="3">
        <v>708.71129999999982</v>
      </c>
      <c r="G254" s="3">
        <v>639.53936548453737</v>
      </c>
      <c r="H254" s="3">
        <v>388.44</v>
      </c>
    </row>
    <row r="255" spans="1:8">
      <c r="A255" s="10" t="s">
        <v>114</v>
      </c>
      <c r="B255" s="10" t="s">
        <v>2683</v>
      </c>
      <c r="C255" t="s">
        <v>2158</v>
      </c>
      <c r="D255" t="s">
        <v>2149</v>
      </c>
      <c r="E255" s="3">
        <v>458.56642955550427</v>
      </c>
      <c r="F255" s="3">
        <v>222.29470000000001</v>
      </c>
      <c r="G255" s="3">
        <v>236.27172955550427</v>
      </c>
      <c r="H255" s="3">
        <v>126.4</v>
      </c>
    </row>
    <row r="256" spans="1:8">
      <c r="A256" s="10" t="s">
        <v>138</v>
      </c>
      <c r="B256" s="10" t="s">
        <v>2195</v>
      </c>
      <c r="C256" t="s">
        <v>2158</v>
      </c>
      <c r="D256" t="s">
        <v>2149</v>
      </c>
      <c r="E256" s="3">
        <v>210.32673650782581</v>
      </c>
      <c r="F256" s="3">
        <v>132.51049999999998</v>
      </c>
      <c r="G256" s="3">
        <v>77.816236507825835</v>
      </c>
      <c r="H256" s="3">
        <v>99.36</v>
      </c>
    </row>
    <row r="257" spans="1:8">
      <c r="A257" s="10" t="s">
        <v>636</v>
      </c>
      <c r="B257" s="10" t="s">
        <v>2685</v>
      </c>
      <c r="C257" t="s">
        <v>2158</v>
      </c>
      <c r="D257" t="s">
        <v>2149</v>
      </c>
      <c r="E257" s="3">
        <v>394.66369380731436</v>
      </c>
      <c r="F257" s="3">
        <v>194.53940000000011</v>
      </c>
      <c r="G257" s="3">
        <v>200.12429380731425</v>
      </c>
      <c r="H257" s="3">
        <v>79.56</v>
      </c>
    </row>
    <row r="258" spans="1:8">
      <c r="A258" s="10" t="s">
        <v>1464</v>
      </c>
      <c r="B258" s="10" t="s">
        <v>2687</v>
      </c>
      <c r="C258" t="s">
        <v>2158</v>
      </c>
      <c r="D258" t="s">
        <v>2149</v>
      </c>
      <c r="E258" s="3">
        <v>51.356999999999999</v>
      </c>
      <c r="F258" s="3">
        <v>24.849999999999998</v>
      </c>
      <c r="G258" s="3">
        <v>26.507000000000001</v>
      </c>
      <c r="H258" s="3">
        <v>17.75</v>
      </c>
    </row>
    <row r="259" spans="1:8">
      <c r="A259" s="10" t="s">
        <v>253</v>
      </c>
      <c r="B259" s="10" t="s">
        <v>2689</v>
      </c>
      <c r="C259" t="s">
        <v>2158</v>
      </c>
      <c r="D259" t="s">
        <v>2149</v>
      </c>
      <c r="E259" s="3">
        <v>41.772351003273428</v>
      </c>
      <c r="F259" s="3">
        <v>22.096</v>
      </c>
      <c r="G259" s="3">
        <v>19.676351003273428</v>
      </c>
      <c r="H259" s="3">
        <v>49.68</v>
      </c>
    </row>
    <row r="260" spans="1:8">
      <c r="A260" s="10" t="s">
        <v>214</v>
      </c>
      <c r="B260" s="10" t="s">
        <v>2690</v>
      </c>
      <c r="C260" t="s">
        <v>2169</v>
      </c>
      <c r="D260" t="s">
        <v>2149</v>
      </c>
      <c r="E260" s="3">
        <v>37.825186683255744</v>
      </c>
      <c r="F260" s="3">
        <v>18.466799999999999</v>
      </c>
      <c r="G260" s="3">
        <v>19.358386683255745</v>
      </c>
      <c r="H260" s="3">
        <v>32.06</v>
      </c>
    </row>
    <row r="261" spans="1:8">
      <c r="A261" s="10" t="s">
        <v>126</v>
      </c>
      <c r="B261" s="10" t="s">
        <v>2196</v>
      </c>
      <c r="C261" t="s">
        <v>2158</v>
      </c>
      <c r="D261" t="s">
        <v>2149</v>
      </c>
      <c r="E261" s="3">
        <v>10930.705126868748</v>
      </c>
      <c r="F261" s="3">
        <v>3993.8365999999992</v>
      </c>
      <c r="G261" s="3">
        <v>6936.8685268687495</v>
      </c>
      <c r="H261" s="3">
        <v>1800.96</v>
      </c>
    </row>
    <row r="262" spans="1:8">
      <c r="A262" s="10" t="s">
        <v>298</v>
      </c>
      <c r="B262" s="10" t="s">
        <v>2691</v>
      </c>
      <c r="C262" t="s">
        <v>2156</v>
      </c>
      <c r="D262" t="s">
        <v>2149</v>
      </c>
      <c r="E262" s="3">
        <v>141.42183323843653</v>
      </c>
      <c r="F262" s="3">
        <v>90.940399999999997</v>
      </c>
      <c r="G262" s="3">
        <v>50.481433238436537</v>
      </c>
      <c r="H262" s="3">
        <v>90.92</v>
      </c>
    </row>
    <row r="263" spans="1:8">
      <c r="A263" s="10" t="s">
        <v>1468</v>
      </c>
      <c r="B263" s="10" t="s">
        <v>3272</v>
      </c>
      <c r="C263" t="s">
        <v>2156</v>
      </c>
      <c r="D263" t="s">
        <v>2149</v>
      </c>
      <c r="E263" s="3">
        <v>24.862746508356498</v>
      </c>
      <c r="F263" s="3">
        <v>17.579999999999998</v>
      </c>
      <c r="G263" s="3">
        <v>7.2827465083564995</v>
      </c>
      <c r="H263" s="3">
        <v>35.159999999999997</v>
      </c>
    </row>
    <row r="264" spans="1:8">
      <c r="A264" s="10" t="s">
        <v>590</v>
      </c>
      <c r="B264" s="10" t="s">
        <v>2696</v>
      </c>
      <c r="C264" t="s">
        <v>2158</v>
      </c>
      <c r="D264" t="s">
        <v>2149</v>
      </c>
      <c r="E264" s="3">
        <v>537.18684301501958</v>
      </c>
      <c r="F264" s="3">
        <v>354.10660000000001</v>
      </c>
      <c r="G264" s="3">
        <v>183.08024301501956</v>
      </c>
      <c r="H264" s="3">
        <v>158.58000000000001</v>
      </c>
    </row>
    <row r="265" spans="1:8">
      <c r="A265" s="10" t="s">
        <v>637</v>
      </c>
      <c r="B265" s="10" t="s">
        <v>2698</v>
      </c>
      <c r="C265" t="s">
        <v>2156</v>
      </c>
      <c r="D265" t="s">
        <v>2149</v>
      </c>
      <c r="E265" s="3">
        <v>260.5496647382476</v>
      </c>
      <c r="F265" s="3">
        <v>163.55400000000003</v>
      </c>
      <c r="G265" s="3">
        <v>96.995664738247569</v>
      </c>
      <c r="H265" s="3">
        <v>96.24</v>
      </c>
    </row>
    <row r="266" spans="1:8">
      <c r="A266" s="10" t="s">
        <v>508</v>
      </c>
      <c r="B266" s="10" t="s">
        <v>2699</v>
      </c>
      <c r="C266" t="s">
        <v>2158</v>
      </c>
      <c r="D266" t="s">
        <v>2149</v>
      </c>
      <c r="E266" s="3">
        <v>708.42955574040082</v>
      </c>
      <c r="F266" s="3">
        <v>530.54570000000001</v>
      </c>
      <c r="G266" s="3">
        <v>177.8838557404008</v>
      </c>
      <c r="H266" s="3">
        <v>334.56</v>
      </c>
    </row>
    <row r="267" spans="1:8">
      <c r="A267" s="10" t="s">
        <v>79</v>
      </c>
      <c r="B267" s="10" t="s">
        <v>2700</v>
      </c>
      <c r="C267" t="s">
        <v>2158</v>
      </c>
      <c r="D267" t="s">
        <v>2149</v>
      </c>
      <c r="E267" s="3">
        <v>57.078000000000003</v>
      </c>
      <c r="F267" s="3">
        <v>32.713000000000001</v>
      </c>
      <c r="G267" s="3">
        <v>24.365000000000002</v>
      </c>
      <c r="H267" s="3">
        <v>20.16</v>
      </c>
    </row>
    <row r="268" spans="1:8">
      <c r="A268" s="10" t="s">
        <v>272</v>
      </c>
      <c r="B268" s="10" t="s">
        <v>2701</v>
      </c>
      <c r="C268" t="s">
        <v>2169</v>
      </c>
      <c r="D268" t="s">
        <v>2149</v>
      </c>
      <c r="E268" s="3">
        <v>135.11338981607631</v>
      </c>
      <c r="F268" s="3">
        <v>53.913600000000002</v>
      </c>
      <c r="G268" s="3">
        <v>81.199789816076304</v>
      </c>
      <c r="H268" s="3">
        <v>15.92</v>
      </c>
    </row>
    <row r="269" spans="1:8">
      <c r="A269" s="10" t="s">
        <v>489</v>
      </c>
      <c r="B269" s="10" t="s">
        <v>2702</v>
      </c>
      <c r="C269" t="s">
        <v>2158</v>
      </c>
      <c r="D269" t="s">
        <v>2149</v>
      </c>
      <c r="E269" s="3">
        <v>15.217600000000001</v>
      </c>
      <c r="F269" s="3">
        <v>9.936399999999999</v>
      </c>
      <c r="G269" s="3">
        <v>5.2812000000000019</v>
      </c>
      <c r="H269" s="3">
        <v>27.28</v>
      </c>
    </row>
    <row r="270" spans="1:8">
      <c r="A270" s="10" t="s">
        <v>848</v>
      </c>
      <c r="B270" s="10" t="s">
        <v>2703</v>
      </c>
      <c r="C270" t="s">
        <v>2156</v>
      </c>
      <c r="D270" t="s">
        <v>2149</v>
      </c>
      <c r="E270" s="3">
        <v>102.91211089834584</v>
      </c>
      <c r="F270" s="3">
        <v>64.174000000000007</v>
      </c>
      <c r="G270" s="3">
        <v>38.738110898345838</v>
      </c>
      <c r="H270" s="3">
        <v>61.6</v>
      </c>
    </row>
    <row r="271" spans="1:8">
      <c r="A271" s="10" t="s">
        <v>1474</v>
      </c>
      <c r="B271" s="10" t="s">
        <v>2704</v>
      </c>
      <c r="C271" t="s">
        <v>2156</v>
      </c>
      <c r="D271" t="s">
        <v>2149</v>
      </c>
      <c r="E271" s="3">
        <v>35.6706</v>
      </c>
      <c r="F271" s="3">
        <v>21.462</v>
      </c>
      <c r="G271" s="3">
        <v>14.208600000000001</v>
      </c>
      <c r="H271" s="3">
        <v>39.270000000000003</v>
      </c>
    </row>
    <row r="272" spans="1:8">
      <c r="A272" s="10" t="s">
        <v>1475</v>
      </c>
      <c r="B272" s="10" t="s">
        <v>2705</v>
      </c>
      <c r="C272" t="s">
        <v>2156</v>
      </c>
      <c r="D272" t="s">
        <v>2149</v>
      </c>
      <c r="E272" s="3">
        <v>33.598799999999997</v>
      </c>
      <c r="F272" s="3">
        <v>20.14</v>
      </c>
      <c r="G272" s="3">
        <v>13.458799999999997</v>
      </c>
      <c r="H272" s="3">
        <v>14.94</v>
      </c>
    </row>
    <row r="273" spans="1:8">
      <c r="A273" s="10" t="s">
        <v>491</v>
      </c>
      <c r="B273" s="10" t="s">
        <v>2706</v>
      </c>
      <c r="C273" t="s">
        <v>2707</v>
      </c>
      <c r="D273" t="s">
        <v>2149</v>
      </c>
      <c r="E273" s="3">
        <v>1.4102000000000001</v>
      </c>
      <c r="F273" s="3">
        <v>1.3825000000000001</v>
      </c>
      <c r="G273" s="3">
        <v>2.7700000000000058E-2</v>
      </c>
      <c r="H273" s="3">
        <v>16.559999999999999</v>
      </c>
    </row>
    <row r="274" spans="1:8">
      <c r="A274" s="10" t="s">
        <v>420</v>
      </c>
      <c r="B274" s="10" t="s">
        <v>3274</v>
      </c>
      <c r="C274" t="s">
        <v>2158</v>
      </c>
      <c r="D274" t="s">
        <v>2149</v>
      </c>
      <c r="E274" s="3">
        <v>140.24006737538431</v>
      </c>
      <c r="F274" s="3">
        <v>61.186199999999999</v>
      </c>
      <c r="G274" s="3">
        <v>79.053867375384314</v>
      </c>
      <c r="H274" s="3">
        <v>39.380000000000003</v>
      </c>
    </row>
    <row r="275" spans="1:8">
      <c r="A275" s="10" t="s">
        <v>1476</v>
      </c>
      <c r="B275" s="10" t="s">
        <v>2708</v>
      </c>
      <c r="C275" t="s">
        <v>2158</v>
      </c>
      <c r="D275" t="s">
        <v>2149</v>
      </c>
      <c r="E275" s="3">
        <v>392.8184</v>
      </c>
      <c r="F275" s="3">
        <v>203.80819999999997</v>
      </c>
      <c r="G275" s="3">
        <v>189.01020000000003</v>
      </c>
      <c r="H275" s="3">
        <v>123.2</v>
      </c>
    </row>
    <row r="276" spans="1:8">
      <c r="A276" s="10" t="s">
        <v>36</v>
      </c>
      <c r="B276" s="10" t="s">
        <v>3275</v>
      </c>
      <c r="C276" t="s">
        <v>2158</v>
      </c>
      <c r="D276" t="s">
        <v>2149</v>
      </c>
      <c r="E276" s="3">
        <v>3780.3420595912212</v>
      </c>
      <c r="F276" s="3">
        <v>1426.5793999999999</v>
      </c>
      <c r="G276" s="3">
        <v>2353.7626595912216</v>
      </c>
      <c r="H276" s="3">
        <v>416</v>
      </c>
    </row>
    <row r="277" spans="1:8">
      <c r="A277" s="10" t="s">
        <v>945</v>
      </c>
      <c r="B277" s="10" t="s">
        <v>2709</v>
      </c>
      <c r="C277" t="s">
        <v>2158</v>
      </c>
      <c r="D277" t="s">
        <v>2149</v>
      </c>
      <c r="E277" s="3">
        <v>1849.1030724746986</v>
      </c>
      <c r="F277" s="3">
        <v>773.95220000000006</v>
      </c>
      <c r="G277" s="3">
        <v>1075.1508724746986</v>
      </c>
      <c r="H277" s="3">
        <v>457.6</v>
      </c>
    </row>
    <row r="278" spans="1:8">
      <c r="A278" s="10" t="s">
        <v>354</v>
      </c>
      <c r="B278" s="10" t="s">
        <v>2198</v>
      </c>
      <c r="C278" t="s">
        <v>2158</v>
      </c>
      <c r="D278" t="s">
        <v>2149</v>
      </c>
      <c r="E278" s="3">
        <v>1133.619936916399</v>
      </c>
      <c r="F278" s="3">
        <v>473.29660000000013</v>
      </c>
      <c r="G278" s="3">
        <v>660.32333691639883</v>
      </c>
      <c r="H278" s="3">
        <v>251.34</v>
      </c>
    </row>
    <row r="279" spans="1:8">
      <c r="A279" s="10" t="s">
        <v>273</v>
      </c>
      <c r="B279" s="10" t="s">
        <v>3276</v>
      </c>
      <c r="C279" t="s">
        <v>2158</v>
      </c>
      <c r="D279" t="s">
        <v>2149</v>
      </c>
      <c r="E279" s="3">
        <v>473.45690183964336</v>
      </c>
      <c r="F279" s="3">
        <v>194.70629999999997</v>
      </c>
      <c r="G279" s="3">
        <v>278.75060183964342</v>
      </c>
      <c r="H279" s="3">
        <v>82.41</v>
      </c>
    </row>
    <row r="280" spans="1:8">
      <c r="A280" s="10" t="s">
        <v>506</v>
      </c>
      <c r="B280" s="10" t="s">
        <v>2713</v>
      </c>
      <c r="C280" t="s">
        <v>2158</v>
      </c>
      <c r="D280" t="s">
        <v>2149</v>
      </c>
      <c r="E280" s="3">
        <v>225.15670072629263</v>
      </c>
      <c r="F280" s="3">
        <v>122.5288</v>
      </c>
      <c r="G280" s="3">
        <v>102.62790072629262</v>
      </c>
      <c r="H280" s="3">
        <v>214.41</v>
      </c>
    </row>
    <row r="281" spans="1:8">
      <c r="A281" s="10" t="s">
        <v>406</v>
      </c>
      <c r="B281" s="10" t="s">
        <v>2714</v>
      </c>
      <c r="C281" t="s">
        <v>2158</v>
      </c>
      <c r="D281" t="s">
        <v>2149</v>
      </c>
      <c r="E281" s="3">
        <v>281.05</v>
      </c>
      <c r="F281" s="3">
        <v>189.39</v>
      </c>
      <c r="G281" s="3">
        <v>91.660000000000025</v>
      </c>
      <c r="H281" s="3">
        <v>55.62</v>
      </c>
    </row>
    <row r="282" spans="1:8">
      <c r="A282" s="10" t="s">
        <v>673</v>
      </c>
      <c r="B282" s="10" t="s">
        <v>2715</v>
      </c>
      <c r="C282" t="s">
        <v>2156</v>
      </c>
      <c r="D282" t="s">
        <v>2149</v>
      </c>
      <c r="E282" s="3">
        <v>76.155000000000001</v>
      </c>
      <c r="F282" s="3">
        <v>30.006499999999999</v>
      </c>
      <c r="G282" s="3">
        <v>46.148499999999999</v>
      </c>
      <c r="H282" s="3">
        <v>120</v>
      </c>
    </row>
    <row r="283" spans="1:8">
      <c r="A283" s="10" t="s">
        <v>1481</v>
      </c>
      <c r="B283" s="10" t="s">
        <v>2716</v>
      </c>
      <c r="C283" t="s">
        <v>2707</v>
      </c>
      <c r="D283" t="s">
        <v>2149</v>
      </c>
      <c r="E283" s="3">
        <v>62.4375</v>
      </c>
      <c r="F283" s="3">
        <v>30.503299999999999</v>
      </c>
      <c r="G283" s="3">
        <v>31.934200000000001</v>
      </c>
      <c r="H283" s="3">
        <v>30.5</v>
      </c>
    </row>
    <row r="284" spans="1:8">
      <c r="A284" s="10" t="s">
        <v>946</v>
      </c>
      <c r="B284" s="10" t="s">
        <v>2717</v>
      </c>
      <c r="C284" t="s">
        <v>2158</v>
      </c>
      <c r="D284" t="s">
        <v>2149</v>
      </c>
      <c r="E284" s="3">
        <v>227.78640000000001</v>
      </c>
      <c r="F284" s="3">
        <v>134.13720000000001</v>
      </c>
      <c r="G284" s="3">
        <v>93.649200000000008</v>
      </c>
      <c r="H284" s="3">
        <v>111.65</v>
      </c>
    </row>
    <row r="285" spans="1:8">
      <c r="A285" s="10" t="s">
        <v>807</v>
      </c>
      <c r="B285" s="10" t="s">
        <v>2718</v>
      </c>
      <c r="C285" t="s">
        <v>2158</v>
      </c>
      <c r="D285" t="s">
        <v>2149</v>
      </c>
      <c r="E285" s="3">
        <v>205.13536157920078</v>
      </c>
      <c r="F285" s="3">
        <v>125.61949999999999</v>
      </c>
      <c r="G285" s="3">
        <v>79.515861579200788</v>
      </c>
      <c r="H285" s="3">
        <v>125.6</v>
      </c>
    </row>
    <row r="286" spans="1:8">
      <c r="A286" s="10" t="s">
        <v>505</v>
      </c>
      <c r="B286" s="10" t="s">
        <v>2720</v>
      </c>
      <c r="C286" t="s">
        <v>2158</v>
      </c>
      <c r="D286" t="s">
        <v>2149</v>
      </c>
      <c r="E286" s="3">
        <v>160.38074999999998</v>
      </c>
      <c r="F286" s="3">
        <v>116.23990000000001</v>
      </c>
      <c r="G286" s="3">
        <v>44.140849999999972</v>
      </c>
      <c r="H286" s="3">
        <v>174.57</v>
      </c>
    </row>
    <row r="287" spans="1:8">
      <c r="A287" s="10" t="s">
        <v>695</v>
      </c>
      <c r="B287" s="10" t="s">
        <v>2723</v>
      </c>
      <c r="C287" t="s">
        <v>2158</v>
      </c>
      <c r="D287" t="s">
        <v>2149</v>
      </c>
      <c r="E287" s="3">
        <v>59.337135154835138</v>
      </c>
      <c r="F287" s="3">
        <v>41.93</v>
      </c>
      <c r="G287" s="3">
        <v>17.407135154835139</v>
      </c>
      <c r="H287" s="3">
        <v>42.69</v>
      </c>
    </row>
    <row r="288" spans="1:8">
      <c r="A288" s="10" t="s">
        <v>60</v>
      </c>
      <c r="B288" s="10" t="s">
        <v>2200</v>
      </c>
      <c r="C288" t="s">
        <v>2158</v>
      </c>
      <c r="D288" t="s">
        <v>2149</v>
      </c>
      <c r="E288" s="3">
        <v>924.69365083083028</v>
      </c>
      <c r="F288" s="3">
        <v>431.04090000000002</v>
      </c>
      <c r="G288" s="3">
        <v>493.65275083083026</v>
      </c>
      <c r="H288" s="3">
        <v>167.5</v>
      </c>
    </row>
    <row r="289" spans="1:8">
      <c r="A289" s="10" t="s">
        <v>321</v>
      </c>
      <c r="B289" s="10" t="s">
        <v>2724</v>
      </c>
      <c r="C289" t="s">
        <v>2158</v>
      </c>
      <c r="D289" t="s">
        <v>2149</v>
      </c>
      <c r="E289" s="3">
        <v>41.846999999999994</v>
      </c>
      <c r="F289" s="3">
        <v>24.009999999999998</v>
      </c>
      <c r="G289" s="3">
        <v>17.836999999999996</v>
      </c>
      <c r="H289" s="3">
        <v>28.8</v>
      </c>
    </row>
    <row r="290" spans="1:8">
      <c r="A290" s="10" t="s">
        <v>1493</v>
      </c>
      <c r="B290" s="10" t="s">
        <v>2725</v>
      </c>
      <c r="C290" t="s">
        <v>2158</v>
      </c>
      <c r="D290" t="s">
        <v>2149</v>
      </c>
      <c r="E290" s="3">
        <v>32.902500000000003</v>
      </c>
      <c r="F290" s="3">
        <v>15.22</v>
      </c>
      <c r="G290" s="3">
        <v>17.682500000000005</v>
      </c>
      <c r="H290" s="3">
        <v>60.88</v>
      </c>
    </row>
    <row r="291" spans="1:8">
      <c r="A291" s="10" t="s">
        <v>200</v>
      </c>
      <c r="B291" s="10" t="s">
        <v>2726</v>
      </c>
      <c r="C291" t="s">
        <v>2158</v>
      </c>
      <c r="D291" t="s">
        <v>2149</v>
      </c>
      <c r="E291" s="3">
        <v>139.83169999999998</v>
      </c>
      <c r="F291" s="3">
        <v>69.610100000000003</v>
      </c>
      <c r="G291" s="3">
        <v>70.221599999999981</v>
      </c>
      <c r="H291" s="3">
        <v>77.2</v>
      </c>
    </row>
    <row r="292" spans="1:8">
      <c r="A292" s="10" t="s">
        <v>1494</v>
      </c>
      <c r="B292" s="10" t="s">
        <v>2727</v>
      </c>
      <c r="C292" t="s">
        <v>2169</v>
      </c>
      <c r="D292" t="s">
        <v>2149</v>
      </c>
      <c r="E292" s="3">
        <v>34.965000000000003</v>
      </c>
      <c r="F292" s="3">
        <v>13.324999999999999</v>
      </c>
      <c r="G292" s="3">
        <v>21.640000000000004</v>
      </c>
      <c r="H292" s="3">
        <v>10.64</v>
      </c>
    </row>
    <row r="293" spans="1:8">
      <c r="A293" s="10" t="s">
        <v>591</v>
      </c>
      <c r="B293" s="10" t="s">
        <v>2728</v>
      </c>
      <c r="C293" t="s">
        <v>2158</v>
      </c>
      <c r="D293" t="s">
        <v>2149</v>
      </c>
      <c r="E293" s="3">
        <v>20.205000000000002</v>
      </c>
      <c r="F293" s="3">
        <v>12.7248</v>
      </c>
      <c r="G293" s="3">
        <v>7.4802000000000017</v>
      </c>
      <c r="H293" s="3">
        <v>21.55</v>
      </c>
    </row>
    <row r="294" spans="1:8">
      <c r="A294" s="10" t="s">
        <v>484</v>
      </c>
      <c r="B294" s="10" t="s">
        <v>2729</v>
      </c>
      <c r="C294" t="s">
        <v>2158</v>
      </c>
      <c r="D294" t="s">
        <v>2149</v>
      </c>
      <c r="E294" s="3">
        <v>505.00156646603421</v>
      </c>
      <c r="F294" s="3">
        <v>203.02999999999992</v>
      </c>
      <c r="G294" s="3">
        <v>301.97156646603429</v>
      </c>
      <c r="H294" s="3">
        <v>130.4</v>
      </c>
    </row>
    <row r="295" spans="1:8">
      <c r="A295" s="10" t="s">
        <v>1497</v>
      </c>
      <c r="B295" s="10" t="s">
        <v>2731</v>
      </c>
      <c r="C295" t="s">
        <v>2156</v>
      </c>
      <c r="D295" t="s">
        <v>2149</v>
      </c>
      <c r="E295" s="3">
        <v>33.649000000000001</v>
      </c>
      <c r="F295" s="3">
        <v>24.24</v>
      </c>
      <c r="G295" s="3">
        <v>9.4090000000000025</v>
      </c>
      <c r="H295" s="3">
        <v>12.92</v>
      </c>
    </row>
    <row r="296" spans="1:8">
      <c r="A296" s="10" t="s">
        <v>1498</v>
      </c>
      <c r="B296" s="10" t="s">
        <v>2732</v>
      </c>
      <c r="C296" t="s">
        <v>2156</v>
      </c>
      <c r="D296" t="s">
        <v>2149</v>
      </c>
      <c r="E296" s="3">
        <v>60.614999999999995</v>
      </c>
      <c r="F296" s="3">
        <v>42.605000000000004</v>
      </c>
      <c r="G296" s="3">
        <v>18.009999999999991</v>
      </c>
      <c r="H296" s="3">
        <v>21.6</v>
      </c>
    </row>
    <row r="297" spans="1:8">
      <c r="A297" s="10" t="s">
        <v>261</v>
      </c>
      <c r="B297" s="10" t="s">
        <v>2201</v>
      </c>
      <c r="C297" t="s">
        <v>2156</v>
      </c>
      <c r="D297" t="s">
        <v>2149</v>
      </c>
      <c r="E297" s="3">
        <v>474.677249625005</v>
      </c>
      <c r="F297" s="3">
        <v>173.82810000000003</v>
      </c>
      <c r="G297" s="3">
        <v>300.849149625005</v>
      </c>
      <c r="H297" s="3">
        <v>92.82</v>
      </c>
    </row>
    <row r="298" spans="1:8">
      <c r="A298" s="10" t="s">
        <v>1500</v>
      </c>
      <c r="B298" s="10" t="s">
        <v>2734</v>
      </c>
      <c r="C298" t="s">
        <v>2156</v>
      </c>
      <c r="D298" t="s">
        <v>2149</v>
      </c>
      <c r="E298" s="3">
        <v>12.22935</v>
      </c>
      <c r="F298" s="3">
        <v>6.6813000000000002</v>
      </c>
      <c r="G298" s="3">
        <v>5.5480499999999999</v>
      </c>
      <c r="H298" s="3">
        <v>6.66</v>
      </c>
    </row>
    <row r="299" spans="1:8">
      <c r="A299" s="10" t="s">
        <v>1501</v>
      </c>
      <c r="B299" s="10" t="s">
        <v>2735</v>
      </c>
      <c r="C299" t="s">
        <v>2169</v>
      </c>
      <c r="D299" t="s">
        <v>2149</v>
      </c>
      <c r="E299" s="3">
        <v>18.819400000000002</v>
      </c>
      <c r="F299" s="3">
        <v>10.274000000000001</v>
      </c>
      <c r="G299" s="3">
        <v>8.5454000000000008</v>
      </c>
      <c r="H299" s="3">
        <v>10.26</v>
      </c>
    </row>
    <row r="300" spans="1:8">
      <c r="A300" s="10" t="s">
        <v>159</v>
      </c>
      <c r="B300" s="10" t="s">
        <v>2736</v>
      </c>
      <c r="C300" t="s">
        <v>2158</v>
      </c>
      <c r="D300" t="s">
        <v>2149</v>
      </c>
      <c r="E300" s="3">
        <v>114.81291703220749</v>
      </c>
      <c r="F300" s="3">
        <v>43.242800000000003</v>
      </c>
      <c r="G300" s="3">
        <v>71.570117032207492</v>
      </c>
      <c r="H300" s="3">
        <v>36.64</v>
      </c>
    </row>
    <row r="301" spans="1:8">
      <c r="A301" s="10" t="s">
        <v>308</v>
      </c>
      <c r="B301" s="10" t="s">
        <v>2737</v>
      </c>
      <c r="C301" t="s">
        <v>2156</v>
      </c>
      <c r="D301" t="s">
        <v>2149</v>
      </c>
      <c r="E301" s="3">
        <v>139.60829241050683</v>
      </c>
      <c r="F301" s="3">
        <v>82.443099999999987</v>
      </c>
      <c r="G301" s="3">
        <v>57.165192410506847</v>
      </c>
      <c r="H301" s="3">
        <v>51.66</v>
      </c>
    </row>
    <row r="302" spans="1:8">
      <c r="A302" s="10" t="s">
        <v>83</v>
      </c>
      <c r="B302" s="10" t="s">
        <v>2738</v>
      </c>
      <c r="C302" t="s">
        <v>2158</v>
      </c>
      <c r="D302" t="s">
        <v>2149</v>
      </c>
      <c r="E302" s="3">
        <v>809.31662235134934</v>
      </c>
      <c r="F302" s="3">
        <v>325.02050000000003</v>
      </c>
      <c r="G302" s="3">
        <v>484.29612235134931</v>
      </c>
      <c r="H302" s="3">
        <v>164.8</v>
      </c>
    </row>
    <row r="303" spans="1:8">
      <c r="A303" s="10" t="s">
        <v>213</v>
      </c>
      <c r="B303" s="10" t="s">
        <v>3277</v>
      </c>
      <c r="C303" t="s">
        <v>2158</v>
      </c>
      <c r="D303" t="s">
        <v>2149</v>
      </c>
      <c r="E303" s="3">
        <v>404.61726809546849</v>
      </c>
      <c r="F303" s="3">
        <v>145.4914</v>
      </c>
      <c r="G303" s="3">
        <v>259.12586809546849</v>
      </c>
      <c r="H303" s="3">
        <v>39.380000000000003</v>
      </c>
    </row>
    <row r="304" spans="1:8">
      <c r="A304" s="10" t="s">
        <v>359</v>
      </c>
      <c r="B304" s="10" t="s">
        <v>2739</v>
      </c>
      <c r="C304" t="s">
        <v>2158</v>
      </c>
      <c r="D304" t="s">
        <v>2149</v>
      </c>
      <c r="E304" s="3">
        <v>27.06764692730097</v>
      </c>
      <c r="F304" s="3">
        <v>13.5318</v>
      </c>
      <c r="G304" s="3">
        <v>13.53584692730097</v>
      </c>
      <c r="H304" s="3">
        <v>6.72</v>
      </c>
    </row>
    <row r="305" spans="1:8">
      <c r="A305" s="10" t="s">
        <v>39</v>
      </c>
      <c r="B305" s="10" t="s">
        <v>3278</v>
      </c>
      <c r="C305" t="s">
        <v>2158</v>
      </c>
      <c r="D305" t="s">
        <v>2149</v>
      </c>
      <c r="E305" s="3">
        <v>624.24619357354368</v>
      </c>
      <c r="F305" s="3">
        <v>213.19840000000005</v>
      </c>
      <c r="G305" s="3">
        <v>411.04779357354363</v>
      </c>
      <c r="H305" s="3">
        <v>84.6</v>
      </c>
    </row>
    <row r="306" spans="1:8">
      <c r="A306" s="10" t="s">
        <v>158</v>
      </c>
      <c r="B306" s="10" t="s">
        <v>2202</v>
      </c>
      <c r="C306" t="s">
        <v>2158</v>
      </c>
      <c r="D306" t="s">
        <v>2149</v>
      </c>
      <c r="E306" s="3">
        <v>7548.4284132668627</v>
      </c>
      <c r="F306" s="3">
        <v>3378.0225000000019</v>
      </c>
      <c r="G306" s="3">
        <v>4170.4059132668608</v>
      </c>
      <c r="H306" s="3">
        <v>1297.92</v>
      </c>
    </row>
    <row r="307" spans="1:8">
      <c r="A307" s="10" t="s">
        <v>592</v>
      </c>
      <c r="B307" s="10" t="s">
        <v>2745</v>
      </c>
      <c r="C307" t="s">
        <v>2158</v>
      </c>
      <c r="D307" t="s">
        <v>2149</v>
      </c>
      <c r="E307" s="3">
        <v>164.55389999999997</v>
      </c>
      <c r="F307" s="3">
        <v>80.793900000000008</v>
      </c>
      <c r="G307" s="3">
        <v>83.759999999999962</v>
      </c>
      <c r="H307" s="3">
        <v>44.22</v>
      </c>
    </row>
    <row r="308" spans="1:8">
      <c r="A308" s="10" t="s">
        <v>2746</v>
      </c>
      <c r="B308" s="10" t="s">
        <v>2747</v>
      </c>
      <c r="C308" t="s">
        <v>2158</v>
      </c>
      <c r="D308" t="s">
        <v>2149</v>
      </c>
      <c r="E308" s="3">
        <v>574.19752738280124</v>
      </c>
      <c r="F308" s="3">
        <v>294.86890000000005</v>
      </c>
      <c r="G308" s="3">
        <v>279.32862738280119</v>
      </c>
      <c r="H308" s="3">
        <v>180</v>
      </c>
    </row>
    <row r="309" spans="1:8">
      <c r="A309" s="10" t="s">
        <v>1512</v>
      </c>
      <c r="B309" s="10" t="s">
        <v>2748</v>
      </c>
      <c r="C309" t="s">
        <v>2169</v>
      </c>
      <c r="D309" t="s">
        <v>2149</v>
      </c>
      <c r="E309" s="3">
        <v>11.417200000000001</v>
      </c>
      <c r="F309" s="3">
        <v>3.6840000000000002</v>
      </c>
      <c r="G309" s="3">
        <v>7.733200000000001</v>
      </c>
      <c r="H309" s="3">
        <v>5.46</v>
      </c>
    </row>
    <row r="310" spans="1:8">
      <c r="A310" s="10" t="s">
        <v>593</v>
      </c>
      <c r="B310" s="10" t="s">
        <v>2749</v>
      </c>
      <c r="C310" t="s">
        <v>2158</v>
      </c>
      <c r="D310" t="s">
        <v>2149</v>
      </c>
      <c r="E310" s="3">
        <v>402.10986215779729</v>
      </c>
      <c r="F310" s="3">
        <v>230.03089999999995</v>
      </c>
      <c r="G310" s="3">
        <v>172.07896215779735</v>
      </c>
      <c r="H310" s="3">
        <v>154.16</v>
      </c>
    </row>
    <row r="311" spans="1:8">
      <c r="A311" s="10" t="s">
        <v>463</v>
      </c>
      <c r="B311" s="10" t="s">
        <v>2750</v>
      </c>
      <c r="C311" t="s">
        <v>2158</v>
      </c>
      <c r="D311" t="s">
        <v>2149</v>
      </c>
      <c r="E311" s="3">
        <v>58.8339</v>
      </c>
      <c r="F311" s="3">
        <v>27.432300000000001</v>
      </c>
      <c r="G311" s="3">
        <v>31.401599999999998</v>
      </c>
      <c r="H311" s="3">
        <v>14.72</v>
      </c>
    </row>
    <row r="312" spans="1:8">
      <c r="A312" s="10" t="s">
        <v>1515</v>
      </c>
      <c r="B312" s="10" t="s">
        <v>2751</v>
      </c>
      <c r="C312" t="s">
        <v>2158</v>
      </c>
      <c r="D312" t="s">
        <v>2149</v>
      </c>
      <c r="E312" s="3">
        <v>25.568000000000001</v>
      </c>
      <c r="F312" s="3">
        <v>11.898</v>
      </c>
      <c r="G312" s="3">
        <v>13.670000000000002</v>
      </c>
      <c r="H312" s="3">
        <v>10.56</v>
      </c>
    </row>
    <row r="313" spans="1:8">
      <c r="A313" s="10" t="s">
        <v>204</v>
      </c>
      <c r="B313" s="10" t="s">
        <v>2752</v>
      </c>
      <c r="C313" t="s">
        <v>2158</v>
      </c>
      <c r="D313" t="s">
        <v>2149</v>
      </c>
      <c r="E313" s="3">
        <v>42.954604166565076</v>
      </c>
      <c r="F313" s="3">
        <v>27.749300000000002</v>
      </c>
      <c r="G313" s="3">
        <v>15.205304166565075</v>
      </c>
      <c r="H313" s="3">
        <v>30.1</v>
      </c>
    </row>
    <row r="314" spans="1:8">
      <c r="A314" s="10" t="s">
        <v>1516</v>
      </c>
      <c r="B314" s="10" t="s">
        <v>2753</v>
      </c>
      <c r="C314" t="s">
        <v>2156</v>
      </c>
      <c r="D314" t="s">
        <v>2149</v>
      </c>
      <c r="E314" s="3">
        <v>30.623249999999999</v>
      </c>
      <c r="F314" s="3">
        <v>21.67</v>
      </c>
      <c r="G314" s="3">
        <v>8.953249999999997</v>
      </c>
      <c r="H314" s="3">
        <v>47.85</v>
      </c>
    </row>
    <row r="315" spans="1:8">
      <c r="A315" s="10" t="s">
        <v>140</v>
      </c>
      <c r="B315" s="10" t="s">
        <v>2754</v>
      </c>
      <c r="C315" t="s">
        <v>2158</v>
      </c>
      <c r="D315" t="s">
        <v>2149</v>
      </c>
      <c r="E315" s="3">
        <v>256.33826556373157</v>
      </c>
      <c r="F315" s="3">
        <v>85.354500000000002</v>
      </c>
      <c r="G315" s="3">
        <v>170.98376556373157</v>
      </c>
      <c r="H315" s="3">
        <v>52.08</v>
      </c>
    </row>
    <row r="316" spans="1:8">
      <c r="A316" s="10" t="s">
        <v>353</v>
      </c>
      <c r="B316" s="10" t="s">
        <v>2755</v>
      </c>
      <c r="C316" t="s">
        <v>2158</v>
      </c>
      <c r="D316" t="s">
        <v>2149</v>
      </c>
      <c r="E316" s="3">
        <v>358.63304226011803</v>
      </c>
      <c r="F316" s="3">
        <v>166.49770000000001</v>
      </c>
      <c r="G316" s="3">
        <v>192.13534226011802</v>
      </c>
      <c r="H316" s="3">
        <v>82.95</v>
      </c>
    </row>
    <row r="317" spans="1:8">
      <c r="A317" s="10" t="s">
        <v>329</v>
      </c>
      <c r="B317" s="10" t="s">
        <v>2759</v>
      </c>
      <c r="C317" t="s">
        <v>2158</v>
      </c>
      <c r="D317" t="s">
        <v>2149</v>
      </c>
      <c r="E317" s="3">
        <v>195.29515303580962</v>
      </c>
      <c r="F317" s="3">
        <v>82.239200000000011</v>
      </c>
      <c r="G317" s="3">
        <v>113.05595303580961</v>
      </c>
      <c r="H317" s="3">
        <v>34.200000000000003</v>
      </c>
    </row>
    <row r="318" spans="1:8">
      <c r="A318" s="10" t="s">
        <v>831</v>
      </c>
      <c r="B318" s="10" t="s">
        <v>2203</v>
      </c>
      <c r="C318" t="s">
        <v>2158</v>
      </c>
      <c r="D318" t="s">
        <v>2149</v>
      </c>
      <c r="E318" s="3">
        <v>90.014799999999994</v>
      </c>
      <c r="F318" s="3">
        <v>39.664200000000001</v>
      </c>
      <c r="G318" s="3">
        <v>50.350599999999993</v>
      </c>
      <c r="H318" s="3">
        <v>31.36</v>
      </c>
    </row>
    <row r="319" spans="1:8">
      <c r="A319" s="10" t="s">
        <v>493</v>
      </c>
      <c r="B319" s="10" t="s">
        <v>2204</v>
      </c>
      <c r="C319" t="s">
        <v>2158</v>
      </c>
      <c r="D319" t="s">
        <v>2149</v>
      </c>
      <c r="E319" s="3">
        <v>582.16180663081491</v>
      </c>
      <c r="F319" s="3">
        <v>249.64339999999996</v>
      </c>
      <c r="G319" s="3">
        <v>332.51840663081498</v>
      </c>
      <c r="H319" s="3">
        <v>112.8</v>
      </c>
    </row>
    <row r="320" spans="1:8">
      <c r="A320" s="10" t="s">
        <v>1524</v>
      </c>
      <c r="B320" s="10" t="s">
        <v>3284</v>
      </c>
      <c r="C320" t="s">
        <v>2158</v>
      </c>
      <c r="D320" t="s">
        <v>2149</v>
      </c>
      <c r="E320" s="3">
        <v>22.86</v>
      </c>
      <c r="F320" s="3">
        <v>14.763999999999999</v>
      </c>
      <c r="G320" s="3">
        <v>8.0960000000000001</v>
      </c>
      <c r="H320" s="3">
        <v>14.76</v>
      </c>
    </row>
    <row r="321" spans="1:8">
      <c r="A321" s="10" t="s">
        <v>849</v>
      </c>
      <c r="B321" s="10" t="s">
        <v>2761</v>
      </c>
      <c r="C321" t="s">
        <v>2158</v>
      </c>
      <c r="D321" t="s">
        <v>2149</v>
      </c>
      <c r="E321" s="3">
        <v>75.397004231746067</v>
      </c>
      <c r="F321" s="3">
        <v>17.070899999999998</v>
      </c>
      <c r="G321" s="3">
        <v>58.326104231746072</v>
      </c>
      <c r="H321" s="3">
        <v>11.16</v>
      </c>
    </row>
    <row r="322" spans="1:8">
      <c r="A322" s="10" t="s">
        <v>369</v>
      </c>
      <c r="B322" s="10" t="s">
        <v>2762</v>
      </c>
      <c r="C322" t="s">
        <v>2169</v>
      </c>
      <c r="D322" t="s">
        <v>2149</v>
      </c>
      <c r="E322" s="3">
        <v>34.655999999999999</v>
      </c>
      <c r="F322" s="3">
        <v>21.135999999999999</v>
      </c>
      <c r="G322" s="3">
        <v>13.52</v>
      </c>
      <c r="H322" s="3">
        <v>10.56</v>
      </c>
    </row>
    <row r="323" spans="1:8">
      <c r="A323" s="10" t="s">
        <v>950</v>
      </c>
      <c r="B323" s="10" t="s">
        <v>2763</v>
      </c>
      <c r="C323" t="s">
        <v>2158</v>
      </c>
      <c r="D323" t="s">
        <v>2149</v>
      </c>
      <c r="E323" s="3">
        <v>0</v>
      </c>
      <c r="F323" s="3">
        <v>0</v>
      </c>
      <c r="G323" s="3">
        <v>0</v>
      </c>
      <c r="H323" s="3">
        <v>21.36</v>
      </c>
    </row>
    <row r="324" spans="1:8">
      <c r="A324" s="10" t="s">
        <v>951</v>
      </c>
      <c r="B324" s="10" t="s">
        <v>2765</v>
      </c>
      <c r="C324" t="s">
        <v>2158</v>
      </c>
      <c r="D324" t="s">
        <v>2149</v>
      </c>
      <c r="E324" s="3">
        <v>598.05656809280288</v>
      </c>
      <c r="F324" s="3">
        <v>423.07270000000005</v>
      </c>
      <c r="G324" s="3">
        <v>174.98386809280282</v>
      </c>
      <c r="H324" s="3">
        <v>154.25</v>
      </c>
    </row>
    <row r="325" spans="1:8">
      <c r="A325" s="10" t="s">
        <v>254</v>
      </c>
      <c r="B325" s="10" t="s">
        <v>2766</v>
      </c>
      <c r="C325" t="s">
        <v>2158</v>
      </c>
      <c r="D325" t="s">
        <v>2149</v>
      </c>
      <c r="E325" s="3">
        <v>471.11571847628409</v>
      </c>
      <c r="F325" s="3">
        <v>227.37280000000001</v>
      </c>
      <c r="G325" s="3">
        <v>243.74291847628407</v>
      </c>
      <c r="H325" s="3">
        <v>206.8</v>
      </c>
    </row>
    <row r="326" spans="1:8">
      <c r="A326" s="10" t="s">
        <v>1531</v>
      </c>
      <c r="B326" s="10" t="s">
        <v>2767</v>
      </c>
      <c r="C326" t="s">
        <v>2487</v>
      </c>
      <c r="D326" t="s">
        <v>2149</v>
      </c>
      <c r="E326" s="3">
        <v>46.893000000000001</v>
      </c>
      <c r="F326" s="3">
        <v>27.533299999999997</v>
      </c>
      <c r="G326" s="3">
        <v>19.359700000000004</v>
      </c>
      <c r="H326" s="3">
        <v>28.6</v>
      </c>
    </row>
    <row r="327" spans="1:8">
      <c r="A327" s="10" t="s">
        <v>1532</v>
      </c>
      <c r="B327" s="10" t="s">
        <v>2768</v>
      </c>
      <c r="C327" t="s">
        <v>2156</v>
      </c>
      <c r="D327" t="s">
        <v>2149</v>
      </c>
      <c r="E327" s="3">
        <v>32.101999999999997</v>
      </c>
      <c r="F327" s="3">
        <v>28.893999999999998</v>
      </c>
      <c r="G327" s="3">
        <v>3.2079999999999984</v>
      </c>
      <c r="H327" s="3">
        <v>86.67</v>
      </c>
    </row>
    <row r="328" spans="1:8">
      <c r="A328" s="10" t="s">
        <v>1533</v>
      </c>
      <c r="B328" s="10" t="s">
        <v>2769</v>
      </c>
      <c r="C328" t="s">
        <v>2156</v>
      </c>
      <c r="D328" t="s">
        <v>2149</v>
      </c>
      <c r="E328" s="3">
        <v>90.44</v>
      </c>
      <c r="F328" s="3">
        <v>62.22</v>
      </c>
      <c r="G328" s="3">
        <v>28.22</v>
      </c>
      <c r="H328" s="3">
        <v>54.32</v>
      </c>
    </row>
    <row r="329" spans="1:8">
      <c r="A329" s="10" t="s">
        <v>496</v>
      </c>
      <c r="B329" s="10" t="s">
        <v>2771</v>
      </c>
      <c r="C329" t="s">
        <v>2158</v>
      </c>
      <c r="D329" t="s">
        <v>2149</v>
      </c>
      <c r="E329" s="3">
        <v>1579.7146258495657</v>
      </c>
      <c r="F329" s="3">
        <v>753.52050000000008</v>
      </c>
      <c r="G329" s="3">
        <v>826.19412584956558</v>
      </c>
      <c r="H329" s="3">
        <v>400.75</v>
      </c>
    </row>
    <row r="330" spans="1:8">
      <c r="A330" s="10" t="s">
        <v>210</v>
      </c>
      <c r="B330" s="10" t="s">
        <v>2205</v>
      </c>
      <c r="C330" t="s">
        <v>2158</v>
      </c>
      <c r="D330" t="s">
        <v>2149</v>
      </c>
      <c r="E330" s="3">
        <v>712.81746944669987</v>
      </c>
      <c r="F330" s="3">
        <v>345.41370000000001</v>
      </c>
      <c r="G330" s="3">
        <v>367.40376944669987</v>
      </c>
      <c r="H330" s="3">
        <v>297.18</v>
      </c>
    </row>
    <row r="331" spans="1:8">
      <c r="A331" s="10" t="s">
        <v>228</v>
      </c>
      <c r="B331" s="10" t="s">
        <v>2772</v>
      </c>
      <c r="C331" t="s">
        <v>2158</v>
      </c>
      <c r="D331" t="s">
        <v>2149</v>
      </c>
      <c r="E331" s="3">
        <v>431.8534340661908</v>
      </c>
      <c r="F331" s="3">
        <v>247.54149999999998</v>
      </c>
      <c r="G331" s="3">
        <v>184.31193406619082</v>
      </c>
      <c r="H331" s="3">
        <v>149.84</v>
      </c>
    </row>
    <row r="332" spans="1:8">
      <c r="A332" s="10" t="s">
        <v>952</v>
      </c>
      <c r="B332" s="10" t="s">
        <v>2775</v>
      </c>
      <c r="C332" t="s">
        <v>2158</v>
      </c>
      <c r="D332" t="s">
        <v>2149</v>
      </c>
      <c r="E332" s="3">
        <v>24.106000000000005</v>
      </c>
      <c r="F332" s="3">
        <v>13.095499999999999</v>
      </c>
      <c r="G332" s="3">
        <v>11.010500000000006</v>
      </c>
      <c r="H332" s="3">
        <v>8.4</v>
      </c>
    </row>
    <row r="333" spans="1:8">
      <c r="A333" s="10" t="s">
        <v>953</v>
      </c>
      <c r="B333" s="10" t="s">
        <v>2776</v>
      </c>
      <c r="C333" t="s">
        <v>2158</v>
      </c>
      <c r="D333" t="s">
        <v>2149</v>
      </c>
      <c r="E333" s="3">
        <v>39.612000000000002</v>
      </c>
      <c r="F333" s="3">
        <v>15.584</v>
      </c>
      <c r="G333" s="3">
        <v>24.028000000000002</v>
      </c>
      <c r="H333" s="3">
        <v>17.05</v>
      </c>
    </row>
    <row r="334" spans="1:8">
      <c r="A334" s="10" t="s">
        <v>1541</v>
      </c>
      <c r="B334" s="10" t="s">
        <v>2777</v>
      </c>
      <c r="C334" t="s">
        <v>2158</v>
      </c>
      <c r="D334" t="s">
        <v>2149</v>
      </c>
      <c r="E334" s="3">
        <v>-0.13101303724681004</v>
      </c>
      <c r="F334" s="3">
        <v>0</v>
      </c>
      <c r="G334" s="3">
        <v>-0.13101303724681004</v>
      </c>
      <c r="H334" s="3">
        <v>7.04</v>
      </c>
    </row>
    <row r="335" spans="1:8">
      <c r="A335" s="10" t="s">
        <v>378</v>
      </c>
      <c r="B335" s="10" t="s">
        <v>2778</v>
      </c>
      <c r="C335" t="s">
        <v>2158</v>
      </c>
      <c r="D335" t="s">
        <v>2149</v>
      </c>
      <c r="E335" s="3">
        <v>23.981100000000001</v>
      </c>
      <c r="F335" s="3">
        <v>9.0664999999999996</v>
      </c>
      <c r="G335" s="3">
        <v>14.914600000000002</v>
      </c>
      <c r="H335" s="3">
        <v>14.48</v>
      </c>
    </row>
    <row r="336" spans="1:8">
      <c r="A336" s="10" t="s">
        <v>638</v>
      </c>
      <c r="B336" s="10" t="s">
        <v>2206</v>
      </c>
      <c r="C336" t="s">
        <v>2158</v>
      </c>
      <c r="D336" t="s">
        <v>2149</v>
      </c>
      <c r="E336" s="3">
        <v>275.18121692024897</v>
      </c>
      <c r="F336" s="3">
        <v>113.23070000000001</v>
      </c>
      <c r="G336" s="3">
        <v>161.95051692024896</v>
      </c>
      <c r="H336" s="3">
        <v>47.08</v>
      </c>
    </row>
    <row r="337" spans="1:8">
      <c r="A337" s="10" t="s">
        <v>648</v>
      </c>
      <c r="B337" s="10" t="s">
        <v>2782</v>
      </c>
      <c r="C337" t="s">
        <v>2156</v>
      </c>
      <c r="D337" t="s">
        <v>2149</v>
      </c>
      <c r="E337" s="3">
        <v>309.52348022292313</v>
      </c>
      <c r="F337" s="3">
        <v>175.53219999999999</v>
      </c>
      <c r="G337" s="3">
        <v>133.99128022292314</v>
      </c>
      <c r="H337" s="3">
        <v>115.83</v>
      </c>
    </row>
    <row r="338" spans="1:8">
      <c r="A338" s="10" t="s">
        <v>1544</v>
      </c>
      <c r="B338" s="10" t="s">
        <v>2783</v>
      </c>
      <c r="C338" t="s">
        <v>2156</v>
      </c>
      <c r="D338" t="s">
        <v>2149</v>
      </c>
      <c r="E338" s="3">
        <v>11.981171827650847</v>
      </c>
      <c r="F338" s="3">
        <v>8.44</v>
      </c>
      <c r="G338" s="3">
        <v>3.5411718276508477</v>
      </c>
      <c r="H338" s="3">
        <v>16.88</v>
      </c>
    </row>
    <row r="339" spans="1:8">
      <c r="A339" s="10" t="s">
        <v>437</v>
      </c>
      <c r="B339" s="10" t="s">
        <v>2784</v>
      </c>
      <c r="C339" t="s">
        <v>2158</v>
      </c>
      <c r="D339" t="s">
        <v>2149</v>
      </c>
      <c r="E339" s="3">
        <v>26.942294553151264</v>
      </c>
      <c r="F339" s="3">
        <v>7.5257000000000005</v>
      </c>
      <c r="G339" s="3">
        <v>19.416594553151263</v>
      </c>
      <c r="H339" s="3">
        <v>9.24</v>
      </c>
    </row>
    <row r="340" spans="1:8">
      <c r="A340" s="10" t="s">
        <v>798</v>
      </c>
      <c r="B340" s="10" t="s">
        <v>2785</v>
      </c>
      <c r="C340" t="s">
        <v>2158</v>
      </c>
      <c r="D340" t="s">
        <v>2149</v>
      </c>
      <c r="E340" s="3">
        <v>59.804999999999993</v>
      </c>
      <c r="F340" s="3">
        <v>23.49</v>
      </c>
      <c r="G340" s="3">
        <v>36.314999999999998</v>
      </c>
      <c r="H340" s="3">
        <v>18.48</v>
      </c>
    </row>
    <row r="341" spans="1:8">
      <c r="A341" s="10" t="s">
        <v>813</v>
      </c>
      <c r="B341" s="10" t="s">
        <v>2207</v>
      </c>
      <c r="C341" t="s">
        <v>2158</v>
      </c>
      <c r="D341" t="s">
        <v>2149</v>
      </c>
      <c r="E341" s="3">
        <v>1475.8341534976933</v>
      </c>
      <c r="F341" s="3">
        <v>610.79469999999992</v>
      </c>
      <c r="G341" s="3">
        <v>865.03945349769333</v>
      </c>
      <c r="H341" s="3">
        <v>288.08999999999997</v>
      </c>
    </row>
    <row r="342" spans="1:8">
      <c r="A342" s="10" t="s">
        <v>955</v>
      </c>
      <c r="B342" s="10" t="s">
        <v>2208</v>
      </c>
      <c r="C342" t="s">
        <v>2158</v>
      </c>
      <c r="D342" t="s">
        <v>2149</v>
      </c>
      <c r="E342" s="3">
        <v>37.326599999999999</v>
      </c>
      <c r="F342" s="3">
        <v>14.153499999999999</v>
      </c>
      <c r="G342" s="3">
        <v>23.173099999999998</v>
      </c>
      <c r="H342" s="3">
        <v>7.65</v>
      </c>
    </row>
    <row r="343" spans="1:8">
      <c r="A343" s="10" t="s">
        <v>1548</v>
      </c>
      <c r="B343" s="10" t="s">
        <v>2209</v>
      </c>
      <c r="C343" t="s">
        <v>2158</v>
      </c>
      <c r="D343" t="s">
        <v>2149</v>
      </c>
      <c r="E343" s="3">
        <v>4.9279500000000001</v>
      </c>
      <c r="F343" s="3">
        <v>2.4539999999999997</v>
      </c>
      <c r="G343" s="3">
        <v>2.4739500000000003</v>
      </c>
      <c r="H343" s="3">
        <v>12.96</v>
      </c>
    </row>
    <row r="344" spans="1:8">
      <c r="A344" s="10" t="s">
        <v>531</v>
      </c>
      <c r="B344" s="10" t="s">
        <v>2790</v>
      </c>
      <c r="C344" t="s">
        <v>2158</v>
      </c>
      <c r="D344" t="s">
        <v>2149</v>
      </c>
      <c r="E344" s="3">
        <v>274.88819211314603</v>
      </c>
      <c r="F344" s="3">
        <v>52.364999999999995</v>
      </c>
      <c r="G344" s="3">
        <v>222.52319211314602</v>
      </c>
      <c r="H344" s="3">
        <v>25.83</v>
      </c>
    </row>
    <row r="345" spans="1:8">
      <c r="A345" s="10" t="s">
        <v>1068</v>
      </c>
      <c r="B345" s="10" t="s">
        <v>2791</v>
      </c>
      <c r="C345" t="s">
        <v>2158</v>
      </c>
      <c r="D345" t="s">
        <v>2149</v>
      </c>
      <c r="E345" s="3">
        <v>29.317814506241533</v>
      </c>
      <c r="F345" s="3">
        <v>8.8912000000000013</v>
      </c>
      <c r="G345" s="3">
        <v>20.426614506241531</v>
      </c>
      <c r="H345" s="3">
        <v>9</v>
      </c>
    </row>
    <row r="346" spans="1:8">
      <c r="A346" s="10" t="s">
        <v>823</v>
      </c>
      <c r="B346" s="10" t="s">
        <v>2792</v>
      </c>
      <c r="C346" t="s">
        <v>2158</v>
      </c>
      <c r="D346" t="s">
        <v>2149</v>
      </c>
      <c r="E346" s="3">
        <v>382.57577420516327</v>
      </c>
      <c r="F346" s="3">
        <v>158.2474</v>
      </c>
      <c r="G346" s="3">
        <v>224.32837420516327</v>
      </c>
      <c r="H346" s="3">
        <v>67.599999999999994</v>
      </c>
    </row>
    <row r="347" spans="1:8">
      <c r="A347" s="10" t="s">
        <v>1088</v>
      </c>
      <c r="B347" s="10" t="s">
        <v>2793</v>
      </c>
      <c r="C347" t="s">
        <v>2158</v>
      </c>
      <c r="D347" t="s">
        <v>2149</v>
      </c>
      <c r="E347" s="3">
        <v>203.05557289780245</v>
      </c>
      <c r="F347" s="3">
        <v>104.97999999999999</v>
      </c>
      <c r="G347" s="3">
        <v>98.075572897802459</v>
      </c>
      <c r="H347" s="3">
        <v>63.36</v>
      </c>
    </row>
    <row r="348" spans="1:8">
      <c r="A348" s="10" t="s">
        <v>335</v>
      </c>
      <c r="B348" s="10" t="s">
        <v>2210</v>
      </c>
      <c r="C348" t="s">
        <v>2158</v>
      </c>
      <c r="D348" t="s">
        <v>2149</v>
      </c>
      <c r="E348" s="3">
        <v>1046.8321934650614</v>
      </c>
      <c r="F348" s="3">
        <v>414.7629</v>
      </c>
      <c r="G348" s="3">
        <v>632.06929346506149</v>
      </c>
      <c r="H348" s="3">
        <v>286.5</v>
      </c>
    </row>
    <row r="349" spans="1:8">
      <c r="A349" s="10" t="s">
        <v>1553</v>
      </c>
      <c r="B349" s="10" t="s">
        <v>2795</v>
      </c>
      <c r="C349" t="s">
        <v>2156</v>
      </c>
      <c r="D349" t="s">
        <v>2149</v>
      </c>
      <c r="E349" s="3">
        <v>23.806999999999999</v>
      </c>
      <c r="F349" s="3">
        <v>22.376000000000001</v>
      </c>
      <c r="G349" s="3">
        <v>1.4309999999999974</v>
      </c>
      <c r="H349" s="3">
        <v>33.54</v>
      </c>
    </row>
    <row r="350" spans="1:8">
      <c r="A350" s="10" t="s">
        <v>291</v>
      </c>
      <c r="B350" s="10" t="s">
        <v>2456</v>
      </c>
      <c r="C350" t="s">
        <v>2158</v>
      </c>
      <c r="D350" t="s">
        <v>2149</v>
      </c>
      <c r="E350" s="3">
        <v>472.08171356645084</v>
      </c>
      <c r="F350" s="3">
        <v>267.07600000000002</v>
      </c>
      <c r="G350" s="3">
        <v>205.00571356645082</v>
      </c>
      <c r="H350" s="3">
        <v>118.88</v>
      </c>
    </row>
    <row r="351" spans="1:8">
      <c r="A351" s="10" t="s">
        <v>1089</v>
      </c>
      <c r="B351" s="10" t="s">
        <v>2797</v>
      </c>
      <c r="C351" t="s">
        <v>2158</v>
      </c>
      <c r="D351" t="s">
        <v>2149</v>
      </c>
      <c r="E351" s="3">
        <v>47.884513919518454</v>
      </c>
      <c r="F351" s="3">
        <v>22.603999999999999</v>
      </c>
      <c r="G351" s="3">
        <v>25.280513919518455</v>
      </c>
      <c r="H351" s="3">
        <v>44.92</v>
      </c>
    </row>
    <row r="352" spans="1:8">
      <c r="A352" s="10" t="s">
        <v>523</v>
      </c>
      <c r="B352" s="10" t="s">
        <v>2802</v>
      </c>
      <c r="C352" t="s">
        <v>2158</v>
      </c>
      <c r="D352" t="s">
        <v>2149</v>
      </c>
      <c r="E352" s="3">
        <v>53.080800000000004</v>
      </c>
      <c r="F352" s="3">
        <v>27.544999999999998</v>
      </c>
      <c r="G352" s="3">
        <v>25.535800000000005</v>
      </c>
      <c r="H352" s="3">
        <v>26.24</v>
      </c>
    </row>
    <row r="353" spans="1:8">
      <c r="A353" s="10" t="s">
        <v>958</v>
      </c>
      <c r="B353" s="10" t="s">
        <v>3294</v>
      </c>
      <c r="C353" t="s">
        <v>2158</v>
      </c>
      <c r="D353" t="s">
        <v>2149</v>
      </c>
      <c r="E353" s="3">
        <v>189.51572866187786</v>
      </c>
      <c r="F353" s="3">
        <v>90.815899999999999</v>
      </c>
      <c r="G353" s="3">
        <v>98.699828661877859</v>
      </c>
      <c r="H353" s="3">
        <v>38.43</v>
      </c>
    </row>
    <row r="354" spans="1:8">
      <c r="A354" s="10" t="s">
        <v>1067</v>
      </c>
      <c r="B354" s="10" t="s">
        <v>2808</v>
      </c>
      <c r="C354" t="s">
        <v>2158</v>
      </c>
      <c r="D354" t="s">
        <v>2149</v>
      </c>
      <c r="E354" s="3">
        <v>12.32</v>
      </c>
      <c r="F354" s="3">
        <v>5.173</v>
      </c>
      <c r="G354" s="3">
        <v>7.1470000000000002</v>
      </c>
      <c r="H354" s="3">
        <v>25.85</v>
      </c>
    </row>
    <row r="355" spans="1:8">
      <c r="A355" s="10" t="s">
        <v>3</v>
      </c>
      <c r="B355" s="10" t="s">
        <v>2215</v>
      </c>
      <c r="C355" t="s">
        <v>2148</v>
      </c>
      <c r="D355" t="s">
        <v>2149</v>
      </c>
      <c r="E355" s="3">
        <v>730516.68598472315</v>
      </c>
      <c r="F355" s="3">
        <v>453831.80470000004</v>
      </c>
      <c r="G355" s="3">
        <v>276684.88128472312</v>
      </c>
      <c r="H355" s="3">
        <v>129100</v>
      </c>
    </row>
    <row r="356" spans="1:8">
      <c r="A356" s="10" t="s">
        <v>11</v>
      </c>
      <c r="B356" s="10" t="s">
        <v>2216</v>
      </c>
      <c r="C356" t="s">
        <v>2148</v>
      </c>
      <c r="D356" t="s">
        <v>2149</v>
      </c>
      <c r="E356" s="3">
        <v>130549.61297446326</v>
      </c>
      <c r="F356" s="3">
        <v>82268.613999999987</v>
      </c>
      <c r="G356" s="3">
        <v>48280.998974463277</v>
      </c>
      <c r="H356" s="3">
        <v>48573.94</v>
      </c>
    </row>
    <row r="357" spans="1:8">
      <c r="A357" s="10" t="s">
        <v>98</v>
      </c>
      <c r="B357" s="10" t="s">
        <v>2815</v>
      </c>
      <c r="C357" t="s">
        <v>2148</v>
      </c>
      <c r="D357" t="s">
        <v>2149</v>
      </c>
      <c r="E357" s="3">
        <v>8489.8761855777811</v>
      </c>
      <c r="F357" s="3">
        <v>6595.1418000000012</v>
      </c>
      <c r="G357" s="3">
        <v>1894.7343855777799</v>
      </c>
      <c r="H357" s="3">
        <v>2715.68</v>
      </c>
    </row>
    <row r="358" spans="1:8">
      <c r="A358" s="10" t="s">
        <v>1562</v>
      </c>
      <c r="B358" s="10" t="s">
        <v>3298</v>
      </c>
      <c r="C358" t="s">
        <v>2346</v>
      </c>
      <c r="D358" t="s">
        <v>2149</v>
      </c>
      <c r="E358" s="3">
        <v>126.67200447873491</v>
      </c>
      <c r="F358" s="3">
        <v>83.88</v>
      </c>
      <c r="G358" s="3">
        <v>42.79200447873491</v>
      </c>
      <c r="H358" s="3">
        <v>83.88</v>
      </c>
    </row>
    <row r="359" spans="1:8">
      <c r="A359" s="10" t="s">
        <v>594</v>
      </c>
      <c r="B359" s="10" t="s">
        <v>2821</v>
      </c>
      <c r="C359" t="s">
        <v>2158</v>
      </c>
      <c r="D359" t="s">
        <v>2149</v>
      </c>
      <c r="E359" s="3">
        <v>59.252812040190733</v>
      </c>
      <c r="F359" s="3">
        <v>30.049999999999997</v>
      </c>
      <c r="G359" s="3">
        <v>29.202812040190736</v>
      </c>
      <c r="H359" s="3">
        <v>30.24</v>
      </c>
    </row>
    <row r="360" spans="1:8">
      <c r="A360" s="10" t="s">
        <v>1566</v>
      </c>
      <c r="B360" s="10" t="s">
        <v>2829</v>
      </c>
      <c r="C360" t="s">
        <v>2346</v>
      </c>
      <c r="D360" t="s">
        <v>2149</v>
      </c>
      <c r="E360" s="3">
        <v>30.42</v>
      </c>
      <c r="F360" s="3">
        <v>20.440000000000001</v>
      </c>
      <c r="G360" s="3">
        <v>9.98</v>
      </c>
      <c r="H360" s="3">
        <v>20.440000000000001</v>
      </c>
    </row>
    <row r="361" spans="1:8">
      <c r="A361" s="10" t="s">
        <v>516</v>
      </c>
      <c r="B361" s="10" t="s">
        <v>2835</v>
      </c>
      <c r="C361" t="s">
        <v>2158</v>
      </c>
      <c r="D361" t="s">
        <v>2149</v>
      </c>
      <c r="E361" s="3">
        <v>513.23068230881745</v>
      </c>
      <c r="F361" s="3">
        <v>317.90600000000001</v>
      </c>
      <c r="G361" s="3">
        <v>195.32468230881744</v>
      </c>
      <c r="H361" s="3">
        <v>161.55000000000001</v>
      </c>
    </row>
    <row r="362" spans="1:8">
      <c r="A362" s="10" t="s">
        <v>492</v>
      </c>
      <c r="B362" s="10" t="s">
        <v>2836</v>
      </c>
      <c r="C362" t="s">
        <v>2154</v>
      </c>
      <c r="D362" t="s">
        <v>2149</v>
      </c>
      <c r="E362" s="3">
        <v>84.252562179172656</v>
      </c>
      <c r="F362" s="3">
        <v>63.08</v>
      </c>
      <c r="G362" s="3">
        <v>21.172562179172658</v>
      </c>
      <c r="H362" s="3">
        <v>76.59</v>
      </c>
    </row>
    <row r="363" spans="1:8">
      <c r="A363" s="10" t="s">
        <v>151</v>
      </c>
      <c r="B363" s="10" t="s">
        <v>2217</v>
      </c>
      <c r="C363" t="s">
        <v>2158</v>
      </c>
      <c r="D363" t="s">
        <v>2149</v>
      </c>
      <c r="E363" s="3">
        <v>2414.3762622547738</v>
      </c>
      <c r="F363" s="3">
        <v>1593.1405999999999</v>
      </c>
      <c r="G363" s="3">
        <v>821.23566225477384</v>
      </c>
      <c r="H363" s="3">
        <v>941.2</v>
      </c>
    </row>
    <row r="364" spans="1:8">
      <c r="A364" s="10" t="s">
        <v>82</v>
      </c>
      <c r="B364" s="10" t="s">
        <v>2218</v>
      </c>
      <c r="C364" t="s">
        <v>2148</v>
      </c>
      <c r="D364" t="s">
        <v>2149</v>
      </c>
      <c r="E364" s="3">
        <v>50130.914628077131</v>
      </c>
      <c r="F364" s="3">
        <v>33556.3914</v>
      </c>
      <c r="G364" s="3">
        <v>16574.523228077131</v>
      </c>
      <c r="H364" s="3">
        <v>11649.6</v>
      </c>
    </row>
    <row r="365" spans="1:8">
      <c r="A365" s="10" t="s">
        <v>1570</v>
      </c>
      <c r="B365" s="10" t="s">
        <v>3305</v>
      </c>
      <c r="C365" t="s">
        <v>2156</v>
      </c>
      <c r="D365" t="s">
        <v>2149</v>
      </c>
      <c r="E365" s="3">
        <v>5.0960000000000001</v>
      </c>
      <c r="F365" s="3">
        <v>2.34</v>
      </c>
      <c r="G365" s="3">
        <v>2.7560000000000002</v>
      </c>
      <c r="H365" s="3">
        <v>7.02</v>
      </c>
    </row>
    <row r="366" spans="1:8">
      <c r="A366" s="10" t="s">
        <v>597</v>
      </c>
      <c r="B366" s="10" t="s">
        <v>2841</v>
      </c>
      <c r="C366" t="s">
        <v>2156</v>
      </c>
      <c r="D366" t="s">
        <v>2149</v>
      </c>
      <c r="E366" s="3">
        <v>23.514868799110118</v>
      </c>
      <c r="F366" s="3">
        <v>11.6829</v>
      </c>
      <c r="G366" s="3">
        <v>11.831968799110118</v>
      </c>
      <c r="H366" s="3">
        <v>9.2799999999999994</v>
      </c>
    </row>
    <row r="367" spans="1:8">
      <c r="A367" s="10" t="s">
        <v>639</v>
      </c>
      <c r="B367" s="10" t="s">
        <v>2219</v>
      </c>
      <c r="C367" t="s">
        <v>2156</v>
      </c>
      <c r="D367" t="s">
        <v>2149</v>
      </c>
      <c r="E367" s="3">
        <v>10.927</v>
      </c>
      <c r="F367" s="3">
        <v>4.7826000000000004</v>
      </c>
      <c r="G367" s="3">
        <v>6.1443999999999992</v>
      </c>
      <c r="H367" s="3">
        <v>8.69</v>
      </c>
    </row>
    <row r="368" spans="1:8">
      <c r="A368" s="10" t="s">
        <v>1575</v>
      </c>
      <c r="B368" s="10" t="s">
        <v>3306</v>
      </c>
      <c r="C368" t="s">
        <v>2346</v>
      </c>
      <c r="D368" t="s">
        <v>2149</v>
      </c>
      <c r="E368" s="3">
        <v>5.048</v>
      </c>
      <c r="F368" s="3">
        <v>2.76</v>
      </c>
      <c r="G368" s="3">
        <v>2.2880000000000003</v>
      </c>
      <c r="H368" s="3">
        <v>5.52</v>
      </c>
    </row>
    <row r="369" spans="1:8">
      <c r="A369" s="10" t="s">
        <v>13</v>
      </c>
      <c r="B369" s="10" t="s">
        <v>2220</v>
      </c>
      <c r="C369" t="s">
        <v>2148</v>
      </c>
      <c r="D369" t="s">
        <v>2149</v>
      </c>
      <c r="E369" s="3">
        <v>180881.17304352226</v>
      </c>
      <c r="F369" s="3">
        <v>114141.25689999996</v>
      </c>
      <c r="G369" s="3">
        <v>66739.916143522292</v>
      </c>
      <c r="H369" s="3">
        <v>37834.239999999998</v>
      </c>
    </row>
    <row r="370" spans="1:8">
      <c r="A370" s="10" t="s">
        <v>686</v>
      </c>
      <c r="B370" s="10" t="s">
        <v>2221</v>
      </c>
      <c r="C370" t="s">
        <v>2158</v>
      </c>
      <c r="D370" t="s">
        <v>2149</v>
      </c>
      <c r="E370" s="3">
        <v>856.90086589778298</v>
      </c>
      <c r="F370" s="3">
        <v>429.05059999999997</v>
      </c>
      <c r="G370" s="3">
        <v>427.850265897783</v>
      </c>
      <c r="H370" s="3">
        <v>208</v>
      </c>
    </row>
    <row r="371" spans="1:8">
      <c r="A371" s="10" t="s">
        <v>499</v>
      </c>
      <c r="B371" s="10" t="s">
        <v>2846</v>
      </c>
      <c r="C371" t="s">
        <v>2158</v>
      </c>
      <c r="D371" t="s">
        <v>2149</v>
      </c>
      <c r="E371" s="3">
        <v>180.99450000000002</v>
      </c>
      <c r="F371" s="3">
        <v>105.70099999999999</v>
      </c>
      <c r="G371" s="3">
        <v>75.293500000000023</v>
      </c>
      <c r="H371" s="3">
        <v>75.599999999999994</v>
      </c>
    </row>
    <row r="372" spans="1:8">
      <c r="A372" s="10" t="s">
        <v>961</v>
      </c>
      <c r="B372" s="10" t="s">
        <v>2848</v>
      </c>
      <c r="C372" t="s">
        <v>2158</v>
      </c>
      <c r="D372" t="s">
        <v>2149</v>
      </c>
      <c r="E372" s="3">
        <v>99.567961865798395</v>
      </c>
      <c r="F372" s="3">
        <v>51.877800000000001</v>
      </c>
      <c r="G372" s="3">
        <v>47.690161865798395</v>
      </c>
      <c r="H372" s="3">
        <v>52.68</v>
      </c>
    </row>
    <row r="373" spans="1:8">
      <c r="A373" s="10" t="s">
        <v>29</v>
      </c>
      <c r="B373" s="10" t="s">
        <v>2849</v>
      </c>
      <c r="C373" t="s">
        <v>2158</v>
      </c>
      <c r="D373" t="s">
        <v>2149</v>
      </c>
      <c r="E373" s="3">
        <v>2312.6394030272418</v>
      </c>
      <c r="F373" s="3">
        <v>690.07920000000013</v>
      </c>
      <c r="G373" s="3">
        <v>1622.5602030272416</v>
      </c>
      <c r="H373" s="3">
        <v>447.12</v>
      </c>
    </row>
    <row r="374" spans="1:8">
      <c r="A374" s="10" t="s">
        <v>50</v>
      </c>
      <c r="B374" s="10" t="s">
        <v>2222</v>
      </c>
      <c r="C374" t="s">
        <v>2158</v>
      </c>
      <c r="D374" t="s">
        <v>2149</v>
      </c>
      <c r="E374" s="3">
        <v>2435.5238681448386</v>
      </c>
      <c r="F374" s="3">
        <v>1131.0939999999996</v>
      </c>
      <c r="G374" s="3">
        <v>1304.429868144839</v>
      </c>
      <c r="H374" s="3">
        <v>514.55999999999995</v>
      </c>
    </row>
    <row r="375" spans="1:8">
      <c r="A375" s="10" t="s">
        <v>1584</v>
      </c>
      <c r="B375" s="10" t="s">
        <v>2851</v>
      </c>
      <c r="C375" t="s">
        <v>2158</v>
      </c>
      <c r="D375" t="s">
        <v>2149</v>
      </c>
      <c r="E375" s="3">
        <v>56.104010345455912</v>
      </c>
      <c r="F375" s="3">
        <v>35.278399999999998</v>
      </c>
      <c r="G375" s="3">
        <v>20.825610345455914</v>
      </c>
      <c r="H375" s="3">
        <v>35.26</v>
      </c>
    </row>
    <row r="376" spans="1:8">
      <c r="A376" s="10" t="s">
        <v>315</v>
      </c>
      <c r="B376" s="10" t="s">
        <v>2852</v>
      </c>
      <c r="C376" t="s">
        <v>2158</v>
      </c>
      <c r="D376" t="s">
        <v>2149</v>
      </c>
      <c r="E376" s="3">
        <v>952.82670793077102</v>
      </c>
      <c r="F376" s="3">
        <v>522.97170000000006</v>
      </c>
      <c r="G376" s="3">
        <v>429.85500793077097</v>
      </c>
      <c r="H376" s="3">
        <v>305.89999999999998</v>
      </c>
    </row>
    <row r="377" spans="1:8">
      <c r="A377" s="10" t="s">
        <v>464</v>
      </c>
      <c r="B377" s="10" t="s">
        <v>2855</v>
      </c>
      <c r="C377" t="s">
        <v>2158</v>
      </c>
      <c r="D377" t="s">
        <v>2149</v>
      </c>
      <c r="E377" s="3">
        <v>199.01921931653857</v>
      </c>
      <c r="F377" s="3">
        <v>83.466799999999992</v>
      </c>
      <c r="G377" s="3">
        <v>115.55241931653858</v>
      </c>
      <c r="H377" s="3">
        <v>60.28</v>
      </c>
    </row>
    <row r="378" spans="1:8">
      <c r="A378" s="10" t="s">
        <v>458</v>
      </c>
      <c r="B378" s="10" t="s">
        <v>2857</v>
      </c>
      <c r="C378" t="s">
        <v>2156</v>
      </c>
      <c r="D378" t="s">
        <v>2149</v>
      </c>
      <c r="E378" s="3">
        <v>597.1284528953363</v>
      </c>
      <c r="F378" s="3">
        <v>396.10989999999998</v>
      </c>
      <c r="G378" s="3">
        <v>201.01855289533631</v>
      </c>
      <c r="H378" s="3">
        <v>289.8</v>
      </c>
    </row>
    <row r="379" spans="1:8">
      <c r="A379" s="10" t="s">
        <v>521</v>
      </c>
      <c r="B379" s="10" t="s">
        <v>2223</v>
      </c>
      <c r="C379" t="s">
        <v>2158</v>
      </c>
      <c r="D379" t="s">
        <v>2149</v>
      </c>
      <c r="E379" s="3">
        <v>85.097210182327558</v>
      </c>
      <c r="F379" s="3">
        <v>53.868400000000008</v>
      </c>
      <c r="G379" s="3">
        <v>31.22881018232755</v>
      </c>
      <c r="H379" s="3">
        <v>36.299999999999997</v>
      </c>
    </row>
    <row r="380" spans="1:8">
      <c r="A380" s="10" t="s">
        <v>393</v>
      </c>
      <c r="B380" s="10" t="s">
        <v>2858</v>
      </c>
      <c r="C380" t="s">
        <v>2158</v>
      </c>
      <c r="D380" t="s">
        <v>2149</v>
      </c>
      <c r="E380" s="3">
        <v>96.596410010564398</v>
      </c>
      <c r="F380" s="3">
        <v>49.63750000000001</v>
      </c>
      <c r="G380" s="3">
        <v>46.958910010564388</v>
      </c>
      <c r="H380" s="3">
        <v>44.55</v>
      </c>
    </row>
    <row r="381" spans="1:8">
      <c r="A381" s="10" t="s">
        <v>221</v>
      </c>
      <c r="B381" s="10" t="s">
        <v>2224</v>
      </c>
      <c r="C381" t="s">
        <v>2158</v>
      </c>
      <c r="D381" t="s">
        <v>2149</v>
      </c>
      <c r="E381" s="3">
        <v>1842.9499037910018</v>
      </c>
      <c r="F381" s="3">
        <v>798.20620000000008</v>
      </c>
      <c r="G381" s="3">
        <v>1044.7437037910017</v>
      </c>
      <c r="H381" s="3">
        <v>266</v>
      </c>
    </row>
    <row r="382" spans="1:8">
      <c r="A382" s="10" t="s">
        <v>125</v>
      </c>
      <c r="B382" s="10" t="s">
        <v>2863</v>
      </c>
      <c r="C382" t="s">
        <v>2158</v>
      </c>
      <c r="D382" t="s">
        <v>2149</v>
      </c>
      <c r="E382" s="3">
        <v>110.32040042879147</v>
      </c>
      <c r="F382" s="3">
        <v>47.338999999999999</v>
      </c>
      <c r="G382" s="3">
        <v>62.981400428791474</v>
      </c>
      <c r="H382" s="3">
        <v>48.6</v>
      </c>
    </row>
    <row r="383" spans="1:8">
      <c r="A383" s="10" t="s">
        <v>89</v>
      </c>
      <c r="B383" s="10" t="s">
        <v>2225</v>
      </c>
      <c r="C383" t="s">
        <v>2182</v>
      </c>
      <c r="D383" t="s">
        <v>2149</v>
      </c>
      <c r="E383" s="3">
        <v>2768.8259930704667</v>
      </c>
      <c r="F383" s="3">
        <v>2124.1785999999997</v>
      </c>
      <c r="G383" s="3">
        <v>644.64739307046693</v>
      </c>
      <c r="H383" s="3">
        <v>1578.5</v>
      </c>
    </row>
    <row r="384" spans="1:8">
      <c r="A384" s="10" t="s">
        <v>546</v>
      </c>
      <c r="B384" s="10" t="s">
        <v>2867</v>
      </c>
      <c r="C384" t="s">
        <v>2182</v>
      </c>
      <c r="D384" t="s">
        <v>2149</v>
      </c>
      <c r="E384" s="3">
        <v>4434.6104826707215</v>
      </c>
      <c r="F384" s="3">
        <v>3627.0084000000006</v>
      </c>
      <c r="G384" s="3">
        <v>807.60208267072085</v>
      </c>
      <c r="H384" s="3">
        <v>1563.76</v>
      </c>
    </row>
    <row r="385" spans="1:8">
      <c r="A385" s="10" t="s">
        <v>812</v>
      </c>
      <c r="B385" s="10" t="s">
        <v>2868</v>
      </c>
      <c r="C385" t="s">
        <v>2342</v>
      </c>
      <c r="D385" t="s">
        <v>2149</v>
      </c>
      <c r="E385" s="3">
        <v>1131.1927779081268</v>
      </c>
      <c r="F385" s="3">
        <v>868.58170000000007</v>
      </c>
      <c r="G385" s="3">
        <v>262.61107790812673</v>
      </c>
      <c r="H385" s="3">
        <v>401.85</v>
      </c>
    </row>
    <row r="386" spans="1:8">
      <c r="A386" s="10" t="s">
        <v>395</v>
      </c>
      <c r="B386" s="10" t="s">
        <v>2230</v>
      </c>
      <c r="C386" t="s">
        <v>2231</v>
      </c>
      <c r="D386" t="s">
        <v>2149</v>
      </c>
      <c r="E386" s="3">
        <v>1317.1024914958934</v>
      </c>
      <c r="F386" s="3">
        <v>1043.0213000000003</v>
      </c>
      <c r="G386" s="3">
        <v>274.08119149589311</v>
      </c>
      <c r="H386" s="3">
        <v>773.46</v>
      </c>
    </row>
    <row r="387" spans="1:8">
      <c r="A387" s="10" t="s">
        <v>275</v>
      </c>
      <c r="B387" s="10" t="s">
        <v>2870</v>
      </c>
      <c r="C387" t="s">
        <v>2871</v>
      </c>
      <c r="D387" t="s">
        <v>2149</v>
      </c>
      <c r="E387" s="3">
        <v>3461.5600706738433</v>
      </c>
      <c r="F387" s="3">
        <v>2748.0266000000001</v>
      </c>
      <c r="G387" s="3">
        <v>713.53347067384311</v>
      </c>
      <c r="H387" s="3">
        <v>1532.45</v>
      </c>
    </row>
    <row r="388" spans="1:8">
      <c r="A388" s="10" t="s">
        <v>7</v>
      </c>
      <c r="B388" s="10" t="s">
        <v>2232</v>
      </c>
      <c r="C388" t="s">
        <v>2233</v>
      </c>
      <c r="D388" t="s">
        <v>2149</v>
      </c>
      <c r="E388" s="3">
        <v>150025.98574706446</v>
      </c>
      <c r="F388" s="3">
        <v>110332.4028</v>
      </c>
      <c r="G388" s="3">
        <v>39693.582947064468</v>
      </c>
      <c r="H388" s="3">
        <v>46071.9</v>
      </c>
    </row>
    <row r="389" spans="1:8">
      <c r="A389" s="10" t="s">
        <v>101</v>
      </c>
      <c r="B389" s="10" t="s">
        <v>2234</v>
      </c>
      <c r="C389" t="s">
        <v>2148</v>
      </c>
      <c r="D389" t="s">
        <v>2149</v>
      </c>
      <c r="E389" s="3">
        <v>4474.4118997545456</v>
      </c>
      <c r="F389" s="3">
        <v>3815.7857999999997</v>
      </c>
      <c r="G389" s="3">
        <v>658.62609975454598</v>
      </c>
      <c r="H389" s="3">
        <v>2269.92</v>
      </c>
    </row>
    <row r="390" spans="1:8">
      <c r="A390" s="10" t="s">
        <v>330</v>
      </c>
      <c r="B390" s="10" t="s">
        <v>2235</v>
      </c>
      <c r="C390" t="s">
        <v>2236</v>
      </c>
      <c r="D390" t="s">
        <v>2149</v>
      </c>
      <c r="E390" s="3">
        <v>1280.0623063972714</v>
      </c>
      <c r="F390" s="3">
        <v>919.51980000000015</v>
      </c>
      <c r="G390" s="3">
        <v>360.54250639727127</v>
      </c>
      <c r="H390" s="3">
        <v>726.24</v>
      </c>
    </row>
    <row r="391" spans="1:8">
      <c r="A391" s="10" t="s">
        <v>332</v>
      </c>
      <c r="B391" s="10" t="s">
        <v>2872</v>
      </c>
      <c r="C391" t="s">
        <v>2156</v>
      </c>
      <c r="D391" t="s">
        <v>2149</v>
      </c>
      <c r="E391" s="3">
        <v>-0.46487140297031743</v>
      </c>
      <c r="F391" s="3">
        <v>0</v>
      </c>
      <c r="G391" s="3">
        <v>-0.46487140297031743</v>
      </c>
      <c r="H391" s="3">
        <v>11.65</v>
      </c>
    </row>
    <row r="392" spans="1:8">
      <c r="A392" s="10" t="s">
        <v>470</v>
      </c>
      <c r="B392" s="10" t="s">
        <v>3321</v>
      </c>
      <c r="C392" t="s">
        <v>2169</v>
      </c>
      <c r="D392" t="s">
        <v>2149</v>
      </c>
      <c r="E392" s="3">
        <v>6.8849999999999998</v>
      </c>
      <c r="F392" s="3">
        <v>2.9939999999999998</v>
      </c>
      <c r="G392" s="3">
        <v>3.891</v>
      </c>
      <c r="H392" s="3">
        <v>3.15</v>
      </c>
    </row>
    <row r="393" spans="1:8">
      <c r="A393" s="10" t="s">
        <v>530</v>
      </c>
      <c r="B393" s="10" t="s">
        <v>2873</v>
      </c>
      <c r="C393" t="s">
        <v>2158</v>
      </c>
      <c r="D393" t="s">
        <v>2149</v>
      </c>
      <c r="E393" s="3">
        <v>1085.4893069079346</v>
      </c>
      <c r="F393" s="3">
        <v>441.55219999999986</v>
      </c>
      <c r="G393" s="3">
        <v>643.93710690793478</v>
      </c>
      <c r="H393" s="3">
        <v>293.58</v>
      </c>
    </row>
    <row r="394" spans="1:8">
      <c r="A394" s="10" t="s">
        <v>1600</v>
      </c>
      <c r="B394" s="10" t="s">
        <v>2874</v>
      </c>
      <c r="C394" t="s">
        <v>2158</v>
      </c>
      <c r="D394" t="s">
        <v>2149</v>
      </c>
      <c r="E394" s="3">
        <v>28.705377468910019</v>
      </c>
      <c r="F394" s="3">
        <v>11.7819</v>
      </c>
      <c r="G394" s="3">
        <v>16.923477468910018</v>
      </c>
      <c r="H394" s="3">
        <v>13</v>
      </c>
    </row>
    <row r="395" spans="1:8">
      <c r="A395" s="10" t="s">
        <v>1601</v>
      </c>
      <c r="B395" s="10" t="s">
        <v>2875</v>
      </c>
      <c r="C395" t="s">
        <v>2158</v>
      </c>
      <c r="D395" t="s">
        <v>2149</v>
      </c>
      <c r="E395" s="3">
        <v>1.2450000000000001</v>
      </c>
      <c r="F395" s="3">
        <v>0.47799999999999998</v>
      </c>
      <c r="G395" s="3">
        <v>0.76700000000000013</v>
      </c>
      <c r="H395" s="3">
        <v>2.76</v>
      </c>
    </row>
    <row r="396" spans="1:8">
      <c r="A396" s="10" t="s">
        <v>965</v>
      </c>
      <c r="B396" s="10" t="s">
        <v>2876</v>
      </c>
      <c r="C396" t="s">
        <v>2158</v>
      </c>
      <c r="D396" t="s">
        <v>2149</v>
      </c>
      <c r="E396" s="3">
        <v>117.12802440159332</v>
      </c>
      <c r="F396" s="3">
        <v>48.872199999999999</v>
      </c>
      <c r="G396" s="3">
        <v>68.255824401593316</v>
      </c>
      <c r="H396" s="3">
        <v>33.6</v>
      </c>
    </row>
    <row r="397" spans="1:8">
      <c r="A397" s="10" t="s">
        <v>448</v>
      </c>
      <c r="B397" s="10" t="s">
        <v>2877</v>
      </c>
      <c r="C397" t="s">
        <v>2158</v>
      </c>
      <c r="D397" t="s">
        <v>2149</v>
      </c>
      <c r="E397" s="3">
        <v>57.160594325535094</v>
      </c>
      <c r="F397" s="3">
        <v>16.599</v>
      </c>
      <c r="G397" s="3">
        <v>40.561594325535097</v>
      </c>
      <c r="H397" s="3">
        <v>30</v>
      </c>
    </row>
    <row r="398" spans="1:8">
      <c r="A398" s="10" t="s">
        <v>1608</v>
      </c>
      <c r="B398" s="10" t="s">
        <v>2880</v>
      </c>
      <c r="C398" t="s">
        <v>2158</v>
      </c>
      <c r="D398" t="s">
        <v>2149</v>
      </c>
      <c r="E398" s="3">
        <v>40.862249999999996</v>
      </c>
      <c r="F398" s="3">
        <v>23.799999999999997</v>
      </c>
      <c r="G398" s="3">
        <v>17.062249999999999</v>
      </c>
      <c r="H398" s="3">
        <v>47.4</v>
      </c>
    </row>
    <row r="399" spans="1:8">
      <c r="A399" s="10" t="s">
        <v>1609</v>
      </c>
      <c r="B399" s="10" t="s">
        <v>3323</v>
      </c>
      <c r="C399" t="s">
        <v>2158</v>
      </c>
      <c r="D399" t="s">
        <v>2149</v>
      </c>
      <c r="E399" s="3">
        <v>115.018</v>
      </c>
      <c r="F399" s="3">
        <v>62.707500000000003</v>
      </c>
      <c r="G399" s="3">
        <v>52.310499999999998</v>
      </c>
      <c r="H399" s="3">
        <v>38.950000000000003</v>
      </c>
    </row>
    <row r="400" spans="1:8">
      <c r="A400" s="10" t="s">
        <v>307</v>
      </c>
      <c r="B400" s="10" t="s">
        <v>2883</v>
      </c>
      <c r="C400" t="s">
        <v>2158</v>
      </c>
      <c r="D400" t="s">
        <v>2149</v>
      </c>
      <c r="E400" s="3">
        <v>24.832500000000003</v>
      </c>
      <c r="F400" s="3">
        <v>11.48</v>
      </c>
      <c r="G400" s="3">
        <v>13.352500000000003</v>
      </c>
      <c r="H400" s="3">
        <v>5.04</v>
      </c>
    </row>
    <row r="401" spans="1:8">
      <c r="A401" s="10" t="s">
        <v>1610</v>
      </c>
      <c r="B401" s="10" t="s">
        <v>2884</v>
      </c>
      <c r="C401" t="s">
        <v>2158</v>
      </c>
      <c r="D401" t="s">
        <v>2149</v>
      </c>
      <c r="E401" s="3">
        <v>-1.0060000000000002</v>
      </c>
      <c r="F401" s="3">
        <v>-1.629</v>
      </c>
      <c r="G401" s="3">
        <v>0.62299999999999978</v>
      </c>
      <c r="H401" s="3">
        <v>6.48</v>
      </c>
    </row>
    <row r="402" spans="1:8">
      <c r="A402" s="10" t="s">
        <v>1611</v>
      </c>
      <c r="B402" s="10" t="s">
        <v>3324</v>
      </c>
      <c r="C402" t="s">
        <v>2158</v>
      </c>
      <c r="D402" t="s">
        <v>2149</v>
      </c>
      <c r="E402" s="3">
        <v>9.5760000000000005</v>
      </c>
      <c r="F402" s="3">
        <v>4.8870000000000005</v>
      </c>
      <c r="G402" s="3">
        <v>4.6890000000000001</v>
      </c>
      <c r="H402" s="3">
        <v>9.7200000000000006</v>
      </c>
    </row>
    <row r="403" spans="1:8">
      <c r="A403" s="10" t="s">
        <v>1612</v>
      </c>
      <c r="B403" s="10" t="s">
        <v>2886</v>
      </c>
      <c r="C403" t="s">
        <v>2158</v>
      </c>
      <c r="D403" t="s">
        <v>2149</v>
      </c>
      <c r="E403" s="3">
        <v>126.99680000000001</v>
      </c>
      <c r="F403" s="3">
        <v>94.399999999999991</v>
      </c>
      <c r="G403" s="3">
        <v>32.596800000000016</v>
      </c>
      <c r="H403" s="3">
        <v>37.76</v>
      </c>
    </row>
    <row r="404" spans="1:8">
      <c r="A404" s="10" t="s">
        <v>375</v>
      </c>
      <c r="B404" s="10" t="s">
        <v>2889</v>
      </c>
      <c r="C404" t="s">
        <v>2156</v>
      </c>
      <c r="D404" t="s">
        <v>2149</v>
      </c>
      <c r="E404" s="3">
        <v>154.97488626364859</v>
      </c>
      <c r="F404" s="3">
        <v>78.253199999999993</v>
      </c>
      <c r="G404" s="3">
        <v>76.721686263648593</v>
      </c>
      <c r="H404" s="3">
        <v>39.96</v>
      </c>
    </row>
    <row r="405" spans="1:8">
      <c r="A405" s="10" t="s">
        <v>384</v>
      </c>
      <c r="B405" s="10" t="s">
        <v>2892</v>
      </c>
      <c r="C405" t="s">
        <v>2156</v>
      </c>
      <c r="D405" t="s">
        <v>2149</v>
      </c>
      <c r="E405" s="3">
        <v>424.53</v>
      </c>
      <c r="F405" s="3">
        <v>287.10410000000002</v>
      </c>
      <c r="G405" s="3">
        <v>137.42589999999996</v>
      </c>
      <c r="H405" s="3">
        <v>223.68</v>
      </c>
    </row>
    <row r="406" spans="1:8">
      <c r="A406" s="10" t="s">
        <v>351</v>
      </c>
      <c r="B406" s="10" t="s">
        <v>2893</v>
      </c>
      <c r="C406" t="s">
        <v>2156</v>
      </c>
      <c r="D406" t="s">
        <v>2149</v>
      </c>
      <c r="E406" s="3">
        <v>1034.4775</v>
      </c>
      <c r="F406" s="3">
        <v>548.8590999999999</v>
      </c>
      <c r="G406" s="3">
        <v>485.61840000000007</v>
      </c>
      <c r="H406" s="3">
        <v>520.78</v>
      </c>
    </row>
    <row r="407" spans="1:8">
      <c r="A407" s="10" t="s">
        <v>73</v>
      </c>
      <c r="B407" s="10" t="s">
        <v>2237</v>
      </c>
      <c r="C407" t="s">
        <v>2158</v>
      </c>
      <c r="D407" t="s">
        <v>2149</v>
      </c>
      <c r="E407" s="3">
        <v>1379.4290266166784</v>
      </c>
      <c r="F407" s="3">
        <v>791.84589999999992</v>
      </c>
      <c r="G407" s="3">
        <v>587.58312661667844</v>
      </c>
      <c r="H407" s="3">
        <v>476.28</v>
      </c>
    </row>
    <row r="408" spans="1:8">
      <c r="A408" s="10" t="s">
        <v>1623</v>
      </c>
      <c r="B408" s="10" t="s">
        <v>3326</v>
      </c>
      <c r="C408" t="s">
        <v>2344</v>
      </c>
      <c r="D408" t="s">
        <v>2149</v>
      </c>
      <c r="E408" s="3">
        <v>11.571034344573636</v>
      </c>
      <c r="F408" s="3">
        <v>7.9039999999999999</v>
      </c>
      <c r="G408" s="3">
        <v>3.6670343445736364</v>
      </c>
      <c r="H408" s="3">
        <v>11.85</v>
      </c>
    </row>
    <row r="409" spans="1:8">
      <c r="A409" s="10" t="s">
        <v>84</v>
      </c>
      <c r="B409" s="10" t="s">
        <v>3327</v>
      </c>
      <c r="C409" t="s">
        <v>2158</v>
      </c>
      <c r="D409" t="s">
        <v>2149</v>
      </c>
      <c r="E409" s="3">
        <v>227.29672488164124</v>
      </c>
      <c r="F409" s="3">
        <v>122.72200000000001</v>
      </c>
      <c r="G409" s="3">
        <v>104.57472488164123</v>
      </c>
      <c r="H409" s="3">
        <v>92.04</v>
      </c>
    </row>
    <row r="410" spans="1:8">
      <c r="A410" s="10" t="s">
        <v>1624</v>
      </c>
      <c r="B410" s="10" t="s">
        <v>3328</v>
      </c>
      <c r="C410" t="s">
        <v>2156</v>
      </c>
      <c r="D410" t="s">
        <v>2149</v>
      </c>
      <c r="E410" s="3">
        <v>55.390147446409749</v>
      </c>
      <c r="F410" s="3">
        <v>43.29</v>
      </c>
      <c r="G410" s="3">
        <v>12.10014744640975</v>
      </c>
      <c r="H410" s="3">
        <v>43.29</v>
      </c>
    </row>
    <row r="411" spans="1:8">
      <c r="A411" s="10" t="s">
        <v>1626</v>
      </c>
      <c r="B411" s="10" t="s">
        <v>2894</v>
      </c>
      <c r="C411" t="s">
        <v>2156</v>
      </c>
      <c r="D411" t="s">
        <v>2149</v>
      </c>
      <c r="E411" s="3">
        <v>84.985048083834869</v>
      </c>
      <c r="F411" s="3">
        <v>45.164400000000001</v>
      </c>
      <c r="G411" s="3">
        <v>39.820648083834868</v>
      </c>
      <c r="H411" s="3">
        <v>75.25</v>
      </c>
    </row>
    <row r="412" spans="1:8">
      <c r="A412" s="10" t="s">
        <v>258</v>
      </c>
      <c r="B412" s="10" t="s">
        <v>2895</v>
      </c>
      <c r="C412" t="s">
        <v>2158</v>
      </c>
      <c r="D412" t="s">
        <v>2149</v>
      </c>
      <c r="E412" s="3">
        <v>1418.1965384665298</v>
      </c>
      <c r="F412" s="3">
        <v>860.46739999999988</v>
      </c>
      <c r="G412" s="3">
        <v>557.72913846652989</v>
      </c>
      <c r="H412" s="3">
        <v>540.70000000000005</v>
      </c>
    </row>
    <row r="413" spans="1:8">
      <c r="A413" s="10" t="s">
        <v>890</v>
      </c>
      <c r="B413" s="10" t="s">
        <v>2896</v>
      </c>
      <c r="C413" t="s">
        <v>2158</v>
      </c>
      <c r="D413" t="s">
        <v>2149</v>
      </c>
      <c r="E413" s="3">
        <v>0</v>
      </c>
      <c r="F413" s="3">
        <v>0</v>
      </c>
      <c r="G413" s="3">
        <v>0</v>
      </c>
      <c r="H413" s="3">
        <v>112.4</v>
      </c>
    </row>
    <row r="414" spans="1:8">
      <c r="A414" s="10" t="s">
        <v>1630</v>
      </c>
      <c r="B414" s="10" t="s">
        <v>2897</v>
      </c>
      <c r="C414" t="s">
        <v>2158</v>
      </c>
      <c r="D414" t="s">
        <v>2149</v>
      </c>
      <c r="E414" s="3">
        <v>133.45400000000001</v>
      </c>
      <c r="F414" s="3">
        <v>66.724000000000004</v>
      </c>
      <c r="G414" s="3">
        <v>66.73</v>
      </c>
      <c r="H414" s="3">
        <v>19.059999999999999</v>
      </c>
    </row>
    <row r="415" spans="1:8">
      <c r="A415" s="10" t="s">
        <v>1633</v>
      </c>
      <c r="B415" s="10" t="s">
        <v>2900</v>
      </c>
      <c r="C415" t="s">
        <v>2156</v>
      </c>
      <c r="D415" t="s">
        <v>2149</v>
      </c>
      <c r="E415" s="3">
        <v>36.076250000000002</v>
      </c>
      <c r="F415" s="3">
        <v>28.93</v>
      </c>
      <c r="G415" s="3">
        <v>7.146250000000002</v>
      </c>
      <c r="H415" s="3">
        <v>25.35</v>
      </c>
    </row>
    <row r="416" spans="1:8">
      <c r="A416" s="10" t="s">
        <v>318</v>
      </c>
      <c r="B416" s="10" t="s">
        <v>2238</v>
      </c>
      <c r="C416" t="s">
        <v>2154</v>
      </c>
      <c r="D416" t="s">
        <v>2149</v>
      </c>
      <c r="E416" s="3">
        <v>312.9755275062335</v>
      </c>
      <c r="F416" s="3">
        <v>257.16600000000005</v>
      </c>
      <c r="G416" s="3">
        <v>55.809527506233451</v>
      </c>
      <c r="H416" s="3">
        <v>293.76</v>
      </c>
    </row>
    <row r="417" spans="1:8">
      <c r="A417" s="10" t="s">
        <v>281</v>
      </c>
      <c r="B417" s="10" t="s">
        <v>2903</v>
      </c>
      <c r="C417" t="s">
        <v>2169</v>
      </c>
      <c r="D417" t="s">
        <v>2149</v>
      </c>
      <c r="E417" s="3">
        <v>308.85097111716618</v>
      </c>
      <c r="F417" s="3">
        <v>202.10030000000006</v>
      </c>
      <c r="G417" s="3">
        <v>106.75067111716612</v>
      </c>
      <c r="H417" s="3">
        <v>126.4</v>
      </c>
    </row>
    <row r="418" spans="1:8">
      <c r="A418" s="10" t="s">
        <v>1637</v>
      </c>
      <c r="B418" s="10" t="s">
        <v>2904</v>
      </c>
      <c r="C418" t="s">
        <v>2156</v>
      </c>
      <c r="D418" t="s">
        <v>2149</v>
      </c>
      <c r="E418" s="3">
        <v>74.909399999999991</v>
      </c>
      <c r="F418" s="3">
        <v>64.970100000000002</v>
      </c>
      <c r="G418" s="3">
        <v>9.9392999999999887</v>
      </c>
      <c r="H418" s="3">
        <v>86.6</v>
      </c>
    </row>
    <row r="419" spans="1:8">
      <c r="A419" s="10" t="s">
        <v>255</v>
      </c>
      <c r="B419" s="10" t="s">
        <v>2905</v>
      </c>
      <c r="C419" t="s">
        <v>2156</v>
      </c>
      <c r="D419" t="s">
        <v>2149</v>
      </c>
      <c r="E419" s="3">
        <v>172.32977867637064</v>
      </c>
      <c r="F419" s="3">
        <v>114.20219999999999</v>
      </c>
      <c r="G419" s="3">
        <v>58.127578676370646</v>
      </c>
      <c r="H419" s="3">
        <v>133.21</v>
      </c>
    </row>
    <row r="420" spans="1:8">
      <c r="A420" s="10" t="s">
        <v>77</v>
      </c>
      <c r="B420" s="10" t="s">
        <v>2906</v>
      </c>
      <c r="C420" t="s">
        <v>2158</v>
      </c>
      <c r="D420" t="s">
        <v>2149</v>
      </c>
      <c r="E420" s="3">
        <v>806.89296472083959</v>
      </c>
      <c r="F420" s="3">
        <v>336.14829999999995</v>
      </c>
      <c r="G420" s="3">
        <v>470.74466472083964</v>
      </c>
      <c r="H420" s="3">
        <v>305.5</v>
      </c>
    </row>
    <row r="421" spans="1:8">
      <c r="A421" s="10" t="s">
        <v>226</v>
      </c>
      <c r="B421" s="10" t="s">
        <v>2907</v>
      </c>
      <c r="C421" t="s">
        <v>2158</v>
      </c>
      <c r="D421" t="s">
        <v>2149</v>
      </c>
      <c r="E421" s="3">
        <v>448.97760469998525</v>
      </c>
      <c r="F421" s="3">
        <v>217.19649999999999</v>
      </c>
      <c r="G421" s="3">
        <v>231.78110469998526</v>
      </c>
      <c r="H421" s="3">
        <v>297.35000000000002</v>
      </c>
    </row>
    <row r="422" spans="1:8">
      <c r="A422" s="10" t="s">
        <v>1639</v>
      </c>
      <c r="B422" s="10" t="s">
        <v>2908</v>
      </c>
      <c r="C422" t="s">
        <v>2156</v>
      </c>
      <c r="D422" t="s">
        <v>2149</v>
      </c>
      <c r="E422" s="3">
        <v>9.9960000000000004</v>
      </c>
      <c r="F422" s="3">
        <v>9.7925000000000004</v>
      </c>
      <c r="G422" s="3">
        <v>0.20350000000000001</v>
      </c>
      <c r="H422" s="3">
        <v>19.579999999999998</v>
      </c>
    </row>
    <row r="423" spans="1:8">
      <c r="A423" s="10" t="s">
        <v>1642</v>
      </c>
      <c r="B423" s="10" t="s">
        <v>2909</v>
      </c>
      <c r="C423" t="s">
        <v>2158</v>
      </c>
      <c r="D423" t="s">
        <v>2149</v>
      </c>
      <c r="E423" s="3">
        <v>161.99720432614379</v>
      </c>
      <c r="F423" s="3">
        <v>82.935000000000002</v>
      </c>
      <c r="G423" s="3">
        <v>79.062204326143785</v>
      </c>
      <c r="H423" s="3">
        <v>132.63999999999999</v>
      </c>
    </row>
    <row r="424" spans="1:8">
      <c r="A424" s="10" t="s">
        <v>482</v>
      </c>
      <c r="B424" s="10" t="s">
        <v>2912</v>
      </c>
      <c r="C424" t="s">
        <v>2158</v>
      </c>
      <c r="D424" t="s">
        <v>2149</v>
      </c>
      <c r="E424" s="3">
        <v>97.465108541027348</v>
      </c>
      <c r="F424" s="3">
        <v>37.560299999999991</v>
      </c>
      <c r="G424" s="3">
        <v>59.904808541027357</v>
      </c>
      <c r="H424" s="3">
        <v>23.84</v>
      </c>
    </row>
    <row r="425" spans="1:8">
      <c r="A425" s="10" t="s">
        <v>654</v>
      </c>
      <c r="B425" s="10" t="s">
        <v>2915</v>
      </c>
      <c r="C425" t="s">
        <v>2156</v>
      </c>
      <c r="D425" t="s">
        <v>2149</v>
      </c>
      <c r="E425" s="3">
        <v>461.2654</v>
      </c>
      <c r="F425" s="3">
        <v>163.09</v>
      </c>
      <c r="G425" s="3">
        <v>298.17539999999997</v>
      </c>
      <c r="H425" s="3">
        <v>66.44</v>
      </c>
    </row>
    <row r="426" spans="1:8">
      <c r="A426" s="10" t="s">
        <v>274</v>
      </c>
      <c r="B426" s="10" t="s">
        <v>2239</v>
      </c>
      <c r="C426" t="s">
        <v>2158</v>
      </c>
      <c r="D426" t="s">
        <v>2149</v>
      </c>
      <c r="E426" s="3">
        <v>712.57394560119849</v>
      </c>
      <c r="F426" s="3">
        <v>242.66230000000002</v>
      </c>
      <c r="G426" s="3">
        <v>469.91164560119847</v>
      </c>
      <c r="H426" s="3">
        <v>105.4</v>
      </c>
    </row>
    <row r="427" spans="1:8">
      <c r="A427" s="10" t="s">
        <v>306</v>
      </c>
      <c r="B427" s="10" t="s">
        <v>2240</v>
      </c>
      <c r="C427" t="s">
        <v>2158</v>
      </c>
      <c r="D427" t="s">
        <v>2149</v>
      </c>
      <c r="E427" s="3">
        <v>4732.3871633364934</v>
      </c>
      <c r="F427" s="3">
        <v>2153.6277999999998</v>
      </c>
      <c r="G427" s="3">
        <v>2578.7593633364936</v>
      </c>
      <c r="H427" s="3">
        <v>1221.32</v>
      </c>
    </row>
    <row r="428" spans="1:8">
      <c r="A428" s="10" t="s">
        <v>519</v>
      </c>
      <c r="B428" s="10" t="s">
        <v>2241</v>
      </c>
      <c r="C428" t="s">
        <v>2158</v>
      </c>
      <c r="D428" t="s">
        <v>2149</v>
      </c>
      <c r="E428" s="3">
        <v>3026.4754929953028</v>
      </c>
      <c r="F428" s="3">
        <v>1866.1989999999992</v>
      </c>
      <c r="G428" s="3">
        <v>1160.2764929953037</v>
      </c>
      <c r="H428" s="3">
        <v>726.24</v>
      </c>
    </row>
    <row r="429" spans="1:8">
      <c r="A429" s="10" t="s">
        <v>534</v>
      </c>
      <c r="B429" s="10" t="s">
        <v>2924</v>
      </c>
      <c r="C429" t="s">
        <v>2158</v>
      </c>
      <c r="D429" t="s">
        <v>2149</v>
      </c>
      <c r="E429" s="3">
        <v>271.3818</v>
      </c>
      <c r="F429" s="3">
        <v>181.79889999999997</v>
      </c>
      <c r="G429" s="3">
        <v>89.582900000000024</v>
      </c>
      <c r="H429" s="3">
        <v>243.36</v>
      </c>
    </row>
    <row r="430" spans="1:8">
      <c r="A430" s="10" t="s">
        <v>392</v>
      </c>
      <c r="B430" s="10" t="s">
        <v>2927</v>
      </c>
      <c r="C430" t="s">
        <v>2156</v>
      </c>
      <c r="D430" t="s">
        <v>2149</v>
      </c>
      <c r="E430" s="3">
        <v>466.33102244397986</v>
      </c>
      <c r="F430" s="3">
        <v>383.83600000000001</v>
      </c>
      <c r="G430" s="3">
        <v>82.495022443979849</v>
      </c>
      <c r="H430" s="3">
        <v>373.76</v>
      </c>
    </row>
    <row r="431" spans="1:8">
      <c r="A431" s="10" t="s">
        <v>972</v>
      </c>
      <c r="B431" s="10" t="s">
        <v>2928</v>
      </c>
      <c r="C431" t="s">
        <v>2346</v>
      </c>
      <c r="D431" t="s">
        <v>2149</v>
      </c>
      <c r="E431" s="3">
        <v>196.47395561540836</v>
      </c>
      <c r="F431" s="3">
        <v>98.989800000000002</v>
      </c>
      <c r="G431" s="3">
        <v>97.484155615408355</v>
      </c>
      <c r="H431" s="3">
        <v>131.91999999999999</v>
      </c>
    </row>
    <row r="432" spans="1:8">
      <c r="A432" s="10" t="s">
        <v>164</v>
      </c>
      <c r="B432" s="10" t="s">
        <v>2929</v>
      </c>
      <c r="C432" t="s">
        <v>2158</v>
      </c>
      <c r="D432" t="s">
        <v>2149</v>
      </c>
      <c r="E432" s="3">
        <v>945.24675315553156</v>
      </c>
      <c r="F432" s="3">
        <v>441.1533</v>
      </c>
      <c r="G432" s="3">
        <v>504.09345315553156</v>
      </c>
      <c r="H432" s="3">
        <v>385.56</v>
      </c>
    </row>
    <row r="433" spans="1:8">
      <c r="A433" s="10" t="s">
        <v>57</v>
      </c>
      <c r="B433" s="10" t="s">
        <v>2242</v>
      </c>
      <c r="C433" t="s">
        <v>2158</v>
      </c>
      <c r="D433" t="s">
        <v>2149</v>
      </c>
      <c r="E433" s="3">
        <v>2550.4354590857233</v>
      </c>
      <c r="F433" s="3">
        <v>1521.6313999999998</v>
      </c>
      <c r="G433" s="3">
        <v>1028.8040590857236</v>
      </c>
      <c r="H433" s="3">
        <v>1008</v>
      </c>
    </row>
    <row r="434" spans="1:8">
      <c r="A434" s="10" t="s">
        <v>443</v>
      </c>
      <c r="B434" s="10" t="s">
        <v>2930</v>
      </c>
      <c r="C434" t="s">
        <v>2158</v>
      </c>
      <c r="D434" t="s">
        <v>2149</v>
      </c>
      <c r="E434" s="3">
        <v>409.55930000000001</v>
      </c>
      <c r="F434" s="3">
        <v>265.16299999999995</v>
      </c>
      <c r="G434" s="3">
        <v>144.39630000000005</v>
      </c>
      <c r="H434" s="3">
        <v>261.8</v>
      </c>
    </row>
    <row r="435" spans="1:8">
      <c r="A435" s="10" t="s">
        <v>442</v>
      </c>
      <c r="B435" s="10" t="s">
        <v>3334</v>
      </c>
      <c r="C435" t="s">
        <v>2158</v>
      </c>
      <c r="D435" t="s">
        <v>2149</v>
      </c>
      <c r="E435" s="3">
        <v>2075.6518999999998</v>
      </c>
      <c r="F435" s="3">
        <v>1282.8698999999999</v>
      </c>
      <c r="G435" s="3">
        <v>792.78199999999993</v>
      </c>
      <c r="H435" s="3">
        <v>186.42</v>
      </c>
    </row>
    <row r="436" spans="1:8">
      <c r="A436" s="10" t="s">
        <v>656</v>
      </c>
      <c r="B436" s="10" t="s">
        <v>2243</v>
      </c>
      <c r="C436" t="s">
        <v>2156</v>
      </c>
      <c r="D436" t="s">
        <v>2149</v>
      </c>
      <c r="E436" s="3">
        <v>1667.6775481491638</v>
      </c>
      <c r="F436" s="3">
        <v>1011.6296000000001</v>
      </c>
      <c r="G436" s="3">
        <v>656.04794814916374</v>
      </c>
      <c r="H436" s="3">
        <v>441.92</v>
      </c>
    </row>
    <row r="437" spans="1:8">
      <c r="A437" s="10" t="s">
        <v>735</v>
      </c>
      <c r="B437" s="10" t="s">
        <v>2935</v>
      </c>
      <c r="C437" t="s">
        <v>2707</v>
      </c>
      <c r="D437" t="s">
        <v>2149</v>
      </c>
      <c r="E437" s="3">
        <v>101.6952</v>
      </c>
      <c r="F437" s="3">
        <v>58.72</v>
      </c>
      <c r="G437" s="3">
        <v>42.975200000000001</v>
      </c>
      <c r="H437" s="3">
        <v>79.040000000000006</v>
      </c>
    </row>
    <row r="438" spans="1:8">
      <c r="A438" s="10" t="s">
        <v>462</v>
      </c>
      <c r="B438" s="10" t="s">
        <v>2939</v>
      </c>
      <c r="C438" t="s">
        <v>2158</v>
      </c>
      <c r="D438" t="s">
        <v>2149</v>
      </c>
      <c r="E438" s="3">
        <v>47.977499999999999</v>
      </c>
      <c r="F438" s="3">
        <v>35.833199999999998</v>
      </c>
      <c r="G438" s="3">
        <v>12.144300000000001</v>
      </c>
      <c r="H438" s="3">
        <v>72.16</v>
      </c>
    </row>
    <row r="439" spans="1:8">
      <c r="A439" s="10" t="s">
        <v>388</v>
      </c>
      <c r="B439" s="10" t="s">
        <v>2940</v>
      </c>
      <c r="C439" t="s">
        <v>2158</v>
      </c>
      <c r="D439" t="s">
        <v>2149</v>
      </c>
      <c r="E439" s="3">
        <v>1052.3652373124426</v>
      </c>
      <c r="F439" s="3">
        <v>643.93880000000001</v>
      </c>
      <c r="G439" s="3">
        <v>408.42643731244254</v>
      </c>
      <c r="H439" s="3">
        <v>429.66</v>
      </c>
    </row>
    <row r="440" spans="1:8">
      <c r="A440" s="10" t="s">
        <v>640</v>
      </c>
      <c r="B440" s="10" t="s">
        <v>2941</v>
      </c>
      <c r="C440" t="s">
        <v>2158</v>
      </c>
      <c r="D440" t="s">
        <v>2149</v>
      </c>
      <c r="E440" s="3">
        <v>506.27829899201191</v>
      </c>
      <c r="F440" s="3">
        <v>312.14750000000004</v>
      </c>
      <c r="G440" s="3">
        <v>194.13079899201188</v>
      </c>
      <c r="H440" s="3">
        <v>182.4</v>
      </c>
    </row>
    <row r="441" spans="1:8">
      <c r="A441" s="10" t="s">
        <v>312</v>
      </c>
      <c r="B441" s="10" t="s">
        <v>2960</v>
      </c>
      <c r="C441" t="s">
        <v>2158</v>
      </c>
      <c r="D441" t="s">
        <v>2149</v>
      </c>
      <c r="E441" s="3">
        <v>1204.5804491884803</v>
      </c>
      <c r="F441" s="3">
        <v>651.71260000000018</v>
      </c>
      <c r="G441" s="3">
        <v>552.86784918848014</v>
      </c>
      <c r="H441" s="3">
        <v>308.94</v>
      </c>
    </row>
    <row r="442" spans="1:8">
      <c r="A442" s="10" t="s">
        <v>603</v>
      </c>
      <c r="B442" s="10" t="s">
        <v>2961</v>
      </c>
      <c r="C442" t="s">
        <v>2158</v>
      </c>
      <c r="D442" t="s">
        <v>2149</v>
      </c>
      <c r="E442" s="3">
        <v>54.51</v>
      </c>
      <c r="F442" s="3">
        <v>25.849999999999998</v>
      </c>
      <c r="G442" s="3">
        <v>28.66</v>
      </c>
      <c r="H442" s="3">
        <v>41.5</v>
      </c>
    </row>
    <row r="443" spans="1:8">
      <c r="A443" s="10" t="s">
        <v>647</v>
      </c>
      <c r="B443" s="10" t="s">
        <v>2962</v>
      </c>
      <c r="C443" t="s">
        <v>2158</v>
      </c>
      <c r="D443" t="s">
        <v>2149</v>
      </c>
      <c r="E443" s="3">
        <v>829.86850066690704</v>
      </c>
      <c r="F443" s="3">
        <v>382.03460000000007</v>
      </c>
      <c r="G443" s="3">
        <v>447.83390066690697</v>
      </c>
      <c r="H443" s="3">
        <v>177.46</v>
      </c>
    </row>
    <row r="444" spans="1:8">
      <c r="A444" s="10" t="s">
        <v>1663</v>
      </c>
      <c r="B444" s="10" t="s">
        <v>2963</v>
      </c>
      <c r="C444" t="s">
        <v>2158</v>
      </c>
      <c r="D444" t="s">
        <v>2149</v>
      </c>
      <c r="E444" s="3">
        <v>4.5649612750844772</v>
      </c>
      <c r="F444" s="3">
        <v>2.335</v>
      </c>
      <c r="G444" s="3">
        <v>2.2299612750844773</v>
      </c>
      <c r="H444" s="3">
        <v>5.98</v>
      </c>
    </row>
    <row r="445" spans="1:8">
      <c r="A445" s="10" t="s">
        <v>75</v>
      </c>
      <c r="B445" s="10" t="s">
        <v>2964</v>
      </c>
      <c r="C445" t="s">
        <v>2158</v>
      </c>
      <c r="D445" t="s">
        <v>2149</v>
      </c>
      <c r="E445" s="3">
        <v>5616.5773184284626</v>
      </c>
      <c r="F445" s="3">
        <v>2745.5959000000003</v>
      </c>
      <c r="G445" s="3">
        <v>2870.9814184284623</v>
      </c>
      <c r="H445" s="3">
        <v>1841.84</v>
      </c>
    </row>
    <row r="446" spans="1:8">
      <c r="A446" s="10" t="s">
        <v>604</v>
      </c>
      <c r="B446" s="10" t="s">
        <v>2965</v>
      </c>
      <c r="C446" t="s">
        <v>2158</v>
      </c>
      <c r="D446" t="s">
        <v>2149</v>
      </c>
      <c r="E446" s="3">
        <v>31.336903401318096</v>
      </c>
      <c r="F446" s="3">
        <v>17.337599999999998</v>
      </c>
      <c r="G446" s="3">
        <v>13.999303401318098</v>
      </c>
      <c r="H446" s="3">
        <v>8.48</v>
      </c>
    </row>
    <row r="447" spans="1:8">
      <c r="A447" s="10" t="s">
        <v>198</v>
      </c>
      <c r="B447" s="10" t="s">
        <v>2968</v>
      </c>
      <c r="C447" t="s">
        <v>2158</v>
      </c>
      <c r="D447" t="s">
        <v>2149</v>
      </c>
      <c r="E447" s="3">
        <v>2564.0286736464823</v>
      </c>
      <c r="F447" s="3">
        <v>1283.0342000000001</v>
      </c>
      <c r="G447" s="3">
        <v>1280.9944736464822</v>
      </c>
      <c r="H447" s="3">
        <v>573.39</v>
      </c>
    </row>
    <row r="448" spans="1:8">
      <c r="A448" s="10" t="s">
        <v>85</v>
      </c>
      <c r="B448" s="10" t="s">
        <v>2969</v>
      </c>
      <c r="C448" t="s">
        <v>2158</v>
      </c>
      <c r="D448" t="s">
        <v>2149</v>
      </c>
      <c r="E448" s="3">
        <v>5570.4655666039234</v>
      </c>
      <c r="F448" s="3">
        <v>1451.4517000000001</v>
      </c>
      <c r="G448" s="3">
        <v>4119.0138666039238</v>
      </c>
      <c r="H448" s="3">
        <v>724.08</v>
      </c>
    </row>
    <row r="449" spans="1:8">
      <c r="A449" s="10" t="s">
        <v>605</v>
      </c>
      <c r="B449" s="10" t="s">
        <v>2970</v>
      </c>
      <c r="C449" t="s">
        <v>2158</v>
      </c>
      <c r="D449" t="s">
        <v>2149</v>
      </c>
      <c r="E449" s="3">
        <v>179.5625</v>
      </c>
      <c r="F449" s="3">
        <v>110.2482</v>
      </c>
      <c r="G449" s="3">
        <v>69.314300000000003</v>
      </c>
      <c r="H449" s="3">
        <v>74.2</v>
      </c>
    </row>
    <row r="450" spans="1:8">
      <c r="A450" s="10" t="s">
        <v>44</v>
      </c>
      <c r="B450" s="10" t="s">
        <v>2971</v>
      </c>
      <c r="C450" t="s">
        <v>2158</v>
      </c>
      <c r="D450" t="s">
        <v>2149</v>
      </c>
      <c r="E450" s="3">
        <v>869.35282208777915</v>
      </c>
      <c r="F450" s="3">
        <v>405.61299999999994</v>
      </c>
      <c r="G450" s="3">
        <v>463.7398220877792</v>
      </c>
      <c r="H450" s="3">
        <v>254.4</v>
      </c>
    </row>
    <row r="451" spans="1:8">
      <c r="A451" s="10" t="s">
        <v>178</v>
      </c>
      <c r="B451" s="10" t="s">
        <v>2972</v>
      </c>
      <c r="C451" t="s">
        <v>2158</v>
      </c>
      <c r="D451" t="s">
        <v>2149</v>
      </c>
      <c r="E451" s="3">
        <v>122.99519999999998</v>
      </c>
      <c r="F451" s="3">
        <v>60.830799999999996</v>
      </c>
      <c r="G451" s="3">
        <v>62.164399999999986</v>
      </c>
      <c r="H451" s="3">
        <v>39.96</v>
      </c>
    </row>
    <row r="452" spans="1:8">
      <c r="A452" s="10" t="s">
        <v>303</v>
      </c>
      <c r="B452" s="10" t="s">
        <v>2973</v>
      </c>
      <c r="C452" t="s">
        <v>2158</v>
      </c>
      <c r="D452" t="s">
        <v>2149</v>
      </c>
      <c r="E452" s="3">
        <v>4530.5165952225643</v>
      </c>
      <c r="F452" s="3">
        <v>2097.8687999999993</v>
      </c>
      <c r="G452" s="3">
        <v>2432.647795222565</v>
      </c>
      <c r="H452" s="3">
        <v>1097.3599999999999</v>
      </c>
    </row>
    <row r="453" spans="1:8">
      <c r="A453" s="10" t="s">
        <v>265</v>
      </c>
      <c r="B453" s="10" t="s">
        <v>2976</v>
      </c>
      <c r="C453" t="s">
        <v>2158</v>
      </c>
      <c r="D453" t="s">
        <v>2149</v>
      </c>
      <c r="E453" s="3">
        <v>295.4775078319509</v>
      </c>
      <c r="F453" s="3">
        <v>149.65120000000002</v>
      </c>
      <c r="G453" s="3">
        <v>145.82630783195088</v>
      </c>
      <c r="H453" s="3">
        <v>118.08</v>
      </c>
    </row>
    <row r="454" spans="1:8">
      <c r="A454" s="10" t="s">
        <v>264</v>
      </c>
      <c r="B454" s="10" t="s">
        <v>3339</v>
      </c>
      <c r="C454" t="s">
        <v>2158</v>
      </c>
      <c r="D454" t="s">
        <v>2149</v>
      </c>
      <c r="E454" s="3">
        <v>544.65478764798786</v>
      </c>
      <c r="F454" s="3">
        <v>278.77330000000001</v>
      </c>
      <c r="G454" s="3">
        <v>265.88148764798785</v>
      </c>
      <c r="H454" s="3">
        <v>115.2</v>
      </c>
    </row>
    <row r="455" spans="1:8">
      <c r="A455" s="10" t="s">
        <v>407</v>
      </c>
      <c r="B455" s="10" t="s">
        <v>2978</v>
      </c>
      <c r="C455" t="s">
        <v>2158</v>
      </c>
      <c r="D455" t="s">
        <v>2149</v>
      </c>
      <c r="E455" s="3">
        <v>300.49617139338659</v>
      </c>
      <c r="F455" s="3">
        <v>161.07589999999999</v>
      </c>
      <c r="G455" s="3">
        <v>139.4202713933866</v>
      </c>
      <c r="H455" s="3">
        <v>121.86</v>
      </c>
    </row>
    <row r="456" spans="1:8">
      <c r="A456" s="10" t="s">
        <v>266</v>
      </c>
      <c r="B456" s="10" t="s">
        <v>2979</v>
      </c>
      <c r="C456" t="s">
        <v>2158</v>
      </c>
      <c r="D456" t="s">
        <v>2149</v>
      </c>
      <c r="E456" s="3">
        <v>51.975999999999999</v>
      </c>
      <c r="F456" s="3">
        <v>30.5</v>
      </c>
      <c r="G456" s="3">
        <v>21.475999999999999</v>
      </c>
      <c r="H456" s="3">
        <v>73.2</v>
      </c>
    </row>
    <row r="457" spans="1:8">
      <c r="A457" s="10" t="s">
        <v>379</v>
      </c>
      <c r="B457" s="10" t="s">
        <v>2984</v>
      </c>
      <c r="C457" t="s">
        <v>2158</v>
      </c>
      <c r="D457" t="s">
        <v>2149</v>
      </c>
      <c r="E457" s="3">
        <v>548.49098018474103</v>
      </c>
      <c r="F457" s="3">
        <v>341.62050000000005</v>
      </c>
      <c r="G457" s="3">
        <v>206.87048018474098</v>
      </c>
      <c r="H457" s="3">
        <v>234.85</v>
      </c>
    </row>
    <row r="458" spans="1:8">
      <c r="A458" s="10" t="s">
        <v>1665</v>
      </c>
      <c r="B458" s="10" t="s">
        <v>2985</v>
      </c>
      <c r="C458" t="s">
        <v>2158</v>
      </c>
      <c r="D458" t="s">
        <v>2149</v>
      </c>
      <c r="E458" s="3">
        <v>-1.8989487841057207</v>
      </c>
      <c r="F458" s="3">
        <v>0</v>
      </c>
      <c r="G458" s="3">
        <v>-1.8989487841057207</v>
      </c>
      <c r="H458" s="3">
        <v>20.440000000000001</v>
      </c>
    </row>
    <row r="459" spans="1:8">
      <c r="A459" s="10" t="s">
        <v>606</v>
      </c>
      <c r="B459" s="10" t="s">
        <v>3343</v>
      </c>
      <c r="C459" t="s">
        <v>2158</v>
      </c>
      <c r="D459" t="s">
        <v>2149</v>
      </c>
      <c r="E459" s="3">
        <v>9.1</v>
      </c>
      <c r="F459" s="3">
        <v>5.0519999999999996</v>
      </c>
      <c r="G459" s="3">
        <v>4.048</v>
      </c>
      <c r="H459" s="3">
        <v>5.04</v>
      </c>
    </row>
    <row r="460" spans="1:8">
      <c r="A460" s="10" t="s">
        <v>72</v>
      </c>
      <c r="B460" s="10" t="s">
        <v>2986</v>
      </c>
      <c r="C460" t="s">
        <v>2158</v>
      </c>
      <c r="D460" t="s">
        <v>2149</v>
      </c>
      <c r="E460" s="3">
        <v>262.41524217401667</v>
      </c>
      <c r="F460" s="3">
        <v>127.107</v>
      </c>
      <c r="G460" s="3">
        <v>135.30824217401667</v>
      </c>
      <c r="H460" s="3">
        <v>64</v>
      </c>
    </row>
    <row r="461" spans="1:8">
      <c r="A461" s="10" t="s">
        <v>607</v>
      </c>
      <c r="B461" s="10" t="s">
        <v>3344</v>
      </c>
      <c r="C461" t="s">
        <v>2158</v>
      </c>
      <c r="D461" t="s">
        <v>2149</v>
      </c>
      <c r="E461" s="3">
        <v>66.435000000000016</v>
      </c>
      <c r="F461" s="3">
        <v>36</v>
      </c>
      <c r="G461" s="3">
        <v>30.435000000000016</v>
      </c>
      <c r="H461" s="3">
        <v>27</v>
      </c>
    </row>
    <row r="462" spans="1:8">
      <c r="A462" s="10" t="s">
        <v>55</v>
      </c>
      <c r="B462" s="10" t="s">
        <v>2987</v>
      </c>
      <c r="C462" t="s">
        <v>2158</v>
      </c>
      <c r="D462" t="s">
        <v>2149</v>
      </c>
      <c r="E462" s="3">
        <v>2246.2511110783535</v>
      </c>
      <c r="F462" s="3">
        <v>1201.9018000000003</v>
      </c>
      <c r="G462" s="3">
        <v>1044.3493110783531</v>
      </c>
      <c r="H462" s="3">
        <v>527.1</v>
      </c>
    </row>
    <row r="463" spans="1:8">
      <c r="A463" s="10" t="s">
        <v>54</v>
      </c>
      <c r="B463" s="10" t="s">
        <v>2988</v>
      </c>
      <c r="C463" t="s">
        <v>2158</v>
      </c>
      <c r="D463" t="s">
        <v>2149</v>
      </c>
      <c r="E463" s="3">
        <v>567.46434413656129</v>
      </c>
      <c r="F463" s="3">
        <v>291.90690000000001</v>
      </c>
      <c r="G463" s="3">
        <v>275.55744413656129</v>
      </c>
      <c r="H463" s="3">
        <v>144.91</v>
      </c>
    </row>
    <row r="464" spans="1:8">
      <c r="A464" s="10" t="s">
        <v>56</v>
      </c>
      <c r="B464" s="10" t="s">
        <v>2989</v>
      </c>
      <c r="C464" t="s">
        <v>2158</v>
      </c>
      <c r="D464" t="s">
        <v>2149</v>
      </c>
      <c r="E464" s="3">
        <v>1973.2056991045799</v>
      </c>
      <c r="F464" s="3">
        <v>660.43330000000003</v>
      </c>
      <c r="G464" s="3">
        <v>1312.77239910458</v>
      </c>
      <c r="H464" s="3">
        <v>241.95</v>
      </c>
    </row>
    <row r="465" spans="1:8">
      <c r="A465" s="10" t="s">
        <v>1666</v>
      </c>
      <c r="B465" s="10" t="s">
        <v>2990</v>
      </c>
      <c r="C465" t="s">
        <v>2156</v>
      </c>
      <c r="D465" t="s">
        <v>2149</v>
      </c>
      <c r="E465" s="3">
        <v>36.892270233548039</v>
      </c>
      <c r="F465" s="3">
        <v>25.381999999999998</v>
      </c>
      <c r="G465" s="3">
        <v>11.510270233548042</v>
      </c>
      <c r="H465" s="3">
        <v>12.28</v>
      </c>
    </row>
    <row r="466" spans="1:8">
      <c r="A466" s="10" t="s">
        <v>502</v>
      </c>
      <c r="B466" s="10" t="s">
        <v>2248</v>
      </c>
      <c r="C466" t="s">
        <v>2158</v>
      </c>
      <c r="D466" t="s">
        <v>2149</v>
      </c>
      <c r="E466" s="3">
        <v>1177.2593210390869</v>
      </c>
      <c r="F466" s="3">
        <v>521.62419999999997</v>
      </c>
      <c r="G466" s="3">
        <v>655.63512103908693</v>
      </c>
      <c r="H466" s="3">
        <v>233.86</v>
      </c>
    </row>
    <row r="467" spans="1:8">
      <c r="A467" s="10" t="s">
        <v>286</v>
      </c>
      <c r="B467" s="10" t="s">
        <v>2250</v>
      </c>
      <c r="C467" t="s">
        <v>2249</v>
      </c>
      <c r="D467" t="s">
        <v>2149</v>
      </c>
      <c r="E467" s="3">
        <v>17677.624445418805</v>
      </c>
      <c r="F467" s="3">
        <v>11748.026699999999</v>
      </c>
      <c r="G467" s="3">
        <v>5929.5977454188069</v>
      </c>
      <c r="H467" s="3">
        <v>5867.01</v>
      </c>
    </row>
    <row r="468" spans="1:8">
      <c r="A468" s="10" t="s">
        <v>609</v>
      </c>
      <c r="B468" s="10" t="s">
        <v>3002</v>
      </c>
      <c r="C468" t="s">
        <v>2233</v>
      </c>
      <c r="D468" t="s">
        <v>2149</v>
      </c>
      <c r="E468" s="3">
        <v>4628.3427832771658</v>
      </c>
      <c r="F468" s="3">
        <v>3418.1225999999997</v>
      </c>
      <c r="G468" s="3">
        <v>1210.2201832771661</v>
      </c>
      <c r="H468" s="3">
        <v>2075.64</v>
      </c>
    </row>
    <row r="469" spans="1:8">
      <c r="A469" s="10" t="s">
        <v>78</v>
      </c>
      <c r="B469" s="10" t="s">
        <v>2251</v>
      </c>
      <c r="C469" t="s">
        <v>2233</v>
      </c>
      <c r="D469" t="s">
        <v>2149</v>
      </c>
      <c r="E469" s="3">
        <v>104234.27802287329</v>
      </c>
      <c r="F469" s="3">
        <v>78051.918900000019</v>
      </c>
      <c r="G469" s="3">
        <v>26182.359122873269</v>
      </c>
      <c r="H469" s="3">
        <v>40683.370000000003</v>
      </c>
    </row>
    <row r="470" spans="1:8">
      <c r="A470" s="10" t="s">
        <v>67</v>
      </c>
      <c r="B470" s="10" t="s">
        <v>2252</v>
      </c>
      <c r="C470" t="s">
        <v>2233</v>
      </c>
      <c r="D470" t="s">
        <v>2149</v>
      </c>
      <c r="E470" s="3">
        <v>332.42138869229319</v>
      </c>
      <c r="F470" s="3">
        <v>347.04109999999997</v>
      </c>
      <c r="G470" s="3">
        <v>-14.61971130770678</v>
      </c>
      <c r="H470" s="3">
        <v>1189.2</v>
      </c>
    </row>
    <row r="471" spans="1:8">
      <c r="A471" s="10" t="s">
        <v>6</v>
      </c>
      <c r="B471" s="10" t="s">
        <v>2253</v>
      </c>
      <c r="C471" t="s">
        <v>2154</v>
      </c>
      <c r="D471" t="s">
        <v>2149</v>
      </c>
      <c r="E471" s="3">
        <v>1274.9193652113336</v>
      </c>
      <c r="F471" s="3">
        <v>13070.260000000006</v>
      </c>
      <c r="G471" s="3">
        <v>-11795.340634788672</v>
      </c>
      <c r="H471" s="3">
        <v>4402.5</v>
      </c>
    </row>
    <row r="472" spans="1:8">
      <c r="A472" s="10" t="s">
        <v>104</v>
      </c>
      <c r="B472" s="10" t="s">
        <v>2254</v>
      </c>
      <c r="C472" t="s">
        <v>2148</v>
      </c>
      <c r="D472" t="s">
        <v>2149</v>
      </c>
      <c r="E472" s="3">
        <v>3658.5837116948105</v>
      </c>
      <c r="F472" s="3">
        <v>3063.4355999999998</v>
      </c>
      <c r="G472" s="3">
        <v>595.14811169481072</v>
      </c>
      <c r="H472" s="3">
        <v>1480.77</v>
      </c>
    </row>
    <row r="473" spans="1:8">
      <c r="A473" s="10" t="s">
        <v>193</v>
      </c>
      <c r="B473" s="10" t="s">
        <v>2255</v>
      </c>
      <c r="C473" t="s">
        <v>2148</v>
      </c>
      <c r="D473" t="s">
        <v>2149</v>
      </c>
      <c r="E473" s="3">
        <v>8151.4313566031642</v>
      </c>
      <c r="F473" s="3">
        <v>5425.1277999999993</v>
      </c>
      <c r="G473" s="3">
        <v>2726.3035566031649</v>
      </c>
      <c r="H473" s="3">
        <v>4654.62</v>
      </c>
    </row>
    <row r="474" spans="1:8">
      <c r="A474" s="10" t="s">
        <v>536</v>
      </c>
      <c r="B474" s="10" t="s">
        <v>3003</v>
      </c>
      <c r="C474" t="s">
        <v>2148</v>
      </c>
      <c r="D474" t="s">
        <v>2149</v>
      </c>
      <c r="E474" s="3">
        <v>30654.699050832933</v>
      </c>
      <c r="F474" s="3">
        <v>20029.372400000004</v>
      </c>
      <c r="G474" s="3">
        <v>10625.326650832929</v>
      </c>
      <c r="H474" s="3">
        <v>11448.96</v>
      </c>
    </row>
    <row r="475" spans="1:8">
      <c r="A475" s="10" t="s">
        <v>71</v>
      </c>
      <c r="B475" s="10" t="s">
        <v>2256</v>
      </c>
      <c r="C475" t="s">
        <v>2148</v>
      </c>
      <c r="D475" t="s">
        <v>2149</v>
      </c>
      <c r="E475" s="3">
        <v>207758.15968732079</v>
      </c>
      <c r="F475" s="3">
        <v>118736.52980000003</v>
      </c>
      <c r="G475" s="3">
        <v>89021.629887320756</v>
      </c>
      <c r="H475" s="3">
        <v>40265.279999999999</v>
      </c>
    </row>
    <row r="476" spans="1:8">
      <c r="A476" s="10" t="s">
        <v>4</v>
      </c>
      <c r="B476" s="10" t="s">
        <v>3004</v>
      </c>
      <c r="C476" t="s">
        <v>2148</v>
      </c>
      <c r="D476" t="s">
        <v>2149</v>
      </c>
      <c r="E476" s="3">
        <v>35674.675755286728</v>
      </c>
      <c r="F476" s="3">
        <v>22299.390099999997</v>
      </c>
      <c r="G476" s="3">
        <v>13375.285655286731</v>
      </c>
      <c r="H476" s="3">
        <v>10901.67</v>
      </c>
    </row>
    <row r="477" spans="1:8">
      <c r="A477" s="10" t="s">
        <v>817</v>
      </c>
      <c r="B477" s="10" t="s">
        <v>2257</v>
      </c>
      <c r="C477" t="s">
        <v>2148</v>
      </c>
      <c r="D477" t="s">
        <v>2149</v>
      </c>
      <c r="E477" s="3">
        <v>668.25780000000009</v>
      </c>
      <c r="F477" s="3">
        <v>815.77980000000002</v>
      </c>
      <c r="G477" s="3">
        <v>-147.52199999999993</v>
      </c>
      <c r="H477" s="3">
        <v>1152.06</v>
      </c>
    </row>
    <row r="478" spans="1:8">
      <c r="A478" s="10" t="s">
        <v>658</v>
      </c>
      <c r="B478" s="10" t="s">
        <v>2258</v>
      </c>
      <c r="C478" t="s">
        <v>2154</v>
      </c>
      <c r="D478" t="s">
        <v>2149</v>
      </c>
      <c r="E478" s="3">
        <v>2533.9299992172987</v>
      </c>
      <c r="F478" s="3">
        <v>2878.5308999999997</v>
      </c>
      <c r="G478" s="3">
        <v>-344.60090078270105</v>
      </c>
      <c r="H478" s="3">
        <v>1554.8</v>
      </c>
    </row>
    <row r="479" spans="1:8">
      <c r="A479" s="10" t="s">
        <v>977</v>
      </c>
      <c r="B479" s="10" t="s">
        <v>3007</v>
      </c>
      <c r="C479" t="s">
        <v>2158</v>
      </c>
      <c r="D479" t="s">
        <v>2149</v>
      </c>
      <c r="E479" s="3">
        <v>433.10464263726811</v>
      </c>
      <c r="F479" s="3">
        <v>220.24</v>
      </c>
      <c r="G479" s="3">
        <v>212.8646426372681</v>
      </c>
      <c r="H479" s="3">
        <v>330.24</v>
      </c>
    </row>
    <row r="480" spans="1:8">
      <c r="A480" s="10" t="s">
        <v>659</v>
      </c>
      <c r="B480" s="10" t="s">
        <v>3350</v>
      </c>
      <c r="C480" t="s">
        <v>2158</v>
      </c>
      <c r="D480" t="s">
        <v>2149</v>
      </c>
      <c r="E480" s="3">
        <v>242.00850780952956</v>
      </c>
      <c r="F480" s="3">
        <v>93.081299999999999</v>
      </c>
      <c r="G480" s="3">
        <v>148.92720780952956</v>
      </c>
      <c r="H480" s="3">
        <v>48.64</v>
      </c>
    </row>
    <row r="481" spans="1:8">
      <c r="A481" s="10" t="s">
        <v>380</v>
      </c>
      <c r="B481" s="10" t="s">
        <v>3008</v>
      </c>
      <c r="C481" t="s">
        <v>2158</v>
      </c>
      <c r="D481" t="s">
        <v>2149</v>
      </c>
      <c r="E481" s="3">
        <v>159.39367935378198</v>
      </c>
      <c r="F481" s="3">
        <v>113.92149999999999</v>
      </c>
      <c r="G481" s="3">
        <v>45.472179353781982</v>
      </c>
      <c r="H481" s="3">
        <v>95.85</v>
      </c>
    </row>
    <row r="482" spans="1:8">
      <c r="A482" s="10" t="s">
        <v>130</v>
      </c>
      <c r="B482" s="10" t="s">
        <v>3009</v>
      </c>
      <c r="C482" t="s">
        <v>2158</v>
      </c>
      <c r="D482" t="s">
        <v>2149</v>
      </c>
      <c r="E482" s="3">
        <v>451.44189018180322</v>
      </c>
      <c r="F482" s="3">
        <v>150.70089999999996</v>
      </c>
      <c r="G482" s="3">
        <v>300.74099018180323</v>
      </c>
      <c r="H482" s="3">
        <v>64</v>
      </c>
    </row>
    <row r="483" spans="1:8">
      <c r="A483" s="10" t="s">
        <v>979</v>
      </c>
      <c r="B483" s="10" t="s">
        <v>3010</v>
      </c>
      <c r="C483" t="s">
        <v>2158</v>
      </c>
      <c r="D483" t="s">
        <v>2149</v>
      </c>
      <c r="E483" s="3">
        <v>14.68264440565347</v>
      </c>
      <c r="F483" s="3">
        <v>5.76</v>
      </c>
      <c r="G483" s="3">
        <v>8.9226444056534699</v>
      </c>
      <c r="H483" s="3">
        <v>5.76</v>
      </c>
    </row>
    <row r="484" spans="1:8">
      <c r="A484" s="10" t="s">
        <v>209</v>
      </c>
      <c r="B484" s="10" t="s">
        <v>2262</v>
      </c>
      <c r="C484" t="s">
        <v>2158</v>
      </c>
      <c r="D484" t="s">
        <v>2149</v>
      </c>
      <c r="E484" s="3">
        <v>246.79806476823143</v>
      </c>
      <c r="F484" s="3">
        <v>105.66019999999999</v>
      </c>
      <c r="G484" s="3">
        <v>141.13786476823145</v>
      </c>
      <c r="H484" s="3">
        <v>49.68</v>
      </c>
    </row>
    <row r="485" spans="1:8">
      <c r="A485" s="10" t="s">
        <v>208</v>
      </c>
      <c r="B485" s="10" t="s">
        <v>2263</v>
      </c>
      <c r="C485" t="s">
        <v>2158</v>
      </c>
      <c r="D485" t="s">
        <v>2149</v>
      </c>
      <c r="E485" s="3">
        <v>769.03307448943053</v>
      </c>
      <c r="F485" s="3">
        <v>312.20749999999998</v>
      </c>
      <c r="G485" s="3">
        <v>456.82557448943055</v>
      </c>
      <c r="H485" s="3">
        <v>110.4</v>
      </c>
    </row>
    <row r="486" spans="1:8">
      <c r="A486" s="10" t="s">
        <v>1668</v>
      </c>
      <c r="B486" s="10" t="s">
        <v>2264</v>
      </c>
      <c r="C486" t="s">
        <v>2158</v>
      </c>
      <c r="D486" t="s">
        <v>2149</v>
      </c>
      <c r="E486" s="3">
        <v>147.98731317667736</v>
      </c>
      <c r="F486" s="3">
        <v>34.861800000000002</v>
      </c>
      <c r="G486" s="3">
        <v>113.12551317667736</v>
      </c>
      <c r="H486" s="3">
        <v>17.5</v>
      </c>
    </row>
    <row r="487" spans="1:8">
      <c r="A487" s="10" t="s">
        <v>641</v>
      </c>
      <c r="B487" s="10" t="s">
        <v>3011</v>
      </c>
      <c r="C487" t="s">
        <v>2156</v>
      </c>
      <c r="D487" t="s">
        <v>2149</v>
      </c>
      <c r="E487" s="3">
        <v>13.002000000000001</v>
      </c>
      <c r="F487" s="3">
        <v>5.2716000000000003</v>
      </c>
      <c r="G487" s="3">
        <v>7.7304000000000004</v>
      </c>
      <c r="H487" s="3">
        <v>4.0599999999999996</v>
      </c>
    </row>
    <row r="488" spans="1:8">
      <c r="A488" s="10" t="s">
        <v>132</v>
      </c>
      <c r="B488" s="10" t="s">
        <v>3012</v>
      </c>
      <c r="C488" t="s">
        <v>2158</v>
      </c>
      <c r="D488" t="s">
        <v>2149</v>
      </c>
      <c r="E488" s="3">
        <v>42.804418463707044</v>
      </c>
      <c r="F488" s="3">
        <v>20.951200000000004</v>
      </c>
      <c r="G488" s="3">
        <v>21.853218463707041</v>
      </c>
      <c r="H488" s="3">
        <v>11.96</v>
      </c>
    </row>
    <row r="489" spans="1:8">
      <c r="A489" s="10" t="s">
        <v>123</v>
      </c>
      <c r="B489" s="10" t="s">
        <v>3013</v>
      </c>
      <c r="C489" t="s">
        <v>2158</v>
      </c>
      <c r="D489" t="s">
        <v>2149</v>
      </c>
      <c r="E489" s="3">
        <v>61.253283010886193</v>
      </c>
      <c r="F489" s="3">
        <v>33.271699999999996</v>
      </c>
      <c r="G489" s="3">
        <v>27.981583010886197</v>
      </c>
      <c r="H489" s="3">
        <v>16.5</v>
      </c>
    </row>
    <row r="490" spans="1:8">
      <c r="A490" s="10" t="s">
        <v>137</v>
      </c>
      <c r="B490" s="10" t="s">
        <v>3353</v>
      </c>
      <c r="C490" t="s">
        <v>2158</v>
      </c>
      <c r="D490" t="s">
        <v>2149</v>
      </c>
      <c r="E490" s="3">
        <v>199.82227901129733</v>
      </c>
      <c r="F490" s="3">
        <v>59.255600000000015</v>
      </c>
      <c r="G490" s="3">
        <v>140.56667901129731</v>
      </c>
      <c r="H490" s="3">
        <v>19</v>
      </c>
    </row>
    <row r="491" spans="1:8">
      <c r="A491" s="10" t="s">
        <v>390</v>
      </c>
      <c r="B491" s="10" t="s">
        <v>2265</v>
      </c>
      <c r="C491" t="s">
        <v>2158</v>
      </c>
      <c r="D491" t="s">
        <v>2149</v>
      </c>
      <c r="E491" s="3">
        <v>1003.5053800342105</v>
      </c>
      <c r="F491" s="3">
        <v>663.98910000000012</v>
      </c>
      <c r="G491" s="3">
        <v>339.51628003421035</v>
      </c>
      <c r="H491" s="3">
        <v>306.94</v>
      </c>
    </row>
    <row r="492" spans="1:8">
      <c r="A492" s="10" t="s">
        <v>642</v>
      </c>
      <c r="B492" s="10" t="s">
        <v>2266</v>
      </c>
      <c r="C492" t="s">
        <v>2158</v>
      </c>
      <c r="D492" t="s">
        <v>2149</v>
      </c>
      <c r="E492" s="3">
        <v>23.145094070243339</v>
      </c>
      <c r="F492" s="3">
        <v>7.391499999999998</v>
      </c>
      <c r="G492" s="3">
        <v>15.753594070243341</v>
      </c>
      <c r="H492" s="3">
        <v>5.32</v>
      </c>
    </row>
    <row r="493" spans="1:8">
      <c r="A493" s="10" t="s">
        <v>1673</v>
      </c>
      <c r="B493" s="10" t="s">
        <v>3016</v>
      </c>
      <c r="C493" t="s">
        <v>2158</v>
      </c>
      <c r="D493" t="s">
        <v>2149</v>
      </c>
      <c r="E493" s="3">
        <v>17.342803931090078</v>
      </c>
      <c r="F493" s="3">
        <v>6.2875000000000005</v>
      </c>
      <c r="G493" s="3">
        <v>11.055303931090076</v>
      </c>
      <c r="H493" s="3">
        <v>3.2</v>
      </c>
    </row>
    <row r="494" spans="1:8">
      <c r="A494" s="10" t="s">
        <v>1674</v>
      </c>
      <c r="B494" s="10" t="s">
        <v>3017</v>
      </c>
      <c r="C494" t="s">
        <v>2158</v>
      </c>
      <c r="D494" t="s">
        <v>2149</v>
      </c>
      <c r="E494" s="3">
        <v>6.2250000000000005</v>
      </c>
      <c r="F494" s="3">
        <v>1.778</v>
      </c>
      <c r="G494" s="3">
        <v>4.447000000000001</v>
      </c>
      <c r="H494" s="3">
        <v>3.4</v>
      </c>
    </row>
    <row r="495" spans="1:8">
      <c r="A495" s="10" t="s">
        <v>182</v>
      </c>
      <c r="B495" s="10" t="s">
        <v>3019</v>
      </c>
      <c r="C495" t="s">
        <v>2158</v>
      </c>
      <c r="D495" t="s">
        <v>2149</v>
      </c>
      <c r="E495" s="3">
        <v>111.17290000000001</v>
      </c>
      <c r="F495" s="3">
        <v>34.922200000000011</v>
      </c>
      <c r="G495" s="3">
        <v>76.250699999999995</v>
      </c>
      <c r="H495" s="3">
        <v>24.78</v>
      </c>
    </row>
    <row r="496" spans="1:8">
      <c r="A496" s="10" t="s">
        <v>1678</v>
      </c>
      <c r="B496" s="10" t="s">
        <v>3020</v>
      </c>
      <c r="C496" t="s">
        <v>2156</v>
      </c>
      <c r="D496" t="s">
        <v>2149</v>
      </c>
      <c r="E496" s="3">
        <v>8.6625000000000014</v>
      </c>
      <c r="F496" s="3">
        <v>4.2299999999999995</v>
      </c>
      <c r="G496" s="3">
        <v>4.4325000000000019</v>
      </c>
      <c r="H496" s="3">
        <v>4.1100000000000003</v>
      </c>
    </row>
    <row r="497" spans="1:8">
      <c r="A497" s="10" t="s">
        <v>172</v>
      </c>
      <c r="B497" s="10" t="s">
        <v>3021</v>
      </c>
      <c r="C497" t="s">
        <v>2158</v>
      </c>
      <c r="D497" t="s">
        <v>2149</v>
      </c>
      <c r="E497" s="3">
        <v>730.97899268268316</v>
      </c>
      <c r="F497" s="3">
        <v>277.1173</v>
      </c>
      <c r="G497" s="3">
        <v>453.86169268268316</v>
      </c>
      <c r="H497" s="3">
        <v>113.92</v>
      </c>
    </row>
    <row r="498" spans="1:8">
      <c r="A498" s="10" t="s">
        <v>610</v>
      </c>
      <c r="B498" s="10" t="s">
        <v>3022</v>
      </c>
      <c r="C498" t="s">
        <v>2158</v>
      </c>
      <c r="D498" t="s">
        <v>2149</v>
      </c>
      <c r="E498" s="3">
        <v>134.28491875168942</v>
      </c>
      <c r="F498" s="3">
        <v>67.891599999999997</v>
      </c>
      <c r="G498" s="3">
        <v>66.393318751689421</v>
      </c>
      <c r="H498" s="3">
        <v>36.32</v>
      </c>
    </row>
    <row r="499" spans="1:8">
      <c r="A499" s="10" t="s">
        <v>850</v>
      </c>
      <c r="B499" s="10" t="s">
        <v>2267</v>
      </c>
      <c r="C499" t="s">
        <v>2158</v>
      </c>
      <c r="D499" t="s">
        <v>2149</v>
      </c>
      <c r="E499" s="3">
        <v>106.577125</v>
      </c>
      <c r="F499" s="3">
        <v>43.198499999999996</v>
      </c>
      <c r="G499" s="3">
        <v>63.378625</v>
      </c>
      <c r="H499" s="3">
        <v>12.48</v>
      </c>
    </row>
    <row r="500" spans="1:8">
      <c r="A500" s="10" t="s">
        <v>611</v>
      </c>
      <c r="B500" s="10" t="s">
        <v>2268</v>
      </c>
      <c r="C500" t="s">
        <v>2156</v>
      </c>
      <c r="D500" t="s">
        <v>2149</v>
      </c>
      <c r="E500" s="3">
        <v>46.196877288542822</v>
      </c>
      <c r="F500" s="3">
        <v>22.052299999999995</v>
      </c>
      <c r="G500" s="3">
        <v>24.144577288542827</v>
      </c>
      <c r="H500" s="3">
        <v>14.5</v>
      </c>
    </row>
    <row r="501" spans="1:8">
      <c r="A501" s="10" t="s">
        <v>394</v>
      </c>
      <c r="B501" s="10" t="s">
        <v>3029</v>
      </c>
      <c r="C501" t="s">
        <v>2158</v>
      </c>
      <c r="D501" t="s">
        <v>2149</v>
      </c>
      <c r="E501" s="3">
        <v>158.55398089804899</v>
      </c>
      <c r="F501" s="3">
        <v>72.350699999999989</v>
      </c>
      <c r="G501" s="3">
        <v>86.203280898049002</v>
      </c>
      <c r="H501" s="3">
        <v>47.2</v>
      </c>
    </row>
    <row r="502" spans="1:8">
      <c r="A502" s="10" t="s">
        <v>152</v>
      </c>
      <c r="B502" s="10" t="s">
        <v>2269</v>
      </c>
      <c r="C502" t="s">
        <v>2158</v>
      </c>
      <c r="D502" t="s">
        <v>2149</v>
      </c>
      <c r="E502" s="3">
        <v>1340.7063078513859</v>
      </c>
      <c r="F502" s="3">
        <v>502.46870000000018</v>
      </c>
      <c r="G502" s="3">
        <v>838.23760785138575</v>
      </c>
      <c r="H502" s="3">
        <v>272.8</v>
      </c>
    </row>
    <row r="503" spans="1:8">
      <c r="A503" s="10" t="s">
        <v>154</v>
      </c>
      <c r="B503" s="10" t="s">
        <v>2270</v>
      </c>
      <c r="C503" t="s">
        <v>2158</v>
      </c>
      <c r="D503" t="s">
        <v>2149</v>
      </c>
      <c r="E503" s="3">
        <v>457.57332972912957</v>
      </c>
      <c r="F503" s="3">
        <v>155.76480000000001</v>
      </c>
      <c r="G503" s="3">
        <v>301.80852972912953</v>
      </c>
      <c r="H503" s="3">
        <v>56</v>
      </c>
    </row>
    <row r="504" spans="1:8">
      <c r="A504" s="10" t="s">
        <v>660</v>
      </c>
      <c r="B504" s="10" t="s">
        <v>2271</v>
      </c>
      <c r="C504" t="s">
        <v>2158</v>
      </c>
      <c r="D504" t="s">
        <v>2149</v>
      </c>
      <c r="E504" s="3">
        <v>504.52855249204379</v>
      </c>
      <c r="F504" s="3">
        <v>222.69439999999992</v>
      </c>
      <c r="G504" s="3">
        <v>281.83415249204387</v>
      </c>
      <c r="H504" s="3">
        <v>77.5</v>
      </c>
    </row>
    <row r="505" spans="1:8">
      <c r="A505" s="10" t="s">
        <v>696</v>
      </c>
      <c r="B505" s="10" t="s">
        <v>2272</v>
      </c>
      <c r="C505" t="s">
        <v>2158</v>
      </c>
      <c r="D505" t="s">
        <v>2149</v>
      </c>
      <c r="E505" s="3">
        <v>551.02290114385937</v>
      </c>
      <c r="F505" s="3">
        <v>233.51530000000008</v>
      </c>
      <c r="G505" s="3">
        <v>317.50760114385929</v>
      </c>
      <c r="H505" s="3">
        <v>91.18</v>
      </c>
    </row>
    <row r="506" spans="1:8">
      <c r="A506" s="10" t="s">
        <v>447</v>
      </c>
      <c r="B506" s="10" t="s">
        <v>3031</v>
      </c>
      <c r="C506" t="s">
        <v>2156</v>
      </c>
      <c r="D506" t="s">
        <v>2149</v>
      </c>
      <c r="E506" s="3">
        <v>56.459232461719665</v>
      </c>
      <c r="F506" s="3">
        <v>30.611000000000001</v>
      </c>
      <c r="G506" s="3">
        <v>25.848232461719665</v>
      </c>
      <c r="H506" s="3">
        <v>25.02</v>
      </c>
    </row>
    <row r="507" spans="1:8">
      <c r="A507" s="10" t="s">
        <v>643</v>
      </c>
      <c r="B507" s="10" t="s">
        <v>3032</v>
      </c>
      <c r="C507" t="s">
        <v>2156</v>
      </c>
      <c r="D507" t="s">
        <v>2149</v>
      </c>
      <c r="E507" s="3">
        <v>18.523400282742418</v>
      </c>
      <c r="F507" s="3">
        <v>10.8108</v>
      </c>
      <c r="G507" s="3">
        <v>7.712600282742418</v>
      </c>
      <c r="H507" s="3">
        <v>6</v>
      </c>
    </row>
    <row r="508" spans="1:8">
      <c r="A508" s="10" t="s">
        <v>333</v>
      </c>
      <c r="B508" s="10" t="s">
        <v>2273</v>
      </c>
      <c r="C508" t="s">
        <v>2156</v>
      </c>
      <c r="D508" t="s">
        <v>2149</v>
      </c>
      <c r="E508" s="3">
        <v>-0.28802966197705321</v>
      </c>
      <c r="F508" s="3">
        <v>0</v>
      </c>
      <c r="G508" s="3">
        <v>-0.28802966197705321</v>
      </c>
      <c r="H508" s="3">
        <v>15.9</v>
      </c>
    </row>
    <row r="509" spans="1:8">
      <c r="A509" s="10" t="s">
        <v>338</v>
      </c>
      <c r="B509" s="10" t="s">
        <v>3036</v>
      </c>
      <c r="C509" t="s">
        <v>2156</v>
      </c>
      <c r="D509" t="s">
        <v>2149</v>
      </c>
      <c r="E509" s="3">
        <v>22.525378328229881</v>
      </c>
      <c r="F509" s="3">
        <v>13.513199999999999</v>
      </c>
      <c r="G509" s="3">
        <v>9.0121783282298811</v>
      </c>
      <c r="H509" s="3">
        <v>8</v>
      </c>
    </row>
    <row r="510" spans="1:8">
      <c r="A510" s="10" t="s">
        <v>980</v>
      </c>
      <c r="B510" s="10" t="s">
        <v>2274</v>
      </c>
      <c r="C510" t="s">
        <v>2158</v>
      </c>
      <c r="D510" t="s">
        <v>2149</v>
      </c>
      <c r="E510" s="3">
        <v>75.46960690893107</v>
      </c>
      <c r="F510" s="3">
        <v>40.663599999999995</v>
      </c>
      <c r="G510" s="3">
        <v>34.806006908931074</v>
      </c>
      <c r="H510" s="3">
        <v>26.4</v>
      </c>
    </row>
    <row r="511" spans="1:8">
      <c r="A511" s="10" t="s">
        <v>327</v>
      </c>
      <c r="B511" s="10" t="s">
        <v>3039</v>
      </c>
      <c r="C511" t="s">
        <v>2158</v>
      </c>
      <c r="D511" t="s">
        <v>2149</v>
      </c>
      <c r="E511" s="3">
        <v>18.781556210389546</v>
      </c>
      <c r="F511" s="3">
        <v>7.1809999999999992</v>
      </c>
      <c r="G511" s="3">
        <v>11.600556210389547</v>
      </c>
      <c r="H511" s="3">
        <v>2.76</v>
      </c>
    </row>
    <row r="512" spans="1:8">
      <c r="A512" s="10" t="s">
        <v>188</v>
      </c>
      <c r="B512" s="10" t="s">
        <v>2275</v>
      </c>
      <c r="C512" t="s">
        <v>2158</v>
      </c>
      <c r="D512" t="s">
        <v>2149</v>
      </c>
      <c r="E512" s="3">
        <v>231.68111095329454</v>
      </c>
      <c r="F512" s="3">
        <v>89.691700000000026</v>
      </c>
      <c r="G512" s="3">
        <v>141.98941095329451</v>
      </c>
      <c r="H512" s="3">
        <v>56.35</v>
      </c>
    </row>
    <row r="513" spans="1:8">
      <c r="A513" s="10" t="s">
        <v>814</v>
      </c>
      <c r="B513" s="10" t="s">
        <v>3042</v>
      </c>
      <c r="C513" t="s">
        <v>2158</v>
      </c>
      <c r="D513" t="s">
        <v>2149</v>
      </c>
      <c r="E513" s="3">
        <v>-4.3827954541592318</v>
      </c>
      <c r="F513" s="3">
        <v>-2.1450000000000005</v>
      </c>
      <c r="G513" s="3">
        <v>-2.2377954541592313</v>
      </c>
      <c r="H513" s="3">
        <v>11.2</v>
      </c>
    </row>
    <row r="514" spans="1:8">
      <c r="A514" s="10" t="s">
        <v>981</v>
      </c>
      <c r="B514" s="10" t="s">
        <v>3047</v>
      </c>
      <c r="C514" t="s">
        <v>2158</v>
      </c>
      <c r="D514" t="s">
        <v>2149</v>
      </c>
      <c r="E514" s="3">
        <v>174.05318884029003</v>
      </c>
      <c r="F514" s="3">
        <v>89.562300000000008</v>
      </c>
      <c r="G514" s="3">
        <v>84.490888840290026</v>
      </c>
      <c r="H514" s="3">
        <v>66</v>
      </c>
    </row>
    <row r="515" spans="1:8">
      <c r="A515" s="10" t="s">
        <v>983</v>
      </c>
      <c r="B515" s="10" t="s">
        <v>3048</v>
      </c>
      <c r="C515" t="s">
        <v>2156</v>
      </c>
      <c r="D515" t="s">
        <v>2149</v>
      </c>
      <c r="E515" s="3">
        <v>22.504879249999998</v>
      </c>
      <c r="F515" s="3">
        <v>11.180859999999999</v>
      </c>
      <c r="G515" s="3">
        <v>11.324019249999999</v>
      </c>
      <c r="H515" s="3">
        <v>6.09</v>
      </c>
    </row>
    <row r="516" spans="1:8">
      <c r="A516" s="10" t="s">
        <v>986</v>
      </c>
      <c r="B516" s="10" t="s">
        <v>3052</v>
      </c>
      <c r="C516" t="s">
        <v>2156</v>
      </c>
      <c r="D516" t="s">
        <v>2149</v>
      </c>
      <c r="E516" s="3">
        <v>60.946650000000005</v>
      </c>
      <c r="F516" s="3">
        <v>26.361600000000003</v>
      </c>
      <c r="G516" s="3">
        <v>34.585050000000003</v>
      </c>
      <c r="H516" s="3">
        <v>10.5</v>
      </c>
    </row>
    <row r="517" spans="1:8">
      <c r="A517" s="10" t="s">
        <v>465</v>
      </c>
      <c r="B517" s="10" t="s">
        <v>3054</v>
      </c>
      <c r="C517" t="s">
        <v>2158</v>
      </c>
      <c r="D517" t="s">
        <v>2149</v>
      </c>
      <c r="E517" s="3">
        <v>566.65507335270615</v>
      </c>
      <c r="F517" s="3">
        <v>249.11440000000002</v>
      </c>
      <c r="G517" s="3">
        <v>317.54067335270611</v>
      </c>
      <c r="H517" s="3">
        <v>130.75</v>
      </c>
    </row>
    <row r="518" spans="1:8">
      <c r="A518" s="10" t="s">
        <v>662</v>
      </c>
      <c r="B518" s="10" t="s">
        <v>3055</v>
      </c>
      <c r="C518" t="s">
        <v>2158</v>
      </c>
      <c r="D518" t="s">
        <v>2149</v>
      </c>
      <c r="E518" s="3">
        <v>69.863212612810244</v>
      </c>
      <c r="F518" s="3">
        <v>32.91020000000001</v>
      </c>
      <c r="G518" s="3">
        <v>36.953012612810234</v>
      </c>
      <c r="H518" s="3">
        <v>18.920000000000002</v>
      </c>
    </row>
    <row r="519" spans="1:8">
      <c r="A519" s="10" t="s">
        <v>135</v>
      </c>
      <c r="B519" s="10" t="s">
        <v>3056</v>
      </c>
      <c r="C519" t="s">
        <v>2158</v>
      </c>
      <c r="D519" t="s">
        <v>2149</v>
      </c>
      <c r="E519" s="3">
        <v>42.332283814638458</v>
      </c>
      <c r="F519" s="3">
        <v>18.8506</v>
      </c>
      <c r="G519" s="3">
        <v>23.481683814638458</v>
      </c>
      <c r="H519" s="3">
        <v>12.32</v>
      </c>
    </row>
    <row r="520" spans="1:8">
      <c r="A520" s="10" t="s">
        <v>181</v>
      </c>
      <c r="B520" s="10" t="s">
        <v>3057</v>
      </c>
      <c r="C520" t="s">
        <v>2158</v>
      </c>
      <c r="D520" t="s">
        <v>2149</v>
      </c>
      <c r="E520" s="3">
        <v>540.14934944472509</v>
      </c>
      <c r="F520" s="3">
        <v>194.3484</v>
      </c>
      <c r="G520" s="3">
        <v>345.80094944472512</v>
      </c>
      <c r="H520" s="3">
        <v>69.75</v>
      </c>
    </row>
    <row r="521" spans="1:8">
      <c r="A521" s="10" t="s">
        <v>194</v>
      </c>
      <c r="B521" s="10" t="s">
        <v>2276</v>
      </c>
      <c r="C521" t="s">
        <v>2158</v>
      </c>
      <c r="D521" t="s">
        <v>2149</v>
      </c>
      <c r="E521" s="3">
        <v>1570.387463651032</v>
      </c>
      <c r="F521" s="3">
        <v>1004.7520000000004</v>
      </c>
      <c r="G521" s="3">
        <v>565.63546365103161</v>
      </c>
      <c r="H521" s="3">
        <v>500.46</v>
      </c>
    </row>
    <row r="522" spans="1:8">
      <c r="A522" s="10" t="s">
        <v>445</v>
      </c>
      <c r="B522" s="10" t="s">
        <v>2277</v>
      </c>
      <c r="C522" t="s">
        <v>2158</v>
      </c>
      <c r="D522" t="s">
        <v>2149</v>
      </c>
      <c r="E522" s="3">
        <v>209.94469884528951</v>
      </c>
      <c r="F522" s="3">
        <v>99.62639999999999</v>
      </c>
      <c r="G522" s="3">
        <v>110.31829884528952</v>
      </c>
      <c r="H522" s="3">
        <v>69.44</v>
      </c>
    </row>
    <row r="523" spans="1:8">
      <c r="A523" s="10" t="s">
        <v>987</v>
      </c>
      <c r="B523" s="10" t="s">
        <v>3358</v>
      </c>
      <c r="C523" t="s">
        <v>2156</v>
      </c>
      <c r="D523" t="s">
        <v>2149</v>
      </c>
      <c r="E523" s="3">
        <v>17.724</v>
      </c>
      <c r="F523" s="3">
        <v>9.57</v>
      </c>
      <c r="G523" s="3">
        <v>8.1539999999999999</v>
      </c>
      <c r="H523" s="3">
        <v>9.56</v>
      </c>
    </row>
    <row r="524" spans="1:8">
      <c r="A524" s="10" t="s">
        <v>1695</v>
      </c>
      <c r="B524" s="10" t="s">
        <v>3058</v>
      </c>
      <c r="C524" t="s">
        <v>2169</v>
      </c>
      <c r="D524" t="s">
        <v>2149</v>
      </c>
      <c r="E524" s="3">
        <v>98.12345387858791</v>
      </c>
      <c r="F524" s="3">
        <v>47.181300000000007</v>
      </c>
      <c r="G524" s="3">
        <v>50.942153878587902</v>
      </c>
      <c r="H524" s="3">
        <v>28.8</v>
      </c>
    </row>
    <row r="525" spans="1:8">
      <c r="A525" s="10" t="s">
        <v>180</v>
      </c>
      <c r="B525" s="10" t="s">
        <v>3065</v>
      </c>
      <c r="C525" t="s">
        <v>2158</v>
      </c>
      <c r="D525" t="s">
        <v>2149</v>
      </c>
      <c r="E525" s="3">
        <v>35.077159523025578</v>
      </c>
      <c r="F525" s="3">
        <v>12.6274</v>
      </c>
      <c r="G525" s="3">
        <v>22.449759523025577</v>
      </c>
      <c r="H525" s="3">
        <v>16.5</v>
      </c>
    </row>
    <row r="526" spans="1:8">
      <c r="A526" s="10" t="s">
        <v>988</v>
      </c>
      <c r="B526" s="10" t="s">
        <v>3066</v>
      </c>
      <c r="C526" t="s">
        <v>2158</v>
      </c>
      <c r="D526" t="s">
        <v>2149</v>
      </c>
      <c r="E526" s="3">
        <v>85.337055009410363</v>
      </c>
      <c r="F526" s="3">
        <v>39.843199999999996</v>
      </c>
      <c r="G526" s="3">
        <v>45.493855009410368</v>
      </c>
      <c r="H526" s="3">
        <v>29.44</v>
      </c>
    </row>
    <row r="527" spans="1:8">
      <c r="A527" s="10" t="s">
        <v>293</v>
      </c>
      <c r="B527" s="10" t="s">
        <v>3069</v>
      </c>
      <c r="C527" t="s">
        <v>2158</v>
      </c>
      <c r="D527" t="s">
        <v>2149</v>
      </c>
      <c r="E527" s="3">
        <v>8.0324999999999989</v>
      </c>
      <c r="F527" s="3">
        <v>3.0790999999999999</v>
      </c>
      <c r="G527" s="3">
        <v>4.9533999999999985</v>
      </c>
      <c r="H527" s="3">
        <v>5.16</v>
      </c>
    </row>
    <row r="528" spans="1:8">
      <c r="A528" s="10" t="s">
        <v>990</v>
      </c>
      <c r="B528" s="10" t="s">
        <v>2278</v>
      </c>
      <c r="C528" t="s">
        <v>2158</v>
      </c>
      <c r="D528" t="s">
        <v>2149</v>
      </c>
      <c r="E528" s="3">
        <v>167.5368552904435</v>
      </c>
      <c r="F528" s="3">
        <v>65.063299999999998</v>
      </c>
      <c r="G528" s="3">
        <v>102.4735552904435</v>
      </c>
      <c r="H528" s="3">
        <v>31</v>
      </c>
    </row>
    <row r="529" spans="1:8">
      <c r="A529" s="10" t="s">
        <v>526</v>
      </c>
      <c r="B529" s="10" t="s">
        <v>3070</v>
      </c>
      <c r="C529" t="s">
        <v>2158</v>
      </c>
      <c r="D529" t="s">
        <v>2149</v>
      </c>
      <c r="E529" s="3">
        <v>44.19143841885672</v>
      </c>
      <c r="F529" s="3">
        <v>22.974699999999995</v>
      </c>
      <c r="G529" s="3">
        <v>21.216738418856725</v>
      </c>
      <c r="H529" s="3">
        <v>11.6</v>
      </c>
    </row>
    <row r="530" spans="1:8">
      <c r="A530" s="10" t="s">
        <v>524</v>
      </c>
      <c r="B530" s="10" t="s">
        <v>3364</v>
      </c>
      <c r="C530" t="s">
        <v>2158</v>
      </c>
      <c r="D530" t="s">
        <v>2149</v>
      </c>
      <c r="E530" s="3">
        <v>84.902198948344221</v>
      </c>
      <c r="F530" s="3">
        <v>39.509</v>
      </c>
      <c r="G530" s="3">
        <v>45.393198948344221</v>
      </c>
      <c r="H530" s="3">
        <v>24.32</v>
      </c>
    </row>
    <row r="531" spans="1:8">
      <c r="A531" s="10" t="s">
        <v>663</v>
      </c>
      <c r="B531" s="10" t="s">
        <v>2279</v>
      </c>
      <c r="C531" t="s">
        <v>2158</v>
      </c>
      <c r="D531" t="s">
        <v>2149</v>
      </c>
      <c r="E531" s="3">
        <v>58.06450530767345</v>
      </c>
      <c r="F531" s="3">
        <v>31.537499999999994</v>
      </c>
      <c r="G531" s="3">
        <v>26.527005307673456</v>
      </c>
      <c r="H531" s="3">
        <v>41.2</v>
      </c>
    </row>
    <row r="532" spans="1:8">
      <c r="A532" s="10" t="s">
        <v>144</v>
      </c>
      <c r="B532" s="10" t="s">
        <v>2280</v>
      </c>
      <c r="C532" t="s">
        <v>2158</v>
      </c>
      <c r="D532" t="s">
        <v>2149</v>
      </c>
      <c r="E532" s="3">
        <v>1368.8323995674687</v>
      </c>
      <c r="F532" s="3">
        <v>472.46650000000011</v>
      </c>
      <c r="G532" s="3">
        <v>896.36589956746855</v>
      </c>
      <c r="H532" s="3">
        <v>172.9</v>
      </c>
    </row>
    <row r="533" spans="1:8">
      <c r="A533" s="10" t="s">
        <v>476</v>
      </c>
      <c r="B533" s="10" t="s">
        <v>3073</v>
      </c>
      <c r="C533" t="s">
        <v>2156</v>
      </c>
      <c r="D533" t="s">
        <v>2149</v>
      </c>
      <c r="E533" s="3">
        <v>46.849590376443032</v>
      </c>
      <c r="F533" s="3">
        <v>19.5762</v>
      </c>
      <c r="G533" s="3">
        <v>27.273390376443032</v>
      </c>
      <c r="H533" s="3">
        <v>54.72</v>
      </c>
    </row>
    <row r="534" spans="1:8">
      <c r="A534" s="10" t="s">
        <v>334</v>
      </c>
      <c r="B534" s="10" t="s">
        <v>2281</v>
      </c>
      <c r="C534" t="s">
        <v>2158</v>
      </c>
      <c r="D534" t="s">
        <v>2149</v>
      </c>
      <c r="E534" s="3">
        <v>69.631736008596008</v>
      </c>
      <c r="F534" s="3">
        <v>35.534800000000004</v>
      </c>
      <c r="G534" s="3">
        <v>34.096936008596003</v>
      </c>
      <c r="H534" s="3">
        <v>12.48</v>
      </c>
    </row>
    <row r="535" spans="1:8">
      <c r="A535" s="10" t="s">
        <v>644</v>
      </c>
      <c r="B535" s="10" t="s">
        <v>3074</v>
      </c>
      <c r="C535" t="s">
        <v>2156</v>
      </c>
      <c r="D535" t="s">
        <v>2149</v>
      </c>
      <c r="E535" s="3">
        <v>49.581847207629252</v>
      </c>
      <c r="F535" s="3">
        <v>24.691200000000002</v>
      </c>
      <c r="G535" s="3">
        <v>24.89064720762925</v>
      </c>
      <c r="H535" s="3">
        <v>82.2</v>
      </c>
    </row>
    <row r="536" spans="1:8">
      <c r="A536" s="10" t="s">
        <v>37</v>
      </c>
      <c r="B536" s="10" t="s">
        <v>2282</v>
      </c>
      <c r="C536" t="s">
        <v>2158</v>
      </c>
      <c r="D536" t="s">
        <v>2149</v>
      </c>
      <c r="E536" s="3">
        <v>502.41292268593344</v>
      </c>
      <c r="F536" s="3">
        <v>242.43590000000006</v>
      </c>
      <c r="G536" s="3">
        <v>259.97702268593338</v>
      </c>
      <c r="H536" s="3">
        <v>143.52000000000001</v>
      </c>
    </row>
    <row r="537" spans="1:8">
      <c r="A537" s="10" t="s">
        <v>1706</v>
      </c>
      <c r="B537" s="10" t="s">
        <v>3075</v>
      </c>
      <c r="C537" t="s">
        <v>2158</v>
      </c>
      <c r="D537" t="s">
        <v>2149</v>
      </c>
      <c r="E537" s="3">
        <v>0</v>
      </c>
      <c r="F537" s="3">
        <v>0</v>
      </c>
      <c r="G537" s="3">
        <v>0</v>
      </c>
      <c r="H537" s="3">
        <v>6.6</v>
      </c>
    </row>
    <row r="538" spans="1:8">
      <c r="A538" s="10" t="s">
        <v>851</v>
      </c>
      <c r="B538" s="10" t="s">
        <v>2283</v>
      </c>
      <c r="C538" t="s">
        <v>2158</v>
      </c>
      <c r="D538" t="s">
        <v>2149</v>
      </c>
      <c r="E538" s="3">
        <v>416.28288669482981</v>
      </c>
      <c r="F538" s="3">
        <v>157.02549999999997</v>
      </c>
      <c r="G538" s="3">
        <v>259.25738669482985</v>
      </c>
      <c r="H538" s="3">
        <v>104</v>
      </c>
    </row>
    <row r="539" spans="1:8">
      <c r="A539" s="10" t="s">
        <v>613</v>
      </c>
      <c r="B539" s="10" t="s">
        <v>3366</v>
      </c>
      <c r="C539" t="s">
        <v>2156</v>
      </c>
      <c r="D539" t="s">
        <v>2149</v>
      </c>
      <c r="E539" s="3">
        <v>26.276</v>
      </c>
      <c r="F539" s="3">
        <v>15.3</v>
      </c>
      <c r="G539" s="3">
        <v>10.975999999999999</v>
      </c>
      <c r="H539" s="3">
        <v>11.82</v>
      </c>
    </row>
    <row r="540" spans="1:8">
      <c r="A540" s="10" t="s">
        <v>614</v>
      </c>
      <c r="B540" s="10" t="s">
        <v>3367</v>
      </c>
      <c r="C540" t="s">
        <v>2156</v>
      </c>
      <c r="D540" t="s">
        <v>2149</v>
      </c>
      <c r="E540" s="3">
        <v>26.276</v>
      </c>
      <c r="F540" s="3">
        <v>15.3</v>
      </c>
      <c r="G540" s="3">
        <v>10.975999999999999</v>
      </c>
      <c r="H540" s="3">
        <v>11.82</v>
      </c>
    </row>
    <row r="541" spans="1:8">
      <c r="A541" s="10" t="s">
        <v>992</v>
      </c>
      <c r="B541" s="10" t="s">
        <v>3370</v>
      </c>
      <c r="C541" t="s">
        <v>2158</v>
      </c>
      <c r="D541" t="s">
        <v>2149</v>
      </c>
      <c r="E541" s="3">
        <v>272.25114981552497</v>
      </c>
      <c r="F541" s="3">
        <v>127.529</v>
      </c>
      <c r="G541" s="3">
        <v>144.72214981552497</v>
      </c>
      <c r="H541" s="3">
        <v>87.75</v>
      </c>
    </row>
    <row r="542" spans="1:8">
      <c r="A542" s="10" t="s">
        <v>337</v>
      </c>
      <c r="B542" s="10" t="s">
        <v>2284</v>
      </c>
      <c r="C542" t="s">
        <v>2158</v>
      </c>
      <c r="D542" t="s">
        <v>2149</v>
      </c>
      <c r="E542" s="3">
        <v>861.89052333445215</v>
      </c>
      <c r="F542" s="3">
        <v>366.50020000000006</v>
      </c>
      <c r="G542" s="3">
        <v>495.39032333445209</v>
      </c>
      <c r="H542" s="3">
        <v>170.19</v>
      </c>
    </row>
    <row r="543" spans="1:8">
      <c r="A543" s="10" t="s">
        <v>43</v>
      </c>
      <c r="B543" s="10" t="s">
        <v>2285</v>
      </c>
      <c r="C543" t="s">
        <v>2158</v>
      </c>
      <c r="D543" t="s">
        <v>2149</v>
      </c>
      <c r="E543" s="3">
        <v>758.15983018416694</v>
      </c>
      <c r="F543" s="3">
        <v>337.59940000000006</v>
      </c>
      <c r="G543" s="3">
        <v>420.56043018416688</v>
      </c>
      <c r="H543" s="3">
        <v>212.76</v>
      </c>
    </row>
    <row r="544" spans="1:8">
      <c r="A544" s="10" t="s">
        <v>251</v>
      </c>
      <c r="B544" s="10" t="s">
        <v>2286</v>
      </c>
      <c r="C544" t="s">
        <v>2158</v>
      </c>
      <c r="D544" t="s">
        <v>2149</v>
      </c>
      <c r="E544" s="3">
        <v>116.48171902336813</v>
      </c>
      <c r="F544" s="3">
        <v>55.3123</v>
      </c>
      <c r="G544" s="3">
        <v>61.169419023368128</v>
      </c>
      <c r="H544" s="3">
        <v>38.28</v>
      </c>
    </row>
    <row r="545" spans="1:8">
      <c r="A545" s="10" t="s">
        <v>250</v>
      </c>
      <c r="B545" s="10" t="s">
        <v>2287</v>
      </c>
      <c r="C545" t="s">
        <v>2158</v>
      </c>
      <c r="D545" t="s">
        <v>2149</v>
      </c>
      <c r="E545" s="3">
        <v>164.42481113972983</v>
      </c>
      <c r="F545" s="3">
        <v>58.786899999999989</v>
      </c>
      <c r="G545" s="3">
        <v>105.63791113972984</v>
      </c>
      <c r="H545" s="3">
        <v>63.3</v>
      </c>
    </row>
    <row r="546" spans="1:8">
      <c r="A546" s="10" t="s">
        <v>615</v>
      </c>
      <c r="B546" s="10" t="s">
        <v>3081</v>
      </c>
      <c r="C546" t="s">
        <v>2156</v>
      </c>
      <c r="D546" t="s">
        <v>2149</v>
      </c>
      <c r="E546" s="3">
        <v>9.0780142019388048</v>
      </c>
      <c r="F546" s="3">
        <v>3.7486000000000006</v>
      </c>
      <c r="G546" s="3">
        <v>5.3294142019388042</v>
      </c>
      <c r="H546" s="3">
        <v>1.38</v>
      </c>
    </row>
    <row r="547" spans="1:8">
      <c r="A547" s="10" t="s">
        <v>994</v>
      </c>
      <c r="B547" s="10" t="s">
        <v>3082</v>
      </c>
      <c r="C547" t="s">
        <v>2156</v>
      </c>
      <c r="D547" t="s">
        <v>2149</v>
      </c>
      <c r="E547" s="3">
        <v>244.26116161968466</v>
      </c>
      <c r="F547" s="3">
        <v>108.19329999999998</v>
      </c>
      <c r="G547" s="3">
        <v>136.06786161968466</v>
      </c>
      <c r="H547" s="3">
        <v>34.32</v>
      </c>
    </row>
    <row r="548" spans="1:8">
      <c r="A548" s="10" t="s">
        <v>65</v>
      </c>
      <c r="B548" s="10" t="s">
        <v>2288</v>
      </c>
      <c r="C548" t="s">
        <v>2289</v>
      </c>
      <c r="D548" t="s">
        <v>2149</v>
      </c>
      <c r="E548" s="3">
        <v>4828.0261482378819</v>
      </c>
      <c r="F548" s="3">
        <v>3999.3024999999998</v>
      </c>
      <c r="G548" s="3">
        <v>828.72364823788212</v>
      </c>
      <c r="H548" s="3">
        <v>1540.8</v>
      </c>
    </row>
    <row r="549" spans="1:8">
      <c r="A549" s="10" t="s">
        <v>1714</v>
      </c>
      <c r="B549" s="10" t="s">
        <v>2292</v>
      </c>
      <c r="C549" t="s">
        <v>2154</v>
      </c>
      <c r="D549" t="s">
        <v>2149</v>
      </c>
      <c r="E549" s="3">
        <v>122.01894759598504</v>
      </c>
      <c r="F549" s="3">
        <v>106.29299999999999</v>
      </c>
      <c r="G549" s="3">
        <v>15.725947595985048</v>
      </c>
      <c r="H549" s="3">
        <v>289.8</v>
      </c>
    </row>
    <row r="550" spans="1:8">
      <c r="A550" s="10" t="s">
        <v>416</v>
      </c>
      <c r="B550" s="10" t="s">
        <v>2293</v>
      </c>
      <c r="C550" t="s">
        <v>2158</v>
      </c>
      <c r="D550" t="s">
        <v>2149</v>
      </c>
      <c r="E550" s="3">
        <v>41.569514096751099</v>
      </c>
      <c r="F550" s="3">
        <v>21.574000000000005</v>
      </c>
      <c r="G550" s="3">
        <v>19.995514096751094</v>
      </c>
      <c r="H550" s="3">
        <v>14.16</v>
      </c>
    </row>
    <row r="551" spans="1:8">
      <c r="A551" s="10" t="s">
        <v>664</v>
      </c>
      <c r="B551" s="10" t="s">
        <v>3083</v>
      </c>
      <c r="C551" t="s">
        <v>2158</v>
      </c>
      <c r="D551" t="s">
        <v>2149</v>
      </c>
      <c r="E551" s="3">
        <v>-35.378121602994575</v>
      </c>
      <c r="F551" s="3">
        <v>86.782499999999999</v>
      </c>
      <c r="G551" s="3">
        <v>-122.16062160299458</v>
      </c>
      <c r="H551" s="3">
        <v>60.8</v>
      </c>
    </row>
    <row r="552" spans="1:8">
      <c r="A552" s="10" t="s">
        <v>3085</v>
      </c>
      <c r="B552" s="10" t="s">
        <v>3086</v>
      </c>
      <c r="C552" t="s">
        <v>2158</v>
      </c>
      <c r="D552" t="s">
        <v>2149</v>
      </c>
      <c r="E552" s="3">
        <v>9.2820000000000018</v>
      </c>
      <c r="F552" s="3">
        <v>5.5711000000000004</v>
      </c>
      <c r="G552" s="3">
        <v>3.7109000000000014</v>
      </c>
      <c r="H552" s="3">
        <v>13.62</v>
      </c>
    </row>
    <row r="553" spans="1:8">
      <c r="A553" s="10" t="s">
        <v>339</v>
      </c>
      <c r="B553" s="10" t="s">
        <v>3098</v>
      </c>
      <c r="C553" t="s">
        <v>3099</v>
      </c>
      <c r="D553" t="s">
        <v>2296</v>
      </c>
      <c r="E553" s="3">
        <v>1432.2413999999999</v>
      </c>
      <c r="F553" s="3">
        <v>5674.6347000000023</v>
      </c>
      <c r="G553" s="3">
        <v>-4242.3933000000025</v>
      </c>
      <c r="H553" s="3">
        <v>2419.25</v>
      </c>
    </row>
    <row r="554" spans="1:8">
      <c r="A554" s="10" t="s">
        <v>3395</v>
      </c>
      <c r="B554" s="10" t="s">
        <v>3396</v>
      </c>
      <c r="C554" t="s">
        <v>3397</v>
      </c>
      <c r="D554" t="s">
        <v>2296</v>
      </c>
      <c r="E554" s="3">
        <v>31.5</v>
      </c>
      <c r="F554" s="3">
        <v>17.22</v>
      </c>
      <c r="G554" s="3">
        <v>14.280000000000001</v>
      </c>
      <c r="H554" s="3">
        <v>102.6</v>
      </c>
    </row>
    <row r="555" spans="1:8">
      <c r="A555" s="10" t="s">
        <v>1725</v>
      </c>
      <c r="B555" s="10" t="s">
        <v>2315</v>
      </c>
      <c r="C555" t="s">
        <v>2316</v>
      </c>
      <c r="D555" t="s">
        <v>2296</v>
      </c>
      <c r="E555" s="3">
        <v>3006.9701999999997</v>
      </c>
      <c r="F555" s="3">
        <v>2321.02</v>
      </c>
      <c r="G555" s="3">
        <v>685.95019999999977</v>
      </c>
      <c r="H555" s="3">
        <v>2321.02</v>
      </c>
    </row>
    <row r="556" spans="1:8">
      <c r="A556" s="10" t="s">
        <v>1726</v>
      </c>
      <c r="B556" s="10" t="s">
        <v>3398</v>
      </c>
      <c r="C556" t="s">
        <v>2316</v>
      </c>
      <c r="D556" t="s">
        <v>2296</v>
      </c>
      <c r="E556" s="3">
        <v>9911.33</v>
      </c>
      <c r="F556" s="3">
        <v>7311.78</v>
      </c>
      <c r="G556" s="3">
        <v>2599.5500000000002</v>
      </c>
      <c r="H556" s="3">
        <v>4015.77</v>
      </c>
    </row>
    <row r="557" spans="1:8">
      <c r="A557" s="10" t="s">
        <v>249</v>
      </c>
      <c r="B557" s="10" t="s">
        <v>2317</v>
      </c>
      <c r="C557" t="s">
        <v>2318</v>
      </c>
      <c r="D557" t="s">
        <v>2296</v>
      </c>
      <c r="E557" s="3">
        <v>64595.597940933636</v>
      </c>
      <c r="F557" s="3">
        <v>41407.728000000003</v>
      </c>
      <c r="G557" s="3">
        <v>23187.869940933633</v>
      </c>
      <c r="H557" s="3">
        <v>32977</v>
      </c>
    </row>
    <row r="558" spans="1:8">
      <c r="A558" s="10" t="s">
        <v>1734</v>
      </c>
      <c r="B558" s="10" t="s">
        <v>3156</v>
      </c>
      <c r="C558" t="s">
        <v>3101</v>
      </c>
      <c r="D558" t="s">
        <v>2296</v>
      </c>
      <c r="E558" s="3">
        <v>9.7759999999999998</v>
      </c>
      <c r="F558" s="3">
        <v>5.556</v>
      </c>
      <c r="G558" s="3">
        <v>4.22</v>
      </c>
      <c r="H558" s="3">
        <v>11.1</v>
      </c>
    </row>
    <row r="559" spans="1:8">
      <c r="A559" s="10" t="s">
        <v>466</v>
      </c>
      <c r="B559" s="10" t="s">
        <v>3100</v>
      </c>
      <c r="C559" t="s">
        <v>3101</v>
      </c>
      <c r="D559" t="s">
        <v>2296</v>
      </c>
      <c r="E559" s="3">
        <v>16.126200000000001</v>
      </c>
      <c r="F559" s="3">
        <v>15.803800000000001</v>
      </c>
      <c r="G559" s="3">
        <v>0.32240000000000002</v>
      </c>
      <c r="H559" s="3">
        <v>47.4</v>
      </c>
    </row>
    <row r="560" spans="1:8">
      <c r="A560" s="10" t="s">
        <v>1736</v>
      </c>
      <c r="B560" s="10" t="s">
        <v>3102</v>
      </c>
      <c r="C560" t="s">
        <v>3101</v>
      </c>
      <c r="D560" t="s">
        <v>2296</v>
      </c>
      <c r="E560" s="3">
        <v>96.131</v>
      </c>
      <c r="F560" s="3">
        <v>71.057199999999995</v>
      </c>
      <c r="G560" s="3">
        <v>25.073800000000006</v>
      </c>
      <c r="H560" s="3">
        <v>71.040000000000006</v>
      </c>
    </row>
    <row r="561" spans="1:8">
      <c r="A561" s="10" t="s">
        <v>296</v>
      </c>
      <c r="B561" s="10" t="s">
        <v>3399</v>
      </c>
      <c r="C561" t="s">
        <v>3115</v>
      </c>
      <c r="D561" t="s">
        <v>2296</v>
      </c>
      <c r="E561" s="3">
        <v>30.712</v>
      </c>
      <c r="F561" s="3">
        <v>9.52</v>
      </c>
      <c r="G561" s="3">
        <v>21.192</v>
      </c>
      <c r="H561" s="3">
        <v>19.04</v>
      </c>
    </row>
    <row r="562" spans="1:8">
      <c r="A562" s="10" t="s">
        <v>436</v>
      </c>
      <c r="B562" s="10" t="s">
        <v>3103</v>
      </c>
      <c r="C562" t="s">
        <v>3101</v>
      </c>
      <c r="D562" t="s">
        <v>2296</v>
      </c>
      <c r="E562" s="3">
        <v>202.05</v>
      </c>
      <c r="F562" s="3">
        <v>158.80860000000001</v>
      </c>
      <c r="G562" s="3">
        <v>43.241399999999999</v>
      </c>
      <c r="H562" s="3">
        <v>317.60000000000002</v>
      </c>
    </row>
    <row r="563" spans="1:8">
      <c r="A563" s="10" t="s">
        <v>1743</v>
      </c>
      <c r="B563" s="10" t="s">
        <v>3104</v>
      </c>
      <c r="C563" t="s">
        <v>3101</v>
      </c>
      <c r="D563" t="s">
        <v>2296</v>
      </c>
      <c r="E563" s="3">
        <v>85.66</v>
      </c>
      <c r="F563" s="3">
        <v>82.77</v>
      </c>
      <c r="G563" s="3">
        <v>2.8900000000000006</v>
      </c>
      <c r="H563" s="3">
        <v>248.31</v>
      </c>
    </row>
    <row r="564" spans="1:8">
      <c r="A564" s="10" t="s">
        <v>438</v>
      </c>
      <c r="B564" s="10" t="s">
        <v>3400</v>
      </c>
      <c r="C564" t="s">
        <v>3115</v>
      </c>
      <c r="D564" t="s">
        <v>2296</v>
      </c>
      <c r="E564" s="3">
        <v>2258.8981005489868</v>
      </c>
      <c r="F564" s="3">
        <v>1412.9367999999997</v>
      </c>
      <c r="G564" s="3">
        <v>845.96130054898708</v>
      </c>
      <c r="H564" s="3">
        <v>595.77</v>
      </c>
    </row>
    <row r="565" spans="1:8">
      <c r="A565" s="10" t="s">
        <v>830</v>
      </c>
      <c r="B565" s="10" t="s">
        <v>3110</v>
      </c>
      <c r="C565" t="s">
        <v>2318</v>
      </c>
      <c r="D565" t="s">
        <v>2296</v>
      </c>
      <c r="E565" s="3">
        <v>18869.587231693575</v>
      </c>
      <c r="F565" s="3">
        <v>11706.6093</v>
      </c>
      <c r="G565" s="3">
        <v>7162.9779316935746</v>
      </c>
      <c r="H565" s="3">
        <v>6835.9</v>
      </c>
    </row>
    <row r="566" spans="1:8">
      <c r="A566" s="10" t="s">
        <v>247</v>
      </c>
      <c r="B566" s="10" t="s">
        <v>3401</v>
      </c>
      <c r="C566" t="s">
        <v>3112</v>
      </c>
      <c r="D566" t="s">
        <v>2296</v>
      </c>
      <c r="E566" s="3">
        <v>8163.2547387741924</v>
      </c>
      <c r="F566" s="3">
        <v>6007.02</v>
      </c>
      <c r="G566" s="3">
        <v>2156.234738774192</v>
      </c>
      <c r="H566" s="3">
        <v>6841.8</v>
      </c>
    </row>
    <row r="567" spans="1:8">
      <c r="A567" s="10" t="s">
        <v>727</v>
      </c>
      <c r="B567" s="10" t="s">
        <v>3402</v>
      </c>
      <c r="C567" t="s">
        <v>3112</v>
      </c>
      <c r="D567" t="s">
        <v>2296</v>
      </c>
      <c r="E567" s="3">
        <v>4139.5300312905238</v>
      </c>
      <c r="F567" s="3">
        <v>3715.5501999999997</v>
      </c>
      <c r="G567" s="3">
        <v>423.97983129052409</v>
      </c>
      <c r="H567" s="3">
        <v>5466.3</v>
      </c>
    </row>
    <row r="568" spans="1:8">
      <c r="A568" s="10" t="s">
        <v>248</v>
      </c>
      <c r="B568" s="10" t="s">
        <v>3111</v>
      </c>
      <c r="C568" t="s">
        <v>3112</v>
      </c>
      <c r="D568" t="s">
        <v>2296</v>
      </c>
      <c r="E568" s="3">
        <v>120639.23886438961</v>
      </c>
      <c r="F568" s="3">
        <v>69336.631599999964</v>
      </c>
      <c r="G568" s="3">
        <v>51302.607264389648</v>
      </c>
      <c r="H568" s="3">
        <v>15374</v>
      </c>
    </row>
    <row r="569" spans="1:8">
      <c r="A569" s="10" t="s">
        <v>1748</v>
      </c>
      <c r="B569" s="10" t="s">
        <v>3113</v>
      </c>
      <c r="C569" t="s">
        <v>3101</v>
      </c>
      <c r="D569" t="s">
        <v>2296</v>
      </c>
      <c r="E569" s="3">
        <v>71.131799999999998</v>
      </c>
      <c r="F569" s="3">
        <v>69.474000000000004</v>
      </c>
      <c r="G569" s="3">
        <v>1.6577999999999946</v>
      </c>
      <c r="H569" s="3">
        <v>69.459999999999994</v>
      </c>
    </row>
    <row r="570" spans="1:8">
      <c r="A570" s="10" t="s">
        <v>1751</v>
      </c>
      <c r="B570" s="10" t="s">
        <v>3114</v>
      </c>
      <c r="C570" t="s">
        <v>3115</v>
      </c>
      <c r="D570" t="s">
        <v>2296</v>
      </c>
      <c r="E570" s="3">
        <v>327.35500000000002</v>
      </c>
      <c r="F570" s="3">
        <v>189.95400000000001</v>
      </c>
      <c r="G570" s="3">
        <v>137.40100000000001</v>
      </c>
      <c r="H570" s="3">
        <v>253.24</v>
      </c>
    </row>
    <row r="571" spans="1:8">
      <c r="A571" s="10" t="s">
        <v>3116</v>
      </c>
      <c r="B571" s="10" t="s">
        <v>3117</v>
      </c>
      <c r="C571" t="s">
        <v>3118</v>
      </c>
      <c r="D571" t="s">
        <v>2296</v>
      </c>
      <c r="E571" s="3">
        <v>232.23199999999997</v>
      </c>
      <c r="F571" s="3">
        <v>132.41269999999997</v>
      </c>
      <c r="G571" s="3">
        <v>99.819299999999998</v>
      </c>
      <c r="H571" s="3">
        <v>132.72</v>
      </c>
    </row>
    <row r="572" spans="1:8">
      <c r="A572" s="10" t="s">
        <v>999</v>
      </c>
      <c r="B572" s="10" t="s">
        <v>3119</v>
      </c>
      <c r="C572" t="s">
        <v>2158</v>
      </c>
      <c r="D572" t="s">
        <v>2149</v>
      </c>
      <c r="E572" s="3">
        <v>168.48</v>
      </c>
      <c r="F572" s="3">
        <v>118.212</v>
      </c>
      <c r="G572" s="3">
        <v>50.267999999999986</v>
      </c>
      <c r="H572" s="3">
        <v>472.8</v>
      </c>
    </row>
    <row r="573" spans="1:8">
      <c r="A573" s="10" t="s">
        <v>424</v>
      </c>
      <c r="B573" s="10" t="s">
        <v>3120</v>
      </c>
      <c r="C573" t="s">
        <v>2156</v>
      </c>
      <c r="D573" t="s">
        <v>2149</v>
      </c>
      <c r="E573" s="3">
        <v>30.827999999999996</v>
      </c>
      <c r="F573" s="3">
        <v>24.623999999999999</v>
      </c>
      <c r="G573" s="3">
        <v>6.2039999999999971</v>
      </c>
      <c r="H573" s="3">
        <v>24.6</v>
      </c>
    </row>
    <row r="574" spans="1:8">
      <c r="A574" s="10" t="s">
        <v>1002</v>
      </c>
      <c r="B574" s="10" t="s">
        <v>3121</v>
      </c>
      <c r="C574" t="s">
        <v>3122</v>
      </c>
      <c r="D574" t="s">
        <v>2296</v>
      </c>
      <c r="E574" s="3">
        <v>2329.9572072879637</v>
      </c>
      <c r="F574" s="3">
        <v>1633.2612000000001</v>
      </c>
      <c r="G574" s="3">
        <v>696.69600728796354</v>
      </c>
      <c r="H574" s="3">
        <v>1197.72</v>
      </c>
    </row>
    <row r="575" spans="1:8">
      <c r="A575" s="10" t="s">
        <v>15</v>
      </c>
      <c r="B575" s="10" t="s">
        <v>2319</v>
      </c>
      <c r="C575" t="s">
        <v>2154</v>
      </c>
      <c r="D575" t="s">
        <v>2149</v>
      </c>
      <c r="E575" s="3">
        <v>537.01992121553758</v>
      </c>
      <c r="F575" s="3">
        <v>490.82410000000004</v>
      </c>
      <c r="G575" s="3">
        <v>46.195821215537535</v>
      </c>
      <c r="H575" s="3">
        <v>151.32</v>
      </c>
    </row>
    <row r="576" spans="1:8">
      <c r="A576" s="10" t="s">
        <v>3403</v>
      </c>
      <c r="B576" s="10" t="s">
        <v>3404</v>
      </c>
      <c r="C576" t="s">
        <v>2340</v>
      </c>
      <c r="D576" t="s">
        <v>2296</v>
      </c>
      <c r="E576" s="3">
        <v>4806.4513932386999</v>
      </c>
      <c r="F576" s="3">
        <v>3732.8535000000002</v>
      </c>
      <c r="G576" s="3">
        <v>1073.5978932386997</v>
      </c>
      <c r="H576" s="3">
        <v>2053.3200000000002</v>
      </c>
    </row>
    <row r="577" spans="1:8">
      <c r="A577" s="10" t="s">
        <v>3405</v>
      </c>
      <c r="B577" s="10" t="s">
        <v>3406</v>
      </c>
      <c r="C577" t="s">
        <v>3125</v>
      </c>
      <c r="D577" t="s">
        <v>2296</v>
      </c>
      <c r="E577" s="3">
        <v>146.62233794808407</v>
      </c>
      <c r="F577" s="3">
        <v>825.27279999999996</v>
      </c>
      <c r="G577" s="3">
        <v>-678.65046205191584</v>
      </c>
      <c r="H577" s="3">
        <v>224.3</v>
      </c>
    </row>
    <row r="578" spans="1:8">
      <c r="A578" s="10" t="s">
        <v>2320</v>
      </c>
      <c r="B578" s="10" t="s">
        <v>2321</v>
      </c>
      <c r="C578" t="s">
        <v>2158</v>
      </c>
      <c r="D578" t="s">
        <v>2149</v>
      </c>
      <c r="E578" s="3">
        <v>526.7829508211679</v>
      </c>
      <c r="F578" s="3">
        <v>379.33240000000006</v>
      </c>
      <c r="G578" s="3">
        <v>147.45055082116784</v>
      </c>
      <c r="H578" s="3">
        <v>264</v>
      </c>
    </row>
    <row r="579" spans="1:8">
      <c r="A579" s="10" t="s">
        <v>426</v>
      </c>
      <c r="B579" s="10" t="s">
        <v>3124</v>
      </c>
      <c r="C579" t="s">
        <v>3125</v>
      </c>
      <c r="D579" t="s">
        <v>2296</v>
      </c>
      <c r="E579" s="3">
        <v>0</v>
      </c>
      <c r="F579" s="3">
        <v>22.222200000000001</v>
      </c>
      <c r="G579" s="3">
        <v>-22.222200000000001</v>
      </c>
      <c r="H579" s="3">
        <v>88.88</v>
      </c>
    </row>
    <row r="580" spans="1:8">
      <c r="A580" s="10" t="s">
        <v>3126</v>
      </c>
      <c r="B580" s="10" t="s">
        <v>3127</v>
      </c>
      <c r="C580" t="s">
        <v>3125</v>
      </c>
      <c r="D580" t="s">
        <v>2296</v>
      </c>
      <c r="E580" s="3">
        <v>265.0274</v>
      </c>
      <c r="F580" s="3">
        <v>2451.4313999999995</v>
      </c>
      <c r="G580" s="3">
        <v>-2186.4039999999995</v>
      </c>
      <c r="H580" s="3">
        <v>371.4</v>
      </c>
    </row>
    <row r="581" spans="1:8">
      <c r="A581" s="10" t="s">
        <v>100</v>
      </c>
      <c r="B581" s="10" t="s">
        <v>3128</v>
      </c>
      <c r="C581" t="s">
        <v>3129</v>
      </c>
      <c r="D581" t="s">
        <v>2296</v>
      </c>
      <c r="E581" s="3">
        <v>25.055399999999999</v>
      </c>
      <c r="F581" s="3">
        <v>265.15429999999992</v>
      </c>
      <c r="G581" s="3">
        <v>-240.09889999999993</v>
      </c>
      <c r="H581" s="3">
        <v>70</v>
      </c>
    </row>
    <row r="582" spans="1:8">
      <c r="A582" s="10" t="s">
        <v>547</v>
      </c>
      <c r="B582" s="10" t="s">
        <v>3132</v>
      </c>
      <c r="C582" t="s">
        <v>3129</v>
      </c>
      <c r="D582" t="s">
        <v>2296</v>
      </c>
      <c r="E582" s="3">
        <v>36.207599999999999</v>
      </c>
      <c r="F582" s="3">
        <v>76.242499999999993</v>
      </c>
      <c r="G582" s="3">
        <v>-40.034899999999993</v>
      </c>
      <c r="H582" s="3">
        <v>41.6</v>
      </c>
    </row>
    <row r="583" spans="1:8">
      <c r="A583" s="10" t="s">
        <v>363</v>
      </c>
      <c r="B583" s="10" t="s">
        <v>3133</v>
      </c>
      <c r="C583" t="s">
        <v>3129</v>
      </c>
      <c r="D583" t="s">
        <v>2296</v>
      </c>
      <c r="E583" s="3">
        <v>98.058799999999991</v>
      </c>
      <c r="F583" s="3">
        <v>191.04750000000001</v>
      </c>
      <c r="G583" s="3">
        <v>-92.988700000000023</v>
      </c>
      <c r="H583" s="3">
        <v>22.92</v>
      </c>
    </row>
    <row r="584" spans="1:8">
      <c r="A584" s="10" t="s">
        <v>1800</v>
      </c>
      <c r="B584" s="10" t="s">
        <v>3134</v>
      </c>
      <c r="C584" t="s">
        <v>3122</v>
      </c>
      <c r="D584" t="s">
        <v>2296</v>
      </c>
      <c r="E584" s="3">
        <v>11553.6414</v>
      </c>
      <c r="F584" s="3">
        <v>9740.3900000000012</v>
      </c>
      <c r="G584" s="3">
        <v>1813.2513999999992</v>
      </c>
      <c r="H584" s="3">
        <v>1625.42</v>
      </c>
    </row>
    <row r="585" spans="1:8">
      <c r="A585" s="10" t="s">
        <v>429</v>
      </c>
      <c r="B585" s="10" t="s">
        <v>3407</v>
      </c>
      <c r="C585" t="s">
        <v>2340</v>
      </c>
      <c r="D585" t="s">
        <v>2296</v>
      </c>
      <c r="E585" s="3">
        <v>2375.8127731157751</v>
      </c>
      <c r="F585" s="3">
        <v>2386.9836</v>
      </c>
      <c r="G585" s="3">
        <v>-11.17082688422488</v>
      </c>
      <c r="H585" s="3">
        <v>966.36</v>
      </c>
    </row>
    <row r="586" spans="1:8">
      <c r="A586" s="10" t="s">
        <v>350</v>
      </c>
      <c r="B586" s="10" t="s">
        <v>3135</v>
      </c>
      <c r="C586" t="s">
        <v>3129</v>
      </c>
      <c r="D586" t="s">
        <v>2296</v>
      </c>
      <c r="E586" s="3">
        <v>30.995999999999995</v>
      </c>
      <c r="F586" s="3">
        <v>30.773999999999994</v>
      </c>
      <c r="G586" s="3">
        <v>0.22200000000000131</v>
      </c>
      <c r="H586" s="3">
        <v>128</v>
      </c>
    </row>
    <row r="587" spans="1:8">
      <c r="A587" s="10" t="s">
        <v>1825</v>
      </c>
      <c r="B587" s="10" t="s">
        <v>3136</v>
      </c>
      <c r="C587" t="s">
        <v>2158</v>
      </c>
      <c r="D587" t="s">
        <v>2149</v>
      </c>
      <c r="E587" s="3">
        <v>61.2</v>
      </c>
      <c r="F587" s="3">
        <v>37.408999999999999</v>
      </c>
      <c r="G587" s="3">
        <v>23.791000000000004</v>
      </c>
      <c r="H587" s="3">
        <v>299.2</v>
      </c>
    </row>
    <row r="588" spans="1:8">
      <c r="A588" s="10" t="s">
        <v>832</v>
      </c>
      <c r="B588" s="10" t="s">
        <v>3137</v>
      </c>
      <c r="C588" t="s">
        <v>2158</v>
      </c>
      <c r="D588" t="s">
        <v>2149</v>
      </c>
      <c r="E588" s="3">
        <v>15.8</v>
      </c>
      <c r="F588" s="3">
        <v>9.1</v>
      </c>
      <c r="G588" s="3">
        <v>6.7000000000000011</v>
      </c>
      <c r="H588" s="3">
        <v>18.2</v>
      </c>
    </row>
    <row r="589" spans="1:8">
      <c r="A589" s="10" t="s">
        <v>833</v>
      </c>
      <c r="B589" s="10" t="s">
        <v>3137</v>
      </c>
      <c r="C589" t="s">
        <v>2158</v>
      </c>
      <c r="D589" t="s">
        <v>2149</v>
      </c>
      <c r="E589" s="3">
        <v>29.3415</v>
      </c>
      <c r="F589" s="3">
        <v>14.48</v>
      </c>
      <c r="G589" s="3">
        <v>14.861499999999999</v>
      </c>
      <c r="H589" s="3">
        <v>7.24</v>
      </c>
    </row>
    <row r="590" spans="1:8">
      <c r="A590" s="10" t="s">
        <v>873</v>
      </c>
      <c r="B590" s="10" t="s">
        <v>3138</v>
      </c>
      <c r="C590" t="s">
        <v>2158</v>
      </c>
      <c r="D590" t="s">
        <v>2149</v>
      </c>
      <c r="E590" s="3">
        <v>57.463068086296836</v>
      </c>
      <c r="F590" s="3">
        <v>35.130000000000003</v>
      </c>
      <c r="G590" s="3">
        <v>22.333068086296834</v>
      </c>
      <c r="H590" s="3">
        <v>81.97</v>
      </c>
    </row>
    <row r="591" spans="1:8">
      <c r="A591" s="10" t="s">
        <v>305</v>
      </c>
      <c r="B591" s="10" t="s">
        <v>3139</v>
      </c>
      <c r="C591" t="s">
        <v>2158</v>
      </c>
      <c r="D591" t="s">
        <v>2149</v>
      </c>
      <c r="E591" s="3">
        <v>18.817799999999998</v>
      </c>
      <c r="F591" s="3">
        <v>25.831399999999999</v>
      </c>
      <c r="G591" s="3">
        <v>-7.0136000000000003</v>
      </c>
      <c r="H591" s="3">
        <v>25.82</v>
      </c>
    </row>
    <row r="592" spans="1:8">
      <c r="A592" s="10" t="s">
        <v>624</v>
      </c>
      <c r="B592" s="10" t="s">
        <v>2325</v>
      </c>
      <c r="C592" t="s">
        <v>2154</v>
      </c>
      <c r="D592" t="s">
        <v>2149</v>
      </c>
      <c r="E592" s="3">
        <v>217.84</v>
      </c>
      <c r="F592" s="3">
        <v>253.53630000000001</v>
      </c>
      <c r="G592" s="3">
        <v>-35.696300000000008</v>
      </c>
      <c r="H592" s="3">
        <v>148.80000000000001</v>
      </c>
    </row>
    <row r="593" spans="1:8">
      <c r="A593" s="10" t="s">
        <v>21</v>
      </c>
      <c r="B593" s="10" t="s">
        <v>2326</v>
      </c>
      <c r="C593" t="s">
        <v>2154</v>
      </c>
      <c r="D593" t="s">
        <v>2149</v>
      </c>
      <c r="E593" s="3">
        <v>714.73819725680266</v>
      </c>
      <c r="F593" s="3">
        <v>524.90800000000002</v>
      </c>
      <c r="G593" s="3">
        <v>189.83019725680265</v>
      </c>
      <c r="H593" s="3">
        <v>1640</v>
      </c>
    </row>
    <row r="594" spans="1:8">
      <c r="A594" s="10" t="s">
        <v>1914</v>
      </c>
      <c r="B594" s="10" t="s">
        <v>3140</v>
      </c>
      <c r="C594" t="s">
        <v>2158</v>
      </c>
      <c r="D594" t="s">
        <v>2149</v>
      </c>
      <c r="E594" s="3">
        <v>51.518199999999993</v>
      </c>
      <c r="F594" s="3">
        <v>23.685000000000002</v>
      </c>
      <c r="G594" s="3">
        <v>27.833199999999991</v>
      </c>
      <c r="H594" s="3">
        <v>17.3</v>
      </c>
    </row>
    <row r="595" spans="1:8">
      <c r="A595" s="10" t="s">
        <v>41</v>
      </c>
      <c r="B595" s="10" t="s">
        <v>2327</v>
      </c>
      <c r="C595" t="s">
        <v>2154</v>
      </c>
      <c r="D595" t="s">
        <v>2149</v>
      </c>
      <c r="E595" s="3">
        <v>1691.4874602711511</v>
      </c>
      <c r="F595" s="3">
        <v>1497.4859999999999</v>
      </c>
      <c r="G595" s="3">
        <v>194.00146027115125</v>
      </c>
      <c r="H595" s="3">
        <v>3847.9</v>
      </c>
    </row>
    <row r="596" spans="1:8">
      <c r="A596" s="10" t="s">
        <v>2</v>
      </c>
      <c r="B596" s="10" t="s">
        <v>2328</v>
      </c>
      <c r="C596" t="s">
        <v>2154</v>
      </c>
      <c r="D596" t="s">
        <v>2149</v>
      </c>
      <c r="E596" s="3">
        <v>1647.5182637783689</v>
      </c>
      <c r="F596" s="3">
        <v>7889.2985000000053</v>
      </c>
      <c r="G596" s="3">
        <v>-6241.7802362216362</v>
      </c>
      <c r="H596" s="3">
        <v>133</v>
      </c>
    </row>
    <row r="597" spans="1:8">
      <c r="A597" s="10" t="s">
        <v>12</v>
      </c>
      <c r="B597" s="10" t="s">
        <v>3408</v>
      </c>
      <c r="C597" t="s">
        <v>2154</v>
      </c>
      <c r="D597" t="s">
        <v>2149</v>
      </c>
      <c r="E597" s="3">
        <v>503.36434806629831</v>
      </c>
      <c r="F597" s="3">
        <v>427.10120000000006</v>
      </c>
      <c r="G597" s="3">
        <v>76.263148066298243</v>
      </c>
      <c r="H597" s="3">
        <v>357.35</v>
      </c>
    </row>
    <row r="598" spans="1:8">
      <c r="A598" s="10" t="s">
        <v>270</v>
      </c>
      <c r="B598" s="10" t="s">
        <v>3141</v>
      </c>
      <c r="C598" t="s">
        <v>3142</v>
      </c>
      <c r="D598" t="s">
        <v>2296</v>
      </c>
      <c r="E598" s="3">
        <v>1318.7449999999999</v>
      </c>
      <c r="F598" s="3">
        <v>886.18880000000001</v>
      </c>
      <c r="G598" s="3">
        <v>432.55619999999988</v>
      </c>
      <c r="H598" s="3">
        <v>3544.72</v>
      </c>
    </row>
    <row r="599" spans="1:8">
      <c r="A599" s="10" t="s">
        <v>1052</v>
      </c>
      <c r="B599" s="10" t="s">
        <v>3143</v>
      </c>
      <c r="C599" t="s">
        <v>3144</v>
      </c>
      <c r="D599" t="s">
        <v>2296</v>
      </c>
      <c r="E599" s="3">
        <v>3.7816999999999998</v>
      </c>
      <c r="F599" s="3">
        <v>3.7816999999999998</v>
      </c>
      <c r="G599" s="3">
        <v>0</v>
      </c>
      <c r="H599" s="3">
        <v>37.799999999999997</v>
      </c>
    </row>
    <row r="600" spans="1:8">
      <c r="A600" s="10" t="s">
        <v>1923</v>
      </c>
      <c r="B600" s="10" t="s">
        <v>3146</v>
      </c>
      <c r="C600" t="s">
        <v>3144</v>
      </c>
      <c r="D600" t="s">
        <v>2296</v>
      </c>
      <c r="E600" s="3">
        <v>26.224</v>
      </c>
      <c r="F600" s="3">
        <v>24.218599999999999</v>
      </c>
      <c r="G600" s="3">
        <v>2.0054000000000016</v>
      </c>
      <c r="H600" s="3">
        <v>121</v>
      </c>
    </row>
    <row r="601" spans="1:8">
      <c r="A601" s="10" t="s">
        <v>1938</v>
      </c>
      <c r="B601" s="10" t="s">
        <v>3147</v>
      </c>
      <c r="C601" t="s">
        <v>3148</v>
      </c>
      <c r="D601" t="s">
        <v>2296</v>
      </c>
      <c r="E601" s="3">
        <v>199.875</v>
      </c>
      <c r="F601" s="3">
        <v>199.196</v>
      </c>
      <c r="G601" s="3">
        <v>0.67900000000000205</v>
      </c>
      <c r="H601" s="3">
        <v>199.19</v>
      </c>
    </row>
    <row r="602" spans="1:8">
      <c r="A602" s="10" t="s">
        <v>317</v>
      </c>
      <c r="B602" s="10" t="s">
        <v>3149</v>
      </c>
      <c r="C602" t="s">
        <v>3148</v>
      </c>
      <c r="D602" t="s">
        <v>2296</v>
      </c>
      <c r="E602" s="3">
        <v>3.9999999999977831E-3</v>
      </c>
      <c r="F602" s="3">
        <v>0</v>
      </c>
      <c r="G602" s="3">
        <v>3.9999999999977831E-3</v>
      </c>
      <c r="H602" s="3">
        <v>39.11</v>
      </c>
    </row>
    <row r="603" spans="1:8">
      <c r="A603" s="10" t="s">
        <v>1948</v>
      </c>
      <c r="B603" s="10" t="s">
        <v>3150</v>
      </c>
      <c r="C603" t="s">
        <v>3144</v>
      </c>
      <c r="D603" t="s">
        <v>2296</v>
      </c>
      <c r="E603" s="3">
        <v>235.01</v>
      </c>
      <c r="F603" s="3">
        <v>235.01</v>
      </c>
      <c r="G603" s="3">
        <v>0</v>
      </c>
      <c r="H603" s="3">
        <v>235.01</v>
      </c>
    </row>
    <row r="604" spans="1:8">
      <c r="A604" s="10" t="s">
        <v>1949</v>
      </c>
      <c r="B604" s="10" t="s">
        <v>3151</v>
      </c>
      <c r="C604" t="s">
        <v>3144</v>
      </c>
      <c r="D604" t="s">
        <v>2296</v>
      </c>
      <c r="E604" s="3">
        <v>122.9967</v>
      </c>
      <c r="F604" s="3">
        <v>104.79340000000001</v>
      </c>
      <c r="G604" s="3">
        <v>18.203299999999999</v>
      </c>
      <c r="H604" s="3">
        <v>209.56</v>
      </c>
    </row>
    <row r="605" spans="1:8">
      <c r="A605" s="10" t="s">
        <v>628</v>
      </c>
      <c r="B605" s="10" t="s">
        <v>3152</v>
      </c>
      <c r="C605" t="s">
        <v>3144</v>
      </c>
      <c r="D605" t="s">
        <v>2296</v>
      </c>
      <c r="E605" s="3">
        <v>7.5811871370116162</v>
      </c>
      <c r="F605" s="3">
        <v>12.42</v>
      </c>
      <c r="G605" s="3">
        <v>-4.8388128629883838</v>
      </c>
      <c r="H605" s="3">
        <v>99.36</v>
      </c>
    </row>
    <row r="606" spans="1:8">
      <c r="A606" s="10" t="s">
        <v>1031</v>
      </c>
      <c r="B606" s="10" t="s">
        <v>3153</v>
      </c>
      <c r="C606" t="s">
        <v>3144</v>
      </c>
      <c r="D606" t="s">
        <v>2296</v>
      </c>
      <c r="E606" s="3">
        <v>26.143999999999998</v>
      </c>
      <c r="F606" s="3">
        <v>17.978899999999999</v>
      </c>
      <c r="G606" s="3">
        <v>8.1650999999999989</v>
      </c>
      <c r="H606" s="3">
        <v>215.64</v>
      </c>
    </row>
    <row r="607" spans="1:8">
      <c r="A607" s="10" t="s">
        <v>630</v>
      </c>
      <c r="B607" s="10" t="s">
        <v>3154</v>
      </c>
      <c r="C607" t="s">
        <v>3144</v>
      </c>
      <c r="D607" t="s">
        <v>2296</v>
      </c>
      <c r="E607" s="3">
        <v>315.8507422634836</v>
      </c>
      <c r="F607" s="3">
        <v>134.13999999999996</v>
      </c>
      <c r="G607" s="3">
        <v>181.71074226348364</v>
      </c>
      <c r="H607" s="3">
        <v>152.6</v>
      </c>
    </row>
    <row r="608" spans="1:8">
      <c r="A608" s="10" t="s">
        <v>631</v>
      </c>
      <c r="B608" s="10" t="s">
        <v>3155</v>
      </c>
      <c r="C608" t="s">
        <v>3144</v>
      </c>
      <c r="D608" t="s">
        <v>2296</v>
      </c>
      <c r="E608" s="3">
        <v>44.669952983104537</v>
      </c>
      <c r="F608" s="3">
        <v>76.453599999999994</v>
      </c>
      <c r="G608" s="3">
        <v>-31.783647016895458</v>
      </c>
      <c r="H608" s="3">
        <v>382.2</v>
      </c>
    </row>
    <row r="609" spans="1:8">
      <c r="A609" s="10" t="s">
        <v>667</v>
      </c>
      <c r="B609" s="10" t="s">
        <v>2176</v>
      </c>
      <c r="C609" t="s">
        <v>2169</v>
      </c>
      <c r="D609" t="s">
        <v>2149</v>
      </c>
      <c r="E609" s="3">
        <v>130.09997770846218</v>
      </c>
      <c r="F609" s="3">
        <v>104.68639999999999</v>
      </c>
      <c r="G609" s="3">
        <v>25.413577708462185</v>
      </c>
      <c r="H609" s="3">
        <v>179.6</v>
      </c>
    </row>
    <row r="610" spans="1:8">
      <c r="A610" s="10" t="s">
        <v>668</v>
      </c>
      <c r="B610" s="10" t="s">
        <v>2616</v>
      </c>
      <c r="C610" t="s">
        <v>2177</v>
      </c>
      <c r="D610" t="s">
        <v>2149</v>
      </c>
      <c r="E610" s="3">
        <v>314.08070548086869</v>
      </c>
      <c r="F610" s="3">
        <v>240.9451</v>
      </c>
      <c r="G610" s="3">
        <v>73.135605480868691</v>
      </c>
      <c r="H610" s="3">
        <v>328.5</v>
      </c>
    </row>
    <row r="611" spans="1:8">
      <c r="A611" s="10" t="s">
        <v>669</v>
      </c>
      <c r="B611" s="10" t="s">
        <v>2627</v>
      </c>
      <c r="C611" t="s">
        <v>2342</v>
      </c>
      <c r="D611" t="s">
        <v>2149</v>
      </c>
      <c r="E611" s="3">
        <v>85.84190000000001</v>
      </c>
      <c r="F611" s="3">
        <v>61.83</v>
      </c>
      <c r="G611" s="3">
        <v>24.011900000000011</v>
      </c>
      <c r="H611" s="3">
        <v>51.5</v>
      </c>
    </row>
    <row r="612" spans="1:8">
      <c r="A612" s="10" t="s">
        <v>670</v>
      </c>
      <c r="B612" s="10" t="s">
        <v>2190</v>
      </c>
      <c r="C612" t="s">
        <v>2177</v>
      </c>
      <c r="D612" t="s">
        <v>2149</v>
      </c>
      <c r="E612" s="3">
        <v>231.09146225447427</v>
      </c>
      <c r="F612" s="3">
        <v>229.4308</v>
      </c>
      <c r="G612" s="3">
        <v>1.6606622544742606</v>
      </c>
      <c r="H612" s="3">
        <v>155.69999999999999</v>
      </c>
    </row>
    <row r="613" spans="1:8">
      <c r="A613" s="10" t="s">
        <v>671</v>
      </c>
      <c r="B613" s="10" t="s">
        <v>2191</v>
      </c>
      <c r="C613" t="s">
        <v>2158</v>
      </c>
      <c r="D613" t="s">
        <v>2149</v>
      </c>
      <c r="E613" s="3">
        <v>6806.1571999369489</v>
      </c>
      <c r="F613" s="3">
        <v>3656.7134000000005</v>
      </c>
      <c r="G613" s="3">
        <v>3149.4437999369484</v>
      </c>
      <c r="H613" s="3">
        <v>1932.3</v>
      </c>
    </row>
    <row r="614" spans="1:8">
      <c r="A614" s="10" t="s">
        <v>674</v>
      </c>
      <c r="B614" s="10" t="s">
        <v>2936</v>
      </c>
      <c r="C614" t="s">
        <v>2158</v>
      </c>
      <c r="D614" t="s">
        <v>2149</v>
      </c>
      <c r="E614" s="3">
        <v>92.238</v>
      </c>
      <c r="F614" s="3">
        <v>50.434600000000003</v>
      </c>
      <c r="G614" s="3">
        <v>41.803399999999996</v>
      </c>
      <c r="H614" s="3">
        <v>176.47</v>
      </c>
    </row>
    <row r="615" spans="1:8">
      <c r="A615" s="10" t="s">
        <v>675</v>
      </c>
      <c r="B615" s="10" t="s">
        <v>2247</v>
      </c>
      <c r="C615" t="s">
        <v>2158</v>
      </c>
      <c r="D615" t="s">
        <v>2149</v>
      </c>
      <c r="E615" s="3">
        <v>27.957009058270234</v>
      </c>
      <c r="F615" s="3">
        <v>6.16</v>
      </c>
      <c r="G615" s="3">
        <v>21.797009058270234</v>
      </c>
      <c r="H615" s="3">
        <v>2.2000000000000002</v>
      </c>
    </row>
    <row r="616" spans="1:8">
      <c r="A616" s="10" t="s">
        <v>459</v>
      </c>
      <c r="B616" s="10" t="s">
        <v>2974</v>
      </c>
      <c r="C616" t="s">
        <v>2158</v>
      </c>
      <c r="D616" t="s">
        <v>2149</v>
      </c>
      <c r="E616" s="3">
        <v>7.8120000000000003</v>
      </c>
      <c r="F616" s="3">
        <v>3.84</v>
      </c>
      <c r="G616" s="3">
        <v>3.9720000000000004</v>
      </c>
      <c r="H616" s="3">
        <v>5.28</v>
      </c>
    </row>
    <row r="617" spans="1:8">
      <c r="A617" s="10" t="s">
        <v>461</v>
      </c>
      <c r="B617" s="10" t="s">
        <v>2977</v>
      </c>
      <c r="C617" t="s">
        <v>2158</v>
      </c>
      <c r="D617" t="s">
        <v>2149</v>
      </c>
      <c r="E617" s="3">
        <v>29.4</v>
      </c>
      <c r="F617" s="3">
        <v>13.998899999999999</v>
      </c>
      <c r="G617" s="3">
        <v>15.4011</v>
      </c>
      <c r="H617" s="3">
        <v>11.34</v>
      </c>
    </row>
    <row r="618" spans="1:8">
      <c r="A618" s="10" t="s">
        <v>676</v>
      </c>
      <c r="B618" s="10" t="s">
        <v>3340</v>
      </c>
      <c r="C618" t="s">
        <v>2158</v>
      </c>
      <c r="D618" t="s">
        <v>2149</v>
      </c>
      <c r="E618" s="3">
        <v>93.52789858657242</v>
      </c>
      <c r="F618" s="3">
        <v>40.421000000000006</v>
      </c>
      <c r="G618" s="3">
        <v>53.106898586572413</v>
      </c>
      <c r="H618" s="3">
        <v>17.600000000000001</v>
      </c>
    </row>
    <row r="619" spans="1:8">
      <c r="A619" s="10" t="s">
        <v>680</v>
      </c>
      <c r="B619" s="10" t="s">
        <v>2608</v>
      </c>
      <c r="C619" t="s">
        <v>2169</v>
      </c>
      <c r="D619" t="s">
        <v>2149</v>
      </c>
      <c r="E619" s="3">
        <v>146.27819908272497</v>
      </c>
      <c r="F619" s="3">
        <v>94.712299999999999</v>
      </c>
      <c r="G619" s="3">
        <v>51.565899082724968</v>
      </c>
      <c r="H619" s="3">
        <v>71.25</v>
      </c>
    </row>
    <row r="620" spans="1:8">
      <c r="A620" s="10" t="s">
        <v>682</v>
      </c>
      <c r="B620" s="10" t="s">
        <v>2628</v>
      </c>
      <c r="C620" t="s">
        <v>2169</v>
      </c>
      <c r="D620" t="s">
        <v>2149</v>
      </c>
      <c r="E620" s="3">
        <v>557.88972068849625</v>
      </c>
      <c r="F620" s="3">
        <v>205.20109999999997</v>
      </c>
      <c r="G620" s="3">
        <v>352.68862068849626</v>
      </c>
      <c r="H620" s="3">
        <v>131.6</v>
      </c>
    </row>
    <row r="621" spans="1:8">
      <c r="A621" s="10" t="s">
        <v>685</v>
      </c>
      <c r="B621" s="10" t="s">
        <v>2794</v>
      </c>
      <c r="C621" t="s">
        <v>2158</v>
      </c>
      <c r="D621" t="s">
        <v>2149</v>
      </c>
      <c r="E621" s="3">
        <v>46.998000000000005</v>
      </c>
      <c r="F621" s="3">
        <v>22.690199999999997</v>
      </c>
      <c r="G621" s="3">
        <v>24.307800000000007</v>
      </c>
      <c r="H621" s="3">
        <v>54.6</v>
      </c>
    </row>
    <row r="622" spans="1:8">
      <c r="A622" s="10" t="s">
        <v>687</v>
      </c>
      <c r="B622" s="10" t="s">
        <v>2899</v>
      </c>
      <c r="C622" t="s">
        <v>2158</v>
      </c>
      <c r="D622" t="s">
        <v>2149</v>
      </c>
      <c r="E622" s="3">
        <v>151.816</v>
      </c>
      <c r="F622" s="3">
        <v>102.0752</v>
      </c>
      <c r="G622" s="3">
        <v>49.740800000000007</v>
      </c>
      <c r="H622" s="3">
        <v>76.53</v>
      </c>
    </row>
    <row r="623" spans="1:8">
      <c r="A623" s="10" t="s">
        <v>688</v>
      </c>
      <c r="B623" s="10" t="s">
        <v>2933</v>
      </c>
      <c r="C623" t="s">
        <v>2158</v>
      </c>
      <c r="D623" t="s">
        <v>2149</v>
      </c>
      <c r="E623" s="3">
        <v>274.520147258485</v>
      </c>
      <c r="F623" s="3">
        <v>154.00540000000001</v>
      </c>
      <c r="G623" s="3">
        <v>120.51474725848499</v>
      </c>
      <c r="H623" s="3">
        <v>64</v>
      </c>
    </row>
    <row r="624" spans="1:8">
      <c r="A624" s="10" t="s">
        <v>689</v>
      </c>
      <c r="B624" s="10" t="s">
        <v>2294</v>
      </c>
      <c r="C624" t="s">
        <v>2158</v>
      </c>
      <c r="D624" t="s">
        <v>2149</v>
      </c>
      <c r="E624" s="3">
        <v>1536.8834778805672</v>
      </c>
      <c r="F624" s="3">
        <v>952.68080000000009</v>
      </c>
      <c r="G624" s="3">
        <v>584.20267788056708</v>
      </c>
      <c r="H624" s="3">
        <v>532</v>
      </c>
    </row>
    <row r="625" spans="1:8">
      <c r="A625" s="10" t="s">
        <v>699</v>
      </c>
      <c r="B625" s="10" t="s">
        <v>2357</v>
      </c>
      <c r="C625" t="s">
        <v>2169</v>
      </c>
      <c r="D625" t="s">
        <v>2149</v>
      </c>
      <c r="E625" s="3">
        <v>175.89</v>
      </c>
      <c r="F625" s="3">
        <v>132.78139999999999</v>
      </c>
      <c r="G625" s="3">
        <v>43.108599999999996</v>
      </c>
      <c r="H625" s="3">
        <v>132.78</v>
      </c>
    </row>
    <row r="626" spans="1:8">
      <c r="A626" s="10" t="s">
        <v>700</v>
      </c>
      <c r="B626" s="10" t="s">
        <v>2384</v>
      </c>
      <c r="C626" t="s">
        <v>2385</v>
      </c>
      <c r="D626" t="s">
        <v>2149</v>
      </c>
      <c r="E626" s="3">
        <v>33.369</v>
      </c>
      <c r="F626" s="3">
        <v>45.56</v>
      </c>
      <c r="G626" s="3">
        <v>-12.191000000000003</v>
      </c>
      <c r="H626" s="3">
        <v>47.04</v>
      </c>
    </row>
    <row r="627" spans="1:8">
      <c r="A627" s="10" t="s">
        <v>703</v>
      </c>
      <c r="B627" s="10" t="s">
        <v>2549</v>
      </c>
      <c r="C627" t="s">
        <v>2169</v>
      </c>
      <c r="D627" t="s">
        <v>2149</v>
      </c>
      <c r="E627" s="3">
        <v>25.767000000000003</v>
      </c>
      <c r="F627" s="3">
        <v>11.343999999999999</v>
      </c>
      <c r="G627" s="3">
        <v>14.423000000000004</v>
      </c>
      <c r="H627" s="3">
        <v>9.1199999999999992</v>
      </c>
    </row>
    <row r="628" spans="1:8">
      <c r="A628" s="10" t="s">
        <v>704</v>
      </c>
      <c r="B628" s="10" t="s">
        <v>2555</v>
      </c>
      <c r="C628" t="s">
        <v>2156</v>
      </c>
      <c r="D628" t="s">
        <v>2149</v>
      </c>
      <c r="E628" s="3">
        <v>7.1999999999999993</v>
      </c>
      <c r="F628" s="3">
        <v>3.464</v>
      </c>
      <c r="G628" s="3">
        <v>3.7359999999999993</v>
      </c>
      <c r="H628" s="3">
        <v>8.16</v>
      </c>
    </row>
    <row r="629" spans="1:8">
      <c r="A629" s="10" t="s">
        <v>706</v>
      </c>
      <c r="B629" s="10" t="s">
        <v>3226</v>
      </c>
      <c r="C629" t="s">
        <v>2342</v>
      </c>
      <c r="D629" t="s">
        <v>2149</v>
      </c>
      <c r="E629" s="3">
        <v>148.465</v>
      </c>
      <c r="F629" s="3">
        <v>81.009</v>
      </c>
      <c r="G629" s="3">
        <v>67.456000000000003</v>
      </c>
      <c r="H629" s="3">
        <v>71.7</v>
      </c>
    </row>
    <row r="630" spans="1:8">
      <c r="A630" s="10" t="s">
        <v>709</v>
      </c>
      <c r="B630" s="10" t="s">
        <v>3227</v>
      </c>
      <c r="C630" t="s">
        <v>2169</v>
      </c>
      <c r="D630" t="s">
        <v>2149</v>
      </c>
      <c r="E630" s="3">
        <v>34.673500000000004</v>
      </c>
      <c r="F630" s="3">
        <v>18.335799999999999</v>
      </c>
      <c r="G630" s="3">
        <v>16.337700000000005</v>
      </c>
      <c r="H630" s="3">
        <v>58.14</v>
      </c>
    </row>
    <row r="631" spans="1:8">
      <c r="A631" s="10" t="s">
        <v>710</v>
      </c>
      <c r="B631" s="10" t="s">
        <v>2560</v>
      </c>
      <c r="C631" t="s">
        <v>2169</v>
      </c>
      <c r="D631" t="s">
        <v>2149</v>
      </c>
      <c r="E631" s="3">
        <v>207.12809999999996</v>
      </c>
      <c r="F631" s="3">
        <v>122.184</v>
      </c>
      <c r="G631" s="3">
        <v>84.944099999999963</v>
      </c>
      <c r="H631" s="3">
        <v>122.16</v>
      </c>
    </row>
    <row r="632" spans="1:8">
      <c r="A632" s="10" t="s">
        <v>711</v>
      </c>
      <c r="B632" s="10" t="s">
        <v>2548</v>
      </c>
      <c r="C632" t="s">
        <v>2169</v>
      </c>
      <c r="D632" t="s">
        <v>2149</v>
      </c>
      <c r="E632" s="3">
        <v>201.41158649130091</v>
      </c>
      <c r="F632" s="3">
        <v>133.8409</v>
      </c>
      <c r="G632" s="3">
        <v>67.570686491300904</v>
      </c>
      <c r="H632" s="3">
        <v>93.3</v>
      </c>
    </row>
    <row r="633" spans="1:8">
      <c r="A633" s="10" t="s">
        <v>712</v>
      </c>
      <c r="B633" s="10" t="s">
        <v>2561</v>
      </c>
      <c r="C633" t="s">
        <v>2169</v>
      </c>
      <c r="D633" t="s">
        <v>2149</v>
      </c>
      <c r="E633" s="3">
        <v>17.440000000000001</v>
      </c>
      <c r="F633" s="3">
        <v>17.09</v>
      </c>
      <c r="G633" s="3">
        <v>0.35000000000000142</v>
      </c>
      <c r="H633" s="3">
        <v>42.7</v>
      </c>
    </row>
    <row r="634" spans="1:8">
      <c r="A634" s="10" t="s">
        <v>714</v>
      </c>
      <c r="B634" s="10" t="s">
        <v>2618</v>
      </c>
      <c r="C634" t="s">
        <v>2169</v>
      </c>
      <c r="D634" t="s">
        <v>2149</v>
      </c>
      <c r="E634" s="3">
        <v>37.31</v>
      </c>
      <c r="F634" s="3">
        <v>16.708600000000001</v>
      </c>
      <c r="G634" s="3">
        <v>20.601400000000002</v>
      </c>
      <c r="H634" s="3">
        <v>11.34</v>
      </c>
    </row>
    <row r="635" spans="1:8">
      <c r="A635" s="10" t="s">
        <v>716</v>
      </c>
      <c r="B635" s="10" t="s">
        <v>2621</v>
      </c>
      <c r="C635" t="s">
        <v>2158</v>
      </c>
      <c r="D635" t="s">
        <v>2149</v>
      </c>
      <c r="E635" s="3">
        <v>609.03770619883244</v>
      </c>
      <c r="F635" s="3">
        <v>362.65699999999998</v>
      </c>
      <c r="G635" s="3">
        <v>246.38070619883246</v>
      </c>
      <c r="H635" s="3">
        <v>160.58000000000001</v>
      </c>
    </row>
    <row r="636" spans="1:8">
      <c r="A636" s="10" t="s">
        <v>717</v>
      </c>
      <c r="B636" s="10" t="s">
        <v>2623</v>
      </c>
      <c r="C636" t="s">
        <v>2169</v>
      </c>
      <c r="D636" t="s">
        <v>2149</v>
      </c>
      <c r="E636" s="3">
        <v>225.87661535560119</v>
      </c>
      <c r="F636" s="3">
        <v>141.2208</v>
      </c>
      <c r="G636" s="3">
        <v>84.655815355601192</v>
      </c>
      <c r="H636" s="3">
        <v>124.16</v>
      </c>
    </row>
    <row r="637" spans="1:8">
      <c r="A637" s="10" t="s">
        <v>718</v>
      </c>
      <c r="B637" s="10" t="s">
        <v>2625</v>
      </c>
      <c r="C637" t="s">
        <v>2156</v>
      </c>
      <c r="D637" t="s">
        <v>2149</v>
      </c>
      <c r="E637" s="3">
        <v>237.5883986850219</v>
      </c>
      <c r="F637" s="3">
        <v>150.20020000000002</v>
      </c>
      <c r="G637" s="3">
        <v>87.388198685021877</v>
      </c>
      <c r="H637" s="3">
        <v>74.16</v>
      </c>
    </row>
    <row r="638" spans="1:8">
      <c r="A638" s="10" t="s">
        <v>719</v>
      </c>
      <c r="B638" s="10" t="s">
        <v>2183</v>
      </c>
      <c r="C638" t="s">
        <v>2158</v>
      </c>
      <c r="D638" t="s">
        <v>2149</v>
      </c>
      <c r="E638" s="3">
        <v>6.1707999999999998</v>
      </c>
      <c r="F638" s="3">
        <v>108.98939999999996</v>
      </c>
      <c r="G638" s="3">
        <v>-102.81859999999996</v>
      </c>
      <c r="H638" s="3">
        <v>44.16</v>
      </c>
    </row>
    <row r="639" spans="1:8">
      <c r="A639" s="10" t="s">
        <v>722</v>
      </c>
      <c r="B639" s="10" t="s">
        <v>2645</v>
      </c>
      <c r="C639" t="s">
        <v>2156</v>
      </c>
      <c r="D639" t="s">
        <v>2149</v>
      </c>
      <c r="E639" s="3">
        <v>39.498081501575776</v>
      </c>
      <c r="F639" s="3">
        <v>19.255999999999997</v>
      </c>
      <c r="G639" s="3">
        <v>20.242081501575779</v>
      </c>
      <c r="H639" s="3">
        <v>8.0399999999999991</v>
      </c>
    </row>
    <row r="640" spans="1:8">
      <c r="A640" s="10" t="s">
        <v>723</v>
      </c>
      <c r="B640" s="10" t="s">
        <v>2646</v>
      </c>
      <c r="C640" t="s">
        <v>2158</v>
      </c>
      <c r="D640" t="s">
        <v>2149</v>
      </c>
      <c r="E640" s="3">
        <v>142.22800000000004</v>
      </c>
      <c r="F640" s="3">
        <v>78.733100000000007</v>
      </c>
      <c r="G640" s="3">
        <v>63.49490000000003</v>
      </c>
      <c r="H640" s="3">
        <v>55.22</v>
      </c>
    </row>
    <row r="641" spans="1:8">
      <c r="A641" s="10" t="s">
        <v>724</v>
      </c>
      <c r="B641" s="10" t="s">
        <v>2649</v>
      </c>
      <c r="C641" t="s">
        <v>2158</v>
      </c>
      <c r="D641" t="s">
        <v>2149</v>
      </c>
      <c r="E641" s="3">
        <v>1909.6787397006246</v>
      </c>
      <c r="F641" s="3">
        <v>1310.3359000000005</v>
      </c>
      <c r="G641" s="3">
        <v>599.34283970062415</v>
      </c>
      <c r="H641" s="3">
        <v>902.88</v>
      </c>
    </row>
    <row r="642" spans="1:8">
      <c r="A642" s="10" t="s">
        <v>728</v>
      </c>
      <c r="B642" s="10" t="s">
        <v>3123</v>
      </c>
      <c r="C642" t="s">
        <v>3122</v>
      </c>
      <c r="D642" t="s">
        <v>2296</v>
      </c>
      <c r="E642" s="3">
        <v>18738.427763214371</v>
      </c>
      <c r="F642" s="3">
        <v>16838.906099999997</v>
      </c>
      <c r="G642" s="3">
        <v>1899.5216632143747</v>
      </c>
      <c r="H642" s="3">
        <v>3036.72</v>
      </c>
    </row>
    <row r="643" spans="1:8">
      <c r="A643" s="10" t="s">
        <v>729</v>
      </c>
      <c r="B643" s="10" t="s">
        <v>3225</v>
      </c>
      <c r="C643" t="s">
        <v>2169</v>
      </c>
      <c r="D643" t="s">
        <v>2149</v>
      </c>
      <c r="E643" s="3">
        <v>22.807072693095414</v>
      </c>
      <c r="F643" s="3">
        <v>17.057200000000002</v>
      </c>
      <c r="G643" s="3">
        <v>5.749872693095412</v>
      </c>
      <c r="H643" s="3">
        <v>17.04</v>
      </c>
    </row>
    <row r="644" spans="1:8">
      <c r="A644" s="10" t="s">
        <v>730</v>
      </c>
      <c r="B644" s="10" t="s">
        <v>2561</v>
      </c>
      <c r="C644" t="s">
        <v>2169</v>
      </c>
      <c r="D644" t="s">
        <v>2149</v>
      </c>
      <c r="E644" s="3">
        <v>273.85036181912596</v>
      </c>
      <c r="F644" s="3">
        <v>184.20319999999998</v>
      </c>
      <c r="G644" s="3">
        <v>89.647161819125984</v>
      </c>
      <c r="H644" s="3">
        <v>109.41</v>
      </c>
    </row>
    <row r="645" spans="1:8">
      <c r="A645" s="10" t="s">
        <v>732</v>
      </c>
      <c r="B645" s="10" t="s">
        <v>2688</v>
      </c>
      <c r="C645" t="s">
        <v>2158</v>
      </c>
      <c r="D645" t="s">
        <v>2149</v>
      </c>
      <c r="E645" s="3">
        <v>90.902110835029589</v>
      </c>
      <c r="F645" s="3">
        <v>70.063500000000005</v>
      </c>
      <c r="G645" s="3">
        <v>20.838610835029584</v>
      </c>
      <c r="H645" s="3">
        <v>100.97</v>
      </c>
    </row>
    <row r="646" spans="1:8">
      <c r="A646" s="10" t="s">
        <v>733</v>
      </c>
      <c r="B646" s="10" t="s">
        <v>2730</v>
      </c>
      <c r="C646" t="s">
        <v>2158</v>
      </c>
      <c r="D646" t="s">
        <v>2149</v>
      </c>
      <c r="E646" s="3">
        <v>207.09322876774743</v>
      </c>
      <c r="F646" s="3">
        <v>90.038499999999999</v>
      </c>
      <c r="G646" s="3">
        <v>117.05472876774743</v>
      </c>
      <c r="H646" s="3">
        <v>42.13</v>
      </c>
    </row>
    <row r="647" spans="1:8">
      <c r="A647" s="10" t="s">
        <v>734</v>
      </c>
      <c r="B647" s="10" t="s">
        <v>2812</v>
      </c>
      <c r="C647" t="s">
        <v>2158</v>
      </c>
      <c r="D647" t="s">
        <v>2149</v>
      </c>
      <c r="E647" s="3">
        <v>22.349250000000005</v>
      </c>
      <c r="F647" s="3">
        <v>11.556000000000003</v>
      </c>
      <c r="G647" s="3">
        <v>10.793250000000002</v>
      </c>
      <c r="H647" s="3">
        <v>46.16</v>
      </c>
    </row>
    <row r="648" spans="1:8">
      <c r="A648" s="10" t="s">
        <v>737</v>
      </c>
      <c r="B648" s="10" t="s">
        <v>3037</v>
      </c>
      <c r="C648" t="s">
        <v>2156</v>
      </c>
      <c r="D648" t="s">
        <v>2149</v>
      </c>
      <c r="E648" s="3">
        <v>14.332699999999999</v>
      </c>
      <c r="F648" s="3">
        <v>6.4019999999999992</v>
      </c>
      <c r="G648" s="3">
        <v>7.9306999999999999</v>
      </c>
      <c r="H648" s="3">
        <v>17.04</v>
      </c>
    </row>
    <row r="649" spans="1:8">
      <c r="A649" s="10" t="s">
        <v>738</v>
      </c>
      <c r="B649" s="10" t="s">
        <v>2680</v>
      </c>
      <c r="C649" t="s">
        <v>2158</v>
      </c>
      <c r="D649" t="s">
        <v>2149</v>
      </c>
      <c r="E649" s="3">
        <v>0</v>
      </c>
      <c r="F649" s="3">
        <v>0</v>
      </c>
      <c r="G649" s="3">
        <v>0</v>
      </c>
      <c r="H649" s="3">
        <v>47.34</v>
      </c>
    </row>
    <row r="650" spans="1:8">
      <c r="A650" s="10" t="s">
        <v>739</v>
      </c>
      <c r="B650" s="10" t="s">
        <v>2244</v>
      </c>
      <c r="C650" t="s">
        <v>2158</v>
      </c>
      <c r="D650" t="s">
        <v>2149</v>
      </c>
      <c r="E650" s="3">
        <v>3.8946368933100128</v>
      </c>
      <c r="F650" s="3">
        <v>4.4729999999999999</v>
      </c>
      <c r="G650" s="3">
        <v>-0.57836310668998703</v>
      </c>
      <c r="H650" s="3">
        <v>17.84</v>
      </c>
    </row>
    <row r="651" spans="1:8">
      <c r="A651" s="10" t="s">
        <v>746</v>
      </c>
      <c r="B651" s="10" t="s">
        <v>2407</v>
      </c>
      <c r="C651" t="s">
        <v>2158</v>
      </c>
      <c r="D651" t="s">
        <v>2149</v>
      </c>
      <c r="E651" s="3">
        <v>6.2250000000000005</v>
      </c>
      <c r="F651" s="3">
        <v>6.3</v>
      </c>
      <c r="G651" s="3">
        <v>-7.4999999999999289E-2</v>
      </c>
      <c r="H651" s="3">
        <v>6.3</v>
      </c>
    </row>
    <row r="652" spans="1:8">
      <c r="A652" s="10" t="s">
        <v>747</v>
      </c>
      <c r="B652" s="10" t="s">
        <v>2548</v>
      </c>
      <c r="C652" t="s">
        <v>2158</v>
      </c>
      <c r="D652" t="s">
        <v>2149</v>
      </c>
      <c r="E652" s="3">
        <v>-22.01333358440279</v>
      </c>
      <c r="F652" s="3">
        <v>-15.763999999999999</v>
      </c>
      <c r="G652" s="3">
        <v>-6.2493335844027911</v>
      </c>
      <c r="H652" s="3">
        <v>39.4</v>
      </c>
    </row>
    <row r="653" spans="1:8">
      <c r="A653" s="10" t="s">
        <v>748</v>
      </c>
      <c r="B653" s="10" t="s">
        <v>2642</v>
      </c>
      <c r="C653" t="s">
        <v>2158</v>
      </c>
      <c r="D653" t="s">
        <v>2149</v>
      </c>
      <c r="E653" s="3">
        <v>5.3599999999999994</v>
      </c>
      <c r="F653" s="3">
        <v>1.4379999999999999</v>
      </c>
      <c r="G653" s="3">
        <v>3.9219999999999997</v>
      </c>
      <c r="H653" s="3">
        <v>2.0699999999999998</v>
      </c>
    </row>
    <row r="654" spans="1:8">
      <c r="A654" s="10" t="s">
        <v>740</v>
      </c>
      <c r="B654" s="10" t="s">
        <v>2719</v>
      </c>
      <c r="C654" t="s">
        <v>2158</v>
      </c>
      <c r="D654" t="s">
        <v>2149</v>
      </c>
      <c r="E654" s="3">
        <v>117.536874020384</v>
      </c>
      <c r="F654" s="3">
        <v>52.229799999999997</v>
      </c>
      <c r="G654" s="3">
        <v>65.307074020384007</v>
      </c>
      <c r="H654" s="3">
        <v>73.53</v>
      </c>
    </row>
    <row r="655" spans="1:8">
      <c r="A655" s="10" t="s">
        <v>744</v>
      </c>
      <c r="B655" s="10" t="s">
        <v>2721</v>
      </c>
      <c r="C655" t="s">
        <v>2158</v>
      </c>
      <c r="D655" t="s">
        <v>2149</v>
      </c>
      <c r="E655" s="3">
        <v>157.12469999999999</v>
      </c>
      <c r="F655" s="3">
        <v>84.747799999999998</v>
      </c>
      <c r="G655" s="3">
        <v>72.376899999999992</v>
      </c>
      <c r="H655" s="3">
        <v>107.04</v>
      </c>
    </row>
    <row r="656" spans="1:8">
      <c r="A656" s="10" t="s">
        <v>741</v>
      </c>
      <c r="B656" s="10" t="s">
        <v>2801</v>
      </c>
      <c r="C656" t="s">
        <v>2158</v>
      </c>
      <c r="D656" t="s">
        <v>2149</v>
      </c>
      <c r="E656" s="3">
        <v>85.732472806861153</v>
      </c>
      <c r="F656" s="3">
        <v>33.1111</v>
      </c>
      <c r="G656" s="3">
        <v>52.621372806861153</v>
      </c>
      <c r="H656" s="3">
        <v>19.46</v>
      </c>
    </row>
    <row r="657" spans="1:8">
      <c r="A657" s="10" t="s">
        <v>752</v>
      </c>
      <c r="B657" s="10" t="s">
        <v>2811</v>
      </c>
      <c r="C657" t="s">
        <v>2158</v>
      </c>
      <c r="D657" t="s">
        <v>2149</v>
      </c>
      <c r="E657" s="3">
        <v>0.81422400512331583</v>
      </c>
      <c r="F657" s="3">
        <v>-2.1408000000000014</v>
      </c>
      <c r="G657" s="3">
        <v>2.9550240051233172</v>
      </c>
      <c r="H657" s="3">
        <v>25.72</v>
      </c>
    </row>
    <row r="658" spans="1:8">
      <c r="A658" s="10" t="s">
        <v>753</v>
      </c>
      <c r="B658" s="10" t="s">
        <v>2813</v>
      </c>
      <c r="C658" t="s">
        <v>2158</v>
      </c>
      <c r="D658" t="s">
        <v>2149</v>
      </c>
      <c r="E658" s="3">
        <v>16.593703731438694</v>
      </c>
      <c r="F658" s="3">
        <v>6.9515000000000002</v>
      </c>
      <c r="G658" s="3">
        <v>9.6422037314386948</v>
      </c>
      <c r="H658" s="3">
        <v>10.88</v>
      </c>
    </row>
    <row r="659" spans="1:8">
      <c r="A659" s="10" t="s">
        <v>754</v>
      </c>
      <c r="B659" s="10" t="s">
        <v>2814</v>
      </c>
      <c r="C659" t="s">
        <v>2158</v>
      </c>
      <c r="D659" t="s">
        <v>2149</v>
      </c>
      <c r="E659" s="3">
        <v>23.068703238297015</v>
      </c>
      <c r="F659" s="3">
        <v>9.041599999999999</v>
      </c>
      <c r="G659" s="3">
        <v>14.027103238297016</v>
      </c>
      <c r="H659" s="3">
        <v>18.079999999999998</v>
      </c>
    </row>
    <row r="660" spans="1:8">
      <c r="A660" s="10" t="s">
        <v>755</v>
      </c>
      <c r="B660" s="10" t="s">
        <v>2825</v>
      </c>
      <c r="C660" t="s">
        <v>2158</v>
      </c>
      <c r="D660" t="s">
        <v>2149</v>
      </c>
      <c r="E660" s="3">
        <v>1047.7637200568531</v>
      </c>
      <c r="F660" s="3">
        <v>509.84129999999999</v>
      </c>
      <c r="G660" s="3">
        <v>537.92242005685307</v>
      </c>
      <c r="H660" s="3">
        <v>443.84</v>
      </c>
    </row>
    <row r="661" spans="1:8">
      <c r="A661" s="10" t="s">
        <v>757</v>
      </c>
      <c r="B661" s="10" t="s">
        <v>2859</v>
      </c>
      <c r="C661" t="s">
        <v>2158</v>
      </c>
      <c r="D661" t="s">
        <v>2149</v>
      </c>
      <c r="E661" s="3">
        <v>1130.2545617252836</v>
      </c>
      <c r="F661" s="3">
        <v>651.48139999999978</v>
      </c>
      <c r="G661" s="3">
        <v>478.77316172528379</v>
      </c>
      <c r="H661" s="3">
        <v>183.52</v>
      </c>
    </row>
    <row r="662" spans="1:8">
      <c r="A662" s="10" t="s">
        <v>742</v>
      </c>
      <c r="B662" s="10" t="s">
        <v>2862</v>
      </c>
      <c r="C662" t="s">
        <v>2158</v>
      </c>
      <c r="D662" t="s">
        <v>2149</v>
      </c>
      <c r="E662" s="3">
        <v>424.17886146761498</v>
      </c>
      <c r="F662" s="3">
        <v>250.95919999999998</v>
      </c>
      <c r="G662" s="3">
        <v>173.219661467615</v>
      </c>
      <c r="H662" s="3">
        <v>74.64</v>
      </c>
    </row>
    <row r="663" spans="1:8">
      <c r="A663" s="10" t="s">
        <v>758</v>
      </c>
      <c r="B663" s="10" t="s">
        <v>2866</v>
      </c>
      <c r="C663" t="s">
        <v>2158</v>
      </c>
      <c r="D663" t="s">
        <v>2149</v>
      </c>
      <c r="E663" s="3">
        <v>24.905725572164297</v>
      </c>
      <c r="F663" s="3">
        <v>15.396000000000001</v>
      </c>
      <c r="G663" s="3">
        <v>9.5097255721642959</v>
      </c>
      <c r="H663" s="3">
        <v>15.3</v>
      </c>
    </row>
    <row r="664" spans="1:8">
      <c r="A664" s="10" t="s">
        <v>761</v>
      </c>
      <c r="B664" s="10" t="s">
        <v>2932</v>
      </c>
      <c r="C664" t="s">
        <v>2158</v>
      </c>
      <c r="D664" t="s">
        <v>2149</v>
      </c>
      <c r="E664" s="3">
        <v>1074.0471451297217</v>
      </c>
      <c r="F664" s="3">
        <v>547.27419999999995</v>
      </c>
      <c r="G664" s="3">
        <v>526.77294512972173</v>
      </c>
      <c r="H664" s="3">
        <v>226.05</v>
      </c>
    </row>
    <row r="665" spans="1:8">
      <c r="A665" s="10" t="s">
        <v>762</v>
      </c>
      <c r="B665" s="10" t="s">
        <v>2934</v>
      </c>
      <c r="C665" t="s">
        <v>2158</v>
      </c>
      <c r="D665" t="s">
        <v>2149</v>
      </c>
      <c r="E665" s="3">
        <v>202.14803582865284</v>
      </c>
      <c r="F665" s="3">
        <v>126.47499999999999</v>
      </c>
      <c r="G665" s="3">
        <v>75.673035828652843</v>
      </c>
      <c r="H665" s="3">
        <v>93.03</v>
      </c>
    </row>
    <row r="666" spans="1:8">
      <c r="A666" s="10" t="s">
        <v>2260</v>
      </c>
      <c r="B666" s="10" t="s">
        <v>2261</v>
      </c>
      <c r="C666" t="s">
        <v>2169</v>
      </c>
      <c r="D666" t="s">
        <v>2149</v>
      </c>
      <c r="E666" s="3">
        <v>201.83514643005097</v>
      </c>
      <c r="F666" s="3">
        <v>99.911300000000026</v>
      </c>
      <c r="G666" s="3">
        <v>101.92384643005094</v>
      </c>
      <c r="H666" s="3">
        <v>51.57</v>
      </c>
    </row>
    <row r="667" spans="1:8">
      <c r="A667" s="10" t="s">
        <v>765</v>
      </c>
      <c r="B667" s="10" t="s">
        <v>3077</v>
      </c>
      <c r="C667" t="s">
        <v>2158</v>
      </c>
      <c r="D667" t="s">
        <v>2149</v>
      </c>
      <c r="E667" s="3">
        <v>1.3600891749615875</v>
      </c>
      <c r="F667" s="3">
        <v>0.48</v>
      </c>
      <c r="G667" s="3">
        <v>0.88008917496158756</v>
      </c>
      <c r="H667" s="3">
        <v>1.2</v>
      </c>
    </row>
    <row r="668" spans="1:8">
      <c r="A668" s="10" t="s">
        <v>766</v>
      </c>
      <c r="B668" s="10" t="s">
        <v>3088</v>
      </c>
      <c r="C668" t="s">
        <v>2150</v>
      </c>
      <c r="D668" t="s">
        <v>2149</v>
      </c>
      <c r="E668" s="3">
        <v>4.5553999999999997</v>
      </c>
      <c r="F668" s="3">
        <v>2.5326</v>
      </c>
      <c r="G668" s="3">
        <v>2.0227999999999997</v>
      </c>
      <c r="H668" s="3">
        <v>8.9600000000000009</v>
      </c>
    </row>
    <row r="669" spans="1:8">
      <c r="A669" s="10" t="s">
        <v>767</v>
      </c>
      <c r="B669" s="10" t="s">
        <v>3089</v>
      </c>
      <c r="C669" t="s">
        <v>2158</v>
      </c>
      <c r="D669" t="s">
        <v>2149</v>
      </c>
      <c r="E669" s="3">
        <v>35.456600000000002</v>
      </c>
      <c r="F669" s="3">
        <v>18.908000000000001</v>
      </c>
      <c r="G669" s="3">
        <v>16.5486</v>
      </c>
      <c r="H669" s="3">
        <v>2.56</v>
      </c>
    </row>
    <row r="670" spans="1:8">
      <c r="A670" s="10" t="s">
        <v>769</v>
      </c>
      <c r="B670" s="10" t="s">
        <v>2409</v>
      </c>
      <c r="C670" t="s">
        <v>2158</v>
      </c>
      <c r="D670" t="s">
        <v>2149</v>
      </c>
      <c r="E670" s="3">
        <v>12.825511624476645</v>
      </c>
      <c r="F670" s="3">
        <v>3.927</v>
      </c>
      <c r="G670" s="3">
        <v>8.8985116244766456</v>
      </c>
      <c r="H670" s="3">
        <v>9.6</v>
      </c>
    </row>
    <row r="671" spans="1:8">
      <c r="A671" s="10" t="s">
        <v>770</v>
      </c>
      <c r="B671" s="10" t="s">
        <v>2410</v>
      </c>
      <c r="C671" t="s">
        <v>2158</v>
      </c>
      <c r="D671" t="s">
        <v>2149</v>
      </c>
      <c r="E671" s="3">
        <v>120.33880438917336</v>
      </c>
      <c r="F671" s="3">
        <v>60.14670000000001</v>
      </c>
      <c r="G671" s="3">
        <v>60.192104389173352</v>
      </c>
      <c r="H671" s="3">
        <v>45.98</v>
      </c>
    </row>
    <row r="672" spans="1:8">
      <c r="A672" s="10" t="s">
        <v>771</v>
      </c>
      <c r="B672" s="10" t="s">
        <v>2411</v>
      </c>
      <c r="C672" t="s">
        <v>2158</v>
      </c>
      <c r="D672" t="s">
        <v>2149</v>
      </c>
      <c r="E672" s="3">
        <v>6.5789999999999997</v>
      </c>
      <c r="F672" s="3">
        <v>3.1020000000000003</v>
      </c>
      <c r="G672" s="3">
        <v>3.4769999999999994</v>
      </c>
      <c r="H672" s="3">
        <v>6.63</v>
      </c>
    </row>
    <row r="673" spans="1:8">
      <c r="A673" s="10" t="s">
        <v>774</v>
      </c>
      <c r="B673" s="10" t="s">
        <v>3273</v>
      </c>
      <c r="C673" t="s">
        <v>2158</v>
      </c>
      <c r="D673" t="s">
        <v>2149</v>
      </c>
      <c r="E673" s="3">
        <v>49.951999999999998</v>
      </c>
      <c r="F673" s="3">
        <v>17.632000000000001</v>
      </c>
      <c r="G673" s="3">
        <v>32.319999999999993</v>
      </c>
      <c r="H673" s="3">
        <v>61.67</v>
      </c>
    </row>
    <row r="674" spans="1:8">
      <c r="A674" s="10" t="s">
        <v>775</v>
      </c>
      <c r="B674" s="10" t="s">
        <v>2197</v>
      </c>
      <c r="C674" t="s">
        <v>2158</v>
      </c>
      <c r="D674" t="s">
        <v>2149</v>
      </c>
      <c r="E674" s="3">
        <v>113.72800000000001</v>
      </c>
      <c r="F674" s="3">
        <v>61.956400000000002</v>
      </c>
      <c r="G674" s="3">
        <v>51.771600000000007</v>
      </c>
      <c r="H674" s="3">
        <v>19.84</v>
      </c>
    </row>
    <row r="675" spans="1:8">
      <c r="A675" s="10" t="s">
        <v>776</v>
      </c>
      <c r="B675" s="10" t="s">
        <v>2711</v>
      </c>
      <c r="C675" t="s">
        <v>2156</v>
      </c>
      <c r="D675" t="s">
        <v>2149</v>
      </c>
      <c r="E675" s="3">
        <v>101.70750733633862</v>
      </c>
      <c r="F675" s="3">
        <v>45.030300000000004</v>
      </c>
      <c r="G675" s="3">
        <v>56.677207336338618</v>
      </c>
      <c r="H675" s="3">
        <v>13.08</v>
      </c>
    </row>
    <row r="676" spans="1:8">
      <c r="A676" s="10" t="s">
        <v>777</v>
      </c>
      <c r="B676" s="10" t="s">
        <v>2760</v>
      </c>
      <c r="C676" t="s">
        <v>2158</v>
      </c>
      <c r="D676" t="s">
        <v>2149</v>
      </c>
      <c r="E676" s="3">
        <v>45.068205951483598</v>
      </c>
      <c r="F676" s="3">
        <v>28.357399999999998</v>
      </c>
      <c r="G676" s="3">
        <v>16.7108059514836</v>
      </c>
      <c r="H676" s="3">
        <v>23.94</v>
      </c>
    </row>
    <row r="677" spans="1:8">
      <c r="A677" s="10" t="s">
        <v>778</v>
      </c>
      <c r="B677" s="10" t="s">
        <v>2837</v>
      </c>
      <c r="C677" t="s">
        <v>2158</v>
      </c>
      <c r="D677" t="s">
        <v>2149</v>
      </c>
      <c r="E677" s="3">
        <v>287.13399582082269</v>
      </c>
      <c r="F677" s="3">
        <v>126.1794</v>
      </c>
      <c r="G677" s="3">
        <v>160.9545958208227</v>
      </c>
      <c r="H677" s="3">
        <v>72.900000000000006</v>
      </c>
    </row>
    <row r="678" spans="1:8">
      <c r="A678" s="10" t="s">
        <v>780</v>
      </c>
      <c r="B678" s="10" t="s">
        <v>2847</v>
      </c>
      <c r="C678" t="s">
        <v>2158</v>
      </c>
      <c r="D678" t="s">
        <v>2149</v>
      </c>
      <c r="E678" s="3">
        <v>220.93423185382656</v>
      </c>
      <c r="F678" s="3">
        <v>129.90209999999996</v>
      </c>
      <c r="G678" s="3">
        <v>91.032131853826598</v>
      </c>
      <c r="H678" s="3">
        <v>80.599999999999994</v>
      </c>
    </row>
    <row r="679" spans="1:8">
      <c r="A679" s="10" t="s">
        <v>781</v>
      </c>
      <c r="B679" s="10" t="s">
        <v>3309</v>
      </c>
      <c r="C679" t="s">
        <v>2158</v>
      </c>
      <c r="D679" t="s">
        <v>2149</v>
      </c>
      <c r="E679" s="3">
        <v>356.492966295229</v>
      </c>
      <c r="F679" s="3">
        <v>91.658199999999994</v>
      </c>
      <c r="G679" s="3">
        <v>264.83476629522897</v>
      </c>
      <c r="H679" s="3">
        <v>45.43</v>
      </c>
    </row>
    <row r="680" spans="1:8">
      <c r="A680" s="10" t="s">
        <v>783</v>
      </c>
      <c r="B680" s="10" t="s">
        <v>2878</v>
      </c>
      <c r="C680" t="s">
        <v>2158</v>
      </c>
      <c r="D680" t="s">
        <v>2149</v>
      </c>
      <c r="E680" s="3">
        <v>29.840499999999999</v>
      </c>
      <c r="F680" s="3">
        <v>16.902999999999999</v>
      </c>
      <c r="G680" s="3">
        <v>12.9375</v>
      </c>
      <c r="H680" s="3">
        <v>13.88</v>
      </c>
    </row>
    <row r="681" spans="1:8">
      <c r="A681" s="10" t="s">
        <v>787</v>
      </c>
      <c r="B681" s="10" t="s">
        <v>3087</v>
      </c>
      <c r="C681" t="s">
        <v>2156</v>
      </c>
      <c r="D681" t="s">
        <v>2149</v>
      </c>
      <c r="E681" s="3">
        <v>49.327000000000005</v>
      </c>
      <c r="F681" s="3">
        <v>25.577999999999999</v>
      </c>
      <c r="G681" s="3">
        <v>23.749000000000006</v>
      </c>
      <c r="H681" s="3">
        <v>13.6</v>
      </c>
    </row>
    <row r="682" spans="1:8">
      <c r="A682" s="10" t="s">
        <v>788</v>
      </c>
      <c r="B682" s="10" t="s">
        <v>2914</v>
      </c>
      <c r="C682" t="s">
        <v>2156</v>
      </c>
      <c r="D682" t="s">
        <v>2149</v>
      </c>
      <c r="E682" s="3">
        <v>171.798</v>
      </c>
      <c r="F682" s="3">
        <v>117.86190000000001</v>
      </c>
      <c r="G682" s="3">
        <v>53.936099999999996</v>
      </c>
      <c r="H682" s="3">
        <v>124.95</v>
      </c>
    </row>
    <row r="683" spans="1:8">
      <c r="A683" s="10" t="s">
        <v>789</v>
      </c>
      <c r="B683" s="10" t="s">
        <v>3023</v>
      </c>
      <c r="C683" t="s">
        <v>2156</v>
      </c>
      <c r="D683" t="s">
        <v>2149</v>
      </c>
      <c r="E683" s="3">
        <v>14.457000000000001</v>
      </c>
      <c r="F683" s="3">
        <v>5.0944000000000003</v>
      </c>
      <c r="G683" s="3">
        <v>9.3626000000000005</v>
      </c>
      <c r="H683" s="3">
        <v>5.04</v>
      </c>
    </row>
    <row r="684" spans="1:8">
      <c r="A684" s="10" t="s">
        <v>790</v>
      </c>
      <c r="B684" s="10" t="s">
        <v>3365</v>
      </c>
      <c r="C684" t="s">
        <v>2156</v>
      </c>
      <c r="D684" t="s">
        <v>2149</v>
      </c>
      <c r="E684" s="3">
        <v>7.353800076691571</v>
      </c>
      <c r="F684" s="3">
        <v>3.3498000000000001</v>
      </c>
      <c r="G684" s="3">
        <v>4.0040000766915709</v>
      </c>
      <c r="H684" s="3">
        <v>1.44</v>
      </c>
    </row>
    <row r="685" spans="1:8">
      <c r="A685" s="10" t="s">
        <v>796</v>
      </c>
      <c r="B685" s="10" t="s">
        <v>2740</v>
      </c>
      <c r="C685" t="s">
        <v>2169</v>
      </c>
      <c r="D685" t="s">
        <v>2149</v>
      </c>
      <c r="E685" s="3">
        <v>51.604950000000002</v>
      </c>
      <c r="F685" s="3">
        <v>22.4221</v>
      </c>
      <c r="G685" s="3">
        <v>29.182850000000002</v>
      </c>
      <c r="H685" s="3">
        <v>16.8</v>
      </c>
    </row>
    <row r="686" spans="1:8">
      <c r="A686" s="10" t="s">
        <v>797</v>
      </c>
      <c r="B686" s="10" t="s">
        <v>2770</v>
      </c>
      <c r="C686" t="s">
        <v>2169</v>
      </c>
      <c r="D686" t="s">
        <v>2149</v>
      </c>
      <c r="E686" s="3">
        <v>181.36938565783723</v>
      </c>
      <c r="F686" s="3">
        <v>100.5663</v>
      </c>
      <c r="G686" s="3">
        <v>80.803085657837229</v>
      </c>
      <c r="H686" s="3">
        <v>78.75</v>
      </c>
    </row>
    <row r="687" spans="1:8">
      <c r="A687" s="10" t="s">
        <v>802</v>
      </c>
      <c r="B687" s="10" t="s">
        <v>3322</v>
      </c>
      <c r="C687" t="s">
        <v>2169</v>
      </c>
      <c r="D687" t="s">
        <v>2149</v>
      </c>
      <c r="E687" s="3">
        <v>70.101900000000001</v>
      </c>
      <c r="F687" s="3">
        <v>59.840000000000011</v>
      </c>
      <c r="G687" s="3">
        <v>10.26189999999999</v>
      </c>
      <c r="H687" s="3">
        <v>44.88</v>
      </c>
    </row>
    <row r="688" spans="1:8">
      <c r="A688" s="10" t="s">
        <v>806</v>
      </c>
      <c r="B688" s="10" t="s">
        <v>3233</v>
      </c>
      <c r="C688" t="s">
        <v>2158</v>
      </c>
      <c r="D688" t="s">
        <v>2149</v>
      </c>
      <c r="E688" s="3">
        <v>54.579000000000008</v>
      </c>
      <c r="F688" s="3">
        <v>37.950000000000003</v>
      </c>
      <c r="G688" s="3">
        <v>16.629000000000005</v>
      </c>
      <c r="H688" s="3">
        <v>37.950000000000003</v>
      </c>
    </row>
    <row r="689" spans="1:8">
      <c r="A689" s="10" t="s">
        <v>810</v>
      </c>
      <c r="B689" s="10" t="s">
        <v>2599</v>
      </c>
      <c r="C689" t="s">
        <v>2169</v>
      </c>
      <c r="D689" t="s">
        <v>2149</v>
      </c>
      <c r="E689" s="3">
        <v>92.98</v>
      </c>
      <c r="F689" s="3">
        <v>44.356599999999993</v>
      </c>
      <c r="G689" s="3">
        <v>48.623400000000011</v>
      </c>
      <c r="H689" s="3">
        <v>48.73</v>
      </c>
    </row>
    <row r="690" spans="1:8">
      <c r="A690" s="10" t="s">
        <v>811</v>
      </c>
      <c r="B690" s="10" t="s">
        <v>2603</v>
      </c>
      <c r="C690" t="s">
        <v>2169</v>
      </c>
      <c r="D690" t="s">
        <v>2149</v>
      </c>
      <c r="E690" s="3">
        <v>17.745000000000001</v>
      </c>
      <c r="F690" s="3">
        <v>9.84</v>
      </c>
      <c r="G690" s="3">
        <v>7.9050000000000011</v>
      </c>
      <c r="H690" s="3">
        <v>6.95</v>
      </c>
    </row>
    <row r="691" spans="1:8">
      <c r="A691" s="10" t="s">
        <v>824</v>
      </c>
      <c r="B691" s="10" t="s">
        <v>2787</v>
      </c>
      <c r="C691" t="s">
        <v>2158</v>
      </c>
      <c r="D691" t="s">
        <v>2149</v>
      </c>
      <c r="E691" s="3">
        <v>2.1225999999999998</v>
      </c>
      <c r="F691" s="3">
        <v>2.081</v>
      </c>
      <c r="G691" s="3">
        <v>4.1599999999999859E-2</v>
      </c>
      <c r="H691" s="3">
        <v>10.4</v>
      </c>
    </row>
    <row r="692" spans="1:8">
      <c r="A692" s="10" t="s">
        <v>825</v>
      </c>
      <c r="B692" s="10" t="s">
        <v>3295</v>
      </c>
      <c r="C692" t="s">
        <v>2158</v>
      </c>
      <c r="D692" t="s">
        <v>2149</v>
      </c>
      <c r="E692" s="3">
        <v>18.312000000000001</v>
      </c>
      <c r="F692" s="3">
        <v>10.023999999999999</v>
      </c>
      <c r="G692" s="3">
        <v>8.288000000000002</v>
      </c>
      <c r="H692" s="3">
        <v>10.02</v>
      </c>
    </row>
    <row r="693" spans="1:8">
      <c r="A693" s="10" t="s">
        <v>834</v>
      </c>
      <c r="B693" s="10" t="s">
        <v>3030</v>
      </c>
      <c r="C693" t="s">
        <v>2156</v>
      </c>
      <c r="D693" t="s">
        <v>2149</v>
      </c>
      <c r="E693" s="3">
        <v>3.8879999999999999</v>
      </c>
      <c r="F693" s="3">
        <v>1.6888000000000001</v>
      </c>
      <c r="G693" s="3">
        <v>2.1991999999999998</v>
      </c>
      <c r="H693" s="3">
        <v>3.36</v>
      </c>
    </row>
    <row r="694" spans="1:8">
      <c r="A694" s="10" t="s">
        <v>846</v>
      </c>
      <c r="B694" s="10" t="s">
        <v>2403</v>
      </c>
      <c r="C694" t="s">
        <v>2169</v>
      </c>
      <c r="D694" t="s">
        <v>2149</v>
      </c>
      <c r="E694" s="3">
        <v>-2.6962652074314306</v>
      </c>
      <c r="F694" s="3">
        <v>0</v>
      </c>
      <c r="G694" s="3">
        <v>-2.6962652074314306</v>
      </c>
      <c r="H694" s="3">
        <v>56.84</v>
      </c>
    </row>
    <row r="695" spans="1:8">
      <c r="A695" s="10" t="s">
        <v>857</v>
      </c>
      <c r="B695" s="10" t="s">
        <v>2443</v>
      </c>
      <c r="C695" t="s">
        <v>2156</v>
      </c>
      <c r="D695" t="s">
        <v>2149</v>
      </c>
      <c r="E695" s="3">
        <v>2.2280608972787448</v>
      </c>
      <c r="F695" s="3">
        <v>2.109</v>
      </c>
      <c r="G695" s="3">
        <v>0.1190608972787448</v>
      </c>
      <c r="H695" s="3">
        <v>1.05</v>
      </c>
    </row>
    <row r="696" spans="1:8">
      <c r="A696" s="10" t="s">
        <v>858</v>
      </c>
      <c r="B696" s="10" t="s">
        <v>2449</v>
      </c>
      <c r="C696" t="s">
        <v>2156</v>
      </c>
      <c r="D696" t="s">
        <v>2149</v>
      </c>
      <c r="E696" s="3">
        <v>-2.7384261852930836</v>
      </c>
      <c r="F696" s="3">
        <v>0</v>
      </c>
      <c r="G696" s="3">
        <v>-2.7384261852930836</v>
      </c>
      <c r="H696" s="3">
        <v>1.44</v>
      </c>
    </row>
    <row r="697" spans="1:8">
      <c r="A697" s="10" t="s">
        <v>862</v>
      </c>
      <c r="B697" s="10" t="s">
        <v>2619</v>
      </c>
      <c r="C697" t="s">
        <v>2158</v>
      </c>
      <c r="D697" t="s">
        <v>2149</v>
      </c>
      <c r="E697" s="3">
        <v>695.97078262023297</v>
      </c>
      <c r="F697" s="3">
        <v>523.61040000000003</v>
      </c>
      <c r="G697" s="3">
        <v>172.36038262023294</v>
      </c>
      <c r="H697" s="3">
        <v>203.88</v>
      </c>
    </row>
    <row r="698" spans="1:8">
      <c r="A698" s="10" t="s">
        <v>865</v>
      </c>
      <c r="B698" s="10" t="s">
        <v>2228</v>
      </c>
      <c r="C698" t="s">
        <v>2229</v>
      </c>
      <c r="D698" t="s">
        <v>2149</v>
      </c>
      <c r="E698" s="3">
        <v>65976.541183899753</v>
      </c>
      <c r="F698" s="3">
        <v>60082.444800000012</v>
      </c>
      <c r="G698" s="3">
        <v>5894.0963838997413</v>
      </c>
      <c r="H698" s="3">
        <v>29344</v>
      </c>
    </row>
    <row r="699" spans="1:8">
      <c r="A699" s="10" t="s">
        <v>869</v>
      </c>
      <c r="B699" s="10" t="s">
        <v>3184</v>
      </c>
      <c r="C699" t="s">
        <v>2169</v>
      </c>
      <c r="D699" t="s">
        <v>2149</v>
      </c>
      <c r="E699" s="3">
        <v>8.5188460163666644</v>
      </c>
      <c r="F699" s="3">
        <v>7.58</v>
      </c>
      <c r="G699" s="3">
        <v>0.93884601636666432</v>
      </c>
      <c r="H699" s="3">
        <v>18.8</v>
      </c>
    </row>
    <row r="700" spans="1:8">
      <c r="A700" s="10" t="s">
        <v>870</v>
      </c>
      <c r="B700" s="10" t="s">
        <v>2898</v>
      </c>
      <c r="C700" t="s">
        <v>2158</v>
      </c>
      <c r="D700" t="s">
        <v>2149</v>
      </c>
      <c r="E700" s="3">
        <v>103.32180000000001</v>
      </c>
      <c r="F700" s="3">
        <v>63.640000000000008</v>
      </c>
      <c r="G700" s="3">
        <v>39.681800000000003</v>
      </c>
      <c r="H700" s="3">
        <v>34.44</v>
      </c>
    </row>
    <row r="701" spans="1:8">
      <c r="A701" s="10" t="s">
        <v>877</v>
      </c>
      <c r="B701" s="10" t="s">
        <v>3268</v>
      </c>
      <c r="C701" t="s">
        <v>2158</v>
      </c>
      <c r="D701" t="s">
        <v>2149</v>
      </c>
      <c r="E701" s="3">
        <v>116.32</v>
      </c>
      <c r="F701" s="3">
        <v>60.552599999999998</v>
      </c>
      <c r="G701" s="3">
        <v>55.767399999999995</v>
      </c>
      <c r="H701" s="3">
        <v>42.62</v>
      </c>
    </row>
    <row r="702" spans="1:8">
      <c r="A702" s="10" t="s">
        <v>886</v>
      </c>
      <c r="B702" s="10" t="s">
        <v>2779</v>
      </c>
      <c r="C702" t="s">
        <v>2158</v>
      </c>
      <c r="D702" t="s">
        <v>2149</v>
      </c>
      <c r="E702" s="3">
        <v>18.2745</v>
      </c>
      <c r="F702" s="3">
        <v>11.184999999999999</v>
      </c>
      <c r="G702" s="3">
        <v>7.089500000000001</v>
      </c>
      <c r="H702" s="3">
        <v>11.2</v>
      </c>
    </row>
    <row r="703" spans="1:8">
      <c r="A703" s="10" t="s">
        <v>896</v>
      </c>
      <c r="B703" s="10" t="s">
        <v>2502</v>
      </c>
      <c r="C703" t="s">
        <v>2158</v>
      </c>
      <c r="D703" t="s">
        <v>2149</v>
      </c>
      <c r="E703" s="3">
        <v>25.254831280414152</v>
      </c>
      <c r="F703" s="3">
        <v>15.4</v>
      </c>
      <c r="G703" s="3">
        <v>9.8548312804141514</v>
      </c>
      <c r="H703" s="3">
        <v>9.8000000000000007</v>
      </c>
    </row>
    <row r="704" spans="1:8">
      <c r="A704" s="10" t="s">
        <v>897</v>
      </c>
      <c r="B704" s="10" t="s">
        <v>2503</v>
      </c>
      <c r="C704" t="s">
        <v>2158</v>
      </c>
      <c r="D704" t="s">
        <v>2149</v>
      </c>
      <c r="E704" s="3">
        <v>26.224780562553924</v>
      </c>
      <c r="F704" s="3">
        <v>16.059999999999999</v>
      </c>
      <c r="G704" s="3">
        <v>10.164780562553926</v>
      </c>
      <c r="H704" s="3">
        <v>14.6</v>
      </c>
    </row>
    <row r="705" spans="1:8">
      <c r="A705" s="10" t="s">
        <v>898</v>
      </c>
      <c r="B705" s="10" t="s">
        <v>2504</v>
      </c>
      <c r="C705" t="s">
        <v>2158</v>
      </c>
      <c r="D705" t="s">
        <v>2149</v>
      </c>
      <c r="E705" s="3">
        <v>25.517506633775582</v>
      </c>
      <c r="F705" s="3">
        <v>15.66</v>
      </c>
      <c r="G705" s="3">
        <v>9.8575066337755821</v>
      </c>
      <c r="H705" s="3">
        <v>7.54</v>
      </c>
    </row>
    <row r="706" spans="1:8">
      <c r="A706" s="10" t="s">
        <v>901</v>
      </c>
      <c r="B706" s="10" t="s">
        <v>2671</v>
      </c>
      <c r="C706" t="s">
        <v>2156</v>
      </c>
      <c r="D706" t="s">
        <v>2149</v>
      </c>
      <c r="E706" s="3">
        <v>191.25382881710837</v>
      </c>
      <c r="F706" s="3">
        <v>124.7724</v>
      </c>
      <c r="G706" s="3">
        <v>66.481428817108366</v>
      </c>
      <c r="H706" s="3">
        <v>65.180000000000007</v>
      </c>
    </row>
    <row r="707" spans="1:8">
      <c r="A707" s="10" t="s">
        <v>970</v>
      </c>
      <c r="B707" s="10" t="s">
        <v>2916</v>
      </c>
      <c r="C707" t="s">
        <v>2158</v>
      </c>
      <c r="D707" t="s">
        <v>2149</v>
      </c>
      <c r="E707" s="3">
        <v>1113.0482045432966</v>
      </c>
      <c r="F707" s="3">
        <v>477.13599999999997</v>
      </c>
      <c r="G707" s="3">
        <v>635.91220454329664</v>
      </c>
      <c r="H707" s="3">
        <v>240.48</v>
      </c>
    </row>
    <row r="708" spans="1:8">
      <c r="A708" s="10" t="s">
        <v>959</v>
      </c>
      <c r="B708" s="10" t="s">
        <v>2822</v>
      </c>
      <c r="C708" t="s">
        <v>2169</v>
      </c>
      <c r="D708" t="s">
        <v>2149</v>
      </c>
      <c r="E708" s="3">
        <v>33.388605495850904</v>
      </c>
      <c r="F708" s="3">
        <v>15.478799999999998</v>
      </c>
      <c r="G708" s="3">
        <v>17.909805495850904</v>
      </c>
      <c r="H708" s="3">
        <v>15.84</v>
      </c>
    </row>
    <row r="709" spans="1:8">
      <c r="A709" s="10" t="s">
        <v>963</v>
      </c>
      <c r="B709" s="10" t="s">
        <v>2856</v>
      </c>
      <c r="C709" t="s">
        <v>2158</v>
      </c>
      <c r="D709" t="s">
        <v>2149</v>
      </c>
      <c r="E709" s="3">
        <v>172.68186788689701</v>
      </c>
      <c r="F709" s="3">
        <v>76.47</v>
      </c>
      <c r="G709" s="3">
        <v>96.211867886897011</v>
      </c>
      <c r="H709" s="3">
        <v>49.98</v>
      </c>
    </row>
    <row r="710" spans="1:8">
      <c r="A710" s="10" t="s">
        <v>942</v>
      </c>
      <c r="B710" s="10" t="s">
        <v>2686</v>
      </c>
      <c r="C710" t="s">
        <v>2169</v>
      </c>
      <c r="D710" t="s">
        <v>2149</v>
      </c>
      <c r="E710" s="3">
        <v>607.83938454892586</v>
      </c>
      <c r="F710" s="3">
        <v>380.71540000000005</v>
      </c>
      <c r="G710" s="3">
        <v>227.12398454892582</v>
      </c>
      <c r="H710" s="3">
        <v>226.6</v>
      </c>
    </row>
    <row r="711" spans="1:8">
      <c r="A711" s="10" t="s">
        <v>911</v>
      </c>
      <c r="B711" s="10" t="s">
        <v>2406</v>
      </c>
      <c r="C711" t="s">
        <v>2158</v>
      </c>
      <c r="D711" t="s">
        <v>2149</v>
      </c>
      <c r="E711" s="3">
        <v>21.059503730797363</v>
      </c>
      <c r="F711" s="3">
        <v>13.326000000000001</v>
      </c>
      <c r="G711" s="3">
        <v>7.7335037307973629</v>
      </c>
      <c r="H711" s="3">
        <v>16.059999999999999</v>
      </c>
    </row>
    <row r="712" spans="1:8">
      <c r="A712" s="10" t="s">
        <v>954</v>
      </c>
      <c r="B712" s="10" t="s">
        <v>3287</v>
      </c>
      <c r="C712" t="s">
        <v>2158</v>
      </c>
      <c r="D712" t="s">
        <v>2149</v>
      </c>
      <c r="E712" s="3">
        <v>84.859225267288181</v>
      </c>
      <c r="F712" s="3">
        <v>40.025000000000006</v>
      </c>
      <c r="G712" s="3">
        <v>44.834225267288176</v>
      </c>
      <c r="H712" s="3">
        <v>40</v>
      </c>
    </row>
    <row r="713" spans="1:8">
      <c r="A713" s="10" t="s">
        <v>1028</v>
      </c>
      <c r="B713" s="10" t="s">
        <v>2541</v>
      </c>
      <c r="C713" t="s">
        <v>2344</v>
      </c>
      <c r="D713" t="s">
        <v>2149</v>
      </c>
      <c r="E713" s="3">
        <v>30.438000000000002</v>
      </c>
      <c r="F713" s="3">
        <v>16.254999999999999</v>
      </c>
      <c r="G713" s="3">
        <v>14.183000000000003</v>
      </c>
      <c r="H713" s="3">
        <v>16.55</v>
      </c>
    </row>
    <row r="714" spans="1:8">
      <c r="A714" s="10" t="s">
        <v>964</v>
      </c>
      <c r="B714" s="10" t="s">
        <v>3320</v>
      </c>
      <c r="C714" t="s">
        <v>2158</v>
      </c>
      <c r="D714" t="s">
        <v>2149</v>
      </c>
      <c r="E714" s="3">
        <v>27.105</v>
      </c>
      <c r="F714" s="3">
        <v>12.6</v>
      </c>
      <c r="G714" s="3">
        <v>14.505000000000001</v>
      </c>
      <c r="H714" s="3">
        <v>18.899999999999999</v>
      </c>
    </row>
    <row r="715" spans="1:8">
      <c r="A715" s="10" t="s">
        <v>935</v>
      </c>
      <c r="B715" s="10" t="s">
        <v>2648</v>
      </c>
      <c r="C715" t="s">
        <v>2158</v>
      </c>
      <c r="D715" t="s">
        <v>2149</v>
      </c>
      <c r="E715" s="3">
        <v>106.1848</v>
      </c>
      <c r="F715" s="3">
        <v>70.0762</v>
      </c>
      <c r="G715" s="3">
        <v>36.108599999999996</v>
      </c>
      <c r="H715" s="3">
        <v>111.84</v>
      </c>
    </row>
    <row r="716" spans="1:8">
      <c r="A716" s="10" t="s">
        <v>924</v>
      </c>
      <c r="B716" s="10" t="s">
        <v>2558</v>
      </c>
      <c r="C716" t="s">
        <v>2169</v>
      </c>
      <c r="D716" t="s">
        <v>2149</v>
      </c>
      <c r="E716" s="3">
        <v>-67.447999999999993</v>
      </c>
      <c r="F716" s="3">
        <v>-38.993299999999998</v>
      </c>
      <c r="G716" s="3">
        <v>-28.454699999999995</v>
      </c>
      <c r="H716" s="3">
        <v>99.44</v>
      </c>
    </row>
    <row r="717" spans="1:8">
      <c r="A717" s="10" t="s">
        <v>1033</v>
      </c>
      <c r="B717" s="10" t="s">
        <v>2166</v>
      </c>
      <c r="C717" t="s">
        <v>2154</v>
      </c>
      <c r="D717" t="s">
        <v>2149</v>
      </c>
      <c r="E717" s="3">
        <v>11853.113360474119</v>
      </c>
      <c r="F717" s="3">
        <v>9077.6713999999993</v>
      </c>
      <c r="G717" s="3">
        <v>2775.4419604741197</v>
      </c>
      <c r="H717" s="3">
        <v>5511.35</v>
      </c>
    </row>
    <row r="718" spans="1:8">
      <c r="A718" s="10" t="s">
        <v>1327</v>
      </c>
      <c r="B718" s="10" t="s">
        <v>3223</v>
      </c>
      <c r="C718" t="s">
        <v>2156</v>
      </c>
      <c r="D718" t="s">
        <v>2149</v>
      </c>
      <c r="E718" s="3">
        <v>25.614550189235352</v>
      </c>
      <c r="F718" s="3">
        <v>19.68</v>
      </c>
      <c r="G718" s="3">
        <v>5.9345501892353525</v>
      </c>
      <c r="H718" s="3">
        <v>39.36</v>
      </c>
    </row>
    <row r="719" spans="1:8">
      <c r="A719" s="10" t="s">
        <v>1034</v>
      </c>
      <c r="B719" s="10" t="s">
        <v>2600</v>
      </c>
      <c r="C719" t="s">
        <v>2169</v>
      </c>
      <c r="D719" t="s">
        <v>2149</v>
      </c>
      <c r="E719" s="3">
        <v>97.35</v>
      </c>
      <c r="F719" s="3">
        <v>74.411999999999992</v>
      </c>
      <c r="G719" s="3">
        <v>22.938000000000002</v>
      </c>
      <c r="H719" s="3">
        <v>74.400000000000006</v>
      </c>
    </row>
    <row r="720" spans="1:8">
      <c r="A720" s="10" t="s">
        <v>1035</v>
      </c>
      <c r="B720" s="10" t="s">
        <v>2816</v>
      </c>
      <c r="C720" t="s">
        <v>2156</v>
      </c>
      <c r="D720" t="s">
        <v>2149</v>
      </c>
      <c r="E720" s="3">
        <v>88.79249999999999</v>
      </c>
      <c r="F720" s="3">
        <v>30.201599999999999</v>
      </c>
      <c r="G720" s="3">
        <v>58.590899999999991</v>
      </c>
      <c r="H720" s="3">
        <v>30.2</v>
      </c>
    </row>
    <row r="721" spans="1:8">
      <c r="A721" s="10" t="s">
        <v>933</v>
      </c>
      <c r="B721" s="10" t="s">
        <v>2637</v>
      </c>
      <c r="C721" t="s">
        <v>2158</v>
      </c>
      <c r="D721" t="s">
        <v>2149</v>
      </c>
      <c r="E721" s="3">
        <v>86.037828864509294</v>
      </c>
      <c r="F721" s="3">
        <v>34.769000000000013</v>
      </c>
      <c r="G721" s="3">
        <v>51.268828864509281</v>
      </c>
      <c r="H721" s="3">
        <v>22.68</v>
      </c>
    </row>
    <row r="722" spans="1:8">
      <c r="A722" s="10" t="s">
        <v>957</v>
      </c>
      <c r="B722" s="10" t="s">
        <v>2800</v>
      </c>
      <c r="C722" t="s">
        <v>2156</v>
      </c>
      <c r="D722" t="s">
        <v>2149</v>
      </c>
      <c r="E722" s="3">
        <v>27.796499999999998</v>
      </c>
      <c r="F722" s="3">
        <v>12.112</v>
      </c>
      <c r="G722" s="3">
        <v>15.684499999999998</v>
      </c>
      <c r="H722" s="3">
        <v>5.35</v>
      </c>
    </row>
    <row r="723" spans="1:8">
      <c r="A723" s="10" t="s">
        <v>1036</v>
      </c>
      <c r="B723" s="10" t="s">
        <v>2869</v>
      </c>
      <c r="C723" t="s">
        <v>2342</v>
      </c>
      <c r="D723" t="s">
        <v>2149</v>
      </c>
      <c r="E723" s="3">
        <v>136.63496842648323</v>
      </c>
      <c r="F723" s="3">
        <v>81.692999999999998</v>
      </c>
      <c r="G723" s="3">
        <v>54.941968426483228</v>
      </c>
      <c r="H723" s="3">
        <v>21.76</v>
      </c>
    </row>
    <row r="724" spans="1:8">
      <c r="A724" s="10" t="s">
        <v>978</v>
      </c>
      <c r="B724" s="10" t="s">
        <v>2259</v>
      </c>
      <c r="C724" t="s">
        <v>2158</v>
      </c>
      <c r="D724" t="s">
        <v>2149</v>
      </c>
      <c r="E724" s="3">
        <v>1148.367118360412</v>
      </c>
      <c r="F724" s="3">
        <v>502.4969999999999</v>
      </c>
      <c r="G724" s="3">
        <v>645.87011836041211</v>
      </c>
      <c r="H724" s="3">
        <v>295.11</v>
      </c>
    </row>
    <row r="725" spans="1:8">
      <c r="A725" s="10" t="s">
        <v>3341</v>
      </c>
      <c r="B725" s="10" t="s">
        <v>3342</v>
      </c>
      <c r="C725" t="s">
        <v>2158</v>
      </c>
      <c r="D725" t="s">
        <v>2149</v>
      </c>
      <c r="E725" s="3">
        <v>928.78649999999982</v>
      </c>
      <c r="F725" s="3">
        <v>583.221</v>
      </c>
      <c r="G725" s="3">
        <v>345.56549999999982</v>
      </c>
      <c r="H725" s="3">
        <v>398.88</v>
      </c>
    </row>
    <row r="726" spans="1:8">
      <c r="A726" s="10" t="s">
        <v>976</v>
      </c>
      <c r="B726" s="10" t="s">
        <v>2993</v>
      </c>
      <c r="C726" t="s">
        <v>2158</v>
      </c>
      <c r="D726" t="s">
        <v>2149</v>
      </c>
      <c r="E726" s="3">
        <v>399.46350783195101</v>
      </c>
      <c r="F726" s="3">
        <v>297.73180000000002</v>
      </c>
      <c r="G726" s="3">
        <v>101.73170783195098</v>
      </c>
      <c r="H726" s="3">
        <v>199.26</v>
      </c>
    </row>
    <row r="727" spans="1:8">
      <c r="A727" s="10" t="s">
        <v>1043</v>
      </c>
      <c r="B727" s="10" t="s">
        <v>2475</v>
      </c>
      <c r="C727" t="s">
        <v>2158</v>
      </c>
      <c r="D727" t="s">
        <v>2149</v>
      </c>
      <c r="E727" s="3">
        <v>-4.7498602598676145</v>
      </c>
      <c r="F727" s="3">
        <v>0</v>
      </c>
      <c r="G727" s="3">
        <v>-4.7498602598676145</v>
      </c>
      <c r="H727" s="3">
        <v>1.65</v>
      </c>
    </row>
    <row r="728" spans="1:8">
      <c r="A728" s="10" t="s">
        <v>3315</v>
      </c>
      <c r="B728" s="10" t="s">
        <v>3316</v>
      </c>
      <c r="C728" t="s">
        <v>3317</v>
      </c>
      <c r="D728" t="s">
        <v>2149</v>
      </c>
      <c r="E728" s="3">
        <v>158.95449434031798</v>
      </c>
      <c r="F728" s="3">
        <v>117.3366</v>
      </c>
      <c r="G728" s="3">
        <v>41.617894340317974</v>
      </c>
      <c r="H728" s="3">
        <v>156.44</v>
      </c>
    </row>
    <row r="729" spans="1:8">
      <c r="A729" s="10" t="s">
        <v>1048</v>
      </c>
      <c r="B729" s="10" t="s">
        <v>3355</v>
      </c>
      <c r="C729" t="s">
        <v>2158</v>
      </c>
      <c r="D729" t="s">
        <v>2149</v>
      </c>
      <c r="E729" s="3">
        <v>1.8959999999999999</v>
      </c>
      <c r="F729" s="3">
        <v>0.71</v>
      </c>
      <c r="G729" s="3">
        <v>1.1859999999999999</v>
      </c>
      <c r="H729" s="3">
        <v>1.42</v>
      </c>
    </row>
    <row r="730" spans="1:8">
      <c r="A730" s="10" t="s">
        <v>1049</v>
      </c>
      <c r="B730" s="10" t="s">
        <v>2189</v>
      </c>
      <c r="C730" t="s">
        <v>2158</v>
      </c>
      <c r="D730" t="s">
        <v>2149</v>
      </c>
      <c r="E730" s="3">
        <v>104.0856</v>
      </c>
      <c r="F730" s="3">
        <v>70.14</v>
      </c>
      <c r="G730" s="3">
        <v>33.945599999999999</v>
      </c>
      <c r="H730" s="3">
        <v>52.22</v>
      </c>
    </row>
    <row r="731" spans="1:8">
      <c r="A731" s="10" t="s">
        <v>984</v>
      </c>
      <c r="B731" s="10" t="s">
        <v>3051</v>
      </c>
      <c r="C731" t="s">
        <v>2156</v>
      </c>
      <c r="D731" t="s">
        <v>2149</v>
      </c>
      <c r="E731" s="3">
        <v>37.728000000000002</v>
      </c>
      <c r="F731" s="3">
        <v>16.0824</v>
      </c>
      <c r="G731" s="3">
        <v>21.645600000000002</v>
      </c>
      <c r="H731" s="3">
        <v>13.4</v>
      </c>
    </row>
    <row r="732" spans="1:8">
      <c r="A732" s="10" t="s">
        <v>931</v>
      </c>
      <c r="B732" s="10" t="s">
        <v>2617</v>
      </c>
      <c r="C732" t="s">
        <v>2182</v>
      </c>
      <c r="D732" t="s">
        <v>2149</v>
      </c>
      <c r="E732" s="3">
        <v>3867.1346763957476</v>
      </c>
      <c r="F732" s="3">
        <v>2843.61</v>
      </c>
      <c r="G732" s="3">
        <v>1023.5246763957475</v>
      </c>
      <c r="H732" s="3">
        <v>2843.61</v>
      </c>
    </row>
    <row r="733" spans="1:8">
      <c r="A733" s="10" t="s">
        <v>975</v>
      </c>
      <c r="B733" s="10" t="s">
        <v>3337</v>
      </c>
      <c r="C733" t="s">
        <v>2156</v>
      </c>
      <c r="D733" t="s">
        <v>2149</v>
      </c>
      <c r="E733" s="3">
        <v>375.08370000000002</v>
      </c>
      <c r="F733" s="3">
        <v>297.76099999999997</v>
      </c>
      <c r="G733" s="3">
        <v>77.322700000000054</v>
      </c>
      <c r="H733" s="3">
        <v>73.48</v>
      </c>
    </row>
    <row r="734" spans="1:8">
      <c r="A734" s="10" t="s">
        <v>989</v>
      </c>
      <c r="B734" s="10" t="s">
        <v>3361</v>
      </c>
      <c r="C734" t="s">
        <v>2156</v>
      </c>
      <c r="D734" t="s">
        <v>2149</v>
      </c>
      <c r="E734" s="3">
        <v>2.5232000000000001</v>
      </c>
      <c r="F734" s="3">
        <v>0.97199999999999998</v>
      </c>
      <c r="G734" s="3">
        <v>1.5512000000000001</v>
      </c>
      <c r="H734" s="3">
        <v>0.81</v>
      </c>
    </row>
    <row r="735" spans="1:8">
      <c r="A735" s="10" t="s">
        <v>936</v>
      </c>
      <c r="B735" s="10" t="s">
        <v>2651</v>
      </c>
      <c r="C735" t="s">
        <v>2158</v>
      </c>
      <c r="D735" t="s">
        <v>2149</v>
      </c>
      <c r="E735" s="3">
        <v>188.74280794039603</v>
      </c>
      <c r="F735" s="3">
        <v>113.57329999999999</v>
      </c>
      <c r="G735" s="3">
        <v>75.169507940396045</v>
      </c>
      <c r="H735" s="3">
        <v>68.7</v>
      </c>
    </row>
    <row r="736" spans="1:8">
      <c r="A736" s="10" t="s">
        <v>960</v>
      </c>
      <c r="B736" s="10" t="s">
        <v>2834</v>
      </c>
      <c r="C736" t="s">
        <v>2158</v>
      </c>
      <c r="D736" t="s">
        <v>2149</v>
      </c>
      <c r="E736" s="3">
        <v>1915.7847867443375</v>
      </c>
      <c r="F736" s="3">
        <v>781.27469999999994</v>
      </c>
      <c r="G736" s="3">
        <v>1134.5100867443375</v>
      </c>
      <c r="H736" s="3">
        <v>652.5</v>
      </c>
    </row>
    <row r="737" spans="1:8">
      <c r="A737" s="10" t="s">
        <v>2937</v>
      </c>
      <c r="B737" s="10" t="s">
        <v>2938</v>
      </c>
      <c r="C737" t="s">
        <v>2158</v>
      </c>
      <c r="D737" t="s">
        <v>2149</v>
      </c>
      <c r="E737" s="3">
        <v>35.545200000000001</v>
      </c>
      <c r="F737" s="3">
        <v>19.37</v>
      </c>
      <c r="G737" s="3">
        <v>16.1752</v>
      </c>
      <c r="H737" s="3">
        <v>77.48</v>
      </c>
    </row>
    <row r="738" spans="1:8">
      <c r="A738" s="10" t="s">
        <v>940</v>
      </c>
      <c r="B738" s="10" t="s">
        <v>2670</v>
      </c>
      <c r="C738" t="s">
        <v>2158</v>
      </c>
      <c r="D738" t="s">
        <v>2149</v>
      </c>
      <c r="E738" s="3">
        <v>2294.9970586488453</v>
      </c>
      <c r="F738" s="3">
        <v>1260.0018999999998</v>
      </c>
      <c r="G738" s="3">
        <v>1034.9951586488455</v>
      </c>
      <c r="H738" s="3">
        <v>829.98</v>
      </c>
    </row>
    <row r="739" spans="1:8">
      <c r="A739" s="10" t="s">
        <v>1041</v>
      </c>
      <c r="B739" s="10" t="s">
        <v>2607</v>
      </c>
      <c r="C739" t="s">
        <v>2169</v>
      </c>
      <c r="D739" t="s">
        <v>2149</v>
      </c>
      <c r="E739" s="3">
        <v>54.340800000000002</v>
      </c>
      <c r="F739" s="3">
        <v>36.270099999999992</v>
      </c>
      <c r="G739" s="3">
        <v>18.070700000000009</v>
      </c>
      <c r="H739" s="3">
        <v>16.16</v>
      </c>
    </row>
    <row r="740" spans="1:8">
      <c r="A740" s="10" t="s">
        <v>930</v>
      </c>
      <c r="B740" s="10" t="s">
        <v>2610</v>
      </c>
      <c r="C740" t="s">
        <v>2169</v>
      </c>
      <c r="D740" t="s">
        <v>2149</v>
      </c>
      <c r="E740" s="3">
        <v>34.572269743101806</v>
      </c>
      <c r="F740" s="3">
        <v>16.3506</v>
      </c>
      <c r="G740" s="3">
        <v>18.221669743101806</v>
      </c>
      <c r="H740" s="3">
        <v>8.26</v>
      </c>
    </row>
    <row r="741" spans="1:8">
      <c r="A741" s="10" t="s">
        <v>915</v>
      </c>
      <c r="B741" s="10" t="s">
        <v>2416</v>
      </c>
      <c r="C741" t="s">
        <v>2158</v>
      </c>
      <c r="D741" t="s">
        <v>2149</v>
      </c>
      <c r="E741" s="3">
        <v>14.111999999999998</v>
      </c>
      <c r="F741" s="3">
        <v>6.6920000000000002</v>
      </c>
      <c r="G741" s="3">
        <v>7.4199999999999982</v>
      </c>
      <c r="H741" s="3">
        <v>1.32</v>
      </c>
    </row>
    <row r="742" spans="1:8">
      <c r="A742" s="10" t="s">
        <v>927</v>
      </c>
      <c r="B742" s="10" t="s">
        <v>2583</v>
      </c>
      <c r="C742" t="s">
        <v>2169</v>
      </c>
      <c r="D742" t="s">
        <v>2149</v>
      </c>
      <c r="E742" s="3">
        <v>94.3215</v>
      </c>
      <c r="F742" s="3">
        <v>55.679999999999993</v>
      </c>
      <c r="G742" s="3">
        <v>38.641500000000008</v>
      </c>
      <c r="H742" s="3">
        <v>55.68</v>
      </c>
    </row>
    <row r="743" spans="1:8">
      <c r="A743" s="10" t="s">
        <v>2160</v>
      </c>
      <c r="B743" s="10" t="s">
        <v>2161</v>
      </c>
      <c r="C743" t="s">
        <v>2156</v>
      </c>
      <c r="D743" t="s">
        <v>2149</v>
      </c>
      <c r="E743" s="3">
        <v>63.924236144190104</v>
      </c>
      <c r="F743" s="3">
        <v>42</v>
      </c>
      <c r="G743" s="3">
        <v>21.924236144190104</v>
      </c>
      <c r="H743" s="3">
        <v>21</v>
      </c>
    </row>
    <row r="744" spans="1:8">
      <c r="A744" s="10" t="s">
        <v>2162</v>
      </c>
      <c r="B744" s="10" t="s">
        <v>2163</v>
      </c>
      <c r="C744" t="s">
        <v>2156</v>
      </c>
      <c r="D744" t="s">
        <v>2149</v>
      </c>
      <c r="E744" s="3">
        <v>66.148499999999999</v>
      </c>
      <c r="F744" s="3">
        <v>28.215399999999999</v>
      </c>
      <c r="G744" s="3">
        <v>37.933099999999996</v>
      </c>
      <c r="H744" s="3">
        <v>17.010000000000002</v>
      </c>
    </row>
    <row r="745" spans="1:8">
      <c r="A745" s="10" t="s">
        <v>912</v>
      </c>
      <c r="B745" s="10" t="s">
        <v>2412</v>
      </c>
      <c r="C745" t="s">
        <v>2169</v>
      </c>
      <c r="D745" t="s">
        <v>2149</v>
      </c>
      <c r="E745" s="3">
        <v>3.6680000000000001</v>
      </c>
      <c r="F745" s="3">
        <v>2</v>
      </c>
      <c r="G745" s="3">
        <v>1.6680000000000001</v>
      </c>
      <c r="H745" s="3">
        <v>9</v>
      </c>
    </row>
    <row r="746" spans="1:8">
      <c r="A746" s="10" t="s">
        <v>914</v>
      </c>
      <c r="B746" s="10" t="s">
        <v>2415</v>
      </c>
      <c r="C746" t="s">
        <v>2169</v>
      </c>
      <c r="D746" t="s">
        <v>2149</v>
      </c>
      <c r="E746" s="3">
        <v>13.538</v>
      </c>
      <c r="F746" s="3">
        <v>8.4600000000000009</v>
      </c>
      <c r="G746" s="3">
        <v>5.0779999999999994</v>
      </c>
      <c r="H746" s="3">
        <v>38.07</v>
      </c>
    </row>
    <row r="747" spans="1:8">
      <c r="A747" s="10" t="s">
        <v>2823</v>
      </c>
      <c r="B747" s="10" t="s">
        <v>2824</v>
      </c>
      <c r="C747" t="s">
        <v>2158</v>
      </c>
      <c r="D747" t="s">
        <v>2149</v>
      </c>
      <c r="E747" s="3">
        <v>14.6965</v>
      </c>
      <c r="F747" s="3">
        <v>10.92</v>
      </c>
      <c r="G747" s="3">
        <v>3.7765000000000004</v>
      </c>
      <c r="H747" s="3">
        <v>21.84</v>
      </c>
    </row>
    <row r="748" spans="1:8">
      <c r="A748" s="10" t="s">
        <v>2350</v>
      </c>
      <c r="B748" s="10" t="s">
        <v>2351</v>
      </c>
      <c r="C748" t="s">
        <v>2156</v>
      </c>
      <c r="D748" t="s">
        <v>2149</v>
      </c>
      <c r="E748" s="3">
        <v>16.071455745721273</v>
      </c>
      <c r="F748" s="3">
        <v>17.32</v>
      </c>
      <c r="G748" s="3">
        <v>-1.2485442542787268</v>
      </c>
      <c r="H748" s="3">
        <v>19.739999999999998</v>
      </c>
    </row>
    <row r="749" spans="1:8">
      <c r="A749" s="10" t="s">
        <v>2806</v>
      </c>
      <c r="B749" s="10" t="s">
        <v>2807</v>
      </c>
      <c r="C749" t="s">
        <v>2158</v>
      </c>
      <c r="D749" t="s">
        <v>2149</v>
      </c>
      <c r="E749" s="3">
        <v>183.39087388328736</v>
      </c>
      <c r="F749" s="3">
        <v>93.811900000000009</v>
      </c>
      <c r="G749" s="3">
        <v>89.578973883287347</v>
      </c>
      <c r="H749" s="3">
        <v>41.76</v>
      </c>
    </row>
    <row r="750" spans="1:8">
      <c r="A750" s="10" t="s">
        <v>1058</v>
      </c>
      <c r="B750" s="10" t="s">
        <v>2461</v>
      </c>
      <c r="C750" t="s">
        <v>2158</v>
      </c>
      <c r="D750" t="s">
        <v>2149</v>
      </c>
      <c r="E750" s="3">
        <v>57.684899999999999</v>
      </c>
      <c r="F750" s="3">
        <v>42.154199999999996</v>
      </c>
      <c r="G750" s="3">
        <v>15.530700000000003</v>
      </c>
      <c r="H750" s="3">
        <v>23.4</v>
      </c>
    </row>
    <row r="751" spans="1:8">
      <c r="A751" s="10" t="s">
        <v>1059</v>
      </c>
      <c r="B751" s="10" t="s">
        <v>2611</v>
      </c>
      <c r="C751" t="s">
        <v>2169</v>
      </c>
      <c r="D751" t="s">
        <v>2149</v>
      </c>
      <c r="E751" s="3">
        <v>46.435043005281337</v>
      </c>
      <c r="F751" s="3">
        <v>28.497</v>
      </c>
      <c r="G751" s="3">
        <v>17.938043005281337</v>
      </c>
      <c r="H751" s="3">
        <v>65.7</v>
      </c>
    </row>
    <row r="752" spans="1:8">
      <c r="A752" s="10" t="s">
        <v>1060</v>
      </c>
      <c r="B752" s="10" t="s">
        <v>2612</v>
      </c>
      <c r="C752" t="s">
        <v>2169</v>
      </c>
      <c r="D752" t="s">
        <v>2149</v>
      </c>
      <c r="E752" s="3">
        <v>90.813168997696934</v>
      </c>
      <c r="F752" s="3">
        <v>65.532000000000011</v>
      </c>
      <c r="G752" s="3">
        <v>25.281168997696923</v>
      </c>
      <c r="H752" s="3">
        <v>34.880000000000003</v>
      </c>
    </row>
    <row r="753" spans="1:8">
      <c r="A753" s="10" t="s">
        <v>1061</v>
      </c>
      <c r="B753" s="10" t="s">
        <v>2613</v>
      </c>
      <c r="C753" t="s">
        <v>2169</v>
      </c>
      <c r="D753" t="s">
        <v>2149</v>
      </c>
      <c r="E753" s="3">
        <v>20.028268429035144</v>
      </c>
      <c r="F753" s="3">
        <v>11.065100000000001</v>
      </c>
      <c r="G753" s="3">
        <v>8.963168429035143</v>
      </c>
      <c r="H753" s="3">
        <v>4.4000000000000004</v>
      </c>
    </row>
    <row r="754" spans="1:8">
      <c r="A754" s="10" t="s">
        <v>2192</v>
      </c>
      <c r="B754" s="10" t="s">
        <v>2193</v>
      </c>
      <c r="C754" t="s">
        <v>2151</v>
      </c>
      <c r="D754" t="s">
        <v>2149</v>
      </c>
      <c r="E754" s="3">
        <v>899.62720708076142</v>
      </c>
      <c r="F754" s="3">
        <v>663.55120000000022</v>
      </c>
      <c r="G754" s="3">
        <v>236.0760070807612</v>
      </c>
      <c r="H754" s="3">
        <v>493.92</v>
      </c>
    </row>
    <row r="755" spans="1:8">
      <c r="A755" s="10" t="s">
        <v>1339</v>
      </c>
      <c r="B755" s="10" t="s">
        <v>2562</v>
      </c>
      <c r="C755" t="s">
        <v>2169</v>
      </c>
      <c r="D755" t="s">
        <v>2149</v>
      </c>
      <c r="E755" s="3">
        <v>54.285031847133759</v>
      </c>
      <c r="F755" s="3">
        <v>50.094999999999999</v>
      </c>
      <c r="G755" s="3">
        <v>4.1900318471337599</v>
      </c>
      <c r="H755" s="3">
        <v>50.09</v>
      </c>
    </row>
    <row r="756" spans="1:8">
      <c r="A756" s="10" t="s">
        <v>1415</v>
      </c>
      <c r="B756" s="10" t="s">
        <v>3261</v>
      </c>
      <c r="C756" t="s">
        <v>2158</v>
      </c>
      <c r="D756" t="s">
        <v>2149</v>
      </c>
      <c r="E756" s="3">
        <v>18.375</v>
      </c>
      <c r="F756" s="3">
        <v>10.016</v>
      </c>
      <c r="G756" s="3">
        <v>8.359</v>
      </c>
      <c r="H756" s="3">
        <v>20.02</v>
      </c>
    </row>
    <row r="757" spans="1:8">
      <c r="A757" s="10" t="s">
        <v>1437</v>
      </c>
      <c r="B757" s="10" t="s">
        <v>2657</v>
      </c>
      <c r="C757" t="s">
        <v>2156</v>
      </c>
      <c r="D757" t="s">
        <v>2149</v>
      </c>
      <c r="E757" s="3">
        <v>183.36056880709387</v>
      </c>
      <c r="F757" s="3">
        <v>110.611</v>
      </c>
      <c r="G757" s="3">
        <v>72.749568807093866</v>
      </c>
      <c r="H757" s="3">
        <v>110.3</v>
      </c>
    </row>
    <row r="758" spans="1:8">
      <c r="A758" s="10" t="s">
        <v>1509</v>
      </c>
      <c r="B758" s="10" t="s">
        <v>2744</v>
      </c>
      <c r="C758" t="s">
        <v>2156</v>
      </c>
      <c r="D758" t="s">
        <v>2149</v>
      </c>
      <c r="E758" s="3">
        <v>8.4109999999999978</v>
      </c>
      <c r="F758" s="3">
        <v>2.9819999999999998</v>
      </c>
      <c r="G758" s="3">
        <v>5.4289999999999985</v>
      </c>
      <c r="H758" s="3">
        <v>6.93</v>
      </c>
    </row>
    <row r="759" spans="1:8">
      <c r="A759" s="10" t="s">
        <v>1546</v>
      </c>
      <c r="B759" s="10" t="s">
        <v>2786</v>
      </c>
      <c r="C759" t="s">
        <v>2156</v>
      </c>
      <c r="D759" t="s">
        <v>2149</v>
      </c>
      <c r="E759" s="3">
        <v>74.930740596028457</v>
      </c>
      <c r="F759" s="3">
        <v>46.9148</v>
      </c>
      <c r="G759" s="3">
        <v>28.015940596028457</v>
      </c>
      <c r="H759" s="3">
        <v>33.25</v>
      </c>
    </row>
    <row r="760" spans="1:8">
      <c r="A760" s="10" t="s">
        <v>1563</v>
      </c>
      <c r="B760" s="10" t="s">
        <v>2817</v>
      </c>
      <c r="C760" t="s">
        <v>2156</v>
      </c>
      <c r="D760" t="s">
        <v>2149</v>
      </c>
      <c r="E760" s="3">
        <v>61.178481988271436</v>
      </c>
      <c r="F760" s="3">
        <v>41.536000000000001</v>
      </c>
      <c r="G760" s="3">
        <v>19.642481988271435</v>
      </c>
      <c r="H760" s="3">
        <v>20.76</v>
      </c>
    </row>
    <row r="761" spans="1:8">
      <c r="A761" s="10" t="s">
        <v>1661</v>
      </c>
      <c r="B761" s="10" t="s">
        <v>3338</v>
      </c>
      <c r="C761" t="s">
        <v>2156</v>
      </c>
      <c r="D761" t="s">
        <v>2149</v>
      </c>
      <c r="E761" s="3">
        <v>217.76101610882833</v>
      </c>
      <c r="F761" s="3">
        <v>156.065</v>
      </c>
      <c r="G761" s="3">
        <v>61.696016108828331</v>
      </c>
      <c r="H761" s="3">
        <v>55.92</v>
      </c>
    </row>
    <row r="762" spans="1:8">
      <c r="A762" s="10" t="s">
        <v>1686</v>
      </c>
      <c r="B762" s="10" t="s">
        <v>3038</v>
      </c>
      <c r="C762" t="s">
        <v>2158</v>
      </c>
      <c r="D762" t="s">
        <v>2149</v>
      </c>
      <c r="E762" s="3">
        <v>47.2119127402038</v>
      </c>
      <c r="F762" s="3">
        <v>23.92</v>
      </c>
      <c r="G762" s="3">
        <v>23.291912740203799</v>
      </c>
      <c r="H762" s="3">
        <v>5.46</v>
      </c>
    </row>
    <row r="763" spans="1:8">
      <c r="A763" s="10" t="s">
        <v>1920</v>
      </c>
      <c r="B763" s="10" t="s">
        <v>3145</v>
      </c>
      <c r="C763" t="s">
        <v>3144</v>
      </c>
      <c r="D763" t="s">
        <v>2296</v>
      </c>
      <c r="E763" s="3">
        <v>16.64</v>
      </c>
      <c r="F763" s="3">
        <v>10.635</v>
      </c>
      <c r="G763" s="3">
        <v>6.0050000000000008</v>
      </c>
      <c r="H763" s="3">
        <v>84.96</v>
      </c>
    </row>
    <row r="764" spans="1:8">
      <c r="A764" s="10" t="s">
        <v>1693</v>
      </c>
      <c r="B764" s="10" t="s">
        <v>3053</v>
      </c>
      <c r="C764" t="s">
        <v>2158</v>
      </c>
      <c r="D764" t="s">
        <v>2149</v>
      </c>
      <c r="E764" s="3">
        <v>157.88923594505343</v>
      </c>
      <c r="F764" s="3">
        <v>60.810299999999991</v>
      </c>
      <c r="G764" s="3">
        <v>97.078935945053445</v>
      </c>
      <c r="H764" s="3">
        <v>34.72</v>
      </c>
    </row>
    <row r="765" spans="1:8">
      <c r="A765" s="10" t="s">
        <v>1218</v>
      </c>
      <c r="B765" s="10" t="s">
        <v>2404</v>
      </c>
      <c r="C765" t="s">
        <v>2158</v>
      </c>
      <c r="D765" t="s">
        <v>2149</v>
      </c>
      <c r="E765" s="3">
        <v>-6.068546996758846E-2</v>
      </c>
      <c r="F765" s="3">
        <v>0</v>
      </c>
      <c r="G765" s="3">
        <v>-6.068546996758846E-2</v>
      </c>
      <c r="H765" s="3">
        <v>8.5500000000000007</v>
      </c>
    </row>
    <row r="766" spans="1:8">
      <c r="A766" s="10" t="s">
        <v>1310</v>
      </c>
      <c r="B766" s="10" t="s">
        <v>2510</v>
      </c>
      <c r="C766" t="s">
        <v>2177</v>
      </c>
      <c r="D766" t="s">
        <v>2149</v>
      </c>
      <c r="E766" s="3">
        <v>81.5364</v>
      </c>
      <c r="F766" s="3">
        <v>68.647999999999996</v>
      </c>
      <c r="G766" s="3">
        <v>12.888400000000004</v>
      </c>
      <c r="H766" s="3">
        <v>216.24</v>
      </c>
    </row>
    <row r="767" spans="1:8">
      <c r="A767" s="10" t="s">
        <v>1311</v>
      </c>
      <c r="B767" s="10" t="s">
        <v>3207</v>
      </c>
      <c r="C767" t="s">
        <v>2177</v>
      </c>
      <c r="D767" t="s">
        <v>2149</v>
      </c>
      <c r="E767" s="3">
        <v>274.49989999999997</v>
      </c>
      <c r="F767" s="3">
        <v>223.55999999999997</v>
      </c>
      <c r="G767" s="3">
        <v>50.939899999999994</v>
      </c>
      <c r="H767" s="3">
        <v>37.26</v>
      </c>
    </row>
    <row r="768" spans="1:8">
      <c r="A768" s="10" t="s">
        <v>1353</v>
      </c>
      <c r="B768" s="10" t="s">
        <v>2567</v>
      </c>
      <c r="C768" t="s">
        <v>2158</v>
      </c>
      <c r="D768" t="s">
        <v>2149</v>
      </c>
      <c r="E768" s="3">
        <v>62.864999999999995</v>
      </c>
      <c r="F768" s="3">
        <v>34.410000000000004</v>
      </c>
      <c r="G768" s="3">
        <v>28.454999999999991</v>
      </c>
      <c r="H768" s="3">
        <v>45.88</v>
      </c>
    </row>
    <row r="769" spans="1:8">
      <c r="A769" s="10" t="s">
        <v>1364</v>
      </c>
      <c r="B769" s="10" t="s">
        <v>2582</v>
      </c>
      <c r="C769" t="s">
        <v>2344</v>
      </c>
      <c r="D769" t="s">
        <v>2149</v>
      </c>
      <c r="E769" s="3">
        <v>12.112499999999999</v>
      </c>
      <c r="F769" s="3">
        <v>5.2200000000000006</v>
      </c>
      <c r="G769" s="3">
        <v>6.8924999999999983</v>
      </c>
      <c r="H769" s="3">
        <v>4.08</v>
      </c>
    </row>
    <row r="770" spans="1:8">
      <c r="A770" s="10" t="s">
        <v>1377</v>
      </c>
      <c r="B770" s="10" t="s">
        <v>2609</v>
      </c>
      <c r="C770" t="s">
        <v>2169</v>
      </c>
      <c r="D770" t="s">
        <v>2149</v>
      </c>
      <c r="E770" s="3">
        <v>9.8290000000000006</v>
      </c>
      <c r="F770" s="3">
        <v>6.08</v>
      </c>
      <c r="G770" s="3">
        <v>3.7490000000000006</v>
      </c>
      <c r="H770" s="3">
        <v>10.64</v>
      </c>
    </row>
    <row r="771" spans="1:8">
      <c r="A771" s="10" t="s">
        <v>1389</v>
      </c>
      <c r="B771" s="10" t="s">
        <v>2632</v>
      </c>
      <c r="C771" t="s">
        <v>2158</v>
      </c>
      <c r="D771" t="s">
        <v>2149</v>
      </c>
      <c r="E771" s="3">
        <v>10.68</v>
      </c>
      <c r="F771" s="3">
        <v>1.1200000000000001</v>
      </c>
      <c r="G771" s="3">
        <v>9.5599999999999987</v>
      </c>
      <c r="H771" s="3">
        <v>2.94</v>
      </c>
    </row>
    <row r="772" spans="1:8">
      <c r="A772" s="10" t="s">
        <v>1403</v>
      </c>
      <c r="B772" s="10" t="s">
        <v>2640</v>
      </c>
      <c r="C772" t="s">
        <v>2150</v>
      </c>
      <c r="D772" t="s">
        <v>2149</v>
      </c>
      <c r="E772" s="3">
        <v>110.6354</v>
      </c>
      <c r="F772" s="3">
        <v>98.022599999999997</v>
      </c>
      <c r="G772" s="3">
        <v>12.612800000000007</v>
      </c>
      <c r="H772" s="3">
        <v>99.1</v>
      </c>
    </row>
    <row r="773" spans="1:8">
      <c r="A773" s="10" t="s">
        <v>1408</v>
      </c>
      <c r="B773" s="10" t="s">
        <v>2644</v>
      </c>
      <c r="C773" t="s">
        <v>2158</v>
      </c>
      <c r="D773" t="s">
        <v>2149</v>
      </c>
      <c r="E773" s="3">
        <v>9.3000000000000007</v>
      </c>
      <c r="F773" s="3">
        <v>2.2799999999999998</v>
      </c>
      <c r="G773" s="3">
        <v>7.0200000000000014</v>
      </c>
      <c r="H773" s="3">
        <v>2.8</v>
      </c>
    </row>
    <row r="774" spans="1:8">
      <c r="A774" s="10" t="s">
        <v>1413</v>
      </c>
      <c r="B774" s="10" t="s">
        <v>2647</v>
      </c>
      <c r="C774" t="s">
        <v>2158</v>
      </c>
      <c r="D774" t="s">
        <v>2149</v>
      </c>
      <c r="E774" s="3">
        <v>-1.1767528215449912</v>
      </c>
      <c r="F774" s="3">
        <v>0</v>
      </c>
      <c r="G774" s="3">
        <v>-1.1767528215449912</v>
      </c>
      <c r="H774" s="3">
        <v>5.6</v>
      </c>
    </row>
    <row r="775" spans="1:8">
      <c r="A775" s="10" t="s">
        <v>1450</v>
      </c>
      <c r="B775" s="10" t="s">
        <v>3267</v>
      </c>
      <c r="C775" t="s">
        <v>2158</v>
      </c>
      <c r="D775" t="s">
        <v>2149</v>
      </c>
      <c r="E775" s="3">
        <v>17.79</v>
      </c>
      <c r="F775" s="3">
        <v>10.574999999999999</v>
      </c>
      <c r="G775" s="3">
        <v>7.2149999999999999</v>
      </c>
      <c r="H775" s="3">
        <v>21.14</v>
      </c>
    </row>
    <row r="776" spans="1:8">
      <c r="A776" s="10" t="s">
        <v>1453</v>
      </c>
      <c r="B776" s="10" t="s">
        <v>2675</v>
      </c>
      <c r="C776" t="s">
        <v>2158</v>
      </c>
      <c r="D776" t="s">
        <v>2149</v>
      </c>
      <c r="E776" s="3">
        <v>64.114798820048435</v>
      </c>
      <c r="F776" s="3">
        <v>28.152999999999999</v>
      </c>
      <c r="G776" s="3">
        <v>35.961798820048436</v>
      </c>
      <c r="H776" s="3">
        <v>42.54</v>
      </c>
    </row>
    <row r="777" spans="1:8">
      <c r="A777" s="10" t="s">
        <v>1556</v>
      </c>
      <c r="B777" s="10" t="s">
        <v>2798</v>
      </c>
      <c r="C777" t="s">
        <v>2156</v>
      </c>
      <c r="D777" t="s">
        <v>2149</v>
      </c>
      <c r="E777" s="3">
        <v>163.44315</v>
      </c>
      <c r="F777" s="3">
        <v>87.674899999999994</v>
      </c>
      <c r="G777" s="3">
        <v>75.768250000000009</v>
      </c>
      <c r="H777" s="3">
        <v>57.52</v>
      </c>
    </row>
    <row r="778" spans="1:8">
      <c r="A778" s="10" t="s">
        <v>1583</v>
      </c>
      <c r="B778" s="10" t="s">
        <v>2850</v>
      </c>
      <c r="C778" t="s">
        <v>2158</v>
      </c>
      <c r="D778" t="s">
        <v>2149</v>
      </c>
      <c r="E778" s="3">
        <v>235.58407464298205</v>
      </c>
      <c r="F778" s="3">
        <v>157.14000000000001</v>
      </c>
      <c r="G778" s="3">
        <v>78.444074642982031</v>
      </c>
      <c r="H778" s="3">
        <v>32.46</v>
      </c>
    </row>
    <row r="779" spans="1:8">
      <c r="A779" s="10" t="s">
        <v>1650</v>
      </c>
      <c r="B779" s="10" t="s">
        <v>2917</v>
      </c>
      <c r="C779" t="s">
        <v>2158</v>
      </c>
      <c r="D779" t="s">
        <v>2149</v>
      </c>
      <c r="E779" s="3">
        <v>71.069999999999993</v>
      </c>
      <c r="F779" s="3">
        <v>39.218600000000002</v>
      </c>
      <c r="G779" s="3">
        <v>31.851399999999991</v>
      </c>
      <c r="H779" s="3">
        <v>156.84</v>
      </c>
    </row>
    <row r="780" spans="1:8">
      <c r="A780" s="10" t="s">
        <v>1664</v>
      </c>
      <c r="B780" s="10" t="s">
        <v>2975</v>
      </c>
      <c r="C780" t="s">
        <v>2158</v>
      </c>
      <c r="D780" t="s">
        <v>2149</v>
      </c>
      <c r="E780" s="3">
        <v>2.5124999999999997</v>
      </c>
      <c r="F780" s="3">
        <v>1.1000000000000001</v>
      </c>
      <c r="G780" s="3">
        <v>1.4124999999999996</v>
      </c>
      <c r="H780" s="3">
        <v>4.62</v>
      </c>
    </row>
    <row r="781" spans="1:8">
      <c r="A781" s="10" t="s">
        <v>1720</v>
      </c>
      <c r="B781" s="10" t="s">
        <v>3084</v>
      </c>
      <c r="C781" t="s">
        <v>2156</v>
      </c>
      <c r="D781" t="s">
        <v>2149</v>
      </c>
      <c r="E781" s="3">
        <v>43.851500000000001</v>
      </c>
      <c r="F781" s="3">
        <v>22.968000000000004</v>
      </c>
      <c r="G781" s="3">
        <v>20.883499999999998</v>
      </c>
      <c r="H781" s="3">
        <v>18.36</v>
      </c>
    </row>
    <row r="782" spans="1:8">
      <c r="A782" s="10" t="s">
        <v>3157</v>
      </c>
      <c r="B782" s="10" t="s">
        <v>3158</v>
      </c>
      <c r="C782" t="s">
        <v>2336</v>
      </c>
      <c r="D782" t="s">
        <v>2149</v>
      </c>
      <c r="E782" s="3">
        <v>1078.7200000000005</v>
      </c>
      <c r="F782" s="3">
        <v>833.24000000000024</v>
      </c>
      <c r="G782" s="3">
        <v>245.48000000000025</v>
      </c>
      <c r="H782" s="3">
        <v>2985.73</v>
      </c>
    </row>
    <row r="783" spans="1:8">
      <c r="A783" s="10" t="s">
        <v>2334</v>
      </c>
      <c r="B783" s="10" t="s">
        <v>2335</v>
      </c>
      <c r="C783" t="s">
        <v>2336</v>
      </c>
      <c r="D783" t="s">
        <v>2149</v>
      </c>
      <c r="E783" s="3">
        <v>902.28</v>
      </c>
      <c r="F783" s="3">
        <v>566.45000000000005</v>
      </c>
      <c r="G783" s="3">
        <v>335.82999999999993</v>
      </c>
      <c r="H783" s="3">
        <v>566.45000000000005</v>
      </c>
    </row>
    <row r="784" spans="1:8">
      <c r="A784" s="10" t="s">
        <v>2337</v>
      </c>
      <c r="B784" s="10" t="s">
        <v>2338</v>
      </c>
      <c r="C784" t="s">
        <v>2336</v>
      </c>
      <c r="D784" t="s">
        <v>2149</v>
      </c>
      <c r="E784" s="3">
        <v>8802.5231250072502</v>
      </c>
      <c r="F784" s="3">
        <v>5601.2552000000005</v>
      </c>
      <c r="G784" s="3">
        <v>3201.2679250072497</v>
      </c>
      <c r="H784" s="3">
        <v>4711.68</v>
      </c>
    </row>
    <row r="785" spans="1:8">
      <c r="A785" s="10" t="s">
        <v>2152</v>
      </c>
      <c r="B785" s="10" t="s">
        <v>2153</v>
      </c>
      <c r="C785" t="s">
        <v>2154</v>
      </c>
      <c r="D785" t="s">
        <v>2149</v>
      </c>
      <c r="E785" s="3">
        <v>1953.5735539107834</v>
      </c>
      <c r="F785" s="3">
        <v>1346.2243999999998</v>
      </c>
      <c r="G785" s="3">
        <v>607.34915391078357</v>
      </c>
      <c r="H785" s="3">
        <v>981.75</v>
      </c>
    </row>
    <row r="786" spans="1:8">
      <c r="A786" s="10" t="s">
        <v>1192</v>
      </c>
      <c r="B786" s="10" t="s">
        <v>2373</v>
      </c>
      <c r="C786" t="s">
        <v>2158</v>
      </c>
      <c r="D786" t="s">
        <v>2149</v>
      </c>
      <c r="E786" s="3">
        <v>54.175560413861852</v>
      </c>
      <c r="F786" s="3">
        <v>31.1416</v>
      </c>
      <c r="G786" s="3">
        <v>23.033960413861852</v>
      </c>
      <c r="H786" s="3">
        <v>17.16</v>
      </c>
    </row>
    <row r="787" spans="1:8">
      <c r="A787" s="10" t="s">
        <v>2390</v>
      </c>
      <c r="B787" s="10" t="s">
        <v>2391</v>
      </c>
      <c r="C787" t="s">
        <v>2158</v>
      </c>
      <c r="D787" t="s">
        <v>2149</v>
      </c>
      <c r="E787" s="3">
        <v>58.595999999999997</v>
      </c>
      <c r="F787" s="3">
        <v>33.976200000000006</v>
      </c>
      <c r="G787" s="3">
        <v>24.619799999999991</v>
      </c>
      <c r="H787" s="3">
        <v>14.91</v>
      </c>
    </row>
    <row r="788" spans="1:8">
      <c r="A788" s="10" t="s">
        <v>2398</v>
      </c>
      <c r="B788" s="10" t="s">
        <v>2399</v>
      </c>
      <c r="C788" t="s">
        <v>2158</v>
      </c>
      <c r="D788" t="s">
        <v>2149</v>
      </c>
      <c r="E788" s="3">
        <v>28.05</v>
      </c>
      <c r="F788" s="3">
        <v>17.865799999999997</v>
      </c>
      <c r="G788" s="3">
        <v>10.184200000000004</v>
      </c>
      <c r="H788" s="3">
        <v>5.58</v>
      </c>
    </row>
    <row r="789" spans="1:8">
      <c r="A789" s="10" t="s">
        <v>1259</v>
      </c>
      <c r="B789" s="10" t="s">
        <v>2442</v>
      </c>
      <c r="C789" t="s">
        <v>2158</v>
      </c>
      <c r="D789" t="s">
        <v>2149</v>
      </c>
      <c r="E789" s="3">
        <v>12.48</v>
      </c>
      <c r="F789" s="3">
        <v>8.06</v>
      </c>
      <c r="G789" s="3">
        <v>4.42</v>
      </c>
      <c r="H789" s="3">
        <v>8.1</v>
      </c>
    </row>
    <row r="790" spans="1:8">
      <c r="A790" s="10" t="s">
        <v>3187</v>
      </c>
      <c r="B790" s="10" t="s">
        <v>3188</v>
      </c>
      <c r="C790" t="s">
        <v>2177</v>
      </c>
      <c r="D790" t="s">
        <v>2149</v>
      </c>
      <c r="E790" s="3">
        <v>497.28006974904207</v>
      </c>
      <c r="F790" s="3">
        <v>500.11559999999997</v>
      </c>
      <c r="G790" s="3">
        <v>-2.8355302509579019</v>
      </c>
      <c r="H790" s="3">
        <v>580.58000000000004</v>
      </c>
    </row>
    <row r="791" spans="1:8">
      <c r="A791" s="10" t="s">
        <v>3190</v>
      </c>
      <c r="B791" s="10" t="s">
        <v>3191</v>
      </c>
      <c r="C791" t="s">
        <v>2156</v>
      </c>
      <c r="D791" t="s">
        <v>2149</v>
      </c>
      <c r="E791" s="3">
        <v>36.597098729088906</v>
      </c>
      <c r="F791" s="3">
        <v>16.825800000000001</v>
      </c>
      <c r="G791" s="3">
        <v>19.771298729088905</v>
      </c>
      <c r="H791" s="3">
        <v>9.1999999999999993</v>
      </c>
    </row>
    <row r="792" spans="1:8">
      <c r="A792" s="10" t="s">
        <v>1293</v>
      </c>
      <c r="B792" s="10" t="s">
        <v>2489</v>
      </c>
      <c r="C792" t="s">
        <v>2158</v>
      </c>
      <c r="D792" t="s">
        <v>2149</v>
      </c>
      <c r="E792" s="3">
        <v>1565.3261246881575</v>
      </c>
      <c r="F792" s="3">
        <v>609.60329999999976</v>
      </c>
      <c r="G792" s="3">
        <v>955.72282468815774</v>
      </c>
      <c r="H792" s="3">
        <v>347.75</v>
      </c>
    </row>
    <row r="793" spans="1:8">
      <c r="A793" s="10" t="s">
        <v>2506</v>
      </c>
      <c r="B793" s="10" t="s">
        <v>2507</v>
      </c>
      <c r="C793" t="s">
        <v>2177</v>
      </c>
      <c r="D793" t="s">
        <v>2149</v>
      </c>
      <c r="E793" s="3">
        <v>299.73132975401853</v>
      </c>
      <c r="F793" s="3">
        <v>218.58199999999999</v>
      </c>
      <c r="G793" s="3">
        <v>81.149329754018538</v>
      </c>
      <c r="H793" s="3">
        <v>123.35</v>
      </c>
    </row>
    <row r="794" spans="1:8">
      <c r="A794" s="10" t="s">
        <v>2520</v>
      </c>
      <c r="B794" s="10" t="s">
        <v>2521</v>
      </c>
      <c r="C794" t="s">
        <v>2177</v>
      </c>
      <c r="D794" t="s">
        <v>2149</v>
      </c>
      <c r="E794" s="3">
        <v>636.38293238241442</v>
      </c>
      <c r="F794" s="3">
        <v>515.28000000000009</v>
      </c>
      <c r="G794" s="3">
        <v>121.10293238241434</v>
      </c>
      <c r="H794" s="3">
        <v>274.75</v>
      </c>
    </row>
    <row r="795" spans="1:8">
      <c r="A795" s="10" t="s">
        <v>2523</v>
      </c>
      <c r="B795" s="10" t="s">
        <v>3208</v>
      </c>
      <c r="C795" t="s">
        <v>2344</v>
      </c>
      <c r="D795" t="s">
        <v>2149</v>
      </c>
      <c r="E795" s="3">
        <v>170.147756775483</v>
      </c>
      <c r="F795" s="3">
        <v>151.05000000000001</v>
      </c>
      <c r="G795" s="3">
        <v>19.097756775482992</v>
      </c>
      <c r="H795" s="3">
        <v>151.05000000000001</v>
      </c>
    </row>
    <row r="796" spans="1:8">
      <c r="A796" s="10" t="s">
        <v>2525</v>
      </c>
      <c r="B796" s="10" t="s">
        <v>2526</v>
      </c>
      <c r="C796" t="s">
        <v>2344</v>
      </c>
      <c r="D796" t="s">
        <v>2149</v>
      </c>
      <c r="E796" s="3">
        <v>679</v>
      </c>
      <c r="F796" s="3">
        <v>414.85950000000003</v>
      </c>
      <c r="G796" s="3">
        <v>264.14049999999997</v>
      </c>
      <c r="H796" s="3">
        <v>261.76</v>
      </c>
    </row>
    <row r="797" spans="1:8">
      <c r="A797" s="10" t="s">
        <v>2546</v>
      </c>
      <c r="B797" s="10" t="s">
        <v>2547</v>
      </c>
      <c r="C797" t="s">
        <v>2169</v>
      </c>
      <c r="D797" t="s">
        <v>2149</v>
      </c>
      <c r="E797" s="3">
        <v>100.29399985665501</v>
      </c>
      <c r="F797" s="3">
        <v>59.2</v>
      </c>
      <c r="G797" s="3">
        <v>41.093999856655003</v>
      </c>
      <c r="H797" s="3">
        <v>45</v>
      </c>
    </row>
    <row r="798" spans="1:8">
      <c r="A798" s="10" t="s">
        <v>3238</v>
      </c>
      <c r="B798" s="10" t="s">
        <v>3239</v>
      </c>
      <c r="C798" t="s">
        <v>2151</v>
      </c>
      <c r="D798" t="s">
        <v>2149</v>
      </c>
      <c r="E798" s="3">
        <v>19894.652580372727</v>
      </c>
      <c r="F798" s="3">
        <v>24641.199300000011</v>
      </c>
      <c r="G798" s="3">
        <v>-4746.5467196272839</v>
      </c>
      <c r="H798" s="3">
        <v>10775</v>
      </c>
    </row>
    <row r="799" spans="1:8">
      <c r="A799" s="10" t="s">
        <v>1367</v>
      </c>
      <c r="B799" s="10" t="s">
        <v>2584</v>
      </c>
      <c r="C799" t="s">
        <v>2169</v>
      </c>
      <c r="D799" t="s">
        <v>2149</v>
      </c>
      <c r="E799" s="3">
        <v>22.758600000000001</v>
      </c>
      <c r="F799" s="3">
        <v>15.008399999999998</v>
      </c>
      <c r="G799" s="3">
        <v>7.7502000000000031</v>
      </c>
      <c r="H799" s="3">
        <v>10</v>
      </c>
    </row>
    <row r="800" spans="1:8">
      <c r="A800" s="10" t="s">
        <v>2630</v>
      </c>
      <c r="B800" s="10" t="s">
        <v>2631</v>
      </c>
      <c r="C800" t="s">
        <v>2150</v>
      </c>
      <c r="D800" t="s">
        <v>2149</v>
      </c>
      <c r="E800" s="3">
        <v>106.49</v>
      </c>
      <c r="F800" s="3">
        <v>79.168000000000006</v>
      </c>
      <c r="G800" s="3">
        <v>27.321999999999989</v>
      </c>
      <c r="H800" s="3">
        <v>59.88</v>
      </c>
    </row>
    <row r="801" spans="1:8">
      <c r="A801" s="10" t="s">
        <v>2635</v>
      </c>
      <c r="B801" s="10" t="s">
        <v>2636</v>
      </c>
      <c r="C801" t="s">
        <v>2158</v>
      </c>
      <c r="D801" t="s">
        <v>2149</v>
      </c>
      <c r="E801" s="3">
        <v>1.5</v>
      </c>
      <c r="F801" s="3">
        <v>0.6</v>
      </c>
      <c r="G801" s="3">
        <v>0.9</v>
      </c>
      <c r="H801" s="3">
        <v>1.5</v>
      </c>
    </row>
    <row r="802" spans="1:8">
      <c r="A802" s="10" t="s">
        <v>2694</v>
      </c>
      <c r="B802" s="10" t="s">
        <v>2695</v>
      </c>
      <c r="C802" t="s">
        <v>2158</v>
      </c>
      <c r="D802" t="s">
        <v>2149</v>
      </c>
      <c r="E802" s="3">
        <v>12133.751127326121</v>
      </c>
      <c r="F802" s="3">
        <v>5625.0936999999994</v>
      </c>
      <c r="G802" s="3">
        <v>6508.6574273261213</v>
      </c>
      <c r="H802" s="3">
        <v>2049</v>
      </c>
    </row>
    <row r="803" spans="1:8">
      <c r="A803" s="10" t="s">
        <v>1471</v>
      </c>
      <c r="B803" s="10" t="s">
        <v>2697</v>
      </c>
      <c r="C803" t="s">
        <v>2156</v>
      </c>
      <c r="D803" t="s">
        <v>2149</v>
      </c>
      <c r="E803" s="3">
        <v>52.094000000000001</v>
      </c>
      <c r="F803" s="3">
        <v>26.38</v>
      </c>
      <c r="G803" s="3">
        <v>25.714000000000002</v>
      </c>
      <c r="H803" s="3">
        <v>77.44</v>
      </c>
    </row>
    <row r="804" spans="1:8">
      <c r="A804" s="10" t="s">
        <v>1491</v>
      </c>
      <c r="B804" s="10" t="s">
        <v>2722</v>
      </c>
      <c r="C804" t="s">
        <v>2158</v>
      </c>
      <c r="D804" t="s">
        <v>2149</v>
      </c>
      <c r="E804" s="3">
        <v>0</v>
      </c>
      <c r="F804" s="3">
        <v>0</v>
      </c>
      <c r="G804" s="3">
        <v>0</v>
      </c>
      <c r="H804" s="3">
        <v>39.4</v>
      </c>
    </row>
    <row r="805" spans="1:8">
      <c r="A805" s="10" t="s">
        <v>2742</v>
      </c>
      <c r="B805" s="10" t="s">
        <v>2743</v>
      </c>
      <c r="C805" t="s">
        <v>2156</v>
      </c>
      <c r="D805" t="s">
        <v>2149</v>
      </c>
      <c r="E805" s="3">
        <v>140.9529</v>
      </c>
      <c r="F805" s="3">
        <v>75.484899999999996</v>
      </c>
      <c r="G805" s="3">
        <v>65.468000000000004</v>
      </c>
      <c r="H805" s="3">
        <v>69.84</v>
      </c>
    </row>
    <row r="806" spans="1:8">
      <c r="A806" s="10" t="s">
        <v>2757</v>
      </c>
      <c r="B806" s="10" t="s">
        <v>2758</v>
      </c>
      <c r="C806" t="s">
        <v>2156</v>
      </c>
      <c r="D806" t="s">
        <v>2149</v>
      </c>
      <c r="E806" s="3">
        <v>77.518799999999999</v>
      </c>
      <c r="F806" s="3">
        <v>22.9603</v>
      </c>
      <c r="G806" s="3">
        <v>54.558499999999995</v>
      </c>
      <c r="H806" s="3">
        <v>12.46</v>
      </c>
    </row>
    <row r="807" spans="1:8">
      <c r="A807" s="10" t="s">
        <v>1529</v>
      </c>
      <c r="B807" s="10" t="s">
        <v>2764</v>
      </c>
      <c r="C807" t="s">
        <v>2156</v>
      </c>
      <c r="D807" t="s">
        <v>2149</v>
      </c>
      <c r="E807" s="3">
        <v>50.673000000000002</v>
      </c>
      <c r="F807" s="3">
        <v>34.207999999999998</v>
      </c>
      <c r="G807" s="3">
        <v>16.465000000000003</v>
      </c>
      <c r="H807" s="3">
        <v>68.400000000000006</v>
      </c>
    </row>
    <row r="808" spans="1:8">
      <c r="A808" s="10" t="s">
        <v>1537</v>
      </c>
      <c r="B808" s="10" t="s">
        <v>2774</v>
      </c>
      <c r="C808" t="s">
        <v>2156</v>
      </c>
      <c r="D808" t="s">
        <v>2149</v>
      </c>
      <c r="E808" s="3">
        <v>183.45637531415807</v>
      </c>
      <c r="F808" s="3">
        <v>72.658999999999992</v>
      </c>
      <c r="G808" s="3">
        <v>110.79737531415807</v>
      </c>
      <c r="H808" s="3">
        <v>66.08</v>
      </c>
    </row>
    <row r="809" spans="1:8">
      <c r="A809" s="10" t="s">
        <v>2799</v>
      </c>
      <c r="B809" s="10" t="s">
        <v>2796</v>
      </c>
      <c r="C809" t="s">
        <v>2156</v>
      </c>
      <c r="D809" t="s">
        <v>2149</v>
      </c>
      <c r="E809" s="3">
        <v>242.43990232420472</v>
      </c>
      <c r="F809" s="3">
        <v>169.89500000000001</v>
      </c>
      <c r="G809" s="3">
        <v>72.544902324204713</v>
      </c>
      <c r="H809" s="3">
        <v>188.98</v>
      </c>
    </row>
    <row r="810" spans="1:8">
      <c r="A810" s="10" t="s">
        <v>2211</v>
      </c>
      <c r="B810" s="10" t="s">
        <v>2212</v>
      </c>
      <c r="C810" t="s">
        <v>2158</v>
      </c>
      <c r="D810" t="s">
        <v>2149</v>
      </c>
      <c r="E810" s="3">
        <v>872.78793026792539</v>
      </c>
      <c r="F810" s="3">
        <v>529.5003999999999</v>
      </c>
      <c r="G810" s="3">
        <v>343.28753026792549</v>
      </c>
      <c r="H810" s="3">
        <v>272.8</v>
      </c>
    </row>
    <row r="811" spans="1:8">
      <c r="A811" s="10" t="s">
        <v>3301</v>
      </c>
      <c r="B811" s="10" t="s">
        <v>3302</v>
      </c>
      <c r="C811" t="s">
        <v>2158</v>
      </c>
      <c r="D811" t="s">
        <v>2149</v>
      </c>
      <c r="E811" s="3">
        <v>1824.7874545400789</v>
      </c>
      <c r="F811" s="3">
        <v>1312.9445000000001</v>
      </c>
      <c r="G811" s="3">
        <v>511.84295454007884</v>
      </c>
      <c r="H811" s="3">
        <v>695.24</v>
      </c>
    </row>
    <row r="812" spans="1:8">
      <c r="A812" s="10" t="s">
        <v>2830</v>
      </c>
      <c r="B812" s="10" t="s">
        <v>2831</v>
      </c>
      <c r="C812" t="s">
        <v>2158</v>
      </c>
      <c r="D812" t="s">
        <v>2149</v>
      </c>
      <c r="E812" s="3">
        <v>5971.6929704026816</v>
      </c>
      <c r="F812" s="3">
        <v>4460.8513000000003</v>
      </c>
      <c r="G812" s="3">
        <v>1510.8416704026813</v>
      </c>
      <c r="H812" s="3">
        <v>2341.1999999999998</v>
      </c>
    </row>
    <row r="813" spans="1:8">
      <c r="A813" s="10" t="s">
        <v>2832</v>
      </c>
      <c r="B813" s="10" t="s">
        <v>2833</v>
      </c>
      <c r="C813" t="s">
        <v>2158</v>
      </c>
      <c r="D813" t="s">
        <v>2149</v>
      </c>
      <c r="E813" s="3">
        <v>3525.3862373958709</v>
      </c>
      <c r="F813" s="3">
        <v>2808.4683</v>
      </c>
      <c r="G813" s="3">
        <v>716.91793739587092</v>
      </c>
      <c r="H813" s="3">
        <v>1541.98</v>
      </c>
    </row>
    <row r="814" spans="1:8">
      <c r="A814" s="10" t="s">
        <v>2842</v>
      </c>
      <c r="B814" s="10" t="s">
        <v>2843</v>
      </c>
      <c r="C814" t="s">
        <v>2156</v>
      </c>
      <c r="D814" t="s">
        <v>2149</v>
      </c>
      <c r="E814" s="3">
        <v>2.6025999999999998</v>
      </c>
      <c r="F814" s="3">
        <v>1.43</v>
      </c>
      <c r="G814" s="3">
        <v>1.1725999999999999</v>
      </c>
      <c r="H814" s="3">
        <v>4.92</v>
      </c>
    </row>
    <row r="815" spans="1:8">
      <c r="A815" s="10" t="s">
        <v>2853</v>
      </c>
      <c r="B815" s="10" t="s">
        <v>2854</v>
      </c>
      <c r="C815" t="s">
        <v>2158</v>
      </c>
      <c r="D815" t="s">
        <v>2149</v>
      </c>
      <c r="E815" s="3">
        <v>1874.8168335426585</v>
      </c>
      <c r="F815" s="3">
        <v>1095.6223</v>
      </c>
      <c r="G815" s="3">
        <v>779.19453354265852</v>
      </c>
      <c r="H815" s="3">
        <v>426.8</v>
      </c>
    </row>
    <row r="816" spans="1:8">
      <c r="A816" s="10" t="s">
        <v>2860</v>
      </c>
      <c r="B816" s="10" t="s">
        <v>2861</v>
      </c>
      <c r="C816" t="s">
        <v>2158</v>
      </c>
      <c r="D816" t="s">
        <v>2149</v>
      </c>
      <c r="E816" s="3">
        <v>1072.9304034372501</v>
      </c>
      <c r="F816" s="3">
        <v>470.12079999999992</v>
      </c>
      <c r="G816" s="3">
        <v>602.80960343725019</v>
      </c>
      <c r="H816" s="3">
        <v>310.45</v>
      </c>
    </row>
    <row r="817" spans="1:8">
      <c r="A817" s="10" t="s">
        <v>1598</v>
      </c>
      <c r="B817" s="10" t="s">
        <v>2227</v>
      </c>
      <c r="C817" t="s">
        <v>2182</v>
      </c>
      <c r="D817" t="s">
        <v>2149</v>
      </c>
      <c r="E817" s="3">
        <v>21532.037200000006</v>
      </c>
      <c r="F817" s="3">
        <v>17086.720100000002</v>
      </c>
      <c r="G817" s="3">
        <v>4445.3171000000038</v>
      </c>
      <c r="H817" s="3">
        <v>3920.63</v>
      </c>
    </row>
    <row r="818" spans="1:8">
      <c r="A818" s="10" t="s">
        <v>1606</v>
      </c>
      <c r="B818" s="10" t="s">
        <v>2879</v>
      </c>
      <c r="C818" t="s">
        <v>2158</v>
      </c>
      <c r="D818" t="s">
        <v>2149</v>
      </c>
      <c r="E818" s="3">
        <v>236.513864058845</v>
      </c>
      <c r="F818" s="3">
        <v>85.3</v>
      </c>
      <c r="G818" s="3">
        <v>151.21386405884499</v>
      </c>
      <c r="H818" s="3">
        <v>65.17</v>
      </c>
    </row>
    <row r="819" spans="1:8">
      <c r="A819" s="10" t="s">
        <v>2881</v>
      </c>
      <c r="B819" s="10" t="s">
        <v>2882</v>
      </c>
      <c r="C819" t="s">
        <v>2158</v>
      </c>
      <c r="D819" t="s">
        <v>2149</v>
      </c>
      <c r="E819" s="3">
        <v>53.591999999999999</v>
      </c>
      <c r="F819" s="3">
        <v>25.335000000000001</v>
      </c>
      <c r="G819" s="3">
        <v>28.256999999999998</v>
      </c>
      <c r="H819" s="3">
        <v>12.72</v>
      </c>
    </row>
    <row r="820" spans="1:8">
      <c r="A820" s="10" t="s">
        <v>2887</v>
      </c>
      <c r="B820" s="10" t="s">
        <v>2888</v>
      </c>
      <c r="C820" t="s">
        <v>2537</v>
      </c>
      <c r="D820" t="s">
        <v>2149</v>
      </c>
      <c r="E820" s="3">
        <v>41.967636438165563</v>
      </c>
      <c r="F820" s="3">
        <v>38.451799999999999</v>
      </c>
      <c r="G820" s="3">
        <v>3.5158364381655645</v>
      </c>
      <c r="H820" s="3">
        <v>102.4</v>
      </c>
    </row>
    <row r="821" spans="1:8">
      <c r="A821" s="10" t="s">
        <v>2910</v>
      </c>
      <c r="B821" s="10" t="s">
        <v>2911</v>
      </c>
      <c r="C821" t="s">
        <v>2169</v>
      </c>
      <c r="D821" t="s">
        <v>2149</v>
      </c>
      <c r="E821" s="3">
        <v>20.986000000000001</v>
      </c>
      <c r="F821" s="3">
        <v>8.26</v>
      </c>
      <c r="G821" s="3">
        <v>12.726000000000001</v>
      </c>
      <c r="H821" s="3">
        <v>16.52</v>
      </c>
    </row>
    <row r="822" spans="1:8">
      <c r="A822" s="10" t="s">
        <v>2920</v>
      </c>
      <c r="B822" s="10" t="s">
        <v>2921</v>
      </c>
      <c r="C822" t="s">
        <v>2158</v>
      </c>
      <c r="D822" t="s">
        <v>2149</v>
      </c>
      <c r="E822" s="3">
        <v>0</v>
      </c>
      <c r="F822" s="3">
        <v>0</v>
      </c>
      <c r="G822" s="3">
        <v>0</v>
      </c>
      <c r="H822" s="3">
        <v>21.56</v>
      </c>
    </row>
    <row r="823" spans="1:8">
      <c r="A823" s="10" t="s">
        <v>2922</v>
      </c>
      <c r="B823" s="10" t="s">
        <v>2923</v>
      </c>
      <c r="C823" t="s">
        <v>2158</v>
      </c>
      <c r="D823" t="s">
        <v>2149</v>
      </c>
      <c r="E823" s="3">
        <v>0</v>
      </c>
      <c r="F823" s="3">
        <v>0</v>
      </c>
      <c r="G823" s="3">
        <v>0</v>
      </c>
      <c r="H823" s="3">
        <v>23.08</v>
      </c>
    </row>
    <row r="824" spans="1:8">
      <c r="A824" s="10" t="s">
        <v>2925</v>
      </c>
      <c r="B824" s="10" t="s">
        <v>2926</v>
      </c>
      <c r="C824" t="s">
        <v>2820</v>
      </c>
      <c r="D824" t="s">
        <v>2149</v>
      </c>
      <c r="E824" s="3">
        <v>28.814559612807148</v>
      </c>
      <c r="F824" s="3">
        <v>25.3033</v>
      </c>
      <c r="G824" s="3">
        <v>3.511259612807148</v>
      </c>
      <c r="H824" s="3">
        <v>50.6</v>
      </c>
    </row>
    <row r="825" spans="1:8">
      <c r="A825" s="10" t="s">
        <v>1658</v>
      </c>
      <c r="B825" s="10" t="s">
        <v>2931</v>
      </c>
      <c r="C825" t="s">
        <v>2158</v>
      </c>
      <c r="D825" t="s">
        <v>2149</v>
      </c>
      <c r="E825" s="3">
        <v>638.49671537721611</v>
      </c>
      <c r="F825" s="3">
        <v>181.27039999999997</v>
      </c>
      <c r="G825" s="3">
        <v>457.22631537721611</v>
      </c>
      <c r="H825" s="3">
        <v>139.04</v>
      </c>
    </row>
    <row r="826" spans="1:8">
      <c r="A826" s="10" t="s">
        <v>2942</v>
      </c>
      <c r="B826" s="10" t="s">
        <v>2943</v>
      </c>
      <c r="C826" t="s">
        <v>2158</v>
      </c>
      <c r="D826" t="s">
        <v>2149</v>
      </c>
      <c r="E826" s="3">
        <v>1978.5843192697284</v>
      </c>
      <c r="F826" s="3">
        <v>1242.9947</v>
      </c>
      <c r="G826" s="3">
        <v>735.58961926972847</v>
      </c>
      <c r="H826" s="3">
        <v>780.52</v>
      </c>
    </row>
    <row r="827" spans="1:8">
      <c r="A827" s="10" t="s">
        <v>2944</v>
      </c>
      <c r="B827" s="10" t="s">
        <v>2945</v>
      </c>
      <c r="C827" t="s">
        <v>2169</v>
      </c>
      <c r="D827" t="s">
        <v>2149</v>
      </c>
      <c r="E827" s="3">
        <v>317.495</v>
      </c>
      <c r="F827" s="3">
        <v>197.75319999999999</v>
      </c>
      <c r="G827" s="3">
        <v>119.74180000000001</v>
      </c>
      <c r="H827" s="3">
        <v>238.08</v>
      </c>
    </row>
    <row r="828" spans="1:8">
      <c r="A828" s="10" t="s">
        <v>2950</v>
      </c>
      <c r="B828" s="10" t="s">
        <v>2951</v>
      </c>
      <c r="C828" t="s">
        <v>2344</v>
      </c>
      <c r="D828" t="s">
        <v>2149</v>
      </c>
      <c r="E828" s="3">
        <v>399.02885854219772</v>
      </c>
      <c r="F828" s="3">
        <v>228.26990000000001</v>
      </c>
      <c r="G828" s="3">
        <v>170.75895854219772</v>
      </c>
      <c r="H828" s="3">
        <v>140.13</v>
      </c>
    </row>
    <row r="829" spans="1:8">
      <c r="A829" s="10" t="s">
        <v>2952</v>
      </c>
      <c r="B829" s="10" t="s">
        <v>2953</v>
      </c>
      <c r="C829" t="s">
        <v>2158</v>
      </c>
      <c r="D829" t="s">
        <v>2149</v>
      </c>
      <c r="E829" s="3">
        <v>964.94454049339322</v>
      </c>
      <c r="F829" s="3">
        <v>600.56859999999995</v>
      </c>
      <c r="G829" s="3">
        <v>364.37594049339327</v>
      </c>
      <c r="H829" s="3">
        <v>303.60000000000002</v>
      </c>
    </row>
    <row r="830" spans="1:8">
      <c r="A830" s="10" t="s">
        <v>2245</v>
      </c>
      <c r="B830" s="10" t="s">
        <v>2246</v>
      </c>
      <c r="C830" t="s">
        <v>2158</v>
      </c>
      <c r="D830" t="s">
        <v>2149</v>
      </c>
      <c r="E830" s="3">
        <v>393.91131957772456</v>
      </c>
      <c r="F830" s="3">
        <v>193.6936</v>
      </c>
      <c r="G830" s="3">
        <v>200.21771957772455</v>
      </c>
      <c r="H830" s="3">
        <v>91.8</v>
      </c>
    </row>
    <row r="831" spans="1:8">
      <c r="A831" s="10" t="s">
        <v>2966</v>
      </c>
      <c r="B831" s="10" t="s">
        <v>2967</v>
      </c>
      <c r="C831" t="s">
        <v>2158</v>
      </c>
      <c r="D831" t="s">
        <v>2149</v>
      </c>
      <c r="E831" s="3">
        <v>4.0192500000000004</v>
      </c>
      <c r="F831" s="3">
        <v>2.1</v>
      </c>
      <c r="G831" s="3">
        <v>1.9192500000000003</v>
      </c>
      <c r="H831" s="3">
        <v>2.94</v>
      </c>
    </row>
    <row r="832" spans="1:8">
      <c r="A832" s="10" t="s">
        <v>2980</v>
      </c>
      <c r="B832" s="10" t="s">
        <v>2981</v>
      </c>
      <c r="C832" t="s">
        <v>2158</v>
      </c>
      <c r="D832" t="s">
        <v>2149</v>
      </c>
      <c r="E832" s="3">
        <v>29.82</v>
      </c>
      <c r="F832" s="3">
        <v>18.216999999999999</v>
      </c>
      <c r="G832" s="3">
        <v>11.603000000000002</v>
      </c>
      <c r="H832" s="3">
        <v>18.2</v>
      </c>
    </row>
    <row r="833" spans="1:8">
      <c r="A833" s="10" t="s">
        <v>2982</v>
      </c>
      <c r="B833" s="10" t="s">
        <v>2983</v>
      </c>
      <c r="C833" t="s">
        <v>2158</v>
      </c>
      <c r="D833" t="s">
        <v>2149</v>
      </c>
      <c r="E833" s="3">
        <v>12.7385</v>
      </c>
      <c r="F833" s="3">
        <v>6.5474999999999994</v>
      </c>
      <c r="G833" s="3">
        <v>6.1910000000000007</v>
      </c>
      <c r="H833" s="3">
        <v>5.88</v>
      </c>
    </row>
    <row r="834" spans="1:8">
      <c r="A834" s="10" t="s">
        <v>2991</v>
      </c>
      <c r="B834" s="10" t="s">
        <v>2992</v>
      </c>
      <c r="C834" t="s">
        <v>2158</v>
      </c>
      <c r="D834" t="s">
        <v>2149</v>
      </c>
      <c r="E834" s="3">
        <v>288.62527134422874</v>
      </c>
      <c r="F834" s="3">
        <v>207.0401</v>
      </c>
      <c r="G834" s="3">
        <v>81.585171344228741</v>
      </c>
      <c r="H834" s="3">
        <v>107.78</v>
      </c>
    </row>
    <row r="835" spans="1:8">
      <c r="A835" s="10" t="s">
        <v>2994</v>
      </c>
      <c r="B835" s="10" t="s">
        <v>2995</v>
      </c>
      <c r="C835" t="s">
        <v>2158</v>
      </c>
      <c r="D835" t="s">
        <v>2149</v>
      </c>
      <c r="E835" s="3">
        <v>1280.868659244074</v>
      </c>
      <c r="F835" s="3">
        <v>730.1114</v>
      </c>
      <c r="G835" s="3">
        <v>550.75725924407402</v>
      </c>
      <c r="H835" s="3">
        <v>394.47</v>
      </c>
    </row>
    <row r="836" spans="1:8">
      <c r="A836" s="10" t="s">
        <v>2998</v>
      </c>
      <c r="B836" s="10" t="s">
        <v>2999</v>
      </c>
      <c r="C836" t="s">
        <v>2158</v>
      </c>
      <c r="D836" t="s">
        <v>2149</v>
      </c>
      <c r="E836" s="3">
        <v>1166.7456151154211</v>
      </c>
      <c r="F836" s="3">
        <v>869.16839999999979</v>
      </c>
      <c r="G836" s="3">
        <v>297.57721511542127</v>
      </c>
      <c r="H836" s="3">
        <v>426.36</v>
      </c>
    </row>
    <row r="837" spans="1:8">
      <c r="A837" s="10" t="s">
        <v>3005</v>
      </c>
      <c r="B837" s="10" t="s">
        <v>3006</v>
      </c>
      <c r="C837" t="s">
        <v>2158</v>
      </c>
      <c r="D837" t="s">
        <v>2149</v>
      </c>
      <c r="E837" s="3">
        <v>99.238664921675294</v>
      </c>
      <c r="F837" s="3">
        <v>62.3917</v>
      </c>
      <c r="G837" s="3">
        <v>36.846964921675294</v>
      </c>
      <c r="H837" s="3">
        <v>43.01</v>
      </c>
    </row>
    <row r="838" spans="1:8">
      <c r="A838" s="10" t="s">
        <v>3024</v>
      </c>
      <c r="B838" s="10" t="s">
        <v>3025</v>
      </c>
      <c r="C838" t="s">
        <v>2158</v>
      </c>
      <c r="D838" t="s">
        <v>2149</v>
      </c>
      <c r="E838" s="3">
        <v>11.25</v>
      </c>
      <c r="F838" s="3">
        <v>5.4</v>
      </c>
      <c r="G838" s="3">
        <v>5.85</v>
      </c>
      <c r="H838" s="3">
        <v>3.24</v>
      </c>
    </row>
    <row r="839" spans="1:8">
      <c r="A839" s="10" t="s">
        <v>1681</v>
      </c>
      <c r="B839" s="10" t="s">
        <v>3026</v>
      </c>
      <c r="C839" t="s">
        <v>2158</v>
      </c>
      <c r="D839" t="s">
        <v>2149</v>
      </c>
      <c r="E839" s="3">
        <v>24.578475802774403</v>
      </c>
      <c r="F839" s="3">
        <v>6.93</v>
      </c>
      <c r="G839" s="3">
        <v>17.648475802774403</v>
      </c>
      <c r="H839" s="3">
        <v>3.08</v>
      </c>
    </row>
    <row r="840" spans="1:8">
      <c r="A840" s="10" t="s">
        <v>1690</v>
      </c>
      <c r="B840" s="10" t="s">
        <v>3041</v>
      </c>
      <c r="C840" t="s">
        <v>2158</v>
      </c>
      <c r="D840" t="s">
        <v>2149</v>
      </c>
      <c r="E840" s="3">
        <v>4.5881393007378808</v>
      </c>
      <c r="F840" s="3">
        <v>1.7999999999999998</v>
      </c>
      <c r="G840" s="3">
        <v>2.788139300737881</v>
      </c>
      <c r="H840" s="3">
        <v>1.8</v>
      </c>
    </row>
    <row r="841" spans="1:8">
      <c r="A841" s="10" t="s">
        <v>3043</v>
      </c>
      <c r="B841" s="10" t="s">
        <v>3044</v>
      </c>
      <c r="C841" t="s">
        <v>2158</v>
      </c>
      <c r="D841" t="s">
        <v>2149</v>
      </c>
      <c r="E841" s="3">
        <v>39.446300308678246</v>
      </c>
      <c r="F841" s="3">
        <v>18.789300000000001</v>
      </c>
      <c r="G841" s="3">
        <v>20.657000308678246</v>
      </c>
      <c r="H841" s="3">
        <v>10.35</v>
      </c>
    </row>
    <row r="842" spans="1:8">
      <c r="A842" s="10" t="s">
        <v>3045</v>
      </c>
      <c r="B842" s="10" t="s">
        <v>3046</v>
      </c>
      <c r="C842" t="s">
        <v>2158</v>
      </c>
      <c r="D842" t="s">
        <v>2149</v>
      </c>
      <c r="E842" s="3">
        <v>11.321074865414175</v>
      </c>
      <c r="F842" s="3">
        <v>5.0286</v>
      </c>
      <c r="G842" s="3">
        <v>6.2924748654141753</v>
      </c>
      <c r="H842" s="3">
        <v>5.05</v>
      </c>
    </row>
    <row r="843" spans="1:8">
      <c r="A843" s="10" t="s">
        <v>3049</v>
      </c>
      <c r="B843" s="10" t="s">
        <v>3050</v>
      </c>
      <c r="C843" t="s">
        <v>2156</v>
      </c>
      <c r="D843" t="s">
        <v>2149</v>
      </c>
      <c r="E843" s="3">
        <v>70.271000000000001</v>
      </c>
      <c r="F843" s="3">
        <v>39.96</v>
      </c>
      <c r="G843" s="3">
        <v>30.311</v>
      </c>
      <c r="H843" s="3">
        <v>23.8</v>
      </c>
    </row>
    <row r="844" spans="1:8">
      <c r="A844" s="10" t="s">
        <v>3067</v>
      </c>
      <c r="B844" s="10" t="s">
        <v>3068</v>
      </c>
      <c r="C844" t="s">
        <v>2158</v>
      </c>
      <c r="D844" t="s">
        <v>2149</v>
      </c>
      <c r="E844" s="3">
        <v>42.75</v>
      </c>
      <c r="F844" s="3">
        <v>5.6135999999999999</v>
      </c>
      <c r="G844" s="3">
        <v>37.136400000000002</v>
      </c>
      <c r="H844" s="3">
        <v>3.1</v>
      </c>
    </row>
    <row r="845" spans="1:8">
      <c r="A845" s="10" t="s">
        <v>3078</v>
      </c>
      <c r="B845" s="10" t="s">
        <v>3079</v>
      </c>
      <c r="C845" t="s">
        <v>2158</v>
      </c>
      <c r="D845" t="s">
        <v>2149</v>
      </c>
      <c r="E845" s="3">
        <v>39.942700000000002</v>
      </c>
      <c r="F845" s="3">
        <v>23.017099999999999</v>
      </c>
      <c r="G845" s="3">
        <v>16.925600000000003</v>
      </c>
      <c r="H845" s="3">
        <v>22.96</v>
      </c>
    </row>
    <row r="846" spans="1:8">
      <c r="A846" s="10" t="s">
        <v>2290</v>
      </c>
      <c r="B846" s="10" t="s">
        <v>2291</v>
      </c>
      <c r="C846" t="s">
        <v>2154</v>
      </c>
      <c r="D846" t="s">
        <v>2149</v>
      </c>
      <c r="E846" s="3">
        <v>3595.680941812228</v>
      </c>
      <c r="F846" s="3">
        <v>4447.670000000001</v>
      </c>
      <c r="G846" s="3">
        <v>-851.98905818777303</v>
      </c>
      <c r="H846" s="3">
        <v>2744.45</v>
      </c>
    </row>
    <row r="847" spans="1:8">
      <c r="A847" s="10" t="s">
        <v>1484</v>
      </c>
      <c r="B847" s="10" t="s">
        <v>2199</v>
      </c>
      <c r="C847" t="s">
        <v>2158</v>
      </c>
      <c r="D847" t="s">
        <v>2149</v>
      </c>
      <c r="E847" s="3">
        <v>211.048</v>
      </c>
      <c r="F847" s="3">
        <v>18.7029</v>
      </c>
      <c r="G847" s="3">
        <v>192.3451</v>
      </c>
      <c r="H847" s="3">
        <v>24.92</v>
      </c>
    </row>
    <row r="848" spans="1:8">
      <c r="A848" s="10" t="s">
        <v>2297</v>
      </c>
      <c r="B848" s="10" t="s">
        <v>3378</v>
      </c>
      <c r="C848" t="s">
        <v>2295</v>
      </c>
      <c r="D848" t="s">
        <v>2296</v>
      </c>
      <c r="E848" s="3">
        <v>322.39876541085766</v>
      </c>
      <c r="F848" s="3">
        <v>219.39999999999998</v>
      </c>
      <c r="G848" s="3">
        <v>102.99876541085769</v>
      </c>
      <c r="H848" s="3">
        <v>181.8</v>
      </c>
    </row>
    <row r="849" spans="1:8">
      <c r="A849" s="10" t="s">
        <v>2298</v>
      </c>
      <c r="B849" s="10" t="s">
        <v>3379</v>
      </c>
      <c r="C849" t="s">
        <v>2299</v>
      </c>
      <c r="D849" t="s">
        <v>2296</v>
      </c>
      <c r="E849" s="3">
        <v>101.325</v>
      </c>
      <c r="F849" s="3">
        <v>74.5</v>
      </c>
      <c r="G849" s="3">
        <v>26.825000000000003</v>
      </c>
      <c r="H849" s="3">
        <v>298</v>
      </c>
    </row>
    <row r="850" spans="1:8">
      <c r="A850" s="10" t="s">
        <v>2300</v>
      </c>
      <c r="B850" s="10" t="s">
        <v>2301</v>
      </c>
      <c r="C850" t="s">
        <v>2299</v>
      </c>
      <c r="D850" t="s">
        <v>2296</v>
      </c>
      <c r="E850" s="3">
        <v>39.913499999999999</v>
      </c>
      <c r="F850" s="3">
        <v>29.84</v>
      </c>
      <c r="G850" s="3">
        <v>10.073499999999999</v>
      </c>
      <c r="H850" s="3">
        <v>14.92</v>
      </c>
    </row>
    <row r="851" spans="1:8">
      <c r="A851" s="10" t="s">
        <v>3383</v>
      </c>
      <c r="B851" s="10" t="s">
        <v>3384</v>
      </c>
      <c r="C851" t="s">
        <v>2299</v>
      </c>
      <c r="D851" t="s">
        <v>2296</v>
      </c>
      <c r="E851" s="3">
        <v>80.745000000000005</v>
      </c>
      <c r="F851" s="3">
        <v>63.778500000000008</v>
      </c>
      <c r="G851" s="3">
        <v>16.966499999999996</v>
      </c>
      <c r="H851" s="3">
        <v>76.5</v>
      </c>
    </row>
    <row r="852" spans="1:8">
      <c r="A852" s="10" t="s">
        <v>2305</v>
      </c>
      <c r="B852" s="10" t="s">
        <v>3388</v>
      </c>
      <c r="C852" t="s">
        <v>2295</v>
      </c>
      <c r="D852" t="s">
        <v>2296</v>
      </c>
      <c r="E852" s="3">
        <v>1546.9639999999999</v>
      </c>
      <c r="F852" s="3">
        <v>1737.7199999999998</v>
      </c>
      <c r="G852" s="3">
        <v>-190.75599999999986</v>
      </c>
      <c r="H852" s="3">
        <v>288.12</v>
      </c>
    </row>
    <row r="853" spans="1:8">
      <c r="A853" s="10" t="s">
        <v>2309</v>
      </c>
      <c r="B853" s="10" t="s">
        <v>2310</v>
      </c>
      <c r="C853" t="s">
        <v>2299</v>
      </c>
      <c r="D853" t="s">
        <v>2296</v>
      </c>
      <c r="E853" s="3">
        <v>153.72260165170331</v>
      </c>
      <c r="F853" s="3">
        <v>119.51</v>
      </c>
      <c r="G853" s="3">
        <v>34.212601651703309</v>
      </c>
      <c r="H853" s="3">
        <v>56.3</v>
      </c>
    </row>
    <row r="854" spans="1:8">
      <c r="A854" s="10" t="s">
        <v>2355</v>
      </c>
      <c r="B854" s="10" t="s">
        <v>2356</v>
      </c>
      <c r="C854" t="s">
        <v>2158</v>
      </c>
      <c r="D854" t="s">
        <v>2149</v>
      </c>
      <c r="E854" s="3">
        <v>62.320999999999998</v>
      </c>
      <c r="F854" s="3">
        <v>43.73</v>
      </c>
      <c r="G854" s="3">
        <v>18.591000000000001</v>
      </c>
      <c r="H854" s="3">
        <v>46.52</v>
      </c>
    </row>
    <row r="855" spans="1:8">
      <c r="A855" s="10" t="s">
        <v>2364</v>
      </c>
      <c r="B855" s="10" t="s">
        <v>2365</v>
      </c>
      <c r="C855" t="s">
        <v>2158</v>
      </c>
      <c r="D855" t="s">
        <v>2149</v>
      </c>
      <c r="E855" s="3">
        <v>7.6999531675749324</v>
      </c>
      <c r="F855" s="3">
        <v>3.64</v>
      </c>
      <c r="G855" s="3">
        <v>4.0599531675749319</v>
      </c>
      <c r="H855" s="3">
        <v>3.64</v>
      </c>
    </row>
    <row r="856" spans="1:8">
      <c r="A856" s="10" t="s">
        <v>2377</v>
      </c>
      <c r="B856" s="10" t="s">
        <v>2378</v>
      </c>
      <c r="C856" t="s">
        <v>2158</v>
      </c>
      <c r="D856" t="s">
        <v>2149</v>
      </c>
      <c r="E856" s="3">
        <v>64.372</v>
      </c>
      <c r="F856" s="3">
        <v>28.99</v>
      </c>
      <c r="G856" s="3">
        <v>35.382000000000005</v>
      </c>
      <c r="H856" s="3">
        <v>33.08</v>
      </c>
    </row>
    <row r="857" spans="1:8">
      <c r="A857" s="10" t="s">
        <v>2379</v>
      </c>
      <c r="B857" s="10" t="s">
        <v>2380</v>
      </c>
      <c r="C857" t="s">
        <v>2156</v>
      </c>
      <c r="D857" t="s">
        <v>2149</v>
      </c>
      <c r="E857" s="3">
        <v>5.8170000000000002</v>
      </c>
      <c r="F857" s="3">
        <v>2.77</v>
      </c>
      <c r="G857" s="3">
        <v>3.0470000000000002</v>
      </c>
      <c r="H857" s="3">
        <v>3.18</v>
      </c>
    </row>
    <row r="858" spans="1:8">
      <c r="A858" s="10" t="s">
        <v>2383</v>
      </c>
      <c r="B858" s="10" t="s">
        <v>3165</v>
      </c>
      <c r="C858" t="s">
        <v>2154</v>
      </c>
      <c r="D858" t="s">
        <v>2149</v>
      </c>
      <c r="E858" s="3">
        <v>584.96019999999999</v>
      </c>
      <c r="F858" s="3">
        <v>540.79999999999995</v>
      </c>
      <c r="G858" s="3">
        <v>44.160200000000032</v>
      </c>
      <c r="H858" s="3">
        <v>432.64</v>
      </c>
    </row>
    <row r="859" spans="1:8">
      <c r="A859" s="10" t="s">
        <v>2435</v>
      </c>
      <c r="B859" s="10" t="s">
        <v>2436</v>
      </c>
      <c r="C859" t="s">
        <v>2156</v>
      </c>
      <c r="D859" t="s">
        <v>2149</v>
      </c>
      <c r="E859" s="3">
        <v>5.7759999999999998</v>
      </c>
      <c r="F859" s="3">
        <v>2.88</v>
      </c>
      <c r="G859" s="3">
        <v>2.8959999999999999</v>
      </c>
      <c r="H859" s="3">
        <v>14.68</v>
      </c>
    </row>
    <row r="860" spans="1:8">
      <c r="A860" s="10" t="s">
        <v>2439</v>
      </c>
      <c r="B860" s="10" t="s">
        <v>2440</v>
      </c>
      <c r="C860" t="s">
        <v>2156</v>
      </c>
      <c r="D860" t="s">
        <v>2149</v>
      </c>
      <c r="E860" s="3">
        <v>9.8685999999999989</v>
      </c>
      <c r="F860" s="3">
        <v>6.4399999999999995</v>
      </c>
      <c r="G860" s="3">
        <v>3.4285999999999994</v>
      </c>
      <c r="H860" s="3">
        <v>4.74</v>
      </c>
    </row>
    <row r="861" spans="1:8">
      <c r="A861" s="10" t="s">
        <v>2446</v>
      </c>
      <c r="B861" s="10" t="s">
        <v>2447</v>
      </c>
      <c r="C861" t="s">
        <v>2158</v>
      </c>
      <c r="D861" t="s">
        <v>2149</v>
      </c>
      <c r="E861" s="3">
        <v>7.1750000000000007</v>
      </c>
      <c r="F861" s="3">
        <v>4.4000000000000004</v>
      </c>
      <c r="G861" s="3">
        <v>2.7750000000000004</v>
      </c>
      <c r="H861" s="3">
        <v>6.3</v>
      </c>
    </row>
    <row r="862" spans="1:8">
      <c r="A862" s="10" t="s">
        <v>1276</v>
      </c>
      <c r="B862" s="10" t="s">
        <v>2462</v>
      </c>
      <c r="C862" t="s">
        <v>2158</v>
      </c>
      <c r="D862" t="s">
        <v>2149</v>
      </c>
      <c r="E862" s="3">
        <v>19.360608065110362</v>
      </c>
      <c r="F862" s="3">
        <v>9.2312000000000012</v>
      </c>
      <c r="G862" s="3">
        <v>10.129408065110361</v>
      </c>
      <c r="H862" s="3">
        <v>18.440000000000001</v>
      </c>
    </row>
    <row r="863" spans="1:8">
      <c r="A863" s="10" t="s">
        <v>2473</v>
      </c>
      <c r="B863" s="10" t="s">
        <v>2474</v>
      </c>
      <c r="C863" t="s">
        <v>2156</v>
      </c>
      <c r="D863" t="s">
        <v>2149</v>
      </c>
      <c r="E863" s="3">
        <v>109.08968703483357</v>
      </c>
      <c r="F863" s="3">
        <v>58.896599999999999</v>
      </c>
      <c r="G863" s="3">
        <v>50.193087034833574</v>
      </c>
      <c r="H863" s="3">
        <v>24.75</v>
      </c>
    </row>
    <row r="864" spans="1:8">
      <c r="A864" s="10" t="s">
        <v>2481</v>
      </c>
      <c r="B864" s="10" t="s">
        <v>2482</v>
      </c>
      <c r="C864" t="s">
        <v>2344</v>
      </c>
      <c r="D864" t="s">
        <v>2149</v>
      </c>
      <c r="E864" s="3">
        <v>119.16466165635521</v>
      </c>
      <c r="F864" s="3">
        <v>70.599999999999994</v>
      </c>
      <c r="G864" s="3">
        <v>48.564661656355213</v>
      </c>
      <c r="H864" s="3">
        <v>70.599999999999994</v>
      </c>
    </row>
    <row r="865" spans="1:8">
      <c r="A865" s="10" t="s">
        <v>2508</v>
      </c>
      <c r="B865" s="10" t="s">
        <v>2509</v>
      </c>
      <c r="C865" t="s">
        <v>2344</v>
      </c>
      <c r="D865" t="s">
        <v>2149</v>
      </c>
      <c r="E865" s="3">
        <v>68.207999999999998</v>
      </c>
      <c r="F865" s="3">
        <v>31.839999999999996</v>
      </c>
      <c r="G865" s="3">
        <v>36.368000000000002</v>
      </c>
      <c r="H865" s="3">
        <v>24.12</v>
      </c>
    </row>
    <row r="866" spans="1:8">
      <c r="A866" s="10" t="s">
        <v>2512</v>
      </c>
      <c r="B866" s="10" t="s">
        <v>2513</v>
      </c>
      <c r="C866" t="s">
        <v>2344</v>
      </c>
      <c r="D866" t="s">
        <v>2149</v>
      </c>
      <c r="E866" s="3">
        <v>20.943999999999999</v>
      </c>
      <c r="F866" s="3">
        <v>7.14</v>
      </c>
      <c r="G866" s="3">
        <v>13.803999999999998</v>
      </c>
      <c r="H866" s="3">
        <v>4.76</v>
      </c>
    </row>
    <row r="867" spans="1:8">
      <c r="A867" s="10" t="s">
        <v>2514</v>
      </c>
      <c r="B867" s="10" t="s">
        <v>2515</v>
      </c>
      <c r="C867" t="s">
        <v>2344</v>
      </c>
      <c r="D867" t="s">
        <v>2149</v>
      </c>
      <c r="E867" s="3">
        <v>6.1950000000000003</v>
      </c>
      <c r="F867" s="3">
        <v>2.16</v>
      </c>
      <c r="G867" s="3">
        <v>4.0350000000000001</v>
      </c>
      <c r="H867" s="3">
        <v>8.64</v>
      </c>
    </row>
    <row r="868" spans="1:8">
      <c r="A868" s="10" t="s">
        <v>2516</v>
      </c>
      <c r="B868" s="10" t="s">
        <v>2517</v>
      </c>
      <c r="C868" t="s">
        <v>2344</v>
      </c>
      <c r="D868" t="s">
        <v>2149</v>
      </c>
      <c r="E868" s="3">
        <v>4.3120000000000003</v>
      </c>
      <c r="F868" s="3">
        <v>0</v>
      </c>
      <c r="G868" s="3">
        <v>4.3120000000000003</v>
      </c>
      <c r="H868" s="3">
        <v>2.83</v>
      </c>
    </row>
    <row r="869" spans="1:8">
      <c r="A869" s="10" t="s">
        <v>2518</v>
      </c>
      <c r="B869" s="10" t="s">
        <v>2519</v>
      </c>
      <c r="C869" t="s">
        <v>2344</v>
      </c>
      <c r="D869" t="s">
        <v>2149</v>
      </c>
      <c r="E869" s="3">
        <v>407.61199999999991</v>
      </c>
      <c r="F869" s="3">
        <v>249.87050000000002</v>
      </c>
      <c r="G869" s="3">
        <v>157.74149999999989</v>
      </c>
      <c r="H869" s="3">
        <v>117.15</v>
      </c>
    </row>
    <row r="870" spans="1:8">
      <c r="A870" s="10" t="s">
        <v>2528</v>
      </c>
      <c r="B870" s="10" t="s">
        <v>2529</v>
      </c>
      <c r="C870" t="s">
        <v>2169</v>
      </c>
      <c r="D870" t="s">
        <v>2149</v>
      </c>
      <c r="E870" s="3">
        <v>11.856</v>
      </c>
      <c r="F870" s="3">
        <v>3.83</v>
      </c>
      <c r="G870" s="3">
        <v>8.0259999999999998</v>
      </c>
      <c r="H870" s="3">
        <v>12.34</v>
      </c>
    </row>
    <row r="871" spans="1:8">
      <c r="A871" s="10" t="s">
        <v>2532</v>
      </c>
      <c r="B871" s="10" t="s">
        <v>2533</v>
      </c>
      <c r="C871" t="s">
        <v>2177</v>
      </c>
      <c r="D871" t="s">
        <v>2149</v>
      </c>
      <c r="E871" s="3">
        <v>356.39429999999999</v>
      </c>
      <c r="F871" s="3">
        <v>246.58999999999997</v>
      </c>
      <c r="G871" s="3">
        <v>109.80430000000001</v>
      </c>
      <c r="H871" s="3">
        <v>197.24</v>
      </c>
    </row>
    <row r="872" spans="1:8">
      <c r="A872" s="10" t="s">
        <v>2535</v>
      </c>
      <c r="B872" s="10" t="s">
        <v>2536</v>
      </c>
      <c r="C872" t="s">
        <v>2537</v>
      </c>
      <c r="D872" t="s">
        <v>2149</v>
      </c>
      <c r="E872" s="3">
        <v>8.3919999999999995</v>
      </c>
      <c r="F872" s="3">
        <v>4.7699999999999996</v>
      </c>
      <c r="G872" s="3">
        <v>3.6219999999999999</v>
      </c>
      <c r="H872" s="3">
        <v>10.88</v>
      </c>
    </row>
    <row r="873" spans="1:8">
      <c r="A873" s="10" t="s">
        <v>2539</v>
      </c>
      <c r="B873" s="10" t="s">
        <v>2540</v>
      </c>
      <c r="C873" t="s">
        <v>2537</v>
      </c>
      <c r="D873" t="s">
        <v>2149</v>
      </c>
      <c r="E873" s="3">
        <v>5.6639999999999997</v>
      </c>
      <c r="F873" s="3">
        <v>3.22</v>
      </c>
      <c r="G873" s="3">
        <v>2.4439999999999995</v>
      </c>
      <c r="H873" s="3">
        <v>3.42</v>
      </c>
    </row>
    <row r="874" spans="1:8">
      <c r="A874" s="10" t="s">
        <v>2542</v>
      </c>
      <c r="B874" s="10" t="s">
        <v>2543</v>
      </c>
      <c r="C874" t="s">
        <v>2544</v>
      </c>
      <c r="D874" t="s">
        <v>2149</v>
      </c>
      <c r="E874" s="3">
        <v>0</v>
      </c>
      <c r="F874" s="3">
        <v>0</v>
      </c>
      <c r="G874" s="3">
        <v>0</v>
      </c>
      <c r="H874" s="3">
        <v>7.58</v>
      </c>
    </row>
    <row r="875" spans="1:8">
      <c r="A875" s="10" t="s">
        <v>2586</v>
      </c>
      <c r="B875" s="10" t="s">
        <v>2587</v>
      </c>
      <c r="C875" t="s">
        <v>2169</v>
      </c>
      <c r="D875" t="s">
        <v>2149</v>
      </c>
      <c r="E875" s="3">
        <v>87.75</v>
      </c>
      <c r="F875" s="3">
        <v>53</v>
      </c>
      <c r="G875" s="3">
        <v>34.75</v>
      </c>
      <c r="H875" s="3">
        <v>60.63</v>
      </c>
    </row>
    <row r="876" spans="1:8">
      <c r="A876" s="10" t="s">
        <v>1371</v>
      </c>
      <c r="B876" s="10" t="s">
        <v>2593</v>
      </c>
      <c r="C876" t="s">
        <v>2169</v>
      </c>
      <c r="D876" t="s">
        <v>2149</v>
      </c>
      <c r="E876" s="3">
        <v>11.151</v>
      </c>
      <c r="F876" s="3">
        <v>6.88</v>
      </c>
      <c r="G876" s="3">
        <v>4.2709999999999999</v>
      </c>
      <c r="H876" s="3">
        <v>8.6</v>
      </c>
    </row>
    <row r="877" spans="1:8">
      <c r="A877" s="10" t="s">
        <v>2604</v>
      </c>
      <c r="B877" s="10" t="s">
        <v>2605</v>
      </c>
      <c r="C877" t="s">
        <v>2169</v>
      </c>
      <c r="D877" t="s">
        <v>2149</v>
      </c>
      <c r="E877" s="3">
        <v>49.6</v>
      </c>
      <c r="F877" s="3">
        <v>16.48</v>
      </c>
      <c r="G877" s="3">
        <v>33.120000000000005</v>
      </c>
      <c r="H877" s="3">
        <v>14</v>
      </c>
    </row>
    <row r="878" spans="1:8">
      <c r="A878" s="10" t="s">
        <v>1393</v>
      </c>
      <c r="B878" s="10" t="s">
        <v>2634</v>
      </c>
      <c r="C878" t="s">
        <v>2158</v>
      </c>
      <c r="D878" t="s">
        <v>2149</v>
      </c>
      <c r="E878" s="3">
        <v>6.0339999999999998</v>
      </c>
      <c r="F878" s="3">
        <v>2.64</v>
      </c>
      <c r="G878" s="3">
        <v>3.3939999999999997</v>
      </c>
      <c r="H878" s="3">
        <v>2.64</v>
      </c>
    </row>
    <row r="879" spans="1:8">
      <c r="A879" s="10" t="s">
        <v>1406</v>
      </c>
      <c r="B879" s="10" t="s">
        <v>2643</v>
      </c>
      <c r="C879" t="s">
        <v>2158</v>
      </c>
      <c r="D879" t="s">
        <v>2149</v>
      </c>
      <c r="E879" s="3">
        <v>12.71</v>
      </c>
      <c r="F879" s="3">
        <v>4.4000000000000004</v>
      </c>
      <c r="G879" s="3">
        <v>8.31</v>
      </c>
      <c r="H879" s="3">
        <v>2.64</v>
      </c>
    </row>
    <row r="880" spans="1:8">
      <c r="A880" s="10" t="s">
        <v>2655</v>
      </c>
      <c r="B880" s="10" t="s">
        <v>2656</v>
      </c>
      <c r="C880" t="s">
        <v>2158</v>
      </c>
      <c r="D880" t="s">
        <v>2149</v>
      </c>
      <c r="E880" s="3">
        <v>42.322499999999998</v>
      </c>
      <c r="F880" s="3">
        <v>20.350000000000001</v>
      </c>
      <c r="G880" s="3">
        <v>21.972499999999997</v>
      </c>
      <c r="H880" s="3">
        <v>60.66</v>
      </c>
    </row>
    <row r="881" spans="1:8">
      <c r="A881" s="10" t="s">
        <v>2659</v>
      </c>
      <c r="B881" s="10" t="s">
        <v>2660</v>
      </c>
      <c r="C881" t="s">
        <v>2156</v>
      </c>
      <c r="D881" t="s">
        <v>2149</v>
      </c>
      <c r="E881" s="3">
        <v>184.68</v>
      </c>
      <c r="F881" s="3">
        <v>115.02199999999999</v>
      </c>
      <c r="G881" s="3">
        <v>69.658000000000015</v>
      </c>
      <c r="H881" s="3">
        <v>78.36</v>
      </c>
    </row>
    <row r="882" spans="1:8">
      <c r="A882" s="10" t="s">
        <v>2661</v>
      </c>
      <c r="B882" s="10" t="s">
        <v>2662</v>
      </c>
      <c r="C882" t="s">
        <v>2158</v>
      </c>
      <c r="D882" t="s">
        <v>2149</v>
      </c>
      <c r="E882" s="3">
        <v>4864.9061883240174</v>
      </c>
      <c r="F882" s="3">
        <v>3119.2813999999998</v>
      </c>
      <c r="G882" s="3">
        <v>1745.6247883240176</v>
      </c>
      <c r="H882" s="3">
        <v>1374</v>
      </c>
    </row>
    <row r="883" spans="1:8">
      <c r="A883" s="10" t="s">
        <v>2666</v>
      </c>
      <c r="B883" s="10" t="s">
        <v>2667</v>
      </c>
      <c r="C883" t="s">
        <v>2158</v>
      </c>
      <c r="D883" t="s">
        <v>2149</v>
      </c>
      <c r="E883" s="3">
        <v>93.697499999999991</v>
      </c>
      <c r="F883" s="3">
        <v>58.224999999999994</v>
      </c>
      <c r="G883" s="3">
        <v>35.472499999999997</v>
      </c>
      <c r="H883" s="3">
        <v>88.47</v>
      </c>
    </row>
    <row r="884" spans="1:8">
      <c r="A884" s="10" t="s">
        <v>1447</v>
      </c>
      <c r="B884" s="10" t="s">
        <v>2673</v>
      </c>
      <c r="C884" t="s">
        <v>2158</v>
      </c>
      <c r="D884" t="s">
        <v>2149</v>
      </c>
      <c r="E884" s="3">
        <v>45.036999999999999</v>
      </c>
      <c r="F884" s="3">
        <v>15.219999999999999</v>
      </c>
      <c r="G884" s="3">
        <v>29.817</v>
      </c>
      <c r="H884" s="3">
        <v>19.84</v>
      </c>
    </row>
    <row r="885" spans="1:8">
      <c r="A885" s="10" t="s">
        <v>1458</v>
      </c>
      <c r="B885" s="10" t="s">
        <v>2679</v>
      </c>
      <c r="C885" t="s">
        <v>2158</v>
      </c>
      <c r="D885" t="s">
        <v>2149</v>
      </c>
      <c r="E885" s="3">
        <v>91.727720631758245</v>
      </c>
      <c r="F885" s="3">
        <v>12.229700000000001</v>
      </c>
      <c r="G885" s="3">
        <v>79.498020631758237</v>
      </c>
      <c r="H885" s="3">
        <v>17.399999999999999</v>
      </c>
    </row>
    <row r="886" spans="1:8">
      <c r="A886" s="10" t="s">
        <v>1462</v>
      </c>
      <c r="B886" s="10" t="s">
        <v>2684</v>
      </c>
      <c r="C886" t="s">
        <v>2158</v>
      </c>
      <c r="D886" t="s">
        <v>2149</v>
      </c>
      <c r="E886" s="3">
        <v>54.075000000000003</v>
      </c>
      <c r="F886" s="3">
        <v>25.886699999999998</v>
      </c>
      <c r="G886" s="3">
        <v>28.188300000000005</v>
      </c>
      <c r="H886" s="3">
        <v>29.19</v>
      </c>
    </row>
    <row r="887" spans="1:8">
      <c r="A887" s="10" t="s">
        <v>2692</v>
      </c>
      <c r="B887" s="10" t="s">
        <v>2693</v>
      </c>
      <c r="C887" t="s">
        <v>2158</v>
      </c>
      <c r="D887" t="s">
        <v>2149</v>
      </c>
      <c r="E887" s="3">
        <v>187.42490428915934</v>
      </c>
      <c r="F887" s="3">
        <v>83.7864</v>
      </c>
      <c r="G887" s="3">
        <v>103.63850428915934</v>
      </c>
      <c r="H887" s="3">
        <v>94.6</v>
      </c>
    </row>
    <row r="888" spans="1:8">
      <c r="A888" s="10" t="s">
        <v>1477</v>
      </c>
      <c r="B888" s="10" t="s">
        <v>2710</v>
      </c>
      <c r="C888" t="s">
        <v>2156</v>
      </c>
      <c r="D888" t="s">
        <v>2149</v>
      </c>
      <c r="E888" s="3">
        <v>70.514363106873574</v>
      </c>
      <c r="F888" s="3">
        <v>48.854799999999997</v>
      </c>
      <c r="G888" s="3">
        <v>21.659563106873577</v>
      </c>
      <c r="H888" s="3">
        <v>26.48</v>
      </c>
    </row>
    <row r="889" spans="1:8">
      <c r="A889" s="10" t="s">
        <v>1478</v>
      </c>
      <c r="B889" s="10" t="s">
        <v>2712</v>
      </c>
      <c r="C889" t="s">
        <v>2156</v>
      </c>
      <c r="D889" t="s">
        <v>2149</v>
      </c>
      <c r="E889" s="3">
        <v>181.05359999999999</v>
      </c>
      <c r="F889" s="3">
        <v>0.56020000000000003</v>
      </c>
      <c r="G889" s="3">
        <v>180.49339999999998</v>
      </c>
      <c r="H889" s="3">
        <v>6.6</v>
      </c>
    </row>
    <row r="890" spans="1:8">
      <c r="A890" s="10" t="s">
        <v>1499</v>
      </c>
      <c r="B890" s="10" t="s">
        <v>2733</v>
      </c>
      <c r="C890" t="s">
        <v>2156</v>
      </c>
      <c r="D890" t="s">
        <v>2149</v>
      </c>
      <c r="E890" s="3">
        <v>21.609123149958112</v>
      </c>
      <c r="F890" s="3">
        <v>12.099</v>
      </c>
      <c r="G890" s="3">
        <v>9.5101231499581118</v>
      </c>
      <c r="H890" s="3">
        <v>6.72</v>
      </c>
    </row>
    <row r="891" spans="1:8">
      <c r="A891" s="10" t="s">
        <v>1508</v>
      </c>
      <c r="B891" s="10" t="s">
        <v>2741</v>
      </c>
      <c r="C891" t="s">
        <v>2156</v>
      </c>
      <c r="D891" t="s">
        <v>2149</v>
      </c>
      <c r="E891" s="3">
        <v>38.46779999999999</v>
      </c>
      <c r="F891" s="3">
        <v>24.98</v>
      </c>
      <c r="G891" s="3">
        <v>13.487799999999989</v>
      </c>
      <c r="H891" s="3">
        <v>49.96</v>
      </c>
    </row>
    <row r="892" spans="1:8">
      <c r="A892" s="10" t="s">
        <v>1521</v>
      </c>
      <c r="B892" s="10" t="s">
        <v>2756</v>
      </c>
      <c r="C892" t="s">
        <v>2158</v>
      </c>
      <c r="D892" t="s">
        <v>2149</v>
      </c>
      <c r="E892" s="3">
        <v>183.00349999999997</v>
      </c>
      <c r="F892" s="3">
        <v>71.69</v>
      </c>
      <c r="G892" s="3">
        <v>111.31349999999998</v>
      </c>
      <c r="H892" s="3">
        <v>23.88</v>
      </c>
    </row>
    <row r="893" spans="1:8">
      <c r="A893" s="10" t="s">
        <v>1535</v>
      </c>
      <c r="B893" s="10" t="s">
        <v>2773</v>
      </c>
      <c r="C893" t="s">
        <v>2158</v>
      </c>
      <c r="D893" t="s">
        <v>2149</v>
      </c>
      <c r="E893" s="3">
        <v>137.96129273349601</v>
      </c>
      <c r="F893" s="3">
        <v>68.746200000000002</v>
      </c>
      <c r="G893" s="3">
        <v>69.215092733496007</v>
      </c>
      <c r="H893" s="3">
        <v>56.24</v>
      </c>
    </row>
    <row r="894" spans="1:8">
      <c r="A894" s="10" t="s">
        <v>2780</v>
      </c>
      <c r="B894" s="10" t="s">
        <v>2781</v>
      </c>
      <c r="C894" t="s">
        <v>2158</v>
      </c>
      <c r="D894" t="s">
        <v>2149</v>
      </c>
      <c r="E894" s="3">
        <v>4.8544596893874026</v>
      </c>
      <c r="F894" s="3">
        <v>2.7880000000000003</v>
      </c>
      <c r="G894" s="3">
        <v>2.0664596893874023</v>
      </c>
      <c r="H894" s="3">
        <v>13.9</v>
      </c>
    </row>
    <row r="895" spans="1:8">
      <c r="A895" s="10" t="s">
        <v>2788</v>
      </c>
      <c r="B895" s="10" t="s">
        <v>2789</v>
      </c>
      <c r="C895" t="s">
        <v>2158</v>
      </c>
      <c r="D895" t="s">
        <v>2149</v>
      </c>
      <c r="E895" s="3">
        <v>65.290509020714424</v>
      </c>
      <c r="F895" s="3">
        <v>30.063500000000001</v>
      </c>
      <c r="G895" s="3">
        <v>35.227009020714419</v>
      </c>
      <c r="H895" s="3">
        <v>12.04</v>
      </c>
    </row>
    <row r="896" spans="1:8">
      <c r="A896" s="10" t="s">
        <v>2213</v>
      </c>
      <c r="B896" s="10" t="s">
        <v>2214</v>
      </c>
      <c r="C896" t="s">
        <v>2158</v>
      </c>
      <c r="D896" t="s">
        <v>2149</v>
      </c>
      <c r="E896" s="3">
        <v>5329.8636436049237</v>
      </c>
      <c r="F896" s="3">
        <v>2801.0105999999992</v>
      </c>
      <c r="G896" s="3">
        <v>2528.8530436049246</v>
      </c>
      <c r="H896" s="3">
        <v>1177.98</v>
      </c>
    </row>
    <row r="897" spans="1:8">
      <c r="A897" s="10" t="s">
        <v>2803</v>
      </c>
      <c r="B897" s="10" t="s">
        <v>2804</v>
      </c>
      <c r="C897" t="s">
        <v>2158</v>
      </c>
      <c r="D897" t="s">
        <v>2149</v>
      </c>
      <c r="E897" s="3">
        <v>35.178000000000004</v>
      </c>
      <c r="F897" s="3">
        <v>9.36</v>
      </c>
      <c r="G897" s="3">
        <v>25.818000000000005</v>
      </c>
      <c r="H897" s="3">
        <v>6.12</v>
      </c>
    </row>
    <row r="898" spans="1:8">
      <c r="A898" s="10" t="s">
        <v>1558</v>
      </c>
      <c r="B898" s="10" t="s">
        <v>2805</v>
      </c>
      <c r="C898" t="s">
        <v>2156</v>
      </c>
      <c r="D898" t="s">
        <v>2149</v>
      </c>
      <c r="E898" s="3">
        <v>16.348050000000001</v>
      </c>
      <c r="F898" s="3">
        <v>7.42</v>
      </c>
      <c r="G898" s="3">
        <v>8.9280500000000007</v>
      </c>
      <c r="H898" s="3">
        <v>3.52</v>
      </c>
    </row>
    <row r="899" spans="1:8">
      <c r="A899" s="10" t="s">
        <v>2809</v>
      </c>
      <c r="B899" s="10" t="s">
        <v>2810</v>
      </c>
      <c r="C899" t="s">
        <v>2158</v>
      </c>
      <c r="D899" t="s">
        <v>2149</v>
      </c>
      <c r="E899" s="3">
        <v>24.832500000000003</v>
      </c>
      <c r="F899" s="3">
        <v>15.53</v>
      </c>
      <c r="G899" s="3">
        <v>9.3025000000000038</v>
      </c>
      <c r="H899" s="3">
        <v>10.220000000000001</v>
      </c>
    </row>
    <row r="900" spans="1:8">
      <c r="A900" s="10" t="s">
        <v>2818</v>
      </c>
      <c r="B900" s="10" t="s">
        <v>2819</v>
      </c>
      <c r="C900" t="s">
        <v>2820</v>
      </c>
      <c r="D900" t="s">
        <v>2149</v>
      </c>
      <c r="E900" s="3">
        <v>92.085499999999996</v>
      </c>
      <c r="F900" s="3">
        <v>69</v>
      </c>
      <c r="G900" s="3">
        <v>23.085499999999996</v>
      </c>
      <c r="H900" s="3">
        <v>35.58</v>
      </c>
    </row>
    <row r="901" spans="1:8">
      <c r="A901" s="10" t="s">
        <v>2826</v>
      </c>
      <c r="B901" s="10" t="s">
        <v>3300</v>
      </c>
      <c r="C901" t="s">
        <v>2158</v>
      </c>
      <c r="D901" t="s">
        <v>2149</v>
      </c>
      <c r="E901" s="3">
        <v>4812.3795825433472</v>
      </c>
      <c r="F901" s="3">
        <v>3250.5503999999987</v>
      </c>
      <c r="G901" s="3">
        <v>1561.8291825433485</v>
      </c>
      <c r="H901" s="3">
        <v>1626.48</v>
      </c>
    </row>
    <row r="902" spans="1:8">
      <c r="A902" s="10" t="s">
        <v>2827</v>
      </c>
      <c r="B902" s="10" t="s">
        <v>2828</v>
      </c>
      <c r="C902" t="s">
        <v>2158</v>
      </c>
      <c r="D902" t="s">
        <v>2149</v>
      </c>
      <c r="E902" s="3">
        <v>1155.333374406863</v>
      </c>
      <c r="F902" s="3">
        <v>679.31619999999987</v>
      </c>
      <c r="G902" s="3">
        <v>476.01717440686309</v>
      </c>
      <c r="H902" s="3">
        <v>422.52</v>
      </c>
    </row>
    <row r="903" spans="1:8">
      <c r="A903" s="10" t="s">
        <v>1568</v>
      </c>
      <c r="B903" s="10" t="s">
        <v>2838</v>
      </c>
      <c r="C903" t="s">
        <v>2156</v>
      </c>
      <c r="D903" t="s">
        <v>2149</v>
      </c>
      <c r="E903" s="3">
        <v>16.699295168947224</v>
      </c>
      <c r="F903" s="3">
        <v>8.1329999999999991</v>
      </c>
      <c r="G903" s="3">
        <v>8.5662951689472244</v>
      </c>
      <c r="H903" s="3">
        <v>8.1300000000000008</v>
      </c>
    </row>
    <row r="904" spans="1:8">
      <c r="A904" s="10" t="s">
        <v>1569</v>
      </c>
      <c r="B904" s="10" t="s">
        <v>2839</v>
      </c>
      <c r="C904" t="s">
        <v>2156</v>
      </c>
      <c r="D904" t="s">
        <v>2149</v>
      </c>
      <c r="E904" s="3">
        <v>50.999199999999988</v>
      </c>
      <c r="F904" s="3">
        <v>38.942999999999998</v>
      </c>
      <c r="G904" s="3">
        <v>12.05619999999999</v>
      </c>
      <c r="H904" s="3">
        <v>22.16</v>
      </c>
    </row>
    <row r="905" spans="1:8">
      <c r="A905" s="10" t="s">
        <v>1573</v>
      </c>
      <c r="B905" s="10" t="s">
        <v>2840</v>
      </c>
      <c r="C905" t="s">
        <v>2156</v>
      </c>
      <c r="D905" t="s">
        <v>2149</v>
      </c>
      <c r="E905" s="3">
        <v>10.336</v>
      </c>
      <c r="F905" s="3">
        <v>4.9879999999999995</v>
      </c>
      <c r="G905" s="3">
        <v>5.3480000000000008</v>
      </c>
      <c r="H905" s="3">
        <v>4.9800000000000004</v>
      </c>
    </row>
    <row r="906" spans="1:8">
      <c r="A906" s="10" t="s">
        <v>2844</v>
      </c>
      <c r="B906" s="10" t="s">
        <v>2845</v>
      </c>
      <c r="C906" t="s">
        <v>2154</v>
      </c>
      <c r="D906" t="s">
        <v>2149</v>
      </c>
      <c r="E906" s="3">
        <v>23.895</v>
      </c>
      <c r="F906" s="3">
        <v>13.25</v>
      </c>
      <c r="G906" s="3">
        <v>10.645</v>
      </c>
      <c r="H906" s="3">
        <v>8.4</v>
      </c>
    </row>
    <row r="907" spans="1:8">
      <c r="A907" s="10" t="s">
        <v>2864</v>
      </c>
      <c r="B907" s="10" t="s">
        <v>2865</v>
      </c>
      <c r="C907" t="s">
        <v>2158</v>
      </c>
      <c r="D907" t="s">
        <v>2149</v>
      </c>
      <c r="E907" s="3">
        <v>0.4254</v>
      </c>
      <c r="F907" s="3">
        <v>0.86329999999999996</v>
      </c>
      <c r="G907" s="3">
        <v>-0.43789999999999996</v>
      </c>
      <c r="H907" s="3">
        <v>4.0999999999999996</v>
      </c>
    </row>
    <row r="908" spans="1:8">
      <c r="A908" s="10" t="s">
        <v>2885</v>
      </c>
      <c r="B908" s="10" t="s">
        <v>3325</v>
      </c>
      <c r="C908" t="s">
        <v>2158</v>
      </c>
      <c r="D908" t="s">
        <v>2149</v>
      </c>
      <c r="E908" s="3">
        <v>49.45</v>
      </c>
      <c r="F908" s="3">
        <v>28.77</v>
      </c>
      <c r="G908" s="3">
        <v>20.680000000000003</v>
      </c>
      <c r="H908" s="3">
        <v>29.28</v>
      </c>
    </row>
    <row r="909" spans="1:8">
      <c r="A909" s="10" t="s">
        <v>2890</v>
      </c>
      <c r="B909" s="10" t="s">
        <v>2891</v>
      </c>
      <c r="C909" t="s">
        <v>2156</v>
      </c>
      <c r="D909" t="s">
        <v>2149</v>
      </c>
      <c r="E909" s="3">
        <v>23.640749999999997</v>
      </c>
      <c r="F909" s="3">
        <v>12.347999999999999</v>
      </c>
      <c r="G909" s="3">
        <v>11.292749999999998</v>
      </c>
      <c r="H909" s="3">
        <v>7.94</v>
      </c>
    </row>
    <row r="910" spans="1:8">
      <c r="A910" s="10" t="s">
        <v>2901</v>
      </c>
      <c r="B910" s="10" t="s">
        <v>2902</v>
      </c>
      <c r="C910" t="s">
        <v>2158</v>
      </c>
      <c r="D910" t="s">
        <v>2149</v>
      </c>
      <c r="E910" s="3">
        <v>2526.0197701536445</v>
      </c>
      <c r="F910" s="3">
        <v>1624.7632999999994</v>
      </c>
      <c r="G910" s="3">
        <v>901.25647015364507</v>
      </c>
      <c r="H910" s="3">
        <v>1296.45</v>
      </c>
    </row>
    <row r="911" spans="1:8">
      <c r="A911" s="10" t="s">
        <v>1643</v>
      </c>
      <c r="B911" s="10" t="s">
        <v>2913</v>
      </c>
      <c r="C911" t="s">
        <v>2158</v>
      </c>
      <c r="D911" t="s">
        <v>2149</v>
      </c>
      <c r="E911" s="3">
        <v>17.256</v>
      </c>
      <c r="F911" s="3">
        <v>8.8239999999999998</v>
      </c>
      <c r="G911" s="3">
        <v>8.4320000000000004</v>
      </c>
      <c r="H911" s="3">
        <v>26.46</v>
      </c>
    </row>
    <row r="912" spans="1:8">
      <c r="A912" s="10" t="s">
        <v>1652</v>
      </c>
      <c r="B912" s="10" t="s">
        <v>2918</v>
      </c>
      <c r="C912" t="s">
        <v>2158</v>
      </c>
      <c r="D912" t="s">
        <v>2149</v>
      </c>
      <c r="E912" s="3">
        <v>63.520215572984171</v>
      </c>
      <c r="F912" s="3">
        <v>36.496000000000002</v>
      </c>
      <c r="G912" s="3">
        <v>27.024215572984168</v>
      </c>
      <c r="H912" s="3">
        <v>36.479999999999997</v>
      </c>
    </row>
    <row r="913" spans="1:8">
      <c r="A913" s="10" t="s">
        <v>1653</v>
      </c>
      <c r="B913" s="10" t="s">
        <v>2919</v>
      </c>
      <c r="C913" t="s">
        <v>2158</v>
      </c>
      <c r="D913" t="s">
        <v>2149</v>
      </c>
      <c r="E913" s="3">
        <v>68.968171011557217</v>
      </c>
      <c r="F913" s="3">
        <v>43.033999999999999</v>
      </c>
      <c r="G913" s="3">
        <v>25.934171011557218</v>
      </c>
      <c r="H913" s="3">
        <v>43.02</v>
      </c>
    </row>
    <row r="914" spans="1:8">
      <c r="A914" s="10" t="s">
        <v>2946</v>
      </c>
      <c r="B914" s="10" t="s">
        <v>2947</v>
      </c>
      <c r="C914" t="s">
        <v>2156</v>
      </c>
      <c r="D914" t="s">
        <v>2149</v>
      </c>
      <c r="E914" s="3">
        <v>221.13</v>
      </c>
      <c r="F914" s="3">
        <v>125.10999999999999</v>
      </c>
      <c r="G914" s="3">
        <v>96.02000000000001</v>
      </c>
      <c r="H914" s="3">
        <v>84.74</v>
      </c>
    </row>
    <row r="915" spans="1:8">
      <c r="A915" s="10" t="s">
        <v>2948</v>
      </c>
      <c r="B915" s="10" t="s">
        <v>2949</v>
      </c>
      <c r="C915" t="s">
        <v>2156</v>
      </c>
      <c r="D915" t="s">
        <v>2149</v>
      </c>
      <c r="E915" s="3">
        <v>588.46043121500918</v>
      </c>
      <c r="F915" s="3">
        <v>404.45000000000005</v>
      </c>
      <c r="G915" s="3">
        <v>184.01043121500913</v>
      </c>
      <c r="H915" s="3">
        <v>474.56</v>
      </c>
    </row>
    <row r="916" spans="1:8">
      <c r="A916" s="10" t="s">
        <v>2954</v>
      </c>
      <c r="B916" s="10" t="s">
        <v>2955</v>
      </c>
      <c r="C916" t="s">
        <v>2158</v>
      </c>
      <c r="D916" t="s">
        <v>2149</v>
      </c>
      <c r="E916" s="3">
        <v>442.60300000000001</v>
      </c>
      <c r="F916" s="3">
        <v>301.14870000000002</v>
      </c>
      <c r="G916" s="3">
        <v>141.45429999999999</v>
      </c>
      <c r="H916" s="3">
        <v>315.18</v>
      </c>
    </row>
    <row r="917" spans="1:8">
      <c r="A917" s="10" t="s">
        <v>2956</v>
      </c>
      <c r="B917" s="10" t="s">
        <v>2957</v>
      </c>
      <c r="C917" t="s">
        <v>2158</v>
      </c>
      <c r="D917" t="s">
        <v>2149</v>
      </c>
      <c r="E917" s="3">
        <v>91.394999999999996</v>
      </c>
      <c r="F917" s="3">
        <v>60.764499999999998</v>
      </c>
      <c r="G917" s="3">
        <v>30.630499999999998</v>
      </c>
      <c r="H917" s="3">
        <v>53.97</v>
      </c>
    </row>
    <row r="918" spans="1:8">
      <c r="A918" s="10" t="s">
        <v>2958</v>
      </c>
      <c r="B918" s="10" t="s">
        <v>2959</v>
      </c>
      <c r="C918" t="s">
        <v>2156</v>
      </c>
      <c r="D918" t="s">
        <v>2149</v>
      </c>
      <c r="E918" s="3">
        <v>24.373999999999999</v>
      </c>
      <c r="F918" s="3">
        <v>13.17</v>
      </c>
      <c r="G918" s="3">
        <v>11.203999999999999</v>
      </c>
      <c r="H918" s="3">
        <v>24.35</v>
      </c>
    </row>
    <row r="919" spans="1:8">
      <c r="A919" s="10" t="s">
        <v>2996</v>
      </c>
      <c r="B919" s="10" t="s">
        <v>2997</v>
      </c>
      <c r="C919" t="s">
        <v>2158</v>
      </c>
      <c r="D919" t="s">
        <v>2149</v>
      </c>
      <c r="E919" s="3">
        <v>351.3438590449997</v>
      </c>
      <c r="F919" s="3">
        <v>253.99770000000001</v>
      </c>
      <c r="G919" s="3">
        <v>97.346159044999695</v>
      </c>
      <c r="H919" s="3">
        <v>240.12</v>
      </c>
    </row>
    <row r="920" spans="1:8">
      <c r="A920" s="10" t="s">
        <v>3000</v>
      </c>
      <c r="B920" s="10" t="s">
        <v>3001</v>
      </c>
      <c r="C920" t="s">
        <v>2177</v>
      </c>
      <c r="D920" t="s">
        <v>2149</v>
      </c>
      <c r="E920" s="3">
        <v>267.67199999999997</v>
      </c>
      <c r="F920" s="3">
        <v>176.68510000000001</v>
      </c>
      <c r="G920" s="3">
        <v>90.986899999999963</v>
      </c>
      <c r="H920" s="3">
        <v>106.44</v>
      </c>
    </row>
    <row r="921" spans="1:8">
      <c r="A921" s="10" t="s">
        <v>3014</v>
      </c>
      <c r="B921" s="10" t="s">
        <v>3015</v>
      </c>
      <c r="C921" t="s">
        <v>2158</v>
      </c>
      <c r="D921" t="s">
        <v>2149</v>
      </c>
      <c r="E921" s="3">
        <v>5.3514999999999997</v>
      </c>
      <c r="F921" s="3">
        <v>2.4668000000000001</v>
      </c>
      <c r="G921" s="3">
        <v>2.8846999999999996</v>
      </c>
      <c r="H921" s="3">
        <v>2.2999999999999998</v>
      </c>
    </row>
    <row r="922" spans="1:8">
      <c r="A922" s="10" t="s">
        <v>1676</v>
      </c>
      <c r="B922" s="10" t="s">
        <v>3018</v>
      </c>
      <c r="C922" t="s">
        <v>2158</v>
      </c>
      <c r="D922" t="s">
        <v>2149</v>
      </c>
      <c r="E922" s="3">
        <v>12.474958558435342</v>
      </c>
      <c r="F922" s="3">
        <v>1.6360000000000001</v>
      </c>
      <c r="G922" s="3">
        <v>10.838958558435341</v>
      </c>
      <c r="H922" s="3">
        <v>2</v>
      </c>
    </row>
    <row r="923" spans="1:8">
      <c r="A923" s="10" t="s">
        <v>3027</v>
      </c>
      <c r="B923" s="10" t="s">
        <v>3028</v>
      </c>
      <c r="C923" t="s">
        <v>2158</v>
      </c>
      <c r="D923" t="s">
        <v>2149</v>
      </c>
      <c r="E923" s="3">
        <v>90.933000000000007</v>
      </c>
      <c r="F923" s="3">
        <v>31.74</v>
      </c>
      <c r="G923" s="3">
        <v>59.193000000000012</v>
      </c>
      <c r="H923" s="3">
        <v>41</v>
      </c>
    </row>
    <row r="924" spans="1:8">
      <c r="A924" s="10" t="s">
        <v>3033</v>
      </c>
      <c r="B924" s="10" t="s">
        <v>3034</v>
      </c>
      <c r="C924" t="s">
        <v>2158</v>
      </c>
      <c r="D924" t="s">
        <v>2149</v>
      </c>
      <c r="E924" s="3">
        <v>2.2800000000000002</v>
      </c>
      <c r="F924" s="3">
        <v>1.1200000000000001</v>
      </c>
      <c r="G924" s="3">
        <v>1.1600000000000001</v>
      </c>
      <c r="H924" s="3">
        <v>0.23</v>
      </c>
    </row>
    <row r="925" spans="1:8">
      <c r="A925" s="10" t="s">
        <v>1685</v>
      </c>
      <c r="B925" s="10" t="s">
        <v>3035</v>
      </c>
      <c r="C925" t="s">
        <v>2156</v>
      </c>
      <c r="D925" t="s">
        <v>2149</v>
      </c>
      <c r="E925" s="3">
        <v>24.860800844531269</v>
      </c>
      <c r="F925" s="3">
        <v>12.4512</v>
      </c>
      <c r="G925" s="3">
        <v>12.409600844531269</v>
      </c>
      <c r="H925" s="3">
        <v>6.2</v>
      </c>
    </row>
    <row r="926" spans="1:8">
      <c r="A926" s="10" t="s">
        <v>1689</v>
      </c>
      <c r="B926" s="10" t="s">
        <v>3040</v>
      </c>
      <c r="C926" t="s">
        <v>2156</v>
      </c>
      <c r="D926" t="s">
        <v>2149</v>
      </c>
      <c r="E926" s="3">
        <v>11.6616</v>
      </c>
      <c r="F926" s="3">
        <v>5.6219999999999999</v>
      </c>
      <c r="G926" s="3">
        <v>6.0396000000000001</v>
      </c>
      <c r="H926" s="3">
        <v>1.7</v>
      </c>
    </row>
    <row r="927" spans="1:8">
      <c r="A927" s="10" t="s">
        <v>3059</v>
      </c>
      <c r="B927" s="10" t="s">
        <v>3060</v>
      </c>
      <c r="C927" t="s">
        <v>2158</v>
      </c>
      <c r="D927" t="s">
        <v>2149</v>
      </c>
      <c r="E927" s="3">
        <v>9.4874999999999989</v>
      </c>
      <c r="F927" s="3">
        <v>4.1400000000000006</v>
      </c>
      <c r="G927" s="3">
        <v>5.3474999999999984</v>
      </c>
      <c r="H927" s="3">
        <v>13.8</v>
      </c>
    </row>
    <row r="928" spans="1:8">
      <c r="A928" s="10" t="s">
        <v>3061</v>
      </c>
      <c r="B928" s="10" t="s">
        <v>3062</v>
      </c>
      <c r="C928" t="s">
        <v>2158</v>
      </c>
      <c r="D928" t="s">
        <v>2149</v>
      </c>
      <c r="E928" s="3">
        <v>12.65</v>
      </c>
      <c r="F928" s="3">
        <v>6.2367999999999997</v>
      </c>
      <c r="G928" s="3">
        <v>6.4132000000000007</v>
      </c>
      <c r="H928" s="3">
        <v>4.83</v>
      </c>
    </row>
    <row r="929" spans="1:8">
      <c r="A929" s="10" t="s">
        <v>3063</v>
      </c>
      <c r="B929" s="10" t="s">
        <v>3064</v>
      </c>
      <c r="C929" t="s">
        <v>2156</v>
      </c>
      <c r="D929" t="s">
        <v>2149</v>
      </c>
      <c r="E929" s="3">
        <v>17.798747353732963</v>
      </c>
      <c r="F929" s="3">
        <v>7.42</v>
      </c>
      <c r="G929" s="3">
        <v>10.378747353732964</v>
      </c>
      <c r="H929" s="3">
        <v>10.8</v>
      </c>
    </row>
    <row r="930" spans="1:8">
      <c r="A930" s="10" t="s">
        <v>3071</v>
      </c>
      <c r="B930" s="10" t="s">
        <v>3072</v>
      </c>
      <c r="C930" t="s">
        <v>2158</v>
      </c>
      <c r="D930" t="s">
        <v>2149</v>
      </c>
      <c r="E930" s="3">
        <v>2.5760000000000001</v>
      </c>
      <c r="F930" s="3">
        <v>1.85</v>
      </c>
      <c r="G930" s="3">
        <v>0.72599999999999998</v>
      </c>
      <c r="H930" s="3">
        <v>7.2</v>
      </c>
    </row>
    <row r="931" spans="1:8">
      <c r="A931" s="10" t="s">
        <v>1708</v>
      </c>
      <c r="B931" s="10" t="s">
        <v>3076</v>
      </c>
      <c r="C931" t="s">
        <v>2158</v>
      </c>
      <c r="D931" t="s">
        <v>2149</v>
      </c>
      <c r="E931" s="3">
        <v>0.71</v>
      </c>
      <c r="F931" s="3">
        <v>0.28000000000000003</v>
      </c>
      <c r="G931" s="3">
        <v>0.42999999999999994</v>
      </c>
      <c r="H931" s="3">
        <v>1.68</v>
      </c>
    </row>
    <row r="932" spans="1:8">
      <c r="A932" s="10" t="s">
        <v>1711</v>
      </c>
      <c r="B932" s="10" t="s">
        <v>3080</v>
      </c>
      <c r="C932" t="s">
        <v>2158</v>
      </c>
      <c r="D932" t="s">
        <v>2149</v>
      </c>
      <c r="E932" s="3">
        <v>19.511099999999999</v>
      </c>
      <c r="F932" s="3">
        <v>8.64</v>
      </c>
      <c r="G932" s="3">
        <v>10.871099999999998</v>
      </c>
      <c r="H932" s="3">
        <v>10.52</v>
      </c>
    </row>
    <row r="933" spans="1:8">
      <c r="A933" s="10" t="s">
        <v>3090</v>
      </c>
      <c r="B933" s="10" t="s">
        <v>3091</v>
      </c>
      <c r="C933" t="s">
        <v>2295</v>
      </c>
      <c r="D933" t="s">
        <v>2296</v>
      </c>
      <c r="E933" s="3">
        <v>4578.9169999999995</v>
      </c>
      <c r="F933" s="3">
        <v>3319.7000000000003</v>
      </c>
      <c r="G933" s="3">
        <v>1259.2169999999992</v>
      </c>
      <c r="H933" s="3">
        <v>6639.4</v>
      </c>
    </row>
    <row r="934" spans="1:8">
      <c r="A934" s="10" t="s">
        <v>3092</v>
      </c>
      <c r="B934" s="10" t="s">
        <v>3380</v>
      </c>
      <c r="C934" t="s">
        <v>2295</v>
      </c>
      <c r="D934" t="s">
        <v>2296</v>
      </c>
      <c r="E934" s="3">
        <v>160.82499999999999</v>
      </c>
      <c r="F934" s="3">
        <v>118.25000000000001</v>
      </c>
      <c r="G934" s="3">
        <v>42.574999999999974</v>
      </c>
      <c r="H934" s="3">
        <v>237</v>
      </c>
    </row>
    <row r="935" spans="1:8">
      <c r="A935" s="10" t="s">
        <v>3093</v>
      </c>
      <c r="B935" s="10" t="s">
        <v>3094</v>
      </c>
      <c r="C935" t="s">
        <v>2299</v>
      </c>
      <c r="D935" t="s">
        <v>2296</v>
      </c>
      <c r="E935" s="3">
        <v>28.644500000000001</v>
      </c>
      <c r="F935" s="3">
        <v>21.4</v>
      </c>
      <c r="G935" s="3">
        <v>7.2445000000000022</v>
      </c>
      <c r="H935" s="3">
        <v>10.7</v>
      </c>
    </row>
    <row r="936" spans="1:8">
      <c r="A936" s="10" t="s">
        <v>2304</v>
      </c>
      <c r="B936" s="10" t="s">
        <v>3385</v>
      </c>
      <c r="C936" t="s">
        <v>2295</v>
      </c>
      <c r="D936" t="s">
        <v>2296</v>
      </c>
      <c r="E936" s="3">
        <v>37.026000000000003</v>
      </c>
      <c r="F936" s="3">
        <v>73.351100000000002</v>
      </c>
      <c r="G936" s="3">
        <v>-36.325099999999999</v>
      </c>
      <c r="H936" s="3">
        <v>72.58</v>
      </c>
    </row>
    <row r="937" spans="1:8">
      <c r="A937" s="10" t="s">
        <v>3095</v>
      </c>
      <c r="B937" s="10" t="s">
        <v>3096</v>
      </c>
      <c r="C937" t="s">
        <v>2295</v>
      </c>
      <c r="D937" t="s">
        <v>2296</v>
      </c>
      <c r="E937" s="3">
        <v>442.35399999999998</v>
      </c>
      <c r="F937" s="3">
        <v>315.59019999999998</v>
      </c>
      <c r="G937" s="3">
        <v>126.7638</v>
      </c>
      <c r="H937" s="3">
        <v>105.18</v>
      </c>
    </row>
    <row r="938" spans="1:8">
      <c r="A938" s="10" t="s">
        <v>2311</v>
      </c>
      <c r="B938" s="10" t="s">
        <v>2312</v>
      </c>
      <c r="C938" t="s">
        <v>2299</v>
      </c>
      <c r="D938" t="s">
        <v>2296</v>
      </c>
      <c r="E938" s="3">
        <v>518.88170000000002</v>
      </c>
      <c r="F938" s="3">
        <v>450.56000000000006</v>
      </c>
      <c r="G938" s="3">
        <v>68.321699999999964</v>
      </c>
      <c r="H938" s="3">
        <v>140.80000000000001</v>
      </c>
    </row>
    <row r="939" spans="1:8">
      <c r="A939" s="10" t="s">
        <v>3097</v>
      </c>
      <c r="B939" s="10" t="s">
        <v>3394</v>
      </c>
      <c r="C939" t="s">
        <v>2295</v>
      </c>
      <c r="D939" t="s">
        <v>2296</v>
      </c>
      <c r="E939" s="3">
        <v>329.60599999999999</v>
      </c>
      <c r="F939" s="3">
        <v>314.16519999999991</v>
      </c>
      <c r="G939" s="3">
        <v>15.440800000000081</v>
      </c>
      <c r="H939" s="3">
        <v>203.04</v>
      </c>
    </row>
    <row r="940" spans="1:8">
      <c r="A940" s="10" t="s">
        <v>2313</v>
      </c>
      <c r="B940" s="10" t="s">
        <v>2314</v>
      </c>
      <c r="C940" t="s">
        <v>2295</v>
      </c>
      <c r="D940" t="s">
        <v>2296</v>
      </c>
      <c r="E940" s="3">
        <v>1914.0549999999998</v>
      </c>
      <c r="F940" s="3">
        <v>1774.6336000000001</v>
      </c>
      <c r="G940" s="3">
        <v>139.42139999999972</v>
      </c>
      <c r="H940" s="3">
        <v>1178</v>
      </c>
    </row>
    <row r="941" spans="1:8">
      <c r="A941" s="10" t="s">
        <v>3105</v>
      </c>
      <c r="B941" s="10" t="s">
        <v>3106</v>
      </c>
      <c r="C941" t="s">
        <v>3107</v>
      </c>
      <c r="D941" t="s">
        <v>2296</v>
      </c>
      <c r="E941" s="3">
        <v>410.96999999999997</v>
      </c>
      <c r="F941" s="3">
        <v>712.22420000000011</v>
      </c>
      <c r="G941" s="3">
        <v>-301.25420000000014</v>
      </c>
      <c r="H941" s="3">
        <v>252.4</v>
      </c>
    </row>
    <row r="942" spans="1:8">
      <c r="A942" s="10" t="s">
        <v>3108</v>
      </c>
      <c r="B942" s="10" t="s">
        <v>3109</v>
      </c>
      <c r="C942" t="s">
        <v>3107</v>
      </c>
      <c r="D942" t="s">
        <v>2296</v>
      </c>
      <c r="E942" s="3">
        <v>139.06280000000001</v>
      </c>
      <c r="F942" s="3">
        <v>216.09019999999998</v>
      </c>
      <c r="G942" s="3">
        <v>-77.027399999999972</v>
      </c>
      <c r="H942" s="3">
        <v>249.6</v>
      </c>
    </row>
    <row r="943" spans="1:8">
      <c r="A943" s="10" t="s">
        <v>2322</v>
      </c>
      <c r="B943" s="10" t="s">
        <v>2323</v>
      </c>
      <c r="C943" t="s">
        <v>2154</v>
      </c>
      <c r="D943" t="s">
        <v>2149</v>
      </c>
      <c r="E943" s="3">
        <v>442.0821539247562</v>
      </c>
      <c r="F943" s="3">
        <v>2520</v>
      </c>
      <c r="G943" s="3">
        <v>-2077.9178460752437</v>
      </c>
      <c r="H943" s="3">
        <v>1500</v>
      </c>
    </row>
    <row r="944" spans="1:8">
      <c r="A944" s="10" t="s">
        <v>3130</v>
      </c>
      <c r="B944" s="10" t="s">
        <v>3131</v>
      </c>
      <c r="C944" t="s">
        <v>3115</v>
      </c>
      <c r="D944" t="s">
        <v>2296</v>
      </c>
      <c r="E944" s="3">
        <v>6.0679999999999996</v>
      </c>
      <c r="F944" s="3">
        <v>23.796800000000001</v>
      </c>
      <c r="G944" s="3">
        <v>-17.7288</v>
      </c>
      <c r="H944" s="3">
        <v>59.4</v>
      </c>
    </row>
    <row r="945" spans="1:8">
      <c r="A945" s="10" t="s">
        <v>2302</v>
      </c>
      <c r="B945" s="10" t="s">
        <v>2303</v>
      </c>
      <c r="C945" t="s">
        <v>2299</v>
      </c>
      <c r="D945" t="s">
        <v>2296</v>
      </c>
      <c r="E945" s="3">
        <v>46.65</v>
      </c>
      <c r="F945" s="3">
        <v>34.300000000000004</v>
      </c>
      <c r="G945" s="3">
        <v>12.349999999999994</v>
      </c>
      <c r="H945" s="3">
        <v>14.04</v>
      </c>
    </row>
    <row r="946" spans="1:8">
      <c r="A946" s="10" t="s">
        <v>2306</v>
      </c>
      <c r="B946" s="10" t="s">
        <v>3389</v>
      </c>
      <c r="C946" t="s">
        <v>2295</v>
      </c>
      <c r="D946" t="s">
        <v>2296</v>
      </c>
      <c r="E946" s="3">
        <v>27.585000000000001</v>
      </c>
      <c r="F946" s="3">
        <v>20.2668</v>
      </c>
      <c r="G946" s="3">
        <v>7.3182000000000009</v>
      </c>
      <c r="H946" s="3">
        <v>67.400000000000006</v>
      </c>
    </row>
    <row r="947" spans="1:8">
      <c r="A947" s="10" t="s">
        <v>2307</v>
      </c>
      <c r="B947" s="10" t="s">
        <v>3392</v>
      </c>
      <c r="C947" t="s">
        <v>2295</v>
      </c>
      <c r="D947" t="s">
        <v>2296</v>
      </c>
      <c r="E947" s="3">
        <v>0</v>
      </c>
      <c r="F947" s="3">
        <v>0</v>
      </c>
      <c r="G947" s="3">
        <v>0</v>
      </c>
      <c r="H947" s="3">
        <v>69.400000000000006</v>
      </c>
    </row>
    <row r="948" spans="1:8">
      <c r="A948" s="10" t="s">
        <v>2308</v>
      </c>
      <c r="B948" s="10" t="s">
        <v>3393</v>
      </c>
      <c r="C948" t="s">
        <v>2295</v>
      </c>
      <c r="D948" t="s">
        <v>2296</v>
      </c>
      <c r="E948" s="3">
        <v>55.08</v>
      </c>
      <c r="F948" s="3">
        <v>54.5672</v>
      </c>
      <c r="G948" s="3">
        <v>0.51279999999999859</v>
      </c>
      <c r="H948" s="3">
        <v>136.4</v>
      </c>
    </row>
    <row r="949" spans="1:8">
      <c r="A949" s="10" t="s">
        <v>3159</v>
      </c>
      <c r="B949" s="10" t="s">
        <v>3160</v>
      </c>
      <c r="C949" t="s">
        <v>2156</v>
      </c>
      <c r="D949" t="s">
        <v>2149</v>
      </c>
      <c r="E949" s="3">
        <v>5.6280000000000001</v>
      </c>
      <c r="F949" s="3">
        <v>2.4</v>
      </c>
      <c r="G949" s="3">
        <v>3.2280000000000002</v>
      </c>
      <c r="H949" s="3">
        <v>8.34</v>
      </c>
    </row>
    <row r="950" spans="1:8">
      <c r="A950" s="10" t="s">
        <v>3161</v>
      </c>
      <c r="B950" s="10" t="s">
        <v>3162</v>
      </c>
      <c r="C950" t="s">
        <v>2154</v>
      </c>
      <c r="D950" t="s">
        <v>2149</v>
      </c>
      <c r="E950" s="3">
        <v>420.31681109803844</v>
      </c>
      <c r="F950" s="3">
        <v>265.20060000000001</v>
      </c>
      <c r="G950" s="3">
        <v>155.11621109803843</v>
      </c>
      <c r="H950" s="3">
        <v>124.96</v>
      </c>
    </row>
    <row r="951" spans="1:8">
      <c r="A951" s="10" t="s">
        <v>3163</v>
      </c>
      <c r="B951" s="10" t="s">
        <v>3164</v>
      </c>
      <c r="C951" t="s">
        <v>2344</v>
      </c>
      <c r="D951" t="s">
        <v>2149</v>
      </c>
      <c r="E951" s="3">
        <v>30.01</v>
      </c>
      <c r="F951" s="3">
        <v>5.3007999999999997</v>
      </c>
      <c r="G951" s="3">
        <v>24.709200000000003</v>
      </c>
      <c r="H951" s="3">
        <v>28.66</v>
      </c>
    </row>
    <row r="952" spans="1:8">
      <c r="A952" s="10" t="s">
        <v>3167</v>
      </c>
      <c r="B952" s="10" t="s">
        <v>3168</v>
      </c>
      <c r="C952" t="s">
        <v>2158</v>
      </c>
      <c r="D952" t="s">
        <v>2149</v>
      </c>
      <c r="E952" s="3">
        <v>18.810000000000002</v>
      </c>
      <c r="F952" s="3">
        <v>11.242000000000001</v>
      </c>
      <c r="G952" s="3">
        <v>7.5680000000000014</v>
      </c>
      <c r="H952" s="3">
        <v>5.6</v>
      </c>
    </row>
    <row r="953" spans="1:8">
      <c r="A953" s="10" t="s">
        <v>3172</v>
      </c>
      <c r="B953" s="10" t="s">
        <v>3173</v>
      </c>
      <c r="C953" t="s">
        <v>2158</v>
      </c>
      <c r="D953" t="s">
        <v>2149</v>
      </c>
      <c r="E953" s="3">
        <v>5.25</v>
      </c>
      <c r="F953" s="3">
        <v>1.39</v>
      </c>
      <c r="G953" s="3">
        <v>3.8600000000000003</v>
      </c>
      <c r="H953" s="3">
        <v>7.1</v>
      </c>
    </row>
    <row r="954" spans="1:8">
      <c r="A954" s="10" t="s">
        <v>3174</v>
      </c>
      <c r="B954" s="10" t="s">
        <v>3175</v>
      </c>
      <c r="C954" t="s">
        <v>2344</v>
      </c>
      <c r="D954" t="s">
        <v>2149</v>
      </c>
      <c r="E954" s="3">
        <v>2.4740247306911876</v>
      </c>
      <c r="F954" s="3">
        <v>1.32</v>
      </c>
      <c r="G954" s="3">
        <v>1.1540247306911875</v>
      </c>
      <c r="H954" s="3">
        <v>0.88</v>
      </c>
    </row>
    <row r="955" spans="1:8">
      <c r="A955" s="10" t="s">
        <v>3177</v>
      </c>
      <c r="B955" s="10" t="s">
        <v>3178</v>
      </c>
      <c r="C955" t="s">
        <v>2158</v>
      </c>
      <c r="D955" t="s">
        <v>2149</v>
      </c>
      <c r="E955" s="3">
        <v>3.46</v>
      </c>
      <c r="F955" s="3">
        <v>2.4540000000000002</v>
      </c>
      <c r="G955" s="3">
        <v>1.0059999999999998</v>
      </c>
      <c r="H955" s="3">
        <v>4.9000000000000004</v>
      </c>
    </row>
    <row r="956" spans="1:8">
      <c r="A956" s="10" t="s">
        <v>3179</v>
      </c>
      <c r="B956" s="10" t="s">
        <v>3180</v>
      </c>
      <c r="C956" t="s">
        <v>2344</v>
      </c>
      <c r="D956" t="s">
        <v>2149</v>
      </c>
      <c r="E956" s="3">
        <v>21.3</v>
      </c>
      <c r="F956" s="3">
        <v>5.6</v>
      </c>
      <c r="G956" s="3">
        <v>15.700000000000001</v>
      </c>
      <c r="H956" s="3">
        <v>17.25</v>
      </c>
    </row>
    <row r="957" spans="1:8">
      <c r="A957" s="10" t="s">
        <v>3182</v>
      </c>
      <c r="B957" s="10" t="s">
        <v>3183</v>
      </c>
      <c r="C957" t="s">
        <v>2344</v>
      </c>
      <c r="D957" t="s">
        <v>2149</v>
      </c>
      <c r="E957" s="3">
        <v>6.67</v>
      </c>
      <c r="F957" s="3">
        <v>3.09</v>
      </c>
      <c r="G957" s="3">
        <v>3.58</v>
      </c>
      <c r="H957" s="3">
        <v>3.1</v>
      </c>
    </row>
    <row r="958" spans="1:8">
      <c r="A958" s="10" t="s">
        <v>3185</v>
      </c>
      <c r="B958" s="10" t="s">
        <v>3186</v>
      </c>
      <c r="C958" t="s">
        <v>2154</v>
      </c>
      <c r="D958" t="s">
        <v>2149</v>
      </c>
      <c r="E958" s="3">
        <v>841.93749999999989</v>
      </c>
      <c r="F958" s="3">
        <v>506.92339999999996</v>
      </c>
      <c r="G958" s="3">
        <v>335.01409999999993</v>
      </c>
      <c r="H958" s="3">
        <v>315.27999999999997</v>
      </c>
    </row>
    <row r="959" spans="1:8">
      <c r="A959" s="10" t="s">
        <v>3192</v>
      </c>
      <c r="B959" s="10" t="s">
        <v>3193</v>
      </c>
      <c r="C959" t="s">
        <v>2169</v>
      </c>
      <c r="D959" t="s">
        <v>2149</v>
      </c>
      <c r="E959" s="3">
        <v>49.209999999999994</v>
      </c>
      <c r="F959" s="3">
        <v>17.8904</v>
      </c>
      <c r="G959" s="3">
        <v>31.319599999999994</v>
      </c>
      <c r="H959" s="3">
        <v>17.5</v>
      </c>
    </row>
    <row r="960" spans="1:8">
      <c r="A960" s="10" t="s">
        <v>3195</v>
      </c>
      <c r="B960" s="10" t="s">
        <v>3196</v>
      </c>
      <c r="C960" t="s">
        <v>2158</v>
      </c>
      <c r="D960" t="s">
        <v>2149</v>
      </c>
      <c r="E960" s="3">
        <v>0.65</v>
      </c>
      <c r="F960" s="3">
        <v>0.6</v>
      </c>
      <c r="G960" s="3">
        <v>5.0000000000000044E-2</v>
      </c>
      <c r="H960" s="3">
        <v>1.1599999999999999</v>
      </c>
    </row>
    <row r="961" spans="1:8">
      <c r="A961" s="10" t="s">
        <v>3197</v>
      </c>
      <c r="B961" s="10" t="s">
        <v>3198</v>
      </c>
      <c r="C961" t="s">
        <v>2158</v>
      </c>
      <c r="D961" t="s">
        <v>2149</v>
      </c>
      <c r="E961" s="3">
        <v>4.8600000000000003</v>
      </c>
      <c r="F961" s="3">
        <v>1.23</v>
      </c>
      <c r="G961" s="3">
        <v>3.6300000000000003</v>
      </c>
      <c r="H961" s="3">
        <v>3.78</v>
      </c>
    </row>
    <row r="962" spans="1:8">
      <c r="A962" s="10" t="s">
        <v>3199</v>
      </c>
      <c r="B962" s="10" t="s">
        <v>3200</v>
      </c>
      <c r="C962" t="s">
        <v>2158</v>
      </c>
      <c r="D962" t="s">
        <v>2149</v>
      </c>
      <c r="E962" s="3">
        <v>3.165</v>
      </c>
      <c r="F962" s="3">
        <v>0.66</v>
      </c>
      <c r="G962" s="3">
        <v>2.5049999999999999</v>
      </c>
      <c r="H962" s="3">
        <v>2.04</v>
      </c>
    </row>
    <row r="963" spans="1:8">
      <c r="A963" s="10" t="s">
        <v>3201</v>
      </c>
      <c r="B963" s="10" t="s">
        <v>3202</v>
      </c>
      <c r="C963" t="s">
        <v>2158</v>
      </c>
      <c r="D963" t="s">
        <v>2149</v>
      </c>
      <c r="E963" s="3">
        <v>2.15</v>
      </c>
      <c r="F963" s="3">
        <v>1.2</v>
      </c>
      <c r="G963" s="3">
        <v>0.95</v>
      </c>
      <c r="H963" s="3">
        <v>0.75</v>
      </c>
    </row>
    <row r="964" spans="1:8">
      <c r="A964" s="10" t="s">
        <v>3203</v>
      </c>
      <c r="B964" s="10" t="s">
        <v>3204</v>
      </c>
      <c r="C964" t="s">
        <v>2344</v>
      </c>
      <c r="D964" t="s">
        <v>2149</v>
      </c>
      <c r="E964" s="3">
        <v>19.724</v>
      </c>
      <c r="F964" s="3">
        <v>13.1022</v>
      </c>
      <c r="G964" s="3">
        <v>6.6218000000000004</v>
      </c>
      <c r="H964" s="3">
        <v>9.84</v>
      </c>
    </row>
    <row r="965" spans="1:8">
      <c r="A965" s="10" t="s">
        <v>3205</v>
      </c>
      <c r="B965" s="10" t="s">
        <v>3206</v>
      </c>
      <c r="C965" t="s">
        <v>2177</v>
      </c>
      <c r="D965" t="s">
        <v>2149</v>
      </c>
      <c r="E965" s="3">
        <v>208.69600000000003</v>
      </c>
      <c r="F965" s="3">
        <v>128.78910000000002</v>
      </c>
      <c r="G965" s="3">
        <v>79.906900000000007</v>
      </c>
      <c r="H965" s="3">
        <v>85.05</v>
      </c>
    </row>
    <row r="966" spans="1:8">
      <c r="A966" s="10" t="s">
        <v>3209</v>
      </c>
      <c r="B966" s="10" t="s">
        <v>3210</v>
      </c>
      <c r="C966" t="s">
        <v>2169</v>
      </c>
      <c r="D966" t="s">
        <v>2149</v>
      </c>
      <c r="E966" s="3">
        <v>144.76</v>
      </c>
      <c r="F966" s="3">
        <v>85.37</v>
      </c>
      <c r="G966" s="3">
        <v>59.389999999999986</v>
      </c>
      <c r="H966" s="3">
        <v>48.06</v>
      </c>
    </row>
    <row r="967" spans="1:8">
      <c r="A967" s="10" t="s">
        <v>3211</v>
      </c>
      <c r="B967" s="10" t="s">
        <v>2324</v>
      </c>
      <c r="C967" t="s">
        <v>2154</v>
      </c>
      <c r="D967" t="s">
        <v>2149</v>
      </c>
      <c r="E967" s="3">
        <v>1774.7355265977844</v>
      </c>
      <c r="F967" s="3">
        <v>1449.1154000000001</v>
      </c>
      <c r="G967" s="3">
        <v>325.62012659778429</v>
      </c>
      <c r="H967" s="3">
        <v>585.9</v>
      </c>
    </row>
    <row r="968" spans="1:8">
      <c r="A968" s="10" t="s">
        <v>3212</v>
      </c>
      <c r="B968" s="10" t="s">
        <v>3213</v>
      </c>
      <c r="C968" t="s">
        <v>2344</v>
      </c>
      <c r="D968" t="s">
        <v>2149</v>
      </c>
      <c r="E968" s="3">
        <v>128</v>
      </c>
      <c r="F968" s="3">
        <v>34</v>
      </c>
      <c r="G968" s="3">
        <v>94</v>
      </c>
      <c r="H968" s="3">
        <v>122.88</v>
      </c>
    </row>
    <row r="969" spans="1:8">
      <c r="A969" s="10" t="s">
        <v>3216</v>
      </c>
      <c r="B969" s="10" t="s">
        <v>3217</v>
      </c>
      <c r="C969" t="s">
        <v>2169</v>
      </c>
      <c r="D969" t="s">
        <v>2149</v>
      </c>
      <c r="E969" s="3">
        <v>3.9178999999999999</v>
      </c>
      <c r="F969" s="3">
        <v>1.9300000000000002</v>
      </c>
      <c r="G969" s="3">
        <v>1.9878999999999998</v>
      </c>
      <c r="H969" s="3">
        <v>3.86</v>
      </c>
    </row>
    <row r="970" spans="1:8">
      <c r="A970" s="10" t="s">
        <v>3219</v>
      </c>
      <c r="B970" s="10" t="s">
        <v>3220</v>
      </c>
      <c r="C970" t="s">
        <v>2156</v>
      </c>
      <c r="D970" t="s">
        <v>2149</v>
      </c>
      <c r="E970" s="3">
        <v>1.2</v>
      </c>
      <c r="F970" s="3">
        <v>1.0900000000000001</v>
      </c>
      <c r="G970" s="3">
        <v>0.10999999999999988</v>
      </c>
      <c r="H970" s="3">
        <v>7.63</v>
      </c>
    </row>
    <row r="971" spans="1:8">
      <c r="A971" s="10" t="s">
        <v>3235</v>
      </c>
      <c r="B971" s="10" t="s">
        <v>3236</v>
      </c>
      <c r="C971" t="s">
        <v>2158</v>
      </c>
      <c r="D971" t="s">
        <v>2149</v>
      </c>
      <c r="E971" s="3">
        <v>250.46334880518191</v>
      </c>
      <c r="F971" s="3">
        <v>144.22000000000003</v>
      </c>
      <c r="G971" s="3">
        <v>106.24334880518188</v>
      </c>
      <c r="H971" s="3">
        <v>143.9</v>
      </c>
    </row>
    <row r="972" spans="1:8">
      <c r="A972" s="10" t="s">
        <v>3243</v>
      </c>
      <c r="B972" s="10" t="s">
        <v>3244</v>
      </c>
      <c r="C972" t="s">
        <v>2169</v>
      </c>
      <c r="D972" t="s">
        <v>2149</v>
      </c>
      <c r="E972" s="3">
        <v>51.120000000000005</v>
      </c>
      <c r="F972" s="3">
        <v>30.599999999999998</v>
      </c>
      <c r="G972" s="3">
        <v>20.520000000000007</v>
      </c>
      <c r="H972" s="3">
        <v>31.2</v>
      </c>
    </row>
    <row r="973" spans="1:8">
      <c r="A973" s="10" t="s">
        <v>3248</v>
      </c>
      <c r="B973" s="10" t="s">
        <v>3249</v>
      </c>
      <c r="C973" t="s">
        <v>2169</v>
      </c>
      <c r="D973" t="s">
        <v>2149</v>
      </c>
      <c r="E973" s="3">
        <v>539.36254696030574</v>
      </c>
      <c r="F973" s="3">
        <v>332.76139999999998</v>
      </c>
      <c r="G973" s="3">
        <v>206.60114696030575</v>
      </c>
      <c r="H973" s="3">
        <v>61.68</v>
      </c>
    </row>
    <row r="974" spans="1:8">
      <c r="A974" s="10" t="s">
        <v>3251</v>
      </c>
      <c r="B974" s="10" t="s">
        <v>3252</v>
      </c>
      <c r="C974" t="s">
        <v>2177</v>
      </c>
      <c r="D974" t="s">
        <v>2149</v>
      </c>
      <c r="E974" s="3">
        <v>37.12080000000001</v>
      </c>
      <c r="F974" s="3">
        <v>14.85</v>
      </c>
      <c r="G974" s="3">
        <v>22.270800000000008</v>
      </c>
      <c r="H974" s="3">
        <v>44.55</v>
      </c>
    </row>
    <row r="975" spans="1:8">
      <c r="A975" s="10" t="s">
        <v>1386</v>
      </c>
      <c r="B975" s="10" t="s">
        <v>3253</v>
      </c>
      <c r="C975" t="s">
        <v>2158</v>
      </c>
      <c r="D975" t="s">
        <v>2149</v>
      </c>
      <c r="E975" s="3">
        <v>17.015999999999998</v>
      </c>
      <c r="F975" s="3">
        <v>7.7010000000000005</v>
      </c>
      <c r="G975" s="3">
        <v>9.3149999999999977</v>
      </c>
      <c r="H975" s="3">
        <v>12.8</v>
      </c>
    </row>
    <row r="976" spans="1:8">
      <c r="A976" s="10" t="s">
        <v>3257</v>
      </c>
      <c r="B976" s="10" t="s">
        <v>3258</v>
      </c>
      <c r="C976" t="s">
        <v>2150</v>
      </c>
      <c r="D976" t="s">
        <v>2149</v>
      </c>
      <c r="E976" s="3">
        <v>3534.6655829154624</v>
      </c>
      <c r="F976" s="3">
        <v>3337.2749000000003</v>
      </c>
      <c r="G976" s="3">
        <v>197.39068291546209</v>
      </c>
      <c r="H976" s="3">
        <v>1016.79</v>
      </c>
    </row>
    <row r="977" spans="1:8">
      <c r="A977" s="10" t="s">
        <v>3259</v>
      </c>
      <c r="B977" s="10" t="s">
        <v>3260</v>
      </c>
      <c r="C977" t="s">
        <v>2177</v>
      </c>
      <c r="D977" t="s">
        <v>2149</v>
      </c>
      <c r="E977" s="3">
        <v>66.991338674788182</v>
      </c>
      <c r="F977" s="3">
        <v>42.910000000000004</v>
      </c>
      <c r="G977" s="3">
        <v>24.081338674788178</v>
      </c>
      <c r="H977" s="3">
        <v>36.78</v>
      </c>
    </row>
    <row r="978" spans="1:8">
      <c r="A978" s="10" t="s">
        <v>3262</v>
      </c>
      <c r="B978" s="10" t="s">
        <v>3263</v>
      </c>
      <c r="C978" t="s">
        <v>2487</v>
      </c>
      <c r="D978" t="s">
        <v>2149</v>
      </c>
      <c r="E978" s="3">
        <v>31.94</v>
      </c>
      <c r="F978" s="3">
        <v>29.934999999999999</v>
      </c>
      <c r="G978" s="3">
        <v>2.0050000000000026</v>
      </c>
      <c r="H978" s="3">
        <v>59.86</v>
      </c>
    </row>
    <row r="979" spans="1:8">
      <c r="A979" s="10" t="s">
        <v>3264</v>
      </c>
      <c r="B979" s="10" t="s">
        <v>3265</v>
      </c>
      <c r="C979" t="s">
        <v>2156</v>
      </c>
      <c r="D979" t="s">
        <v>2149</v>
      </c>
      <c r="E979" s="3">
        <v>71.165400000000005</v>
      </c>
      <c r="F979" s="3">
        <v>69.77</v>
      </c>
      <c r="G979" s="3">
        <v>1.3954000000000093</v>
      </c>
      <c r="H979" s="3">
        <v>139.54</v>
      </c>
    </row>
    <row r="980" spans="1:8">
      <c r="A980" s="10" t="s">
        <v>3269</v>
      </c>
      <c r="B980" s="10" t="s">
        <v>3270</v>
      </c>
      <c r="C980" t="s">
        <v>2158</v>
      </c>
      <c r="D980" t="s">
        <v>2149</v>
      </c>
      <c r="E980" s="3">
        <v>5.0839999999999996</v>
      </c>
      <c r="F980" s="3">
        <v>1.4742</v>
      </c>
      <c r="G980" s="3">
        <v>3.6097999999999999</v>
      </c>
      <c r="H980" s="3">
        <v>2.2200000000000002</v>
      </c>
    </row>
    <row r="981" spans="1:8">
      <c r="A981" s="10" t="s">
        <v>1513</v>
      </c>
      <c r="B981" s="10" t="s">
        <v>3279</v>
      </c>
      <c r="C981" t="s">
        <v>2346</v>
      </c>
      <c r="D981" t="s">
        <v>2149</v>
      </c>
      <c r="E981" s="3">
        <v>3.24</v>
      </c>
      <c r="F981" s="3">
        <v>1.5009999999999999</v>
      </c>
      <c r="G981" s="3">
        <v>1.7390000000000003</v>
      </c>
      <c r="H981" s="3">
        <v>4.5</v>
      </c>
    </row>
    <row r="982" spans="1:8">
      <c r="A982" s="10" t="s">
        <v>3280</v>
      </c>
      <c r="B982" s="10" t="s">
        <v>3281</v>
      </c>
      <c r="C982" t="s">
        <v>2158</v>
      </c>
      <c r="D982" t="s">
        <v>2149</v>
      </c>
      <c r="E982" s="3">
        <v>18.917099547965847</v>
      </c>
      <c r="F982" s="3">
        <v>5.3</v>
      </c>
      <c r="G982" s="3">
        <v>13.617099547965847</v>
      </c>
      <c r="H982" s="3">
        <v>45.08</v>
      </c>
    </row>
    <row r="983" spans="1:8">
      <c r="A983" s="10" t="s">
        <v>3282</v>
      </c>
      <c r="B983" s="10" t="s">
        <v>3283</v>
      </c>
      <c r="C983" t="s">
        <v>2156</v>
      </c>
      <c r="D983" t="s">
        <v>2149</v>
      </c>
      <c r="E983" s="3">
        <v>818.94624765162712</v>
      </c>
      <c r="F983" s="3">
        <v>392.43069999999994</v>
      </c>
      <c r="G983" s="3">
        <v>426.51554765162717</v>
      </c>
      <c r="H983" s="3">
        <v>314</v>
      </c>
    </row>
    <row r="984" spans="1:8">
      <c r="A984" s="10" t="s">
        <v>3285</v>
      </c>
      <c r="B984" s="10" t="s">
        <v>3286</v>
      </c>
      <c r="C984" t="s">
        <v>2156</v>
      </c>
      <c r="D984" t="s">
        <v>2149</v>
      </c>
      <c r="E984" s="3">
        <v>13.013</v>
      </c>
      <c r="F984" s="3">
        <v>7.15</v>
      </c>
      <c r="G984" s="3">
        <v>5.8629999999999995</v>
      </c>
      <c r="H984" s="3">
        <v>15.14</v>
      </c>
    </row>
    <row r="985" spans="1:8">
      <c r="A985" s="10" t="s">
        <v>1547</v>
      </c>
      <c r="B985" s="10" t="s">
        <v>3288</v>
      </c>
      <c r="C985" t="s">
        <v>2158</v>
      </c>
      <c r="D985" t="s">
        <v>2149</v>
      </c>
      <c r="E985" s="3">
        <v>90.040607089285544</v>
      </c>
      <c r="F985" s="3">
        <v>6.6728000000000005</v>
      </c>
      <c r="G985" s="3">
        <v>83.367807089285549</v>
      </c>
      <c r="H985" s="3">
        <v>48.16</v>
      </c>
    </row>
    <row r="986" spans="1:8">
      <c r="A986" s="10" t="s">
        <v>1550</v>
      </c>
      <c r="B986" s="10" t="s">
        <v>3289</v>
      </c>
      <c r="C986" t="s">
        <v>2156</v>
      </c>
      <c r="D986" t="s">
        <v>2149</v>
      </c>
      <c r="E986" s="3">
        <v>-0.2348335152838423</v>
      </c>
      <c r="F986" s="3">
        <v>0</v>
      </c>
      <c r="G986" s="3">
        <v>-0.2348335152838423</v>
      </c>
      <c r="H986" s="3">
        <v>6.75</v>
      </c>
    </row>
    <row r="987" spans="1:8">
      <c r="A987" s="10" t="s">
        <v>3290</v>
      </c>
      <c r="B987" s="10" t="s">
        <v>3291</v>
      </c>
      <c r="C987" t="s">
        <v>2158</v>
      </c>
      <c r="D987" t="s">
        <v>2149</v>
      </c>
      <c r="E987" s="3">
        <v>186.97679514329772</v>
      </c>
      <c r="F987" s="3">
        <v>98.745000000000005</v>
      </c>
      <c r="G987" s="3">
        <v>88.231795143297717</v>
      </c>
      <c r="H987" s="3">
        <v>201.15</v>
      </c>
    </row>
    <row r="988" spans="1:8">
      <c r="A988" s="10" t="s">
        <v>3292</v>
      </c>
      <c r="B988" s="10" t="s">
        <v>3293</v>
      </c>
      <c r="C988" t="s">
        <v>2158</v>
      </c>
      <c r="D988" t="s">
        <v>2149</v>
      </c>
      <c r="E988" s="3">
        <v>10223.678510523094</v>
      </c>
      <c r="F988" s="3">
        <v>5219.1949999999997</v>
      </c>
      <c r="G988" s="3">
        <v>5004.4835105230941</v>
      </c>
      <c r="H988" s="3">
        <v>2091</v>
      </c>
    </row>
    <row r="989" spans="1:8">
      <c r="A989" s="10" t="s">
        <v>3296</v>
      </c>
      <c r="B989" s="10" t="s">
        <v>3297</v>
      </c>
      <c r="C989" t="s">
        <v>2148</v>
      </c>
      <c r="D989" t="s">
        <v>2149</v>
      </c>
      <c r="E989" s="3">
        <v>2703</v>
      </c>
      <c r="F989" s="3">
        <v>1696.2394000000002</v>
      </c>
      <c r="G989" s="3">
        <v>1006.7605999999998</v>
      </c>
      <c r="H989" s="3">
        <v>13539.6</v>
      </c>
    </row>
    <row r="990" spans="1:8">
      <c r="A990" s="10" t="s">
        <v>1564</v>
      </c>
      <c r="B990" s="10" t="s">
        <v>3299</v>
      </c>
      <c r="C990" t="s">
        <v>2158</v>
      </c>
      <c r="D990" t="s">
        <v>2149</v>
      </c>
      <c r="E990" s="3">
        <v>12.662000000000001</v>
      </c>
      <c r="F990" s="3">
        <v>0</v>
      </c>
      <c r="G990" s="3">
        <v>12.662000000000001</v>
      </c>
      <c r="H990" s="3">
        <v>20.76</v>
      </c>
    </row>
    <row r="991" spans="1:8">
      <c r="A991" s="10" t="s">
        <v>3303</v>
      </c>
      <c r="B991" s="10" t="s">
        <v>3304</v>
      </c>
      <c r="C991" t="s">
        <v>2158</v>
      </c>
      <c r="D991" t="s">
        <v>2149</v>
      </c>
      <c r="E991" s="3">
        <v>393.42399999999998</v>
      </c>
      <c r="F991" s="3">
        <v>239.39570000000001</v>
      </c>
      <c r="G991" s="3">
        <v>154.02829999999997</v>
      </c>
      <c r="H991" s="3">
        <v>157.36000000000001</v>
      </c>
    </row>
    <row r="992" spans="1:8">
      <c r="A992" s="10" t="s">
        <v>3307</v>
      </c>
      <c r="B992" s="10" t="s">
        <v>3308</v>
      </c>
      <c r="C992" t="s">
        <v>2156</v>
      </c>
      <c r="D992" t="s">
        <v>2149</v>
      </c>
      <c r="E992" s="3">
        <v>3.7199999999999998</v>
      </c>
      <c r="F992" s="3">
        <v>0</v>
      </c>
      <c r="G992" s="3">
        <v>3.7199999999999998</v>
      </c>
      <c r="H992" s="3">
        <v>5.43</v>
      </c>
    </row>
    <row r="993" spans="1:8">
      <c r="A993" s="10" t="s">
        <v>3310</v>
      </c>
      <c r="B993" s="10" t="s">
        <v>3311</v>
      </c>
      <c r="C993" t="s">
        <v>2158</v>
      </c>
      <c r="D993" t="s">
        <v>2149</v>
      </c>
      <c r="E993" s="3">
        <v>14.528</v>
      </c>
      <c r="F993" s="3">
        <v>4.9800000000000004</v>
      </c>
      <c r="G993" s="3">
        <v>9.548</v>
      </c>
      <c r="H993" s="3">
        <v>49.8</v>
      </c>
    </row>
    <row r="994" spans="1:8">
      <c r="A994" s="10" t="s">
        <v>3312</v>
      </c>
      <c r="B994" s="10" t="s">
        <v>3313</v>
      </c>
      <c r="C994" t="s">
        <v>2158</v>
      </c>
      <c r="D994" t="s">
        <v>2149</v>
      </c>
      <c r="E994" s="3">
        <v>453.51539156514156</v>
      </c>
      <c r="F994" s="3">
        <v>259.58120000000002</v>
      </c>
      <c r="G994" s="3">
        <v>193.93419156514153</v>
      </c>
      <c r="H994" s="3">
        <v>148.56</v>
      </c>
    </row>
    <row r="995" spans="1:8">
      <c r="A995" s="10" t="s">
        <v>3314</v>
      </c>
      <c r="B995" s="10" t="s">
        <v>2226</v>
      </c>
      <c r="C995" t="s">
        <v>2182</v>
      </c>
      <c r="D995" t="s">
        <v>2149</v>
      </c>
      <c r="E995" s="3">
        <v>20098.147655853347</v>
      </c>
      <c r="F995" s="3">
        <v>16908.017099999994</v>
      </c>
      <c r="G995" s="3">
        <v>3190.1305558533531</v>
      </c>
      <c r="H995" s="3">
        <v>6178.76</v>
      </c>
    </row>
    <row r="996" spans="1:8">
      <c r="A996" s="10" t="s">
        <v>3318</v>
      </c>
      <c r="B996" s="10" t="s">
        <v>3319</v>
      </c>
      <c r="C996" t="s">
        <v>2382</v>
      </c>
      <c r="D996" t="s">
        <v>2149</v>
      </c>
      <c r="E996" s="3">
        <v>330.73289999999997</v>
      </c>
      <c r="F996" s="3">
        <v>1368.8702999999998</v>
      </c>
      <c r="G996" s="3">
        <v>-1038.1373999999998</v>
      </c>
      <c r="H996" s="3">
        <v>1207.5</v>
      </c>
    </row>
    <row r="997" spans="1:8">
      <c r="A997" s="10" t="s">
        <v>3329</v>
      </c>
      <c r="B997" s="10" t="s">
        <v>3330</v>
      </c>
      <c r="C997" t="s">
        <v>2344</v>
      </c>
      <c r="D997" t="s">
        <v>2149</v>
      </c>
      <c r="E997" s="3">
        <v>279.62945515181337</v>
      </c>
      <c r="F997" s="3">
        <v>176.09379999999999</v>
      </c>
      <c r="G997" s="3">
        <v>103.53565515181339</v>
      </c>
      <c r="H997" s="3">
        <v>146.69999999999999</v>
      </c>
    </row>
    <row r="998" spans="1:8">
      <c r="A998" s="10" t="s">
        <v>1644</v>
      </c>
      <c r="B998" s="10" t="s">
        <v>3331</v>
      </c>
      <c r="C998" t="s">
        <v>2156</v>
      </c>
      <c r="D998" t="s">
        <v>2149</v>
      </c>
      <c r="E998" s="3">
        <v>-5.0994275008041186</v>
      </c>
      <c r="F998" s="3">
        <v>0</v>
      </c>
      <c r="G998" s="3">
        <v>-5.0994275008041186</v>
      </c>
      <c r="H998" s="3">
        <v>65.39</v>
      </c>
    </row>
    <row r="999" spans="1:8">
      <c r="A999" s="10" t="s">
        <v>3332</v>
      </c>
      <c r="B999" s="10" t="s">
        <v>3333</v>
      </c>
      <c r="C999" t="s">
        <v>2158</v>
      </c>
      <c r="D999" t="s">
        <v>2149</v>
      </c>
      <c r="E999" s="3">
        <v>857.32838250897203</v>
      </c>
      <c r="F999" s="3">
        <v>472.73270000000008</v>
      </c>
      <c r="G999" s="3">
        <v>384.59568250897195</v>
      </c>
      <c r="H999" s="3">
        <v>479.1</v>
      </c>
    </row>
    <row r="1000" spans="1:8">
      <c r="A1000" s="10" t="s">
        <v>3335</v>
      </c>
      <c r="B1000" s="10" t="s">
        <v>3336</v>
      </c>
      <c r="C1000" t="s">
        <v>2156</v>
      </c>
      <c r="D1000" t="s">
        <v>2149</v>
      </c>
      <c r="E1000" s="3">
        <v>754.90271388329961</v>
      </c>
      <c r="F1000" s="3">
        <v>458.98570000000001</v>
      </c>
      <c r="G1000" s="3">
        <v>295.9170138832996</v>
      </c>
      <c r="H1000" s="3">
        <v>130.5</v>
      </c>
    </row>
    <row r="1001" spans="1:8">
      <c r="A1001" s="10" t="s">
        <v>3345</v>
      </c>
      <c r="B1001" s="10" t="s">
        <v>3346</v>
      </c>
      <c r="C1001" t="s">
        <v>2233</v>
      </c>
      <c r="D1001" t="s">
        <v>2149</v>
      </c>
      <c r="E1001" s="3">
        <v>3878.1829938558167</v>
      </c>
      <c r="F1001" s="3">
        <v>2281.5619999999999</v>
      </c>
      <c r="G1001" s="3">
        <v>1596.6209938558168</v>
      </c>
      <c r="H1001" s="3">
        <v>4559.7</v>
      </c>
    </row>
    <row r="1002" spans="1:8">
      <c r="A1002" s="10" t="s">
        <v>3347</v>
      </c>
      <c r="B1002" s="10" t="s">
        <v>3348</v>
      </c>
      <c r="C1002" t="s">
        <v>3349</v>
      </c>
      <c r="D1002" t="s">
        <v>2023</v>
      </c>
      <c r="E1002" s="3">
        <v>406.42109999999997</v>
      </c>
      <c r="F1002" s="3">
        <v>3451.1604000000016</v>
      </c>
      <c r="G1002" s="3">
        <v>-3044.7393000000015</v>
      </c>
      <c r="H1002" s="3">
        <v>2242.5</v>
      </c>
    </row>
    <row r="1003" spans="1:8">
      <c r="A1003" s="10" t="s">
        <v>3351</v>
      </c>
      <c r="B1003" s="10" t="s">
        <v>3352</v>
      </c>
      <c r="C1003" t="s">
        <v>2344</v>
      </c>
      <c r="D1003" t="s">
        <v>2149</v>
      </c>
      <c r="E1003" s="3">
        <v>3.3120008491511053</v>
      </c>
      <c r="F1003" s="3">
        <v>1.8599999999999999</v>
      </c>
      <c r="G1003" s="3">
        <v>1.4520008491511054</v>
      </c>
      <c r="H1003" s="3">
        <v>1.24</v>
      </c>
    </row>
    <row r="1004" spans="1:8">
      <c r="A1004" s="10" t="s">
        <v>1675</v>
      </c>
      <c r="B1004" s="10" t="s">
        <v>3354</v>
      </c>
      <c r="C1004" t="s">
        <v>2169</v>
      </c>
      <c r="D1004" t="s">
        <v>2149</v>
      </c>
      <c r="E1004" s="3">
        <v>36.664499999999997</v>
      </c>
      <c r="F1004" s="3">
        <v>16.18</v>
      </c>
      <c r="G1004" s="3">
        <v>20.484499999999997</v>
      </c>
      <c r="H1004" s="3">
        <v>13.44</v>
      </c>
    </row>
    <row r="1005" spans="1:8">
      <c r="A1005" s="10" t="s">
        <v>3356</v>
      </c>
      <c r="B1005" s="10" t="s">
        <v>3357</v>
      </c>
      <c r="C1005" t="s">
        <v>2158</v>
      </c>
      <c r="D1005" t="s">
        <v>2149</v>
      </c>
      <c r="E1005" s="3">
        <v>3.444</v>
      </c>
      <c r="F1005" s="3">
        <v>1.92</v>
      </c>
      <c r="G1005" s="3">
        <v>1.524</v>
      </c>
      <c r="H1005" s="3">
        <v>5.76</v>
      </c>
    </row>
    <row r="1006" spans="1:8">
      <c r="A1006" s="10" t="s">
        <v>3359</v>
      </c>
      <c r="B1006" s="10" t="s">
        <v>3360</v>
      </c>
      <c r="C1006" t="s">
        <v>2158</v>
      </c>
      <c r="D1006" t="s">
        <v>2149</v>
      </c>
      <c r="E1006" s="3">
        <v>4.3499999999999996</v>
      </c>
      <c r="F1006" s="3">
        <v>0.96</v>
      </c>
      <c r="G1006" s="3">
        <v>3.3899999999999997</v>
      </c>
      <c r="H1006" s="3">
        <v>4.8</v>
      </c>
    </row>
    <row r="1007" spans="1:8">
      <c r="A1007" s="10" t="s">
        <v>3362</v>
      </c>
      <c r="B1007" s="10" t="s">
        <v>3363</v>
      </c>
      <c r="C1007" t="s">
        <v>2344</v>
      </c>
      <c r="D1007" t="s">
        <v>2149</v>
      </c>
      <c r="E1007" s="3">
        <v>4.4400000000000004</v>
      </c>
      <c r="F1007" s="3">
        <v>0</v>
      </c>
      <c r="G1007" s="3">
        <v>4.4400000000000004</v>
      </c>
      <c r="H1007" s="3">
        <v>10.24</v>
      </c>
    </row>
    <row r="1008" spans="1:8">
      <c r="A1008" s="10" t="s">
        <v>3368</v>
      </c>
      <c r="B1008" s="10" t="s">
        <v>3369</v>
      </c>
      <c r="C1008" t="s">
        <v>2158</v>
      </c>
      <c r="D1008" t="s">
        <v>2149</v>
      </c>
      <c r="E1008" s="3">
        <v>22.509599999999999</v>
      </c>
      <c r="F1008" s="3">
        <v>14.940000000000001</v>
      </c>
      <c r="G1008" s="3">
        <v>7.5695999999999977</v>
      </c>
      <c r="H1008" s="3">
        <v>19.920000000000002</v>
      </c>
    </row>
    <row r="1009" spans="1:8">
      <c r="A1009" s="10" t="s">
        <v>1715</v>
      </c>
      <c r="B1009" s="10" t="s">
        <v>3371</v>
      </c>
      <c r="C1009" t="s">
        <v>2487</v>
      </c>
      <c r="D1009" t="s">
        <v>2149</v>
      </c>
      <c r="E1009" s="3">
        <v>60.792000000000002</v>
      </c>
      <c r="F1009" s="3">
        <v>40.409700000000001</v>
      </c>
      <c r="G1009" s="3">
        <v>20.382300000000001</v>
      </c>
      <c r="H1009" s="3">
        <v>40.4</v>
      </c>
    </row>
    <row r="1010" spans="1:8">
      <c r="A1010" s="10" t="s">
        <v>1717</v>
      </c>
      <c r="B1010" s="10" t="s">
        <v>3372</v>
      </c>
      <c r="C1010" t="s">
        <v>3373</v>
      </c>
      <c r="D1010" t="s">
        <v>2149</v>
      </c>
      <c r="E1010" s="3">
        <v>37.04</v>
      </c>
      <c r="F1010" s="3">
        <v>18.190000000000001</v>
      </c>
      <c r="G1010" s="3">
        <v>18.849999999999998</v>
      </c>
      <c r="H1010" s="3">
        <v>54.57</v>
      </c>
    </row>
    <row r="1011" spans="1:8">
      <c r="A1011" s="10" t="s">
        <v>3374</v>
      </c>
      <c r="B1011" s="10" t="s">
        <v>3375</v>
      </c>
      <c r="C1011" t="s">
        <v>2487</v>
      </c>
      <c r="D1011" t="s">
        <v>2149</v>
      </c>
      <c r="E1011" s="3">
        <v>81.040000000000006</v>
      </c>
      <c r="F1011" s="3">
        <v>40.033000000000001</v>
      </c>
      <c r="G1011" s="3">
        <v>41.007000000000005</v>
      </c>
      <c r="H1011" s="3">
        <v>40.03</v>
      </c>
    </row>
    <row r="1012" spans="1:8">
      <c r="A1012" s="10" t="s">
        <v>3376</v>
      </c>
      <c r="B1012" s="10" t="s">
        <v>3377</v>
      </c>
      <c r="C1012" t="s">
        <v>2487</v>
      </c>
      <c r="D1012" t="s">
        <v>2149</v>
      </c>
      <c r="E1012" s="3">
        <v>42.187199999999997</v>
      </c>
      <c r="F1012" s="3">
        <v>21.38</v>
      </c>
      <c r="G1012" s="3">
        <v>20.807199999999998</v>
      </c>
      <c r="H1012" s="3">
        <v>21.45</v>
      </c>
    </row>
    <row r="1013" spans="1:8">
      <c r="A1013" s="10" t="s">
        <v>3381</v>
      </c>
      <c r="B1013" s="10" t="s">
        <v>3382</v>
      </c>
      <c r="C1013" t="s">
        <v>2295</v>
      </c>
      <c r="D1013" t="s">
        <v>2296</v>
      </c>
      <c r="E1013" s="3">
        <v>97.64</v>
      </c>
      <c r="F1013" s="3">
        <v>70.9482</v>
      </c>
      <c r="G1013" s="3">
        <v>26.691800000000001</v>
      </c>
      <c r="H1013" s="3">
        <v>426.36</v>
      </c>
    </row>
    <row r="1014" spans="1:8">
      <c r="A1014" s="10" t="s">
        <v>3386</v>
      </c>
      <c r="B1014" s="10" t="s">
        <v>3387</v>
      </c>
      <c r="C1014" t="s">
        <v>2299</v>
      </c>
      <c r="D1014" t="s">
        <v>2296</v>
      </c>
      <c r="E1014" s="3">
        <v>134.69</v>
      </c>
      <c r="F1014" s="3">
        <v>79.16</v>
      </c>
      <c r="G1014" s="3">
        <v>55.53</v>
      </c>
      <c r="H1014" s="3">
        <v>81.02</v>
      </c>
    </row>
    <row r="1015" spans="1:8">
      <c r="A1015" s="10" t="s">
        <v>3390</v>
      </c>
      <c r="B1015" s="10" t="s">
        <v>3391</v>
      </c>
      <c r="C1015" t="s">
        <v>2295</v>
      </c>
      <c r="D1015" t="s">
        <v>2296</v>
      </c>
      <c r="E1015" s="3">
        <v>6.8879999999999999</v>
      </c>
      <c r="F1015" s="3">
        <v>5.08</v>
      </c>
      <c r="G1015" s="3">
        <v>1.8079999999999998</v>
      </c>
      <c r="H1015" s="3">
        <v>50.8</v>
      </c>
    </row>
    <row r="1016" spans="1:8">
      <c r="A1016" s="10" t="s">
        <v>3409</v>
      </c>
      <c r="B1016" s="10" t="s">
        <v>3410</v>
      </c>
      <c r="C1016" t="s">
        <v>2329</v>
      </c>
      <c r="D1016" t="s">
        <v>2296</v>
      </c>
      <c r="E1016" s="3">
        <v>2028.9519</v>
      </c>
      <c r="F1016" s="3">
        <v>1668.7049999999999</v>
      </c>
      <c r="G1016" s="3">
        <v>360.2469000000001</v>
      </c>
      <c r="H1016" s="3">
        <v>556.23</v>
      </c>
    </row>
    <row r="1017" spans="1:8">
      <c r="A1017" s="10" t="s">
        <v>3411</v>
      </c>
      <c r="B1017" s="10" t="s">
        <v>3412</v>
      </c>
      <c r="C1017" t="s">
        <v>3142</v>
      </c>
      <c r="D1017" t="s">
        <v>2296</v>
      </c>
      <c r="E1017" s="3">
        <v>0</v>
      </c>
      <c r="F1017" s="3">
        <v>0</v>
      </c>
      <c r="G1017" s="3">
        <v>0</v>
      </c>
      <c r="H1017" s="3">
        <v>7381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J1"/>
  <sheetViews>
    <sheetView showGridLines="0" tabSelected="1" topLeftCell="C1" zoomScale="70" zoomScaleNormal="70" workbookViewId="0">
      <selection activeCell="D15" sqref="D15"/>
    </sheetView>
  </sheetViews>
  <sheetFormatPr baseColWidth="10" defaultRowHeight="15"/>
  <cols>
    <col min="1" max="1" width="14.42578125" customWidth="1"/>
    <col min="2" max="2" width="12.85546875" customWidth="1"/>
    <col min="3" max="3" width="18.28515625" customWidth="1"/>
    <col min="4" max="4" width="12.140625" customWidth="1"/>
    <col min="5" max="5" width="10.28515625" customWidth="1"/>
    <col min="6" max="6" width="11.42578125" customWidth="1"/>
    <col min="7" max="7" width="12" customWidth="1"/>
    <col min="8" max="8" width="12.85546875" customWidth="1"/>
    <col min="9" max="10" width="15.42578125" customWidth="1"/>
  </cols>
  <sheetData>
    <row r="1" spans="1:10">
      <c r="A1" t="s">
        <v>433</v>
      </c>
      <c r="B1" t="s">
        <v>431</v>
      </c>
      <c r="C1" t="s">
        <v>432</v>
      </c>
      <c r="D1" t="s">
        <v>650</v>
      </c>
      <c r="E1" t="s">
        <v>645</v>
      </c>
      <c r="F1" t="s">
        <v>430</v>
      </c>
      <c r="G1" t="s">
        <v>646</v>
      </c>
      <c r="H1" t="s">
        <v>550</v>
      </c>
      <c r="I1" t="s">
        <v>551</v>
      </c>
      <c r="J1" t="s">
        <v>1952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B1928"/>
  <sheetViews>
    <sheetView showGridLines="0" workbookViewId="0">
      <selection activeCell="A3" sqref="A3"/>
    </sheetView>
  </sheetViews>
  <sheetFormatPr baseColWidth="10" defaultRowHeight="15"/>
  <cols>
    <col min="1" max="1" width="20" bestFit="1" customWidth="1"/>
    <col min="2" max="2" width="15.28515625" customWidth="1"/>
    <col min="3" max="3" width="10.28515625" customWidth="1"/>
    <col min="5" max="5" width="16.28515625" bestFit="1" customWidth="1"/>
  </cols>
  <sheetData>
    <row r="1" spans="1:2">
      <c r="A1" t="s">
        <v>457</v>
      </c>
      <c r="B1" t="s">
        <v>539</v>
      </c>
    </row>
    <row r="2" spans="1:2">
      <c r="A2" t="s">
        <v>1090</v>
      </c>
      <c r="B2" s="3"/>
    </row>
    <row r="3" spans="1:2">
      <c r="A3" t="s">
        <v>1091</v>
      </c>
      <c r="B3" s="3">
        <v>0</v>
      </c>
    </row>
    <row r="4" spans="1:2">
      <c r="A4" t="s">
        <v>1092</v>
      </c>
      <c r="B4" s="3">
        <v>0</v>
      </c>
    </row>
    <row r="5" spans="1:2">
      <c r="A5" t="s">
        <v>1093</v>
      </c>
      <c r="B5" s="3">
        <v>0</v>
      </c>
    </row>
    <row r="6" spans="1:2">
      <c r="A6" t="s">
        <v>1094</v>
      </c>
      <c r="B6" s="3">
        <v>0.3</v>
      </c>
    </row>
    <row r="7" spans="1:2">
      <c r="A7" t="s">
        <v>1095</v>
      </c>
      <c r="B7" s="3">
        <v>0.65999999999999992</v>
      </c>
    </row>
    <row r="8" spans="1:2">
      <c r="A8" t="s">
        <v>92</v>
      </c>
      <c r="B8" s="3">
        <v>1383.8990000000001</v>
      </c>
    </row>
    <row r="9" spans="1:2">
      <c r="A9" t="s">
        <v>103</v>
      </c>
      <c r="B9" s="3">
        <v>1129.6200000000001</v>
      </c>
    </row>
    <row r="10" spans="1:2">
      <c r="A10" t="s">
        <v>1081</v>
      </c>
      <c r="B10" s="3">
        <v>1621.55</v>
      </c>
    </row>
    <row r="11" spans="1:2">
      <c r="A11" t="s">
        <v>1096</v>
      </c>
      <c r="B11" s="3">
        <v>0</v>
      </c>
    </row>
    <row r="12" spans="1:2">
      <c r="A12" t="s">
        <v>1097</v>
      </c>
      <c r="B12" s="3">
        <v>0</v>
      </c>
    </row>
    <row r="13" spans="1:2">
      <c r="A13" t="s">
        <v>1098</v>
      </c>
      <c r="B13" s="3">
        <v>47.01</v>
      </c>
    </row>
    <row r="14" spans="1:2">
      <c r="A14" t="s">
        <v>297</v>
      </c>
      <c r="B14" s="3">
        <v>127.38</v>
      </c>
    </row>
    <row r="15" spans="1:2">
      <c r="A15" t="s">
        <v>1099</v>
      </c>
      <c r="B15" s="3">
        <v>17.739799999999999</v>
      </c>
    </row>
    <row r="16" spans="1:2">
      <c r="A16" t="s">
        <v>1100</v>
      </c>
      <c r="B16" s="3">
        <v>24.33</v>
      </c>
    </row>
    <row r="17" spans="1:2">
      <c r="A17" t="s">
        <v>1101</v>
      </c>
      <c r="B17" s="3">
        <v>41.34</v>
      </c>
    </row>
    <row r="18" spans="1:2">
      <c r="A18" t="s">
        <v>1102</v>
      </c>
      <c r="B18" s="3">
        <v>29.009999999999998</v>
      </c>
    </row>
    <row r="19" spans="1:2">
      <c r="A19" t="s">
        <v>902</v>
      </c>
      <c r="B19" s="3">
        <v>18.059999999999999</v>
      </c>
    </row>
    <row r="20" spans="1:2">
      <c r="A20" t="s">
        <v>1103</v>
      </c>
      <c r="B20" s="3">
        <v>122.1897</v>
      </c>
    </row>
    <row r="21" spans="1:2">
      <c r="A21" t="s">
        <v>1104</v>
      </c>
      <c r="B21" s="3">
        <v>0</v>
      </c>
    </row>
    <row r="22" spans="1:2">
      <c r="A22" t="s">
        <v>1105</v>
      </c>
      <c r="B22" s="3">
        <v>0</v>
      </c>
    </row>
    <row r="23" spans="1:2">
      <c r="A23" t="s">
        <v>1106</v>
      </c>
      <c r="B23" s="3">
        <v>0</v>
      </c>
    </row>
    <row r="24" spans="1:2">
      <c r="A24" t="s">
        <v>1107</v>
      </c>
      <c r="B24" s="3">
        <v>0</v>
      </c>
    </row>
    <row r="25" spans="1:2">
      <c r="A25" t="s">
        <v>1108</v>
      </c>
      <c r="B25" s="3">
        <v>53.76</v>
      </c>
    </row>
    <row r="26" spans="1:2">
      <c r="A26" t="s">
        <v>1109</v>
      </c>
      <c r="B26" s="3">
        <v>41.18</v>
      </c>
    </row>
    <row r="27" spans="1:2">
      <c r="A27" t="s">
        <v>26</v>
      </c>
      <c r="B27" s="3">
        <v>13980.75</v>
      </c>
    </row>
    <row r="28" spans="1:2">
      <c r="A28" t="s">
        <v>1110</v>
      </c>
      <c r="B28" s="3">
        <v>1101.51</v>
      </c>
    </row>
    <row r="29" spans="1:2">
      <c r="A29" t="s">
        <v>30</v>
      </c>
      <c r="B29" s="3">
        <v>8443.75</v>
      </c>
    </row>
    <row r="30" spans="1:2">
      <c r="A30" t="s">
        <v>903</v>
      </c>
      <c r="B30" s="3">
        <v>0</v>
      </c>
    </row>
    <row r="31" spans="1:2">
      <c r="A31" t="s">
        <v>1111</v>
      </c>
      <c r="B31" s="3">
        <v>0</v>
      </c>
    </row>
    <row r="32" spans="1:2">
      <c r="A32" t="s">
        <v>1112</v>
      </c>
      <c r="B32" s="3">
        <v>0</v>
      </c>
    </row>
    <row r="33" spans="1:2">
      <c r="A33" t="s">
        <v>1113</v>
      </c>
      <c r="B33" s="3">
        <v>0</v>
      </c>
    </row>
    <row r="34" spans="1:2">
      <c r="A34" t="s">
        <v>1114</v>
      </c>
      <c r="B34" s="3">
        <v>0</v>
      </c>
    </row>
    <row r="35" spans="1:2">
      <c r="A35" t="s">
        <v>1115</v>
      </c>
      <c r="B35" s="3">
        <v>0</v>
      </c>
    </row>
    <row r="36" spans="1:2">
      <c r="A36" t="s">
        <v>1116</v>
      </c>
      <c r="B36" s="3">
        <v>0</v>
      </c>
    </row>
    <row r="37" spans="1:2">
      <c r="A37" t="s">
        <v>1117</v>
      </c>
      <c r="B37" s="3">
        <v>0</v>
      </c>
    </row>
    <row r="38" spans="1:2">
      <c r="A38" t="s">
        <v>1118</v>
      </c>
      <c r="B38" s="3">
        <v>0</v>
      </c>
    </row>
    <row r="39" spans="1:2">
      <c r="A39" t="s">
        <v>1119</v>
      </c>
      <c r="B39" s="3">
        <v>0</v>
      </c>
    </row>
    <row r="40" spans="1:2">
      <c r="A40" t="s">
        <v>904</v>
      </c>
      <c r="B40" s="3">
        <v>51.6</v>
      </c>
    </row>
    <row r="41" spans="1:2">
      <c r="A41" t="s">
        <v>515</v>
      </c>
      <c r="B41" s="3">
        <v>42.400000000000006</v>
      </c>
    </row>
    <row r="42" spans="1:2">
      <c r="A42" t="s">
        <v>1120</v>
      </c>
      <c r="B42" s="3">
        <v>23.68</v>
      </c>
    </row>
    <row r="43" spans="1:2">
      <c r="A43" t="s">
        <v>415</v>
      </c>
      <c r="B43" s="3">
        <v>113.68</v>
      </c>
    </row>
    <row r="44" spans="1:2">
      <c r="A44" t="s">
        <v>1121</v>
      </c>
      <c r="B44" s="3">
        <v>13.89</v>
      </c>
    </row>
    <row r="45" spans="1:2">
      <c r="A45" t="s">
        <v>1122</v>
      </c>
      <c r="B45" s="3">
        <v>9.26</v>
      </c>
    </row>
    <row r="46" spans="1:2">
      <c r="A46" t="s">
        <v>905</v>
      </c>
      <c r="B46" s="3">
        <v>0</v>
      </c>
    </row>
    <row r="47" spans="1:2">
      <c r="A47" t="s">
        <v>1123</v>
      </c>
      <c r="B47" s="3">
        <v>0</v>
      </c>
    </row>
    <row r="48" spans="1:2">
      <c r="A48" t="s">
        <v>1124</v>
      </c>
      <c r="B48" s="3">
        <v>45.56</v>
      </c>
    </row>
    <row r="49" spans="1:2">
      <c r="A49" t="s">
        <v>1125</v>
      </c>
      <c r="B49" s="3">
        <v>74.319199999999995</v>
      </c>
    </row>
    <row r="50" spans="1:2">
      <c r="A50" t="s">
        <v>1126</v>
      </c>
      <c r="B50" s="3">
        <v>0</v>
      </c>
    </row>
    <row r="51" spans="1:2">
      <c r="A51" t="s">
        <v>1127</v>
      </c>
      <c r="B51" s="3">
        <v>0</v>
      </c>
    </row>
    <row r="52" spans="1:2">
      <c r="A52" t="s">
        <v>1128</v>
      </c>
      <c r="B52" s="3">
        <v>0</v>
      </c>
    </row>
    <row r="53" spans="1:2">
      <c r="A53" t="s">
        <v>1129</v>
      </c>
      <c r="B53" s="3">
        <v>767.91</v>
      </c>
    </row>
    <row r="54" spans="1:2">
      <c r="A54" t="s">
        <v>1130</v>
      </c>
      <c r="B54" s="3">
        <v>18.52</v>
      </c>
    </row>
    <row r="55" spans="1:2">
      <c r="A55" t="s">
        <v>1131</v>
      </c>
      <c r="B55" s="3">
        <v>74.319199999999995</v>
      </c>
    </row>
    <row r="56" spans="1:2">
      <c r="A56" t="s">
        <v>1132</v>
      </c>
      <c r="B56" s="3">
        <v>1476.16</v>
      </c>
    </row>
    <row r="57" spans="1:2">
      <c r="A57" t="s">
        <v>387</v>
      </c>
      <c r="B57" s="3">
        <v>32.79</v>
      </c>
    </row>
    <row r="58" spans="1:2">
      <c r="A58" t="s">
        <v>895</v>
      </c>
      <c r="B58" s="3">
        <v>0</v>
      </c>
    </row>
    <row r="59" spans="1:2">
      <c r="A59" t="s">
        <v>450</v>
      </c>
      <c r="B59" s="3">
        <v>0</v>
      </c>
    </row>
    <row r="60" spans="1:2">
      <c r="A60" t="s">
        <v>1133</v>
      </c>
      <c r="B60" s="3">
        <v>0</v>
      </c>
    </row>
    <row r="61" spans="1:2">
      <c r="A61" t="s">
        <v>1134</v>
      </c>
      <c r="B61" s="3">
        <v>400</v>
      </c>
    </row>
    <row r="62" spans="1:2">
      <c r="A62" t="s">
        <v>402</v>
      </c>
      <c r="B62" s="3">
        <v>133.26</v>
      </c>
    </row>
    <row r="63" spans="1:2">
      <c r="A63" t="s">
        <v>1135</v>
      </c>
      <c r="B63" s="3">
        <v>0</v>
      </c>
    </row>
    <row r="64" spans="1:2">
      <c r="A64" t="s">
        <v>1136</v>
      </c>
      <c r="B64" s="3">
        <v>128.9196</v>
      </c>
    </row>
    <row r="65" spans="1:2">
      <c r="A65" t="s">
        <v>1137</v>
      </c>
      <c r="B65" s="3">
        <v>196.82999999999998</v>
      </c>
    </row>
    <row r="66" spans="1:2">
      <c r="A66" t="s">
        <v>1138</v>
      </c>
      <c r="B66" s="3">
        <v>23</v>
      </c>
    </row>
    <row r="67" spans="1:2">
      <c r="A67" t="s">
        <v>1139</v>
      </c>
      <c r="B67" s="3">
        <v>204.61</v>
      </c>
    </row>
    <row r="68" spans="1:2">
      <c r="A68" t="s">
        <v>1140</v>
      </c>
      <c r="B68" s="3">
        <v>55.4</v>
      </c>
    </row>
    <row r="69" spans="1:2">
      <c r="A69" t="s">
        <v>111</v>
      </c>
      <c r="B69" s="3">
        <v>0</v>
      </c>
    </row>
    <row r="70" spans="1:2">
      <c r="A70" t="s">
        <v>93</v>
      </c>
      <c r="B70" s="3">
        <v>0</v>
      </c>
    </row>
    <row r="71" spans="1:2">
      <c r="A71" t="s">
        <v>1141</v>
      </c>
      <c r="B71" s="3">
        <v>431.68</v>
      </c>
    </row>
    <row r="72" spans="1:2">
      <c r="A72" t="s">
        <v>9</v>
      </c>
      <c r="B72" s="3">
        <v>0</v>
      </c>
    </row>
    <row r="73" spans="1:2">
      <c r="A73" t="s">
        <v>1142</v>
      </c>
      <c r="B73" s="3">
        <v>0</v>
      </c>
    </row>
    <row r="74" spans="1:2">
      <c r="A74" t="s">
        <v>1082</v>
      </c>
      <c r="B74" s="3">
        <v>0</v>
      </c>
    </row>
    <row r="75" spans="1:2">
      <c r="A75" t="s">
        <v>906</v>
      </c>
      <c r="B75" s="3">
        <v>207.02</v>
      </c>
    </row>
    <row r="76" spans="1:2">
      <c r="A76" t="s">
        <v>425</v>
      </c>
      <c r="B76" s="3">
        <v>1155.8598</v>
      </c>
    </row>
    <row r="77" spans="1:2">
      <c r="A77" t="s">
        <v>1143</v>
      </c>
      <c r="B77" s="3">
        <v>648.69000000000005</v>
      </c>
    </row>
    <row r="78" spans="1:2">
      <c r="A78" t="s">
        <v>537</v>
      </c>
      <c r="B78" s="3">
        <v>3137.32</v>
      </c>
    </row>
    <row r="79" spans="1:2">
      <c r="A79" t="s">
        <v>451</v>
      </c>
      <c r="B79" s="3">
        <v>3038.64</v>
      </c>
    </row>
    <row r="80" spans="1:2">
      <c r="A80" t="s">
        <v>434</v>
      </c>
      <c r="B80" s="3">
        <v>5536</v>
      </c>
    </row>
    <row r="81" spans="1:2">
      <c r="A81" t="s">
        <v>1144</v>
      </c>
      <c r="B81" s="3">
        <v>134.04</v>
      </c>
    </row>
    <row r="82" spans="1:2">
      <c r="A82" t="s">
        <v>907</v>
      </c>
      <c r="B82" s="3">
        <v>46.4</v>
      </c>
    </row>
    <row r="83" spans="1:2">
      <c r="A83" t="s">
        <v>358</v>
      </c>
      <c r="B83" s="3">
        <v>500.82</v>
      </c>
    </row>
    <row r="84" spans="1:2">
      <c r="A84" t="s">
        <v>1145</v>
      </c>
      <c r="B84" s="3">
        <v>0</v>
      </c>
    </row>
    <row r="85" spans="1:2">
      <c r="A85" t="s">
        <v>386</v>
      </c>
      <c r="B85" s="3">
        <v>525.91999999999996</v>
      </c>
    </row>
    <row r="86" spans="1:2">
      <c r="A86" t="s">
        <v>1146</v>
      </c>
      <c r="B86" s="3">
        <v>21.76</v>
      </c>
    </row>
    <row r="87" spans="1:2">
      <c r="A87" t="s">
        <v>1147</v>
      </c>
      <c r="B87" s="3">
        <v>22.72</v>
      </c>
    </row>
    <row r="88" spans="1:2">
      <c r="A88" t="s">
        <v>1148</v>
      </c>
      <c r="B88" s="3">
        <v>0</v>
      </c>
    </row>
    <row r="89" spans="1:2">
      <c r="A89" t="s">
        <v>1149</v>
      </c>
      <c r="B89" s="3">
        <v>0</v>
      </c>
    </row>
    <row r="90" spans="1:2">
      <c r="A90" t="s">
        <v>1150</v>
      </c>
      <c r="B90" s="3">
        <v>41.56</v>
      </c>
    </row>
    <row r="91" spans="1:2">
      <c r="A91" t="s">
        <v>507</v>
      </c>
      <c r="B91" s="3">
        <v>20.62</v>
      </c>
    </row>
    <row r="92" spans="1:2">
      <c r="A92" t="s">
        <v>1151</v>
      </c>
      <c r="B92" s="3">
        <v>207.3</v>
      </c>
    </row>
    <row r="93" spans="1:2">
      <c r="A93" t="s">
        <v>1152</v>
      </c>
      <c r="B93" s="3">
        <v>45.71</v>
      </c>
    </row>
    <row r="94" spans="1:2">
      <c r="A94" t="s">
        <v>1153</v>
      </c>
      <c r="B94" s="3">
        <v>8.33</v>
      </c>
    </row>
    <row r="95" spans="1:2">
      <c r="A95" t="s">
        <v>1154</v>
      </c>
      <c r="B95" s="3">
        <v>42.84</v>
      </c>
    </row>
    <row r="96" spans="1:2">
      <c r="A96" t="s">
        <v>1155</v>
      </c>
      <c r="B96" s="3">
        <v>0</v>
      </c>
    </row>
    <row r="97" spans="1:2">
      <c r="A97" t="s">
        <v>331</v>
      </c>
      <c r="B97" s="3">
        <v>16335.669999999998</v>
      </c>
    </row>
    <row r="98" spans="1:2">
      <c r="A98" t="s">
        <v>1156</v>
      </c>
      <c r="B98" s="3">
        <v>0</v>
      </c>
    </row>
    <row r="99" spans="1:2">
      <c r="A99" t="s">
        <v>1157</v>
      </c>
      <c r="B99" s="3">
        <v>0</v>
      </c>
    </row>
    <row r="100" spans="1:2">
      <c r="A100" t="s">
        <v>348</v>
      </c>
      <c r="B100" s="3">
        <v>6369.0599999999995</v>
      </c>
    </row>
    <row r="101" spans="1:2">
      <c r="A101" t="s">
        <v>427</v>
      </c>
      <c r="B101" s="3">
        <v>4214.5200000000004</v>
      </c>
    </row>
    <row r="102" spans="1:2">
      <c r="A102" t="s">
        <v>86</v>
      </c>
      <c r="B102" s="3">
        <v>116.16000000000001</v>
      </c>
    </row>
    <row r="103" spans="1:2">
      <c r="A103" t="s">
        <v>1158</v>
      </c>
      <c r="B103" s="3">
        <v>63.87</v>
      </c>
    </row>
    <row r="104" spans="1:2">
      <c r="A104" t="s">
        <v>1159</v>
      </c>
      <c r="B104" s="3">
        <v>0</v>
      </c>
    </row>
    <row r="105" spans="1:2">
      <c r="A105" t="s">
        <v>1160</v>
      </c>
      <c r="B105" s="3">
        <v>104.14949999999999</v>
      </c>
    </row>
    <row r="106" spans="1:2">
      <c r="A106" t="s">
        <v>908</v>
      </c>
      <c r="B106" s="3"/>
    </row>
    <row r="107" spans="1:2">
      <c r="A107" t="s">
        <v>1161</v>
      </c>
      <c r="B107" s="3">
        <v>144.55000000000001</v>
      </c>
    </row>
    <row r="108" spans="1:2">
      <c r="A108" t="s">
        <v>1083</v>
      </c>
      <c r="B108" s="3">
        <v>41.6</v>
      </c>
    </row>
    <row r="109" spans="1:2">
      <c r="A109" t="s">
        <v>1162</v>
      </c>
      <c r="B109" s="3"/>
    </row>
    <row r="110" spans="1:2">
      <c r="A110" t="s">
        <v>271</v>
      </c>
      <c r="B110" s="3">
        <v>64.400000000000006</v>
      </c>
    </row>
    <row r="111" spans="1:2">
      <c r="A111" t="s">
        <v>143</v>
      </c>
      <c r="B111" s="3">
        <v>328.44</v>
      </c>
    </row>
    <row r="112" spans="1:2">
      <c r="A112" t="s">
        <v>1163</v>
      </c>
      <c r="B112" s="3">
        <v>23.8</v>
      </c>
    </row>
    <row r="113" spans="1:2">
      <c r="A113" t="s">
        <v>1164</v>
      </c>
      <c r="B113" s="3">
        <v>42.599999999999994</v>
      </c>
    </row>
    <row r="114" spans="1:2">
      <c r="A114" t="s">
        <v>838</v>
      </c>
      <c r="B114" s="3">
        <v>54.6</v>
      </c>
    </row>
    <row r="115" spans="1:2">
      <c r="A115" t="s">
        <v>1165</v>
      </c>
      <c r="B115" s="3">
        <v>137.4</v>
      </c>
    </row>
    <row r="116" spans="1:2">
      <c r="A116" t="s">
        <v>1166</v>
      </c>
      <c r="B116" s="3">
        <v>22.44</v>
      </c>
    </row>
    <row r="117" spans="1:2">
      <c r="A117" t="s">
        <v>490</v>
      </c>
      <c r="B117" s="3">
        <v>53.2</v>
      </c>
    </row>
    <row r="118" spans="1:2">
      <c r="A118" t="s">
        <v>121</v>
      </c>
      <c r="B118" s="3">
        <v>106.56</v>
      </c>
    </row>
    <row r="119" spans="1:2">
      <c r="A119" t="s">
        <v>1167</v>
      </c>
      <c r="B119" s="3">
        <v>29.259999999999998</v>
      </c>
    </row>
    <row r="120" spans="1:2">
      <c r="A120" t="s">
        <v>1168</v>
      </c>
      <c r="B120" s="3"/>
    </row>
    <row r="121" spans="1:2">
      <c r="A121" t="s">
        <v>853</v>
      </c>
      <c r="B121" s="3">
        <v>116.14</v>
      </c>
    </row>
    <row r="122" spans="1:2">
      <c r="A122" t="s">
        <v>1169</v>
      </c>
      <c r="B122" s="3">
        <v>129.47999999999999</v>
      </c>
    </row>
    <row r="123" spans="1:2">
      <c r="A123" t="s">
        <v>1170</v>
      </c>
      <c r="B123" s="3">
        <v>155.5</v>
      </c>
    </row>
    <row r="124" spans="1:2">
      <c r="A124" t="s">
        <v>634</v>
      </c>
      <c r="B124" s="3"/>
    </row>
    <row r="125" spans="1:2">
      <c r="A125" t="s">
        <v>1171</v>
      </c>
      <c r="B125" s="3">
        <v>72.88</v>
      </c>
    </row>
    <row r="126" spans="1:2">
      <c r="A126" t="s">
        <v>1172</v>
      </c>
      <c r="B126" s="3">
        <v>63.69</v>
      </c>
    </row>
    <row r="127" spans="1:2">
      <c r="A127" t="s">
        <v>698</v>
      </c>
      <c r="B127" s="3">
        <v>0</v>
      </c>
    </row>
    <row r="128" spans="1:2">
      <c r="A128" t="s">
        <v>699</v>
      </c>
      <c r="B128" s="3">
        <v>181.62</v>
      </c>
    </row>
    <row r="129" spans="1:2">
      <c r="A129" t="s">
        <v>1173</v>
      </c>
      <c r="B129" s="3">
        <v>3.08</v>
      </c>
    </row>
    <row r="130" spans="1:2">
      <c r="A130" t="s">
        <v>1174</v>
      </c>
      <c r="B130" s="3">
        <v>157.29</v>
      </c>
    </row>
    <row r="131" spans="1:2">
      <c r="A131" t="s">
        <v>227</v>
      </c>
      <c r="B131" s="3">
        <v>389.43</v>
      </c>
    </row>
    <row r="132" spans="1:2">
      <c r="A132" t="s">
        <v>1175</v>
      </c>
      <c r="B132" s="3">
        <v>41.71</v>
      </c>
    </row>
    <row r="133" spans="1:2">
      <c r="A133" t="s">
        <v>1176</v>
      </c>
      <c r="B133" s="3">
        <v>219.82</v>
      </c>
    </row>
    <row r="134" spans="1:2">
      <c r="A134" t="s">
        <v>1177</v>
      </c>
      <c r="B134" s="3">
        <v>91.54</v>
      </c>
    </row>
    <row r="135" spans="1:2">
      <c r="A135" t="s">
        <v>909</v>
      </c>
      <c r="B135" s="3">
        <v>9</v>
      </c>
    </row>
    <row r="136" spans="1:2">
      <c r="A136" t="s">
        <v>525</v>
      </c>
      <c r="B136" s="3">
        <v>66.150000000000006</v>
      </c>
    </row>
    <row r="137" spans="1:2">
      <c r="A137" t="s">
        <v>843</v>
      </c>
      <c r="B137" s="3">
        <v>11.700000000000001</v>
      </c>
    </row>
    <row r="138" spans="1:2">
      <c r="A138" t="s">
        <v>365</v>
      </c>
      <c r="B138" s="3">
        <v>57.120000000000005</v>
      </c>
    </row>
    <row r="139" spans="1:2">
      <c r="A139" t="s">
        <v>854</v>
      </c>
      <c r="B139" s="3">
        <v>11.69</v>
      </c>
    </row>
    <row r="140" spans="1:2">
      <c r="A140" t="s">
        <v>1178</v>
      </c>
      <c r="B140" s="3">
        <v>8.35</v>
      </c>
    </row>
    <row r="141" spans="1:2">
      <c r="A141" t="s">
        <v>1179</v>
      </c>
      <c r="B141" s="3">
        <v>2.66</v>
      </c>
    </row>
    <row r="142" spans="1:2">
      <c r="A142" t="s">
        <v>169</v>
      </c>
      <c r="B142" s="3">
        <v>4.4000000000000004</v>
      </c>
    </row>
    <row r="143" spans="1:2">
      <c r="A143" t="s">
        <v>1180</v>
      </c>
      <c r="B143" s="3">
        <v>12</v>
      </c>
    </row>
    <row r="144" spans="1:2">
      <c r="A144" t="s">
        <v>1181</v>
      </c>
      <c r="B144" s="3">
        <v>23.45</v>
      </c>
    </row>
    <row r="145" spans="1:2">
      <c r="A145" t="s">
        <v>1182</v>
      </c>
      <c r="B145" s="3">
        <v>17.700000000000003</v>
      </c>
    </row>
    <row r="146" spans="1:2">
      <c r="A146" t="s">
        <v>1183</v>
      </c>
      <c r="B146" s="3">
        <v>8.61</v>
      </c>
    </row>
    <row r="147" spans="1:2">
      <c r="A147" t="s">
        <v>1184</v>
      </c>
      <c r="B147" s="3">
        <v>4.04</v>
      </c>
    </row>
    <row r="148" spans="1:2">
      <c r="A148" t="s">
        <v>1185</v>
      </c>
      <c r="B148" s="3">
        <v>12.629999999999999</v>
      </c>
    </row>
    <row r="149" spans="1:2">
      <c r="A149" t="s">
        <v>1186</v>
      </c>
      <c r="B149" s="3">
        <v>19.59</v>
      </c>
    </row>
    <row r="150" spans="1:2">
      <c r="A150" t="s">
        <v>1187</v>
      </c>
      <c r="B150" s="3">
        <v>21</v>
      </c>
    </row>
    <row r="151" spans="1:2">
      <c r="A151" t="s">
        <v>1188</v>
      </c>
      <c r="B151" s="3">
        <v>8.8500000000000014</v>
      </c>
    </row>
    <row r="152" spans="1:2">
      <c r="A152" t="s">
        <v>879</v>
      </c>
      <c r="B152" s="3">
        <v>9.52</v>
      </c>
    </row>
    <row r="153" spans="1:2">
      <c r="A153" t="s">
        <v>1189</v>
      </c>
      <c r="B153" s="3">
        <v>6.6</v>
      </c>
    </row>
    <row r="154" spans="1:2">
      <c r="A154" t="s">
        <v>1190</v>
      </c>
      <c r="B154" s="3">
        <v>8.52</v>
      </c>
    </row>
    <row r="155" spans="1:2">
      <c r="A155" t="s">
        <v>880</v>
      </c>
      <c r="B155" s="3">
        <v>14.520000000000001</v>
      </c>
    </row>
    <row r="156" spans="1:2">
      <c r="A156" t="s">
        <v>170</v>
      </c>
      <c r="B156" s="3">
        <v>13.52</v>
      </c>
    </row>
    <row r="157" spans="1:2">
      <c r="A157" t="s">
        <v>1191</v>
      </c>
      <c r="B157" s="3">
        <v>12.15</v>
      </c>
    </row>
    <row r="158" spans="1:2">
      <c r="A158" t="s">
        <v>397</v>
      </c>
      <c r="B158" s="3">
        <v>14.28</v>
      </c>
    </row>
    <row r="159" spans="1:2">
      <c r="A159" t="s">
        <v>1192</v>
      </c>
      <c r="B159" s="3">
        <v>0</v>
      </c>
    </row>
    <row r="160" spans="1:2">
      <c r="A160" t="s">
        <v>1193</v>
      </c>
      <c r="B160" s="3">
        <v>20.91</v>
      </c>
    </row>
    <row r="161" spans="1:2">
      <c r="A161" t="s">
        <v>1194</v>
      </c>
      <c r="B161" s="3">
        <v>98.699999999999989</v>
      </c>
    </row>
    <row r="162" spans="1:2">
      <c r="A162" t="s">
        <v>446</v>
      </c>
      <c r="B162" s="3">
        <v>252.21</v>
      </c>
    </row>
    <row r="163" spans="1:2">
      <c r="A163" t="s">
        <v>1195</v>
      </c>
      <c r="B163" s="3">
        <v>119.48</v>
      </c>
    </row>
    <row r="164" spans="1:2">
      <c r="A164" t="s">
        <v>280</v>
      </c>
      <c r="B164" s="3">
        <v>179.72</v>
      </c>
    </row>
    <row r="165" spans="1:2">
      <c r="A165" t="s">
        <v>1196</v>
      </c>
      <c r="B165" s="3">
        <v>140.39999999999998</v>
      </c>
    </row>
    <row r="166" spans="1:2">
      <c r="A166" t="s">
        <v>70</v>
      </c>
      <c r="B166" s="3">
        <v>53.760000000000005</v>
      </c>
    </row>
    <row r="167" spans="1:2">
      <c r="A167" t="s">
        <v>1197</v>
      </c>
      <c r="B167" s="3">
        <v>6.42</v>
      </c>
    </row>
    <row r="168" spans="1:2">
      <c r="A168" t="s">
        <v>558</v>
      </c>
      <c r="B168" s="3">
        <v>281.60000000000002</v>
      </c>
    </row>
    <row r="169" spans="1:2">
      <c r="A169" t="s">
        <v>910</v>
      </c>
      <c r="B169" s="3">
        <v>454.798</v>
      </c>
    </row>
    <row r="170" spans="1:2">
      <c r="A170" t="s">
        <v>1033</v>
      </c>
      <c r="B170" s="3">
        <v>4517.6400000000003</v>
      </c>
    </row>
    <row r="171" spans="1:2">
      <c r="A171" t="s">
        <v>700</v>
      </c>
      <c r="B171" s="3">
        <v>0</v>
      </c>
    </row>
    <row r="172" spans="1:2">
      <c r="A172" t="s">
        <v>1198</v>
      </c>
      <c r="B172" s="3">
        <v>111.27</v>
      </c>
    </row>
    <row r="173" spans="1:2">
      <c r="A173" t="s">
        <v>1199</v>
      </c>
      <c r="B173" s="3">
        <v>7.5600000000000005</v>
      </c>
    </row>
    <row r="174" spans="1:2">
      <c r="A174" t="s">
        <v>1200</v>
      </c>
      <c r="B174" s="3">
        <v>3.3600000000000003</v>
      </c>
    </row>
    <row r="175" spans="1:2">
      <c r="A175" t="s">
        <v>1201</v>
      </c>
      <c r="B175" s="3">
        <v>3.84</v>
      </c>
    </row>
    <row r="176" spans="1:2">
      <c r="A176" t="s">
        <v>1202</v>
      </c>
      <c r="B176" s="3">
        <v>19.440000000000001</v>
      </c>
    </row>
    <row r="177" spans="1:2">
      <c r="A177" t="s">
        <v>1203</v>
      </c>
      <c r="B177" s="3">
        <v>3.3600000000000003</v>
      </c>
    </row>
    <row r="178" spans="1:2">
      <c r="A178" t="s">
        <v>1204</v>
      </c>
      <c r="B178" s="3">
        <v>28.56</v>
      </c>
    </row>
    <row r="179" spans="1:2">
      <c r="A179" t="s">
        <v>855</v>
      </c>
      <c r="B179" s="3">
        <v>106.86</v>
      </c>
    </row>
    <row r="180" spans="1:2">
      <c r="A180" t="s">
        <v>323</v>
      </c>
      <c r="B180" s="3">
        <v>379.39000000000004</v>
      </c>
    </row>
    <row r="181" spans="1:2">
      <c r="A181" t="s">
        <v>1205</v>
      </c>
      <c r="B181" s="3">
        <v>78.539999999999992</v>
      </c>
    </row>
    <row r="182" spans="1:2">
      <c r="A182" t="s">
        <v>792</v>
      </c>
      <c r="B182" s="3">
        <v>178.56</v>
      </c>
    </row>
    <row r="183" spans="1:2">
      <c r="A183" t="s">
        <v>856</v>
      </c>
      <c r="B183" s="3">
        <v>117.12</v>
      </c>
    </row>
    <row r="184" spans="1:2">
      <c r="A184" t="s">
        <v>1206</v>
      </c>
      <c r="B184" s="3">
        <v>64.02</v>
      </c>
    </row>
    <row r="185" spans="1:2">
      <c r="A185" t="s">
        <v>1207</v>
      </c>
      <c r="B185" s="3">
        <v>148.71</v>
      </c>
    </row>
    <row r="186" spans="1:2">
      <c r="A186" t="s">
        <v>1208</v>
      </c>
      <c r="B186" s="3">
        <v>38.159599999999998</v>
      </c>
    </row>
    <row r="187" spans="1:2">
      <c r="A187" t="s">
        <v>844</v>
      </c>
      <c r="B187" s="3">
        <v>37.799999999999997</v>
      </c>
    </row>
    <row r="188" spans="1:2">
      <c r="A188" t="s">
        <v>471</v>
      </c>
      <c r="B188" s="3">
        <v>28.200000000000003</v>
      </c>
    </row>
    <row r="189" spans="1:2">
      <c r="A189" t="s">
        <v>1209</v>
      </c>
      <c r="B189" s="3">
        <v>10.219999999999999</v>
      </c>
    </row>
    <row r="190" spans="1:2">
      <c r="A190" t="s">
        <v>1210</v>
      </c>
      <c r="B190" s="3">
        <v>15.4</v>
      </c>
    </row>
    <row r="191" spans="1:2">
      <c r="A191" t="s">
        <v>1211</v>
      </c>
      <c r="B191" s="3">
        <v>9.8000000000000007</v>
      </c>
    </row>
    <row r="192" spans="1:2">
      <c r="A192" t="s">
        <v>1212</v>
      </c>
      <c r="B192" s="3">
        <v>9.18</v>
      </c>
    </row>
    <row r="193" spans="1:2">
      <c r="A193" t="s">
        <v>518</v>
      </c>
      <c r="B193" s="3">
        <v>26.1</v>
      </c>
    </row>
    <row r="194" spans="1:2">
      <c r="A194" t="s">
        <v>1213</v>
      </c>
      <c r="B194" s="3">
        <v>34.799999999999997</v>
      </c>
    </row>
    <row r="195" spans="1:2">
      <c r="A195" t="s">
        <v>768</v>
      </c>
      <c r="B195" s="3">
        <v>22.797999999999998</v>
      </c>
    </row>
    <row r="196" spans="1:2">
      <c r="A196" t="s">
        <v>845</v>
      </c>
      <c r="B196" s="3">
        <v>16.350000000000001</v>
      </c>
    </row>
    <row r="197" spans="1:2">
      <c r="A197" t="s">
        <v>1214</v>
      </c>
      <c r="B197" s="3">
        <v>14.6</v>
      </c>
    </row>
    <row r="198" spans="1:2">
      <c r="A198" t="s">
        <v>559</v>
      </c>
      <c r="B198" s="3"/>
    </row>
    <row r="199" spans="1:2">
      <c r="A199" t="s">
        <v>512</v>
      </c>
      <c r="B199" s="3">
        <v>3.72</v>
      </c>
    </row>
    <row r="200" spans="1:2">
      <c r="A200" t="s">
        <v>1215</v>
      </c>
      <c r="B200" s="3">
        <v>4.7600000000000007</v>
      </c>
    </row>
    <row r="201" spans="1:2">
      <c r="A201" t="s">
        <v>347</v>
      </c>
      <c r="B201" s="3">
        <v>47.599999999999994</v>
      </c>
    </row>
    <row r="202" spans="1:2">
      <c r="A202" t="s">
        <v>510</v>
      </c>
      <c r="B202" s="3">
        <v>85.5</v>
      </c>
    </row>
    <row r="203" spans="1:2">
      <c r="A203" t="s">
        <v>1216</v>
      </c>
      <c r="B203" s="3">
        <v>25.4</v>
      </c>
    </row>
    <row r="204" spans="1:2">
      <c r="A204" t="s">
        <v>498</v>
      </c>
      <c r="B204" s="3">
        <v>18.899999999999999</v>
      </c>
    </row>
    <row r="205" spans="1:2">
      <c r="A205" t="s">
        <v>846</v>
      </c>
      <c r="B205" s="3">
        <v>54.5</v>
      </c>
    </row>
    <row r="206" spans="1:2">
      <c r="A206" t="s">
        <v>1217</v>
      </c>
      <c r="B206" s="3">
        <v>9.6</v>
      </c>
    </row>
    <row r="207" spans="1:2">
      <c r="A207" t="s">
        <v>1218</v>
      </c>
      <c r="B207" s="3">
        <v>8.6999999999999993</v>
      </c>
    </row>
    <row r="208" spans="1:2">
      <c r="A208" t="s">
        <v>835</v>
      </c>
      <c r="B208" s="3">
        <v>8.4</v>
      </c>
    </row>
    <row r="209" spans="1:2">
      <c r="A209" t="s">
        <v>1219</v>
      </c>
      <c r="B209" s="3">
        <v>7.05</v>
      </c>
    </row>
    <row r="210" spans="1:2">
      <c r="A210" t="s">
        <v>1220</v>
      </c>
      <c r="B210" s="3">
        <v>2</v>
      </c>
    </row>
    <row r="211" spans="1:2">
      <c r="A211" t="s">
        <v>1221</v>
      </c>
      <c r="B211" s="3">
        <v>18.96</v>
      </c>
    </row>
    <row r="212" spans="1:2">
      <c r="A212" t="s">
        <v>911</v>
      </c>
      <c r="B212" s="3">
        <v>12.2</v>
      </c>
    </row>
    <row r="213" spans="1:2">
      <c r="A213" t="s">
        <v>746</v>
      </c>
      <c r="B213" s="3">
        <v>4.0599999999999996</v>
      </c>
    </row>
    <row r="214" spans="1:2">
      <c r="A214" t="s">
        <v>1222</v>
      </c>
      <c r="B214" s="3">
        <v>228.45</v>
      </c>
    </row>
    <row r="215" spans="1:2">
      <c r="A215" t="s">
        <v>1223</v>
      </c>
      <c r="B215" s="3">
        <v>19.52</v>
      </c>
    </row>
    <row r="216" spans="1:2">
      <c r="A216" t="s">
        <v>769</v>
      </c>
      <c r="B216" s="3">
        <v>10.199999999999999</v>
      </c>
    </row>
    <row r="217" spans="1:2">
      <c r="A217" t="s">
        <v>770</v>
      </c>
      <c r="B217" s="3">
        <v>100.19999999999999</v>
      </c>
    </row>
    <row r="218" spans="1:2">
      <c r="A218" t="s">
        <v>771</v>
      </c>
      <c r="B218" s="3">
        <v>10.4</v>
      </c>
    </row>
    <row r="219" spans="1:2">
      <c r="A219" t="s">
        <v>1224</v>
      </c>
      <c r="B219" s="3">
        <v>2.4</v>
      </c>
    </row>
    <row r="220" spans="1:2">
      <c r="A220" t="s">
        <v>912</v>
      </c>
      <c r="B220" s="3">
        <v>11</v>
      </c>
    </row>
    <row r="221" spans="1:2">
      <c r="A221" t="s">
        <v>1225</v>
      </c>
      <c r="B221" s="3">
        <v>50.4</v>
      </c>
    </row>
    <row r="222" spans="1:2">
      <c r="A222" t="s">
        <v>913</v>
      </c>
      <c r="B222" s="3">
        <v>27.75</v>
      </c>
    </row>
    <row r="223" spans="1:2">
      <c r="A223" t="s">
        <v>914</v>
      </c>
      <c r="B223" s="3">
        <v>46.53</v>
      </c>
    </row>
    <row r="224" spans="1:2">
      <c r="A224" t="s">
        <v>1226</v>
      </c>
      <c r="B224" s="3">
        <v>12</v>
      </c>
    </row>
    <row r="225" spans="1:2">
      <c r="A225" t="s">
        <v>915</v>
      </c>
      <c r="B225" s="3">
        <v>1.7999999999999998</v>
      </c>
    </row>
    <row r="226" spans="1:2">
      <c r="A226" t="s">
        <v>301</v>
      </c>
      <c r="B226" s="3">
        <v>54.6</v>
      </c>
    </row>
    <row r="227" spans="1:2">
      <c r="A227" t="s">
        <v>367</v>
      </c>
      <c r="B227" s="3">
        <v>48.8</v>
      </c>
    </row>
    <row r="228" spans="1:2">
      <c r="A228" t="s">
        <v>1227</v>
      </c>
      <c r="B228" s="3">
        <v>26.400000000000002</v>
      </c>
    </row>
    <row r="229" spans="1:2">
      <c r="A229" t="s">
        <v>244</v>
      </c>
      <c r="B229" s="3">
        <v>33</v>
      </c>
    </row>
    <row r="230" spans="1:2">
      <c r="A230" t="s">
        <v>325</v>
      </c>
      <c r="B230" s="3">
        <v>9.3999999999999986</v>
      </c>
    </row>
    <row r="231" spans="1:2">
      <c r="A231" t="s">
        <v>483</v>
      </c>
      <c r="B231" s="3">
        <v>39.44</v>
      </c>
    </row>
    <row r="232" spans="1:2">
      <c r="A232" t="s">
        <v>324</v>
      </c>
      <c r="B232" s="3">
        <v>106.4</v>
      </c>
    </row>
    <row r="233" spans="1:2">
      <c r="A233" t="s">
        <v>1228</v>
      </c>
      <c r="B233" s="3"/>
    </row>
    <row r="234" spans="1:2">
      <c r="A234" t="s">
        <v>129</v>
      </c>
      <c r="B234" s="3">
        <v>41.31</v>
      </c>
    </row>
    <row r="235" spans="1:2">
      <c r="A235" t="s">
        <v>494</v>
      </c>
      <c r="B235" s="3">
        <v>144.47880000000001</v>
      </c>
    </row>
    <row r="236" spans="1:2">
      <c r="A236" t="s">
        <v>1229</v>
      </c>
      <c r="B236" s="3">
        <v>19.53</v>
      </c>
    </row>
    <row r="237" spans="1:2">
      <c r="A237" t="s">
        <v>1230</v>
      </c>
      <c r="B237" s="3">
        <v>0</v>
      </c>
    </row>
    <row r="238" spans="1:2">
      <c r="A238" t="s">
        <v>1231</v>
      </c>
      <c r="B238" s="3">
        <v>13.44</v>
      </c>
    </row>
    <row r="239" spans="1:2">
      <c r="A239" t="s">
        <v>1232</v>
      </c>
      <c r="B239" s="3">
        <v>1.41</v>
      </c>
    </row>
    <row r="240" spans="1:2">
      <c r="A240" t="s">
        <v>1233</v>
      </c>
      <c r="B240" s="3">
        <v>1.29</v>
      </c>
    </row>
    <row r="241" spans="1:2">
      <c r="A241" t="s">
        <v>1234</v>
      </c>
      <c r="B241" s="3">
        <v>7.32</v>
      </c>
    </row>
    <row r="242" spans="1:2">
      <c r="A242" t="s">
        <v>124</v>
      </c>
      <c r="B242" s="3">
        <v>6.38</v>
      </c>
    </row>
    <row r="243" spans="1:2">
      <c r="A243" t="s">
        <v>1070</v>
      </c>
      <c r="B243" s="3">
        <v>6.6</v>
      </c>
    </row>
    <row r="244" spans="1:2">
      <c r="A244" t="s">
        <v>1235</v>
      </c>
      <c r="B244" s="3">
        <v>8.370000000000001</v>
      </c>
    </row>
    <row r="245" spans="1:2">
      <c r="A245" t="s">
        <v>487</v>
      </c>
      <c r="B245" s="3">
        <v>9.8999999999999986</v>
      </c>
    </row>
    <row r="246" spans="1:2">
      <c r="A246" t="s">
        <v>1236</v>
      </c>
      <c r="B246" s="3">
        <v>27.48</v>
      </c>
    </row>
    <row r="247" spans="1:2">
      <c r="A247" t="s">
        <v>1071</v>
      </c>
      <c r="B247" s="3">
        <v>24</v>
      </c>
    </row>
    <row r="248" spans="1:2">
      <c r="A248" t="s">
        <v>1237</v>
      </c>
      <c r="B248" s="3">
        <v>24.950000000000003</v>
      </c>
    </row>
    <row r="249" spans="1:2">
      <c r="A249" t="s">
        <v>560</v>
      </c>
      <c r="B249" s="3">
        <v>2871</v>
      </c>
    </row>
    <row r="250" spans="1:2">
      <c r="A250" t="s">
        <v>1238</v>
      </c>
      <c r="B250" s="3">
        <v>55.86</v>
      </c>
    </row>
    <row r="251" spans="1:2">
      <c r="A251" t="s">
        <v>1239</v>
      </c>
      <c r="B251" s="3">
        <v>72.300000000000011</v>
      </c>
    </row>
    <row r="252" spans="1:2">
      <c r="A252" t="s">
        <v>1240</v>
      </c>
      <c r="B252" s="3">
        <v>13.5</v>
      </c>
    </row>
    <row r="253" spans="1:2">
      <c r="A253" t="s">
        <v>1241</v>
      </c>
      <c r="B253" s="3">
        <v>24.240000000000002</v>
      </c>
    </row>
    <row r="254" spans="1:2">
      <c r="A254" t="s">
        <v>1242</v>
      </c>
      <c r="B254" s="3">
        <v>19.32</v>
      </c>
    </row>
    <row r="255" spans="1:2">
      <c r="A255" t="s">
        <v>74</v>
      </c>
      <c r="B255" s="3">
        <v>15.64</v>
      </c>
    </row>
    <row r="256" spans="1:2">
      <c r="A256" t="s">
        <v>1243</v>
      </c>
      <c r="B256" s="3">
        <v>22.65</v>
      </c>
    </row>
    <row r="257" spans="1:2">
      <c r="A257" t="s">
        <v>1244</v>
      </c>
      <c r="B257" s="3">
        <v>0</v>
      </c>
    </row>
    <row r="258" spans="1:2">
      <c r="A258" t="s">
        <v>309</v>
      </c>
      <c r="B258" s="3">
        <v>10.08</v>
      </c>
    </row>
    <row r="259" spans="1:2">
      <c r="A259" t="s">
        <v>357</v>
      </c>
      <c r="B259" s="3">
        <v>32.700000000000003</v>
      </c>
    </row>
    <row r="260" spans="1:2">
      <c r="A260" t="s">
        <v>1057</v>
      </c>
      <c r="B260" s="3">
        <v>26.299999999999997</v>
      </c>
    </row>
    <row r="261" spans="1:2">
      <c r="A261" t="s">
        <v>1245</v>
      </c>
      <c r="B261" s="3">
        <v>9</v>
      </c>
    </row>
    <row r="262" spans="1:2">
      <c r="A262" t="s">
        <v>1246</v>
      </c>
      <c r="B262" s="3">
        <v>4.4000000000000004</v>
      </c>
    </row>
    <row r="263" spans="1:2">
      <c r="A263" t="s">
        <v>1247</v>
      </c>
      <c r="B263" s="3">
        <v>11.92</v>
      </c>
    </row>
    <row r="264" spans="1:2">
      <c r="A264" t="s">
        <v>509</v>
      </c>
      <c r="B264" s="3">
        <v>0</v>
      </c>
    </row>
    <row r="265" spans="1:2">
      <c r="A265" t="s">
        <v>1248</v>
      </c>
      <c r="B265" s="3">
        <v>8.2999999999999989</v>
      </c>
    </row>
    <row r="266" spans="1:2">
      <c r="A266" t="s">
        <v>1249</v>
      </c>
      <c r="B266" s="3">
        <v>13.78</v>
      </c>
    </row>
    <row r="267" spans="1:2">
      <c r="A267" t="s">
        <v>517</v>
      </c>
      <c r="B267" s="3">
        <v>15.0495</v>
      </c>
    </row>
    <row r="268" spans="1:2">
      <c r="A268" t="s">
        <v>1250</v>
      </c>
      <c r="B268" s="3">
        <v>39.900000000000006</v>
      </c>
    </row>
    <row r="269" spans="1:2">
      <c r="A269" t="s">
        <v>1251</v>
      </c>
      <c r="B269" s="3">
        <v>3.96</v>
      </c>
    </row>
    <row r="270" spans="1:2">
      <c r="A270" t="s">
        <v>1252</v>
      </c>
      <c r="B270" s="3">
        <v>1.59</v>
      </c>
    </row>
    <row r="271" spans="1:2">
      <c r="A271" t="s">
        <v>139</v>
      </c>
      <c r="B271" s="3">
        <v>13.12</v>
      </c>
    </row>
    <row r="272" spans="1:2">
      <c r="A272" t="s">
        <v>1253</v>
      </c>
      <c r="B272" s="3">
        <v>9.02</v>
      </c>
    </row>
    <row r="273" spans="1:2">
      <c r="A273" t="s">
        <v>1254</v>
      </c>
      <c r="B273" s="3">
        <v>22.84</v>
      </c>
    </row>
    <row r="274" spans="1:2">
      <c r="A274" t="s">
        <v>1255</v>
      </c>
      <c r="B274" s="3">
        <v>12.96</v>
      </c>
    </row>
    <row r="275" spans="1:2">
      <c r="A275" t="s">
        <v>295</v>
      </c>
      <c r="B275" s="3">
        <v>20.25</v>
      </c>
    </row>
    <row r="276" spans="1:2">
      <c r="A276" t="s">
        <v>1256</v>
      </c>
      <c r="B276" s="3">
        <v>11.76</v>
      </c>
    </row>
    <row r="277" spans="1:2">
      <c r="A277" t="s">
        <v>488</v>
      </c>
      <c r="B277" s="3">
        <v>33.6</v>
      </c>
    </row>
    <row r="278" spans="1:2">
      <c r="A278" t="s">
        <v>899</v>
      </c>
      <c r="B278" s="3">
        <v>2</v>
      </c>
    </row>
    <row r="279" spans="1:2">
      <c r="A279" t="s">
        <v>1257</v>
      </c>
      <c r="B279" s="3">
        <v>3.51</v>
      </c>
    </row>
    <row r="280" spans="1:2">
      <c r="A280" t="s">
        <v>1258</v>
      </c>
      <c r="B280" s="3">
        <v>12</v>
      </c>
    </row>
    <row r="281" spans="1:2">
      <c r="A281" t="s">
        <v>1259</v>
      </c>
      <c r="B281" s="3">
        <v>0</v>
      </c>
    </row>
    <row r="282" spans="1:2">
      <c r="A282" t="s">
        <v>857</v>
      </c>
      <c r="B282" s="3">
        <v>1</v>
      </c>
    </row>
    <row r="283" spans="1:2">
      <c r="A283" t="s">
        <v>1260</v>
      </c>
      <c r="B283" s="3">
        <v>1.84</v>
      </c>
    </row>
    <row r="284" spans="1:2">
      <c r="A284" t="s">
        <v>1261</v>
      </c>
      <c r="B284" s="3">
        <v>3.4000000000000004</v>
      </c>
    </row>
    <row r="285" spans="1:2">
      <c r="A285" t="s">
        <v>25</v>
      </c>
      <c r="B285" s="3">
        <v>674.31000000000006</v>
      </c>
    </row>
    <row r="286" spans="1:2">
      <c r="A286" t="s">
        <v>561</v>
      </c>
      <c r="B286" s="3">
        <v>0</v>
      </c>
    </row>
    <row r="287" spans="1:2">
      <c r="A287" t="s">
        <v>1262</v>
      </c>
      <c r="B287" s="3">
        <v>2.4300000000000002</v>
      </c>
    </row>
    <row r="288" spans="1:2">
      <c r="A288" t="s">
        <v>1263</v>
      </c>
      <c r="B288" s="3">
        <v>18.350000000000001</v>
      </c>
    </row>
    <row r="289" spans="1:2">
      <c r="A289" t="s">
        <v>869</v>
      </c>
      <c r="B289" s="3">
        <v>0.96</v>
      </c>
    </row>
    <row r="290" spans="1:2">
      <c r="A290" t="s">
        <v>858</v>
      </c>
      <c r="B290" s="3">
        <v>15.42</v>
      </c>
    </row>
    <row r="291" spans="1:2">
      <c r="A291" t="s">
        <v>396</v>
      </c>
      <c r="B291" s="3">
        <v>270.18</v>
      </c>
    </row>
    <row r="292" spans="1:2">
      <c r="A292" t="s">
        <v>859</v>
      </c>
      <c r="B292" s="3">
        <v>159.83999999999997</v>
      </c>
    </row>
    <row r="293" spans="1:2">
      <c r="A293" t="s">
        <v>1264</v>
      </c>
      <c r="B293" s="3">
        <v>97.32</v>
      </c>
    </row>
    <row r="294" spans="1:2">
      <c r="A294" t="s">
        <v>1265</v>
      </c>
      <c r="B294" s="3">
        <v>60.8</v>
      </c>
    </row>
    <row r="295" spans="1:2">
      <c r="A295" t="s">
        <v>268</v>
      </c>
      <c r="B295" s="3">
        <v>193.12</v>
      </c>
    </row>
    <row r="296" spans="1:2">
      <c r="A296" t="s">
        <v>256</v>
      </c>
      <c r="B296" s="3">
        <v>185.68</v>
      </c>
    </row>
    <row r="297" spans="1:2">
      <c r="A297" t="s">
        <v>691</v>
      </c>
      <c r="B297" s="3">
        <v>153.52000000000001</v>
      </c>
    </row>
    <row r="298" spans="1:2">
      <c r="A298" t="s">
        <v>497</v>
      </c>
      <c r="B298" s="3">
        <v>169.85</v>
      </c>
    </row>
    <row r="299" spans="1:2">
      <c r="A299" t="s">
        <v>1266</v>
      </c>
      <c r="B299" s="3">
        <v>85.62</v>
      </c>
    </row>
    <row r="300" spans="1:2">
      <c r="A300" t="s">
        <v>1267</v>
      </c>
      <c r="B300" s="3">
        <v>92.34</v>
      </c>
    </row>
    <row r="301" spans="1:2">
      <c r="A301" t="s">
        <v>1268</v>
      </c>
      <c r="B301" s="3">
        <v>111.4</v>
      </c>
    </row>
    <row r="302" spans="1:2">
      <c r="A302" t="s">
        <v>1269</v>
      </c>
      <c r="B302" s="3">
        <v>57.98</v>
      </c>
    </row>
    <row r="303" spans="1:2">
      <c r="A303" t="s">
        <v>1270</v>
      </c>
      <c r="B303" s="3">
        <v>0</v>
      </c>
    </row>
    <row r="304" spans="1:2">
      <c r="A304" t="s">
        <v>1271</v>
      </c>
      <c r="B304" s="3">
        <v>10.620000000000001</v>
      </c>
    </row>
    <row r="305" spans="1:2">
      <c r="A305" t="s">
        <v>435</v>
      </c>
      <c r="B305" s="3">
        <v>104.28</v>
      </c>
    </row>
    <row r="306" spans="1:2">
      <c r="A306" t="s">
        <v>916</v>
      </c>
      <c r="B306" s="3">
        <v>24.27</v>
      </c>
    </row>
    <row r="307" spans="1:2">
      <c r="A307" t="s">
        <v>677</v>
      </c>
      <c r="B307" s="3">
        <v>0</v>
      </c>
    </row>
    <row r="308" spans="1:2">
      <c r="A308" t="s">
        <v>1272</v>
      </c>
      <c r="B308" s="3">
        <v>49.84</v>
      </c>
    </row>
    <row r="309" spans="1:2">
      <c r="A309" t="s">
        <v>48</v>
      </c>
      <c r="B309" s="3">
        <v>559</v>
      </c>
    </row>
    <row r="310" spans="1:2">
      <c r="A310" t="s">
        <v>1042</v>
      </c>
      <c r="B310" s="3">
        <v>27.48</v>
      </c>
    </row>
    <row r="311" spans="1:2">
      <c r="A311" t="s">
        <v>199</v>
      </c>
      <c r="B311" s="3">
        <v>493.21000000000004</v>
      </c>
    </row>
    <row r="312" spans="1:2">
      <c r="A312" t="s">
        <v>1273</v>
      </c>
      <c r="B312" s="3">
        <v>252.8</v>
      </c>
    </row>
    <row r="313" spans="1:2">
      <c r="A313" t="s">
        <v>917</v>
      </c>
      <c r="B313" s="3">
        <v>86.86</v>
      </c>
    </row>
    <row r="314" spans="1:2">
      <c r="A314" t="s">
        <v>1274</v>
      </c>
      <c r="B314" s="3"/>
    </row>
    <row r="315" spans="1:2">
      <c r="A315" t="s">
        <v>311</v>
      </c>
      <c r="B315" s="3">
        <v>88.660000000000011</v>
      </c>
    </row>
    <row r="316" spans="1:2">
      <c r="A316" t="s">
        <v>1275</v>
      </c>
      <c r="B316" s="3">
        <v>90.898499999999999</v>
      </c>
    </row>
    <row r="317" spans="1:2">
      <c r="A317" t="s">
        <v>1058</v>
      </c>
      <c r="B317" s="3">
        <v>0</v>
      </c>
    </row>
    <row r="318" spans="1:2">
      <c r="A318" t="s">
        <v>1276</v>
      </c>
      <c r="B318" s="3">
        <v>0</v>
      </c>
    </row>
    <row r="319" spans="1:2">
      <c r="A319" t="s">
        <v>1277</v>
      </c>
      <c r="B319" s="3">
        <v>5.8999999999999995</v>
      </c>
    </row>
    <row r="320" spans="1:2">
      <c r="A320" t="s">
        <v>131</v>
      </c>
      <c r="B320" s="3">
        <v>96</v>
      </c>
    </row>
    <row r="321" spans="1:2">
      <c r="A321" t="s">
        <v>918</v>
      </c>
      <c r="B321" s="3">
        <v>19.8</v>
      </c>
    </row>
    <row r="322" spans="1:2">
      <c r="A322" t="s">
        <v>772</v>
      </c>
      <c r="B322" s="3">
        <v>16.950000000000003</v>
      </c>
    </row>
    <row r="323" spans="1:2">
      <c r="A323" t="s">
        <v>179</v>
      </c>
      <c r="B323" s="3">
        <v>45.3</v>
      </c>
    </row>
    <row r="324" spans="1:2">
      <c r="A324" t="s">
        <v>1278</v>
      </c>
      <c r="B324" s="3">
        <v>9.1</v>
      </c>
    </row>
    <row r="325" spans="1:2">
      <c r="A325" t="s">
        <v>1279</v>
      </c>
      <c r="B325" s="3">
        <v>14.299999999999999</v>
      </c>
    </row>
    <row r="326" spans="1:2">
      <c r="A326" t="s">
        <v>310</v>
      </c>
      <c r="B326" s="3">
        <v>4.6999999999999993</v>
      </c>
    </row>
    <row r="327" spans="1:2">
      <c r="A327" t="s">
        <v>1280</v>
      </c>
      <c r="B327" s="3">
        <v>5.0999999999999996</v>
      </c>
    </row>
    <row r="328" spans="1:2">
      <c r="A328" t="s">
        <v>1281</v>
      </c>
      <c r="B328" s="3">
        <v>7.05</v>
      </c>
    </row>
    <row r="329" spans="1:2">
      <c r="A329" t="s">
        <v>839</v>
      </c>
      <c r="B329" s="3">
        <v>64.150000000000006</v>
      </c>
    </row>
    <row r="330" spans="1:2">
      <c r="A330" t="s">
        <v>829</v>
      </c>
      <c r="B330" s="3">
        <v>63.449999999999996</v>
      </c>
    </row>
    <row r="331" spans="1:2">
      <c r="A331" t="s">
        <v>1043</v>
      </c>
      <c r="B331" s="3">
        <v>7.5600000000000005</v>
      </c>
    </row>
    <row r="332" spans="1:2">
      <c r="A332" t="s">
        <v>1282</v>
      </c>
      <c r="B332" s="3">
        <v>135.05000000000001</v>
      </c>
    </row>
    <row r="333" spans="1:2">
      <c r="A333" t="s">
        <v>1283</v>
      </c>
      <c r="B333" s="3">
        <v>57.62</v>
      </c>
    </row>
    <row r="334" spans="1:2">
      <c r="A334" t="s">
        <v>919</v>
      </c>
      <c r="B334" s="3">
        <v>50.54</v>
      </c>
    </row>
    <row r="335" spans="1:2">
      <c r="A335" t="s">
        <v>1284</v>
      </c>
      <c r="B335" s="3">
        <v>49.56</v>
      </c>
    </row>
    <row r="336" spans="1:2">
      <c r="A336" t="s">
        <v>818</v>
      </c>
      <c r="B336" s="3">
        <v>177.54</v>
      </c>
    </row>
    <row r="337" spans="1:2">
      <c r="A337" t="s">
        <v>1285</v>
      </c>
      <c r="B337" s="3">
        <v>74.219399999999993</v>
      </c>
    </row>
    <row r="338" spans="1:2">
      <c r="A338" t="s">
        <v>1286</v>
      </c>
      <c r="B338" s="3"/>
    </row>
    <row r="339" spans="1:2">
      <c r="A339" t="s">
        <v>1287</v>
      </c>
      <c r="B339" s="3">
        <v>14.79</v>
      </c>
    </row>
    <row r="340" spans="1:2">
      <c r="A340" t="s">
        <v>173</v>
      </c>
      <c r="B340" s="3">
        <v>30.91</v>
      </c>
    </row>
    <row r="341" spans="1:2">
      <c r="A341" t="s">
        <v>1084</v>
      </c>
      <c r="B341" s="3">
        <v>26.9</v>
      </c>
    </row>
    <row r="342" spans="1:2">
      <c r="A342" t="s">
        <v>805</v>
      </c>
      <c r="B342" s="3">
        <v>52.320000000000007</v>
      </c>
    </row>
    <row r="343" spans="1:2">
      <c r="A343" t="s">
        <v>1288</v>
      </c>
      <c r="B343" s="3"/>
    </row>
    <row r="344" spans="1:2">
      <c r="A344" t="s">
        <v>1289</v>
      </c>
      <c r="B344" s="3">
        <v>32.5</v>
      </c>
    </row>
    <row r="345" spans="1:2">
      <c r="A345" t="s">
        <v>793</v>
      </c>
      <c r="B345" s="3">
        <v>10.8</v>
      </c>
    </row>
    <row r="346" spans="1:2">
      <c r="A346" t="s">
        <v>1290</v>
      </c>
      <c r="B346" s="3">
        <v>5.5198</v>
      </c>
    </row>
    <row r="347" spans="1:2">
      <c r="A347" t="s">
        <v>174</v>
      </c>
      <c r="B347" s="3">
        <v>39.480000000000004</v>
      </c>
    </row>
    <row r="348" spans="1:2">
      <c r="A348" t="s">
        <v>460</v>
      </c>
      <c r="B348" s="3">
        <v>191.97000000000003</v>
      </c>
    </row>
    <row r="349" spans="1:2">
      <c r="A349" t="s">
        <v>920</v>
      </c>
      <c r="B349" s="3">
        <v>18.100000000000001</v>
      </c>
    </row>
    <row r="350" spans="1:2">
      <c r="A350" t="s">
        <v>794</v>
      </c>
      <c r="B350" s="3">
        <v>20.65</v>
      </c>
    </row>
    <row r="351" spans="1:2">
      <c r="A351" t="s">
        <v>532</v>
      </c>
      <c r="B351" s="3">
        <v>8.6999999999999993</v>
      </c>
    </row>
    <row r="352" spans="1:2">
      <c r="A352" t="s">
        <v>1291</v>
      </c>
      <c r="B352" s="3">
        <v>6</v>
      </c>
    </row>
    <row r="353" spans="1:2">
      <c r="A353" t="s">
        <v>562</v>
      </c>
      <c r="B353" s="3"/>
    </row>
    <row r="354" spans="1:2">
      <c r="A354" t="s">
        <v>1292</v>
      </c>
      <c r="B354" s="3">
        <v>4.41</v>
      </c>
    </row>
    <row r="355" spans="1:2">
      <c r="A355" t="s">
        <v>840</v>
      </c>
      <c r="B355" s="3">
        <v>57.42</v>
      </c>
    </row>
    <row r="356" spans="1:2">
      <c r="A356" t="s">
        <v>1293</v>
      </c>
      <c r="B356" s="3">
        <v>0</v>
      </c>
    </row>
    <row r="357" spans="1:2">
      <c r="A357" t="s">
        <v>141</v>
      </c>
      <c r="B357" s="3">
        <v>252.96</v>
      </c>
    </row>
    <row r="358" spans="1:2">
      <c r="A358" t="s">
        <v>1294</v>
      </c>
      <c r="B358" s="3">
        <v>9.1999999999999993</v>
      </c>
    </row>
    <row r="359" spans="1:2">
      <c r="A359" t="s">
        <v>1295</v>
      </c>
      <c r="B359" s="3">
        <v>5.0598000000000001</v>
      </c>
    </row>
    <row r="360" spans="1:2">
      <c r="A360" t="s">
        <v>356</v>
      </c>
      <c r="B360" s="3">
        <v>25.6</v>
      </c>
    </row>
    <row r="361" spans="1:2">
      <c r="A361" t="s">
        <v>1296</v>
      </c>
      <c r="B361" s="3">
        <v>14.14</v>
      </c>
    </row>
    <row r="362" spans="1:2">
      <c r="A362" t="s">
        <v>1297</v>
      </c>
      <c r="B362" s="3">
        <v>6.2</v>
      </c>
    </row>
    <row r="363" spans="1:2">
      <c r="A363" t="s">
        <v>1298</v>
      </c>
      <c r="B363" s="3">
        <v>1.96</v>
      </c>
    </row>
    <row r="364" spans="1:2">
      <c r="A364" t="s">
        <v>1299</v>
      </c>
      <c r="B364" s="3">
        <v>1.76</v>
      </c>
    </row>
    <row r="365" spans="1:2">
      <c r="A365" t="s">
        <v>563</v>
      </c>
      <c r="B365" s="3">
        <v>3.12</v>
      </c>
    </row>
    <row r="366" spans="1:2">
      <c r="A366" t="s">
        <v>1300</v>
      </c>
      <c r="B366" s="3"/>
    </row>
    <row r="367" spans="1:2">
      <c r="A367" t="s">
        <v>1301</v>
      </c>
      <c r="B367" s="3">
        <v>9.6999999999999993</v>
      </c>
    </row>
    <row r="368" spans="1:2">
      <c r="A368" t="s">
        <v>921</v>
      </c>
      <c r="B368" s="3">
        <v>7.9792999999999994</v>
      </c>
    </row>
    <row r="369" spans="1:2">
      <c r="A369" t="s">
        <v>1302</v>
      </c>
      <c r="B369" s="3">
        <v>3.56</v>
      </c>
    </row>
    <row r="370" spans="1:2">
      <c r="A370" t="s">
        <v>1303</v>
      </c>
      <c r="B370" s="3">
        <v>2.2795999999999998</v>
      </c>
    </row>
    <row r="371" spans="1:2">
      <c r="A371" t="s">
        <v>176</v>
      </c>
      <c r="B371" s="3">
        <v>3.95</v>
      </c>
    </row>
    <row r="372" spans="1:2">
      <c r="A372" t="s">
        <v>1304</v>
      </c>
      <c r="B372" s="3">
        <v>3.4</v>
      </c>
    </row>
    <row r="373" spans="1:2">
      <c r="A373" t="s">
        <v>1305</v>
      </c>
      <c r="B373" s="3">
        <v>6.0897000000000006</v>
      </c>
    </row>
    <row r="374" spans="1:2">
      <c r="A374" t="s">
        <v>171</v>
      </c>
      <c r="B374" s="3">
        <v>160</v>
      </c>
    </row>
    <row r="375" spans="1:2">
      <c r="A375" t="s">
        <v>411</v>
      </c>
      <c r="B375" s="3">
        <v>41.698500000000003</v>
      </c>
    </row>
    <row r="376" spans="1:2">
      <c r="A376" t="s">
        <v>1306</v>
      </c>
      <c r="B376" s="3">
        <v>30.660000000000004</v>
      </c>
    </row>
    <row r="377" spans="1:2">
      <c r="A377" t="s">
        <v>501</v>
      </c>
      <c r="B377" s="3">
        <v>24.8</v>
      </c>
    </row>
    <row r="378" spans="1:2">
      <c r="A378" t="s">
        <v>896</v>
      </c>
      <c r="B378" s="3">
        <v>0</v>
      </c>
    </row>
    <row r="379" spans="1:2">
      <c r="A379" t="s">
        <v>1307</v>
      </c>
      <c r="B379" s="3">
        <v>3.09</v>
      </c>
    </row>
    <row r="380" spans="1:2">
      <c r="A380" t="s">
        <v>897</v>
      </c>
      <c r="B380" s="3">
        <v>0</v>
      </c>
    </row>
    <row r="381" spans="1:2">
      <c r="A381" t="s">
        <v>898</v>
      </c>
      <c r="B381" s="3">
        <v>4.5591999999999997</v>
      </c>
    </row>
    <row r="382" spans="1:2">
      <c r="A382" t="s">
        <v>1308</v>
      </c>
      <c r="B382" s="3">
        <v>4.1999999999999993</v>
      </c>
    </row>
    <row r="383" spans="1:2">
      <c r="A383" t="s">
        <v>1309</v>
      </c>
      <c r="B383" s="3">
        <v>4.1999999999999993</v>
      </c>
    </row>
    <row r="384" spans="1:2">
      <c r="A384" t="s">
        <v>520</v>
      </c>
      <c r="B384" s="3">
        <v>14.1</v>
      </c>
    </row>
    <row r="385" spans="1:2">
      <c r="A385" t="s">
        <v>773</v>
      </c>
      <c r="B385" s="3"/>
    </row>
    <row r="386" spans="1:2">
      <c r="A386" t="s">
        <v>1310</v>
      </c>
      <c r="B386" s="3">
        <v>97.800000000000011</v>
      </c>
    </row>
    <row r="387" spans="1:2">
      <c r="A387" t="s">
        <v>564</v>
      </c>
      <c r="B387" s="3"/>
    </row>
    <row r="388" spans="1:2">
      <c r="A388" t="s">
        <v>565</v>
      </c>
      <c r="B388" s="3"/>
    </row>
    <row r="389" spans="1:2">
      <c r="A389" t="s">
        <v>566</v>
      </c>
      <c r="B389" s="3"/>
    </row>
    <row r="390" spans="1:2">
      <c r="A390" t="s">
        <v>567</v>
      </c>
      <c r="B390" s="3">
        <v>0</v>
      </c>
    </row>
    <row r="391" spans="1:2">
      <c r="A391" t="s">
        <v>568</v>
      </c>
      <c r="B391" s="3">
        <v>0</v>
      </c>
    </row>
    <row r="392" spans="1:2">
      <c r="A392" t="s">
        <v>45</v>
      </c>
      <c r="B392" s="3">
        <v>3.5</v>
      </c>
    </row>
    <row r="393" spans="1:2">
      <c r="A393" t="s">
        <v>22</v>
      </c>
      <c r="B393" s="3">
        <v>2663.7000000000003</v>
      </c>
    </row>
    <row r="394" spans="1:2">
      <c r="A394" t="s">
        <v>1311</v>
      </c>
      <c r="B394" s="3">
        <v>111.35999999999999</v>
      </c>
    </row>
    <row r="395" spans="1:2">
      <c r="A395" t="s">
        <v>1312</v>
      </c>
      <c r="B395" s="3"/>
    </row>
    <row r="396" spans="1:2">
      <c r="A396" t="s">
        <v>1066</v>
      </c>
      <c r="B396" s="3"/>
    </row>
    <row r="397" spans="1:2">
      <c r="A397" t="s">
        <v>922</v>
      </c>
      <c r="B397" s="3">
        <v>5.5200000000000005</v>
      </c>
    </row>
    <row r="398" spans="1:2">
      <c r="A398" t="s">
        <v>1313</v>
      </c>
      <c r="B398" s="3">
        <v>132.42000000000002</v>
      </c>
    </row>
    <row r="399" spans="1:2">
      <c r="A399" t="s">
        <v>478</v>
      </c>
      <c r="B399" s="3">
        <v>156.39000000000001</v>
      </c>
    </row>
    <row r="400" spans="1:2">
      <c r="A400" t="s">
        <v>1314</v>
      </c>
      <c r="B400" s="3">
        <v>14.96</v>
      </c>
    </row>
    <row r="401" spans="1:2">
      <c r="A401" t="s">
        <v>1315</v>
      </c>
      <c r="B401" s="3">
        <v>47.15</v>
      </c>
    </row>
    <row r="402" spans="1:2">
      <c r="A402" t="s">
        <v>1316</v>
      </c>
      <c r="B402" s="3">
        <v>281.60000000000002</v>
      </c>
    </row>
    <row r="403" spans="1:2">
      <c r="A403" t="s">
        <v>692</v>
      </c>
      <c r="B403" s="3">
        <v>454.798</v>
      </c>
    </row>
    <row r="404" spans="1:2">
      <c r="A404" t="s">
        <v>860</v>
      </c>
      <c r="B404" s="3">
        <v>344.40000000000003</v>
      </c>
    </row>
    <row r="405" spans="1:2">
      <c r="A405" t="s">
        <v>49</v>
      </c>
      <c r="B405" s="3">
        <v>114.4</v>
      </c>
    </row>
    <row r="406" spans="1:2">
      <c r="A406" t="s">
        <v>1317</v>
      </c>
      <c r="B406" s="3">
        <v>41.64</v>
      </c>
    </row>
    <row r="407" spans="1:2">
      <c r="A407" t="s">
        <v>819</v>
      </c>
      <c r="B407" s="3">
        <v>80.88</v>
      </c>
    </row>
    <row r="408" spans="1:2">
      <c r="A408" t="s">
        <v>881</v>
      </c>
      <c r="B408" s="3"/>
    </row>
    <row r="409" spans="1:2">
      <c r="A409" t="s">
        <v>882</v>
      </c>
      <c r="B409" s="3"/>
    </row>
    <row r="410" spans="1:2">
      <c r="A410" t="s">
        <v>408</v>
      </c>
      <c r="B410" s="3">
        <v>72.66</v>
      </c>
    </row>
    <row r="411" spans="1:2">
      <c r="A411" t="s">
        <v>693</v>
      </c>
      <c r="B411" s="3">
        <v>4.74</v>
      </c>
    </row>
    <row r="412" spans="1:2">
      <c r="A412" t="s">
        <v>569</v>
      </c>
      <c r="B412" s="3">
        <v>2.6</v>
      </c>
    </row>
    <row r="413" spans="1:2">
      <c r="A413" t="s">
        <v>1028</v>
      </c>
      <c r="B413" s="3">
        <v>16.399999999999999</v>
      </c>
    </row>
    <row r="414" spans="1:2">
      <c r="A414" t="s">
        <v>370</v>
      </c>
      <c r="B414" s="3">
        <v>34.840000000000003</v>
      </c>
    </row>
    <row r="415" spans="1:2">
      <c r="A415" t="s">
        <v>667</v>
      </c>
      <c r="B415" s="3">
        <v>82</v>
      </c>
    </row>
    <row r="416" spans="1:2">
      <c r="A416" t="s">
        <v>1318</v>
      </c>
      <c r="B416" s="3">
        <v>14.2</v>
      </c>
    </row>
    <row r="417" spans="1:2">
      <c r="A417" t="s">
        <v>701</v>
      </c>
      <c r="B417" s="3">
        <v>0</v>
      </c>
    </row>
    <row r="418" spans="1:2">
      <c r="A418" t="s">
        <v>747</v>
      </c>
      <c r="B418" s="3">
        <v>47.28</v>
      </c>
    </row>
    <row r="419" spans="1:2">
      <c r="A419" t="s">
        <v>702</v>
      </c>
      <c r="B419" s="3">
        <v>153</v>
      </c>
    </row>
    <row r="420" spans="1:2">
      <c r="A420" t="s">
        <v>703</v>
      </c>
      <c r="B420" s="3">
        <v>9.4500000000000011</v>
      </c>
    </row>
    <row r="421" spans="1:2">
      <c r="A421" t="s">
        <v>678</v>
      </c>
      <c r="B421" s="3"/>
    </row>
    <row r="422" spans="1:2">
      <c r="A422" t="s">
        <v>288</v>
      </c>
      <c r="B422" s="3">
        <v>640.94849999999997</v>
      </c>
    </row>
    <row r="423" spans="1:2">
      <c r="A423" t="s">
        <v>279</v>
      </c>
      <c r="B423" s="3">
        <v>0</v>
      </c>
    </row>
    <row r="424" spans="1:2">
      <c r="A424" t="s">
        <v>97</v>
      </c>
      <c r="B424" s="3">
        <v>1067.7</v>
      </c>
    </row>
    <row r="425" spans="1:2">
      <c r="A425" t="s">
        <v>923</v>
      </c>
      <c r="B425" s="3">
        <v>0</v>
      </c>
    </row>
    <row r="426" spans="1:2">
      <c r="A426" t="s">
        <v>570</v>
      </c>
      <c r="B426" s="3">
        <v>0</v>
      </c>
    </row>
    <row r="427" spans="1:2">
      <c r="A427" t="s">
        <v>284</v>
      </c>
      <c r="B427" s="3">
        <v>370</v>
      </c>
    </row>
    <row r="428" spans="1:2">
      <c r="A428" t="s">
        <v>289</v>
      </c>
      <c r="B428" s="3">
        <v>111.95</v>
      </c>
    </row>
    <row r="429" spans="1:2">
      <c r="A429" t="s">
        <v>1319</v>
      </c>
      <c r="B429" s="3">
        <v>72.819800000000001</v>
      </c>
    </row>
    <row r="430" spans="1:2">
      <c r="A430" t="s">
        <v>285</v>
      </c>
      <c r="B430" s="3">
        <v>17.8</v>
      </c>
    </row>
    <row r="431" spans="1:2">
      <c r="A431" t="s">
        <v>1320</v>
      </c>
      <c r="B431" s="3">
        <v>5.32</v>
      </c>
    </row>
    <row r="432" spans="1:2">
      <c r="A432" t="s">
        <v>1085</v>
      </c>
      <c r="B432" s="3"/>
    </row>
    <row r="433" spans="1:2">
      <c r="A433" t="s">
        <v>1321</v>
      </c>
      <c r="B433" s="3">
        <v>7.8000000000000007</v>
      </c>
    </row>
    <row r="434" spans="1:2">
      <c r="A434" t="s">
        <v>1322</v>
      </c>
      <c r="B434" s="3">
        <v>8.2200000000000006</v>
      </c>
    </row>
    <row r="435" spans="1:2">
      <c r="A435" t="s">
        <v>1323</v>
      </c>
      <c r="B435" s="3">
        <v>6.3000000000000007</v>
      </c>
    </row>
    <row r="436" spans="1:2">
      <c r="A436" t="s">
        <v>679</v>
      </c>
      <c r="B436" s="3"/>
    </row>
    <row r="437" spans="1:2">
      <c r="A437" t="s">
        <v>1324</v>
      </c>
      <c r="B437" s="3">
        <v>4.4800000000000004</v>
      </c>
    </row>
    <row r="438" spans="1:2">
      <c r="A438" t="s">
        <v>704</v>
      </c>
      <c r="B438" s="3">
        <v>10.799999999999999</v>
      </c>
    </row>
    <row r="439" spans="1:2">
      <c r="A439" t="s">
        <v>1325</v>
      </c>
      <c r="B439" s="3">
        <v>21.28</v>
      </c>
    </row>
    <row r="440" spans="1:2">
      <c r="A440" t="s">
        <v>1326</v>
      </c>
      <c r="B440" s="3">
        <v>0</v>
      </c>
    </row>
    <row r="441" spans="1:2">
      <c r="A441" t="s">
        <v>1327</v>
      </c>
      <c r="B441" s="3">
        <v>0.2</v>
      </c>
    </row>
    <row r="442" spans="1:2">
      <c r="A442" t="s">
        <v>76</v>
      </c>
      <c r="B442" s="3">
        <v>77</v>
      </c>
    </row>
    <row r="443" spans="1:2">
      <c r="A443" t="s">
        <v>1328</v>
      </c>
      <c r="B443" s="3">
        <v>0</v>
      </c>
    </row>
    <row r="444" spans="1:2">
      <c r="A444" t="s">
        <v>1037</v>
      </c>
      <c r="B444" s="3">
        <v>0</v>
      </c>
    </row>
    <row r="445" spans="1:2">
      <c r="A445" t="s">
        <v>1329</v>
      </c>
      <c r="B445" s="3">
        <v>15.56</v>
      </c>
    </row>
    <row r="446" spans="1:2">
      <c r="A446" t="s">
        <v>1330</v>
      </c>
      <c r="B446" s="3">
        <v>13.5</v>
      </c>
    </row>
    <row r="447" spans="1:2">
      <c r="A447" t="s">
        <v>1331</v>
      </c>
      <c r="B447" s="3">
        <v>0</v>
      </c>
    </row>
    <row r="448" spans="1:2">
      <c r="A448" t="s">
        <v>1332</v>
      </c>
      <c r="B448" s="3">
        <v>4.8999999999999995</v>
      </c>
    </row>
    <row r="449" spans="1:2">
      <c r="A449" t="s">
        <v>1333</v>
      </c>
      <c r="B449" s="3"/>
    </row>
    <row r="450" spans="1:2">
      <c r="A450" t="s">
        <v>366</v>
      </c>
      <c r="B450" s="3">
        <v>125.1</v>
      </c>
    </row>
    <row r="451" spans="1:2">
      <c r="A451" t="s">
        <v>729</v>
      </c>
      <c r="B451" s="3">
        <v>0</v>
      </c>
    </row>
    <row r="452" spans="1:2">
      <c r="A452" t="s">
        <v>705</v>
      </c>
      <c r="B452" s="3">
        <v>27.95</v>
      </c>
    </row>
    <row r="453" spans="1:2">
      <c r="A453" t="s">
        <v>924</v>
      </c>
      <c r="B453" s="3">
        <v>0</v>
      </c>
    </row>
    <row r="454" spans="1:2">
      <c r="A454" t="s">
        <v>1334</v>
      </c>
      <c r="B454" s="3">
        <v>40.769999999999996</v>
      </c>
    </row>
    <row r="455" spans="1:2">
      <c r="A455" t="s">
        <v>861</v>
      </c>
      <c r="B455" s="3">
        <v>43.8</v>
      </c>
    </row>
    <row r="456" spans="1:2">
      <c r="A456" t="s">
        <v>706</v>
      </c>
      <c r="B456" s="3">
        <v>40.24</v>
      </c>
    </row>
    <row r="457" spans="1:2">
      <c r="A457" t="s">
        <v>707</v>
      </c>
      <c r="B457" s="3">
        <v>0</v>
      </c>
    </row>
    <row r="458" spans="1:2">
      <c r="A458" t="s">
        <v>708</v>
      </c>
      <c r="B458" s="3">
        <v>0</v>
      </c>
    </row>
    <row r="459" spans="1:2">
      <c r="A459" t="s">
        <v>46</v>
      </c>
      <c r="B459" s="3">
        <v>167.2</v>
      </c>
    </row>
    <row r="460" spans="1:2">
      <c r="A460" t="s">
        <v>709</v>
      </c>
      <c r="B460" s="3">
        <v>49.739399999999996</v>
      </c>
    </row>
    <row r="461" spans="1:2">
      <c r="A461" t="s">
        <v>1335</v>
      </c>
      <c r="B461" s="3">
        <v>0</v>
      </c>
    </row>
    <row r="462" spans="1:2">
      <c r="A462" t="s">
        <v>1336</v>
      </c>
      <c r="B462" s="3">
        <v>0</v>
      </c>
    </row>
    <row r="463" spans="1:2">
      <c r="A463" t="s">
        <v>1337</v>
      </c>
      <c r="B463" s="3">
        <v>0</v>
      </c>
    </row>
    <row r="464" spans="1:2">
      <c r="A464" t="s">
        <v>710</v>
      </c>
      <c r="B464" s="3">
        <v>152.75</v>
      </c>
    </row>
    <row r="465" spans="1:2">
      <c r="A465" t="s">
        <v>711</v>
      </c>
      <c r="B465" s="3">
        <v>122.25</v>
      </c>
    </row>
    <row r="466" spans="1:2">
      <c r="A466" t="s">
        <v>730</v>
      </c>
      <c r="B466" s="3">
        <v>69.599999999999994</v>
      </c>
    </row>
    <row r="467" spans="1:2">
      <c r="A467" t="s">
        <v>712</v>
      </c>
      <c r="B467" s="3">
        <v>57.75</v>
      </c>
    </row>
    <row r="468" spans="1:2">
      <c r="A468" t="s">
        <v>925</v>
      </c>
      <c r="B468" s="3">
        <v>8.1494999999999997</v>
      </c>
    </row>
    <row r="469" spans="1:2">
      <c r="A469" t="s">
        <v>1338</v>
      </c>
      <c r="B469" s="3">
        <v>19.16</v>
      </c>
    </row>
    <row r="470" spans="1:2">
      <c r="A470" t="s">
        <v>713</v>
      </c>
      <c r="B470" s="3">
        <v>0</v>
      </c>
    </row>
    <row r="471" spans="1:2">
      <c r="A471" t="s">
        <v>1339</v>
      </c>
      <c r="B471" s="3">
        <v>100.2</v>
      </c>
    </row>
    <row r="472" spans="1:2">
      <c r="A472" t="s">
        <v>571</v>
      </c>
      <c r="B472" s="3">
        <v>0</v>
      </c>
    </row>
    <row r="473" spans="1:2">
      <c r="A473" t="s">
        <v>382</v>
      </c>
      <c r="B473" s="3">
        <v>2027.12</v>
      </c>
    </row>
    <row r="474" spans="1:2">
      <c r="A474" t="s">
        <v>1340</v>
      </c>
      <c r="B474" s="3"/>
    </row>
    <row r="475" spans="1:2">
      <c r="A475" t="s">
        <v>1341</v>
      </c>
      <c r="B475" s="3"/>
    </row>
    <row r="476" spans="1:2">
      <c r="A476" t="s">
        <v>1342</v>
      </c>
      <c r="B476" s="3"/>
    </row>
    <row r="477" spans="1:2">
      <c r="A477" t="s">
        <v>1343</v>
      </c>
      <c r="B477" s="3"/>
    </row>
    <row r="478" spans="1:2">
      <c r="A478" t="s">
        <v>1344</v>
      </c>
      <c r="B478" s="3"/>
    </row>
    <row r="479" spans="1:2">
      <c r="A479" t="s">
        <v>1345</v>
      </c>
      <c r="B479" s="3"/>
    </row>
    <row r="480" spans="1:2">
      <c r="A480" t="s">
        <v>883</v>
      </c>
      <c r="B480" s="3">
        <v>121.62</v>
      </c>
    </row>
    <row r="481" spans="1:2">
      <c r="A481" t="s">
        <v>1346</v>
      </c>
      <c r="B481" s="3">
        <v>0</v>
      </c>
    </row>
    <row r="482" spans="1:2">
      <c r="A482" t="s">
        <v>1347</v>
      </c>
      <c r="B482" s="3">
        <v>0</v>
      </c>
    </row>
    <row r="483" spans="1:2">
      <c r="A483" t="s">
        <v>53</v>
      </c>
      <c r="B483" s="3">
        <v>221.7</v>
      </c>
    </row>
    <row r="484" spans="1:2">
      <c r="A484" t="s">
        <v>1348</v>
      </c>
      <c r="B484" s="3">
        <v>40.980000000000004</v>
      </c>
    </row>
    <row r="485" spans="1:2">
      <c r="A485" t="s">
        <v>1349</v>
      </c>
      <c r="B485" s="3">
        <v>85.23</v>
      </c>
    </row>
    <row r="486" spans="1:2">
      <c r="A486" t="s">
        <v>1350</v>
      </c>
      <c r="B486" s="3">
        <v>103.04</v>
      </c>
    </row>
    <row r="487" spans="1:2">
      <c r="A487" t="s">
        <v>1351</v>
      </c>
      <c r="B487" s="3">
        <v>26.43</v>
      </c>
    </row>
    <row r="488" spans="1:2">
      <c r="A488" t="s">
        <v>1352</v>
      </c>
      <c r="B488" s="3">
        <v>31.200000000000003</v>
      </c>
    </row>
    <row r="489" spans="1:2">
      <c r="A489" t="s">
        <v>1353</v>
      </c>
      <c r="B489" s="3">
        <v>80.290000000000006</v>
      </c>
    </row>
    <row r="490" spans="1:2">
      <c r="A490" t="s">
        <v>1354</v>
      </c>
      <c r="B490" s="3">
        <v>185.39999999999998</v>
      </c>
    </row>
    <row r="491" spans="1:2">
      <c r="A491" t="s">
        <v>197</v>
      </c>
      <c r="B491" s="3">
        <v>87.36</v>
      </c>
    </row>
    <row r="492" spans="1:2">
      <c r="A492" t="s">
        <v>900</v>
      </c>
      <c r="B492" s="3">
        <v>0</v>
      </c>
    </row>
    <row r="493" spans="1:2">
      <c r="A493" t="s">
        <v>1355</v>
      </c>
      <c r="B493" s="3">
        <v>75.12</v>
      </c>
    </row>
    <row r="494" spans="1:2">
      <c r="A494" t="s">
        <v>1356</v>
      </c>
      <c r="B494" s="3">
        <v>104.13</v>
      </c>
    </row>
    <row r="495" spans="1:2">
      <c r="A495" t="s">
        <v>1357</v>
      </c>
      <c r="B495" s="3">
        <v>8.14</v>
      </c>
    </row>
    <row r="496" spans="1:2">
      <c r="A496" t="s">
        <v>1358</v>
      </c>
      <c r="B496" s="3">
        <v>9.2099999999999991</v>
      </c>
    </row>
    <row r="497" spans="1:2">
      <c r="A497" t="s">
        <v>1359</v>
      </c>
      <c r="B497" s="3">
        <v>14.73</v>
      </c>
    </row>
    <row r="498" spans="1:2">
      <c r="A498" t="s">
        <v>1360</v>
      </c>
      <c r="B498" s="3">
        <v>18</v>
      </c>
    </row>
    <row r="499" spans="1:2">
      <c r="A499" t="s">
        <v>572</v>
      </c>
      <c r="B499" s="3"/>
    </row>
    <row r="500" spans="1:2">
      <c r="A500" t="s">
        <v>398</v>
      </c>
      <c r="B500" s="3">
        <v>107.6</v>
      </c>
    </row>
    <row r="501" spans="1:2">
      <c r="A501" t="s">
        <v>806</v>
      </c>
      <c r="B501" s="3">
        <v>11.73</v>
      </c>
    </row>
    <row r="502" spans="1:2">
      <c r="A502" t="s">
        <v>399</v>
      </c>
      <c r="B502" s="3">
        <v>187.3</v>
      </c>
    </row>
    <row r="503" spans="1:2">
      <c r="A503" t="s">
        <v>122</v>
      </c>
      <c r="B503" s="3">
        <v>60.718899999999998</v>
      </c>
    </row>
    <row r="504" spans="1:2">
      <c r="A504" t="s">
        <v>113</v>
      </c>
      <c r="B504" s="3">
        <v>56.1</v>
      </c>
    </row>
    <row r="505" spans="1:2">
      <c r="A505" t="s">
        <v>573</v>
      </c>
      <c r="B505" s="3"/>
    </row>
    <row r="506" spans="1:2">
      <c r="A506" t="s">
        <v>926</v>
      </c>
      <c r="B506" s="3">
        <v>13.950000000000001</v>
      </c>
    </row>
    <row r="507" spans="1:2">
      <c r="A507" t="s">
        <v>116</v>
      </c>
      <c r="B507" s="3">
        <v>82</v>
      </c>
    </row>
    <row r="508" spans="1:2">
      <c r="A508" t="s">
        <v>142</v>
      </c>
      <c r="B508" s="3">
        <v>21.000000000000004</v>
      </c>
    </row>
    <row r="509" spans="1:2">
      <c r="A509" t="s">
        <v>177</v>
      </c>
      <c r="B509" s="3">
        <v>43.8</v>
      </c>
    </row>
    <row r="510" spans="1:2">
      <c r="A510" t="s">
        <v>52</v>
      </c>
      <c r="B510" s="3">
        <v>57.999999999999993</v>
      </c>
    </row>
    <row r="511" spans="1:2">
      <c r="A511" t="s">
        <v>117</v>
      </c>
      <c r="B511" s="3">
        <v>73.2</v>
      </c>
    </row>
    <row r="512" spans="1:2">
      <c r="A512" t="s">
        <v>1361</v>
      </c>
      <c r="B512" s="3">
        <v>0</v>
      </c>
    </row>
    <row r="513" spans="1:2">
      <c r="A513" t="s">
        <v>1362</v>
      </c>
      <c r="B513" s="3">
        <v>7</v>
      </c>
    </row>
    <row r="514" spans="1:2">
      <c r="A514" t="s">
        <v>574</v>
      </c>
      <c r="B514" s="3">
        <v>3132</v>
      </c>
    </row>
    <row r="515" spans="1:2">
      <c r="A515" t="s">
        <v>575</v>
      </c>
      <c r="B515" s="3">
        <v>164.67000000000002</v>
      </c>
    </row>
    <row r="516" spans="1:2">
      <c r="A516" t="s">
        <v>576</v>
      </c>
      <c r="B516" s="3">
        <v>385.71</v>
      </c>
    </row>
    <row r="517" spans="1:2">
      <c r="A517" t="s">
        <v>577</v>
      </c>
      <c r="B517" s="3">
        <v>675.36</v>
      </c>
    </row>
    <row r="518" spans="1:2">
      <c r="A518" t="s">
        <v>1363</v>
      </c>
      <c r="B518" s="3">
        <v>17.48</v>
      </c>
    </row>
    <row r="519" spans="1:2">
      <c r="A519" t="s">
        <v>191</v>
      </c>
      <c r="B519" s="3">
        <v>109.12</v>
      </c>
    </row>
    <row r="520" spans="1:2">
      <c r="A520" t="s">
        <v>1364</v>
      </c>
      <c r="B520" s="3">
        <v>3.12</v>
      </c>
    </row>
    <row r="521" spans="1:2">
      <c r="A521" t="s">
        <v>1365</v>
      </c>
      <c r="B521" s="3">
        <v>3.1500000000000004</v>
      </c>
    </row>
    <row r="522" spans="1:2">
      <c r="A522" t="s">
        <v>1366</v>
      </c>
      <c r="B522" s="3"/>
    </row>
    <row r="523" spans="1:2">
      <c r="A523" t="s">
        <v>927</v>
      </c>
      <c r="B523" s="3"/>
    </row>
    <row r="524" spans="1:2">
      <c r="A524" t="s">
        <v>1367</v>
      </c>
      <c r="B524" s="3"/>
    </row>
    <row r="525" spans="1:2">
      <c r="A525" t="s">
        <v>155</v>
      </c>
      <c r="B525" s="3">
        <v>61.900000000000006</v>
      </c>
    </row>
    <row r="526" spans="1:2">
      <c r="A526" t="s">
        <v>1368</v>
      </c>
      <c r="B526" s="3"/>
    </row>
    <row r="527" spans="1:2">
      <c r="A527" t="s">
        <v>1369</v>
      </c>
      <c r="B527" s="3">
        <v>32.04</v>
      </c>
    </row>
    <row r="528" spans="1:2">
      <c r="A528" t="s">
        <v>1370</v>
      </c>
      <c r="B528" s="3"/>
    </row>
    <row r="529" spans="1:2">
      <c r="A529" t="s">
        <v>578</v>
      </c>
      <c r="B529" s="3"/>
    </row>
    <row r="530" spans="1:2">
      <c r="A530" t="s">
        <v>80</v>
      </c>
      <c r="B530" s="3">
        <v>20.52</v>
      </c>
    </row>
    <row r="531" spans="1:2">
      <c r="A531" t="s">
        <v>809</v>
      </c>
      <c r="B531" s="3">
        <v>60.129999999999995</v>
      </c>
    </row>
    <row r="532" spans="1:2">
      <c r="A532" t="s">
        <v>372</v>
      </c>
      <c r="B532" s="3">
        <v>2.82</v>
      </c>
    </row>
    <row r="533" spans="1:2">
      <c r="A533" t="s">
        <v>1371</v>
      </c>
      <c r="B533" s="3"/>
    </row>
    <row r="534" spans="1:2">
      <c r="A534" t="s">
        <v>373</v>
      </c>
      <c r="B534" s="3">
        <v>48.159199999999998</v>
      </c>
    </row>
    <row r="535" spans="1:2">
      <c r="A535" t="s">
        <v>1372</v>
      </c>
      <c r="B535" s="3">
        <v>13.85</v>
      </c>
    </row>
    <row r="536" spans="1:2">
      <c r="A536" t="s">
        <v>371</v>
      </c>
      <c r="B536" s="3">
        <v>10.88</v>
      </c>
    </row>
    <row r="537" spans="1:2">
      <c r="A537" t="s">
        <v>81</v>
      </c>
      <c r="B537" s="3">
        <v>164.32</v>
      </c>
    </row>
    <row r="538" spans="1:2">
      <c r="A538" t="s">
        <v>374</v>
      </c>
      <c r="B538" s="3">
        <v>2.88</v>
      </c>
    </row>
    <row r="539" spans="1:2">
      <c r="A539" t="s">
        <v>1373</v>
      </c>
      <c r="B539" s="3">
        <v>13.56</v>
      </c>
    </row>
    <row r="540" spans="1:2">
      <c r="A540" t="s">
        <v>810</v>
      </c>
      <c r="B540" s="3"/>
    </row>
    <row r="541" spans="1:2">
      <c r="A541" t="s">
        <v>1034</v>
      </c>
      <c r="B541" s="3"/>
    </row>
    <row r="542" spans="1:2">
      <c r="A542" t="s">
        <v>216</v>
      </c>
      <c r="B542" s="3">
        <v>43.38</v>
      </c>
    </row>
    <row r="543" spans="1:2">
      <c r="A543" t="s">
        <v>579</v>
      </c>
      <c r="B543" s="3"/>
    </row>
    <row r="544" spans="1:2">
      <c r="A544" t="s">
        <v>580</v>
      </c>
      <c r="B544" s="3"/>
    </row>
    <row r="545" spans="1:2">
      <c r="A545" t="s">
        <v>811</v>
      </c>
      <c r="B545" s="3">
        <v>7.1</v>
      </c>
    </row>
    <row r="546" spans="1:2">
      <c r="A546" t="s">
        <v>1076</v>
      </c>
      <c r="B546" s="3">
        <v>20.72</v>
      </c>
    </row>
    <row r="547" spans="1:2">
      <c r="A547" t="s">
        <v>1374</v>
      </c>
      <c r="B547" s="3">
        <v>21.7</v>
      </c>
    </row>
    <row r="548" spans="1:2">
      <c r="A548" t="s">
        <v>105</v>
      </c>
      <c r="B548" s="3">
        <v>188.16</v>
      </c>
    </row>
    <row r="549" spans="1:2">
      <c r="A549" t="s">
        <v>1041</v>
      </c>
      <c r="B549" s="3">
        <v>0</v>
      </c>
    </row>
    <row r="550" spans="1:2">
      <c r="A550" t="s">
        <v>680</v>
      </c>
      <c r="B550" s="3">
        <v>66.08</v>
      </c>
    </row>
    <row r="551" spans="1:2">
      <c r="A551" t="s">
        <v>928</v>
      </c>
      <c r="B551" s="3">
        <v>22.14</v>
      </c>
    </row>
    <row r="552" spans="1:2">
      <c r="A552" t="s">
        <v>1375</v>
      </c>
      <c r="B552" s="3"/>
    </row>
    <row r="553" spans="1:2">
      <c r="A553" t="s">
        <v>1376</v>
      </c>
      <c r="B553" s="3">
        <v>45.24</v>
      </c>
    </row>
    <row r="554" spans="1:2">
      <c r="A554" t="s">
        <v>1377</v>
      </c>
      <c r="B554" s="3">
        <v>12.16</v>
      </c>
    </row>
    <row r="555" spans="1:2">
      <c r="A555" t="s">
        <v>929</v>
      </c>
      <c r="B555" s="3">
        <v>23.2</v>
      </c>
    </row>
    <row r="556" spans="1:2">
      <c r="A556" t="s">
        <v>1072</v>
      </c>
      <c r="B556" s="3"/>
    </row>
    <row r="557" spans="1:2">
      <c r="A557" t="s">
        <v>581</v>
      </c>
      <c r="B557" s="3"/>
    </row>
    <row r="558" spans="1:2">
      <c r="A558" t="s">
        <v>219</v>
      </c>
      <c r="B558" s="3">
        <v>131.91999999999999</v>
      </c>
    </row>
    <row r="559" spans="1:2">
      <c r="A559" t="s">
        <v>930</v>
      </c>
      <c r="B559" s="3">
        <v>11.6</v>
      </c>
    </row>
    <row r="560" spans="1:2">
      <c r="A560" t="s">
        <v>1059</v>
      </c>
      <c r="B560" s="3">
        <v>32.85</v>
      </c>
    </row>
    <row r="561" spans="1:2">
      <c r="A561" t="s">
        <v>1060</v>
      </c>
      <c r="B561" s="3">
        <v>32.85</v>
      </c>
    </row>
    <row r="562" spans="1:2">
      <c r="A562" t="s">
        <v>1061</v>
      </c>
      <c r="B562" s="3">
        <v>6</v>
      </c>
    </row>
    <row r="563" spans="1:2">
      <c r="A563" t="s">
        <v>681</v>
      </c>
      <c r="B563" s="3"/>
    </row>
    <row r="564" spans="1:2">
      <c r="A564" t="s">
        <v>1378</v>
      </c>
      <c r="B564" s="3">
        <v>102.52000000000001</v>
      </c>
    </row>
    <row r="565" spans="1:2">
      <c r="A565" t="s">
        <v>1379</v>
      </c>
      <c r="B565" s="3">
        <v>178.6</v>
      </c>
    </row>
    <row r="566" spans="1:2">
      <c r="A566" t="s">
        <v>582</v>
      </c>
      <c r="B566" s="3">
        <v>157.44</v>
      </c>
    </row>
    <row r="567" spans="1:2">
      <c r="A567" t="s">
        <v>668</v>
      </c>
      <c r="B567" s="3">
        <v>335.55</v>
      </c>
    </row>
    <row r="568" spans="1:2">
      <c r="A568" t="s">
        <v>931</v>
      </c>
      <c r="B568" s="3">
        <v>4176.6000000000004</v>
      </c>
    </row>
    <row r="569" spans="1:2">
      <c r="A569" t="s">
        <v>1038</v>
      </c>
      <c r="B569" s="3"/>
    </row>
    <row r="570" spans="1:2">
      <c r="A570" t="s">
        <v>714</v>
      </c>
      <c r="B570" s="3">
        <v>1.26</v>
      </c>
    </row>
    <row r="571" spans="1:2">
      <c r="A571" t="s">
        <v>862</v>
      </c>
      <c r="B571" s="3">
        <v>147.69999999999999</v>
      </c>
    </row>
    <row r="572" spans="1:2">
      <c r="A572" t="s">
        <v>715</v>
      </c>
      <c r="B572" s="3">
        <v>0</v>
      </c>
    </row>
    <row r="573" spans="1:2">
      <c r="A573" t="s">
        <v>847</v>
      </c>
      <c r="B573" s="3">
        <v>33.989999999999995</v>
      </c>
    </row>
    <row r="574" spans="1:2">
      <c r="A574" t="s">
        <v>1380</v>
      </c>
      <c r="B574" s="3">
        <v>0</v>
      </c>
    </row>
    <row r="575" spans="1:2">
      <c r="A575" t="s">
        <v>1381</v>
      </c>
      <c r="B575" s="3"/>
    </row>
    <row r="576" spans="1:2">
      <c r="A576" t="s">
        <v>716</v>
      </c>
      <c r="B576" s="3">
        <v>118.55000000000001</v>
      </c>
    </row>
    <row r="577" spans="1:2">
      <c r="A577" t="s">
        <v>535</v>
      </c>
      <c r="B577" s="3">
        <v>102.6</v>
      </c>
    </row>
    <row r="578" spans="1:2">
      <c r="A578" t="s">
        <v>583</v>
      </c>
      <c r="B578" s="3">
        <v>179.85</v>
      </c>
    </row>
    <row r="579" spans="1:2">
      <c r="A579" t="s">
        <v>717</v>
      </c>
      <c r="B579" s="3">
        <v>129.6</v>
      </c>
    </row>
    <row r="580" spans="1:2">
      <c r="A580" t="s">
        <v>1382</v>
      </c>
      <c r="B580" s="3">
        <v>36.660000000000004</v>
      </c>
    </row>
    <row r="581" spans="1:2">
      <c r="A581" t="s">
        <v>1383</v>
      </c>
      <c r="B581" s="3">
        <v>8.6</v>
      </c>
    </row>
    <row r="582" spans="1:2">
      <c r="A582" t="s">
        <v>1384</v>
      </c>
      <c r="B582" s="3">
        <v>0</v>
      </c>
    </row>
    <row r="583" spans="1:2">
      <c r="A583" t="s">
        <v>697</v>
      </c>
      <c r="B583" s="3">
        <v>0</v>
      </c>
    </row>
    <row r="584" spans="1:2">
      <c r="A584" t="s">
        <v>718</v>
      </c>
      <c r="B584" s="3">
        <v>85.1</v>
      </c>
    </row>
    <row r="585" spans="1:2">
      <c r="A585" t="s">
        <v>1385</v>
      </c>
      <c r="B585" s="3">
        <v>31.84</v>
      </c>
    </row>
    <row r="586" spans="1:2">
      <c r="A586" t="s">
        <v>719</v>
      </c>
      <c r="B586" s="3">
        <v>68.989999999999995</v>
      </c>
    </row>
    <row r="587" spans="1:2">
      <c r="A587" t="s">
        <v>633</v>
      </c>
      <c r="B587" s="3">
        <v>32</v>
      </c>
    </row>
    <row r="588" spans="1:2">
      <c r="A588" t="s">
        <v>632</v>
      </c>
      <c r="B588" s="3">
        <v>452.20000000000005</v>
      </c>
    </row>
    <row r="589" spans="1:2">
      <c r="A589" t="s">
        <v>278</v>
      </c>
      <c r="B589" s="3">
        <v>3639.46</v>
      </c>
    </row>
    <row r="590" spans="1:2">
      <c r="A590" t="s">
        <v>192</v>
      </c>
      <c r="B590" s="3">
        <v>2832</v>
      </c>
    </row>
    <row r="591" spans="1:2">
      <c r="A591" t="s">
        <v>1386</v>
      </c>
      <c r="B591" s="3">
        <v>0</v>
      </c>
    </row>
    <row r="592" spans="1:2">
      <c r="A592" t="s">
        <v>304</v>
      </c>
      <c r="B592" s="3">
        <v>275.2</v>
      </c>
    </row>
    <row r="593" spans="1:2">
      <c r="A593" t="s">
        <v>584</v>
      </c>
      <c r="B593" s="3">
        <v>454.8</v>
      </c>
    </row>
    <row r="594" spans="1:2">
      <c r="A594" t="s">
        <v>585</v>
      </c>
      <c r="B594" s="3">
        <v>393.6</v>
      </c>
    </row>
    <row r="595" spans="1:2">
      <c r="A595" t="s">
        <v>557</v>
      </c>
      <c r="B595" s="3">
        <v>2933.9549999999999</v>
      </c>
    </row>
    <row r="596" spans="1:2">
      <c r="A596" t="s">
        <v>863</v>
      </c>
      <c r="B596" s="3">
        <v>307.2</v>
      </c>
    </row>
    <row r="597" spans="1:2">
      <c r="A597" t="s">
        <v>1077</v>
      </c>
      <c r="B597" s="3">
        <v>0</v>
      </c>
    </row>
    <row r="598" spans="1:2">
      <c r="A598" t="s">
        <v>1078</v>
      </c>
      <c r="B598" s="3">
        <v>0</v>
      </c>
    </row>
    <row r="599" spans="1:2">
      <c r="A599" t="s">
        <v>1079</v>
      </c>
      <c r="B599" s="3">
        <v>0</v>
      </c>
    </row>
    <row r="600" spans="1:2">
      <c r="A600" t="s">
        <v>1080</v>
      </c>
      <c r="B600" s="3">
        <v>0</v>
      </c>
    </row>
    <row r="601" spans="1:2">
      <c r="A601" t="s">
        <v>669</v>
      </c>
      <c r="B601" s="3">
        <v>51.75</v>
      </c>
    </row>
    <row r="602" spans="1:2">
      <c r="A602" t="s">
        <v>682</v>
      </c>
      <c r="B602" s="3">
        <v>263.2</v>
      </c>
    </row>
    <row r="603" spans="1:2">
      <c r="A603" t="s">
        <v>932</v>
      </c>
      <c r="B603" s="3"/>
    </row>
    <row r="604" spans="1:2">
      <c r="A604" t="s">
        <v>586</v>
      </c>
      <c r="B604" s="3">
        <v>21.76</v>
      </c>
    </row>
    <row r="605" spans="1:2">
      <c r="A605" t="s">
        <v>1387</v>
      </c>
      <c r="B605" s="3">
        <v>20.700000000000003</v>
      </c>
    </row>
    <row r="606" spans="1:2">
      <c r="A606" t="s">
        <v>16</v>
      </c>
      <c r="B606" s="3">
        <v>0</v>
      </c>
    </row>
    <row r="607" spans="1:2">
      <c r="A607" t="s">
        <v>1388</v>
      </c>
      <c r="B607" s="3">
        <v>2.3800000000000003</v>
      </c>
    </row>
    <row r="608" spans="1:2">
      <c r="A608" t="s">
        <v>1389</v>
      </c>
      <c r="B608" s="3">
        <v>3.08</v>
      </c>
    </row>
    <row r="609" spans="1:2">
      <c r="A609" t="s">
        <v>1390</v>
      </c>
      <c r="B609" s="3">
        <v>3.05</v>
      </c>
    </row>
    <row r="610" spans="1:2">
      <c r="A610" t="s">
        <v>1391</v>
      </c>
      <c r="B610" s="3">
        <v>2.5</v>
      </c>
    </row>
    <row r="611" spans="1:2">
      <c r="A611" t="s">
        <v>1392</v>
      </c>
      <c r="B611" s="3"/>
    </row>
    <row r="612" spans="1:2">
      <c r="A612" t="s">
        <v>1393</v>
      </c>
      <c r="B612" s="3">
        <v>4.84</v>
      </c>
    </row>
    <row r="613" spans="1:2">
      <c r="A613" t="s">
        <v>884</v>
      </c>
      <c r="B613" s="3"/>
    </row>
    <row r="614" spans="1:2">
      <c r="A614" t="s">
        <v>720</v>
      </c>
      <c r="B614" s="3">
        <v>46.64</v>
      </c>
    </row>
    <row r="615" spans="1:2">
      <c r="A615" t="s">
        <v>885</v>
      </c>
      <c r="B615" s="3">
        <v>0.1</v>
      </c>
    </row>
    <row r="616" spans="1:2">
      <c r="A616" t="s">
        <v>1394</v>
      </c>
      <c r="B616" s="3">
        <v>3.08</v>
      </c>
    </row>
    <row r="617" spans="1:2">
      <c r="A617" t="s">
        <v>1395</v>
      </c>
      <c r="B617" s="3">
        <v>1.1200000000000001</v>
      </c>
    </row>
    <row r="618" spans="1:2">
      <c r="A618" t="s">
        <v>1396</v>
      </c>
      <c r="B618" s="3">
        <v>0</v>
      </c>
    </row>
    <row r="619" spans="1:2">
      <c r="A619" t="s">
        <v>1397</v>
      </c>
      <c r="B619" s="3">
        <v>0</v>
      </c>
    </row>
    <row r="620" spans="1:2">
      <c r="A620" t="s">
        <v>933</v>
      </c>
      <c r="B620" s="3">
        <v>19</v>
      </c>
    </row>
    <row r="621" spans="1:2">
      <c r="A621" t="s">
        <v>1398</v>
      </c>
      <c r="B621" s="3">
        <v>1.1400000000000001</v>
      </c>
    </row>
    <row r="622" spans="1:2">
      <c r="A622" t="s">
        <v>731</v>
      </c>
      <c r="B622" s="3"/>
    </row>
    <row r="623" spans="1:2">
      <c r="A623" t="s">
        <v>1399</v>
      </c>
      <c r="B623" s="3"/>
    </row>
    <row r="624" spans="1:2">
      <c r="A624" t="s">
        <v>1400</v>
      </c>
      <c r="B624" s="3">
        <v>0</v>
      </c>
    </row>
    <row r="625" spans="1:2">
      <c r="A625" t="s">
        <v>1049</v>
      </c>
      <c r="B625" s="3"/>
    </row>
    <row r="626" spans="1:2">
      <c r="A626" t="s">
        <v>1401</v>
      </c>
      <c r="B626" s="3"/>
    </row>
    <row r="627" spans="1:2">
      <c r="A627" t="s">
        <v>1402</v>
      </c>
      <c r="B627" s="3">
        <v>0</v>
      </c>
    </row>
    <row r="628" spans="1:2">
      <c r="A628" t="s">
        <v>538</v>
      </c>
      <c r="B628" s="3">
        <v>6.33</v>
      </c>
    </row>
    <row r="629" spans="1:2">
      <c r="A629" t="s">
        <v>299</v>
      </c>
      <c r="B629" s="3">
        <v>6.9</v>
      </c>
    </row>
    <row r="630" spans="1:2">
      <c r="A630" t="s">
        <v>1403</v>
      </c>
      <c r="B630" s="3">
        <v>37.17</v>
      </c>
    </row>
    <row r="631" spans="1:2">
      <c r="A631" t="s">
        <v>587</v>
      </c>
      <c r="B631" s="3">
        <v>0</v>
      </c>
    </row>
    <row r="632" spans="1:2">
      <c r="A632" t="s">
        <v>503</v>
      </c>
      <c r="B632" s="3">
        <v>50.4</v>
      </c>
    </row>
    <row r="633" spans="1:2">
      <c r="A633" t="s">
        <v>670</v>
      </c>
      <c r="B633" s="3">
        <v>77</v>
      </c>
    </row>
    <row r="634" spans="1:2">
      <c r="A634" t="s">
        <v>1404</v>
      </c>
      <c r="B634" s="3">
        <v>0</v>
      </c>
    </row>
    <row r="635" spans="1:2">
      <c r="A635" t="s">
        <v>934</v>
      </c>
      <c r="B635" s="3">
        <v>0</v>
      </c>
    </row>
    <row r="636" spans="1:2">
      <c r="A636" t="s">
        <v>748</v>
      </c>
      <c r="B636" s="3">
        <v>0.89999999999999991</v>
      </c>
    </row>
    <row r="637" spans="1:2">
      <c r="A637" t="s">
        <v>1405</v>
      </c>
      <c r="B637" s="3">
        <v>2.4</v>
      </c>
    </row>
    <row r="638" spans="1:2">
      <c r="A638" t="s">
        <v>1406</v>
      </c>
      <c r="B638" s="3">
        <v>3.08</v>
      </c>
    </row>
    <row r="639" spans="1:2">
      <c r="A639" t="s">
        <v>1407</v>
      </c>
      <c r="B639" s="3">
        <v>0</v>
      </c>
    </row>
    <row r="640" spans="1:2">
      <c r="A640" t="s">
        <v>1408</v>
      </c>
      <c r="B640" s="3">
        <v>1.9600000000000002</v>
      </c>
    </row>
    <row r="641" spans="1:2">
      <c r="A641" t="s">
        <v>721</v>
      </c>
      <c r="B641" s="3">
        <v>0</v>
      </c>
    </row>
    <row r="642" spans="1:2">
      <c r="A642" t="s">
        <v>1409</v>
      </c>
      <c r="B642" s="3">
        <v>3.06</v>
      </c>
    </row>
    <row r="643" spans="1:2">
      <c r="A643" t="s">
        <v>1410</v>
      </c>
      <c r="B643" s="3">
        <v>3.0300000000000002</v>
      </c>
    </row>
    <row r="644" spans="1:2">
      <c r="A644" t="s">
        <v>1411</v>
      </c>
      <c r="B644" s="3">
        <v>2.4300000000000002</v>
      </c>
    </row>
    <row r="645" spans="1:2">
      <c r="A645" t="s">
        <v>1412</v>
      </c>
      <c r="B645" s="3">
        <v>0</v>
      </c>
    </row>
    <row r="646" spans="1:2">
      <c r="A646" t="s">
        <v>722</v>
      </c>
      <c r="B646" s="3">
        <v>13.919999999999998</v>
      </c>
    </row>
    <row r="647" spans="1:2">
      <c r="A647" t="s">
        <v>723</v>
      </c>
      <c r="B647" s="3">
        <v>39.36</v>
      </c>
    </row>
    <row r="648" spans="1:2">
      <c r="A648" t="s">
        <v>1413</v>
      </c>
      <c r="B648" s="3">
        <v>4.5598000000000001</v>
      </c>
    </row>
    <row r="649" spans="1:2">
      <c r="A649" t="s">
        <v>1414</v>
      </c>
      <c r="B649" s="3">
        <v>1.22</v>
      </c>
    </row>
    <row r="650" spans="1:2">
      <c r="A650" t="s">
        <v>935</v>
      </c>
      <c r="B650" s="3">
        <v>55.32</v>
      </c>
    </row>
    <row r="651" spans="1:2">
      <c r="A651" t="s">
        <v>1415</v>
      </c>
      <c r="B651" s="3">
        <v>20.04</v>
      </c>
    </row>
    <row r="652" spans="1:2">
      <c r="A652" t="s">
        <v>1416</v>
      </c>
      <c r="B652" s="3">
        <v>25.1</v>
      </c>
    </row>
    <row r="653" spans="1:2">
      <c r="A653" t="s">
        <v>671</v>
      </c>
      <c r="B653" s="3">
        <v>1447.2</v>
      </c>
    </row>
    <row r="654" spans="1:2">
      <c r="A654" t="s">
        <v>724</v>
      </c>
      <c r="B654" s="3">
        <v>1241.7929999999999</v>
      </c>
    </row>
    <row r="655" spans="1:2">
      <c r="A655" t="s">
        <v>725</v>
      </c>
      <c r="B655" s="3">
        <v>88.43889999999999</v>
      </c>
    </row>
    <row r="656" spans="1:2">
      <c r="A656" t="s">
        <v>1417</v>
      </c>
      <c r="B656" s="3"/>
    </row>
    <row r="657" spans="1:2">
      <c r="A657" t="s">
        <v>1418</v>
      </c>
      <c r="B657" s="3"/>
    </row>
    <row r="658" spans="1:2">
      <c r="A658" t="s">
        <v>1419</v>
      </c>
      <c r="B658" s="3"/>
    </row>
    <row r="659" spans="1:2">
      <c r="A659" t="s">
        <v>1420</v>
      </c>
      <c r="B659" s="3"/>
    </row>
    <row r="660" spans="1:2">
      <c r="A660" t="s">
        <v>672</v>
      </c>
      <c r="B660" s="3"/>
    </row>
    <row r="661" spans="1:2">
      <c r="A661" t="s">
        <v>1421</v>
      </c>
      <c r="B661" s="3"/>
    </row>
    <row r="662" spans="1:2">
      <c r="A662" t="s">
        <v>1422</v>
      </c>
      <c r="B662" s="3"/>
    </row>
    <row r="663" spans="1:2">
      <c r="A663" t="s">
        <v>1423</v>
      </c>
      <c r="B663" s="3"/>
    </row>
    <row r="664" spans="1:2">
      <c r="A664" t="s">
        <v>1424</v>
      </c>
      <c r="B664" s="3"/>
    </row>
    <row r="665" spans="1:2">
      <c r="A665" t="s">
        <v>1425</v>
      </c>
      <c r="B665" s="3"/>
    </row>
    <row r="666" spans="1:2">
      <c r="A666" t="s">
        <v>1426</v>
      </c>
      <c r="B666" s="3">
        <v>68.349999999999994</v>
      </c>
    </row>
    <row r="667" spans="1:2">
      <c r="A667" t="s">
        <v>1427</v>
      </c>
      <c r="B667" s="3">
        <v>0</v>
      </c>
    </row>
    <row r="668" spans="1:2">
      <c r="A668" t="s">
        <v>1428</v>
      </c>
      <c r="B668" s="3">
        <v>66.650000000000006</v>
      </c>
    </row>
    <row r="669" spans="1:2">
      <c r="A669" t="s">
        <v>1429</v>
      </c>
      <c r="B669" s="3">
        <v>91.88</v>
      </c>
    </row>
    <row r="670" spans="1:2">
      <c r="A670" t="s">
        <v>1430</v>
      </c>
      <c r="B670" s="3">
        <v>200.4597</v>
      </c>
    </row>
    <row r="671" spans="1:2">
      <c r="A671" t="s">
        <v>1431</v>
      </c>
      <c r="B671" s="3">
        <v>57.15</v>
      </c>
    </row>
    <row r="672" spans="1:2">
      <c r="A672" t="s">
        <v>1432</v>
      </c>
      <c r="B672" s="3">
        <v>94.52</v>
      </c>
    </row>
    <row r="673" spans="1:2">
      <c r="A673" t="s">
        <v>936</v>
      </c>
      <c r="B673" s="3">
        <v>55.9</v>
      </c>
    </row>
    <row r="674" spans="1:2">
      <c r="A674" t="s">
        <v>1433</v>
      </c>
      <c r="B674" s="3"/>
    </row>
    <row r="675" spans="1:2">
      <c r="A675" t="s">
        <v>1434</v>
      </c>
      <c r="B675" s="3">
        <v>51.54</v>
      </c>
    </row>
    <row r="676" spans="1:2">
      <c r="A676" t="s">
        <v>651</v>
      </c>
      <c r="B676" s="3">
        <v>189.14999999999998</v>
      </c>
    </row>
    <row r="677" spans="1:2">
      <c r="A677" t="s">
        <v>504</v>
      </c>
      <c r="B677" s="3">
        <v>195.24</v>
      </c>
    </row>
    <row r="678" spans="1:2">
      <c r="A678" t="s">
        <v>635</v>
      </c>
      <c r="B678" s="3">
        <v>94.98</v>
      </c>
    </row>
    <row r="679" spans="1:2">
      <c r="A679" t="s">
        <v>1435</v>
      </c>
      <c r="B679" s="3">
        <v>27.93</v>
      </c>
    </row>
    <row r="680" spans="1:2">
      <c r="A680" t="s">
        <v>1436</v>
      </c>
      <c r="B680" s="3">
        <v>0</v>
      </c>
    </row>
    <row r="681" spans="1:2">
      <c r="A681" t="s">
        <v>1437</v>
      </c>
      <c r="B681" s="3">
        <v>127.38</v>
      </c>
    </row>
    <row r="682" spans="1:2">
      <c r="A682" t="s">
        <v>937</v>
      </c>
      <c r="B682" s="3">
        <v>118.8</v>
      </c>
    </row>
    <row r="683" spans="1:2">
      <c r="A683" t="s">
        <v>1438</v>
      </c>
      <c r="B683" s="3">
        <v>36.65</v>
      </c>
    </row>
    <row r="684" spans="1:2">
      <c r="A684" t="s">
        <v>1439</v>
      </c>
      <c r="B684" s="3">
        <v>36.65</v>
      </c>
    </row>
    <row r="685" spans="1:2">
      <c r="A685" t="s">
        <v>47</v>
      </c>
      <c r="B685" s="3">
        <v>839.596</v>
      </c>
    </row>
    <row r="686" spans="1:2">
      <c r="A686" t="s">
        <v>1440</v>
      </c>
      <c r="B686" s="3"/>
    </row>
    <row r="687" spans="1:2">
      <c r="A687" t="s">
        <v>267</v>
      </c>
      <c r="B687" s="3">
        <v>78.34</v>
      </c>
    </row>
    <row r="688" spans="1:2">
      <c r="A688" t="s">
        <v>1441</v>
      </c>
      <c r="B688" s="3">
        <v>71.180000000000007</v>
      </c>
    </row>
    <row r="689" spans="1:2">
      <c r="A689" t="s">
        <v>938</v>
      </c>
      <c r="B689" s="3">
        <v>191.04</v>
      </c>
    </row>
    <row r="690" spans="1:2">
      <c r="A690" t="s">
        <v>1442</v>
      </c>
      <c r="B690" s="3">
        <v>62.64</v>
      </c>
    </row>
    <row r="691" spans="1:2">
      <c r="A691" t="s">
        <v>1443</v>
      </c>
      <c r="B691" s="3">
        <v>42.72</v>
      </c>
    </row>
    <row r="692" spans="1:2">
      <c r="A692" t="s">
        <v>939</v>
      </c>
      <c r="B692" s="3">
        <v>69.27</v>
      </c>
    </row>
    <row r="693" spans="1:2">
      <c r="A693" t="s">
        <v>876</v>
      </c>
      <c r="B693" s="3">
        <v>112.15</v>
      </c>
    </row>
    <row r="694" spans="1:2">
      <c r="A694" t="s">
        <v>588</v>
      </c>
      <c r="B694" s="3">
        <v>623.40000000000009</v>
      </c>
    </row>
    <row r="695" spans="1:2">
      <c r="A695" t="s">
        <v>1444</v>
      </c>
      <c r="B695" s="3">
        <v>0</v>
      </c>
    </row>
    <row r="696" spans="1:2">
      <c r="A696" t="s">
        <v>391</v>
      </c>
      <c r="B696" s="3">
        <v>351.70000000000005</v>
      </c>
    </row>
    <row r="697" spans="1:2">
      <c r="A697" t="s">
        <v>218</v>
      </c>
      <c r="B697" s="3">
        <v>1436.8000000000002</v>
      </c>
    </row>
    <row r="698" spans="1:2">
      <c r="A698" t="s">
        <v>940</v>
      </c>
      <c r="B698" s="3">
        <v>0</v>
      </c>
    </row>
    <row r="699" spans="1:2">
      <c r="A699" t="s">
        <v>1445</v>
      </c>
      <c r="B699" s="3">
        <v>52.86</v>
      </c>
    </row>
    <row r="700" spans="1:2">
      <c r="A700" t="s">
        <v>941</v>
      </c>
      <c r="B700" s="3">
        <v>27.78</v>
      </c>
    </row>
    <row r="701" spans="1:2">
      <c r="A701" t="s">
        <v>901</v>
      </c>
      <c r="B701" s="3">
        <v>98.42</v>
      </c>
    </row>
    <row r="702" spans="1:2">
      <c r="A702" t="s">
        <v>238</v>
      </c>
      <c r="B702" s="3">
        <v>162.65</v>
      </c>
    </row>
    <row r="703" spans="1:2">
      <c r="A703" t="s">
        <v>1446</v>
      </c>
      <c r="B703" s="3">
        <v>0</v>
      </c>
    </row>
    <row r="704" spans="1:2">
      <c r="A704" t="s">
        <v>749</v>
      </c>
      <c r="B704" s="3">
        <v>130.9196</v>
      </c>
    </row>
    <row r="705" spans="1:2">
      <c r="A705" t="s">
        <v>1447</v>
      </c>
      <c r="B705" s="3">
        <v>0</v>
      </c>
    </row>
    <row r="706" spans="1:2">
      <c r="A706" t="s">
        <v>1448</v>
      </c>
      <c r="B706" s="3">
        <v>0</v>
      </c>
    </row>
    <row r="707" spans="1:2">
      <c r="A707" t="s">
        <v>1449</v>
      </c>
      <c r="B707" s="3">
        <v>0</v>
      </c>
    </row>
    <row r="708" spans="1:2">
      <c r="A708" t="s">
        <v>1450</v>
      </c>
      <c r="B708" s="3">
        <v>31.740000000000002</v>
      </c>
    </row>
    <row r="709" spans="1:2">
      <c r="A709" t="s">
        <v>1451</v>
      </c>
      <c r="B709" s="3"/>
    </row>
    <row r="710" spans="1:2">
      <c r="A710" t="s">
        <v>1452</v>
      </c>
      <c r="B710" s="3">
        <v>0</v>
      </c>
    </row>
    <row r="711" spans="1:2">
      <c r="A711" t="s">
        <v>821</v>
      </c>
      <c r="B711" s="3">
        <v>72.400000000000006</v>
      </c>
    </row>
    <row r="712" spans="1:2">
      <c r="A712" t="s">
        <v>877</v>
      </c>
      <c r="B712" s="3">
        <v>97.4</v>
      </c>
    </row>
    <row r="713" spans="1:2">
      <c r="A713" t="s">
        <v>1453</v>
      </c>
      <c r="B713" s="3">
        <v>55.260000000000005</v>
      </c>
    </row>
    <row r="714" spans="1:2">
      <c r="A714" t="s">
        <v>589</v>
      </c>
      <c r="B714" s="3">
        <v>0</v>
      </c>
    </row>
    <row r="715" spans="1:2">
      <c r="A715" t="s">
        <v>1454</v>
      </c>
      <c r="B715" s="3">
        <v>0</v>
      </c>
    </row>
    <row r="716" spans="1:2">
      <c r="A716" t="s">
        <v>1455</v>
      </c>
      <c r="B716" s="3">
        <v>0</v>
      </c>
    </row>
    <row r="717" spans="1:2">
      <c r="A717" t="s">
        <v>529</v>
      </c>
      <c r="B717" s="3">
        <v>6.5</v>
      </c>
    </row>
    <row r="718" spans="1:2">
      <c r="A718" t="s">
        <v>1456</v>
      </c>
      <c r="B718" s="3">
        <v>6.1</v>
      </c>
    </row>
    <row r="719" spans="1:2">
      <c r="A719" t="s">
        <v>1457</v>
      </c>
      <c r="B719" s="3">
        <v>16.45</v>
      </c>
    </row>
    <row r="720" spans="1:2">
      <c r="A720" t="s">
        <v>1458</v>
      </c>
      <c r="B720" s="3">
        <v>0</v>
      </c>
    </row>
    <row r="721" spans="1:2">
      <c r="A721" t="s">
        <v>738</v>
      </c>
      <c r="B721" s="3">
        <v>78.400000000000006</v>
      </c>
    </row>
    <row r="722" spans="1:2">
      <c r="A722" t="s">
        <v>1459</v>
      </c>
      <c r="B722" s="3">
        <v>28.72</v>
      </c>
    </row>
    <row r="723" spans="1:2">
      <c r="A723" t="s">
        <v>1460</v>
      </c>
      <c r="B723" s="3">
        <v>7.08</v>
      </c>
    </row>
    <row r="724" spans="1:2">
      <c r="A724" t="s">
        <v>1461</v>
      </c>
      <c r="B724" s="3">
        <v>0</v>
      </c>
    </row>
    <row r="725" spans="1:2">
      <c r="A725" t="s">
        <v>190</v>
      </c>
      <c r="B725" s="3">
        <v>141.12</v>
      </c>
    </row>
    <row r="726" spans="1:2">
      <c r="A726" t="s">
        <v>240</v>
      </c>
      <c r="B726" s="3">
        <v>439.32</v>
      </c>
    </row>
    <row r="727" spans="1:2">
      <c r="A727" t="s">
        <v>114</v>
      </c>
      <c r="B727" s="3">
        <v>235.79899999999998</v>
      </c>
    </row>
    <row r="728" spans="1:2">
      <c r="A728" t="s">
        <v>138</v>
      </c>
      <c r="B728" s="3">
        <v>182.60000000000002</v>
      </c>
    </row>
    <row r="729" spans="1:2">
      <c r="A729" t="s">
        <v>1462</v>
      </c>
      <c r="B729" s="3">
        <v>0</v>
      </c>
    </row>
    <row r="730" spans="1:2">
      <c r="A730" t="s">
        <v>636</v>
      </c>
      <c r="B730" s="3">
        <v>135.29999999999998</v>
      </c>
    </row>
    <row r="731" spans="1:2">
      <c r="A731" t="s">
        <v>1463</v>
      </c>
      <c r="B731" s="3">
        <v>0</v>
      </c>
    </row>
    <row r="732" spans="1:2">
      <c r="A732" t="s">
        <v>795</v>
      </c>
      <c r="B732" s="3">
        <v>0</v>
      </c>
    </row>
    <row r="733" spans="1:2">
      <c r="A733" t="s">
        <v>942</v>
      </c>
      <c r="B733" s="3">
        <v>1.2000000000000002</v>
      </c>
    </row>
    <row r="734" spans="1:2">
      <c r="A734" t="s">
        <v>1464</v>
      </c>
      <c r="B734" s="3"/>
    </row>
    <row r="735" spans="1:2">
      <c r="A735" t="s">
        <v>943</v>
      </c>
      <c r="B735" s="3">
        <v>36</v>
      </c>
    </row>
    <row r="736" spans="1:2">
      <c r="A736" t="s">
        <v>1465</v>
      </c>
      <c r="B736" s="3"/>
    </row>
    <row r="737" spans="1:2">
      <c r="A737" t="s">
        <v>732</v>
      </c>
      <c r="B737" s="3">
        <v>40.32</v>
      </c>
    </row>
    <row r="738" spans="1:2">
      <c r="A738" t="s">
        <v>253</v>
      </c>
      <c r="B738" s="3">
        <v>21.28</v>
      </c>
    </row>
    <row r="739" spans="1:2">
      <c r="A739" t="s">
        <v>214</v>
      </c>
      <c r="B739" s="3">
        <v>12.9</v>
      </c>
    </row>
    <row r="740" spans="1:2">
      <c r="A740" t="s">
        <v>31</v>
      </c>
      <c r="B740" s="3">
        <v>1173.5909999999999</v>
      </c>
    </row>
    <row r="741" spans="1:2">
      <c r="A741" t="s">
        <v>126</v>
      </c>
      <c r="B741" s="3">
        <v>1998.99</v>
      </c>
    </row>
    <row r="742" spans="1:2">
      <c r="A742" t="s">
        <v>1466</v>
      </c>
      <c r="B742" s="3">
        <v>44.519999999999996</v>
      </c>
    </row>
    <row r="743" spans="1:2">
      <c r="A743" t="s">
        <v>1467</v>
      </c>
      <c r="B743" s="3">
        <v>17.739899999999999</v>
      </c>
    </row>
    <row r="744" spans="1:2">
      <c r="A744" t="s">
        <v>298</v>
      </c>
      <c r="B744" s="3">
        <v>115.60000000000001</v>
      </c>
    </row>
    <row r="745" spans="1:2">
      <c r="A745" t="s">
        <v>944</v>
      </c>
      <c r="B745" s="3">
        <v>22.329899999999999</v>
      </c>
    </row>
    <row r="746" spans="1:2">
      <c r="A746" t="s">
        <v>1468</v>
      </c>
      <c r="B746" s="3">
        <v>38.36</v>
      </c>
    </row>
    <row r="747" spans="1:2">
      <c r="A747" t="s">
        <v>1469</v>
      </c>
      <c r="B747" s="3">
        <v>34.28</v>
      </c>
    </row>
    <row r="748" spans="1:2">
      <c r="A748" t="s">
        <v>32</v>
      </c>
      <c r="B748" s="3">
        <v>1691.1497999999997</v>
      </c>
    </row>
    <row r="749" spans="1:2">
      <c r="A749" t="s">
        <v>590</v>
      </c>
      <c r="B749" s="3">
        <v>234.95759999999999</v>
      </c>
    </row>
    <row r="750" spans="1:2">
      <c r="A750" t="s">
        <v>1470</v>
      </c>
      <c r="B750" s="3">
        <v>0</v>
      </c>
    </row>
    <row r="751" spans="1:2">
      <c r="A751" t="s">
        <v>1471</v>
      </c>
      <c r="B751" s="3">
        <v>0</v>
      </c>
    </row>
    <row r="752" spans="1:2">
      <c r="A752" t="s">
        <v>637</v>
      </c>
      <c r="B752" s="3">
        <v>187.32</v>
      </c>
    </row>
    <row r="753" spans="1:2">
      <c r="A753" t="s">
        <v>508</v>
      </c>
      <c r="B753" s="3">
        <v>164.9196</v>
      </c>
    </row>
    <row r="754" spans="1:2">
      <c r="A754" t="s">
        <v>79</v>
      </c>
      <c r="B754" s="3">
        <v>44.84</v>
      </c>
    </row>
    <row r="755" spans="1:2">
      <c r="A755" t="s">
        <v>1087</v>
      </c>
      <c r="B755" s="3">
        <v>0</v>
      </c>
    </row>
    <row r="756" spans="1:2">
      <c r="A756" t="s">
        <v>441</v>
      </c>
      <c r="B756" s="3">
        <v>0</v>
      </c>
    </row>
    <row r="757" spans="1:2">
      <c r="A757" t="s">
        <v>774</v>
      </c>
      <c r="B757" s="3">
        <v>0</v>
      </c>
    </row>
    <row r="758" spans="1:2">
      <c r="A758" t="s">
        <v>1472</v>
      </c>
      <c r="B758" s="3">
        <v>0</v>
      </c>
    </row>
    <row r="759" spans="1:2">
      <c r="A759" t="s">
        <v>272</v>
      </c>
      <c r="B759" s="3">
        <v>25.08</v>
      </c>
    </row>
    <row r="760" spans="1:2">
      <c r="A760" t="s">
        <v>489</v>
      </c>
      <c r="B760" s="3">
        <v>36.9</v>
      </c>
    </row>
    <row r="761" spans="1:2">
      <c r="A761" t="s">
        <v>1473</v>
      </c>
      <c r="B761" s="3"/>
    </row>
    <row r="762" spans="1:2">
      <c r="A762" t="s">
        <v>848</v>
      </c>
      <c r="B762" s="3">
        <v>67.400000000000006</v>
      </c>
    </row>
    <row r="763" spans="1:2">
      <c r="A763" t="s">
        <v>1474</v>
      </c>
      <c r="B763" s="3">
        <v>25.060000000000002</v>
      </c>
    </row>
    <row r="764" spans="1:2">
      <c r="A764" t="s">
        <v>1475</v>
      </c>
      <c r="B764" s="3">
        <v>14.700000000000001</v>
      </c>
    </row>
    <row r="765" spans="1:2">
      <c r="A765" t="s">
        <v>491</v>
      </c>
      <c r="B765" s="3">
        <v>17.399999999999999</v>
      </c>
    </row>
    <row r="766" spans="1:2">
      <c r="A766" t="s">
        <v>775</v>
      </c>
      <c r="B766" s="3">
        <v>20.8</v>
      </c>
    </row>
    <row r="767" spans="1:2">
      <c r="A767" t="s">
        <v>420</v>
      </c>
      <c r="B767" s="3">
        <v>15.8</v>
      </c>
    </row>
    <row r="768" spans="1:2">
      <c r="A768" t="s">
        <v>1476</v>
      </c>
      <c r="B768" s="3">
        <v>38.6</v>
      </c>
    </row>
    <row r="769" spans="1:2">
      <c r="A769" t="s">
        <v>36</v>
      </c>
      <c r="B769" s="3">
        <v>324</v>
      </c>
    </row>
    <row r="770" spans="1:2">
      <c r="A770" t="s">
        <v>945</v>
      </c>
      <c r="B770" s="3">
        <v>252.96</v>
      </c>
    </row>
    <row r="771" spans="1:2">
      <c r="A771" t="s">
        <v>354</v>
      </c>
      <c r="B771" s="3">
        <v>60.68</v>
      </c>
    </row>
    <row r="772" spans="1:2">
      <c r="A772" t="s">
        <v>273</v>
      </c>
      <c r="B772" s="3">
        <v>81.49499999999999</v>
      </c>
    </row>
    <row r="773" spans="1:2">
      <c r="A773" t="s">
        <v>1477</v>
      </c>
      <c r="B773" s="3">
        <v>0</v>
      </c>
    </row>
    <row r="774" spans="1:2">
      <c r="A774" t="s">
        <v>776</v>
      </c>
      <c r="B774" s="3">
        <v>26.05</v>
      </c>
    </row>
    <row r="775" spans="1:2">
      <c r="A775" t="s">
        <v>1478</v>
      </c>
      <c r="B775" s="3">
        <v>0</v>
      </c>
    </row>
    <row r="776" spans="1:2">
      <c r="A776" t="s">
        <v>1479</v>
      </c>
      <c r="B776" s="3">
        <v>0</v>
      </c>
    </row>
    <row r="777" spans="1:2">
      <c r="A777" t="s">
        <v>750</v>
      </c>
      <c r="B777" s="3">
        <v>131.63980000000001</v>
      </c>
    </row>
    <row r="778" spans="1:2">
      <c r="A778" t="s">
        <v>506</v>
      </c>
      <c r="B778" s="3">
        <v>188.64949999999999</v>
      </c>
    </row>
    <row r="779" spans="1:2">
      <c r="A779" t="s">
        <v>406</v>
      </c>
      <c r="B779" s="3">
        <v>151.52000000000001</v>
      </c>
    </row>
    <row r="780" spans="1:2">
      <c r="A780" t="s">
        <v>694</v>
      </c>
      <c r="B780" s="3">
        <v>164.9196</v>
      </c>
    </row>
    <row r="781" spans="1:2">
      <c r="A781" t="s">
        <v>1480</v>
      </c>
      <c r="B781" s="3">
        <v>196.56</v>
      </c>
    </row>
    <row r="782" spans="1:2">
      <c r="A782" t="s">
        <v>673</v>
      </c>
      <c r="B782" s="3">
        <v>124.84</v>
      </c>
    </row>
    <row r="783" spans="1:2">
      <c r="A783" t="s">
        <v>683</v>
      </c>
      <c r="B783" s="3"/>
    </row>
    <row r="784" spans="1:2">
      <c r="A784" t="s">
        <v>1481</v>
      </c>
      <c r="B784" s="3"/>
    </row>
    <row r="785" spans="1:2">
      <c r="A785" t="s">
        <v>946</v>
      </c>
      <c r="B785" s="3">
        <v>77.94</v>
      </c>
    </row>
    <row r="786" spans="1:2">
      <c r="A786" t="s">
        <v>1482</v>
      </c>
      <c r="B786" s="3">
        <v>0</v>
      </c>
    </row>
    <row r="787" spans="1:2">
      <c r="A787" t="s">
        <v>807</v>
      </c>
      <c r="B787" s="3">
        <v>397.87</v>
      </c>
    </row>
    <row r="788" spans="1:2">
      <c r="A788" t="s">
        <v>740</v>
      </c>
      <c r="B788" s="3">
        <v>131</v>
      </c>
    </row>
    <row r="789" spans="1:2">
      <c r="A789" t="s">
        <v>1483</v>
      </c>
      <c r="B789" s="3">
        <v>0</v>
      </c>
    </row>
    <row r="790" spans="1:2">
      <c r="A790" t="s">
        <v>1484</v>
      </c>
      <c r="B790" s="3">
        <v>0</v>
      </c>
    </row>
    <row r="791" spans="1:2">
      <c r="A791" t="s">
        <v>1485</v>
      </c>
      <c r="B791" s="3">
        <v>0</v>
      </c>
    </row>
    <row r="792" spans="1:2">
      <c r="A792" t="s">
        <v>1486</v>
      </c>
      <c r="B792" s="3">
        <v>0</v>
      </c>
    </row>
    <row r="793" spans="1:2">
      <c r="A793" t="s">
        <v>947</v>
      </c>
      <c r="B793" s="3">
        <v>176</v>
      </c>
    </row>
    <row r="794" spans="1:2">
      <c r="A794" t="s">
        <v>505</v>
      </c>
      <c r="B794" s="3">
        <v>342.96</v>
      </c>
    </row>
    <row r="795" spans="1:2">
      <c r="A795" t="s">
        <v>948</v>
      </c>
      <c r="B795" s="3">
        <v>119.76</v>
      </c>
    </row>
    <row r="796" spans="1:2">
      <c r="A796" t="s">
        <v>744</v>
      </c>
      <c r="B796" s="3">
        <v>228.32</v>
      </c>
    </row>
    <row r="797" spans="1:2">
      <c r="A797" t="s">
        <v>1487</v>
      </c>
      <c r="B797" s="3">
        <v>27.2</v>
      </c>
    </row>
    <row r="798" spans="1:2">
      <c r="A798" t="s">
        <v>1488</v>
      </c>
      <c r="B798" s="3">
        <v>0</v>
      </c>
    </row>
    <row r="799" spans="1:2">
      <c r="A799" t="s">
        <v>1489</v>
      </c>
      <c r="B799" s="3">
        <v>10.28</v>
      </c>
    </row>
    <row r="800" spans="1:2">
      <c r="A800" t="s">
        <v>1490</v>
      </c>
      <c r="B800" s="3">
        <v>0</v>
      </c>
    </row>
    <row r="801" spans="1:2">
      <c r="A801" t="s">
        <v>1044</v>
      </c>
      <c r="B801" s="3"/>
    </row>
    <row r="802" spans="1:2">
      <c r="A802" t="s">
        <v>1491</v>
      </c>
      <c r="B802" s="3">
        <v>0</v>
      </c>
    </row>
    <row r="803" spans="1:2">
      <c r="A803" t="s">
        <v>695</v>
      </c>
      <c r="B803" s="3">
        <v>28.22</v>
      </c>
    </row>
    <row r="804" spans="1:2">
      <c r="A804" t="s">
        <v>1492</v>
      </c>
      <c r="B804" s="3">
        <v>4.26</v>
      </c>
    </row>
    <row r="805" spans="1:2">
      <c r="A805" t="s">
        <v>60</v>
      </c>
      <c r="B805" s="3">
        <v>128.16</v>
      </c>
    </row>
    <row r="806" spans="1:2">
      <c r="A806" t="s">
        <v>321</v>
      </c>
      <c r="B806" s="3">
        <v>48</v>
      </c>
    </row>
    <row r="807" spans="1:2">
      <c r="A807" t="s">
        <v>1493</v>
      </c>
      <c r="B807" s="3">
        <v>60.88</v>
      </c>
    </row>
    <row r="808" spans="1:2">
      <c r="A808" t="s">
        <v>200</v>
      </c>
      <c r="B808" s="3">
        <v>16.600000000000001</v>
      </c>
    </row>
    <row r="809" spans="1:2">
      <c r="A809" t="s">
        <v>864</v>
      </c>
      <c r="B809" s="3">
        <v>9.24</v>
      </c>
    </row>
    <row r="810" spans="1:2">
      <c r="A810" t="s">
        <v>1494</v>
      </c>
      <c r="B810" s="3">
        <v>10.44</v>
      </c>
    </row>
    <row r="811" spans="1:2">
      <c r="A811" t="s">
        <v>591</v>
      </c>
      <c r="B811" s="3">
        <v>8.58</v>
      </c>
    </row>
    <row r="812" spans="1:2">
      <c r="A812" t="s">
        <v>484</v>
      </c>
      <c r="B812" s="3">
        <v>171.20000000000002</v>
      </c>
    </row>
    <row r="813" spans="1:2">
      <c r="A813" t="s">
        <v>733</v>
      </c>
      <c r="B813" s="3">
        <v>92.699999999999989</v>
      </c>
    </row>
    <row r="814" spans="1:2">
      <c r="A814" t="s">
        <v>1495</v>
      </c>
      <c r="B814" s="3">
        <v>3.32</v>
      </c>
    </row>
    <row r="815" spans="1:2">
      <c r="A815" t="s">
        <v>1496</v>
      </c>
      <c r="B815" s="3">
        <v>0</v>
      </c>
    </row>
    <row r="816" spans="1:2">
      <c r="A816" t="s">
        <v>485</v>
      </c>
      <c r="B816" s="3">
        <v>39.839999999999996</v>
      </c>
    </row>
    <row r="817" spans="1:2">
      <c r="A817" t="s">
        <v>1497</v>
      </c>
      <c r="B817" s="3">
        <v>12.1198</v>
      </c>
    </row>
    <row r="818" spans="1:2">
      <c r="A818" t="s">
        <v>1498</v>
      </c>
      <c r="B818" s="3">
        <v>40.980000000000004</v>
      </c>
    </row>
    <row r="819" spans="1:2">
      <c r="A819" t="s">
        <v>1499</v>
      </c>
      <c r="B819" s="3">
        <v>12.09</v>
      </c>
    </row>
    <row r="820" spans="1:2">
      <c r="A820" t="s">
        <v>261</v>
      </c>
      <c r="B820" s="3">
        <v>96.12</v>
      </c>
    </row>
    <row r="821" spans="1:2">
      <c r="A821" t="s">
        <v>1500</v>
      </c>
      <c r="B821" s="3">
        <v>9.8000000000000007</v>
      </c>
    </row>
    <row r="822" spans="1:2">
      <c r="A822" t="s">
        <v>1501</v>
      </c>
      <c r="B822" s="3">
        <v>10.28</v>
      </c>
    </row>
    <row r="823" spans="1:2">
      <c r="A823" t="s">
        <v>159</v>
      </c>
      <c r="B823" s="3">
        <v>25.52</v>
      </c>
    </row>
    <row r="824" spans="1:2">
      <c r="A824" t="s">
        <v>1502</v>
      </c>
      <c r="B824" s="3">
        <v>0</v>
      </c>
    </row>
    <row r="825" spans="1:2">
      <c r="A825" t="s">
        <v>1503</v>
      </c>
      <c r="B825" s="3">
        <v>13.74</v>
      </c>
    </row>
    <row r="826" spans="1:2">
      <c r="A826" t="s">
        <v>684</v>
      </c>
      <c r="B826" s="3">
        <v>0</v>
      </c>
    </row>
    <row r="827" spans="1:2">
      <c r="A827" t="s">
        <v>308</v>
      </c>
      <c r="B827" s="3">
        <v>46.74</v>
      </c>
    </row>
    <row r="828" spans="1:2">
      <c r="A828" t="s">
        <v>83</v>
      </c>
      <c r="B828" s="3">
        <v>382.2</v>
      </c>
    </row>
    <row r="829" spans="1:2">
      <c r="A829" t="s">
        <v>213</v>
      </c>
      <c r="B829" s="3">
        <v>171.84</v>
      </c>
    </row>
    <row r="830" spans="1:2">
      <c r="A830" t="s">
        <v>359</v>
      </c>
      <c r="B830" s="3">
        <v>12.9</v>
      </c>
    </row>
    <row r="831" spans="1:2">
      <c r="A831" t="s">
        <v>1504</v>
      </c>
      <c r="B831" s="3">
        <v>3.8500000000000005</v>
      </c>
    </row>
    <row r="832" spans="1:2">
      <c r="A832" t="s">
        <v>1505</v>
      </c>
      <c r="B832" s="3">
        <v>0</v>
      </c>
    </row>
    <row r="833" spans="1:2">
      <c r="A833" t="s">
        <v>796</v>
      </c>
      <c r="B833" s="3">
        <v>8.68</v>
      </c>
    </row>
    <row r="834" spans="1:2">
      <c r="A834" t="s">
        <v>39</v>
      </c>
      <c r="B834" s="3">
        <v>83.16</v>
      </c>
    </row>
    <row r="835" spans="1:2">
      <c r="A835" t="s">
        <v>158</v>
      </c>
      <c r="B835" s="3">
        <v>1394.6000000000001</v>
      </c>
    </row>
    <row r="836" spans="1:2">
      <c r="A836" t="s">
        <v>1506</v>
      </c>
      <c r="B836" s="3">
        <v>0</v>
      </c>
    </row>
    <row r="837" spans="1:2">
      <c r="A837" t="s">
        <v>1507</v>
      </c>
      <c r="B837" s="3">
        <v>0</v>
      </c>
    </row>
    <row r="838" spans="1:2">
      <c r="A838" t="s">
        <v>1508</v>
      </c>
      <c r="B838" s="3">
        <v>49.96</v>
      </c>
    </row>
    <row r="839" spans="1:2">
      <c r="A839" t="s">
        <v>1509</v>
      </c>
      <c r="B839" s="3">
        <v>9.9</v>
      </c>
    </row>
    <row r="840" spans="1:2">
      <c r="A840" t="s">
        <v>1510</v>
      </c>
      <c r="B840" s="3">
        <v>8.24</v>
      </c>
    </row>
    <row r="841" spans="1:2">
      <c r="A841" t="s">
        <v>592</v>
      </c>
      <c r="B841" s="3"/>
    </row>
    <row r="842" spans="1:2">
      <c r="A842" t="s">
        <v>1511</v>
      </c>
      <c r="B842" s="3">
        <v>0</v>
      </c>
    </row>
    <row r="843" spans="1:2">
      <c r="A843" t="s">
        <v>1512</v>
      </c>
      <c r="B843" s="3">
        <v>7.24</v>
      </c>
    </row>
    <row r="844" spans="1:2">
      <c r="A844" t="s">
        <v>593</v>
      </c>
      <c r="B844" s="3">
        <v>65.599999999999994</v>
      </c>
    </row>
    <row r="845" spans="1:2">
      <c r="A845" t="s">
        <v>463</v>
      </c>
      <c r="B845" s="3">
        <v>23.52</v>
      </c>
    </row>
    <row r="846" spans="1:2">
      <c r="A846" t="s">
        <v>1513</v>
      </c>
      <c r="B846" s="3">
        <v>4.5</v>
      </c>
    </row>
    <row r="847" spans="1:2">
      <c r="A847" t="s">
        <v>1514</v>
      </c>
      <c r="B847" s="3">
        <v>0</v>
      </c>
    </row>
    <row r="848" spans="1:2">
      <c r="A848" t="s">
        <v>1515</v>
      </c>
      <c r="B848" s="3">
        <v>13.200000000000001</v>
      </c>
    </row>
    <row r="849" spans="1:2">
      <c r="A849" t="s">
        <v>949</v>
      </c>
      <c r="B849" s="3">
        <v>9.9599999999999991</v>
      </c>
    </row>
    <row r="850" spans="1:2">
      <c r="A850" t="s">
        <v>204</v>
      </c>
      <c r="B850" s="3">
        <v>18.360000000000003</v>
      </c>
    </row>
    <row r="851" spans="1:2">
      <c r="A851" t="s">
        <v>1516</v>
      </c>
      <c r="B851" s="3">
        <v>23.64</v>
      </c>
    </row>
    <row r="852" spans="1:2">
      <c r="A852" t="s">
        <v>1517</v>
      </c>
      <c r="B852" s="3">
        <v>0</v>
      </c>
    </row>
    <row r="853" spans="1:2">
      <c r="A853" t="s">
        <v>1518</v>
      </c>
      <c r="B853" s="3">
        <v>0</v>
      </c>
    </row>
    <row r="854" spans="1:2">
      <c r="A854" t="s">
        <v>140</v>
      </c>
      <c r="B854" s="3">
        <v>18.55</v>
      </c>
    </row>
    <row r="855" spans="1:2">
      <c r="A855" t="s">
        <v>353</v>
      </c>
      <c r="B855" s="3">
        <v>47.2</v>
      </c>
    </row>
    <row r="856" spans="1:2">
      <c r="A856" t="s">
        <v>1519</v>
      </c>
      <c r="B856" s="3">
        <v>0</v>
      </c>
    </row>
    <row r="857" spans="1:2">
      <c r="A857" t="s">
        <v>1520</v>
      </c>
      <c r="B857" s="3">
        <v>55.320000000000007</v>
      </c>
    </row>
    <row r="858" spans="1:2">
      <c r="A858" t="s">
        <v>1521</v>
      </c>
      <c r="B858" s="3">
        <v>23.91</v>
      </c>
    </row>
    <row r="859" spans="1:2">
      <c r="A859" t="s">
        <v>1522</v>
      </c>
      <c r="B859" s="3">
        <v>39</v>
      </c>
    </row>
    <row r="860" spans="1:2">
      <c r="A860" t="s">
        <v>405</v>
      </c>
      <c r="B860" s="3">
        <v>6.36</v>
      </c>
    </row>
    <row r="861" spans="1:2">
      <c r="A861" t="s">
        <v>329</v>
      </c>
      <c r="B861" s="3">
        <v>35.840000000000003</v>
      </c>
    </row>
    <row r="862" spans="1:2">
      <c r="A862" t="s">
        <v>1523</v>
      </c>
      <c r="B862" s="3">
        <v>0</v>
      </c>
    </row>
    <row r="863" spans="1:2">
      <c r="A863" t="s">
        <v>831</v>
      </c>
      <c r="B863" s="3">
        <v>42.400000000000006</v>
      </c>
    </row>
    <row r="864" spans="1:2">
      <c r="A864" t="s">
        <v>513</v>
      </c>
      <c r="B864" s="3">
        <v>375.3</v>
      </c>
    </row>
    <row r="865" spans="1:2">
      <c r="A865" t="s">
        <v>493</v>
      </c>
      <c r="B865" s="3">
        <v>112.5</v>
      </c>
    </row>
    <row r="866" spans="1:2">
      <c r="A866" t="s">
        <v>1524</v>
      </c>
      <c r="B866" s="3">
        <v>22.14</v>
      </c>
    </row>
    <row r="867" spans="1:2">
      <c r="A867" t="s">
        <v>777</v>
      </c>
      <c r="B867" s="3">
        <v>38.07</v>
      </c>
    </row>
    <row r="868" spans="1:2">
      <c r="A868" t="s">
        <v>849</v>
      </c>
      <c r="B868" s="3">
        <v>12.2</v>
      </c>
    </row>
    <row r="869" spans="1:2">
      <c r="A869" t="s">
        <v>1050</v>
      </c>
      <c r="B869" s="3"/>
    </row>
    <row r="870" spans="1:2">
      <c r="A870" t="s">
        <v>369</v>
      </c>
      <c r="B870" s="3">
        <v>10.57</v>
      </c>
    </row>
    <row r="871" spans="1:2">
      <c r="A871" t="s">
        <v>1525</v>
      </c>
      <c r="B871" s="3">
        <v>22.26</v>
      </c>
    </row>
    <row r="872" spans="1:2">
      <c r="A872" t="s">
        <v>950</v>
      </c>
      <c r="B872" s="3">
        <v>24.239799999999999</v>
      </c>
    </row>
    <row r="873" spans="1:2">
      <c r="A873" t="s">
        <v>1526</v>
      </c>
      <c r="B873" s="3">
        <v>23.72</v>
      </c>
    </row>
    <row r="874" spans="1:2">
      <c r="A874" t="s">
        <v>1527</v>
      </c>
      <c r="B874" s="3">
        <v>16.66</v>
      </c>
    </row>
    <row r="875" spans="1:2">
      <c r="A875" t="s">
        <v>1528</v>
      </c>
      <c r="B875" s="3">
        <v>29.7</v>
      </c>
    </row>
    <row r="876" spans="1:2">
      <c r="A876" t="s">
        <v>1529</v>
      </c>
      <c r="B876" s="3">
        <v>0</v>
      </c>
    </row>
    <row r="877" spans="1:2">
      <c r="A877" t="s">
        <v>951</v>
      </c>
      <c r="B877" s="3">
        <v>384.24</v>
      </c>
    </row>
    <row r="878" spans="1:2">
      <c r="A878" t="s">
        <v>1530</v>
      </c>
      <c r="B878" s="3">
        <v>87</v>
      </c>
    </row>
    <row r="879" spans="1:2">
      <c r="A879" t="s">
        <v>254</v>
      </c>
      <c r="B879" s="3">
        <v>232.38</v>
      </c>
    </row>
    <row r="880" spans="1:2">
      <c r="A880" t="s">
        <v>1531</v>
      </c>
      <c r="B880" s="3"/>
    </row>
    <row r="881" spans="1:2">
      <c r="A881" t="s">
        <v>1532</v>
      </c>
      <c r="B881" s="3">
        <v>86.67</v>
      </c>
    </row>
    <row r="882" spans="1:2">
      <c r="A882" t="s">
        <v>1533</v>
      </c>
      <c r="B882" s="3">
        <v>67.900000000000006</v>
      </c>
    </row>
    <row r="883" spans="1:2">
      <c r="A883" t="s">
        <v>1534</v>
      </c>
      <c r="B883" s="3">
        <v>24.36</v>
      </c>
    </row>
    <row r="884" spans="1:2">
      <c r="A884" t="s">
        <v>797</v>
      </c>
      <c r="B884" s="3">
        <v>67.84</v>
      </c>
    </row>
    <row r="885" spans="1:2">
      <c r="A885" t="s">
        <v>496</v>
      </c>
      <c r="B885" s="3">
        <v>490.75</v>
      </c>
    </row>
    <row r="886" spans="1:2">
      <c r="A886" t="s">
        <v>210</v>
      </c>
      <c r="B886" s="3">
        <v>207.45999999999998</v>
      </c>
    </row>
    <row r="887" spans="1:2">
      <c r="A887" t="s">
        <v>228</v>
      </c>
      <c r="B887" s="3">
        <v>162.10000000000002</v>
      </c>
    </row>
    <row r="888" spans="1:2">
      <c r="A888" t="s">
        <v>1535</v>
      </c>
      <c r="B888" s="3">
        <v>0</v>
      </c>
    </row>
    <row r="889" spans="1:2">
      <c r="A889" t="s">
        <v>1536</v>
      </c>
      <c r="B889" s="3">
        <v>53.16</v>
      </c>
    </row>
    <row r="890" spans="1:2">
      <c r="A890" t="s">
        <v>1537</v>
      </c>
      <c r="B890" s="3">
        <v>0</v>
      </c>
    </row>
    <row r="891" spans="1:2">
      <c r="A891" t="s">
        <v>822</v>
      </c>
      <c r="B891" s="3">
        <v>62.56</v>
      </c>
    </row>
    <row r="892" spans="1:2">
      <c r="A892" t="s">
        <v>175</v>
      </c>
      <c r="B892" s="3">
        <v>2.66</v>
      </c>
    </row>
    <row r="893" spans="1:2">
      <c r="A893" t="s">
        <v>952</v>
      </c>
      <c r="B893" s="3">
        <v>12</v>
      </c>
    </row>
    <row r="894" spans="1:2">
      <c r="A894" t="s">
        <v>1538</v>
      </c>
      <c r="B894" s="3">
        <v>14.42</v>
      </c>
    </row>
    <row r="895" spans="1:2">
      <c r="A895" t="s">
        <v>1539</v>
      </c>
      <c r="B895" s="3">
        <v>0</v>
      </c>
    </row>
    <row r="896" spans="1:2">
      <c r="A896" t="s">
        <v>953</v>
      </c>
      <c r="B896" s="3">
        <v>43.68</v>
      </c>
    </row>
    <row r="897" spans="1:2">
      <c r="A897" t="s">
        <v>1540</v>
      </c>
      <c r="B897" s="3">
        <v>0</v>
      </c>
    </row>
    <row r="898" spans="1:2">
      <c r="A898" t="s">
        <v>1062</v>
      </c>
      <c r="B898" s="3">
        <v>0</v>
      </c>
    </row>
    <row r="899" spans="1:2">
      <c r="A899" t="s">
        <v>1541</v>
      </c>
      <c r="B899" s="3">
        <v>11</v>
      </c>
    </row>
    <row r="900" spans="1:2">
      <c r="A900" t="s">
        <v>378</v>
      </c>
      <c r="B900" s="3">
        <v>18.100000000000001</v>
      </c>
    </row>
    <row r="901" spans="1:2">
      <c r="A901" t="s">
        <v>1542</v>
      </c>
      <c r="B901" s="3">
        <v>0</v>
      </c>
    </row>
    <row r="902" spans="1:2">
      <c r="A902" t="s">
        <v>1543</v>
      </c>
      <c r="B902" s="3">
        <v>0</v>
      </c>
    </row>
    <row r="903" spans="1:2">
      <c r="A903" t="s">
        <v>886</v>
      </c>
      <c r="B903" s="3"/>
    </row>
    <row r="904" spans="1:2">
      <c r="A904" t="s">
        <v>954</v>
      </c>
      <c r="B904" s="3">
        <v>0</v>
      </c>
    </row>
    <row r="905" spans="1:2">
      <c r="A905" t="s">
        <v>522</v>
      </c>
      <c r="B905" s="3">
        <v>179.04</v>
      </c>
    </row>
    <row r="906" spans="1:2">
      <c r="A906" t="s">
        <v>638</v>
      </c>
      <c r="B906" s="3">
        <v>90.396000000000001</v>
      </c>
    </row>
    <row r="907" spans="1:2">
      <c r="A907" t="s">
        <v>134</v>
      </c>
      <c r="B907" s="3">
        <v>5.98</v>
      </c>
    </row>
    <row r="908" spans="1:2">
      <c r="A908" t="s">
        <v>108</v>
      </c>
      <c r="B908" s="3">
        <v>172.79</v>
      </c>
    </row>
    <row r="909" spans="1:2">
      <c r="A909" t="s">
        <v>648</v>
      </c>
      <c r="B909" s="3">
        <v>64.02000000000001</v>
      </c>
    </row>
    <row r="910" spans="1:2">
      <c r="A910" t="s">
        <v>1544</v>
      </c>
      <c r="B910" s="3">
        <v>21.099999999999998</v>
      </c>
    </row>
    <row r="911" spans="1:2">
      <c r="A911" t="s">
        <v>1545</v>
      </c>
      <c r="B911" s="3">
        <v>3.68</v>
      </c>
    </row>
    <row r="912" spans="1:2">
      <c r="A912" t="s">
        <v>437</v>
      </c>
      <c r="B912" s="3">
        <v>8.76</v>
      </c>
    </row>
    <row r="913" spans="1:2">
      <c r="A913" t="s">
        <v>189</v>
      </c>
      <c r="B913" s="3">
        <v>0</v>
      </c>
    </row>
    <row r="914" spans="1:2">
      <c r="A914" t="s">
        <v>798</v>
      </c>
      <c r="B914" s="3">
        <v>9.870000000000001</v>
      </c>
    </row>
    <row r="915" spans="1:2">
      <c r="A915" t="s">
        <v>292</v>
      </c>
      <c r="B915" s="3">
        <v>174.46</v>
      </c>
    </row>
    <row r="916" spans="1:2">
      <c r="A916" t="s">
        <v>813</v>
      </c>
      <c r="B916" s="3">
        <v>321.48</v>
      </c>
    </row>
    <row r="917" spans="1:2">
      <c r="A917" t="s">
        <v>1546</v>
      </c>
      <c r="B917" s="3"/>
    </row>
    <row r="918" spans="1:2">
      <c r="A918" t="s">
        <v>1547</v>
      </c>
      <c r="B918" s="3">
        <v>0</v>
      </c>
    </row>
    <row r="919" spans="1:2">
      <c r="A919" t="s">
        <v>955</v>
      </c>
      <c r="B919" s="3">
        <v>16.8</v>
      </c>
    </row>
    <row r="920" spans="1:2">
      <c r="A920" t="s">
        <v>1548</v>
      </c>
      <c r="B920" s="3">
        <v>16.399999999999999</v>
      </c>
    </row>
    <row r="921" spans="1:2">
      <c r="A921" t="s">
        <v>1549</v>
      </c>
      <c r="B921" s="3">
        <v>26</v>
      </c>
    </row>
    <row r="922" spans="1:2">
      <c r="A922" t="s">
        <v>824</v>
      </c>
      <c r="B922" s="3">
        <v>20.8</v>
      </c>
    </row>
    <row r="923" spans="1:2">
      <c r="A923" t="s">
        <v>1550</v>
      </c>
      <c r="B923" s="3">
        <v>0</v>
      </c>
    </row>
    <row r="924" spans="1:2">
      <c r="A924" t="s">
        <v>241</v>
      </c>
      <c r="B924" s="3">
        <v>30.4</v>
      </c>
    </row>
    <row r="925" spans="1:2">
      <c r="A925" t="s">
        <v>531</v>
      </c>
      <c r="B925" s="3">
        <v>22.62</v>
      </c>
    </row>
    <row r="926" spans="1:2">
      <c r="A926" t="s">
        <v>1551</v>
      </c>
      <c r="B926" s="3">
        <v>0</v>
      </c>
    </row>
    <row r="927" spans="1:2">
      <c r="A927" t="s">
        <v>109</v>
      </c>
      <c r="B927" s="3">
        <v>9.8000000000000007</v>
      </c>
    </row>
    <row r="928" spans="1:2">
      <c r="A928" t="s">
        <v>751</v>
      </c>
      <c r="B928" s="3">
        <v>5.22</v>
      </c>
    </row>
    <row r="929" spans="1:2">
      <c r="A929" t="s">
        <v>1068</v>
      </c>
      <c r="B929" s="3">
        <v>6.0600000000000005</v>
      </c>
    </row>
    <row r="930" spans="1:2">
      <c r="A930" t="s">
        <v>823</v>
      </c>
      <c r="B930" s="3">
        <v>29.6</v>
      </c>
    </row>
    <row r="931" spans="1:2">
      <c r="A931" t="s">
        <v>799</v>
      </c>
      <c r="B931" s="3">
        <v>0</v>
      </c>
    </row>
    <row r="932" spans="1:2">
      <c r="A932" t="s">
        <v>1088</v>
      </c>
      <c r="B932" s="3">
        <v>60.96</v>
      </c>
    </row>
    <row r="933" spans="1:2">
      <c r="A933" t="s">
        <v>685</v>
      </c>
      <c r="B933" s="3">
        <v>32.28</v>
      </c>
    </row>
    <row r="934" spans="1:2">
      <c r="A934" t="s">
        <v>335</v>
      </c>
      <c r="B934" s="3">
        <v>21.080000000000002</v>
      </c>
    </row>
    <row r="935" spans="1:2">
      <c r="A935" t="s">
        <v>1552</v>
      </c>
      <c r="B935" s="3">
        <v>0</v>
      </c>
    </row>
    <row r="936" spans="1:2">
      <c r="A936" t="s">
        <v>1553</v>
      </c>
      <c r="B936" s="3">
        <v>33.57</v>
      </c>
    </row>
    <row r="937" spans="1:2">
      <c r="A937" t="s">
        <v>291</v>
      </c>
      <c r="B937" s="3">
        <v>75.199999999999989</v>
      </c>
    </row>
    <row r="938" spans="1:2">
      <c r="A938" t="s">
        <v>956</v>
      </c>
      <c r="B938" s="3">
        <v>0</v>
      </c>
    </row>
    <row r="939" spans="1:2">
      <c r="A939" t="s">
        <v>1554</v>
      </c>
      <c r="B939" s="3">
        <v>27.1</v>
      </c>
    </row>
    <row r="940" spans="1:2">
      <c r="A940" t="s">
        <v>1555</v>
      </c>
      <c r="B940" s="3">
        <v>18.78</v>
      </c>
    </row>
    <row r="941" spans="1:2">
      <c r="A941" t="s">
        <v>800</v>
      </c>
      <c r="B941" s="3"/>
    </row>
    <row r="942" spans="1:2">
      <c r="A942" t="s">
        <v>1045</v>
      </c>
      <c r="B942" s="3"/>
    </row>
    <row r="943" spans="1:2">
      <c r="A943" t="s">
        <v>1025</v>
      </c>
      <c r="B943" s="3">
        <v>1355</v>
      </c>
    </row>
    <row r="944" spans="1:2">
      <c r="A944" t="s">
        <v>1089</v>
      </c>
      <c r="B944" s="3">
        <v>56.849499999999999</v>
      </c>
    </row>
    <row r="945" spans="1:2">
      <c r="A945" t="s">
        <v>726</v>
      </c>
      <c r="B945" s="3">
        <v>243.96</v>
      </c>
    </row>
    <row r="946" spans="1:2">
      <c r="A946" t="s">
        <v>1556</v>
      </c>
      <c r="B946" s="3">
        <v>45.480000000000004</v>
      </c>
    </row>
    <row r="947" spans="1:2">
      <c r="A947" t="s">
        <v>957</v>
      </c>
      <c r="B947" s="3">
        <v>0</v>
      </c>
    </row>
    <row r="948" spans="1:2">
      <c r="A948" t="s">
        <v>741</v>
      </c>
      <c r="B948" s="3">
        <v>17.2</v>
      </c>
    </row>
    <row r="949" spans="1:2">
      <c r="A949" t="s">
        <v>523</v>
      </c>
      <c r="B949" s="3">
        <v>21.299999999999997</v>
      </c>
    </row>
    <row r="950" spans="1:2">
      <c r="A950" t="s">
        <v>1557</v>
      </c>
      <c r="B950" s="3">
        <v>0</v>
      </c>
    </row>
    <row r="951" spans="1:2">
      <c r="A951" t="s">
        <v>958</v>
      </c>
      <c r="B951" s="3">
        <v>25.6</v>
      </c>
    </row>
    <row r="952" spans="1:2">
      <c r="A952" t="s">
        <v>1558</v>
      </c>
      <c r="B952" s="3">
        <v>0</v>
      </c>
    </row>
    <row r="953" spans="1:2">
      <c r="A953" t="s">
        <v>1067</v>
      </c>
      <c r="B953" s="3">
        <v>30.72</v>
      </c>
    </row>
    <row r="954" spans="1:2">
      <c r="A954" t="s">
        <v>1046</v>
      </c>
      <c r="B954" s="3"/>
    </row>
    <row r="955" spans="1:2">
      <c r="A955" t="s">
        <v>652</v>
      </c>
      <c r="B955" s="3"/>
    </row>
    <row r="956" spans="1:2">
      <c r="A956" t="s">
        <v>752</v>
      </c>
      <c r="B956" s="3">
        <v>23.64</v>
      </c>
    </row>
    <row r="957" spans="1:2">
      <c r="A957" t="s">
        <v>734</v>
      </c>
      <c r="B957" s="3">
        <v>57.800000000000004</v>
      </c>
    </row>
    <row r="958" spans="1:2">
      <c r="A958" t="s">
        <v>753</v>
      </c>
      <c r="B958" s="3">
        <v>17.759999999999998</v>
      </c>
    </row>
    <row r="959" spans="1:2">
      <c r="A959" t="s">
        <v>754</v>
      </c>
      <c r="B959" s="3">
        <v>15.24</v>
      </c>
    </row>
    <row r="960" spans="1:2">
      <c r="A960" t="s">
        <v>825</v>
      </c>
      <c r="B960" s="3">
        <v>0</v>
      </c>
    </row>
    <row r="961" spans="1:2">
      <c r="A961" t="s">
        <v>1559</v>
      </c>
      <c r="B961" s="3">
        <v>0</v>
      </c>
    </row>
    <row r="962" spans="1:2">
      <c r="A962" t="s">
        <v>18</v>
      </c>
      <c r="B962" s="3">
        <v>41606.6</v>
      </c>
    </row>
    <row r="963" spans="1:2">
      <c r="A963" t="s">
        <v>3</v>
      </c>
      <c r="B963" s="3">
        <v>166314.00000000003</v>
      </c>
    </row>
    <row r="964" spans="1:2">
      <c r="A964" t="s">
        <v>11</v>
      </c>
      <c r="B964" s="3">
        <v>68742</v>
      </c>
    </row>
    <row r="965" spans="1:2">
      <c r="A965" t="s">
        <v>98</v>
      </c>
      <c r="B965" s="3">
        <v>1252.5999999999999</v>
      </c>
    </row>
    <row r="966" spans="1:2">
      <c r="A966" t="s">
        <v>1560</v>
      </c>
      <c r="B966" s="3">
        <v>0</v>
      </c>
    </row>
    <row r="967" spans="1:2">
      <c r="A967" t="s">
        <v>1561</v>
      </c>
      <c r="B967" s="3">
        <v>6.68</v>
      </c>
    </row>
    <row r="968" spans="1:2">
      <c r="A968" t="s">
        <v>1035</v>
      </c>
      <c r="B968" s="3">
        <v>0.2</v>
      </c>
    </row>
    <row r="969" spans="1:2">
      <c r="A969" t="s">
        <v>1562</v>
      </c>
      <c r="B969" s="3">
        <v>0</v>
      </c>
    </row>
    <row r="970" spans="1:2">
      <c r="A970" t="s">
        <v>1563</v>
      </c>
      <c r="B970" s="3">
        <v>41.54</v>
      </c>
    </row>
    <row r="971" spans="1:2">
      <c r="A971" t="s">
        <v>594</v>
      </c>
      <c r="B971" s="3">
        <v>17.12</v>
      </c>
    </row>
    <row r="972" spans="1:2">
      <c r="A972" t="s">
        <v>959</v>
      </c>
      <c r="B972" s="3">
        <v>25.68</v>
      </c>
    </row>
    <row r="973" spans="1:2">
      <c r="A973" t="s">
        <v>801</v>
      </c>
      <c r="B973" s="3">
        <v>0</v>
      </c>
    </row>
    <row r="974" spans="1:2">
      <c r="A974" t="s">
        <v>1564</v>
      </c>
      <c r="B974" s="3">
        <v>0</v>
      </c>
    </row>
    <row r="975" spans="1:2">
      <c r="A975" t="s">
        <v>755</v>
      </c>
      <c r="B975" s="3">
        <v>0</v>
      </c>
    </row>
    <row r="976" spans="1:2">
      <c r="A976" t="s">
        <v>40</v>
      </c>
      <c r="B976" s="3">
        <v>803.04000000000008</v>
      </c>
    </row>
    <row r="977" spans="1:2">
      <c r="A977" t="s">
        <v>533</v>
      </c>
      <c r="B977" s="3">
        <v>131.52000000000001</v>
      </c>
    </row>
    <row r="978" spans="1:2">
      <c r="A978" t="s">
        <v>1565</v>
      </c>
      <c r="B978" s="3">
        <v>45.08</v>
      </c>
    </row>
    <row r="979" spans="1:2">
      <c r="A979" t="s">
        <v>1566</v>
      </c>
      <c r="B979" s="3">
        <v>66.900000000000006</v>
      </c>
    </row>
    <row r="980" spans="1:2">
      <c r="A980" t="s">
        <v>595</v>
      </c>
      <c r="B980" s="3">
        <v>106.32</v>
      </c>
    </row>
    <row r="981" spans="1:2">
      <c r="A981" t="s">
        <v>756</v>
      </c>
      <c r="B981" s="3">
        <v>559.79</v>
      </c>
    </row>
    <row r="982" spans="1:2">
      <c r="A982" t="s">
        <v>815</v>
      </c>
      <c r="B982" s="3">
        <v>1246.32</v>
      </c>
    </row>
    <row r="983" spans="1:2">
      <c r="A983" t="s">
        <v>653</v>
      </c>
      <c r="B983" s="3">
        <v>765.59999999999991</v>
      </c>
    </row>
    <row r="984" spans="1:2">
      <c r="A984" t="s">
        <v>960</v>
      </c>
      <c r="B984" s="3">
        <v>0</v>
      </c>
    </row>
    <row r="985" spans="1:2">
      <c r="A985" t="s">
        <v>1567</v>
      </c>
      <c r="B985" s="3">
        <v>83.34</v>
      </c>
    </row>
    <row r="986" spans="1:2">
      <c r="A986" t="s">
        <v>516</v>
      </c>
      <c r="B986" s="3">
        <v>0</v>
      </c>
    </row>
    <row r="987" spans="1:2">
      <c r="A987" t="s">
        <v>492</v>
      </c>
      <c r="B987" s="3">
        <v>49.8</v>
      </c>
    </row>
    <row r="988" spans="1:2">
      <c r="A988" t="s">
        <v>151</v>
      </c>
      <c r="B988" s="3">
        <v>1284</v>
      </c>
    </row>
    <row r="989" spans="1:2">
      <c r="A989" t="s">
        <v>778</v>
      </c>
      <c r="B989" s="3">
        <v>75</v>
      </c>
    </row>
    <row r="990" spans="1:2">
      <c r="A990" t="s">
        <v>1568</v>
      </c>
      <c r="B990" s="3">
        <v>13.55</v>
      </c>
    </row>
    <row r="991" spans="1:2">
      <c r="A991" t="s">
        <v>82</v>
      </c>
      <c r="B991" s="3">
        <v>11899.199999999999</v>
      </c>
    </row>
    <row r="992" spans="1:2">
      <c r="A992" t="s">
        <v>596</v>
      </c>
      <c r="B992" s="3">
        <v>10811.699999999999</v>
      </c>
    </row>
    <row r="993" spans="1:2">
      <c r="A993" t="s">
        <v>1569</v>
      </c>
      <c r="B993" s="3">
        <v>38.94</v>
      </c>
    </row>
    <row r="994" spans="1:2">
      <c r="A994" t="s">
        <v>1570</v>
      </c>
      <c r="B994" s="3">
        <v>7.6499999999999995</v>
      </c>
    </row>
    <row r="995" spans="1:2">
      <c r="A995" t="s">
        <v>1571</v>
      </c>
      <c r="B995" s="3">
        <v>0</v>
      </c>
    </row>
    <row r="996" spans="1:2">
      <c r="A996" t="s">
        <v>1572</v>
      </c>
      <c r="B996" s="3"/>
    </row>
    <row r="997" spans="1:2">
      <c r="A997" t="s">
        <v>1573</v>
      </c>
      <c r="B997" s="3">
        <v>7.4700000000000006</v>
      </c>
    </row>
    <row r="998" spans="1:2">
      <c r="A998" t="s">
        <v>1574</v>
      </c>
      <c r="B998" s="3">
        <v>6.51</v>
      </c>
    </row>
    <row r="999" spans="1:2">
      <c r="A999" t="s">
        <v>597</v>
      </c>
      <c r="B999" s="3"/>
    </row>
    <row r="1000" spans="1:2">
      <c r="A1000" t="s">
        <v>639</v>
      </c>
      <c r="B1000" s="3">
        <v>13.09</v>
      </c>
    </row>
    <row r="1001" spans="1:2">
      <c r="A1001" t="s">
        <v>1575</v>
      </c>
      <c r="B1001" s="3">
        <v>9.0297000000000001</v>
      </c>
    </row>
    <row r="1002" spans="1:2">
      <c r="A1002" t="s">
        <v>1576</v>
      </c>
      <c r="B1002" s="3">
        <v>0</v>
      </c>
    </row>
    <row r="1003" spans="1:2">
      <c r="A1003" t="s">
        <v>791</v>
      </c>
      <c r="B1003" s="3">
        <v>0</v>
      </c>
    </row>
    <row r="1004" spans="1:2">
      <c r="A1004" t="s">
        <v>13</v>
      </c>
      <c r="B1004" s="3">
        <v>54551.94</v>
      </c>
    </row>
    <row r="1005" spans="1:2">
      <c r="A1005" t="s">
        <v>816</v>
      </c>
      <c r="B1005" s="3">
        <v>14.85</v>
      </c>
    </row>
    <row r="1006" spans="1:2">
      <c r="A1006" t="s">
        <v>779</v>
      </c>
      <c r="B1006" s="3">
        <v>0</v>
      </c>
    </row>
    <row r="1007" spans="1:2">
      <c r="A1007" t="s">
        <v>1577</v>
      </c>
      <c r="B1007" s="3">
        <v>5.9399999999999995</v>
      </c>
    </row>
    <row r="1008" spans="1:2">
      <c r="A1008" t="s">
        <v>887</v>
      </c>
      <c r="B1008" s="3"/>
    </row>
    <row r="1009" spans="1:2">
      <c r="A1009" t="s">
        <v>1578</v>
      </c>
      <c r="B1009" s="3">
        <v>0</v>
      </c>
    </row>
    <row r="1010" spans="1:2">
      <c r="A1010" t="s">
        <v>1579</v>
      </c>
      <c r="B1010" s="3">
        <v>3.21</v>
      </c>
    </row>
    <row r="1011" spans="1:2">
      <c r="A1011" t="s">
        <v>888</v>
      </c>
      <c r="B1011" s="3"/>
    </row>
    <row r="1012" spans="1:2">
      <c r="A1012" t="s">
        <v>686</v>
      </c>
      <c r="B1012" s="3">
        <v>134.66329999999999</v>
      </c>
    </row>
    <row r="1013" spans="1:2">
      <c r="A1013" t="s">
        <v>499</v>
      </c>
      <c r="B1013" s="3">
        <v>25.110000000000003</v>
      </c>
    </row>
    <row r="1014" spans="1:2">
      <c r="A1014" t="s">
        <v>780</v>
      </c>
      <c r="B1014" s="3">
        <v>81.599999999999994</v>
      </c>
    </row>
    <row r="1015" spans="1:2">
      <c r="A1015" t="s">
        <v>781</v>
      </c>
      <c r="B1015" s="3">
        <v>36.54</v>
      </c>
    </row>
    <row r="1016" spans="1:2">
      <c r="A1016" t="s">
        <v>1580</v>
      </c>
      <c r="B1016" s="3"/>
    </row>
    <row r="1017" spans="1:2">
      <c r="A1017" t="s">
        <v>1581</v>
      </c>
      <c r="B1017" s="3">
        <v>0</v>
      </c>
    </row>
    <row r="1018" spans="1:2">
      <c r="A1018" t="s">
        <v>961</v>
      </c>
      <c r="B1018" s="3">
        <v>25.32</v>
      </c>
    </row>
    <row r="1019" spans="1:2">
      <c r="A1019" t="s">
        <v>29</v>
      </c>
      <c r="B1019" s="3">
        <v>331.59799999999996</v>
      </c>
    </row>
    <row r="1020" spans="1:2">
      <c r="A1020" t="s">
        <v>1582</v>
      </c>
      <c r="B1020" s="3">
        <v>0</v>
      </c>
    </row>
    <row r="1021" spans="1:2">
      <c r="A1021" t="s">
        <v>1583</v>
      </c>
      <c r="B1021" s="3">
        <v>62.86</v>
      </c>
    </row>
    <row r="1022" spans="1:2">
      <c r="A1022" t="s">
        <v>50</v>
      </c>
      <c r="B1022" s="3">
        <v>408.32</v>
      </c>
    </row>
    <row r="1023" spans="1:2">
      <c r="A1023" t="s">
        <v>1584</v>
      </c>
      <c r="B1023" s="3">
        <v>35.28</v>
      </c>
    </row>
    <row r="1024" spans="1:2">
      <c r="A1024" t="s">
        <v>1585</v>
      </c>
      <c r="B1024" s="3">
        <v>0</v>
      </c>
    </row>
    <row r="1025" spans="1:2">
      <c r="A1025" t="s">
        <v>315</v>
      </c>
      <c r="B1025" s="3">
        <v>464.09999999999997</v>
      </c>
    </row>
    <row r="1026" spans="1:2">
      <c r="A1026" t="s">
        <v>1586</v>
      </c>
      <c r="B1026" s="3">
        <v>22.68</v>
      </c>
    </row>
    <row r="1027" spans="1:2">
      <c r="A1027" t="s">
        <v>1587</v>
      </c>
      <c r="B1027" s="3">
        <v>81.63</v>
      </c>
    </row>
    <row r="1028" spans="1:2">
      <c r="A1028" t="s">
        <v>962</v>
      </c>
      <c r="B1028" s="3">
        <v>267.89999999999998</v>
      </c>
    </row>
    <row r="1029" spans="1:2">
      <c r="A1029" t="s">
        <v>808</v>
      </c>
      <c r="B1029" s="3">
        <v>97.699999999999989</v>
      </c>
    </row>
    <row r="1030" spans="1:2">
      <c r="A1030" t="s">
        <v>464</v>
      </c>
      <c r="B1030" s="3">
        <v>87.960000000000008</v>
      </c>
    </row>
    <row r="1031" spans="1:2">
      <c r="A1031" t="s">
        <v>963</v>
      </c>
      <c r="B1031" s="3">
        <v>26.8</v>
      </c>
    </row>
    <row r="1032" spans="1:2">
      <c r="A1032" t="s">
        <v>458</v>
      </c>
      <c r="B1032" s="3">
        <v>33.64</v>
      </c>
    </row>
    <row r="1033" spans="1:2">
      <c r="A1033" t="s">
        <v>1588</v>
      </c>
      <c r="B1033" s="3">
        <v>2.19</v>
      </c>
    </row>
    <row r="1034" spans="1:2">
      <c r="A1034" t="s">
        <v>1589</v>
      </c>
      <c r="B1034" s="3">
        <v>0</v>
      </c>
    </row>
    <row r="1035" spans="1:2">
      <c r="A1035" t="s">
        <v>500</v>
      </c>
      <c r="B1035" s="3">
        <v>63.96</v>
      </c>
    </row>
    <row r="1036" spans="1:2">
      <c r="A1036" t="s">
        <v>346</v>
      </c>
      <c r="B1036" s="3">
        <v>24</v>
      </c>
    </row>
    <row r="1037" spans="1:2">
      <c r="A1037" t="s">
        <v>521</v>
      </c>
      <c r="B1037" s="3">
        <v>35.200000000000003</v>
      </c>
    </row>
    <row r="1038" spans="1:2">
      <c r="A1038" t="s">
        <v>393</v>
      </c>
      <c r="B1038" s="3">
        <v>7.9</v>
      </c>
    </row>
    <row r="1039" spans="1:2">
      <c r="A1039" t="s">
        <v>1590</v>
      </c>
      <c r="B1039" s="3"/>
    </row>
    <row r="1040" spans="1:2">
      <c r="A1040" t="s">
        <v>1591</v>
      </c>
      <c r="B1040" s="3"/>
    </row>
    <row r="1041" spans="1:2">
      <c r="A1041" t="s">
        <v>757</v>
      </c>
      <c r="B1041" s="3">
        <v>322.2</v>
      </c>
    </row>
    <row r="1042" spans="1:2">
      <c r="A1042" t="s">
        <v>221</v>
      </c>
      <c r="B1042" s="3">
        <v>496</v>
      </c>
    </row>
    <row r="1043" spans="1:2">
      <c r="A1043" t="s">
        <v>1592</v>
      </c>
      <c r="B1043" s="3">
        <v>41.900000000000006</v>
      </c>
    </row>
    <row r="1044" spans="1:2">
      <c r="A1044" t="s">
        <v>598</v>
      </c>
      <c r="B1044" s="3">
        <v>7</v>
      </c>
    </row>
    <row r="1045" spans="1:2">
      <c r="A1045" t="s">
        <v>742</v>
      </c>
      <c r="B1045" s="3">
        <v>170.54849999999999</v>
      </c>
    </row>
    <row r="1046" spans="1:2">
      <c r="A1046" t="s">
        <v>1593</v>
      </c>
      <c r="B1046" s="3">
        <v>20.6</v>
      </c>
    </row>
    <row r="1047" spans="1:2">
      <c r="A1047" t="s">
        <v>1594</v>
      </c>
      <c r="B1047" s="3">
        <v>0</v>
      </c>
    </row>
    <row r="1048" spans="1:2">
      <c r="A1048" t="s">
        <v>125</v>
      </c>
      <c r="B1048" s="3">
        <v>12.48</v>
      </c>
    </row>
    <row r="1049" spans="1:2">
      <c r="A1049" t="s">
        <v>743</v>
      </c>
      <c r="B1049" s="3">
        <v>141.15</v>
      </c>
    </row>
    <row r="1050" spans="1:2">
      <c r="A1050" t="s">
        <v>1595</v>
      </c>
      <c r="B1050" s="3">
        <v>0</v>
      </c>
    </row>
    <row r="1051" spans="1:2">
      <c r="A1051" t="s">
        <v>758</v>
      </c>
      <c r="B1051" s="3">
        <v>24.857799999999997</v>
      </c>
    </row>
    <row r="1052" spans="1:2">
      <c r="A1052" t="s">
        <v>782</v>
      </c>
      <c r="B1052" s="3">
        <v>38.28</v>
      </c>
    </row>
    <row r="1053" spans="1:2">
      <c r="A1053" t="s">
        <v>102</v>
      </c>
      <c r="B1053" s="3">
        <v>846.66</v>
      </c>
    </row>
    <row r="1054" spans="1:2">
      <c r="A1054" t="s">
        <v>89</v>
      </c>
      <c r="B1054" s="3">
        <v>1342.96</v>
      </c>
    </row>
    <row r="1055" spans="1:2">
      <c r="A1055" t="s">
        <v>282</v>
      </c>
      <c r="B1055" s="3">
        <v>0</v>
      </c>
    </row>
    <row r="1056" spans="1:2">
      <c r="A1056" t="s">
        <v>546</v>
      </c>
      <c r="B1056" s="3">
        <v>1920.6</v>
      </c>
    </row>
    <row r="1057" spans="1:2">
      <c r="A1057" t="s">
        <v>95</v>
      </c>
      <c r="B1057" s="3">
        <v>6191.5</v>
      </c>
    </row>
    <row r="1058" spans="1:2">
      <c r="A1058" t="s">
        <v>63</v>
      </c>
      <c r="B1058" s="3">
        <v>0</v>
      </c>
    </row>
    <row r="1059" spans="1:2">
      <c r="A1059" t="s">
        <v>1596</v>
      </c>
      <c r="B1059" s="3">
        <v>0</v>
      </c>
    </row>
    <row r="1060" spans="1:2">
      <c r="A1060" t="s">
        <v>1597</v>
      </c>
      <c r="B1060" s="3">
        <v>0</v>
      </c>
    </row>
    <row r="1061" spans="1:2">
      <c r="A1061" t="s">
        <v>871</v>
      </c>
      <c r="B1061" s="3">
        <v>0</v>
      </c>
    </row>
    <row r="1062" spans="1:2">
      <c r="A1062" t="s">
        <v>1069</v>
      </c>
      <c r="B1062" s="3">
        <v>0</v>
      </c>
    </row>
    <row r="1063" spans="1:2">
      <c r="A1063" t="s">
        <v>599</v>
      </c>
      <c r="B1063" s="3">
        <v>0</v>
      </c>
    </row>
    <row r="1064" spans="1:2">
      <c r="A1064" t="s">
        <v>600</v>
      </c>
      <c r="B1064" s="3">
        <v>0</v>
      </c>
    </row>
    <row r="1065" spans="1:2">
      <c r="A1065" t="s">
        <v>1598</v>
      </c>
      <c r="B1065" s="3">
        <v>0</v>
      </c>
    </row>
    <row r="1066" spans="1:2">
      <c r="A1066" t="s">
        <v>449</v>
      </c>
      <c r="B1066" s="3">
        <v>5283.75</v>
      </c>
    </row>
    <row r="1067" spans="1:2">
      <c r="A1067" t="s">
        <v>1599</v>
      </c>
      <c r="B1067" s="3">
        <v>0</v>
      </c>
    </row>
    <row r="1068" spans="1:2">
      <c r="A1068" t="s">
        <v>865</v>
      </c>
      <c r="B1068" s="3">
        <v>10821.900000000001</v>
      </c>
    </row>
    <row r="1069" spans="1:2">
      <c r="A1069" t="s">
        <v>812</v>
      </c>
      <c r="B1069" s="3">
        <v>63.300000000000004</v>
      </c>
    </row>
    <row r="1070" spans="1:2">
      <c r="A1070" t="s">
        <v>1036</v>
      </c>
      <c r="B1070" s="3"/>
    </row>
    <row r="1071" spans="1:2">
      <c r="A1071" t="s">
        <v>759</v>
      </c>
      <c r="B1071" s="3">
        <v>0</v>
      </c>
    </row>
    <row r="1072" spans="1:2">
      <c r="A1072" t="s">
        <v>395</v>
      </c>
      <c r="B1072" s="3">
        <v>1260.9000000000001</v>
      </c>
    </row>
    <row r="1073" spans="1:2">
      <c r="A1073" t="s">
        <v>275</v>
      </c>
      <c r="B1073" s="3">
        <v>1794.5394000000001</v>
      </c>
    </row>
    <row r="1074" spans="1:2">
      <c r="A1074" t="s">
        <v>7</v>
      </c>
      <c r="B1074" s="3">
        <v>55052.34</v>
      </c>
    </row>
    <row r="1075" spans="1:2">
      <c r="A1075" t="s">
        <v>64</v>
      </c>
      <c r="B1075" s="3">
        <v>1737.2400000000002</v>
      </c>
    </row>
    <row r="1076" spans="1:2">
      <c r="A1076" t="s">
        <v>101</v>
      </c>
      <c r="B1076" s="3">
        <v>2150.25</v>
      </c>
    </row>
    <row r="1077" spans="1:2">
      <c r="A1077" t="s">
        <v>601</v>
      </c>
      <c r="B1077" s="3">
        <v>1521.52</v>
      </c>
    </row>
    <row r="1078" spans="1:2">
      <c r="A1078" t="s">
        <v>330</v>
      </c>
      <c r="B1078" s="3">
        <v>1014.42</v>
      </c>
    </row>
    <row r="1079" spans="1:2">
      <c r="A1079" t="s">
        <v>332</v>
      </c>
      <c r="B1079" s="3">
        <v>11.35</v>
      </c>
    </row>
    <row r="1080" spans="1:2">
      <c r="A1080" t="s">
        <v>385</v>
      </c>
      <c r="B1080" s="3">
        <v>17.96</v>
      </c>
    </row>
    <row r="1081" spans="1:2">
      <c r="A1081" t="s">
        <v>964</v>
      </c>
      <c r="B1081" s="3"/>
    </row>
    <row r="1082" spans="1:2">
      <c r="A1082" t="s">
        <v>470</v>
      </c>
      <c r="B1082" s="3">
        <v>2.5</v>
      </c>
    </row>
    <row r="1083" spans="1:2">
      <c r="A1083" t="s">
        <v>530</v>
      </c>
      <c r="B1083" s="3">
        <v>88.54</v>
      </c>
    </row>
    <row r="1084" spans="1:2">
      <c r="A1084" t="s">
        <v>1600</v>
      </c>
      <c r="B1084" s="3">
        <v>14</v>
      </c>
    </row>
    <row r="1085" spans="1:2">
      <c r="A1085" t="s">
        <v>1601</v>
      </c>
      <c r="B1085" s="3">
        <v>3.5999999999999996</v>
      </c>
    </row>
    <row r="1086" spans="1:2">
      <c r="A1086" t="s">
        <v>965</v>
      </c>
      <c r="B1086" s="3">
        <v>47.94</v>
      </c>
    </row>
    <row r="1087" spans="1:2">
      <c r="A1087" t="s">
        <v>448</v>
      </c>
      <c r="B1087" s="3">
        <v>50.8</v>
      </c>
    </row>
    <row r="1088" spans="1:2">
      <c r="A1088" t="s">
        <v>1602</v>
      </c>
      <c r="B1088" s="3">
        <v>9.8999999999999986</v>
      </c>
    </row>
    <row r="1089" spans="1:2">
      <c r="A1089" t="s">
        <v>320</v>
      </c>
      <c r="B1089" s="3">
        <v>48.1584</v>
      </c>
    </row>
    <row r="1090" spans="1:2">
      <c r="A1090" t="s">
        <v>783</v>
      </c>
      <c r="B1090" s="3">
        <v>17.150000000000002</v>
      </c>
    </row>
    <row r="1091" spans="1:2">
      <c r="A1091" t="s">
        <v>1603</v>
      </c>
      <c r="B1091" s="3">
        <v>0</v>
      </c>
    </row>
    <row r="1092" spans="1:2">
      <c r="A1092" t="s">
        <v>966</v>
      </c>
      <c r="B1092" s="3"/>
    </row>
    <row r="1093" spans="1:2">
      <c r="A1093" t="s">
        <v>784</v>
      </c>
      <c r="B1093" s="3">
        <v>41.339999999999996</v>
      </c>
    </row>
    <row r="1094" spans="1:2">
      <c r="A1094" t="s">
        <v>802</v>
      </c>
      <c r="B1094" s="3"/>
    </row>
    <row r="1095" spans="1:2">
      <c r="A1095" t="s">
        <v>967</v>
      </c>
      <c r="B1095" s="3">
        <v>66.100000000000009</v>
      </c>
    </row>
    <row r="1096" spans="1:2">
      <c r="A1096" t="s">
        <v>1063</v>
      </c>
      <c r="B1096" s="3"/>
    </row>
    <row r="1097" spans="1:2">
      <c r="A1097" t="s">
        <v>1604</v>
      </c>
      <c r="B1097" s="3">
        <v>0</v>
      </c>
    </row>
    <row r="1098" spans="1:2">
      <c r="A1098" t="s">
        <v>1605</v>
      </c>
      <c r="B1098" s="3">
        <v>21.400000000000002</v>
      </c>
    </row>
    <row r="1099" spans="1:2">
      <c r="A1099" t="s">
        <v>1606</v>
      </c>
      <c r="B1099" s="3">
        <v>0</v>
      </c>
    </row>
    <row r="1100" spans="1:2">
      <c r="A1100" t="s">
        <v>1607</v>
      </c>
      <c r="B1100" s="3">
        <v>0</v>
      </c>
    </row>
    <row r="1101" spans="1:2">
      <c r="A1101" t="s">
        <v>1608</v>
      </c>
      <c r="B1101" s="3"/>
    </row>
    <row r="1102" spans="1:2">
      <c r="A1102" t="s">
        <v>1609</v>
      </c>
      <c r="B1102" s="3">
        <v>21.6</v>
      </c>
    </row>
    <row r="1103" spans="1:2">
      <c r="A1103" t="s">
        <v>326</v>
      </c>
      <c r="B1103" s="3">
        <v>33.799999999999997</v>
      </c>
    </row>
    <row r="1104" spans="1:2">
      <c r="A1104" t="s">
        <v>307</v>
      </c>
      <c r="B1104" s="3">
        <v>5.4</v>
      </c>
    </row>
    <row r="1105" spans="1:2">
      <c r="A1105" t="s">
        <v>1610</v>
      </c>
      <c r="B1105" s="3">
        <v>11.4093</v>
      </c>
    </row>
    <row r="1106" spans="1:2">
      <c r="A1106" t="s">
        <v>1611</v>
      </c>
      <c r="B1106" s="3">
        <v>11.4093</v>
      </c>
    </row>
    <row r="1107" spans="1:2">
      <c r="A1107" t="s">
        <v>1612</v>
      </c>
      <c r="B1107" s="3">
        <v>56.64</v>
      </c>
    </row>
    <row r="1108" spans="1:2">
      <c r="A1108" t="s">
        <v>1613</v>
      </c>
      <c r="B1108" s="3">
        <v>123.26</v>
      </c>
    </row>
    <row r="1109" spans="1:2">
      <c r="A1109" t="s">
        <v>269</v>
      </c>
      <c r="B1109" s="3">
        <v>178.08</v>
      </c>
    </row>
    <row r="1110" spans="1:2">
      <c r="A1110" t="s">
        <v>1614</v>
      </c>
      <c r="B1110" s="3">
        <v>194.07</v>
      </c>
    </row>
    <row r="1111" spans="1:2">
      <c r="A1111" t="s">
        <v>375</v>
      </c>
      <c r="B1111" s="3">
        <v>71.72</v>
      </c>
    </row>
    <row r="1112" spans="1:2">
      <c r="A1112" t="s">
        <v>1615</v>
      </c>
      <c r="B1112" s="3"/>
    </row>
    <row r="1113" spans="1:2">
      <c r="A1113" t="s">
        <v>1616</v>
      </c>
      <c r="B1113" s="3">
        <v>10.44</v>
      </c>
    </row>
    <row r="1114" spans="1:2">
      <c r="A1114" t="s">
        <v>1617</v>
      </c>
      <c r="B1114" s="3">
        <v>60.39</v>
      </c>
    </row>
    <row r="1115" spans="1:2">
      <c r="A1115" t="s">
        <v>384</v>
      </c>
      <c r="B1115" s="3">
        <v>136.4</v>
      </c>
    </row>
    <row r="1116" spans="1:2">
      <c r="A1116" t="s">
        <v>351</v>
      </c>
      <c r="B1116" s="3">
        <v>160.5</v>
      </c>
    </row>
    <row r="1117" spans="1:2">
      <c r="A1117" t="s">
        <v>1618</v>
      </c>
      <c r="B1117" s="3">
        <v>35.22</v>
      </c>
    </row>
    <row r="1118" spans="1:2">
      <c r="A1118" t="s">
        <v>1619</v>
      </c>
      <c r="B1118" s="3">
        <v>76.94</v>
      </c>
    </row>
    <row r="1119" spans="1:2">
      <c r="A1119" t="s">
        <v>1620</v>
      </c>
      <c r="B1119" s="3">
        <v>81.599999999999994</v>
      </c>
    </row>
    <row r="1120" spans="1:2">
      <c r="A1120" t="s">
        <v>73</v>
      </c>
      <c r="B1120" s="3">
        <v>284.8</v>
      </c>
    </row>
    <row r="1121" spans="1:2">
      <c r="A1121" t="s">
        <v>1621</v>
      </c>
      <c r="B1121" s="3"/>
    </row>
    <row r="1122" spans="1:2">
      <c r="A1122" t="s">
        <v>1622</v>
      </c>
      <c r="B1122" s="3">
        <v>27.22</v>
      </c>
    </row>
    <row r="1123" spans="1:2">
      <c r="A1123" t="s">
        <v>602</v>
      </c>
      <c r="B1123" s="3"/>
    </row>
    <row r="1124" spans="1:2">
      <c r="A1124" t="s">
        <v>1623</v>
      </c>
      <c r="B1124" s="3">
        <v>15.8</v>
      </c>
    </row>
    <row r="1125" spans="1:2">
      <c r="A1125" t="s">
        <v>84</v>
      </c>
      <c r="B1125" s="3">
        <v>53.41</v>
      </c>
    </row>
    <row r="1126" spans="1:2">
      <c r="A1126" t="s">
        <v>1624</v>
      </c>
      <c r="B1126" s="3">
        <v>86.58</v>
      </c>
    </row>
    <row r="1127" spans="1:2">
      <c r="A1127" t="s">
        <v>1625</v>
      </c>
      <c r="B1127" s="3">
        <v>74.36</v>
      </c>
    </row>
    <row r="1128" spans="1:2">
      <c r="A1128" t="s">
        <v>1626</v>
      </c>
      <c r="B1128" s="3">
        <v>45.150000000000006</v>
      </c>
    </row>
    <row r="1129" spans="1:2">
      <c r="A1129" t="s">
        <v>889</v>
      </c>
      <c r="B1129" s="3"/>
    </row>
    <row r="1130" spans="1:2">
      <c r="A1130" t="s">
        <v>1627</v>
      </c>
      <c r="B1130" s="3">
        <v>61.230000000000004</v>
      </c>
    </row>
    <row r="1131" spans="1:2">
      <c r="A1131" t="s">
        <v>1628</v>
      </c>
      <c r="B1131" s="3">
        <v>0</v>
      </c>
    </row>
    <row r="1132" spans="1:2">
      <c r="A1132" t="s">
        <v>258</v>
      </c>
      <c r="B1132" s="3">
        <v>620.16</v>
      </c>
    </row>
    <row r="1133" spans="1:2">
      <c r="A1133" t="s">
        <v>968</v>
      </c>
      <c r="B1133" s="3">
        <v>158.1</v>
      </c>
    </row>
    <row r="1134" spans="1:2">
      <c r="A1134" t="s">
        <v>890</v>
      </c>
      <c r="B1134" s="3">
        <v>140.5</v>
      </c>
    </row>
    <row r="1135" spans="1:2">
      <c r="A1135" t="s">
        <v>1629</v>
      </c>
      <c r="B1135" s="3">
        <v>0</v>
      </c>
    </row>
    <row r="1136" spans="1:2">
      <c r="A1136" t="s">
        <v>1630</v>
      </c>
      <c r="B1136" s="3">
        <v>47.65</v>
      </c>
    </row>
    <row r="1137" spans="1:2">
      <c r="A1137" t="s">
        <v>1631</v>
      </c>
      <c r="B1137" s="3"/>
    </row>
    <row r="1138" spans="1:2">
      <c r="A1138" t="s">
        <v>1632</v>
      </c>
      <c r="B1138" s="3">
        <v>46.7</v>
      </c>
    </row>
    <row r="1139" spans="1:2">
      <c r="A1139" t="s">
        <v>870</v>
      </c>
      <c r="B1139" s="3"/>
    </row>
    <row r="1140" spans="1:2">
      <c r="A1140" t="s">
        <v>687</v>
      </c>
      <c r="B1140" s="3">
        <v>79.949999999999989</v>
      </c>
    </row>
    <row r="1141" spans="1:2">
      <c r="A1141" t="s">
        <v>1633</v>
      </c>
      <c r="B1141" s="3">
        <v>28.93</v>
      </c>
    </row>
    <row r="1142" spans="1:2">
      <c r="A1142" t="s">
        <v>1634</v>
      </c>
      <c r="B1142" s="3">
        <v>44.96</v>
      </c>
    </row>
    <row r="1143" spans="1:2">
      <c r="A1143" t="s">
        <v>62</v>
      </c>
      <c r="B1143" s="3">
        <v>742</v>
      </c>
    </row>
    <row r="1144" spans="1:2">
      <c r="A1144" t="s">
        <v>318</v>
      </c>
      <c r="B1144" s="3">
        <v>367.5</v>
      </c>
    </row>
    <row r="1145" spans="1:2">
      <c r="A1145" t="s">
        <v>281</v>
      </c>
      <c r="B1145" s="3">
        <v>155.16</v>
      </c>
    </row>
    <row r="1146" spans="1:2">
      <c r="A1146" t="s">
        <v>1635</v>
      </c>
      <c r="B1146" s="3">
        <v>66.91</v>
      </c>
    </row>
    <row r="1147" spans="1:2">
      <c r="A1147" t="s">
        <v>1636</v>
      </c>
      <c r="B1147" s="3">
        <v>37.78</v>
      </c>
    </row>
    <row r="1148" spans="1:2">
      <c r="A1148" t="s">
        <v>1637</v>
      </c>
      <c r="B1148" s="3">
        <v>142.68</v>
      </c>
    </row>
    <row r="1149" spans="1:2">
      <c r="A1149" t="s">
        <v>255</v>
      </c>
      <c r="B1149" s="3">
        <v>162.16</v>
      </c>
    </row>
    <row r="1150" spans="1:2">
      <c r="A1150" t="s">
        <v>1029</v>
      </c>
      <c r="B1150" s="3">
        <v>0.2</v>
      </c>
    </row>
    <row r="1151" spans="1:2">
      <c r="A1151" t="s">
        <v>77</v>
      </c>
      <c r="B1151" s="3">
        <v>350.3</v>
      </c>
    </row>
    <row r="1152" spans="1:2">
      <c r="A1152" t="s">
        <v>226</v>
      </c>
      <c r="B1152" s="3">
        <v>283.2</v>
      </c>
    </row>
    <row r="1153" spans="1:2">
      <c r="A1153" t="s">
        <v>1638</v>
      </c>
      <c r="B1153" s="3">
        <v>51.35</v>
      </c>
    </row>
    <row r="1154" spans="1:2">
      <c r="A1154" t="s">
        <v>1639</v>
      </c>
      <c r="B1154" s="3">
        <v>26.76</v>
      </c>
    </row>
    <row r="1155" spans="1:2">
      <c r="A1155" t="s">
        <v>1640</v>
      </c>
      <c r="B1155" s="3">
        <v>0</v>
      </c>
    </row>
    <row r="1156" spans="1:2">
      <c r="A1156" t="s">
        <v>1641</v>
      </c>
      <c r="B1156" s="3">
        <v>0</v>
      </c>
    </row>
    <row r="1157" spans="1:2">
      <c r="A1157" t="s">
        <v>1642</v>
      </c>
      <c r="B1157" s="3">
        <v>182.49</v>
      </c>
    </row>
    <row r="1158" spans="1:2">
      <c r="A1158" t="s">
        <v>1039</v>
      </c>
      <c r="B1158" s="3"/>
    </row>
    <row r="1159" spans="1:2">
      <c r="A1159" t="s">
        <v>482</v>
      </c>
      <c r="B1159" s="3">
        <v>15</v>
      </c>
    </row>
    <row r="1160" spans="1:2">
      <c r="A1160" t="s">
        <v>1643</v>
      </c>
      <c r="B1160" s="3">
        <v>0</v>
      </c>
    </row>
    <row r="1161" spans="1:2">
      <c r="A1161" t="s">
        <v>969</v>
      </c>
      <c r="B1161" s="3">
        <v>0</v>
      </c>
    </row>
    <row r="1162" spans="1:2">
      <c r="A1162" t="s">
        <v>785</v>
      </c>
      <c r="B1162" s="3">
        <v>0</v>
      </c>
    </row>
    <row r="1163" spans="1:2">
      <c r="A1163" t="s">
        <v>788</v>
      </c>
      <c r="B1163" s="3">
        <v>71.099999999999994</v>
      </c>
    </row>
    <row r="1164" spans="1:2">
      <c r="A1164" t="s">
        <v>654</v>
      </c>
      <c r="B1164" s="3">
        <v>154.19999999999999</v>
      </c>
    </row>
    <row r="1165" spans="1:2">
      <c r="A1165" t="s">
        <v>1644</v>
      </c>
      <c r="B1165" s="3">
        <v>0</v>
      </c>
    </row>
    <row r="1166" spans="1:2">
      <c r="A1166" t="s">
        <v>1645</v>
      </c>
      <c r="B1166" s="3">
        <v>0</v>
      </c>
    </row>
    <row r="1167" spans="1:2">
      <c r="A1167" t="s">
        <v>1646</v>
      </c>
      <c r="B1167" s="3">
        <v>0</v>
      </c>
    </row>
    <row r="1168" spans="1:2">
      <c r="A1168" t="s">
        <v>1647</v>
      </c>
      <c r="B1168" s="3">
        <v>0</v>
      </c>
    </row>
    <row r="1169" spans="1:2">
      <c r="A1169" t="s">
        <v>655</v>
      </c>
      <c r="B1169" s="3">
        <v>22.3</v>
      </c>
    </row>
    <row r="1170" spans="1:2">
      <c r="A1170" t="s">
        <v>1648</v>
      </c>
      <c r="B1170" s="3">
        <v>27.94</v>
      </c>
    </row>
    <row r="1171" spans="1:2">
      <c r="A1171" t="s">
        <v>1649</v>
      </c>
      <c r="B1171" s="3">
        <v>0</v>
      </c>
    </row>
    <row r="1172" spans="1:2">
      <c r="A1172" t="s">
        <v>274</v>
      </c>
      <c r="B1172" s="3">
        <v>155.66</v>
      </c>
    </row>
    <row r="1173" spans="1:2">
      <c r="A1173" t="s">
        <v>970</v>
      </c>
      <c r="B1173" s="3">
        <v>199.02</v>
      </c>
    </row>
    <row r="1174" spans="1:2">
      <c r="A1174" t="s">
        <v>306</v>
      </c>
      <c r="B1174" s="3">
        <v>210.42000000000002</v>
      </c>
    </row>
    <row r="1175" spans="1:2">
      <c r="A1175" t="s">
        <v>519</v>
      </c>
      <c r="B1175" s="3">
        <v>917.50000000000011</v>
      </c>
    </row>
    <row r="1176" spans="1:2">
      <c r="A1176" t="s">
        <v>971</v>
      </c>
      <c r="B1176" s="3">
        <v>652.12</v>
      </c>
    </row>
    <row r="1177" spans="1:2">
      <c r="A1177" t="s">
        <v>1650</v>
      </c>
      <c r="B1177" s="3">
        <v>189.72</v>
      </c>
    </row>
    <row r="1178" spans="1:2">
      <c r="A1178" t="s">
        <v>1651</v>
      </c>
      <c r="B1178" s="3">
        <v>0</v>
      </c>
    </row>
    <row r="1179" spans="1:2">
      <c r="A1179" t="s">
        <v>1652</v>
      </c>
      <c r="B1179" s="3">
        <v>54.75</v>
      </c>
    </row>
    <row r="1180" spans="1:2">
      <c r="A1180" t="s">
        <v>1653</v>
      </c>
      <c r="B1180" s="3">
        <v>64.56</v>
      </c>
    </row>
    <row r="1181" spans="1:2">
      <c r="A1181" t="s">
        <v>534</v>
      </c>
      <c r="B1181" s="3">
        <v>153.45000000000002</v>
      </c>
    </row>
    <row r="1182" spans="1:2">
      <c r="A1182" t="s">
        <v>1654</v>
      </c>
      <c r="B1182" s="3">
        <v>0</v>
      </c>
    </row>
    <row r="1183" spans="1:2">
      <c r="A1183" t="s">
        <v>1655</v>
      </c>
      <c r="B1183" s="3">
        <v>51.46</v>
      </c>
    </row>
    <row r="1184" spans="1:2">
      <c r="A1184" t="s">
        <v>875</v>
      </c>
      <c r="B1184" s="3">
        <v>374</v>
      </c>
    </row>
    <row r="1185" spans="1:2">
      <c r="A1185" t="s">
        <v>392</v>
      </c>
      <c r="B1185" s="3">
        <v>312.48</v>
      </c>
    </row>
    <row r="1186" spans="1:2">
      <c r="A1186" t="s">
        <v>1656</v>
      </c>
      <c r="B1186" s="3">
        <v>7.64</v>
      </c>
    </row>
    <row r="1187" spans="1:2">
      <c r="A1187" t="s">
        <v>1657</v>
      </c>
      <c r="B1187" s="3">
        <v>0</v>
      </c>
    </row>
    <row r="1188" spans="1:2">
      <c r="A1188" t="s">
        <v>972</v>
      </c>
      <c r="B1188" s="3">
        <v>69.2</v>
      </c>
    </row>
    <row r="1189" spans="1:2">
      <c r="A1189" t="s">
        <v>164</v>
      </c>
      <c r="B1189" s="3">
        <v>216.6</v>
      </c>
    </row>
    <row r="1190" spans="1:2">
      <c r="A1190" t="s">
        <v>57</v>
      </c>
      <c r="B1190" s="3">
        <v>421.67789999999997</v>
      </c>
    </row>
    <row r="1191" spans="1:2">
      <c r="A1191" t="s">
        <v>760</v>
      </c>
      <c r="B1191" s="3">
        <v>0</v>
      </c>
    </row>
    <row r="1192" spans="1:2">
      <c r="A1192" t="s">
        <v>443</v>
      </c>
      <c r="B1192" s="3">
        <v>266.98</v>
      </c>
    </row>
    <row r="1193" spans="1:2">
      <c r="A1193" t="s">
        <v>442</v>
      </c>
      <c r="B1193" s="3">
        <v>285.44</v>
      </c>
    </row>
    <row r="1194" spans="1:2">
      <c r="A1194" t="s">
        <v>656</v>
      </c>
      <c r="B1194" s="3">
        <v>884.4</v>
      </c>
    </row>
    <row r="1195" spans="1:2">
      <c r="A1195" t="s">
        <v>657</v>
      </c>
      <c r="B1195" s="3">
        <v>276.90000000000003</v>
      </c>
    </row>
    <row r="1196" spans="1:2">
      <c r="A1196" t="s">
        <v>973</v>
      </c>
      <c r="B1196" s="3">
        <v>57.929999999999993</v>
      </c>
    </row>
    <row r="1197" spans="1:2">
      <c r="A1197" t="s">
        <v>148</v>
      </c>
      <c r="B1197" s="3">
        <v>64.12</v>
      </c>
    </row>
    <row r="1198" spans="1:2">
      <c r="A1198" t="s">
        <v>974</v>
      </c>
      <c r="B1198" s="3">
        <v>0</v>
      </c>
    </row>
    <row r="1199" spans="1:2">
      <c r="A1199" t="s">
        <v>1658</v>
      </c>
      <c r="B1199" s="3">
        <v>0</v>
      </c>
    </row>
    <row r="1200" spans="1:2">
      <c r="A1200" t="s">
        <v>761</v>
      </c>
      <c r="B1200" s="3">
        <v>188.6</v>
      </c>
    </row>
    <row r="1201" spans="1:2">
      <c r="A1201" t="s">
        <v>688</v>
      </c>
      <c r="B1201" s="3">
        <v>182</v>
      </c>
    </row>
    <row r="1202" spans="1:2">
      <c r="A1202" t="s">
        <v>762</v>
      </c>
      <c r="B1202" s="3">
        <v>100.26</v>
      </c>
    </row>
    <row r="1203" spans="1:2">
      <c r="A1203" t="s">
        <v>763</v>
      </c>
      <c r="B1203" s="3">
        <v>255.89999999999998</v>
      </c>
    </row>
    <row r="1204" spans="1:2">
      <c r="A1204" t="s">
        <v>735</v>
      </c>
      <c r="B1204" s="3">
        <v>62.489699999999999</v>
      </c>
    </row>
    <row r="1205" spans="1:2">
      <c r="A1205" t="s">
        <v>674</v>
      </c>
      <c r="B1205" s="3">
        <v>0.30000000000000004</v>
      </c>
    </row>
    <row r="1206" spans="1:2">
      <c r="A1206" t="s">
        <v>739</v>
      </c>
      <c r="B1206" s="3">
        <v>21.7</v>
      </c>
    </row>
    <row r="1207" spans="1:2">
      <c r="A1207" t="s">
        <v>975</v>
      </c>
      <c r="B1207" s="3">
        <v>70.040000000000006</v>
      </c>
    </row>
    <row r="1208" spans="1:2">
      <c r="A1208" t="s">
        <v>1659</v>
      </c>
      <c r="B1208" s="3">
        <v>13.64</v>
      </c>
    </row>
    <row r="1209" spans="1:2">
      <c r="A1209" t="s">
        <v>462</v>
      </c>
      <c r="B1209" s="3">
        <v>97.53</v>
      </c>
    </row>
    <row r="1210" spans="1:2">
      <c r="A1210" t="s">
        <v>388</v>
      </c>
      <c r="B1210" s="3">
        <v>217.14</v>
      </c>
    </row>
    <row r="1211" spans="1:2">
      <c r="A1211" t="s">
        <v>1660</v>
      </c>
      <c r="B1211" s="3">
        <v>0</v>
      </c>
    </row>
    <row r="1212" spans="1:2">
      <c r="A1212" t="s">
        <v>640</v>
      </c>
      <c r="B1212" s="3">
        <v>115.5</v>
      </c>
    </row>
    <row r="1213" spans="1:2">
      <c r="A1213" t="s">
        <v>736</v>
      </c>
      <c r="B1213" s="3">
        <v>236.45</v>
      </c>
    </row>
    <row r="1214" spans="1:2">
      <c r="A1214" t="s">
        <v>1661</v>
      </c>
      <c r="B1214" s="3">
        <v>0</v>
      </c>
    </row>
    <row r="1215" spans="1:2">
      <c r="A1215" t="s">
        <v>1662</v>
      </c>
      <c r="B1215" s="3">
        <v>276.93</v>
      </c>
    </row>
    <row r="1216" spans="1:2">
      <c r="A1216" t="s">
        <v>745</v>
      </c>
      <c r="B1216" s="3">
        <v>68.010000000000005</v>
      </c>
    </row>
    <row r="1217" spans="1:2">
      <c r="A1217" t="s">
        <v>312</v>
      </c>
      <c r="B1217" s="3">
        <v>58.739999999999995</v>
      </c>
    </row>
    <row r="1218" spans="1:2">
      <c r="A1218" t="s">
        <v>603</v>
      </c>
      <c r="B1218" s="3">
        <v>21</v>
      </c>
    </row>
    <row r="1219" spans="1:2">
      <c r="A1219" t="s">
        <v>675</v>
      </c>
      <c r="B1219" s="3">
        <v>1.52</v>
      </c>
    </row>
    <row r="1220" spans="1:2">
      <c r="A1220" t="s">
        <v>647</v>
      </c>
      <c r="B1220" s="3">
        <v>123.10000000000001</v>
      </c>
    </row>
    <row r="1221" spans="1:2">
      <c r="A1221" t="s">
        <v>1663</v>
      </c>
      <c r="B1221" s="3">
        <v>9.3999999999999986</v>
      </c>
    </row>
    <row r="1222" spans="1:2">
      <c r="A1222" t="s">
        <v>75</v>
      </c>
      <c r="B1222" s="3">
        <v>921.59999999999991</v>
      </c>
    </row>
    <row r="1223" spans="1:2">
      <c r="A1223" t="s">
        <v>604</v>
      </c>
      <c r="B1223" s="3">
        <v>15</v>
      </c>
    </row>
    <row r="1224" spans="1:2">
      <c r="A1224" t="s">
        <v>198</v>
      </c>
      <c r="B1224" s="3">
        <v>520.48</v>
      </c>
    </row>
    <row r="1225" spans="1:2">
      <c r="A1225" t="s">
        <v>85</v>
      </c>
      <c r="B1225" s="3">
        <v>332</v>
      </c>
    </row>
    <row r="1226" spans="1:2">
      <c r="A1226" t="s">
        <v>605</v>
      </c>
      <c r="B1226" s="3">
        <v>22.41</v>
      </c>
    </row>
    <row r="1227" spans="1:2">
      <c r="A1227" t="s">
        <v>44</v>
      </c>
      <c r="B1227" s="3">
        <v>596</v>
      </c>
    </row>
    <row r="1228" spans="1:2">
      <c r="A1228" t="s">
        <v>178</v>
      </c>
      <c r="B1228" s="3">
        <v>30.777299999999997</v>
      </c>
    </row>
    <row r="1229" spans="1:2">
      <c r="A1229" t="s">
        <v>303</v>
      </c>
      <c r="B1229" s="3">
        <v>855.46999999999991</v>
      </c>
    </row>
    <row r="1230" spans="1:2">
      <c r="A1230" t="s">
        <v>459</v>
      </c>
      <c r="B1230" s="3">
        <v>9.6</v>
      </c>
    </row>
    <row r="1231" spans="1:2">
      <c r="A1231" t="s">
        <v>1664</v>
      </c>
      <c r="B1231" s="3">
        <v>3.96</v>
      </c>
    </row>
    <row r="1232" spans="1:2">
      <c r="A1232" t="s">
        <v>265</v>
      </c>
      <c r="B1232" s="3">
        <v>65.88</v>
      </c>
    </row>
    <row r="1233" spans="1:2">
      <c r="A1233" t="s">
        <v>264</v>
      </c>
      <c r="B1233" s="3">
        <v>71.009999999999991</v>
      </c>
    </row>
    <row r="1234" spans="1:2">
      <c r="A1234" t="s">
        <v>676</v>
      </c>
      <c r="B1234" s="3">
        <v>16.5</v>
      </c>
    </row>
    <row r="1235" spans="1:2">
      <c r="A1235" t="s">
        <v>461</v>
      </c>
      <c r="B1235" s="3">
        <v>25.4</v>
      </c>
    </row>
    <row r="1236" spans="1:2">
      <c r="A1236" t="s">
        <v>407</v>
      </c>
      <c r="B1236" s="3">
        <v>75.239999999999995</v>
      </c>
    </row>
    <row r="1237" spans="1:2">
      <c r="A1237" t="s">
        <v>42</v>
      </c>
      <c r="B1237" s="3">
        <v>61.93</v>
      </c>
    </row>
    <row r="1238" spans="1:2">
      <c r="A1238" t="s">
        <v>266</v>
      </c>
      <c r="B1238" s="3">
        <v>91.5</v>
      </c>
    </row>
    <row r="1239" spans="1:2">
      <c r="A1239" t="s">
        <v>379</v>
      </c>
      <c r="B1239" s="3">
        <v>305.61859999999996</v>
      </c>
    </row>
    <row r="1240" spans="1:2">
      <c r="A1240" t="s">
        <v>1665</v>
      </c>
      <c r="B1240" s="3">
        <v>28.799999999999997</v>
      </c>
    </row>
    <row r="1241" spans="1:2">
      <c r="A1241" t="s">
        <v>606</v>
      </c>
      <c r="B1241" s="3">
        <v>8.82</v>
      </c>
    </row>
    <row r="1242" spans="1:2">
      <c r="A1242" t="s">
        <v>72</v>
      </c>
      <c r="B1242" s="3">
        <v>76.5</v>
      </c>
    </row>
    <row r="1243" spans="1:2">
      <c r="A1243" t="s">
        <v>607</v>
      </c>
      <c r="B1243" s="3">
        <v>5.0999999999999996</v>
      </c>
    </row>
    <row r="1244" spans="1:2">
      <c r="A1244" t="s">
        <v>55</v>
      </c>
      <c r="B1244" s="3">
        <v>237</v>
      </c>
    </row>
    <row r="1245" spans="1:2">
      <c r="A1245" t="s">
        <v>54</v>
      </c>
      <c r="B1245" s="3">
        <v>22.740000000000002</v>
      </c>
    </row>
    <row r="1246" spans="1:2">
      <c r="A1246" t="s">
        <v>56</v>
      </c>
      <c r="B1246" s="3">
        <v>162.10000000000002</v>
      </c>
    </row>
    <row r="1247" spans="1:2">
      <c r="A1247" t="s">
        <v>1666</v>
      </c>
      <c r="B1247" s="3">
        <v>18.149999999999999</v>
      </c>
    </row>
    <row r="1248" spans="1:2">
      <c r="A1248" t="s">
        <v>976</v>
      </c>
      <c r="B1248" s="3">
        <v>29.28</v>
      </c>
    </row>
    <row r="1249" spans="1:2">
      <c r="A1249" t="s">
        <v>502</v>
      </c>
      <c r="B1249" s="3">
        <v>407.7</v>
      </c>
    </row>
    <row r="1250" spans="1:2">
      <c r="A1250" t="s">
        <v>608</v>
      </c>
      <c r="B1250" s="3">
        <v>28.47</v>
      </c>
    </row>
    <row r="1251" spans="1:2">
      <c r="A1251" t="s">
        <v>286</v>
      </c>
      <c r="B1251" s="3">
        <v>7525.598</v>
      </c>
    </row>
    <row r="1252" spans="1:2">
      <c r="A1252" t="s">
        <v>609</v>
      </c>
      <c r="B1252" s="3">
        <v>3286.7000000000003</v>
      </c>
    </row>
    <row r="1253" spans="1:2">
      <c r="A1253" t="s">
        <v>78</v>
      </c>
      <c r="B1253" s="3">
        <v>54982.38</v>
      </c>
    </row>
    <row r="1254" spans="1:2">
      <c r="A1254" t="s">
        <v>69</v>
      </c>
      <c r="B1254" s="3">
        <v>233.6</v>
      </c>
    </row>
    <row r="1255" spans="1:2">
      <c r="A1255" t="s">
        <v>68</v>
      </c>
      <c r="B1255" s="3">
        <v>226.86</v>
      </c>
    </row>
    <row r="1256" spans="1:2">
      <c r="A1256" t="s">
        <v>67</v>
      </c>
      <c r="B1256" s="3">
        <v>4570.5599999999995</v>
      </c>
    </row>
    <row r="1257" spans="1:2">
      <c r="A1257" t="s">
        <v>66</v>
      </c>
      <c r="B1257" s="3">
        <v>0</v>
      </c>
    </row>
    <row r="1258" spans="1:2">
      <c r="A1258" t="s">
        <v>6</v>
      </c>
      <c r="B1258" s="3">
        <v>4247.4749999999995</v>
      </c>
    </row>
    <row r="1259" spans="1:2">
      <c r="A1259" t="s">
        <v>104</v>
      </c>
      <c r="B1259" s="3">
        <v>2046.6000000000001</v>
      </c>
    </row>
    <row r="1260" spans="1:2">
      <c r="A1260" t="s">
        <v>237</v>
      </c>
      <c r="B1260" s="3">
        <v>986.84</v>
      </c>
    </row>
    <row r="1261" spans="1:2">
      <c r="A1261" t="s">
        <v>193</v>
      </c>
      <c r="B1261" s="3">
        <v>7723.96</v>
      </c>
    </row>
    <row r="1262" spans="1:2">
      <c r="A1262" t="s">
        <v>536</v>
      </c>
      <c r="B1262" s="3">
        <v>4568.2</v>
      </c>
    </row>
    <row r="1263" spans="1:2">
      <c r="A1263" t="s">
        <v>71</v>
      </c>
      <c r="B1263" s="3">
        <v>32604.880000000001</v>
      </c>
    </row>
    <row r="1264" spans="1:2">
      <c r="A1264" t="s">
        <v>4</v>
      </c>
      <c r="B1264" s="3">
        <v>15792.99</v>
      </c>
    </row>
    <row r="1265" spans="1:2">
      <c r="A1265" t="s">
        <v>817</v>
      </c>
      <c r="B1265" s="3">
        <v>731.76</v>
      </c>
    </row>
    <row r="1266" spans="1:2">
      <c r="A1266" t="s">
        <v>658</v>
      </c>
      <c r="B1266" s="3">
        <v>1335</v>
      </c>
    </row>
    <row r="1267" spans="1:2">
      <c r="A1267" t="s">
        <v>977</v>
      </c>
      <c r="B1267" s="3">
        <v>413.09999999999997</v>
      </c>
    </row>
    <row r="1268" spans="1:2">
      <c r="A1268" t="s">
        <v>978</v>
      </c>
      <c r="B1268" s="3">
        <v>0</v>
      </c>
    </row>
    <row r="1269" spans="1:2">
      <c r="A1269" t="s">
        <v>659</v>
      </c>
      <c r="B1269" s="3">
        <v>38.76</v>
      </c>
    </row>
    <row r="1270" spans="1:2">
      <c r="A1270" t="s">
        <v>380</v>
      </c>
      <c r="B1270" s="3">
        <v>102.10000000000001</v>
      </c>
    </row>
    <row r="1271" spans="1:2">
      <c r="A1271" t="s">
        <v>130</v>
      </c>
      <c r="B1271" s="3">
        <v>61</v>
      </c>
    </row>
    <row r="1272" spans="1:2">
      <c r="A1272" t="s">
        <v>1667</v>
      </c>
      <c r="B1272" s="3">
        <v>6.8599999999999994</v>
      </c>
    </row>
    <row r="1273" spans="1:2">
      <c r="A1273" t="s">
        <v>979</v>
      </c>
      <c r="B1273" s="3">
        <v>9.6</v>
      </c>
    </row>
    <row r="1274" spans="1:2">
      <c r="A1274" t="s">
        <v>209</v>
      </c>
      <c r="B1274" s="3">
        <v>93.98</v>
      </c>
    </row>
    <row r="1275" spans="1:2">
      <c r="A1275" t="s">
        <v>208</v>
      </c>
      <c r="B1275" s="3">
        <v>93.500000000000014</v>
      </c>
    </row>
    <row r="1276" spans="1:2">
      <c r="A1276" t="s">
        <v>1668</v>
      </c>
      <c r="B1276" s="3">
        <v>26</v>
      </c>
    </row>
    <row r="1277" spans="1:2">
      <c r="A1277" t="s">
        <v>891</v>
      </c>
      <c r="B1277" s="3">
        <v>0</v>
      </c>
    </row>
    <row r="1278" spans="1:2">
      <c r="A1278" t="s">
        <v>641</v>
      </c>
      <c r="B1278" s="3">
        <v>7.1999999999999993</v>
      </c>
    </row>
    <row r="1279" spans="1:2">
      <c r="A1279" t="s">
        <v>132</v>
      </c>
      <c r="B1279" s="3">
        <v>16.100000000000001</v>
      </c>
    </row>
    <row r="1280" spans="1:2">
      <c r="A1280" t="s">
        <v>1669</v>
      </c>
      <c r="B1280" s="3">
        <v>4.4399999999999995</v>
      </c>
    </row>
    <row r="1281" spans="1:2">
      <c r="A1281" t="s">
        <v>123</v>
      </c>
      <c r="B1281" s="3">
        <v>14.280000000000001</v>
      </c>
    </row>
    <row r="1282" spans="1:2">
      <c r="A1282" t="s">
        <v>1670</v>
      </c>
      <c r="B1282" s="3">
        <v>2.56</v>
      </c>
    </row>
    <row r="1283" spans="1:2">
      <c r="A1283" t="s">
        <v>1671</v>
      </c>
      <c r="B1283" s="3">
        <v>4.24</v>
      </c>
    </row>
    <row r="1284" spans="1:2">
      <c r="A1284" t="s">
        <v>1672</v>
      </c>
      <c r="B1284" s="3">
        <v>0</v>
      </c>
    </row>
    <row r="1285" spans="1:2">
      <c r="A1285" t="s">
        <v>137</v>
      </c>
      <c r="B1285" s="3">
        <v>16.2</v>
      </c>
    </row>
    <row r="1286" spans="1:2">
      <c r="A1286" t="s">
        <v>390</v>
      </c>
      <c r="B1286" s="3">
        <v>170.34</v>
      </c>
    </row>
    <row r="1287" spans="1:2">
      <c r="A1287" t="s">
        <v>642</v>
      </c>
      <c r="B1287" s="3">
        <v>9.36</v>
      </c>
    </row>
    <row r="1288" spans="1:2">
      <c r="A1288" t="s">
        <v>1673</v>
      </c>
      <c r="B1288" s="3">
        <v>7.1999999999999993</v>
      </c>
    </row>
    <row r="1289" spans="1:2">
      <c r="A1289" t="s">
        <v>1674</v>
      </c>
      <c r="B1289" s="3">
        <v>6</v>
      </c>
    </row>
    <row r="1290" spans="1:2">
      <c r="A1290" t="s">
        <v>1675</v>
      </c>
      <c r="B1290" s="3">
        <v>0</v>
      </c>
    </row>
    <row r="1291" spans="1:2">
      <c r="A1291" t="s">
        <v>1676</v>
      </c>
      <c r="B1291" s="3">
        <v>0</v>
      </c>
    </row>
    <row r="1292" spans="1:2">
      <c r="A1292" t="s">
        <v>182</v>
      </c>
      <c r="B1292" s="3">
        <v>56.44</v>
      </c>
    </row>
    <row r="1293" spans="1:2">
      <c r="A1293" t="s">
        <v>1677</v>
      </c>
      <c r="B1293" s="3">
        <v>2.95</v>
      </c>
    </row>
    <row r="1294" spans="1:2">
      <c r="A1294" t="s">
        <v>1678</v>
      </c>
      <c r="B1294" s="3">
        <v>4.62</v>
      </c>
    </row>
    <row r="1295" spans="1:2">
      <c r="A1295" t="s">
        <v>172</v>
      </c>
      <c r="B1295" s="3">
        <v>180.792</v>
      </c>
    </row>
    <row r="1296" spans="1:2">
      <c r="A1296" t="s">
        <v>610</v>
      </c>
      <c r="B1296" s="3">
        <v>44.800000000000004</v>
      </c>
    </row>
    <row r="1297" spans="1:2">
      <c r="A1297" t="s">
        <v>850</v>
      </c>
      <c r="B1297" s="3">
        <v>20</v>
      </c>
    </row>
    <row r="1298" spans="1:2">
      <c r="A1298" t="s">
        <v>789</v>
      </c>
      <c r="B1298" s="3">
        <v>8.1999999999999993</v>
      </c>
    </row>
    <row r="1299" spans="1:2">
      <c r="A1299" t="s">
        <v>1679</v>
      </c>
      <c r="B1299" s="3"/>
    </row>
    <row r="1300" spans="1:2">
      <c r="A1300" t="s">
        <v>1680</v>
      </c>
      <c r="B1300" s="3">
        <v>0</v>
      </c>
    </row>
    <row r="1301" spans="1:2">
      <c r="A1301" t="s">
        <v>1681</v>
      </c>
      <c r="B1301" s="3">
        <v>0</v>
      </c>
    </row>
    <row r="1302" spans="1:2">
      <c r="A1302" t="s">
        <v>1682</v>
      </c>
      <c r="B1302" s="3"/>
    </row>
    <row r="1303" spans="1:2">
      <c r="A1303" t="s">
        <v>892</v>
      </c>
      <c r="B1303" s="3"/>
    </row>
    <row r="1304" spans="1:2">
      <c r="A1304" t="s">
        <v>611</v>
      </c>
      <c r="B1304" s="3">
        <v>6.6</v>
      </c>
    </row>
    <row r="1305" spans="1:2">
      <c r="A1305" t="s">
        <v>764</v>
      </c>
      <c r="B1305" s="3"/>
    </row>
    <row r="1306" spans="1:2">
      <c r="A1306" t="s">
        <v>1683</v>
      </c>
      <c r="B1306" s="3">
        <v>0</v>
      </c>
    </row>
    <row r="1307" spans="1:2">
      <c r="A1307" t="s">
        <v>1086</v>
      </c>
      <c r="B1307" s="3">
        <v>3.04</v>
      </c>
    </row>
    <row r="1308" spans="1:2">
      <c r="A1308" t="s">
        <v>394</v>
      </c>
      <c r="B1308" s="3">
        <v>26.400000000000002</v>
      </c>
    </row>
    <row r="1309" spans="1:2">
      <c r="A1309" t="s">
        <v>152</v>
      </c>
      <c r="B1309" s="3">
        <v>264.16000000000003</v>
      </c>
    </row>
    <row r="1310" spans="1:2">
      <c r="A1310" t="s">
        <v>154</v>
      </c>
      <c r="B1310" s="3">
        <v>60.300000000000004</v>
      </c>
    </row>
    <row r="1311" spans="1:2">
      <c r="A1311" t="s">
        <v>660</v>
      </c>
      <c r="B1311" s="3">
        <v>115.99999999999999</v>
      </c>
    </row>
    <row r="1312" spans="1:2">
      <c r="A1312" t="s">
        <v>696</v>
      </c>
      <c r="B1312" s="3">
        <v>141.9</v>
      </c>
    </row>
    <row r="1313" spans="1:2">
      <c r="A1313" t="s">
        <v>834</v>
      </c>
      <c r="B1313" s="3">
        <v>4.3</v>
      </c>
    </row>
    <row r="1314" spans="1:2">
      <c r="A1314" t="s">
        <v>1684</v>
      </c>
      <c r="B1314" s="3">
        <v>11.5</v>
      </c>
    </row>
    <row r="1315" spans="1:2">
      <c r="A1315" t="s">
        <v>447</v>
      </c>
      <c r="B1315" s="3">
        <v>15.36</v>
      </c>
    </row>
    <row r="1316" spans="1:2">
      <c r="A1316" t="s">
        <v>643</v>
      </c>
      <c r="B1316" s="3">
        <v>9.44</v>
      </c>
    </row>
    <row r="1317" spans="1:2">
      <c r="A1317" t="s">
        <v>333</v>
      </c>
      <c r="B1317" s="3">
        <v>0</v>
      </c>
    </row>
    <row r="1318" spans="1:2">
      <c r="A1318" t="s">
        <v>1685</v>
      </c>
      <c r="B1318" s="3">
        <v>9.65</v>
      </c>
    </row>
    <row r="1319" spans="1:2">
      <c r="A1319" t="s">
        <v>338</v>
      </c>
      <c r="B1319" s="3">
        <v>6.96</v>
      </c>
    </row>
    <row r="1320" spans="1:2">
      <c r="A1320" t="s">
        <v>737</v>
      </c>
      <c r="B1320" s="3">
        <v>21.299999999999997</v>
      </c>
    </row>
    <row r="1321" spans="1:2">
      <c r="A1321" t="s">
        <v>980</v>
      </c>
      <c r="B1321" s="3">
        <v>34.35</v>
      </c>
    </row>
    <row r="1322" spans="1:2">
      <c r="A1322" t="s">
        <v>1686</v>
      </c>
      <c r="B1322" s="3">
        <v>10.700000000000001</v>
      </c>
    </row>
    <row r="1323" spans="1:2">
      <c r="A1323" t="s">
        <v>1687</v>
      </c>
      <c r="B1323" s="3">
        <v>0</v>
      </c>
    </row>
    <row r="1324" spans="1:2">
      <c r="A1324" t="s">
        <v>1688</v>
      </c>
      <c r="B1324" s="3">
        <v>4.0999999999999996</v>
      </c>
    </row>
    <row r="1325" spans="1:2">
      <c r="A1325" t="s">
        <v>327</v>
      </c>
      <c r="B1325" s="3">
        <v>6.6000000000000005</v>
      </c>
    </row>
    <row r="1326" spans="1:2">
      <c r="A1326" t="s">
        <v>188</v>
      </c>
      <c r="B1326" s="3">
        <v>48</v>
      </c>
    </row>
    <row r="1327" spans="1:2">
      <c r="A1327" t="s">
        <v>1047</v>
      </c>
      <c r="B1327" s="3"/>
    </row>
    <row r="1328" spans="1:2">
      <c r="A1328" t="s">
        <v>1689</v>
      </c>
      <c r="B1328" s="3">
        <v>4.6999999999999993</v>
      </c>
    </row>
    <row r="1329" spans="1:2">
      <c r="A1329" t="s">
        <v>1690</v>
      </c>
      <c r="B1329" s="3">
        <v>0</v>
      </c>
    </row>
    <row r="1330" spans="1:2">
      <c r="A1330" t="s">
        <v>814</v>
      </c>
      <c r="B1330" s="3">
        <v>11.200000000000001</v>
      </c>
    </row>
    <row r="1331" spans="1:2">
      <c r="A1331" t="s">
        <v>1691</v>
      </c>
      <c r="B1331" s="3">
        <v>1.76</v>
      </c>
    </row>
    <row r="1332" spans="1:2">
      <c r="A1332" t="s">
        <v>1048</v>
      </c>
      <c r="B1332" s="3"/>
    </row>
    <row r="1333" spans="1:2">
      <c r="A1333" t="s">
        <v>612</v>
      </c>
      <c r="B1333" s="3"/>
    </row>
    <row r="1334" spans="1:2">
      <c r="A1334" t="s">
        <v>1692</v>
      </c>
      <c r="B1334" s="3">
        <v>3.3600000000000003</v>
      </c>
    </row>
    <row r="1335" spans="1:2">
      <c r="A1335" t="s">
        <v>981</v>
      </c>
      <c r="B1335" s="3">
        <v>21.42</v>
      </c>
    </row>
    <row r="1336" spans="1:2">
      <c r="A1336" t="s">
        <v>982</v>
      </c>
      <c r="B1336" s="3">
        <v>10.84</v>
      </c>
    </row>
    <row r="1337" spans="1:2">
      <c r="A1337" t="s">
        <v>983</v>
      </c>
      <c r="B1337" s="3">
        <v>3.92</v>
      </c>
    </row>
    <row r="1338" spans="1:2">
      <c r="A1338" t="s">
        <v>984</v>
      </c>
      <c r="B1338" s="3">
        <v>23.12</v>
      </c>
    </row>
    <row r="1339" spans="1:2">
      <c r="A1339" t="s">
        <v>985</v>
      </c>
      <c r="B1339" s="3">
        <v>10.1</v>
      </c>
    </row>
    <row r="1340" spans="1:2">
      <c r="A1340" t="s">
        <v>986</v>
      </c>
      <c r="B1340" s="3">
        <v>11.05</v>
      </c>
    </row>
    <row r="1341" spans="1:2">
      <c r="A1341" t="s">
        <v>1693</v>
      </c>
      <c r="B1341" s="3">
        <v>0</v>
      </c>
    </row>
    <row r="1342" spans="1:2">
      <c r="A1342" t="s">
        <v>465</v>
      </c>
      <c r="B1342" s="3">
        <v>106.6</v>
      </c>
    </row>
    <row r="1343" spans="1:2">
      <c r="A1343" t="s">
        <v>661</v>
      </c>
      <c r="B1343" s="3">
        <v>25.349999999999998</v>
      </c>
    </row>
    <row r="1344" spans="1:2">
      <c r="A1344" t="s">
        <v>662</v>
      </c>
      <c r="B1344" s="3">
        <v>14.7</v>
      </c>
    </row>
    <row r="1345" spans="1:2">
      <c r="A1345" t="s">
        <v>135</v>
      </c>
      <c r="B1345" s="3">
        <v>8.6</v>
      </c>
    </row>
    <row r="1346" spans="1:2">
      <c r="A1346" t="s">
        <v>1040</v>
      </c>
      <c r="B1346" s="3"/>
    </row>
    <row r="1347" spans="1:2">
      <c r="A1347" t="s">
        <v>440</v>
      </c>
      <c r="B1347" s="3">
        <v>30.66</v>
      </c>
    </row>
    <row r="1348" spans="1:2">
      <c r="A1348" t="s">
        <v>181</v>
      </c>
      <c r="B1348" s="3">
        <v>108</v>
      </c>
    </row>
    <row r="1349" spans="1:2">
      <c r="A1349" t="s">
        <v>194</v>
      </c>
      <c r="B1349" s="3">
        <v>341.596</v>
      </c>
    </row>
    <row r="1350" spans="1:2">
      <c r="A1350" t="s">
        <v>445</v>
      </c>
      <c r="B1350" s="3">
        <v>48.2</v>
      </c>
    </row>
    <row r="1351" spans="1:2">
      <c r="A1351" t="s">
        <v>1694</v>
      </c>
      <c r="B1351" s="3">
        <v>23.490000000000002</v>
      </c>
    </row>
    <row r="1352" spans="1:2">
      <c r="A1352" t="s">
        <v>987</v>
      </c>
      <c r="B1352" s="3">
        <v>13.25</v>
      </c>
    </row>
    <row r="1353" spans="1:2">
      <c r="A1353" t="s">
        <v>1695</v>
      </c>
      <c r="B1353" s="3">
        <v>6.8000000000000007</v>
      </c>
    </row>
    <row r="1354" spans="1:2">
      <c r="A1354" t="s">
        <v>1696</v>
      </c>
      <c r="B1354" s="3">
        <v>0</v>
      </c>
    </row>
    <row r="1355" spans="1:2">
      <c r="A1355" t="s">
        <v>893</v>
      </c>
      <c r="B1355" s="3"/>
    </row>
    <row r="1356" spans="1:2">
      <c r="A1356" t="s">
        <v>243</v>
      </c>
      <c r="B1356" s="3">
        <v>20.9</v>
      </c>
    </row>
    <row r="1357" spans="1:2">
      <c r="A1357" t="s">
        <v>180</v>
      </c>
      <c r="B1357" s="3">
        <v>10.199999999999999</v>
      </c>
    </row>
    <row r="1358" spans="1:2">
      <c r="A1358" t="s">
        <v>988</v>
      </c>
      <c r="B1358" s="3">
        <v>6.6</v>
      </c>
    </row>
    <row r="1359" spans="1:2">
      <c r="A1359" t="s">
        <v>1697</v>
      </c>
      <c r="B1359" s="3">
        <v>2.8000000000000003</v>
      </c>
    </row>
    <row r="1360" spans="1:2">
      <c r="A1360" t="s">
        <v>989</v>
      </c>
      <c r="B1360" s="3">
        <v>0.96</v>
      </c>
    </row>
    <row r="1361" spans="1:2">
      <c r="A1361" t="s">
        <v>1698</v>
      </c>
      <c r="B1361" s="3">
        <v>5.8999999999999995</v>
      </c>
    </row>
    <row r="1362" spans="1:2">
      <c r="A1362" t="s">
        <v>293</v>
      </c>
      <c r="B1362" s="3">
        <v>5.83</v>
      </c>
    </row>
    <row r="1363" spans="1:2">
      <c r="A1363" t="s">
        <v>990</v>
      </c>
      <c r="B1363" s="3">
        <v>13.049999999999999</v>
      </c>
    </row>
    <row r="1364" spans="1:2">
      <c r="A1364" t="s">
        <v>786</v>
      </c>
      <c r="B1364" s="3">
        <v>0.6</v>
      </c>
    </row>
    <row r="1365" spans="1:2">
      <c r="A1365" t="s">
        <v>526</v>
      </c>
      <c r="B1365" s="3">
        <v>7.04</v>
      </c>
    </row>
    <row r="1366" spans="1:2">
      <c r="A1366" t="s">
        <v>1699</v>
      </c>
      <c r="B1366" s="3">
        <v>0</v>
      </c>
    </row>
    <row r="1367" spans="1:2">
      <c r="A1367" t="s">
        <v>1700</v>
      </c>
      <c r="B1367" s="3">
        <v>0</v>
      </c>
    </row>
    <row r="1368" spans="1:2">
      <c r="A1368" t="s">
        <v>524</v>
      </c>
      <c r="B1368" s="3">
        <v>22.2</v>
      </c>
    </row>
    <row r="1369" spans="1:2">
      <c r="A1369" t="s">
        <v>663</v>
      </c>
      <c r="B1369" s="3">
        <v>11.76</v>
      </c>
    </row>
    <row r="1370" spans="1:2">
      <c r="A1370" t="s">
        <v>144</v>
      </c>
      <c r="B1370" s="3">
        <v>183</v>
      </c>
    </row>
    <row r="1371" spans="1:2">
      <c r="A1371" t="s">
        <v>476</v>
      </c>
      <c r="B1371" s="3">
        <v>52.599999999999994</v>
      </c>
    </row>
    <row r="1372" spans="1:2">
      <c r="A1372" t="s">
        <v>334</v>
      </c>
      <c r="B1372" s="3">
        <v>12</v>
      </c>
    </row>
    <row r="1373" spans="1:2">
      <c r="A1373" t="s">
        <v>644</v>
      </c>
      <c r="B1373" s="3">
        <v>117.9</v>
      </c>
    </row>
    <row r="1374" spans="1:2">
      <c r="A1374" t="s">
        <v>37</v>
      </c>
      <c r="B1374" s="3">
        <v>55.595999999999997</v>
      </c>
    </row>
    <row r="1375" spans="1:2">
      <c r="A1375" t="s">
        <v>1701</v>
      </c>
      <c r="B1375" s="3">
        <v>0</v>
      </c>
    </row>
    <row r="1376" spans="1:2">
      <c r="A1376" t="s">
        <v>1702</v>
      </c>
      <c r="B1376" s="3">
        <v>0</v>
      </c>
    </row>
    <row r="1377" spans="1:2">
      <c r="A1377" t="s">
        <v>1703</v>
      </c>
      <c r="B1377" s="3">
        <v>0</v>
      </c>
    </row>
    <row r="1378" spans="1:2">
      <c r="A1378" t="s">
        <v>1704</v>
      </c>
      <c r="B1378" s="3">
        <v>0</v>
      </c>
    </row>
    <row r="1379" spans="1:2">
      <c r="A1379" t="s">
        <v>991</v>
      </c>
      <c r="B1379" s="3">
        <v>0</v>
      </c>
    </row>
    <row r="1380" spans="1:2">
      <c r="A1380" t="s">
        <v>1705</v>
      </c>
      <c r="B1380" s="3">
        <v>0</v>
      </c>
    </row>
    <row r="1381" spans="1:2">
      <c r="A1381" t="s">
        <v>1706</v>
      </c>
      <c r="B1381" s="3">
        <v>8.1</v>
      </c>
    </row>
    <row r="1382" spans="1:2">
      <c r="A1382" t="s">
        <v>1707</v>
      </c>
      <c r="B1382" s="3">
        <v>0</v>
      </c>
    </row>
    <row r="1383" spans="1:2">
      <c r="A1383" t="s">
        <v>1708</v>
      </c>
      <c r="B1383" s="3"/>
    </row>
    <row r="1384" spans="1:2">
      <c r="A1384" t="s">
        <v>790</v>
      </c>
      <c r="B1384" s="3">
        <v>2.0299999999999998</v>
      </c>
    </row>
    <row r="1385" spans="1:2">
      <c r="A1385" t="s">
        <v>765</v>
      </c>
      <c r="B1385" s="3">
        <v>1.65</v>
      </c>
    </row>
    <row r="1386" spans="1:2">
      <c r="A1386" t="s">
        <v>212</v>
      </c>
      <c r="B1386" s="3">
        <v>0</v>
      </c>
    </row>
    <row r="1387" spans="1:2">
      <c r="A1387" t="s">
        <v>1709</v>
      </c>
      <c r="B1387" s="3">
        <v>0</v>
      </c>
    </row>
    <row r="1388" spans="1:2">
      <c r="A1388" t="s">
        <v>851</v>
      </c>
      <c r="B1388" s="3">
        <v>75</v>
      </c>
    </row>
    <row r="1389" spans="1:2">
      <c r="A1389" t="s">
        <v>1710</v>
      </c>
      <c r="B1389" s="3"/>
    </row>
    <row r="1390" spans="1:2">
      <c r="A1390" t="s">
        <v>613</v>
      </c>
      <c r="B1390" s="3">
        <v>8.2799999999999994</v>
      </c>
    </row>
    <row r="1391" spans="1:2">
      <c r="A1391" t="s">
        <v>614</v>
      </c>
      <c r="B1391" s="3">
        <v>8.2799999999999994</v>
      </c>
    </row>
    <row r="1392" spans="1:2">
      <c r="A1392" t="s">
        <v>992</v>
      </c>
      <c r="B1392" s="3">
        <v>70.5</v>
      </c>
    </row>
    <row r="1393" spans="1:2">
      <c r="A1393" t="s">
        <v>337</v>
      </c>
      <c r="B1393" s="3">
        <v>165</v>
      </c>
    </row>
    <row r="1394" spans="1:2">
      <c r="A1394" t="s">
        <v>43</v>
      </c>
      <c r="B1394" s="3">
        <v>225.6</v>
      </c>
    </row>
    <row r="1395" spans="1:2">
      <c r="A1395" t="s">
        <v>251</v>
      </c>
      <c r="B1395" s="3">
        <v>40.159199999999998</v>
      </c>
    </row>
    <row r="1396" spans="1:2">
      <c r="A1396" t="s">
        <v>250</v>
      </c>
      <c r="B1396" s="3">
        <v>51.6</v>
      </c>
    </row>
    <row r="1397" spans="1:2">
      <c r="A1397" t="s">
        <v>1711</v>
      </c>
      <c r="B1397" s="3"/>
    </row>
    <row r="1398" spans="1:2">
      <c r="A1398" t="s">
        <v>993</v>
      </c>
      <c r="B1398" s="3">
        <v>0</v>
      </c>
    </row>
    <row r="1399" spans="1:2">
      <c r="A1399" t="s">
        <v>1712</v>
      </c>
      <c r="B1399" s="3">
        <v>2.2000000000000002</v>
      </c>
    </row>
    <row r="1400" spans="1:2">
      <c r="A1400" t="s">
        <v>615</v>
      </c>
      <c r="B1400" s="3"/>
    </row>
    <row r="1401" spans="1:2">
      <c r="A1401" t="s">
        <v>994</v>
      </c>
      <c r="B1401" s="3">
        <v>77</v>
      </c>
    </row>
    <row r="1402" spans="1:2">
      <c r="A1402" t="s">
        <v>65</v>
      </c>
      <c r="B1402" s="3">
        <v>1449.48</v>
      </c>
    </row>
    <row r="1403" spans="1:2">
      <c r="A1403" t="s">
        <v>1713</v>
      </c>
      <c r="B1403" s="3">
        <v>153.02000000000001</v>
      </c>
    </row>
    <row r="1404" spans="1:2">
      <c r="A1404" t="s">
        <v>1073</v>
      </c>
      <c r="B1404" s="3">
        <v>0</v>
      </c>
    </row>
    <row r="1405" spans="1:2">
      <c r="A1405" t="s">
        <v>1714</v>
      </c>
      <c r="B1405" s="3">
        <v>289.8</v>
      </c>
    </row>
    <row r="1406" spans="1:2">
      <c r="A1406" t="s">
        <v>1715</v>
      </c>
      <c r="B1406" s="3">
        <v>0</v>
      </c>
    </row>
    <row r="1407" spans="1:2">
      <c r="A1407" t="s">
        <v>1716</v>
      </c>
      <c r="B1407" s="3">
        <v>41.81</v>
      </c>
    </row>
    <row r="1408" spans="1:2">
      <c r="A1408" t="s">
        <v>1717</v>
      </c>
      <c r="B1408" s="3">
        <v>0</v>
      </c>
    </row>
    <row r="1409" spans="1:2">
      <c r="A1409" t="s">
        <v>1718</v>
      </c>
      <c r="B1409" s="3">
        <v>0</v>
      </c>
    </row>
    <row r="1410" spans="1:2">
      <c r="A1410" t="s">
        <v>416</v>
      </c>
      <c r="B1410" s="3">
        <v>5.8999999999999995</v>
      </c>
    </row>
    <row r="1411" spans="1:2">
      <c r="A1411" t="s">
        <v>1719</v>
      </c>
      <c r="B1411" s="3">
        <v>21.36</v>
      </c>
    </row>
    <row r="1412" spans="1:2">
      <c r="A1412" t="s">
        <v>689</v>
      </c>
      <c r="B1412" s="3">
        <v>384</v>
      </c>
    </row>
    <row r="1413" spans="1:2">
      <c r="A1413" t="s">
        <v>616</v>
      </c>
      <c r="B1413" s="3"/>
    </row>
    <row r="1414" spans="1:2">
      <c r="A1414" t="s">
        <v>664</v>
      </c>
      <c r="B1414" s="3">
        <v>47.5</v>
      </c>
    </row>
    <row r="1415" spans="1:2">
      <c r="A1415" t="s">
        <v>1720</v>
      </c>
      <c r="B1415" s="3">
        <v>32.099999999999994</v>
      </c>
    </row>
    <row r="1416" spans="1:2">
      <c r="A1416" t="s">
        <v>787</v>
      </c>
      <c r="B1416" s="3">
        <v>36.6</v>
      </c>
    </row>
    <row r="1417" spans="1:2">
      <c r="A1417" t="s">
        <v>766</v>
      </c>
      <c r="B1417" s="3">
        <v>16</v>
      </c>
    </row>
    <row r="1418" spans="1:2">
      <c r="A1418" t="s">
        <v>767</v>
      </c>
      <c r="B1418" s="3">
        <v>3.3000000000000003</v>
      </c>
    </row>
    <row r="1419" spans="1:2">
      <c r="A1419" t="s">
        <v>1721</v>
      </c>
      <c r="B1419" s="3">
        <v>33.200000000000003</v>
      </c>
    </row>
    <row r="1420" spans="1:2">
      <c r="A1420" t="s">
        <v>665</v>
      </c>
      <c r="B1420" s="3">
        <v>0</v>
      </c>
    </row>
    <row r="1421" spans="1:2">
      <c r="A1421" t="s">
        <v>94</v>
      </c>
      <c r="B1421" s="3">
        <v>186</v>
      </c>
    </row>
    <row r="1422" spans="1:2">
      <c r="A1422" t="s">
        <v>1722</v>
      </c>
      <c r="B1422" s="3">
        <v>0</v>
      </c>
    </row>
    <row r="1423" spans="1:2">
      <c r="A1423" t="s">
        <v>1723</v>
      </c>
      <c r="B1423" s="3">
        <v>0</v>
      </c>
    </row>
    <row r="1424" spans="1:2">
      <c r="A1424" t="s">
        <v>339</v>
      </c>
      <c r="B1424" s="3">
        <v>0</v>
      </c>
    </row>
    <row r="1425" spans="1:2">
      <c r="A1425" t="s">
        <v>1724</v>
      </c>
      <c r="B1425" s="3">
        <v>1649.16</v>
      </c>
    </row>
    <row r="1426" spans="1:2">
      <c r="A1426" t="s">
        <v>1725</v>
      </c>
      <c r="B1426" s="3">
        <v>5482.2000000000007</v>
      </c>
    </row>
    <row r="1427" spans="1:2">
      <c r="A1427" t="s">
        <v>1726</v>
      </c>
      <c r="B1427" s="3">
        <v>6255.3499999999995</v>
      </c>
    </row>
    <row r="1428" spans="1:2">
      <c r="A1428" t="s">
        <v>995</v>
      </c>
      <c r="B1428" s="3">
        <v>6871.15</v>
      </c>
    </row>
    <row r="1429" spans="1:2">
      <c r="A1429" t="s">
        <v>1727</v>
      </c>
      <c r="B1429" s="3">
        <v>1900.14</v>
      </c>
    </row>
    <row r="1430" spans="1:2">
      <c r="A1430" t="s">
        <v>866</v>
      </c>
      <c r="B1430" s="3">
        <v>1093.3</v>
      </c>
    </row>
    <row r="1431" spans="1:2">
      <c r="A1431" t="s">
        <v>249</v>
      </c>
      <c r="B1431" s="3">
        <v>27180.2</v>
      </c>
    </row>
    <row r="1432" spans="1:2">
      <c r="A1432" t="s">
        <v>368</v>
      </c>
      <c r="B1432" s="3">
        <v>20621.599999999999</v>
      </c>
    </row>
    <row r="1433" spans="1:2">
      <c r="A1433" t="s">
        <v>1728</v>
      </c>
      <c r="B1433" s="3">
        <v>7.4</v>
      </c>
    </row>
    <row r="1434" spans="1:2">
      <c r="A1434" t="s">
        <v>1729</v>
      </c>
      <c r="B1434" s="3">
        <v>0</v>
      </c>
    </row>
    <row r="1435" spans="1:2">
      <c r="A1435" t="s">
        <v>1730</v>
      </c>
      <c r="B1435" s="3">
        <v>0</v>
      </c>
    </row>
    <row r="1436" spans="1:2">
      <c r="A1436" t="s">
        <v>1731</v>
      </c>
      <c r="B1436" s="3">
        <v>0</v>
      </c>
    </row>
    <row r="1437" spans="1:2">
      <c r="A1437" t="s">
        <v>1732</v>
      </c>
      <c r="B1437" s="3">
        <v>18.28</v>
      </c>
    </row>
    <row r="1438" spans="1:2">
      <c r="A1438" t="s">
        <v>1733</v>
      </c>
      <c r="B1438" s="3">
        <v>0</v>
      </c>
    </row>
    <row r="1439" spans="1:2">
      <c r="A1439" t="s">
        <v>1734</v>
      </c>
      <c r="B1439" s="3">
        <v>11.1198</v>
      </c>
    </row>
    <row r="1440" spans="1:2">
      <c r="A1440" t="s">
        <v>1735</v>
      </c>
      <c r="B1440" s="3">
        <v>0</v>
      </c>
    </row>
    <row r="1441" spans="1:2">
      <c r="A1441" t="s">
        <v>466</v>
      </c>
      <c r="B1441" s="3">
        <v>47.400000000000006</v>
      </c>
    </row>
    <row r="1442" spans="1:2">
      <c r="A1442" t="s">
        <v>1736</v>
      </c>
      <c r="B1442" s="3">
        <v>68.48</v>
      </c>
    </row>
    <row r="1443" spans="1:2">
      <c r="A1443" t="s">
        <v>1737</v>
      </c>
      <c r="B1443" s="3">
        <v>38.340000000000003</v>
      </c>
    </row>
    <row r="1444" spans="1:2">
      <c r="A1444" t="s">
        <v>296</v>
      </c>
      <c r="B1444" s="3">
        <v>42.659799999999997</v>
      </c>
    </row>
    <row r="1445" spans="1:2">
      <c r="A1445" t="s">
        <v>1738</v>
      </c>
      <c r="B1445" s="3">
        <v>0</v>
      </c>
    </row>
    <row r="1446" spans="1:2">
      <c r="A1446" t="s">
        <v>1739</v>
      </c>
      <c r="B1446" s="3">
        <v>110.52000000000001</v>
      </c>
    </row>
    <row r="1447" spans="1:2">
      <c r="A1447" t="s">
        <v>1740</v>
      </c>
      <c r="B1447" s="3">
        <v>166.52</v>
      </c>
    </row>
    <row r="1448" spans="1:2">
      <c r="A1448" t="s">
        <v>1741</v>
      </c>
      <c r="B1448" s="3">
        <v>92.7</v>
      </c>
    </row>
    <row r="1449" spans="1:2">
      <c r="A1449" t="s">
        <v>1742</v>
      </c>
      <c r="B1449" s="3">
        <v>0</v>
      </c>
    </row>
    <row r="1450" spans="1:2">
      <c r="A1450" t="s">
        <v>436</v>
      </c>
      <c r="B1450" s="3">
        <v>311.8</v>
      </c>
    </row>
    <row r="1451" spans="1:2">
      <c r="A1451" t="s">
        <v>1743</v>
      </c>
      <c r="B1451" s="3">
        <v>217.82999999999998</v>
      </c>
    </row>
    <row r="1452" spans="1:2">
      <c r="A1452" t="s">
        <v>495</v>
      </c>
      <c r="B1452" s="3">
        <v>0</v>
      </c>
    </row>
    <row r="1453" spans="1:2">
      <c r="A1453" t="s">
        <v>1744</v>
      </c>
      <c r="B1453" s="3">
        <v>0</v>
      </c>
    </row>
    <row r="1454" spans="1:2">
      <c r="A1454" t="s">
        <v>438</v>
      </c>
      <c r="B1454" s="3">
        <v>771.19</v>
      </c>
    </row>
    <row r="1455" spans="1:2">
      <c r="A1455" t="s">
        <v>184</v>
      </c>
      <c r="B1455" s="3">
        <v>629.28</v>
      </c>
    </row>
    <row r="1456" spans="1:2">
      <c r="A1456" t="s">
        <v>830</v>
      </c>
      <c r="B1456" s="3">
        <v>10232.48</v>
      </c>
    </row>
    <row r="1457" spans="1:2">
      <c r="A1457" t="s">
        <v>1745</v>
      </c>
      <c r="B1457" s="3">
        <v>0</v>
      </c>
    </row>
    <row r="1458" spans="1:2">
      <c r="A1458" t="s">
        <v>247</v>
      </c>
      <c r="B1458" s="3">
        <v>2912.32</v>
      </c>
    </row>
    <row r="1459" spans="1:2">
      <c r="A1459" t="s">
        <v>727</v>
      </c>
      <c r="B1459" s="3">
        <v>1178.24</v>
      </c>
    </row>
    <row r="1460" spans="1:2">
      <c r="A1460" t="s">
        <v>248</v>
      </c>
      <c r="B1460" s="3">
        <v>21060.059999999998</v>
      </c>
    </row>
    <row r="1461" spans="1:2">
      <c r="A1461" t="s">
        <v>1746</v>
      </c>
      <c r="B1461" s="3">
        <v>13.14</v>
      </c>
    </row>
    <row r="1462" spans="1:2">
      <c r="A1462" t="s">
        <v>1747</v>
      </c>
      <c r="B1462" s="3">
        <v>110</v>
      </c>
    </row>
    <row r="1463" spans="1:2">
      <c r="A1463" t="s">
        <v>1748</v>
      </c>
      <c r="B1463" s="3">
        <v>0</v>
      </c>
    </row>
    <row r="1464" spans="1:2">
      <c r="A1464" t="s">
        <v>1749</v>
      </c>
      <c r="B1464" s="3">
        <v>0</v>
      </c>
    </row>
    <row r="1465" spans="1:2">
      <c r="A1465" t="s">
        <v>1750</v>
      </c>
      <c r="B1465" s="3">
        <v>0</v>
      </c>
    </row>
    <row r="1466" spans="1:2">
      <c r="A1466" t="s">
        <v>276</v>
      </c>
      <c r="B1466" s="3">
        <v>430.68</v>
      </c>
    </row>
    <row r="1467" spans="1:2">
      <c r="A1467" t="s">
        <v>1751</v>
      </c>
      <c r="B1467" s="3">
        <v>253.28</v>
      </c>
    </row>
    <row r="1468" spans="1:2">
      <c r="A1468" t="s">
        <v>91</v>
      </c>
      <c r="B1468" s="3">
        <v>7465.38</v>
      </c>
    </row>
    <row r="1469" spans="1:2">
      <c r="A1469" t="s">
        <v>1752</v>
      </c>
      <c r="B1469" s="3">
        <v>0</v>
      </c>
    </row>
    <row r="1470" spans="1:2">
      <c r="A1470" t="s">
        <v>996</v>
      </c>
      <c r="B1470" s="3">
        <v>0</v>
      </c>
    </row>
    <row r="1471" spans="1:2">
      <c r="A1471" t="s">
        <v>1753</v>
      </c>
      <c r="B1471" s="3">
        <v>0</v>
      </c>
    </row>
    <row r="1472" spans="1:2">
      <c r="A1472" t="s">
        <v>1754</v>
      </c>
      <c r="B1472" s="3">
        <v>0</v>
      </c>
    </row>
    <row r="1473" spans="1:2">
      <c r="A1473" t="s">
        <v>1755</v>
      </c>
      <c r="B1473" s="3">
        <v>0</v>
      </c>
    </row>
    <row r="1474" spans="1:2">
      <c r="A1474" t="s">
        <v>1756</v>
      </c>
      <c r="B1474" s="3">
        <v>0</v>
      </c>
    </row>
    <row r="1475" spans="1:2">
      <c r="A1475" t="s">
        <v>1757</v>
      </c>
      <c r="B1475" s="3">
        <v>0</v>
      </c>
    </row>
    <row r="1476" spans="1:2">
      <c r="A1476" t="s">
        <v>1758</v>
      </c>
      <c r="B1476" s="3">
        <v>0</v>
      </c>
    </row>
    <row r="1477" spans="1:2">
      <c r="A1477" t="s">
        <v>1759</v>
      </c>
      <c r="B1477" s="3">
        <v>0</v>
      </c>
    </row>
    <row r="1478" spans="1:2">
      <c r="A1478" t="s">
        <v>1760</v>
      </c>
      <c r="B1478" s="3">
        <v>0</v>
      </c>
    </row>
    <row r="1479" spans="1:2">
      <c r="A1479" t="s">
        <v>1761</v>
      </c>
      <c r="B1479" s="3">
        <v>0</v>
      </c>
    </row>
    <row r="1480" spans="1:2">
      <c r="A1480" t="s">
        <v>1762</v>
      </c>
      <c r="B1480" s="3">
        <v>0</v>
      </c>
    </row>
    <row r="1481" spans="1:2">
      <c r="A1481" t="s">
        <v>1763</v>
      </c>
      <c r="B1481" s="3">
        <v>0</v>
      </c>
    </row>
    <row r="1482" spans="1:2">
      <c r="A1482" t="s">
        <v>1764</v>
      </c>
      <c r="B1482" s="3">
        <v>0</v>
      </c>
    </row>
    <row r="1483" spans="1:2">
      <c r="A1483" t="s">
        <v>1765</v>
      </c>
      <c r="B1483" s="3">
        <v>0</v>
      </c>
    </row>
    <row r="1484" spans="1:2">
      <c r="A1484" t="s">
        <v>1766</v>
      </c>
      <c r="B1484" s="3">
        <v>1067.1600000000001</v>
      </c>
    </row>
    <row r="1485" spans="1:2">
      <c r="A1485" t="s">
        <v>1767</v>
      </c>
      <c r="B1485" s="3">
        <v>0</v>
      </c>
    </row>
    <row r="1486" spans="1:2">
      <c r="A1486" t="s">
        <v>1768</v>
      </c>
      <c r="B1486" s="3">
        <v>0</v>
      </c>
    </row>
    <row r="1487" spans="1:2">
      <c r="A1487" t="s">
        <v>1769</v>
      </c>
      <c r="B1487" s="3">
        <v>0</v>
      </c>
    </row>
    <row r="1488" spans="1:2">
      <c r="A1488" t="s">
        <v>1770</v>
      </c>
      <c r="B1488" s="3">
        <v>0</v>
      </c>
    </row>
    <row r="1489" spans="1:2">
      <c r="A1489" t="s">
        <v>1771</v>
      </c>
      <c r="B1489" s="3">
        <v>0</v>
      </c>
    </row>
    <row r="1490" spans="1:2">
      <c r="A1490" t="s">
        <v>1772</v>
      </c>
      <c r="B1490" s="3">
        <v>0</v>
      </c>
    </row>
    <row r="1491" spans="1:2">
      <c r="A1491" t="s">
        <v>1773</v>
      </c>
      <c r="B1491" s="3">
        <v>0</v>
      </c>
    </row>
    <row r="1492" spans="1:2">
      <c r="A1492" t="s">
        <v>1774</v>
      </c>
      <c r="B1492" s="3">
        <v>0</v>
      </c>
    </row>
    <row r="1493" spans="1:2">
      <c r="A1493" t="s">
        <v>997</v>
      </c>
      <c r="B1493" s="3">
        <v>744.66</v>
      </c>
    </row>
    <row r="1494" spans="1:2">
      <c r="A1494" t="s">
        <v>452</v>
      </c>
      <c r="B1494" s="3">
        <v>969.15000000000009</v>
      </c>
    </row>
    <row r="1495" spans="1:2">
      <c r="A1495" t="s">
        <v>349</v>
      </c>
      <c r="B1495" s="3">
        <v>0</v>
      </c>
    </row>
    <row r="1496" spans="1:2">
      <c r="A1496" t="s">
        <v>341</v>
      </c>
      <c r="B1496" s="3">
        <v>0</v>
      </c>
    </row>
    <row r="1497" spans="1:2">
      <c r="A1497" t="s">
        <v>1775</v>
      </c>
      <c r="B1497" s="3">
        <v>0</v>
      </c>
    </row>
    <row r="1498" spans="1:2">
      <c r="A1498" t="s">
        <v>998</v>
      </c>
      <c r="B1498" s="3">
        <v>0</v>
      </c>
    </row>
    <row r="1499" spans="1:2">
      <c r="A1499" t="s">
        <v>1776</v>
      </c>
      <c r="B1499" s="3">
        <v>0</v>
      </c>
    </row>
    <row r="1500" spans="1:2">
      <c r="A1500" t="s">
        <v>1777</v>
      </c>
      <c r="B1500" s="3">
        <v>0</v>
      </c>
    </row>
    <row r="1501" spans="1:2">
      <c r="A1501" t="s">
        <v>453</v>
      </c>
      <c r="B1501" s="3">
        <v>185</v>
      </c>
    </row>
    <row r="1502" spans="1:2">
      <c r="A1502" t="s">
        <v>999</v>
      </c>
      <c r="B1502" s="3">
        <v>472.88</v>
      </c>
    </row>
    <row r="1503" spans="1:2">
      <c r="A1503" t="s">
        <v>87</v>
      </c>
      <c r="B1503" s="3">
        <v>0</v>
      </c>
    </row>
    <row r="1504" spans="1:2">
      <c r="A1504" t="s">
        <v>424</v>
      </c>
      <c r="B1504" s="3">
        <v>41</v>
      </c>
    </row>
    <row r="1505" spans="1:2">
      <c r="A1505" t="s">
        <v>1778</v>
      </c>
      <c r="B1505" s="3">
        <v>0</v>
      </c>
    </row>
    <row r="1506" spans="1:2">
      <c r="A1506" t="s">
        <v>1779</v>
      </c>
      <c r="B1506" s="3">
        <v>0</v>
      </c>
    </row>
    <row r="1507" spans="1:2">
      <c r="A1507" t="s">
        <v>1000</v>
      </c>
      <c r="B1507" s="3">
        <v>418.8</v>
      </c>
    </row>
    <row r="1508" spans="1:2">
      <c r="A1508" t="s">
        <v>294</v>
      </c>
      <c r="B1508" s="3">
        <v>107.5</v>
      </c>
    </row>
    <row r="1509" spans="1:2">
      <c r="A1509" t="s">
        <v>467</v>
      </c>
      <c r="B1509" s="3">
        <v>72.8</v>
      </c>
    </row>
    <row r="1510" spans="1:2">
      <c r="A1510" t="s">
        <v>1780</v>
      </c>
      <c r="B1510" s="3">
        <v>190</v>
      </c>
    </row>
    <row r="1511" spans="1:2">
      <c r="A1511" t="s">
        <v>1051</v>
      </c>
      <c r="B1511" s="3">
        <v>0</v>
      </c>
    </row>
    <row r="1512" spans="1:2">
      <c r="A1512" t="s">
        <v>1001</v>
      </c>
      <c r="B1512" s="3">
        <v>0</v>
      </c>
    </row>
    <row r="1513" spans="1:2">
      <c r="A1513" t="s">
        <v>1002</v>
      </c>
      <c r="B1513" s="3">
        <v>1217.3397</v>
      </c>
    </row>
    <row r="1514" spans="1:2">
      <c r="A1514" t="s">
        <v>728</v>
      </c>
      <c r="B1514" s="3">
        <v>2358.4</v>
      </c>
    </row>
    <row r="1515" spans="1:2">
      <c r="A1515" t="s">
        <v>15</v>
      </c>
      <c r="B1515" s="3">
        <v>233.12</v>
      </c>
    </row>
    <row r="1516" spans="1:2">
      <c r="A1516" t="s">
        <v>1781</v>
      </c>
      <c r="B1516" s="3">
        <v>373.12</v>
      </c>
    </row>
    <row r="1517" spans="1:2">
      <c r="A1517" t="s">
        <v>1782</v>
      </c>
      <c r="B1517" s="3">
        <v>0</v>
      </c>
    </row>
    <row r="1518" spans="1:2">
      <c r="A1518" t="s">
        <v>1783</v>
      </c>
      <c r="B1518" s="3">
        <v>0</v>
      </c>
    </row>
    <row r="1519" spans="1:2">
      <c r="A1519" t="s">
        <v>803</v>
      </c>
      <c r="B1519" s="3">
        <v>212</v>
      </c>
    </row>
    <row r="1520" spans="1:2">
      <c r="A1520" t="s">
        <v>1784</v>
      </c>
      <c r="B1520" s="3">
        <v>0.26</v>
      </c>
    </row>
    <row r="1521" spans="1:2">
      <c r="A1521" t="s">
        <v>426</v>
      </c>
      <c r="B1521" s="3">
        <v>116.64949999999999</v>
      </c>
    </row>
    <row r="1522" spans="1:2">
      <c r="A1522" t="s">
        <v>617</v>
      </c>
      <c r="B1522" s="3">
        <v>0</v>
      </c>
    </row>
    <row r="1523" spans="1:2">
      <c r="A1523" t="s">
        <v>1785</v>
      </c>
      <c r="B1523" s="3">
        <v>0</v>
      </c>
    </row>
    <row r="1524" spans="1:2">
      <c r="A1524" t="s">
        <v>24</v>
      </c>
      <c r="B1524" s="3">
        <v>222.75000000000003</v>
      </c>
    </row>
    <row r="1525" spans="1:2">
      <c r="A1525" t="s">
        <v>428</v>
      </c>
      <c r="B1525" s="3">
        <v>1875.21</v>
      </c>
    </row>
    <row r="1526" spans="1:2">
      <c r="A1526" t="s">
        <v>867</v>
      </c>
      <c r="B1526" s="3">
        <v>900</v>
      </c>
    </row>
    <row r="1527" spans="1:2">
      <c r="A1527" t="s">
        <v>868</v>
      </c>
      <c r="B1527" s="3">
        <v>0</v>
      </c>
    </row>
    <row r="1528" spans="1:2">
      <c r="A1528" t="s">
        <v>1786</v>
      </c>
      <c r="B1528" s="3">
        <v>0</v>
      </c>
    </row>
    <row r="1529" spans="1:2">
      <c r="A1529" t="s">
        <v>1787</v>
      </c>
      <c r="B1529" s="3">
        <v>0</v>
      </c>
    </row>
    <row r="1530" spans="1:2">
      <c r="A1530" t="s">
        <v>1788</v>
      </c>
      <c r="B1530" s="3">
        <v>0</v>
      </c>
    </row>
    <row r="1531" spans="1:2">
      <c r="A1531" t="s">
        <v>1789</v>
      </c>
      <c r="B1531" s="3">
        <v>0</v>
      </c>
    </row>
    <row r="1532" spans="1:2">
      <c r="A1532" t="s">
        <v>618</v>
      </c>
      <c r="B1532" s="3">
        <v>0</v>
      </c>
    </row>
    <row r="1533" spans="1:2">
      <c r="A1533" t="s">
        <v>100</v>
      </c>
      <c r="B1533" s="3">
        <v>58.05</v>
      </c>
    </row>
    <row r="1534" spans="1:2">
      <c r="A1534" t="s">
        <v>1790</v>
      </c>
      <c r="B1534" s="3">
        <v>0</v>
      </c>
    </row>
    <row r="1535" spans="1:2">
      <c r="A1535" t="s">
        <v>1791</v>
      </c>
      <c r="B1535" s="3">
        <v>0</v>
      </c>
    </row>
    <row r="1536" spans="1:2">
      <c r="A1536" t="s">
        <v>1792</v>
      </c>
      <c r="B1536" s="3">
        <v>0</v>
      </c>
    </row>
    <row r="1537" spans="1:2">
      <c r="A1537" t="s">
        <v>804</v>
      </c>
      <c r="B1537" s="3">
        <v>64.02000000000001</v>
      </c>
    </row>
    <row r="1538" spans="1:2">
      <c r="A1538" t="s">
        <v>1793</v>
      </c>
      <c r="B1538" s="3">
        <v>0</v>
      </c>
    </row>
    <row r="1539" spans="1:2">
      <c r="A1539" t="s">
        <v>1794</v>
      </c>
      <c r="B1539" s="3">
        <v>0</v>
      </c>
    </row>
    <row r="1540" spans="1:2">
      <c r="A1540" t="s">
        <v>1795</v>
      </c>
      <c r="B1540" s="3">
        <v>0</v>
      </c>
    </row>
    <row r="1541" spans="1:2">
      <c r="A1541" t="s">
        <v>1796</v>
      </c>
      <c r="B1541" s="3">
        <v>0</v>
      </c>
    </row>
    <row r="1542" spans="1:2">
      <c r="A1542" t="s">
        <v>1797</v>
      </c>
      <c r="B1542" s="3">
        <v>0</v>
      </c>
    </row>
    <row r="1543" spans="1:2">
      <c r="A1543" t="s">
        <v>619</v>
      </c>
      <c r="B1543" s="3">
        <v>46.4</v>
      </c>
    </row>
    <row r="1544" spans="1:2">
      <c r="A1544" t="s">
        <v>1798</v>
      </c>
      <c r="B1544" s="3">
        <v>0</v>
      </c>
    </row>
    <row r="1545" spans="1:2">
      <c r="A1545" t="s">
        <v>1799</v>
      </c>
      <c r="B1545" s="3">
        <v>0</v>
      </c>
    </row>
    <row r="1546" spans="1:2">
      <c r="A1546" t="s">
        <v>547</v>
      </c>
      <c r="B1546" s="3">
        <v>55.598999999999997</v>
      </c>
    </row>
    <row r="1547" spans="1:2">
      <c r="A1547" t="s">
        <v>1003</v>
      </c>
      <c r="B1547" s="3">
        <v>80.36</v>
      </c>
    </row>
    <row r="1548" spans="1:2">
      <c r="A1548" t="s">
        <v>363</v>
      </c>
      <c r="B1548" s="3">
        <v>236.84</v>
      </c>
    </row>
    <row r="1549" spans="1:2">
      <c r="A1549" t="s">
        <v>1004</v>
      </c>
      <c r="B1549" s="3">
        <v>0</v>
      </c>
    </row>
    <row r="1550" spans="1:2">
      <c r="A1550" t="s">
        <v>620</v>
      </c>
      <c r="B1550" s="3">
        <v>0</v>
      </c>
    </row>
    <row r="1551" spans="1:2">
      <c r="A1551" t="s">
        <v>1800</v>
      </c>
      <c r="B1551" s="3">
        <v>1474</v>
      </c>
    </row>
    <row r="1552" spans="1:2">
      <c r="A1552" t="s">
        <v>454</v>
      </c>
      <c r="B1552" s="3">
        <v>255.06</v>
      </c>
    </row>
    <row r="1553" spans="1:2">
      <c r="A1553" t="s">
        <v>429</v>
      </c>
      <c r="B1553" s="3">
        <v>1488.24</v>
      </c>
    </row>
    <row r="1554" spans="1:2">
      <c r="A1554" t="s">
        <v>1801</v>
      </c>
      <c r="B1554" s="3">
        <v>0</v>
      </c>
    </row>
    <row r="1555" spans="1:2">
      <c r="A1555" t="s">
        <v>1802</v>
      </c>
      <c r="B1555" s="3">
        <v>0</v>
      </c>
    </row>
    <row r="1556" spans="1:2">
      <c r="A1556" t="s">
        <v>1803</v>
      </c>
      <c r="B1556" s="3">
        <v>0</v>
      </c>
    </row>
    <row r="1557" spans="1:2">
      <c r="A1557" t="s">
        <v>1005</v>
      </c>
      <c r="B1557" s="3">
        <v>0</v>
      </c>
    </row>
    <row r="1558" spans="1:2">
      <c r="A1558" t="s">
        <v>1006</v>
      </c>
      <c r="B1558" s="3">
        <v>0</v>
      </c>
    </row>
    <row r="1559" spans="1:2">
      <c r="A1559" t="s">
        <v>350</v>
      </c>
      <c r="B1559" s="3">
        <v>107.73</v>
      </c>
    </row>
    <row r="1560" spans="1:2">
      <c r="A1560" t="s">
        <v>1804</v>
      </c>
      <c r="B1560" s="3">
        <v>0</v>
      </c>
    </row>
    <row r="1561" spans="1:2">
      <c r="A1561" t="s">
        <v>1007</v>
      </c>
      <c r="B1561" s="3">
        <v>0</v>
      </c>
    </row>
    <row r="1562" spans="1:2">
      <c r="A1562" t="s">
        <v>381</v>
      </c>
      <c r="B1562" s="3">
        <v>0</v>
      </c>
    </row>
    <row r="1563" spans="1:2">
      <c r="A1563" t="s">
        <v>1008</v>
      </c>
      <c r="B1563" s="3">
        <v>0</v>
      </c>
    </row>
    <row r="1564" spans="1:2">
      <c r="A1564" t="s">
        <v>88</v>
      </c>
      <c r="B1564" s="3">
        <v>457.59999999999997</v>
      </c>
    </row>
    <row r="1565" spans="1:2">
      <c r="A1565" t="s">
        <v>0</v>
      </c>
      <c r="B1565" s="3">
        <v>1363</v>
      </c>
    </row>
    <row r="1566" spans="1:2">
      <c r="A1566" t="s">
        <v>666</v>
      </c>
      <c r="B1566" s="3"/>
    </row>
    <row r="1567" spans="1:2">
      <c r="A1567" t="s">
        <v>439</v>
      </c>
      <c r="B1567" s="3">
        <v>78</v>
      </c>
    </row>
    <row r="1568" spans="1:2">
      <c r="A1568" t="s">
        <v>1805</v>
      </c>
      <c r="B1568" s="3">
        <v>0</v>
      </c>
    </row>
    <row r="1569" spans="1:2">
      <c r="A1569" t="s">
        <v>621</v>
      </c>
      <c r="B1569" s="3"/>
    </row>
    <row r="1570" spans="1:2">
      <c r="A1570" t="s">
        <v>1806</v>
      </c>
      <c r="B1570" s="3">
        <v>0</v>
      </c>
    </row>
    <row r="1571" spans="1:2">
      <c r="A1571" t="s">
        <v>1807</v>
      </c>
      <c r="B1571" s="3">
        <v>0</v>
      </c>
    </row>
    <row r="1572" spans="1:2">
      <c r="A1572" t="s">
        <v>1808</v>
      </c>
      <c r="B1572" s="3">
        <v>0</v>
      </c>
    </row>
    <row r="1573" spans="1:2">
      <c r="A1573" t="s">
        <v>1809</v>
      </c>
      <c r="B1573" s="3">
        <v>0</v>
      </c>
    </row>
    <row r="1574" spans="1:2">
      <c r="A1574" t="s">
        <v>1810</v>
      </c>
      <c r="B1574" s="3">
        <v>0</v>
      </c>
    </row>
    <row r="1575" spans="1:2">
      <c r="A1575" t="s">
        <v>1811</v>
      </c>
      <c r="B1575" s="3">
        <v>0</v>
      </c>
    </row>
    <row r="1576" spans="1:2">
      <c r="A1576" t="s">
        <v>231</v>
      </c>
      <c r="B1576" s="3">
        <v>0</v>
      </c>
    </row>
    <row r="1577" spans="1:2">
      <c r="A1577" t="s">
        <v>230</v>
      </c>
      <c r="B1577" s="3">
        <v>2.73</v>
      </c>
    </row>
    <row r="1578" spans="1:2">
      <c r="A1578" t="s">
        <v>836</v>
      </c>
      <c r="B1578" s="3">
        <v>0</v>
      </c>
    </row>
    <row r="1579" spans="1:2">
      <c r="A1579" t="s">
        <v>1812</v>
      </c>
      <c r="B1579" s="3">
        <v>0</v>
      </c>
    </row>
    <row r="1580" spans="1:2">
      <c r="A1580" t="s">
        <v>168</v>
      </c>
      <c r="B1580" s="3">
        <v>0</v>
      </c>
    </row>
    <row r="1581" spans="1:2">
      <c r="A1581" t="s">
        <v>1813</v>
      </c>
      <c r="B1581" s="3">
        <v>0</v>
      </c>
    </row>
    <row r="1582" spans="1:2">
      <c r="A1582" t="s">
        <v>313</v>
      </c>
      <c r="B1582" s="3">
        <v>0</v>
      </c>
    </row>
    <row r="1583" spans="1:2">
      <c r="A1583" t="s">
        <v>826</v>
      </c>
      <c r="B1583" s="3">
        <v>0</v>
      </c>
    </row>
    <row r="1584" spans="1:2">
      <c r="A1584" t="s">
        <v>27</v>
      </c>
      <c r="B1584" s="3">
        <v>0</v>
      </c>
    </row>
    <row r="1585" spans="1:2">
      <c r="A1585" t="s">
        <v>362</v>
      </c>
      <c r="B1585" s="3">
        <v>0</v>
      </c>
    </row>
    <row r="1586" spans="1:2">
      <c r="A1586" t="s">
        <v>1814</v>
      </c>
      <c r="B1586" s="3">
        <v>0</v>
      </c>
    </row>
    <row r="1587" spans="1:2">
      <c r="A1587" t="s">
        <v>340</v>
      </c>
      <c r="B1587" s="3">
        <v>0</v>
      </c>
    </row>
    <row r="1588" spans="1:2">
      <c r="A1588" t="s">
        <v>401</v>
      </c>
      <c r="B1588" s="3">
        <v>0</v>
      </c>
    </row>
    <row r="1589" spans="1:2">
      <c r="A1589" t="s">
        <v>468</v>
      </c>
      <c r="B1589" s="3">
        <v>0</v>
      </c>
    </row>
    <row r="1590" spans="1:2">
      <c r="A1590" t="s">
        <v>1815</v>
      </c>
      <c r="B1590" s="3">
        <v>0</v>
      </c>
    </row>
    <row r="1591" spans="1:2">
      <c r="A1591" t="s">
        <v>1816</v>
      </c>
      <c r="B1591" s="3">
        <v>134.67929999999998</v>
      </c>
    </row>
    <row r="1592" spans="1:2">
      <c r="A1592" t="s">
        <v>35</v>
      </c>
      <c r="B1592" s="3">
        <v>0.55000000000000004</v>
      </c>
    </row>
    <row r="1593" spans="1:2">
      <c r="A1593" t="s">
        <v>419</v>
      </c>
      <c r="B1593" s="3">
        <v>0</v>
      </c>
    </row>
    <row r="1594" spans="1:2">
      <c r="A1594" t="s">
        <v>34</v>
      </c>
      <c r="B1594" s="3">
        <v>2.77</v>
      </c>
    </row>
    <row r="1595" spans="1:2">
      <c r="A1595" t="s">
        <v>1817</v>
      </c>
      <c r="B1595" s="3">
        <v>0</v>
      </c>
    </row>
    <row r="1596" spans="1:2">
      <c r="A1596" t="s">
        <v>486</v>
      </c>
      <c r="B1596" s="3">
        <v>0</v>
      </c>
    </row>
    <row r="1597" spans="1:2">
      <c r="A1597" t="s">
        <v>314</v>
      </c>
      <c r="B1597" s="3">
        <v>1.85</v>
      </c>
    </row>
    <row r="1598" spans="1:2">
      <c r="A1598" t="s">
        <v>469</v>
      </c>
      <c r="B1598" s="3">
        <v>0</v>
      </c>
    </row>
    <row r="1599" spans="1:2">
      <c r="A1599" t="s">
        <v>1818</v>
      </c>
      <c r="B1599" s="3">
        <v>0</v>
      </c>
    </row>
    <row r="1600" spans="1:2">
      <c r="A1600" t="s">
        <v>51</v>
      </c>
      <c r="B1600" s="3">
        <v>0.27</v>
      </c>
    </row>
    <row r="1601" spans="1:2">
      <c r="A1601" t="s">
        <v>1819</v>
      </c>
      <c r="B1601" s="3"/>
    </row>
    <row r="1602" spans="1:2">
      <c r="A1602" t="s">
        <v>1009</v>
      </c>
      <c r="B1602" s="3">
        <v>0</v>
      </c>
    </row>
    <row r="1603" spans="1:2">
      <c r="A1603" t="s">
        <v>1820</v>
      </c>
      <c r="B1603" s="3">
        <v>0</v>
      </c>
    </row>
    <row r="1604" spans="1:2">
      <c r="A1604" t="s">
        <v>245</v>
      </c>
      <c r="B1604" s="3">
        <v>1.61</v>
      </c>
    </row>
    <row r="1605" spans="1:2">
      <c r="A1605" t="s">
        <v>277</v>
      </c>
      <c r="B1605" s="3">
        <v>7.21</v>
      </c>
    </row>
    <row r="1606" spans="1:2">
      <c r="A1606" t="s">
        <v>355</v>
      </c>
      <c r="B1606" s="3">
        <v>0.78</v>
      </c>
    </row>
    <row r="1607" spans="1:2">
      <c r="A1607" t="s">
        <v>344</v>
      </c>
      <c r="B1607" s="3">
        <v>0</v>
      </c>
    </row>
    <row r="1608" spans="1:2">
      <c r="A1608" t="s">
        <v>229</v>
      </c>
      <c r="B1608" s="3">
        <v>0</v>
      </c>
    </row>
    <row r="1609" spans="1:2">
      <c r="A1609" t="s">
        <v>1010</v>
      </c>
      <c r="B1609" s="3">
        <v>0</v>
      </c>
    </row>
    <row r="1610" spans="1:2">
      <c r="A1610" t="s">
        <v>1821</v>
      </c>
      <c r="B1610" s="3">
        <v>0</v>
      </c>
    </row>
    <row r="1611" spans="1:2">
      <c r="A1611" t="s">
        <v>252</v>
      </c>
      <c r="B1611" s="3">
        <v>0</v>
      </c>
    </row>
    <row r="1612" spans="1:2">
      <c r="A1612" t="s">
        <v>422</v>
      </c>
      <c r="B1612" s="3">
        <v>0</v>
      </c>
    </row>
    <row r="1613" spans="1:2">
      <c r="A1613" t="s">
        <v>232</v>
      </c>
      <c r="B1613" s="3">
        <v>0</v>
      </c>
    </row>
    <row r="1614" spans="1:2">
      <c r="A1614" t="s">
        <v>1822</v>
      </c>
      <c r="B1614" s="3">
        <v>0</v>
      </c>
    </row>
    <row r="1615" spans="1:2">
      <c r="A1615" t="s">
        <v>418</v>
      </c>
      <c r="B1615" s="3">
        <v>0</v>
      </c>
    </row>
    <row r="1616" spans="1:2">
      <c r="A1616" t="s">
        <v>246</v>
      </c>
      <c r="B1616" s="3"/>
    </row>
    <row r="1617" spans="1:2">
      <c r="A1617" t="s">
        <v>28</v>
      </c>
      <c r="B1617" s="3">
        <v>0</v>
      </c>
    </row>
    <row r="1618" spans="1:2">
      <c r="A1618" t="s">
        <v>302</v>
      </c>
      <c r="B1618" s="3">
        <v>2.63</v>
      </c>
    </row>
    <row r="1619" spans="1:2">
      <c r="A1619" t="s">
        <v>472</v>
      </c>
      <c r="B1619" s="3">
        <v>0</v>
      </c>
    </row>
    <row r="1620" spans="1:2">
      <c r="A1620" t="s">
        <v>183</v>
      </c>
      <c r="B1620" s="3">
        <v>1.23</v>
      </c>
    </row>
    <row r="1621" spans="1:2">
      <c r="A1621" t="s">
        <v>118</v>
      </c>
      <c r="B1621" s="3">
        <v>44.31</v>
      </c>
    </row>
    <row r="1622" spans="1:2">
      <c r="A1622" t="s">
        <v>514</v>
      </c>
      <c r="B1622" s="3">
        <v>3.09</v>
      </c>
    </row>
    <row r="1623" spans="1:2">
      <c r="A1623" t="s">
        <v>263</v>
      </c>
      <c r="B1623" s="3">
        <v>20.47</v>
      </c>
    </row>
    <row r="1624" spans="1:2">
      <c r="A1624" t="s">
        <v>1823</v>
      </c>
      <c r="B1624" s="3">
        <v>0</v>
      </c>
    </row>
    <row r="1625" spans="1:2">
      <c r="A1625" t="s">
        <v>473</v>
      </c>
      <c r="B1625" s="3">
        <v>123.2</v>
      </c>
    </row>
    <row r="1626" spans="1:2">
      <c r="A1626" t="s">
        <v>38</v>
      </c>
      <c r="B1626" s="3">
        <v>1.17</v>
      </c>
    </row>
    <row r="1627" spans="1:2">
      <c r="A1627" t="s">
        <v>1824</v>
      </c>
      <c r="B1627" s="3">
        <v>0</v>
      </c>
    </row>
    <row r="1628" spans="1:2">
      <c r="A1628" t="s">
        <v>1825</v>
      </c>
      <c r="B1628" s="3">
        <v>374.09899999999999</v>
      </c>
    </row>
    <row r="1629" spans="1:2">
      <c r="A1629" t="s">
        <v>1826</v>
      </c>
      <c r="B1629" s="3">
        <v>0</v>
      </c>
    </row>
    <row r="1630" spans="1:2">
      <c r="A1630" t="s">
        <v>165</v>
      </c>
      <c r="B1630" s="3">
        <v>0</v>
      </c>
    </row>
    <row r="1631" spans="1:2">
      <c r="A1631" t="s">
        <v>389</v>
      </c>
      <c r="B1631" s="3">
        <v>0.72</v>
      </c>
    </row>
    <row r="1632" spans="1:2">
      <c r="A1632" t="s">
        <v>1827</v>
      </c>
      <c r="B1632" s="3">
        <v>0</v>
      </c>
    </row>
    <row r="1633" spans="1:2">
      <c r="A1633" t="s">
        <v>872</v>
      </c>
      <c r="B1633" s="3"/>
    </row>
    <row r="1634" spans="1:2">
      <c r="A1634" t="s">
        <v>1828</v>
      </c>
      <c r="B1634" s="3">
        <v>0</v>
      </c>
    </row>
    <row r="1635" spans="1:2">
      <c r="A1635" t="s">
        <v>1829</v>
      </c>
      <c r="B1635" s="3">
        <v>0</v>
      </c>
    </row>
    <row r="1636" spans="1:2">
      <c r="A1636" t="s">
        <v>1830</v>
      </c>
      <c r="B1636" s="3">
        <v>0</v>
      </c>
    </row>
    <row r="1637" spans="1:2">
      <c r="A1637" t="s">
        <v>206</v>
      </c>
      <c r="B1637" s="3">
        <v>0.26</v>
      </c>
    </row>
    <row r="1638" spans="1:2">
      <c r="A1638" t="s">
        <v>1011</v>
      </c>
      <c r="B1638" s="3">
        <v>0</v>
      </c>
    </row>
    <row r="1639" spans="1:2">
      <c r="A1639" t="s">
        <v>690</v>
      </c>
      <c r="B1639" s="3">
        <v>0</v>
      </c>
    </row>
    <row r="1640" spans="1:2">
      <c r="A1640" t="s">
        <v>1831</v>
      </c>
      <c r="B1640" s="3">
        <v>0</v>
      </c>
    </row>
    <row r="1641" spans="1:2">
      <c r="A1641" t="s">
        <v>160</v>
      </c>
      <c r="B1641" s="3">
        <v>0</v>
      </c>
    </row>
    <row r="1642" spans="1:2">
      <c r="A1642" t="s">
        <v>156</v>
      </c>
      <c r="B1642" s="3">
        <v>4.8</v>
      </c>
    </row>
    <row r="1643" spans="1:2">
      <c r="A1643" t="s">
        <v>115</v>
      </c>
      <c r="B1643" s="3">
        <v>2.91</v>
      </c>
    </row>
    <row r="1644" spans="1:2">
      <c r="A1644" t="s">
        <v>1832</v>
      </c>
      <c r="B1644" s="3">
        <v>0</v>
      </c>
    </row>
    <row r="1645" spans="1:2">
      <c r="A1645" t="s">
        <v>215</v>
      </c>
      <c r="B1645" s="3"/>
    </row>
    <row r="1646" spans="1:2">
      <c r="A1646" t="s">
        <v>1833</v>
      </c>
      <c r="B1646" s="3">
        <v>0</v>
      </c>
    </row>
    <row r="1647" spans="1:2">
      <c r="A1647" t="s">
        <v>328</v>
      </c>
      <c r="B1647" s="3">
        <v>0</v>
      </c>
    </row>
    <row r="1648" spans="1:2">
      <c r="A1648" t="s">
        <v>1834</v>
      </c>
      <c r="B1648" s="3">
        <v>0</v>
      </c>
    </row>
    <row r="1649" spans="1:2">
      <c r="A1649" t="s">
        <v>287</v>
      </c>
      <c r="B1649" s="3">
        <v>0</v>
      </c>
    </row>
    <row r="1650" spans="1:2">
      <c r="A1650" t="s">
        <v>1835</v>
      </c>
      <c r="B1650" s="3"/>
    </row>
    <row r="1651" spans="1:2">
      <c r="A1651" t="s">
        <v>147</v>
      </c>
      <c r="B1651" s="3">
        <v>0</v>
      </c>
    </row>
    <row r="1652" spans="1:2">
      <c r="A1652" t="s">
        <v>1836</v>
      </c>
      <c r="B1652" s="3">
        <v>0</v>
      </c>
    </row>
    <row r="1653" spans="1:2">
      <c r="A1653" t="s">
        <v>133</v>
      </c>
      <c r="B1653" s="3">
        <v>0</v>
      </c>
    </row>
    <row r="1654" spans="1:2">
      <c r="A1654" t="s">
        <v>1837</v>
      </c>
      <c r="B1654" s="3">
        <v>0</v>
      </c>
    </row>
    <row r="1655" spans="1:2">
      <c r="A1655" t="s">
        <v>1838</v>
      </c>
      <c r="B1655" s="3"/>
    </row>
    <row r="1656" spans="1:2">
      <c r="A1656" t="s">
        <v>1012</v>
      </c>
      <c r="B1656" s="3">
        <v>0</v>
      </c>
    </row>
    <row r="1657" spans="1:2">
      <c r="A1657" t="s">
        <v>1839</v>
      </c>
      <c r="B1657" s="3">
        <v>0</v>
      </c>
    </row>
    <row r="1658" spans="1:2">
      <c r="A1658" t="s">
        <v>10</v>
      </c>
      <c r="B1658" s="3">
        <v>0</v>
      </c>
    </row>
    <row r="1659" spans="1:2">
      <c r="A1659" t="s">
        <v>146</v>
      </c>
      <c r="B1659" s="3">
        <v>0</v>
      </c>
    </row>
    <row r="1660" spans="1:2">
      <c r="A1660" t="s">
        <v>145</v>
      </c>
      <c r="B1660" s="3">
        <v>0</v>
      </c>
    </row>
    <row r="1661" spans="1:2">
      <c r="A1661" t="s">
        <v>1840</v>
      </c>
      <c r="B1661" s="3">
        <v>0</v>
      </c>
    </row>
    <row r="1662" spans="1:2">
      <c r="A1662" t="s">
        <v>136</v>
      </c>
      <c r="B1662" s="3">
        <v>9.14</v>
      </c>
    </row>
    <row r="1663" spans="1:2">
      <c r="A1663" t="s">
        <v>167</v>
      </c>
      <c r="B1663" s="3">
        <v>1.26</v>
      </c>
    </row>
    <row r="1664" spans="1:2">
      <c r="A1664" t="s">
        <v>409</v>
      </c>
      <c r="B1664" s="3">
        <v>0</v>
      </c>
    </row>
    <row r="1665" spans="1:2">
      <c r="A1665" t="s">
        <v>828</v>
      </c>
      <c r="B1665" s="3"/>
    </row>
    <row r="1666" spans="1:2">
      <c r="A1666" t="s">
        <v>112</v>
      </c>
      <c r="B1666" s="3">
        <v>0</v>
      </c>
    </row>
    <row r="1667" spans="1:2">
      <c r="A1667" t="s">
        <v>119</v>
      </c>
      <c r="B1667" s="3">
        <v>0</v>
      </c>
    </row>
    <row r="1668" spans="1:2">
      <c r="A1668" t="s">
        <v>153</v>
      </c>
      <c r="B1668" s="3">
        <v>0</v>
      </c>
    </row>
    <row r="1669" spans="1:2">
      <c r="A1669" t="s">
        <v>166</v>
      </c>
      <c r="B1669" s="3">
        <v>8.02</v>
      </c>
    </row>
    <row r="1670" spans="1:2">
      <c r="A1670" t="s">
        <v>106</v>
      </c>
      <c r="B1670" s="3">
        <v>0</v>
      </c>
    </row>
    <row r="1671" spans="1:2">
      <c r="A1671" t="s">
        <v>107</v>
      </c>
      <c r="B1671" s="3">
        <v>0.3</v>
      </c>
    </row>
    <row r="1672" spans="1:2">
      <c r="A1672" t="s">
        <v>1841</v>
      </c>
      <c r="B1672" s="3">
        <v>0</v>
      </c>
    </row>
    <row r="1673" spans="1:2">
      <c r="A1673" t="s">
        <v>832</v>
      </c>
      <c r="B1673" s="3">
        <v>45.5</v>
      </c>
    </row>
    <row r="1674" spans="1:2">
      <c r="A1674" t="s">
        <v>833</v>
      </c>
      <c r="B1674" s="3">
        <v>21.72</v>
      </c>
    </row>
    <row r="1675" spans="1:2">
      <c r="A1675" t="s">
        <v>1842</v>
      </c>
      <c r="B1675" s="3">
        <v>0</v>
      </c>
    </row>
    <row r="1676" spans="1:2">
      <c r="A1676" t="s">
        <v>1013</v>
      </c>
      <c r="B1676" s="3">
        <v>0</v>
      </c>
    </row>
    <row r="1677" spans="1:2">
      <c r="A1677" t="s">
        <v>1843</v>
      </c>
      <c r="B1677" s="3">
        <v>0</v>
      </c>
    </row>
    <row r="1678" spans="1:2">
      <c r="A1678" t="s">
        <v>1844</v>
      </c>
      <c r="B1678" s="3">
        <v>0</v>
      </c>
    </row>
    <row r="1679" spans="1:2">
      <c r="A1679" t="s">
        <v>300</v>
      </c>
      <c r="B1679" s="3">
        <v>0</v>
      </c>
    </row>
    <row r="1680" spans="1:2">
      <c r="A1680" t="s">
        <v>1845</v>
      </c>
      <c r="B1680" s="3"/>
    </row>
    <row r="1681" spans="1:2">
      <c r="A1681" t="s">
        <v>474</v>
      </c>
      <c r="B1681" s="3">
        <v>0</v>
      </c>
    </row>
    <row r="1682" spans="1:2">
      <c r="A1682" t="s">
        <v>257</v>
      </c>
      <c r="B1682" s="3">
        <v>0</v>
      </c>
    </row>
    <row r="1683" spans="1:2">
      <c r="A1683" t="s">
        <v>283</v>
      </c>
      <c r="B1683" s="3">
        <v>0.48</v>
      </c>
    </row>
    <row r="1684" spans="1:2">
      <c r="A1684" t="s">
        <v>342</v>
      </c>
      <c r="B1684" s="3">
        <v>0</v>
      </c>
    </row>
    <row r="1685" spans="1:2">
      <c r="A1685" t="s">
        <v>1846</v>
      </c>
      <c r="B1685" s="3"/>
    </row>
    <row r="1686" spans="1:2">
      <c r="A1686" t="s">
        <v>149</v>
      </c>
      <c r="B1686" s="3">
        <v>16.95</v>
      </c>
    </row>
    <row r="1687" spans="1:2">
      <c r="A1687" t="s">
        <v>1847</v>
      </c>
      <c r="B1687" s="3">
        <v>0</v>
      </c>
    </row>
    <row r="1688" spans="1:2">
      <c r="A1688" t="s">
        <v>475</v>
      </c>
      <c r="B1688" s="3">
        <v>0</v>
      </c>
    </row>
    <row r="1689" spans="1:2">
      <c r="A1689" t="s">
        <v>1848</v>
      </c>
      <c r="B1689" s="3">
        <v>0</v>
      </c>
    </row>
    <row r="1690" spans="1:2">
      <c r="A1690" t="s">
        <v>260</v>
      </c>
      <c r="B1690" s="3">
        <v>0</v>
      </c>
    </row>
    <row r="1691" spans="1:2">
      <c r="A1691" t="s">
        <v>364</v>
      </c>
      <c r="B1691" s="3">
        <v>0</v>
      </c>
    </row>
    <row r="1692" spans="1:2">
      <c r="A1692" t="s">
        <v>1014</v>
      </c>
      <c r="B1692" s="3">
        <v>0</v>
      </c>
    </row>
    <row r="1693" spans="1:2">
      <c r="A1693" t="s">
        <v>1849</v>
      </c>
      <c r="B1693" s="3">
        <v>0</v>
      </c>
    </row>
    <row r="1694" spans="1:2">
      <c r="A1694" t="s">
        <v>404</v>
      </c>
      <c r="B1694" s="3">
        <v>0</v>
      </c>
    </row>
    <row r="1695" spans="1:2">
      <c r="A1695" t="s">
        <v>1026</v>
      </c>
      <c r="B1695" s="3"/>
    </row>
    <row r="1696" spans="1:2">
      <c r="A1696" t="s">
        <v>322</v>
      </c>
      <c r="B1696" s="3"/>
    </row>
    <row r="1697" spans="1:2">
      <c r="A1697" t="s">
        <v>352</v>
      </c>
      <c r="B1697" s="3">
        <v>0</v>
      </c>
    </row>
    <row r="1698" spans="1:2">
      <c r="A1698" t="s">
        <v>1850</v>
      </c>
      <c r="B1698" s="3">
        <v>0</v>
      </c>
    </row>
    <row r="1699" spans="1:2">
      <c r="A1699" t="s">
        <v>1851</v>
      </c>
      <c r="B1699" s="3">
        <v>0</v>
      </c>
    </row>
    <row r="1700" spans="1:2">
      <c r="A1700" t="s">
        <v>1852</v>
      </c>
      <c r="B1700" s="3">
        <v>0</v>
      </c>
    </row>
    <row r="1701" spans="1:2">
      <c r="A1701" t="s">
        <v>1853</v>
      </c>
      <c r="B1701" s="3"/>
    </row>
    <row r="1702" spans="1:2">
      <c r="A1702" t="s">
        <v>1015</v>
      </c>
      <c r="B1702" s="3">
        <v>0</v>
      </c>
    </row>
    <row r="1703" spans="1:2">
      <c r="A1703" t="s">
        <v>1854</v>
      </c>
      <c r="B1703" s="3">
        <v>0</v>
      </c>
    </row>
    <row r="1704" spans="1:2">
      <c r="A1704" t="s">
        <v>1855</v>
      </c>
      <c r="B1704" s="3">
        <v>0</v>
      </c>
    </row>
    <row r="1705" spans="1:2">
      <c r="A1705" t="s">
        <v>1856</v>
      </c>
      <c r="B1705" s="3"/>
    </row>
    <row r="1706" spans="1:2">
      <c r="A1706" t="s">
        <v>1857</v>
      </c>
      <c r="B1706" s="3">
        <v>0</v>
      </c>
    </row>
    <row r="1707" spans="1:2">
      <c r="A1707" t="s">
        <v>33</v>
      </c>
      <c r="B1707" s="3">
        <v>3.72</v>
      </c>
    </row>
    <row r="1708" spans="1:2">
      <c r="A1708" t="s">
        <v>336</v>
      </c>
      <c r="B1708" s="3">
        <v>6.39</v>
      </c>
    </row>
    <row r="1709" spans="1:2">
      <c r="A1709" t="s">
        <v>1858</v>
      </c>
      <c r="B1709" s="3"/>
    </row>
    <row r="1710" spans="1:2">
      <c r="A1710" t="s">
        <v>163</v>
      </c>
      <c r="B1710" s="3">
        <v>3.91</v>
      </c>
    </row>
    <row r="1711" spans="1:2">
      <c r="A1711" t="s">
        <v>223</v>
      </c>
      <c r="B1711" s="3">
        <v>0</v>
      </c>
    </row>
    <row r="1712" spans="1:2">
      <c r="A1712" t="s">
        <v>185</v>
      </c>
      <c r="B1712" s="3">
        <v>13.13</v>
      </c>
    </row>
    <row r="1713" spans="1:2">
      <c r="A1713" t="s">
        <v>1859</v>
      </c>
      <c r="B1713" s="3">
        <v>51.269999999999996</v>
      </c>
    </row>
    <row r="1714" spans="1:2">
      <c r="A1714" t="s">
        <v>1860</v>
      </c>
      <c r="B1714" s="3">
        <v>109.85999999999999</v>
      </c>
    </row>
    <row r="1715" spans="1:2">
      <c r="A1715" t="s">
        <v>157</v>
      </c>
      <c r="B1715" s="3">
        <v>6.47</v>
      </c>
    </row>
    <row r="1716" spans="1:2">
      <c r="A1716" t="s">
        <v>1861</v>
      </c>
      <c r="B1716" s="3">
        <v>0</v>
      </c>
    </row>
    <row r="1717" spans="1:2">
      <c r="A1717" t="s">
        <v>1862</v>
      </c>
      <c r="B1717" s="3">
        <v>31.84</v>
      </c>
    </row>
    <row r="1718" spans="1:2">
      <c r="A1718" t="s">
        <v>1863</v>
      </c>
      <c r="B1718" s="3">
        <v>0</v>
      </c>
    </row>
    <row r="1719" spans="1:2">
      <c r="A1719" t="s">
        <v>477</v>
      </c>
      <c r="B1719" s="3">
        <v>0</v>
      </c>
    </row>
    <row r="1720" spans="1:2">
      <c r="A1720" t="s">
        <v>414</v>
      </c>
      <c r="B1720" s="3">
        <v>0</v>
      </c>
    </row>
    <row r="1721" spans="1:2">
      <c r="A1721" t="s">
        <v>1016</v>
      </c>
      <c r="B1721" s="3">
        <v>0</v>
      </c>
    </row>
    <row r="1722" spans="1:2">
      <c r="A1722" t="s">
        <v>511</v>
      </c>
      <c r="B1722" s="3">
        <v>0</v>
      </c>
    </row>
    <row r="1723" spans="1:2">
      <c r="A1723" t="s">
        <v>1864</v>
      </c>
      <c r="B1723" s="3">
        <v>0</v>
      </c>
    </row>
    <row r="1724" spans="1:2">
      <c r="A1724" t="s">
        <v>1017</v>
      </c>
      <c r="B1724" s="3"/>
    </row>
    <row r="1725" spans="1:2">
      <c r="A1725" t="s">
        <v>14</v>
      </c>
      <c r="B1725" s="3">
        <v>0</v>
      </c>
    </row>
    <row r="1726" spans="1:2">
      <c r="A1726" t="s">
        <v>837</v>
      </c>
      <c r="B1726" s="3">
        <v>0</v>
      </c>
    </row>
    <row r="1727" spans="1:2">
      <c r="A1727" t="s">
        <v>403</v>
      </c>
      <c r="B1727" s="3">
        <v>0</v>
      </c>
    </row>
    <row r="1728" spans="1:2">
      <c r="A1728" t="s">
        <v>410</v>
      </c>
      <c r="B1728" s="3">
        <v>0</v>
      </c>
    </row>
    <row r="1729" spans="1:2">
      <c r="A1729" t="s">
        <v>196</v>
      </c>
      <c r="B1729" s="3">
        <v>219</v>
      </c>
    </row>
    <row r="1730" spans="1:2">
      <c r="A1730" t="s">
        <v>1865</v>
      </c>
      <c r="B1730" s="3">
        <v>0</v>
      </c>
    </row>
    <row r="1731" spans="1:2">
      <c r="A1731" t="s">
        <v>1866</v>
      </c>
      <c r="B1731" s="3">
        <v>0</v>
      </c>
    </row>
    <row r="1732" spans="1:2">
      <c r="A1732" t="s">
        <v>1867</v>
      </c>
      <c r="B1732" s="3">
        <v>0</v>
      </c>
    </row>
    <row r="1733" spans="1:2">
      <c r="A1733" t="s">
        <v>1868</v>
      </c>
      <c r="B1733" s="3">
        <v>0</v>
      </c>
    </row>
    <row r="1734" spans="1:2">
      <c r="A1734" t="s">
        <v>217</v>
      </c>
      <c r="B1734" s="3">
        <v>0</v>
      </c>
    </row>
    <row r="1735" spans="1:2">
      <c r="A1735" t="s">
        <v>345</v>
      </c>
      <c r="B1735" s="3">
        <v>0</v>
      </c>
    </row>
    <row r="1736" spans="1:2">
      <c r="A1736" t="s">
        <v>128</v>
      </c>
      <c r="B1736" s="3">
        <v>20.86</v>
      </c>
    </row>
    <row r="1737" spans="1:2">
      <c r="A1737" t="s">
        <v>127</v>
      </c>
      <c r="B1737" s="3">
        <v>476.09999999999997</v>
      </c>
    </row>
    <row r="1738" spans="1:2">
      <c r="A1738" t="s">
        <v>873</v>
      </c>
      <c r="B1738" s="3">
        <v>93.68</v>
      </c>
    </row>
    <row r="1739" spans="1:2">
      <c r="A1739" t="s">
        <v>479</v>
      </c>
      <c r="B1739" s="3">
        <v>0</v>
      </c>
    </row>
    <row r="1740" spans="1:2">
      <c r="A1740" t="s">
        <v>480</v>
      </c>
      <c r="B1740" s="3">
        <v>39.880000000000003</v>
      </c>
    </row>
    <row r="1741" spans="1:2">
      <c r="A1741" t="s">
        <v>161</v>
      </c>
      <c r="B1741" s="3">
        <v>0.48</v>
      </c>
    </row>
    <row r="1742" spans="1:2">
      <c r="A1742" t="s">
        <v>1064</v>
      </c>
      <c r="B1742" s="3">
        <v>0</v>
      </c>
    </row>
    <row r="1743" spans="1:2">
      <c r="A1743" t="s">
        <v>528</v>
      </c>
      <c r="B1743" s="3">
        <v>0</v>
      </c>
    </row>
    <row r="1744" spans="1:2">
      <c r="A1744" t="s">
        <v>1869</v>
      </c>
      <c r="B1744" s="3">
        <v>0</v>
      </c>
    </row>
    <row r="1745" spans="1:2">
      <c r="A1745" t="s">
        <v>1870</v>
      </c>
      <c r="B1745" s="3">
        <v>0</v>
      </c>
    </row>
    <row r="1746" spans="1:2">
      <c r="A1746" t="s">
        <v>1018</v>
      </c>
      <c r="B1746" s="3">
        <v>0</v>
      </c>
    </row>
    <row r="1747" spans="1:2">
      <c r="A1747" t="s">
        <v>120</v>
      </c>
      <c r="B1747" s="3">
        <v>5.47</v>
      </c>
    </row>
    <row r="1748" spans="1:2">
      <c r="A1748" t="s">
        <v>1871</v>
      </c>
      <c r="B1748" s="3">
        <v>0</v>
      </c>
    </row>
    <row r="1749" spans="1:2">
      <c r="A1749" t="s">
        <v>211</v>
      </c>
      <c r="B1749" s="3">
        <v>21.96</v>
      </c>
    </row>
    <row r="1750" spans="1:2">
      <c r="A1750" t="s">
        <v>1872</v>
      </c>
      <c r="B1750" s="3">
        <v>0</v>
      </c>
    </row>
    <row r="1751" spans="1:2">
      <c r="A1751" t="s">
        <v>242</v>
      </c>
      <c r="B1751" s="3">
        <v>0</v>
      </c>
    </row>
    <row r="1752" spans="1:2">
      <c r="A1752" t="s">
        <v>1873</v>
      </c>
      <c r="B1752" s="3">
        <v>0</v>
      </c>
    </row>
    <row r="1753" spans="1:2">
      <c r="A1753" t="s">
        <v>827</v>
      </c>
      <c r="B1753" s="3">
        <v>0</v>
      </c>
    </row>
    <row r="1754" spans="1:2">
      <c r="A1754" t="s">
        <v>234</v>
      </c>
      <c r="B1754" s="3">
        <v>34.18</v>
      </c>
    </row>
    <row r="1755" spans="1:2">
      <c r="A1755" t="s">
        <v>360</v>
      </c>
      <c r="B1755" s="3">
        <v>0</v>
      </c>
    </row>
    <row r="1756" spans="1:2">
      <c r="A1756" t="s">
        <v>110</v>
      </c>
      <c r="B1756" s="3">
        <v>0</v>
      </c>
    </row>
    <row r="1757" spans="1:2">
      <c r="A1757" t="s">
        <v>361</v>
      </c>
      <c r="B1757" s="3">
        <v>0</v>
      </c>
    </row>
    <row r="1758" spans="1:2">
      <c r="A1758" t="s">
        <v>1874</v>
      </c>
      <c r="B1758" s="3">
        <v>0</v>
      </c>
    </row>
    <row r="1759" spans="1:2">
      <c r="A1759" t="s">
        <v>201</v>
      </c>
      <c r="B1759" s="3">
        <v>58.56</v>
      </c>
    </row>
    <row r="1760" spans="1:2">
      <c r="A1760" t="s">
        <v>207</v>
      </c>
      <c r="B1760" s="3">
        <v>0</v>
      </c>
    </row>
    <row r="1761" spans="1:2">
      <c r="A1761" t="s">
        <v>1019</v>
      </c>
      <c r="B1761" s="3">
        <v>0</v>
      </c>
    </row>
    <row r="1762" spans="1:2">
      <c r="A1762" t="s">
        <v>343</v>
      </c>
      <c r="B1762" s="3">
        <v>0</v>
      </c>
    </row>
    <row r="1763" spans="1:2">
      <c r="A1763" t="s">
        <v>1875</v>
      </c>
      <c r="B1763" s="3">
        <v>0</v>
      </c>
    </row>
    <row r="1764" spans="1:2">
      <c r="A1764" t="s">
        <v>1020</v>
      </c>
      <c r="B1764" s="3">
        <v>0</v>
      </c>
    </row>
    <row r="1765" spans="1:2">
      <c r="A1765" t="s">
        <v>1876</v>
      </c>
      <c r="B1765" s="3">
        <v>0</v>
      </c>
    </row>
    <row r="1766" spans="1:2">
      <c r="A1766" t="s">
        <v>1877</v>
      </c>
      <c r="B1766" s="3">
        <v>0</v>
      </c>
    </row>
    <row r="1767" spans="1:2">
      <c r="A1767" t="s">
        <v>412</v>
      </c>
      <c r="B1767" s="3">
        <v>0</v>
      </c>
    </row>
    <row r="1768" spans="1:2">
      <c r="A1768" t="s">
        <v>1878</v>
      </c>
      <c r="B1768" s="3">
        <v>0</v>
      </c>
    </row>
    <row r="1769" spans="1:2">
      <c r="A1769" t="s">
        <v>1879</v>
      </c>
      <c r="B1769" s="3">
        <v>0</v>
      </c>
    </row>
    <row r="1770" spans="1:2">
      <c r="A1770" t="s">
        <v>1880</v>
      </c>
      <c r="B1770" s="3">
        <v>0</v>
      </c>
    </row>
    <row r="1771" spans="1:2">
      <c r="A1771" t="s">
        <v>58</v>
      </c>
      <c r="B1771" s="3">
        <v>10.81</v>
      </c>
    </row>
    <row r="1772" spans="1:2">
      <c r="A1772" t="s">
        <v>225</v>
      </c>
      <c r="B1772" s="3">
        <v>0</v>
      </c>
    </row>
    <row r="1773" spans="1:2">
      <c r="A1773" t="s">
        <v>376</v>
      </c>
      <c r="B1773" s="3">
        <v>0</v>
      </c>
    </row>
    <row r="1774" spans="1:2">
      <c r="A1774" t="s">
        <v>1881</v>
      </c>
      <c r="B1774" s="3">
        <v>0</v>
      </c>
    </row>
    <row r="1775" spans="1:2">
      <c r="A1775" t="s">
        <v>202</v>
      </c>
      <c r="B1775" s="3">
        <v>15.06</v>
      </c>
    </row>
    <row r="1776" spans="1:2">
      <c r="A1776" t="s">
        <v>96</v>
      </c>
      <c r="B1776" s="3">
        <v>0</v>
      </c>
    </row>
    <row r="1777" spans="1:2">
      <c r="A1777" t="s">
        <v>878</v>
      </c>
      <c r="B1777" s="3"/>
    </row>
    <row r="1778" spans="1:2">
      <c r="A1778" t="s">
        <v>1882</v>
      </c>
      <c r="B1778" s="3">
        <v>0</v>
      </c>
    </row>
    <row r="1779" spans="1:2">
      <c r="A1779" t="s">
        <v>1883</v>
      </c>
      <c r="B1779" s="3">
        <v>0</v>
      </c>
    </row>
    <row r="1780" spans="1:2">
      <c r="A1780" t="s">
        <v>1884</v>
      </c>
      <c r="B1780" s="3"/>
    </row>
    <row r="1781" spans="1:2">
      <c r="A1781" t="s">
        <v>1885</v>
      </c>
      <c r="B1781" s="3">
        <v>0</v>
      </c>
    </row>
    <row r="1782" spans="1:2">
      <c r="A1782" t="s">
        <v>239</v>
      </c>
      <c r="B1782" s="3">
        <v>31.45</v>
      </c>
    </row>
    <row r="1783" spans="1:2">
      <c r="A1783" t="s">
        <v>186</v>
      </c>
      <c r="B1783" s="3">
        <v>0</v>
      </c>
    </row>
    <row r="1784" spans="1:2">
      <c r="A1784" t="s">
        <v>1021</v>
      </c>
      <c r="B1784" s="3">
        <v>0</v>
      </c>
    </row>
    <row r="1785" spans="1:2">
      <c r="A1785" t="s">
        <v>1886</v>
      </c>
      <c r="B1785" s="3">
        <v>0</v>
      </c>
    </row>
    <row r="1786" spans="1:2">
      <c r="A1786" t="s">
        <v>1887</v>
      </c>
      <c r="B1786" s="3">
        <v>0</v>
      </c>
    </row>
    <row r="1787" spans="1:2">
      <c r="A1787" t="s">
        <v>1888</v>
      </c>
      <c r="B1787" s="3">
        <v>0</v>
      </c>
    </row>
    <row r="1788" spans="1:2">
      <c r="A1788" t="s">
        <v>187</v>
      </c>
      <c r="B1788" s="3"/>
    </row>
    <row r="1789" spans="1:2">
      <c r="A1789" t="s">
        <v>874</v>
      </c>
      <c r="B1789" s="3">
        <v>0</v>
      </c>
    </row>
    <row r="1790" spans="1:2">
      <c r="A1790" t="s">
        <v>1889</v>
      </c>
      <c r="B1790" s="3">
        <v>0</v>
      </c>
    </row>
    <row r="1791" spans="1:2">
      <c r="A1791" t="s">
        <v>527</v>
      </c>
      <c r="B1791" s="3">
        <v>0</v>
      </c>
    </row>
    <row r="1792" spans="1:2">
      <c r="A1792" t="s">
        <v>383</v>
      </c>
      <c r="B1792" s="3">
        <v>0</v>
      </c>
    </row>
    <row r="1793" spans="1:2">
      <c r="A1793" t="s">
        <v>1890</v>
      </c>
      <c r="B1793" s="3">
        <v>0</v>
      </c>
    </row>
    <row r="1794" spans="1:2">
      <c r="A1794" t="s">
        <v>162</v>
      </c>
      <c r="B1794" s="3">
        <v>0</v>
      </c>
    </row>
    <row r="1795" spans="1:2">
      <c r="A1795" t="s">
        <v>1891</v>
      </c>
      <c r="B1795" s="3">
        <v>0</v>
      </c>
    </row>
    <row r="1796" spans="1:2">
      <c r="A1796" t="s">
        <v>421</v>
      </c>
      <c r="B1796" s="3">
        <v>0</v>
      </c>
    </row>
    <row r="1797" spans="1:2">
      <c r="A1797" t="s">
        <v>1892</v>
      </c>
      <c r="B1797" s="3">
        <v>0</v>
      </c>
    </row>
    <row r="1798" spans="1:2">
      <c r="A1798" t="s">
        <v>150</v>
      </c>
      <c r="B1798" s="3">
        <v>20.37</v>
      </c>
    </row>
    <row r="1799" spans="1:2">
      <c r="A1799" t="s">
        <v>235</v>
      </c>
      <c r="B1799" s="3">
        <v>24.46</v>
      </c>
    </row>
    <row r="1800" spans="1:2">
      <c r="A1800" t="s">
        <v>417</v>
      </c>
      <c r="B1800" s="3">
        <v>0</v>
      </c>
    </row>
    <row r="1801" spans="1:2">
      <c r="A1801" t="s">
        <v>1893</v>
      </c>
      <c r="B1801" s="3">
        <v>0</v>
      </c>
    </row>
    <row r="1802" spans="1:2">
      <c r="A1802" t="s">
        <v>1894</v>
      </c>
      <c r="B1802" s="3">
        <v>0</v>
      </c>
    </row>
    <row r="1803" spans="1:2">
      <c r="A1803" t="s">
        <v>61</v>
      </c>
      <c r="B1803" s="3">
        <v>36.15</v>
      </c>
    </row>
    <row r="1804" spans="1:2">
      <c r="A1804" t="s">
        <v>233</v>
      </c>
      <c r="B1804" s="3">
        <v>2.63</v>
      </c>
    </row>
    <row r="1805" spans="1:2">
      <c r="A1805" t="s">
        <v>1895</v>
      </c>
      <c r="B1805" s="3">
        <v>0</v>
      </c>
    </row>
    <row r="1806" spans="1:2">
      <c r="A1806" t="s">
        <v>224</v>
      </c>
      <c r="B1806" s="3">
        <v>598.72</v>
      </c>
    </row>
    <row r="1807" spans="1:2">
      <c r="A1807" t="s">
        <v>290</v>
      </c>
      <c r="B1807" s="3">
        <v>0</v>
      </c>
    </row>
    <row r="1808" spans="1:2">
      <c r="A1808" t="s">
        <v>1896</v>
      </c>
      <c r="B1808" s="3">
        <v>25.22</v>
      </c>
    </row>
    <row r="1809" spans="1:2">
      <c r="A1809" t="s">
        <v>1897</v>
      </c>
      <c r="B1809" s="3">
        <v>0</v>
      </c>
    </row>
    <row r="1810" spans="1:2">
      <c r="A1810" t="s">
        <v>622</v>
      </c>
      <c r="B1810" s="3"/>
    </row>
    <row r="1811" spans="1:2">
      <c r="A1811" t="s">
        <v>319</v>
      </c>
      <c r="B1811" s="3">
        <v>65.72</v>
      </c>
    </row>
    <row r="1812" spans="1:2">
      <c r="A1812" t="s">
        <v>623</v>
      </c>
      <c r="B1812" s="3">
        <v>0</v>
      </c>
    </row>
    <row r="1813" spans="1:2">
      <c r="A1813" t="s">
        <v>1022</v>
      </c>
      <c r="B1813" s="3">
        <v>0</v>
      </c>
    </row>
    <row r="1814" spans="1:2">
      <c r="A1814" t="s">
        <v>236</v>
      </c>
      <c r="B1814" s="3">
        <v>51.44</v>
      </c>
    </row>
    <row r="1815" spans="1:2">
      <c r="A1815" t="s">
        <v>400</v>
      </c>
      <c r="B1815" s="3">
        <v>0</v>
      </c>
    </row>
    <row r="1816" spans="1:2">
      <c r="A1816" t="s">
        <v>305</v>
      </c>
      <c r="B1816" s="3">
        <v>63.9495</v>
      </c>
    </row>
    <row r="1817" spans="1:2">
      <c r="A1817" t="s">
        <v>1898</v>
      </c>
      <c r="B1817" s="3">
        <v>0</v>
      </c>
    </row>
    <row r="1818" spans="1:2">
      <c r="A1818" t="s">
        <v>1023</v>
      </c>
      <c r="B1818" s="3">
        <v>0</v>
      </c>
    </row>
    <row r="1819" spans="1:2">
      <c r="A1819" t="s">
        <v>1899</v>
      </c>
      <c r="B1819" s="3">
        <v>0</v>
      </c>
    </row>
    <row r="1820" spans="1:2">
      <c r="A1820" t="s">
        <v>1900</v>
      </c>
      <c r="B1820" s="3"/>
    </row>
    <row r="1821" spans="1:2">
      <c r="A1821" t="s">
        <v>1901</v>
      </c>
      <c r="B1821" s="3">
        <v>0</v>
      </c>
    </row>
    <row r="1822" spans="1:2">
      <c r="A1822" t="s">
        <v>59</v>
      </c>
      <c r="B1822" s="3"/>
    </row>
    <row r="1823" spans="1:2">
      <c r="A1823" t="s">
        <v>1065</v>
      </c>
      <c r="B1823" s="3"/>
    </row>
    <row r="1824" spans="1:2">
      <c r="A1824" t="s">
        <v>195</v>
      </c>
      <c r="B1824" s="3">
        <v>0</v>
      </c>
    </row>
    <row r="1825" spans="1:2">
      <c r="A1825" t="s">
        <v>423</v>
      </c>
      <c r="B1825" s="3">
        <v>0</v>
      </c>
    </row>
    <row r="1826" spans="1:2">
      <c r="A1826" t="s">
        <v>203</v>
      </c>
      <c r="B1826" s="3">
        <v>0</v>
      </c>
    </row>
    <row r="1827" spans="1:2">
      <c r="A1827" t="s">
        <v>1902</v>
      </c>
      <c r="B1827" s="3">
        <v>0</v>
      </c>
    </row>
    <row r="1828" spans="1:2">
      <c r="A1828" t="s">
        <v>205</v>
      </c>
      <c r="B1828" s="3">
        <v>1.86</v>
      </c>
    </row>
    <row r="1829" spans="1:2">
      <c r="A1829" t="s">
        <v>1903</v>
      </c>
      <c r="B1829" s="3">
        <v>0</v>
      </c>
    </row>
    <row r="1830" spans="1:2">
      <c r="A1830" t="s">
        <v>1904</v>
      </c>
      <c r="B1830" s="3">
        <v>0</v>
      </c>
    </row>
    <row r="1831" spans="1:2">
      <c r="A1831" t="s">
        <v>1905</v>
      </c>
      <c r="B1831" s="3"/>
    </row>
    <row r="1832" spans="1:2">
      <c r="A1832" t="s">
        <v>894</v>
      </c>
      <c r="B1832" s="3"/>
    </row>
    <row r="1833" spans="1:2">
      <c r="A1833" t="s">
        <v>1</v>
      </c>
      <c r="B1833" s="3">
        <v>337.48</v>
      </c>
    </row>
    <row r="1834" spans="1:2">
      <c r="A1834" t="s">
        <v>624</v>
      </c>
      <c r="B1834" s="3">
        <v>119.9</v>
      </c>
    </row>
    <row r="1835" spans="1:2">
      <c r="A1835" t="s">
        <v>23</v>
      </c>
      <c r="B1835" s="3">
        <v>0</v>
      </c>
    </row>
    <row r="1836" spans="1:2">
      <c r="A1836" t="s">
        <v>852</v>
      </c>
      <c r="B1836" s="3">
        <v>0</v>
      </c>
    </row>
    <row r="1837" spans="1:2">
      <c r="A1837" t="s">
        <v>1906</v>
      </c>
      <c r="B1837" s="3">
        <v>0</v>
      </c>
    </row>
    <row r="1838" spans="1:2">
      <c r="A1838" t="s">
        <v>1907</v>
      </c>
      <c r="B1838" s="3">
        <v>0</v>
      </c>
    </row>
    <row r="1839" spans="1:2">
      <c r="A1839" t="s">
        <v>259</v>
      </c>
      <c r="B1839" s="3">
        <v>0</v>
      </c>
    </row>
    <row r="1840" spans="1:2">
      <c r="A1840" t="s">
        <v>220</v>
      </c>
      <c r="B1840" s="3">
        <v>0</v>
      </c>
    </row>
    <row r="1841" spans="1:2">
      <c r="A1841" t="s">
        <v>99</v>
      </c>
      <c r="B1841" s="3">
        <v>375</v>
      </c>
    </row>
    <row r="1842" spans="1:2">
      <c r="A1842" t="s">
        <v>820</v>
      </c>
      <c r="B1842" s="3">
        <v>0</v>
      </c>
    </row>
    <row r="1843" spans="1:2">
      <c r="A1843" t="s">
        <v>21</v>
      </c>
      <c r="B1843" s="3">
        <v>1777.5</v>
      </c>
    </row>
    <row r="1844" spans="1:2">
      <c r="A1844" t="s">
        <v>1908</v>
      </c>
      <c r="B1844" s="3">
        <v>0</v>
      </c>
    </row>
    <row r="1845" spans="1:2">
      <c r="A1845" t="s">
        <v>19</v>
      </c>
      <c r="B1845" s="3">
        <v>0</v>
      </c>
    </row>
    <row r="1846" spans="1:2">
      <c r="A1846" t="s">
        <v>1909</v>
      </c>
      <c r="B1846" s="3">
        <v>0</v>
      </c>
    </row>
    <row r="1847" spans="1:2">
      <c r="A1847" t="s">
        <v>455</v>
      </c>
      <c r="B1847" s="3">
        <v>264.06</v>
      </c>
    </row>
    <row r="1848" spans="1:2">
      <c r="A1848" t="s">
        <v>481</v>
      </c>
      <c r="B1848" s="3">
        <v>0</v>
      </c>
    </row>
    <row r="1849" spans="1:2">
      <c r="A1849" t="s">
        <v>1910</v>
      </c>
      <c r="B1849" s="3">
        <v>0</v>
      </c>
    </row>
    <row r="1850" spans="1:2">
      <c r="A1850" t="s">
        <v>1911</v>
      </c>
      <c r="B1850" s="3">
        <v>0</v>
      </c>
    </row>
    <row r="1851" spans="1:2">
      <c r="A1851" t="s">
        <v>1912</v>
      </c>
      <c r="B1851" s="3">
        <v>0</v>
      </c>
    </row>
    <row r="1852" spans="1:2">
      <c r="A1852" t="s">
        <v>1913</v>
      </c>
      <c r="B1852" s="3">
        <v>0</v>
      </c>
    </row>
    <row r="1853" spans="1:2">
      <c r="A1853" t="s">
        <v>1914</v>
      </c>
      <c r="B1853" s="3">
        <v>16.850000000000001</v>
      </c>
    </row>
    <row r="1854" spans="1:2">
      <c r="A1854" t="s">
        <v>90</v>
      </c>
      <c r="B1854" s="3">
        <v>43.4</v>
      </c>
    </row>
    <row r="1855" spans="1:2">
      <c r="A1855" t="s">
        <v>8</v>
      </c>
      <c r="B1855" s="3">
        <v>8600</v>
      </c>
    </row>
    <row r="1856" spans="1:2">
      <c r="A1856" t="s">
        <v>1915</v>
      </c>
      <c r="B1856" s="3"/>
    </row>
    <row r="1857" spans="1:2">
      <c r="A1857" t="s">
        <v>1916</v>
      </c>
      <c r="B1857" s="3">
        <v>16</v>
      </c>
    </row>
    <row r="1858" spans="1:2">
      <c r="A1858" t="s">
        <v>5</v>
      </c>
      <c r="B1858" s="3">
        <v>0</v>
      </c>
    </row>
    <row r="1859" spans="1:2">
      <c r="A1859" t="s">
        <v>20</v>
      </c>
      <c r="B1859" s="3">
        <v>0</v>
      </c>
    </row>
    <row r="1860" spans="1:2">
      <c r="A1860" t="s">
        <v>1917</v>
      </c>
      <c r="B1860" s="3">
        <v>0</v>
      </c>
    </row>
    <row r="1861" spans="1:2">
      <c r="A1861" t="s">
        <v>41</v>
      </c>
      <c r="B1861" s="3">
        <v>4830</v>
      </c>
    </row>
    <row r="1862" spans="1:2">
      <c r="A1862" t="s">
        <v>1918</v>
      </c>
      <c r="B1862" s="3">
        <v>0</v>
      </c>
    </row>
    <row r="1863" spans="1:2">
      <c r="A1863" t="s">
        <v>222</v>
      </c>
      <c r="B1863" s="3">
        <v>917.8</v>
      </c>
    </row>
    <row r="1864" spans="1:2">
      <c r="A1864" t="s">
        <v>2</v>
      </c>
      <c r="B1864" s="3">
        <v>4020.0000000000005</v>
      </c>
    </row>
    <row r="1865" spans="1:2">
      <c r="A1865" t="s">
        <v>456</v>
      </c>
      <c r="B1865" s="3">
        <v>0</v>
      </c>
    </row>
    <row r="1866" spans="1:2">
      <c r="A1866" t="s">
        <v>12</v>
      </c>
      <c r="B1866" s="3">
        <v>242.2</v>
      </c>
    </row>
    <row r="1867" spans="1:2">
      <c r="A1867" t="s">
        <v>262</v>
      </c>
      <c r="B1867" s="3">
        <v>0</v>
      </c>
    </row>
    <row r="1868" spans="1:2">
      <c r="A1868" t="s">
        <v>17</v>
      </c>
      <c r="B1868" s="3">
        <v>653.66</v>
      </c>
    </row>
    <row r="1869" spans="1:2">
      <c r="A1869" t="s">
        <v>377</v>
      </c>
      <c r="B1869" s="3">
        <v>0</v>
      </c>
    </row>
    <row r="1870" spans="1:2">
      <c r="A1870" t="s">
        <v>413</v>
      </c>
      <c r="B1870" s="3">
        <v>1100.44</v>
      </c>
    </row>
    <row r="1871" spans="1:2">
      <c r="A1871" t="s">
        <v>444</v>
      </c>
      <c r="B1871" s="3">
        <v>880.92</v>
      </c>
    </row>
    <row r="1872" spans="1:2">
      <c r="A1872" t="s">
        <v>1024</v>
      </c>
      <c r="B1872" s="3">
        <v>0</v>
      </c>
    </row>
    <row r="1873" spans="1:2">
      <c r="A1873" t="s">
        <v>1919</v>
      </c>
      <c r="B1873" s="3">
        <v>0</v>
      </c>
    </row>
    <row r="1874" spans="1:2">
      <c r="A1874" t="s">
        <v>270</v>
      </c>
      <c r="B1874" s="3">
        <v>2327.48</v>
      </c>
    </row>
    <row r="1875" spans="1:2">
      <c r="A1875" t="s">
        <v>1027</v>
      </c>
      <c r="B1875" s="3">
        <v>343.08</v>
      </c>
    </row>
    <row r="1876" spans="1:2">
      <c r="A1876" t="s">
        <v>625</v>
      </c>
      <c r="B1876" s="3">
        <v>986.27</v>
      </c>
    </row>
    <row r="1877" spans="1:2">
      <c r="A1877" t="s">
        <v>1052</v>
      </c>
      <c r="B1877" s="3">
        <v>41.4</v>
      </c>
    </row>
    <row r="1878" spans="1:2">
      <c r="A1878" t="s">
        <v>1920</v>
      </c>
      <c r="B1878" s="3">
        <v>0</v>
      </c>
    </row>
    <row r="1879" spans="1:2">
      <c r="A1879" t="s">
        <v>1921</v>
      </c>
      <c r="B1879" s="3">
        <v>0</v>
      </c>
    </row>
    <row r="1880" spans="1:2">
      <c r="A1880" t="s">
        <v>1922</v>
      </c>
      <c r="B1880" s="3">
        <v>227.68</v>
      </c>
    </row>
    <row r="1881" spans="1:2">
      <c r="A1881" t="s">
        <v>1923</v>
      </c>
      <c r="B1881" s="3">
        <v>91.1</v>
      </c>
    </row>
    <row r="1882" spans="1:2">
      <c r="A1882" t="s">
        <v>1924</v>
      </c>
      <c r="B1882" s="3">
        <v>35.400000000000006</v>
      </c>
    </row>
    <row r="1883" spans="1:2">
      <c r="A1883" t="s">
        <v>626</v>
      </c>
      <c r="B1883" s="3">
        <v>0</v>
      </c>
    </row>
    <row r="1884" spans="1:2">
      <c r="A1884" t="s">
        <v>1925</v>
      </c>
      <c r="B1884" s="3">
        <v>17</v>
      </c>
    </row>
    <row r="1885" spans="1:2">
      <c r="A1885" t="s">
        <v>1053</v>
      </c>
      <c r="B1885" s="3">
        <v>9.8999999999999986</v>
      </c>
    </row>
    <row r="1886" spans="1:2">
      <c r="A1886" t="s">
        <v>1074</v>
      </c>
      <c r="B1886" s="3">
        <v>5.43</v>
      </c>
    </row>
    <row r="1887" spans="1:2">
      <c r="A1887" t="s">
        <v>1926</v>
      </c>
      <c r="B1887" s="3">
        <v>5.43</v>
      </c>
    </row>
    <row r="1888" spans="1:2">
      <c r="A1888" t="s">
        <v>1075</v>
      </c>
      <c r="B1888" s="3">
        <v>21.8</v>
      </c>
    </row>
    <row r="1889" spans="1:2">
      <c r="A1889" t="s">
        <v>1054</v>
      </c>
      <c r="B1889" s="3">
        <v>0</v>
      </c>
    </row>
    <row r="1890" spans="1:2">
      <c r="A1890" t="s">
        <v>1927</v>
      </c>
      <c r="B1890" s="3">
        <v>5.84</v>
      </c>
    </row>
    <row r="1891" spans="1:2">
      <c r="A1891" t="s">
        <v>1030</v>
      </c>
      <c r="B1891" s="3">
        <v>2.5</v>
      </c>
    </row>
    <row r="1892" spans="1:2">
      <c r="A1892" t="s">
        <v>1928</v>
      </c>
      <c r="B1892" s="3">
        <v>44.81</v>
      </c>
    </row>
    <row r="1893" spans="1:2">
      <c r="A1893" t="s">
        <v>1929</v>
      </c>
      <c r="B1893" s="3">
        <v>34.6</v>
      </c>
    </row>
    <row r="1894" spans="1:2">
      <c r="A1894" t="s">
        <v>1930</v>
      </c>
      <c r="B1894" s="3">
        <v>15.45</v>
      </c>
    </row>
    <row r="1895" spans="1:2">
      <c r="A1895" t="s">
        <v>1931</v>
      </c>
      <c r="B1895" s="3">
        <v>10.06</v>
      </c>
    </row>
    <row r="1896" spans="1:2">
      <c r="A1896" t="s">
        <v>1932</v>
      </c>
      <c r="B1896" s="3">
        <v>15</v>
      </c>
    </row>
    <row r="1897" spans="1:2">
      <c r="A1897" t="s">
        <v>1055</v>
      </c>
      <c r="B1897" s="3">
        <v>0</v>
      </c>
    </row>
    <row r="1898" spans="1:2">
      <c r="A1898" t="s">
        <v>1933</v>
      </c>
      <c r="B1898" s="3">
        <v>5.32</v>
      </c>
    </row>
    <row r="1899" spans="1:2">
      <c r="A1899" t="s">
        <v>841</v>
      </c>
      <c r="B1899" s="3">
        <v>1759.61</v>
      </c>
    </row>
    <row r="1900" spans="1:2">
      <c r="A1900" t="s">
        <v>316</v>
      </c>
      <c r="B1900" s="3">
        <v>220.04</v>
      </c>
    </row>
    <row r="1901" spans="1:2">
      <c r="A1901" t="s">
        <v>1934</v>
      </c>
      <c r="B1901" s="3">
        <v>0</v>
      </c>
    </row>
    <row r="1902" spans="1:2">
      <c r="A1902" t="s">
        <v>1935</v>
      </c>
      <c r="B1902" s="3">
        <v>0</v>
      </c>
    </row>
    <row r="1903" spans="1:2">
      <c r="A1903" t="s">
        <v>627</v>
      </c>
      <c r="B1903" s="3">
        <v>0</v>
      </c>
    </row>
    <row r="1904" spans="1:2">
      <c r="A1904" t="s">
        <v>1936</v>
      </c>
      <c r="B1904" s="3">
        <v>0</v>
      </c>
    </row>
    <row r="1905" spans="1:2">
      <c r="A1905" t="s">
        <v>1937</v>
      </c>
      <c r="B1905" s="3">
        <v>0</v>
      </c>
    </row>
    <row r="1906" spans="1:2">
      <c r="A1906" t="s">
        <v>1938</v>
      </c>
      <c r="B1906" s="3">
        <v>133.25</v>
      </c>
    </row>
    <row r="1907" spans="1:2">
      <c r="A1907" t="s">
        <v>1939</v>
      </c>
      <c r="B1907" s="3">
        <v>0</v>
      </c>
    </row>
    <row r="1908" spans="1:2">
      <c r="A1908" t="s">
        <v>1940</v>
      </c>
      <c r="B1908" s="3">
        <v>0</v>
      </c>
    </row>
    <row r="1909" spans="1:2">
      <c r="A1909" t="s">
        <v>1941</v>
      </c>
      <c r="B1909" s="3">
        <v>0</v>
      </c>
    </row>
    <row r="1910" spans="1:2">
      <c r="A1910" t="s">
        <v>317</v>
      </c>
      <c r="B1910" s="3">
        <v>39.11</v>
      </c>
    </row>
    <row r="1911" spans="1:2">
      <c r="A1911" t="s">
        <v>1942</v>
      </c>
      <c r="B1911" s="3">
        <v>0</v>
      </c>
    </row>
    <row r="1912" spans="1:2">
      <c r="A1912" t="s">
        <v>1943</v>
      </c>
      <c r="B1912" s="3">
        <v>462.65999999999997</v>
      </c>
    </row>
    <row r="1913" spans="1:2">
      <c r="A1913" t="s">
        <v>842</v>
      </c>
      <c r="B1913" s="3">
        <v>530.79</v>
      </c>
    </row>
    <row r="1914" spans="1:2">
      <c r="A1914" t="s">
        <v>1944</v>
      </c>
      <c r="B1914" s="3">
        <v>119.24</v>
      </c>
    </row>
    <row r="1915" spans="1:2">
      <c r="A1915" t="s">
        <v>1945</v>
      </c>
      <c r="B1915" s="3">
        <v>0</v>
      </c>
    </row>
    <row r="1916" spans="1:2">
      <c r="A1916" t="s">
        <v>1946</v>
      </c>
      <c r="B1916" s="3">
        <v>0</v>
      </c>
    </row>
    <row r="1917" spans="1:2">
      <c r="A1917" t="s">
        <v>1947</v>
      </c>
      <c r="B1917" s="3">
        <v>0</v>
      </c>
    </row>
    <row r="1918" spans="1:2">
      <c r="A1918" t="s">
        <v>1948</v>
      </c>
      <c r="B1918" s="3">
        <v>169.48</v>
      </c>
    </row>
    <row r="1919" spans="1:2">
      <c r="A1919" t="s">
        <v>1949</v>
      </c>
      <c r="B1919" s="3">
        <v>368.24</v>
      </c>
    </row>
    <row r="1920" spans="1:2">
      <c r="A1920" t="s">
        <v>1950</v>
      </c>
      <c r="B1920" s="3">
        <v>60.179999999999993</v>
      </c>
    </row>
    <row r="1921" spans="1:2">
      <c r="A1921" t="s">
        <v>628</v>
      </c>
      <c r="B1921" s="3">
        <v>80.16</v>
      </c>
    </row>
    <row r="1922" spans="1:2">
      <c r="A1922" t="s">
        <v>629</v>
      </c>
      <c r="B1922" s="3">
        <v>506.25</v>
      </c>
    </row>
    <row r="1923" spans="1:2">
      <c r="A1923" t="s">
        <v>1056</v>
      </c>
      <c r="B1923" s="3">
        <v>47.13</v>
      </c>
    </row>
    <row r="1924" spans="1:2">
      <c r="A1924" t="s">
        <v>1031</v>
      </c>
      <c r="B1924" s="3">
        <v>264.3</v>
      </c>
    </row>
    <row r="1925" spans="1:2">
      <c r="A1925" t="s">
        <v>1951</v>
      </c>
      <c r="B1925" s="3">
        <v>1042.44</v>
      </c>
    </row>
    <row r="1926" spans="1:2">
      <c r="A1926" t="s">
        <v>630</v>
      </c>
      <c r="B1926" s="3">
        <v>156.4</v>
      </c>
    </row>
    <row r="1927" spans="1:2">
      <c r="A1927" t="s">
        <v>1032</v>
      </c>
      <c r="B1927" s="3">
        <v>28</v>
      </c>
    </row>
    <row r="1928" spans="1:2">
      <c r="A1928" t="s">
        <v>631</v>
      </c>
      <c r="B1928" s="3">
        <v>320.79999999999995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I13"/>
  <sheetViews>
    <sheetView showGridLines="0" workbookViewId="0">
      <selection activeCell="C5" sqref="C5"/>
    </sheetView>
  </sheetViews>
  <sheetFormatPr baseColWidth="10" defaultRowHeight="15"/>
  <cols>
    <col min="1" max="2" width="26" customWidth="1"/>
    <col min="4" max="4" width="14.85546875" bestFit="1" customWidth="1"/>
    <col min="5" max="5" width="26" bestFit="1" customWidth="1"/>
    <col min="6" max="6" width="10.7109375" bestFit="1" customWidth="1"/>
    <col min="7" max="7" width="21" bestFit="1" customWidth="1"/>
    <col min="8" max="8" width="8.5703125" bestFit="1" customWidth="1"/>
    <col min="9" max="9" width="15.28515625" bestFit="1" customWidth="1"/>
  </cols>
  <sheetData>
    <row r="1" spans="1:9">
      <c r="A1" t="s">
        <v>549</v>
      </c>
      <c r="B1" t="s">
        <v>548</v>
      </c>
      <c r="D1" t="s">
        <v>540</v>
      </c>
      <c r="E1" t="s">
        <v>541</v>
      </c>
      <c r="F1" t="s">
        <v>542</v>
      </c>
      <c r="G1" t="s">
        <v>543</v>
      </c>
      <c r="H1" t="s">
        <v>544</v>
      </c>
      <c r="I1" t="s">
        <v>545</v>
      </c>
    </row>
    <row r="2" spans="1:9">
      <c r="A2" s="8">
        <f ca="1">TODAY()</f>
        <v>41438</v>
      </c>
      <c r="B2" s="8">
        <f ca="1">[FECHAFIN]-365</f>
        <v>41073</v>
      </c>
      <c r="D2" s="4">
        <f ca="1">YEAR(TODAY())</f>
        <v>2013</v>
      </c>
      <c r="E2" s="1">
        <f ca="1">DATE(YEAR(TODAY()),MONTH(TODAY())-MONTH(TODAY())+1,DAY(TODAY())-DAY(TODAY())+1)</f>
        <v>41275</v>
      </c>
      <c r="F2" s="1">
        <f ca="1">TODAY()</f>
        <v>41438</v>
      </c>
      <c r="G2" s="5">
        <f ca="1">[HOY]-[PRIMER DÍA AÑO ACTUAL]</f>
        <v>163</v>
      </c>
      <c r="H2" s="6">
        <f ca="1">[DIFERENCIA FECHAS]/365</f>
        <v>0.44657534246575342</v>
      </c>
      <c r="I2" s="7">
        <f ca="1">100%/[% año]</f>
        <v>2.2392638036809815</v>
      </c>
    </row>
    <row r="9" spans="1:9">
      <c r="B9" s="7"/>
    </row>
    <row r="13" spans="1:9">
      <c r="B13" s="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B102"/>
  <sheetViews>
    <sheetView workbookViewId="0">
      <selection activeCell="E14" sqref="E14"/>
    </sheetView>
  </sheetViews>
  <sheetFormatPr baseColWidth="10" defaultRowHeight="15"/>
  <cols>
    <col min="1" max="1" width="11.5703125" bestFit="1" customWidth="1"/>
    <col min="2" max="2" width="12" bestFit="1" customWidth="1"/>
    <col min="4" max="4" width="10.5703125" customWidth="1"/>
    <col min="5" max="5" width="12.140625" customWidth="1"/>
  </cols>
  <sheetData>
    <row r="1" spans="1:2">
      <c r="A1" t="s">
        <v>431</v>
      </c>
      <c r="B1" t="s">
        <v>1953</v>
      </c>
    </row>
    <row r="2" spans="1:2">
      <c r="A2" t="s">
        <v>1954</v>
      </c>
      <c r="B2">
        <v>1.5958740590716907</v>
      </c>
    </row>
    <row r="3" spans="1:2">
      <c r="A3" t="s">
        <v>1955</v>
      </c>
      <c r="B3">
        <v>0.69255240335010837</v>
      </c>
    </row>
    <row r="4" spans="1:2">
      <c r="A4" t="s">
        <v>1956</v>
      </c>
      <c r="B4">
        <v>3.3652452498004446</v>
      </c>
    </row>
    <row r="5" spans="1:2">
      <c r="A5" t="s">
        <v>1957</v>
      </c>
      <c r="B5">
        <v>0.31918747533981884</v>
      </c>
    </row>
    <row r="6" spans="1:2">
      <c r="A6" t="s">
        <v>1958</v>
      </c>
      <c r="B6">
        <v>-3.3894350454180551E-2</v>
      </c>
    </row>
    <row r="7" spans="1:2">
      <c r="A7" t="s">
        <v>1959</v>
      </c>
      <c r="B7">
        <v>0.2176647933360456</v>
      </c>
    </row>
    <row r="8" spans="1:2">
      <c r="A8" t="s">
        <v>1960</v>
      </c>
      <c r="B8">
        <v>0.74004301405975403</v>
      </c>
    </row>
    <row r="9" spans="1:2">
      <c r="A9" t="s">
        <v>1961</v>
      </c>
      <c r="B9">
        <v>0.61817429250483724</v>
      </c>
    </row>
    <row r="10" spans="1:2">
      <c r="A10" t="s">
        <v>1962</v>
      </c>
      <c r="B10">
        <v>0.43066438578727184</v>
      </c>
    </row>
    <row r="11" spans="1:2">
      <c r="A11" t="s">
        <v>1963</v>
      </c>
      <c r="B11">
        <v>1.4501146698856306</v>
      </c>
    </row>
    <row r="12" spans="1:2">
      <c r="A12" t="s">
        <v>1964</v>
      </c>
      <c r="B12">
        <v>1.4597839280044858</v>
      </c>
    </row>
    <row r="13" spans="1:2">
      <c r="A13" t="s">
        <v>1965</v>
      </c>
      <c r="B13">
        <v>0.61052127129954992</v>
      </c>
    </row>
    <row r="14" spans="1:2">
      <c r="A14" t="s">
        <v>1966</v>
      </c>
      <c r="B14">
        <v>0.92570004744798917</v>
      </c>
    </row>
    <row r="15" spans="1:2">
      <c r="A15" t="s">
        <v>1967</v>
      </c>
      <c r="B15">
        <v>1.8743720825258097</v>
      </c>
    </row>
    <row r="16" spans="1:2">
      <c r="A16" t="s">
        <v>1968</v>
      </c>
      <c r="B16">
        <v>1.3478590955719907</v>
      </c>
    </row>
    <row r="17" spans="1:2">
      <c r="A17" t="s">
        <v>1969</v>
      </c>
      <c r="B17">
        <v>0.58131744159018228</v>
      </c>
    </row>
    <row r="18" spans="1:2">
      <c r="A18" t="s">
        <v>1970</v>
      </c>
      <c r="B18">
        <v>1.6973770164961894</v>
      </c>
    </row>
    <row r="19" spans="1:2">
      <c r="A19" t="s">
        <v>1971</v>
      </c>
      <c r="B19">
        <v>1.6829646775778713</v>
      </c>
    </row>
    <row r="20" spans="1:2">
      <c r="A20" t="s">
        <v>1972</v>
      </c>
      <c r="B20">
        <v>1.8754155189379627</v>
      </c>
    </row>
    <row r="21" spans="1:2">
      <c r="A21" t="s">
        <v>1973</v>
      </c>
      <c r="B21">
        <v>0.19098870626924155</v>
      </c>
    </row>
    <row r="22" spans="1:2">
      <c r="A22" t="s">
        <v>1974</v>
      </c>
      <c r="B22">
        <v>-2.8227310209216518E-2</v>
      </c>
    </row>
    <row r="23" spans="1:2">
      <c r="A23" t="s">
        <v>1975</v>
      </c>
      <c r="B23">
        <v>1.1455282121767254</v>
      </c>
    </row>
    <row r="24" spans="1:2">
      <c r="A24" t="s">
        <v>1976</v>
      </c>
      <c r="B24">
        <v>0.39396973736868612</v>
      </c>
    </row>
    <row r="25" spans="1:2">
      <c r="A25" t="s">
        <v>1977</v>
      </c>
      <c r="B25">
        <v>2.0764237309316536</v>
      </c>
    </row>
    <row r="26" spans="1:2">
      <c r="A26" t="s">
        <v>1978</v>
      </c>
      <c r="B26">
        <v>0.28171271036213363</v>
      </c>
    </row>
    <row r="27" spans="1:2">
      <c r="A27" t="s">
        <v>1979</v>
      </c>
      <c r="B27">
        <v>0.19353354537893935</v>
      </c>
    </row>
    <row r="28" spans="1:2">
      <c r="A28" t="s">
        <v>1980</v>
      </c>
      <c r="B28">
        <v>0.17728936861146949</v>
      </c>
    </row>
    <row r="29" spans="1:2">
      <c r="A29" t="s">
        <v>1981</v>
      </c>
      <c r="B29">
        <v>0.16203479242145422</v>
      </c>
    </row>
    <row r="30" spans="1:2">
      <c r="A30" t="s">
        <v>1982</v>
      </c>
      <c r="B30">
        <v>0.22231006420108645</v>
      </c>
    </row>
    <row r="31" spans="1:2">
      <c r="A31" t="s">
        <v>1983</v>
      </c>
      <c r="B31">
        <v>0.86586827550835865</v>
      </c>
    </row>
    <row r="32" spans="1:2">
      <c r="A32" t="s">
        <v>1984</v>
      </c>
      <c r="B32">
        <v>0.40559814960476276</v>
      </c>
    </row>
    <row r="33" spans="1:2">
      <c r="A33" t="s">
        <v>1985</v>
      </c>
      <c r="B33">
        <v>0.3541444206424445</v>
      </c>
    </row>
    <row r="34" spans="1:2">
      <c r="A34" t="s">
        <v>1986</v>
      </c>
      <c r="B34">
        <v>0.74436851262518799</v>
      </c>
    </row>
    <row r="35" spans="1:2">
      <c r="A35" t="s">
        <v>1987</v>
      </c>
      <c r="B35">
        <v>4.6278105817633572E-2</v>
      </c>
    </row>
    <row r="36" spans="1:2">
      <c r="A36" t="s">
        <v>1988</v>
      </c>
      <c r="B36">
        <v>9.320071024950298E-2</v>
      </c>
    </row>
    <row r="37" spans="1:2">
      <c r="A37" t="s">
        <v>1989</v>
      </c>
      <c r="B37">
        <v>0.80660025514460398</v>
      </c>
    </row>
    <row r="38" spans="1:2">
      <c r="A38" t="s">
        <v>1990</v>
      </c>
      <c r="B38">
        <v>1.0617856946461954</v>
      </c>
    </row>
    <row r="39" spans="1:2">
      <c r="A39" t="s">
        <v>1991</v>
      </c>
      <c r="B39">
        <v>0.54284644816030692</v>
      </c>
    </row>
    <row r="40" spans="1:2">
      <c r="A40" t="s">
        <v>1992</v>
      </c>
      <c r="B40">
        <v>0.44325879947072183</v>
      </c>
    </row>
    <row r="41" spans="1:2">
      <c r="A41" t="s">
        <v>1993</v>
      </c>
      <c r="B41">
        <v>1.2520581957679227</v>
      </c>
    </row>
    <row r="42" spans="1:2">
      <c r="A42" t="s">
        <v>1994</v>
      </c>
      <c r="B42">
        <v>0.86077851191234389</v>
      </c>
    </row>
    <row r="43" spans="1:2">
      <c r="A43" t="s">
        <v>1995</v>
      </c>
      <c r="B43">
        <v>1.2287090532893012</v>
      </c>
    </row>
    <row r="44" spans="1:2">
      <c r="A44" t="s">
        <v>1996</v>
      </c>
      <c r="B44">
        <v>2.5993737704700552</v>
      </c>
    </row>
    <row r="45" spans="1:2">
      <c r="A45" t="s">
        <v>1997</v>
      </c>
      <c r="B45">
        <v>0.88825649412598473</v>
      </c>
    </row>
    <row r="46" spans="1:2">
      <c r="A46" t="s">
        <v>1998</v>
      </c>
      <c r="B46">
        <v>0.10665637963964635</v>
      </c>
    </row>
    <row r="47" spans="1:2">
      <c r="A47" t="s">
        <v>1999</v>
      </c>
      <c r="B47">
        <v>0.10209400332097292</v>
      </c>
    </row>
    <row r="48" spans="1:2">
      <c r="A48" t="s">
        <v>2000</v>
      </c>
      <c r="B48">
        <v>0.65649954952741341</v>
      </c>
    </row>
    <row r="49" spans="1:2">
      <c r="A49" t="s">
        <v>2001</v>
      </c>
      <c r="B49">
        <v>0.74366142118016898</v>
      </c>
    </row>
    <row r="50" spans="1:2">
      <c r="A50" t="s">
        <v>2002</v>
      </c>
      <c r="B50">
        <v>0.17108593815028506</v>
      </c>
    </row>
    <row r="51" spans="1:2">
      <c r="A51" t="s">
        <v>2003</v>
      </c>
      <c r="B51">
        <v>0.16429208702907308</v>
      </c>
    </row>
    <row r="52" spans="1:2">
      <c r="A52" t="s">
        <v>2004</v>
      </c>
      <c r="B52">
        <v>0.75815847694854266</v>
      </c>
    </row>
    <row r="53" spans="1:2">
      <c r="A53" t="s">
        <v>2005</v>
      </c>
      <c r="B53">
        <v>0.50242726809006799</v>
      </c>
    </row>
    <row r="54" spans="1:2">
      <c r="A54" t="s">
        <v>2006</v>
      </c>
      <c r="B54">
        <v>0.17533750257821232</v>
      </c>
    </row>
    <row r="55" spans="1:2">
      <c r="A55" t="s">
        <v>2007</v>
      </c>
      <c r="B55">
        <v>1.1329886178994</v>
      </c>
    </row>
    <row r="56" spans="1:2">
      <c r="A56" t="s">
        <v>2008</v>
      </c>
      <c r="B56">
        <v>0.20050174822784264</v>
      </c>
    </row>
    <row r="57" spans="1:2">
      <c r="A57" t="s">
        <v>2009</v>
      </c>
      <c r="B57">
        <v>0.28959254300574783</v>
      </c>
    </row>
    <row r="58" spans="1:2">
      <c r="A58" t="s">
        <v>2010</v>
      </c>
      <c r="B58">
        <v>0.63892625754505283</v>
      </c>
    </row>
    <row r="59" spans="1:2">
      <c r="A59" t="s">
        <v>2011</v>
      </c>
      <c r="B59">
        <v>0.4790604317029647</v>
      </c>
    </row>
    <row r="60" spans="1:2">
      <c r="A60" t="s">
        <v>2012</v>
      </c>
      <c r="B60">
        <v>0.22737452040641318</v>
      </c>
    </row>
    <row r="61" spans="1:2">
      <c r="A61" t="s">
        <v>2013</v>
      </c>
      <c r="B61">
        <v>0.21004789120156828</v>
      </c>
    </row>
    <row r="62" spans="1:2">
      <c r="A62" t="s">
        <v>2014</v>
      </c>
      <c r="B62">
        <v>0.63164551190964924</v>
      </c>
    </row>
    <row r="63" spans="1:2">
      <c r="A63" t="s">
        <v>2015</v>
      </c>
      <c r="B63">
        <v>1.1822969004883956</v>
      </c>
    </row>
    <row r="64" spans="1:2">
      <c r="A64" t="s">
        <v>2016</v>
      </c>
      <c r="B64">
        <v>0.1056859824738982</v>
      </c>
    </row>
    <row r="65" spans="1:2">
      <c r="A65" t="s">
        <v>2017</v>
      </c>
      <c r="B65">
        <v>0.59683193753246444</v>
      </c>
    </row>
    <row r="66" spans="1:2">
      <c r="A66" t="s">
        <v>2089</v>
      </c>
      <c r="B66">
        <v>0.98566124514855269</v>
      </c>
    </row>
    <row r="67" spans="1:2">
      <c r="A67" t="s">
        <v>2018</v>
      </c>
      <c r="B67">
        <v>7.8608235053655648E-2</v>
      </c>
    </row>
    <row r="68" spans="1:2">
      <c r="A68" t="s">
        <v>2019</v>
      </c>
      <c r="B68">
        <v>2.6204148579713014</v>
      </c>
    </row>
    <row r="69" spans="1:2">
      <c r="A69" t="s">
        <v>2020</v>
      </c>
      <c r="B69">
        <v>1.1434400409976087</v>
      </c>
    </row>
    <row r="70" spans="1:2">
      <c r="A70" t="s">
        <v>2021</v>
      </c>
      <c r="B70">
        <v>0.25697471267682742</v>
      </c>
    </row>
    <row r="71" spans="1:2">
      <c r="A71" t="s">
        <v>2056</v>
      </c>
      <c r="B71">
        <v>0.12990622307961755</v>
      </c>
    </row>
    <row r="72" spans="1:2">
      <c r="A72" t="s">
        <v>2057</v>
      </c>
      <c r="B72">
        <v>0.12140107618238459</v>
      </c>
    </row>
    <row r="73" spans="1:2">
      <c r="A73" t="s">
        <v>2058</v>
      </c>
      <c r="B73">
        <v>0.12607901887060158</v>
      </c>
    </row>
    <row r="74" spans="1:2">
      <c r="A74" t="s">
        <v>2059</v>
      </c>
      <c r="B74">
        <v>0.15951866163469844</v>
      </c>
    </row>
    <row r="75" spans="1:2">
      <c r="A75" t="s">
        <v>2060</v>
      </c>
      <c r="B75">
        <v>0.25958176859966448</v>
      </c>
    </row>
    <row r="76" spans="1:2">
      <c r="A76" t="s">
        <v>2092</v>
      </c>
      <c r="B76">
        <v>0.49714255133721302</v>
      </c>
    </row>
    <row r="77" spans="1:2">
      <c r="A77" t="s">
        <v>2061</v>
      </c>
      <c r="B77">
        <v>0.83239862070040149</v>
      </c>
    </row>
    <row r="78" spans="1:2">
      <c r="A78" t="s">
        <v>2062</v>
      </c>
      <c r="B78">
        <v>2.2162355966188346E-2</v>
      </c>
    </row>
    <row r="79" spans="1:2">
      <c r="A79" t="s">
        <v>2063</v>
      </c>
      <c r="B79">
        <v>5.5166382160594329E-2</v>
      </c>
    </row>
    <row r="80" spans="1:2">
      <c r="A80" t="s">
        <v>2064</v>
      </c>
      <c r="B80">
        <v>0.95038482938536173</v>
      </c>
    </row>
    <row r="81" spans="1:2">
      <c r="A81" t="s">
        <v>2065</v>
      </c>
      <c r="B81">
        <v>0.3032764050541738</v>
      </c>
    </row>
    <row r="82" spans="1:2">
      <c r="A82" t="s">
        <v>2066</v>
      </c>
      <c r="B82">
        <v>0.1190565826696602</v>
      </c>
    </row>
    <row r="83" spans="1:2">
      <c r="A83" t="s">
        <v>2067</v>
      </c>
      <c r="B83">
        <v>5.8325088260289037</v>
      </c>
    </row>
    <row r="84" spans="1:2">
      <c r="A84" t="s">
        <v>2068</v>
      </c>
      <c r="B84">
        <v>0.14760293258605586</v>
      </c>
    </row>
    <row r="85" spans="1:2">
      <c r="A85" t="s">
        <v>2069</v>
      </c>
      <c r="B85">
        <v>1.9603118942731279</v>
      </c>
    </row>
    <row r="86" spans="1:2">
      <c r="A86" t="s">
        <v>2070</v>
      </c>
      <c r="B86">
        <v>7.9098895365294575E-2</v>
      </c>
    </row>
    <row r="87" spans="1:2">
      <c r="A87" t="s">
        <v>2071</v>
      </c>
      <c r="B87">
        <v>8.7332165621777161E-2</v>
      </c>
    </row>
    <row r="88" spans="1:2">
      <c r="A88" t="s">
        <v>2072</v>
      </c>
      <c r="B88">
        <v>0.48731750333720325</v>
      </c>
    </row>
    <row r="89" spans="1:2">
      <c r="A89" t="s">
        <v>2073</v>
      </c>
      <c r="B89">
        <v>0.17788273504081042</v>
      </c>
    </row>
    <row r="90" spans="1:2">
      <c r="A90" t="s">
        <v>2074</v>
      </c>
      <c r="B90">
        <v>5.4900807998943209E-2</v>
      </c>
    </row>
    <row r="91" spans="1:2">
      <c r="A91" t="s">
        <v>2075</v>
      </c>
      <c r="B91">
        <v>5.0574553669522203E-2</v>
      </c>
    </row>
    <row r="92" spans="1:2">
      <c r="A92" t="s">
        <v>2076</v>
      </c>
      <c r="B92">
        <v>0.12457643654659087</v>
      </c>
    </row>
    <row r="93" spans="1:2">
      <c r="A93" t="s">
        <v>2077</v>
      </c>
      <c r="B93">
        <v>0.26527939331166928</v>
      </c>
    </row>
    <row r="94" spans="1:2">
      <c r="A94" t="s">
        <v>2078</v>
      </c>
      <c r="B94">
        <v>0.25659789520277759</v>
      </c>
    </row>
    <row r="95" spans="1:2">
      <c r="A95" t="s">
        <v>2079</v>
      </c>
      <c r="B95">
        <v>0.1089870847715738</v>
      </c>
    </row>
    <row r="96" spans="1:2">
      <c r="A96" t="s">
        <v>2080</v>
      </c>
      <c r="B96">
        <v>0.15110626171974936</v>
      </c>
    </row>
    <row r="97" spans="1:2">
      <c r="A97" t="s">
        <v>2081</v>
      </c>
      <c r="B97">
        <v>6.687773709226523E-2</v>
      </c>
    </row>
    <row r="98" spans="1:2">
      <c r="A98" t="s">
        <v>2088</v>
      </c>
      <c r="B98">
        <v>0.4437606115122491</v>
      </c>
    </row>
    <row r="99" spans="1:2">
      <c r="A99" t="s">
        <v>2094</v>
      </c>
      <c r="B99">
        <v>0.11005809137181456</v>
      </c>
    </row>
    <row r="100" spans="1:2">
      <c r="A100" t="s">
        <v>2095</v>
      </c>
      <c r="B100">
        <v>0.27089396995575465</v>
      </c>
    </row>
    <row r="101" spans="1:2">
      <c r="A101" t="s">
        <v>2096</v>
      </c>
      <c r="B101">
        <v>0.1897157012814692</v>
      </c>
    </row>
    <row r="102" spans="1:2">
      <c r="A102" t="s">
        <v>2097</v>
      </c>
      <c r="B102">
        <v>0.18357026659930603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B93"/>
  <sheetViews>
    <sheetView workbookViewId="0">
      <selection activeCell="A2" sqref="A2"/>
    </sheetView>
  </sheetViews>
  <sheetFormatPr baseColWidth="10" defaultRowHeight="15"/>
  <cols>
    <col min="1" max="1" width="11.85546875" bestFit="1" customWidth="1"/>
    <col min="2" max="2" width="12.7109375" bestFit="1" customWidth="1"/>
  </cols>
  <sheetData>
    <row r="1" spans="1:2">
      <c r="A1" t="s">
        <v>431</v>
      </c>
      <c r="B1" t="s">
        <v>1953</v>
      </c>
    </row>
    <row r="2" spans="1:2">
      <c r="A2" t="s">
        <v>2093</v>
      </c>
      <c r="B2">
        <v>8.5083035366456006</v>
      </c>
    </row>
    <row r="3" spans="1:2">
      <c r="A3" t="s">
        <v>2022</v>
      </c>
      <c r="B3">
        <v>-5.0896688000000001</v>
      </c>
    </row>
    <row r="4" spans="1:2">
      <c r="A4" t="s">
        <v>2126</v>
      </c>
      <c r="B4">
        <v>0.32252655426697402</v>
      </c>
    </row>
    <row r="5" spans="1:2">
      <c r="A5" t="s">
        <v>2098</v>
      </c>
      <c r="B5">
        <v>1.1221361611922263</v>
      </c>
    </row>
    <row r="6" spans="1:2">
      <c r="A6" t="s">
        <v>2110</v>
      </c>
      <c r="B6">
        <v>0.18561167233548667</v>
      </c>
    </row>
    <row r="7" spans="1:2">
      <c r="A7" t="s">
        <v>2127</v>
      </c>
      <c r="B7">
        <v>1.377081980242975</v>
      </c>
    </row>
    <row r="8" spans="1:2">
      <c r="A8" t="s">
        <v>2099</v>
      </c>
      <c r="B8">
        <v>9.3092364227229454E-2</v>
      </c>
    </row>
    <row r="9" spans="1:2">
      <c r="A9" t="s">
        <v>2128</v>
      </c>
      <c r="B9">
        <v>0</v>
      </c>
    </row>
    <row r="10" spans="1:2">
      <c r="A10" t="s">
        <v>2100</v>
      </c>
      <c r="B10">
        <v>0.33109242436748954</v>
      </c>
    </row>
    <row r="11" spans="1:2">
      <c r="A11" t="s">
        <v>2101</v>
      </c>
      <c r="B11">
        <v>0.18663204673216952</v>
      </c>
    </row>
    <row r="12" spans="1:2">
      <c r="A12" t="s">
        <v>2102</v>
      </c>
      <c r="B12">
        <v>-1.5344483658227201E-5</v>
      </c>
    </row>
    <row r="13" spans="1:2">
      <c r="A13" t="s">
        <v>2129</v>
      </c>
      <c r="B13">
        <v>1.7709610661859634</v>
      </c>
    </row>
    <row r="14" spans="1:2">
      <c r="A14" t="s">
        <v>2024</v>
      </c>
      <c r="B14">
        <v>0.32914389442087</v>
      </c>
    </row>
    <row r="15" spans="1:2">
      <c r="A15" t="s">
        <v>2025</v>
      </c>
      <c r="B15">
        <v>0.10230518511968333</v>
      </c>
    </row>
    <row r="16" spans="1:2">
      <c r="A16" t="s">
        <v>2026</v>
      </c>
      <c r="B16">
        <v>0.58433994334277617</v>
      </c>
    </row>
    <row r="17" spans="1:2">
      <c r="A17" t="s">
        <v>2111</v>
      </c>
      <c r="B17">
        <v>0.1624560415238816</v>
      </c>
    </row>
    <row r="18" spans="1:2">
      <c r="A18" t="s">
        <v>2112</v>
      </c>
      <c r="B18">
        <v>3.2732076502732216E-2</v>
      </c>
    </row>
    <row r="19" spans="1:2">
      <c r="A19" t="s">
        <v>2113</v>
      </c>
      <c r="B19">
        <v>0.10394628342246</v>
      </c>
    </row>
    <row r="20" spans="1:2">
      <c r="A20" t="s">
        <v>2114</v>
      </c>
      <c r="B20">
        <v>0.10211564307078801</v>
      </c>
    </row>
    <row r="21" spans="1:2">
      <c r="A21" t="s">
        <v>2027</v>
      </c>
      <c r="B21">
        <v>6.2588136687691143E-2</v>
      </c>
    </row>
    <row r="22" spans="1:2">
      <c r="A22" t="s">
        <v>2028</v>
      </c>
      <c r="B22">
        <v>0.32938977069970748</v>
      </c>
    </row>
    <row r="23" spans="1:2">
      <c r="A23" t="s">
        <v>2130</v>
      </c>
      <c r="B23">
        <v>9.7316231927262006E-2</v>
      </c>
    </row>
    <row r="24" spans="1:2">
      <c r="A24" t="s">
        <v>2029</v>
      </c>
      <c r="B24">
        <v>1.1654600198323271</v>
      </c>
    </row>
    <row r="25" spans="1:2">
      <c r="A25" t="s">
        <v>2030</v>
      </c>
      <c r="B25">
        <v>0.21135241420683001</v>
      </c>
    </row>
    <row r="26" spans="1:2">
      <c r="A26" t="s">
        <v>2031</v>
      </c>
      <c r="B26">
        <v>7.645803108808287E-2</v>
      </c>
    </row>
    <row r="27" spans="1:2">
      <c r="A27" t="s">
        <v>2115</v>
      </c>
      <c r="B27">
        <v>0.12166996872321678</v>
      </c>
    </row>
    <row r="28" spans="1:2">
      <c r="A28" t="s">
        <v>2032</v>
      </c>
      <c r="B28">
        <v>6.7085010555946553E-2</v>
      </c>
    </row>
    <row r="29" spans="1:2">
      <c r="A29" t="s">
        <v>2033</v>
      </c>
      <c r="B29">
        <v>0.71121926953110826</v>
      </c>
    </row>
    <row r="30" spans="1:2">
      <c r="A30" t="s">
        <v>2082</v>
      </c>
      <c r="B30">
        <v>1.8293310665627716E-3</v>
      </c>
    </row>
    <row r="31" spans="1:2">
      <c r="A31" t="s">
        <v>2131</v>
      </c>
      <c r="B31">
        <v>0.27542013139703403</v>
      </c>
    </row>
    <row r="32" spans="1:2">
      <c r="A32" t="s">
        <v>2132</v>
      </c>
      <c r="B32">
        <v>4.1689907108366585E-2</v>
      </c>
    </row>
    <row r="33" spans="1:2">
      <c r="A33" t="s">
        <v>2034</v>
      </c>
      <c r="B33">
        <v>2.0224614014251734E-2</v>
      </c>
    </row>
    <row r="34" spans="1:2">
      <c r="A34" t="s">
        <v>2133</v>
      </c>
      <c r="B34">
        <v>0.27542013139703403</v>
      </c>
    </row>
    <row r="35" spans="1:2">
      <c r="A35" t="s">
        <v>2116</v>
      </c>
      <c r="B35">
        <v>0.32040447748582362</v>
      </c>
    </row>
    <row r="36" spans="1:2">
      <c r="A36" t="s">
        <v>2035</v>
      </c>
      <c r="B36">
        <v>0.24615178371244001</v>
      </c>
    </row>
    <row r="37" spans="1:2">
      <c r="A37" t="s">
        <v>2036</v>
      </c>
      <c r="B37">
        <v>0.53269249417752296</v>
      </c>
    </row>
    <row r="38" spans="1:2">
      <c r="A38" t="s">
        <v>2037</v>
      </c>
      <c r="B38">
        <v>0.25858100835020309</v>
      </c>
    </row>
    <row r="39" spans="1:2">
      <c r="A39" t="s">
        <v>2083</v>
      </c>
      <c r="B39">
        <v>0.96916590779767664</v>
      </c>
    </row>
    <row r="40" spans="1:2">
      <c r="A40" t="s">
        <v>2117</v>
      </c>
      <c r="B40">
        <v>7.9032965126796376E-2</v>
      </c>
    </row>
    <row r="41" spans="1:2">
      <c r="A41" t="s">
        <v>2118</v>
      </c>
      <c r="B41">
        <v>7.1306208042797997E-2</v>
      </c>
    </row>
    <row r="42" spans="1:2">
      <c r="A42" t="s">
        <v>2038</v>
      </c>
      <c r="B42">
        <v>0.11365553749554683</v>
      </c>
    </row>
    <row r="43" spans="1:2">
      <c r="A43" t="s">
        <v>2084</v>
      </c>
      <c r="B43">
        <v>0.48714095200528368</v>
      </c>
    </row>
    <row r="44" spans="1:2">
      <c r="A44" t="s">
        <v>2124</v>
      </c>
      <c r="B44">
        <v>1.3510558043117751</v>
      </c>
    </row>
    <row r="45" spans="1:2">
      <c r="A45" t="s">
        <v>2125</v>
      </c>
      <c r="B45">
        <v>1.3510558043117751</v>
      </c>
    </row>
    <row r="46" spans="1:2">
      <c r="A46" t="s">
        <v>2039</v>
      </c>
      <c r="B46">
        <v>0.70314954480114955</v>
      </c>
    </row>
    <row r="47" spans="1:2">
      <c r="A47" t="s">
        <v>2134</v>
      </c>
      <c r="B47">
        <v>1.1074803158313493</v>
      </c>
    </row>
    <row r="48" spans="1:2">
      <c r="A48" t="s">
        <v>2135</v>
      </c>
      <c r="B48">
        <v>0.13276123423949937</v>
      </c>
    </row>
    <row r="49" spans="1:2">
      <c r="A49" t="s">
        <v>2136</v>
      </c>
      <c r="B49">
        <v>0.13276123423949923</v>
      </c>
    </row>
    <row r="50" spans="1:2">
      <c r="A50" t="s">
        <v>2119</v>
      </c>
      <c r="B50">
        <v>6.2362393969756999E-2</v>
      </c>
    </row>
    <row r="51" spans="1:2">
      <c r="A51" t="s">
        <v>2040</v>
      </c>
      <c r="B51">
        <v>5.5675332278921248</v>
      </c>
    </row>
    <row r="52" spans="1:2">
      <c r="A52" t="s">
        <v>2041</v>
      </c>
      <c r="B52">
        <v>4.3215039700972273</v>
      </c>
    </row>
    <row r="53" spans="1:2">
      <c r="A53" t="s">
        <v>2042</v>
      </c>
      <c r="B53">
        <v>5.0287488466731558</v>
      </c>
    </row>
    <row r="54" spans="1:2">
      <c r="A54" t="s">
        <v>2091</v>
      </c>
      <c r="B54">
        <v>1.0906224331826753</v>
      </c>
    </row>
    <row r="55" spans="1:2">
      <c r="A55" t="s">
        <v>2043</v>
      </c>
      <c r="B55">
        <v>0.60420287923434302</v>
      </c>
    </row>
    <row r="56" spans="1:2">
      <c r="A56" t="s">
        <v>2044</v>
      </c>
      <c r="B56">
        <v>0.16189097703496558</v>
      </c>
    </row>
    <row r="57" spans="1:2">
      <c r="A57" t="s">
        <v>2045</v>
      </c>
      <c r="B57">
        <v>18.246322612861857</v>
      </c>
    </row>
    <row r="58" spans="1:2">
      <c r="A58" t="s">
        <v>2046</v>
      </c>
      <c r="B58">
        <v>0.72201256145444426</v>
      </c>
    </row>
    <row r="59" spans="1:2">
      <c r="A59" t="s">
        <v>2137</v>
      </c>
      <c r="B59">
        <v>1.2499398674765279</v>
      </c>
    </row>
    <row r="60" spans="1:2">
      <c r="A60" t="s">
        <v>2138</v>
      </c>
      <c r="B60">
        <v>0.55643262099308644</v>
      </c>
    </row>
    <row r="61" spans="1:2">
      <c r="A61" t="s">
        <v>2120</v>
      </c>
      <c r="B61">
        <v>1.5538373217922623</v>
      </c>
    </row>
    <row r="62" spans="1:2">
      <c r="A62" t="s">
        <v>2047</v>
      </c>
      <c r="B62">
        <v>-1.7489795918367346E-4</v>
      </c>
    </row>
    <row r="63" spans="1:2">
      <c r="A63" t="s">
        <v>2048</v>
      </c>
      <c r="B63">
        <v>0.31292531503916143</v>
      </c>
    </row>
    <row r="64" spans="1:2">
      <c r="A64" t="s">
        <v>2121</v>
      </c>
      <c r="B64">
        <v>0.13857368421052629</v>
      </c>
    </row>
    <row r="65" spans="1:2">
      <c r="A65" t="s">
        <v>2049</v>
      </c>
      <c r="B65">
        <v>0.12989915151515152</v>
      </c>
    </row>
    <row r="66" spans="1:2">
      <c r="A66" t="s">
        <v>2085</v>
      </c>
      <c r="B66">
        <v>0.16543928307079478</v>
      </c>
    </row>
    <row r="67" spans="1:2">
      <c r="A67" t="s">
        <v>2103</v>
      </c>
      <c r="B67">
        <v>1.6741071428733819E-5</v>
      </c>
    </row>
    <row r="68" spans="1:2">
      <c r="A68" t="s">
        <v>2104</v>
      </c>
      <c r="B68">
        <v>0.63034178156897058</v>
      </c>
    </row>
    <row r="69" spans="1:2">
      <c r="A69" t="s">
        <v>2105</v>
      </c>
      <c r="B69">
        <v>0.22959141957491491</v>
      </c>
    </row>
    <row r="70" spans="1:2">
      <c r="A70" t="s">
        <v>2106</v>
      </c>
      <c r="B70">
        <v>0.31991516339869314</v>
      </c>
    </row>
    <row r="71" spans="1:2">
      <c r="A71" t="s">
        <v>2086</v>
      </c>
      <c r="B71">
        <v>0.24211614391143921</v>
      </c>
    </row>
    <row r="72" spans="1:2">
      <c r="A72" t="s">
        <v>2050</v>
      </c>
      <c r="B72">
        <v>2.1776709050942502</v>
      </c>
    </row>
    <row r="73" spans="1:2">
      <c r="A73" t="s">
        <v>2051</v>
      </c>
      <c r="B73">
        <v>1.367658703283833</v>
      </c>
    </row>
    <row r="74" spans="1:2">
      <c r="A74" t="s">
        <v>2052</v>
      </c>
      <c r="B74">
        <v>0.36178429824553809</v>
      </c>
    </row>
    <row r="75" spans="1:2">
      <c r="A75" t="s">
        <v>2053</v>
      </c>
      <c r="B75">
        <v>9.9862897615885668E-2</v>
      </c>
    </row>
    <row r="76" spans="1:2">
      <c r="A76" t="s">
        <v>2139</v>
      </c>
      <c r="B76">
        <v>0.25656892307692269</v>
      </c>
    </row>
    <row r="77" spans="1:2">
      <c r="A77" t="s">
        <v>2122</v>
      </c>
      <c r="B77">
        <v>4.0091099476439788E-2</v>
      </c>
    </row>
    <row r="78" spans="1:2">
      <c r="A78" t="s">
        <v>2140</v>
      </c>
      <c r="B78">
        <v>4.92247153284672E-2</v>
      </c>
    </row>
    <row r="79" spans="1:2">
      <c r="A79" t="s">
        <v>2123</v>
      </c>
      <c r="B79">
        <v>1.3676587032838334</v>
      </c>
    </row>
    <row r="80" spans="1:2">
      <c r="A80" t="s">
        <v>2087</v>
      </c>
      <c r="B80">
        <v>0.19914056289385182</v>
      </c>
    </row>
    <row r="81" spans="1:2">
      <c r="A81" t="s">
        <v>2054</v>
      </c>
      <c r="B81">
        <v>1.099976913774674</v>
      </c>
    </row>
    <row r="82" spans="1:2">
      <c r="A82" t="s">
        <v>2055</v>
      </c>
      <c r="B82">
        <v>0.16666612796079724</v>
      </c>
    </row>
    <row r="83" spans="1:2">
      <c r="A83" t="s">
        <v>2090</v>
      </c>
      <c r="B83">
        <v>1.2225065123206015E-2</v>
      </c>
    </row>
    <row r="84" spans="1:2">
      <c r="A84" t="s">
        <v>2141</v>
      </c>
      <c r="B84">
        <v>12.170360000000001</v>
      </c>
    </row>
    <row r="85" spans="1:2">
      <c r="A85" t="s">
        <v>2107</v>
      </c>
      <c r="B85">
        <v>0.21435311343800609</v>
      </c>
    </row>
    <row r="86" spans="1:2">
      <c r="A86" t="s">
        <v>2108</v>
      </c>
      <c r="B86">
        <v>0.21681312413014583</v>
      </c>
    </row>
    <row r="87" spans="1:2">
      <c r="A87" t="s">
        <v>2142</v>
      </c>
      <c r="B87">
        <v>0.47369841784703776</v>
      </c>
    </row>
    <row r="88" spans="1:2">
      <c r="A88" t="s">
        <v>2143</v>
      </c>
      <c r="B88">
        <v>0.10737521602713586</v>
      </c>
    </row>
    <row r="89" spans="1:2">
      <c r="A89" t="s">
        <v>2144</v>
      </c>
      <c r="B89">
        <v>0.31358393311857663</v>
      </c>
    </row>
    <row r="90" spans="1:2">
      <c r="A90" t="s">
        <v>2145</v>
      </c>
      <c r="B90">
        <v>0.18695806995972</v>
      </c>
    </row>
    <row r="91" spans="1:2">
      <c r="A91" t="s">
        <v>2146</v>
      </c>
      <c r="B91">
        <v>0.20343742883702226</v>
      </c>
    </row>
    <row r="92" spans="1:2">
      <c r="A92" t="s">
        <v>2147</v>
      </c>
      <c r="B92">
        <v>0.71100794877639251</v>
      </c>
    </row>
    <row r="93" spans="1:2">
      <c r="A93" t="s">
        <v>2109</v>
      </c>
      <c r="B93">
        <v>0.65952141093724037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TD_ROI</vt:lpstr>
      <vt:lpstr>ROI_PRODUCTOS</vt:lpstr>
      <vt:lpstr>Buffers_Totales</vt:lpstr>
      <vt:lpstr>Parametros</vt:lpstr>
      <vt:lpstr>ROI_AGROINSUMOS_PT</vt:lpstr>
      <vt:lpstr>ROI_AGROINSUMOS_MP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2011-03-23T19:18:56Z</dcterms:created>
  <dcterms:modified xsi:type="dcterms:W3CDTF">2013-06-13T23:01:23Z</dcterms:modified>
</cp:coreProperties>
</file>